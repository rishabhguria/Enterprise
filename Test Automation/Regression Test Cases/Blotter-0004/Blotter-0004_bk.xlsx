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NewSubOrder2" sheetId="1" r:id="rId3"/>
    <sheet state="visible" name="_Modules" sheetId="2" r:id="rId4"/>
    <sheet state="visible" name="_Settings" sheetId="3" r:id="rId5"/>
    <sheet state="visible" name="TradeNewSubOrder2" sheetId="4" r:id="rId6"/>
    <sheet state="visible" name="_MasterData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VerifySubOrder" sheetId="9" r:id="rId11"/>
    <sheet state="visible" name="CancelAllSubs" sheetId="10" r:id="rId12"/>
    <sheet state="visible" name="SelectTradeOnOrderGrid" sheetId="11" r:id="rId13"/>
    <sheet state="visible" name="VerifyWorkingSubs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<sst xmlns="http://schemas.openxmlformats.org/spreadsheetml/2006/main" count="129" uniqueCount="31">
  <si>
    <t>Data</t>
  </si>
  <si>
    <t>Module</t>
  </si>
  <si>
    <t>TradingTicket</t>
  </si>
  <si>
    <t>Step</t>
  </si>
  <si>
    <t>CreateNewSubOrder</t>
  </si>
  <si>
    <t>Data Format</t>
  </si>
  <si>
    <t>Input Format</t>
  </si>
  <si>
    <t>MRF</t>
  </si>
  <si>
    <t>Buy</t>
  </si>
  <si>
    <t>Unallocated</t>
  </si>
  <si>
    <t>Market</t>
  </si>
  <si>
    <t>Modules Info</t>
  </si>
  <si>
    <t>Modules</t>
  </si>
  <si>
    <t>Settings</t>
  </si>
  <si>
    <t>Module Step Setting File</t>
  </si>
  <si>
    <t>1bjzFzn7sq_aNk1B-5bCREqf7Fqdi4GeZC91op3sddBc</t>
  </si>
  <si>
    <t>Master Data Settings File</t>
  </si>
  <si>
    <t>1Nt_rf5DtgjbN9Ag4AMMlUkZYROxKZLH5m54YOl7tRT0</t>
  </si>
  <si>
    <t>Blotter</t>
  </si>
  <si>
    <t>TradeNewSubOrder</t>
  </si>
  <si>
    <t>PartiallyFilled</t>
  </si>
  <si>
    <t>Master Data Info</t>
  </si>
  <si>
    <t>Master Data Sheet</t>
  </si>
  <si>
    <t>CreateStageOrder</t>
  </si>
  <si>
    <t>New</t>
  </si>
  <si>
    <t>VerifySubOrder</t>
  </si>
  <si>
    <t>Filled</t>
  </si>
  <si>
    <t>CancelAllSubs</t>
  </si>
  <si>
    <t>SelectTradeOnOrderGrid</t>
  </si>
  <si>
    <t>VerifyWorkingSubs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</si>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</sst>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  <font>
      <sz val="14.0"/>
      <color rgb="FFFFFFFF"/>
      <name val="Calibri"/>
    </font>
    <font>
      <b/>
      <color rgb="FFFFFFFF"/>
      <name val="Arial"/>
    </font>
    <font>
      <b/>
      <color rgb="FFFFFFFF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Font="1"/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9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1" fillId="2" fontId="10" numFmtId="0" xfId="0" applyAlignment="1" applyBorder="1" applyFont="1">
      <alignment horizontal="center" shrinkToFit="0" wrapText="0"/>
    </xf>
    <xf borderId="4" fillId="3" fontId="5" numFmtId="0" xfId="0" applyAlignment="1" applyBorder="1" applyFont="1">
      <alignment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11" numFmtId="0" xfId="0" applyAlignment="1" applyBorder="1" applyFont="1">
      <alignment readingOrder="0" shrinkToFit="0" wrapText="0"/>
    </xf>
    <xf borderId="4" fillId="3" fontId="11" numFmtId="0" xfId="0" applyAlignment="1" applyBorder="1" applyFont="1">
      <alignment shrinkToFit="0" wrapText="0"/>
    </xf>
    <xf borderId="0" fillId="0" fontId="12" numFmtId="0" xfId="0" applyFont="1"/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IFERROR(__xludf.DUMMYFUNCTION("IF(C3="""","""",Transpose(IMPORTRANGE('_Settings'!$B$3,C3&amp;""!A4:A1000"")))"),"OpenTTFromPST")</f>
        <v>OpenTTFromPST</v>
      </c>
      <c r="C4" s="13" t="str">
        <f>IFERROR(__xludf.DUMMYFUNCTION("""COMPUTED_VALUE"""),"EnterDetailsOnTT")</f>
        <v>EnterDetailsOnTT</v>
      </c>
      <c r="D4" s="13" t="str">
        <f>IFERROR(__xludf.DUMMYFUNCTION("""COMPUTED_VALUE"""),"ValidateSymbolTT")</f>
        <v>ValidateSymbolTT</v>
      </c>
      <c r="E4" s="13" t="str">
        <f>IFERROR(__xludf.DUMMYFUNCTION("""COMPUTED_VALUE"""),"VerifyDataTT")</f>
        <v>VerifyDataTT</v>
      </c>
      <c r="F4" s="13" t="str">
        <f>IFERROR(__xludf.DUMMYFUNCTION("""COMPUTED_VALUE"""),"SetUIPreferencesTT")</f>
        <v>SetUIPreferencesTT</v>
      </c>
      <c r="G4" s="13" t="str">
        <f>IFERROR(__xludf.DUMMYFUNCTION("""COMPUTED_VALUE"""),"SetBrokerWisePreferencesTT")</f>
        <v>SetBrokerWisePreferencesTT</v>
      </c>
      <c r="H4" s="13" t="str">
        <f>IFERROR(__xludf.DUMMYFUNCTION("""COMPUTED_VALUE"""),"TradeNewSub")</f>
        <v>TradeNewSub</v>
      </c>
      <c r="I4" s="13" t="str">
        <f>IFERROR(__xludf.DUMMYFUNCTION("""COMPUTED_VALUE"""),"CreateStageOrder")</f>
        <v>CreateStageOrder</v>
      </c>
      <c r="J4" s="13" t="str">
        <f>IFERROR(__xludf.DUMMYFUNCTION("""COMPUTED_VALUE"""),"CreateReplaceOrder")</f>
        <v>CreateReplaceOrder</v>
      </c>
      <c r="K4" s="13" t="str">
        <f>IFERROR(__xludf.DUMMYFUNCTION("""COMPUTED_VALUE"""),"SetGeneralPreference")</f>
        <v>SetGeneralPreference</v>
      </c>
      <c r="L4" s="13" t="str">
        <f>IFERROR(__xludf.DUMMYFUNCTION("""COMPUTED_VALUE"""),"CreateNewSubOrder")</f>
        <v>CreateNewSubOrder</v>
      </c>
      <c r="M4" s="13" t="str">
        <f>IFERROR(__xludf.DUMMYFUNCTION("""COMPUTED_VALUE"""),"TradeBloomberg")</f>
        <v>TradeBloomberg</v>
      </c>
      <c r="N4" s="13" t="str">
        <f>IFERROR(__xludf.DUMMYFUNCTION("""COMPUTED_VALUE"""),"ClickSymbolLookup")</f>
        <v>ClickSymbolLookup</v>
      </c>
      <c r="O4" s="13" t="str">
        <f>IFERROR(__xludf.DUMMYFUNCTION("""COMPUTED_VALUE"""),"VerifyTT")</f>
        <v>VerifyTT</v>
      </c>
      <c r="P4" s="14" t="str">
        <f>IFERROR(__xludf.DUMMYFUNCTION("""COMPUTED_VALUE"""),"CreateLiveOrder")</f>
        <v>CreateLiveOrder</v>
      </c>
      <c r="Q4" s="14" t="str">
        <f>IFERROR(__xludf.DUMMYFUNCTION("""COMPUTED_VALUE"""),"ShowMasterFundOnTT")</f>
        <v>ShowMasterFundOnTT</v>
      </c>
      <c r="R4" s="14" t="str">
        <f>IFERROR(__xludf.DUMMYFUNCTION("""COMPUTED_VALUE"""),"UpdateMasterFundOnTT")</f>
        <v>UpdateMasterFundOnTT</v>
      </c>
      <c r="S4" s="14" t="str">
        <f>IFERROR(__xludf.DUMMYFUNCTION("""COMPUTED_VALUE"""),"SetTTCompliancePreference")</f>
        <v>SetTTCompliancePreference</v>
      </c>
      <c r="T4" s="14" t="str">
        <f>IFERROR(__xludf.DUMMYFUNCTION("""COMPUTED_VALUE"""),"ImportSymbol")</f>
        <v>ImportSymbol</v>
      </c>
      <c r="U4" s="14" t="str">
        <f>IFERROR(__xludf.DUMMYFUNCTION("""COMPUTED_VALUE"""),"ExportSymbolFromRAList")</f>
        <v>ExportSymbolFromRAList</v>
      </c>
      <c r="V4" s="14" t="str">
        <f>IFERROR(__xludf.DUMMYFUNCTION("""COMPUTED_VALUE"""),"CheckPendingNewOrderAlert")</f>
        <v>CheckPendingNewOrderAlert</v>
      </c>
      <c r="W4" s="14" t="str">
        <f>IFERROR(__xludf.DUMMYFUNCTION("""COMPUTED_VALUE"""),"AddSymbolOnRAList")</f>
        <v>AddSymbolOnRAList</v>
      </c>
      <c r="X4" s="14" t="str">
        <f>IFERROR(__xludf.DUMMYFUNCTION("""COMPUTED_VALUE"""),"DeleteSymbolListFromRA")</f>
        <v>DeleteSymbolListFromRA</v>
      </c>
      <c r="Y4" s="14" t="str">
        <f>IFERROR(__xludf.DUMMYFUNCTION("""COMPUTED_VALUE"""),"RemoveSymbolFromRAList")</f>
        <v>RemoveSymbolFromRAList</v>
      </c>
      <c r="Z4" s="14" t="str">
        <f>IFERROR(__xludf.DUMMYFUNCTION("""COMPUTED_VALUE"""),"ToggleBlombergOnRA")</f>
        <v>ToggleBlombergOnRA</v>
      </c>
      <c r="AA4" s="14" t="str">
        <f>IFERROR(__xludf.DUMMYFUNCTION("""COMPUTED_VALUE"""),"CreateDoneAway")</f>
        <v>CreateDoneAway</v>
      </c>
      <c r="AB4" s="14" t="str">
        <f>IFERROR(__xludf.DUMMYFUNCTION("""COMPUTED_VALUE"""),"CreateDoneAwayOrder")</f>
        <v>CreateDoneAwayOrder</v>
      </c>
      <c r="AC4" s="14" t="str">
        <f>IFERROR(__xludf.DUMMYFUNCTION("""COMPUTED_VALUE"""),"SendLiveBloomberg")</f>
        <v>SendLiveBloomberg</v>
      </c>
      <c r="AD4" s="14" t="str">
        <f>IFERROR(__xludf.DUMMYFUNCTION("""COMPUTED_VALUE"""),"AddOptionTrade")</f>
        <v>AddOptionTrade</v>
      </c>
      <c r="AE4" s="14" t="str">
        <f>IFERROR(__xludf.DUMMYFUNCTION("""COMPUTED_VALUE"""),"ViewAllocation")</f>
        <v>ViewAllocation</v>
      </c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 t="str">
        <f>IFERROR(__xludf.DUMMYFUNCTION("TRANSPOSE(IMPORTRANGE(VLOOKUP($E$3,IMPORTRANGE('_Settings'!$B$3,$C$3&amp;""!A4:B1000""),2,FALSE),$G$3&amp;""!A4:A1000""))"),"")</f>
        <v/>
      </c>
      <c r="B5" s="16" t="str">
        <f>IFERROR(__xludf.DUMMYFUNCTION("""COMPUTED_VALUE"""),"Symbol")</f>
        <v>Symbol</v>
      </c>
      <c r="C5" s="16" t="str">
        <f>IFERROR(__xludf.DUMMYFUNCTION("""COMPUTED_VALUE"""),"Order Side")</f>
        <v>Order Side</v>
      </c>
      <c r="D5" s="16" t="str">
        <f>IFERROR(__xludf.DUMMYFUNCTION("""COMPUTED_VALUE"""),"Quantity")</f>
        <v>Quantity</v>
      </c>
      <c r="E5" s="16" t="str">
        <f>IFERROR(__xludf.DUMMYFUNCTION("""COMPUTED_VALUE"""),"TargetQuantityIn")</f>
        <v>TargetQuantityIn</v>
      </c>
      <c r="F5" s="17" t="str">
        <f>IFERROR(__xludf.DUMMYFUNCTION("""COMPUTED_VALUE"""),"AllocationMethod")</f>
        <v>AllocationMethod</v>
      </c>
      <c r="G5" s="16" t="str">
        <f>IFERROR(__xludf.DUMMYFUNCTION("""COMPUTED_VALUE"""),"Broker")</f>
        <v>Broker</v>
      </c>
      <c r="H5" s="16" t="str">
        <f>IFERROR(__xludf.DUMMYFUNCTION("""COMPUTED_VALUE"""),"TIF")</f>
        <v>TIF</v>
      </c>
      <c r="I5" s="16" t="str">
        <f>IFERROR(__xludf.DUMMYFUNCTION("""COMPUTED_VALUE"""),"Order Type")</f>
        <v>Order Type</v>
      </c>
      <c r="J5" s="16" t="str">
        <f>IFERROR(__xludf.DUMMYFUNCTION("""COMPUTED_VALUE"""),"Price")</f>
        <v>Price</v>
      </c>
      <c r="K5" s="16" t="str">
        <f>IFERROR(__xludf.DUMMYFUNCTION("""COMPUTED_VALUE"""),"Stop")</f>
        <v>Stop</v>
      </c>
      <c r="L5" s="16" t="str">
        <f>IFERROR(__xludf.DUMMYFUNCTION("""COMPUTED_VALUE"""),"Limit")</f>
        <v>Limit</v>
      </c>
      <c r="M5" s="16" t="str">
        <f>IFERROR(__xludf.DUMMYFUNCTION("""COMPUTED_VALUE"""),"Strategy")</f>
        <v>Strategy</v>
      </c>
      <c r="N5" s="16" t="str">
        <f>IFERROR(__xludf.DUMMYFUNCTION("""COMPUTED_VALUE"""),"Trade Date")</f>
        <v>Trade Date</v>
      </c>
      <c r="O5" s="16" t="str">
        <f>IFERROR(__xludf.DUMMYFUNCTION("""COMPUTED_VALUE"""),"FxRate")</f>
        <v>FxRate</v>
      </c>
      <c r="P5" s="16" t="str">
        <f>IFERROR(__xludf.DUMMYFUNCTION("""COMPUTED_VALUE"""),"Notes")</f>
        <v>Notes</v>
      </c>
      <c r="Q5" s="16" t="str">
        <f>IFERROR(__xludf.DUMMYFUNCTION("""COMPUTED_VALUE"""),"Broker Notes")</f>
        <v>Broker Notes</v>
      </c>
      <c r="R5" s="16" t="str">
        <f>IFERROR(__xludf.DUMMYFUNCTION("""COMPUTED_VALUE"""),"CommissionBasis")</f>
        <v>CommissionBasis</v>
      </c>
      <c r="S5" s="16" t="str">
        <f>IFERROR(__xludf.DUMMYFUNCTION("""COMPUTED_VALUE"""),"CommissionRate")</f>
        <v>CommissionRate</v>
      </c>
      <c r="T5" s="18" t="str">
        <f>IFERROR(__xludf.DUMMYFUNCTION("""COMPUTED_VALUE"""),"SoftBasis")</f>
        <v>SoftBasis</v>
      </c>
      <c r="U5" s="18" t="str">
        <f>IFERROR(__xludf.DUMMYFUNCTION("""COMPUTED_VALUE"""),"SoftRate")</f>
        <v>SoftRate</v>
      </c>
      <c r="V5" s="18" t="str">
        <f>IFERROR(__xludf.DUMMYFUNCTION("""COMPUTED_VALUE"""),"TradeAttribute1")</f>
        <v>TradeAttribute1</v>
      </c>
      <c r="W5" s="18" t="str">
        <f>IFERROR(__xludf.DUMMYFUNCTION("""COMPUTED_VALUE"""),"TradeAttribute2")</f>
        <v>TradeAttribute2</v>
      </c>
      <c r="X5" s="18" t="str">
        <f>IFERROR(__xludf.DUMMYFUNCTION("""COMPUTED_VALUE"""),"TradeAttribute3")</f>
        <v>TradeAttribute3</v>
      </c>
      <c r="Y5" s="18" t="str">
        <f>IFERROR(__xludf.DUMMYFUNCTION("""COMPUTED_VALUE"""),"TradeAttribute4")</f>
        <v>TradeAttribute4</v>
      </c>
      <c r="Z5" s="18" t="str">
        <f>IFERROR(__xludf.DUMMYFUNCTION("""COMPUTED_VALUE"""),"TradeAttribute5")</f>
        <v>TradeAttribute5</v>
      </c>
      <c r="AA5" s="18" t="str">
        <f>IFERROR(__xludf.DUMMYFUNCTION("""COMPUTED_VALUE"""),"TradeAttribute6")</f>
        <v>TradeAttribute6</v>
      </c>
      <c r="AB5" s="18" t="str">
        <f>IFERROR(__xludf.DUMMYFUNCTION("""COMPUTED_VALUE"""),"Venue")</f>
        <v>Venue</v>
      </c>
      <c r="AC5" s="18" t="str">
        <f>IFERROR(__xludf.DUMMYFUNCTION("""COMPUTED_VALUE"""),"ExecutionInstructions")</f>
        <v>ExecutionInstructions</v>
      </c>
      <c r="AD5" s="18" t="str">
        <f>IFERROR(__xludf.DUMMYFUNCTION("""COMPUTED_VALUE"""),"HandlingInstructions")</f>
        <v>HandlingInstructions</v>
      </c>
      <c r="AE5" s="18" t="str">
        <f>IFERROR(__xludf.DUMMYFUNCTION("""COMPUTED_VALUE"""),"Trader")</f>
        <v>Trader</v>
      </c>
      <c r="AF5" s="18" t="str">
        <f>IFERROR(__xludf.DUMMYFUNCTION("""COMPUTED_VALUE"""),"SettlementCurrency")</f>
        <v>SettlementCurrency</v>
      </c>
      <c r="AG5" s="18" t="str">
        <f>IFERROR(__xludf.DUMMYFUNCTION("""COMPUTED_VALUE"""),"SettlementFXRate")</f>
        <v>SettlementFXRate</v>
      </c>
      <c r="AH5" s="18" t="str">
        <f>IFERROR(__xludf.DUMMYFUNCTION("""COMPUTED_VALUE"""),"SettlementAmount")</f>
        <v>SettlementAmount</v>
      </c>
      <c r="AI5" s="18" t="str">
        <f>IFERROR(__xludf.DUMMYFUNCTION("""COMPUTED_VALUE"""),"SettlementFXOperator")</f>
        <v>SettlementFXOperator</v>
      </c>
      <c r="AJ5" s="18" t="str">
        <f>IFERROR(__xludf.DUMMYFUNCTION("""COMPUTED_VALUE"""),"SettleByBroker")</f>
        <v>SettleByBroker</v>
      </c>
      <c r="AK5" s="18" t="str">
        <f>IFERROR(__xludf.DUMMYFUNCTION("""COMPUTED_VALUE"""),"Account")</f>
        <v>Account</v>
      </c>
      <c r="AL5" s="18" t="str">
        <f>IFERROR(__xludf.DUMMYFUNCTION("""COMPUTED_VALUE"""),"Account %")</f>
        <v>Account %</v>
      </c>
      <c r="AM5" s="18" t="str">
        <f>IFERROR(__xludf.DUMMYFUNCTION("""COMPUTED_VALUE"""),"Deal In")</f>
        <v>Deal In</v>
      </c>
      <c r="AN5" s="18" t="str">
        <f>IFERROR(__xludf.DUMMYFUNCTION("""COMPUTED_VALUE"""),"PopUpQuantity")</f>
        <v>PopUpQuantity</v>
      </c>
      <c r="AO5" s="18" t="str">
        <f>IFERROR(__xludf.DUMMYFUNCTION("""COMPUTED_VALUE"""),"ShortLocate")</f>
        <v>ShortLocate</v>
      </c>
      <c r="AP5" s="18" t="str">
        <f>IFERROR(__xludf.DUMMYFUNCTION("""COMPUTED_VALUE"""),"Rate(%)")</f>
        <v>Rate(%)</v>
      </c>
      <c r="AQ5" s="18" t="str">
        <f>IFERROR(__xludf.DUMMYFUNCTION("""COMPUTED_VALUE"""),"AllowTrade")</f>
        <v>AllowTrade</v>
      </c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7</v>
      </c>
      <c r="C6" s="19" t="s">
        <v>8</v>
      </c>
      <c r="D6" s="19">
        <v>400.0</v>
      </c>
      <c r="E6" s="20">
        <v>400.0</v>
      </c>
      <c r="F6" s="19" t="s">
        <v>9</v>
      </c>
      <c r="G6" s="6"/>
      <c r="H6" s="6"/>
      <c r="I6" s="19" t="s">
        <v>10</v>
      </c>
      <c r="J6" s="19">
        <v>50.0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2" t="s">
        <v>11</v>
      </c>
      <c r="B1" s="3"/>
      <c r="C1" s="3"/>
      <c r="D1" s="3"/>
      <c r="E1" s="3"/>
      <c r="F1" s="4"/>
    </row>
    <row r="2" ht="15.75" customHeight="1">
      <c r="A2" s="21"/>
      <c r="B2" s="21"/>
      <c r="C2" s="21"/>
      <c r="D2" s="21"/>
      <c r="E2" s="21"/>
      <c r="F2" s="21"/>
    </row>
    <row r="3" ht="15.75" customHeight="1">
      <c r="A3" s="9" t="s">
        <v>12</v>
      </c>
      <c r="B3" s="22"/>
      <c r="C3" s="23"/>
      <c r="D3" s="23"/>
      <c r="E3" s="23"/>
      <c r="F3" s="23"/>
    </row>
    <row r="4" ht="15.75" customHeight="1">
      <c r="A4" s="6" t="str">
        <f>IFERROR(__xludf.DUMMYFUNCTION("IMPORTRANGE('_Settings'!B3,""Modules!A4:L1000"")"),"Allocation")</f>
        <v>Allocation</v>
      </c>
      <c r="B4" s="21" t="str">
        <f>IFERROR(__xludf.DUMMYFUNCTION("""COMPUTED_VALUE"""),"Allocate")</f>
        <v>Allocate</v>
      </c>
      <c r="C4" s="21" t="str">
        <f>IFERROR(__xludf.DUMMYFUNCTION("""COMPUTED_VALUE"""),"undefined")</f>
        <v>undefined</v>
      </c>
      <c r="D4" s="21"/>
      <c r="E4" s="21"/>
      <c r="F4" s="21"/>
    </row>
    <row r="5" ht="15.75" customHeight="1">
      <c r="A5" s="6" t="str">
        <f>IFERROR(__xludf.DUMMYFUNCTION("""COMPUTED_VALUE"""),"Allocation")</f>
        <v>Allocation</v>
      </c>
      <c r="B5" s="21" t="str">
        <f>IFERROR(__xludf.DUMMYFUNCTION("""COMPUTED_VALUE"""),"CheckAllocatedGroups")</f>
        <v>CheckAllocatedGroups</v>
      </c>
      <c r="C5" s="21" t="str">
        <f>IFERROR(__xludf.DUMMYFUNCTION("""COMPUTED_VALUE"""),"1aecq-HMDoDkIInONjPC11z5TBFHyJhv4ro66e2ZOphg")</f>
        <v>1aecq-HMDoDkIInONjPC11z5TBFHyJhv4ro66e2ZOphg</v>
      </c>
      <c r="D5" s="21"/>
      <c r="E5" s="21"/>
      <c r="F5" s="21"/>
    </row>
    <row r="6" ht="15.75" customHeight="1">
      <c r="A6" s="21" t="str">
        <f>IFERROR(__xludf.DUMMYFUNCTION("""COMPUTED_VALUE"""),"Allocation")</f>
        <v>Allocation</v>
      </c>
      <c r="B6" s="21" t="str">
        <f>IFERROR(__xludf.DUMMYFUNCTION("""COMPUTED_VALUE"""),"Unallocate")</f>
        <v>Unallocate</v>
      </c>
      <c r="C6" s="21" t="str">
        <f>IFERROR(__xludf.DUMMYFUNCTION("""COMPUTED_VALUE"""),"1eDZq-_vllq4jwvwpk9qGnwQUhlb-sFvyFKPBriT2dA0")</f>
        <v>1eDZq-_vllq4jwvwpk9qGnwQUhlb-sFvyFKPBriT2dA0</v>
      </c>
      <c r="D6" s="21"/>
      <c r="E6" s="21"/>
      <c r="F6" s="21"/>
    </row>
    <row r="7" ht="15.75" customHeight="1">
      <c r="A7" s="21" t="str">
        <f>IFERROR(__xludf.DUMMYFUNCTION("""COMPUTED_VALUE"""),"Allocation")</f>
        <v>Allocation</v>
      </c>
      <c r="B7" s="21" t="str">
        <f>IFERROR(__xludf.DUMMYFUNCTION("""COMPUTED_VALUE"""),"GetDataAllocation")</f>
        <v>GetDataAllocation</v>
      </c>
      <c r="C7" s="21" t="str">
        <f>IFERROR(__xludf.DUMMYFUNCTION("""COMPUTED_VALUE"""),"1FBTO3wCB7odq-jpQMbYHgSrAL5-rFO2_kp9Kr2iXqXE")</f>
        <v>1FBTO3wCB7odq-jpQMbYHgSrAL5-rFO2_kp9Kr2iXqXE</v>
      </c>
      <c r="D7" s="21"/>
      <c r="E7" s="21"/>
      <c r="F7" s="21"/>
    </row>
    <row r="8" ht="15.75" customHeight="1">
      <c r="A8" s="21" t="str">
        <f>IFERROR(__xludf.DUMMYFUNCTION("""COMPUTED_VALUE"""),"Allocation")</f>
        <v>Allocation</v>
      </c>
      <c r="B8" s="21" t="str">
        <f>IFERROR(__xludf.DUMMYFUNCTION("""COMPUTED_VALUE"""),"SelectAllocatedGroup")</f>
        <v>SelectAllocatedGroup</v>
      </c>
      <c r="C8" s="21" t="str">
        <f>IFERROR(__xludf.DUMMYFUNCTION("""COMPUTED_VALUE"""),"1G0ZkXDrIDX_loGmAyLs_Shy8hExtTELtFXERbX-HdPo")</f>
        <v>1G0ZkXDrIDX_loGmAyLs_Shy8hExtTELtFXERbX-HdPo</v>
      </c>
      <c r="D8" s="21"/>
      <c r="E8" s="21"/>
      <c r="F8" s="21"/>
    </row>
    <row r="9" ht="15.75" customHeight="1">
      <c r="A9" s="21" t="str">
        <f>IFERROR(__xludf.DUMMYFUNCTION("""COMPUTED_VALUE"""),"Allocation")</f>
        <v>Allocation</v>
      </c>
      <c r="B9" s="21" t="str">
        <f>IFERROR(__xludf.DUMMYFUNCTION("""COMPUTED_VALUE"""),"EditTradesAllocated")</f>
        <v>EditTradesAllocated</v>
      </c>
      <c r="C9" s="21" t="str">
        <f>IFERROR(__xludf.DUMMYFUNCTION("""COMPUTED_VALUE"""),"1YgVZ1jEVgjUF1Dp8FAj_W_zLEZCyqvNMlWJIg0Tmkq4")</f>
        <v>1YgVZ1jEVgjUF1Dp8FAj_W_zLEZCyqvNMlWJIg0Tmkq4</v>
      </c>
      <c r="D9" s="21"/>
      <c r="E9" s="21"/>
      <c r="F9" s="21"/>
    </row>
    <row r="10" ht="15.75" customHeight="1">
      <c r="A10" s="21" t="str">
        <f>IFERROR(__xludf.DUMMYFUNCTION("""COMPUTED_VALUE"""),"Allocation")</f>
        <v>Allocation</v>
      </c>
      <c r="B10" s="21" t="str">
        <f>IFERROR(__xludf.DUMMYFUNCTION("""COMPUTED_VALUE"""),"EditTradesUnallocated")</f>
        <v>EditTradesUnallocated</v>
      </c>
      <c r="C10" s="21" t="str">
        <f>IFERROR(__xludf.DUMMYFUNCTION("""COMPUTED_VALUE"""),"1MyB61T39MDAUyQqCUJLATzUT2f5UlE8nFq4ltWy_DJ4")</f>
        <v>1MyB61T39MDAUyQqCUJLATzUT2f5UlE8nFq4ltWy_DJ4</v>
      </c>
      <c r="D10" s="21"/>
      <c r="E10" s="21"/>
      <c r="F10" s="21"/>
    </row>
    <row r="11" ht="15.75" customHeight="1">
      <c r="A11" s="21" t="str">
        <f>IFERROR(__xludf.DUMMYFUNCTION("""COMPUTED_VALUE"""),"Allocation")</f>
        <v>Allocation</v>
      </c>
      <c r="B11" s="21" t="str">
        <f>IFERROR(__xludf.DUMMYFUNCTION("""COMPUTED_VALUE"""),"Reallocate")</f>
        <v>Reallocate</v>
      </c>
      <c r="C11" s="21" t="str">
        <f>IFERROR(__xludf.DUMMYFUNCTION("""COMPUTED_VALUE"""),"undefined")</f>
        <v>undefined</v>
      </c>
      <c r="D11" s="21"/>
      <c r="E11" s="21"/>
      <c r="F11" s="21"/>
    </row>
    <row r="12" ht="15.75" customHeight="1">
      <c r="A12" s="21" t="str">
        <f>IFERROR(__xludf.DUMMYFUNCTION("""COMPUTED_VALUE"""),"Blotter")</f>
        <v>Blotter</v>
      </c>
      <c r="B12" s="21" t="str">
        <f>IFERROR(__xludf.DUMMYFUNCTION("""COMPUTED_VALUE"""),"ReplaceFillsOnBlotter")</f>
        <v>ReplaceFillsOnBlotter</v>
      </c>
      <c r="C12" s="21" t="str">
        <f>IFERROR(__xludf.DUMMYFUNCTION("""COMPUTED_VALUE"""),"undefined")</f>
        <v>undefined</v>
      </c>
      <c r="D12" s="21"/>
      <c r="E12" s="21"/>
      <c r="F12" s="21"/>
    </row>
    <row r="13" ht="15.75" customHeight="1">
      <c r="A13" s="21" t="str">
        <f>IFERROR(__xludf.DUMMYFUNCTION("""COMPUTED_VALUE"""),"Blotter")</f>
        <v>Blotter</v>
      </c>
      <c r="B13" s="21" t="str">
        <f>IFERROR(__xludf.DUMMYFUNCTION("""COMPUTED_VALUE"""),"CheckBlotter")</f>
        <v>CheckBlotter</v>
      </c>
      <c r="C13" s="21" t="str">
        <f>IFERROR(__xludf.DUMMYFUNCTION("""COMPUTED_VALUE"""),"16qheLbvgC92hKxalWDlpWfHBMyDDVqHERUCc7bQiO2A")</f>
        <v>16qheLbvgC92hKxalWDlpWfHBMyDDVqHERUCc7bQiO2A</v>
      </c>
      <c r="D13" s="21"/>
      <c r="E13" s="21"/>
      <c r="F13" s="21"/>
    </row>
    <row r="14" ht="15.75" customHeight="1">
      <c r="A14" s="21" t="str">
        <f>IFERROR(__xludf.DUMMYFUNCTION("""COMPUTED_VALUE"""),"GeneralLedger")</f>
        <v>GeneralLedger</v>
      </c>
      <c r="B14" s="21" t="str">
        <f>IFERROR(__xludf.DUMMYFUNCTION("""COMPUTED_VALUE"""),"GetDataCash")</f>
        <v>GetDataCash</v>
      </c>
      <c r="C14" s="21" t="str">
        <f>IFERROR(__xludf.DUMMYFUNCTION("""COMPUTED_VALUE"""),"1zLd3ju-mV8f6PZiQUYLU-cAgAUwLwyoIAKuu0WgG2zI")</f>
        <v>1zLd3ju-mV8f6PZiQUYLU-cAgAUwLwyoIAKuu0WgG2zI</v>
      </c>
      <c r="D14" s="21"/>
      <c r="E14" s="21"/>
      <c r="F14" s="21"/>
    </row>
    <row r="15" ht="15.75" customHeight="1">
      <c r="A15" s="21" t="str">
        <f>IFERROR(__xludf.DUMMYFUNCTION("""COMPUTED_VALUE"""),"GeneralLedger")</f>
        <v>GeneralLedger</v>
      </c>
      <c r="B15" s="21" t="str">
        <f>IFERROR(__xludf.DUMMYFUNCTION("""COMPUTED_VALUE"""),"EnterCashDividends")</f>
        <v>EnterCashDividends</v>
      </c>
      <c r="C15" s="21" t="str">
        <f>IFERROR(__xludf.DUMMYFUNCTION("""COMPUTED_VALUE"""),"1sjDsI5FIL_l_G6osMJQ7e8auBgYd3R3JDaKWKV_8Og0")</f>
        <v>1sjDsI5FIL_l_G6osMJQ7e8auBgYd3R3JDaKWKV_8Og0</v>
      </c>
      <c r="D15" s="21"/>
      <c r="E15" s="21"/>
      <c r="F15" s="21"/>
    </row>
    <row r="16" ht="15.75" customHeight="1">
      <c r="A16" s="21" t="str">
        <f>IFERROR(__xludf.DUMMYFUNCTION("""COMPUTED_VALUE"""),"GeneralLedger")</f>
        <v>GeneralLedger</v>
      </c>
      <c r="B16" s="21" t="str">
        <f>IFERROR(__xludf.DUMMYFUNCTION("""COMPUTED_VALUE"""),"EnterNonTradingTransaction")</f>
        <v>EnterNonTradingTransaction</v>
      </c>
      <c r="C16" s="21" t="str">
        <f>IFERROR(__xludf.DUMMYFUNCTION("""COMPUTED_VALUE"""),"1xn1P_Z-3N4d2BC1SUPly2HiVZazly5ZQcS18BfaTyho")</f>
        <v>1xn1P_Z-3N4d2BC1SUPly2HiVZazly5ZQcS18BfaTyho</v>
      </c>
      <c r="D16" s="21"/>
      <c r="E16" s="21"/>
      <c r="F16" s="21"/>
    </row>
    <row r="17" ht="15.75" customHeight="1">
      <c r="A17" s="21" t="str">
        <f>IFERROR(__xludf.DUMMYFUNCTION("""COMPUTED_VALUE"""),"GeneralLedger")</f>
        <v>GeneralLedger</v>
      </c>
      <c r="B17" s="21" t="str">
        <f>IFERROR(__xludf.DUMMYFUNCTION("""COMPUTED_VALUE"""),"VerifyCash")</f>
        <v>VerifyCash</v>
      </c>
      <c r="C17" s="21" t="str">
        <f>IFERROR(__xludf.DUMMYFUNCTION("""COMPUTED_VALUE"""),"1vlvYPsiFAWjsnFrbkGn_fAvkwF00V3e7htalalU6QN4")</f>
        <v>1vlvYPsiFAWjsnFrbkGn_fAvkwF00V3e7htalalU6QN4</v>
      </c>
      <c r="D17" s="21"/>
      <c r="E17" s="21"/>
      <c r="F17" s="21"/>
    </row>
    <row r="18" ht="15.75" customHeight="1">
      <c r="A18" s="21" t="str">
        <f>IFERROR(__xludf.DUMMYFUNCTION("""COMPUTED_VALUE"""),"GeneralLedger")</f>
        <v>GeneralLedger</v>
      </c>
      <c r="B18" s="21" t="str">
        <f>IFERROR(__xludf.DUMMYFUNCTION("""COMPUTED_VALUE"""),"VerifyActivity")</f>
        <v>VerifyActivity</v>
      </c>
      <c r="C18" s="21" t="str">
        <f>IFERROR(__xludf.DUMMYFUNCTION("""COMPUTED_VALUE"""),"1o2rCg2FuoAOT5Pl8i4iFP_TwpPm0UB1dd49GbpkytfM")</f>
        <v>1o2rCg2FuoAOT5Pl8i4iFP_TwpPm0UB1dd49GbpkytfM</v>
      </c>
      <c r="D18" s="21"/>
      <c r="E18" s="21"/>
      <c r="F18" s="21"/>
    </row>
    <row r="19" ht="15.75" customHeight="1">
      <c r="A19" s="21" t="str">
        <f>IFERROR(__xludf.DUMMYFUNCTION("""COMPUTED_VALUE"""),"GeneralLedger")</f>
        <v>GeneralLedger</v>
      </c>
      <c r="B19" s="21" t="str">
        <f>IFERROR(__xludf.DUMMYFUNCTION("""COMPUTED_VALUE"""),"VerifyTradingTransaction")</f>
        <v>VerifyTradingTransaction</v>
      </c>
      <c r="C19" s="21" t="str">
        <f>IFERROR(__xludf.DUMMYFUNCTION("""COMPUTED_VALUE"""),"1_v2niCJ9VGNvgEBpvz030BFqEISSUhYRHyWcAJAn_Eg")</f>
        <v>1_v2niCJ9VGNvgEBpvz030BFqEISSUhYRHyWcAJAn_Eg</v>
      </c>
      <c r="D19" s="21"/>
      <c r="E19" s="21"/>
      <c r="F19" s="21"/>
    </row>
    <row r="20" ht="15.75" customHeight="1">
      <c r="A20" s="21" t="str">
        <f>IFERROR(__xludf.DUMMYFUNCTION("""COMPUTED_VALUE"""),"GeneralLedger")</f>
        <v>GeneralLedger</v>
      </c>
      <c r="B20" s="21" t="str">
        <f>IFERROR(__xludf.DUMMYFUNCTION("""COMPUTED_VALUE"""),"VerifyRevaluationData")</f>
        <v>VerifyRevaluationData</v>
      </c>
      <c r="C20" s="21" t="str">
        <f>IFERROR(__xludf.DUMMYFUNCTION("""COMPUTED_VALUE"""),"1hsRs1-LY0akTrMe91ArnbLtk6GUy_bKxVwMYCaiMs-8")</f>
        <v>1hsRs1-LY0akTrMe91ArnbLtk6GUy_bKxVwMYCaiMs-8</v>
      </c>
      <c r="D20" s="21"/>
      <c r="E20" s="21"/>
      <c r="F20" s="21"/>
    </row>
    <row r="21" ht="15.75" customHeight="1">
      <c r="A21" s="21" t="str">
        <f>IFERROR(__xludf.DUMMYFUNCTION("""COMPUTED_VALUE"""),"CorporateAction")</f>
        <v>CorporateAction</v>
      </c>
      <c r="B21" s="21" t="str">
        <f>IFERROR(__xludf.DUMMYFUNCTION("""COMPUTED_VALUE"""),"CorporateAction")</f>
        <v>CorporateAction</v>
      </c>
      <c r="C21" s="21" t="str">
        <f>IFERROR(__xludf.DUMMYFUNCTION("""COMPUTED_VALUE"""),"14rwUHTx4auE_hf60WN-tNOx3atNg7QGvErWNwVQIRqE")</f>
        <v>14rwUHTx4auE_hf60WN-tNOx3atNg7QGvErWNwVQIRqE</v>
      </c>
      <c r="D21" s="21"/>
      <c r="E21" s="21"/>
      <c r="F21" s="21"/>
    </row>
    <row r="22" ht="15.75" customHeight="1">
      <c r="A22" s="21" t="str">
        <f>IFERROR(__xludf.DUMMYFUNCTION("""COMPUTED_VALUE"""),"CreateTransaction")</f>
        <v>CreateTransaction</v>
      </c>
      <c r="B22" s="21" t="str">
        <f>IFERROR(__xludf.DUMMYFUNCTION("""COMPUTED_VALUE"""),"CreateTransaction")</f>
        <v>CreateTransaction</v>
      </c>
      <c r="C22" s="21" t="str">
        <f>IFERROR(__xludf.DUMMYFUNCTION("""COMPUTED_VALUE"""),"1amshi8Ns36lsDpccBK0y_9bL_pQ2rHdGNYypcgzceUg")</f>
        <v>1amshi8Ns36lsDpccBK0y_9bL_pQ2rHdGNYypcgzceUg</v>
      </c>
      <c r="D22" s="21"/>
      <c r="E22" s="21"/>
      <c r="F22" s="21"/>
    </row>
    <row r="23" ht="15.75" customHeight="1">
      <c r="A23" s="21" t="str">
        <f>IFERROR(__xludf.DUMMYFUNCTION("""COMPUTED_VALUE"""),"DailyValuation")</f>
        <v>DailyValuation</v>
      </c>
      <c r="B23" s="21" t="str">
        <f>IFERROR(__xludf.DUMMYFUNCTION("""COMPUTED_VALUE"""),"UpdateBeta")</f>
        <v>UpdateBeta</v>
      </c>
      <c r="C23" s="21" t="str">
        <f>IFERROR(__xludf.DUMMYFUNCTION("""COMPUTED_VALUE"""),"1YKttwHsdIskNDoo0Sl7HF2DWikROW-KA05qfT3GLIyI")</f>
        <v>1YKttwHsdIskNDoo0Sl7HF2DWikROW-KA05qfT3GLIyI</v>
      </c>
      <c r="D23" s="21"/>
      <c r="E23" s="21"/>
      <c r="F23" s="21"/>
    </row>
    <row r="24" ht="15.75" customHeight="1">
      <c r="A24" s="21" t="str">
        <f>IFERROR(__xludf.DUMMYFUNCTION("""COMPUTED_VALUE"""),"DailyValuation")</f>
        <v>DailyValuation</v>
      </c>
      <c r="B24" s="21" t="str">
        <f>IFERROR(__xludf.DUMMYFUNCTION("""COMPUTED_VALUE"""),"UpdateDailyCash")</f>
        <v>UpdateDailyCash</v>
      </c>
      <c r="C24" s="21" t="str">
        <f>IFERROR(__xludf.DUMMYFUNCTION("""COMPUTED_VALUE"""),"1YJ2rTp-OqQTGjubvs_cBC6fl0l94pyHI2eaLJzbddS4")</f>
        <v>1YJ2rTp-OqQTGjubvs_cBC6fl0l94pyHI2eaLJzbddS4</v>
      </c>
      <c r="D24" s="21"/>
      <c r="E24" s="21"/>
      <c r="F24" s="21"/>
    </row>
    <row r="25" ht="15.75" customHeight="1">
      <c r="A25" s="21" t="str">
        <f>IFERROR(__xludf.DUMMYFUNCTION("""COMPUTED_VALUE"""),"DailyValuation")</f>
        <v>DailyValuation</v>
      </c>
      <c r="B25" s="21" t="str">
        <f>IFERROR(__xludf.DUMMYFUNCTION("""COMPUTED_VALUE"""),"UpdateForexConversion")</f>
        <v>UpdateForexConversion</v>
      </c>
      <c r="C25" s="21" t="str">
        <f>IFERROR(__xludf.DUMMYFUNCTION("""COMPUTED_VALUE"""),"1mLyEfNTVFd65cnE6GfgCRD6TdpKg1BgqNIDjHCFzyO4")</f>
        <v>1mLyEfNTVFd65cnE6GfgCRD6TdpKg1BgqNIDjHCFzyO4</v>
      </c>
      <c r="D25" s="21"/>
      <c r="E25" s="21"/>
      <c r="F25" s="21"/>
    </row>
    <row r="26" ht="15.75" customHeight="1">
      <c r="A26" s="21" t="str">
        <f>IFERROR(__xludf.DUMMYFUNCTION("""COMPUTED_VALUE"""),"DailyValuation")</f>
        <v>DailyValuation</v>
      </c>
      <c r="B26" s="21" t="str">
        <f>IFERROR(__xludf.DUMMYFUNCTION("""COMPUTED_VALUE"""),"UpdateMarkPrice")</f>
        <v>UpdateMarkPrice</v>
      </c>
      <c r="C26" s="21" t="str">
        <f>IFERROR(__xludf.DUMMYFUNCTION("""COMPUTED_VALUE"""),"1M8d9TyOhMnA65NSIYvS6dR68SH5RL6oKahd6uz7yp6c")</f>
        <v>1M8d9TyOhMnA65NSIYvS6dR68SH5RL6oKahd6uz7yp6c</v>
      </c>
      <c r="D26" s="21"/>
      <c r="E26" s="21"/>
      <c r="F26" s="21"/>
    </row>
    <row r="27" ht="15.75" customHeight="1">
      <c r="A27" s="21" t="str">
        <f>IFERROR(__xludf.DUMMYFUNCTION("""COMPUTED_VALUE"""),"Import")</f>
        <v>Import</v>
      </c>
      <c r="B27" s="21" t="str">
        <f>IFERROR(__xludf.DUMMYFUNCTION("""COMPUTED_VALUE"""),"Import")</f>
        <v>Import</v>
      </c>
      <c r="C27" s="21" t="str">
        <f>IFERROR(__xludf.DUMMYFUNCTION("""COMPUTED_VALUE"""),"1Q5uOVYo1NMRks6hQRJuV8XWMPb6VFEAbSzpgP1dot1I")</f>
        <v>1Q5uOVYo1NMRks6hQRJuV8XWMPb6VFEAbSzpgP1dot1I</v>
      </c>
      <c r="D27" s="21"/>
      <c r="E27" s="21"/>
      <c r="F27" s="21"/>
    </row>
    <row r="28" ht="15.75" customHeight="1">
      <c r="A28" s="21" t="str">
        <f>IFERROR(__xludf.DUMMYFUNCTION("""COMPUTED_VALUE"""),"PortfolioManagement")</f>
        <v>PortfolioManagement</v>
      </c>
      <c r="B28" s="21" t="str">
        <f>IFERROR(__xludf.DUMMYFUNCTION("""COMPUTED_VALUE"""),"CheckDashboardPM")</f>
        <v>CheckDashboardPM</v>
      </c>
      <c r="C28" s="21" t="str">
        <f>IFERROR(__xludf.DUMMYFUNCTION("""COMPUTED_VALUE"""),"1iqfUyYqyebXIeNBGljH7-T8whBcywTlkBBU3dBZV06s")</f>
        <v>1iqfUyYqyebXIeNBGljH7-T8whBcywTlkBBU3dBZV06s</v>
      </c>
      <c r="D28" s="21"/>
      <c r="E28" s="21"/>
      <c r="F28" s="21"/>
    </row>
    <row r="29" ht="15.75" customHeight="1">
      <c r="A29" s="21" t="str">
        <f>IFERROR(__xludf.DUMMYFUNCTION("""COMPUTED_VALUE"""),"PortfolioManagement")</f>
        <v>PortfolioManagement</v>
      </c>
      <c r="B29" s="21" t="str">
        <f>IFERROR(__xludf.DUMMYFUNCTION("""COMPUTED_VALUE"""),"CheckPortfolioManagement")</f>
        <v>CheckPortfolioManagement</v>
      </c>
      <c r="C29" s="21" t="str">
        <f>IFERROR(__xludf.DUMMYFUNCTION("""COMPUTED_VALUE"""),"1u0XMlZJy_Slp7uXMwirinW7StOOdTcWD-D8V07sO0VA")</f>
        <v>1u0XMlZJy_Slp7uXMwirinW7StOOdTcWD-D8V07sO0VA</v>
      </c>
      <c r="D29" s="21"/>
      <c r="E29" s="21"/>
      <c r="F29" s="21"/>
    </row>
    <row r="30" ht="15.75" customHeight="1">
      <c r="A30" s="21" t="str">
        <f>IFERROR(__xludf.DUMMYFUNCTION("""COMPUTED_VALUE"""),"PricingInput")</f>
        <v>PricingInput</v>
      </c>
      <c r="B30" s="21" t="str">
        <f>IFERROR(__xludf.DUMMYFUNCTION("""COMPUTED_VALUE"""),"PricingInput")</f>
        <v>PricingInput</v>
      </c>
      <c r="C30" s="21" t="str">
        <f>IFERROR(__xludf.DUMMYFUNCTION("""COMPUTED_VALUE"""),"1mh3Z5PifhJ3yzX8TPeoc3H3nteNiA0V2tWFse0rVChE")</f>
        <v>1mh3Z5PifhJ3yzX8TPeoc3H3nteNiA0V2tWFse0rVChE</v>
      </c>
      <c r="D30" s="21"/>
      <c r="E30" s="21"/>
      <c r="F30" s="21"/>
    </row>
    <row r="31" ht="15.75" customHeight="1">
      <c r="A31" s="21" t="str">
        <f>IFERROR(__xludf.DUMMYFUNCTION("""COMPUTED_VALUE"""),"PricingInput")</f>
        <v>PricingInput</v>
      </c>
      <c r="B31" s="21" t="str">
        <f>IFERROR(__xludf.DUMMYFUNCTION("""COMPUTED_VALUE"""),"UpdateSharesOutstanding")</f>
        <v>UpdateSharesOutstanding</v>
      </c>
      <c r="C31" s="21" t="str">
        <f>IFERROR(__xludf.DUMMYFUNCTION("""COMPUTED_VALUE"""),"1vmZ6v1OyZ8SSi8bqqjK3ap3KtM_yPA_SEcIQgYiRInY")</f>
        <v>1vmZ6v1OyZ8SSi8bqqjK3ap3KtM_yPA_SEcIQgYiRInY</v>
      </c>
      <c r="D31" s="21"/>
      <c r="E31" s="21"/>
      <c r="F31" s="21"/>
    </row>
    <row r="32" ht="15.75" customHeight="1">
      <c r="A32" s="21" t="str">
        <f>IFERROR(__xludf.DUMMYFUNCTION("""COMPUTED_VALUE"""),"SymbolLookup")</f>
        <v>SymbolLookup</v>
      </c>
      <c r="B32" s="21" t="str">
        <f>IFERROR(__xludf.DUMMYFUNCTION("""COMPUTED_VALUE"""),"VerifySymbolLookUp")</f>
        <v>VerifySymbolLookUp</v>
      </c>
      <c r="C32" s="21" t="str">
        <f>IFERROR(__xludf.DUMMYFUNCTION("""COMPUTED_VALUE"""),"1OiI1Pi_JAFOFi8ByMaD3_qqEXSv6yQMo_u6aGTozbl8")</f>
        <v>1OiI1Pi_JAFOFi8ByMaD3_qqEXSv6yQMo_u6aGTozbl8</v>
      </c>
      <c r="D32" s="21"/>
      <c r="E32" s="21"/>
      <c r="F32" s="21"/>
    </row>
    <row r="33" ht="15.75" customHeight="1">
      <c r="A33" s="21" t="str">
        <f>IFERROR(__xludf.DUMMYFUNCTION("""COMPUTED_VALUE"""),"SymbolLookup")</f>
        <v>SymbolLookup</v>
      </c>
      <c r="B33" s="21" t="str">
        <f>IFERROR(__xludf.DUMMYFUNCTION("""COMPUTED_VALUE"""),"SymbolLookupFromTT")</f>
        <v>SymbolLookupFromTT</v>
      </c>
      <c r="C33" s="21" t="str">
        <f>IFERROR(__xludf.DUMMYFUNCTION("""COMPUTED_VALUE"""),"1ubfvE9sHq5KpJ9NazeH96CrVMJqAuol5Ya9GPjxWrgI")</f>
        <v>1ubfvE9sHq5KpJ9NazeH96CrVMJqAuol5Ya9GPjxWrgI</v>
      </c>
      <c r="D33" s="21"/>
      <c r="E33" s="21"/>
      <c r="F33" s="21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2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24" t="s">
        <v>13</v>
      </c>
      <c r="B1" s="3"/>
      <c r="C1" s="4"/>
    </row>
    <row r="2" ht="15.75" customHeight="1">
      <c r="A2" s="6"/>
      <c r="B2" s="6"/>
      <c r="C2" s="6"/>
    </row>
    <row r="3" ht="15.75" customHeight="1">
      <c r="A3" s="9" t="s">
        <v>14</v>
      </c>
      <c r="B3" s="19" t="s">
        <v>15</v>
      </c>
      <c r="C3" s="6"/>
    </row>
    <row r="4" ht="15.75" customHeight="1">
      <c r="A4" s="25" t="s">
        <v>16</v>
      </c>
      <c r="B4" s="19" t="s">
        <v>17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18</v>
      </c>
      <c r="D3" s="9" t="s">
        <v>3</v>
      </c>
      <c r="E3" s="10" t="s">
        <v>19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IFERROR(__xludf.DUMMYFUNCTION("IF(C3="""","""",Transpose(IMPORTRANGE('_Settings'!$B$3,C3&amp;""!A4:A1000"")))"),"ReplaceFillsOnBlotter")</f>
        <v>ReplaceFillsOnBlotter</v>
      </c>
      <c r="C4" s="13" t="str">
        <f>IFERROR(__xludf.DUMMYFUNCTION("""COMPUTED_VALUE"""),"CheckBlotter")</f>
        <v>CheckBlotter</v>
      </c>
      <c r="D4" s="13" t="str">
        <f>IFERROR(__xludf.DUMMYFUNCTION("""COMPUTED_VALUE"""),"BlotterFunctionalities")</f>
        <v>BlotterFunctionalities</v>
      </c>
      <c r="E4" s="13" t="str">
        <f>IFERROR(__xludf.DUMMYFUNCTION("""COMPUTED_VALUE"""),"TransferToUserWorkingSubs")</f>
        <v>TransferToUserWorkingSubs</v>
      </c>
      <c r="F4" s="13" t="str">
        <f>IFERROR(__xludf.DUMMYFUNCTION("""COMPUTED_VALUE"""),"CancelWorkingSubs")</f>
        <v>CancelWorkingSubs</v>
      </c>
      <c r="G4" s="13" t="str">
        <f>IFERROR(__xludf.DUMMYFUNCTION("""COMPUTED_VALUE"""),"ReplaceWorkingSubs")</f>
        <v>ReplaceWorkingSubs</v>
      </c>
      <c r="H4" s="13" t="str">
        <f>IFERROR(__xludf.DUMMYFUNCTION("""COMPUTED_VALUE"""),"ViewAllocationDetailsWorkingSub")</f>
        <v>ViewAllocationDetailsWorkingSub</v>
      </c>
      <c r="I4" s="13" t="str">
        <f>IFERROR(__xludf.DUMMYFUNCTION("""COMPUTED_VALUE"""),"SelectTradeOnOrderGrid")</f>
        <v>SelectTradeOnOrderGrid</v>
      </c>
      <c r="J4" s="13" t="str">
        <f>IFERROR(__xludf.DUMMYFUNCTION("""COMPUTED_VALUE"""),"ShowDetailsForAlgoTradeSubOrder")</f>
        <v>ShowDetailsForAlgoTradeSubOrder</v>
      </c>
      <c r="K4" s="13" t="str">
        <f>IFERROR(__xludf.DUMMYFUNCTION("""COMPUTED_VALUE"""),"SelectTradeOrderBlotter")</f>
        <v>SelectTradeOrderBlotter</v>
      </c>
      <c r="L4" s="13" t="str">
        <f>IFERROR(__xludf.DUMMYFUNCTION("""COMPUTED_VALUE"""),"AddFillsWorkingSubs")</f>
        <v>AddFillsWorkingSubs</v>
      </c>
      <c r="M4" s="13" t="str">
        <f>IFERROR(__xludf.DUMMYFUNCTION("""COMPUTED_VALUE"""),"EditAddFillsDetails")</f>
        <v>EditAddFillsDetails</v>
      </c>
      <c r="N4" s="13" t="str">
        <f>IFERROR(__xludf.DUMMYFUNCTION("""COMPUTED_VALUE"""),"ShowDetailsForAlgoTradeWorkingSubs")</f>
        <v>ShowDetailsForAlgoTradeWorkingSubs</v>
      </c>
      <c r="O4" s="13" t="str">
        <f>IFERROR(__xludf.DUMMYFUNCTION("""COMPUTED_VALUE"""),"VerifyWorkingSubs")</f>
        <v>VerifyWorkingSubs</v>
      </c>
      <c r="P4" s="14" t="str">
        <f>IFERROR(__xludf.DUMMYFUNCTION("""COMPUTED_VALUE"""),"TransferToUserOrder")</f>
        <v>TransferToUserOrder</v>
      </c>
      <c r="Q4" s="14" t="str">
        <f>IFERROR(__xludf.DUMMYFUNCTION("""COMPUTED_VALUE"""),"EditOrder")</f>
        <v>EditOrder</v>
      </c>
      <c r="R4" s="14" t="str">
        <f>IFERROR(__xludf.DUMMYFUNCTION("""COMPUTED_VALUE"""),"SelectTradeSubOrderBlotter")</f>
        <v>SelectTradeSubOrderBlotter</v>
      </c>
      <c r="S4" s="14" t="str">
        <f>IFERROR(__xludf.DUMMYFUNCTION("""COMPUTED_VALUE"""),"VerifyOrder")</f>
        <v>VerifyOrder</v>
      </c>
      <c r="T4" s="14" t="str">
        <f>IFERROR(__xludf.DUMMYFUNCTION("""COMPUTED_VALUE"""),"VerifySubOrder")</f>
        <v>VerifySubOrder</v>
      </c>
      <c r="U4" s="14" t="str">
        <f>IFERROR(__xludf.DUMMYFUNCTION("""COMPUTED_VALUE"""),"RemoveSelectedOrders")</f>
        <v>RemoveSelectedOrders</v>
      </c>
      <c r="V4" s="14" t="str">
        <f>IFERROR(__xludf.DUMMYFUNCTION("""COMPUTED_VALUE"""),"CancelAllSelectedSubs")</f>
        <v>CancelAllSelectedSubs</v>
      </c>
      <c r="W4" s="14" t="str">
        <f>IFERROR(__xludf.DUMMYFUNCTION("""COMPUTED_VALUE"""),"MultiTradingTicket")</f>
        <v>MultiTradingTicket</v>
      </c>
      <c r="X4" s="14" t="str">
        <f>IFERROR(__xludf.DUMMYFUNCTION("""COMPUTED_VALUE"""),"AuditTrailOrderBlotter")</f>
        <v>AuditTrailOrderBlotter</v>
      </c>
      <c r="Y4" s="14" t="str">
        <f>IFERROR(__xludf.DUMMYFUNCTION("""COMPUTED_VALUE"""),"TradeNewSubOrder")</f>
        <v>TradeNewSubOrder</v>
      </c>
      <c r="Z4" s="14" t="str">
        <f>IFERROR(__xludf.DUMMYFUNCTION("""COMPUTED_VALUE"""),"RemoveStageOrder")</f>
        <v>RemoveStageOrder</v>
      </c>
      <c r="AA4" s="14" t="str">
        <f>IFERROR(__xludf.DUMMYFUNCTION("""COMPUTED_VALUE"""),"TransferToUserSubOrder")</f>
        <v>TransferToUserSubOrder</v>
      </c>
      <c r="AB4" s="14" t="str">
        <f>IFERROR(__xludf.DUMMYFUNCTION("""COMPUTED_VALUE"""),"DetailsForAlgoTradeOrder")</f>
        <v>DetailsForAlgoTradeOrder</v>
      </c>
      <c r="AC4" s="14" t="str">
        <f>IFERROR(__xludf.DUMMYFUNCTION("""COMPUTED_VALUE"""),"AddFillsSubOrder")</f>
        <v>AddFillsSubOrder</v>
      </c>
      <c r="AD4" s="14" t="str">
        <f>IFERROR(__xludf.DUMMYFUNCTION("""COMPUTED_VALUE"""),"ViewAllocationDetailsSubOrder")</f>
        <v>ViewAllocationDetailsSubOrder</v>
      </c>
      <c r="AE4" s="14" t="str">
        <f>IFERROR(__xludf.DUMMYFUNCTION("""COMPUTED_VALUE"""),"CancelAllSubs")</f>
        <v>CancelAllSubs</v>
      </c>
      <c r="AF4" s="14" t="str">
        <f>IFERROR(__xludf.DUMMYFUNCTION("""COMPUTED_VALUE"""),"CancelSubOrder")</f>
        <v>CancelSubOrder</v>
      </c>
      <c r="AG4" s="14" t="str">
        <f>IFERROR(__xludf.DUMMYFUNCTION("""COMPUTED_VALUE"""),"EditStageOrder")</f>
        <v>EditStageOrder</v>
      </c>
      <c r="AH4" s="14" t="str">
        <f>IFERROR(__xludf.DUMMYFUNCTION("""COMPUTED_VALUE"""),"ReplaceSubOrder")</f>
        <v>ReplaceSubOrder</v>
      </c>
      <c r="AI4" s="14" t="str">
        <f>IFERROR(__xludf.DUMMYFUNCTION("""COMPUTED_VALUE"""),"SelectTradeWorkingSubsBlotter")</f>
        <v>SelectTradeWorkingSubsBlotter</v>
      </c>
      <c r="AJ4" s="14" t="str">
        <f>IFERROR(__xludf.DUMMYFUNCTION("""COMPUTED_VALUE"""),"VerifyAlgoDetails")</f>
        <v>VerifyAlgoDetails</v>
      </c>
      <c r="AK4" s="14" t="str">
        <f>IFERROR(__xludf.DUMMYFUNCTION("""COMPUTED_VALUE"""),"VerifyTransferToUserOrder")</f>
        <v>VerifyTransferToUserOrder</v>
      </c>
      <c r="AL4" s="14" t="str">
        <f>IFERROR(__xludf.DUMMYFUNCTION("""COMPUTED_VALUE"""),"VerifyTransferToUserSubOdr")</f>
        <v>VerifyTransferToUserSubOdr</v>
      </c>
      <c r="AM4" s="14" t="str">
        <f>IFERROR(__xludf.DUMMYFUNCTION("""COMPUTED_VALUE"""),"VerifyTransferToUserWorkSub")</f>
        <v>VerifyTransferToUserWorkSub</v>
      </c>
      <c r="AN4" s="14" t="str">
        <f>IFERROR(__xludf.DUMMYFUNCTION("""COMPUTED_VALUE"""),"SaveLayoutOrderGrid")</f>
        <v>SaveLayoutOrderGrid</v>
      </c>
      <c r="AO4" s="14" t="str">
        <f>IFERROR(__xludf.DUMMYFUNCTION("""COMPUTED_VALUE"""),"ReplaceStageOrder")</f>
        <v>ReplaceStageOrder</v>
      </c>
      <c r="AP4" s="14" t="str">
        <f>IFERROR(__xludf.DUMMYFUNCTION("""COMPUTED_VALUE"""),"MultiTradingTicketFromBlotter")</f>
        <v>MultiTradingTicketFromBlotter</v>
      </c>
      <c r="AQ4" s="14" t="str">
        <f>IFERROR(__xludf.DUMMYFUNCTION("""COMPUTED_VALUE"""),"VerifyViewAllocationDetails")</f>
        <v>VerifyViewAllocationDetails</v>
      </c>
      <c r="AR4" s="14" t="str">
        <f>IFERROR(__xludf.DUMMYFUNCTION("""COMPUTED_VALUE"""),"GoToAllocation")</f>
        <v>GoToAllocation</v>
      </c>
      <c r="AS4" s="14" t="str">
        <f>IFERROR(__xludf.DUMMYFUNCTION("""COMPUTED_VALUE"""),"VerifyRollover")</f>
        <v>VerifyRollover</v>
      </c>
      <c r="AT4" s="14" t="str">
        <f>IFERROR(__xludf.DUMMYFUNCTION("""COMPUTED_VALUE"""),"VerifySubOrderAfterRollover")</f>
        <v>VerifySubOrderAfterRollover</v>
      </c>
      <c r="AU4" s="14" t="str">
        <f>IFERROR(__xludf.DUMMYFUNCTION("""COMPUTED_VALUE"""),"OpenBlotter")</f>
        <v>OpenBlotter</v>
      </c>
      <c r="AV4" s="14" t="str">
        <f>IFERROR(__xludf.DUMMYFUNCTION("""COMPUTED_VALUE"""),"OpenBlotter")</f>
        <v>OpenBlotter</v>
      </c>
      <c r="AW4" s="14" t="str">
        <f>IFERROR(__xludf.DUMMYFUNCTION("""COMPUTED_VALUE"""),"RemoveManualExecution")</f>
        <v>RemoveManualExecution</v>
      </c>
      <c r="AX4" s="14" t="str">
        <f>IFERROR(__xludf.DUMMYFUNCTION("""COMPUTED_VALUE"""),"RemoveExecutionWorkingSubs")</f>
        <v>RemoveExecutionWorkingSubs</v>
      </c>
      <c r="AY4" s="14" t="str">
        <f>IFERROR(__xludf.DUMMYFUNCTION("""COMPUTED_VALUE"""),"GetExecutionReportOrders")</f>
        <v>GetExecutionReportOrders</v>
      </c>
      <c r="AZ4" s="14" t="str">
        <f>IFERROR(__xludf.DUMMYFUNCTION("""COMPUTED_VALUE"""),"GetExecutionReportDetails")</f>
        <v>GetExecutionReportDetails</v>
      </c>
      <c r="BA4" s="14" t="str">
        <f>IFERROR(__xludf.DUMMYFUNCTION("""COMPUTED_VALUE"""),"ExportExecutionReportData")</f>
        <v>ExportExecutionReportData</v>
      </c>
      <c r="BB4" s="14" t="str">
        <f>IFERROR(__xludf.DUMMYFUNCTION("""COMPUTED_VALUE"""),"VerifyExecutionReport")</f>
        <v>VerifyExecutionReport</v>
      </c>
      <c r="BC4" s="14" t="str">
        <f>IFERROR(__xludf.DUMMYFUNCTION("""COMPUTED_VALUE"""),"BlotterExecutionReportSnapshot")</f>
        <v>BlotterExecutionReportSnapshot</v>
      </c>
      <c r="BD4" s="14" t="str">
        <f>IFERROR(__xludf.DUMMYFUNCTION("""COMPUTED_VALUE"""),"MultipleTradeTransferToUser")</f>
        <v>MultipleTradeTransferToUser</v>
      </c>
      <c r="BE4" s="14" t="str">
        <f>IFERROR(__xludf.DUMMYFUNCTION("""COMPUTED_VALUE"""),"ReloadOrderFromBlotter")</f>
        <v>ReloadOrderFromBlotter</v>
      </c>
      <c r="BF4" s="14" t="str">
        <f>IFERROR(__xludf.DUMMYFUNCTION("""COMPUTED_VALUE"""),"ReloadOrderFromSubOrder")</f>
        <v>ReloadOrderFromSubOrder</v>
      </c>
      <c r="BG4" s="14" t="str">
        <f>IFERROR(__xludf.DUMMYFUNCTION("""COMPUTED_VALUE"""),"ReloadOrderFromWorkingSubs")</f>
        <v>ReloadOrderFromWorkingSubs</v>
      </c>
      <c r="BH4" s="14" t="str">
        <f>IFERROR(__xludf.DUMMYFUNCTION("""COMPUTED_VALUE"""),"SelectFills")</f>
        <v>SelectFills</v>
      </c>
      <c r="BI4" s="14" t="str">
        <f>IFERROR(__xludf.DUMMYFUNCTION("""COMPUTED_VALUE"""),"ModifyFills")</f>
        <v>ModifyFills</v>
      </c>
      <c r="BJ4" s="14" t="str">
        <f>IFERROR(__xludf.DUMMYFUNCTION("""COMPUTED_VALUE"""),"AddTab")</f>
        <v>AddTab</v>
      </c>
      <c r="BK4" s="14" t="str">
        <f>IFERROR(__xludf.DUMMYFUNCTION("""COMPUTED_VALUE"""),"RemoveTab")</f>
        <v>RemoveTab</v>
      </c>
      <c r="BL4" s="14" t="str">
        <f>IFERROR(__xludf.DUMMYFUNCTION("""COMPUTED_VALUE"""),"SelectCustomTab")</f>
        <v>SelectCustomTab</v>
      </c>
      <c r="BM4" s="14" t="str">
        <f>IFERROR(__xludf.DUMMYFUNCTION("""COMPUTED_VALUE"""),"VerifyOrderCustomTab")</f>
        <v>VerifyOrderCustomTab</v>
      </c>
      <c r="BN4" s="14" t="str">
        <f>IFERROR(__xludf.DUMMYFUNCTION("""COMPUTED_VALUE"""),"VerifySubOrderCustomTab")</f>
        <v>VerifySubOrderCustomTab</v>
      </c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 t="str">
        <f>IFERROR(__xludf.DUMMYFUNCTION("TRANSPOSE(IMPORTRANGE(VLOOKUP($E$3,IMPORTRANGE('_Settings'!$B$3,$C$3&amp;""!A4:B1000""),2,FALSE),$G$3&amp;""!A4:A1000""))"),"")</f>
        <v/>
      </c>
      <c r="B5" s="16" t="str">
        <f>IFERROR(__xludf.DUMMYFUNCTION("""COMPUTED_VALUE"""),"Transaction Time")</f>
        <v>Transaction Time</v>
      </c>
      <c r="C5" s="16" t="str">
        <f>IFERROR(__xludf.DUMMYFUNCTION("""COMPUTED_VALUE"""),"Algo")</f>
        <v>Algo</v>
      </c>
      <c r="D5" s="16" t="str">
        <f>IFERROR(__xludf.DUMMYFUNCTION("""COMPUTED_VALUE"""),"Avg Fill Price (Base)")</f>
        <v>Avg Fill Price (Base)</v>
      </c>
      <c r="E5" s="16" t="str">
        <f>IFERROR(__xludf.DUMMYFUNCTION("""COMPUTED_VALUE"""),"Bloomberg Symbol")</f>
        <v>Bloomberg Symbol</v>
      </c>
      <c r="F5" s="17" t="str">
        <f>IFERROR(__xludf.DUMMYFUNCTION("""COMPUTED_VALUE"""),"Limit Price")</f>
        <v>Limit Price</v>
      </c>
      <c r="G5" s="16" t="str">
        <f>IFERROR(__xludf.DUMMYFUNCTION("""COMPUTED_VALUE"""),"Working Qty")</f>
        <v>Working Qty</v>
      </c>
      <c r="H5" s="16" t="str">
        <f>IFERROR(__xludf.DUMMYFUNCTION("""COMPUTED_VALUE"""),"Venue")</f>
        <v>Venue</v>
      </c>
      <c r="I5" s="16" t="str">
        <f>IFERROR(__xludf.DUMMYFUNCTION("""COMPUTED_VALUE"""),"User")</f>
        <v>User</v>
      </c>
      <c r="J5" s="16" t="str">
        <f>IFERROR(__xludf.DUMMYFUNCTION("""COMPUTED_VALUE"""),"Underlying Symbol")</f>
        <v>Underlying Symbol</v>
      </c>
      <c r="K5" s="16" t="str">
        <f>IFERROR(__xludf.DUMMYFUNCTION("""COMPUTED_VALUE"""),"Underlying Country")</f>
        <v>Underlying Country</v>
      </c>
      <c r="L5" s="16" t="str">
        <f>IFERROR(__xludf.DUMMYFUNCTION("""COMPUTED_VALUE"""),"Trader")</f>
        <v>Trader</v>
      </c>
      <c r="M5" s="16" t="str">
        <f>IFERROR(__xludf.DUMMYFUNCTION("""COMPUTED_VALUE"""),"Trade Attribute 6")</f>
        <v>Trade Attribute 6</v>
      </c>
      <c r="N5" s="16" t="str">
        <f>IFERROR(__xludf.DUMMYFUNCTION("""COMPUTED_VALUE"""),"Trade Attribute 5")</f>
        <v>Trade Attribute 5</v>
      </c>
      <c r="O5" s="16" t="str">
        <f>IFERROR(__xludf.DUMMYFUNCTION("""COMPUTED_VALUE"""),"Trade Attribute 4")</f>
        <v>Trade Attribute 4</v>
      </c>
      <c r="P5" s="16" t="str">
        <f>IFERROR(__xludf.DUMMYFUNCTION("""COMPUTED_VALUE"""),"Trade Attribute 3")</f>
        <v>Trade Attribute 3</v>
      </c>
      <c r="Q5" s="16" t="str">
        <f>IFERROR(__xludf.DUMMYFUNCTION("""COMPUTED_VALUE"""),"Trade Attribute 1")</f>
        <v>Trade Attribute 1</v>
      </c>
      <c r="R5" s="16" t="str">
        <f>IFERROR(__xludf.DUMMYFUNCTION("""COMPUTED_VALUE"""),"Trade Attribute 2")</f>
        <v>Trade Attribute 2</v>
      </c>
      <c r="S5" s="16" t="str">
        <f>IFERROR(__xludf.DUMMYFUNCTION("""COMPUTED_VALUE"""),"Strike Price")</f>
        <v>Strike Price</v>
      </c>
      <c r="T5" s="18" t="str">
        <f>IFERROR(__xludf.DUMMYFUNCTION("""COMPUTED_VALUE"""),"Stop Price")</f>
        <v>Stop Price</v>
      </c>
      <c r="U5" s="18" t="str">
        <f>IFERROR(__xludf.DUMMYFUNCTION("""COMPUTED_VALUE"""),"Settlement Currency")</f>
        <v>Settlement Currency</v>
      </c>
      <c r="V5" s="18" t="str">
        <f>IFERROR(__xludf.DUMMYFUNCTION("""COMPUTED_VALUE"""),"Put/Call")</f>
        <v>Put/Call</v>
      </c>
      <c r="W5" s="18" t="str">
        <f>IFERROR(__xludf.DUMMYFUNCTION("""COMPUTED_VALUE"""),"Process Date")</f>
        <v>Process Date</v>
      </c>
      <c r="X5" s="18" t="str">
        <f>IFERROR(__xludf.DUMMYFUNCTION("""COMPUTED_VALUE"""),"Peg")</f>
        <v>Peg</v>
      </c>
      <c r="Y5" s="18" t="str">
        <f>IFERROR(__xludf.DUMMYFUNCTION("""COMPUTED_VALUE"""),"ParentClOrderID")</f>
        <v>ParentClOrderID</v>
      </c>
      <c r="Z5" s="18" t="str">
        <f>IFERROR(__xludf.DUMMYFUNCTION("""COMPUTED_VALUE"""),"OrderID")</f>
        <v>OrderID</v>
      </c>
      <c r="AA5" s="18" t="str">
        <f>IFERROR(__xludf.DUMMYFUNCTION("""COMPUTED_VALUE"""),"Master Fund")</f>
        <v>Master Fund</v>
      </c>
      <c r="AB5" s="18" t="str">
        <f>IFERROR(__xludf.DUMMYFUNCTION("""COMPUTED_VALUE"""),"Last Shares")</f>
        <v>Last Shares</v>
      </c>
      <c r="AC5" s="18" t="str">
        <f>IFERROR(__xludf.DUMMYFUNCTION("""COMPUTED_VALUE"""),"Internal Comments")</f>
        <v>Internal Comments</v>
      </c>
      <c r="AD5" s="18" t="str">
        <f>IFERROR(__xludf.DUMMYFUNCTION("""COMPUTED_VALUE"""),"FX Rate")</f>
        <v>FX Rate</v>
      </c>
      <c r="AE5" s="18" t="str">
        <f>IFERROR(__xludf.DUMMYFUNCTION("""COMPUTED_VALUE"""),"Imported File Name")</f>
        <v>Imported File Name</v>
      </c>
      <c r="AF5" s="18" t="str">
        <f>IFERROR(__xludf.DUMMYFUNCTION("""COMPUTED_VALUE"""),"FX Conversion Operator")</f>
        <v>FX Conversion Operator</v>
      </c>
      <c r="AG5" s="18" t="str">
        <f>IFERROR(__xludf.DUMMYFUNCTION("""COMPUTED_VALUE"""),"Day Average Price")</f>
        <v>Day Average Price</v>
      </c>
      <c r="AH5" s="18" t="str">
        <f>IFERROR(__xludf.DUMMYFUNCTION("""COMPUTED_VALUE"""),"Asset Class")</f>
        <v>Asset Class</v>
      </c>
      <c r="AI5" s="18" t="str">
        <f>IFERROR(__xludf.DUMMYFUNCTION("""COMPUTED_VALUE"""),"Symbol")</f>
        <v>Symbol</v>
      </c>
      <c r="AJ5" s="18" t="str">
        <f>IFERROR(__xludf.DUMMYFUNCTION("""COMPUTED_VALUE"""),"Side")</f>
        <v>Side</v>
      </c>
      <c r="AK5" s="18" t="str">
        <f>IFERROR(__xludf.DUMMYFUNCTION("""COMPUTED_VALUE"""),"Status")</f>
        <v>Status</v>
      </c>
      <c r="AL5" s="18" t="str">
        <f>IFERROR(__xludf.DUMMYFUNCTION("""COMPUTED_VALUE"""),"Target Qty")</f>
        <v>Target Qty</v>
      </c>
      <c r="AM5" s="18" t="str">
        <f>IFERROR(__xludf.DUMMYFUNCTION("""COMPUTED_VALUE"""),"Total Executed Qty")</f>
        <v>Total Executed Qty</v>
      </c>
      <c r="AN5" s="18" t="str">
        <f>IFERROR(__xludf.DUMMYFUNCTION("""COMPUTED_VALUE"""),"% Executed")</f>
        <v>% Executed</v>
      </c>
      <c r="AO5" s="18" t="str">
        <f>IFERROR(__xludf.DUMMYFUNCTION("""COMPUTED_VALUE"""),"Day Executed Qty")</f>
        <v>Day Executed Qty</v>
      </c>
      <c r="AP5" s="18" t="str">
        <f>IFERROR(__xludf.DUMMYFUNCTION("""COMPUTED_VALUE"""),"Uncommitted Qty")</f>
        <v>Uncommitted Qty</v>
      </c>
      <c r="AQ5" s="18" t="str">
        <f>IFERROR(__xludf.DUMMYFUNCTION("""COMPUTED_VALUE"""),"Last Fill Price (Local)")</f>
        <v>Last Fill Price (Local)</v>
      </c>
      <c r="AR5" s="18" t="str">
        <f>IFERROR(__xludf.DUMMYFUNCTION("""COMPUTED_VALUE"""),"Avg Fill Price (Local)")</f>
        <v>Avg Fill Price (Local)</v>
      </c>
      <c r="AS5" s="18" t="str">
        <f>IFERROR(__xludf.DUMMYFUNCTION("""COMPUTED_VALUE"""),"Broker")</f>
        <v>Broker</v>
      </c>
      <c r="AT5" s="18" t="str">
        <f>IFERROR(__xludf.DUMMYFUNCTION("""COMPUTED_VALUE"""),"Account")</f>
        <v>Account</v>
      </c>
      <c r="AU5" s="18" t="str">
        <f>IFERROR(__xludf.DUMMYFUNCTION("""COMPUTED_VALUE"""),"Order Type")</f>
        <v>Order Type</v>
      </c>
      <c r="AV5" s="18" t="str">
        <f>IFERROR(__xludf.DUMMYFUNCTION("""COMPUTED_VALUE"""),"Principal Amount (Local)")</f>
        <v>Principal Amount (Local)</v>
      </c>
      <c r="AW5" s="18" t="str">
        <f>IFERROR(__xludf.DUMMYFUNCTION("""COMPUTED_VALUE"""),"Principal Amount (Base)")</f>
        <v>Principal Amount (Base)</v>
      </c>
      <c r="AX5" s="18" t="str">
        <f>IFERROR(__xludf.DUMMYFUNCTION("""COMPUTED_VALUE"""),"Allocation Scheme Name")</f>
        <v>Allocation Scheme Name</v>
      </c>
      <c r="AY5" s="18" t="str">
        <f>IFERROR(__xludf.DUMMYFUNCTION("""COMPUTED_VALUE"""),"Status (With Rollover)")</f>
        <v>Status (With Rollover)</v>
      </c>
      <c r="AZ5" s="18" t="str">
        <f>IFERROR(__xludf.DUMMYFUNCTION("""COMPUTED_VALUE"""),"Start of Day Qty")</f>
        <v>Start of Day Qty</v>
      </c>
      <c r="BA5" s="18" t="str">
        <f>IFERROR(__xludf.DUMMYFUNCTION("""COMPUTED_VALUE"""),"Leaves")</f>
        <v>Leaves</v>
      </c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/>
      <c r="C6" s="6"/>
      <c r="D6" s="19"/>
      <c r="E6" s="19"/>
      <c r="F6" s="6"/>
      <c r="G6" s="6"/>
      <c r="H6" s="6"/>
      <c r="I6" s="6"/>
      <c r="J6" s="6"/>
      <c r="K6" s="6"/>
      <c r="L6" s="6"/>
      <c r="M6" s="6"/>
      <c r="N6" s="6"/>
      <c r="O6" s="6"/>
      <c r="AI6" s="20" t="s">
        <v>7</v>
      </c>
      <c r="AJ6" s="20" t="s">
        <v>8</v>
      </c>
      <c r="AK6" s="20" t="s">
        <v>20</v>
      </c>
      <c r="AL6" s="20">
        <v>1000.0</v>
      </c>
      <c r="AM6" s="20">
        <v>600.0</v>
      </c>
      <c r="AN6" s="20">
        <v>60.0</v>
      </c>
      <c r="AP6" s="20">
        <v>400.0</v>
      </c>
      <c r="AQ6" s="20">
        <v>50.0</v>
      </c>
      <c r="AR6" s="20">
        <v>50.0</v>
      </c>
      <c r="AU6" s="20" t="s">
        <v>10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26" t="s">
        <v>21</v>
      </c>
      <c r="B1" s="3"/>
      <c r="C1" s="3"/>
      <c r="D1" s="3"/>
      <c r="E1" s="3"/>
      <c r="F1" s="4"/>
    </row>
    <row r="2">
      <c r="A2" s="21"/>
      <c r="B2" s="21"/>
      <c r="C2" s="21"/>
      <c r="D2" s="21"/>
      <c r="E2" s="21"/>
      <c r="F2" s="21"/>
    </row>
    <row r="3">
      <c r="A3" s="25" t="s">
        <v>1</v>
      </c>
      <c r="B3" s="27" t="s">
        <v>3</v>
      </c>
      <c r="C3" s="27" t="s">
        <v>22</v>
      </c>
      <c r="D3" s="28"/>
      <c r="E3" s="28"/>
      <c r="F3" s="28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23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IFERROR(__xludf.DUMMYFUNCTION("IF(C3="""","""",Transpose(IMPORTRANGE('_Settings'!$B$3,C3&amp;""!A4:A1000"")))"),"OpenTTFromPST")</f>
        <v>OpenTTFromPST</v>
      </c>
      <c r="C4" s="13" t="str">
        <f>IFERROR(__xludf.DUMMYFUNCTION("""COMPUTED_VALUE"""),"EnterDetailsOnTT")</f>
        <v>EnterDetailsOnTT</v>
      </c>
      <c r="D4" s="13" t="str">
        <f>IFERROR(__xludf.DUMMYFUNCTION("""COMPUTED_VALUE"""),"ValidateSymbolTT")</f>
        <v>ValidateSymbolTT</v>
      </c>
      <c r="E4" s="13" t="str">
        <f>IFERROR(__xludf.DUMMYFUNCTION("""COMPUTED_VALUE"""),"VerifyDataTT")</f>
        <v>VerifyDataTT</v>
      </c>
      <c r="F4" s="13" t="str">
        <f>IFERROR(__xludf.DUMMYFUNCTION("""COMPUTED_VALUE"""),"SetUIPreferencesTT")</f>
        <v>SetUIPreferencesTT</v>
      </c>
      <c r="G4" s="13" t="str">
        <f>IFERROR(__xludf.DUMMYFUNCTION("""COMPUTED_VALUE"""),"SetBrokerWisePreferencesTT")</f>
        <v>SetBrokerWisePreferencesTT</v>
      </c>
      <c r="H4" s="13" t="str">
        <f>IFERROR(__xludf.DUMMYFUNCTION("""COMPUTED_VALUE"""),"TradeNewSub")</f>
        <v>TradeNewSub</v>
      </c>
      <c r="I4" s="13" t="str">
        <f>IFERROR(__xludf.DUMMYFUNCTION("""COMPUTED_VALUE"""),"CreateStageOrder")</f>
        <v>CreateStageOrder</v>
      </c>
      <c r="J4" s="13" t="str">
        <f>IFERROR(__xludf.DUMMYFUNCTION("""COMPUTED_VALUE"""),"CreateReplaceOrder")</f>
        <v>CreateReplaceOrder</v>
      </c>
      <c r="K4" s="13" t="str">
        <f>IFERROR(__xludf.DUMMYFUNCTION("""COMPUTED_VALUE"""),"SetGeneralPreference")</f>
        <v>SetGeneralPreference</v>
      </c>
      <c r="L4" s="13" t="str">
        <f>IFERROR(__xludf.DUMMYFUNCTION("""COMPUTED_VALUE"""),"CreateNewSubOrder")</f>
        <v>CreateNewSubOrder</v>
      </c>
      <c r="M4" s="13" t="str">
        <f>IFERROR(__xludf.DUMMYFUNCTION("""COMPUTED_VALUE"""),"TradeBloomberg")</f>
        <v>TradeBloomberg</v>
      </c>
      <c r="N4" s="13" t="str">
        <f>IFERROR(__xludf.DUMMYFUNCTION("""COMPUTED_VALUE"""),"ClickSymbolLookup")</f>
        <v>ClickSymbolLookup</v>
      </c>
      <c r="O4" s="13" t="str">
        <f>IFERROR(__xludf.DUMMYFUNCTION("""COMPUTED_VALUE"""),"VerifyTT")</f>
        <v>VerifyTT</v>
      </c>
      <c r="P4" s="14" t="str">
        <f>IFERROR(__xludf.DUMMYFUNCTION("""COMPUTED_VALUE"""),"CreateLiveOrder")</f>
        <v>CreateLiveOrder</v>
      </c>
      <c r="Q4" s="14" t="str">
        <f>IFERROR(__xludf.DUMMYFUNCTION("""COMPUTED_VALUE"""),"ShowMasterFundOnTT")</f>
        <v>ShowMasterFundOnTT</v>
      </c>
      <c r="R4" s="14" t="str">
        <f>IFERROR(__xludf.DUMMYFUNCTION("""COMPUTED_VALUE"""),"UpdateMasterFundOnTT")</f>
        <v>UpdateMasterFundOnTT</v>
      </c>
      <c r="S4" s="14" t="str">
        <f>IFERROR(__xludf.DUMMYFUNCTION("""COMPUTED_VALUE"""),"SetTTCompliancePreference")</f>
        <v>SetTTCompliancePreference</v>
      </c>
      <c r="T4" s="14" t="str">
        <f>IFERROR(__xludf.DUMMYFUNCTION("""COMPUTED_VALUE"""),"ImportSymbol")</f>
        <v>ImportSymbol</v>
      </c>
      <c r="U4" s="14" t="str">
        <f>IFERROR(__xludf.DUMMYFUNCTION("""COMPUTED_VALUE"""),"ExportSymbolFromRAList")</f>
        <v>ExportSymbolFromRAList</v>
      </c>
      <c r="V4" s="14" t="str">
        <f>IFERROR(__xludf.DUMMYFUNCTION("""COMPUTED_VALUE"""),"CheckPendingNewOrderAlert")</f>
        <v>CheckPendingNewOrderAlert</v>
      </c>
      <c r="W4" s="14" t="str">
        <f>IFERROR(__xludf.DUMMYFUNCTION("""COMPUTED_VALUE"""),"AddSymbolOnRAList")</f>
        <v>AddSymbolOnRAList</v>
      </c>
      <c r="X4" s="14" t="str">
        <f>IFERROR(__xludf.DUMMYFUNCTION("""COMPUTED_VALUE"""),"DeleteSymbolListFromRA")</f>
        <v>DeleteSymbolListFromRA</v>
      </c>
      <c r="Y4" s="14" t="str">
        <f>IFERROR(__xludf.DUMMYFUNCTION("""COMPUTED_VALUE"""),"RemoveSymbolFromRAList")</f>
        <v>RemoveSymbolFromRAList</v>
      </c>
      <c r="Z4" s="14" t="str">
        <f>IFERROR(__xludf.DUMMYFUNCTION("""COMPUTED_VALUE"""),"ToggleBlombergOnRA")</f>
        <v>ToggleBlombergOnRA</v>
      </c>
      <c r="AA4" s="14" t="str">
        <f>IFERROR(__xludf.DUMMYFUNCTION("""COMPUTED_VALUE"""),"CreateDoneAway")</f>
        <v>CreateDoneAway</v>
      </c>
      <c r="AB4" s="14" t="str">
        <f>IFERROR(__xludf.DUMMYFUNCTION("""COMPUTED_VALUE"""),"CreateDoneAwayOrder")</f>
        <v>CreateDoneAwayOrder</v>
      </c>
      <c r="AC4" s="14" t="str">
        <f>IFERROR(__xludf.DUMMYFUNCTION("""COMPUTED_VALUE"""),"SendLiveBloomberg")</f>
        <v>SendLiveBloomberg</v>
      </c>
      <c r="AD4" s="14" t="str">
        <f>IFERROR(__xludf.DUMMYFUNCTION("""COMPUTED_VALUE"""),"AddOptionTrade")</f>
        <v>AddOptionTrade</v>
      </c>
      <c r="AE4" s="14" t="str">
        <f>IFERROR(__xludf.DUMMYFUNCTION("""COMPUTED_VALUE"""),"ViewAllocation")</f>
        <v>ViewAllocation</v>
      </c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 t="str">
        <f>IFERROR(__xludf.DUMMYFUNCTION("TRANSPOSE(IMPORTRANGE(VLOOKUP($E$3,IMPORTRANGE('_Settings'!$B$3,$C$3&amp;""!A4:B1000""),2,FALSE),$G$3&amp;""!A4:A1000""))"),"")</f>
        <v/>
      </c>
      <c r="B5" s="16" t="str">
        <f>IFERROR(__xludf.DUMMYFUNCTION("""COMPUTED_VALUE"""),"Symbol")</f>
        <v>Symbol</v>
      </c>
      <c r="C5" s="16" t="str">
        <f>IFERROR(__xludf.DUMMYFUNCTION("""COMPUTED_VALUE"""),"Order Side")</f>
        <v>Order Side</v>
      </c>
      <c r="D5" s="16" t="str">
        <f>IFERROR(__xludf.DUMMYFUNCTION("""COMPUTED_VALUE"""),"Quantity")</f>
        <v>Quantity</v>
      </c>
      <c r="E5" s="16" t="str">
        <f>IFERROR(__xludf.DUMMYFUNCTION("""COMPUTED_VALUE"""),"TargetQuantityIn")</f>
        <v>TargetQuantityIn</v>
      </c>
      <c r="F5" s="17" t="str">
        <f>IFERROR(__xludf.DUMMYFUNCTION("""COMPUTED_VALUE"""),"AllocationMethod")</f>
        <v>AllocationMethod</v>
      </c>
      <c r="G5" s="16" t="str">
        <f>IFERROR(__xludf.DUMMYFUNCTION("""COMPUTED_VALUE"""),"Broker")</f>
        <v>Broker</v>
      </c>
      <c r="H5" s="16" t="str">
        <f>IFERROR(__xludf.DUMMYFUNCTION("""COMPUTED_VALUE"""),"TIF")</f>
        <v>TIF</v>
      </c>
      <c r="I5" s="16" t="str">
        <f>IFERROR(__xludf.DUMMYFUNCTION("""COMPUTED_VALUE"""),"Order Type")</f>
        <v>Order Type</v>
      </c>
      <c r="J5" s="16" t="str">
        <f>IFERROR(__xludf.DUMMYFUNCTION("""COMPUTED_VALUE"""),"Price")</f>
        <v>Price</v>
      </c>
      <c r="K5" s="16" t="str">
        <f>IFERROR(__xludf.DUMMYFUNCTION("""COMPUTED_VALUE"""),"Stop")</f>
        <v>Stop</v>
      </c>
      <c r="L5" s="16" t="str">
        <f>IFERROR(__xludf.DUMMYFUNCTION("""COMPUTED_VALUE"""),"Limit")</f>
        <v>Limit</v>
      </c>
      <c r="M5" s="16" t="str">
        <f>IFERROR(__xludf.DUMMYFUNCTION("""COMPUTED_VALUE"""),"Strategy")</f>
        <v>Strategy</v>
      </c>
      <c r="N5" s="16" t="str">
        <f>IFERROR(__xludf.DUMMYFUNCTION("""COMPUTED_VALUE"""),"Trade Date")</f>
        <v>Trade Date</v>
      </c>
      <c r="O5" s="16" t="str">
        <f>IFERROR(__xludf.DUMMYFUNCTION("""COMPUTED_VALUE"""),"FxRate")</f>
        <v>FxRate</v>
      </c>
      <c r="P5" s="16" t="str">
        <f>IFERROR(__xludf.DUMMYFUNCTION("""COMPUTED_VALUE"""),"Notes")</f>
        <v>Notes</v>
      </c>
      <c r="Q5" s="16" t="str">
        <f>IFERROR(__xludf.DUMMYFUNCTION("""COMPUTED_VALUE"""),"Broker Notes")</f>
        <v>Broker Notes</v>
      </c>
      <c r="R5" s="16" t="str">
        <f>IFERROR(__xludf.DUMMYFUNCTION("""COMPUTED_VALUE"""),"CommissionBasis")</f>
        <v>CommissionBasis</v>
      </c>
      <c r="S5" s="16" t="str">
        <f>IFERROR(__xludf.DUMMYFUNCTION("""COMPUTED_VALUE"""),"CommissionRate")</f>
        <v>CommissionRate</v>
      </c>
      <c r="T5" s="18" t="str">
        <f>IFERROR(__xludf.DUMMYFUNCTION("""COMPUTED_VALUE"""),"SoftBasis")</f>
        <v>SoftBasis</v>
      </c>
      <c r="U5" s="18" t="str">
        <f>IFERROR(__xludf.DUMMYFUNCTION("""COMPUTED_VALUE"""),"SoftRate")</f>
        <v>SoftRate</v>
      </c>
      <c r="V5" s="18" t="str">
        <f>IFERROR(__xludf.DUMMYFUNCTION("""COMPUTED_VALUE"""),"TradeAttribute1")</f>
        <v>TradeAttribute1</v>
      </c>
      <c r="W5" s="18" t="str">
        <f>IFERROR(__xludf.DUMMYFUNCTION("""COMPUTED_VALUE"""),"TradeAttribute2")</f>
        <v>TradeAttribute2</v>
      </c>
      <c r="X5" s="18" t="str">
        <f>IFERROR(__xludf.DUMMYFUNCTION("""COMPUTED_VALUE"""),"TradeAttribute3")</f>
        <v>TradeAttribute3</v>
      </c>
      <c r="Y5" s="18" t="str">
        <f>IFERROR(__xludf.DUMMYFUNCTION("""COMPUTED_VALUE"""),"TradeAttribute4")</f>
        <v>TradeAttribute4</v>
      </c>
      <c r="Z5" s="18" t="str">
        <f>IFERROR(__xludf.DUMMYFUNCTION("""COMPUTED_VALUE"""),"TradeAttribute5")</f>
        <v>TradeAttribute5</v>
      </c>
      <c r="AA5" s="18" t="str">
        <f>IFERROR(__xludf.DUMMYFUNCTION("""COMPUTED_VALUE"""),"TradeAttribute6")</f>
        <v>TradeAttribute6</v>
      </c>
      <c r="AB5" s="18" t="str">
        <f>IFERROR(__xludf.DUMMYFUNCTION("""COMPUTED_VALUE"""),"Venue")</f>
        <v>Venue</v>
      </c>
      <c r="AC5" s="18" t="str">
        <f>IFERROR(__xludf.DUMMYFUNCTION("""COMPUTED_VALUE"""),"ExecutionInstructions")</f>
        <v>ExecutionInstructions</v>
      </c>
      <c r="AD5" s="18" t="str">
        <f>IFERROR(__xludf.DUMMYFUNCTION("""COMPUTED_VALUE"""),"HandlingInstructions")</f>
        <v>HandlingInstructions</v>
      </c>
      <c r="AE5" s="18" t="str">
        <f>IFERROR(__xludf.DUMMYFUNCTION("""COMPUTED_VALUE"""),"Trader")</f>
        <v>Trader</v>
      </c>
      <c r="AF5" s="18" t="str">
        <f>IFERROR(__xludf.DUMMYFUNCTION("""COMPUTED_VALUE"""),"SettlementCurrency")</f>
        <v>SettlementCurrency</v>
      </c>
      <c r="AG5" s="18" t="str">
        <f>IFERROR(__xludf.DUMMYFUNCTION("""COMPUTED_VALUE"""),"SettlementFXRate")</f>
        <v>SettlementFXRate</v>
      </c>
      <c r="AH5" s="18" t="str">
        <f>IFERROR(__xludf.DUMMYFUNCTION("""COMPUTED_VALUE"""),"SettlementAmount")</f>
        <v>SettlementAmount</v>
      </c>
      <c r="AI5" s="18" t="str">
        <f>IFERROR(__xludf.DUMMYFUNCTION("""COMPUTED_VALUE"""),"SettlementFXOperator")</f>
        <v>SettlementFXOperator</v>
      </c>
      <c r="AJ5" s="18" t="str">
        <f>IFERROR(__xludf.DUMMYFUNCTION("""COMPUTED_VALUE"""),"SettleByBroker")</f>
        <v>SettleByBroker</v>
      </c>
      <c r="AK5" s="18" t="str">
        <f>IFERROR(__xludf.DUMMYFUNCTION("""COMPUTED_VALUE"""),"Account")</f>
        <v>Account</v>
      </c>
      <c r="AL5" s="18" t="str">
        <f>IFERROR(__xludf.DUMMYFUNCTION("""COMPUTED_VALUE"""),"Account %")</f>
        <v>Account %</v>
      </c>
      <c r="AM5" s="18" t="str">
        <f>IFERROR(__xludf.DUMMYFUNCTION("""COMPUTED_VALUE"""),"Deal In")</f>
        <v>Deal In</v>
      </c>
      <c r="AN5" s="18" t="str">
        <f>IFERROR(__xludf.DUMMYFUNCTION("""COMPUTED_VALUE"""),"EditOrder")</f>
        <v>EditOrder</v>
      </c>
      <c r="AO5" s="18" t="str">
        <f>IFERROR(__xludf.DUMMYFUNCTION("""COMPUTED_VALUE"""),"ShortLocate")</f>
        <v>ShortLocate</v>
      </c>
      <c r="AP5" s="18" t="str">
        <f>IFERROR(__xludf.DUMMYFUNCTION("""COMPUTED_VALUE"""),"Rate(%)")</f>
        <v>Rate(%)</v>
      </c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7</v>
      </c>
      <c r="C6" s="19" t="s">
        <v>8</v>
      </c>
      <c r="D6" s="30">
        <v>1000.0</v>
      </c>
      <c r="E6" s="20"/>
      <c r="F6" s="19" t="s">
        <v>9</v>
      </c>
      <c r="G6" s="6"/>
      <c r="H6" s="6"/>
      <c r="I6" s="19" t="s">
        <v>10</v>
      </c>
      <c r="J6" s="19">
        <v>50.0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18</v>
      </c>
      <c r="D3" s="9" t="s">
        <v>3</v>
      </c>
      <c r="E3" s="10" t="s">
        <v>19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IFERROR(__xludf.DUMMYFUNCTION("IF(C3="""","""",Transpose(IMPORTRANGE('_Settings'!$B$3,C3&amp;""!A4:A1000"")))"),"ReplaceFillsOnBlotter")</f>
        <v>ReplaceFillsOnBlotter</v>
      </c>
      <c r="C4" s="13" t="str">
        <f>IFERROR(__xludf.DUMMYFUNCTION("""COMPUTED_VALUE"""),"CheckBlotter")</f>
        <v>CheckBlotter</v>
      </c>
      <c r="D4" s="13" t="str">
        <f>IFERROR(__xludf.DUMMYFUNCTION("""COMPUTED_VALUE"""),"BlotterFunctionalities")</f>
        <v>BlotterFunctionalities</v>
      </c>
      <c r="E4" s="13" t="str">
        <f>IFERROR(__xludf.DUMMYFUNCTION("""COMPUTED_VALUE"""),"TransferToUserWorkingSubs")</f>
        <v>TransferToUserWorkingSubs</v>
      </c>
      <c r="F4" s="13" t="str">
        <f>IFERROR(__xludf.DUMMYFUNCTION("""COMPUTED_VALUE"""),"CancelWorkingSubs")</f>
        <v>CancelWorkingSubs</v>
      </c>
      <c r="G4" s="13" t="str">
        <f>IFERROR(__xludf.DUMMYFUNCTION("""COMPUTED_VALUE"""),"ReplaceWorkingSubs")</f>
        <v>ReplaceWorkingSubs</v>
      </c>
      <c r="H4" s="13" t="str">
        <f>IFERROR(__xludf.DUMMYFUNCTION("""COMPUTED_VALUE"""),"ViewAllocationDetailsWorkingSub")</f>
        <v>ViewAllocationDetailsWorkingSub</v>
      </c>
      <c r="I4" s="13" t="str">
        <f>IFERROR(__xludf.DUMMYFUNCTION("""COMPUTED_VALUE"""),"SelectTradeOnOrderGrid")</f>
        <v>SelectTradeOnOrderGrid</v>
      </c>
      <c r="J4" s="13" t="str">
        <f>IFERROR(__xludf.DUMMYFUNCTION("""COMPUTED_VALUE"""),"ShowDetailsForAlgoTradeSubOrder")</f>
        <v>ShowDetailsForAlgoTradeSubOrder</v>
      </c>
      <c r="K4" s="13" t="str">
        <f>IFERROR(__xludf.DUMMYFUNCTION("""COMPUTED_VALUE"""),"SelectTradeOrderBlotter")</f>
        <v>SelectTradeOrderBlotter</v>
      </c>
      <c r="L4" s="13" t="str">
        <f>IFERROR(__xludf.DUMMYFUNCTION("""COMPUTED_VALUE"""),"AddFillsWorkingSubs")</f>
        <v>AddFillsWorkingSubs</v>
      </c>
      <c r="M4" s="13" t="str">
        <f>IFERROR(__xludf.DUMMYFUNCTION("""COMPUTED_VALUE"""),"EditAddFillsDetails")</f>
        <v>EditAddFillsDetails</v>
      </c>
      <c r="N4" s="13" t="str">
        <f>IFERROR(__xludf.DUMMYFUNCTION("""COMPUTED_VALUE"""),"ShowDetailsForAlgoTradeWorkingSubs")</f>
        <v>ShowDetailsForAlgoTradeWorkingSubs</v>
      </c>
      <c r="O4" s="13" t="str">
        <f>IFERROR(__xludf.DUMMYFUNCTION("""COMPUTED_VALUE"""),"VerifyWorkingSubs")</f>
        <v>VerifyWorkingSubs</v>
      </c>
      <c r="P4" s="14" t="str">
        <f>IFERROR(__xludf.DUMMYFUNCTION("""COMPUTED_VALUE"""),"TransferToUserOrder")</f>
        <v>TransferToUserOrder</v>
      </c>
      <c r="Q4" s="14" t="str">
        <f>IFERROR(__xludf.DUMMYFUNCTION("""COMPUTED_VALUE"""),"EditOrder")</f>
        <v>EditOrder</v>
      </c>
      <c r="R4" s="14" t="str">
        <f>IFERROR(__xludf.DUMMYFUNCTION("""COMPUTED_VALUE"""),"SelectTradeSubOrderBlotter")</f>
        <v>SelectTradeSubOrderBlotter</v>
      </c>
      <c r="S4" s="14" t="str">
        <f>IFERROR(__xludf.DUMMYFUNCTION("""COMPUTED_VALUE"""),"VerifyOrder")</f>
        <v>VerifyOrder</v>
      </c>
      <c r="T4" s="14" t="str">
        <f>IFERROR(__xludf.DUMMYFUNCTION("""COMPUTED_VALUE"""),"VerifySubOrder")</f>
        <v>VerifySubOrder</v>
      </c>
      <c r="U4" s="14" t="str">
        <f>IFERROR(__xludf.DUMMYFUNCTION("""COMPUTED_VALUE"""),"RemoveSelectedOrders")</f>
        <v>RemoveSelectedOrders</v>
      </c>
      <c r="V4" s="14" t="str">
        <f>IFERROR(__xludf.DUMMYFUNCTION("""COMPUTED_VALUE"""),"CancelAllSelectedSubs")</f>
        <v>CancelAllSelectedSubs</v>
      </c>
      <c r="W4" s="14" t="str">
        <f>IFERROR(__xludf.DUMMYFUNCTION("""COMPUTED_VALUE"""),"MultiTradingTicket")</f>
        <v>MultiTradingTicket</v>
      </c>
      <c r="X4" s="14" t="str">
        <f>IFERROR(__xludf.DUMMYFUNCTION("""COMPUTED_VALUE"""),"AuditTrailOrderBlotter")</f>
        <v>AuditTrailOrderBlotter</v>
      </c>
      <c r="Y4" s="14" t="str">
        <f>IFERROR(__xludf.DUMMYFUNCTION("""COMPUTED_VALUE"""),"TradeNewSubOrder")</f>
        <v>TradeNewSubOrder</v>
      </c>
      <c r="Z4" s="14" t="str">
        <f>IFERROR(__xludf.DUMMYFUNCTION("""COMPUTED_VALUE"""),"RemoveStageOrder")</f>
        <v>RemoveStageOrder</v>
      </c>
      <c r="AA4" s="14" t="str">
        <f>IFERROR(__xludf.DUMMYFUNCTION("""COMPUTED_VALUE"""),"TransferToUserSubOrder")</f>
        <v>TransferToUserSubOrder</v>
      </c>
      <c r="AB4" s="14" t="str">
        <f>IFERROR(__xludf.DUMMYFUNCTION("""COMPUTED_VALUE"""),"DetailsForAlgoTradeOrder")</f>
        <v>DetailsForAlgoTradeOrder</v>
      </c>
      <c r="AC4" s="14" t="str">
        <f>IFERROR(__xludf.DUMMYFUNCTION("""COMPUTED_VALUE"""),"AddFillsSubOrder")</f>
        <v>AddFillsSubOrder</v>
      </c>
      <c r="AD4" s="14" t="str">
        <f>IFERROR(__xludf.DUMMYFUNCTION("""COMPUTED_VALUE"""),"ViewAllocationDetailsSubOrder")</f>
        <v>ViewAllocationDetailsSubOrder</v>
      </c>
      <c r="AE4" s="14" t="str">
        <f>IFERROR(__xludf.DUMMYFUNCTION("""COMPUTED_VALUE"""),"CancelAllSubs")</f>
        <v>CancelAllSubs</v>
      </c>
      <c r="AF4" s="14" t="str">
        <f>IFERROR(__xludf.DUMMYFUNCTION("""COMPUTED_VALUE"""),"CancelSubOrder")</f>
        <v>CancelSubOrder</v>
      </c>
      <c r="AG4" s="14" t="str">
        <f>IFERROR(__xludf.DUMMYFUNCTION("""COMPUTED_VALUE"""),"EditStageOrder")</f>
        <v>EditStageOrder</v>
      </c>
      <c r="AH4" s="14" t="str">
        <f>IFERROR(__xludf.DUMMYFUNCTION("""COMPUTED_VALUE"""),"ReplaceSubOrder")</f>
        <v>ReplaceSubOrder</v>
      </c>
      <c r="AI4" s="14" t="str">
        <f>IFERROR(__xludf.DUMMYFUNCTION("""COMPUTED_VALUE"""),"SelectTradeWorkingSubsBlotter")</f>
        <v>SelectTradeWorkingSubsBlotter</v>
      </c>
      <c r="AJ4" s="14" t="str">
        <f>IFERROR(__xludf.DUMMYFUNCTION("""COMPUTED_VALUE"""),"VerifyAlgoDetails")</f>
        <v>VerifyAlgoDetails</v>
      </c>
      <c r="AK4" s="14" t="str">
        <f>IFERROR(__xludf.DUMMYFUNCTION("""COMPUTED_VALUE"""),"VerifyTransferToUserOrder")</f>
        <v>VerifyTransferToUserOrder</v>
      </c>
      <c r="AL4" s="14" t="str">
        <f>IFERROR(__xludf.DUMMYFUNCTION("""COMPUTED_VALUE"""),"VerifyTransferToUserSubOdr")</f>
        <v>VerifyTransferToUserSubOdr</v>
      </c>
      <c r="AM4" s="14" t="str">
        <f>IFERROR(__xludf.DUMMYFUNCTION("""COMPUTED_VALUE"""),"VerifyTransferToUserWorkSub")</f>
        <v>VerifyTransferToUserWorkSub</v>
      </c>
      <c r="AN4" s="14" t="str">
        <f>IFERROR(__xludf.DUMMYFUNCTION("""COMPUTED_VALUE"""),"SaveLayoutOrderGrid")</f>
        <v>SaveLayoutOrderGrid</v>
      </c>
      <c r="AO4" s="14" t="str">
        <f>IFERROR(__xludf.DUMMYFUNCTION("""COMPUTED_VALUE"""),"ReplaceStageOrder")</f>
        <v>ReplaceStageOrder</v>
      </c>
      <c r="AP4" s="14" t="str">
        <f>IFERROR(__xludf.DUMMYFUNCTION("""COMPUTED_VALUE"""),"MultiTradingTicketFromBlotter")</f>
        <v>MultiTradingTicketFromBlotter</v>
      </c>
      <c r="AQ4" s="14" t="str">
        <f>IFERROR(__xludf.DUMMYFUNCTION("""COMPUTED_VALUE"""),"VerifyViewAllocationDetails")</f>
        <v>VerifyViewAllocationDetails</v>
      </c>
      <c r="AR4" s="14" t="str">
        <f>IFERROR(__xludf.DUMMYFUNCTION("""COMPUTED_VALUE"""),"GoToAllocation")</f>
        <v>GoToAllocation</v>
      </c>
      <c r="AS4" s="14" t="str">
        <f>IFERROR(__xludf.DUMMYFUNCTION("""COMPUTED_VALUE"""),"VerifyRollover")</f>
        <v>VerifyRollover</v>
      </c>
      <c r="AT4" s="14" t="str">
        <f>IFERROR(__xludf.DUMMYFUNCTION("""COMPUTED_VALUE"""),"VerifySubOrderAfterRollover")</f>
        <v>VerifySubOrderAfterRollover</v>
      </c>
      <c r="AU4" s="14" t="str">
        <f>IFERROR(__xludf.DUMMYFUNCTION("""COMPUTED_VALUE"""),"OpenBlotter")</f>
        <v>OpenBlotter</v>
      </c>
      <c r="AV4" s="14" t="str">
        <f>IFERROR(__xludf.DUMMYFUNCTION("""COMPUTED_VALUE"""),"OpenBlotter")</f>
        <v>OpenBlotter</v>
      </c>
      <c r="AW4" s="14" t="str">
        <f>IFERROR(__xludf.DUMMYFUNCTION("""COMPUTED_VALUE"""),"RemoveManualExecution")</f>
        <v>RemoveManualExecution</v>
      </c>
      <c r="AX4" s="14" t="str">
        <f>IFERROR(__xludf.DUMMYFUNCTION("""COMPUTED_VALUE"""),"RemoveExecutionWorkingSubs")</f>
        <v>RemoveExecutionWorkingSubs</v>
      </c>
      <c r="AY4" s="14" t="str">
        <f>IFERROR(__xludf.DUMMYFUNCTION("""COMPUTED_VALUE"""),"GetExecutionReportOrders")</f>
        <v>GetExecutionReportOrders</v>
      </c>
      <c r="AZ4" s="14" t="str">
        <f>IFERROR(__xludf.DUMMYFUNCTION("""COMPUTED_VALUE"""),"GetExecutionReportDetails")</f>
        <v>GetExecutionReportDetails</v>
      </c>
      <c r="BA4" s="14" t="str">
        <f>IFERROR(__xludf.DUMMYFUNCTION("""COMPUTED_VALUE"""),"ExportExecutionReportData")</f>
        <v>ExportExecutionReportData</v>
      </c>
      <c r="BB4" s="14" t="str">
        <f>IFERROR(__xludf.DUMMYFUNCTION("""COMPUTED_VALUE"""),"VerifyExecutionReport")</f>
        <v>VerifyExecutionReport</v>
      </c>
      <c r="BC4" s="14" t="str">
        <f>IFERROR(__xludf.DUMMYFUNCTION("""COMPUTED_VALUE"""),"BlotterExecutionReportSnapshot")</f>
        <v>BlotterExecutionReportSnapshot</v>
      </c>
      <c r="BD4" s="14" t="str">
        <f>IFERROR(__xludf.DUMMYFUNCTION("""COMPUTED_VALUE"""),"MultipleTradeTransferToUser")</f>
        <v>MultipleTradeTransferToUser</v>
      </c>
      <c r="BE4" s="14" t="str">
        <f>IFERROR(__xludf.DUMMYFUNCTION("""COMPUTED_VALUE"""),"ReloadOrderFromBlotter")</f>
        <v>ReloadOrderFromBlotter</v>
      </c>
      <c r="BF4" s="14" t="str">
        <f>IFERROR(__xludf.DUMMYFUNCTION("""COMPUTED_VALUE"""),"ReloadOrderFromSubOrder")</f>
        <v>ReloadOrderFromSubOrder</v>
      </c>
      <c r="BG4" s="14" t="str">
        <f>IFERROR(__xludf.DUMMYFUNCTION("""COMPUTED_VALUE"""),"ReloadOrderFromWorkingSubs")</f>
        <v>ReloadOrderFromWorkingSubs</v>
      </c>
      <c r="BH4" s="14" t="str">
        <f>IFERROR(__xludf.DUMMYFUNCTION("""COMPUTED_VALUE"""),"SelectFills")</f>
        <v>SelectFills</v>
      </c>
      <c r="BI4" s="14" t="str">
        <f>IFERROR(__xludf.DUMMYFUNCTION("""COMPUTED_VALUE"""),"ModifyFills")</f>
        <v>ModifyFills</v>
      </c>
      <c r="BJ4" s="14" t="str">
        <f>IFERROR(__xludf.DUMMYFUNCTION("""COMPUTED_VALUE"""),"AddTab")</f>
        <v>AddTab</v>
      </c>
      <c r="BK4" s="14" t="str">
        <f>IFERROR(__xludf.DUMMYFUNCTION("""COMPUTED_VALUE"""),"RemoveTab")</f>
        <v>RemoveTab</v>
      </c>
      <c r="BL4" s="14" t="str">
        <f>IFERROR(__xludf.DUMMYFUNCTION("""COMPUTED_VALUE"""),"SelectCustomTab")</f>
        <v>SelectCustomTab</v>
      </c>
      <c r="BM4" s="14" t="str">
        <f>IFERROR(__xludf.DUMMYFUNCTION("""COMPUTED_VALUE"""),"VerifyOrderCustomTab")</f>
        <v>VerifyOrderCustomTab</v>
      </c>
      <c r="BN4" s="14" t="str">
        <f>IFERROR(__xludf.DUMMYFUNCTION("""COMPUTED_VALUE"""),"VerifySubOrderCustomTab")</f>
        <v>VerifySubOrderCustomTab</v>
      </c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 t="str">
        <f>IFERROR(__xludf.DUMMYFUNCTION("TRANSPOSE(IMPORTRANGE(VLOOKUP($E$3,IMPORTRANGE('_Settings'!$B$3,$C$3&amp;""!A4:B1000""),2,FALSE),$G$3&amp;""!A4:A1000""))"),"")</f>
        <v/>
      </c>
      <c r="B5" s="16" t="str">
        <f>IFERROR(__xludf.DUMMYFUNCTION("""COMPUTED_VALUE"""),"Transaction Time")</f>
        <v>Transaction Time</v>
      </c>
      <c r="C5" s="16" t="str">
        <f>IFERROR(__xludf.DUMMYFUNCTION("""COMPUTED_VALUE"""),"Algo")</f>
        <v>Algo</v>
      </c>
      <c r="D5" s="16" t="str">
        <f>IFERROR(__xludf.DUMMYFUNCTION("""COMPUTED_VALUE"""),"Avg Fill Price (Base)")</f>
        <v>Avg Fill Price (Base)</v>
      </c>
      <c r="E5" s="16" t="str">
        <f>IFERROR(__xludf.DUMMYFUNCTION("""COMPUTED_VALUE"""),"Bloomberg Symbol")</f>
        <v>Bloomberg Symbol</v>
      </c>
      <c r="F5" s="17" t="str">
        <f>IFERROR(__xludf.DUMMYFUNCTION("""COMPUTED_VALUE"""),"Limit Price")</f>
        <v>Limit Price</v>
      </c>
      <c r="G5" s="16" t="str">
        <f>IFERROR(__xludf.DUMMYFUNCTION("""COMPUTED_VALUE"""),"Working Qty")</f>
        <v>Working Qty</v>
      </c>
      <c r="H5" s="16" t="str">
        <f>IFERROR(__xludf.DUMMYFUNCTION("""COMPUTED_VALUE"""),"Venue")</f>
        <v>Venue</v>
      </c>
      <c r="I5" s="16" t="str">
        <f>IFERROR(__xludf.DUMMYFUNCTION("""COMPUTED_VALUE"""),"User")</f>
        <v>User</v>
      </c>
      <c r="J5" s="16" t="str">
        <f>IFERROR(__xludf.DUMMYFUNCTION("""COMPUTED_VALUE"""),"Underlying Symbol")</f>
        <v>Underlying Symbol</v>
      </c>
      <c r="K5" s="16" t="str">
        <f>IFERROR(__xludf.DUMMYFUNCTION("""COMPUTED_VALUE"""),"Underlying Country")</f>
        <v>Underlying Country</v>
      </c>
      <c r="L5" s="16" t="str">
        <f>IFERROR(__xludf.DUMMYFUNCTION("""COMPUTED_VALUE"""),"Trader")</f>
        <v>Trader</v>
      </c>
      <c r="M5" s="16" t="str">
        <f>IFERROR(__xludf.DUMMYFUNCTION("""COMPUTED_VALUE"""),"Trade Attribute 6")</f>
        <v>Trade Attribute 6</v>
      </c>
      <c r="N5" s="16" t="str">
        <f>IFERROR(__xludf.DUMMYFUNCTION("""COMPUTED_VALUE"""),"Trade Attribute 5")</f>
        <v>Trade Attribute 5</v>
      </c>
      <c r="O5" s="16" t="str">
        <f>IFERROR(__xludf.DUMMYFUNCTION("""COMPUTED_VALUE"""),"Trade Attribute 4")</f>
        <v>Trade Attribute 4</v>
      </c>
      <c r="P5" s="16" t="str">
        <f>IFERROR(__xludf.DUMMYFUNCTION("""COMPUTED_VALUE"""),"Trade Attribute 3")</f>
        <v>Trade Attribute 3</v>
      </c>
      <c r="Q5" s="16" t="str">
        <f>IFERROR(__xludf.DUMMYFUNCTION("""COMPUTED_VALUE"""),"Trade Attribute 1")</f>
        <v>Trade Attribute 1</v>
      </c>
      <c r="R5" s="16" t="str">
        <f>IFERROR(__xludf.DUMMYFUNCTION("""COMPUTED_VALUE"""),"Trade Attribute 2")</f>
        <v>Trade Attribute 2</v>
      </c>
      <c r="S5" s="16" t="str">
        <f>IFERROR(__xludf.DUMMYFUNCTION("""COMPUTED_VALUE"""),"Strike Price")</f>
        <v>Strike Price</v>
      </c>
      <c r="T5" s="18" t="str">
        <f>IFERROR(__xludf.DUMMYFUNCTION("""COMPUTED_VALUE"""),"Stop Price")</f>
        <v>Stop Price</v>
      </c>
      <c r="U5" s="18" t="str">
        <f>IFERROR(__xludf.DUMMYFUNCTION("""COMPUTED_VALUE"""),"Settlement Currency")</f>
        <v>Settlement Currency</v>
      </c>
      <c r="V5" s="18" t="str">
        <f>IFERROR(__xludf.DUMMYFUNCTION("""COMPUTED_VALUE"""),"Put/Call")</f>
        <v>Put/Call</v>
      </c>
      <c r="W5" s="18" t="str">
        <f>IFERROR(__xludf.DUMMYFUNCTION("""COMPUTED_VALUE"""),"Process Date")</f>
        <v>Process Date</v>
      </c>
      <c r="X5" s="18" t="str">
        <f>IFERROR(__xludf.DUMMYFUNCTION("""COMPUTED_VALUE"""),"Peg")</f>
        <v>Peg</v>
      </c>
      <c r="Y5" s="18" t="str">
        <f>IFERROR(__xludf.DUMMYFUNCTION("""COMPUTED_VALUE"""),"ParentClOrderID")</f>
        <v>ParentClOrderID</v>
      </c>
      <c r="Z5" s="18" t="str">
        <f>IFERROR(__xludf.DUMMYFUNCTION("""COMPUTED_VALUE"""),"OrderID")</f>
        <v>OrderID</v>
      </c>
      <c r="AA5" s="18" t="str">
        <f>IFERROR(__xludf.DUMMYFUNCTION("""COMPUTED_VALUE"""),"Master Fund")</f>
        <v>Master Fund</v>
      </c>
      <c r="AB5" s="18" t="str">
        <f>IFERROR(__xludf.DUMMYFUNCTION("""COMPUTED_VALUE"""),"Last Shares")</f>
        <v>Last Shares</v>
      </c>
      <c r="AC5" s="18" t="str">
        <f>IFERROR(__xludf.DUMMYFUNCTION("""COMPUTED_VALUE"""),"Internal Comments")</f>
        <v>Internal Comments</v>
      </c>
      <c r="AD5" s="18" t="str">
        <f>IFERROR(__xludf.DUMMYFUNCTION("""COMPUTED_VALUE"""),"FX Rate")</f>
        <v>FX Rate</v>
      </c>
      <c r="AE5" s="18" t="str">
        <f>IFERROR(__xludf.DUMMYFUNCTION("""COMPUTED_VALUE"""),"Imported File Name")</f>
        <v>Imported File Name</v>
      </c>
      <c r="AF5" s="18" t="str">
        <f>IFERROR(__xludf.DUMMYFUNCTION("""COMPUTED_VALUE"""),"FX Conversion Operator")</f>
        <v>FX Conversion Operator</v>
      </c>
      <c r="AG5" s="18" t="str">
        <f>IFERROR(__xludf.DUMMYFUNCTION("""COMPUTED_VALUE"""),"Day Average Price")</f>
        <v>Day Average Price</v>
      </c>
      <c r="AH5" s="18" t="str">
        <f>IFERROR(__xludf.DUMMYFUNCTION("""COMPUTED_VALUE"""),"Asset Class")</f>
        <v>Asset Class</v>
      </c>
      <c r="AI5" s="18" t="str">
        <f>IFERROR(__xludf.DUMMYFUNCTION("""COMPUTED_VALUE"""),"Symbol")</f>
        <v>Symbol</v>
      </c>
      <c r="AJ5" s="18" t="str">
        <f>IFERROR(__xludf.DUMMYFUNCTION("""COMPUTED_VALUE"""),"Side")</f>
        <v>Side</v>
      </c>
      <c r="AK5" s="18" t="str">
        <f>IFERROR(__xludf.DUMMYFUNCTION("""COMPUTED_VALUE"""),"Status")</f>
        <v>Status</v>
      </c>
      <c r="AL5" s="18" t="str">
        <f>IFERROR(__xludf.DUMMYFUNCTION("""COMPUTED_VALUE"""),"Target Qty")</f>
        <v>Target Qty</v>
      </c>
      <c r="AM5" s="18" t="str">
        <f>IFERROR(__xludf.DUMMYFUNCTION("""COMPUTED_VALUE"""),"Total Executed Qty")</f>
        <v>Total Executed Qty</v>
      </c>
      <c r="AN5" s="18" t="str">
        <f>IFERROR(__xludf.DUMMYFUNCTION("""COMPUTED_VALUE"""),"% Executed")</f>
        <v>% Executed</v>
      </c>
      <c r="AO5" s="18" t="str">
        <f>IFERROR(__xludf.DUMMYFUNCTION("""COMPUTED_VALUE"""),"Day Executed Qty")</f>
        <v>Day Executed Qty</v>
      </c>
      <c r="AP5" s="18" t="str">
        <f>IFERROR(__xludf.DUMMYFUNCTION("""COMPUTED_VALUE"""),"Uncommitted Qty")</f>
        <v>Uncommitted Qty</v>
      </c>
      <c r="AQ5" s="18" t="str">
        <f>IFERROR(__xludf.DUMMYFUNCTION("""COMPUTED_VALUE"""),"Last Fill Price (Local)")</f>
        <v>Last Fill Price (Local)</v>
      </c>
      <c r="AR5" s="18" t="str">
        <f>IFERROR(__xludf.DUMMYFUNCTION("""COMPUTED_VALUE"""),"Avg Fill Price (Local)")</f>
        <v>Avg Fill Price (Local)</v>
      </c>
      <c r="AS5" s="18" t="str">
        <f>IFERROR(__xludf.DUMMYFUNCTION("""COMPUTED_VALUE"""),"Broker")</f>
        <v>Broker</v>
      </c>
      <c r="AT5" s="18" t="str">
        <f>IFERROR(__xludf.DUMMYFUNCTION("""COMPUTED_VALUE"""),"Account")</f>
        <v>Account</v>
      </c>
      <c r="AU5" s="18" t="str">
        <f>IFERROR(__xludf.DUMMYFUNCTION("""COMPUTED_VALUE"""),"Order Type")</f>
        <v>Order Type</v>
      </c>
      <c r="AV5" s="18" t="str">
        <f>IFERROR(__xludf.DUMMYFUNCTION("""COMPUTED_VALUE"""),"Principal Amount (Local)")</f>
        <v>Principal Amount (Local)</v>
      </c>
      <c r="AW5" s="18" t="str">
        <f>IFERROR(__xludf.DUMMYFUNCTION("""COMPUTED_VALUE"""),"Principal Amount (Base)")</f>
        <v>Principal Amount (Base)</v>
      </c>
      <c r="AX5" s="18" t="str">
        <f>IFERROR(__xludf.DUMMYFUNCTION("""COMPUTED_VALUE"""),"Allocation Scheme Name")</f>
        <v>Allocation Scheme Name</v>
      </c>
      <c r="AY5" s="18" t="str">
        <f>IFERROR(__xludf.DUMMYFUNCTION("""COMPUTED_VALUE"""),"Status (With Rollover)")</f>
        <v>Status (With Rollover)</v>
      </c>
      <c r="AZ5" s="18" t="str">
        <f>IFERROR(__xludf.DUMMYFUNCTION("""COMPUTED_VALUE"""),"Start of Day Qty")</f>
        <v>Start of Day Qty</v>
      </c>
      <c r="BA5" s="18" t="str">
        <f>IFERROR(__xludf.DUMMYFUNCTION("""COMPUTED_VALUE"""),"Leaves")</f>
        <v>Leaves</v>
      </c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/>
      <c r="C6" s="6"/>
      <c r="D6" s="19"/>
      <c r="E6" s="19"/>
      <c r="F6" s="6"/>
      <c r="G6" s="6"/>
      <c r="H6" s="6"/>
      <c r="I6" s="6"/>
      <c r="J6" s="6"/>
      <c r="K6" s="6"/>
      <c r="L6" s="6"/>
      <c r="M6" s="6"/>
      <c r="N6" s="6"/>
      <c r="O6" s="6"/>
      <c r="AI6" s="20" t="s">
        <v>7</v>
      </c>
      <c r="AJ6" s="20" t="s">
        <v>8</v>
      </c>
      <c r="AK6" s="20" t="s">
        <v>24</v>
      </c>
      <c r="AL6" s="20">
        <v>1000.0</v>
      </c>
      <c r="AP6" s="20">
        <v>1000.0</v>
      </c>
      <c r="AQ6" s="20">
        <v>0.0</v>
      </c>
      <c r="AR6" s="20">
        <v>0.0</v>
      </c>
      <c r="AU6" s="20" t="s">
        <v>10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IFERROR(__xludf.DUMMYFUNCTION("IF(C3="""","""",Transpose(IMPORTRANGE('_Settings'!$B$3,C3&amp;""!A4:A1000"")))"),"OpenTTFromPST")</f>
        <v>OpenTTFromPST</v>
      </c>
      <c r="C4" s="13" t="str">
        <f>IFERROR(__xludf.DUMMYFUNCTION("""COMPUTED_VALUE"""),"EnterDetailsOnTT")</f>
        <v>EnterDetailsOnTT</v>
      </c>
      <c r="D4" s="13" t="str">
        <f>IFERROR(__xludf.DUMMYFUNCTION("""COMPUTED_VALUE"""),"ValidateSymbolTT")</f>
        <v>ValidateSymbolTT</v>
      </c>
      <c r="E4" s="13" t="str">
        <f>IFERROR(__xludf.DUMMYFUNCTION("""COMPUTED_VALUE"""),"VerifyDataTT")</f>
        <v>VerifyDataTT</v>
      </c>
      <c r="F4" s="13" t="str">
        <f>IFERROR(__xludf.DUMMYFUNCTION("""COMPUTED_VALUE"""),"SetUIPreferencesTT")</f>
        <v>SetUIPreferencesTT</v>
      </c>
      <c r="G4" s="13" t="str">
        <f>IFERROR(__xludf.DUMMYFUNCTION("""COMPUTED_VALUE"""),"SetBrokerWisePreferencesTT")</f>
        <v>SetBrokerWisePreferencesTT</v>
      </c>
      <c r="H4" s="13" t="str">
        <f>IFERROR(__xludf.DUMMYFUNCTION("""COMPUTED_VALUE"""),"TradeNewSub")</f>
        <v>TradeNewSub</v>
      </c>
      <c r="I4" s="13" t="str">
        <f>IFERROR(__xludf.DUMMYFUNCTION("""COMPUTED_VALUE"""),"CreateStageOrder")</f>
        <v>CreateStageOrder</v>
      </c>
      <c r="J4" s="13" t="str">
        <f>IFERROR(__xludf.DUMMYFUNCTION("""COMPUTED_VALUE"""),"CreateReplaceOrder")</f>
        <v>CreateReplaceOrder</v>
      </c>
      <c r="K4" s="13" t="str">
        <f>IFERROR(__xludf.DUMMYFUNCTION("""COMPUTED_VALUE"""),"SetGeneralPreference")</f>
        <v>SetGeneralPreference</v>
      </c>
      <c r="L4" s="13" t="str">
        <f>IFERROR(__xludf.DUMMYFUNCTION("""COMPUTED_VALUE"""),"CreateNewSubOrder")</f>
        <v>CreateNewSubOrder</v>
      </c>
      <c r="M4" s="13" t="str">
        <f>IFERROR(__xludf.DUMMYFUNCTION("""COMPUTED_VALUE"""),"TradeBloomberg")</f>
        <v>TradeBloomberg</v>
      </c>
      <c r="N4" s="13" t="str">
        <f>IFERROR(__xludf.DUMMYFUNCTION("""COMPUTED_VALUE"""),"ClickSymbolLookup")</f>
        <v>ClickSymbolLookup</v>
      </c>
      <c r="O4" s="13" t="str">
        <f>IFERROR(__xludf.DUMMYFUNCTION("""COMPUTED_VALUE"""),"VerifyTT")</f>
        <v>VerifyTT</v>
      </c>
      <c r="P4" s="14" t="str">
        <f>IFERROR(__xludf.DUMMYFUNCTION("""COMPUTED_VALUE"""),"CreateLiveOrder")</f>
        <v>CreateLiveOrder</v>
      </c>
      <c r="Q4" s="14" t="str">
        <f>IFERROR(__xludf.DUMMYFUNCTION("""COMPUTED_VALUE"""),"ShowMasterFundOnTT")</f>
        <v>ShowMasterFundOnTT</v>
      </c>
      <c r="R4" s="14" t="str">
        <f>IFERROR(__xludf.DUMMYFUNCTION("""COMPUTED_VALUE"""),"UpdateMasterFundOnTT")</f>
        <v>UpdateMasterFundOnTT</v>
      </c>
      <c r="S4" s="14" t="str">
        <f>IFERROR(__xludf.DUMMYFUNCTION("""COMPUTED_VALUE"""),"SetTTCompliancePreference")</f>
        <v>SetTTCompliancePreference</v>
      </c>
      <c r="T4" s="14" t="str">
        <f>IFERROR(__xludf.DUMMYFUNCTION("""COMPUTED_VALUE"""),"ImportSymbol")</f>
        <v>ImportSymbol</v>
      </c>
      <c r="U4" s="14" t="str">
        <f>IFERROR(__xludf.DUMMYFUNCTION("""COMPUTED_VALUE"""),"ExportSymbolFromRAList")</f>
        <v>ExportSymbolFromRAList</v>
      </c>
      <c r="V4" s="14" t="str">
        <f>IFERROR(__xludf.DUMMYFUNCTION("""COMPUTED_VALUE"""),"CheckPendingNewOrderAlert")</f>
        <v>CheckPendingNewOrderAlert</v>
      </c>
      <c r="W4" s="14" t="str">
        <f>IFERROR(__xludf.DUMMYFUNCTION("""COMPUTED_VALUE"""),"AddSymbolOnRAList")</f>
        <v>AddSymbolOnRAList</v>
      </c>
      <c r="X4" s="14" t="str">
        <f>IFERROR(__xludf.DUMMYFUNCTION("""COMPUTED_VALUE"""),"DeleteSymbolListFromRA")</f>
        <v>DeleteSymbolListFromRA</v>
      </c>
      <c r="Y4" s="14" t="str">
        <f>IFERROR(__xludf.DUMMYFUNCTION("""COMPUTED_VALUE"""),"RemoveSymbolFromRAList")</f>
        <v>RemoveSymbolFromRAList</v>
      </c>
      <c r="Z4" s="14" t="str">
        <f>IFERROR(__xludf.DUMMYFUNCTION("""COMPUTED_VALUE"""),"ToggleBlombergOnRA")</f>
        <v>ToggleBlombergOnRA</v>
      </c>
      <c r="AA4" s="14" t="str">
        <f>IFERROR(__xludf.DUMMYFUNCTION("""COMPUTED_VALUE"""),"CreateDoneAway")</f>
        <v>CreateDoneAway</v>
      </c>
      <c r="AB4" s="14" t="str">
        <f>IFERROR(__xludf.DUMMYFUNCTION("""COMPUTED_VALUE"""),"CreateDoneAwayOrder")</f>
        <v>CreateDoneAwayOrder</v>
      </c>
      <c r="AC4" s="14" t="str">
        <f>IFERROR(__xludf.DUMMYFUNCTION("""COMPUTED_VALUE"""),"SendLiveBloomberg")</f>
        <v>SendLiveBloomberg</v>
      </c>
      <c r="AD4" s="14" t="str">
        <f>IFERROR(__xludf.DUMMYFUNCTION("""COMPUTED_VALUE"""),"AddOptionTrade")</f>
        <v>AddOptionTrade</v>
      </c>
      <c r="AE4" s="14" t="str">
        <f>IFERROR(__xludf.DUMMYFUNCTION("""COMPUTED_VALUE"""),"ViewAllocation")</f>
        <v>ViewAllocation</v>
      </c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 t="str">
        <f>IFERROR(__xludf.DUMMYFUNCTION("TRANSPOSE(IMPORTRANGE(VLOOKUP($E$3,IMPORTRANGE('_Settings'!$B$3,$C$3&amp;""!A4:B1000""),2,FALSE),$G$3&amp;""!A4:A1000""))"),"")</f>
        <v/>
      </c>
      <c r="B5" s="16" t="str">
        <f>IFERROR(__xludf.DUMMYFUNCTION("""COMPUTED_VALUE"""),"Symbol")</f>
        <v>Symbol</v>
      </c>
      <c r="C5" s="16" t="str">
        <f>IFERROR(__xludf.DUMMYFUNCTION("""COMPUTED_VALUE"""),"Order Side")</f>
        <v>Order Side</v>
      </c>
      <c r="D5" s="16" t="str">
        <f>IFERROR(__xludf.DUMMYFUNCTION("""COMPUTED_VALUE"""),"Quantity")</f>
        <v>Quantity</v>
      </c>
      <c r="E5" s="16" t="str">
        <f>IFERROR(__xludf.DUMMYFUNCTION("""COMPUTED_VALUE"""),"TargetQuantityIn")</f>
        <v>TargetQuantityIn</v>
      </c>
      <c r="F5" s="17" t="str">
        <f>IFERROR(__xludf.DUMMYFUNCTION("""COMPUTED_VALUE"""),"AllocationMethod")</f>
        <v>AllocationMethod</v>
      </c>
      <c r="G5" s="16" t="str">
        <f>IFERROR(__xludf.DUMMYFUNCTION("""COMPUTED_VALUE"""),"Broker")</f>
        <v>Broker</v>
      </c>
      <c r="H5" s="16" t="str">
        <f>IFERROR(__xludf.DUMMYFUNCTION("""COMPUTED_VALUE"""),"TIF")</f>
        <v>TIF</v>
      </c>
      <c r="I5" s="16" t="str">
        <f>IFERROR(__xludf.DUMMYFUNCTION("""COMPUTED_VALUE"""),"Order Type")</f>
        <v>Order Type</v>
      </c>
      <c r="J5" s="16" t="str">
        <f>IFERROR(__xludf.DUMMYFUNCTION("""COMPUTED_VALUE"""),"Price")</f>
        <v>Price</v>
      </c>
      <c r="K5" s="16" t="str">
        <f>IFERROR(__xludf.DUMMYFUNCTION("""COMPUTED_VALUE"""),"Stop")</f>
        <v>Stop</v>
      </c>
      <c r="L5" s="16" t="str">
        <f>IFERROR(__xludf.DUMMYFUNCTION("""COMPUTED_VALUE"""),"Limit")</f>
        <v>Limit</v>
      </c>
      <c r="M5" s="16" t="str">
        <f>IFERROR(__xludf.DUMMYFUNCTION("""COMPUTED_VALUE"""),"Strategy")</f>
        <v>Strategy</v>
      </c>
      <c r="N5" s="16" t="str">
        <f>IFERROR(__xludf.DUMMYFUNCTION("""COMPUTED_VALUE"""),"Trade Date")</f>
        <v>Trade Date</v>
      </c>
      <c r="O5" s="16" t="str">
        <f>IFERROR(__xludf.DUMMYFUNCTION("""COMPUTED_VALUE"""),"FxRate")</f>
        <v>FxRate</v>
      </c>
      <c r="P5" s="16" t="str">
        <f>IFERROR(__xludf.DUMMYFUNCTION("""COMPUTED_VALUE"""),"Notes")</f>
        <v>Notes</v>
      </c>
      <c r="Q5" s="16" t="str">
        <f>IFERROR(__xludf.DUMMYFUNCTION("""COMPUTED_VALUE"""),"Broker Notes")</f>
        <v>Broker Notes</v>
      </c>
      <c r="R5" s="16" t="str">
        <f>IFERROR(__xludf.DUMMYFUNCTION("""COMPUTED_VALUE"""),"CommissionBasis")</f>
        <v>CommissionBasis</v>
      </c>
      <c r="S5" s="16" t="str">
        <f>IFERROR(__xludf.DUMMYFUNCTION("""COMPUTED_VALUE"""),"CommissionRate")</f>
        <v>CommissionRate</v>
      </c>
      <c r="T5" s="18" t="str">
        <f>IFERROR(__xludf.DUMMYFUNCTION("""COMPUTED_VALUE"""),"SoftBasis")</f>
        <v>SoftBasis</v>
      </c>
      <c r="U5" s="18" t="str">
        <f>IFERROR(__xludf.DUMMYFUNCTION("""COMPUTED_VALUE"""),"SoftRate")</f>
        <v>SoftRate</v>
      </c>
      <c r="V5" s="18" t="str">
        <f>IFERROR(__xludf.DUMMYFUNCTION("""COMPUTED_VALUE"""),"TradeAttribute1")</f>
        <v>TradeAttribute1</v>
      </c>
      <c r="W5" s="18" t="str">
        <f>IFERROR(__xludf.DUMMYFUNCTION("""COMPUTED_VALUE"""),"TradeAttribute2")</f>
        <v>TradeAttribute2</v>
      </c>
      <c r="X5" s="18" t="str">
        <f>IFERROR(__xludf.DUMMYFUNCTION("""COMPUTED_VALUE"""),"TradeAttribute3")</f>
        <v>TradeAttribute3</v>
      </c>
      <c r="Y5" s="18" t="str">
        <f>IFERROR(__xludf.DUMMYFUNCTION("""COMPUTED_VALUE"""),"TradeAttribute4")</f>
        <v>TradeAttribute4</v>
      </c>
      <c r="Z5" s="18" t="str">
        <f>IFERROR(__xludf.DUMMYFUNCTION("""COMPUTED_VALUE"""),"TradeAttribute5")</f>
        <v>TradeAttribute5</v>
      </c>
      <c r="AA5" s="18" t="str">
        <f>IFERROR(__xludf.DUMMYFUNCTION("""COMPUTED_VALUE"""),"TradeAttribute6")</f>
        <v>TradeAttribute6</v>
      </c>
      <c r="AB5" s="18" t="str">
        <f>IFERROR(__xludf.DUMMYFUNCTION("""COMPUTED_VALUE"""),"Venue")</f>
        <v>Venue</v>
      </c>
      <c r="AC5" s="18" t="str">
        <f>IFERROR(__xludf.DUMMYFUNCTION("""COMPUTED_VALUE"""),"ExecutionInstructions")</f>
        <v>ExecutionInstructions</v>
      </c>
      <c r="AD5" s="18" t="str">
        <f>IFERROR(__xludf.DUMMYFUNCTION("""COMPUTED_VALUE"""),"HandlingInstructions")</f>
        <v>HandlingInstructions</v>
      </c>
      <c r="AE5" s="18" t="str">
        <f>IFERROR(__xludf.DUMMYFUNCTION("""COMPUTED_VALUE"""),"Trader")</f>
        <v>Trader</v>
      </c>
      <c r="AF5" s="18" t="str">
        <f>IFERROR(__xludf.DUMMYFUNCTION("""COMPUTED_VALUE"""),"SettlementCurrency")</f>
        <v>SettlementCurrency</v>
      </c>
      <c r="AG5" s="18" t="str">
        <f>IFERROR(__xludf.DUMMYFUNCTION("""COMPUTED_VALUE"""),"SettlementFXRate")</f>
        <v>SettlementFXRate</v>
      </c>
      <c r="AH5" s="18" t="str">
        <f>IFERROR(__xludf.DUMMYFUNCTION("""COMPUTED_VALUE"""),"SettlementAmount")</f>
        <v>SettlementAmount</v>
      </c>
      <c r="AI5" s="18" t="str">
        <f>IFERROR(__xludf.DUMMYFUNCTION("""COMPUTED_VALUE"""),"SettlementFXOperator")</f>
        <v>SettlementFXOperator</v>
      </c>
      <c r="AJ5" s="18" t="str">
        <f>IFERROR(__xludf.DUMMYFUNCTION("""COMPUTED_VALUE"""),"SettleByBroker")</f>
        <v>SettleByBroker</v>
      </c>
      <c r="AK5" s="18" t="str">
        <f>IFERROR(__xludf.DUMMYFUNCTION("""COMPUTED_VALUE"""),"Account")</f>
        <v>Account</v>
      </c>
      <c r="AL5" s="18" t="str">
        <f>IFERROR(__xludf.DUMMYFUNCTION("""COMPUTED_VALUE"""),"Account %")</f>
        <v>Account %</v>
      </c>
      <c r="AM5" s="18" t="str">
        <f>IFERROR(__xludf.DUMMYFUNCTION("""COMPUTED_VALUE"""),"Deal In")</f>
        <v>Deal In</v>
      </c>
      <c r="AN5" s="18" t="str">
        <f>IFERROR(__xludf.DUMMYFUNCTION("""COMPUTED_VALUE"""),"PopUpQuantity")</f>
        <v>PopUpQuantity</v>
      </c>
      <c r="AO5" s="18" t="str">
        <f>IFERROR(__xludf.DUMMYFUNCTION("""COMPUTED_VALUE"""),"ShortLocate")</f>
        <v>ShortLocate</v>
      </c>
      <c r="AP5" s="18" t="str">
        <f>IFERROR(__xludf.DUMMYFUNCTION("""COMPUTED_VALUE"""),"Rate(%)")</f>
        <v>Rate(%)</v>
      </c>
      <c r="AQ5" s="18" t="str">
        <f>IFERROR(__xludf.DUMMYFUNCTION("""COMPUTED_VALUE"""),"AllowTrade")</f>
        <v>AllowTrade</v>
      </c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7</v>
      </c>
      <c r="C6" s="19" t="s">
        <v>8</v>
      </c>
      <c r="D6" s="19">
        <v>600.0</v>
      </c>
      <c r="E6" s="20">
        <v>600.0</v>
      </c>
      <c r="F6" s="19" t="s">
        <v>9</v>
      </c>
      <c r="G6" s="6"/>
      <c r="H6" s="6"/>
      <c r="I6" s="19" t="s">
        <v>10</v>
      </c>
      <c r="J6" s="19">
        <v>50.0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18</v>
      </c>
      <c r="D3" s="9" t="s">
        <v>3</v>
      </c>
      <c r="E3" s="10" t="s">
        <v>25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IFERROR(__xludf.DUMMYFUNCTION("IF(C3="""","""",Transpose(IMPORTRANGE('_Settings'!$B$3,C3&amp;""!A4:A1000"")))"),"ReplaceFillsOnBlotter")</f>
        <v>ReplaceFillsOnBlotter</v>
      </c>
      <c r="C4" s="13" t="str">
        <f>IFERROR(__xludf.DUMMYFUNCTION("""COMPUTED_VALUE"""),"CheckBlotter")</f>
        <v>CheckBlotter</v>
      </c>
      <c r="D4" s="13" t="str">
        <f>IFERROR(__xludf.DUMMYFUNCTION("""COMPUTED_VALUE"""),"BlotterFunctionalities")</f>
        <v>BlotterFunctionalities</v>
      </c>
      <c r="E4" s="13" t="str">
        <f>IFERROR(__xludf.DUMMYFUNCTION("""COMPUTED_VALUE"""),"TransferToUserWorkingSubs")</f>
        <v>TransferToUserWorkingSubs</v>
      </c>
      <c r="F4" s="13" t="str">
        <f>IFERROR(__xludf.DUMMYFUNCTION("""COMPUTED_VALUE"""),"CancelWorkingSubs")</f>
        <v>CancelWorkingSubs</v>
      </c>
      <c r="G4" s="13" t="str">
        <f>IFERROR(__xludf.DUMMYFUNCTION("""COMPUTED_VALUE"""),"ReplaceWorkingSubs")</f>
        <v>ReplaceWorkingSubs</v>
      </c>
      <c r="H4" s="13" t="str">
        <f>IFERROR(__xludf.DUMMYFUNCTION("""COMPUTED_VALUE"""),"ViewAllocationDetailsWorkingSub")</f>
        <v>ViewAllocationDetailsWorkingSub</v>
      </c>
      <c r="I4" s="13" t="str">
        <f>IFERROR(__xludf.DUMMYFUNCTION("""COMPUTED_VALUE"""),"SelectTradeOnOrderGrid")</f>
        <v>SelectTradeOnOrderGrid</v>
      </c>
      <c r="J4" s="13" t="str">
        <f>IFERROR(__xludf.DUMMYFUNCTION("""COMPUTED_VALUE"""),"ShowDetailsForAlgoTradeSubOrder")</f>
        <v>ShowDetailsForAlgoTradeSubOrder</v>
      </c>
      <c r="K4" s="13" t="str">
        <f>IFERROR(__xludf.DUMMYFUNCTION("""COMPUTED_VALUE"""),"SelectTradeOrderBlotter")</f>
        <v>SelectTradeOrderBlotter</v>
      </c>
      <c r="L4" s="13" t="str">
        <f>IFERROR(__xludf.DUMMYFUNCTION("""COMPUTED_VALUE"""),"AddFillsWorkingSubs")</f>
        <v>AddFillsWorkingSubs</v>
      </c>
      <c r="M4" s="13" t="str">
        <f>IFERROR(__xludf.DUMMYFUNCTION("""COMPUTED_VALUE"""),"EditAddFillsDetails")</f>
        <v>EditAddFillsDetails</v>
      </c>
      <c r="N4" s="13" t="str">
        <f>IFERROR(__xludf.DUMMYFUNCTION("""COMPUTED_VALUE"""),"ShowDetailsForAlgoTradeWorkingSubs")</f>
        <v>ShowDetailsForAlgoTradeWorkingSubs</v>
      </c>
      <c r="O4" s="13" t="str">
        <f>IFERROR(__xludf.DUMMYFUNCTION("""COMPUTED_VALUE"""),"VerifyWorkingSubs")</f>
        <v>VerifyWorkingSubs</v>
      </c>
      <c r="P4" s="14" t="str">
        <f>IFERROR(__xludf.DUMMYFUNCTION("""COMPUTED_VALUE"""),"TransferToUserOrder")</f>
        <v>TransferToUserOrder</v>
      </c>
      <c r="Q4" s="14" t="str">
        <f>IFERROR(__xludf.DUMMYFUNCTION("""COMPUTED_VALUE"""),"EditOrder")</f>
        <v>EditOrder</v>
      </c>
      <c r="R4" s="14" t="str">
        <f>IFERROR(__xludf.DUMMYFUNCTION("""COMPUTED_VALUE"""),"SelectTradeSubOrderBlotter")</f>
        <v>SelectTradeSubOrderBlotter</v>
      </c>
      <c r="S4" s="14" t="str">
        <f>IFERROR(__xludf.DUMMYFUNCTION("""COMPUTED_VALUE"""),"VerifyOrder")</f>
        <v>VerifyOrder</v>
      </c>
      <c r="T4" s="14" t="str">
        <f>IFERROR(__xludf.DUMMYFUNCTION("""COMPUTED_VALUE"""),"VerifySubOrder")</f>
        <v>VerifySubOrder</v>
      </c>
      <c r="U4" s="14" t="str">
        <f>IFERROR(__xludf.DUMMYFUNCTION("""COMPUTED_VALUE"""),"RemoveSelectedOrders")</f>
        <v>RemoveSelectedOrders</v>
      </c>
      <c r="V4" s="14" t="str">
        <f>IFERROR(__xludf.DUMMYFUNCTION("""COMPUTED_VALUE"""),"CancelAllSelectedSubs")</f>
        <v>CancelAllSelectedSubs</v>
      </c>
      <c r="W4" s="14" t="str">
        <f>IFERROR(__xludf.DUMMYFUNCTION("""COMPUTED_VALUE"""),"MultiTradingTicket")</f>
        <v>MultiTradingTicket</v>
      </c>
      <c r="X4" s="14" t="str">
        <f>IFERROR(__xludf.DUMMYFUNCTION("""COMPUTED_VALUE"""),"AuditTrailOrderBlotter")</f>
        <v>AuditTrailOrderBlotter</v>
      </c>
      <c r="Y4" s="14" t="str">
        <f>IFERROR(__xludf.DUMMYFUNCTION("""COMPUTED_VALUE"""),"TradeNewSubOrder")</f>
        <v>TradeNewSubOrder</v>
      </c>
      <c r="Z4" s="14" t="str">
        <f>IFERROR(__xludf.DUMMYFUNCTION("""COMPUTED_VALUE"""),"RemoveStageOrder")</f>
        <v>RemoveStageOrder</v>
      </c>
      <c r="AA4" s="14" t="str">
        <f>IFERROR(__xludf.DUMMYFUNCTION("""COMPUTED_VALUE"""),"TransferToUserSubOrder")</f>
        <v>TransferToUserSubOrder</v>
      </c>
      <c r="AB4" s="14" t="str">
        <f>IFERROR(__xludf.DUMMYFUNCTION("""COMPUTED_VALUE"""),"DetailsForAlgoTradeOrder")</f>
        <v>DetailsForAlgoTradeOrder</v>
      </c>
      <c r="AC4" s="14" t="str">
        <f>IFERROR(__xludf.DUMMYFUNCTION("""COMPUTED_VALUE"""),"AddFillsSubOrder")</f>
        <v>AddFillsSubOrder</v>
      </c>
      <c r="AD4" s="14" t="str">
        <f>IFERROR(__xludf.DUMMYFUNCTION("""COMPUTED_VALUE"""),"ViewAllocationDetailsSubOrder")</f>
        <v>ViewAllocationDetailsSubOrder</v>
      </c>
      <c r="AE4" s="14" t="str">
        <f>IFERROR(__xludf.DUMMYFUNCTION("""COMPUTED_VALUE"""),"CancelAllSubs")</f>
        <v>CancelAllSubs</v>
      </c>
      <c r="AF4" s="14" t="str">
        <f>IFERROR(__xludf.DUMMYFUNCTION("""COMPUTED_VALUE"""),"CancelSubOrder")</f>
        <v>CancelSubOrder</v>
      </c>
      <c r="AG4" s="14" t="str">
        <f>IFERROR(__xludf.DUMMYFUNCTION("""COMPUTED_VALUE"""),"EditStageOrder")</f>
        <v>EditStageOrder</v>
      </c>
      <c r="AH4" s="14" t="str">
        <f>IFERROR(__xludf.DUMMYFUNCTION("""COMPUTED_VALUE"""),"ReplaceSubOrder")</f>
        <v>ReplaceSubOrder</v>
      </c>
      <c r="AI4" s="14" t="str">
        <f>IFERROR(__xludf.DUMMYFUNCTION("""COMPUTED_VALUE"""),"SelectTradeWorkingSubsBlotter")</f>
        <v>SelectTradeWorkingSubsBlotter</v>
      </c>
      <c r="AJ4" s="14" t="str">
        <f>IFERROR(__xludf.DUMMYFUNCTION("""COMPUTED_VALUE"""),"VerifyAlgoDetails")</f>
        <v>VerifyAlgoDetails</v>
      </c>
      <c r="AK4" s="14" t="str">
        <f>IFERROR(__xludf.DUMMYFUNCTION("""COMPUTED_VALUE"""),"VerifyTransferToUserOrder")</f>
        <v>VerifyTransferToUserOrder</v>
      </c>
      <c r="AL4" s="14" t="str">
        <f>IFERROR(__xludf.DUMMYFUNCTION("""COMPUTED_VALUE"""),"VerifyTransferToUserSubOdr")</f>
        <v>VerifyTransferToUserSubOdr</v>
      </c>
      <c r="AM4" s="14" t="str">
        <f>IFERROR(__xludf.DUMMYFUNCTION("""COMPUTED_VALUE"""),"VerifyTransferToUserWorkSub")</f>
        <v>VerifyTransferToUserWorkSub</v>
      </c>
      <c r="AN4" s="14" t="str">
        <f>IFERROR(__xludf.DUMMYFUNCTION("""COMPUTED_VALUE"""),"SaveLayoutOrderGrid")</f>
        <v>SaveLayoutOrderGrid</v>
      </c>
      <c r="AO4" s="14" t="str">
        <f>IFERROR(__xludf.DUMMYFUNCTION("""COMPUTED_VALUE"""),"ReplaceStageOrder")</f>
        <v>ReplaceStageOrder</v>
      </c>
      <c r="AP4" s="14" t="str">
        <f>IFERROR(__xludf.DUMMYFUNCTION("""COMPUTED_VALUE"""),"MultiTradingTicketFromBlotter")</f>
        <v>MultiTradingTicketFromBlotter</v>
      </c>
      <c r="AQ4" s="14" t="str">
        <f>IFERROR(__xludf.DUMMYFUNCTION("""COMPUTED_VALUE"""),"VerifyViewAllocationDetails")</f>
        <v>VerifyViewAllocationDetails</v>
      </c>
      <c r="AR4" s="14" t="str">
        <f>IFERROR(__xludf.DUMMYFUNCTION("""COMPUTED_VALUE"""),"GoToAllocation")</f>
        <v>GoToAllocation</v>
      </c>
      <c r="AS4" s="14" t="str">
        <f>IFERROR(__xludf.DUMMYFUNCTION("""COMPUTED_VALUE"""),"VerifyRollover")</f>
        <v>VerifyRollover</v>
      </c>
      <c r="AT4" s="14" t="str">
        <f>IFERROR(__xludf.DUMMYFUNCTION("""COMPUTED_VALUE"""),"VerifySubOrderAfterRollover")</f>
        <v>VerifySubOrderAfterRollover</v>
      </c>
      <c r="AU4" s="14" t="str">
        <f>IFERROR(__xludf.DUMMYFUNCTION("""COMPUTED_VALUE"""),"OpenBlotter")</f>
        <v>OpenBlotter</v>
      </c>
      <c r="AV4" s="14" t="str">
        <f>IFERROR(__xludf.DUMMYFUNCTION("""COMPUTED_VALUE"""),"OpenBlotter")</f>
        <v>OpenBlotter</v>
      </c>
      <c r="AW4" s="14" t="str">
        <f>IFERROR(__xludf.DUMMYFUNCTION("""COMPUTED_VALUE"""),"RemoveManualExecution")</f>
        <v>RemoveManualExecution</v>
      </c>
      <c r="AX4" s="14" t="str">
        <f>IFERROR(__xludf.DUMMYFUNCTION("""COMPUTED_VALUE"""),"RemoveExecutionWorkingSubs")</f>
        <v>RemoveExecutionWorkingSubs</v>
      </c>
      <c r="AY4" s="14" t="str">
        <f>IFERROR(__xludf.DUMMYFUNCTION("""COMPUTED_VALUE"""),"GetExecutionReportOrders")</f>
        <v>GetExecutionReportOrders</v>
      </c>
      <c r="AZ4" s="14" t="str">
        <f>IFERROR(__xludf.DUMMYFUNCTION("""COMPUTED_VALUE"""),"GetExecutionReportDetails")</f>
        <v>GetExecutionReportDetails</v>
      </c>
      <c r="BA4" s="14" t="str">
        <f>IFERROR(__xludf.DUMMYFUNCTION("""COMPUTED_VALUE"""),"ExportExecutionReportData")</f>
        <v>ExportExecutionReportData</v>
      </c>
      <c r="BB4" s="14" t="str">
        <f>IFERROR(__xludf.DUMMYFUNCTION("""COMPUTED_VALUE"""),"VerifyExecutionReport")</f>
        <v>VerifyExecutionReport</v>
      </c>
      <c r="BC4" s="14" t="str">
        <f>IFERROR(__xludf.DUMMYFUNCTION("""COMPUTED_VALUE"""),"BlotterExecutionReportSnapshot")</f>
        <v>BlotterExecutionReportSnapshot</v>
      </c>
      <c r="BD4" s="14" t="str">
        <f>IFERROR(__xludf.DUMMYFUNCTION("""COMPUTED_VALUE"""),"MultipleTradeTransferToUser")</f>
        <v>MultipleTradeTransferToUser</v>
      </c>
      <c r="BE4" s="14" t="str">
        <f>IFERROR(__xludf.DUMMYFUNCTION("""COMPUTED_VALUE"""),"ReloadOrderFromBlotter")</f>
        <v>ReloadOrderFromBlotter</v>
      </c>
      <c r="BF4" s="14" t="str">
        <f>IFERROR(__xludf.DUMMYFUNCTION("""COMPUTED_VALUE"""),"ReloadOrderFromSubOrder")</f>
        <v>ReloadOrderFromSubOrder</v>
      </c>
      <c r="BG4" s="14" t="str">
        <f>IFERROR(__xludf.DUMMYFUNCTION("""COMPUTED_VALUE"""),"ReloadOrderFromWorkingSubs")</f>
        <v>ReloadOrderFromWorkingSubs</v>
      </c>
      <c r="BH4" s="14" t="str">
        <f>IFERROR(__xludf.DUMMYFUNCTION("""COMPUTED_VALUE"""),"SelectFills")</f>
        <v>SelectFills</v>
      </c>
      <c r="BI4" s="14" t="str">
        <f>IFERROR(__xludf.DUMMYFUNCTION("""COMPUTED_VALUE"""),"ModifyFills")</f>
        <v>ModifyFills</v>
      </c>
      <c r="BJ4" s="14" t="str">
        <f>IFERROR(__xludf.DUMMYFUNCTION("""COMPUTED_VALUE"""),"AddTab")</f>
        <v>AddTab</v>
      </c>
      <c r="BK4" s="14" t="str">
        <f>IFERROR(__xludf.DUMMYFUNCTION("""COMPUTED_VALUE"""),"RemoveTab")</f>
        <v>RemoveTab</v>
      </c>
      <c r="BL4" s="14" t="str">
        <f>IFERROR(__xludf.DUMMYFUNCTION("""COMPUTED_VALUE"""),"SelectCustomTab")</f>
        <v>SelectCustomTab</v>
      </c>
      <c r="BM4" s="14" t="str">
        <f>IFERROR(__xludf.DUMMYFUNCTION("""COMPUTED_VALUE"""),"VerifyOrderCustomTab")</f>
        <v>VerifyOrderCustomTab</v>
      </c>
      <c r="BN4" s="14" t="str">
        <f>IFERROR(__xludf.DUMMYFUNCTION("""COMPUTED_VALUE"""),"VerifySubOrderCustomTab")</f>
        <v>VerifySubOrderCustomTab</v>
      </c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 t="str">
        <f>IFERROR(__xludf.DUMMYFUNCTION("TRANSPOSE(IMPORTRANGE(VLOOKUP($E$3,IMPORTRANGE('_Settings'!$B$3,$C$3&amp;""!A4:B1000""),2,FALSE),$G$3&amp;""!A4:A1000""))"),"")</f>
        <v/>
      </c>
      <c r="B5" s="16" t="str">
        <f>IFERROR(__xludf.DUMMYFUNCTION("""COMPUTED_VALUE"""),"Transaction Time")</f>
        <v>Transaction Time</v>
      </c>
      <c r="C5" s="16" t="str">
        <f>IFERROR(__xludf.DUMMYFUNCTION("""COMPUTED_VALUE"""),"Algo")</f>
        <v>Algo</v>
      </c>
      <c r="D5" s="16" t="str">
        <f>IFERROR(__xludf.DUMMYFUNCTION("""COMPUTED_VALUE"""),"Avg Fill Price (Base)")</f>
        <v>Avg Fill Price (Base)</v>
      </c>
      <c r="E5" s="16" t="str">
        <f>IFERROR(__xludf.DUMMYFUNCTION("""COMPUTED_VALUE"""),"Bloomberg Symbol")</f>
        <v>Bloomberg Symbol</v>
      </c>
      <c r="F5" s="17" t="str">
        <f>IFERROR(__xludf.DUMMYFUNCTION("""COMPUTED_VALUE"""),"Limit Price")</f>
        <v>Limit Price</v>
      </c>
      <c r="G5" s="16" t="str">
        <f>IFERROR(__xludf.DUMMYFUNCTION("""COMPUTED_VALUE"""),"Working Qty")</f>
        <v>Working Qty</v>
      </c>
      <c r="H5" s="16" t="str">
        <f>IFERROR(__xludf.DUMMYFUNCTION("""COMPUTED_VALUE"""),"Venue")</f>
        <v>Venue</v>
      </c>
      <c r="I5" s="16" t="str">
        <f>IFERROR(__xludf.DUMMYFUNCTION("""COMPUTED_VALUE"""),"Current User")</f>
        <v>Current User</v>
      </c>
      <c r="J5" s="16" t="str">
        <f>IFERROR(__xludf.DUMMYFUNCTION("""COMPUTED_VALUE"""),"Underlying Symbol")</f>
        <v>Underlying Symbol</v>
      </c>
      <c r="K5" s="16" t="str">
        <f>IFERROR(__xludf.DUMMYFUNCTION("""COMPUTED_VALUE"""),"Underlying Country")</f>
        <v>Underlying Country</v>
      </c>
      <c r="L5" s="16" t="str">
        <f>IFERROR(__xludf.DUMMYFUNCTION("""COMPUTED_VALUE"""),"Trader")</f>
        <v>Trader</v>
      </c>
      <c r="M5" s="16" t="str">
        <f>IFERROR(__xludf.DUMMYFUNCTION("""COMPUTED_VALUE"""),"Trade Attribute 6")</f>
        <v>Trade Attribute 6</v>
      </c>
      <c r="N5" s="16" t="str">
        <f>IFERROR(__xludf.DUMMYFUNCTION("""COMPUTED_VALUE"""),"Trade Attribute 5")</f>
        <v>Trade Attribute 5</v>
      </c>
      <c r="O5" s="16" t="str">
        <f>IFERROR(__xludf.DUMMYFUNCTION("""COMPUTED_VALUE"""),"Trade Attribute 4")</f>
        <v>Trade Attribute 4</v>
      </c>
      <c r="P5" s="16" t="str">
        <f>IFERROR(__xludf.DUMMYFUNCTION("""COMPUTED_VALUE"""),"Trade Attribute 3")</f>
        <v>Trade Attribute 3</v>
      </c>
      <c r="Q5" s="16" t="str">
        <f>IFERROR(__xludf.DUMMYFUNCTION("""COMPUTED_VALUE"""),"Trade Attribute 2")</f>
        <v>Trade Attribute 2</v>
      </c>
      <c r="R5" s="16" t="str">
        <f>IFERROR(__xludf.DUMMYFUNCTION("""COMPUTED_VALUE"""),"Trade Attribute 1")</f>
        <v>Trade Attribute 1</v>
      </c>
      <c r="S5" s="16" t="str">
        <f>IFERROR(__xludf.DUMMYFUNCTION("""COMPUTED_VALUE"""),"Strike Price")</f>
        <v>Strike Price</v>
      </c>
      <c r="T5" s="18" t="str">
        <f>IFERROR(__xludf.DUMMYFUNCTION("""COMPUTED_VALUE"""),"Stop Price")</f>
        <v>Stop Price</v>
      </c>
      <c r="U5" s="18" t="str">
        <f>IFERROR(__xludf.DUMMYFUNCTION("""COMPUTED_VALUE"""),"Settlement Currency")</f>
        <v>Settlement Currency</v>
      </c>
      <c r="V5" s="18" t="str">
        <f>IFERROR(__xludf.DUMMYFUNCTION("""COMPUTED_VALUE"""),"Put/Call")</f>
        <v>Put/Call</v>
      </c>
      <c r="W5" s="18" t="str">
        <f>IFERROR(__xludf.DUMMYFUNCTION("""COMPUTED_VALUE"""),"Process Date")</f>
        <v>Process Date</v>
      </c>
      <c r="X5" s="18" t="str">
        <f>IFERROR(__xludf.DUMMYFUNCTION("""COMPUTED_VALUE"""),"Peg")</f>
        <v>Peg</v>
      </c>
      <c r="Y5" s="18" t="str">
        <f>IFERROR(__xludf.DUMMYFUNCTION("""COMPUTED_VALUE"""),"ParentClOrderID")</f>
        <v>ParentClOrderID</v>
      </c>
      <c r="Z5" s="18" t="str">
        <f>IFERROR(__xludf.DUMMYFUNCTION("""COMPUTED_VALUE"""),"OrderID")</f>
        <v>OrderID</v>
      </c>
      <c r="AA5" s="18" t="str">
        <f>IFERROR(__xludf.DUMMYFUNCTION("""COMPUTED_VALUE"""),"Master Fund")</f>
        <v>Master Fund</v>
      </c>
      <c r="AB5" s="18" t="str">
        <f>IFERROR(__xludf.DUMMYFUNCTION("""COMPUTED_VALUE"""),"Last Shares")</f>
        <v>Last Shares</v>
      </c>
      <c r="AC5" s="18" t="str">
        <f>IFERROR(__xludf.DUMMYFUNCTION("""COMPUTED_VALUE"""),"Internal Comments")</f>
        <v>Internal Comments</v>
      </c>
      <c r="AD5" s="18" t="str">
        <f>IFERROR(__xludf.DUMMYFUNCTION("""COMPUTED_VALUE"""),"FX Rate")</f>
        <v>FX Rate</v>
      </c>
      <c r="AE5" s="18" t="str">
        <f>IFERROR(__xludf.DUMMYFUNCTION("""COMPUTED_VALUE"""),"Imported File Name")</f>
        <v>Imported File Name</v>
      </c>
      <c r="AF5" s="18" t="str">
        <f>IFERROR(__xludf.DUMMYFUNCTION("""COMPUTED_VALUE"""),"FX Conversion Operator")</f>
        <v>FX Conversion Operator</v>
      </c>
      <c r="AG5" s="18" t="str">
        <f>IFERROR(__xludf.DUMMYFUNCTION("""COMPUTED_VALUE"""),"Day Average Price")</f>
        <v>Day Average Price</v>
      </c>
      <c r="AH5" s="18" t="str">
        <f>IFERROR(__xludf.DUMMYFUNCTION("""COMPUTED_VALUE"""),"Asset Class")</f>
        <v>Asset Class</v>
      </c>
      <c r="AI5" s="18" t="str">
        <f>IFERROR(__xludf.DUMMYFUNCTION("""COMPUTED_VALUE"""),"Symbol")</f>
        <v>Symbol</v>
      </c>
      <c r="AJ5" s="18" t="str">
        <f>IFERROR(__xludf.DUMMYFUNCTION("""COMPUTED_VALUE"""),"Side")</f>
        <v>Side</v>
      </c>
      <c r="AK5" s="18" t="str">
        <f>IFERROR(__xludf.DUMMYFUNCTION("""COMPUTED_VALUE"""),"Status")</f>
        <v>Status</v>
      </c>
      <c r="AL5" s="18" t="str">
        <f>IFERROR(__xludf.DUMMYFUNCTION("""COMPUTED_VALUE"""),"Quantity")</f>
        <v>Quantity</v>
      </c>
      <c r="AM5" s="18" t="str">
        <f>IFERROR(__xludf.DUMMYFUNCTION("""COMPUTED_VALUE"""),"Executed Qty")</f>
        <v>Executed Qty</v>
      </c>
      <c r="AN5" s="18" t="str">
        <f>IFERROR(__xludf.DUMMYFUNCTION("""COMPUTED_VALUE"""),"Day Executed Qty")</f>
        <v>Day Executed Qty</v>
      </c>
      <c r="AO5" s="18" t="str">
        <f>IFERROR(__xludf.DUMMYFUNCTION("""COMPUTED_VALUE"""),"Last Fill Price (Local)")</f>
        <v>Last Fill Price (Local)</v>
      </c>
      <c r="AP5" s="18" t="str">
        <f>IFERROR(__xludf.DUMMYFUNCTION("""COMPUTED_VALUE"""),"Avg Fill Price (Local)")</f>
        <v>Avg Fill Price (Local)</v>
      </c>
      <c r="AQ5" s="18" t="str">
        <f>IFERROR(__xludf.DUMMYFUNCTION("""COMPUTED_VALUE"""),"Broker")</f>
        <v>Broker</v>
      </c>
      <c r="AR5" s="18" t="str">
        <f>IFERROR(__xludf.DUMMYFUNCTION("""COMPUTED_VALUE"""),"Account")</f>
        <v>Account</v>
      </c>
      <c r="AS5" s="18" t="str">
        <f>IFERROR(__xludf.DUMMYFUNCTION("""COMPUTED_VALUE"""),"Order Type")</f>
        <v>Order Type</v>
      </c>
      <c r="AT5" s="18" t="str">
        <f>IFERROR(__xludf.DUMMYFUNCTION("""COMPUTED_VALUE"""),"Principal Amount (Local)")</f>
        <v>Principal Amount (Local)</v>
      </c>
      <c r="AU5" s="18" t="str">
        <f>IFERROR(__xludf.DUMMYFUNCTION("""COMPUTED_VALUE"""),"Principal Amount (Base)")</f>
        <v>Principal Amount (Base)</v>
      </c>
      <c r="AV5" s="18" t="str">
        <f>IFERROR(__xludf.DUMMYFUNCTION("""COMPUTED_VALUE"""),"Allocation Scheme Name")</f>
        <v>Allocation Scheme Name</v>
      </c>
      <c r="AW5" s="18" t="str">
        <f>IFERROR(__xludf.DUMMYFUNCTION("""COMPUTED_VALUE"""),"Status (With Rollover)")</f>
        <v>Status (With Rollover)</v>
      </c>
      <c r="AX5" s="18" t="str">
        <f>IFERROR(__xludf.DUMMYFUNCTION("""COMPUTED_VALUE"""),"Unexecuted Qty")</f>
        <v>Unexecuted Qty</v>
      </c>
      <c r="AY5" s="18" t="str">
        <f>IFERROR(__xludf.DUMMYFUNCTION("""COMPUTED_VALUE"""),"Strategy")</f>
        <v>Strategy</v>
      </c>
      <c r="AZ5" s="18" t="str">
        <f>IFERROR(__xludf.DUMMYFUNCTION("""COMPUTED_VALUE"""),"Actual User")</f>
        <v>Actual User</v>
      </c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/>
      <c r="C6" s="6"/>
      <c r="D6" s="19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B6" s="20">
        <v>600.0</v>
      </c>
      <c r="AI6" s="20" t="s">
        <v>7</v>
      </c>
      <c r="AJ6" s="20" t="s">
        <v>8</v>
      </c>
      <c r="AK6" s="20" t="s">
        <v>26</v>
      </c>
      <c r="AL6" s="20">
        <v>600.0</v>
      </c>
      <c r="AN6" s="20"/>
      <c r="AO6" s="20">
        <v>50.0</v>
      </c>
      <c r="AP6" s="20">
        <v>50.0</v>
      </c>
      <c r="AS6" s="20" t="s">
        <v>10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B7" s="20">
        <v>400.0</v>
      </c>
      <c r="AI7" s="20" t="s">
        <v>7</v>
      </c>
      <c r="AJ7" s="20" t="s">
        <v>8</v>
      </c>
      <c r="AK7" s="20" t="s">
        <v>26</v>
      </c>
      <c r="AL7" s="20">
        <v>400.0</v>
      </c>
      <c r="AN7" s="20"/>
      <c r="AO7" s="20">
        <v>50.0</v>
      </c>
      <c r="AP7" s="20">
        <v>50.0</v>
      </c>
      <c r="AS7" s="20" t="s">
        <v>10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18</v>
      </c>
      <c r="D3" s="9" t="s">
        <v>3</v>
      </c>
      <c r="E3" s="10" t="s">
        <v>27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IFERROR(__xludf.DUMMYFUNCTION("IF(C3="""","""",Transpose(IMPORTRANGE('_Settings'!$B$3,C3&amp;""!A4:A1000"")))"),"ReplaceFillsOnBlotter")</f>
        <v>ReplaceFillsOnBlotter</v>
      </c>
      <c r="C4" s="13" t="str">
        <f>IFERROR(__xludf.DUMMYFUNCTION("""COMPUTED_VALUE"""),"CheckBlotter")</f>
        <v>CheckBlotter</v>
      </c>
      <c r="D4" s="13" t="str">
        <f>IFERROR(__xludf.DUMMYFUNCTION("""COMPUTED_VALUE"""),"BlotterFunctionalities")</f>
        <v>BlotterFunctionalities</v>
      </c>
      <c r="E4" s="13" t="str">
        <f>IFERROR(__xludf.DUMMYFUNCTION("""COMPUTED_VALUE"""),"TransferToUserWorkingSubs")</f>
        <v>TransferToUserWorkingSubs</v>
      </c>
      <c r="F4" s="13" t="str">
        <f>IFERROR(__xludf.DUMMYFUNCTION("""COMPUTED_VALUE"""),"CancelWorkingSubs")</f>
        <v>CancelWorkingSubs</v>
      </c>
      <c r="G4" s="13" t="str">
        <f>IFERROR(__xludf.DUMMYFUNCTION("""COMPUTED_VALUE"""),"ReplaceWorkingSubs")</f>
        <v>ReplaceWorkingSubs</v>
      </c>
      <c r="H4" s="13" t="str">
        <f>IFERROR(__xludf.DUMMYFUNCTION("""COMPUTED_VALUE"""),"ViewAllocationDetailsWorkingSub")</f>
        <v>ViewAllocationDetailsWorkingSub</v>
      </c>
      <c r="I4" s="13" t="str">
        <f>IFERROR(__xludf.DUMMYFUNCTION("""COMPUTED_VALUE"""),"SelectTradeOnOrderGrid")</f>
        <v>SelectTradeOnOrderGrid</v>
      </c>
      <c r="J4" s="13" t="str">
        <f>IFERROR(__xludf.DUMMYFUNCTION("""COMPUTED_VALUE"""),"ShowDetailsForAlgoTradeSubOrder")</f>
        <v>ShowDetailsForAlgoTradeSubOrder</v>
      </c>
      <c r="K4" s="13" t="str">
        <f>IFERROR(__xludf.DUMMYFUNCTION("""COMPUTED_VALUE"""),"SelectTradeOrderBlotter")</f>
        <v>SelectTradeOrderBlotter</v>
      </c>
      <c r="L4" s="13" t="str">
        <f>IFERROR(__xludf.DUMMYFUNCTION("""COMPUTED_VALUE"""),"AddFillsWorkingSubs")</f>
        <v>AddFillsWorkingSubs</v>
      </c>
      <c r="M4" s="13" t="str">
        <f>IFERROR(__xludf.DUMMYFUNCTION("""COMPUTED_VALUE"""),"EditAddFillsDetails")</f>
        <v>EditAddFillsDetails</v>
      </c>
      <c r="N4" s="13" t="str">
        <f>IFERROR(__xludf.DUMMYFUNCTION("""COMPUTED_VALUE"""),"ShowDetailsForAlgoTradeWorkingSubs")</f>
        <v>ShowDetailsForAlgoTradeWorkingSubs</v>
      </c>
      <c r="O4" s="13" t="str">
        <f>IFERROR(__xludf.DUMMYFUNCTION("""COMPUTED_VALUE"""),"VerifyWorkingSubs")</f>
        <v>VerifyWorkingSubs</v>
      </c>
      <c r="P4" s="14" t="str">
        <f>IFERROR(__xludf.DUMMYFUNCTION("""COMPUTED_VALUE"""),"TransferToUserOrder")</f>
        <v>TransferToUserOrder</v>
      </c>
      <c r="Q4" s="14" t="str">
        <f>IFERROR(__xludf.DUMMYFUNCTION("""COMPUTED_VALUE"""),"EditOrder")</f>
        <v>EditOrder</v>
      </c>
      <c r="R4" s="14" t="str">
        <f>IFERROR(__xludf.DUMMYFUNCTION("""COMPUTED_VALUE"""),"SelectTradeSubOrderBlotter")</f>
        <v>SelectTradeSubOrderBlotter</v>
      </c>
      <c r="S4" s="14" t="str">
        <f>IFERROR(__xludf.DUMMYFUNCTION("""COMPUTED_VALUE"""),"VerifyOrder")</f>
        <v>VerifyOrder</v>
      </c>
      <c r="T4" s="14" t="str">
        <f>IFERROR(__xludf.DUMMYFUNCTION("""COMPUTED_VALUE"""),"VerifySubOrder")</f>
        <v>VerifySubOrder</v>
      </c>
      <c r="U4" s="14" t="str">
        <f>IFERROR(__xludf.DUMMYFUNCTION("""COMPUTED_VALUE"""),"RemoveSelectedOrders")</f>
        <v>RemoveSelectedOrders</v>
      </c>
      <c r="V4" s="14" t="str">
        <f>IFERROR(__xludf.DUMMYFUNCTION("""COMPUTED_VALUE"""),"CancelAllSelectedSubs")</f>
        <v>CancelAllSelectedSubs</v>
      </c>
      <c r="W4" s="14" t="str">
        <f>IFERROR(__xludf.DUMMYFUNCTION("""COMPUTED_VALUE"""),"MultiTradingTicket")</f>
        <v>MultiTradingTicket</v>
      </c>
      <c r="X4" s="14" t="str">
        <f>IFERROR(__xludf.DUMMYFUNCTION("""COMPUTED_VALUE"""),"AuditTrailOrderBlotter")</f>
        <v>AuditTrailOrderBlotter</v>
      </c>
      <c r="Y4" s="14" t="str">
        <f>IFERROR(__xludf.DUMMYFUNCTION("""COMPUTED_VALUE"""),"TradeNewSubOrder")</f>
        <v>TradeNewSubOrder</v>
      </c>
      <c r="Z4" s="14" t="str">
        <f>IFERROR(__xludf.DUMMYFUNCTION("""COMPUTED_VALUE"""),"RemoveStageOrder")</f>
        <v>RemoveStageOrder</v>
      </c>
      <c r="AA4" s="14" t="str">
        <f>IFERROR(__xludf.DUMMYFUNCTION("""COMPUTED_VALUE"""),"TransferToUserSubOrder")</f>
        <v>TransferToUserSubOrder</v>
      </c>
      <c r="AB4" s="14" t="str">
        <f>IFERROR(__xludf.DUMMYFUNCTION("""COMPUTED_VALUE"""),"DetailsForAlgoTradeOrder")</f>
        <v>DetailsForAlgoTradeOrder</v>
      </c>
      <c r="AC4" s="14" t="str">
        <f>IFERROR(__xludf.DUMMYFUNCTION("""COMPUTED_VALUE"""),"AddFillsSubOrder")</f>
        <v>AddFillsSubOrder</v>
      </c>
      <c r="AD4" s="14" t="str">
        <f>IFERROR(__xludf.DUMMYFUNCTION("""COMPUTED_VALUE"""),"ViewAllocationDetailsSubOrder")</f>
        <v>ViewAllocationDetailsSubOrder</v>
      </c>
      <c r="AE4" s="14" t="str">
        <f>IFERROR(__xludf.DUMMYFUNCTION("""COMPUTED_VALUE"""),"CancelAllSubs")</f>
        <v>CancelAllSubs</v>
      </c>
      <c r="AF4" s="14" t="str">
        <f>IFERROR(__xludf.DUMMYFUNCTION("""COMPUTED_VALUE"""),"CancelSubOrder")</f>
        <v>CancelSubOrder</v>
      </c>
      <c r="AG4" s="14" t="str">
        <f>IFERROR(__xludf.DUMMYFUNCTION("""COMPUTED_VALUE"""),"EditStageOrder")</f>
        <v>EditStageOrder</v>
      </c>
      <c r="AH4" s="14" t="str">
        <f>IFERROR(__xludf.DUMMYFUNCTION("""COMPUTED_VALUE"""),"ReplaceSubOrder")</f>
        <v>ReplaceSubOrder</v>
      </c>
      <c r="AI4" s="14" t="str">
        <f>IFERROR(__xludf.DUMMYFUNCTION("""COMPUTED_VALUE"""),"SelectTradeWorkingSubsBlotter")</f>
        <v>SelectTradeWorkingSubsBlotter</v>
      </c>
      <c r="AJ4" s="14" t="str">
        <f>IFERROR(__xludf.DUMMYFUNCTION("""COMPUTED_VALUE"""),"VerifyAlgoDetails")</f>
        <v>VerifyAlgoDetails</v>
      </c>
      <c r="AK4" s="14" t="str">
        <f>IFERROR(__xludf.DUMMYFUNCTION("""COMPUTED_VALUE"""),"VerifyTransferToUserOrder")</f>
        <v>VerifyTransferToUserOrder</v>
      </c>
      <c r="AL4" s="14" t="str">
        <f>IFERROR(__xludf.DUMMYFUNCTION("""COMPUTED_VALUE"""),"VerifyTransferToUserSubOdr")</f>
        <v>VerifyTransferToUserSubOdr</v>
      </c>
      <c r="AM4" s="14" t="str">
        <f>IFERROR(__xludf.DUMMYFUNCTION("""COMPUTED_VALUE"""),"VerifyTransferToUserWorkSub")</f>
        <v>VerifyTransferToUserWorkSub</v>
      </c>
      <c r="AN4" s="14" t="str">
        <f>IFERROR(__xludf.DUMMYFUNCTION("""COMPUTED_VALUE"""),"SaveLayoutOrderGrid")</f>
        <v>SaveLayoutOrderGrid</v>
      </c>
      <c r="AO4" s="14" t="str">
        <f>IFERROR(__xludf.DUMMYFUNCTION("""COMPUTED_VALUE"""),"ReplaceStageOrder")</f>
        <v>ReplaceStageOrder</v>
      </c>
      <c r="AP4" s="14" t="str">
        <f>IFERROR(__xludf.DUMMYFUNCTION("""COMPUTED_VALUE"""),"MultiTradingTicketFromBlotter")</f>
        <v>MultiTradingTicketFromBlotter</v>
      </c>
      <c r="AQ4" s="14" t="str">
        <f>IFERROR(__xludf.DUMMYFUNCTION("""COMPUTED_VALUE"""),"VerifyViewAllocationDetails")</f>
        <v>VerifyViewAllocationDetails</v>
      </c>
      <c r="AR4" s="14" t="str">
        <f>IFERROR(__xludf.DUMMYFUNCTION("""COMPUTED_VALUE"""),"GoToAllocation")</f>
        <v>GoToAllocation</v>
      </c>
      <c r="AS4" s="14" t="str">
        <f>IFERROR(__xludf.DUMMYFUNCTION("""COMPUTED_VALUE"""),"VerifyRollover")</f>
        <v>VerifyRollover</v>
      </c>
      <c r="AT4" s="14" t="str">
        <f>IFERROR(__xludf.DUMMYFUNCTION("""COMPUTED_VALUE"""),"VerifySubOrderAfterRollover")</f>
        <v>VerifySubOrderAfterRollover</v>
      </c>
      <c r="AU4" s="14" t="str">
        <f>IFERROR(__xludf.DUMMYFUNCTION("""COMPUTED_VALUE"""),"OpenBlotter")</f>
        <v>OpenBlotter</v>
      </c>
      <c r="AV4" s="14" t="str">
        <f>IFERROR(__xludf.DUMMYFUNCTION("""COMPUTED_VALUE"""),"OpenBlotter")</f>
        <v>OpenBlotter</v>
      </c>
      <c r="AW4" s="14" t="str">
        <f>IFERROR(__xludf.DUMMYFUNCTION("""COMPUTED_VALUE"""),"RemoveManualExecution")</f>
        <v>RemoveManualExecution</v>
      </c>
      <c r="AX4" s="14" t="str">
        <f>IFERROR(__xludf.DUMMYFUNCTION("""COMPUTED_VALUE"""),"RemoveExecutionWorkingSubs")</f>
        <v>RemoveExecutionWorkingSubs</v>
      </c>
      <c r="AY4" s="14" t="str">
        <f>IFERROR(__xludf.DUMMYFUNCTION("""COMPUTED_VALUE"""),"GetExecutionReportOrders")</f>
        <v>GetExecutionReportOrders</v>
      </c>
      <c r="AZ4" s="14" t="str">
        <f>IFERROR(__xludf.DUMMYFUNCTION("""COMPUTED_VALUE"""),"GetExecutionReportDetails")</f>
        <v>GetExecutionReportDetails</v>
      </c>
      <c r="BA4" s="14" t="str">
        <f>IFERROR(__xludf.DUMMYFUNCTION("""COMPUTED_VALUE"""),"ExportExecutionReportData")</f>
        <v>ExportExecutionReportData</v>
      </c>
      <c r="BB4" s="14" t="str">
        <f>IFERROR(__xludf.DUMMYFUNCTION("""COMPUTED_VALUE"""),"VerifyExecutionReport")</f>
        <v>VerifyExecutionReport</v>
      </c>
      <c r="BC4" s="14" t="str">
        <f>IFERROR(__xludf.DUMMYFUNCTION("""COMPUTED_VALUE"""),"BlotterExecutionReportSnapshot")</f>
        <v>BlotterExecutionReportSnapshot</v>
      </c>
      <c r="BD4" s="14" t="str">
        <f>IFERROR(__xludf.DUMMYFUNCTION("""COMPUTED_VALUE"""),"MultipleTradeTransferToUser")</f>
        <v>MultipleTradeTransferToUser</v>
      </c>
      <c r="BE4" s="14" t="str">
        <f>IFERROR(__xludf.DUMMYFUNCTION("""COMPUTED_VALUE"""),"ReloadOrderFromBlotter")</f>
        <v>ReloadOrderFromBlotter</v>
      </c>
      <c r="BF4" s="14" t="str">
        <f>IFERROR(__xludf.DUMMYFUNCTION("""COMPUTED_VALUE"""),"ReloadOrderFromSubOrder")</f>
        <v>ReloadOrderFromSubOrder</v>
      </c>
      <c r="BG4" s="14" t="str">
        <f>IFERROR(__xludf.DUMMYFUNCTION("""COMPUTED_VALUE"""),"ReloadOrderFromWorkingSubs")</f>
        <v>ReloadOrderFromWorkingSubs</v>
      </c>
      <c r="BH4" s="14" t="str">
        <f>IFERROR(__xludf.DUMMYFUNCTION("""COMPUTED_VALUE"""),"SelectFills")</f>
        <v>SelectFills</v>
      </c>
      <c r="BI4" s="14" t="str">
        <f>IFERROR(__xludf.DUMMYFUNCTION("""COMPUTED_VALUE"""),"ModifyFills")</f>
        <v>ModifyFills</v>
      </c>
      <c r="BJ4" s="14" t="str">
        <f>IFERROR(__xludf.DUMMYFUNCTION("""COMPUTED_VALUE"""),"AddTab")</f>
        <v>AddTab</v>
      </c>
      <c r="BK4" s="14" t="str">
        <f>IFERROR(__xludf.DUMMYFUNCTION("""COMPUTED_VALUE"""),"RemoveTab")</f>
        <v>RemoveTab</v>
      </c>
      <c r="BL4" s="14" t="str">
        <f>IFERROR(__xludf.DUMMYFUNCTION("""COMPUTED_VALUE"""),"SelectCustomTab")</f>
        <v>SelectCustomTab</v>
      </c>
      <c r="BM4" s="14" t="str">
        <f>IFERROR(__xludf.DUMMYFUNCTION("""COMPUTED_VALUE"""),"VerifyOrderCustomTab")</f>
        <v>VerifyOrderCustomTab</v>
      </c>
      <c r="BN4" s="14" t="str">
        <f>IFERROR(__xludf.DUMMYFUNCTION("""COMPUTED_VALUE"""),"VerifySubOrderCustomTab")</f>
        <v>VerifySubOrderCustomTab</v>
      </c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 t="str">
        <f>IFERROR(__xludf.DUMMYFUNCTION("TRANSPOSE(IMPORTRANGE(VLOOKUP($E$3,IMPORTRANGE('_Settings'!$B$3,$C$3&amp;""!A4:B1000""),2,FALSE),$G$3&amp;""!A4:A1000""))"),"")</f>
        <v/>
      </c>
      <c r="B5" s="16" t="str">
        <f>IFERROR(__xludf.DUMMYFUNCTION("""COMPUTED_VALUE"""),"Transaction Time")</f>
        <v>Transaction Time</v>
      </c>
      <c r="C5" s="16" t="str">
        <f>IFERROR(__xludf.DUMMYFUNCTION("""COMPUTED_VALUE"""),"Algo")</f>
        <v>Algo</v>
      </c>
      <c r="D5" s="16" t="str">
        <f>IFERROR(__xludf.DUMMYFUNCTION("""COMPUTED_VALUE"""),"Avg Fill Price (Base)")</f>
        <v>Avg Fill Price (Base)</v>
      </c>
      <c r="E5" s="16" t="str">
        <f>IFERROR(__xludf.DUMMYFUNCTION("""COMPUTED_VALUE"""),"Bloomberg Symbol")</f>
        <v>Bloomberg Symbol</v>
      </c>
      <c r="F5" s="17" t="str">
        <f>IFERROR(__xludf.DUMMYFUNCTION("""COMPUTED_VALUE"""),"Limit Price")</f>
        <v>Limit Price</v>
      </c>
      <c r="G5" s="16" t="str">
        <f>IFERROR(__xludf.DUMMYFUNCTION("""COMPUTED_VALUE"""),"Working Qty")</f>
        <v>Working Qty</v>
      </c>
      <c r="H5" s="16" t="str">
        <f>IFERROR(__xludf.DUMMYFUNCTION("""COMPUTED_VALUE"""),"Venue")</f>
        <v>Venue</v>
      </c>
      <c r="I5" s="16" t="str">
        <f>IFERROR(__xludf.DUMMYFUNCTION("""COMPUTED_VALUE"""),"User")</f>
        <v>User</v>
      </c>
      <c r="J5" s="16" t="str">
        <f>IFERROR(__xludf.DUMMYFUNCTION("""COMPUTED_VALUE"""),"Underlying Symbol")</f>
        <v>Underlying Symbol</v>
      </c>
      <c r="K5" s="16" t="str">
        <f>IFERROR(__xludf.DUMMYFUNCTION("""COMPUTED_VALUE"""),"Underlying Country")</f>
        <v>Underlying Country</v>
      </c>
      <c r="L5" s="16" t="str">
        <f>IFERROR(__xludf.DUMMYFUNCTION("""COMPUTED_VALUE"""),"Trader")</f>
        <v>Trader</v>
      </c>
      <c r="M5" s="16" t="str">
        <f>IFERROR(__xludf.DUMMYFUNCTION("""COMPUTED_VALUE"""),"Trade Attribute 1")</f>
        <v>Trade Attribute 1</v>
      </c>
      <c r="N5" s="16" t="str">
        <f>IFERROR(__xludf.DUMMYFUNCTION("""COMPUTED_VALUE"""),"Trade Attribute 2")</f>
        <v>Trade Attribute 2</v>
      </c>
      <c r="O5" s="16" t="str">
        <f>IFERROR(__xludf.DUMMYFUNCTION("""COMPUTED_VALUE"""),"Trade Attribute 3")</f>
        <v>Trade Attribute 3</v>
      </c>
      <c r="P5" s="16" t="str">
        <f>IFERROR(__xludf.DUMMYFUNCTION("""COMPUTED_VALUE"""),"Trade Attribute 4")</f>
        <v>Trade Attribute 4</v>
      </c>
      <c r="Q5" s="16" t="str">
        <f>IFERROR(__xludf.DUMMYFUNCTION("""COMPUTED_VALUE"""),"Trade Attribute 5")</f>
        <v>Trade Attribute 5</v>
      </c>
      <c r="R5" s="16" t="str">
        <f>IFERROR(__xludf.DUMMYFUNCTION("""COMPUTED_VALUE"""),"Trade Attribute 6")</f>
        <v>Trade Attribute 6</v>
      </c>
      <c r="S5" s="16" t="str">
        <f>IFERROR(__xludf.DUMMYFUNCTION("""COMPUTED_VALUE"""),"Strike Price")</f>
        <v>Strike Price</v>
      </c>
      <c r="T5" s="18" t="str">
        <f>IFERROR(__xludf.DUMMYFUNCTION("""COMPUTED_VALUE"""),"Stop Price")</f>
        <v>Stop Price</v>
      </c>
      <c r="U5" s="18" t="str">
        <f>IFERROR(__xludf.DUMMYFUNCTION("""COMPUTED_VALUE"""),"Settlement Currency")</f>
        <v>Settlement Currency</v>
      </c>
      <c r="V5" s="18" t="str">
        <f>IFERROR(__xludf.DUMMYFUNCTION("""COMPUTED_VALUE"""),"Put/Call")</f>
        <v>Put/Call</v>
      </c>
      <c r="W5" s="18" t="str">
        <f>IFERROR(__xludf.DUMMYFUNCTION("""COMPUTED_VALUE"""),"Process Date")</f>
        <v>Process Date</v>
      </c>
      <c r="X5" s="18" t="str">
        <f>IFERROR(__xludf.DUMMYFUNCTION("""COMPUTED_VALUE"""),"Peg")</f>
        <v>Peg</v>
      </c>
      <c r="Y5" s="18" t="str">
        <f>IFERROR(__xludf.DUMMYFUNCTION("""COMPUTED_VALUE"""),"ParentClOrderID")</f>
        <v>ParentClOrderID</v>
      </c>
      <c r="Z5" s="18" t="str">
        <f>IFERROR(__xludf.DUMMYFUNCTION("""COMPUTED_VALUE"""),"OrderID")</f>
        <v>OrderID</v>
      </c>
      <c r="AA5" s="18" t="str">
        <f>IFERROR(__xludf.DUMMYFUNCTION("""COMPUTED_VALUE"""),"Master Fund")</f>
        <v>Master Fund</v>
      </c>
      <c r="AB5" s="18" t="str">
        <f>IFERROR(__xludf.DUMMYFUNCTION("""COMPUTED_VALUE"""),"Last Shares")</f>
        <v>Last Shares</v>
      </c>
      <c r="AC5" s="18" t="str">
        <f>IFERROR(__xludf.DUMMYFUNCTION("""COMPUTED_VALUE"""),"Internal Comments")</f>
        <v>Internal Comments</v>
      </c>
      <c r="AD5" s="18" t="str">
        <f>IFERROR(__xludf.DUMMYFUNCTION("""COMPUTED_VALUE"""),"FX Rate")</f>
        <v>FX Rate</v>
      </c>
      <c r="AE5" s="18" t="str">
        <f>IFERROR(__xludf.DUMMYFUNCTION("""COMPUTED_VALUE"""),"Imported File Name")</f>
        <v>Imported File Name</v>
      </c>
      <c r="AF5" s="18" t="str">
        <f>IFERROR(__xludf.DUMMYFUNCTION("""COMPUTED_VALUE"""),"FX Conversion Operator")</f>
        <v>FX Conversion Operator</v>
      </c>
      <c r="AG5" s="18" t="str">
        <f>IFERROR(__xludf.DUMMYFUNCTION("""COMPUTED_VALUE"""),"Day Average Price")</f>
        <v>Day Average Price</v>
      </c>
      <c r="AH5" s="18" t="str">
        <f>IFERROR(__xludf.DUMMYFUNCTION("""COMPUTED_VALUE"""),"Asset Class")</f>
        <v>Asset Class</v>
      </c>
      <c r="AI5" s="18" t="str">
        <f>IFERROR(__xludf.DUMMYFUNCTION("""COMPUTED_VALUE"""),"Symbol")</f>
        <v>Symbol</v>
      </c>
      <c r="AJ5" s="18" t="str">
        <f>IFERROR(__xludf.DUMMYFUNCTION("""COMPUTED_VALUE"""),"Side")</f>
        <v>Side</v>
      </c>
      <c r="AK5" s="18" t="str">
        <f>IFERROR(__xludf.DUMMYFUNCTION("""COMPUTED_VALUE"""),"Status")</f>
        <v>Status</v>
      </c>
      <c r="AL5" s="18" t="str">
        <f>IFERROR(__xludf.DUMMYFUNCTION("""COMPUTED_VALUE"""),"Target Qty")</f>
        <v>Target Qty</v>
      </c>
      <c r="AM5" s="18" t="str">
        <f>IFERROR(__xludf.DUMMYFUNCTION("""COMPUTED_VALUE"""),"Total Executed Qty")</f>
        <v>Total Executed Qty</v>
      </c>
      <c r="AN5" s="18" t="str">
        <f>IFERROR(__xludf.DUMMYFUNCTION("""COMPUTED_VALUE"""),"% Executed")</f>
        <v>% Executed</v>
      </c>
      <c r="AO5" s="18" t="str">
        <f>IFERROR(__xludf.DUMMYFUNCTION("""COMPUTED_VALUE"""),"Day Executed Qty")</f>
        <v>Day Executed Qty</v>
      </c>
      <c r="AP5" s="18" t="str">
        <f>IFERROR(__xludf.DUMMYFUNCTION("""COMPUTED_VALUE"""),"Uncommitted Qty")</f>
        <v>Uncommitted Qty</v>
      </c>
      <c r="AQ5" s="18" t="str">
        <f>IFERROR(__xludf.DUMMYFUNCTION("""COMPUTED_VALUE"""),"Last Fill Price (Local)")</f>
        <v>Last Fill Price (Local)</v>
      </c>
      <c r="AR5" s="18" t="str">
        <f>IFERROR(__xludf.DUMMYFUNCTION("""COMPUTED_VALUE"""),"Avg Fill Price (Local)")</f>
        <v>Avg Fill Price (Local)</v>
      </c>
      <c r="AS5" s="18" t="str">
        <f>IFERROR(__xludf.DUMMYFUNCTION("""COMPUTED_VALUE"""),"Broker")</f>
        <v>Broker</v>
      </c>
      <c r="AT5" s="18" t="str">
        <f>IFERROR(__xludf.DUMMYFUNCTION("""COMPUTED_VALUE"""),"Account")</f>
        <v>Account</v>
      </c>
      <c r="AU5" s="18" t="str">
        <f>IFERROR(__xludf.DUMMYFUNCTION("""COMPUTED_VALUE"""),"Order Type")</f>
        <v>Order Type</v>
      </c>
      <c r="AV5" s="18" t="str">
        <f>IFERROR(__xludf.DUMMYFUNCTION("""COMPUTED_VALUE"""),"Principal Amount (Local)")</f>
        <v>Principal Amount (Local)</v>
      </c>
      <c r="AW5" s="18" t="str">
        <f>IFERROR(__xludf.DUMMYFUNCTION("""COMPUTED_VALUE"""),"Principal Amount (Base)")</f>
        <v>Principal Amount (Base)</v>
      </c>
      <c r="AX5" s="18" t="str">
        <f>IFERROR(__xludf.DUMMYFUNCTION("""COMPUTED_VALUE"""),"Allocation Scheme Name")</f>
        <v>Allocation Scheme Name</v>
      </c>
      <c r="AY5" s="18" t="str">
        <f>IFERROR(__xludf.DUMMYFUNCTION("""COMPUTED_VALUE"""),"Status (With Rollover)")</f>
        <v>Status (With Rollover)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/>
      <c r="C6" s="6"/>
      <c r="D6" s="19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I6" s="20" t="s">
        <v>7</v>
      </c>
      <c r="AJ6" s="20" t="s">
        <v>8</v>
      </c>
      <c r="AK6" s="20" t="s">
        <v>26</v>
      </c>
      <c r="AL6" s="20">
        <v>1000.0</v>
      </c>
      <c r="AM6" s="20">
        <v>1000.0</v>
      </c>
      <c r="AN6" s="20">
        <v>100.0</v>
      </c>
      <c r="AQ6" s="20">
        <v>50.0</v>
      </c>
      <c r="AR6" s="20">
        <v>50.0</v>
      </c>
      <c r="AU6" s="20" t="s">
        <v>10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18</v>
      </c>
      <c r="D3" s="9" t="s">
        <v>3</v>
      </c>
      <c r="E3" s="10" t="s">
        <v>28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IFERROR(__xludf.DUMMYFUNCTION("IF(C3="""","""",Transpose(IMPORTRANGE('_Settings'!$B$3,C3&amp;""!A4:A1000"")))"),"ReplaceFillsOnBlotter")</f>
        <v>ReplaceFillsOnBlotter</v>
      </c>
      <c r="C4" s="13" t="str">
        <f>IFERROR(__xludf.DUMMYFUNCTION("""COMPUTED_VALUE"""),"CheckBlotter")</f>
        <v>CheckBlotter</v>
      </c>
      <c r="D4" s="13" t="str">
        <f>IFERROR(__xludf.DUMMYFUNCTION("""COMPUTED_VALUE"""),"BlotterFunctionalities")</f>
        <v>BlotterFunctionalities</v>
      </c>
      <c r="E4" s="13" t="str">
        <f>IFERROR(__xludf.DUMMYFUNCTION("""COMPUTED_VALUE"""),"TransferToUserWorkingSubs")</f>
        <v>TransferToUserWorkingSubs</v>
      </c>
      <c r="F4" s="13" t="str">
        <f>IFERROR(__xludf.DUMMYFUNCTION("""COMPUTED_VALUE"""),"CancelWorkingSubs")</f>
        <v>CancelWorkingSubs</v>
      </c>
      <c r="G4" s="13" t="str">
        <f>IFERROR(__xludf.DUMMYFUNCTION("""COMPUTED_VALUE"""),"ReplaceWorkingSubs")</f>
        <v>ReplaceWorkingSubs</v>
      </c>
      <c r="H4" s="13" t="str">
        <f>IFERROR(__xludf.DUMMYFUNCTION("""COMPUTED_VALUE"""),"ViewAllocationDetailsWorkingSub")</f>
        <v>ViewAllocationDetailsWorkingSub</v>
      </c>
      <c r="I4" s="13" t="str">
        <f>IFERROR(__xludf.DUMMYFUNCTION("""COMPUTED_VALUE"""),"SelectTradeOnOrderGrid")</f>
        <v>SelectTradeOnOrderGrid</v>
      </c>
      <c r="J4" s="13" t="str">
        <f>IFERROR(__xludf.DUMMYFUNCTION("""COMPUTED_VALUE"""),"ShowDetailsForAlgoTradeSubOrder")</f>
        <v>ShowDetailsForAlgoTradeSubOrder</v>
      </c>
      <c r="K4" s="13" t="str">
        <f>IFERROR(__xludf.DUMMYFUNCTION("""COMPUTED_VALUE"""),"SelectTradeOrderBlotter")</f>
        <v>SelectTradeOrderBlotter</v>
      </c>
      <c r="L4" s="13" t="str">
        <f>IFERROR(__xludf.DUMMYFUNCTION("""COMPUTED_VALUE"""),"AddFillsWorkingSubs")</f>
        <v>AddFillsWorkingSubs</v>
      </c>
      <c r="M4" s="13" t="str">
        <f>IFERROR(__xludf.DUMMYFUNCTION("""COMPUTED_VALUE"""),"EditAddFillsDetails")</f>
        <v>EditAddFillsDetails</v>
      </c>
      <c r="N4" s="13" t="str">
        <f>IFERROR(__xludf.DUMMYFUNCTION("""COMPUTED_VALUE"""),"ShowDetailsForAlgoTradeWorkingSubs")</f>
        <v>ShowDetailsForAlgoTradeWorkingSubs</v>
      </c>
      <c r="O4" s="13" t="str">
        <f>IFERROR(__xludf.DUMMYFUNCTION("""COMPUTED_VALUE"""),"VerifyWorkingSubs")</f>
        <v>VerifyWorkingSubs</v>
      </c>
      <c r="P4" s="14" t="str">
        <f>IFERROR(__xludf.DUMMYFUNCTION("""COMPUTED_VALUE"""),"TransferToUserOrder")</f>
        <v>TransferToUserOrder</v>
      </c>
      <c r="Q4" s="14" t="str">
        <f>IFERROR(__xludf.DUMMYFUNCTION("""COMPUTED_VALUE"""),"EditOrder")</f>
        <v>EditOrder</v>
      </c>
      <c r="R4" s="14" t="str">
        <f>IFERROR(__xludf.DUMMYFUNCTION("""COMPUTED_VALUE"""),"SelectTradeSubOrderBlotter")</f>
        <v>SelectTradeSubOrderBlotter</v>
      </c>
      <c r="S4" s="14" t="str">
        <f>IFERROR(__xludf.DUMMYFUNCTION("""COMPUTED_VALUE"""),"VerifyOrder")</f>
        <v>VerifyOrder</v>
      </c>
      <c r="T4" s="14" t="str">
        <f>IFERROR(__xludf.DUMMYFUNCTION("""COMPUTED_VALUE"""),"VerifySubOrder")</f>
        <v>VerifySubOrder</v>
      </c>
      <c r="U4" s="14" t="str">
        <f>IFERROR(__xludf.DUMMYFUNCTION("""COMPUTED_VALUE"""),"RemoveSelectedOrders")</f>
        <v>RemoveSelectedOrders</v>
      </c>
      <c r="V4" s="14" t="str">
        <f>IFERROR(__xludf.DUMMYFUNCTION("""COMPUTED_VALUE"""),"CancelAllSelectedSubs")</f>
        <v>CancelAllSelectedSubs</v>
      </c>
      <c r="W4" s="14" t="str">
        <f>IFERROR(__xludf.DUMMYFUNCTION("""COMPUTED_VALUE"""),"MultiTradingTicket")</f>
        <v>MultiTradingTicket</v>
      </c>
      <c r="X4" s="14" t="str">
        <f>IFERROR(__xludf.DUMMYFUNCTION("""COMPUTED_VALUE"""),"AuditTrailOrderBlotter")</f>
        <v>AuditTrailOrderBlotter</v>
      </c>
      <c r="Y4" s="14" t="str">
        <f>IFERROR(__xludf.DUMMYFUNCTION("""COMPUTED_VALUE"""),"TradeNewSubOrder")</f>
        <v>TradeNewSubOrder</v>
      </c>
      <c r="Z4" s="14" t="str">
        <f>IFERROR(__xludf.DUMMYFUNCTION("""COMPUTED_VALUE"""),"RemoveStageOrder")</f>
        <v>RemoveStageOrder</v>
      </c>
      <c r="AA4" s="14" t="str">
        <f>IFERROR(__xludf.DUMMYFUNCTION("""COMPUTED_VALUE"""),"TransferToUserSubOrder")</f>
        <v>TransferToUserSubOrder</v>
      </c>
      <c r="AB4" s="14" t="str">
        <f>IFERROR(__xludf.DUMMYFUNCTION("""COMPUTED_VALUE"""),"DetailsForAlgoTradeOrder")</f>
        <v>DetailsForAlgoTradeOrder</v>
      </c>
      <c r="AC4" s="14" t="str">
        <f>IFERROR(__xludf.DUMMYFUNCTION("""COMPUTED_VALUE"""),"AddFillsSubOrder")</f>
        <v>AddFillsSubOrder</v>
      </c>
      <c r="AD4" s="14" t="str">
        <f>IFERROR(__xludf.DUMMYFUNCTION("""COMPUTED_VALUE"""),"ViewAllocationDetailsSubOrder")</f>
        <v>ViewAllocationDetailsSubOrder</v>
      </c>
      <c r="AE4" s="14" t="str">
        <f>IFERROR(__xludf.DUMMYFUNCTION("""COMPUTED_VALUE"""),"CancelAllSubs")</f>
        <v>CancelAllSubs</v>
      </c>
      <c r="AF4" s="14" t="str">
        <f>IFERROR(__xludf.DUMMYFUNCTION("""COMPUTED_VALUE"""),"CancelSubOrder")</f>
        <v>CancelSubOrder</v>
      </c>
      <c r="AG4" s="14" t="str">
        <f>IFERROR(__xludf.DUMMYFUNCTION("""COMPUTED_VALUE"""),"EditStageOrder")</f>
        <v>EditStageOrder</v>
      </c>
      <c r="AH4" s="14" t="str">
        <f>IFERROR(__xludf.DUMMYFUNCTION("""COMPUTED_VALUE"""),"ReplaceSubOrder")</f>
        <v>ReplaceSubOrder</v>
      </c>
      <c r="AI4" s="14" t="str">
        <f>IFERROR(__xludf.DUMMYFUNCTION("""COMPUTED_VALUE"""),"SelectTradeWorkingSubsBlotter")</f>
        <v>SelectTradeWorkingSubsBlotter</v>
      </c>
      <c r="AJ4" s="14" t="str">
        <f>IFERROR(__xludf.DUMMYFUNCTION("""COMPUTED_VALUE"""),"VerifyAlgoDetails")</f>
        <v>VerifyAlgoDetails</v>
      </c>
      <c r="AK4" s="14" t="str">
        <f>IFERROR(__xludf.DUMMYFUNCTION("""COMPUTED_VALUE"""),"VerifyTransferToUserOrder")</f>
        <v>VerifyTransferToUserOrder</v>
      </c>
      <c r="AL4" s="14" t="str">
        <f>IFERROR(__xludf.DUMMYFUNCTION("""COMPUTED_VALUE"""),"VerifyTransferToUserSubOdr")</f>
        <v>VerifyTransferToUserSubOdr</v>
      </c>
      <c r="AM4" s="14" t="str">
        <f>IFERROR(__xludf.DUMMYFUNCTION("""COMPUTED_VALUE"""),"VerifyTransferToUserWorkSub")</f>
        <v>VerifyTransferToUserWorkSub</v>
      </c>
      <c r="AN4" s="14" t="str">
        <f>IFERROR(__xludf.DUMMYFUNCTION("""COMPUTED_VALUE"""),"SaveLayoutOrderGrid")</f>
        <v>SaveLayoutOrderGrid</v>
      </c>
      <c r="AO4" s="14" t="str">
        <f>IFERROR(__xludf.DUMMYFUNCTION("""COMPUTED_VALUE"""),"ReplaceStageOrder")</f>
        <v>ReplaceStageOrder</v>
      </c>
      <c r="AP4" s="14" t="str">
        <f>IFERROR(__xludf.DUMMYFUNCTION("""COMPUTED_VALUE"""),"MultiTradingTicketFromBlotter")</f>
        <v>MultiTradingTicketFromBlotter</v>
      </c>
      <c r="AQ4" s="14" t="str">
        <f>IFERROR(__xludf.DUMMYFUNCTION("""COMPUTED_VALUE"""),"VerifyViewAllocationDetails")</f>
        <v>VerifyViewAllocationDetails</v>
      </c>
      <c r="AR4" s="14" t="str">
        <f>IFERROR(__xludf.DUMMYFUNCTION("""COMPUTED_VALUE"""),"GoToAllocation")</f>
        <v>GoToAllocation</v>
      </c>
      <c r="AS4" s="14" t="str">
        <f>IFERROR(__xludf.DUMMYFUNCTION("""COMPUTED_VALUE"""),"VerifyRollover")</f>
        <v>VerifyRollover</v>
      </c>
      <c r="AT4" s="14" t="str">
        <f>IFERROR(__xludf.DUMMYFUNCTION("""COMPUTED_VALUE"""),"VerifySubOrderAfterRollover")</f>
        <v>VerifySubOrderAfterRollover</v>
      </c>
      <c r="AU4" s="14" t="str">
        <f>IFERROR(__xludf.DUMMYFUNCTION("""COMPUTED_VALUE"""),"OpenBlotter")</f>
        <v>OpenBlotter</v>
      </c>
      <c r="AV4" s="14" t="str">
        <f>IFERROR(__xludf.DUMMYFUNCTION("""COMPUTED_VALUE"""),"OpenBlotter")</f>
        <v>OpenBlotter</v>
      </c>
      <c r="AW4" s="14" t="str">
        <f>IFERROR(__xludf.DUMMYFUNCTION("""COMPUTED_VALUE"""),"RemoveManualExecution")</f>
        <v>RemoveManualExecution</v>
      </c>
      <c r="AX4" s="14" t="str">
        <f>IFERROR(__xludf.DUMMYFUNCTION("""COMPUTED_VALUE"""),"RemoveExecutionWorkingSubs")</f>
        <v>RemoveExecutionWorkingSubs</v>
      </c>
      <c r="AY4" s="14" t="str">
        <f>IFERROR(__xludf.DUMMYFUNCTION("""COMPUTED_VALUE"""),"GetExecutionReportOrders")</f>
        <v>GetExecutionReportOrders</v>
      </c>
      <c r="AZ4" s="14" t="str">
        <f>IFERROR(__xludf.DUMMYFUNCTION("""COMPUTED_VALUE"""),"GetExecutionReportDetails")</f>
        <v>GetExecutionReportDetails</v>
      </c>
      <c r="BA4" s="14" t="str">
        <f>IFERROR(__xludf.DUMMYFUNCTION("""COMPUTED_VALUE"""),"ExportExecutionReportData")</f>
        <v>ExportExecutionReportData</v>
      </c>
      <c r="BB4" s="14" t="str">
        <f>IFERROR(__xludf.DUMMYFUNCTION("""COMPUTED_VALUE"""),"VerifyExecutionReport")</f>
        <v>VerifyExecutionReport</v>
      </c>
      <c r="BC4" s="14" t="str">
        <f>IFERROR(__xludf.DUMMYFUNCTION("""COMPUTED_VALUE"""),"BlotterExecutionReportSnapshot")</f>
        <v>BlotterExecutionReportSnapshot</v>
      </c>
      <c r="BD4" s="14" t="str">
        <f>IFERROR(__xludf.DUMMYFUNCTION("""COMPUTED_VALUE"""),"MultipleTradeTransferToUser")</f>
        <v>MultipleTradeTransferToUser</v>
      </c>
      <c r="BE4" s="14" t="str">
        <f>IFERROR(__xludf.DUMMYFUNCTION("""COMPUTED_VALUE"""),"ReloadOrderFromBlotter")</f>
        <v>ReloadOrderFromBlotter</v>
      </c>
      <c r="BF4" s="14" t="str">
        <f>IFERROR(__xludf.DUMMYFUNCTION("""COMPUTED_VALUE"""),"ReloadOrderFromSubOrder")</f>
        <v>ReloadOrderFromSubOrder</v>
      </c>
      <c r="BG4" s="14" t="str">
        <f>IFERROR(__xludf.DUMMYFUNCTION("""COMPUTED_VALUE"""),"ReloadOrderFromWorkingSubs")</f>
        <v>ReloadOrderFromWorkingSubs</v>
      </c>
      <c r="BH4" s="14" t="str">
        <f>IFERROR(__xludf.DUMMYFUNCTION("""COMPUTED_VALUE"""),"SelectFills")</f>
        <v>SelectFills</v>
      </c>
      <c r="BI4" s="14" t="str">
        <f>IFERROR(__xludf.DUMMYFUNCTION("""COMPUTED_VALUE"""),"ModifyFills")</f>
        <v>ModifyFills</v>
      </c>
      <c r="BJ4" s="14" t="str">
        <f>IFERROR(__xludf.DUMMYFUNCTION("""COMPUTED_VALUE"""),"AddTab")</f>
        <v>AddTab</v>
      </c>
      <c r="BK4" s="14" t="str">
        <f>IFERROR(__xludf.DUMMYFUNCTION("""COMPUTED_VALUE"""),"RemoveTab")</f>
        <v>RemoveTab</v>
      </c>
      <c r="BL4" s="14" t="str">
        <f>IFERROR(__xludf.DUMMYFUNCTION("""COMPUTED_VALUE"""),"SelectCustomTab")</f>
        <v>SelectCustomTab</v>
      </c>
      <c r="BM4" s="14" t="str">
        <f>IFERROR(__xludf.DUMMYFUNCTION("""COMPUTED_VALUE"""),"VerifyOrderCustomTab")</f>
        <v>VerifyOrderCustomTab</v>
      </c>
      <c r="BN4" s="14" t="str">
        <f>IFERROR(__xludf.DUMMYFUNCTION("""COMPUTED_VALUE"""),"VerifySubOrderCustomTab")</f>
        <v>VerifySubOrderCustomTab</v>
      </c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 t="str">
        <f>IFERROR(__xludf.DUMMYFUNCTION("TRANSPOSE(IMPORTRANGE(VLOOKUP($E$3,IMPORTRANGE('_Settings'!$B$3,$C$3&amp;""!A4:B1000""),2,FALSE),$G$3&amp;""!A4:A1000""))"),"")</f>
        <v/>
      </c>
      <c r="B5" s="16" t="str">
        <f>IFERROR(__xludf.DUMMYFUNCTION("""COMPUTED_VALUE"""),"Avg Fill Price (Base)")</f>
        <v>Avg Fill Price (Base)</v>
      </c>
      <c r="C5" s="16" t="str">
        <f>IFERROR(__xludf.DUMMYFUNCTION("""COMPUTED_VALUE"""),"Transaction Time")</f>
        <v>Transaction Time</v>
      </c>
      <c r="D5" s="16" t="str">
        <f>IFERROR(__xludf.DUMMYFUNCTION("""COMPUTED_VALUE"""),"Symbol")</f>
        <v>Symbol</v>
      </c>
      <c r="E5" s="16" t="str">
        <f>IFERROR(__xludf.DUMMYFUNCTION("""COMPUTED_VALUE"""),"Algo")</f>
        <v>Algo</v>
      </c>
      <c r="F5" s="17" t="str">
        <f>IFERROR(__xludf.DUMMYFUNCTION("""COMPUTED_VALUE"""),"Side")</f>
        <v>Side</v>
      </c>
      <c r="G5" s="16" t="str">
        <f>IFERROR(__xludf.DUMMYFUNCTION("""COMPUTED_VALUE"""),"Status")</f>
        <v>Status</v>
      </c>
      <c r="H5" s="16" t="str">
        <f>IFERROR(__xludf.DUMMYFUNCTION("""COMPUTED_VALUE"""),"Target Qty")</f>
        <v>Target Qty</v>
      </c>
      <c r="I5" s="16" t="str">
        <f>IFERROR(__xludf.DUMMYFUNCTION("""COMPUTED_VALUE"""),"Total Executed Qty")</f>
        <v>Total Executed Qty</v>
      </c>
      <c r="J5" s="16" t="str">
        <f>IFERROR(__xludf.DUMMYFUNCTION("""COMPUTED_VALUE"""),"% Executed")</f>
        <v>% Executed</v>
      </c>
      <c r="K5" s="16" t="str">
        <f>IFERROR(__xludf.DUMMYFUNCTION("""COMPUTED_VALUE"""),"Day Executed Qty")</f>
        <v>Day Executed Qty</v>
      </c>
      <c r="L5" s="16" t="str">
        <f>IFERROR(__xludf.DUMMYFUNCTION("""COMPUTED_VALUE"""),"Uncommitted Qty")</f>
        <v>Uncommitted Qty</v>
      </c>
      <c r="M5" s="16" t="str">
        <f>IFERROR(__xludf.DUMMYFUNCTION("""COMPUTED_VALUE"""),"Limit Price")</f>
        <v>Limit Price</v>
      </c>
      <c r="N5" s="16" t="str">
        <f>IFERROR(__xludf.DUMMYFUNCTION("""COMPUTED_VALUE"""),"Last Fill Price (Local)")</f>
        <v>Last Fill Price (Local)</v>
      </c>
      <c r="O5" s="16" t="str">
        <f>IFERROR(__xludf.DUMMYFUNCTION("""COMPUTED_VALUE"""),"Stop Price")</f>
        <v>Stop Price</v>
      </c>
      <c r="P5" s="16" t="str">
        <f>IFERROR(__xludf.DUMMYFUNCTION("""COMPUTED_VALUE"""),"Avg Fill Price (Local)")</f>
        <v>Avg Fill Price (Local)</v>
      </c>
      <c r="Q5" s="16" t="str">
        <f>IFERROR(__xludf.DUMMYFUNCTION("""COMPUTED_VALUE"""),"Broker")</f>
        <v>Broker</v>
      </c>
      <c r="R5" s="16" t="str">
        <f>IFERROR(__xludf.DUMMYFUNCTION("""COMPUTED_VALUE"""),"Account")</f>
        <v>Account</v>
      </c>
      <c r="S5" s="16" t="str">
        <f>IFERROR(__xludf.DUMMYFUNCTION("""COMPUTED_VALUE"""),"OrderID")</f>
        <v>OrderID</v>
      </c>
      <c r="T5" s="18" t="str">
        <f>IFERROR(__xludf.DUMMYFUNCTION("""COMPUTED_VALUE"""),"Order Type")</f>
        <v>Order Type</v>
      </c>
      <c r="U5" s="18" t="str">
        <f>IFERROR(__xludf.DUMMYFUNCTION("""COMPUTED_VALUE"""),"Principal Amount (Local)")</f>
        <v>Principal Amount (Local)</v>
      </c>
      <c r="V5" s="18" t="str">
        <f>IFERROR(__xludf.DUMMYFUNCTION("""COMPUTED_VALUE"""),"Principal Amount (Base)")</f>
        <v>Principal Amount (Base)</v>
      </c>
      <c r="W5" s="18" t="str">
        <f>IFERROR(__xludf.DUMMYFUNCTION("""COMPUTED_VALUE"""),"Peg")</f>
        <v>Peg</v>
      </c>
      <c r="X5" s="18" t="str">
        <f>IFERROR(__xludf.DUMMYFUNCTION("""COMPUTED_VALUE"""),"ParentClOrderID")</f>
        <v>ParentClOrderID</v>
      </c>
      <c r="Y5" s="18" t="str">
        <f>IFERROR(__xludf.DUMMYFUNCTION("""COMPUTED_VALUE"""),"Strike Price")</f>
        <v>Strike Price</v>
      </c>
      <c r="Z5" s="18" t="str">
        <f>IFERROR(__xludf.DUMMYFUNCTION("""COMPUTED_VALUE"""),"Last Shares")</f>
        <v>Last Shares</v>
      </c>
      <c r="AA5" s="18" t="str">
        <f>IFERROR(__xludf.DUMMYFUNCTION("""COMPUTED_VALUE"""),"Working Qty")</f>
        <v>Working Qty</v>
      </c>
      <c r="AB5" s="18" t="str">
        <f>IFERROR(__xludf.DUMMYFUNCTION("""COMPUTED_VALUE"""),"Bloomberg Symbol")</f>
        <v>Bloomberg Symbol</v>
      </c>
      <c r="AC5" s="18" t="str">
        <f>IFERROR(__xludf.DUMMYFUNCTION("""COMPUTED_VALUE"""),"Imported File Name")</f>
        <v>Imported File Name</v>
      </c>
      <c r="AD5" s="18" t="str">
        <f>IFERROR(__xludf.DUMMYFUNCTION("""COMPUTED_VALUE"""),"Master Fund")</f>
        <v>Master Fund</v>
      </c>
      <c r="AE5" s="18" t="str">
        <f>IFERROR(__xludf.DUMMYFUNCTION("""COMPUTED_VALUE"""),"Day Average Price")</f>
        <v>Day Average Price</v>
      </c>
      <c r="AF5" s="18" t="str">
        <f>IFERROR(__xludf.DUMMYFUNCTION("""COMPUTED_VALUE"""),"Asset Class")</f>
        <v>Asset Class</v>
      </c>
      <c r="AG5" s="18" t="str">
        <f>IFERROR(__xludf.DUMMYFUNCTION("""COMPUTED_VALUE"""),"Underlying Country")</f>
        <v>Underlying Country</v>
      </c>
      <c r="AH5" s="18" t="str">
        <f>IFERROR(__xludf.DUMMYFUNCTION("""COMPUTED_VALUE"""),"Trader")</f>
        <v>Trader</v>
      </c>
      <c r="AI5" s="18" t="str">
        <f>IFERROR(__xludf.DUMMYFUNCTION("""COMPUTED_VALUE"""),"User")</f>
        <v>User</v>
      </c>
      <c r="AJ5" s="18" t="str">
        <f>IFERROR(__xludf.DUMMYFUNCTION("""COMPUTED_VALUE"""),"Venue")</f>
        <v>Venue</v>
      </c>
      <c r="AK5" s="18" t="str">
        <f>IFERROR(__xludf.DUMMYFUNCTION("""COMPUTED_VALUE"""),"Settlement Currency")</f>
        <v>Settlement Currency</v>
      </c>
      <c r="AL5" s="18" t="str">
        <f>IFERROR(__xludf.DUMMYFUNCTION("""COMPUTED_VALUE"""),"FX Conversion Operator")</f>
        <v>FX Conversion Operator</v>
      </c>
      <c r="AM5" s="18" t="str">
        <f>IFERROR(__xludf.DUMMYFUNCTION("""COMPUTED_VALUE"""),"Process Date")</f>
        <v>Process Date</v>
      </c>
      <c r="AN5" s="18" t="str">
        <f>IFERROR(__xludf.DUMMYFUNCTION("""COMPUTED_VALUE"""),"Underlying Symbol")</f>
        <v>Underlying Symbol</v>
      </c>
      <c r="AO5" s="18" t="str">
        <f>IFERROR(__xludf.DUMMYFUNCTION("""COMPUTED_VALUE"""),"Put/Call")</f>
        <v>Put/Call</v>
      </c>
      <c r="AP5" s="18" t="str">
        <f>IFERROR(__xludf.DUMMYFUNCTION("""COMPUTED_VALUE"""),"FX Rate")</f>
        <v>FX Rate</v>
      </c>
      <c r="AQ5" s="18" t="str">
        <f>IFERROR(__xludf.DUMMYFUNCTION("""COMPUTED_VALUE"""),"Trade Attribute 1")</f>
        <v>Trade Attribute 1</v>
      </c>
      <c r="AR5" s="18" t="str">
        <f>IFERROR(__xludf.DUMMYFUNCTION("""COMPUTED_VALUE"""),"Trade Attribute 2")</f>
        <v>Trade Attribute 2</v>
      </c>
      <c r="AS5" s="18" t="str">
        <f>IFERROR(__xludf.DUMMYFUNCTION("""COMPUTED_VALUE"""),"Trade Attribute 3")</f>
        <v>Trade Attribute 3</v>
      </c>
      <c r="AT5" s="18" t="str">
        <f>IFERROR(__xludf.DUMMYFUNCTION("""COMPUTED_VALUE"""),"Trade Attribute 4")</f>
        <v>Trade Attribute 4</v>
      </c>
      <c r="AU5" s="18" t="str">
        <f>IFERROR(__xludf.DUMMYFUNCTION("""COMPUTED_VALUE"""),"Trade Attribute 5")</f>
        <v>Trade Attribute 5</v>
      </c>
      <c r="AV5" s="18" t="str">
        <f>IFERROR(__xludf.DUMMYFUNCTION("""COMPUTED_VALUE"""),"Trade Attribute 6")</f>
        <v>Trade Attribute 6</v>
      </c>
      <c r="AW5" s="18" t="str">
        <f>IFERROR(__xludf.DUMMYFUNCTION("""COMPUTED_VALUE"""),"Internal Comments")</f>
        <v>Internal Comments</v>
      </c>
      <c r="AX5" s="18" t="str">
        <f>IFERROR(__xludf.DUMMYFUNCTION("""COMPUTED_VALUE"""),"Allocation Scheme Name")</f>
        <v>Allocation Scheme Name</v>
      </c>
      <c r="AY5" s="18" t="str">
        <f>IFERROR(__xludf.DUMMYFUNCTION("""COMPUTED_VALUE"""),"Start of Day Qty")</f>
        <v>Start of Day Qty</v>
      </c>
      <c r="AZ5" s="18" t="str">
        <f>IFERROR(__xludf.DUMMYFUNCTION("""COMPUTED_VALUE"""),"Leaves")</f>
        <v>Leaves</v>
      </c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/>
      <c r="C6" s="6"/>
      <c r="D6" s="19" t="s">
        <v>7</v>
      </c>
      <c r="E6" s="30"/>
      <c r="F6" s="19" t="s">
        <v>8</v>
      </c>
      <c r="G6" s="19" t="s">
        <v>26</v>
      </c>
      <c r="H6" s="19">
        <v>1000.0</v>
      </c>
      <c r="I6" s="19">
        <v>1000.0</v>
      </c>
      <c r="J6" s="19">
        <v>100.0</v>
      </c>
      <c r="K6" s="6"/>
      <c r="L6" s="6"/>
      <c r="M6" s="6"/>
      <c r="N6" s="6"/>
      <c r="O6" s="6"/>
      <c r="T6" s="20" t="s">
        <v>10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18</v>
      </c>
      <c r="D3" s="9" t="s">
        <v>3</v>
      </c>
      <c r="E3" s="10" t="s">
        <v>29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IFERROR(__xludf.DUMMYFUNCTION("IF(C3="""","""",Transpose(IMPORTRANGE('_Settings'!$B$3,C3&amp;""!A4:A1000"")))"),"ReplaceFillsOnBlotter")</f>
        <v>ReplaceFillsOnBlotter</v>
      </c>
      <c r="C4" s="13" t="str">
        <f>IFERROR(__xludf.DUMMYFUNCTION("""COMPUTED_VALUE"""),"CheckBlotter")</f>
        <v>CheckBlotter</v>
      </c>
      <c r="D4" s="13" t="str">
        <f>IFERROR(__xludf.DUMMYFUNCTION("""COMPUTED_VALUE"""),"BlotterFunctionalities")</f>
        <v>BlotterFunctionalities</v>
      </c>
      <c r="E4" s="13" t="str">
        <f>IFERROR(__xludf.DUMMYFUNCTION("""COMPUTED_VALUE"""),"TransferToUserWorkingSubs")</f>
        <v>TransferToUserWorkingSubs</v>
      </c>
      <c r="F4" s="13" t="str">
        <f>IFERROR(__xludf.DUMMYFUNCTION("""COMPUTED_VALUE"""),"CancelWorkingSubs")</f>
        <v>CancelWorkingSubs</v>
      </c>
      <c r="G4" s="13" t="str">
        <f>IFERROR(__xludf.DUMMYFUNCTION("""COMPUTED_VALUE"""),"ReplaceWorkingSubs")</f>
        <v>ReplaceWorkingSubs</v>
      </c>
      <c r="H4" s="13" t="str">
        <f>IFERROR(__xludf.DUMMYFUNCTION("""COMPUTED_VALUE"""),"ViewAllocationDetailsWorkingSub")</f>
        <v>ViewAllocationDetailsWorkingSub</v>
      </c>
      <c r="I4" s="13" t="str">
        <f>IFERROR(__xludf.DUMMYFUNCTION("""COMPUTED_VALUE"""),"SelectTradeOnOrderGrid")</f>
        <v>SelectTradeOnOrderGrid</v>
      </c>
      <c r="J4" s="13" t="str">
        <f>IFERROR(__xludf.DUMMYFUNCTION("""COMPUTED_VALUE"""),"ShowDetailsForAlgoTradeSubOrder")</f>
        <v>ShowDetailsForAlgoTradeSubOrder</v>
      </c>
      <c r="K4" s="13" t="str">
        <f>IFERROR(__xludf.DUMMYFUNCTION("""COMPUTED_VALUE"""),"SelectTradeOrderBlotter")</f>
        <v>SelectTradeOrderBlotter</v>
      </c>
      <c r="L4" s="13" t="str">
        <f>IFERROR(__xludf.DUMMYFUNCTION("""COMPUTED_VALUE"""),"AddFillsWorkingSubs")</f>
        <v>AddFillsWorkingSubs</v>
      </c>
      <c r="M4" s="13" t="str">
        <f>IFERROR(__xludf.DUMMYFUNCTION("""COMPUTED_VALUE"""),"EditAddFillsDetails")</f>
        <v>EditAddFillsDetails</v>
      </c>
      <c r="N4" s="13" t="str">
        <f>IFERROR(__xludf.DUMMYFUNCTION("""COMPUTED_VALUE"""),"ShowDetailsForAlgoTradeWorkingSubs")</f>
        <v>ShowDetailsForAlgoTradeWorkingSubs</v>
      </c>
      <c r="O4" s="13" t="str">
        <f>IFERROR(__xludf.DUMMYFUNCTION("""COMPUTED_VALUE"""),"VerifyWorkingSubs")</f>
        <v>VerifyWorkingSubs</v>
      </c>
      <c r="P4" s="14" t="str">
        <f>IFERROR(__xludf.DUMMYFUNCTION("""COMPUTED_VALUE"""),"TransferToUserOrder")</f>
        <v>TransferToUserOrder</v>
      </c>
      <c r="Q4" s="14" t="str">
        <f>IFERROR(__xludf.DUMMYFUNCTION("""COMPUTED_VALUE"""),"EditOrder")</f>
        <v>EditOrder</v>
      </c>
      <c r="R4" s="14" t="str">
        <f>IFERROR(__xludf.DUMMYFUNCTION("""COMPUTED_VALUE"""),"SelectTradeSubOrderBlotter")</f>
        <v>SelectTradeSubOrderBlotter</v>
      </c>
      <c r="S4" s="14" t="str">
        <f>IFERROR(__xludf.DUMMYFUNCTION("""COMPUTED_VALUE"""),"VerifyOrder")</f>
        <v>VerifyOrder</v>
      </c>
      <c r="T4" s="14" t="str">
        <f>IFERROR(__xludf.DUMMYFUNCTION("""COMPUTED_VALUE"""),"VerifySubOrder")</f>
        <v>VerifySubOrder</v>
      </c>
      <c r="U4" s="14" t="str">
        <f>IFERROR(__xludf.DUMMYFUNCTION("""COMPUTED_VALUE"""),"RemoveSelectedOrders")</f>
        <v>RemoveSelectedOrders</v>
      </c>
      <c r="V4" s="14" t="str">
        <f>IFERROR(__xludf.DUMMYFUNCTION("""COMPUTED_VALUE"""),"CancelAllSelectedSubs")</f>
        <v>CancelAllSelectedSubs</v>
      </c>
      <c r="W4" s="14" t="str">
        <f>IFERROR(__xludf.DUMMYFUNCTION("""COMPUTED_VALUE"""),"MultiTradingTicket")</f>
        <v>MultiTradingTicket</v>
      </c>
      <c r="X4" s="14" t="str">
        <f>IFERROR(__xludf.DUMMYFUNCTION("""COMPUTED_VALUE"""),"AuditTrailOrderBlotter")</f>
        <v>AuditTrailOrderBlotter</v>
      </c>
      <c r="Y4" s="14" t="str">
        <f>IFERROR(__xludf.DUMMYFUNCTION("""COMPUTED_VALUE"""),"TradeNewSubOrder")</f>
        <v>TradeNewSubOrder</v>
      </c>
      <c r="Z4" s="14" t="str">
        <f>IFERROR(__xludf.DUMMYFUNCTION("""COMPUTED_VALUE"""),"RemoveStageOrder")</f>
        <v>RemoveStageOrder</v>
      </c>
      <c r="AA4" s="14" t="str">
        <f>IFERROR(__xludf.DUMMYFUNCTION("""COMPUTED_VALUE"""),"TransferToUserSubOrder")</f>
        <v>TransferToUserSubOrder</v>
      </c>
      <c r="AB4" s="14" t="str">
        <f>IFERROR(__xludf.DUMMYFUNCTION("""COMPUTED_VALUE"""),"DetailsForAlgoTradeOrder")</f>
        <v>DetailsForAlgoTradeOrder</v>
      </c>
      <c r="AC4" s="14" t="str">
        <f>IFERROR(__xludf.DUMMYFUNCTION("""COMPUTED_VALUE"""),"AddFillsSubOrder")</f>
        <v>AddFillsSubOrder</v>
      </c>
      <c r="AD4" s="14" t="str">
        <f>IFERROR(__xludf.DUMMYFUNCTION("""COMPUTED_VALUE"""),"ViewAllocationDetailsSubOrder")</f>
        <v>ViewAllocationDetailsSubOrder</v>
      </c>
      <c r="AE4" s="14" t="str">
        <f>IFERROR(__xludf.DUMMYFUNCTION("""COMPUTED_VALUE"""),"CancelAllSubs")</f>
        <v>CancelAllSubs</v>
      </c>
      <c r="AF4" s="14" t="str">
        <f>IFERROR(__xludf.DUMMYFUNCTION("""COMPUTED_VALUE"""),"CancelSubOrder")</f>
        <v>CancelSubOrder</v>
      </c>
      <c r="AG4" s="14" t="str">
        <f>IFERROR(__xludf.DUMMYFUNCTION("""COMPUTED_VALUE"""),"EditStageOrder")</f>
        <v>EditStageOrder</v>
      </c>
      <c r="AH4" s="14" t="str">
        <f>IFERROR(__xludf.DUMMYFUNCTION("""COMPUTED_VALUE"""),"ReplaceSubOrder")</f>
        <v>ReplaceSubOrder</v>
      </c>
      <c r="AI4" s="14" t="str">
        <f>IFERROR(__xludf.DUMMYFUNCTION("""COMPUTED_VALUE"""),"SelectTradeWorkingSubsBlotter")</f>
        <v>SelectTradeWorkingSubsBlotter</v>
      </c>
      <c r="AJ4" s="14" t="str">
        <f>IFERROR(__xludf.DUMMYFUNCTION("""COMPUTED_VALUE"""),"VerifyAlgoDetails")</f>
        <v>VerifyAlgoDetails</v>
      </c>
      <c r="AK4" s="14" t="str">
        <f>IFERROR(__xludf.DUMMYFUNCTION("""COMPUTED_VALUE"""),"VerifyTransferToUserOrder")</f>
        <v>VerifyTransferToUserOrder</v>
      </c>
      <c r="AL4" s="14" t="str">
        <f>IFERROR(__xludf.DUMMYFUNCTION("""COMPUTED_VALUE"""),"VerifyTransferToUserSubOdr")</f>
        <v>VerifyTransferToUserSubOdr</v>
      </c>
      <c r="AM4" s="14" t="str">
        <f>IFERROR(__xludf.DUMMYFUNCTION("""COMPUTED_VALUE"""),"VerifyTransferToUserWorkSub")</f>
        <v>VerifyTransferToUserWorkSub</v>
      </c>
      <c r="AN4" s="14" t="str">
        <f>IFERROR(__xludf.DUMMYFUNCTION("""COMPUTED_VALUE"""),"SaveLayoutOrderGrid")</f>
        <v>SaveLayoutOrderGrid</v>
      </c>
      <c r="AO4" s="14" t="str">
        <f>IFERROR(__xludf.DUMMYFUNCTION("""COMPUTED_VALUE"""),"ReplaceStageOrder")</f>
        <v>ReplaceStageOrder</v>
      </c>
      <c r="AP4" s="14" t="str">
        <f>IFERROR(__xludf.DUMMYFUNCTION("""COMPUTED_VALUE"""),"MultiTradingTicketFromBlotter")</f>
        <v>MultiTradingTicketFromBlotter</v>
      </c>
      <c r="AQ4" s="14" t="str">
        <f>IFERROR(__xludf.DUMMYFUNCTION("""COMPUTED_VALUE"""),"VerifyViewAllocationDetails")</f>
        <v>VerifyViewAllocationDetails</v>
      </c>
      <c r="AR4" s="14" t="str">
        <f>IFERROR(__xludf.DUMMYFUNCTION("""COMPUTED_VALUE"""),"GoToAllocation")</f>
        <v>GoToAllocation</v>
      </c>
      <c r="AS4" s="14" t="str">
        <f>IFERROR(__xludf.DUMMYFUNCTION("""COMPUTED_VALUE"""),"VerifyRollover")</f>
        <v>VerifyRollover</v>
      </c>
      <c r="AT4" s="14" t="str">
        <f>IFERROR(__xludf.DUMMYFUNCTION("""COMPUTED_VALUE"""),"VerifySubOrderAfterRollover")</f>
        <v>VerifySubOrderAfterRollover</v>
      </c>
      <c r="AU4" s="14" t="str">
        <f>IFERROR(__xludf.DUMMYFUNCTION("""COMPUTED_VALUE"""),"OpenBlotter")</f>
        <v>OpenBlotter</v>
      </c>
      <c r="AV4" s="14" t="str">
        <f>IFERROR(__xludf.DUMMYFUNCTION("""COMPUTED_VALUE"""),"OpenBlotter")</f>
        <v>OpenBlotter</v>
      </c>
      <c r="AW4" s="14" t="str">
        <f>IFERROR(__xludf.DUMMYFUNCTION("""COMPUTED_VALUE"""),"RemoveManualExecution")</f>
        <v>RemoveManualExecution</v>
      </c>
      <c r="AX4" s="14" t="str">
        <f>IFERROR(__xludf.DUMMYFUNCTION("""COMPUTED_VALUE"""),"RemoveExecutionWorkingSubs")</f>
        <v>RemoveExecutionWorkingSubs</v>
      </c>
      <c r="AY4" s="14" t="str">
        <f>IFERROR(__xludf.DUMMYFUNCTION("""COMPUTED_VALUE"""),"GetExecutionReportOrders")</f>
        <v>GetExecutionReportOrders</v>
      </c>
      <c r="AZ4" s="14" t="str">
        <f>IFERROR(__xludf.DUMMYFUNCTION("""COMPUTED_VALUE"""),"GetExecutionReportDetails")</f>
        <v>GetExecutionReportDetails</v>
      </c>
      <c r="BA4" s="14" t="str">
        <f>IFERROR(__xludf.DUMMYFUNCTION("""COMPUTED_VALUE"""),"ExportExecutionReportData")</f>
        <v>ExportExecutionReportData</v>
      </c>
      <c r="BB4" s="14" t="str">
        <f>IFERROR(__xludf.DUMMYFUNCTION("""COMPUTED_VALUE"""),"VerifyExecutionReport")</f>
        <v>VerifyExecutionReport</v>
      </c>
      <c r="BC4" s="14" t="str">
        <f>IFERROR(__xludf.DUMMYFUNCTION("""COMPUTED_VALUE"""),"BlotterExecutionReportSnapshot")</f>
        <v>BlotterExecutionReportSnapshot</v>
      </c>
      <c r="BD4" s="14" t="str">
        <f>IFERROR(__xludf.DUMMYFUNCTION("""COMPUTED_VALUE"""),"MultipleTradeTransferToUser")</f>
        <v>MultipleTradeTransferToUser</v>
      </c>
      <c r="BE4" s="14" t="str">
        <f>IFERROR(__xludf.DUMMYFUNCTION("""COMPUTED_VALUE"""),"ReloadOrderFromBlotter")</f>
        <v>ReloadOrderFromBlotter</v>
      </c>
      <c r="BF4" s="14" t="str">
        <f>IFERROR(__xludf.DUMMYFUNCTION("""COMPUTED_VALUE"""),"ReloadOrderFromSubOrder")</f>
        <v>ReloadOrderFromSubOrder</v>
      </c>
      <c r="BG4" s="14" t="str">
        <f>IFERROR(__xludf.DUMMYFUNCTION("""COMPUTED_VALUE"""),"ReloadOrderFromWorkingSubs")</f>
        <v>ReloadOrderFromWorkingSubs</v>
      </c>
      <c r="BH4" s="14" t="str">
        <f>IFERROR(__xludf.DUMMYFUNCTION("""COMPUTED_VALUE"""),"SelectFills")</f>
        <v>SelectFills</v>
      </c>
      <c r="BI4" s="14" t="str">
        <f>IFERROR(__xludf.DUMMYFUNCTION("""COMPUTED_VALUE"""),"ModifyFills")</f>
        <v>ModifyFills</v>
      </c>
      <c r="BJ4" s="14" t="str">
        <f>IFERROR(__xludf.DUMMYFUNCTION("""COMPUTED_VALUE"""),"AddTab")</f>
        <v>AddTab</v>
      </c>
      <c r="BK4" s="14" t="str">
        <f>IFERROR(__xludf.DUMMYFUNCTION("""COMPUTED_VALUE"""),"RemoveTab")</f>
        <v>RemoveTab</v>
      </c>
      <c r="BL4" s="14" t="str">
        <f>IFERROR(__xludf.DUMMYFUNCTION("""COMPUTED_VALUE"""),"SelectCustomTab")</f>
        <v>SelectCustomTab</v>
      </c>
      <c r="BM4" s="14" t="str">
        <f>IFERROR(__xludf.DUMMYFUNCTION("""COMPUTED_VALUE"""),"VerifyOrderCustomTab")</f>
        <v>VerifyOrderCustomTab</v>
      </c>
      <c r="BN4" s="14" t="str">
        <f>IFERROR(__xludf.DUMMYFUNCTION("""COMPUTED_VALUE"""),"VerifySubOrderCustomTab")</f>
        <v>VerifySubOrderCustomTab</v>
      </c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 t="str">
        <f>IFERROR(__xludf.DUMMYFUNCTION("TRANSPOSE(IMPORTRANGE(VLOOKUP($E$3,IMPORTRANGE('_Settings'!$B$3,$C$3&amp;""!A4:B1000""),2,FALSE),$G$3&amp;""!A4:A1000""))"),"")</f>
        <v/>
      </c>
      <c r="B5" s="16" t="str">
        <f>IFERROR(__xludf.DUMMYFUNCTION("""COMPUTED_VALUE"""),"Symbol")</f>
        <v>Symbol</v>
      </c>
      <c r="C5" s="16" t="str">
        <f>IFERROR(__xludf.DUMMYFUNCTION("""COMPUTED_VALUE"""),"Side")</f>
        <v>Side</v>
      </c>
      <c r="D5" s="16" t="str">
        <f>IFERROR(__xludf.DUMMYFUNCTION("""COMPUTED_VALUE"""),"Quantity")</f>
        <v>Quantity</v>
      </c>
      <c r="E5" s="16" t="str">
        <f>IFERROR(__xludf.DUMMYFUNCTION("""COMPUTED_VALUE"""),"Executed Qty")</f>
        <v>Executed Qty</v>
      </c>
      <c r="F5" s="17" t="str">
        <f>IFERROR(__xludf.DUMMYFUNCTION("""COMPUTED_VALUE"""),"Unexecuted Qty")</f>
        <v>Unexecuted Qty</v>
      </c>
      <c r="G5" s="16" t="str">
        <f>IFERROR(__xludf.DUMMYFUNCTION("""COMPUTED_VALUE"""),"Status")</f>
        <v>Status</v>
      </c>
      <c r="H5" s="16" t="str">
        <f>IFERROR(__xludf.DUMMYFUNCTION("""COMPUTED_VALUE"""),"Last Shares")</f>
        <v>Last Shares</v>
      </c>
      <c r="I5" s="16" t="str">
        <f>IFERROR(__xludf.DUMMYFUNCTION("""COMPUTED_VALUE"""),"Last Fill Price (Local)")</f>
        <v>Last Fill Price (Local)</v>
      </c>
      <c r="J5" s="16" t="str">
        <f>IFERROR(__xludf.DUMMYFUNCTION("""COMPUTED_VALUE"""),"Avg Fill Price (Local)")</f>
        <v>Avg Fill Price (Local)</v>
      </c>
      <c r="K5" s="16" t="str">
        <f>IFERROR(__xludf.DUMMYFUNCTION("""COMPUTED_VALUE"""),"Broker")</f>
        <v>Broker</v>
      </c>
      <c r="L5" s="16" t="str">
        <f>IFERROR(__xludf.DUMMYFUNCTION("""COMPUTED_VALUE"""),"Account")</f>
        <v>Account</v>
      </c>
      <c r="M5" s="16" t="str">
        <f>IFERROR(__xludf.DUMMYFUNCTION("""COMPUTED_VALUE"""),"Order Type")</f>
        <v>Order Type</v>
      </c>
      <c r="N5" s="16" t="str">
        <f>IFERROR(__xludf.DUMMYFUNCTION("""COMPUTED_VALUE"""),"OrderStatus")</f>
        <v>OrderStatus</v>
      </c>
      <c r="O5" s="16" t="str">
        <f>IFERROR(__xludf.DUMMYFUNCTION("""COMPUTED_VALUE"""),"Avg Fill Price (Base)")</f>
        <v>Avg Fill Price (Base)</v>
      </c>
      <c r="P5" s="16" t="str">
        <f>IFERROR(__xludf.DUMMYFUNCTION("""COMPUTED_VALUE"""),"Limit Price")</f>
        <v>Limit Price</v>
      </c>
      <c r="Q5" s="16" t="str">
        <f>IFERROR(__xludf.DUMMYFUNCTION("""COMPUTED_VALUE"""),"Stop Price")</f>
        <v>Stop Price</v>
      </c>
      <c r="R5" s="16" t="str">
        <f>IFERROR(__xludf.DUMMYFUNCTION("""COMPUTED_VALUE"""),"Actual User")</f>
        <v>Actual User</v>
      </c>
      <c r="S5" s="16" t="str">
        <f>IFERROR(__xludf.DUMMYFUNCTION("""COMPUTED_VALUE"""),"Bloomberg Symbol")</f>
        <v>Bloomberg Symbol</v>
      </c>
      <c r="T5" s="18" t="str">
        <f>IFERROR(__xludf.DUMMYFUNCTION("""COMPUTED_VALUE"""),"Algo")</f>
        <v>Algo</v>
      </c>
      <c r="U5" s="18" t="str">
        <f>IFERROR(__xludf.DUMMYFUNCTION("""COMPUTED_VALUE"""),"Allocation Scheme Name")</f>
        <v>Allocation Scheme Name</v>
      </c>
      <c r="V5" s="18" t="str">
        <f>IFERROR(__xludf.DUMMYFUNCTION("""COMPUTED_VALUE"""),"Allocation Status")</f>
        <v>Allocation Status</v>
      </c>
      <c r="W5" s="18" t="str">
        <f>IFERROR(__xludf.DUMMYFUNCTION("""COMPUTED_VALUE"""),"Asset Class")</f>
        <v>Asset Class</v>
      </c>
      <c r="X5" s="18" t="str">
        <f>IFERROR(__xludf.DUMMYFUNCTION("""COMPUTED_VALUE"""),"FX Conversion Operator")</f>
        <v>FX Conversion Operator</v>
      </c>
      <c r="Y5" s="18" t="str">
        <f>IFERROR(__xludf.DUMMYFUNCTION("""COMPUTED_VALUE"""),"FX Rate")</f>
        <v>FX Rate</v>
      </c>
      <c r="Z5" s="18" t="str">
        <f>IFERROR(__xludf.DUMMYFUNCTION("""COMPUTED_VALUE"""),"Imported File Name")</f>
        <v>Imported File Name</v>
      </c>
      <c r="AA5" s="18" t="str">
        <f>IFERROR(__xludf.DUMMYFUNCTION("""COMPUTED_VALUE"""),"Internal Comments")</f>
        <v>Internal Comments</v>
      </c>
      <c r="AB5" s="18" t="str">
        <f>IFERROR(__xludf.DUMMYFUNCTION("""COMPUTED_VALUE"""),"Peg")</f>
        <v>Peg</v>
      </c>
      <c r="AC5" s="18" t="str">
        <f>IFERROR(__xludf.DUMMYFUNCTION("""COMPUTED_VALUE"""),"Principal Amount (Base)")</f>
        <v>Principal Amount (Base)</v>
      </c>
      <c r="AD5" s="18" t="str">
        <f>IFERROR(__xludf.DUMMYFUNCTION("""COMPUTED_VALUE"""),"Principal Amount (Local)")</f>
        <v>Principal Amount (Local)</v>
      </c>
      <c r="AE5" s="18" t="str">
        <f>IFERROR(__xludf.DUMMYFUNCTION("""COMPUTED_VALUE"""),"Process Date")</f>
        <v>Process Date</v>
      </c>
      <c r="AF5" s="18" t="str">
        <f>IFERROR(__xludf.DUMMYFUNCTION("""COMPUTED_VALUE"""),"Put/Call")</f>
        <v>Put/Call</v>
      </c>
      <c r="AG5" s="18" t="str">
        <f>IFERROR(__xludf.DUMMYFUNCTION("""COMPUTED_VALUE"""),"Settlement Currency")</f>
        <v>Settlement Currency</v>
      </c>
      <c r="AH5" s="18" t="str">
        <f>IFERROR(__xludf.DUMMYFUNCTION("""COMPUTED_VALUE"""),"Source")</f>
        <v>Source</v>
      </c>
      <c r="AI5" s="18" t="str">
        <f>IFERROR(__xludf.DUMMYFUNCTION("""COMPUTED_VALUE"""),"Status (With Rollover)")</f>
        <v>Status (With Rollover)</v>
      </c>
      <c r="AJ5" s="18" t="str">
        <f>IFERROR(__xludf.DUMMYFUNCTION("""COMPUTED_VALUE"""),"Strategy")</f>
        <v>Strategy</v>
      </c>
      <c r="AK5" s="18" t="str">
        <f>IFERROR(__xludf.DUMMYFUNCTION("""COMPUTED_VALUE"""),"Strike Price")</f>
        <v>Strike Price</v>
      </c>
      <c r="AL5" s="18" t="str">
        <f>IFERROR(__xludf.DUMMYFUNCTION("""COMPUTED_VALUE"""),"Trade Attribute 1")</f>
        <v>Trade Attribute 1</v>
      </c>
      <c r="AM5" s="18" t="str">
        <f>IFERROR(__xludf.DUMMYFUNCTION("""COMPUTED_VALUE"""),"Trade Attribute 2")</f>
        <v>Trade Attribute 2</v>
      </c>
      <c r="AN5" s="18" t="str">
        <f>IFERROR(__xludf.DUMMYFUNCTION("""COMPUTED_VALUE"""),"Trade Attribute 3")</f>
        <v>Trade Attribute 3</v>
      </c>
      <c r="AO5" s="18" t="str">
        <f>IFERROR(__xludf.DUMMYFUNCTION("""COMPUTED_VALUE"""),"Trade Attribute 4")</f>
        <v>Trade Attribute 4</v>
      </c>
      <c r="AP5" s="18" t="str">
        <f>IFERROR(__xludf.DUMMYFUNCTION("""COMPUTED_VALUE"""),"Trade Attribute 5")</f>
        <v>Trade Attribute 5</v>
      </c>
      <c r="AQ5" s="18" t="str">
        <f>IFERROR(__xludf.DUMMYFUNCTION("""COMPUTED_VALUE"""),"Trade Attribute 6")</f>
        <v>Trade Attribute 6</v>
      </c>
      <c r="AR5" s="18" t="str">
        <f>IFERROR(__xludf.DUMMYFUNCTION("""COMPUTED_VALUE"""),"Trader")</f>
        <v>Trader</v>
      </c>
      <c r="AS5" s="18" t="str">
        <f>IFERROR(__xludf.DUMMYFUNCTION("""COMPUTED_VALUE"""),"Transaction Time")</f>
        <v>Transaction Time</v>
      </c>
      <c r="AT5" s="18" t="str">
        <f>IFERROR(__xludf.DUMMYFUNCTION("""COMPUTED_VALUE"""),"Underlying Country")</f>
        <v>Underlying Country</v>
      </c>
      <c r="AU5" s="18" t="str">
        <f>IFERROR(__xludf.DUMMYFUNCTION("""COMPUTED_VALUE"""),"Underlying Symbol")</f>
        <v>Underlying Symbol</v>
      </c>
      <c r="AV5" s="18" t="str">
        <f>IFERROR(__xludf.DUMMYFUNCTION("""COMPUTED_VALUE"""),"Venue")</f>
        <v>Venue</v>
      </c>
      <c r="AW5" s="18" t="str">
        <f>IFERROR(__xludf.DUMMYFUNCTION("""COMPUTED_VALUE"""),"Working Qty")</f>
        <v>Working Qty</v>
      </c>
      <c r="AX5" s="18" t="str">
        <f>IFERROR(__xludf.DUMMYFUNCTION("""COMPUTED_VALUE"""),"Client")</f>
        <v>Client</v>
      </c>
      <c r="AY5" s="18" t="str">
        <f>IFERROR(__xludf.DUMMYFUNCTION("""COMPUTED_VALUE"""),"OrderID")</f>
        <v>OrderID</v>
      </c>
      <c r="AZ5" s="18" t="str">
        <f>IFERROR(__xludf.DUMMYFUNCTION("""COMPUTED_VALUE"""),"ParentClOrderID")</f>
        <v>ParentClOrderID</v>
      </c>
      <c r="BA5" s="18" t="str">
        <f>IFERROR(__xludf.DUMMYFUNCTION("""COMPUTED_VALUE"""),"Master Fund")</f>
        <v>Master Fund</v>
      </c>
      <c r="BB5" s="18" t="str">
        <f>IFERROR(__xludf.DUMMYFUNCTION("""COMPUTED_VALUE"""),"Current User")</f>
        <v>Current User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19" t="s">
        <v>7</v>
      </c>
      <c r="C6" s="19" t="s">
        <v>8</v>
      </c>
      <c r="D6" s="19">
        <v>600.0</v>
      </c>
      <c r="E6" s="20">
        <v>600.0</v>
      </c>
      <c r="F6" s="19"/>
      <c r="G6" s="19" t="s">
        <v>26</v>
      </c>
      <c r="H6" s="19"/>
      <c r="I6" s="19">
        <v>50.0</v>
      </c>
      <c r="J6" s="19">
        <v>50.0</v>
      </c>
      <c r="K6" s="6"/>
      <c r="L6" s="6"/>
      <c r="M6" s="19" t="s">
        <v>10</v>
      </c>
      <c r="N6" s="6"/>
      <c r="O6" s="6"/>
    </row>
    <row r="7" ht="15.75" customHeight="1">
      <c r="A7" s="6"/>
      <c r="B7" s="19" t="s">
        <v>7</v>
      </c>
      <c r="C7" s="19" t="s">
        <v>8</v>
      </c>
      <c r="D7" s="19">
        <v>400.0</v>
      </c>
      <c r="E7" s="20">
        <v>400.0</v>
      </c>
      <c r="F7" s="19"/>
      <c r="G7" s="19" t="s">
        <v>26</v>
      </c>
      <c r="H7" s="19"/>
      <c r="I7" s="19">
        <v>50.0</v>
      </c>
      <c r="J7" s="19">
        <v>50.0</v>
      </c>
      <c r="K7" s="6"/>
      <c r="L7" s="6"/>
      <c r="M7" s="19" t="s">
        <v>10</v>
      </c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#N/A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18</v>
      </c>
      <c r="D3" s="9" t="s">
        <v>3</v>
      </c>
      <c r="E3" s="10" t="s">
        <v>30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IFERROR(__xludf.DUMMYFUNCTION("IF(C3="""","""",Transpose(IMPORTRANGE('_Settings'!$B$3,C3&amp;""!A4:A1000"")))"),"ReplaceFillsOnBlotter")</f>
        <v>ReplaceFillsOnBlotter</v>
      </c>
      <c r="C4" s="13" t="str">
        <f>IFERROR(__xludf.DUMMYFUNCTION("""COMPUTED_VALUE"""),"CheckBlotter")</f>
        <v>CheckBlotter</v>
      </c>
      <c r="D4" s="13" t="str">
        <f>IFERROR(__xludf.DUMMYFUNCTION("""COMPUTED_VALUE"""),"BlotterFunctionalities")</f>
        <v>BlotterFunctionalities</v>
      </c>
      <c r="E4" s="13" t="str">
        <f>IFERROR(__xludf.DUMMYFUNCTION("""COMPUTED_VALUE"""),"TransferToUserWorkingSubs")</f>
        <v>TransferToUserWorkingSubs</v>
      </c>
      <c r="F4" s="13" t="str">
        <f>IFERROR(__xludf.DUMMYFUNCTION("""COMPUTED_VALUE"""),"CancelWorkingSubs")</f>
        <v>CancelWorkingSubs</v>
      </c>
      <c r="G4" s="13" t="str">
        <f>IFERROR(__xludf.DUMMYFUNCTION("""COMPUTED_VALUE"""),"ReplaceWorkingSubs")</f>
        <v>ReplaceWorkingSubs</v>
      </c>
      <c r="H4" s="13" t="str">
        <f>IFERROR(__xludf.DUMMYFUNCTION("""COMPUTED_VALUE"""),"ViewAllocationDetailsWorkingSub")</f>
        <v>ViewAllocationDetailsWorkingSub</v>
      </c>
      <c r="I4" s="13" t="str">
        <f>IFERROR(__xludf.DUMMYFUNCTION("""COMPUTED_VALUE"""),"SelectTradeOnOrderGrid")</f>
        <v>SelectTradeOnOrderGrid</v>
      </c>
      <c r="J4" s="13" t="str">
        <f>IFERROR(__xludf.DUMMYFUNCTION("""COMPUTED_VALUE"""),"ShowDetailsForAlgoTradeSubOrder")</f>
        <v>ShowDetailsForAlgoTradeSubOrder</v>
      </c>
      <c r="K4" s="13" t="str">
        <f>IFERROR(__xludf.DUMMYFUNCTION("""COMPUTED_VALUE"""),"SelectTradeOrderBlotter")</f>
        <v>SelectTradeOrderBlotter</v>
      </c>
      <c r="L4" s="13" t="str">
        <f>IFERROR(__xludf.DUMMYFUNCTION("""COMPUTED_VALUE"""),"AddFillsWorkingSubs")</f>
        <v>AddFillsWorkingSubs</v>
      </c>
      <c r="M4" s="13" t="str">
        <f>IFERROR(__xludf.DUMMYFUNCTION("""COMPUTED_VALUE"""),"EditAddFillsDetails")</f>
        <v>EditAddFillsDetails</v>
      </c>
      <c r="N4" s="13" t="str">
        <f>IFERROR(__xludf.DUMMYFUNCTION("""COMPUTED_VALUE"""),"ShowDetailsForAlgoTradeWorkingSubs")</f>
        <v>ShowDetailsForAlgoTradeWorkingSubs</v>
      </c>
      <c r="O4" s="13" t="str">
        <f>IFERROR(__xludf.DUMMYFUNCTION("""COMPUTED_VALUE"""),"VerifyWorkingSubs")</f>
        <v>VerifyWorkingSubs</v>
      </c>
      <c r="P4" s="14" t="str">
        <f>IFERROR(__xludf.DUMMYFUNCTION("""COMPUTED_VALUE"""),"TransferToUserOrder")</f>
        <v>TransferToUserOrder</v>
      </c>
      <c r="Q4" s="14" t="str">
        <f>IFERROR(__xludf.DUMMYFUNCTION("""COMPUTED_VALUE"""),"EditOrder")</f>
        <v>EditOrder</v>
      </c>
      <c r="R4" s="14" t="str">
        <f>IFERROR(__xludf.DUMMYFUNCTION("""COMPUTED_VALUE"""),"SelectTradeSubOrderBlotter")</f>
        <v>SelectTradeSubOrderBlotter</v>
      </c>
      <c r="S4" s="14" t="str">
        <f>IFERROR(__xludf.DUMMYFUNCTION("""COMPUTED_VALUE"""),"VerifyOrder")</f>
        <v>VerifyOrder</v>
      </c>
      <c r="T4" s="14" t="str">
        <f>IFERROR(__xludf.DUMMYFUNCTION("""COMPUTED_VALUE"""),"VerifySubOrder")</f>
        <v>VerifySubOrder</v>
      </c>
      <c r="U4" s="14" t="str">
        <f>IFERROR(__xludf.DUMMYFUNCTION("""COMPUTED_VALUE"""),"RemoveSelectedOrders")</f>
        <v>RemoveSelectedOrders</v>
      </c>
      <c r="V4" s="14" t="str">
        <f>IFERROR(__xludf.DUMMYFUNCTION("""COMPUTED_VALUE"""),"CancelAllSelectedSubs")</f>
        <v>CancelAllSelectedSubs</v>
      </c>
      <c r="W4" s="14" t="str">
        <f>IFERROR(__xludf.DUMMYFUNCTION("""COMPUTED_VALUE"""),"MultiTradingTicket")</f>
        <v>MultiTradingTicket</v>
      </c>
      <c r="X4" s="14" t="str">
        <f>IFERROR(__xludf.DUMMYFUNCTION("""COMPUTED_VALUE"""),"AuditTrailOrderBlotter")</f>
        <v>AuditTrailOrderBlotter</v>
      </c>
      <c r="Y4" s="14" t="str">
        <f>IFERROR(__xludf.DUMMYFUNCTION("""COMPUTED_VALUE"""),"TradeNewSubOrder")</f>
        <v>TradeNewSubOrder</v>
      </c>
      <c r="Z4" s="14" t="str">
        <f>IFERROR(__xludf.DUMMYFUNCTION("""COMPUTED_VALUE"""),"RemoveStageOrder")</f>
        <v>RemoveStageOrder</v>
      </c>
      <c r="AA4" s="14" t="str">
        <f>IFERROR(__xludf.DUMMYFUNCTION("""COMPUTED_VALUE"""),"TransferToUserSubOrder")</f>
        <v>TransferToUserSubOrder</v>
      </c>
      <c r="AB4" s="14" t="str">
        <f>IFERROR(__xludf.DUMMYFUNCTION("""COMPUTED_VALUE"""),"DetailsForAlgoTradeOrder")</f>
        <v>DetailsForAlgoTradeOrder</v>
      </c>
      <c r="AC4" s="14" t="str">
        <f>IFERROR(__xludf.DUMMYFUNCTION("""COMPUTED_VALUE"""),"AddFillsSubOrder")</f>
        <v>AddFillsSubOrder</v>
      </c>
      <c r="AD4" s="14" t="str">
        <f>IFERROR(__xludf.DUMMYFUNCTION("""COMPUTED_VALUE"""),"ViewAllocationDetailsSubOrder")</f>
        <v>ViewAllocationDetailsSubOrder</v>
      </c>
      <c r="AE4" s="14" t="str">
        <f>IFERROR(__xludf.DUMMYFUNCTION("""COMPUTED_VALUE"""),"CancelAllSubs")</f>
        <v>CancelAllSubs</v>
      </c>
      <c r="AF4" s="14" t="str">
        <f>IFERROR(__xludf.DUMMYFUNCTION("""COMPUTED_VALUE"""),"CancelSubOrder")</f>
        <v>CancelSubOrder</v>
      </c>
      <c r="AG4" s="14" t="str">
        <f>IFERROR(__xludf.DUMMYFUNCTION("""COMPUTED_VALUE"""),"EditStageOrder")</f>
        <v>EditStageOrder</v>
      </c>
      <c r="AH4" s="14" t="str">
        <f>IFERROR(__xludf.DUMMYFUNCTION("""COMPUTED_VALUE"""),"ReplaceSubOrder")</f>
        <v>ReplaceSubOrder</v>
      </c>
      <c r="AI4" s="14" t="str">
        <f>IFERROR(__xludf.DUMMYFUNCTION("""COMPUTED_VALUE"""),"SelectTradeWorkingSubsBlotter")</f>
        <v>SelectTradeWorkingSubsBlotter</v>
      </c>
      <c r="AJ4" s="14" t="str">
        <f>IFERROR(__xludf.DUMMYFUNCTION("""COMPUTED_VALUE"""),"VerifyAlgoDetails")</f>
        <v>VerifyAlgoDetails</v>
      </c>
      <c r="AK4" s="14" t="str">
        <f>IFERROR(__xludf.DUMMYFUNCTION("""COMPUTED_VALUE"""),"VerifyTransferToUserOrder")</f>
        <v>VerifyTransferToUserOrder</v>
      </c>
      <c r="AL4" s="14" t="str">
        <f>IFERROR(__xludf.DUMMYFUNCTION("""COMPUTED_VALUE"""),"VerifyTransferToUserSubOdr")</f>
        <v>VerifyTransferToUserSubOdr</v>
      </c>
      <c r="AM4" s="14" t="str">
        <f>IFERROR(__xludf.DUMMYFUNCTION("""COMPUTED_VALUE"""),"VerifyTransferToUserWorkSub")</f>
        <v>VerifyTransferToUserWorkSub</v>
      </c>
      <c r="AN4" s="14" t="str">
        <f>IFERROR(__xludf.DUMMYFUNCTION("""COMPUTED_VALUE"""),"SaveLayoutOrderGrid")</f>
        <v>SaveLayoutOrderGrid</v>
      </c>
      <c r="AO4" s="14" t="str">
        <f>IFERROR(__xludf.DUMMYFUNCTION("""COMPUTED_VALUE"""),"ReplaceStageOrder")</f>
        <v>ReplaceStageOrder</v>
      </c>
      <c r="AP4" s="14" t="str">
        <f>IFERROR(__xludf.DUMMYFUNCTION("""COMPUTED_VALUE"""),"MultiTradingTicketFromBlotter")</f>
        <v>MultiTradingTicketFromBlotter</v>
      </c>
      <c r="AQ4" s="14" t="str">
        <f>IFERROR(__xludf.DUMMYFUNCTION("""COMPUTED_VALUE"""),"VerifyViewAllocationDetails")</f>
        <v>VerifyViewAllocationDetails</v>
      </c>
      <c r="AR4" s="14" t="str">
        <f>IFERROR(__xludf.DUMMYFUNCTION("""COMPUTED_VALUE"""),"GoToAllocation")</f>
        <v>GoToAllocation</v>
      </c>
      <c r="AS4" s="14" t="str">
        <f>IFERROR(__xludf.DUMMYFUNCTION("""COMPUTED_VALUE"""),"VerifyRollover")</f>
        <v>VerifyRollover</v>
      </c>
      <c r="AT4" s="14" t="str">
        <f>IFERROR(__xludf.DUMMYFUNCTION("""COMPUTED_VALUE"""),"VerifySubOrderAfterRollover")</f>
        <v>VerifySubOrderAfterRollover</v>
      </c>
      <c r="AU4" s="14" t="str">
        <f>IFERROR(__xludf.DUMMYFUNCTION("""COMPUTED_VALUE"""),"OpenBlotter")</f>
        <v>OpenBlotter</v>
      </c>
      <c r="AV4" s="14" t="str">
        <f>IFERROR(__xludf.DUMMYFUNCTION("""COMPUTED_VALUE"""),"OpenBlotter")</f>
        <v>OpenBlotter</v>
      </c>
      <c r="AW4" s="14" t="str">
        <f>IFERROR(__xludf.DUMMYFUNCTION("""COMPUTED_VALUE"""),"RemoveManualExecution")</f>
        <v>RemoveManualExecution</v>
      </c>
      <c r="AX4" s="14" t="str">
        <f>IFERROR(__xludf.DUMMYFUNCTION("""COMPUTED_VALUE"""),"RemoveExecutionWorkingSubs")</f>
        <v>RemoveExecutionWorkingSubs</v>
      </c>
      <c r="AY4" s="14" t="str">
        <f>IFERROR(__xludf.DUMMYFUNCTION("""COMPUTED_VALUE"""),"GetExecutionReportOrders")</f>
        <v>GetExecutionReportOrders</v>
      </c>
      <c r="AZ4" s="14" t="str">
        <f>IFERROR(__xludf.DUMMYFUNCTION("""COMPUTED_VALUE"""),"GetExecutionReportDetails")</f>
        <v>GetExecutionReportDetails</v>
      </c>
      <c r="BA4" s="14" t="str">
        <f>IFERROR(__xludf.DUMMYFUNCTION("""COMPUTED_VALUE"""),"ExportExecutionReportData")</f>
        <v>ExportExecutionReportData</v>
      </c>
      <c r="BB4" s="14" t="str">
        <f>IFERROR(__xludf.DUMMYFUNCTION("""COMPUTED_VALUE"""),"VerifyExecutionReport")</f>
        <v>VerifyExecutionReport</v>
      </c>
      <c r="BC4" s="14" t="str">
        <f>IFERROR(__xludf.DUMMYFUNCTION("""COMPUTED_VALUE"""),"BlotterExecutionReportSnapshot")</f>
        <v>BlotterExecutionReportSnapshot</v>
      </c>
      <c r="BD4" s="14" t="str">
        <f>IFERROR(__xludf.DUMMYFUNCTION("""COMPUTED_VALUE"""),"MultipleTradeTransferToUser")</f>
        <v>MultipleTradeTransferToUser</v>
      </c>
      <c r="BE4" s="14" t="str">
        <f>IFERROR(__xludf.DUMMYFUNCTION("""COMPUTED_VALUE"""),"ReloadOrderFromBlotter")</f>
        <v>ReloadOrderFromBlotter</v>
      </c>
      <c r="BF4" s="14" t="str">
        <f>IFERROR(__xludf.DUMMYFUNCTION("""COMPUTED_VALUE"""),"ReloadOrderFromSubOrder")</f>
        <v>ReloadOrderFromSubOrder</v>
      </c>
      <c r="BG4" s="14" t="str">
        <f>IFERROR(__xludf.DUMMYFUNCTION("""COMPUTED_VALUE"""),"ReloadOrderFromWorkingSubs")</f>
        <v>ReloadOrderFromWorkingSubs</v>
      </c>
      <c r="BH4" s="14" t="str">
        <f>IFERROR(__xludf.DUMMYFUNCTION("""COMPUTED_VALUE"""),"SelectFills")</f>
        <v>SelectFills</v>
      </c>
      <c r="BI4" s="14" t="str">
        <f>IFERROR(__xludf.DUMMYFUNCTION("""COMPUTED_VALUE"""),"ModifyFills")</f>
        <v>ModifyFills</v>
      </c>
      <c r="BJ4" s="14" t="str">
        <f>IFERROR(__xludf.DUMMYFUNCTION("""COMPUTED_VALUE"""),"AddTab")</f>
        <v>AddTab</v>
      </c>
      <c r="BK4" s="14" t="str">
        <f>IFERROR(__xludf.DUMMYFUNCTION("""COMPUTED_VALUE"""),"RemoveTab")</f>
        <v>RemoveTab</v>
      </c>
      <c r="BL4" s="14" t="str">
        <f>IFERROR(__xludf.DUMMYFUNCTION("""COMPUTED_VALUE"""),"SelectCustomTab")</f>
        <v>SelectCustomTab</v>
      </c>
      <c r="BM4" s="14" t="str">
        <f>IFERROR(__xludf.DUMMYFUNCTION("""COMPUTED_VALUE"""),"VerifyOrderCustomTab")</f>
        <v>VerifyOrderCustomTab</v>
      </c>
      <c r="BN4" s="14" t="str">
        <f>IFERROR(__xludf.DUMMYFUNCTION("""COMPUTED_VALUE"""),"VerifySubOrderCustomTab")</f>
        <v>VerifySubOrderCustomTab</v>
      </c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 t="str">
        <f>IFERROR(__xludf.DUMMYFUNCTION("TRANSPOSE(IMPORTRANGE(VLOOKUP($E$3,IMPORTRANGE('_Settings'!$B$3,$C$3&amp;""!A4:B1000""),2,FALSE),$G$3&amp;""!A4:A1000""))"),"")</f>
        <v/>
      </c>
      <c r="B5" s="16" t="str">
        <f>IFERROR(__xludf.DUMMYFUNCTION("""COMPUTED_VALUE"""),"Transaction Time")</f>
        <v>Transaction Time</v>
      </c>
      <c r="C5" s="16" t="str">
        <f>IFERROR(__xludf.DUMMYFUNCTION("""COMPUTED_VALUE"""),"Algo")</f>
        <v>Algo</v>
      </c>
      <c r="D5" s="16" t="str">
        <f>IFERROR(__xludf.DUMMYFUNCTION("""COMPUTED_VALUE"""),"Avg Fill Price (Base)")</f>
        <v>Avg Fill Price (Base)</v>
      </c>
      <c r="E5" s="16" t="str">
        <f>IFERROR(__xludf.DUMMYFUNCTION("""COMPUTED_VALUE"""),"Bloomberg Symbol")</f>
        <v>Bloomberg Symbol</v>
      </c>
      <c r="F5" s="17" t="str">
        <f>IFERROR(__xludf.DUMMYFUNCTION("""COMPUTED_VALUE"""),"Limit Price")</f>
        <v>Limit Price</v>
      </c>
      <c r="G5" s="16" t="str">
        <f>IFERROR(__xludf.DUMMYFUNCTION("""COMPUTED_VALUE"""),"Working Qty")</f>
        <v>Working Qty</v>
      </c>
      <c r="H5" s="16" t="str">
        <f>IFERROR(__xludf.DUMMYFUNCTION("""COMPUTED_VALUE"""),"Venue")</f>
        <v>Venue</v>
      </c>
      <c r="I5" s="16" t="str">
        <f>IFERROR(__xludf.DUMMYFUNCTION("""COMPUTED_VALUE"""),"Current User")</f>
        <v>Current User</v>
      </c>
      <c r="J5" s="16" t="str">
        <f>IFERROR(__xludf.DUMMYFUNCTION("""COMPUTED_VALUE"""),"Underlying Symbol")</f>
        <v>Underlying Symbol</v>
      </c>
      <c r="K5" s="16" t="str">
        <f>IFERROR(__xludf.DUMMYFUNCTION("""COMPUTED_VALUE"""),"Underlying Country")</f>
        <v>Underlying Country</v>
      </c>
      <c r="L5" s="16" t="str">
        <f>IFERROR(__xludf.DUMMYFUNCTION("""COMPUTED_VALUE"""),"Trader")</f>
        <v>Trader</v>
      </c>
      <c r="M5" s="16" t="str">
        <f>IFERROR(__xludf.DUMMYFUNCTION("""COMPUTED_VALUE"""),"Trade Attribute 6")</f>
        <v>Trade Attribute 6</v>
      </c>
      <c r="N5" s="16" t="str">
        <f>IFERROR(__xludf.DUMMYFUNCTION("""COMPUTED_VALUE"""),"Trade Attribute 5")</f>
        <v>Trade Attribute 5</v>
      </c>
      <c r="O5" s="16" t="str">
        <f>IFERROR(__xludf.DUMMYFUNCTION("""COMPUTED_VALUE"""),"Trade Attribute 4")</f>
        <v>Trade Attribute 4</v>
      </c>
      <c r="P5" s="16" t="str">
        <f>IFERROR(__xludf.DUMMYFUNCTION("""COMPUTED_VALUE"""),"Trade Attribute 3")</f>
        <v>Trade Attribute 3</v>
      </c>
      <c r="Q5" s="16" t="str">
        <f>IFERROR(__xludf.DUMMYFUNCTION("""COMPUTED_VALUE"""),"Trade Attribute 1")</f>
        <v>Trade Attribute 1</v>
      </c>
      <c r="R5" s="16" t="str">
        <f>IFERROR(__xludf.DUMMYFUNCTION("""COMPUTED_VALUE"""),"Trade Attribute 2")</f>
        <v>Trade Attribute 2</v>
      </c>
      <c r="S5" s="16" t="str">
        <f>IFERROR(__xludf.DUMMYFUNCTION("""COMPUTED_VALUE"""),"Strike Price")</f>
        <v>Strike Price</v>
      </c>
      <c r="T5" s="18" t="str">
        <f>IFERROR(__xludf.DUMMYFUNCTION("""COMPUTED_VALUE"""),"Stop Price")</f>
        <v>Stop Price</v>
      </c>
      <c r="U5" s="18" t="str">
        <f>IFERROR(__xludf.DUMMYFUNCTION("""COMPUTED_VALUE"""),"Settlement Currency")</f>
        <v>Settlement Currency</v>
      </c>
      <c r="V5" s="18" t="str">
        <f>IFERROR(__xludf.DUMMYFUNCTION("""COMPUTED_VALUE"""),"Put/Call")</f>
        <v>Put/Call</v>
      </c>
      <c r="W5" s="18" t="str">
        <f>IFERROR(__xludf.DUMMYFUNCTION("""COMPUTED_VALUE"""),"Process Date")</f>
        <v>Process Date</v>
      </c>
      <c r="X5" s="18" t="str">
        <f>IFERROR(__xludf.DUMMYFUNCTION("""COMPUTED_VALUE"""),"Peg")</f>
        <v>Peg</v>
      </c>
      <c r="Y5" s="18" t="str">
        <f>IFERROR(__xludf.DUMMYFUNCTION("""COMPUTED_VALUE"""),"ParentClOrderID")</f>
        <v>ParentClOrderID</v>
      </c>
      <c r="Z5" s="18" t="str">
        <f>IFERROR(__xludf.DUMMYFUNCTION("""COMPUTED_VALUE"""),"OrderID")</f>
        <v>OrderID</v>
      </c>
      <c r="AA5" s="18" t="str">
        <f>IFERROR(__xludf.DUMMYFUNCTION("""COMPUTED_VALUE"""),"Master Fund")</f>
        <v>Master Fund</v>
      </c>
      <c r="AB5" s="18" t="str">
        <f>IFERROR(__xludf.DUMMYFUNCTION("""COMPUTED_VALUE"""),"Last Shares")</f>
        <v>Last Shares</v>
      </c>
      <c r="AC5" s="18" t="str">
        <f>IFERROR(__xludf.DUMMYFUNCTION("""COMPUTED_VALUE"""),"Internal Comments")</f>
        <v>Internal Comments</v>
      </c>
      <c r="AD5" s="18" t="str">
        <f>IFERROR(__xludf.DUMMYFUNCTION("""COMPUTED_VALUE"""),"FX Rate")</f>
        <v>FX Rate</v>
      </c>
      <c r="AE5" s="18" t="str">
        <f>IFERROR(__xludf.DUMMYFUNCTION("""COMPUTED_VALUE"""),"Imported File Name")</f>
        <v>Imported File Name</v>
      </c>
      <c r="AF5" s="18" t="str">
        <f>IFERROR(__xludf.DUMMYFUNCTION("""COMPUTED_VALUE"""),"FX Conversion Operator")</f>
        <v>FX Conversion Operator</v>
      </c>
      <c r="AG5" s="18" t="str">
        <f>IFERROR(__xludf.DUMMYFUNCTION("""COMPUTED_VALUE"""),"Day Average Price")</f>
        <v>Day Average Price</v>
      </c>
      <c r="AH5" s="18" t="str">
        <f>IFERROR(__xludf.DUMMYFUNCTION("""COMPUTED_VALUE"""),"Asset Class")</f>
        <v>Asset Class</v>
      </c>
      <c r="AI5" s="18" t="str">
        <f>IFERROR(__xludf.DUMMYFUNCTION("""COMPUTED_VALUE"""),"Symbol")</f>
        <v>Symbol</v>
      </c>
      <c r="AJ5" s="18" t="str">
        <f>IFERROR(__xludf.DUMMYFUNCTION("""COMPUTED_VALUE"""),"Side")</f>
        <v>Side</v>
      </c>
      <c r="AK5" s="18" t="str">
        <f>IFERROR(__xludf.DUMMYFUNCTION("""COMPUTED_VALUE"""),"Status")</f>
        <v>Status</v>
      </c>
      <c r="AL5" s="18" t="str">
        <f>IFERROR(__xludf.DUMMYFUNCTION("""COMPUTED_VALUE"""),"Target Qty")</f>
        <v>Target Qty</v>
      </c>
      <c r="AM5" s="18" t="str">
        <f>IFERROR(__xludf.DUMMYFUNCTION("""COMPUTED_VALUE"""),"Total Executed Qty")</f>
        <v>Total Executed Qty</v>
      </c>
      <c r="AN5" s="18" t="str">
        <f>IFERROR(__xludf.DUMMYFUNCTION("""COMPUTED_VALUE"""),"% Executed")</f>
        <v>% Executed</v>
      </c>
      <c r="AO5" s="18" t="str">
        <f>IFERROR(__xludf.DUMMYFUNCTION("""COMPUTED_VALUE"""),"Day Executed Qty")</f>
        <v>Day Executed Qty</v>
      </c>
      <c r="AP5" s="18" t="str">
        <f>IFERROR(__xludf.DUMMYFUNCTION("""COMPUTED_VALUE"""),"Uncommitted Qty")</f>
        <v>Uncommitted Qty</v>
      </c>
      <c r="AQ5" s="18" t="str">
        <f>IFERROR(__xludf.DUMMYFUNCTION("""COMPUTED_VALUE"""),"Last Fill Price (Local)")</f>
        <v>Last Fill Price (Local)</v>
      </c>
      <c r="AR5" s="18" t="str">
        <f>IFERROR(__xludf.DUMMYFUNCTION("""COMPUTED_VALUE"""),"Avg Fill Price (Local)")</f>
        <v>Avg Fill Price (Local)</v>
      </c>
      <c r="AS5" s="18" t="str">
        <f>IFERROR(__xludf.DUMMYFUNCTION("""COMPUTED_VALUE"""),"Broker")</f>
        <v>Broker</v>
      </c>
      <c r="AT5" s="18" t="str">
        <f>IFERROR(__xludf.DUMMYFUNCTION("""COMPUTED_VALUE"""),"Account")</f>
        <v>Account</v>
      </c>
      <c r="AU5" s="18" t="str">
        <f>IFERROR(__xludf.DUMMYFUNCTION("""COMPUTED_VALUE"""),"Order Type")</f>
        <v>Order Type</v>
      </c>
      <c r="AV5" s="18" t="str">
        <f>IFERROR(__xludf.DUMMYFUNCTION("""COMPUTED_VALUE"""),"Principal Amount (Local)")</f>
        <v>Principal Amount (Local)</v>
      </c>
      <c r="AW5" s="18" t="str">
        <f>IFERROR(__xludf.DUMMYFUNCTION("""COMPUTED_VALUE"""),"Principal Amount (Base)")</f>
        <v>Principal Amount (Base)</v>
      </c>
      <c r="AX5" s="18" t="str">
        <f>IFERROR(__xludf.DUMMYFUNCTION("""COMPUTED_VALUE"""),"Allocation Scheme Name")</f>
        <v>Allocation Scheme Name</v>
      </c>
      <c r="AY5" s="18" t="str">
        <f>IFERROR(__xludf.DUMMYFUNCTION("""COMPUTED_VALUE"""),"Start of Day Qty")</f>
        <v>Start of Day Qty</v>
      </c>
      <c r="AZ5" s="18" t="str">
        <f>IFERROR(__xludf.DUMMYFUNCTION("""COMPUTED_VALUE"""),"Leaves")</f>
        <v>Leaves</v>
      </c>
      <c r="BA5" s="18" t="str">
        <f>IFERROR(__xludf.DUMMYFUNCTION("""COMPUTED_VALUE"""),"Actual User")</f>
        <v>Actual User</v>
      </c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/>
      <c r="C6" s="6"/>
      <c r="D6" s="19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I6" s="20" t="s">
        <v>7</v>
      </c>
      <c r="AJ6" s="20" t="s">
        <v>8</v>
      </c>
      <c r="AK6" s="20" t="s">
        <v>26</v>
      </c>
      <c r="AL6" s="20">
        <v>1000.0</v>
      </c>
      <c r="AM6" s="20">
        <v>1000.0</v>
      </c>
      <c r="AN6" s="20">
        <v>100.0</v>
      </c>
      <c r="AQ6" s="20">
        <v>50.0</v>
      </c>
      <c r="AR6" s="20">
        <v>50.0</v>
      </c>
      <c r="AU6" s="20" t="s">
        <v>10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