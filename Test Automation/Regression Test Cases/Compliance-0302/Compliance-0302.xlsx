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ComplianceAlert" sheetId="4" r:id="rId6"/>
    <sheet state="visible" name="RestartReleasesAndServices" sheetId="5" r:id="rId7"/>
    <sheet state="visible" name="CreateDoneAwayOrder" sheetId="6" r:id="rId8"/>
    <sheet state="visible" name="CreateStageOrder" sheetId="7" r:id="rId9"/>
    <sheet state="visible" name="PricingInput" sheetId="8" r:id="rId10"/>
    <sheet state="visible" name="GetDailyCash" sheetId="9" r:id="rId11"/>
    <sheet state="visible" name="UpdateMultipleDailyCash" sheetId="10" r:id="rId12"/>
    <sheet state="visible" name="CreateComplianceOrder" sheetId="11" r:id="rId13"/>
    <sheet state="visible" name="VerifyComplianceOrder" sheetId="12" r:id="rId14"/>
    <sheet state="visible" name="SelectTradeOnOrderGrid" sheetId="13" r:id="rId15"/>
    <sheet state="visible" name="ReplaceSubOrder" sheetId="14" r:id="rId16"/>
    <sheet state="visible" name="CreateComplianceOrder1" sheetId="15" r:id="rId17"/>
    <sheet state="visible" name="VerifyComplianceOrder1" sheetId="16" r:id="rId18"/>
    <sheet state="visible" name="CancelSubOrder" sheetId="17" r:id="rId19"/>
    <sheet state="visible" name="VerifyComplianceOrder2" sheetId="18" r:id="rId20"/>
  </sheets>
  <definedNames/>
  <calcPr/>
</workbook>
</file>

<file path=xl/sharedStrings.xml><?xml version="1.0" encoding="utf-8"?>
<sst xmlns="http://schemas.openxmlformats.org/spreadsheetml/2006/main" count="189" uniqueCount="49">
  <si>
    <t>Modules Info</t>
  </si>
  <si>
    <t>Modules</t>
  </si>
  <si>
    <t>Settings</t>
  </si>
  <si>
    <t>Module Step Setting File</t>
  </si>
  <si>
    <t>1T1tZWWYnvdv480jLhPIvKd10XF8KGuhND38_o5Mst7Y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</si>
  <si>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</si>
  <si>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</si>
  <si>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</si>
  <si>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</si>
  <si>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</si>
  <si>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</si>
  <si>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</si>
  <si>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</si>
  <si>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SetComplianceAlert</t>
  </si>
  <si>
    <t>Data Format</t>
  </si>
  <si>
    <t>Input Format</t>
  </si>
  <si>
    <t>Compliance</t>
  </si>
  <si>
    <t>RestartReleasesAndServices</t>
  </si>
  <si>
    <t>Yes</t>
  </si>
  <si>
    <t>TradingTicket</t>
  </si>
  <si>
    <t>CreateDoneAwayOrder</t>
  </si>
  <si>
    <t>IBM</t>
  </si>
  <si>
    <t>Buy</t>
  </si>
  <si>
    <t>Allocation1</t>
  </si>
  <si>
    <t>FRU-TC</t>
  </si>
  <si>
    <t>CreateStageOrder</t>
  </si>
  <si>
    <t>PricingInput</t>
  </si>
  <si>
    <t>DailyValuation</t>
  </si>
  <si>
    <t>GetDailyCash</t>
  </si>
  <si>
    <t>UpdateMultipleDailyCash</t>
  </si>
  <si>
    <t>USD</t>
  </si>
  <si>
    <t>Allocation3</t>
  </si>
  <si>
    <t>CreateComplianceOrder</t>
  </si>
  <si>
    <t>DoneAway</t>
  </si>
  <si>
    <t>VerifyComplianceOrder</t>
  </si>
  <si>
    <t>Soft</t>
  </si>
  <si>
    <t>RuleSet_Global</t>
  </si>
  <si>
    <t>Enter Summary</t>
  </si>
  <si>
    <t>Global</t>
  </si>
  <si>
    <t>Multiple</t>
  </si>
  <si>
    <t>percentNetExposureGlobal: 2.9762, percentNetMarketValueGlobal: 2.9762, percentGrossExposureGlobal: 2.9762, percentGrossMarketValueGlobal: 2.9762</t>
  </si>
  <si>
    <t>Blotter</t>
  </si>
  <si>
    <t>SelectTradeOnOrderGrid</t>
  </si>
  <si>
    <t>Filled</t>
  </si>
  <si>
    <t>ReplaceSubOrder</t>
  </si>
  <si>
    <t>Replace</t>
  </si>
  <si>
    <t>percentNetExposureGlobal: 3.5714, percentNetMarketValueGlobal: 3.5714, percentGrossExposureGlobal: 3.5714, percentGrossMarketValueGlobal: 3.5714</t>
  </si>
  <si>
    <t>CancelSubOrder</t>
  </si>
  <si>
    <t>Replaced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</si>
</sst>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  <font>
      <sz val="9.0"/>
      <color rgb="FF0000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13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535353"/>
      </right>
    </border>
    <border>
      <right style="thin">
        <color rgb="FF535353"/>
      </right>
      <top style="thin">
        <color rgb="FF535353"/>
      </top>
      <bottom style="thin">
        <color rgb="FF535353"/>
      </bottom>
    </border>
    <border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0" fontId="3" numFmtId="0" xfId="0" applyAlignment="1" applyBorder="1" applyFont="1">
      <alignment vertical="bottom"/>
    </xf>
    <xf borderId="6" fillId="0" fontId="3" numFmtId="0" xfId="0" applyAlignment="1" applyBorder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7" fillId="0" fontId="3" numFmtId="0" xfId="0" applyAlignment="1" applyBorder="1" applyFont="1">
      <alignment vertical="bottom"/>
    </xf>
    <xf borderId="5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8" fillId="0" fontId="3" numFmtId="0" xfId="0" applyAlignment="1" applyBorder="1" applyFont="1">
      <alignment vertical="bottom"/>
    </xf>
    <xf borderId="9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9" fillId="0" fontId="5" numFmtId="14" xfId="0" applyAlignment="1" applyBorder="1" applyFont="1" applyNumberFormat="1">
      <alignment horizontal="right" vertical="bottom"/>
    </xf>
    <xf borderId="6" fillId="0" fontId="5" numFmtId="1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3" numFmtId="4" xfId="0" applyAlignment="1" applyBorder="1" applyFont="1" applyNumberFormat="1">
      <alignment horizontal="right" vertical="bottom"/>
    </xf>
    <xf borderId="9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4" xfId="0" applyAlignment="1" applyBorder="1" applyFont="1" applyNumberFormat="1">
      <alignment horizontal="right" vertical="bottom"/>
    </xf>
    <xf borderId="10" fillId="0" fontId="3" numFmtId="0" xfId="0" applyAlignment="1" applyBorder="1" applyFont="1">
      <alignment vertical="bottom"/>
    </xf>
    <xf borderId="11" fillId="6" fontId="13" numFmtId="0" xfId="0" applyAlignment="1" applyBorder="1" applyFill="1" applyFont="1">
      <alignment vertical="top"/>
    </xf>
    <xf borderId="11" fillId="7" fontId="14" numFmtId="0" xfId="0" applyAlignment="1" applyBorder="1" applyFill="1" applyFont="1">
      <alignment vertical="top"/>
    </xf>
    <xf borderId="11" fillId="7" fontId="14" numFmtId="0" xfId="0" applyAlignment="1" applyBorder="1" applyFont="1">
      <alignment vertical="top"/>
    </xf>
    <xf borderId="12" fillId="7" fontId="15" numFmtId="0" xfId="0" applyAlignment="1" applyBorder="1" applyFont="1">
      <alignment readingOrder="0" shrinkToFit="0" vertical="top" wrapText="0"/>
    </xf>
    <xf borderId="12" fillId="7" fontId="3" numFmtId="0" xfId="0" applyAlignment="1" applyBorder="1" applyFont="1">
      <alignment vertical="top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IFERROR(__xludf.DUMMYFUNCTION("""COMPUTED_VALUE"""),"SaveLayoutPM")</f>
        <v>SaveLayoutPM</v>
      </c>
      <c r="C663" t="str">
        <f>IFERROR(__xludf.DUMMYFUNCTION("""COMPUTED_VALUE"""),"18bINF8LvIWUr1rFpe1vpLTKdPT6dJi-B14KFcAVwyfQ")</f>
        <v>18bINF8LvIWUr1rFpe1vpLTKdPT6dJi-B14KFcAVwyfQ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IFERROR(__xludf.DUMMYFUNCTION("""COMPUTED_VALUE"""),"Rebalancer")</f>
        <v>Rebalancer</v>
      </c>
      <c r="B668" t="str">
        <f>IFERROR(__xludf.DUMMYFUNCTION("""COMPUTED_VALUE"""),"VerifyBuySellList")</f>
        <v>VerifyBuySellList</v>
      </c>
      <c r="C668" t="str">
        <f>IFERROR(__xludf.DUMMYFUNCTION("""COMPUTED_VALUE"""),"1O2u9vu9lB8RTOcsD20GdbXlSWEbt310TUvIkuLxRuBg")</f>
        <v>1O2u9vu9lB8RTOcsD20GdbXlSWEbt310TUvIkuLxRuBg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IFERROR(__xludf.DUMMYFUNCTION("""COMPUTED_VALUE"""),"UpdateRoundLot")</f>
        <v>UpdateRoundLot</v>
      </c>
      <c r="I4" s="24" t="str">
        <f>IFERROR(__xludf.DUMMYFUNCTION("""COMPUTED_VALUE"""),"SetTradingComplianceRules")</f>
        <v>SetTradingComplianceRules</v>
      </c>
      <c r="J4" s="24" t="str">
        <f>IFERROR(__xludf.DUMMYFUNCTION("""COMPUTED_VALUE"""),"EnableBreakdownRealizedPNL")</f>
        <v>EnableBreakdownRealizedPNL</v>
      </c>
      <c r="K4" s="24" t="str">
        <f>IFERROR(__xludf.DUMMYFUNCTION("""COMPUTED_VALUE"""),"SetTTGeneralPreferences")</f>
        <v>SetTTGeneralPreferences</v>
      </c>
      <c r="L4" s="24" t="str">
        <f>IFERROR(__xludf.DUMMYFUNCTION("""COMPUTED_VALUE"""),"SetDollarAmountPermission")</f>
        <v>SetDollarAmountPermission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 t="str">
        <f>IFERROR(__xludf.DUMMYFUNCTION("""COMPUTED_VALUE"""),"UpdateSecFee")</f>
        <v>UpdateSecFee</v>
      </c>
      <c r="U4" s="25" t="str">
        <f>IFERROR(__xludf.DUMMYFUNCTION("""COMPUTED_VALUE"""),"UpdateFee")</f>
        <v>UpdateFee</v>
      </c>
      <c r="V4" s="25" t="str">
        <f>IFERROR(__xludf.DUMMYFUNCTION("""COMPUTED_VALUE"""),"RevertingSMSharesOutValue")</f>
        <v>RevertingSMSharesOutValue</v>
      </c>
      <c r="W4" s="25" t="str">
        <f>IFERROR(__xludf.DUMMYFUNCTION("""COMPUTED_VALUE"""),"RestartSQL")</f>
        <v>RestartSQL</v>
      </c>
      <c r="X4" s="25" t="str">
        <f>IFERROR(__xludf.DUMMYFUNCTION("""COMPUTED_VALUE"""),"TradeAuditCleanUp")</f>
        <v>TradeAuditCleanUp</v>
      </c>
      <c r="Y4" s="25" t="str">
        <f>IFERROR(__xludf.DUMMYFUNCTION("""COMPUTED_VALUE"""),"DeleteSymbolFromSM")</f>
        <v>DeleteSymbolFromSM</v>
      </c>
      <c r="Z4" s="25" t="str">
        <f>IFERROR(__xludf.DUMMYFUNCTION("""COMPUTED_VALUE"""),"SetCompliancePermission")</f>
        <v>SetCompliancePermission</v>
      </c>
      <c r="AA4" s="25" t="str">
        <f>IFERROR(__xludf.DUMMYFUNCTION("""COMPUTED_VALUE"""),"SetMasterFundOnTT")</f>
        <v>SetMasterFundOnTT</v>
      </c>
      <c r="AB4" s="25" t="str">
        <f>IFERROR(__xludf.DUMMYFUNCTION("""COMPUTED_VALUE"""),"SetMarketDataProvider")</f>
        <v>SetMarketDataProvider</v>
      </c>
      <c r="AC4" s="25" t="str">
        <f>IFERROR(__xludf.DUMMYFUNCTION("""COMPUTED_VALUE"""),"SetAllocationPreferences")</f>
        <v>SetAllocationPreferences</v>
      </c>
      <c r="AD4" s="25" t="str">
        <f>IFERROR(__xludf.DUMMYFUNCTION("""COMPUTED_VALUE"""),"SetRegularCompliancePermission")</f>
        <v>SetRegularCompliancePermission</v>
      </c>
      <c r="AE4" s="25" t="str">
        <f>IFERROR(__xludf.DUMMYFUNCTION("""COMPUTED_VALUE"""),"SetCommissionRule")</f>
        <v>SetCommissionRule</v>
      </c>
      <c r="AF4" s="25" t="str">
        <f>IFERROR(__xludf.DUMMYFUNCTION("""COMPUTED_VALUE"""),"SetPreTradeCompliancePermission")</f>
        <v>SetPreTradeCompliancePermission</v>
      </c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IFERROR(__xludf.DUMMYFUNCTION("""COMPUTED_VALUE"""),"ImportExportPath")</f>
        <v>ImportExportPath</v>
      </c>
      <c r="C5" s="27" t="str">
        <f>IFERROR(__xludf.DUMMYFUNCTION("""COMPUTED_VALUE"""),"PrePostCrossImport")</f>
        <v>PrePostCrossImport</v>
      </c>
      <c r="D5" s="27" t="str">
        <f>IFERROR(__xludf.DUMMYFUNCTION("""COMPUTED_VALUE"""),"InMarket")</f>
        <v>InMarket</v>
      </c>
      <c r="E5" s="27" t="str">
        <f>IFERROR(__xludf.DUMMYFUNCTION("""COMPUTED_VALUE"""),"InStage")</f>
        <v>InStage</v>
      </c>
      <c r="F5" s="28" t="str">
        <f>IFERROR(__xludf.DUMMYFUNCTION("""COMPUTED_VALUE"""),"PostInMarket")</f>
        <v>PostInMarket</v>
      </c>
      <c r="G5" s="27" t="str">
        <f>IFERROR(__xludf.DUMMYFUNCTION("""COMPUTED_VALUE"""),"PostInStage")</f>
        <v>PostInStage</v>
      </c>
      <c r="H5" s="27" t="str">
        <f>IFERROR(__xludf.DUMMYFUNCTION("""COMPUTED_VALUE"""),"BlockTradeOnComplianceFaliure")</f>
        <v>BlockTradeOnComplianceFaliure</v>
      </c>
      <c r="I5" s="27" t="str">
        <f>IFERROR(__xludf.DUMMYFUNCTION("""COMPUTED_VALUE"""),"StageValueFromField")</f>
        <v>StageValueFromField</v>
      </c>
      <c r="J5" s="27" t="str">
        <f>IFERROR(__xludf.DUMMYFUNCTION("""COMPUTED_VALUE"""),"StageValueFromFieldString")</f>
        <v>StageValueFromFieldString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b">
        <v>1</v>
      </c>
      <c r="E6" s="12" t="b">
        <v>0</v>
      </c>
      <c r="F6" s="12" t="b">
        <v>0</v>
      </c>
      <c r="G6" s="12" t="b">
        <v>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SetComplianceAlert!$4:$4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16</v>
      </c>
      <c r="D3" s="5" t="s">
        <v>9</v>
      </c>
      <c r="E3" s="22" t="s">
        <v>17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IFERROR(__xludf.DUMMYFUNCTION("""COMPUTED_VALUE"""),"Restart Basket")</f>
        <v>Restart Basket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18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RestartReleasesAndServices!$4:$4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10.0</v>
      </c>
      <c r="K6" s="33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7"/>
      <c r="B7" s="38" t="s">
        <v>21</v>
      </c>
      <c r="C7" s="39" t="s">
        <v>22</v>
      </c>
      <c r="D7" s="40">
        <v>100.0</v>
      </c>
      <c r="E7" s="38">
        <v>0.0</v>
      </c>
      <c r="F7" s="41" t="s">
        <v>23</v>
      </c>
      <c r="G7" s="39"/>
      <c r="H7" s="39"/>
      <c r="I7" s="39"/>
      <c r="J7" s="36">
        <v>10.0</v>
      </c>
      <c r="K7" s="39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 t="s">
        <v>18</v>
      </c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42"/>
      <c r="B8" s="39" t="s">
        <v>24</v>
      </c>
      <c r="C8" s="39" t="s">
        <v>22</v>
      </c>
      <c r="D8" s="40">
        <v>100.0</v>
      </c>
      <c r="E8" s="39"/>
      <c r="F8" s="35" t="s">
        <v>23</v>
      </c>
      <c r="G8" s="39"/>
      <c r="H8" s="39"/>
      <c r="I8" s="39"/>
      <c r="J8" s="36">
        <v>10.0</v>
      </c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 t="s">
        <v>18</v>
      </c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42"/>
      <c r="B9" s="39" t="s">
        <v>24</v>
      </c>
      <c r="C9" s="39" t="s">
        <v>22</v>
      </c>
      <c r="D9" s="40">
        <v>100.0</v>
      </c>
      <c r="E9" s="38">
        <v>0.0</v>
      </c>
      <c r="F9" s="41" t="s">
        <v>23</v>
      </c>
      <c r="G9" s="39"/>
      <c r="H9" s="39"/>
      <c r="I9" s="39"/>
      <c r="J9" s="36">
        <v>10.0</v>
      </c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 t="s">
        <v>18</v>
      </c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10.0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42"/>
      <c r="B7" s="39" t="s">
        <v>24</v>
      </c>
      <c r="C7" s="39" t="s">
        <v>22</v>
      </c>
      <c r="D7" s="40">
        <v>100.0</v>
      </c>
      <c r="E7" s="39"/>
      <c r="F7" s="35" t="s">
        <v>23</v>
      </c>
      <c r="G7" s="39"/>
      <c r="H7" s="39"/>
      <c r="I7" s="39"/>
      <c r="J7" s="36">
        <v>10.0</v>
      </c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/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32" t="s">
        <v>21</v>
      </c>
      <c r="C6" s="36">
        <v>20.0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9" t="s">
        <v>24</v>
      </c>
      <c r="C7" s="36">
        <v>20.0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4">
        <f t="shared" ref="B6:C6" si="1">today()-1</f>
        <v>45286</v>
      </c>
      <c r="C6" s="45">
        <f t="shared" si="1"/>
        <v>45286</v>
      </c>
      <c r="D6" s="43"/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27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6" t="s">
        <v>23</v>
      </c>
      <c r="C6" s="47" t="s">
        <v>30</v>
      </c>
      <c r="D6" s="48">
        <v>234000.0</v>
      </c>
      <c r="E6" s="33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49" t="s">
        <v>31</v>
      </c>
      <c r="C7" s="50" t="s">
        <v>30</v>
      </c>
      <c r="D7" s="51">
        <v>100000.0</v>
      </c>
      <c r="E7" s="39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UpdateMultipleDailyCash!$4:$4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1"/>
      <c r="B6" s="32" t="s">
        <v>21</v>
      </c>
      <c r="C6" s="33" t="s">
        <v>22</v>
      </c>
      <c r="D6" s="34">
        <v>100.0</v>
      </c>
      <c r="E6" s="33"/>
      <c r="F6" s="35" t="s">
        <v>23</v>
      </c>
      <c r="G6" s="33"/>
      <c r="H6" s="33"/>
      <c r="I6" s="33"/>
      <c r="J6" s="36">
        <v>20.0</v>
      </c>
      <c r="K6" s="39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33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35</v>
      </c>
      <c r="C6" s="54" t="s">
        <v>36</v>
      </c>
      <c r="D6" s="55" t="s">
        <v>37</v>
      </c>
      <c r="E6" s="54" t="s">
        <v>38</v>
      </c>
      <c r="F6" s="54" t="s">
        <v>39</v>
      </c>
      <c r="G6" s="54" t="s">
        <v>39</v>
      </c>
      <c r="H6" s="56" t="s">
        <v>40</v>
      </c>
      <c r="I6" s="57"/>
      <c r="J6" s="35"/>
      <c r="K6" s="58" t="s">
        <v>18</v>
      </c>
      <c r="L6" s="35"/>
      <c r="M6" s="58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59">
        <v>20.0</v>
      </c>
      <c r="C6" s="35"/>
      <c r="D6" s="32" t="s">
        <v>21</v>
      </c>
      <c r="E6" s="35"/>
      <c r="F6" s="58" t="s">
        <v>22</v>
      </c>
      <c r="G6" s="58" t="s">
        <v>43</v>
      </c>
      <c r="H6" s="36">
        <v>100.0</v>
      </c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SelectTradeOnOrderGrid!$4:$4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FxRate Operator")</f>
        <v>Settlement FxRate Operator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IFERROR(__xludf.DUMMYFUNCTION("""COMPUTED_VALUE"""),"Put/Call")</f>
        <v>Put/Call</v>
      </c>
      <c r="X5" s="29" t="str">
        <f>IFERROR(__xludf.DUMMYFUNCTION("""COMPUTED_VALUE"""),"Process Date")</f>
        <v>Process Date</v>
      </c>
      <c r="Y5" s="29" t="str">
        <f>IFERROR(__xludf.DUMMYFUNCTION("""COMPUTED_VALUE"""),"Peg")</f>
        <v>Peg</v>
      </c>
      <c r="Z5" s="29" t="str">
        <f>IFERROR(__xludf.DUMMYFUNCTION("""COMPUTED_VALUE"""),"ParentClOrderID")</f>
        <v>ParentClOrderID</v>
      </c>
      <c r="AA5" s="29" t="str">
        <f>IFERROR(__xludf.DUMMYFUNCTION("""COMPUTED_VALUE"""),"OrderID")</f>
        <v>OrderID</v>
      </c>
      <c r="AB5" s="29" t="str">
        <f>IFERROR(__xludf.DUMMYFUNCTION("""COMPUTED_VALUE"""),"Master Fund")</f>
        <v>Master Fund</v>
      </c>
      <c r="AC5" s="29" t="str">
        <f>IFERROR(__xludf.DUMMYFUNCTION("""COMPUTED_VALUE"""),"Last Shares")</f>
        <v>Last Shares</v>
      </c>
      <c r="AD5" s="29" t="str">
        <f>IFERROR(__xludf.DUMMYFUNCTION("""COMPUTED_VALUE"""),"Internal Comments")</f>
        <v>Internal Comments</v>
      </c>
      <c r="AE5" s="29" t="str">
        <f>IFERROR(__xludf.DUMMYFUNCTION("""COMPUTED_VALUE"""),"FX Rate")</f>
        <v>FX Rate</v>
      </c>
      <c r="AF5" s="29" t="str">
        <f>IFERROR(__xludf.DUMMYFUNCTION("""COMPUTED_VALUE"""),"Imported File Name")</f>
        <v>Imported File Name</v>
      </c>
      <c r="AG5" s="29" t="str">
        <f>IFERROR(__xludf.DUMMYFUNCTION("""COMPUTED_VALUE"""),"FX Conversion Operator")</f>
        <v>FX Conversion Operator</v>
      </c>
      <c r="AH5" s="29" t="str">
        <f>IFERROR(__xludf.DUMMYFUNCTION("""COMPUTED_VALUE"""),"Day Average Price")</f>
        <v>Day Average Price</v>
      </c>
      <c r="AI5" s="29" t="str">
        <f>IFERROR(__xludf.DUMMYFUNCTION("""COMPUTED_VALUE"""),"Asset Class")</f>
        <v>Asset Class</v>
      </c>
      <c r="AJ5" s="29" t="str">
        <f>IFERROR(__xludf.DUMMYFUNCTION("""COMPUTED_VALUE"""),"Symbol")</f>
        <v>Symbol</v>
      </c>
      <c r="AK5" s="29" t="str">
        <f>IFERROR(__xludf.DUMMYFUNCTION("""COMPUTED_VALUE"""),"Side")</f>
        <v>Side</v>
      </c>
      <c r="AL5" s="29" t="str">
        <f>IFERROR(__xludf.DUMMYFUNCTION("""COMPUTED_VALUE"""),"Status")</f>
        <v>Status</v>
      </c>
      <c r="AM5" s="29" t="str">
        <f>IFERROR(__xludf.DUMMYFUNCTION("""COMPUTED_VALUE"""),"Quantity")</f>
        <v>Quantity</v>
      </c>
      <c r="AN5" s="29" t="str">
        <f>IFERROR(__xludf.DUMMYFUNCTION("""COMPUTED_VALUE"""),"Executed Qty")</f>
        <v>Executed Qty</v>
      </c>
      <c r="AO5" s="29" t="str">
        <f>IFERROR(__xludf.DUMMYFUNCTION("""COMPUTED_VALUE"""),"% Executed")</f>
        <v>% Executed</v>
      </c>
      <c r="AP5" s="29" t="str">
        <f>IFERROR(__xludf.DUMMYFUNCTION("""COMPUTED_VALUE"""),"Day Executed Qty")</f>
        <v>Day Executed Qty</v>
      </c>
      <c r="AQ5" s="29" t="str">
        <f>IFERROR(__xludf.DUMMYFUNCTION("""COMPUTED_VALUE"""),"Remaining Qty")</f>
        <v>Remaining Qty</v>
      </c>
      <c r="AR5" s="29" t="str">
        <f>IFERROR(__xludf.DUMMYFUNCTION("""COMPUTED_VALUE"""),"Last Fill Price (Local)")</f>
        <v>Last Fill Price (Local)</v>
      </c>
      <c r="AS5" s="29" t="str">
        <f>IFERROR(__xludf.DUMMYFUNCTION("""COMPUTED_VALUE"""),"Avg Fill Price (Local)")</f>
        <v>Avg Fill Price (Local)</v>
      </c>
      <c r="AT5" s="29" t="str">
        <f>IFERROR(__xludf.DUMMYFUNCTION("""COMPUTED_VALUE"""),"Broker")</f>
        <v>Broker</v>
      </c>
      <c r="AU5" s="29" t="str">
        <f>IFERROR(__xludf.DUMMYFUNCTION("""COMPUTED_VALUE"""),"Account")</f>
        <v>Account</v>
      </c>
      <c r="AV5" s="29" t="str">
        <f>IFERROR(__xludf.DUMMYFUNCTION("""COMPUTED_VALUE"""),"Order Type")</f>
        <v>Order Type</v>
      </c>
      <c r="AW5" s="29" t="str">
        <f>IFERROR(__xludf.DUMMYFUNCTION("""COMPUTED_VALUE"""),"Principal Amount (Local)")</f>
        <v>Principal Amount (Local)</v>
      </c>
      <c r="AX5" s="29" t="str">
        <f>IFERROR(__xludf.DUMMYFUNCTION("""COMPUTED_VALUE"""),"Principal Amount (Base)")</f>
        <v>Principal Amount (Base)</v>
      </c>
      <c r="AY5" s="29" t="str">
        <f>IFERROR(__xludf.DUMMYFUNCTION("""COMPUTED_VALUE"""),"Settlement FxRate")</f>
        <v>Settlement FxRate</v>
      </c>
      <c r="AZ5" s="29" t="str">
        <f>IFERROR(__xludf.DUMMYFUNCTION("""COMPUTED_VALUE"""),"Settlement Price")</f>
        <v>Settlement Price</v>
      </c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5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60" t="s">
        <v>21</v>
      </c>
      <c r="AK6" s="35" t="s">
        <v>22</v>
      </c>
      <c r="AL6" s="35" t="s">
        <v>43</v>
      </c>
      <c r="AM6" s="61">
        <v>100.0</v>
      </c>
      <c r="AN6" s="35"/>
      <c r="AO6" s="35"/>
      <c r="AP6" s="35"/>
      <c r="AQ6" s="35"/>
      <c r="AR6" s="35"/>
      <c r="AS6" s="61">
        <v>20.0</v>
      </c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ReplaceSubOrder!$4:$4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59" t="s">
        <v>21</v>
      </c>
      <c r="C6" s="35"/>
      <c r="D6" s="59">
        <v>200.0</v>
      </c>
      <c r="E6" s="35"/>
      <c r="F6" s="35"/>
      <c r="G6" s="35"/>
      <c r="H6" s="35"/>
      <c r="I6" s="35"/>
      <c r="J6" s="36">
        <v>20.0</v>
      </c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 t="s">
        <v>18</v>
      </c>
      <c r="AR6" s="35"/>
      <c r="AS6" s="35"/>
      <c r="AT6" s="35"/>
      <c r="AU6" s="35"/>
      <c r="AV6" s="35"/>
      <c r="AW6" s="35"/>
      <c r="AX6" s="35" t="s">
        <v>45</v>
      </c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35</v>
      </c>
      <c r="C6" s="54" t="s">
        <v>36</v>
      </c>
      <c r="D6" s="55" t="s">
        <v>37</v>
      </c>
      <c r="E6" s="54" t="s">
        <v>38</v>
      </c>
      <c r="F6" s="54" t="s">
        <v>39</v>
      </c>
      <c r="G6" s="54" t="s">
        <v>39</v>
      </c>
      <c r="H6" s="56" t="s">
        <v>46</v>
      </c>
      <c r="I6" s="57"/>
      <c r="J6" s="35"/>
      <c r="K6" s="58" t="s">
        <v>18</v>
      </c>
      <c r="L6" s="35"/>
      <c r="M6" s="58" t="s">
        <v>45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41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1")</f>
        <v>Trade Attribute 1</v>
      </c>
      <c r="N5" s="27" t="str">
        <f>IFERROR(__xludf.DUMMYFUNCTION("""COMPUTED_VALUE"""),"Trade Attribute 2")</f>
        <v>Trade Attribute 2</v>
      </c>
      <c r="O5" s="27" t="str">
        <f>IFERROR(__xludf.DUMMYFUNCTION("""COMPUTED_VALUE"""),"Trade Attribute 3")</f>
        <v>Trade Attribute 3</v>
      </c>
      <c r="P5" s="27" t="str">
        <f>IFERROR(__xludf.DUMMYFUNCTION("""COMPUTED_VALUE"""),"Trade Attribute 4")</f>
        <v>Trade Attribute 4</v>
      </c>
      <c r="Q5" s="27" t="str">
        <f>IFERROR(__xludf.DUMMYFUNCTION("""COMPUTED_VALUE"""),"Trade Attribute 5")</f>
        <v>Trade Attribute 5</v>
      </c>
      <c r="R5" s="27" t="str">
        <f>IFERROR(__xludf.DUMMYFUNCTION("""COMPUTED_VALUE"""),"Trade Attribute 6")</f>
        <v>Trade Attribute 6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IFERROR(__xludf.DUMMYFUNCTION("""COMPUTED_VALUE"""),"Remaining Qty")</f>
        <v>Remaining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43"/>
      <c r="B6" s="43"/>
      <c r="C6" s="35"/>
      <c r="D6" s="59">
        <v>20.0</v>
      </c>
      <c r="E6" s="35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61" t="s">
        <v>21</v>
      </c>
      <c r="AJ6" s="35" t="s">
        <v>22</v>
      </c>
      <c r="AK6" s="35" t="s">
        <v>48</v>
      </c>
      <c r="AL6" s="61">
        <v>200.0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CancelSubOrder!$4:$4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52"/>
      <c r="B6" s="53" t="s">
        <v>35</v>
      </c>
      <c r="C6" s="54" t="s">
        <v>36</v>
      </c>
      <c r="D6" s="55" t="s">
        <v>37</v>
      </c>
      <c r="E6" s="54" t="s">
        <v>38</v>
      </c>
      <c r="F6" s="54" t="s">
        <v>39</v>
      </c>
      <c r="G6" s="54" t="s">
        <v>39</v>
      </c>
      <c r="H6" s="56" t="s">
        <v>46</v>
      </c>
      <c r="I6" s="57"/>
      <c r="J6" s="35"/>
      <c r="K6" s="58" t="s">
        <v>18</v>
      </c>
      <c r="L6" s="35"/>
      <c r="M6" s="58" t="s">
        <v>33</v>
      </c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VerifyComplianceOrder2!$4:$4</formula1>
    </dataValidation>
  </dataValidations>
  <drawing r:id="rId1"/>
</worksheet>
</file>