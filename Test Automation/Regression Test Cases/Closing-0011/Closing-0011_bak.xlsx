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7" activeTab="10"/>
  </bookViews>
  <sheets>
    <sheet name="_Modules" sheetId="1" r:id="rId1"/>
    <sheet name="_Settings" sheetId="2" r:id="rId2"/>
    <sheet name="_MasterData" sheetId="3" r:id="rId3"/>
    <sheet name="CreateDoneAwayOrder" sheetId="4" r:id="rId4"/>
    <sheet name="AutomaticClosing" sheetId="5" r:id="rId5"/>
    <sheet name="VerifyClosedTrades" sheetId="6" r:id="rId6"/>
    <sheet name="UnwindClosing" sheetId="7" r:id="rId7"/>
    <sheet name="GetDataClosing" sheetId="8" r:id="rId8"/>
    <sheet name="GetDataAllocation" sheetId="9" r:id="rId9"/>
    <sheet name="CheckAllocatedGroups" sheetId="10" r:id="rId10"/>
    <sheet name="CheckPortfolioManagement" sheetId="11" r:id="rId11"/>
    <sheet name="VerifyLongPositionsGrid" sheetId="12" r:id="rId12"/>
    <sheet name="VerifyShortPositionsGrid" sheetId="13" r:id="rId13"/>
  </sheets>
  <calcPr calcId="145621"/>
</workbook>
</file>

<file path=xl/calcChain.xml><?xml version="1.0" encoding="utf-8"?>
<calcChain xmlns="http://schemas.openxmlformats.org/spreadsheetml/2006/main">
  <c r="BK5" i="11" l="1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FK5" i="11"/>
  <c r="FC5" i="11"/>
  <c r="EU5" i="11"/>
  <c r="EM5" i="11"/>
  <c r="EE5" i="11"/>
  <c r="DW5" i="11"/>
  <c r="DO5" i="11"/>
  <c r="DG5" i="11"/>
  <c r="CY5" i="11"/>
  <c r="CQ5" i="11"/>
  <c r="CI5" i="11"/>
  <c r="CA5" i="11"/>
  <c r="BS5" i="11"/>
  <c r="BC5" i="11"/>
  <c r="AU5" i="11"/>
  <c r="AM5" i="11"/>
  <c r="AE5" i="11"/>
  <c r="W5" i="11"/>
  <c r="O5" i="11"/>
  <c r="G5" i="11"/>
  <c r="FL4" i="11"/>
  <c r="FD4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FI5" i="11"/>
  <c r="FA5" i="11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FG5" i="11"/>
  <c r="EY5" i="11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FH4" i="11"/>
  <c r="EZ4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B4" i="13"/>
  <c r="BP4" i="13"/>
  <c r="AB4" i="13"/>
  <c r="ET5" i="12"/>
  <c r="DY5" i="12"/>
  <c r="DC5" i="12"/>
  <c r="CH5" i="12"/>
  <c r="BM5" i="12"/>
  <c r="AQ5" i="12"/>
  <c r="V5" i="12"/>
  <c r="A5" i="12"/>
  <c r="EE4" i="12"/>
  <c r="DO4" i="12"/>
  <c r="CY4" i="12"/>
  <c r="CI4" i="12"/>
  <c r="BS4" i="12"/>
  <c r="BC4" i="12"/>
  <c r="AM4" i="12"/>
  <c r="W4" i="12"/>
  <c r="G4" i="12"/>
  <c r="FE5" i="11"/>
  <c r="ER5" i="11"/>
  <c r="EF5" i="11"/>
  <c r="DR5" i="11"/>
  <c r="DF5" i="11"/>
  <c r="CS5" i="11"/>
  <c r="CF5" i="11"/>
  <c r="BT5" i="11"/>
  <c r="BF5" i="11"/>
  <c r="AT5" i="11"/>
  <c r="AG5" i="11"/>
  <c r="V5" i="11"/>
  <c r="L5" i="11"/>
  <c r="A5" i="11"/>
  <c r="FC4" i="11"/>
  <c r="ES4" i="11"/>
  <c r="EH4" i="11"/>
  <c r="DW4" i="11"/>
  <c r="DM4" i="11"/>
  <c r="DB4" i="11"/>
  <c r="CQ4" i="11"/>
  <c r="CG4" i="11"/>
  <c r="BV4" i="11"/>
  <c r="BK4" i="11"/>
  <c r="BA4" i="11"/>
  <c r="AP4" i="11"/>
  <c r="AE4" i="11"/>
  <c r="U4" i="11"/>
  <c r="J4" i="11"/>
  <c r="EW5" i="10"/>
  <c r="EN5" i="10"/>
  <c r="EE5" i="10"/>
  <c r="DU5" i="10"/>
  <c r="DL5" i="10"/>
  <c r="DC5" i="10"/>
  <c r="CT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DT4" i="13"/>
  <c r="BH4" i="13"/>
  <c r="W4" i="13"/>
  <c r="EQ5" i="12"/>
  <c r="DV5" i="12"/>
  <c r="DA5" i="12"/>
  <c r="CE5" i="12"/>
  <c r="BJ5" i="12"/>
  <c r="AO5" i="12"/>
  <c r="S5" i="12"/>
  <c r="EV4" i="12"/>
  <c r="EC4" i="12"/>
  <c r="DM4" i="12"/>
  <c r="CW4" i="12"/>
  <c r="CG4" i="12"/>
  <c r="BQ4" i="12"/>
  <c r="BA4" i="12"/>
  <c r="AK4" i="12"/>
  <c r="U4" i="12"/>
  <c r="E4" i="12"/>
  <c r="FD5" i="11"/>
  <c r="EP5" i="11"/>
  <c r="ED5" i="11"/>
  <c r="DQ5" i="11"/>
  <c r="DD5" i="11"/>
  <c r="CR5" i="11"/>
  <c r="CD5" i="11"/>
  <c r="BR5" i="11"/>
  <c r="BE5" i="11"/>
  <c r="AR5" i="11"/>
  <c r="AF5" i="11"/>
  <c r="U5" i="11"/>
  <c r="J5" i="11"/>
  <c r="FM4" i="11"/>
  <c r="FB4" i="11"/>
  <c r="EQ4" i="11"/>
  <c r="EG4" i="11"/>
  <c r="DV4" i="11"/>
  <c r="DK4" i="11"/>
  <c r="DA4" i="11"/>
  <c r="CP4" i="11"/>
  <c r="CE4" i="11"/>
  <c r="BU4" i="11"/>
  <c r="BJ4" i="11"/>
  <c r="AY4" i="11"/>
  <c r="AO4" i="11"/>
  <c r="AD4" i="11"/>
  <c r="S4" i="11"/>
  <c r="I4" i="11"/>
  <c r="EV5" i="10"/>
  <c r="EM5" i="10"/>
  <c r="EC5" i="10"/>
  <c r="DT5" i="10"/>
  <c r="DK5" i="10"/>
  <c r="DB5" i="10"/>
  <c r="CS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DL4" i="13"/>
  <c r="AZ4" i="13"/>
  <c r="T4" i="13"/>
  <c r="EO5" i="12"/>
  <c r="DS5" i="12"/>
  <c r="CX5" i="12"/>
  <c r="CC5" i="12"/>
  <c r="BG5" i="12"/>
  <c r="AL5" i="12"/>
  <c r="Q5" i="12"/>
  <c r="ES4" i="12"/>
  <c r="EA4" i="12"/>
  <c r="DK4" i="12"/>
  <c r="CU4" i="12"/>
  <c r="CE4" i="12"/>
  <c r="BO4" i="12"/>
  <c r="AY4" i="12"/>
  <c r="AI4" i="12"/>
  <c r="S4" i="12"/>
  <c r="C4" i="12"/>
  <c r="FB5" i="11"/>
  <c r="EO5" i="11"/>
  <c r="EB5" i="11"/>
  <c r="DP5" i="11"/>
  <c r="DB5" i="11"/>
  <c r="CP5" i="11"/>
  <c r="CC5" i="11"/>
  <c r="BP5" i="11"/>
  <c r="BD5" i="11"/>
  <c r="AP5" i="11"/>
  <c r="AD5" i="11"/>
  <c r="T5" i="11"/>
  <c r="I5" i="11"/>
  <c r="FK4" i="11"/>
  <c r="FA4" i="11"/>
  <c r="EP4" i="11"/>
  <c r="EE4" i="11"/>
  <c r="DU4" i="11"/>
  <c r="DJ4" i="11"/>
  <c r="CY4" i="11"/>
  <c r="CO4" i="11"/>
  <c r="CD4" i="11"/>
  <c r="BS4" i="11"/>
  <c r="BI4" i="11"/>
  <c r="AX4" i="11"/>
  <c r="AM4" i="11"/>
  <c r="AC4" i="11"/>
  <c r="R4" i="11"/>
  <c r="G4" i="11"/>
  <c r="EU5" i="10"/>
  <c r="EK5" i="10"/>
  <c r="EB5" i="10"/>
  <c r="DS5" i="10"/>
  <c r="DJ5" i="10"/>
  <c r="DA5" i="10"/>
  <c r="CR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DD4" i="13"/>
  <c r="AU4" i="13"/>
  <c r="O4" i="13"/>
  <c r="EL5" i="12"/>
  <c r="DQ5" i="12"/>
  <c r="CU5" i="12"/>
  <c r="BZ5" i="12"/>
  <c r="BE5" i="12"/>
  <c r="AI5" i="12"/>
  <c r="N5" i="12"/>
  <c r="EQ4" i="12"/>
  <c r="DX4" i="12"/>
  <c r="DH4" i="12"/>
  <c r="CR4" i="12"/>
  <c r="CB4" i="12"/>
  <c r="BL4" i="12"/>
  <c r="AV4" i="12"/>
  <c r="AF4" i="12"/>
  <c r="P4" i="12"/>
  <c r="FM5" i="11"/>
  <c r="EZ5" i="11"/>
  <c r="EN5" i="11"/>
  <c r="DZ5" i="11"/>
  <c r="DN5" i="11"/>
  <c r="DA5" i="11"/>
  <c r="CN5" i="11"/>
  <c r="CB5" i="11"/>
  <c r="BN5" i="11"/>
  <c r="BB5" i="11"/>
  <c r="AO5" i="11"/>
  <c r="AC5" i="11"/>
  <c r="R5" i="11"/>
  <c r="H5" i="11"/>
  <c r="FJ4" i="11"/>
  <c r="EY4" i="11"/>
  <c r="EO4" i="11"/>
  <c r="ED4" i="11"/>
  <c r="DS4" i="11"/>
  <c r="DI4" i="11"/>
  <c r="CX4" i="11"/>
  <c r="CM4" i="11"/>
  <c r="CC4" i="11"/>
  <c r="BR4" i="11"/>
  <c r="BG4" i="11"/>
  <c r="AW4" i="11"/>
  <c r="AL4" i="11"/>
  <c r="AA4" i="11"/>
  <c r="Q4" i="11"/>
  <c r="F4" i="11"/>
  <c r="ES5" i="10"/>
  <c r="EJ5" i="10"/>
  <c r="EA5" i="10"/>
  <c r="DR5" i="10"/>
  <c r="DI5" i="10"/>
  <c r="CZ5" i="10"/>
  <c r="CQ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CV4" i="13"/>
  <c r="AR4" i="13"/>
  <c r="L4" i="13"/>
  <c r="EI5" i="12"/>
  <c r="DN5" i="12"/>
  <c r="CS5" i="12"/>
  <c r="BW5" i="12"/>
  <c r="BB5" i="12"/>
  <c r="AG5" i="12"/>
  <c r="K5" i="12"/>
  <c r="EN4" i="12"/>
  <c r="DW4" i="12"/>
  <c r="DG4" i="12"/>
  <c r="CQ4" i="12"/>
  <c r="CA4" i="12"/>
  <c r="BK4" i="12"/>
  <c r="AU4" i="12"/>
  <c r="AE4" i="12"/>
  <c r="O4" i="12"/>
  <c r="FL5" i="11"/>
  <c r="EX5" i="11"/>
  <c r="EL5" i="11"/>
  <c r="DY5" i="11"/>
  <c r="DL5" i="11"/>
  <c r="CZ5" i="11"/>
  <c r="CL5" i="11"/>
  <c r="BZ5" i="11"/>
  <c r="BM5" i="11"/>
  <c r="AZ5" i="11"/>
  <c r="AN5" i="11"/>
  <c r="AB5" i="11"/>
  <c r="Q5" i="11"/>
  <c r="F5" i="11"/>
  <c r="FI4" i="11"/>
  <c r="EX4" i="11"/>
  <c r="EM4" i="11"/>
  <c r="EC4" i="11"/>
  <c r="DR4" i="11"/>
  <c r="DG4" i="11"/>
  <c r="CW4" i="11"/>
  <c r="CL4" i="11"/>
  <c r="CA4" i="11"/>
  <c r="BQ4" i="11"/>
  <c r="BF4" i="11"/>
  <c r="AU4" i="11"/>
  <c r="AK4" i="11"/>
  <c r="Z4" i="11"/>
  <c r="O4" i="11"/>
  <c r="E4" i="11"/>
  <c r="ER5" i="10"/>
  <c r="EI5" i="10"/>
  <c r="DZ5" i="10"/>
  <c r="DQ5" i="10"/>
  <c r="DH5" i="10"/>
  <c r="CY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CN4" i="13"/>
  <c r="AM4" i="13"/>
  <c r="G4" i="13"/>
  <c r="EG5" i="12"/>
  <c r="DK5" i="12"/>
  <c r="CP5" i="12"/>
  <c r="BU5" i="12"/>
  <c r="AY5" i="12"/>
  <c r="AD5" i="12"/>
  <c r="I5" i="12"/>
  <c r="EK4" i="12"/>
  <c r="DU4" i="12"/>
  <c r="DE4" i="12"/>
  <c r="CO4" i="12"/>
  <c r="BY4" i="12"/>
  <c r="BI4" i="12"/>
  <c r="AS4" i="12"/>
  <c r="AC4" i="12"/>
  <c r="M4" i="12"/>
  <c r="FJ5" i="11"/>
  <c r="EW5" i="11"/>
  <c r="EJ5" i="11"/>
  <c r="DX5" i="11"/>
  <c r="DJ5" i="11"/>
  <c r="CX5" i="11"/>
  <c r="CK5" i="11"/>
  <c r="BX5" i="11"/>
  <c r="BL5" i="11"/>
  <c r="AX5" i="11"/>
  <c r="AL5" i="11"/>
  <c r="Z5" i="11"/>
  <c r="P5" i="11"/>
  <c r="E5" i="11"/>
  <c r="FG4" i="11"/>
  <c r="EW4" i="11"/>
  <c r="EL4" i="11"/>
  <c r="EA4" i="11"/>
  <c r="DQ4" i="11"/>
  <c r="DF4" i="11"/>
  <c r="CU4" i="11"/>
  <c r="CK4" i="11"/>
  <c r="BZ4" i="11"/>
  <c r="BO4" i="11"/>
  <c r="BE4" i="11"/>
  <c r="AT4" i="11"/>
  <c r="AI4" i="11"/>
  <c r="Y4" i="11"/>
  <c r="N4" i="11"/>
  <c r="C4" i="11"/>
  <c r="EQ5" i="10"/>
  <c r="EH5" i="10"/>
  <c r="DY5" i="10"/>
  <c r="DP5" i="10"/>
  <c r="DG5" i="10"/>
  <c r="CW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CF4" i="13"/>
  <c r="AJ4" i="13"/>
  <c r="D4" i="13"/>
  <c r="ED5" i="12"/>
  <c r="DI5" i="12"/>
  <c r="CM5" i="12"/>
  <c r="BR5" i="12"/>
  <c r="AW5" i="12"/>
  <c r="AA5" i="12"/>
  <c r="F5" i="12"/>
  <c r="EI4" i="12"/>
  <c r="DS4" i="12"/>
  <c r="DC4" i="12"/>
  <c r="CM4" i="12"/>
  <c r="BW4" i="12"/>
  <c r="BG4" i="12"/>
  <c r="AQ4" i="12"/>
  <c r="AA4" i="12"/>
  <c r="K4" i="12"/>
  <c r="FH5" i="11"/>
  <c r="EV5" i="11"/>
  <c r="EH5" i="11"/>
  <c r="DV5" i="11"/>
  <c r="DI5" i="11"/>
  <c r="CV5" i="11"/>
  <c r="CJ5" i="11"/>
  <c r="BV5" i="11"/>
  <c r="BJ5" i="11"/>
  <c r="AW5" i="11"/>
  <c r="AJ5" i="11"/>
  <c r="Y5" i="11"/>
  <c r="N5" i="11"/>
  <c r="D5" i="11"/>
  <c r="FF4" i="11"/>
  <c r="EU4" i="11"/>
  <c r="EK4" i="11"/>
  <c r="DZ4" i="11"/>
  <c r="DO4" i="11"/>
  <c r="DE4" i="11"/>
  <c r="CT4" i="11"/>
  <c r="CI4" i="11"/>
  <c r="BY4" i="11"/>
  <c r="BN4" i="11"/>
  <c r="BC4" i="11"/>
  <c r="AS4" i="11"/>
  <c r="AH4" i="11"/>
  <c r="W4" i="11"/>
  <c r="M4" i="11"/>
  <c r="B4" i="11"/>
  <c r="EP5" i="10"/>
  <c r="EG5" i="10"/>
  <c r="DX5" i="10"/>
  <c r="DO5" i="10"/>
  <c r="DE5" i="10"/>
  <c r="CV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BX4" i="13"/>
  <c r="AE4" i="13"/>
  <c r="EW5" i="12"/>
  <c r="EA5" i="12"/>
  <c r="DF5" i="12"/>
  <c r="CK5" i="12"/>
  <c r="BO5" i="12"/>
  <c r="AT5" i="12"/>
  <c r="Y5" i="12"/>
  <c r="C5" i="12"/>
  <c r="EF4" i="12"/>
  <c r="DP4" i="12"/>
  <c r="CZ4" i="12"/>
  <c r="CJ4" i="12"/>
  <c r="BT4" i="12"/>
  <c r="BD4" i="12"/>
  <c r="AN4" i="12"/>
  <c r="X4" i="12"/>
  <c r="H4" i="12"/>
  <c r="FF5" i="11"/>
  <c r="ET5" i="11"/>
  <c r="EG5" i="11"/>
  <c r="DT5" i="11"/>
  <c r="DH5" i="11"/>
  <c r="CT5" i="11"/>
  <c r="CH5" i="11"/>
  <c r="BU5" i="11"/>
  <c r="BH5" i="11"/>
  <c r="AV5" i="11"/>
  <c r="AH5" i="11"/>
  <c r="X5" i="11"/>
  <c r="M5" i="11"/>
  <c r="B5" i="11"/>
  <c r="FE4" i="11"/>
  <c r="ET4" i="11"/>
  <c r="EI4" i="11"/>
  <c r="DY4" i="11"/>
  <c r="DN4" i="11"/>
  <c r="DC4" i="11"/>
  <c r="CS4" i="11"/>
  <c r="CH4" i="11"/>
  <c r="BW4" i="11"/>
  <c r="BM4" i="11"/>
  <c r="BB4" i="11"/>
  <c r="AQ4" i="11"/>
  <c r="AG4" i="11"/>
  <c r="V4" i="11"/>
  <c r="K4" i="11"/>
  <c r="EO5" i="10"/>
  <c r="EF5" i="10"/>
  <c r="DW5" i="10"/>
  <c r="DM5" i="10"/>
  <c r="DD5" i="10"/>
  <c r="CU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BA4" i="9"/>
  <c r="X4" i="9"/>
  <c r="J4" i="9"/>
  <c r="EX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AV4" i="9"/>
  <c r="U4" i="9"/>
  <c r="I4" i="9"/>
  <c r="EV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AS4" i="9"/>
  <c r="S4" i="9"/>
  <c r="H4" i="9"/>
  <c r="EU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AN4" i="9"/>
  <c r="Q4" i="9"/>
  <c r="E4" i="9"/>
  <c r="ET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AK4" i="9"/>
  <c r="P4" i="9"/>
  <c r="D4" i="9"/>
  <c r="ES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AF4" i="9"/>
  <c r="M4" i="9"/>
  <c r="C4" i="9"/>
  <c r="ER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AC4" i="9"/>
  <c r="L4" i="9"/>
  <c r="B4" i="9"/>
  <c r="EQ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Y4" i="9"/>
  <c r="K4" i="9"/>
  <c r="EP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CU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CM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G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F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D879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C879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B879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F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B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B709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J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G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D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L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K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H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G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J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921" i="1"/>
  <c r="C921" i="1"/>
  <c r="G920" i="1"/>
  <c r="K919" i="1"/>
  <c r="C919" i="1"/>
  <c r="G918" i="1"/>
  <c r="K917" i="1"/>
  <c r="C917" i="1"/>
  <c r="G916" i="1"/>
  <c r="K915" i="1"/>
  <c r="C915" i="1"/>
  <c r="G914" i="1"/>
  <c r="K913" i="1"/>
  <c r="C913" i="1"/>
  <c r="G912" i="1"/>
  <c r="K911" i="1"/>
  <c r="C911" i="1"/>
  <c r="G910" i="1"/>
  <c r="K909" i="1"/>
  <c r="C909" i="1"/>
  <c r="G908" i="1"/>
  <c r="K907" i="1"/>
  <c r="C907" i="1"/>
  <c r="G906" i="1"/>
  <c r="K905" i="1"/>
  <c r="C905" i="1"/>
  <c r="G904" i="1"/>
  <c r="K903" i="1"/>
  <c r="C903" i="1"/>
  <c r="G902" i="1"/>
  <c r="K901" i="1"/>
  <c r="C901" i="1"/>
  <c r="G900" i="1"/>
  <c r="K899" i="1"/>
  <c r="C899" i="1"/>
  <c r="G898" i="1"/>
  <c r="K897" i="1"/>
  <c r="C897" i="1"/>
  <c r="G896" i="1"/>
  <c r="K895" i="1"/>
  <c r="C895" i="1"/>
  <c r="G894" i="1"/>
  <c r="K893" i="1"/>
  <c r="C893" i="1"/>
  <c r="G892" i="1"/>
  <c r="K891" i="1"/>
  <c r="C891" i="1"/>
  <c r="G890" i="1"/>
  <c r="K889" i="1"/>
  <c r="C889" i="1"/>
  <c r="G888" i="1"/>
  <c r="K887" i="1"/>
  <c r="C887" i="1"/>
  <c r="G886" i="1"/>
  <c r="K885" i="1"/>
  <c r="C885" i="1"/>
  <c r="G884" i="1"/>
  <c r="K883" i="1"/>
  <c r="C883" i="1"/>
  <c r="G882" i="1"/>
  <c r="K881" i="1"/>
  <c r="C881" i="1"/>
  <c r="G880" i="1"/>
  <c r="K879" i="1"/>
  <c r="C879" i="1"/>
  <c r="G878" i="1"/>
  <c r="K877" i="1"/>
  <c r="C877" i="1"/>
  <c r="G876" i="1"/>
  <c r="K875" i="1"/>
  <c r="C875" i="1"/>
  <c r="G874" i="1"/>
  <c r="K873" i="1"/>
  <c r="C873" i="1"/>
  <c r="G872" i="1"/>
  <c r="K871" i="1"/>
  <c r="C871" i="1"/>
  <c r="G870" i="1"/>
  <c r="K869" i="1"/>
  <c r="C869" i="1"/>
  <c r="G868" i="1"/>
  <c r="K867" i="1"/>
  <c r="C867" i="1"/>
  <c r="G866" i="1"/>
  <c r="K865" i="1"/>
  <c r="C865" i="1"/>
  <c r="G864" i="1"/>
  <c r="K863" i="1"/>
  <c r="G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921" i="1"/>
  <c r="B921" i="1"/>
  <c r="F920" i="1"/>
  <c r="J919" i="1"/>
  <c r="B919" i="1"/>
  <c r="F918" i="1"/>
  <c r="J917" i="1"/>
  <c r="B917" i="1"/>
  <c r="F916" i="1"/>
  <c r="J915" i="1"/>
  <c r="B915" i="1"/>
  <c r="F914" i="1"/>
  <c r="J913" i="1"/>
  <c r="B913" i="1"/>
  <c r="F912" i="1"/>
  <c r="J911" i="1"/>
  <c r="B911" i="1"/>
  <c r="F910" i="1"/>
  <c r="J909" i="1"/>
  <c r="B909" i="1"/>
  <c r="F908" i="1"/>
  <c r="J907" i="1"/>
  <c r="B907" i="1"/>
  <c r="F906" i="1"/>
  <c r="J905" i="1"/>
  <c r="B905" i="1"/>
  <c r="F904" i="1"/>
  <c r="J903" i="1"/>
  <c r="B903" i="1"/>
  <c r="F902" i="1"/>
  <c r="J901" i="1"/>
  <c r="B901" i="1"/>
  <c r="F900" i="1"/>
  <c r="J899" i="1"/>
  <c r="B899" i="1"/>
  <c r="F898" i="1"/>
  <c r="J897" i="1"/>
  <c r="B897" i="1"/>
  <c r="F896" i="1"/>
  <c r="J895" i="1"/>
  <c r="B895" i="1"/>
  <c r="F894" i="1"/>
  <c r="J893" i="1"/>
  <c r="B893" i="1"/>
  <c r="F892" i="1"/>
  <c r="J891" i="1"/>
  <c r="B891" i="1"/>
  <c r="F890" i="1"/>
  <c r="J889" i="1"/>
  <c r="B889" i="1"/>
  <c r="F888" i="1"/>
  <c r="J887" i="1"/>
  <c r="B887" i="1"/>
  <c r="F886" i="1"/>
  <c r="J885" i="1"/>
  <c r="B885" i="1"/>
  <c r="F884" i="1"/>
  <c r="J883" i="1"/>
  <c r="B883" i="1"/>
  <c r="F882" i="1"/>
  <c r="J881" i="1"/>
  <c r="B881" i="1"/>
  <c r="F880" i="1"/>
  <c r="J879" i="1"/>
  <c r="B879" i="1"/>
  <c r="F878" i="1"/>
  <c r="J877" i="1"/>
  <c r="B877" i="1"/>
  <c r="F876" i="1"/>
  <c r="J875" i="1"/>
  <c r="B875" i="1"/>
  <c r="F874" i="1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B865" i="1"/>
  <c r="F864" i="1"/>
  <c r="J863" i="1"/>
  <c r="F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921" i="1"/>
  <c r="A921" i="1"/>
  <c r="E920" i="1"/>
  <c r="I919" i="1"/>
  <c r="A919" i="1"/>
  <c r="E918" i="1"/>
  <c r="I917" i="1"/>
  <c r="A917" i="1"/>
  <c r="E916" i="1"/>
  <c r="I915" i="1"/>
  <c r="A915" i="1"/>
  <c r="E914" i="1"/>
  <c r="I913" i="1"/>
  <c r="A913" i="1"/>
  <c r="E912" i="1"/>
  <c r="I911" i="1"/>
  <c r="A911" i="1"/>
  <c r="E910" i="1"/>
  <c r="I909" i="1"/>
  <c r="A909" i="1"/>
  <c r="E908" i="1"/>
  <c r="I907" i="1"/>
  <c r="A907" i="1"/>
  <c r="E906" i="1"/>
  <c r="I905" i="1"/>
  <c r="A905" i="1"/>
  <c r="E904" i="1"/>
  <c r="I903" i="1"/>
  <c r="A903" i="1"/>
  <c r="E902" i="1"/>
  <c r="I901" i="1"/>
  <c r="A901" i="1"/>
  <c r="E900" i="1"/>
  <c r="I899" i="1"/>
  <c r="A899" i="1"/>
  <c r="E898" i="1"/>
  <c r="I897" i="1"/>
  <c r="A897" i="1"/>
  <c r="E896" i="1"/>
  <c r="I895" i="1"/>
  <c r="A895" i="1"/>
  <c r="E894" i="1"/>
  <c r="I893" i="1"/>
  <c r="A893" i="1"/>
  <c r="E892" i="1"/>
  <c r="I891" i="1"/>
  <c r="A891" i="1"/>
  <c r="E890" i="1"/>
  <c r="I889" i="1"/>
  <c r="A889" i="1"/>
  <c r="E888" i="1"/>
  <c r="I887" i="1"/>
  <c r="A887" i="1"/>
  <c r="E886" i="1"/>
  <c r="I885" i="1"/>
  <c r="A885" i="1"/>
  <c r="E884" i="1"/>
  <c r="I883" i="1"/>
  <c r="A883" i="1"/>
  <c r="E882" i="1"/>
  <c r="I881" i="1"/>
  <c r="A881" i="1"/>
  <c r="E880" i="1"/>
  <c r="I879" i="1"/>
  <c r="A879" i="1"/>
  <c r="E878" i="1"/>
  <c r="I877" i="1"/>
  <c r="A877" i="1"/>
  <c r="E876" i="1"/>
  <c r="I875" i="1"/>
  <c r="A875" i="1"/>
  <c r="E874" i="1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E864" i="1"/>
  <c r="I863" i="1"/>
  <c r="A863" i="1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921" i="1"/>
  <c r="L920" i="1"/>
  <c r="D920" i="1"/>
  <c r="H919" i="1"/>
  <c r="L918" i="1"/>
  <c r="D918" i="1"/>
  <c r="H917" i="1"/>
  <c r="L916" i="1"/>
  <c r="D916" i="1"/>
  <c r="H915" i="1"/>
  <c r="L914" i="1"/>
  <c r="D914" i="1"/>
  <c r="H913" i="1"/>
  <c r="L912" i="1"/>
  <c r="D912" i="1"/>
  <c r="H911" i="1"/>
  <c r="L910" i="1"/>
  <c r="D910" i="1"/>
  <c r="H909" i="1"/>
  <c r="L908" i="1"/>
  <c r="D908" i="1"/>
  <c r="H907" i="1"/>
  <c r="L906" i="1"/>
  <c r="D906" i="1"/>
  <c r="H905" i="1"/>
  <c r="L904" i="1"/>
  <c r="D904" i="1"/>
  <c r="H903" i="1"/>
  <c r="L902" i="1"/>
  <c r="D902" i="1"/>
  <c r="H901" i="1"/>
  <c r="L900" i="1"/>
  <c r="D900" i="1"/>
  <c r="H899" i="1"/>
  <c r="L898" i="1"/>
  <c r="D898" i="1"/>
  <c r="H897" i="1"/>
  <c r="L896" i="1"/>
  <c r="D896" i="1"/>
  <c r="H895" i="1"/>
  <c r="L894" i="1"/>
  <c r="D894" i="1"/>
  <c r="H893" i="1"/>
  <c r="L892" i="1"/>
  <c r="D892" i="1"/>
  <c r="H891" i="1"/>
  <c r="L890" i="1"/>
  <c r="D890" i="1"/>
  <c r="H889" i="1"/>
  <c r="L888" i="1"/>
  <c r="D888" i="1"/>
  <c r="H887" i="1"/>
  <c r="L886" i="1"/>
  <c r="D886" i="1"/>
  <c r="H885" i="1"/>
  <c r="L884" i="1"/>
  <c r="D884" i="1"/>
  <c r="H883" i="1"/>
  <c r="L882" i="1"/>
  <c r="D882" i="1"/>
  <c r="H881" i="1"/>
  <c r="L880" i="1"/>
  <c r="D880" i="1"/>
  <c r="H879" i="1"/>
  <c r="L878" i="1"/>
  <c r="D878" i="1"/>
  <c r="H877" i="1"/>
  <c r="L876" i="1"/>
  <c r="D876" i="1"/>
  <c r="H875" i="1"/>
  <c r="L874" i="1"/>
  <c r="D874" i="1"/>
  <c r="H873" i="1"/>
  <c r="L872" i="1"/>
  <c r="D872" i="1"/>
  <c r="H871" i="1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921" i="1"/>
  <c r="K920" i="1"/>
  <c r="C920" i="1"/>
  <c r="G919" i="1"/>
  <c r="K918" i="1"/>
  <c r="C918" i="1"/>
  <c r="G917" i="1"/>
  <c r="K916" i="1"/>
  <c r="C916" i="1"/>
  <c r="G915" i="1"/>
  <c r="K914" i="1"/>
  <c r="C914" i="1"/>
  <c r="G913" i="1"/>
  <c r="K912" i="1"/>
  <c r="C912" i="1"/>
  <c r="G911" i="1"/>
  <c r="K910" i="1"/>
  <c r="C910" i="1"/>
  <c r="G909" i="1"/>
  <c r="K908" i="1"/>
  <c r="C908" i="1"/>
  <c r="G907" i="1"/>
  <c r="K906" i="1"/>
  <c r="C906" i="1"/>
  <c r="G905" i="1"/>
  <c r="K904" i="1"/>
  <c r="C904" i="1"/>
  <c r="G903" i="1"/>
  <c r="K902" i="1"/>
  <c r="C902" i="1"/>
  <c r="G901" i="1"/>
  <c r="K900" i="1"/>
  <c r="C900" i="1"/>
  <c r="G899" i="1"/>
  <c r="K898" i="1"/>
  <c r="C898" i="1"/>
  <c r="G897" i="1"/>
  <c r="K896" i="1"/>
  <c r="C896" i="1"/>
  <c r="G895" i="1"/>
  <c r="K894" i="1"/>
  <c r="C894" i="1"/>
  <c r="G893" i="1"/>
  <c r="K892" i="1"/>
  <c r="C892" i="1"/>
  <c r="G891" i="1"/>
  <c r="K890" i="1"/>
  <c r="C890" i="1"/>
  <c r="G889" i="1"/>
  <c r="K888" i="1"/>
  <c r="C888" i="1"/>
  <c r="G887" i="1"/>
  <c r="K886" i="1"/>
  <c r="C886" i="1"/>
  <c r="G885" i="1"/>
  <c r="K884" i="1"/>
  <c r="C884" i="1"/>
  <c r="G883" i="1"/>
  <c r="K882" i="1"/>
  <c r="C882" i="1"/>
  <c r="G881" i="1"/>
  <c r="K880" i="1"/>
  <c r="C880" i="1"/>
  <c r="G879" i="1"/>
  <c r="K878" i="1"/>
  <c r="C878" i="1"/>
  <c r="G877" i="1"/>
  <c r="K876" i="1"/>
  <c r="C876" i="1"/>
  <c r="G875" i="1"/>
  <c r="K874" i="1"/>
  <c r="C874" i="1"/>
  <c r="G873" i="1"/>
  <c r="K872" i="1"/>
  <c r="C872" i="1"/>
  <c r="G871" i="1"/>
  <c r="K870" i="1"/>
  <c r="C870" i="1"/>
  <c r="G869" i="1"/>
  <c r="K868" i="1"/>
  <c r="C868" i="1"/>
  <c r="G867" i="1"/>
  <c r="K866" i="1"/>
  <c r="C866" i="1"/>
  <c r="G865" i="1"/>
  <c r="K864" i="1"/>
  <c r="C864" i="1"/>
  <c r="G863" i="1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921" i="1"/>
  <c r="J920" i="1"/>
  <c r="B920" i="1"/>
  <c r="F919" i="1"/>
  <c r="J918" i="1"/>
  <c r="B918" i="1"/>
  <c r="F917" i="1"/>
  <c r="J916" i="1"/>
  <c r="B916" i="1"/>
  <c r="F915" i="1"/>
  <c r="J914" i="1"/>
  <c r="B914" i="1"/>
  <c r="F913" i="1"/>
  <c r="J912" i="1"/>
  <c r="B912" i="1"/>
  <c r="F911" i="1"/>
  <c r="J910" i="1"/>
  <c r="B910" i="1"/>
  <c r="F909" i="1"/>
  <c r="J908" i="1"/>
  <c r="B908" i="1"/>
  <c r="F907" i="1"/>
  <c r="J906" i="1"/>
  <c r="B906" i="1"/>
  <c r="F905" i="1"/>
  <c r="J904" i="1"/>
  <c r="B904" i="1"/>
  <c r="F903" i="1"/>
  <c r="J902" i="1"/>
  <c r="B902" i="1"/>
  <c r="F901" i="1"/>
  <c r="J900" i="1"/>
  <c r="B900" i="1"/>
  <c r="F899" i="1"/>
  <c r="J898" i="1"/>
  <c r="B898" i="1"/>
  <c r="F897" i="1"/>
  <c r="J896" i="1"/>
  <c r="B896" i="1"/>
  <c r="F895" i="1"/>
  <c r="J894" i="1"/>
  <c r="B894" i="1"/>
  <c r="F893" i="1"/>
  <c r="J892" i="1"/>
  <c r="B892" i="1"/>
  <c r="F891" i="1"/>
  <c r="J890" i="1"/>
  <c r="B890" i="1"/>
  <c r="F889" i="1"/>
  <c r="J888" i="1"/>
  <c r="B888" i="1"/>
  <c r="F887" i="1"/>
  <c r="J886" i="1"/>
  <c r="B886" i="1"/>
  <c r="F885" i="1"/>
  <c r="J884" i="1"/>
  <c r="B884" i="1"/>
  <c r="F883" i="1"/>
  <c r="J882" i="1"/>
  <c r="B882" i="1"/>
  <c r="F881" i="1"/>
  <c r="J880" i="1"/>
  <c r="B880" i="1"/>
  <c r="F879" i="1"/>
  <c r="J878" i="1"/>
  <c r="B878" i="1"/>
  <c r="F877" i="1"/>
  <c r="J876" i="1"/>
  <c r="B876" i="1"/>
  <c r="F875" i="1"/>
  <c r="J874" i="1"/>
  <c r="B874" i="1"/>
  <c r="F873" i="1"/>
  <c r="J872" i="1"/>
  <c r="B872" i="1"/>
  <c r="F871" i="1"/>
  <c r="J870" i="1"/>
  <c r="B870" i="1"/>
  <c r="F869" i="1"/>
  <c r="J868" i="1"/>
  <c r="B868" i="1"/>
  <c r="F867" i="1"/>
  <c r="J866" i="1"/>
  <c r="B866" i="1"/>
  <c r="F865" i="1"/>
  <c r="J864" i="1"/>
  <c r="B864" i="1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921" i="1"/>
  <c r="I920" i="1"/>
  <c r="A920" i="1"/>
  <c r="E919" i="1"/>
  <c r="I918" i="1"/>
  <c r="A918" i="1"/>
  <c r="E917" i="1"/>
  <c r="I916" i="1"/>
  <c r="A916" i="1"/>
  <c r="E915" i="1"/>
  <c r="I914" i="1"/>
  <c r="A914" i="1"/>
  <c r="E913" i="1"/>
  <c r="I912" i="1"/>
  <c r="A912" i="1"/>
  <c r="E911" i="1"/>
  <c r="I910" i="1"/>
  <c r="A910" i="1"/>
  <c r="E909" i="1"/>
  <c r="I908" i="1"/>
  <c r="A908" i="1"/>
  <c r="E907" i="1"/>
  <c r="I906" i="1"/>
  <c r="A906" i="1"/>
  <c r="E905" i="1"/>
  <c r="I904" i="1"/>
  <c r="A904" i="1"/>
  <c r="E903" i="1"/>
  <c r="I902" i="1"/>
  <c r="A902" i="1"/>
  <c r="E901" i="1"/>
  <c r="I900" i="1"/>
  <c r="A900" i="1"/>
  <c r="E899" i="1"/>
  <c r="I898" i="1"/>
  <c r="A898" i="1"/>
  <c r="E897" i="1"/>
  <c r="I896" i="1"/>
  <c r="A896" i="1"/>
  <c r="E895" i="1"/>
  <c r="I894" i="1"/>
  <c r="A894" i="1"/>
  <c r="E893" i="1"/>
  <c r="I892" i="1"/>
  <c r="A892" i="1"/>
  <c r="E891" i="1"/>
  <c r="I890" i="1"/>
  <c r="A890" i="1"/>
  <c r="E889" i="1"/>
  <c r="I888" i="1"/>
  <c r="A888" i="1"/>
  <c r="E887" i="1"/>
  <c r="I886" i="1"/>
  <c r="A886" i="1"/>
  <c r="E885" i="1"/>
  <c r="I884" i="1"/>
  <c r="A884" i="1"/>
  <c r="E883" i="1"/>
  <c r="I882" i="1"/>
  <c r="A882" i="1"/>
  <c r="E881" i="1"/>
  <c r="I880" i="1"/>
  <c r="A880" i="1"/>
  <c r="E879" i="1"/>
  <c r="I878" i="1"/>
  <c r="A878" i="1"/>
  <c r="E877" i="1"/>
  <c r="I876" i="1"/>
  <c r="A876" i="1"/>
  <c r="E875" i="1"/>
  <c r="I874" i="1"/>
  <c r="A874" i="1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921" i="1"/>
  <c r="D921" i="1"/>
  <c r="H920" i="1"/>
  <c r="L919" i="1"/>
  <c r="D919" i="1"/>
  <c r="H918" i="1"/>
  <c r="L917" i="1"/>
  <c r="D917" i="1"/>
  <c r="H916" i="1"/>
  <c r="L915" i="1"/>
  <c r="D915" i="1"/>
  <c r="H914" i="1"/>
  <c r="L913" i="1"/>
  <c r="D913" i="1"/>
  <c r="H912" i="1"/>
  <c r="L911" i="1"/>
  <c r="D911" i="1"/>
  <c r="H910" i="1"/>
  <c r="L909" i="1"/>
  <c r="D909" i="1"/>
  <c r="H908" i="1"/>
  <c r="L907" i="1"/>
  <c r="D907" i="1"/>
  <c r="H906" i="1"/>
  <c r="L905" i="1"/>
  <c r="D905" i="1"/>
  <c r="H904" i="1"/>
  <c r="L903" i="1"/>
  <c r="D903" i="1"/>
  <c r="H902" i="1"/>
  <c r="L901" i="1"/>
  <c r="D901" i="1"/>
  <c r="H900" i="1"/>
  <c r="L899" i="1"/>
  <c r="D899" i="1"/>
  <c r="H898" i="1"/>
  <c r="L897" i="1"/>
  <c r="D897" i="1"/>
  <c r="H896" i="1"/>
  <c r="L895" i="1"/>
  <c r="D895" i="1"/>
  <c r="H894" i="1"/>
  <c r="L893" i="1"/>
  <c r="D893" i="1"/>
  <c r="H892" i="1"/>
  <c r="L891" i="1"/>
  <c r="D891" i="1"/>
  <c r="H890" i="1"/>
  <c r="L889" i="1"/>
  <c r="D889" i="1"/>
  <c r="H888" i="1"/>
  <c r="L887" i="1"/>
  <c r="D887" i="1"/>
  <c r="H886" i="1"/>
  <c r="L885" i="1"/>
  <c r="D885" i="1"/>
  <c r="H884" i="1"/>
  <c r="L883" i="1"/>
  <c r="D883" i="1"/>
  <c r="H882" i="1"/>
  <c r="L881" i="1"/>
  <c r="D881" i="1"/>
  <c r="H880" i="1"/>
  <c r="L879" i="1"/>
  <c r="D879" i="1"/>
  <c r="H878" i="1"/>
  <c r="L877" i="1"/>
  <c r="D877" i="1"/>
  <c r="H876" i="1"/>
  <c r="L875" i="1"/>
  <c r="D875" i="1"/>
  <c r="H874" i="1"/>
  <c r="L873" i="1"/>
  <c r="D873" i="1"/>
  <c r="H872" i="1"/>
  <c r="L871" i="1"/>
  <c r="D871" i="1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F863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863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B863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K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J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F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E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E692" i="1"/>
  <c r="H691" i="1"/>
  <c r="K690" i="1"/>
  <c r="B690" i="1"/>
  <c r="E689" i="1"/>
  <c r="G688" i="1"/>
  <c r="J687" i="1"/>
  <c r="A687" i="1"/>
  <c r="D686" i="1"/>
  <c r="G685" i="1"/>
  <c r="J684" i="1"/>
  <c r="A684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B693" i="1"/>
  <c r="D692" i="1"/>
  <c r="G691" i="1"/>
  <c r="J690" i="1"/>
  <c r="A690" i="1"/>
  <c r="C689" i="1"/>
  <c r="F688" i="1"/>
  <c r="I687" i="1"/>
  <c r="L686" i="1"/>
  <c r="C686" i="1"/>
  <c r="F685" i="1"/>
  <c r="I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A693" i="1"/>
  <c r="C692" i="1"/>
  <c r="F691" i="1"/>
  <c r="I690" i="1"/>
  <c r="K689" i="1"/>
  <c r="B689" i="1"/>
  <c r="E688" i="1"/>
  <c r="H687" i="1"/>
  <c r="K686" i="1"/>
  <c r="B686" i="1"/>
  <c r="E685" i="1"/>
  <c r="G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L692" i="1"/>
  <c r="B692" i="1"/>
  <c r="E691" i="1"/>
  <c r="G690" i="1"/>
  <c r="J689" i="1"/>
  <c r="A689" i="1"/>
  <c r="D688" i="1"/>
  <c r="G687" i="1"/>
  <c r="J686" i="1"/>
  <c r="A686" i="1"/>
  <c r="C685" i="1"/>
  <c r="F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J692" i="1"/>
  <c r="A692" i="1"/>
  <c r="C691" i="1"/>
  <c r="F690" i="1"/>
  <c r="I689" i="1"/>
  <c r="L688" i="1"/>
  <c r="C688" i="1"/>
  <c r="F687" i="1"/>
  <c r="I686" i="1"/>
  <c r="K685" i="1"/>
  <c r="B685" i="1"/>
  <c r="E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I692" i="1"/>
  <c r="K691" i="1"/>
  <c r="B691" i="1"/>
  <c r="E690" i="1"/>
  <c r="H689" i="1"/>
  <c r="K688" i="1"/>
  <c r="B688" i="1"/>
  <c r="E687" i="1"/>
  <c r="G686" i="1"/>
  <c r="J685" i="1"/>
  <c r="A685" i="1"/>
  <c r="D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692" i="1"/>
  <c r="J691" i="1"/>
  <c r="A691" i="1"/>
  <c r="D690" i="1"/>
  <c r="G689" i="1"/>
  <c r="J688" i="1"/>
  <c r="A688" i="1"/>
  <c r="C687" i="1"/>
  <c r="F686" i="1"/>
  <c r="I685" i="1"/>
  <c r="L684" i="1"/>
  <c r="C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F692" i="1"/>
  <c r="I691" i="1"/>
  <c r="L690" i="1"/>
  <c r="C690" i="1"/>
  <c r="F689" i="1"/>
  <c r="I688" i="1"/>
  <c r="K687" i="1"/>
  <c r="B687" i="1"/>
  <c r="E686" i="1"/>
  <c r="H685" i="1"/>
  <c r="K684" i="1"/>
  <c r="B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G523" i="1"/>
  <c r="E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A526" i="1"/>
  <c r="E523" i="1"/>
  <c r="C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G525" i="1"/>
  <c r="C523" i="1"/>
  <c r="B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E525" i="1"/>
  <c r="K522" i="1"/>
  <c r="A522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K524" i="1"/>
  <c r="J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I524" i="1"/>
  <c r="I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C524" i="1"/>
  <c r="G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524" i="1"/>
  <c r="F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B353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A353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J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I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G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F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E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J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A10" i="1"/>
  <c r="I6" i="1"/>
  <c r="A4" i="1"/>
  <c r="I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E11" i="1"/>
  <c r="A8" i="1"/>
  <c r="E5" i="1"/>
  <c r="F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I10" i="1"/>
  <c r="E9" i="1"/>
  <c r="E7" i="1"/>
  <c r="I4" i="1"/>
  <c r="E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C7" i="1"/>
  <c r="C5" i="1"/>
  <c r="A9" i="1"/>
  <c r="I7" i="1"/>
  <c r="E4" i="1"/>
  <c r="D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G6" i="1"/>
  <c r="K5" i="1"/>
  <c r="G4" i="1"/>
  <c r="I9" i="1"/>
  <c r="E6" i="1"/>
  <c r="C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I11" i="1"/>
  <c r="A11" i="1"/>
  <c r="E10" i="1"/>
  <c r="E8" i="1"/>
  <c r="A7" i="1"/>
  <c r="A5" i="1"/>
  <c r="B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5" i="1"/>
  <c r="A183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A12" i="1"/>
  <c r="I8" i="1"/>
  <c r="A6" i="1"/>
  <c r="J2" i="13" l="1"/>
  <c r="J2" i="12"/>
  <c r="J2" i="10"/>
  <c r="J2" i="11"/>
  <c r="J2" i="8"/>
  <c r="J2" i="6"/>
  <c r="J2" i="7"/>
  <c r="J2" i="9"/>
  <c r="J2" i="4"/>
  <c r="J2" i="5"/>
</calcChain>
</file>

<file path=xl/sharedStrings.xml><?xml version="1.0" encoding="utf-8"?>
<sst xmlns="http://schemas.openxmlformats.org/spreadsheetml/2006/main" count="183" uniqueCount="44">
  <si>
    <t>Master Data Info</t>
  </si>
  <si>
    <t>Settings</t>
  </si>
  <si>
    <t>Modules Info</t>
  </si>
  <si>
    <t>Modules</t>
  </si>
  <si>
    <t>Module Step Setting File</t>
  </si>
  <si>
    <t>Module</t>
  </si>
  <si>
    <t>1ME5nnmNmgGcG-gtQosTv7DydLzJUA3iWN2GBgspatg8</t>
  </si>
  <si>
    <t>Step</t>
  </si>
  <si>
    <t>Master Data Settings File</t>
  </si>
  <si>
    <t>1Nt_rf5DtgjbN9Ag4AMMlUkZYROxKZLH5m54YOl7tRT0</t>
  </si>
  <si>
    <t>Master Data Sheet</t>
  </si>
  <si>
    <t>Data</t>
  </si>
  <si>
    <t>TradingTicket</t>
  </si>
  <si>
    <t>CreateDoneAwayOrder</t>
  </si>
  <si>
    <t>Data Format</t>
  </si>
  <si>
    <t>Input Format</t>
  </si>
  <si>
    <t>GOOG</t>
  </si>
  <si>
    <t>Buy</t>
  </si>
  <si>
    <t>Allocation1</t>
  </si>
  <si>
    <t>Market</t>
  </si>
  <si>
    <t>Sell</t>
  </si>
  <si>
    <t>Closing</t>
  </si>
  <si>
    <t>AutomaticClosing</t>
  </si>
  <si>
    <t>MFIFO</t>
  </si>
  <si>
    <t>AvgPXDESC</t>
  </si>
  <si>
    <t>Default</t>
  </si>
  <si>
    <t>VerifyClosedTrades</t>
  </si>
  <si>
    <t>Long</t>
  </si>
  <si>
    <t>UnwindClosing</t>
  </si>
  <si>
    <t>Strategy Unallocated</t>
  </si>
  <si>
    <t>Equity</t>
  </si>
  <si>
    <t>GetDataClosing</t>
  </si>
  <si>
    <t>Historical</t>
  </si>
  <si>
    <t>Allocation</t>
  </si>
  <si>
    <t>GetDataAllocation</t>
  </si>
  <si>
    <t>CheckAllocatedGroups</t>
  </si>
  <si>
    <t>PartiallyClosed</t>
  </si>
  <si>
    <t xml:space="preserve">Buy </t>
  </si>
  <si>
    <t>Closed</t>
  </si>
  <si>
    <t>Open</t>
  </si>
  <si>
    <t>PortfolioManagement</t>
  </si>
  <si>
    <t>CheckPortfolioManagement</t>
  </si>
  <si>
    <t>VerifyLongPositionsGrid</t>
  </si>
  <si>
    <t>VerifyShortPositionsGrid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</si>
</sst>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5" fillId="0" borderId="0" xfId="0" applyFont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7" fillId="3" borderId="4" xfId="0" applyFont="1" applyFill="1" applyBorder="1" applyAlignment="1"/>
    <xf numFmtId="0" fontId="4" fillId="3" borderId="4" xfId="0" applyFont="1" applyFill="1" applyBorder="1" applyAlignment="1"/>
    <xf numFmtId="0" fontId="9" fillId="0" borderId="0" xfId="0" applyFont="1"/>
    <xf numFmtId="0" fontId="4" fillId="3" borderId="4" xfId="0" applyFont="1" applyFill="1" applyBorder="1" applyAlignment="1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14" fontId="5" fillId="0" borderId="0" xfId="0" applyNumberFormat="1" applyFont="1" applyAlignment="1"/>
    <xf numFmtId="0" fontId="6" fillId="3" borderId="0" xfId="0" applyFont="1" applyFill="1" applyAlignment="1"/>
    <xf numFmtId="0" fontId="8" fillId="3" borderId="4" xfId="0" applyFont="1" applyFill="1" applyBorder="1" applyAlignment="1"/>
    <xf numFmtId="14" fontId="6" fillId="3" borderId="0" xfId="0" applyNumberFormat="1" applyFont="1" applyFill="1" applyAlignment="1"/>
    <xf numFmtId="0" fontId="10" fillId="3" borderId="0" xfId="0" applyFont="1" applyFill="1"/>
    <xf numFmtId="0" fontId="11" fillId="4" borderId="0" xfId="0" applyFont="1" applyFill="1" applyAlignment="1"/>
    <xf numFmtId="14" fontId="11" fillId="4" borderId="0" xfId="0" applyNumberFormat="1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14" fontId="6" fillId="5" borderId="4" xfId="0" applyNumberFormat="1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14" fontId="2" fillId="0" borderId="0" xfId="0" applyNumberFormat="1" applyFont="1"/>
    <xf numFmtId="0" fontId="2" fillId="0" borderId="0" xfId="0" applyFont="1" applyAlignment="1"/>
    <xf numFmtId="14" fontId="5" fillId="0" borderId="0" xfId="0" applyNumberFormat="1" applyFont="1" applyAlignment="1">
      <alignment horizontal="right"/>
    </xf>
    <xf numFmtId="0" fontId="5" fillId="0" borderId="0" xfId="0" applyFont="1" applyAlignment="1"/>
    <xf numFmtId="14" fontId="4" fillId="0" borderId="0" xfId="0" applyNumberFormat="1" applyFont="1" applyAlignment="1"/>
    <xf numFmtId="14" fontId="2" fillId="0" borderId="0" xfId="0" applyNumberFormat="1" applyFont="1" applyAlignment="1"/>
    <xf numFmtId="0" fontId="5" fillId="0" borderId="0" xfId="0" applyFont="1" applyAlignment="1">
      <alignment horizontal="left"/>
    </xf>
    <xf numFmtId="0" fontId="5" fillId="0" borderId="0" xfId="0" applyFont="1" applyAlignment="1"/>
    <xf numFmtId="14" fontId="10" fillId="5" borderId="0" xfId="0" applyNumberFormat="1" applyFont="1" applyFill="1"/>
    <xf numFmtId="0" fontId="4" fillId="0" borderId="0" xfId="0" applyFont="1" applyAlignment="1"/>
    <xf numFmtId="14" fontId="4" fillId="0" borderId="0" xfId="0" applyNumberFormat="1" applyFont="1" applyAlignment="1"/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4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53" t="s">
        <v>2</v>
      </c>
      <c r="B1" s="54"/>
      <c r="C1" s="54"/>
      <c r="D1" s="54"/>
      <c r="E1" s="54"/>
      <c r="F1" s="55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3" t="s">
        <v>3</v>
      </c>
      <c r="B3" s="9"/>
      <c r="C3" s="11"/>
      <c r="D3" s="11"/>
      <c r="E3" s="11"/>
      <c r="F3" s="11"/>
    </row>
    <row r="4" spans="1:12" ht="15.75" customHeight="1" x14ac:dyDescent="0.2">
      <c r="A4" s="2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2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39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IFERROR(__xludf.DUMMYFUNCTION("""COMPUTED_VALUE"""),"1y3edACvUtHcrCyn7bfzWXET_VAfASVChWeHuDnd6534")</f>
        <v>1y3edACvUtHcrCyn7bfzWXET_VAfASVChWeHuDnd6534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IFERROR(__xludf.DUMMYFUNCTION("""COMPUTED_VALUE"""),"ThirdPartyWork")</f>
        <v>ThirdPartyWork</v>
      </c>
      <c r="C351" t="str">
        <f ca="1">IFERROR(__xludf.DUMMYFUNCTION("""COMPUTED_VALUE"""),"undefined")</f>
        <v>undefined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IFERROR(__xludf.DUMMYFUNCTION("""COMPUTED_VALUE"""),"ThirdParty")</f>
        <v>ThirdParty</v>
      </c>
      <c r="B352" t="str">
        <f ca="1">IFERROR(__xludf.DUMMYFUNCTION("""COMPUTED_VALUE"""),"Automation")</f>
        <v>Automation</v>
      </c>
      <c r="C352" t="str">
        <f ca="1">IFERROR(__xludf.DUMMYFUNCTION("""COMPUTED_VALUE"""),"undefined")</f>
        <v>undefined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IFERROR(__xludf.DUMMYFUNCTION("""COMPUTED_VALUE"""),"ThirdParty")</f>
        <v>ThirdParty</v>
      </c>
      <c r="B353" t="str">
        <f ca="1">IFERROR(__xludf.DUMMYFUNCTION("""COMPUTED_VALUE"""),"ThirdPartyManagerFunction")</f>
        <v>ThirdPartyManagerFunction</v>
      </c>
      <c r="C353" t="str">
        <f ca="1">IFERROR(__xludf.DUMMYFUNCTION("""COMPUTED_VALUE"""),"undefined")</f>
        <v>undefined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IFERROR(__xludf.DUMMYFUNCTION("""COMPUTED_VALUE"""),"ThirdParty")</f>
        <v>ThirdParty</v>
      </c>
      <c r="B354" t="str">
        <f ca="1">IFERROR(__xludf.DUMMYFUNCTION("""COMPUTED_VALUE"""),"OpeningManager")</f>
        <v>OpeningManager</v>
      </c>
      <c r="C354" t="str">
        <f ca="1">IFERROR(__xludf.DUMMYFUNCTION("""COMPUTED_VALUE"""),"1F3VrDP9gZVgnN47cnexOSvCPCOWrB5TnPdoVFblX-Hs")</f>
        <v>1F3VrDP9gZVgnN47cnexOSvCPCOWrB5TnPdoVFblX-Hs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IFERROR(__xludf.DUMMYFUNCTION("""COMPUTED_VALUE"""),"ThirdParty")</f>
        <v>ThirdParty</v>
      </c>
      <c r="B355" t="str">
        <f ca="1">IFERROR(__xludf.DUMMYFUNCTION("""COMPUTED_VALUE"""),"SelectFromThirdPartyGrid")</f>
        <v>SelectFromThirdPartyGrid</v>
      </c>
      <c r="C355" t="str">
        <f ca="1">IFERROR(__xludf.DUMMYFUNCTION("""COMPUTED_VALUE"""),"1_LSKrymEkIuBeyHqfZI1upyAoiYQgw0S0J0RO7IgiBw")</f>
        <v>1_LSKrymEkIuBeyHqfZI1upyAoiYQgw0S0J0RO7IgiBw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IFERROR(__xludf.DUMMYFUNCTION("""COMPUTED_VALUE"""),"ThirdParty")</f>
        <v>ThirdParty</v>
      </c>
      <c r="B356" t="str">
        <f ca="1">IFERROR(__xludf.DUMMYFUNCTION("""COMPUTED_VALUE"""),"SelectThirdPartyJob")</f>
        <v>SelectThirdPartyJob</v>
      </c>
      <c r="C356" t="str">
        <f ca="1">IFERROR(__xludf.DUMMYFUNCTION("""COMPUTED_VALUE"""),"1Q9anI2VDWuslEj_JKPuWlj_ER5paw0uxtF2p1N3mqOA")</f>
        <v>1Q9anI2VDWuslEj_JKPuWlj_ER5paw0uxtF2p1N3mqOA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IFERROR(__xludf.DUMMYFUNCTION("""COMPUTED_VALUE"""),"ThirdParty")</f>
        <v>ThirdParty</v>
      </c>
      <c r="B357" t="str">
        <f ca="1">IFERROR(__xludf.DUMMYFUNCTION("""COMPUTED_VALUE"""),"GenerateAllThirdPartyData")</f>
        <v>GenerateAllThirdPartyData</v>
      </c>
      <c r="C357" t="str">
        <f ca="1">IFERROR(__xludf.DUMMYFUNCTION("""COMPUTED_VALUE"""),"1N_tr8KIMlLRSTf8xjI6E_DCsfagISlV95aJSkQKRavk")</f>
        <v>1N_tr8KIMlLRSTf8xjI6E_DCsfagISlV95aJSkQKRavk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IFERROR(__xludf.DUMMYFUNCTION("""COMPUTED_VALUE"""),"ThirdParty")</f>
        <v>ThirdParty</v>
      </c>
      <c r="B358" t="str">
        <f ca="1">IFERROR(__xludf.DUMMYFUNCTION("""COMPUTED_VALUE"""),"SendAllThirdPartyData")</f>
        <v>SendAllThirdPartyData</v>
      </c>
      <c r="C358" t="str">
        <f ca="1">IFERROR(__xludf.DUMMYFUNCTION("""COMPUTED_VALUE"""),"1JLfoMbfAcKX8sKuY5GBrk9VURM7QOEybGoh99ESKb-4")</f>
        <v>1JLfoMbfAcKX8sKuY5GBrk9VURM7QOEybGoh99ESKb-4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IFERROR(__xludf.DUMMYFUNCTION("""COMPUTED_VALUE"""),"ThirdParty")</f>
        <v>ThirdParty</v>
      </c>
      <c r="B359" t="str">
        <f ca="1">IFERROR(__xludf.DUMMYFUNCTION("""COMPUTED_VALUE"""),"VerifyThirdPartyView")</f>
        <v>VerifyThirdPartyView</v>
      </c>
      <c r="C359" t="str">
        <f ca="1">IFERROR(__xludf.DUMMYFUNCTION("""COMPUTED_VALUE"""),"1OPgUZqNYhV3KEPmPCahj5p6WvTvcu6yt-IilVEoYdck")</f>
        <v>1OPgUZqNYhV3KEPmPCahj5p6WvTvcu6yt-IilVEoYdck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IFERROR(__xludf.DUMMYFUNCTION("""COMPUTED_VALUE"""),"CheckCompliance")</f>
        <v>CheckCompliance</v>
      </c>
      <c r="C360" t="str">
        <f ca="1">IFERROR(__xludf.DUMMYFUNCTION("""COMPUTED_VALUE"""),"1rHjLXpZjBLQM6QWnpXPgAllc-YEEgN3ft01yzOc3Z_k")</f>
        <v>1rHjLXpZjBLQM6QWnpXPgAllc-YEEgN3ft01yzOc3Z_k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IFERROR(__xludf.DUMMYFUNCTION("""COMPUTED_VALUE"""),"1o2I6wY7Q2ZhQmtkXdRpqlxQVJ8IApk0IcIxM0anIe4E")</f>
        <v>1o2I6wY7Q2ZhQmtkXdRpqlxQVJ8IApk0IcIxM0anIe4E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IFERROR(__xludf.DUMMYFUNCTION("""COMPUTED_VALUE"""),"VerifyAccountSymbolDivisorWindow")</f>
        <v>VerifyAccountSymbolDivisorWindow</v>
      </c>
      <c r="C362" t="str">
        <f ca="1">IFERROR(__xludf.DUMMYFUNCTION("""COMPUTED_VALUE"""),"1ADKVvtlUcDE2a_GFsrcnF3qLRtLLDQ1rEJbzQws78i8")</f>
        <v>1ADKVvtlUcDE2a_GFsrcnF3qLRtLLDQ1rEJbzQws78i8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IFERROR(__xludf.DUMMYFUNCTION("""COMPUTED_VALUE"""),"VerifyAggregationAccountSymbolWithNav")</f>
        <v>VerifyAggregationAccountSymbolWithNav</v>
      </c>
      <c r="C363" t="str">
        <f ca="1">IFERROR(__xludf.DUMMYFUNCTION("""COMPUTED_VALUE"""),"1lnfZcSlUOa9o7gHKbVZNk25z7jkFzrWO3HCg1iRDEhg")</f>
        <v>1lnfZcSlUOa9o7gHKbVZNk25z7jkFzrWO3HCg1iRDEhg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IFERROR(__xludf.DUMMYFUNCTION("""COMPUTED_VALUE"""),"VerifyAggregationAccountWithNav")</f>
        <v>VerifyAggregationAccountWithNav</v>
      </c>
      <c r="C364" t="str">
        <f ca="1">IFERROR(__xludf.DUMMYFUNCTION("""COMPUTED_VALUE"""),"1bVQ8hXYcI8QA4dwbvx9VW307agnDiO6msA8_55Z9Ho4")</f>
        <v>1bVQ8hXYcI8QA4dwbvx9VW307agnDiO6msA8_55Z9Ho4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IFERROR(__xludf.DUMMYFUNCTION("""COMPUTED_VALUE"""),"VerifyAggregationMasterFundSymbolWithNav")</f>
        <v>VerifyAggregationMasterFundSymbolWithNav</v>
      </c>
      <c r="C365" t="str">
        <f ca="1">IFERROR(__xludf.DUMMYFUNCTION("""COMPUTED_VALUE"""),"149nnw4Cwl1HHouYCXdqP9R7Mx98I_xiisiVCYk7UJkk")</f>
        <v>149nnw4Cwl1HHouYCXdqP9R7Mx98I_xiisiVCYk7UJkk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IFERROR(__xludf.DUMMYFUNCTION("""COMPUTED_VALUE"""),"VerifyAggregationMasterFundUnderlyingSymbolWithNav")</f>
        <v>VerifyAggregationMasterFundUnderlyingSymbolWithNav</v>
      </c>
      <c r="C366" t="str">
        <f ca="1">IFERROR(__xludf.DUMMYFUNCTION("""COMPUTED_VALUE"""),"14DzH-ZDYwWbCfXuBzG8v04Qb1mQp1of2O6GLQXcWMsQ")</f>
        <v>14DzH-ZDYwWbCfXuBzG8v04Qb1mQp1of2O6GLQXcWMsQ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IFERROR(__xludf.DUMMYFUNCTION("""COMPUTED_VALUE"""),"VerifyAggregationMasterFundWithNav")</f>
        <v>VerifyAggregationMasterFundWithNav</v>
      </c>
      <c r="C367" t="str">
        <f ca="1">IFERROR(__xludf.DUMMYFUNCTION("""COMPUTED_VALUE"""),"1zsjoqOkIN3nYkIIxRHJMhmyX6J_C62DE3Oo2y7BGdVs")</f>
        <v>1zsjoqOkIN3nYkIIxRHJMhmyX6J_C62DE3Oo2y7BGdVs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IFERROR(__xludf.DUMMYFUNCTION("""COMPUTED_VALUE"""),"VerifyAggregationSectorWithNav")</f>
        <v>VerifyAggregationSectorWithNav</v>
      </c>
      <c r="C368" t="str">
        <f ca="1">IFERROR(__xludf.DUMMYFUNCTION("""COMPUTED_VALUE"""),"1PwtsUw7M1uKb7OUFflhtzsANVeSCTOQuOmvDpORnIho")</f>
        <v>1PwtsUw7M1uKb7OUFflhtzsANVeSCTOQuOmvDpORnIho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IFERROR(__xludf.DUMMYFUNCTION("""COMPUTED_VALUE"""),"VerifyAggregationUnderlyingSymbolWithNav")</f>
        <v>VerifyAggregationUnderlyingSymbolWithNav</v>
      </c>
      <c r="C369" t="str">
        <f ca="1">IFERROR(__xludf.DUMMYFUNCTION("""COMPUTED_VALUE"""),"176-KXks3ZB5ZHuKBMwUMw29_Cv2044sZyo8Km9DSXhY")</f>
        <v>176-KXks3ZB5ZHuKBMwUMw29_Cv2044sZyo8Km9DSXhY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IFERROR(__xludf.DUMMYFUNCTION("""COMPUTED_VALUE"""),"VerifyAuecWindow")</f>
        <v>VerifyAuecWindow</v>
      </c>
      <c r="C370" t="str">
        <f ca="1">IFERROR(__xludf.DUMMYFUNCTION("""COMPUTED_VALUE"""),"16b_2-FgoStwuBkNr_JjCAyklRXIuqbbe3yokDxprokc")</f>
        <v>16b_2-FgoStwuBkNr_JjCAyklRXIuqbbe3yokDxprokc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IFERROR(__xludf.DUMMYFUNCTION("""COMPUTED_VALUE"""),"VerifyBetaWindow")</f>
        <v>VerifyBetaWindow</v>
      </c>
      <c r="C371" t="str">
        <f ca="1">IFERROR(__xludf.DUMMYFUNCTION("""COMPUTED_VALUE"""),"1fbKcjC8gLwYcrNAXPL4_1obtoTCCX0MmPEKkR5s582U")</f>
        <v>1fbKcjC8gLwYcrNAXPL4_1obtoTCCX0MmPEKkR5s582U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IFERROR(__xludf.DUMMYFUNCTION("""COMPUTED_VALUE"""),"VerifyCustomSymbolDataWindow")</f>
        <v>VerifyCustomSymbolDataWindow</v>
      </c>
      <c r="C372" t="str">
        <f ca="1">IFERROR(__xludf.DUMMYFUNCTION("""COMPUTED_VALUE"""),"1-ro_FbZAIVOSxzuukFA-JqauiFzAp2zzPW1nR5HDbNQ")</f>
        <v>1-ro_FbZAIVOSxzuukFA-JqauiFzAp2zzPW1nR5HDbNQ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IFERROR(__xludf.DUMMYFUNCTION("""COMPUTED_VALUE"""),"VerifyDayEndCashAccountWindow")</f>
        <v>VerifyDayEndCashAccountWindow</v>
      </c>
      <c r="C373" t="str">
        <f ca="1">IFERROR(__xludf.DUMMYFUNCTION("""COMPUTED_VALUE"""),"14hibcKhSsVy9-wON6kpUuT3WpnX2wo9pBQzmPi8qLL0")</f>
        <v>14hibcKhSsVy9-wON6kpUuT3WpnX2wo9pBQzmPi8qLL0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IFERROR(__xludf.DUMMYFUNCTION("""COMPUTED_VALUE"""),"VerifyDbNavWindow")</f>
        <v>VerifyDbNavWindow</v>
      </c>
      <c r="C374" t="str">
        <f ca="1">IFERROR(__xludf.DUMMYFUNCTION("""COMPUTED_VALUE"""),"18-WlIts2DAJ-WJbsdY1Rpj5dOSmW5uYCwetKlx26fnQ")</f>
        <v>18-WlIts2DAJ-WJbsdY1Rpj5dOSmW5uYCwetKlx26fnQ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IFERROR(__xludf.DUMMYFUNCTION("""COMPUTED_VALUE"""),"VerifyGlobalDivisorWindow")</f>
        <v>VerifyGlobalDivisorWindow</v>
      </c>
      <c r="C375" t="str">
        <f ca="1">IFERROR(__xludf.DUMMYFUNCTION("""COMPUTED_VALUE"""),"1z5ONnrNdd3WVB7RZIGa-yHhn0U7mw19K0moh5ObmK-I")</f>
        <v>1z5ONnrNdd3WVB7RZIGa-yHhn0U7mw19K0moh5ObmK-I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IFERROR(__xludf.DUMMYFUNCTION("""COMPUTED_VALUE"""),"VerifyPmCalculationPreferenceWindow")</f>
        <v>VerifyPmCalculationPreferenceWindow</v>
      </c>
      <c r="C376" t="str">
        <f ca="1">IFERROR(__xludf.DUMMYFUNCTION("""COMPUTED_VALUE"""),"1yse7cNfakHdRjfRrq1SQW0Yxxopg67W_juGAkOyqHPk")</f>
        <v>1yse7cNfakHdRjfRrq1SQW0Yxxopg67W_juGAkOyqHPk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IFERROR(__xludf.DUMMYFUNCTION("""COMPUTED_VALUE"""),"VerifyRowCalculationBaseWindow")</f>
        <v>VerifyRowCalculationBaseWindow</v>
      </c>
      <c r="C377" t="str">
        <f ca="1">IFERROR(__xludf.DUMMYFUNCTION("""COMPUTED_VALUE"""),"16bZAwMHOfN8bD2TadtVor3HvDM0dtF51XYU1iRUEXpQ")</f>
        <v>16bZAwMHOfN8bD2TadtVor3HvDM0dtF51XYU1iRUEXpQ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IFERROR(__xludf.DUMMYFUNCTION("""COMPUTED_VALUE"""),"VerifySecurityWindow")</f>
        <v>VerifySecurityWindow</v>
      </c>
      <c r="C378" t="str">
        <f ca="1">IFERROR(__xludf.DUMMYFUNCTION("""COMPUTED_VALUE"""),"1xeK-JWq8oHwAbmnGt_N4qn9Nt8F9XHo5-Mtr0t_7pRw")</f>
        <v>1xeK-JWq8oHwAbmnGt_N4qn9Nt8F9XHo5-Mtr0t_7pRw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IFERROR(__xludf.DUMMYFUNCTION("""COMPUTED_VALUE"""),"VerifySymbolDataWindow")</f>
        <v>VerifySymbolDataWindow</v>
      </c>
      <c r="C379" t="str">
        <f ca="1">IFERROR(__xludf.DUMMYFUNCTION("""COMPUTED_VALUE"""),"13iKSNjdwzv3DKe_1fcHZJ8GUk5s-HKAGG5PE6MY-smA")</f>
        <v>13iKSNjdwzv3DKe_1fcHZJ8GUk5s-HKAGG5PE6MY-smA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IFERROR(__xludf.DUMMYFUNCTION("""COMPUTED_VALUE"""),"VerifySymbolDivisorWindow")</f>
        <v>VerifySymbolDivisorWindow</v>
      </c>
      <c r="C380" t="str">
        <f ca="1">IFERROR(__xludf.DUMMYFUNCTION("""COMPUTED_VALUE"""),"1uyHz1cQUHCK-GcBufMehtS9i6BspKa5HVCLnf4pfGuk")</f>
        <v>1uyHz1cQUHCK-GcBufMehtS9i6BspKa5HVCLnf4pfGuk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IFERROR(__xludf.DUMMYFUNCTION("""COMPUTED_VALUE"""),"VerifyTaxlotWindow")</f>
        <v>VerifyTaxlotWindow</v>
      </c>
      <c r="C381" t="str">
        <f ca="1">IFERROR(__xludf.DUMMYFUNCTION("""COMPUTED_VALUE"""),"1LmfcHeXwbnPa-An0b_OD4pDLm7pUlzSX41G5QZ2Uons")</f>
        <v>1LmfcHeXwbnPa-An0b_OD4pDLm7pUlzSX41G5QZ2Uons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IFERROR(__xludf.DUMMYFUNCTION("""COMPUTED_VALUE"""),"RestartEsper")</f>
        <v>RestartEsper</v>
      </c>
      <c r="C382" t="str">
        <f ca="1">IFERROR(__xludf.DUMMYFUNCTION("""COMPUTED_VALUE"""),"undefined")</f>
        <v>undefined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IFERROR(__xludf.DUMMYFUNCTION("""COMPUTED_VALUE"""),"VerifyAccountNavPreferenceWindow")</f>
        <v>VerifyAccountNavPreferenceWindow</v>
      </c>
      <c r="C383" t="str">
        <f ca="1">IFERROR(__xludf.DUMMYFUNCTION("""COMPUTED_VALUE"""),"1PbpS5QGNvwJE_YSvMrjHxbUPPQhcUDrQHC4N9KHYjWY")</f>
        <v>1PbpS5QGNvwJE_YSvMrjHxbUPPQhcUDrQHC4N9KHYjWY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 VerifyAggregationAccountUnderlyingSymbolWithNav")</f>
        <v xml:space="preserve"> VerifyAggregationAccountUnderlyingSymbolWithNav</v>
      </c>
      <c r="C384" t="str">
        <f ca="1">IFERROR(__xludf.DUMMYFUNCTION("""COMPUTED_VALUE"""),"1e43aiziZ9lVzR6j8eABeYJVnCkgU34OcPRcWujsT2Sk")</f>
        <v>1e43aiziZ9lVzR6j8eABeYJVnCkgU34OcPRcWujsT2Sk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IFERROR(__xludf.DUMMYFUNCTION("""COMPUTED_VALUE"""),"VerifyAggregationAssetWithNav")</f>
        <v>VerifyAggregationAssetWithNav</v>
      </c>
      <c r="C385" t="str">
        <f ca="1">IFERROR(__xludf.DUMMYFUNCTION("""COMPUTED_VALUE"""),"1etvN2Ze8TA6NI_8xSaOdqLwhWnk9NXKUUDhi-_NctcY")</f>
        <v>1etvN2Ze8TA6NI_8xSaOdqLwhWnk9NXKUUDhi-_NctcY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IFERROR(__xludf.DUMMYFUNCTION("""COMPUTED_VALUE"""),"VerifyAggregationSymbolWithNav")</f>
        <v>VerifyAggregationSymbolWithNav</v>
      </c>
      <c r="C386" t="str">
        <f ca="1">IFERROR(__xludf.DUMMYFUNCTION("""COMPUTED_VALUE"""),"13XyCHzB6LhftZ5UNht5K7e3dan_fGbii_TnOOGLwDg0")</f>
        <v>13XyCHzB6LhftZ5UNht5K7e3dan_fGbii_TnOOGLwDg0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IFERROR(__xludf.DUMMYFUNCTION("""COMPUTED_VALUE"""),"Compliance")</f>
        <v>Compliance</v>
      </c>
      <c r="B387" t="str">
        <f ca="1">IFERROR(__xludf.DUMMYFUNCTION("""COMPUTED_VALUE"""),"VerifyAggregationSubSectorWithNav")</f>
        <v>VerifyAggregationSubSectorWithNav</v>
      </c>
      <c r="C387" t="str">
        <f ca="1">IFERROR(__xludf.DUMMYFUNCTION("""COMPUTED_VALUE"""),"1DBHQwTuKH0lzdeBCel_4raYQn6PkkFTYydpCHbsB4Qk")</f>
        <v>1DBHQwTuKH0lzdeBCel_4raYQn6PkkFTYydpCHbsB4Qk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IFERROR(__xludf.DUMMYFUNCTION("""COMPUTED_VALUE"""),"Compliance")</f>
        <v>Compliance</v>
      </c>
      <c r="B388" t="str">
        <f ca="1">IFERROR(__xludf.DUMMYFUNCTION("""COMPUTED_VALUE"""),"VerifyAggregationGlobalWithNav")</f>
        <v>VerifyAggregationGlobalWithNav</v>
      </c>
      <c r="C388" t="str">
        <f ca="1">IFERROR(__xludf.DUMMYFUNCTION("""COMPUTED_VALUE"""),"1XVSAkmIoWI-AC0BHXwWO3TqCkz2uOlJFE5eM6W0_Cew")</f>
        <v>1XVSAkmIoWI-AC0BHXwWO3TqCkz2uOlJFE5eM6W0_Cew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IFERROR(__xludf.DUMMYFUNCTION("""COMPUTED_VALUE"""),"Compliance")</f>
        <v>Compliance</v>
      </c>
      <c r="B389" t="str">
        <f ca="1">IFERROR(__xludf.DUMMYFUNCTION("""COMPUTED_VALUE""")," VerifyAggregationGlobalWithNav")</f>
        <v xml:space="preserve"> VerifyAggregationGlobalWithNav</v>
      </c>
      <c r="C389" t="str">
        <f ca="1">IFERROR(__xludf.DUMMYFUNCTION("""COMPUTED_VALUE"""),"1XVSAkmIoWI-AC0BHXwWO3TqCkz2uOlJFE5eM6W0_Cew")</f>
        <v>1XVSAkmIoWI-AC0BHXwWO3TqCkz2uOlJFE5eM6W0_Cew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IFERROR(__xludf.DUMMYFUNCTION("""COMPUTED_VALUE"""),"Compliance")</f>
        <v>Compliance</v>
      </c>
      <c r="B390" t="str">
        <f ca="1">IFERROR(__xludf.DUMMYFUNCTION("""COMPUTED_VALUE"""),"VerifyGlobalDivisorWindow")</f>
        <v>VerifyGlobalDivisorWindow</v>
      </c>
      <c r="C390" t="str">
        <f ca="1">IFERROR(__xludf.DUMMYFUNCTION("""COMPUTED_VALUE"""),"1z5ONnrNdd3WVB7RZIGa-yHhn0U7mw19K0moh5ObmK-I")</f>
        <v>1z5ONnrNdd3WVB7RZIGa-yHhn0U7mw19K0moh5ObmK-I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IFERROR(__xludf.DUMMYFUNCTION("""COMPUTED_VALUE"""),"Compliance")</f>
        <v>Compliance</v>
      </c>
      <c r="B391" t="str">
        <f ca="1">IFERROR(__xludf.DUMMYFUNCTION("""COMPUTED_VALUE""")," VerifyAccrualForAccountWindow")</f>
        <v xml:space="preserve"> VerifyAccrualForAccountWindow</v>
      </c>
      <c r="C391" t="str">
        <f ca="1">IFERROR(__xludf.DUMMYFUNCTION("""COMPUTED_VALUE"""),"1zKkT3mW6MMJ2tPzzT2fHVQT6vyc0mePzllndBlUl5IM")</f>
        <v>1zKkT3mW6MMJ2tPzzT2fHVQT6vyc0mePzllndBlUl5IM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IFERROR(__xludf.DUMMYFUNCTION("""COMPUTED_VALUE"""),"Compliance")</f>
        <v>Compliance</v>
      </c>
      <c r="B392" t="str">
        <f ca="1">IFERROR(__xludf.DUMMYFUNCTION("""COMPUTED_VALUE"""),"VerifyGlobalDivisorWindow")</f>
        <v>VerifyGlobalDivisorWindow</v>
      </c>
      <c r="C392" t="str">
        <f ca="1">IFERROR(__xludf.DUMMYFUNCTION("""COMPUTED_VALUE"""),"1z5ONnrNdd3WVB7RZIGa-yHhn0U7mw19K0moh5ObmK-I")</f>
        <v>1z5ONnrNdd3WVB7RZIGa-yHhn0U7mw19K0moh5ObmK-I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IFERROR(__xludf.DUMMYFUNCTION("""COMPUTED_VALUE"""),"Compliance")</f>
        <v>Compliance</v>
      </c>
      <c r="B393" t="str">
        <f ca="1">IFERROR(__xludf.DUMMYFUNCTION("""COMPUTED_VALUE"""),"VerifyMasterFundDivisorWindow")</f>
        <v>VerifyMasterFundDivisorWindow</v>
      </c>
      <c r="C393" t="str">
        <f ca="1">IFERROR(__xludf.DUMMYFUNCTION("""COMPUTED_VALUE"""),"13rWeedH_MlhhxYACJeLeckVtBWejh246MGPN4QQpmMM")</f>
        <v>13rWeedH_MlhhxYACJeLeckVtBWejh246MGPN4QQpmMM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IFERROR(__xludf.DUMMYFUNCTION("""COMPUTED_VALUE"""),"Compliance")</f>
        <v>Compliance</v>
      </c>
      <c r="B394" t="str">
        <f ca="1">IFERROR(__xludf.DUMMYFUNCTION("""COMPUTED_VALUE"""),"VerifyMasterFundSymbolDivisorWindow")</f>
        <v>VerifyMasterFundSymbolDivisorWindow</v>
      </c>
      <c r="C394" t="str">
        <f ca="1">IFERROR(__xludf.DUMMYFUNCTION("""COMPUTED_VALUE"""),"1YPctyrs3yMgf0X1_jVz3LRORCo4B4cNqbyc_K0FujO0")</f>
        <v>1YPctyrs3yMgf0X1_jVz3LRORCo4B4cNqbyc_K0FujO0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IFERROR(__xludf.DUMMYFUNCTION("""COMPUTED_VALUE"""),"Rebalancer")</f>
        <v>Rebalancer</v>
      </c>
      <c r="B395" t="str">
        <f ca="1">IFERROR(__xludf.DUMMYFUNCTION("""COMPUTED_VALUE"""),"FetchAccountPositions")</f>
        <v>FetchAccountPositions</v>
      </c>
      <c r="C395" t="str">
        <f ca="1">IFERROR(__xludf.DUMMYFUNCTION("""COMPUTED_VALUE"""),"1BeNn_44h4ClIE46em_ho4qgzGnXy_GxtYTH3cBmtKPk")</f>
        <v>1BeNn_44h4ClIE46em_ho4qgzGnXy_GxtYTH3cBmtKPk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IFERROR(__xludf.DUMMYFUNCTION("""COMPUTED_VALUE"""),"Rebalancer")</f>
        <v>Rebalancer</v>
      </c>
      <c r="B396" t="str">
        <f ca="1">IFERROR(__xludf.DUMMYFUNCTION("""COMPUTED_VALUE"""),"AddCash")</f>
        <v>AddCash</v>
      </c>
      <c r="C396" t="str">
        <f ca="1">IFERROR(__xludf.DUMMYFUNCTION("""COMPUTED_VALUE"""),"1jkLpZFgLuRokIigwbjW9_Z47rlvj-YDlRcP_c4XkP_k")</f>
        <v>1jkLpZFgLuRokIigwbjW9_Z47rlvj-YDlRcP_c4XkP_k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IFERROR(__xludf.DUMMYFUNCTION("""COMPUTED_VALUE"""),"Rebalancer")</f>
        <v>Rebalancer</v>
      </c>
      <c r="B397" t="str">
        <f ca="1">IFERROR(__xludf.DUMMYFUNCTION("""COMPUTED_VALUE"""),"VerifyGridData")</f>
        <v>VerifyGridData</v>
      </c>
      <c r="C397" t="str">
        <f ca="1">IFERROR(__xludf.DUMMYFUNCTION("""COMPUTED_VALUE"""),"1mspGsgTjI-yT8NsZKZn8moOE-Vp0hoNdUziI1pFBq0I")</f>
        <v>1mspGsgTjI-yT8NsZKZn8moOE-Vp0hoNdUziI1pFBq0I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IFERROR(__xludf.DUMMYFUNCTION("""COMPUTED_VALUE"""),"Rebalancer")</f>
        <v>Rebalancer</v>
      </c>
      <c r="B398" t="str">
        <f ca="1">IFERROR(__xludf.DUMMYFUNCTION("""COMPUTED_VALUE"""),"RunRebalance")</f>
        <v>RunRebalance</v>
      </c>
      <c r="C398" t="str">
        <f ca="1">IFERROR(__xludf.DUMMYFUNCTION("""COMPUTED_VALUE"""),"1B2L3J6YUrDWz8rRtdvv0lYDQvnH8nYkmqQm12ZwK7jc")</f>
        <v>1B2L3J6YUrDWz8rRtdvv0lYDQvnH8nYkmqQm12ZwK7jc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 x14ac:dyDescent="0.2"/>
    <row r="923" spans="1:12" ht="15.75" customHeight="1" x14ac:dyDescent="0.2"/>
    <row r="924" spans="1:12" ht="15.75" customHeight="1" x14ac:dyDescent="0.2"/>
    <row r="925" spans="1:12" ht="15.75" customHeight="1" x14ac:dyDescent="0.2"/>
    <row r="926" spans="1:12" ht="15.75" customHeight="1" x14ac:dyDescent="0.2"/>
    <row r="927" spans="1:12" ht="15.75" customHeight="1" x14ac:dyDescent="0.2"/>
    <row r="928" spans="1:12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56" t="s">
        <v>1</v>
      </c>
      <c r="B1" s="54"/>
      <c r="C1" s="55"/>
    </row>
    <row r="2" spans="1:3" ht="15.75" customHeight="1" x14ac:dyDescent="0.2">
      <c r="A2" s="2"/>
      <c r="B2" s="2"/>
      <c r="C2" s="2"/>
    </row>
    <row r="3" spans="1:3" ht="15.75" customHeight="1" x14ac:dyDescent="0.2">
      <c r="A3" s="3" t="s">
        <v>4</v>
      </c>
      <c r="B3" s="5" t="s">
        <v>6</v>
      </c>
      <c r="C3" s="2"/>
    </row>
    <row r="4" spans="1:3" ht="15.75" customHeight="1" x14ac:dyDescent="0.2">
      <c r="A4" s="4" t="s">
        <v>8</v>
      </c>
      <c r="B4" s="5" t="s">
        <v>9</v>
      </c>
      <c r="C4" s="2"/>
    </row>
    <row r="5" spans="1:3" ht="15.75" customHeight="1" x14ac:dyDescent="0.2">
      <c r="A5" s="7"/>
      <c r="B5" s="2"/>
      <c r="C5" s="2"/>
    </row>
    <row r="6" spans="1:3" ht="15.75" customHeight="1" x14ac:dyDescent="0.2">
      <c r="A6" s="7"/>
      <c r="B6" s="2"/>
      <c r="C6" s="2"/>
    </row>
    <row r="7" spans="1:3" ht="15.75" customHeight="1" x14ac:dyDescent="0.2">
      <c r="A7" s="7"/>
      <c r="B7" s="2"/>
      <c r="C7" s="2"/>
    </row>
    <row r="8" spans="1:3" ht="15.75" customHeight="1" x14ac:dyDescent="0.2">
      <c r="A8" s="7"/>
      <c r="B8" s="2"/>
      <c r="C8" s="2"/>
    </row>
    <row r="9" spans="1:3" ht="15.75" customHeight="1" x14ac:dyDescent="0.2">
      <c r="A9" s="7"/>
      <c r="B9" s="2"/>
      <c r="C9" s="2"/>
    </row>
    <row r="10" spans="1:3" ht="15.75" customHeight="1" x14ac:dyDescent="0.2">
      <c r="A10" s="7"/>
      <c r="B10" s="2"/>
      <c r="C10" s="2"/>
    </row>
    <row r="11" spans="1:3" ht="15.75" customHeight="1" x14ac:dyDescent="0.2">
      <c r="A11" s="7"/>
      <c r="B11" s="2"/>
      <c r="C11" s="2"/>
    </row>
    <row r="12" spans="1:3" ht="15.75" customHeight="1" x14ac:dyDescent="0.2">
      <c r="A12" s="7"/>
      <c r="B12" s="2"/>
      <c r="C12" s="2"/>
    </row>
    <row r="13" spans="1:3" ht="15.75" customHeight="1" x14ac:dyDescent="0.2">
      <c r="A13" s="7"/>
      <c r="B13" s="2"/>
      <c r="C13" s="2"/>
    </row>
    <row r="14" spans="1:3" ht="15.75" customHeight="1" x14ac:dyDescent="0.2">
      <c r="A14" s="7"/>
      <c r="B14" s="2"/>
      <c r="C14" s="2"/>
    </row>
    <row r="15" spans="1:3" ht="15.75" customHeight="1" x14ac:dyDescent="0.2">
      <c r="A15" s="7"/>
      <c r="B15" s="2"/>
      <c r="C15" s="2"/>
    </row>
    <row r="16" spans="1:3" ht="15.75" customHeight="1" x14ac:dyDescent="0.2">
      <c r="A16" s="7"/>
      <c r="B16" s="2"/>
      <c r="C16" s="2"/>
    </row>
    <row r="17" spans="1:3" ht="15.75" customHeight="1" x14ac:dyDescent="0.2">
      <c r="A17" s="7"/>
      <c r="B17" s="2"/>
      <c r="C17" s="2"/>
    </row>
    <row r="18" spans="1:3" ht="15.75" customHeight="1" x14ac:dyDescent="0.2">
      <c r="A18" s="7"/>
      <c r="B18" s="2"/>
      <c r="C18" s="2"/>
    </row>
    <row r="19" spans="1:3" ht="15.75" customHeight="1" x14ac:dyDescent="0.2">
      <c r="A19" s="7"/>
      <c r="B19" s="2"/>
      <c r="C19" s="2"/>
    </row>
    <row r="20" spans="1:3" ht="15.75" customHeight="1" x14ac:dyDescent="0.2">
      <c r="A20" s="7"/>
      <c r="B20" s="2"/>
      <c r="C20" s="2"/>
    </row>
    <row r="21" spans="1:3" ht="15.75" customHeight="1" x14ac:dyDescent="0.2">
      <c r="A21" s="7"/>
      <c r="B21" s="2"/>
      <c r="C21" s="2"/>
    </row>
    <row r="22" spans="1:3" ht="15.75" customHeight="1" x14ac:dyDescent="0.2">
      <c r="A22" s="7"/>
      <c r="B22" s="2"/>
      <c r="C22" s="2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53" t="s">
        <v>0</v>
      </c>
      <c r="B1" s="54"/>
      <c r="C1" s="54"/>
      <c r="D1" s="54"/>
      <c r="E1" s="54"/>
      <c r="F1" s="55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4" t="s">
        <v>5</v>
      </c>
      <c r="B3" s="6" t="s">
        <v>7</v>
      </c>
      <c r="C3" s="6" t="s">
        <v>10</v>
      </c>
      <c r="D3" s="8"/>
      <c r="E3" s="8"/>
      <c r="F3" s="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2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3" t="s">
        <v>11</v>
      </c>
      <c r="C1" s="54"/>
      <c r="D1" s="54"/>
      <c r="E1" s="54"/>
      <c r="F1" s="54"/>
      <c r="G1" s="54"/>
      <c r="H1" s="55"/>
      <c r="I1" s="12"/>
      <c r="J1" s="12"/>
      <c r="K1" s="12"/>
      <c r="L1" s="12"/>
      <c r="M1" s="12"/>
      <c r="N1" s="13"/>
      <c r="O1" s="12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str">
        <f ca="1">VLOOKUP($E$3,_MasterData!B4:D1000,3,FALSE)</f>
        <v>1b5S4Xpp4fgZ1ez6cK92QFnVBylqz8jhwxdAyEvwDqUI</v>
      </c>
      <c r="K2" s="15"/>
      <c r="L2" s="2"/>
      <c r="M2" s="2"/>
      <c r="N2" s="16"/>
      <c r="O2" s="2"/>
    </row>
    <row r="3" spans="1:154" ht="15.75" customHeight="1" x14ac:dyDescent="0.2">
      <c r="A3" s="17"/>
      <c r="B3" s="3" t="s">
        <v>5</v>
      </c>
      <c r="C3" s="18" t="s">
        <v>12</v>
      </c>
      <c r="D3" s="3" t="s">
        <v>7</v>
      </c>
      <c r="E3" s="18" t="s">
        <v>13</v>
      </c>
      <c r="F3" s="3" t="s">
        <v>14</v>
      </c>
      <c r="G3" s="7" t="s">
        <v>15</v>
      </c>
      <c r="H3" s="3"/>
      <c r="I3" s="17"/>
      <c r="J3" s="17"/>
      <c r="K3" s="17"/>
      <c r="L3" s="17"/>
      <c r="M3" s="17"/>
      <c r="N3" s="19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 x14ac:dyDescent="0.2">
      <c r="A4" s="21"/>
      <c r="B4" s="21" t="str">
        <f ca="1">IFERROR(__xludf.DUMMYFUNCTION("IF(C3="""","""",Transpose(IMPORTRANGE('_Settings'!$B$3,C3&amp;""!A4:A1000"")))"),"OpenTTFromPST")</f>
        <v>OpenTTFromPST</v>
      </c>
      <c r="C4" s="21" t="str">
        <f ca="1">IFERROR(__xludf.DUMMYFUNCTION("""COMPUTED_VALUE"""),"EnterDetailsOnTT")</f>
        <v>EnterDetailsOnTT</v>
      </c>
      <c r="D4" s="21" t="str">
        <f ca="1">IFERROR(__xludf.DUMMYFUNCTION("""COMPUTED_VALUE"""),"ValidateSymbolTT")</f>
        <v>ValidateSymbolTT</v>
      </c>
      <c r="E4" s="21" t="str">
        <f ca="1">IFERROR(__xludf.DUMMYFUNCTION("""COMPUTED_VALUE"""),"VerifyDataTT")</f>
        <v>VerifyDataTT</v>
      </c>
      <c r="F4" s="21" t="str">
        <f ca="1">IFERROR(__xludf.DUMMYFUNCTION("""COMPUTED_VALUE"""),"SetUIPreferencesTT")</f>
        <v>SetUIPreferencesTT</v>
      </c>
      <c r="G4" s="21" t="str">
        <f ca="1">IFERROR(__xludf.DUMMYFUNCTION("""COMPUTED_VALUE"""),"SetBrokerWisePreferencesTT")</f>
        <v>SetBrokerWisePreferencesTT</v>
      </c>
      <c r="H4" s="21" t="str">
        <f ca="1">IFERROR(__xludf.DUMMYFUNCTION("""COMPUTED_VALUE"""),"TradeNewSub")</f>
        <v>TradeNewSub</v>
      </c>
      <c r="I4" s="21" t="str">
        <f ca="1">IFERROR(__xludf.DUMMYFUNCTION("""COMPUTED_VALUE"""),"CreateStageOrder")</f>
        <v>CreateStageOrder</v>
      </c>
      <c r="J4" s="21" t="str">
        <f ca="1">IFERROR(__xludf.DUMMYFUNCTION("""COMPUTED_VALUE"""),"CreateReplaceOrder")</f>
        <v>CreateReplaceOrder</v>
      </c>
      <c r="K4" s="21" t="str">
        <f ca="1">IFERROR(__xludf.DUMMYFUNCTION("""COMPUTED_VALUE"""),"SetGeneralPreference")</f>
        <v>SetGeneralPreference</v>
      </c>
      <c r="L4" s="21" t="str">
        <f ca="1">IFERROR(__xludf.DUMMYFUNCTION("""COMPUTED_VALUE"""),"CreateDoneAwayOrder")</f>
        <v>CreateDoneAwayOrder</v>
      </c>
      <c r="M4" s="21" t="str">
        <f ca="1">IFERROR(__xludf.DUMMYFUNCTION("""COMPUTED_VALUE"""),"CreateNewSubOrder")</f>
        <v>CreateNewSubOrder</v>
      </c>
      <c r="N4" s="22" t="str">
        <f ca="1">IFERROR(__xludf.DUMMYFUNCTION("""COMPUTED_VALUE"""),"TradeBloomberg")</f>
        <v>TradeBloomberg</v>
      </c>
      <c r="O4" s="21" t="str">
        <f ca="1">IFERROR(__xludf.DUMMYFUNCTION("""COMPUTED_VALUE"""),"ClickSymbolLookup")</f>
        <v>ClickSymbolLookup</v>
      </c>
      <c r="P4" s="23" t="str">
        <f ca="1">IFERROR(__xludf.DUMMYFUNCTION("""COMPUTED_VALUE"""),"VerifyTT")</f>
        <v>VerifyTT</v>
      </c>
      <c r="Q4" s="23" t="str">
        <f ca="1">IFERROR(__xludf.DUMMYFUNCTION("""COMPUTED_VALUE"""),"")</f>
        <v/>
      </c>
      <c r="R4" s="23" t="str">
        <f ca="1">IFERROR(__xludf.DUMMYFUNCTION("""COMPUTED_VALUE"""),"")</f>
        <v/>
      </c>
      <c r="S4" s="23" t="str">
        <f ca="1">IFERROR(__xludf.DUMMYFUNCTION("""COMPUTED_VALUE"""),"")</f>
        <v/>
      </c>
      <c r="T4" s="23" t="str">
        <f ca="1">IFERROR(__xludf.DUMMYFUNCTION("""COMPUTED_VALUE"""),"")</f>
        <v/>
      </c>
      <c r="U4" s="23" t="str">
        <f ca="1">IFERROR(__xludf.DUMMYFUNCTION("""COMPUTED_VALUE"""),"")</f>
        <v/>
      </c>
      <c r="V4" s="23" t="str">
        <f ca="1">IFERROR(__xludf.DUMMYFUNCTION("""COMPUTED_VALUE"""),"")</f>
        <v/>
      </c>
      <c r="W4" s="23" t="str">
        <f ca="1">IFERROR(__xludf.DUMMYFUNCTION("""COMPUTED_VALUE"""),"")</f>
        <v/>
      </c>
      <c r="X4" s="23" t="str">
        <f ca="1">IFERROR(__xludf.DUMMYFUNCTION("""COMPUTED_VALUE"""),"")</f>
        <v/>
      </c>
      <c r="Y4" s="23" t="str">
        <f ca="1">IFERROR(__xludf.DUMMYFUNCTION("""COMPUTED_VALUE"""),"")</f>
        <v/>
      </c>
      <c r="Z4" s="23" t="str">
        <f ca="1">IFERROR(__xludf.DUMMYFUNCTION("""COMPUTED_VALUE"""),"")</f>
        <v/>
      </c>
      <c r="AA4" s="23" t="str">
        <f ca="1">IFERROR(__xludf.DUMMYFUNCTION("""COMPUTED_VALUE"""),"")</f>
        <v/>
      </c>
      <c r="AB4" s="23" t="str">
        <f ca="1">IFERROR(__xludf.DUMMYFUNCTION("""COMPUTED_VALUE"""),"")</f>
        <v/>
      </c>
      <c r="AC4" s="23" t="str">
        <f ca="1">IFERROR(__xludf.DUMMYFUNCTION("""COMPUTED_VALUE"""),"")</f>
        <v/>
      </c>
      <c r="AD4" s="23" t="str">
        <f ca="1">IFERROR(__xludf.DUMMYFUNCTION("""COMPUTED_VALUE"""),"")</f>
        <v/>
      </c>
      <c r="AE4" s="23" t="str">
        <f ca="1">IFERROR(__xludf.DUMMYFUNCTION("""COMPUTED_VALUE"""),"")</f>
        <v/>
      </c>
      <c r="AF4" s="23" t="str">
        <f ca="1">IFERROR(__xludf.DUMMYFUNCTION("""COMPUTED_VALUE"""),"")</f>
        <v/>
      </c>
      <c r="AG4" s="23" t="str">
        <f ca="1">IFERROR(__xludf.DUMMYFUNCTION("""COMPUTED_VALUE"""),"")</f>
        <v/>
      </c>
      <c r="AH4" s="23" t="str">
        <f ca="1">IFERROR(__xludf.DUMMYFUNCTION("""COMPUTED_VALUE"""),"")</f>
        <v/>
      </c>
      <c r="AI4" s="23" t="str">
        <f ca="1">IFERROR(__xludf.DUMMYFUNCTION("""COMPUTED_VALUE"""),"")</f>
        <v/>
      </c>
      <c r="AJ4" s="23" t="str">
        <f ca="1">IFERROR(__xludf.DUMMYFUNCTION("""COMPUTED_VALUE"""),"")</f>
        <v/>
      </c>
      <c r="AK4" s="23" t="str">
        <f ca="1">IFERROR(__xludf.DUMMYFUNCTION("""COMPUTED_VALUE"""),"")</f>
        <v/>
      </c>
      <c r="AL4" s="23" t="str">
        <f ca="1">IFERROR(__xludf.DUMMYFUNCTION("""COMPUTED_VALUE"""),"")</f>
        <v/>
      </c>
      <c r="AM4" s="23" t="str">
        <f ca="1">IFERROR(__xludf.DUMMYFUNCTION("""COMPUTED_VALUE"""),"")</f>
        <v/>
      </c>
      <c r="AN4" s="23" t="str">
        <f ca="1">IFERROR(__xludf.DUMMYFUNCTION("""COMPUTED_VALUE"""),"")</f>
        <v/>
      </c>
      <c r="AO4" s="23" t="str">
        <f ca="1">IFERROR(__xludf.DUMMYFUNCTION("""COMPUTED_VALUE"""),"")</f>
        <v/>
      </c>
      <c r="AP4" s="23" t="str">
        <f ca="1">IFERROR(__xludf.DUMMYFUNCTION("""COMPUTED_VALUE"""),"")</f>
        <v/>
      </c>
      <c r="AQ4" s="23" t="str">
        <f ca="1">IFERROR(__xludf.DUMMYFUNCTION("""COMPUTED_VALUE"""),"")</f>
        <v/>
      </c>
      <c r="AR4" s="23" t="str">
        <f ca="1">IFERROR(__xludf.DUMMYFUNCTION("""COMPUTED_VALUE"""),"")</f>
        <v/>
      </c>
      <c r="AS4" s="23" t="str">
        <f ca="1">IFERROR(__xludf.DUMMYFUNCTION("""COMPUTED_VALUE"""),"")</f>
        <v/>
      </c>
      <c r="AT4" s="23" t="str">
        <f ca="1">IFERROR(__xludf.DUMMYFUNCTION("""COMPUTED_VALUE"""),"")</f>
        <v/>
      </c>
      <c r="AU4" s="23" t="str">
        <f ca="1">IFERROR(__xludf.DUMMYFUNCTION("""COMPUTED_VALUE"""),"")</f>
        <v/>
      </c>
      <c r="AV4" s="23" t="str">
        <f ca="1">IFERROR(__xludf.DUMMYFUNCTION("""COMPUTED_VALUE"""),"")</f>
        <v/>
      </c>
      <c r="AW4" s="23" t="str">
        <f ca="1">IFERROR(__xludf.DUMMYFUNCTION("""COMPUTED_VALUE"""),"")</f>
        <v/>
      </c>
      <c r="AX4" s="23" t="str">
        <f ca="1">IFERROR(__xludf.DUMMYFUNCTION("""COMPUTED_VALUE"""),"")</f>
        <v/>
      </c>
      <c r="AY4" s="23" t="str">
        <f ca="1">IFERROR(__xludf.DUMMYFUNCTION("""COMPUTED_VALUE"""),"")</f>
        <v/>
      </c>
      <c r="AZ4" s="23" t="str">
        <f ca="1">IFERROR(__xludf.DUMMYFUNCTION("""COMPUTED_VALUE"""),"")</f>
        <v/>
      </c>
      <c r="BA4" s="23" t="str">
        <f ca="1">IFERROR(__xludf.DUMMYFUNCTION("""COMPUTED_VALUE"""),"")</f>
        <v/>
      </c>
      <c r="BB4" s="23" t="str">
        <f ca="1">IFERROR(__xludf.DUMMYFUNCTION("""COMPUTED_VALUE"""),"")</f>
        <v/>
      </c>
      <c r="BC4" s="23" t="str">
        <f ca="1">IFERROR(__xludf.DUMMYFUNCTION("""COMPUTED_VALUE"""),"")</f>
        <v/>
      </c>
      <c r="BD4" s="23" t="str">
        <f ca="1">IFERROR(__xludf.DUMMYFUNCTION("""COMPUTED_VALUE"""),"")</f>
        <v/>
      </c>
      <c r="BE4" s="23" t="str">
        <f ca="1">IFERROR(__xludf.DUMMYFUNCTION("""COMPUTED_VALUE"""),"")</f>
        <v/>
      </c>
      <c r="BF4" s="23" t="str">
        <f ca="1">IFERROR(__xludf.DUMMYFUNCTION("""COMPUTED_VALUE"""),"")</f>
        <v/>
      </c>
      <c r="BG4" s="23" t="str">
        <f ca="1">IFERROR(__xludf.DUMMYFUNCTION("""COMPUTED_VALUE"""),"")</f>
        <v/>
      </c>
      <c r="BH4" s="23" t="str">
        <f ca="1">IFERROR(__xludf.DUMMYFUNCTION("""COMPUTED_VALUE"""),"")</f>
        <v/>
      </c>
      <c r="BI4" s="23" t="str">
        <f ca="1">IFERROR(__xludf.DUMMYFUNCTION("""COMPUTED_VALUE"""),"")</f>
        <v/>
      </c>
      <c r="BJ4" s="23" t="str">
        <f ca="1">IFERROR(__xludf.DUMMYFUNCTION("""COMPUTED_VALUE"""),"")</f>
        <v/>
      </c>
      <c r="BK4" s="23" t="str">
        <f ca="1">IFERROR(__xludf.DUMMYFUNCTION("""COMPUTED_VALUE"""),"")</f>
        <v/>
      </c>
      <c r="BL4" s="23" t="str">
        <f ca="1">IFERROR(__xludf.DUMMYFUNCTION("""COMPUTED_VALUE"""),"")</f>
        <v/>
      </c>
      <c r="BM4" s="23" t="str">
        <f ca="1">IFERROR(__xludf.DUMMYFUNCTION("""COMPUTED_VALUE"""),"")</f>
        <v/>
      </c>
      <c r="BN4" s="23" t="str">
        <f ca="1">IFERROR(__xludf.DUMMYFUNCTION("""COMPUTED_VALUE"""),"")</f>
        <v/>
      </c>
      <c r="BO4" s="23" t="str">
        <f ca="1">IFERROR(__xludf.DUMMYFUNCTION("""COMPUTED_VALUE"""),"")</f>
        <v/>
      </c>
      <c r="BP4" s="23" t="str">
        <f ca="1">IFERROR(__xludf.DUMMYFUNCTION("""COMPUTED_VALUE"""),"")</f>
        <v/>
      </c>
      <c r="BQ4" s="23" t="str">
        <f ca="1">IFERROR(__xludf.DUMMYFUNCTION("""COMPUTED_VALUE"""),"")</f>
        <v/>
      </c>
      <c r="BR4" s="23" t="str">
        <f ca="1">IFERROR(__xludf.DUMMYFUNCTION("""COMPUTED_VALUE"""),"")</f>
        <v/>
      </c>
      <c r="BS4" s="23" t="str">
        <f ca="1">IFERROR(__xludf.DUMMYFUNCTION("""COMPUTED_VALUE"""),"")</f>
        <v/>
      </c>
      <c r="BT4" s="23" t="str">
        <f ca="1">IFERROR(__xludf.DUMMYFUNCTION("""COMPUTED_VALUE"""),"")</f>
        <v/>
      </c>
      <c r="BU4" s="23" t="str">
        <f ca="1">IFERROR(__xludf.DUMMYFUNCTION("""COMPUTED_VALUE"""),"")</f>
        <v/>
      </c>
      <c r="BV4" s="23" t="str">
        <f ca="1">IFERROR(__xludf.DUMMYFUNCTION("""COMPUTED_VALUE"""),"")</f>
        <v/>
      </c>
      <c r="BW4" s="23" t="str">
        <f ca="1">IFERROR(__xludf.DUMMYFUNCTION("""COMPUTED_VALUE"""),"")</f>
        <v/>
      </c>
      <c r="BX4" s="23" t="str">
        <f ca="1">IFERROR(__xludf.DUMMYFUNCTION("""COMPUTED_VALUE"""),"")</f>
        <v/>
      </c>
      <c r="BY4" s="23" t="str">
        <f ca="1">IFERROR(__xludf.DUMMYFUNCTION("""COMPUTED_VALUE"""),"")</f>
        <v/>
      </c>
      <c r="BZ4" s="23" t="str">
        <f ca="1">IFERROR(__xludf.DUMMYFUNCTION("""COMPUTED_VALUE"""),"")</f>
        <v/>
      </c>
      <c r="CA4" s="23" t="str">
        <f ca="1">IFERROR(__xludf.DUMMYFUNCTION("""COMPUTED_VALUE"""),"")</f>
        <v/>
      </c>
      <c r="CB4" s="23" t="str">
        <f ca="1">IFERROR(__xludf.DUMMYFUNCTION("""COMPUTED_VALUE"""),"")</f>
        <v/>
      </c>
      <c r="CC4" s="23" t="str">
        <f ca="1">IFERROR(__xludf.DUMMYFUNCTION("""COMPUTED_VALUE"""),"")</f>
        <v/>
      </c>
      <c r="CD4" s="23" t="str">
        <f ca="1">IFERROR(__xludf.DUMMYFUNCTION("""COMPUTED_VALUE"""),"")</f>
        <v/>
      </c>
      <c r="CE4" s="23" t="str">
        <f ca="1">IFERROR(__xludf.DUMMYFUNCTION("""COMPUTED_VALUE"""),"")</f>
        <v/>
      </c>
      <c r="CF4" s="23" t="str">
        <f ca="1">IFERROR(__xludf.DUMMYFUNCTION("""COMPUTED_VALUE"""),"")</f>
        <v/>
      </c>
      <c r="CG4" s="23" t="str">
        <f ca="1">IFERROR(__xludf.DUMMYFUNCTION("""COMPUTED_VALUE"""),"")</f>
        <v/>
      </c>
      <c r="CH4" s="23" t="str">
        <f ca="1">IFERROR(__xludf.DUMMYFUNCTION("""COMPUTED_VALUE"""),"")</f>
        <v/>
      </c>
      <c r="CI4" s="23" t="str">
        <f ca="1">IFERROR(__xludf.DUMMYFUNCTION("""COMPUTED_VALUE"""),"")</f>
        <v/>
      </c>
      <c r="CJ4" s="23" t="str">
        <f ca="1">IFERROR(__xludf.DUMMYFUNCTION("""COMPUTED_VALUE"""),"")</f>
        <v/>
      </c>
      <c r="CK4" s="23" t="str">
        <f ca="1">IFERROR(__xludf.DUMMYFUNCTION("""COMPUTED_VALUE"""),"")</f>
        <v/>
      </c>
      <c r="CL4" s="23" t="str">
        <f ca="1">IFERROR(__xludf.DUMMYFUNCTION("""COMPUTED_VALUE"""),"")</f>
        <v/>
      </c>
      <c r="CM4" s="23" t="str">
        <f ca="1">IFERROR(__xludf.DUMMYFUNCTION("""COMPUTED_VALUE"""),"")</f>
        <v/>
      </c>
      <c r="CN4" s="23" t="str">
        <f ca="1">IFERROR(__xludf.DUMMYFUNCTION("""COMPUTED_VALUE"""),"")</f>
        <v/>
      </c>
      <c r="CO4" s="23" t="str">
        <f ca="1">IFERROR(__xludf.DUMMYFUNCTION("""COMPUTED_VALUE"""),"")</f>
        <v/>
      </c>
      <c r="CP4" s="23" t="str">
        <f ca="1">IFERROR(__xludf.DUMMYFUNCTION("""COMPUTED_VALUE"""),"")</f>
        <v/>
      </c>
      <c r="CQ4" s="23" t="str">
        <f ca="1">IFERROR(__xludf.DUMMYFUNCTION("""COMPUTED_VALUE"""),"")</f>
        <v/>
      </c>
      <c r="CR4" s="23" t="str">
        <f ca="1">IFERROR(__xludf.DUMMYFUNCTION("""COMPUTED_VALUE"""),"")</f>
        <v/>
      </c>
      <c r="CS4" s="23" t="str">
        <f ca="1">IFERROR(__xludf.DUMMYFUNCTION("""COMPUTED_VALUE"""),"")</f>
        <v/>
      </c>
      <c r="CT4" s="23" t="str">
        <f ca="1">IFERROR(__xludf.DUMMYFUNCTION("""COMPUTED_VALUE"""),"")</f>
        <v/>
      </c>
      <c r="CU4" s="23" t="str">
        <f ca="1">IFERROR(__xludf.DUMMYFUNCTION("""COMPUTED_VALUE"""),"")</f>
        <v/>
      </c>
      <c r="CV4" s="23" t="str">
        <f ca="1">IFERROR(__xludf.DUMMYFUNCTION("""COMPUTED_VALUE"""),"")</f>
        <v/>
      </c>
      <c r="CW4" s="23" t="str">
        <f ca="1">IFERROR(__xludf.DUMMYFUNCTION("""COMPUTED_VALUE"""),"")</f>
        <v/>
      </c>
      <c r="CX4" s="23" t="str">
        <f ca="1">IFERROR(__xludf.DUMMYFUNCTION("""COMPUTED_VALUE"""),"")</f>
        <v/>
      </c>
      <c r="CY4" s="23" t="str">
        <f ca="1">IFERROR(__xludf.DUMMYFUNCTION("""COMPUTED_VALUE"""),"")</f>
        <v/>
      </c>
      <c r="CZ4" s="23" t="str">
        <f ca="1">IFERROR(__xludf.DUMMYFUNCTION("""COMPUTED_VALUE"""),"")</f>
        <v/>
      </c>
      <c r="DA4" s="23" t="str">
        <f ca="1">IFERROR(__xludf.DUMMYFUNCTION("""COMPUTED_VALUE"""),"")</f>
        <v/>
      </c>
      <c r="DB4" s="23" t="str">
        <f ca="1">IFERROR(__xludf.DUMMYFUNCTION("""COMPUTED_VALUE"""),"")</f>
        <v/>
      </c>
      <c r="DC4" s="23" t="str">
        <f ca="1">IFERROR(__xludf.DUMMYFUNCTION("""COMPUTED_VALUE"""),"")</f>
        <v/>
      </c>
      <c r="DD4" s="23" t="str">
        <f ca="1">IFERROR(__xludf.DUMMYFUNCTION("""COMPUTED_VALUE"""),"")</f>
        <v/>
      </c>
      <c r="DE4" s="23" t="str">
        <f ca="1">IFERROR(__xludf.DUMMYFUNCTION("""COMPUTED_VALUE"""),"")</f>
        <v/>
      </c>
      <c r="DF4" s="23" t="str">
        <f ca="1">IFERROR(__xludf.DUMMYFUNCTION("""COMPUTED_VALUE"""),"")</f>
        <v/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  <c r="EX4" s="23" t="str">
        <f ca="1">IFERROR(__xludf.DUMMYFUNCTION("""COMPUTED_VALUE"""),"")</f>
        <v/>
      </c>
    </row>
    <row r="5" spans="1:154" ht="15.75" customHeight="1" x14ac:dyDescent="0.2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IFERROR(__xludf.DUMMYFUNCTION("""COMPUTED_VALUE"""),"Symbol")</f>
        <v>Symbol</v>
      </c>
      <c r="C5" s="25" t="str">
        <f ca="1">IFERROR(__xludf.DUMMYFUNCTION("""COMPUTED_VALUE"""),"Order Side")</f>
        <v>Order Side</v>
      </c>
      <c r="D5" s="25" t="str">
        <f ca="1">IFERROR(__xludf.DUMMYFUNCTION("""COMPUTED_VALUE"""),"Quantity")</f>
        <v>Quantity</v>
      </c>
      <c r="E5" s="25" t="str">
        <f ca="1">IFERROR(__xludf.DUMMYFUNCTION("""COMPUTED_VALUE"""),"TargetQuantityIn")</f>
        <v>TargetQuantityIn</v>
      </c>
      <c r="F5" s="26" t="str">
        <f ca="1">IFERROR(__xludf.DUMMYFUNCTION("""COMPUTED_VALUE"""),"AllocationMethod")</f>
        <v>AllocationMethod</v>
      </c>
      <c r="G5" s="25" t="str">
        <f ca="1">IFERROR(__xludf.DUMMYFUNCTION("""COMPUTED_VALUE"""),"Broker")</f>
        <v>Broker</v>
      </c>
      <c r="H5" s="25" t="str">
        <f ca="1">IFERROR(__xludf.DUMMYFUNCTION("""COMPUTED_VALUE"""),"TIF")</f>
        <v>TIF</v>
      </c>
      <c r="I5" s="25" t="str">
        <f ca="1">IFERROR(__xludf.DUMMYFUNCTION("""COMPUTED_VALUE"""),"Order Type")</f>
        <v>Order Type</v>
      </c>
      <c r="J5" s="25" t="str">
        <f ca="1">IFERROR(__xludf.DUMMYFUNCTION("""COMPUTED_VALUE"""),"Price")</f>
        <v>Price</v>
      </c>
      <c r="K5" s="25" t="str">
        <f ca="1">IFERROR(__xludf.DUMMYFUNCTION("""COMPUTED_VALUE"""),"Stop")</f>
        <v>Stop</v>
      </c>
      <c r="L5" s="25" t="str">
        <f ca="1">IFERROR(__xludf.DUMMYFUNCTION("""COMPUTED_VALUE"""),"Limit")</f>
        <v>Limit</v>
      </c>
      <c r="M5" s="25" t="str">
        <f ca="1">IFERROR(__xludf.DUMMYFUNCTION("""COMPUTED_VALUE"""),"Strategy")</f>
        <v>Strategy</v>
      </c>
      <c r="N5" s="27" t="str">
        <f ca="1">IFERROR(__xludf.DUMMYFUNCTION("""COMPUTED_VALUE"""),"Trade Date")</f>
        <v>Trade Date</v>
      </c>
      <c r="O5" s="25" t="str">
        <f ca="1">IFERROR(__xludf.DUMMYFUNCTION("""COMPUTED_VALUE"""),"FxRate")</f>
        <v>FxRate</v>
      </c>
      <c r="P5" s="25" t="str">
        <f ca="1">IFERROR(__xludf.DUMMYFUNCTION("""COMPUTED_VALUE"""),"Notes")</f>
        <v>Notes</v>
      </c>
      <c r="Q5" s="25" t="str">
        <f ca="1">IFERROR(__xludf.DUMMYFUNCTION("""COMPUTED_VALUE"""),"Broker Notes")</f>
        <v>Broker Notes</v>
      </c>
      <c r="R5" s="25" t="str">
        <f ca="1">IFERROR(__xludf.DUMMYFUNCTION("""COMPUTED_VALUE"""),"CommissionBasis")</f>
        <v>CommissionBasis</v>
      </c>
      <c r="S5" s="25" t="str">
        <f ca="1">IFERROR(__xludf.DUMMYFUNCTION("""COMPUTED_VALUE"""),"CommissionRate")</f>
        <v>CommissionRate</v>
      </c>
      <c r="T5" s="28" t="str">
        <f ca="1">IFERROR(__xludf.DUMMYFUNCTION("""COMPUTED_VALUE"""),"SoftBasis")</f>
        <v>SoftBasis</v>
      </c>
      <c r="U5" s="28" t="str">
        <f ca="1">IFERROR(__xludf.DUMMYFUNCTION("""COMPUTED_VALUE"""),"SoftRate")</f>
        <v>SoftRate</v>
      </c>
      <c r="V5" s="28" t="str">
        <f ca="1">IFERROR(__xludf.DUMMYFUNCTION("""COMPUTED_VALUE"""),"TradeAttribute1")</f>
        <v>TradeAttribute1</v>
      </c>
      <c r="W5" s="28" t="str">
        <f ca="1">IFERROR(__xludf.DUMMYFUNCTION("""COMPUTED_VALUE"""),"TradeAttribute2")</f>
        <v>TradeAttribute2</v>
      </c>
      <c r="X5" s="28" t="str">
        <f ca="1">IFERROR(__xludf.DUMMYFUNCTION("""COMPUTED_VALUE"""),"TradeAttribute3")</f>
        <v>TradeAttribute3</v>
      </c>
      <c r="Y5" s="28" t="str">
        <f ca="1">IFERROR(__xludf.DUMMYFUNCTION("""COMPUTED_VALUE"""),"TradeAttribute4")</f>
        <v>TradeAttribute4</v>
      </c>
      <c r="Z5" s="28" t="str">
        <f ca="1">IFERROR(__xludf.DUMMYFUNCTION("""COMPUTED_VALUE"""),"TradeAttribute5")</f>
        <v>TradeAttribute5</v>
      </c>
      <c r="AA5" s="28" t="str">
        <f ca="1">IFERROR(__xludf.DUMMYFUNCTION("""COMPUTED_VALUE"""),"TradeAttribute6")</f>
        <v>TradeAttribute6</v>
      </c>
      <c r="AB5" s="28" t="str">
        <f ca="1">IFERROR(__xludf.DUMMYFUNCTION("""COMPUTED_VALUE"""),"Venue")</f>
        <v>Venue</v>
      </c>
      <c r="AC5" s="28" t="str">
        <f ca="1">IFERROR(__xludf.DUMMYFUNCTION("""COMPUTED_VALUE"""),"ExecutionInstructions")</f>
        <v>ExecutionInstructions</v>
      </c>
      <c r="AD5" s="28" t="str">
        <f ca="1">IFERROR(__xludf.DUMMYFUNCTION("""COMPUTED_VALUE"""),"HandlingInstructions")</f>
        <v>HandlingInstructions</v>
      </c>
      <c r="AE5" s="28" t="str">
        <f ca="1">IFERROR(__xludf.DUMMYFUNCTION("""COMPUTED_VALUE"""),"Trader")</f>
        <v>Trader</v>
      </c>
      <c r="AF5" s="28" t="str">
        <f ca="1">IFERROR(__xludf.DUMMYFUNCTION("""COMPUTED_VALUE"""),"SettlementCurrency")</f>
        <v>SettlementCurrency</v>
      </c>
      <c r="AG5" s="28" t="str">
        <f ca="1">IFERROR(__xludf.DUMMYFUNCTION("""COMPUTED_VALUE"""),"SettlementFXRate")</f>
        <v>SettlementFXRate</v>
      </c>
      <c r="AH5" s="28" t="str">
        <f ca="1">IFERROR(__xludf.DUMMYFUNCTION("""COMPUTED_VALUE"""),"SettlementAmount")</f>
        <v>SettlementAmount</v>
      </c>
      <c r="AI5" s="28" t="str">
        <f ca="1">IFERROR(__xludf.DUMMYFUNCTION("""COMPUTED_VALUE"""),"SettlementFXOperator")</f>
        <v>SettlementFXOperator</v>
      </c>
      <c r="AJ5" s="28" t="str">
        <f ca="1">IFERROR(__xludf.DUMMYFUNCTION("""COMPUTED_VALUE"""),"SettleByBroker")</f>
        <v>SettleByBroker</v>
      </c>
      <c r="AK5" s="28" t="str">
        <f ca="1">IFERROR(__xludf.DUMMYFUNCTION("""COMPUTED_VALUE"""),"Account")</f>
        <v>Account</v>
      </c>
      <c r="AL5" s="28" t="str">
        <f ca="1">IFERROR(__xludf.DUMMYFUNCTION("""COMPUTED_VALUE"""),"Account %")</f>
        <v>Account %</v>
      </c>
      <c r="AM5" s="28" t="str">
        <f ca="1">IFERROR(__xludf.DUMMYFUNCTION("""COMPUTED_VALUE"""),"Deal In")</f>
        <v>Deal In</v>
      </c>
      <c r="AN5" s="28" t="str">
        <f ca="1">IFERROR(__xludf.DUMMYFUNCTION("""COMPUTED_VALUE"""),"")</f>
        <v/>
      </c>
      <c r="AO5" s="28" t="str">
        <f ca="1">IFERROR(__xludf.DUMMYFUNCTION("""COMPUTED_VALUE"""),"")</f>
        <v/>
      </c>
      <c r="AP5" s="28" t="str">
        <f ca="1">IFERROR(__xludf.DUMMYFUNCTION("""COMPUTED_VALUE"""),"")</f>
        <v/>
      </c>
      <c r="AQ5" s="28" t="str">
        <f ca="1">IFERROR(__xludf.DUMMYFUNCTION("""COMPUTED_VALUE"""),"")</f>
        <v/>
      </c>
      <c r="AR5" s="28" t="str">
        <f ca="1">IFERROR(__xludf.DUMMYFUNCTION("""COMPUTED_VALUE"""),"")</f>
        <v/>
      </c>
      <c r="AS5" s="28" t="str">
        <f ca="1">IFERROR(__xludf.DUMMYFUNCTION("""COMPUTED_VALUE"""),"")</f>
        <v/>
      </c>
      <c r="AT5" s="28" t="str">
        <f ca="1">IFERROR(__xludf.DUMMYFUNCTION("""COMPUTED_VALUE"""),"")</f>
        <v/>
      </c>
      <c r="AU5" s="28" t="str">
        <f ca="1">IFERROR(__xludf.DUMMYFUNCTION("""COMPUTED_VALUE"""),"")</f>
        <v/>
      </c>
      <c r="AV5" s="28" t="str">
        <f ca="1">IFERROR(__xludf.DUMMYFUNCTION("""COMPUTED_VALUE"""),"")</f>
        <v/>
      </c>
      <c r="AW5" s="28" t="str">
        <f ca="1">IFERROR(__xludf.DUMMYFUNCTION("""COMPUTED_VALUE"""),"")</f>
        <v/>
      </c>
      <c r="AX5" s="28" t="str">
        <f ca="1">IFERROR(__xludf.DUMMYFUNCTION("""COMPUTED_VALUE"""),"")</f>
        <v/>
      </c>
      <c r="AY5" s="28" t="str">
        <f ca="1">IFERROR(__xludf.DUMMYFUNCTION("""COMPUTED_VALUE"""),"")</f>
        <v/>
      </c>
      <c r="AZ5" s="28" t="str">
        <f ca="1">IFERROR(__xludf.DUMMYFUNCTION("""COMPUTED_VALUE"""),"")</f>
        <v/>
      </c>
      <c r="BA5" s="28" t="str">
        <f ca="1">IFERROR(__xludf.DUMMYFUNCTION("""COMPUTED_VALUE"""),"")</f>
        <v/>
      </c>
      <c r="BB5" s="28" t="str">
        <f ca="1">IFERROR(__xludf.DUMMYFUNCTION("""COMPUTED_VALUE"""),"")</f>
        <v/>
      </c>
      <c r="BC5" s="28" t="str">
        <f ca="1">IFERROR(__xludf.DUMMYFUNCTION("""COMPUTED_VALUE"""),"")</f>
        <v/>
      </c>
      <c r="BD5" s="28" t="str">
        <f ca="1">IFERROR(__xludf.DUMMYFUNCTION("""COMPUTED_VALUE"""),"")</f>
        <v/>
      </c>
      <c r="BE5" s="28" t="str">
        <f ca="1">IFERROR(__xludf.DUMMYFUNCTION("""COMPUTED_VALUE"""),"")</f>
        <v/>
      </c>
      <c r="BF5" s="28" t="str">
        <f ca="1">IFERROR(__xludf.DUMMYFUNCTION("""COMPUTED_VALUE"""),"")</f>
        <v/>
      </c>
      <c r="BG5" s="28" t="str">
        <f ca="1">IFERROR(__xludf.DUMMYFUNCTION("""COMPUTED_VALUE"""),"")</f>
        <v/>
      </c>
      <c r="BH5" s="28" t="str">
        <f ca="1">IFERROR(__xludf.DUMMYFUNCTION("""COMPUTED_VALUE"""),"")</f>
        <v/>
      </c>
      <c r="BI5" s="28" t="str">
        <f ca="1">IFERROR(__xludf.DUMMYFUNCTION("""COMPUTED_VALUE"""),"")</f>
        <v/>
      </c>
      <c r="BJ5" s="28" t="str">
        <f ca="1">IFERROR(__xludf.DUMMYFUNCTION("""COMPUTED_VALUE"""),"")</f>
        <v/>
      </c>
      <c r="BK5" s="28" t="str">
        <f ca="1">IFERROR(__xludf.DUMMYFUNCTION("""COMPUTED_VALUE"""),"")</f>
        <v/>
      </c>
      <c r="BL5" s="28" t="str">
        <f ca="1">IFERROR(__xludf.DUMMYFUNCTION("""COMPUTED_VALUE"""),"")</f>
        <v/>
      </c>
      <c r="BM5" s="28" t="str">
        <f ca="1">IFERROR(__xludf.DUMMYFUNCTION("""COMPUTED_VALUE"""),"")</f>
        <v/>
      </c>
      <c r="BN5" s="28" t="str">
        <f ca="1">IFERROR(__xludf.DUMMYFUNCTION("""COMPUTED_VALUE"""),"")</f>
        <v/>
      </c>
      <c r="BO5" s="28" t="str">
        <f ca="1">IFERROR(__xludf.DUMMYFUNCTION("""COMPUTED_VALUE"""),"")</f>
        <v/>
      </c>
      <c r="BP5" s="28" t="str">
        <f ca="1">IFERROR(__xludf.DUMMYFUNCTION("""COMPUTED_VALUE"""),"")</f>
        <v/>
      </c>
      <c r="BQ5" s="28" t="str">
        <f ca="1">IFERROR(__xludf.DUMMYFUNCTION("""COMPUTED_VALUE"""),"")</f>
        <v/>
      </c>
      <c r="BR5" s="28" t="str">
        <f ca="1">IFERROR(__xludf.DUMMYFUNCTION("""COMPUTED_VALUE"""),"")</f>
        <v/>
      </c>
      <c r="BS5" s="28" t="str">
        <f ca="1">IFERROR(__xludf.DUMMYFUNCTION("""COMPUTED_VALUE"""),"")</f>
        <v/>
      </c>
      <c r="BT5" s="28" t="str">
        <f ca="1">IFERROR(__xludf.DUMMYFUNCTION("""COMPUTED_VALUE"""),"")</f>
        <v/>
      </c>
      <c r="BU5" s="28" t="str">
        <f ca="1">IFERROR(__xludf.DUMMYFUNCTION("""COMPUTED_VALUE"""),"")</f>
        <v/>
      </c>
      <c r="BV5" s="28" t="str">
        <f ca="1">IFERROR(__xludf.DUMMYFUNCTION("""COMPUTED_VALUE"""),"")</f>
        <v/>
      </c>
      <c r="BW5" s="28" t="str">
        <f ca="1">IFERROR(__xludf.DUMMYFUNCTION("""COMPUTED_VALUE"""),"")</f>
        <v/>
      </c>
      <c r="BX5" s="28" t="str">
        <f ca="1">IFERROR(__xludf.DUMMYFUNCTION("""COMPUTED_VALUE"""),"")</f>
        <v/>
      </c>
      <c r="BY5" s="28" t="str">
        <f ca="1">IFERROR(__xludf.DUMMYFUNCTION("""COMPUTED_VALUE"""),"")</f>
        <v/>
      </c>
      <c r="BZ5" s="28" t="str">
        <f ca="1">IFERROR(__xludf.DUMMYFUNCTION("""COMPUTED_VALUE"""),"")</f>
        <v/>
      </c>
      <c r="CA5" s="28" t="str">
        <f ca="1">IFERROR(__xludf.DUMMYFUNCTION("""COMPUTED_VALUE"""),"")</f>
        <v/>
      </c>
      <c r="CB5" s="28" t="str">
        <f ca="1">IFERROR(__xludf.DUMMYFUNCTION("""COMPUTED_VALUE"""),"")</f>
        <v/>
      </c>
      <c r="CC5" s="28" t="str">
        <f ca="1">IFERROR(__xludf.DUMMYFUNCTION("""COMPUTED_VALUE"""),"")</f>
        <v/>
      </c>
      <c r="CD5" s="28" t="str">
        <f ca="1">IFERROR(__xludf.DUMMYFUNCTION("""COMPUTED_VALUE"""),"")</f>
        <v/>
      </c>
      <c r="CE5" s="28" t="str">
        <f ca="1">IFERROR(__xludf.DUMMYFUNCTION("""COMPUTED_VALUE"""),"")</f>
        <v/>
      </c>
      <c r="CF5" s="28" t="str">
        <f ca="1">IFERROR(__xludf.DUMMYFUNCTION("""COMPUTED_VALUE"""),"")</f>
        <v/>
      </c>
      <c r="CG5" s="28" t="str">
        <f ca="1">IFERROR(__xludf.DUMMYFUNCTION("""COMPUTED_VALUE"""),"")</f>
        <v/>
      </c>
      <c r="CH5" s="28" t="str">
        <f ca="1">IFERROR(__xludf.DUMMYFUNCTION("""COMPUTED_VALUE"""),"")</f>
        <v/>
      </c>
      <c r="CI5" s="28" t="str">
        <f ca="1">IFERROR(__xludf.DUMMYFUNCTION("""COMPUTED_VALUE"""),"")</f>
        <v/>
      </c>
      <c r="CJ5" s="28" t="str">
        <f ca="1">IFERROR(__xludf.DUMMYFUNCTION("""COMPUTED_VALUE"""),"")</f>
        <v/>
      </c>
      <c r="CK5" s="28" t="str">
        <f ca="1">IFERROR(__xludf.DUMMYFUNCTION("""COMPUTED_VALUE"""),"")</f>
        <v/>
      </c>
      <c r="CL5" s="28" t="str">
        <f ca="1">IFERROR(__xludf.DUMMYFUNCTION("""COMPUTED_VALUE"""),"")</f>
        <v/>
      </c>
      <c r="CM5" s="28" t="str">
        <f ca="1">IFERROR(__xludf.DUMMYFUNCTION("""COMPUTED_VALUE"""),"")</f>
        <v/>
      </c>
      <c r="CN5" s="28" t="str">
        <f ca="1">IFERROR(__xludf.DUMMYFUNCTION("""COMPUTED_VALUE"""),"")</f>
        <v/>
      </c>
      <c r="CO5" s="28" t="str">
        <f ca="1">IFERROR(__xludf.DUMMYFUNCTION("""COMPUTED_VALUE"""),"")</f>
        <v/>
      </c>
      <c r="CP5" s="28" t="str">
        <f ca="1">IFERROR(__xludf.DUMMYFUNCTION("""COMPUTED_VALUE"""),"")</f>
        <v/>
      </c>
      <c r="CQ5" s="28" t="str">
        <f ca="1">IFERROR(__xludf.DUMMYFUNCTION("""COMPUTED_VALUE"""),"")</f>
        <v/>
      </c>
      <c r="CR5" s="28" t="str">
        <f ca="1">IFERROR(__xludf.DUMMYFUNCTION("""COMPUTED_VALUE"""),"")</f>
        <v/>
      </c>
      <c r="CS5" s="28" t="str">
        <f ca="1">IFERROR(__xludf.DUMMYFUNCTION("""COMPUTED_VALUE"""),"")</f>
        <v/>
      </c>
      <c r="CT5" s="28" t="str">
        <f ca="1">IFERROR(__xludf.DUMMYFUNCTION("""COMPUTED_VALUE"""),"")</f>
        <v/>
      </c>
      <c r="CU5" s="28" t="str">
        <f ca="1">IFERROR(__xludf.DUMMYFUNCTION("""COMPUTED_VALUE"""),"")</f>
        <v/>
      </c>
      <c r="CV5" s="28" t="str">
        <f ca="1">IFERROR(__xludf.DUMMYFUNCTION("""COMPUTED_VALUE"""),"")</f>
        <v/>
      </c>
      <c r="CW5" s="28" t="str">
        <f ca="1">IFERROR(__xludf.DUMMYFUNCTION("""COMPUTED_VALUE"""),"")</f>
        <v/>
      </c>
      <c r="CX5" s="28" t="str">
        <f ca="1">IFERROR(__xludf.DUMMYFUNCTION("""COMPUTED_VALUE"""),"")</f>
        <v/>
      </c>
      <c r="CY5" s="28" t="str">
        <f ca="1">IFERROR(__xludf.DUMMYFUNCTION("""COMPUTED_VALUE"""),"")</f>
        <v/>
      </c>
      <c r="CZ5" s="28" t="str">
        <f ca="1">IFERROR(__xludf.DUMMYFUNCTION("""COMPUTED_VALUE"""),"")</f>
        <v/>
      </c>
      <c r="DA5" s="28" t="str">
        <f ca="1">IFERROR(__xludf.DUMMYFUNCTION("""COMPUTED_VALUE"""),"")</f>
        <v/>
      </c>
      <c r="DB5" s="28" t="str">
        <f ca="1">IFERROR(__xludf.DUMMYFUNCTION("""COMPUTED_VALUE"""),"")</f>
        <v/>
      </c>
      <c r="DC5" s="28" t="str">
        <f ca="1">IFERROR(__xludf.DUMMYFUNCTION("""COMPUTED_VALUE"""),"")</f>
        <v/>
      </c>
      <c r="DD5" s="28" t="str">
        <f ca="1">IFERROR(__xludf.DUMMYFUNCTION("""COMPUTED_VALUE"""),"")</f>
        <v/>
      </c>
      <c r="DE5" s="28" t="str">
        <f ca="1">IFERROR(__xludf.DUMMYFUNCTION("""COMPUTED_VALUE"""),"")</f>
        <v/>
      </c>
      <c r="DF5" s="28" t="str">
        <f ca="1">IFERROR(__xludf.DUMMYFUNCTION("""COMPUTED_VALUE"""),"")</f>
        <v/>
      </c>
      <c r="DG5" s="28" t="str">
        <f ca="1">IFERROR(__xludf.DUMMYFUNCTION("""COMPUTED_VALUE"""),"")</f>
        <v/>
      </c>
      <c r="DH5" s="28" t="str">
        <f ca="1">IFERROR(__xludf.DUMMYFUNCTION("""COMPUTED_VALUE"""),"")</f>
        <v/>
      </c>
      <c r="DI5" s="28" t="str">
        <f ca="1">IFERROR(__xludf.DUMMYFUNCTION("""COMPUTED_VALUE"""),"")</f>
        <v/>
      </c>
      <c r="DJ5" s="28" t="str">
        <f ca="1">IFERROR(__xludf.DUMMYFUNCTION("""COMPUTED_VALUE"""),"")</f>
        <v/>
      </c>
      <c r="DK5" s="28" t="str">
        <f ca="1">IFERROR(__xludf.DUMMYFUNCTION("""COMPUTED_VALUE"""),"")</f>
        <v/>
      </c>
      <c r="DL5" s="28" t="str">
        <f ca="1">IFERROR(__xludf.DUMMYFUNCTION("""COMPUTED_VALUE"""),"")</f>
        <v/>
      </c>
      <c r="DM5" s="28" t="str">
        <f ca="1">IFERROR(__xludf.DUMMYFUNCTION("""COMPUTED_VALUE"""),"")</f>
        <v/>
      </c>
      <c r="DN5" s="28" t="str">
        <f ca="1">IFERROR(__xludf.DUMMYFUNCTION("""COMPUTED_VALUE"""),"")</f>
        <v/>
      </c>
      <c r="DO5" s="28" t="str">
        <f ca="1">IFERROR(__xludf.DUMMYFUNCTION("""COMPUTED_VALUE"""),"")</f>
        <v/>
      </c>
      <c r="DP5" s="28" t="str">
        <f ca="1">IFERROR(__xludf.DUMMYFUNCTION("""COMPUTED_VALUE"""),"")</f>
        <v/>
      </c>
      <c r="DQ5" s="28" t="str">
        <f ca="1">IFERROR(__xludf.DUMMYFUNCTION("""COMPUTED_VALUE"""),"")</f>
        <v/>
      </c>
      <c r="DR5" s="28" t="str">
        <f ca="1">IFERROR(__xludf.DUMMYFUNCTION("""COMPUTED_VALUE"""),"")</f>
        <v/>
      </c>
      <c r="DS5" s="28" t="str">
        <f ca="1">IFERROR(__xludf.DUMMYFUNCTION("""COMPUTED_VALUE"""),"")</f>
        <v/>
      </c>
      <c r="DT5" s="28" t="str">
        <f ca="1">IFERROR(__xludf.DUMMYFUNCTION("""COMPUTED_VALUE"""),"")</f>
        <v/>
      </c>
      <c r="DU5" s="28" t="str">
        <f ca="1">IFERROR(__xludf.DUMMYFUNCTION("""COMPUTED_VALUE"""),"")</f>
        <v/>
      </c>
      <c r="DV5" s="28" t="str">
        <f ca="1">IFERROR(__xludf.DUMMYFUNCTION("""COMPUTED_VALUE"""),"")</f>
        <v/>
      </c>
      <c r="DW5" s="28" t="str">
        <f ca="1">IFERROR(__xludf.DUMMYFUNCTION("""COMPUTED_VALUE"""),"")</f>
        <v/>
      </c>
      <c r="DX5" s="28" t="str">
        <f ca="1">IFERROR(__xludf.DUMMYFUNCTION("""COMPUTED_VALUE"""),"")</f>
        <v/>
      </c>
      <c r="DY5" s="28" t="str">
        <f ca="1">IFERROR(__xludf.DUMMYFUNCTION("""COMPUTED_VALUE"""),"")</f>
        <v/>
      </c>
      <c r="DZ5" s="28" t="str">
        <f ca="1">IFERROR(__xludf.DUMMYFUNCTION("""COMPUTED_VALUE"""),"")</f>
        <v/>
      </c>
      <c r="EA5" s="28" t="str">
        <f ca="1">IFERROR(__xludf.DUMMYFUNCTION("""COMPUTED_VALUE"""),"")</f>
        <v/>
      </c>
      <c r="EB5" s="28" t="str">
        <f ca="1">IFERROR(__xludf.DUMMYFUNCTION("""COMPUTED_VALUE"""),"")</f>
        <v/>
      </c>
      <c r="EC5" s="28" t="str">
        <f ca="1">IFERROR(__xludf.DUMMYFUNCTION("""COMPUTED_VALUE"""),"")</f>
        <v/>
      </c>
      <c r="ED5" s="28" t="str">
        <f ca="1">IFERROR(__xludf.DUMMYFUNCTION("""COMPUTED_VALUE"""),"")</f>
        <v/>
      </c>
      <c r="EE5" s="28" t="str">
        <f ca="1">IFERROR(__xludf.DUMMYFUNCTION("""COMPUTED_VALUE"""),"")</f>
        <v/>
      </c>
      <c r="EF5" s="28" t="str">
        <f ca="1">IFERROR(__xludf.DUMMYFUNCTION("""COMPUTED_VALUE"""),"")</f>
        <v/>
      </c>
      <c r="EG5" s="28" t="str">
        <f ca="1">IFERROR(__xludf.DUMMYFUNCTION("""COMPUTED_VALUE"""),"")</f>
        <v/>
      </c>
      <c r="EH5" s="28" t="str">
        <f ca="1">IFERROR(__xludf.DUMMYFUNCTION("""COMPUTED_VALUE"""),"")</f>
        <v/>
      </c>
      <c r="EI5" s="28" t="str">
        <f ca="1">IFERROR(__xludf.DUMMYFUNCTION("""COMPUTED_VALUE"""),"")</f>
        <v/>
      </c>
      <c r="EJ5" s="28" t="str">
        <f ca="1">IFERROR(__xludf.DUMMYFUNCTION("""COMPUTED_VALUE"""),"")</f>
        <v/>
      </c>
      <c r="EK5" s="28" t="str">
        <f ca="1">IFERROR(__xludf.DUMMYFUNCTION("""COMPUTED_VALUE"""),"")</f>
        <v/>
      </c>
      <c r="EL5" s="28" t="str">
        <f ca="1">IFERROR(__xludf.DUMMYFUNCTION("""COMPUTED_VALUE"""),"")</f>
        <v/>
      </c>
      <c r="EM5" s="28" t="str">
        <f ca="1">IFERROR(__xludf.DUMMYFUNCTION("""COMPUTED_VALUE"""),"")</f>
        <v/>
      </c>
      <c r="EN5" s="28" t="str">
        <f ca="1">IFERROR(__xludf.DUMMYFUNCTION("""COMPUTED_VALUE"""),"")</f>
        <v/>
      </c>
      <c r="EO5" s="28" t="str">
        <f ca="1">IFERROR(__xludf.DUMMYFUNCTION("""COMPUTED_VALUE"""),"")</f>
        <v/>
      </c>
      <c r="EP5" s="28" t="str">
        <f ca="1">IFERROR(__xludf.DUMMYFUNCTION("""COMPUTED_VALUE"""),"")</f>
        <v/>
      </c>
      <c r="EQ5" s="28" t="str">
        <f ca="1">IFERROR(__xludf.DUMMYFUNCTION("""COMPUTED_VALUE"""),"")</f>
        <v/>
      </c>
      <c r="ER5" s="28" t="str">
        <f ca="1">IFERROR(__xludf.DUMMYFUNCTION("""COMPUTED_VALUE"""),"")</f>
        <v/>
      </c>
      <c r="ES5" s="28" t="str">
        <f ca="1">IFERROR(__xludf.DUMMYFUNCTION("""COMPUTED_VALUE"""),"")</f>
        <v/>
      </c>
      <c r="ET5" s="28" t="str">
        <f ca="1">IFERROR(__xludf.DUMMYFUNCTION("""COMPUTED_VALUE"""),"")</f>
        <v/>
      </c>
      <c r="EU5" s="28" t="str">
        <f ca="1">IFERROR(__xludf.DUMMYFUNCTION("""COMPUTED_VALUE"""),"")</f>
        <v/>
      </c>
      <c r="EV5" s="28" t="str">
        <f ca="1">IFERROR(__xludf.DUMMYFUNCTION("""COMPUTED_VALUE"""),"")</f>
        <v/>
      </c>
      <c r="EW5" s="28" t="str">
        <f ca="1">IFERROR(__xludf.DUMMYFUNCTION("""COMPUTED_VALUE"""),"")</f>
        <v/>
      </c>
      <c r="EX5" s="28" t="str">
        <f ca="1">IFERROR(__xludf.DUMMYFUNCTION("""COMPUTED_VALUE"""),"")</f>
        <v/>
      </c>
    </row>
    <row r="6" spans="1:154" ht="15.75" customHeight="1" x14ac:dyDescent="0.2">
      <c r="A6" s="5"/>
      <c r="B6" s="29" t="s">
        <v>16</v>
      </c>
      <c r="C6" s="30" t="s">
        <v>17</v>
      </c>
      <c r="D6" s="31">
        <v>120</v>
      </c>
      <c r="E6" s="32"/>
      <c r="F6" s="30" t="s">
        <v>18</v>
      </c>
      <c r="G6" s="32"/>
      <c r="H6" s="32"/>
      <c r="I6" s="33" t="s">
        <v>19</v>
      </c>
      <c r="J6" s="34">
        <v>12</v>
      </c>
      <c r="K6" s="32"/>
      <c r="L6" s="32"/>
      <c r="M6" s="32"/>
      <c r="N6" s="35">
        <v>42786</v>
      </c>
      <c r="O6" s="2"/>
    </row>
    <row r="7" spans="1:154" ht="15.75" customHeight="1" x14ac:dyDescent="0.2">
      <c r="A7" s="2"/>
      <c r="B7" s="29" t="s">
        <v>16</v>
      </c>
      <c r="C7" s="30" t="s">
        <v>20</v>
      </c>
      <c r="D7" s="36">
        <v>100</v>
      </c>
      <c r="E7" s="32"/>
      <c r="F7" s="30" t="s">
        <v>18</v>
      </c>
      <c r="G7" s="32"/>
      <c r="H7" s="32"/>
      <c r="I7" s="33" t="s">
        <v>19</v>
      </c>
      <c r="J7" s="34">
        <v>12</v>
      </c>
      <c r="K7" s="32"/>
      <c r="L7" s="32"/>
      <c r="M7" s="32"/>
      <c r="N7" s="35">
        <v>42788</v>
      </c>
      <c r="O7" s="2"/>
    </row>
    <row r="8" spans="1:154" ht="15.75" customHeight="1" x14ac:dyDescent="0.2">
      <c r="A8" s="2"/>
      <c r="B8" s="29" t="s">
        <v>16</v>
      </c>
      <c r="C8" s="30" t="s">
        <v>17</v>
      </c>
      <c r="D8" s="34">
        <v>120</v>
      </c>
      <c r="E8" s="32"/>
      <c r="F8" s="30" t="s">
        <v>18</v>
      </c>
      <c r="G8" s="32"/>
      <c r="H8" s="32"/>
      <c r="I8" s="33" t="s">
        <v>19</v>
      </c>
      <c r="J8" s="34">
        <v>13</v>
      </c>
      <c r="K8" s="32"/>
      <c r="L8" s="32"/>
      <c r="M8" s="32"/>
      <c r="N8" s="35">
        <v>42787</v>
      </c>
      <c r="O8" s="2"/>
    </row>
    <row r="9" spans="1:154" ht="15.75" customHeight="1" x14ac:dyDescent="0.2">
      <c r="A9" s="2"/>
      <c r="B9" s="29" t="s">
        <v>16</v>
      </c>
      <c r="C9" s="30" t="s">
        <v>17</v>
      </c>
      <c r="D9" s="34">
        <v>120</v>
      </c>
      <c r="E9" s="32"/>
      <c r="F9" s="30" t="s">
        <v>18</v>
      </c>
      <c r="G9" s="32"/>
      <c r="H9" s="32"/>
      <c r="I9" s="33" t="s">
        <v>19</v>
      </c>
      <c r="J9" s="34">
        <v>15</v>
      </c>
      <c r="K9" s="32"/>
      <c r="L9" s="32"/>
      <c r="M9" s="32"/>
      <c r="N9" s="35">
        <v>42788</v>
      </c>
      <c r="O9" s="2"/>
    </row>
    <row r="10" spans="1:154" ht="15.75" customHeight="1" x14ac:dyDescent="0.2">
      <c r="A10" s="2"/>
      <c r="B10" s="29" t="s">
        <v>16</v>
      </c>
      <c r="C10" s="29" t="s">
        <v>20</v>
      </c>
      <c r="D10" s="36">
        <v>100</v>
      </c>
      <c r="E10" s="32"/>
      <c r="F10" s="29" t="s">
        <v>18</v>
      </c>
      <c r="G10" s="32"/>
      <c r="H10" s="32"/>
      <c r="I10" s="33" t="s">
        <v>19</v>
      </c>
      <c r="J10" s="36">
        <v>12</v>
      </c>
      <c r="K10" s="32"/>
      <c r="L10" s="32"/>
      <c r="M10" s="30"/>
      <c r="N10" s="37">
        <v>42786</v>
      </c>
      <c r="O10" s="2"/>
    </row>
    <row r="11" spans="1:154" ht="15.75" customHeight="1" x14ac:dyDescent="0.2">
      <c r="A11" s="2"/>
      <c r="B11" s="30"/>
      <c r="C11" s="30"/>
      <c r="D11" s="34"/>
      <c r="E11" s="32"/>
      <c r="F11" s="30"/>
      <c r="G11" s="32"/>
      <c r="H11" s="32"/>
      <c r="I11" s="32"/>
      <c r="J11" s="34"/>
      <c r="K11" s="32"/>
      <c r="L11" s="32"/>
      <c r="M11" s="30"/>
      <c r="N11" s="16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6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6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6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6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6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6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16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16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6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16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16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6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6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16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6"/>
      <c r="O26" s="2"/>
    </row>
    <row r="27" spans="1:15" ht="15.75" customHeight="1" x14ac:dyDescent="0.2">
      <c r="N27" s="38"/>
    </row>
    <row r="28" spans="1:15" ht="15.75" customHeight="1" x14ac:dyDescent="0.2">
      <c r="N28" s="38"/>
    </row>
    <row r="29" spans="1:15" ht="15.75" customHeight="1" x14ac:dyDescent="0.2">
      <c r="N29" s="38"/>
    </row>
    <row r="30" spans="1:15" ht="15.75" customHeight="1" x14ac:dyDescent="0.2">
      <c r="N30" s="38"/>
    </row>
    <row r="31" spans="1:15" ht="15.75" customHeight="1" x14ac:dyDescent="0.2">
      <c r="N31" s="38"/>
    </row>
    <row r="32" spans="1:15" ht="15.75" customHeight="1" x14ac:dyDescent="0.2">
      <c r="N32" s="38"/>
    </row>
    <row r="33" spans="14:14" ht="15.75" customHeight="1" x14ac:dyDescent="0.2">
      <c r="N33" s="38"/>
    </row>
    <row r="34" spans="14:14" ht="15.75" customHeight="1" x14ac:dyDescent="0.2">
      <c r="N34" s="38"/>
    </row>
    <row r="35" spans="14:14" ht="15.75" customHeight="1" x14ac:dyDescent="0.2">
      <c r="N35" s="38"/>
    </row>
    <row r="36" spans="14:14" ht="15.75" customHeight="1" x14ac:dyDescent="0.2">
      <c r="N36" s="38"/>
    </row>
    <row r="37" spans="14:14" ht="15.75" customHeight="1" x14ac:dyDescent="0.2">
      <c r="N37" s="38"/>
    </row>
    <row r="38" spans="14:14" ht="15.75" customHeight="1" x14ac:dyDescent="0.2">
      <c r="N38" s="38"/>
    </row>
    <row r="39" spans="14:14" ht="15.75" customHeight="1" x14ac:dyDescent="0.2">
      <c r="N39" s="38"/>
    </row>
    <row r="40" spans="14:14" ht="15.75" customHeight="1" x14ac:dyDescent="0.2">
      <c r="N40" s="38"/>
    </row>
    <row r="41" spans="14:14" ht="15.75" customHeight="1" x14ac:dyDescent="0.2">
      <c r="N41" s="38"/>
    </row>
    <row r="42" spans="14:14" ht="15.75" customHeight="1" x14ac:dyDescent="0.2">
      <c r="N42" s="38"/>
    </row>
    <row r="43" spans="14:14" ht="15.75" customHeight="1" x14ac:dyDescent="0.2">
      <c r="N43" s="38"/>
    </row>
    <row r="44" spans="14:14" ht="15.75" customHeight="1" x14ac:dyDescent="0.2">
      <c r="N44" s="38"/>
    </row>
    <row r="45" spans="14:14" ht="15.75" customHeight="1" x14ac:dyDescent="0.2">
      <c r="N45" s="38"/>
    </row>
    <row r="46" spans="14:14" ht="15.75" customHeight="1" x14ac:dyDescent="0.2">
      <c r="N46" s="38"/>
    </row>
    <row r="47" spans="14:14" ht="15.75" customHeight="1" x14ac:dyDescent="0.2">
      <c r="N47" s="38"/>
    </row>
    <row r="48" spans="14:14" ht="15.75" customHeight="1" x14ac:dyDescent="0.2">
      <c r="N48" s="38"/>
    </row>
    <row r="49" spans="14:14" ht="15.75" customHeight="1" x14ac:dyDescent="0.2">
      <c r="N49" s="38"/>
    </row>
    <row r="50" spans="14:14" ht="15.75" customHeight="1" x14ac:dyDescent="0.2">
      <c r="N50" s="38"/>
    </row>
    <row r="51" spans="14:14" ht="15.75" customHeight="1" x14ac:dyDescent="0.2">
      <c r="N51" s="38"/>
    </row>
    <row r="52" spans="14:14" ht="15.75" customHeight="1" x14ac:dyDescent="0.2">
      <c r="N52" s="38"/>
    </row>
    <row r="53" spans="14:14" ht="15.75" customHeight="1" x14ac:dyDescent="0.2">
      <c r="N53" s="38"/>
    </row>
    <row r="54" spans="14:14" ht="15.75" customHeight="1" x14ac:dyDescent="0.2">
      <c r="N54" s="38"/>
    </row>
    <row r="55" spans="14:14" ht="15.75" customHeight="1" x14ac:dyDescent="0.2">
      <c r="N55" s="38"/>
    </row>
    <row r="56" spans="14:14" ht="15.75" customHeight="1" x14ac:dyDescent="0.2">
      <c r="N56" s="38"/>
    </row>
    <row r="57" spans="14:14" ht="15.75" customHeight="1" x14ac:dyDescent="0.2">
      <c r="N57" s="38"/>
    </row>
    <row r="58" spans="14:14" ht="15.75" customHeight="1" x14ac:dyDescent="0.2">
      <c r="N58" s="38"/>
    </row>
    <row r="59" spans="14:14" ht="15.75" customHeight="1" x14ac:dyDescent="0.2">
      <c r="N59" s="38"/>
    </row>
    <row r="60" spans="14:14" ht="15.75" customHeight="1" x14ac:dyDescent="0.2">
      <c r="N60" s="38"/>
    </row>
    <row r="61" spans="14:14" ht="15.75" customHeight="1" x14ac:dyDescent="0.2">
      <c r="N61" s="38"/>
    </row>
    <row r="62" spans="14:14" ht="15.75" customHeight="1" x14ac:dyDescent="0.2">
      <c r="N62" s="38"/>
    </row>
    <row r="63" spans="14:14" ht="15.75" customHeight="1" x14ac:dyDescent="0.2">
      <c r="N63" s="38"/>
    </row>
    <row r="64" spans="14:14" ht="15.75" customHeight="1" x14ac:dyDescent="0.2">
      <c r="N64" s="38"/>
    </row>
    <row r="65" spans="14:14" ht="15.75" customHeight="1" x14ac:dyDescent="0.2">
      <c r="N65" s="38"/>
    </row>
    <row r="66" spans="14:14" ht="15.75" customHeight="1" x14ac:dyDescent="0.2">
      <c r="N66" s="38"/>
    </row>
    <row r="67" spans="14:14" ht="15.75" customHeight="1" x14ac:dyDescent="0.2">
      <c r="N67" s="38"/>
    </row>
    <row r="68" spans="14:14" ht="15.75" customHeight="1" x14ac:dyDescent="0.2">
      <c r="N68" s="38"/>
    </row>
    <row r="69" spans="14:14" ht="15.75" customHeight="1" x14ac:dyDescent="0.2">
      <c r="N69" s="38"/>
    </row>
    <row r="70" spans="14:14" ht="15.75" customHeight="1" x14ac:dyDescent="0.2">
      <c r="N70" s="38"/>
    </row>
    <row r="71" spans="14:14" ht="15.75" customHeight="1" x14ac:dyDescent="0.2">
      <c r="N71" s="38"/>
    </row>
    <row r="72" spans="14:14" ht="15.75" customHeight="1" x14ac:dyDescent="0.2">
      <c r="N72" s="38"/>
    </row>
    <row r="73" spans="14:14" ht="15.75" customHeight="1" x14ac:dyDescent="0.2">
      <c r="N73" s="38"/>
    </row>
    <row r="74" spans="14:14" ht="15.75" customHeight="1" x14ac:dyDescent="0.2">
      <c r="N74" s="38"/>
    </row>
    <row r="75" spans="14:14" ht="15.75" customHeight="1" x14ac:dyDescent="0.2">
      <c r="N75" s="38"/>
    </row>
    <row r="76" spans="14:14" ht="15.75" customHeight="1" x14ac:dyDescent="0.2">
      <c r="N76" s="38"/>
    </row>
    <row r="77" spans="14:14" ht="15.75" customHeight="1" x14ac:dyDescent="0.2">
      <c r="N77" s="38"/>
    </row>
    <row r="78" spans="14:14" ht="15.75" customHeight="1" x14ac:dyDescent="0.2">
      <c r="N78" s="38"/>
    </row>
    <row r="79" spans="14:14" ht="15.75" customHeight="1" x14ac:dyDescent="0.2">
      <c r="N79" s="38"/>
    </row>
    <row r="80" spans="14:14" ht="15.75" customHeight="1" x14ac:dyDescent="0.2">
      <c r="N80" s="38"/>
    </row>
    <row r="81" spans="14:14" ht="15.75" customHeight="1" x14ac:dyDescent="0.2">
      <c r="N81" s="38"/>
    </row>
    <row r="82" spans="14:14" ht="15.75" customHeight="1" x14ac:dyDescent="0.2">
      <c r="N82" s="38"/>
    </row>
    <row r="83" spans="14:14" ht="15.75" customHeight="1" x14ac:dyDescent="0.2">
      <c r="N83" s="38"/>
    </row>
    <row r="84" spans="14:14" ht="15.75" customHeight="1" x14ac:dyDescent="0.2">
      <c r="N84" s="38"/>
    </row>
    <row r="85" spans="14:14" ht="15.75" customHeight="1" x14ac:dyDescent="0.2">
      <c r="N85" s="38"/>
    </row>
    <row r="86" spans="14:14" ht="15.75" customHeight="1" x14ac:dyDescent="0.2">
      <c r="N86" s="38"/>
    </row>
    <row r="87" spans="14:14" ht="15.75" customHeight="1" x14ac:dyDescent="0.2">
      <c r="N87" s="38"/>
    </row>
    <row r="88" spans="14:14" ht="15.75" customHeight="1" x14ac:dyDescent="0.2">
      <c r="N88" s="38"/>
    </row>
    <row r="89" spans="14:14" ht="15.75" customHeight="1" x14ac:dyDescent="0.2">
      <c r="N89" s="38"/>
    </row>
    <row r="90" spans="14:14" ht="15.75" customHeight="1" x14ac:dyDescent="0.2">
      <c r="N90" s="38"/>
    </row>
    <row r="91" spans="14:14" ht="15.75" customHeight="1" x14ac:dyDescent="0.2">
      <c r="N91" s="38"/>
    </row>
    <row r="92" spans="14:14" ht="15.75" customHeight="1" x14ac:dyDescent="0.2">
      <c r="N92" s="38"/>
    </row>
    <row r="93" spans="14:14" ht="15.75" customHeight="1" x14ac:dyDescent="0.2">
      <c r="N93" s="38"/>
    </row>
    <row r="94" spans="14:14" ht="15.75" customHeight="1" x14ac:dyDescent="0.2">
      <c r="N94" s="38"/>
    </row>
    <row r="95" spans="14:14" ht="15.75" customHeight="1" x14ac:dyDescent="0.2">
      <c r="N95" s="38"/>
    </row>
    <row r="96" spans="14:14" ht="15.75" customHeight="1" x14ac:dyDescent="0.2">
      <c r="N96" s="38"/>
    </row>
    <row r="97" spans="14:14" ht="15.75" customHeight="1" x14ac:dyDescent="0.2">
      <c r="N97" s="38"/>
    </row>
    <row r="98" spans="14:14" ht="15.75" customHeight="1" x14ac:dyDescent="0.2">
      <c r="N98" s="38"/>
    </row>
    <row r="99" spans="14:14" ht="15.75" customHeight="1" x14ac:dyDescent="0.2">
      <c r="N99" s="38"/>
    </row>
    <row r="100" spans="14:14" ht="15.75" customHeight="1" x14ac:dyDescent="0.2">
      <c r="N100" s="38"/>
    </row>
    <row r="101" spans="14:14" ht="15.75" customHeight="1" x14ac:dyDescent="0.2">
      <c r="N101" s="38"/>
    </row>
    <row r="102" spans="14:14" ht="15.75" customHeight="1" x14ac:dyDescent="0.2">
      <c r="N102" s="38"/>
    </row>
    <row r="103" spans="14:14" ht="15.75" customHeight="1" x14ac:dyDescent="0.2">
      <c r="N103" s="38"/>
    </row>
    <row r="104" spans="14:14" ht="15.75" customHeight="1" x14ac:dyDescent="0.2">
      <c r="N104" s="38"/>
    </row>
    <row r="105" spans="14:14" ht="15.75" customHeight="1" x14ac:dyDescent="0.2">
      <c r="N105" s="38"/>
    </row>
    <row r="106" spans="14:14" ht="15.75" customHeight="1" x14ac:dyDescent="0.2">
      <c r="N106" s="38"/>
    </row>
    <row r="107" spans="14:14" ht="15.75" customHeight="1" x14ac:dyDescent="0.2">
      <c r="N107" s="38"/>
    </row>
    <row r="108" spans="14:14" ht="15.75" customHeight="1" x14ac:dyDescent="0.2">
      <c r="N108" s="38"/>
    </row>
    <row r="109" spans="14:14" ht="15.75" customHeight="1" x14ac:dyDescent="0.2">
      <c r="N109" s="38"/>
    </row>
    <row r="110" spans="14:14" ht="15.75" customHeight="1" x14ac:dyDescent="0.2">
      <c r="N110" s="38"/>
    </row>
    <row r="111" spans="14:14" ht="15.75" customHeight="1" x14ac:dyDescent="0.2">
      <c r="N111" s="38"/>
    </row>
    <row r="112" spans="14:14" ht="15.75" customHeight="1" x14ac:dyDescent="0.2">
      <c r="N112" s="38"/>
    </row>
    <row r="113" spans="14:14" ht="15.75" customHeight="1" x14ac:dyDescent="0.2">
      <c r="N113" s="38"/>
    </row>
    <row r="114" spans="14:14" ht="15.75" customHeight="1" x14ac:dyDescent="0.2">
      <c r="N114" s="38"/>
    </row>
    <row r="115" spans="14:14" ht="15.75" customHeight="1" x14ac:dyDescent="0.2">
      <c r="N115" s="38"/>
    </row>
    <row r="116" spans="14:14" ht="15.75" customHeight="1" x14ac:dyDescent="0.2">
      <c r="N116" s="38"/>
    </row>
    <row r="117" spans="14:14" ht="15.75" customHeight="1" x14ac:dyDescent="0.2">
      <c r="N117" s="38"/>
    </row>
    <row r="118" spans="14:14" ht="15.75" customHeight="1" x14ac:dyDescent="0.2">
      <c r="N118" s="38"/>
    </row>
    <row r="119" spans="14:14" ht="15.75" customHeight="1" x14ac:dyDescent="0.2">
      <c r="N119" s="38"/>
    </row>
    <row r="120" spans="14:14" ht="15.75" customHeight="1" x14ac:dyDescent="0.2">
      <c r="N120" s="38"/>
    </row>
    <row r="121" spans="14:14" ht="15.75" customHeight="1" x14ac:dyDescent="0.2">
      <c r="N121" s="38"/>
    </row>
    <row r="122" spans="14:14" ht="15.75" customHeight="1" x14ac:dyDescent="0.2">
      <c r="N122" s="38"/>
    </row>
    <row r="123" spans="14:14" ht="15.75" customHeight="1" x14ac:dyDescent="0.2">
      <c r="N123" s="38"/>
    </row>
    <row r="124" spans="14:14" ht="15.75" customHeight="1" x14ac:dyDescent="0.2">
      <c r="N124" s="38"/>
    </row>
    <row r="125" spans="14:14" ht="15.75" customHeight="1" x14ac:dyDescent="0.2">
      <c r="N125" s="38"/>
    </row>
    <row r="126" spans="14:14" ht="15.75" customHeight="1" x14ac:dyDescent="0.2">
      <c r="N126" s="38"/>
    </row>
    <row r="127" spans="14:14" ht="15.75" customHeight="1" x14ac:dyDescent="0.2">
      <c r="N127" s="38"/>
    </row>
    <row r="128" spans="14:14" ht="15.75" customHeight="1" x14ac:dyDescent="0.2">
      <c r="N128" s="38"/>
    </row>
    <row r="129" spans="14:14" ht="15.75" customHeight="1" x14ac:dyDescent="0.2">
      <c r="N129" s="38"/>
    </row>
    <row r="130" spans="14:14" ht="15.75" customHeight="1" x14ac:dyDescent="0.2">
      <c r="N130" s="38"/>
    </row>
    <row r="131" spans="14:14" ht="15.75" customHeight="1" x14ac:dyDescent="0.2">
      <c r="N131" s="38"/>
    </row>
    <row r="132" spans="14:14" ht="15.75" customHeight="1" x14ac:dyDescent="0.2">
      <c r="N132" s="38"/>
    </row>
    <row r="133" spans="14:14" ht="15.75" customHeight="1" x14ac:dyDescent="0.2">
      <c r="N133" s="38"/>
    </row>
    <row r="134" spans="14:14" ht="15.75" customHeight="1" x14ac:dyDescent="0.2">
      <c r="N134" s="38"/>
    </row>
    <row r="135" spans="14:14" ht="15.75" customHeight="1" x14ac:dyDescent="0.2">
      <c r="N135" s="38"/>
    </row>
    <row r="136" spans="14:14" ht="15.75" customHeight="1" x14ac:dyDescent="0.2">
      <c r="N136" s="38"/>
    </row>
    <row r="137" spans="14:14" ht="15.75" customHeight="1" x14ac:dyDescent="0.2">
      <c r="N137" s="38"/>
    </row>
    <row r="138" spans="14:14" ht="15.75" customHeight="1" x14ac:dyDescent="0.2">
      <c r="N138" s="38"/>
    </row>
    <row r="139" spans="14:14" ht="15.75" customHeight="1" x14ac:dyDescent="0.2">
      <c r="N139" s="38"/>
    </row>
    <row r="140" spans="14:14" ht="15.75" customHeight="1" x14ac:dyDescent="0.2">
      <c r="N140" s="38"/>
    </row>
    <row r="141" spans="14:14" ht="15.75" customHeight="1" x14ac:dyDescent="0.2">
      <c r="N141" s="38"/>
    </row>
    <row r="142" spans="14:14" ht="15.75" customHeight="1" x14ac:dyDescent="0.2">
      <c r="N142" s="38"/>
    </row>
    <row r="143" spans="14:14" ht="15.75" customHeight="1" x14ac:dyDescent="0.2">
      <c r="N143" s="38"/>
    </row>
    <row r="144" spans="14:14" ht="15.75" customHeight="1" x14ac:dyDescent="0.2">
      <c r="N144" s="38"/>
    </row>
    <row r="145" spans="14:14" ht="15.75" customHeight="1" x14ac:dyDescent="0.2">
      <c r="N145" s="38"/>
    </row>
    <row r="146" spans="14:14" ht="15.75" customHeight="1" x14ac:dyDescent="0.2">
      <c r="N146" s="38"/>
    </row>
    <row r="147" spans="14:14" ht="15.75" customHeight="1" x14ac:dyDescent="0.2">
      <c r="N147" s="38"/>
    </row>
    <row r="148" spans="14:14" ht="15.75" customHeight="1" x14ac:dyDescent="0.2">
      <c r="N148" s="38"/>
    </row>
    <row r="149" spans="14:14" ht="15.75" customHeight="1" x14ac:dyDescent="0.2">
      <c r="N149" s="38"/>
    </row>
    <row r="150" spans="14:14" ht="15.75" customHeight="1" x14ac:dyDescent="0.2">
      <c r="N150" s="38"/>
    </row>
    <row r="151" spans="14:14" ht="15.75" customHeight="1" x14ac:dyDescent="0.2">
      <c r="N151" s="38"/>
    </row>
    <row r="152" spans="14:14" ht="15.75" customHeight="1" x14ac:dyDescent="0.2">
      <c r="N152" s="38"/>
    </row>
    <row r="153" spans="14:14" ht="15.75" customHeight="1" x14ac:dyDescent="0.2">
      <c r="N153" s="38"/>
    </row>
    <row r="154" spans="14:14" ht="15.75" customHeight="1" x14ac:dyDescent="0.2">
      <c r="N154" s="38"/>
    </row>
    <row r="155" spans="14:14" ht="15.75" customHeight="1" x14ac:dyDescent="0.2">
      <c r="N155" s="38"/>
    </row>
    <row r="156" spans="14:14" ht="15.75" customHeight="1" x14ac:dyDescent="0.2">
      <c r="N156" s="38"/>
    </row>
    <row r="157" spans="14:14" ht="15.75" customHeight="1" x14ac:dyDescent="0.2">
      <c r="N157" s="38"/>
    </row>
    <row r="158" spans="14:14" ht="15.75" customHeight="1" x14ac:dyDescent="0.2">
      <c r="N158" s="38"/>
    </row>
    <row r="159" spans="14:14" ht="15.75" customHeight="1" x14ac:dyDescent="0.2">
      <c r="N159" s="38"/>
    </row>
    <row r="160" spans="14:14" ht="15.75" customHeight="1" x14ac:dyDescent="0.2">
      <c r="N160" s="38"/>
    </row>
    <row r="161" spans="14:14" ht="15.75" customHeight="1" x14ac:dyDescent="0.2">
      <c r="N161" s="38"/>
    </row>
    <row r="162" spans="14:14" ht="15.75" customHeight="1" x14ac:dyDescent="0.2">
      <c r="N162" s="38"/>
    </row>
    <row r="163" spans="14:14" ht="15.75" customHeight="1" x14ac:dyDescent="0.2">
      <c r="N163" s="38"/>
    </row>
    <row r="164" spans="14:14" ht="15.75" customHeight="1" x14ac:dyDescent="0.2">
      <c r="N164" s="38"/>
    </row>
    <row r="165" spans="14:14" ht="15.75" customHeight="1" x14ac:dyDescent="0.2">
      <c r="N165" s="38"/>
    </row>
    <row r="166" spans="14:14" ht="15.75" customHeight="1" x14ac:dyDescent="0.2">
      <c r="N166" s="38"/>
    </row>
    <row r="167" spans="14:14" ht="15.75" customHeight="1" x14ac:dyDescent="0.2">
      <c r="N167" s="38"/>
    </row>
    <row r="168" spans="14:14" ht="15.75" customHeight="1" x14ac:dyDescent="0.2">
      <c r="N168" s="38"/>
    </row>
    <row r="169" spans="14:14" ht="15.75" customHeight="1" x14ac:dyDescent="0.2">
      <c r="N169" s="38"/>
    </row>
    <row r="170" spans="14:14" ht="15.75" customHeight="1" x14ac:dyDescent="0.2">
      <c r="N170" s="38"/>
    </row>
    <row r="171" spans="14:14" ht="15.75" customHeight="1" x14ac:dyDescent="0.2">
      <c r="N171" s="38"/>
    </row>
    <row r="172" spans="14:14" ht="15.75" customHeight="1" x14ac:dyDescent="0.2">
      <c r="N172" s="38"/>
    </row>
    <row r="173" spans="14:14" ht="15.75" customHeight="1" x14ac:dyDescent="0.2">
      <c r="N173" s="38"/>
    </row>
    <row r="174" spans="14:14" ht="15.75" customHeight="1" x14ac:dyDescent="0.2">
      <c r="N174" s="38"/>
    </row>
    <row r="175" spans="14:14" ht="15.75" customHeight="1" x14ac:dyDescent="0.2">
      <c r="N175" s="38"/>
    </row>
    <row r="176" spans="14:14" ht="15.75" customHeight="1" x14ac:dyDescent="0.2">
      <c r="N176" s="38"/>
    </row>
    <row r="177" spans="14:14" ht="15.75" customHeight="1" x14ac:dyDescent="0.2">
      <c r="N177" s="38"/>
    </row>
    <row r="178" spans="14:14" ht="15.75" customHeight="1" x14ac:dyDescent="0.2">
      <c r="N178" s="38"/>
    </row>
    <row r="179" spans="14:14" ht="15.75" customHeight="1" x14ac:dyDescent="0.2">
      <c r="N179" s="38"/>
    </row>
    <row r="180" spans="14:14" ht="15.75" customHeight="1" x14ac:dyDescent="0.2">
      <c r="N180" s="38"/>
    </row>
    <row r="181" spans="14:14" ht="15.75" customHeight="1" x14ac:dyDescent="0.2">
      <c r="N181" s="38"/>
    </row>
    <row r="182" spans="14:14" ht="15.75" customHeight="1" x14ac:dyDescent="0.2">
      <c r="N182" s="38"/>
    </row>
    <row r="183" spans="14:14" ht="15.75" customHeight="1" x14ac:dyDescent="0.2">
      <c r="N183" s="38"/>
    </row>
    <row r="184" spans="14:14" ht="15.75" customHeight="1" x14ac:dyDescent="0.2">
      <c r="N184" s="38"/>
    </row>
    <row r="185" spans="14:14" ht="15.75" customHeight="1" x14ac:dyDescent="0.2">
      <c r="N185" s="38"/>
    </row>
    <row r="186" spans="14:14" ht="15.75" customHeight="1" x14ac:dyDescent="0.2">
      <c r="N186" s="38"/>
    </row>
    <row r="187" spans="14:14" ht="15.75" customHeight="1" x14ac:dyDescent="0.2">
      <c r="N187" s="38"/>
    </row>
    <row r="188" spans="14:14" ht="15.75" customHeight="1" x14ac:dyDescent="0.2">
      <c r="N188" s="38"/>
    </row>
    <row r="189" spans="14:14" ht="15.75" customHeight="1" x14ac:dyDescent="0.2">
      <c r="N189" s="38"/>
    </row>
    <row r="190" spans="14:14" ht="15.75" customHeight="1" x14ac:dyDescent="0.2">
      <c r="N190" s="38"/>
    </row>
    <row r="191" spans="14:14" ht="15.75" customHeight="1" x14ac:dyDescent="0.2">
      <c r="N191" s="38"/>
    </row>
    <row r="192" spans="14:14" ht="15.75" customHeight="1" x14ac:dyDescent="0.2">
      <c r="N192" s="38"/>
    </row>
    <row r="193" spans="14:14" ht="15.75" customHeight="1" x14ac:dyDescent="0.2">
      <c r="N193" s="38"/>
    </row>
    <row r="194" spans="14:14" ht="15.75" customHeight="1" x14ac:dyDescent="0.2">
      <c r="N194" s="38"/>
    </row>
    <row r="195" spans="14:14" ht="15.75" customHeight="1" x14ac:dyDescent="0.2">
      <c r="N195" s="38"/>
    </row>
    <row r="196" spans="14:14" ht="15.75" customHeight="1" x14ac:dyDescent="0.2">
      <c r="N196" s="38"/>
    </row>
    <row r="197" spans="14:14" ht="15.75" customHeight="1" x14ac:dyDescent="0.2">
      <c r="N197" s="38"/>
    </row>
    <row r="198" spans="14:14" ht="15.75" customHeight="1" x14ac:dyDescent="0.2">
      <c r="N198" s="38"/>
    </row>
    <row r="199" spans="14:14" ht="15.75" customHeight="1" x14ac:dyDescent="0.2">
      <c r="N199" s="38"/>
    </row>
    <row r="200" spans="14:14" ht="15.75" customHeight="1" x14ac:dyDescent="0.2">
      <c r="N200" s="38"/>
    </row>
    <row r="201" spans="14:14" ht="15.75" customHeight="1" x14ac:dyDescent="0.2">
      <c r="N201" s="38"/>
    </row>
    <row r="202" spans="14:14" ht="15.75" customHeight="1" x14ac:dyDescent="0.2">
      <c r="N202" s="38"/>
    </row>
    <row r="203" spans="14:14" ht="15.75" customHeight="1" x14ac:dyDescent="0.2">
      <c r="N203" s="38"/>
    </row>
    <row r="204" spans="14:14" ht="15.75" customHeight="1" x14ac:dyDescent="0.2">
      <c r="N204" s="38"/>
    </row>
    <row r="205" spans="14:14" ht="15.75" customHeight="1" x14ac:dyDescent="0.2">
      <c r="N205" s="38"/>
    </row>
    <row r="206" spans="14:14" ht="15.75" customHeight="1" x14ac:dyDescent="0.2">
      <c r="N206" s="38"/>
    </row>
    <row r="207" spans="14:14" ht="15.75" customHeight="1" x14ac:dyDescent="0.2">
      <c r="N207" s="38"/>
    </row>
    <row r="208" spans="14:14" ht="15.75" customHeight="1" x14ac:dyDescent="0.2">
      <c r="N208" s="38"/>
    </row>
    <row r="209" spans="14:14" ht="15.75" customHeight="1" x14ac:dyDescent="0.2">
      <c r="N209" s="38"/>
    </row>
    <row r="210" spans="14:14" ht="15.75" customHeight="1" x14ac:dyDescent="0.2">
      <c r="N210" s="38"/>
    </row>
    <row r="211" spans="14:14" ht="15.75" customHeight="1" x14ac:dyDescent="0.2">
      <c r="N211" s="38"/>
    </row>
    <row r="212" spans="14:14" ht="15.75" customHeight="1" x14ac:dyDescent="0.2">
      <c r="N212" s="38"/>
    </row>
    <row r="213" spans="14:14" ht="15.75" customHeight="1" x14ac:dyDescent="0.2">
      <c r="N213" s="38"/>
    </row>
    <row r="214" spans="14:14" ht="15.75" customHeight="1" x14ac:dyDescent="0.2">
      <c r="N214" s="38"/>
    </row>
    <row r="215" spans="14:14" ht="15.75" customHeight="1" x14ac:dyDescent="0.2">
      <c r="N215" s="38"/>
    </row>
    <row r="216" spans="14:14" ht="15.75" customHeight="1" x14ac:dyDescent="0.2">
      <c r="N216" s="38"/>
    </row>
    <row r="217" spans="14:14" ht="15.75" customHeight="1" x14ac:dyDescent="0.2">
      <c r="N217" s="38"/>
    </row>
    <row r="218" spans="14:14" ht="15.75" customHeight="1" x14ac:dyDescent="0.2">
      <c r="N218" s="38"/>
    </row>
    <row r="219" spans="14:14" ht="15.75" customHeight="1" x14ac:dyDescent="0.2">
      <c r="N219" s="38"/>
    </row>
    <row r="220" spans="14:14" ht="15.75" customHeight="1" x14ac:dyDescent="0.2">
      <c r="N220" s="38"/>
    </row>
    <row r="221" spans="14:14" ht="15.75" customHeight="1" x14ac:dyDescent="0.2">
      <c r="N221" s="38"/>
    </row>
    <row r="222" spans="14:14" ht="15.75" customHeight="1" x14ac:dyDescent="0.2">
      <c r="N222" s="38"/>
    </row>
    <row r="223" spans="14:14" ht="15.75" customHeight="1" x14ac:dyDescent="0.2">
      <c r="N223" s="38"/>
    </row>
    <row r="224" spans="14:14" ht="15.75" customHeight="1" x14ac:dyDescent="0.2">
      <c r="N224" s="38"/>
    </row>
    <row r="225" spans="14:14" ht="15.75" customHeight="1" x14ac:dyDescent="0.2">
      <c r="N225" s="38"/>
    </row>
    <row r="226" spans="14:14" ht="15.75" customHeight="1" x14ac:dyDescent="0.2">
      <c r="N226" s="38"/>
    </row>
    <row r="227" spans="14:14" ht="15.75" customHeight="1" x14ac:dyDescent="0.2">
      <c r="N227" s="38"/>
    </row>
    <row r="228" spans="14:14" ht="15.75" customHeight="1" x14ac:dyDescent="0.2">
      <c r="N228" s="38"/>
    </row>
    <row r="229" spans="14:14" ht="15.75" customHeight="1" x14ac:dyDescent="0.2">
      <c r="N229" s="38"/>
    </row>
    <row r="230" spans="14:14" ht="15.75" customHeight="1" x14ac:dyDescent="0.2">
      <c r="N230" s="38"/>
    </row>
    <row r="231" spans="14:14" ht="15.75" customHeight="1" x14ac:dyDescent="0.2">
      <c r="N231" s="38"/>
    </row>
    <row r="232" spans="14:14" ht="15.75" customHeight="1" x14ac:dyDescent="0.2">
      <c r="N232" s="38"/>
    </row>
    <row r="233" spans="14:14" ht="15.75" customHeight="1" x14ac:dyDescent="0.2">
      <c r="N233" s="38"/>
    </row>
    <row r="234" spans="14:14" ht="15.75" customHeight="1" x14ac:dyDescent="0.2">
      <c r="N234" s="38"/>
    </row>
    <row r="235" spans="14:14" ht="15.75" customHeight="1" x14ac:dyDescent="0.2">
      <c r="N235" s="38"/>
    </row>
    <row r="236" spans="14:14" ht="15.75" customHeight="1" x14ac:dyDescent="0.2">
      <c r="N236" s="38"/>
    </row>
    <row r="237" spans="14:14" ht="15.75" customHeight="1" x14ac:dyDescent="0.2">
      <c r="N237" s="38"/>
    </row>
    <row r="238" spans="14:14" ht="15.75" customHeight="1" x14ac:dyDescent="0.2">
      <c r="N238" s="38"/>
    </row>
    <row r="239" spans="14:14" ht="15.75" customHeight="1" x14ac:dyDescent="0.2">
      <c r="N239" s="38"/>
    </row>
    <row r="240" spans="14:14" ht="15.75" customHeight="1" x14ac:dyDescent="0.2">
      <c r="N240" s="38"/>
    </row>
    <row r="241" spans="14:14" ht="15.75" customHeight="1" x14ac:dyDescent="0.2">
      <c r="N241" s="38"/>
    </row>
    <row r="242" spans="14:14" ht="15.75" customHeight="1" x14ac:dyDescent="0.2">
      <c r="N242" s="38"/>
    </row>
    <row r="243" spans="14:14" ht="15.75" customHeight="1" x14ac:dyDescent="0.2">
      <c r="N243" s="38"/>
    </row>
    <row r="244" spans="14:14" ht="15.75" customHeight="1" x14ac:dyDescent="0.2">
      <c r="N244" s="38"/>
    </row>
    <row r="245" spans="14:14" ht="15.75" customHeight="1" x14ac:dyDescent="0.2">
      <c r="N245" s="38"/>
    </row>
    <row r="246" spans="14:14" ht="15.75" customHeight="1" x14ac:dyDescent="0.2">
      <c r="N246" s="38"/>
    </row>
    <row r="247" spans="14:14" ht="15.75" customHeight="1" x14ac:dyDescent="0.2">
      <c r="N247" s="38"/>
    </row>
    <row r="248" spans="14:14" ht="15.75" customHeight="1" x14ac:dyDescent="0.2">
      <c r="N248" s="38"/>
    </row>
    <row r="249" spans="14:14" ht="15.75" customHeight="1" x14ac:dyDescent="0.2">
      <c r="N249" s="38"/>
    </row>
    <row r="250" spans="14:14" ht="15.75" customHeight="1" x14ac:dyDescent="0.2">
      <c r="N250" s="38"/>
    </row>
    <row r="251" spans="14:14" ht="15.75" customHeight="1" x14ac:dyDescent="0.2">
      <c r="N251" s="38"/>
    </row>
    <row r="252" spans="14:14" ht="15.75" customHeight="1" x14ac:dyDescent="0.2">
      <c r="N252" s="38"/>
    </row>
    <row r="253" spans="14:14" ht="15.75" customHeight="1" x14ac:dyDescent="0.2">
      <c r="N253" s="38"/>
    </row>
    <row r="254" spans="14:14" ht="15.75" customHeight="1" x14ac:dyDescent="0.2">
      <c r="N254" s="38"/>
    </row>
    <row r="255" spans="14:14" ht="15.75" customHeight="1" x14ac:dyDescent="0.2">
      <c r="N255" s="38"/>
    </row>
    <row r="256" spans="14:14" ht="15.75" customHeight="1" x14ac:dyDescent="0.2">
      <c r="N256" s="38"/>
    </row>
    <row r="257" spans="14:14" ht="15.75" customHeight="1" x14ac:dyDescent="0.2">
      <c r="N257" s="38"/>
    </row>
    <row r="258" spans="14:14" ht="15.75" customHeight="1" x14ac:dyDescent="0.2">
      <c r="N258" s="38"/>
    </row>
    <row r="259" spans="14:14" ht="15.75" customHeight="1" x14ac:dyDescent="0.2">
      <c r="N259" s="38"/>
    </row>
    <row r="260" spans="14:14" ht="15.75" customHeight="1" x14ac:dyDescent="0.2">
      <c r="N260" s="38"/>
    </row>
    <row r="261" spans="14:14" ht="15.75" customHeight="1" x14ac:dyDescent="0.2">
      <c r="N261" s="38"/>
    </row>
    <row r="262" spans="14:14" ht="15.75" customHeight="1" x14ac:dyDescent="0.2">
      <c r="N262" s="38"/>
    </row>
    <row r="263" spans="14:14" ht="15.75" customHeight="1" x14ac:dyDescent="0.2">
      <c r="N263" s="38"/>
    </row>
    <row r="264" spans="14:14" ht="15.75" customHeight="1" x14ac:dyDescent="0.2">
      <c r="N264" s="38"/>
    </row>
    <row r="265" spans="14:14" ht="15.75" customHeight="1" x14ac:dyDescent="0.2">
      <c r="N265" s="38"/>
    </row>
    <row r="266" spans="14:14" ht="15.75" customHeight="1" x14ac:dyDescent="0.2">
      <c r="N266" s="38"/>
    </row>
    <row r="267" spans="14:14" ht="15.75" customHeight="1" x14ac:dyDescent="0.2">
      <c r="N267" s="38"/>
    </row>
    <row r="268" spans="14:14" ht="15.75" customHeight="1" x14ac:dyDescent="0.2">
      <c r="N268" s="38"/>
    </row>
    <row r="269" spans="14:14" ht="15.75" customHeight="1" x14ac:dyDescent="0.2">
      <c r="N269" s="38"/>
    </row>
    <row r="270" spans="14:14" ht="15.75" customHeight="1" x14ac:dyDescent="0.2">
      <c r="N270" s="38"/>
    </row>
    <row r="271" spans="14:14" ht="15.75" customHeight="1" x14ac:dyDescent="0.2">
      <c r="N271" s="38"/>
    </row>
    <row r="272" spans="14:14" ht="15.75" customHeight="1" x14ac:dyDescent="0.2">
      <c r="N272" s="38"/>
    </row>
    <row r="273" spans="14:14" ht="15.75" customHeight="1" x14ac:dyDescent="0.2">
      <c r="N273" s="38"/>
    </row>
    <row r="274" spans="14:14" ht="15.75" customHeight="1" x14ac:dyDescent="0.2">
      <c r="N274" s="38"/>
    </row>
    <row r="275" spans="14:14" ht="15.75" customHeight="1" x14ac:dyDescent="0.2">
      <c r="N275" s="38"/>
    </row>
    <row r="276" spans="14:14" ht="15.75" customHeight="1" x14ac:dyDescent="0.2">
      <c r="N276" s="38"/>
    </row>
    <row r="277" spans="14:14" ht="15.75" customHeight="1" x14ac:dyDescent="0.2">
      <c r="N277" s="38"/>
    </row>
    <row r="278" spans="14:14" ht="15.75" customHeight="1" x14ac:dyDescent="0.2">
      <c r="N278" s="38"/>
    </row>
    <row r="279" spans="14:14" ht="15.75" customHeight="1" x14ac:dyDescent="0.2">
      <c r="N279" s="38"/>
    </row>
    <row r="280" spans="14:14" ht="15.75" customHeight="1" x14ac:dyDescent="0.2">
      <c r="N280" s="38"/>
    </row>
    <row r="281" spans="14:14" ht="15.75" customHeight="1" x14ac:dyDescent="0.2">
      <c r="N281" s="38"/>
    </row>
    <row r="282" spans="14:14" ht="15.75" customHeight="1" x14ac:dyDescent="0.2">
      <c r="N282" s="38"/>
    </row>
    <row r="283" spans="14:14" ht="15.75" customHeight="1" x14ac:dyDescent="0.2">
      <c r="N283" s="38"/>
    </row>
    <row r="284" spans="14:14" ht="15.75" customHeight="1" x14ac:dyDescent="0.2">
      <c r="N284" s="38"/>
    </row>
    <row r="285" spans="14:14" ht="15.75" customHeight="1" x14ac:dyDescent="0.2">
      <c r="N285" s="38"/>
    </row>
    <row r="286" spans="14:14" ht="15.75" customHeight="1" x14ac:dyDescent="0.2">
      <c r="N286" s="38"/>
    </row>
    <row r="287" spans="14:14" ht="15.75" customHeight="1" x14ac:dyDescent="0.2">
      <c r="N287" s="38"/>
    </row>
    <row r="288" spans="14:14" ht="15.75" customHeight="1" x14ac:dyDescent="0.2">
      <c r="N288" s="38"/>
    </row>
    <row r="289" spans="14:14" ht="15.75" customHeight="1" x14ac:dyDescent="0.2">
      <c r="N289" s="38"/>
    </row>
    <row r="290" spans="14:14" ht="15.75" customHeight="1" x14ac:dyDescent="0.2">
      <c r="N290" s="38"/>
    </row>
    <row r="291" spans="14:14" ht="15.75" customHeight="1" x14ac:dyDescent="0.2">
      <c r="N291" s="38"/>
    </row>
    <row r="292" spans="14:14" ht="15.75" customHeight="1" x14ac:dyDescent="0.2">
      <c r="N292" s="38"/>
    </row>
    <row r="293" spans="14:14" ht="15.75" customHeight="1" x14ac:dyDescent="0.2">
      <c r="N293" s="38"/>
    </row>
    <row r="294" spans="14:14" ht="15.75" customHeight="1" x14ac:dyDescent="0.2">
      <c r="N294" s="38"/>
    </row>
    <row r="295" spans="14:14" ht="15.75" customHeight="1" x14ac:dyDescent="0.2">
      <c r="N295" s="38"/>
    </row>
    <row r="296" spans="14:14" ht="15.75" customHeight="1" x14ac:dyDescent="0.2">
      <c r="N296" s="38"/>
    </row>
    <row r="297" spans="14:14" ht="15.75" customHeight="1" x14ac:dyDescent="0.2">
      <c r="N297" s="38"/>
    </row>
    <row r="298" spans="14:14" ht="15.75" customHeight="1" x14ac:dyDescent="0.2">
      <c r="N298" s="38"/>
    </row>
    <row r="299" spans="14:14" ht="15.75" customHeight="1" x14ac:dyDescent="0.2">
      <c r="N299" s="38"/>
    </row>
    <row r="300" spans="14:14" ht="15.75" customHeight="1" x14ac:dyDescent="0.2">
      <c r="N300" s="38"/>
    </row>
    <row r="301" spans="14:14" ht="15.75" customHeight="1" x14ac:dyDescent="0.2">
      <c r="N301" s="38"/>
    </row>
    <row r="302" spans="14:14" ht="15.75" customHeight="1" x14ac:dyDescent="0.2">
      <c r="N302" s="38"/>
    </row>
    <row r="303" spans="14:14" ht="15.75" customHeight="1" x14ac:dyDescent="0.2">
      <c r="N303" s="38"/>
    </row>
    <row r="304" spans="14:14" ht="15.75" customHeight="1" x14ac:dyDescent="0.2">
      <c r="N304" s="38"/>
    </row>
    <row r="305" spans="14:14" ht="15.75" customHeight="1" x14ac:dyDescent="0.2">
      <c r="N305" s="38"/>
    </row>
    <row r="306" spans="14:14" ht="15.75" customHeight="1" x14ac:dyDescent="0.2">
      <c r="N306" s="38"/>
    </row>
    <row r="307" spans="14:14" ht="15.75" customHeight="1" x14ac:dyDescent="0.2">
      <c r="N307" s="38"/>
    </row>
    <row r="308" spans="14:14" ht="15.75" customHeight="1" x14ac:dyDescent="0.2">
      <c r="N308" s="38"/>
    </row>
    <row r="309" spans="14:14" ht="15.75" customHeight="1" x14ac:dyDescent="0.2">
      <c r="N309" s="38"/>
    </row>
    <row r="310" spans="14:14" ht="15.75" customHeight="1" x14ac:dyDescent="0.2">
      <c r="N310" s="38"/>
    </row>
    <row r="311" spans="14:14" ht="15.75" customHeight="1" x14ac:dyDescent="0.2">
      <c r="N311" s="38"/>
    </row>
    <row r="312" spans="14:14" ht="15.75" customHeight="1" x14ac:dyDescent="0.2">
      <c r="N312" s="38"/>
    </row>
    <row r="313" spans="14:14" ht="15.75" customHeight="1" x14ac:dyDescent="0.2">
      <c r="N313" s="38"/>
    </row>
    <row r="314" spans="14:14" ht="15.75" customHeight="1" x14ac:dyDescent="0.2">
      <c r="N314" s="38"/>
    </row>
    <row r="315" spans="14:14" ht="15.75" customHeight="1" x14ac:dyDescent="0.2">
      <c r="N315" s="38"/>
    </row>
    <row r="316" spans="14:14" ht="15.75" customHeight="1" x14ac:dyDescent="0.2">
      <c r="N316" s="38"/>
    </row>
    <row r="317" spans="14:14" ht="15.75" customHeight="1" x14ac:dyDescent="0.2">
      <c r="N317" s="38"/>
    </row>
    <row r="318" spans="14:14" ht="15.75" customHeight="1" x14ac:dyDescent="0.2">
      <c r="N318" s="38"/>
    </row>
    <row r="319" spans="14:14" ht="15.75" customHeight="1" x14ac:dyDescent="0.2">
      <c r="N319" s="38"/>
    </row>
    <row r="320" spans="14:14" ht="15.75" customHeight="1" x14ac:dyDescent="0.2">
      <c r="N320" s="38"/>
    </row>
    <row r="321" spans="14:14" ht="15.75" customHeight="1" x14ac:dyDescent="0.2">
      <c r="N321" s="38"/>
    </row>
    <row r="322" spans="14:14" ht="15.75" customHeight="1" x14ac:dyDescent="0.2">
      <c r="N322" s="38"/>
    </row>
    <row r="323" spans="14:14" ht="15.75" customHeight="1" x14ac:dyDescent="0.2">
      <c r="N323" s="38"/>
    </row>
    <row r="324" spans="14:14" ht="15.75" customHeight="1" x14ac:dyDescent="0.2">
      <c r="N324" s="38"/>
    </row>
    <row r="325" spans="14:14" ht="15.75" customHeight="1" x14ac:dyDescent="0.2">
      <c r="N325" s="38"/>
    </row>
    <row r="326" spans="14:14" ht="15.75" customHeight="1" x14ac:dyDescent="0.2">
      <c r="N326" s="38"/>
    </row>
    <row r="327" spans="14:14" ht="15.75" customHeight="1" x14ac:dyDescent="0.2">
      <c r="N327" s="38"/>
    </row>
    <row r="328" spans="14:14" ht="15.75" customHeight="1" x14ac:dyDescent="0.2">
      <c r="N328" s="38"/>
    </row>
    <row r="329" spans="14:14" ht="15.75" customHeight="1" x14ac:dyDescent="0.2">
      <c r="N329" s="38"/>
    </row>
    <row r="330" spans="14:14" ht="15.75" customHeight="1" x14ac:dyDescent="0.2">
      <c r="N330" s="38"/>
    </row>
    <row r="331" spans="14:14" ht="15.75" customHeight="1" x14ac:dyDescent="0.2">
      <c r="N331" s="38"/>
    </row>
    <row r="332" spans="14:14" ht="15.75" customHeight="1" x14ac:dyDescent="0.2">
      <c r="N332" s="38"/>
    </row>
    <row r="333" spans="14:14" ht="15.75" customHeight="1" x14ac:dyDescent="0.2">
      <c r="N333" s="38"/>
    </row>
    <row r="334" spans="14:14" ht="15.75" customHeight="1" x14ac:dyDescent="0.2">
      <c r="N334" s="38"/>
    </row>
    <row r="335" spans="14:14" ht="15.75" customHeight="1" x14ac:dyDescent="0.2">
      <c r="N335" s="38"/>
    </row>
    <row r="336" spans="14:14" ht="15.75" customHeight="1" x14ac:dyDescent="0.2">
      <c r="N336" s="38"/>
    </row>
    <row r="337" spans="14:14" ht="15.75" customHeight="1" x14ac:dyDescent="0.2">
      <c r="N337" s="38"/>
    </row>
    <row r="338" spans="14:14" ht="15.75" customHeight="1" x14ac:dyDescent="0.2">
      <c r="N338" s="38"/>
    </row>
    <row r="339" spans="14:14" ht="15.75" customHeight="1" x14ac:dyDescent="0.2">
      <c r="N339" s="38"/>
    </row>
    <row r="340" spans="14:14" ht="15.75" customHeight="1" x14ac:dyDescent="0.2">
      <c r="N340" s="38"/>
    </row>
    <row r="341" spans="14:14" ht="15.75" customHeight="1" x14ac:dyDescent="0.2">
      <c r="N341" s="38"/>
    </row>
    <row r="342" spans="14:14" ht="15.75" customHeight="1" x14ac:dyDescent="0.2">
      <c r="N342" s="38"/>
    </row>
    <row r="343" spans="14:14" ht="15.75" customHeight="1" x14ac:dyDescent="0.2">
      <c r="N343" s="38"/>
    </row>
    <row r="344" spans="14:14" ht="15.75" customHeight="1" x14ac:dyDescent="0.2">
      <c r="N344" s="38"/>
    </row>
    <row r="345" spans="14:14" ht="15.75" customHeight="1" x14ac:dyDescent="0.2">
      <c r="N345" s="38"/>
    </row>
    <row r="346" spans="14:14" ht="15.75" customHeight="1" x14ac:dyDescent="0.2">
      <c r="N346" s="38"/>
    </row>
    <row r="347" spans="14:14" ht="15.75" customHeight="1" x14ac:dyDescent="0.2">
      <c r="N347" s="38"/>
    </row>
    <row r="348" spans="14:14" ht="15.75" customHeight="1" x14ac:dyDescent="0.2">
      <c r="N348" s="38"/>
    </row>
    <row r="349" spans="14:14" ht="15.75" customHeight="1" x14ac:dyDescent="0.2">
      <c r="N349" s="38"/>
    </row>
    <row r="350" spans="14:14" ht="15.75" customHeight="1" x14ac:dyDescent="0.2">
      <c r="N350" s="38"/>
    </row>
    <row r="351" spans="14:14" ht="15.75" customHeight="1" x14ac:dyDescent="0.2">
      <c r="N351" s="38"/>
    </row>
    <row r="352" spans="14:14" ht="15.75" customHeight="1" x14ac:dyDescent="0.2">
      <c r="N352" s="38"/>
    </row>
    <row r="353" spans="14:14" ht="15.75" customHeight="1" x14ac:dyDescent="0.2">
      <c r="N353" s="38"/>
    </row>
    <row r="354" spans="14:14" ht="15.75" customHeight="1" x14ac:dyDescent="0.2">
      <c r="N354" s="38"/>
    </row>
    <row r="355" spans="14:14" ht="15.75" customHeight="1" x14ac:dyDescent="0.2">
      <c r="N355" s="38"/>
    </row>
    <row r="356" spans="14:14" ht="15.75" customHeight="1" x14ac:dyDescent="0.2">
      <c r="N356" s="38"/>
    </row>
    <row r="357" spans="14:14" ht="15.75" customHeight="1" x14ac:dyDescent="0.2">
      <c r="N357" s="38"/>
    </row>
    <row r="358" spans="14:14" ht="15.75" customHeight="1" x14ac:dyDescent="0.2">
      <c r="N358" s="38"/>
    </row>
    <row r="359" spans="14:14" ht="15.75" customHeight="1" x14ac:dyDescent="0.2">
      <c r="N359" s="38"/>
    </row>
    <row r="360" spans="14:14" ht="15.75" customHeight="1" x14ac:dyDescent="0.2">
      <c r="N360" s="38"/>
    </row>
    <row r="361" spans="14:14" ht="15.75" customHeight="1" x14ac:dyDescent="0.2">
      <c r="N361" s="38"/>
    </row>
    <row r="362" spans="14:14" ht="15.75" customHeight="1" x14ac:dyDescent="0.2">
      <c r="N362" s="38"/>
    </row>
    <row r="363" spans="14:14" ht="15.75" customHeight="1" x14ac:dyDescent="0.2">
      <c r="N363" s="38"/>
    </row>
    <row r="364" spans="14:14" ht="15.75" customHeight="1" x14ac:dyDescent="0.2">
      <c r="N364" s="38"/>
    </row>
    <row r="365" spans="14:14" ht="15.75" customHeight="1" x14ac:dyDescent="0.2">
      <c r="N365" s="38"/>
    </row>
    <row r="366" spans="14:14" ht="15.75" customHeight="1" x14ac:dyDescent="0.2">
      <c r="N366" s="38"/>
    </row>
    <row r="367" spans="14:14" ht="15.75" customHeight="1" x14ac:dyDescent="0.2">
      <c r="N367" s="38"/>
    </row>
    <row r="368" spans="14:14" ht="15.75" customHeight="1" x14ac:dyDescent="0.2">
      <c r="N368" s="38"/>
    </row>
    <row r="369" spans="14:14" ht="15.75" customHeight="1" x14ac:dyDescent="0.2">
      <c r="N369" s="38"/>
    </row>
    <row r="370" spans="14:14" ht="15.75" customHeight="1" x14ac:dyDescent="0.2">
      <c r="N370" s="38"/>
    </row>
    <row r="371" spans="14:14" ht="15.75" customHeight="1" x14ac:dyDescent="0.2">
      <c r="N371" s="38"/>
    </row>
    <row r="372" spans="14:14" ht="15.75" customHeight="1" x14ac:dyDescent="0.2">
      <c r="N372" s="38"/>
    </row>
    <row r="373" spans="14:14" ht="15.75" customHeight="1" x14ac:dyDescent="0.2">
      <c r="N373" s="38"/>
    </row>
    <row r="374" spans="14:14" ht="15.75" customHeight="1" x14ac:dyDescent="0.2">
      <c r="N374" s="38"/>
    </row>
    <row r="375" spans="14:14" ht="15.75" customHeight="1" x14ac:dyDescent="0.2">
      <c r="N375" s="38"/>
    </row>
    <row r="376" spans="14:14" ht="15.75" customHeight="1" x14ac:dyDescent="0.2">
      <c r="N376" s="38"/>
    </row>
    <row r="377" spans="14:14" ht="15.75" customHeight="1" x14ac:dyDescent="0.2">
      <c r="N377" s="38"/>
    </row>
    <row r="378" spans="14:14" ht="15.75" customHeight="1" x14ac:dyDescent="0.2">
      <c r="N378" s="38"/>
    </row>
    <row r="379" spans="14:14" ht="15.75" customHeight="1" x14ac:dyDescent="0.2">
      <c r="N379" s="38"/>
    </row>
    <row r="380" spans="14:14" ht="15.75" customHeight="1" x14ac:dyDescent="0.2">
      <c r="N380" s="38"/>
    </row>
    <row r="381" spans="14:14" ht="15.75" customHeight="1" x14ac:dyDescent="0.2">
      <c r="N381" s="38"/>
    </row>
    <row r="382" spans="14:14" ht="15.75" customHeight="1" x14ac:dyDescent="0.2">
      <c r="N382" s="38"/>
    </row>
    <row r="383" spans="14:14" ht="15.75" customHeight="1" x14ac:dyDescent="0.2">
      <c r="N383" s="38"/>
    </row>
    <row r="384" spans="14:14" ht="15.75" customHeight="1" x14ac:dyDescent="0.2">
      <c r="N384" s="38"/>
    </row>
    <row r="385" spans="14:14" ht="15.75" customHeight="1" x14ac:dyDescent="0.2">
      <c r="N385" s="38"/>
    </row>
    <row r="386" spans="14:14" ht="15.75" customHeight="1" x14ac:dyDescent="0.2">
      <c r="N386" s="38"/>
    </row>
    <row r="387" spans="14:14" ht="15.75" customHeight="1" x14ac:dyDescent="0.2">
      <c r="N387" s="38"/>
    </row>
    <row r="388" spans="14:14" ht="15.75" customHeight="1" x14ac:dyDescent="0.2">
      <c r="N388" s="38"/>
    </row>
    <row r="389" spans="14:14" ht="15.75" customHeight="1" x14ac:dyDescent="0.2">
      <c r="N389" s="38"/>
    </row>
    <row r="390" spans="14:14" ht="15.75" customHeight="1" x14ac:dyDescent="0.2">
      <c r="N390" s="38"/>
    </row>
    <row r="391" spans="14:14" ht="15.75" customHeight="1" x14ac:dyDescent="0.2">
      <c r="N391" s="38"/>
    </row>
    <row r="392" spans="14:14" ht="15.75" customHeight="1" x14ac:dyDescent="0.2">
      <c r="N392" s="38"/>
    </row>
    <row r="393" spans="14:14" ht="15.75" customHeight="1" x14ac:dyDescent="0.2">
      <c r="N393" s="38"/>
    </row>
    <row r="394" spans="14:14" ht="15.75" customHeight="1" x14ac:dyDescent="0.2">
      <c r="N394" s="38"/>
    </row>
    <row r="395" spans="14:14" ht="15.75" customHeight="1" x14ac:dyDescent="0.2">
      <c r="N395" s="38"/>
    </row>
    <row r="396" spans="14:14" ht="15.75" customHeight="1" x14ac:dyDescent="0.2">
      <c r="N396" s="38"/>
    </row>
    <row r="397" spans="14:14" ht="15.75" customHeight="1" x14ac:dyDescent="0.2">
      <c r="N397" s="38"/>
    </row>
    <row r="398" spans="14:14" ht="15.75" customHeight="1" x14ac:dyDescent="0.2">
      <c r="N398" s="38"/>
    </row>
    <row r="399" spans="14:14" ht="15.75" customHeight="1" x14ac:dyDescent="0.2">
      <c r="N399" s="38"/>
    </row>
    <row r="400" spans="14:14" ht="15.75" customHeight="1" x14ac:dyDescent="0.2">
      <c r="N400" s="38"/>
    </row>
    <row r="401" spans="14:14" ht="15.75" customHeight="1" x14ac:dyDescent="0.2">
      <c r="N401" s="38"/>
    </row>
    <row r="402" spans="14:14" ht="15.75" customHeight="1" x14ac:dyDescent="0.2">
      <c r="N402" s="38"/>
    </row>
    <row r="403" spans="14:14" ht="15.75" customHeight="1" x14ac:dyDescent="0.2">
      <c r="N403" s="38"/>
    </row>
    <row r="404" spans="14:14" ht="15.75" customHeight="1" x14ac:dyDescent="0.2">
      <c r="N404" s="38"/>
    </row>
    <row r="405" spans="14:14" ht="15.75" customHeight="1" x14ac:dyDescent="0.2">
      <c r="N405" s="38"/>
    </row>
    <row r="406" spans="14:14" ht="15.75" customHeight="1" x14ac:dyDescent="0.2">
      <c r="N406" s="38"/>
    </row>
    <row r="407" spans="14:14" ht="15.75" customHeight="1" x14ac:dyDescent="0.2">
      <c r="N407" s="38"/>
    </row>
    <row r="408" spans="14:14" ht="15.75" customHeight="1" x14ac:dyDescent="0.2">
      <c r="N408" s="38"/>
    </row>
    <row r="409" spans="14:14" ht="15.75" customHeight="1" x14ac:dyDescent="0.2">
      <c r="N409" s="38"/>
    </row>
    <row r="410" spans="14:14" ht="15.75" customHeight="1" x14ac:dyDescent="0.2">
      <c r="N410" s="38"/>
    </row>
    <row r="411" spans="14:14" ht="15.75" customHeight="1" x14ac:dyDescent="0.2">
      <c r="N411" s="38"/>
    </row>
    <row r="412" spans="14:14" ht="15.75" customHeight="1" x14ac:dyDescent="0.2">
      <c r="N412" s="38"/>
    </row>
    <row r="413" spans="14:14" ht="15.75" customHeight="1" x14ac:dyDescent="0.2">
      <c r="N413" s="38"/>
    </row>
    <row r="414" spans="14:14" ht="15.75" customHeight="1" x14ac:dyDescent="0.2">
      <c r="N414" s="38"/>
    </row>
    <row r="415" spans="14:14" ht="15.75" customHeight="1" x14ac:dyDescent="0.2">
      <c r="N415" s="38"/>
    </row>
    <row r="416" spans="14:14" ht="15.75" customHeight="1" x14ac:dyDescent="0.2">
      <c r="N416" s="38"/>
    </row>
    <row r="417" spans="14:14" ht="15.75" customHeight="1" x14ac:dyDescent="0.2">
      <c r="N417" s="38"/>
    </row>
    <row r="418" spans="14:14" ht="15.75" customHeight="1" x14ac:dyDescent="0.2">
      <c r="N418" s="38"/>
    </row>
    <row r="419" spans="14:14" ht="15.75" customHeight="1" x14ac:dyDescent="0.2">
      <c r="N419" s="38"/>
    </row>
    <row r="420" spans="14:14" ht="15.75" customHeight="1" x14ac:dyDescent="0.2">
      <c r="N420" s="38"/>
    </row>
    <row r="421" spans="14:14" ht="15.75" customHeight="1" x14ac:dyDescent="0.2">
      <c r="N421" s="38"/>
    </row>
    <row r="422" spans="14:14" ht="15.75" customHeight="1" x14ac:dyDescent="0.2">
      <c r="N422" s="38"/>
    </row>
    <row r="423" spans="14:14" ht="15.75" customHeight="1" x14ac:dyDescent="0.2">
      <c r="N423" s="38"/>
    </row>
    <row r="424" spans="14:14" ht="15.75" customHeight="1" x14ac:dyDescent="0.2">
      <c r="N424" s="38"/>
    </row>
    <row r="425" spans="14:14" ht="15.75" customHeight="1" x14ac:dyDescent="0.2">
      <c r="N425" s="38"/>
    </row>
    <row r="426" spans="14:14" ht="15.75" customHeight="1" x14ac:dyDescent="0.2">
      <c r="N426" s="38"/>
    </row>
    <row r="427" spans="14:14" ht="15.75" customHeight="1" x14ac:dyDescent="0.2">
      <c r="N427" s="38"/>
    </row>
    <row r="428" spans="14:14" ht="15.75" customHeight="1" x14ac:dyDescent="0.2">
      <c r="N428" s="38"/>
    </row>
    <row r="429" spans="14:14" ht="15.75" customHeight="1" x14ac:dyDescent="0.2">
      <c r="N429" s="38"/>
    </row>
    <row r="430" spans="14:14" ht="15.75" customHeight="1" x14ac:dyDescent="0.2">
      <c r="N430" s="38"/>
    </row>
    <row r="431" spans="14:14" ht="15.75" customHeight="1" x14ac:dyDescent="0.2">
      <c r="N431" s="38"/>
    </row>
    <row r="432" spans="14:14" ht="15.75" customHeight="1" x14ac:dyDescent="0.2">
      <c r="N432" s="38"/>
    </row>
    <row r="433" spans="14:14" ht="15.75" customHeight="1" x14ac:dyDescent="0.2">
      <c r="N433" s="38"/>
    </row>
    <row r="434" spans="14:14" ht="15.75" customHeight="1" x14ac:dyDescent="0.2">
      <c r="N434" s="38"/>
    </row>
    <row r="435" spans="14:14" ht="15.75" customHeight="1" x14ac:dyDescent="0.2">
      <c r="N435" s="38"/>
    </row>
    <row r="436" spans="14:14" ht="15.75" customHeight="1" x14ac:dyDescent="0.2">
      <c r="N436" s="38"/>
    </row>
    <row r="437" spans="14:14" ht="15.75" customHeight="1" x14ac:dyDescent="0.2">
      <c r="N437" s="38"/>
    </row>
    <row r="438" spans="14:14" ht="15.75" customHeight="1" x14ac:dyDescent="0.2">
      <c r="N438" s="38"/>
    </row>
    <row r="439" spans="14:14" ht="15.75" customHeight="1" x14ac:dyDescent="0.2">
      <c r="N439" s="38"/>
    </row>
    <row r="440" spans="14:14" ht="15.75" customHeight="1" x14ac:dyDescent="0.2">
      <c r="N440" s="38"/>
    </row>
    <row r="441" spans="14:14" ht="15.75" customHeight="1" x14ac:dyDescent="0.2">
      <c r="N441" s="38"/>
    </row>
    <row r="442" spans="14:14" ht="15.75" customHeight="1" x14ac:dyDescent="0.2">
      <c r="N442" s="38"/>
    </row>
    <row r="443" spans="14:14" ht="15.75" customHeight="1" x14ac:dyDescent="0.2">
      <c r="N443" s="38"/>
    </row>
    <row r="444" spans="14:14" ht="15.75" customHeight="1" x14ac:dyDescent="0.2">
      <c r="N444" s="38"/>
    </row>
    <row r="445" spans="14:14" ht="15.75" customHeight="1" x14ac:dyDescent="0.2">
      <c r="N445" s="38"/>
    </row>
    <row r="446" spans="14:14" ht="15.75" customHeight="1" x14ac:dyDescent="0.2">
      <c r="N446" s="38"/>
    </row>
    <row r="447" spans="14:14" ht="15.75" customHeight="1" x14ac:dyDescent="0.2">
      <c r="N447" s="38"/>
    </row>
    <row r="448" spans="14:14" ht="15.75" customHeight="1" x14ac:dyDescent="0.2">
      <c r="N448" s="38"/>
    </row>
    <row r="449" spans="14:14" ht="15.75" customHeight="1" x14ac:dyDescent="0.2">
      <c r="N449" s="38"/>
    </row>
    <row r="450" spans="14:14" ht="15.75" customHeight="1" x14ac:dyDescent="0.2">
      <c r="N450" s="38"/>
    </row>
    <row r="451" spans="14:14" ht="15.75" customHeight="1" x14ac:dyDescent="0.2">
      <c r="N451" s="38"/>
    </row>
    <row r="452" spans="14:14" ht="15.75" customHeight="1" x14ac:dyDescent="0.2">
      <c r="N452" s="38"/>
    </row>
    <row r="453" spans="14:14" ht="15.75" customHeight="1" x14ac:dyDescent="0.2">
      <c r="N453" s="38"/>
    </row>
    <row r="454" spans="14:14" ht="15.75" customHeight="1" x14ac:dyDescent="0.2">
      <c r="N454" s="38"/>
    </row>
    <row r="455" spans="14:14" ht="15.75" customHeight="1" x14ac:dyDescent="0.2">
      <c r="N455" s="38"/>
    </row>
    <row r="456" spans="14:14" ht="15.75" customHeight="1" x14ac:dyDescent="0.2">
      <c r="N456" s="38"/>
    </row>
    <row r="457" spans="14:14" ht="15.75" customHeight="1" x14ac:dyDescent="0.2">
      <c r="N457" s="38"/>
    </row>
    <row r="458" spans="14:14" ht="15.75" customHeight="1" x14ac:dyDescent="0.2">
      <c r="N458" s="38"/>
    </row>
    <row r="459" spans="14:14" ht="15.75" customHeight="1" x14ac:dyDescent="0.2">
      <c r="N459" s="38"/>
    </row>
    <row r="460" spans="14:14" ht="15.75" customHeight="1" x14ac:dyDescent="0.2">
      <c r="N460" s="38"/>
    </row>
    <row r="461" spans="14:14" ht="15.75" customHeight="1" x14ac:dyDescent="0.2">
      <c r="N461" s="38"/>
    </row>
    <row r="462" spans="14:14" ht="15.75" customHeight="1" x14ac:dyDescent="0.2">
      <c r="N462" s="38"/>
    </row>
    <row r="463" spans="14:14" ht="15.75" customHeight="1" x14ac:dyDescent="0.2">
      <c r="N463" s="38"/>
    </row>
    <row r="464" spans="14:14" ht="15.75" customHeight="1" x14ac:dyDescent="0.2">
      <c r="N464" s="38"/>
    </row>
    <row r="465" spans="14:14" ht="15.75" customHeight="1" x14ac:dyDescent="0.2">
      <c r="N465" s="38"/>
    </row>
    <row r="466" spans="14:14" ht="15.75" customHeight="1" x14ac:dyDescent="0.2">
      <c r="N466" s="38"/>
    </row>
    <row r="467" spans="14:14" ht="15.75" customHeight="1" x14ac:dyDescent="0.2">
      <c r="N467" s="38"/>
    </row>
    <row r="468" spans="14:14" ht="15.75" customHeight="1" x14ac:dyDescent="0.2">
      <c r="N468" s="38"/>
    </row>
    <row r="469" spans="14:14" ht="15.75" customHeight="1" x14ac:dyDescent="0.2">
      <c r="N469" s="38"/>
    </row>
    <row r="470" spans="14:14" ht="15.75" customHeight="1" x14ac:dyDescent="0.2">
      <c r="N470" s="38"/>
    </row>
    <row r="471" spans="14:14" ht="15.75" customHeight="1" x14ac:dyDescent="0.2">
      <c r="N471" s="38"/>
    </row>
    <row r="472" spans="14:14" ht="15.75" customHeight="1" x14ac:dyDescent="0.2">
      <c r="N472" s="38"/>
    </row>
    <row r="473" spans="14:14" ht="15.75" customHeight="1" x14ac:dyDescent="0.2">
      <c r="N473" s="38"/>
    </row>
    <row r="474" spans="14:14" ht="15.75" customHeight="1" x14ac:dyDescent="0.2">
      <c r="N474" s="38"/>
    </row>
    <row r="475" spans="14:14" ht="15.75" customHeight="1" x14ac:dyDescent="0.2">
      <c r="N475" s="38"/>
    </row>
    <row r="476" spans="14:14" ht="15.75" customHeight="1" x14ac:dyDescent="0.2">
      <c r="N476" s="38"/>
    </row>
    <row r="477" spans="14:14" ht="15.75" customHeight="1" x14ac:dyDescent="0.2">
      <c r="N477" s="38"/>
    </row>
    <row r="478" spans="14:14" ht="15.75" customHeight="1" x14ac:dyDescent="0.2">
      <c r="N478" s="38"/>
    </row>
    <row r="479" spans="14:14" ht="15.75" customHeight="1" x14ac:dyDescent="0.2">
      <c r="N479" s="38"/>
    </row>
    <row r="480" spans="14:14" ht="15.75" customHeight="1" x14ac:dyDescent="0.2">
      <c r="N480" s="38"/>
    </row>
    <row r="481" spans="14:14" ht="15.75" customHeight="1" x14ac:dyDescent="0.2">
      <c r="N481" s="38"/>
    </row>
    <row r="482" spans="14:14" ht="15.75" customHeight="1" x14ac:dyDescent="0.2">
      <c r="N482" s="38"/>
    </row>
    <row r="483" spans="14:14" ht="15.75" customHeight="1" x14ac:dyDescent="0.2">
      <c r="N483" s="38"/>
    </row>
    <row r="484" spans="14:14" ht="15.75" customHeight="1" x14ac:dyDescent="0.2">
      <c r="N484" s="38"/>
    </row>
    <row r="485" spans="14:14" ht="15.75" customHeight="1" x14ac:dyDescent="0.2">
      <c r="N485" s="38"/>
    </row>
    <row r="486" spans="14:14" ht="15.75" customHeight="1" x14ac:dyDescent="0.2">
      <c r="N486" s="38"/>
    </row>
    <row r="487" spans="14:14" ht="15.75" customHeight="1" x14ac:dyDescent="0.2">
      <c r="N487" s="38"/>
    </row>
    <row r="488" spans="14:14" ht="15.75" customHeight="1" x14ac:dyDescent="0.2">
      <c r="N488" s="38"/>
    </row>
    <row r="489" spans="14:14" ht="15.75" customHeight="1" x14ac:dyDescent="0.2">
      <c r="N489" s="38"/>
    </row>
    <row r="490" spans="14:14" ht="15.75" customHeight="1" x14ac:dyDescent="0.2">
      <c r="N490" s="38"/>
    </row>
    <row r="491" spans="14:14" ht="15.75" customHeight="1" x14ac:dyDescent="0.2">
      <c r="N491" s="38"/>
    </row>
    <row r="492" spans="14:14" ht="15.75" customHeight="1" x14ac:dyDescent="0.2">
      <c r="N492" s="38"/>
    </row>
    <row r="493" spans="14:14" ht="15.75" customHeight="1" x14ac:dyDescent="0.2">
      <c r="N493" s="38"/>
    </row>
    <row r="494" spans="14:14" ht="15.75" customHeight="1" x14ac:dyDescent="0.2">
      <c r="N494" s="38"/>
    </row>
    <row r="495" spans="14:14" ht="15.75" customHeight="1" x14ac:dyDescent="0.2">
      <c r="N495" s="38"/>
    </row>
    <row r="496" spans="14:14" ht="15.75" customHeight="1" x14ac:dyDescent="0.2">
      <c r="N496" s="38"/>
    </row>
    <row r="497" spans="14:14" ht="15.75" customHeight="1" x14ac:dyDescent="0.2">
      <c r="N497" s="38"/>
    </row>
    <row r="498" spans="14:14" ht="15.75" customHeight="1" x14ac:dyDescent="0.2">
      <c r="N498" s="38"/>
    </row>
    <row r="499" spans="14:14" ht="15.75" customHeight="1" x14ac:dyDescent="0.2">
      <c r="N499" s="38"/>
    </row>
    <row r="500" spans="14:14" ht="15.75" customHeight="1" x14ac:dyDescent="0.2">
      <c r="N500" s="38"/>
    </row>
    <row r="501" spans="14:14" ht="15.75" customHeight="1" x14ac:dyDescent="0.2">
      <c r="N501" s="38"/>
    </row>
    <row r="502" spans="14:14" ht="15.75" customHeight="1" x14ac:dyDescent="0.2">
      <c r="N502" s="38"/>
    </row>
    <row r="503" spans="14:14" ht="15.75" customHeight="1" x14ac:dyDescent="0.2">
      <c r="N503" s="38"/>
    </row>
    <row r="504" spans="14:14" ht="15.75" customHeight="1" x14ac:dyDescent="0.2">
      <c r="N504" s="38"/>
    </row>
    <row r="505" spans="14:14" ht="15.75" customHeight="1" x14ac:dyDescent="0.2">
      <c r="N505" s="38"/>
    </row>
    <row r="506" spans="14:14" ht="15.75" customHeight="1" x14ac:dyDescent="0.2">
      <c r="N506" s="38"/>
    </row>
    <row r="507" spans="14:14" ht="15.75" customHeight="1" x14ac:dyDescent="0.2">
      <c r="N507" s="38"/>
    </row>
    <row r="508" spans="14:14" ht="15.75" customHeight="1" x14ac:dyDescent="0.2">
      <c r="N508" s="38"/>
    </row>
    <row r="509" spans="14:14" ht="15.75" customHeight="1" x14ac:dyDescent="0.2">
      <c r="N509" s="38"/>
    </row>
    <row r="510" spans="14:14" ht="15.75" customHeight="1" x14ac:dyDescent="0.2">
      <c r="N510" s="38"/>
    </row>
    <row r="511" spans="14:14" ht="15.75" customHeight="1" x14ac:dyDescent="0.2">
      <c r="N511" s="38"/>
    </row>
    <row r="512" spans="14:14" ht="15.75" customHeight="1" x14ac:dyDescent="0.2">
      <c r="N512" s="38"/>
    </row>
    <row r="513" spans="14:14" ht="15.75" customHeight="1" x14ac:dyDescent="0.2">
      <c r="N513" s="38"/>
    </row>
    <row r="514" spans="14:14" ht="15.75" customHeight="1" x14ac:dyDescent="0.2">
      <c r="N514" s="38"/>
    </row>
    <row r="515" spans="14:14" ht="15.75" customHeight="1" x14ac:dyDescent="0.2">
      <c r="N515" s="38"/>
    </row>
    <row r="516" spans="14:14" ht="15.75" customHeight="1" x14ac:dyDescent="0.2">
      <c r="N516" s="38"/>
    </row>
    <row r="517" spans="14:14" ht="15.75" customHeight="1" x14ac:dyDescent="0.2">
      <c r="N517" s="38"/>
    </row>
    <row r="518" spans="14:14" ht="15.75" customHeight="1" x14ac:dyDescent="0.2">
      <c r="N518" s="38"/>
    </row>
    <row r="519" spans="14:14" ht="15.75" customHeight="1" x14ac:dyDescent="0.2">
      <c r="N519" s="38"/>
    </row>
    <row r="520" spans="14:14" ht="15.75" customHeight="1" x14ac:dyDescent="0.2">
      <c r="N520" s="38"/>
    </row>
    <row r="521" spans="14:14" ht="15.75" customHeight="1" x14ac:dyDescent="0.2">
      <c r="N521" s="38"/>
    </row>
    <row r="522" spans="14:14" ht="15.75" customHeight="1" x14ac:dyDescent="0.2">
      <c r="N522" s="38"/>
    </row>
    <row r="523" spans="14:14" ht="15.75" customHeight="1" x14ac:dyDescent="0.2">
      <c r="N523" s="38"/>
    </row>
    <row r="524" spans="14:14" ht="15.75" customHeight="1" x14ac:dyDescent="0.2">
      <c r="N524" s="38"/>
    </row>
    <row r="525" spans="14:14" ht="15.75" customHeight="1" x14ac:dyDescent="0.2">
      <c r="N525" s="38"/>
    </row>
    <row r="526" spans="14:14" ht="15.75" customHeight="1" x14ac:dyDescent="0.2">
      <c r="N526" s="38"/>
    </row>
    <row r="527" spans="14:14" ht="15.75" customHeight="1" x14ac:dyDescent="0.2">
      <c r="N527" s="38"/>
    </row>
    <row r="528" spans="14:14" ht="15.75" customHeight="1" x14ac:dyDescent="0.2">
      <c r="N528" s="38"/>
    </row>
    <row r="529" spans="14:14" ht="15.75" customHeight="1" x14ac:dyDescent="0.2">
      <c r="N529" s="38"/>
    </row>
    <row r="530" spans="14:14" ht="15.75" customHeight="1" x14ac:dyDescent="0.2">
      <c r="N530" s="38"/>
    </row>
    <row r="531" spans="14:14" ht="15.75" customHeight="1" x14ac:dyDescent="0.2">
      <c r="N531" s="38"/>
    </row>
    <row r="532" spans="14:14" ht="15.75" customHeight="1" x14ac:dyDescent="0.2">
      <c r="N532" s="38"/>
    </row>
    <row r="533" spans="14:14" ht="15.75" customHeight="1" x14ac:dyDescent="0.2">
      <c r="N533" s="38"/>
    </row>
    <row r="534" spans="14:14" ht="15.75" customHeight="1" x14ac:dyDescent="0.2">
      <c r="N534" s="38"/>
    </row>
    <row r="535" spans="14:14" ht="15.75" customHeight="1" x14ac:dyDescent="0.2">
      <c r="N535" s="38"/>
    </row>
    <row r="536" spans="14:14" ht="15.75" customHeight="1" x14ac:dyDescent="0.2">
      <c r="N536" s="38"/>
    </row>
    <row r="537" spans="14:14" ht="15.75" customHeight="1" x14ac:dyDescent="0.2">
      <c r="N537" s="38"/>
    </row>
    <row r="538" spans="14:14" ht="15.75" customHeight="1" x14ac:dyDescent="0.2">
      <c r="N538" s="38"/>
    </row>
    <row r="539" spans="14:14" ht="15.75" customHeight="1" x14ac:dyDescent="0.2">
      <c r="N539" s="38"/>
    </row>
    <row r="540" spans="14:14" ht="15.75" customHeight="1" x14ac:dyDescent="0.2">
      <c r="N540" s="38"/>
    </row>
    <row r="541" spans="14:14" ht="15.75" customHeight="1" x14ac:dyDescent="0.2">
      <c r="N541" s="38"/>
    </row>
    <row r="542" spans="14:14" ht="15.75" customHeight="1" x14ac:dyDescent="0.2">
      <c r="N542" s="38"/>
    </row>
    <row r="543" spans="14:14" ht="15.75" customHeight="1" x14ac:dyDescent="0.2">
      <c r="N543" s="38"/>
    </row>
    <row r="544" spans="14:14" ht="15.75" customHeight="1" x14ac:dyDescent="0.2">
      <c r="N544" s="38"/>
    </row>
    <row r="545" spans="14:14" ht="15.75" customHeight="1" x14ac:dyDescent="0.2">
      <c r="N545" s="38"/>
    </row>
    <row r="546" spans="14:14" ht="15.75" customHeight="1" x14ac:dyDescent="0.2">
      <c r="N546" s="38"/>
    </row>
    <row r="547" spans="14:14" ht="15.75" customHeight="1" x14ac:dyDescent="0.2">
      <c r="N547" s="38"/>
    </row>
    <row r="548" spans="14:14" ht="15.75" customHeight="1" x14ac:dyDescent="0.2">
      <c r="N548" s="38"/>
    </row>
    <row r="549" spans="14:14" ht="15.75" customHeight="1" x14ac:dyDescent="0.2">
      <c r="N549" s="38"/>
    </row>
    <row r="550" spans="14:14" ht="15.75" customHeight="1" x14ac:dyDescent="0.2">
      <c r="N550" s="38"/>
    </row>
    <row r="551" spans="14:14" ht="15.75" customHeight="1" x14ac:dyDescent="0.2">
      <c r="N551" s="38"/>
    </row>
    <row r="552" spans="14:14" ht="15.75" customHeight="1" x14ac:dyDescent="0.2">
      <c r="N552" s="38"/>
    </row>
    <row r="553" spans="14:14" ht="15.75" customHeight="1" x14ac:dyDescent="0.2">
      <c r="N553" s="38"/>
    </row>
    <row r="554" spans="14:14" ht="15.75" customHeight="1" x14ac:dyDescent="0.2">
      <c r="N554" s="38"/>
    </row>
    <row r="555" spans="14:14" ht="15.75" customHeight="1" x14ac:dyDescent="0.2">
      <c r="N555" s="38"/>
    </row>
    <row r="556" spans="14:14" ht="15.75" customHeight="1" x14ac:dyDescent="0.2">
      <c r="N556" s="38"/>
    </row>
    <row r="557" spans="14:14" ht="15.75" customHeight="1" x14ac:dyDescent="0.2">
      <c r="N557" s="38"/>
    </row>
    <row r="558" spans="14:14" ht="15.75" customHeight="1" x14ac:dyDescent="0.2">
      <c r="N558" s="38"/>
    </row>
    <row r="559" spans="14:14" ht="15.75" customHeight="1" x14ac:dyDescent="0.2">
      <c r="N559" s="38"/>
    </row>
    <row r="560" spans="14:14" ht="15.75" customHeight="1" x14ac:dyDescent="0.2">
      <c r="N560" s="38"/>
    </row>
    <row r="561" spans="14:14" ht="15.75" customHeight="1" x14ac:dyDescent="0.2">
      <c r="N561" s="38"/>
    </row>
    <row r="562" spans="14:14" ht="15.75" customHeight="1" x14ac:dyDescent="0.2">
      <c r="N562" s="38"/>
    </row>
    <row r="563" spans="14:14" ht="15.75" customHeight="1" x14ac:dyDescent="0.2">
      <c r="N563" s="38"/>
    </row>
    <row r="564" spans="14:14" ht="15.75" customHeight="1" x14ac:dyDescent="0.2">
      <c r="N564" s="38"/>
    </row>
    <row r="565" spans="14:14" ht="15.75" customHeight="1" x14ac:dyDescent="0.2">
      <c r="N565" s="38"/>
    </row>
    <row r="566" spans="14:14" ht="15.75" customHeight="1" x14ac:dyDescent="0.2">
      <c r="N566" s="38"/>
    </row>
    <row r="567" spans="14:14" ht="15.75" customHeight="1" x14ac:dyDescent="0.2">
      <c r="N567" s="38"/>
    </row>
    <row r="568" spans="14:14" ht="15.75" customHeight="1" x14ac:dyDescent="0.2">
      <c r="N568" s="38"/>
    </row>
    <row r="569" spans="14:14" ht="15.75" customHeight="1" x14ac:dyDescent="0.2">
      <c r="N569" s="38"/>
    </row>
    <row r="570" spans="14:14" ht="15.75" customHeight="1" x14ac:dyDescent="0.2">
      <c r="N570" s="38"/>
    </row>
    <row r="571" spans="14:14" ht="15.75" customHeight="1" x14ac:dyDescent="0.2">
      <c r="N571" s="38"/>
    </row>
    <row r="572" spans="14:14" ht="15.75" customHeight="1" x14ac:dyDescent="0.2">
      <c r="N572" s="38"/>
    </row>
    <row r="573" spans="14:14" ht="15.75" customHeight="1" x14ac:dyDescent="0.2">
      <c r="N573" s="38"/>
    </row>
    <row r="574" spans="14:14" ht="15.75" customHeight="1" x14ac:dyDescent="0.2">
      <c r="N574" s="38"/>
    </row>
    <row r="575" spans="14:14" ht="15.75" customHeight="1" x14ac:dyDescent="0.2">
      <c r="N575" s="38"/>
    </row>
    <row r="576" spans="14:14" ht="15.75" customHeight="1" x14ac:dyDescent="0.2">
      <c r="N576" s="38"/>
    </row>
    <row r="577" spans="14:14" ht="15.75" customHeight="1" x14ac:dyDescent="0.2">
      <c r="N577" s="38"/>
    </row>
    <row r="578" spans="14:14" ht="15.75" customHeight="1" x14ac:dyDescent="0.2">
      <c r="N578" s="38"/>
    </row>
    <row r="579" spans="14:14" ht="15.75" customHeight="1" x14ac:dyDescent="0.2">
      <c r="N579" s="38"/>
    </row>
    <row r="580" spans="14:14" ht="15.75" customHeight="1" x14ac:dyDescent="0.2">
      <c r="N580" s="38"/>
    </row>
    <row r="581" spans="14:14" ht="15.75" customHeight="1" x14ac:dyDescent="0.2">
      <c r="N581" s="38"/>
    </row>
    <row r="582" spans="14:14" ht="15.75" customHeight="1" x14ac:dyDescent="0.2">
      <c r="N582" s="38"/>
    </row>
    <row r="583" spans="14:14" ht="15.75" customHeight="1" x14ac:dyDescent="0.2">
      <c r="N583" s="38"/>
    </row>
    <row r="584" spans="14:14" ht="15.75" customHeight="1" x14ac:dyDescent="0.2">
      <c r="N584" s="38"/>
    </row>
    <row r="585" spans="14:14" ht="15.75" customHeight="1" x14ac:dyDescent="0.2">
      <c r="N585" s="38"/>
    </row>
    <row r="586" spans="14:14" ht="15.75" customHeight="1" x14ac:dyDescent="0.2">
      <c r="N586" s="38"/>
    </row>
    <row r="587" spans="14:14" ht="15.75" customHeight="1" x14ac:dyDescent="0.2">
      <c r="N587" s="38"/>
    </row>
    <row r="588" spans="14:14" ht="15.75" customHeight="1" x14ac:dyDescent="0.2">
      <c r="N588" s="38"/>
    </row>
    <row r="589" spans="14:14" ht="15.75" customHeight="1" x14ac:dyDescent="0.2">
      <c r="N589" s="38"/>
    </row>
    <row r="590" spans="14:14" ht="15.75" customHeight="1" x14ac:dyDescent="0.2">
      <c r="N590" s="38"/>
    </row>
    <row r="591" spans="14:14" ht="15.75" customHeight="1" x14ac:dyDescent="0.2">
      <c r="N591" s="38"/>
    </row>
    <row r="592" spans="14:14" ht="15.75" customHeight="1" x14ac:dyDescent="0.2">
      <c r="N592" s="38"/>
    </row>
    <row r="593" spans="14:14" ht="15.75" customHeight="1" x14ac:dyDescent="0.2">
      <c r="N593" s="38"/>
    </row>
    <row r="594" spans="14:14" ht="15.75" customHeight="1" x14ac:dyDescent="0.2">
      <c r="N594" s="38"/>
    </row>
    <row r="595" spans="14:14" ht="15.75" customHeight="1" x14ac:dyDescent="0.2">
      <c r="N595" s="38"/>
    </row>
    <row r="596" spans="14:14" ht="15.75" customHeight="1" x14ac:dyDescent="0.2">
      <c r="N596" s="38"/>
    </row>
    <row r="597" spans="14:14" ht="15.75" customHeight="1" x14ac:dyDescent="0.2">
      <c r="N597" s="38"/>
    </row>
    <row r="598" spans="14:14" ht="15.75" customHeight="1" x14ac:dyDescent="0.2">
      <c r="N598" s="38"/>
    </row>
    <row r="599" spans="14:14" ht="15.75" customHeight="1" x14ac:dyDescent="0.2">
      <c r="N599" s="38"/>
    </row>
    <row r="600" spans="14:14" ht="15.75" customHeight="1" x14ac:dyDescent="0.2">
      <c r="N600" s="38"/>
    </row>
    <row r="601" spans="14:14" ht="15.75" customHeight="1" x14ac:dyDescent="0.2">
      <c r="N601" s="38"/>
    </row>
    <row r="602" spans="14:14" ht="15.75" customHeight="1" x14ac:dyDescent="0.2">
      <c r="N602" s="38"/>
    </row>
    <row r="603" spans="14:14" ht="15.75" customHeight="1" x14ac:dyDescent="0.2">
      <c r="N603" s="38"/>
    </row>
    <row r="604" spans="14:14" ht="15.75" customHeight="1" x14ac:dyDescent="0.2">
      <c r="N604" s="38"/>
    </row>
    <row r="605" spans="14:14" ht="15.75" customHeight="1" x14ac:dyDescent="0.2">
      <c r="N605" s="38"/>
    </row>
    <row r="606" spans="14:14" ht="15.75" customHeight="1" x14ac:dyDescent="0.2">
      <c r="N606" s="38"/>
    </row>
    <row r="607" spans="14:14" ht="15.75" customHeight="1" x14ac:dyDescent="0.2">
      <c r="N607" s="38"/>
    </row>
    <row r="608" spans="14:14" ht="15.75" customHeight="1" x14ac:dyDescent="0.2">
      <c r="N608" s="38"/>
    </row>
    <row r="609" spans="14:14" ht="15.75" customHeight="1" x14ac:dyDescent="0.2">
      <c r="N609" s="38"/>
    </row>
    <row r="610" spans="14:14" ht="15.75" customHeight="1" x14ac:dyDescent="0.2">
      <c r="N610" s="38"/>
    </row>
    <row r="611" spans="14:14" ht="15.75" customHeight="1" x14ac:dyDescent="0.2">
      <c r="N611" s="38"/>
    </row>
    <row r="612" spans="14:14" ht="15.75" customHeight="1" x14ac:dyDescent="0.2">
      <c r="N612" s="38"/>
    </row>
    <row r="613" spans="14:14" ht="15.75" customHeight="1" x14ac:dyDescent="0.2">
      <c r="N613" s="38"/>
    </row>
    <row r="614" spans="14:14" ht="15.75" customHeight="1" x14ac:dyDescent="0.2">
      <c r="N614" s="38"/>
    </row>
    <row r="615" spans="14:14" ht="15.75" customHeight="1" x14ac:dyDescent="0.2">
      <c r="N615" s="38"/>
    </row>
    <row r="616" spans="14:14" ht="15.75" customHeight="1" x14ac:dyDescent="0.2">
      <c r="N616" s="38"/>
    </row>
    <row r="617" spans="14:14" ht="15.75" customHeight="1" x14ac:dyDescent="0.2">
      <c r="N617" s="38"/>
    </row>
    <row r="618" spans="14:14" ht="15.75" customHeight="1" x14ac:dyDescent="0.2">
      <c r="N618" s="38"/>
    </row>
    <row r="619" spans="14:14" ht="15.75" customHeight="1" x14ac:dyDescent="0.2">
      <c r="N619" s="38"/>
    </row>
    <row r="620" spans="14:14" ht="15.75" customHeight="1" x14ac:dyDescent="0.2">
      <c r="N620" s="38"/>
    </row>
    <row r="621" spans="14:14" ht="15.75" customHeight="1" x14ac:dyDescent="0.2">
      <c r="N621" s="38"/>
    </row>
    <row r="622" spans="14:14" ht="15.75" customHeight="1" x14ac:dyDescent="0.2">
      <c r="N622" s="38"/>
    </row>
    <row r="623" spans="14:14" ht="15.75" customHeight="1" x14ac:dyDescent="0.2">
      <c r="N623" s="38"/>
    </row>
    <row r="624" spans="14:14" ht="15.75" customHeight="1" x14ac:dyDescent="0.2">
      <c r="N624" s="38"/>
    </row>
    <row r="625" spans="14:14" ht="15.75" customHeight="1" x14ac:dyDescent="0.2">
      <c r="N625" s="38"/>
    </row>
    <row r="626" spans="14:14" ht="15.75" customHeight="1" x14ac:dyDescent="0.2">
      <c r="N626" s="38"/>
    </row>
    <row r="627" spans="14:14" ht="15.75" customHeight="1" x14ac:dyDescent="0.2">
      <c r="N627" s="38"/>
    </row>
    <row r="628" spans="14:14" ht="15.75" customHeight="1" x14ac:dyDescent="0.2">
      <c r="N628" s="38"/>
    </row>
    <row r="629" spans="14:14" ht="15.75" customHeight="1" x14ac:dyDescent="0.2">
      <c r="N629" s="38"/>
    </row>
    <row r="630" spans="14:14" ht="15.75" customHeight="1" x14ac:dyDescent="0.2">
      <c r="N630" s="38"/>
    </row>
    <row r="631" spans="14:14" ht="15.75" customHeight="1" x14ac:dyDescent="0.2">
      <c r="N631" s="38"/>
    </row>
    <row r="632" spans="14:14" ht="15.75" customHeight="1" x14ac:dyDescent="0.2">
      <c r="N632" s="38"/>
    </row>
    <row r="633" spans="14:14" ht="15.75" customHeight="1" x14ac:dyDescent="0.2">
      <c r="N633" s="38"/>
    </row>
    <row r="634" spans="14:14" ht="15.75" customHeight="1" x14ac:dyDescent="0.2">
      <c r="N634" s="38"/>
    </row>
    <row r="635" spans="14:14" ht="15.75" customHeight="1" x14ac:dyDescent="0.2">
      <c r="N635" s="38"/>
    </row>
    <row r="636" spans="14:14" ht="15.75" customHeight="1" x14ac:dyDescent="0.2">
      <c r="N636" s="38"/>
    </row>
    <row r="637" spans="14:14" ht="15.75" customHeight="1" x14ac:dyDescent="0.2">
      <c r="N637" s="38"/>
    </row>
    <row r="638" spans="14:14" ht="15.75" customHeight="1" x14ac:dyDescent="0.2">
      <c r="N638" s="38"/>
    </row>
    <row r="639" spans="14:14" ht="15.75" customHeight="1" x14ac:dyDescent="0.2">
      <c r="N639" s="38"/>
    </row>
    <row r="640" spans="14:14" ht="15.75" customHeight="1" x14ac:dyDescent="0.2">
      <c r="N640" s="38"/>
    </row>
    <row r="641" spans="14:14" ht="15.75" customHeight="1" x14ac:dyDescent="0.2">
      <c r="N641" s="38"/>
    </row>
    <row r="642" spans="14:14" ht="15.75" customHeight="1" x14ac:dyDescent="0.2">
      <c r="N642" s="38"/>
    </row>
    <row r="643" spans="14:14" ht="15.75" customHeight="1" x14ac:dyDescent="0.2">
      <c r="N643" s="38"/>
    </row>
    <row r="644" spans="14:14" ht="15.75" customHeight="1" x14ac:dyDescent="0.2">
      <c r="N644" s="38"/>
    </row>
    <row r="645" spans="14:14" ht="15.75" customHeight="1" x14ac:dyDescent="0.2">
      <c r="N645" s="38"/>
    </row>
    <row r="646" spans="14:14" ht="15.75" customHeight="1" x14ac:dyDescent="0.2">
      <c r="N646" s="38"/>
    </row>
    <row r="647" spans="14:14" ht="15.75" customHeight="1" x14ac:dyDescent="0.2">
      <c r="N647" s="38"/>
    </row>
    <row r="648" spans="14:14" ht="15.75" customHeight="1" x14ac:dyDescent="0.2">
      <c r="N648" s="38"/>
    </row>
    <row r="649" spans="14:14" ht="15.75" customHeight="1" x14ac:dyDescent="0.2">
      <c r="N649" s="38"/>
    </row>
    <row r="650" spans="14:14" ht="15.75" customHeight="1" x14ac:dyDescent="0.2">
      <c r="N650" s="38"/>
    </row>
    <row r="651" spans="14:14" ht="15.75" customHeight="1" x14ac:dyDescent="0.2">
      <c r="N651" s="38"/>
    </row>
    <row r="652" spans="14:14" ht="15.75" customHeight="1" x14ac:dyDescent="0.2">
      <c r="N652" s="38"/>
    </row>
    <row r="653" spans="14:14" ht="15.75" customHeight="1" x14ac:dyDescent="0.2">
      <c r="N653" s="38"/>
    </row>
    <row r="654" spans="14:14" ht="15.75" customHeight="1" x14ac:dyDescent="0.2">
      <c r="N654" s="38"/>
    </row>
    <row r="655" spans="14:14" ht="15.75" customHeight="1" x14ac:dyDescent="0.2">
      <c r="N655" s="38"/>
    </row>
    <row r="656" spans="14:14" ht="15.75" customHeight="1" x14ac:dyDescent="0.2">
      <c r="N656" s="38"/>
    </row>
    <row r="657" spans="14:14" ht="15.75" customHeight="1" x14ac:dyDescent="0.2">
      <c r="N657" s="38"/>
    </row>
    <row r="658" spans="14:14" ht="15.75" customHeight="1" x14ac:dyDescent="0.2">
      <c r="N658" s="38"/>
    </row>
    <row r="659" spans="14:14" ht="15.75" customHeight="1" x14ac:dyDescent="0.2">
      <c r="N659" s="38"/>
    </row>
    <row r="660" spans="14:14" ht="15.75" customHeight="1" x14ac:dyDescent="0.2">
      <c r="N660" s="38"/>
    </row>
    <row r="661" spans="14:14" ht="15.75" customHeight="1" x14ac:dyDescent="0.2">
      <c r="N661" s="38"/>
    </row>
    <row r="662" spans="14:14" ht="15.75" customHeight="1" x14ac:dyDescent="0.2">
      <c r="N662" s="38"/>
    </row>
    <row r="663" spans="14:14" ht="15.75" customHeight="1" x14ac:dyDescent="0.2">
      <c r="N663" s="38"/>
    </row>
    <row r="664" spans="14:14" ht="15.75" customHeight="1" x14ac:dyDescent="0.2">
      <c r="N664" s="38"/>
    </row>
    <row r="665" spans="14:14" ht="15.75" customHeight="1" x14ac:dyDescent="0.2">
      <c r="N665" s="38"/>
    </row>
    <row r="666" spans="14:14" ht="15.75" customHeight="1" x14ac:dyDescent="0.2">
      <c r="N666" s="38"/>
    </row>
    <row r="667" spans="14:14" ht="15.75" customHeight="1" x14ac:dyDescent="0.2">
      <c r="N667" s="38"/>
    </row>
    <row r="668" spans="14:14" ht="15.75" customHeight="1" x14ac:dyDescent="0.2">
      <c r="N668" s="38"/>
    </row>
    <row r="669" spans="14:14" ht="15.75" customHeight="1" x14ac:dyDescent="0.2">
      <c r="N669" s="38"/>
    </row>
    <row r="670" spans="14:14" ht="15.75" customHeight="1" x14ac:dyDescent="0.2">
      <c r="N670" s="38"/>
    </row>
    <row r="671" spans="14:14" ht="15.75" customHeight="1" x14ac:dyDescent="0.2">
      <c r="N671" s="38"/>
    </row>
    <row r="672" spans="14:14" ht="15.75" customHeight="1" x14ac:dyDescent="0.2">
      <c r="N672" s="38"/>
    </row>
    <row r="673" spans="14:14" ht="15.75" customHeight="1" x14ac:dyDescent="0.2">
      <c r="N673" s="38"/>
    </row>
    <row r="674" spans="14:14" ht="15.75" customHeight="1" x14ac:dyDescent="0.2">
      <c r="N674" s="38"/>
    </row>
    <row r="675" spans="14:14" ht="15.75" customHeight="1" x14ac:dyDescent="0.2">
      <c r="N675" s="38"/>
    </row>
    <row r="676" spans="14:14" ht="15.75" customHeight="1" x14ac:dyDescent="0.2">
      <c r="N676" s="38"/>
    </row>
    <row r="677" spans="14:14" ht="15.75" customHeight="1" x14ac:dyDescent="0.2">
      <c r="N677" s="38"/>
    </row>
    <row r="678" spans="14:14" ht="15.75" customHeight="1" x14ac:dyDescent="0.2">
      <c r="N678" s="38"/>
    </row>
    <row r="679" spans="14:14" ht="15.75" customHeight="1" x14ac:dyDescent="0.2">
      <c r="N679" s="38"/>
    </row>
    <row r="680" spans="14:14" ht="15.75" customHeight="1" x14ac:dyDescent="0.2">
      <c r="N680" s="38"/>
    </row>
    <row r="681" spans="14:14" ht="15.75" customHeight="1" x14ac:dyDescent="0.2">
      <c r="N681" s="38"/>
    </row>
    <row r="682" spans="14:14" ht="15.75" customHeight="1" x14ac:dyDescent="0.2">
      <c r="N682" s="38"/>
    </row>
    <row r="683" spans="14:14" ht="15.75" customHeight="1" x14ac:dyDescent="0.2">
      <c r="N683" s="38"/>
    </row>
    <row r="684" spans="14:14" ht="15.75" customHeight="1" x14ac:dyDescent="0.2">
      <c r="N684" s="38"/>
    </row>
    <row r="685" spans="14:14" ht="15.75" customHeight="1" x14ac:dyDescent="0.2">
      <c r="N685" s="38"/>
    </row>
    <row r="686" spans="14:14" ht="15.75" customHeight="1" x14ac:dyDescent="0.2">
      <c r="N686" s="38"/>
    </row>
    <row r="687" spans="14:14" ht="15.75" customHeight="1" x14ac:dyDescent="0.2">
      <c r="N687" s="38"/>
    </row>
    <row r="688" spans="14:14" ht="15.75" customHeight="1" x14ac:dyDescent="0.2">
      <c r="N688" s="38"/>
    </row>
    <row r="689" spans="14:14" ht="15.75" customHeight="1" x14ac:dyDescent="0.2">
      <c r="N689" s="38"/>
    </row>
    <row r="690" spans="14:14" ht="15.75" customHeight="1" x14ac:dyDescent="0.2">
      <c r="N690" s="38"/>
    </row>
    <row r="691" spans="14:14" ht="15.75" customHeight="1" x14ac:dyDescent="0.2">
      <c r="N691" s="38"/>
    </row>
    <row r="692" spans="14:14" ht="15.75" customHeight="1" x14ac:dyDescent="0.2">
      <c r="N692" s="38"/>
    </row>
    <row r="693" spans="14:14" ht="15.75" customHeight="1" x14ac:dyDescent="0.2">
      <c r="N693" s="38"/>
    </row>
    <row r="694" spans="14:14" ht="15.75" customHeight="1" x14ac:dyDescent="0.2">
      <c r="N694" s="38"/>
    </row>
    <row r="695" spans="14:14" ht="15.75" customHeight="1" x14ac:dyDescent="0.2">
      <c r="N695" s="38"/>
    </row>
    <row r="696" spans="14:14" ht="15.75" customHeight="1" x14ac:dyDescent="0.2">
      <c r="N696" s="38"/>
    </row>
    <row r="697" spans="14:14" ht="15.75" customHeight="1" x14ac:dyDescent="0.2">
      <c r="N697" s="38"/>
    </row>
    <row r="698" spans="14:14" ht="15.75" customHeight="1" x14ac:dyDescent="0.2">
      <c r="N698" s="38"/>
    </row>
    <row r="699" spans="14:14" ht="15.75" customHeight="1" x14ac:dyDescent="0.2">
      <c r="N699" s="38"/>
    </row>
    <row r="700" spans="14:14" ht="15.75" customHeight="1" x14ac:dyDescent="0.2">
      <c r="N700" s="38"/>
    </row>
    <row r="701" spans="14:14" ht="15.75" customHeight="1" x14ac:dyDescent="0.2">
      <c r="N701" s="38"/>
    </row>
    <row r="702" spans="14:14" ht="15.75" customHeight="1" x14ac:dyDescent="0.2">
      <c r="N702" s="38"/>
    </row>
    <row r="703" spans="14:14" ht="15.75" customHeight="1" x14ac:dyDescent="0.2">
      <c r="N703" s="38"/>
    </row>
    <row r="704" spans="14:14" ht="15.75" customHeight="1" x14ac:dyDescent="0.2">
      <c r="N704" s="38"/>
    </row>
    <row r="705" spans="14:14" ht="15.75" customHeight="1" x14ac:dyDescent="0.2">
      <c r="N705" s="38"/>
    </row>
    <row r="706" spans="14:14" ht="15.75" customHeight="1" x14ac:dyDescent="0.2">
      <c r="N706" s="38"/>
    </row>
    <row r="707" spans="14:14" ht="15.75" customHeight="1" x14ac:dyDescent="0.2">
      <c r="N707" s="38"/>
    </row>
    <row r="708" spans="14:14" ht="15.75" customHeight="1" x14ac:dyDescent="0.2">
      <c r="N708" s="38"/>
    </row>
    <row r="709" spans="14:14" ht="15.75" customHeight="1" x14ac:dyDescent="0.2">
      <c r="N709" s="38"/>
    </row>
    <row r="710" spans="14:14" ht="15.75" customHeight="1" x14ac:dyDescent="0.2">
      <c r="N710" s="38"/>
    </row>
    <row r="711" spans="14:14" ht="15.75" customHeight="1" x14ac:dyDescent="0.2">
      <c r="N711" s="38"/>
    </row>
    <row r="712" spans="14:14" ht="15.75" customHeight="1" x14ac:dyDescent="0.2">
      <c r="N712" s="38"/>
    </row>
    <row r="713" spans="14:14" ht="15.75" customHeight="1" x14ac:dyDescent="0.2">
      <c r="N713" s="38"/>
    </row>
    <row r="714" spans="14:14" ht="15.75" customHeight="1" x14ac:dyDescent="0.2">
      <c r="N714" s="38"/>
    </row>
    <row r="715" spans="14:14" ht="15.75" customHeight="1" x14ac:dyDescent="0.2">
      <c r="N715" s="38"/>
    </row>
    <row r="716" spans="14:14" ht="15.75" customHeight="1" x14ac:dyDescent="0.2">
      <c r="N716" s="38"/>
    </row>
    <row r="717" spans="14:14" ht="15.75" customHeight="1" x14ac:dyDescent="0.2">
      <c r="N717" s="38"/>
    </row>
    <row r="718" spans="14:14" ht="15.75" customHeight="1" x14ac:dyDescent="0.2">
      <c r="N718" s="38"/>
    </row>
    <row r="719" spans="14:14" ht="15.75" customHeight="1" x14ac:dyDescent="0.2">
      <c r="N719" s="38"/>
    </row>
    <row r="720" spans="14:14" ht="15.75" customHeight="1" x14ac:dyDescent="0.2">
      <c r="N720" s="38"/>
    </row>
    <row r="721" spans="14:14" ht="15.75" customHeight="1" x14ac:dyDescent="0.2">
      <c r="N721" s="38"/>
    </row>
    <row r="722" spans="14:14" ht="15.75" customHeight="1" x14ac:dyDescent="0.2">
      <c r="N722" s="38"/>
    </row>
    <row r="723" spans="14:14" ht="15.75" customHeight="1" x14ac:dyDescent="0.2">
      <c r="N723" s="38"/>
    </row>
    <row r="724" spans="14:14" ht="15.75" customHeight="1" x14ac:dyDescent="0.2">
      <c r="N724" s="38"/>
    </row>
    <row r="725" spans="14:14" ht="15.75" customHeight="1" x14ac:dyDescent="0.2">
      <c r="N725" s="38"/>
    </row>
    <row r="726" spans="14:14" ht="15.75" customHeight="1" x14ac:dyDescent="0.2">
      <c r="N726" s="38"/>
    </row>
    <row r="727" spans="14:14" ht="15.75" customHeight="1" x14ac:dyDescent="0.2">
      <c r="N727" s="38"/>
    </row>
    <row r="728" spans="14:14" ht="15.75" customHeight="1" x14ac:dyDescent="0.2">
      <c r="N728" s="38"/>
    </row>
    <row r="729" spans="14:14" ht="15.75" customHeight="1" x14ac:dyDescent="0.2">
      <c r="N729" s="38"/>
    </row>
    <row r="730" spans="14:14" ht="15.75" customHeight="1" x14ac:dyDescent="0.2">
      <c r="N730" s="38"/>
    </row>
    <row r="731" spans="14:14" ht="15.75" customHeight="1" x14ac:dyDescent="0.2">
      <c r="N731" s="38"/>
    </row>
    <row r="732" spans="14:14" ht="15.75" customHeight="1" x14ac:dyDescent="0.2">
      <c r="N732" s="38"/>
    </row>
    <row r="733" spans="14:14" ht="15.75" customHeight="1" x14ac:dyDescent="0.2">
      <c r="N733" s="38"/>
    </row>
    <row r="734" spans="14:14" ht="15.75" customHeight="1" x14ac:dyDescent="0.2">
      <c r="N734" s="38"/>
    </row>
    <row r="735" spans="14:14" ht="15.75" customHeight="1" x14ac:dyDescent="0.2">
      <c r="N735" s="38"/>
    </row>
    <row r="736" spans="14:14" ht="15.75" customHeight="1" x14ac:dyDescent="0.2">
      <c r="N736" s="38"/>
    </row>
    <row r="737" spans="14:14" ht="15.75" customHeight="1" x14ac:dyDescent="0.2">
      <c r="N737" s="38"/>
    </row>
    <row r="738" spans="14:14" ht="15.75" customHeight="1" x14ac:dyDescent="0.2">
      <c r="N738" s="38"/>
    </row>
    <row r="739" spans="14:14" ht="15.75" customHeight="1" x14ac:dyDescent="0.2">
      <c r="N739" s="38"/>
    </row>
    <row r="740" spans="14:14" ht="15.75" customHeight="1" x14ac:dyDescent="0.2">
      <c r="N740" s="38"/>
    </row>
    <row r="741" spans="14:14" ht="15.75" customHeight="1" x14ac:dyDescent="0.2">
      <c r="N741" s="38"/>
    </row>
    <row r="742" spans="14:14" ht="15.75" customHeight="1" x14ac:dyDescent="0.2">
      <c r="N742" s="38"/>
    </row>
    <row r="743" spans="14:14" ht="15.75" customHeight="1" x14ac:dyDescent="0.2">
      <c r="N743" s="38"/>
    </row>
    <row r="744" spans="14:14" ht="15.75" customHeight="1" x14ac:dyDescent="0.2">
      <c r="N744" s="38"/>
    </row>
    <row r="745" spans="14:14" ht="15.75" customHeight="1" x14ac:dyDescent="0.2">
      <c r="N745" s="38"/>
    </row>
    <row r="746" spans="14:14" ht="15.75" customHeight="1" x14ac:dyDescent="0.2">
      <c r="N746" s="38"/>
    </row>
    <row r="747" spans="14:14" ht="15.75" customHeight="1" x14ac:dyDescent="0.2">
      <c r="N747" s="38"/>
    </row>
    <row r="748" spans="14:14" ht="15.75" customHeight="1" x14ac:dyDescent="0.2">
      <c r="N748" s="38"/>
    </row>
    <row r="749" spans="14:14" ht="15.75" customHeight="1" x14ac:dyDescent="0.2">
      <c r="N749" s="38"/>
    </row>
    <row r="750" spans="14:14" ht="15.75" customHeight="1" x14ac:dyDescent="0.2">
      <c r="N750" s="38"/>
    </row>
    <row r="751" spans="14:14" ht="15.75" customHeight="1" x14ac:dyDescent="0.2">
      <c r="N751" s="38"/>
    </row>
    <row r="752" spans="14:14" ht="15.75" customHeight="1" x14ac:dyDescent="0.2">
      <c r="N752" s="38"/>
    </row>
    <row r="753" spans="14:14" ht="15.75" customHeight="1" x14ac:dyDescent="0.2">
      <c r="N753" s="38"/>
    </row>
    <row r="754" spans="14:14" ht="15.75" customHeight="1" x14ac:dyDescent="0.2">
      <c r="N754" s="38"/>
    </row>
    <row r="755" spans="14:14" ht="15.75" customHeight="1" x14ac:dyDescent="0.2">
      <c r="N755" s="38"/>
    </row>
    <row r="756" spans="14:14" ht="15.75" customHeight="1" x14ac:dyDescent="0.2">
      <c r="N756" s="38"/>
    </row>
    <row r="757" spans="14:14" ht="15.75" customHeight="1" x14ac:dyDescent="0.2">
      <c r="N757" s="38"/>
    </row>
    <row r="758" spans="14:14" ht="15.75" customHeight="1" x14ac:dyDescent="0.2">
      <c r="N758" s="38"/>
    </row>
    <row r="759" spans="14:14" ht="15.75" customHeight="1" x14ac:dyDescent="0.2">
      <c r="N759" s="38"/>
    </row>
    <row r="760" spans="14:14" ht="15.75" customHeight="1" x14ac:dyDescent="0.2">
      <c r="N760" s="38"/>
    </row>
    <row r="761" spans="14:14" ht="15.75" customHeight="1" x14ac:dyDescent="0.2">
      <c r="N761" s="38"/>
    </row>
    <row r="762" spans="14:14" ht="15.75" customHeight="1" x14ac:dyDescent="0.2">
      <c r="N762" s="38"/>
    </row>
    <row r="763" spans="14:14" ht="15.75" customHeight="1" x14ac:dyDescent="0.2">
      <c r="N763" s="38"/>
    </row>
    <row r="764" spans="14:14" ht="15.75" customHeight="1" x14ac:dyDescent="0.2">
      <c r="N764" s="38"/>
    </row>
    <row r="765" spans="14:14" ht="15.75" customHeight="1" x14ac:dyDescent="0.2">
      <c r="N765" s="38"/>
    </row>
    <row r="766" spans="14:14" ht="15.75" customHeight="1" x14ac:dyDescent="0.2">
      <c r="N766" s="38"/>
    </row>
    <row r="767" spans="14:14" ht="15.75" customHeight="1" x14ac:dyDescent="0.2">
      <c r="N767" s="38"/>
    </row>
    <row r="768" spans="14:14" ht="15.75" customHeight="1" x14ac:dyDescent="0.2">
      <c r="N768" s="38"/>
    </row>
    <row r="769" spans="14:14" ht="15.75" customHeight="1" x14ac:dyDescent="0.2">
      <c r="N769" s="38"/>
    </row>
    <row r="770" spans="14:14" ht="15.75" customHeight="1" x14ac:dyDescent="0.2">
      <c r="N770" s="38"/>
    </row>
    <row r="771" spans="14:14" ht="15.75" customHeight="1" x14ac:dyDescent="0.2">
      <c r="N771" s="38"/>
    </row>
    <row r="772" spans="14:14" ht="15.75" customHeight="1" x14ac:dyDescent="0.2">
      <c r="N772" s="38"/>
    </row>
    <row r="773" spans="14:14" ht="15.75" customHeight="1" x14ac:dyDescent="0.2">
      <c r="N773" s="38"/>
    </row>
    <row r="774" spans="14:14" ht="15.75" customHeight="1" x14ac:dyDescent="0.2">
      <c r="N774" s="38"/>
    </row>
    <row r="775" spans="14:14" ht="15.75" customHeight="1" x14ac:dyDescent="0.2">
      <c r="N775" s="38"/>
    </row>
    <row r="776" spans="14:14" ht="15.75" customHeight="1" x14ac:dyDescent="0.2">
      <c r="N776" s="38"/>
    </row>
    <row r="777" spans="14:14" ht="15.75" customHeight="1" x14ac:dyDescent="0.2">
      <c r="N777" s="38"/>
    </row>
    <row r="778" spans="14:14" ht="15.75" customHeight="1" x14ac:dyDescent="0.2">
      <c r="N778" s="38"/>
    </row>
    <row r="779" spans="14:14" ht="15.75" customHeight="1" x14ac:dyDescent="0.2">
      <c r="N779" s="38"/>
    </row>
    <row r="780" spans="14:14" ht="15.75" customHeight="1" x14ac:dyDescent="0.2">
      <c r="N780" s="38"/>
    </row>
    <row r="781" spans="14:14" ht="15.75" customHeight="1" x14ac:dyDescent="0.2">
      <c r="N781" s="38"/>
    </row>
    <row r="782" spans="14:14" ht="15.75" customHeight="1" x14ac:dyDescent="0.2">
      <c r="N782" s="38"/>
    </row>
    <row r="783" spans="14:14" ht="15.75" customHeight="1" x14ac:dyDescent="0.2">
      <c r="N783" s="38"/>
    </row>
    <row r="784" spans="14:14" ht="15.75" customHeight="1" x14ac:dyDescent="0.2">
      <c r="N784" s="38"/>
    </row>
    <row r="785" spans="14:14" ht="15.75" customHeight="1" x14ac:dyDescent="0.2">
      <c r="N785" s="38"/>
    </row>
    <row r="786" spans="14:14" ht="15.75" customHeight="1" x14ac:dyDescent="0.2">
      <c r="N786" s="38"/>
    </row>
    <row r="787" spans="14:14" ht="15.75" customHeight="1" x14ac:dyDescent="0.2">
      <c r="N787" s="38"/>
    </row>
    <row r="788" spans="14:14" ht="15.75" customHeight="1" x14ac:dyDescent="0.2">
      <c r="N788" s="38"/>
    </row>
    <row r="789" spans="14:14" ht="15.75" customHeight="1" x14ac:dyDescent="0.2">
      <c r="N789" s="38"/>
    </row>
    <row r="790" spans="14:14" ht="15.75" customHeight="1" x14ac:dyDescent="0.2">
      <c r="N790" s="38"/>
    </row>
    <row r="791" spans="14:14" ht="15.75" customHeight="1" x14ac:dyDescent="0.2">
      <c r="N791" s="38"/>
    </row>
    <row r="792" spans="14:14" ht="15.75" customHeight="1" x14ac:dyDescent="0.2">
      <c r="N792" s="38"/>
    </row>
    <row r="793" spans="14:14" ht="15.75" customHeight="1" x14ac:dyDescent="0.2">
      <c r="N793" s="38"/>
    </row>
    <row r="794" spans="14:14" ht="15.75" customHeight="1" x14ac:dyDescent="0.2">
      <c r="N794" s="38"/>
    </row>
    <row r="795" spans="14:14" ht="15.75" customHeight="1" x14ac:dyDescent="0.2">
      <c r="N795" s="38"/>
    </row>
    <row r="796" spans="14:14" ht="15.75" customHeight="1" x14ac:dyDescent="0.2">
      <c r="N796" s="38"/>
    </row>
    <row r="797" spans="14:14" ht="15.75" customHeight="1" x14ac:dyDescent="0.2">
      <c r="N797" s="38"/>
    </row>
    <row r="798" spans="14:14" ht="15.75" customHeight="1" x14ac:dyDescent="0.2">
      <c r="N798" s="38"/>
    </row>
    <row r="799" spans="14:14" ht="15.75" customHeight="1" x14ac:dyDescent="0.2">
      <c r="N799" s="38"/>
    </row>
    <row r="800" spans="14:14" ht="15.75" customHeight="1" x14ac:dyDescent="0.2">
      <c r="N800" s="38"/>
    </row>
    <row r="801" spans="14:14" ht="15.75" customHeight="1" x14ac:dyDescent="0.2">
      <c r="N801" s="38"/>
    </row>
    <row r="802" spans="14:14" ht="15.75" customHeight="1" x14ac:dyDescent="0.2">
      <c r="N802" s="38"/>
    </row>
    <row r="803" spans="14:14" ht="15.75" customHeight="1" x14ac:dyDescent="0.2">
      <c r="N803" s="38"/>
    </row>
    <row r="804" spans="14:14" ht="15.75" customHeight="1" x14ac:dyDescent="0.2">
      <c r="N804" s="38"/>
    </row>
    <row r="805" spans="14:14" ht="15.75" customHeight="1" x14ac:dyDescent="0.2">
      <c r="N805" s="38"/>
    </row>
    <row r="806" spans="14:14" ht="15.75" customHeight="1" x14ac:dyDescent="0.2">
      <c r="N806" s="38"/>
    </row>
    <row r="807" spans="14:14" ht="15.75" customHeight="1" x14ac:dyDescent="0.2">
      <c r="N807" s="38"/>
    </row>
    <row r="808" spans="14:14" ht="15.75" customHeight="1" x14ac:dyDescent="0.2">
      <c r="N808" s="38"/>
    </row>
    <row r="809" spans="14:14" ht="15.75" customHeight="1" x14ac:dyDescent="0.2">
      <c r="N809" s="38"/>
    </row>
    <row r="810" spans="14:14" ht="15.75" customHeight="1" x14ac:dyDescent="0.2">
      <c r="N810" s="38"/>
    </row>
    <row r="811" spans="14:14" ht="15.75" customHeight="1" x14ac:dyDescent="0.2">
      <c r="N811" s="38"/>
    </row>
    <row r="812" spans="14:14" ht="15.75" customHeight="1" x14ac:dyDescent="0.2">
      <c r="N812" s="38"/>
    </row>
    <row r="813" spans="14:14" ht="15.75" customHeight="1" x14ac:dyDescent="0.2">
      <c r="N813" s="38"/>
    </row>
    <row r="814" spans="14:14" ht="15.75" customHeight="1" x14ac:dyDescent="0.2">
      <c r="N814" s="38"/>
    </row>
    <row r="815" spans="14:14" ht="15.75" customHeight="1" x14ac:dyDescent="0.2">
      <c r="N815" s="38"/>
    </row>
    <row r="816" spans="14:14" ht="15.75" customHeight="1" x14ac:dyDescent="0.2">
      <c r="N816" s="38"/>
    </row>
    <row r="817" spans="14:14" ht="15.75" customHeight="1" x14ac:dyDescent="0.2">
      <c r="N817" s="38"/>
    </row>
    <row r="818" spans="14:14" ht="15.75" customHeight="1" x14ac:dyDescent="0.2">
      <c r="N818" s="38"/>
    </row>
    <row r="819" spans="14:14" ht="15.75" customHeight="1" x14ac:dyDescent="0.2">
      <c r="N819" s="38"/>
    </row>
    <row r="820" spans="14:14" ht="15.75" customHeight="1" x14ac:dyDescent="0.2">
      <c r="N820" s="38"/>
    </row>
    <row r="821" spans="14:14" ht="15.75" customHeight="1" x14ac:dyDescent="0.2">
      <c r="N821" s="38"/>
    </row>
    <row r="822" spans="14:14" ht="15.75" customHeight="1" x14ac:dyDescent="0.2">
      <c r="N822" s="38"/>
    </row>
    <row r="823" spans="14:14" ht="15.75" customHeight="1" x14ac:dyDescent="0.2">
      <c r="N823" s="38"/>
    </row>
    <row r="824" spans="14:14" ht="15.75" customHeight="1" x14ac:dyDescent="0.2">
      <c r="N824" s="38"/>
    </row>
    <row r="825" spans="14:14" ht="15.75" customHeight="1" x14ac:dyDescent="0.2">
      <c r="N825" s="38"/>
    </row>
    <row r="826" spans="14:14" ht="15.75" customHeight="1" x14ac:dyDescent="0.2">
      <c r="N826" s="38"/>
    </row>
    <row r="827" spans="14:14" ht="15.75" customHeight="1" x14ac:dyDescent="0.2">
      <c r="N827" s="38"/>
    </row>
    <row r="828" spans="14:14" ht="15.75" customHeight="1" x14ac:dyDescent="0.2">
      <c r="N828" s="38"/>
    </row>
    <row r="829" spans="14:14" ht="15.75" customHeight="1" x14ac:dyDescent="0.2">
      <c r="N829" s="38"/>
    </row>
    <row r="830" spans="14:14" ht="15.75" customHeight="1" x14ac:dyDescent="0.2">
      <c r="N830" s="38"/>
    </row>
    <row r="831" spans="14:14" ht="15.75" customHeight="1" x14ac:dyDescent="0.2">
      <c r="N831" s="38"/>
    </row>
    <row r="832" spans="14:14" ht="15.75" customHeight="1" x14ac:dyDescent="0.2">
      <c r="N832" s="38"/>
    </row>
    <row r="833" spans="14:14" ht="15.75" customHeight="1" x14ac:dyDescent="0.2">
      <c r="N833" s="38"/>
    </row>
    <row r="834" spans="14:14" ht="15.75" customHeight="1" x14ac:dyDescent="0.2">
      <c r="N834" s="38"/>
    </row>
    <row r="835" spans="14:14" ht="15.75" customHeight="1" x14ac:dyDescent="0.2">
      <c r="N835" s="38"/>
    </row>
    <row r="836" spans="14:14" ht="15.75" customHeight="1" x14ac:dyDescent="0.2">
      <c r="N836" s="38"/>
    </row>
    <row r="837" spans="14:14" ht="15.75" customHeight="1" x14ac:dyDescent="0.2">
      <c r="N837" s="38"/>
    </row>
    <row r="838" spans="14:14" ht="15.75" customHeight="1" x14ac:dyDescent="0.2">
      <c r="N838" s="38"/>
    </row>
    <row r="839" spans="14:14" ht="15.75" customHeight="1" x14ac:dyDescent="0.2">
      <c r="N839" s="38"/>
    </row>
    <row r="840" spans="14:14" ht="15.75" customHeight="1" x14ac:dyDescent="0.2">
      <c r="N840" s="38"/>
    </row>
    <row r="841" spans="14:14" ht="15.75" customHeight="1" x14ac:dyDescent="0.2">
      <c r="N841" s="38"/>
    </row>
    <row r="842" spans="14:14" ht="15.75" customHeight="1" x14ac:dyDescent="0.2">
      <c r="N842" s="38"/>
    </row>
    <row r="843" spans="14:14" ht="15.75" customHeight="1" x14ac:dyDescent="0.2">
      <c r="N843" s="38"/>
    </row>
    <row r="844" spans="14:14" ht="15.75" customHeight="1" x14ac:dyDescent="0.2">
      <c r="N844" s="38"/>
    </row>
    <row r="845" spans="14:14" ht="15.75" customHeight="1" x14ac:dyDescent="0.2">
      <c r="N845" s="38"/>
    </row>
    <row r="846" spans="14:14" ht="15.75" customHeight="1" x14ac:dyDescent="0.2">
      <c r="N846" s="38"/>
    </row>
    <row r="847" spans="14:14" ht="15.75" customHeight="1" x14ac:dyDescent="0.2">
      <c r="N847" s="38"/>
    </row>
    <row r="848" spans="14:14" ht="15.75" customHeight="1" x14ac:dyDescent="0.2">
      <c r="N848" s="38"/>
    </row>
    <row r="849" spans="14:14" ht="15.75" customHeight="1" x14ac:dyDescent="0.2">
      <c r="N849" s="38"/>
    </row>
    <row r="850" spans="14:14" ht="15.75" customHeight="1" x14ac:dyDescent="0.2">
      <c r="N850" s="38"/>
    </row>
    <row r="851" spans="14:14" ht="15.75" customHeight="1" x14ac:dyDescent="0.2">
      <c r="N851" s="38"/>
    </row>
    <row r="852" spans="14:14" ht="15.75" customHeight="1" x14ac:dyDescent="0.2">
      <c r="N852" s="38"/>
    </row>
    <row r="853" spans="14:14" ht="15.75" customHeight="1" x14ac:dyDescent="0.2">
      <c r="N853" s="38"/>
    </row>
    <row r="854" spans="14:14" ht="15.75" customHeight="1" x14ac:dyDescent="0.2">
      <c r="N854" s="38"/>
    </row>
    <row r="855" spans="14:14" ht="15.75" customHeight="1" x14ac:dyDescent="0.2">
      <c r="N855" s="38"/>
    </row>
    <row r="856" spans="14:14" ht="15.75" customHeight="1" x14ac:dyDescent="0.2">
      <c r="N856" s="38"/>
    </row>
    <row r="857" spans="14:14" ht="15.75" customHeight="1" x14ac:dyDescent="0.2">
      <c r="N857" s="38"/>
    </row>
    <row r="858" spans="14:14" ht="15.75" customHeight="1" x14ac:dyDescent="0.2">
      <c r="N858" s="38"/>
    </row>
    <row r="859" spans="14:14" ht="15.75" customHeight="1" x14ac:dyDescent="0.2">
      <c r="N859" s="38"/>
    </row>
    <row r="860" spans="14:14" ht="15.75" customHeight="1" x14ac:dyDescent="0.2">
      <c r="N860" s="38"/>
    </row>
    <row r="861" spans="14:14" ht="15.75" customHeight="1" x14ac:dyDescent="0.2">
      <c r="N861" s="38"/>
    </row>
    <row r="862" spans="14:14" ht="15.75" customHeight="1" x14ac:dyDescent="0.2">
      <c r="N862" s="38"/>
    </row>
    <row r="863" spans="14:14" ht="15.75" customHeight="1" x14ac:dyDescent="0.2">
      <c r="N863" s="38"/>
    </row>
    <row r="864" spans="14:14" ht="15.75" customHeight="1" x14ac:dyDescent="0.2">
      <c r="N864" s="38"/>
    </row>
    <row r="865" spans="14:14" ht="15.75" customHeight="1" x14ac:dyDescent="0.2">
      <c r="N865" s="38"/>
    </row>
    <row r="866" spans="14:14" ht="15.75" customHeight="1" x14ac:dyDescent="0.2">
      <c r="N866" s="38"/>
    </row>
    <row r="867" spans="14:14" ht="15.75" customHeight="1" x14ac:dyDescent="0.2">
      <c r="N867" s="38"/>
    </row>
    <row r="868" spans="14:14" ht="15.75" customHeight="1" x14ac:dyDescent="0.2">
      <c r="N868" s="38"/>
    </row>
    <row r="869" spans="14:14" ht="15.75" customHeight="1" x14ac:dyDescent="0.2">
      <c r="N869" s="38"/>
    </row>
    <row r="870" spans="14:14" ht="15.75" customHeight="1" x14ac:dyDescent="0.2">
      <c r="N870" s="38"/>
    </row>
    <row r="871" spans="14:14" ht="15.75" customHeight="1" x14ac:dyDescent="0.2">
      <c r="N871" s="38"/>
    </row>
    <row r="872" spans="14:14" ht="15.75" customHeight="1" x14ac:dyDescent="0.2">
      <c r="N872" s="38"/>
    </row>
    <row r="873" spans="14:14" ht="15.75" customHeight="1" x14ac:dyDescent="0.2">
      <c r="N873" s="38"/>
    </row>
    <row r="874" spans="14:14" ht="15.75" customHeight="1" x14ac:dyDescent="0.2">
      <c r="N874" s="38"/>
    </row>
    <row r="875" spans="14:14" ht="15.75" customHeight="1" x14ac:dyDescent="0.2">
      <c r="N875" s="38"/>
    </row>
    <row r="876" spans="14:14" ht="15.75" customHeight="1" x14ac:dyDescent="0.2">
      <c r="N876" s="38"/>
    </row>
    <row r="877" spans="14:14" ht="15.75" customHeight="1" x14ac:dyDescent="0.2">
      <c r="N877" s="38"/>
    </row>
    <row r="878" spans="14:14" ht="15.75" customHeight="1" x14ac:dyDescent="0.2">
      <c r="N878" s="38"/>
    </row>
    <row r="879" spans="14:14" ht="15.75" customHeight="1" x14ac:dyDescent="0.2">
      <c r="N879" s="38"/>
    </row>
    <row r="880" spans="14:14" ht="15.75" customHeight="1" x14ac:dyDescent="0.2">
      <c r="N880" s="38"/>
    </row>
    <row r="881" spans="14:14" ht="15.75" customHeight="1" x14ac:dyDescent="0.2">
      <c r="N881" s="38"/>
    </row>
    <row r="882" spans="14:14" ht="15.75" customHeight="1" x14ac:dyDescent="0.2">
      <c r="N882" s="38"/>
    </row>
    <row r="883" spans="14:14" ht="15.75" customHeight="1" x14ac:dyDescent="0.2">
      <c r="N883" s="38"/>
    </row>
    <row r="884" spans="14:14" ht="15.75" customHeight="1" x14ac:dyDescent="0.2">
      <c r="N884" s="38"/>
    </row>
    <row r="885" spans="14:14" ht="15.75" customHeight="1" x14ac:dyDescent="0.2">
      <c r="N885" s="38"/>
    </row>
    <row r="886" spans="14:14" ht="15.75" customHeight="1" x14ac:dyDescent="0.2">
      <c r="N886" s="38"/>
    </row>
    <row r="887" spans="14:14" ht="15.75" customHeight="1" x14ac:dyDescent="0.2">
      <c r="N887" s="38"/>
    </row>
    <row r="888" spans="14:14" ht="15.75" customHeight="1" x14ac:dyDescent="0.2">
      <c r="N888" s="38"/>
    </row>
    <row r="889" spans="14:14" ht="15.75" customHeight="1" x14ac:dyDescent="0.2">
      <c r="N889" s="38"/>
    </row>
    <row r="890" spans="14:14" ht="15.75" customHeight="1" x14ac:dyDescent="0.2">
      <c r="N890" s="38"/>
    </row>
    <row r="891" spans="14:14" ht="15.75" customHeight="1" x14ac:dyDescent="0.2">
      <c r="N891" s="38"/>
    </row>
    <row r="892" spans="14:14" ht="15.75" customHeight="1" x14ac:dyDescent="0.2">
      <c r="N892" s="38"/>
    </row>
    <row r="893" spans="14:14" ht="15.75" customHeight="1" x14ac:dyDescent="0.2">
      <c r="N893" s="38"/>
    </row>
    <row r="894" spans="14:14" ht="15.75" customHeight="1" x14ac:dyDescent="0.2">
      <c r="N894" s="38"/>
    </row>
    <row r="895" spans="14:14" ht="15.75" customHeight="1" x14ac:dyDescent="0.2">
      <c r="N895" s="38"/>
    </row>
    <row r="896" spans="14:14" ht="15.75" customHeight="1" x14ac:dyDescent="0.2">
      <c r="N896" s="38"/>
    </row>
    <row r="897" spans="14:14" ht="15.75" customHeight="1" x14ac:dyDescent="0.2">
      <c r="N897" s="38"/>
    </row>
    <row r="898" spans="14:14" ht="15.75" customHeight="1" x14ac:dyDescent="0.2">
      <c r="N898" s="38"/>
    </row>
    <row r="899" spans="14:14" ht="15.75" customHeight="1" x14ac:dyDescent="0.2">
      <c r="N899" s="38"/>
    </row>
    <row r="900" spans="14:14" ht="15.75" customHeight="1" x14ac:dyDescent="0.2">
      <c r="N900" s="38"/>
    </row>
    <row r="901" spans="14:14" ht="15.75" customHeight="1" x14ac:dyDescent="0.2">
      <c r="N901" s="38"/>
    </row>
    <row r="902" spans="14:14" ht="15.75" customHeight="1" x14ac:dyDescent="0.2">
      <c r="N902" s="38"/>
    </row>
    <row r="903" spans="14:14" ht="15.75" customHeight="1" x14ac:dyDescent="0.2">
      <c r="N903" s="38"/>
    </row>
    <row r="904" spans="14:14" ht="15.75" customHeight="1" x14ac:dyDescent="0.2">
      <c r="N904" s="38"/>
    </row>
    <row r="905" spans="14:14" ht="15.75" customHeight="1" x14ac:dyDescent="0.2">
      <c r="N905" s="38"/>
    </row>
    <row r="906" spans="14:14" ht="15.75" customHeight="1" x14ac:dyDescent="0.2">
      <c r="N906" s="38"/>
    </row>
    <row r="907" spans="14:14" ht="15.75" customHeight="1" x14ac:dyDescent="0.2">
      <c r="N907" s="38"/>
    </row>
    <row r="908" spans="14:14" ht="15.75" customHeight="1" x14ac:dyDescent="0.2">
      <c r="N908" s="38"/>
    </row>
    <row r="909" spans="14:14" ht="15.75" customHeight="1" x14ac:dyDescent="0.2">
      <c r="N909" s="38"/>
    </row>
    <row r="910" spans="14:14" ht="15.75" customHeight="1" x14ac:dyDescent="0.2">
      <c r="N910" s="38"/>
    </row>
    <row r="911" spans="14:14" ht="15.75" customHeight="1" x14ac:dyDescent="0.2">
      <c r="N911" s="38"/>
    </row>
    <row r="912" spans="14:14" ht="15.75" customHeight="1" x14ac:dyDescent="0.2">
      <c r="N912" s="38"/>
    </row>
    <row r="913" spans="14:14" ht="15.75" customHeight="1" x14ac:dyDescent="0.2">
      <c r="N913" s="38"/>
    </row>
    <row r="914" spans="14:14" ht="15.75" customHeight="1" x14ac:dyDescent="0.2">
      <c r="N914" s="38"/>
    </row>
    <row r="915" spans="14:14" ht="15.75" customHeight="1" x14ac:dyDescent="0.2">
      <c r="N915" s="38"/>
    </row>
    <row r="916" spans="14:14" ht="15.75" customHeight="1" x14ac:dyDescent="0.2">
      <c r="N916" s="38"/>
    </row>
    <row r="917" spans="14:14" ht="15.75" customHeight="1" x14ac:dyDescent="0.2">
      <c r="N917" s="38"/>
    </row>
    <row r="918" spans="14:14" ht="15.75" customHeight="1" x14ac:dyDescent="0.2">
      <c r="N918" s="38"/>
    </row>
    <row r="919" spans="14:14" ht="15.75" customHeight="1" x14ac:dyDescent="0.2">
      <c r="N919" s="38"/>
    </row>
    <row r="920" spans="14:14" ht="15.75" customHeight="1" x14ac:dyDescent="0.2">
      <c r="N920" s="38"/>
    </row>
    <row r="921" spans="14:14" ht="15.75" customHeight="1" x14ac:dyDescent="0.2">
      <c r="N921" s="38"/>
    </row>
    <row r="922" spans="14:14" ht="15.75" customHeight="1" x14ac:dyDescent="0.2">
      <c r="N922" s="38"/>
    </row>
    <row r="923" spans="14:14" ht="15.75" customHeight="1" x14ac:dyDescent="0.2">
      <c r="N923" s="38"/>
    </row>
    <row r="924" spans="14:14" ht="15.75" customHeight="1" x14ac:dyDescent="0.2">
      <c r="N924" s="38"/>
    </row>
    <row r="925" spans="14:14" ht="15.75" customHeight="1" x14ac:dyDescent="0.2">
      <c r="N925" s="38"/>
    </row>
    <row r="926" spans="14:14" ht="15.75" customHeight="1" x14ac:dyDescent="0.2">
      <c r="N926" s="38"/>
    </row>
    <row r="927" spans="14:14" ht="15.75" customHeight="1" x14ac:dyDescent="0.2">
      <c r="N927" s="38"/>
    </row>
    <row r="928" spans="14:14" ht="15.75" customHeight="1" x14ac:dyDescent="0.2">
      <c r="N928" s="38"/>
    </row>
    <row r="929" spans="14:14" ht="15.75" customHeight="1" x14ac:dyDescent="0.2">
      <c r="N929" s="38"/>
    </row>
    <row r="930" spans="14:14" ht="15.75" customHeight="1" x14ac:dyDescent="0.2">
      <c r="N930" s="38"/>
    </row>
    <row r="931" spans="14:14" ht="15.75" customHeight="1" x14ac:dyDescent="0.2">
      <c r="N931" s="38"/>
    </row>
    <row r="932" spans="14:14" ht="15.75" customHeight="1" x14ac:dyDescent="0.2">
      <c r="N932" s="38"/>
    </row>
    <row r="933" spans="14:14" ht="15.75" customHeight="1" x14ac:dyDescent="0.2">
      <c r="N933" s="38"/>
    </row>
    <row r="934" spans="14:14" ht="15.75" customHeight="1" x14ac:dyDescent="0.2">
      <c r="N934" s="38"/>
    </row>
    <row r="935" spans="14:14" ht="15.75" customHeight="1" x14ac:dyDescent="0.2">
      <c r="N935" s="38"/>
    </row>
    <row r="936" spans="14:14" ht="15.75" customHeight="1" x14ac:dyDescent="0.2">
      <c r="N936" s="38"/>
    </row>
    <row r="937" spans="14:14" ht="15.75" customHeight="1" x14ac:dyDescent="0.2">
      <c r="N937" s="38"/>
    </row>
    <row r="938" spans="14:14" ht="15.75" customHeight="1" x14ac:dyDescent="0.2">
      <c r="N938" s="38"/>
    </row>
    <row r="939" spans="14:14" ht="15.75" customHeight="1" x14ac:dyDescent="0.2">
      <c r="N939" s="38"/>
    </row>
    <row r="940" spans="14:14" ht="15.75" customHeight="1" x14ac:dyDescent="0.2">
      <c r="N940" s="38"/>
    </row>
    <row r="941" spans="14:14" ht="15.75" customHeight="1" x14ac:dyDescent="0.2">
      <c r="N941" s="38"/>
    </row>
    <row r="942" spans="14:14" ht="15.75" customHeight="1" x14ac:dyDescent="0.2">
      <c r="N942" s="38"/>
    </row>
    <row r="943" spans="14:14" ht="15.75" customHeight="1" x14ac:dyDescent="0.2">
      <c r="N943" s="38"/>
    </row>
    <row r="944" spans="14:14" ht="15.75" customHeight="1" x14ac:dyDescent="0.2">
      <c r="N944" s="38"/>
    </row>
    <row r="945" spans="14:14" ht="15.75" customHeight="1" x14ac:dyDescent="0.2">
      <c r="N945" s="38"/>
    </row>
    <row r="946" spans="14:14" ht="15.75" customHeight="1" x14ac:dyDescent="0.2">
      <c r="N946" s="38"/>
    </row>
    <row r="947" spans="14:14" ht="15.75" customHeight="1" x14ac:dyDescent="0.2">
      <c r="N947" s="38"/>
    </row>
    <row r="948" spans="14:14" ht="15.75" customHeight="1" x14ac:dyDescent="0.2">
      <c r="N948" s="38"/>
    </row>
    <row r="949" spans="14:14" ht="15.75" customHeight="1" x14ac:dyDescent="0.2">
      <c r="N949" s="38"/>
    </row>
    <row r="950" spans="14:14" ht="15.75" customHeight="1" x14ac:dyDescent="0.2">
      <c r="N950" s="38"/>
    </row>
    <row r="951" spans="14:14" ht="15.75" customHeight="1" x14ac:dyDescent="0.2">
      <c r="N951" s="38"/>
    </row>
    <row r="952" spans="14:14" ht="15.75" customHeight="1" x14ac:dyDescent="0.2">
      <c r="N952" s="38"/>
    </row>
    <row r="953" spans="14:14" ht="15.75" customHeight="1" x14ac:dyDescent="0.2">
      <c r="N953" s="38"/>
    </row>
    <row r="954" spans="14:14" ht="15.75" customHeight="1" x14ac:dyDescent="0.2">
      <c r="N954" s="38"/>
    </row>
    <row r="955" spans="14:14" ht="15.75" customHeight="1" x14ac:dyDescent="0.2">
      <c r="N955" s="38"/>
    </row>
    <row r="956" spans="14:14" ht="15.75" customHeight="1" x14ac:dyDescent="0.2">
      <c r="N956" s="38"/>
    </row>
    <row r="957" spans="14:14" ht="15.75" customHeight="1" x14ac:dyDescent="0.2">
      <c r="N957" s="38"/>
    </row>
    <row r="958" spans="14:14" ht="15.75" customHeight="1" x14ac:dyDescent="0.2">
      <c r="N958" s="38"/>
    </row>
    <row r="959" spans="14:14" ht="15.75" customHeight="1" x14ac:dyDescent="0.2">
      <c r="N959" s="38"/>
    </row>
    <row r="960" spans="14:14" ht="15.75" customHeight="1" x14ac:dyDescent="0.2">
      <c r="N960" s="38"/>
    </row>
    <row r="961" spans="14:14" ht="15.75" customHeight="1" x14ac:dyDescent="0.2">
      <c r="N961" s="38"/>
    </row>
    <row r="962" spans="14:14" ht="15.75" customHeight="1" x14ac:dyDescent="0.2">
      <c r="N962" s="38"/>
    </row>
    <row r="963" spans="14:14" ht="15.75" customHeight="1" x14ac:dyDescent="0.2">
      <c r="N963" s="38"/>
    </row>
    <row r="964" spans="14:14" ht="15.75" customHeight="1" x14ac:dyDescent="0.2">
      <c r="N964" s="38"/>
    </row>
    <row r="965" spans="14:14" ht="15.75" customHeight="1" x14ac:dyDescent="0.2">
      <c r="N965" s="38"/>
    </row>
    <row r="966" spans="14:14" ht="15.75" customHeight="1" x14ac:dyDescent="0.2">
      <c r="N966" s="38"/>
    </row>
    <row r="967" spans="14:14" ht="15.75" customHeight="1" x14ac:dyDescent="0.2">
      <c r="N967" s="38"/>
    </row>
    <row r="968" spans="14:14" ht="15.75" customHeight="1" x14ac:dyDescent="0.2">
      <c r="N968" s="38"/>
    </row>
    <row r="969" spans="14:14" ht="15.75" customHeight="1" x14ac:dyDescent="0.2">
      <c r="N969" s="38"/>
    </row>
    <row r="970" spans="14:14" ht="15.75" customHeight="1" x14ac:dyDescent="0.2">
      <c r="N970" s="38"/>
    </row>
    <row r="971" spans="14:14" ht="15.75" customHeight="1" x14ac:dyDescent="0.2">
      <c r="N971" s="38"/>
    </row>
    <row r="972" spans="14:14" ht="15.75" customHeight="1" x14ac:dyDescent="0.2">
      <c r="N972" s="38"/>
    </row>
    <row r="973" spans="14:14" ht="15.75" customHeight="1" x14ac:dyDescent="0.2">
      <c r="N973" s="38"/>
    </row>
    <row r="974" spans="14:14" ht="15.75" customHeight="1" x14ac:dyDescent="0.2">
      <c r="N974" s="38"/>
    </row>
    <row r="975" spans="14:14" ht="15.75" customHeight="1" x14ac:dyDescent="0.2">
      <c r="N975" s="38"/>
    </row>
    <row r="976" spans="14:14" ht="15.75" customHeight="1" x14ac:dyDescent="0.2">
      <c r="N976" s="38"/>
    </row>
    <row r="977" spans="14:14" ht="15.75" customHeight="1" x14ac:dyDescent="0.2">
      <c r="N977" s="38"/>
    </row>
    <row r="978" spans="14:14" ht="15.75" customHeight="1" x14ac:dyDescent="0.2">
      <c r="N978" s="38"/>
    </row>
    <row r="979" spans="14:14" ht="15.75" customHeight="1" x14ac:dyDescent="0.2">
      <c r="N979" s="38"/>
    </row>
    <row r="980" spans="14:14" ht="15.75" customHeight="1" x14ac:dyDescent="0.2">
      <c r="N980" s="38"/>
    </row>
    <row r="981" spans="14:14" ht="15.75" customHeight="1" x14ac:dyDescent="0.2">
      <c r="N981" s="38"/>
    </row>
    <row r="982" spans="14:14" ht="15.75" customHeight="1" x14ac:dyDescent="0.2">
      <c r="N982" s="38"/>
    </row>
    <row r="983" spans="14:14" ht="15.75" customHeight="1" x14ac:dyDescent="0.2">
      <c r="N983" s="38"/>
    </row>
    <row r="984" spans="14:14" ht="15.75" customHeight="1" x14ac:dyDescent="0.2">
      <c r="N984" s="38"/>
    </row>
    <row r="985" spans="14:14" ht="15.75" customHeight="1" x14ac:dyDescent="0.2">
      <c r="N985" s="38"/>
    </row>
    <row r="986" spans="14:14" ht="15.75" customHeight="1" x14ac:dyDescent="0.2">
      <c r="N986" s="38"/>
    </row>
    <row r="987" spans="14:14" ht="15.75" customHeight="1" x14ac:dyDescent="0.2">
      <c r="N987" s="38"/>
    </row>
    <row r="988" spans="14:14" ht="15.75" customHeight="1" x14ac:dyDescent="0.2">
      <c r="N988" s="38"/>
    </row>
    <row r="989" spans="14:14" ht="15.75" customHeight="1" x14ac:dyDescent="0.2">
      <c r="N989" s="38"/>
    </row>
    <row r="990" spans="14:14" ht="15.75" customHeight="1" x14ac:dyDescent="0.2">
      <c r="N990" s="38"/>
    </row>
    <row r="991" spans="14:14" ht="15.75" customHeight="1" x14ac:dyDescent="0.2">
      <c r="N991" s="38"/>
    </row>
    <row r="992" spans="14:14" ht="15.75" customHeight="1" x14ac:dyDescent="0.2">
      <c r="N992" s="38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82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3" t="s">
        <v>11</v>
      </c>
      <c r="C1" s="54"/>
      <c r="D1" s="54"/>
      <c r="E1" s="54"/>
      <c r="F1" s="54"/>
      <c r="G1" s="54"/>
      <c r="H1" s="55"/>
      <c r="I1" s="12"/>
      <c r="J1" s="12"/>
      <c r="K1" s="12"/>
      <c r="L1" s="12"/>
      <c r="M1" s="12"/>
      <c r="N1" s="12"/>
      <c r="O1" s="12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str">
        <f ca="1">VLOOKUP($E$3,_MasterData!B4:D1000,3,FALSE)</f>
        <v>1zwv-aZp-DRCpq8bqLR0XRiyt0av-GAm0ORqbhnV-FKI</v>
      </c>
      <c r="K2" s="15"/>
      <c r="L2" s="2"/>
      <c r="M2" s="2"/>
      <c r="N2" s="2"/>
      <c r="O2" s="2"/>
    </row>
    <row r="3" spans="1:154" ht="15.75" customHeight="1" x14ac:dyDescent="0.2">
      <c r="A3" s="17"/>
      <c r="B3" s="3" t="s">
        <v>5</v>
      </c>
      <c r="C3" s="18" t="s">
        <v>21</v>
      </c>
      <c r="D3" s="3" t="s">
        <v>7</v>
      </c>
      <c r="E3" s="18" t="s">
        <v>22</v>
      </c>
      <c r="F3" s="3" t="s">
        <v>14</v>
      </c>
      <c r="G3" s="7" t="s">
        <v>15</v>
      </c>
      <c r="H3" s="3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 x14ac:dyDescent="0.2">
      <c r="A4" s="21"/>
      <c r="B4" s="21" t="str">
        <f ca="1">IFERROR(__xludf.DUMMYFUNCTION("IF(C3="""","""",Transpose(IMPORTRANGE('_Settings'!$B$3,C3&amp;""!A4:A1000"")))"),"SwapExpire")</f>
        <v>SwapExpire</v>
      </c>
      <c r="C4" s="21" t="str">
        <f ca="1">IFERROR(__xludf.DUMMYFUNCTION("""COMPUTED_VALUE"""),"GetDataClosing")</f>
        <v>GetDataClosing</v>
      </c>
      <c r="D4" s="21" t="str">
        <f ca="1">IFERROR(__xludf.DUMMYFUNCTION("""COMPUTED_VALUE"""),"ManualClosing")</f>
        <v>ManualClosing</v>
      </c>
      <c r="E4" s="21" t="str">
        <f ca="1">IFERROR(__xludf.DUMMYFUNCTION("""COMPUTED_VALUE"""),"AutomaticClosing")</f>
        <v>AutomaticClosing</v>
      </c>
      <c r="F4" s="21" t="str">
        <f ca="1">IFERROR(__xludf.DUMMYFUNCTION("""COMPUTED_VALUE"""),"UnwindClosing")</f>
        <v>UnwindClosing</v>
      </c>
      <c r="G4" s="21" t="str">
        <f ca="1">IFERROR(__xludf.DUMMYFUNCTION("""COMPUTED_VALUE"""),"VerifyClosedTrades")</f>
        <v>VerifyClosedTrades</v>
      </c>
      <c r="H4" s="21" t="str">
        <f ca="1">IFERROR(__xludf.DUMMYFUNCTION("""COMPUTED_VALUE"""),"VerifyLongPositionsGrid")</f>
        <v>VerifyLongPositionsGrid</v>
      </c>
      <c r="I4" s="21" t="str">
        <f ca="1">IFERROR(__xludf.DUMMYFUNCTION("""COMPUTED_VALUE"""),"VerifyShortPositionsGrid")</f>
        <v>VerifyShortPositionsGrid</v>
      </c>
      <c r="J4" s="21" t="str">
        <f ca="1">IFERROR(__xludf.DUMMYFUNCTION("""COMPUTED_VALUE"""),"SelectTradeUnexpiredUnsettled")</f>
        <v>SelectTradeUnexpiredUnsettled</v>
      </c>
      <c r="K4" s="21" t="str">
        <f ca="1">IFERROR(__xludf.DUMMYFUNCTION("""COMPUTED_VALUE"""),"CashSettlementAtCost")</f>
        <v>CashSettlementAtCost</v>
      </c>
      <c r="L4" s="21" t="str">
        <f ca="1">IFERROR(__xludf.DUMMYFUNCTION("""COMPUTED_VALUE"""),"CashSettlementAtZeroPrice")</f>
        <v>CashSettlementAtZeroPrice</v>
      </c>
      <c r="M4" s="21" t="str">
        <f ca="1">IFERROR(__xludf.DUMMYFUNCTION("""COMPUTED_VALUE"""),"CashSettlementAtClosingDtSpotPx")</f>
        <v>CashSettlementAtClosingDtSpotPx</v>
      </c>
      <c r="N4" s="21" t="str">
        <f ca="1">IFERROR(__xludf.DUMMYFUNCTION("""COMPUTED_VALUE"""),"PhysicalSettlement")</f>
        <v>PhysicalSettlement</v>
      </c>
      <c r="O4" s="21" t="str">
        <f ca="1">IFERROR(__xludf.DUMMYFUNCTION("""COMPUTED_VALUE"""),"Expire")</f>
        <v>Expire</v>
      </c>
      <c r="P4" s="23" t="str">
        <f ca="1">IFERROR(__xludf.DUMMYFUNCTION("""COMPUTED_VALUE"""),"ExerciseAssignment")</f>
        <v>ExerciseAssignment</v>
      </c>
      <c r="Q4" s="23" t="str">
        <f ca="1">IFERROR(__xludf.DUMMYFUNCTION("""COMPUTED_VALUE"""),"ExerciseAssignmentAtZero")</f>
        <v>ExerciseAssignmentAtZero</v>
      </c>
      <c r="R4" s="23" t="str">
        <f ca="1">IFERROR(__xludf.DUMMYFUNCTION("""COMPUTED_VALUE"""),"SwapExpireAndRollover")</f>
        <v>SwapExpireAndRollover</v>
      </c>
      <c r="S4" s="23" t="str">
        <f ca="1">IFERROR(__xludf.DUMMYFUNCTION("""COMPUTED_VALUE"""),"SwapExpire")</f>
        <v>SwapExpire</v>
      </c>
      <c r="T4" s="23" t="str">
        <f ca="1">IFERROR(__xludf.DUMMYFUNCTION("""COMPUTED_VALUE"""),"VerifyExpiredSettledGrid")</f>
        <v>VerifyExpiredSettledGrid</v>
      </c>
      <c r="U4" s="23" t="str">
        <f ca="1">IFERROR(__xludf.DUMMYFUNCTION("""COMPUTED_VALUE"""),"VerifyUnExpiredUnSettledGrid")</f>
        <v>VerifyUnExpiredUnSettledGrid</v>
      </c>
      <c r="V4" s="23" t="str">
        <f ca="1">IFERROR(__xludf.DUMMYFUNCTION("""COMPUTED_VALUE"""),"UnWindTradeSettlement")</f>
        <v>UnWindTradeSettlement</v>
      </c>
      <c r="W4" s="23" t="str">
        <f ca="1">IFERROR(__xludf.DUMMYFUNCTION("""COMPUTED_VALUE"""),"CloseOrder")</f>
        <v>CloseOrder</v>
      </c>
      <c r="X4" s="23" t="str">
        <f ca="1">IFERROR(__xludf.DUMMYFUNCTION("""COMPUTED_VALUE"""),"VerifyCloseOrder")</f>
        <v>VerifyCloseOrder</v>
      </c>
      <c r="Y4" s="23" t="str">
        <f ca="1">IFERROR(__xludf.DUMMYFUNCTION("""COMPUTED_VALUE"""),"UnWindCloseOrder")</f>
        <v>UnWindCloseOrder</v>
      </c>
      <c r="Z4" s="23" t="str">
        <f ca="1">IFERROR(__xludf.DUMMYFUNCTION("""COMPUTED_VALUE"""),"ClosingCleanUp")</f>
        <v>ClosingCleanUp</v>
      </c>
      <c r="AA4" s="23" t="str">
        <f ca="1">IFERROR(__xludf.DUMMYFUNCTION("""COMPUTED_VALUE"""),"CloseClosingUI")</f>
        <v>CloseClosingUI</v>
      </c>
      <c r="AB4" s="23" t="str">
        <f ca="1">IFERROR(__xludf.DUMMYFUNCTION("""COMPUTED_VALUE"""),"SetClosingPreference")</f>
        <v>SetClosingPreference</v>
      </c>
      <c r="AC4" s="23" t="str">
        <f ca="1">IFERROR(__xludf.DUMMYFUNCTION("""COMPUTED_VALUE"""),"EditTradeUnexpiredUnsettled")</f>
        <v>EditTradeUnexpiredUnsettled</v>
      </c>
      <c r="AD4" s="23" t="str">
        <f ca="1">IFERROR(__xludf.DUMMYFUNCTION("""COMPUTED_VALUE"""),"")</f>
        <v/>
      </c>
      <c r="AE4" s="23" t="str">
        <f ca="1">IFERROR(__xludf.DUMMYFUNCTION("""COMPUTED_VALUE"""),"")</f>
        <v/>
      </c>
      <c r="AF4" s="23" t="str">
        <f ca="1">IFERROR(__xludf.DUMMYFUNCTION("""COMPUTED_VALUE"""),"")</f>
        <v/>
      </c>
      <c r="AG4" s="23" t="str">
        <f ca="1">IFERROR(__xludf.DUMMYFUNCTION("""COMPUTED_VALUE"""),"")</f>
        <v/>
      </c>
      <c r="AH4" s="23" t="str">
        <f ca="1">IFERROR(__xludf.DUMMYFUNCTION("""COMPUTED_VALUE"""),"")</f>
        <v/>
      </c>
      <c r="AI4" s="23" t="str">
        <f ca="1">IFERROR(__xludf.DUMMYFUNCTION("""COMPUTED_VALUE"""),"")</f>
        <v/>
      </c>
      <c r="AJ4" s="23" t="str">
        <f ca="1">IFERROR(__xludf.DUMMYFUNCTION("""COMPUTED_VALUE"""),"")</f>
        <v/>
      </c>
      <c r="AK4" s="23" t="str">
        <f ca="1">IFERROR(__xludf.DUMMYFUNCTION("""COMPUTED_VALUE"""),"")</f>
        <v/>
      </c>
      <c r="AL4" s="23" t="str">
        <f ca="1">IFERROR(__xludf.DUMMYFUNCTION("""COMPUTED_VALUE"""),"")</f>
        <v/>
      </c>
      <c r="AM4" s="23" t="str">
        <f ca="1">IFERROR(__xludf.DUMMYFUNCTION("""COMPUTED_VALUE"""),"")</f>
        <v/>
      </c>
      <c r="AN4" s="23" t="str">
        <f ca="1">IFERROR(__xludf.DUMMYFUNCTION("""COMPUTED_VALUE"""),"")</f>
        <v/>
      </c>
      <c r="AO4" s="23" t="str">
        <f ca="1">IFERROR(__xludf.DUMMYFUNCTION("""COMPUTED_VALUE"""),"")</f>
        <v/>
      </c>
      <c r="AP4" s="23" t="str">
        <f ca="1">IFERROR(__xludf.DUMMYFUNCTION("""COMPUTED_VALUE"""),"")</f>
        <v/>
      </c>
      <c r="AQ4" s="23" t="str">
        <f ca="1">IFERROR(__xludf.DUMMYFUNCTION("""COMPUTED_VALUE"""),"")</f>
        <v/>
      </c>
      <c r="AR4" s="23" t="str">
        <f ca="1">IFERROR(__xludf.DUMMYFUNCTION("""COMPUTED_VALUE"""),"")</f>
        <v/>
      </c>
      <c r="AS4" s="23" t="str">
        <f ca="1">IFERROR(__xludf.DUMMYFUNCTION("""COMPUTED_VALUE"""),"")</f>
        <v/>
      </c>
      <c r="AT4" s="23" t="str">
        <f ca="1">IFERROR(__xludf.DUMMYFUNCTION("""COMPUTED_VALUE"""),"")</f>
        <v/>
      </c>
      <c r="AU4" s="23" t="str">
        <f ca="1">IFERROR(__xludf.DUMMYFUNCTION("""COMPUTED_VALUE"""),"")</f>
        <v/>
      </c>
      <c r="AV4" s="23" t="str">
        <f ca="1">IFERROR(__xludf.DUMMYFUNCTION("""COMPUTED_VALUE"""),"")</f>
        <v/>
      </c>
      <c r="AW4" s="23" t="str">
        <f ca="1">IFERROR(__xludf.DUMMYFUNCTION("""COMPUTED_VALUE"""),"")</f>
        <v/>
      </c>
      <c r="AX4" s="23" t="str">
        <f ca="1">IFERROR(__xludf.DUMMYFUNCTION("""COMPUTED_VALUE"""),"")</f>
        <v/>
      </c>
      <c r="AY4" s="23" t="str">
        <f ca="1">IFERROR(__xludf.DUMMYFUNCTION("""COMPUTED_VALUE"""),"")</f>
        <v/>
      </c>
      <c r="AZ4" s="23" t="str">
        <f ca="1">IFERROR(__xludf.DUMMYFUNCTION("""COMPUTED_VALUE"""),"")</f>
        <v/>
      </c>
      <c r="BA4" s="23" t="str">
        <f ca="1">IFERROR(__xludf.DUMMYFUNCTION("""COMPUTED_VALUE"""),"")</f>
        <v/>
      </c>
      <c r="BB4" s="23" t="str">
        <f ca="1">IFERROR(__xludf.DUMMYFUNCTION("""COMPUTED_VALUE"""),"")</f>
        <v/>
      </c>
      <c r="BC4" s="23" t="str">
        <f ca="1">IFERROR(__xludf.DUMMYFUNCTION("""COMPUTED_VALUE"""),"")</f>
        <v/>
      </c>
      <c r="BD4" s="23" t="str">
        <f ca="1">IFERROR(__xludf.DUMMYFUNCTION("""COMPUTED_VALUE"""),"")</f>
        <v/>
      </c>
      <c r="BE4" s="23" t="str">
        <f ca="1">IFERROR(__xludf.DUMMYFUNCTION("""COMPUTED_VALUE"""),"")</f>
        <v/>
      </c>
      <c r="BF4" s="23" t="str">
        <f ca="1">IFERROR(__xludf.DUMMYFUNCTION("""COMPUTED_VALUE"""),"")</f>
        <v/>
      </c>
      <c r="BG4" s="23" t="str">
        <f ca="1">IFERROR(__xludf.DUMMYFUNCTION("""COMPUTED_VALUE"""),"")</f>
        <v/>
      </c>
      <c r="BH4" s="23" t="str">
        <f ca="1">IFERROR(__xludf.DUMMYFUNCTION("""COMPUTED_VALUE"""),"")</f>
        <v/>
      </c>
      <c r="BI4" s="23" t="str">
        <f ca="1">IFERROR(__xludf.DUMMYFUNCTION("""COMPUTED_VALUE"""),"")</f>
        <v/>
      </c>
      <c r="BJ4" s="23" t="str">
        <f ca="1">IFERROR(__xludf.DUMMYFUNCTION("""COMPUTED_VALUE"""),"")</f>
        <v/>
      </c>
      <c r="BK4" s="23" t="str">
        <f ca="1">IFERROR(__xludf.DUMMYFUNCTION("""COMPUTED_VALUE"""),"")</f>
        <v/>
      </c>
      <c r="BL4" s="23" t="str">
        <f ca="1">IFERROR(__xludf.DUMMYFUNCTION("""COMPUTED_VALUE"""),"")</f>
        <v/>
      </c>
      <c r="BM4" s="23" t="str">
        <f ca="1">IFERROR(__xludf.DUMMYFUNCTION("""COMPUTED_VALUE"""),"")</f>
        <v/>
      </c>
      <c r="BN4" s="23" t="str">
        <f ca="1">IFERROR(__xludf.DUMMYFUNCTION("""COMPUTED_VALUE"""),"")</f>
        <v/>
      </c>
      <c r="BO4" s="23" t="str">
        <f ca="1">IFERROR(__xludf.DUMMYFUNCTION("""COMPUTED_VALUE"""),"")</f>
        <v/>
      </c>
      <c r="BP4" s="23" t="str">
        <f ca="1">IFERROR(__xludf.DUMMYFUNCTION("""COMPUTED_VALUE"""),"")</f>
        <v/>
      </c>
      <c r="BQ4" s="23" t="str">
        <f ca="1">IFERROR(__xludf.DUMMYFUNCTION("""COMPUTED_VALUE"""),"")</f>
        <v/>
      </c>
      <c r="BR4" s="23" t="str">
        <f ca="1">IFERROR(__xludf.DUMMYFUNCTION("""COMPUTED_VALUE"""),"")</f>
        <v/>
      </c>
      <c r="BS4" s="23" t="str">
        <f ca="1">IFERROR(__xludf.DUMMYFUNCTION("""COMPUTED_VALUE"""),"")</f>
        <v/>
      </c>
      <c r="BT4" s="23" t="str">
        <f ca="1">IFERROR(__xludf.DUMMYFUNCTION("""COMPUTED_VALUE"""),"")</f>
        <v/>
      </c>
      <c r="BU4" s="23" t="str">
        <f ca="1">IFERROR(__xludf.DUMMYFUNCTION("""COMPUTED_VALUE"""),"")</f>
        <v/>
      </c>
      <c r="BV4" s="23" t="str">
        <f ca="1">IFERROR(__xludf.DUMMYFUNCTION("""COMPUTED_VALUE"""),"")</f>
        <v/>
      </c>
      <c r="BW4" s="23" t="str">
        <f ca="1">IFERROR(__xludf.DUMMYFUNCTION("""COMPUTED_VALUE"""),"")</f>
        <v/>
      </c>
      <c r="BX4" s="23" t="str">
        <f ca="1">IFERROR(__xludf.DUMMYFUNCTION("""COMPUTED_VALUE"""),"")</f>
        <v/>
      </c>
      <c r="BY4" s="23" t="str">
        <f ca="1">IFERROR(__xludf.DUMMYFUNCTION("""COMPUTED_VALUE"""),"")</f>
        <v/>
      </c>
      <c r="BZ4" s="23" t="str">
        <f ca="1">IFERROR(__xludf.DUMMYFUNCTION("""COMPUTED_VALUE"""),"")</f>
        <v/>
      </c>
      <c r="CA4" s="23" t="str">
        <f ca="1">IFERROR(__xludf.DUMMYFUNCTION("""COMPUTED_VALUE"""),"")</f>
        <v/>
      </c>
      <c r="CB4" s="23" t="str">
        <f ca="1">IFERROR(__xludf.DUMMYFUNCTION("""COMPUTED_VALUE"""),"")</f>
        <v/>
      </c>
      <c r="CC4" s="23" t="str">
        <f ca="1">IFERROR(__xludf.DUMMYFUNCTION("""COMPUTED_VALUE"""),"")</f>
        <v/>
      </c>
      <c r="CD4" s="23" t="str">
        <f ca="1">IFERROR(__xludf.DUMMYFUNCTION("""COMPUTED_VALUE"""),"")</f>
        <v/>
      </c>
      <c r="CE4" s="23" t="str">
        <f ca="1">IFERROR(__xludf.DUMMYFUNCTION("""COMPUTED_VALUE"""),"")</f>
        <v/>
      </c>
      <c r="CF4" s="23" t="str">
        <f ca="1">IFERROR(__xludf.DUMMYFUNCTION("""COMPUTED_VALUE"""),"")</f>
        <v/>
      </c>
      <c r="CG4" s="23" t="str">
        <f ca="1">IFERROR(__xludf.DUMMYFUNCTION("""COMPUTED_VALUE"""),"")</f>
        <v/>
      </c>
      <c r="CH4" s="23" t="str">
        <f ca="1">IFERROR(__xludf.DUMMYFUNCTION("""COMPUTED_VALUE"""),"")</f>
        <v/>
      </c>
      <c r="CI4" s="23" t="str">
        <f ca="1">IFERROR(__xludf.DUMMYFUNCTION("""COMPUTED_VALUE"""),"")</f>
        <v/>
      </c>
      <c r="CJ4" s="23" t="str">
        <f ca="1">IFERROR(__xludf.DUMMYFUNCTION("""COMPUTED_VALUE"""),"")</f>
        <v/>
      </c>
      <c r="CK4" s="23" t="str">
        <f ca="1">IFERROR(__xludf.DUMMYFUNCTION("""COMPUTED_VALUE"""),"")</f>
        <v/>
      </c>
      <c r="CL4" s="23" t="str">
        <f ca="1">IFERROR(__xludf.DUMMYFUNCTION("""COMPUTED_VALUE"""),"")</f>
        <v/>
      </c>
      <c r="CM4" s="23" t="str">
        <f ca="1">IFERROR(__xludf.DUMMYFUNCTION("""COMPUTED_VALUE"""),"")</f>
        <v/>
      </c>
      <c r="CN4" s="23" t="str">
        <f ca="1">IFERROR(__xludf.DUMMYFUNCTION("""COMPUTED_VALUE"""),"")</f>
        <v/>
      </c>
      <c r="CO4" s="23" t="str">
        <f ca="1">IFERROR(__xludf.DUMMYFUNCTION("""COMPUTED_VALUE"""),"")</f>
        <v/>
      </c>
      <c r="CP4" s="23" t="str">
        <f ca="1">IFERROR(__xludf.DUMMYFUNCTION("""COMPUTED_VALUE"""),"")</f>
        <v/>
      </c>
      <c r="CQ4" s="23" t="str">
        <f ca="1">IFERROR(__xludf.DUMMYFUNCTION("""COMPUTED_VALUE"""),"")</f>
        <v/>
      </c>
      <c r="CR4" s="23" t="str">
        <f ca="1">IFERROR(__xludf.DUMMYFUNCTION("""COMPUTED_VALUE"""),"")</f>
        <v/>
      </c>
      <c r="CS4" s="23" t="str">
        <f ca="1">IFERROR(__xludf.DUMMYFUNCTION("""COMPUTED_VALUE"""),"")</f>
        <v/>
      </c>
      <c r="CT4" s="23" t="str">
        <f ca="1">IFERROR(__xludf.DUMMYFUNCTION("""COMPUTED_VALUE"""),"")</f>
        <v/>
      </c>
      <c r="CU4" s="23" t="str">
        <f ca="1">IFERROR(__xludf.DUMMYFUNCTION("""COMPUTED_VALUE"""),"")</f>
        <v/>
      </c>
      <c r="CV4" s="23" t="str">
        <f ca="1">IFERROR(__xludf.DUMMYFUNCTION("""COMPUTED_VALUE"""),"")</f>
        <v/>
      </c>
      <c r="CW4" s="23" t="str">
        <f ca="1">IFERROR(__xludf.DUMMYFUNCTION("""COMPUTED_VALUE"""),"")</f>
        <v/>
      </c>
      <c r="CX4" s="23" t="str">
        <f ca="1">IFERROR(__xludf.DUMMYFUNCTION("""COMPUTED_VALUE"""),"")</f>
        <v/>
      </c>
      <c r="CY4" s="23" t="str">
        <f ca="1">IFERROR(__xludf.DUMMYFUNCTION("""COMPUTED_VALUE"""),"")</f>
        <v/>
      </c>
      <c r="CZ4" s="23" t="str">
        <f ca="1">IFERROR(__xludf.DUMMYFUNCTION("""COMPUTED_VALUE"""),"")</f>
        <v/>
      </c>
      <c r="DA4" s="23" t="str">
        <f ca="1">IFERROR(__xludf.DUMMYFUNCTION("""COMPUTED_VALUE"""),"")</f>
        <v/>
      </c>
      <c r="DB4" s="23" t="str">
        <f ca="1">IFERROR(__xludf.DUMMYFUNCTION("""COMPUTED_VALUE"""),"")</f>
        <v/>
      </c>
      <c r="DC4" s="23" t="str">
        <f ca="1">IFERROR(__xludf.DUMMYFUNCTION("""COMPUTED_VALUE"""),"")</f>
        <v/>
      </c>
      <c r="DD4" s="23" t="str">
        <f ca="1">IFERROR(__xludf.DUMMYFUNCTION("""COMPUTED_VALUE"""),"")</f>
        <v/>
      </c>
      <c r="DE4" s="23" t="str">
        <f ca="1">IFERROR(__xludf.DUMMYFUNCTION("""COMPUTED_VALUE"""),"")</f>
        <v/>
      </c>
      <c r="DF4" s="23" t="str">
        <f ca="1">IFERROR(__xludf.DUMMYFUNCTION("""COMPUTED_VALUE"""),"")</f>
        <v/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  <c r="EX4" s="23" t="str">
        <f ca="1">IFERROR(__xludf.DUMMYFUNCTION("""COMPUTED_VALUE"""),"")</f>
        <v/>
      </c>
    </row>
    <row r="5" spans="1:154" ht="15.75" customHeight="1" x14ac:dyDescent="0.2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IFERROR(__xludf.DUMMYFUNCTION("""COMPUTED_VALUE"""),"CloseSSw/BuyBTO ")</f>
        <v xml:space="preserve">CloseSSw/BuyBTO </v>
      </c>
      <c r="C5" s="25" t="str">
        <f ca="1">IFERROR(__xludf.DUMMYFUNCTION("""COMPUTED_VALUE"""),"AutoCloseStrategy")</f>
        <v>AutoCloseStrategy</v>
      </c>
      <c r="D5" s="25" t="str">
        <f ca="1">IFERROR(__xludf.DUMMYFUNCTION("""COMPUTED_VALUE"""),"Algorithm")</f>
        <v>Algorithm</v>
      </c>
      <c r="E5" s="25" t="str">
        <f ca="1">IFERROR(__xludf.DUMMYFUNCTION("""COMPUTED_VALUE"""),"SecondarySortCriteria")</f>
        <v>SecondarySortCriteria</v>
      </c>
      <c r="F5" s="26" t="str">
        <f ca="1">IFERROR(__xludf.DUMMYFUNCTION("""COMPUTED_VALUE"""),"ClosingField")</f>
        <v>ClosingField</v>
      </c>
      <c r="G5" s="25" t="str">
        <f ca="1">IFERROR(__xludf.DUMMYFUNCTION("""COMPUTED_VALUE"""),"")</f>
        <v/>
      </c>
      <c r="H5" s="25" t="str">
        <f ca="1">IFERROR(__xludf.DUMMYFUNCTION("""COMPUTED_VALUE"""),"")</f>
        <v/>
      </c>
      <c r="I5" s="25" t="str">
        <f ca="1">IFERROR(__xludf.DUMMYFUNCTION("""COMPUTED_VALUE"""),"")</f>
        <v/>
      </c>
      <c r="J5" s="25" t="str">
        <f ca="1">IFERROR(__xludf.DUMMYFUNCTION("""COMPUTED_VALUE"""),"")</f>
        <v/>
      </c>
      <c r="K5" s="25" t="str">
        <f ca="1">IFERROR(__xludf.DUMMYFUNCTION("""COMPUTED_VALUE"""),"")</f>
        <v/>
      </c>
      <c r="L5" s="25" t="str">
        <f ca="1">IFERROR(__xludf.DUMMYFUNCTION("""COMPUTED_VALUE"""),"")</f>
        <v/>
      </c>
      <c r="M5" s="25" t="str">
        <f ca="1">IFERROR(__xludf.DUMMYFUNCTION("""COMPUTED_VALUE"""),"")</f>
        <v/>
      </c>
      <c r="N5" s="25" t="str">
        <f ca="1">IFERROR(__xludf.DUMMYFUNCTION("""COMPUTED_VALUE"""),"")</f>
        <v/>
      </c>
      <c r="O5" s="25" t="str">
        <f ca="1">IFERROR(__xludf.DUMMYFUNCTION("""COMPUTED_VALUE"""),"")</f>
        <v/>
      </c>
      <c r="P5" s="25" t="str">
        <f ca="1">IFERROR(__xludf.DUMMYFUNCTION("""COMPUTED_VALUE"""),"")</f>
        <v/>
      </c>
      <c r="Q5" s="25" t="str">
        <f ca="1">IFERROR(__xludf.DUMMYFUNCTION("""COMPUTED_VALUE"""),"")</f>
        <v/>
      </c>
      <c r="R5" s="25" t="str">
        <f ca="1">IFERROR(__xludf.DUMMYFUNCTION("""COMPUTED_VALUE"""),"")</f>
        <v/>
      </c>
      <c r="S5" s="25" t="str">
        <f ca="1">IFERROR(__xludf.DUMMYFUNCTION("""COMPUTED_VALUE"""),"")</f>
        <v/>
      </c>
      <c r="T5" s="28" t="str">
        <f ca="1">IFERROR(__xludf.DUMMYFUNCTION("""COMPUTED_VALUE"""),"")</f>
        <v/>
      </c>
      <c r="U5" s="28" t="str">
        <f ca="1">IFERROR(__xludf.DUMMYFUNCTION("""COMPUTED_VALUE"""),"")</f>
        <v/>
      </c>
      <c r="V5" s="28" t="str">
        <f ca="1">IFERROR(__xludf.DUMMYFUNCTION("""COMPUTED_VALUE"""),"")</f>
        <v/>
      </c>
      <c r="W5" s="28" t="str">
        <f ca="1">IFERROR(__xludf.DUMMYFUNCTION("""COMPUTED_VALUE"""),"")</f>
        <v/>
      </c>
      <c r="X5" s="28" t="str">
        <f ca="1">IFERROR(__xludf.DUMMYFUNCTION("""COMPUTED_VALUE"""),"")</f>
        <v/>
      </c>
      <c r="Y5" s="28" t="str">
        <f ca="1">IFERROR(__xludf.DUMMYFUNCTION("""COMPUTED_VALUE"""),"")</f>
        <v/>
      </c>
      <c r="Z5" s="28" t="str">
        <f ca="1">IFERROR(__xludf.DUMMYFUNCTION("""COMPUTED_VALUE"""),"")</f>
        <v/>
      </c>
      <c r="AA5" s="28" t="str">
        <f ca="1">IFERROR(__xludf.DUMMYFUNCTION("""COMPUTED_VALUE"""),"")</f>
        <v/>
      </c>
      <c r="AB5" s="28" t="str">
        <f ca="1">IFERROR(__xludf.DUMMYFUNCTION("""COMPUTED_VALUE"""),"")</f>
        <v/>
      </c>
      <c r="AC5" s="28" t="str">
        <f ca="1">IFERROR(__xludf.DUMMYFUNCTION("""COMPUTED_VALUE"""),"")</f>
        <v/>
      </c>
      <c r="AD5" s="28" t="str">
        <f ca="1">IFERROR(__xludf.DUMMYFUNCTION("""COMPUTED_VALUE"""),"")</f>
        <v/>
      </c>
      <c r="AE5" s="28" t="str">
        <f ca="1">IFERROR(__xludf.DUMMYFUNCTION("""COMPUTED_VALUE"""),"")</f>
        <v/>
      </c>
      <c r="AF5" s="28" t="str">
        <f ca="1">IFERROR(__xludf.DUMMYFUNCTION("""COMPUTED_VALUE"""),"")</f>
        <v/>
      </c>
      <c r="AG5" s="28" t="str">
        <f ca="1">IFERROR(__xludf.DUMMYFUNCTION("""COMPUTED_VALUE"""),"")</f>
        <v/>
      </c>
      <c r="AH5" s="28" t="str">
        <f ca="1">IFERROR(__xludf.DUMMYFUNCTION("""COMPUTED_VALUE"""),"")</f>
        <v/>
      </c>
      <c r="AI5" s="28" t="str">
        <f ca="1">IFERROR(__xludf.DUMMYFUNCTION("""COMPUTED_VALUE"""),"")</f>
        <v/>
      </c>
      <c r="AJ5" s="28" t="str">
        <f ca="1">IFERROR(__xludf.DUMMYFUNCTION("""COMPUTED_VALUE"""),"")</f>
        <v/>
      </c>
      <c r="AK5" s="28" t="str">
        <f ca="1">IFERROR(__xludf.DUMMYFUNCTION("""COMPUTED_VALUE"""),"")</f>
        <v/>
      </c>
      <c r="AL5" s="28" t="str">
        <f ca="1">IFERROR(__xludf.DUMMYFUNCTION("""COMPUTED_VALUE"""),"")</f>
        <v/>
      </c>
      <c r="AM5" s="28" t="str">
        <f ca="1">IFERROR(__xludf.DUMMYFUNCTION("""COMPUTED_VALUE"""),"")</f>
        <v/>
      </c>
      <c r="AN5" s="28" t="str">
        <f ca="1">IFERROR(__xludf.DUMMYFUNCTION("""COMPUTED_VALUE"""),"")</f>
        <v/>
      </c>
      <c r="AO5" s="28" t="str">
        <f ca="1">IFERROR(__xludf.DUMMYFUNCTION("""COMPUTED_VALUE"""),"")</f>
        <v/>
      </c>
      <c r="AP5" s="28" t="str">
        <f ca="1">IFERROR(__xludf.DUMMYFUNCTION("""COMPUTED_VALUE"""),"")</f>
        <v/>
      </c>
      <c r="AQ5" s="28" t="str">
        <f ca="1">IFERROR(__xludf.DUMMYFUNCTION("""COMPUTED_VALUE"""),"")</f>
        <v/>
      </c>
      <c r="AR5" s="28" t="str">
        <f ca="1">IFERROR(__xludf.DUMMYFUNCTION("""COMPUTED_VALUE"""),"")</f>
        <v/>
      </c>
      <c r="AS5" s="28" t="str">
        <f ca="1">IFERROR(__xludf.DUMMYFUNCTION("""COMPUTED_VALUE"""),"")</f>
        <v/>
      </c>
      <c r="AT5" s="28" t="str">
        <f ca="1">IFERROR(__xludf.DUMMYFUNCTION("""COMPUTED_VALUE"""),"")</f>
        <v/>
      </c>
      <c r="AU5" s="28" t="str">
        <f ca="1">IFERROR(__xludf.DUMMYFUNCTION("""COMPUTED_VALUE"""),"")</f>
        <v/>
      </c>
      <c r="AV5" s="28" t="str">
        <f ca="1">IFERROR(__xludf.DUMMYFUNCTION("""COMPUTED_VALUE"""),"")</f>
        <v/>
      </c>
      <c r="AW5" s="28" t="str">
        <f ca="1">IFERROR(__xludf.DUMMYFUNCTION("""COMPUTED_VALUE"""),"")</f>
        <v/>
      </c>
      <c r="AX5" s="28" t="str">
        <f ca="1">IFERROR(__xludf.DUMMYFUNCTION("""COMPUTED_VALUE"""),"")</f>
        <v/>
      </c>
      <c r="AY5" s="28" t="str">
        <f ca="1">IFERROR(__xludf.DUMMYFUNCTION("""COMPUTED_VALUE"""),"")</f>
        <v/>
      </c>
      <c r="AZ5" s="28" t="str">
        <f ca="1">IFERROR(__xludf.DUMMYFUNCTION("""COMPUTED_VALUE"""),"")</f>
        <v/>
      </c>
      <c r="BA5" s="28" t="str">
        <f ca="1">IFERROR(__xludf.DUMMYFUNCTION("""COMPUTED_VALUE"""),"")</f>
        <v/>
      </c>
      <c r="BB5" s="28" t="str">
        <f ca="1">IFERROR(__xludf.DUMMYFUNCTION("""COMPUTED_VALUE"""),"")</f>
        <v/>
      </c>
      <c r="BC5" s="28" t="str">
        <f ca="1">IFERROR(__xludf.DUMMYFUNCTION("""COMPUTED_VALUE"""),"")</f>
        <v/>
      </c>
      <c r="BD5" s="28" t="str">
        <f ca="1">IFERROR(__xludf.DUMMYFUNCTION("""COMPUTED_VALUE"""),"")</f>
        <v/>
      </c>
      <c r="BE5" s="28" t="str">
        <f ca="1">IFERROR(__xludf.DUMMYFUNCTION("""COMPUTED_VALUE"""),"")</f>
        <v/>
      </c>
      <c r="BF5" s="28" t="str">
        <f ca="1">IFERROR(__xludf.DUMMYFUNCTION("""COMPUTED_VALUE"""),"")</f>
        <v/>
      </c>
      <c r="BG5" s="28" t="str">
        <f ca="1">IFERROR(__xludf.DUMMYFUNCTION("""COMPUTED_VALUE"""),"")</f>
        <v/>
      </c>
      <c r="BH5" s="28" t="str">
        <f ca="1">IFERROR(__xludf.DUMMYFUNCTION("""COMPUTED_VALUE"""),"")</f>
        <v/>
      </c>
      <c r="BI5" s="28" t="str">
        <f ca="1">IFERROR(__xludf.DUMMYFUNCTION("""COMPUTED_VALUE"""),"")</f>
        <v/>
      </c>
      <c r="BJ5" s="28" t="str">
        <f ca="1">IFERROR(__xludf.DUMMYFUNCTION("""COMPUTED_VALUE"""),"")</f>
        <v/>
      </c>
      <c r="BK5" s="28" t="str">
        <f ca="1">IFERROR(__xludf.DUMMYFUNCTION("""COMPUTED_VALUE"""),"")</f>
        <v/>
      </c>
      <c r="BL5" s="28" t="str">
        <f ca="1">IFERROR(__xludf.DUMMYFUNCTION("""COMPUTED_VALUE"""),"")</f>
        <v/>
      </c>
      <c r="BM5" s="28" t="str">
        <f ca="1">IFERROR(__xludf.DUMMYFUNCTION("""COMPUTED_VALUE"""),"")</f>
        <v/>
      </c>
      <c r="BN5" s="28" t="str">
        <f ca="1">IFERROR(__xludf.DUMMYFUNCTION("""COMPUTED_VALUE"""),"")</f>
        <v/>
      </c>
      <c r="BO5" s="28" t="str">
        <f ca="1">IFERROR(__xludf.DUMMYFUNCTION("""COMPUTED_VALUE"""),"")</f>
        <v/>
      </c>
      <c r="BP5" s="28" t="str">
        <f ca="1">IFERROR(__xludf.DUMMYFUNCTION("""COMPUTED_VALUE"""),"")</f>
        <v/>
      </c>
      <c r="BQ5" s="28" t="str">
        <f ca="1">IFERROR(__xludf.DUMMYFUNCTION("""COMPUTED_VALUE"""),"")</f>
        <v/>
      </c>
      <c r="BR5" s="28" t="str">
        <f ca="1">IFERROR(__xludf.DUMMYFUNCTION("""COMPUTED_VALUE"""),"")</f>
        <v/>
      </c>
      <c r="BS5" s="28" t="str">
        <f ca="1">IFERROR(__xludf.DUMMYFUNCTION("""COMPUTED_VALUE"""),"")</f>
        <v/>
      </c>
      <c r="BT5" s="28" t="str">
        <f ca="1">IFERROR(__xludf.DUMMYFUNCTION("""COMPUTED_VALUE"""),"")</f>
        <v/>
      </c>
      <c r="BU5" s="28" t="str">
        <f ca="1">IFERROR(__xludf.DUMMYFUNCTION("""COMPUTED_VALUE"""),"")</f>
        <v/>
      </c>
      <c r="BV5" s="28" t="str">
        <f ca="1">IFERROR(__xludf.DUMMYFUNCTION("""COMPUTED_VALUE"""),"")</f>
        <v/>
      </c>
      <c r="BW5" s="28" t="str">
        <f ca="1">IFERROR(__xludf.DUMMYFUNCTION("""COMPUTED_VALUE"""),"")</f>
        <v/>
      </c>
      <c r="BX5" s="28" t="str">
        <f ca="1">IFERROR(__xludf.DUMMYFUNCTION("""COMPUTED_VALUE"""),"")</f>
        <v/>
      </c>
      <c r="BY5" s="28" t="str">
        <f ca="1">IFERROR(__xludf.DUMMYFUNCTION("""COMPUTED_VALUE"""),"")</f>
        <v/>
      </c>
      <c r="BZ5" s="28" t="str">
        <f ca="1">IFERROR(__xludf.DUMMYFUNCTION("""COMPUTED_VALUE"""),"")</f>
        <v/>
      </c>
      <c r="CA5" s="28" t="str">
        <f ca="1">IFERROR(__xludf.DUMMYFUNCTION("""COMPUTED_VALUE"""),"")</f>
        <v/>
      </c>
      <c r="CB5" s="28" t="str">
        <f ca="1">IFERROR(__xludf.DUMMYFUNCTION("""COMPUTED_VALUE"""),"")</f>
        <v/>
      </c>
      <c r="CC5" s="28" t="str">
        <f ca="1">IFERROR(__xludf.DUMMYFUNCTION("""COMPUTED_VALUE"""),"")</f>
        <v/>
      </c>
      <c r="CD5" s="28" t="str">
        <f ca="1">IFERROR(__xludf.DUMMYFUNCTION("""COMPUTED_VALUE"""),"")</f>
        <v/>
      </c>
      <c r="CE5" s="28" t="str">
        <f ca="1">IFERROR(__xludf.DUMMYFUNCTION("""COMPUTED_VALUE"""),"")</f>
        <v/>
      </c>
      <c r="CF5" s="28" t="str">
        <f ca="1">IFERROR(__xludf.DUMMYFUNCTION("""COMPUTED_VALUE"""),"")</f>
        <v/>
      </c>
      <c r="CG5" s="28" t="str">
        <f ca="1">IFERROR(__xludf.DUMMYFUNCTION("""COMPUTED_VALUE"""),"")</f>
        <v/>
      </c>
      <c r="CH5" s="28" t="str">
        <f ca="1">IFERROR(__xludf.DUMMYFUNCTION("""COMPUTED_VALUE"""),"")</f>
        <v/>
      </c>
      <c r="CI5" s="28" t="str">
        <f ca="1">IFERROR(__xludf.DUMMYFUNCTION("""COMPUTED_VALUE"""),"")</f>
        <v/>
      </c>
      <c r="CJ5" s="28" t="str">
        <f ca="1">IFERROR(__xludf.DUMMYFUNCTION("""COMPUTED_VALUE"""),"")</f>
        <v/>
      </c>
      <c r="CK5" s="28" t="str">
        <f ca="1">IFERROR(__xludf.DUMMYFUNCTION("""COMPUTED_VALUE"""),"")</f>
        <v/>
      </c>
      <c r="CL5" s="28" t="str">
        <f ca="1">IFERROR(__xludf.DUMMYFUNCTION("""COMPUTED_VALUE"""),"")</f>
        <v/>
      </c>
      <c r="CM5" s="28" t="str">
        <f ca="1">IFERROR(__xludf.DUMMYFUNCTION("""COMPUTED_VALUE"""),"")</f>
        <v/>
      </c>
      <c r="CN5" s="28" t="str">
        <f ca="1">IFERROR(__xludf.DUMMYFUNCTION("""COMPUTED_VALUE"""),"")</f>
        <v/>
      </c>
      <c r="CO5" s="28" t="str">
        <f ca="1">IFERROR(__xludf.DUMMYFUNCTION("""COMPUTED_VALUE"""),"")</f>
        <v/>
      </c>
      <c r="CP5" s="28" t="str">
        <f ca="1">IFERROR(__xludf.DUMMYFUNCTION("""COMPUTED_VALUE"""),"")</f>
        <v/>
      </c>
      <c r="CQ5" s="28" t="str">
        <f ca="1">IFERROR(__xludf.DUMMYFUNCTION("""COMPUTED_VALUE"""),"")</f>
        <v/>
      </c>
      <c r="CR5" s="28" t="str">
        <f ca="1">IFERROR(__xludf.DUMMYFUNCTION("""COMPUTED_VALUE"""),"")</f>
        <v/>
      </c>
      <c r="CS5" s="28" t="str">
        <f ca="1">IFERROR(__xludf.DUMMYFUNCTION("""COMPUTED_VALUE"""),"")</f>
        <v/>
      </c>
      <c r="CT5" s="28" t="str">
        <f ca="1">IFERROR(__xludf.DUMMYFUNCTION("""COMPUTED_VALUE"""),"")</f>
        <v/>
      </c>
      <c r="CU5" s="28" t="str">
        <f ca="1">IFERROR(__xludf.DUMMYFUNCTION("""COMPUTED_VALUE"""),"")</f>
        <v/>
      </c>
      <c r="CV5" s="28" t="str">
        <f ca="1">IFERROR(__xludf.DUMMYFUNCTION("""COMPUTED_VALUE"""),"")</f>
        <v/>
      </c>
      <c r="CW5" s="28" t="str">
        <f ca="1">IFERROR(__xludf.DUMMYFUNCTION("""COMPUTED_VALUE"""),"")</f>
        <v/>
      </c>
      <c r="CX5" s="28" t="str">
        <f ca="1">IFERROR(__xludf.DUMMYFUNCTION("""COMPUTED_VALUE"""),"")</f>
        <v/>
      </c>
      <c r="CY5" s="28" t="str">
        <f ca="1">IFERROR(__xludf.DUMMYFUNCTION("""COMPUTED_VALUE"""),"")</f>
        <v/>
      </c>
      <c r="CZ5" s="28" t="str">
        <f ca="1">IFERROR(__xludf.DUMMYFUNCTION("""COMPUTED_VALUE"""),"")</f>
        <v/>
      </c>
      <c r="DA5" s="28" t="str">
        <f ca="1">IFERROR(__xludf.DUMMYFUNCTION("""COMPUTED_VALUE"""),"")</f>
        <v/>
      </c>
      <c r="DB5" s="28" t="str">
        <f ca="1">IFERROR(__xludf.DUMMYFUNCTION("""COMPUTED_VALUE"""),"")</f>
        <v/>
      </c>
      <c r="DC5" s="28" t="str">
        <f ca="1">IFERROR(__xludf.DUMMYFUNCTION("""COMPUTED_VALUE"""),"")</f>
        <v/>
      </c>
      <c r="DD5" s="28" t="str">
        <f ca="1">IFERROR(__xludf.DUMMYFUNCTION("""COMPUTED_VALUE"""),"")</f>
        <v/>
      </c>
      <c r="DE5" s="28" t="str">
        <f ca="1">IFERROR(__xludf.DUMMYFUNCTION("""COMPUTED_VALUE"""),"")</f>
        <v/>
      </c>
      <c r="DF5" s="28" t="str">
        <f ca="1">IFERROR(__xludf.DUMMYFUNCTION("""COMPUTED_VALUE"""),"")</f>
        <v/>
      </c>
      <c r="DG5" s="28" t="str">
        <f ca="1">IFERROR(__xludf.DUMMYFUNCTION("""COMPUTED_VALUE"""),"")</f>
        <v/>
      </c>
      <c r="DH5" s="28" t="str">
        <f ca="1">IFERROR(__xludf.DUMMYFUNCTION("""COMPUTED_VALUE"""),"")</f>
        <v/>
      </c>
      <c r="DI5" s="28" t="str">
        <f ca="1">IFERROR(__xludf.DUMMYFUNCTION("""COMPUTED_VALUE"""),"")</f>
        <v/>
      </c>
      <c r="DJ5" s="28" t="str">
        <f ca="1">IFERROR(__xludf.DUMMYFUNCTION("""COMPUTED_VALUE"""),"")</f>
        <v/>
      </c>
      <c r="DK5" s="28" t="str">
        <f ca="1">IFERROR(__xludf.DUMMYFUNCTION("""COMPUTED_VALUE"""),"")</f>
        <v/>
      </c>
      <c r="DL5" s="28" t="str">
        <f ca="1">IFERROR(__xludf.DUMMYFUNCTION("""COMPUTED_VALUE"""),"")</f>
        <v/>
      </c>
      <c r="DM5" s="28" t="str">
        <f ca="1">IFERROR(__xludf.DUMMYFUNCTION("""COMPUTED_VALUE"""),"")</f>
        <v/>
      </c>
      <c r="DN5" s="28" t="str">
        <f ca="1">IFERROR(__xludf.DUMMYFUNCTION("""COMPUTED_VALUE"""),"")</f>
        <v/>
      </c>
      <c r="DO5" s="28" t="str">
        <f ca="1">IFERROR(__xludf.DUMMYFUNCTION("""COMPUTED_VALUE"""),"")</f>
        <v/>
      </c>
      <c r="DP5" s="28" t="str">
        <f ca="1">IFERROR(__xludf.DUMMYFUNCTION("""COMPUTED_VALUE"""),"")</f>
        <v/>
      </c>
      <c r="DQ5" s="28" t="str">
        <f ca="1">IFERROR(__xludf.DUMMYFUNCTION("""COMPUTED_VALUE"""),"")</f>
        <v/>
      </c>
      <c r="DR5" s="28" t="str">
        <f ca="1">IFERROR(__xludf.DUMMYFUNCTION("""COMPUTED_VALUE"""),"")</f>
        <v/>
      </c>
      <c r="DS5" s="28" t="str">
        <f ca="1">IFERROR(__xludf.DUMMYFUNCTION("""COMPUTED_VALUE"""),"")</f>
        <v/>
      </c>
      <c r="DT5" s="28" t="str">
        <f ca="1">IFERROR(__xludf.DUMMYFUNCTION("""COMPUTED_VALUE"""),"")</f>
        <v/>
      </c>
      <c r="DU5" s="28" t="str">
        <f ca="1">IFERROR(__xludf.DUMMYFUNCTION("""COMPUTED_VALUE"""),"")</f>
        <v/>
      </c>
      <c r="DV5" s="28" t="str">
        <f ca="1">IFERROR(__xludf.DUMMYFUNCTION("""COMPUTED_VALUE"""),"")</f>
        <v/>
      </c>
      <c r="DW5" s="28" t="str">
        <f ca="1">IFERROR(__xludf.DUMMYFUNCTION("""COMPUTED_VALUE"""),"")</f>
        <v/>
      </c>
      <c r="DX5" s="28" t="str">
        <f ca="1">IFERROR(__xludf.DUMMYFUNCTION("""COMPUTED_VALUE"""),"")</f>
        <v/>
      </c>
      <c r="DY5" s="28" t="str">
        <f ca="1">IFERROR(__xludf.DUMMYFUNCTION("""COMPUTED_VALUE"""),"")</f>
        <v/>
      </c>
      <c r="DZ5" s="28" t="str">
        <f ca="1">IFERROR(__xludf.DUMMYFUNCTION("""COMPUTED_VALUE"""),"")</f>
        <v/>
      </c>
      <c r="EA5" s="28" t="str">
        <f ca="1">IFERROR(__xludf.DUMMYFUNCTION("""COMPUTED_VALUE"""),"")</f>
        <v/>
      </c>
      <c r="EB5" s="28" t="str">
        <f ca="1">IFERROR(__xludf.DUMMYFUNCTION("""COMPUTED_VALUE"""),"")</f>
        <v/>
      </c>
      <c r="EC5" s="28" t="str">
        <f ca="1">IFERROR(__xludf.DUMMYFUNCTION("""COMPUTED_VALUE"""),"")</f>
        <v/>
      </c>
      <c r="ED5" s="28" t="str">
        <f ca="1">IFERROR(__xludf.DUMMYFUNCTION("""COMPUTED_VALUE"""),"")</f>
        <v/>
      </c>
      <c r="EE5" s="28" t="str">
        <f ca="1">IFERROR(__xludf.DUMMYFUNCTION("""COMPUTED_VALUE"""),"")</f>
        <v/>
      </c>
      <c r="EF5" s="28" t="str">
        <f ca="1">IFERROR(__xludf.DUMMYFUNCTION("""COMPUTED_VALUE"""),"")</f>
        <v/>
      </c>
      <c r="EG5" s="28" t="str">
        <f ca="1">IFERROR(__xludf.DUMMYFUNCTION("""COMPUTED_VALUE"""),"")</f>
        <v/>
      </c>
      <c r="EH5" s="28" t="str">
        <f ca="1">IFERROR(__xludf.DUMMYFUNCTION("""COMPUTED_VALUE"""),"")</f>
        <v/>
      </c>
      <c r="EI5" s="28" t="str">
        <f ca="1">IFERROR(__xludf.DUMMYFUNCTION("""COMPUTED_VALUE"""),"")</f>
        <v/>
      </c>
      <c r="EJ5" s="28" t="str">
        <f ca="1">IFERROR(__xludf.DUMMYFUNCTION("""COMPUTED_VALUE"""),"")</f>
        <v/>
      </c>
      <c r="EK5" s="28" t="str">
        <f ca="1">IFERROR(__xludf.DUMMYFUNCTION("""COMPUTED_VALUE"""),"")</f>
        <v/>
      </c>
      <c r="EL5" s="28" t="str">
        <f ca="1">IFERROR(__xludf.DUMMYFUNCTION("""COMPUTED_VALUE"""),"")</f>
        <v/>
      </c>
      <c r="EM5" s="28" t="str">
        <f ca="1">IFERROR(__xludf.DUMMYFUNCTION("""COMPUTED_VALUE"""),"")</f>
        <v/>
      </c>
      <c r="EN5" s="28" t="str">
        <f ca="1">IFERROR(__xludf.DUMMYFUNCTION("""COMPUTED_VALUE"""),"")</f>
        <v/>
      </c>
      <c r="EO5" s="28" t="str">
        <f ca="1">IFERROR(__xludf.DUMMYFUNCTION("""COMPUTED_VALUE"""),"")</f>
        <v/>
      </c>
      <c r="EP5" s="28" t="str">
        <f ca="1">IFERROR(__xludf.DUMMYFUNCTION("""COMPUTED_VALUE"""),"")</f>
        <v/>
      </c>
      <c r="EQ5" s="28" t="str">
        <f ca="1">IFERROR(__xludf.DUMMYFUNCTION("""COMPUTED_VALUE"""),"")</f>
        <v/>
      </c>
      <c r="ER5" s="28" t="str">
        <f ca="1">IFERROR(__xludf.DUMMYFUNCTION("""COMPUTED_VALUE"""),"")</f>
        <v/>
      </c>
      <c r="ES5" s="28" t="str">
        <f ca="1">IFERROR(__xludf.DUMMYFUNCTION("""COMPUTED_VALUE"""),"")</f>
        <v/>
      </c>
      <c r="ET5" s="28" t="str">
        <f ca="1">IFERROR(__xludf.DUMMYFUNCTION("""COMPUTED_VALUE"""),"")</f>
        <v/>
      </c>
      <c r="EU5" s="28" t="str">
        <f ca="1">IFERROR(__xludf.DUMMYFUNCTION("""COMPUTED_VALUE"""),"")</f>
        <v/>
      </c>
      <c r="EV5" s="28" t="str">
        <f ca="1">IFERROR(__xludf.DUMMYFUNCTION("""COMPUTED_VALUE"""),"")</f>
        <v/>
      </c>
      <c r="EW5" s="28" t="str">
        <f ca="1">IFERROR(__xludf.DUMMYFUNCTION("""COMPUTED_VALUE"""),"")</f>
        <v/>
      </c>
      <c r="EX5" s="28" t="str">
        <f ca="1">IFERROR(__xludf.DUMMYFUNCTION("""COMPUTED_VALUE"""),"")</f>
        <v/>
      </c>
    </row>
    <row r="6" spans="1:154" ht="15.75" customHeight="1" x14ac:dyDescent="0.2">
      <c r="A6" s="5"/>
      <c r="B6" s="5" t="b">
        <v>1</v>
      </c>
      <c r="C6" s="5" t="b">
        <v>0</v>
      </c>
      <c r="D6" s="5" t="s">
        <v>23</v>
      </c>
      <c r="E6" s="5" t="s">
        <v>24</v>
      </c>
      <c r="F6" s="5" t="s">
        <v>25</v>
      </c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2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3" t="s">
        <v>11</v>
      </c>
      <c r="C1" s="54"/>
      <c r="D1" s="54"/>
      <c r="E1" s="54"/>
      <c r="F1" s="54"/>
      <c r="G1" s="54"/>
      <c r="H1" s="55"/>
      <c r="I1" s="12"/>
      <c r="J1" s="12"/>
      <c r="K1" s="12"/>
      <c r="L1" s="12"/>
      <c r="M1" s="12"/>
      <c r="N1" s="12"/>
      <c r="O1" s="12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e">
        <f ca="1">VLOOKUP($E$3,_MasterData!B4:D1000,3,FALSE)</f>
        <v>#N/A</v>
      </c>
      <c r="K2" s="15"/>
      <c r="L2" s="2"/>
      <c r="M2" s="2"/>
      <c r="N2" s="2"/>
      <c r="O2" s="2"/>
    </row>
    <row r="3" spans="1:154" ht="15.75" customHeight="1" x14ac:dyDescent="0.2">
      <c r="A3" s="17"/>
      <c r="B3" s="3" t="s">
        <v>5</v>
      </c>
      <c r="C3" s="18" t="s">
        <v>21</v>
      </c>
      <c r="D3" s="3" t="s">
        <v>7</v>
      </c>
      <c r="E3" s="18" t="s">
        <v>26</v>
      </c>
      <c r="F3" s="3" t="s">
        <v>14</v>
      </c>
      <c r="G3" s="7" t="s">
        <v>15</v>
      </c>
      <c r="H3" s="3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 x14ac:dyDescent="0.2">
      <c r="A4" s="21"/>
      <c r="B4" s="21" t="str">
        <f ca="1">IFERROR(__xludf.DUMMYFUNCTION("IF(C3="""","""",Transpose(IMPORTRANGE('_Settings'!$B$3,C3&amp;""!A4:A1000"")))"),"SwapExpire")</f>
        <v>SwapExpire</v>
      </c>
      <c r="C4" s="21" t="str">
        <f ca="1">IFERROR(__xludf.DUMMYFUNCTION("""COMPUTED_VALUE"""),"GetDataClosing")</f>
        <v>GetDataClosing</v>
      </c>
      <c r="D4" s="21" t="str">
        <f ca="1">IFERROR(__xludf.DUMMYFUNCTION("""COMPUTED_VALUE"""),"ManualClosing")</f>
        <v>ManualClosing</v>
      </c>
      <c r="E4" s="21" t="str">
        <f ca="1">IFERROR(__xludf.DUMMYFUNCTION("""COMPUTED_VALUE"""),"AutomaticClosing")</f>
        <v>AutomaticClosing</v>
      </c>
      <c r="F4" s="21" t="str">
        <f ca="1">IFERROR(__xludf.DUMMYFUNCTION("""COMPUTED_VALUE"""),"UnwindClosing")</f>
        <v>UnwindClosing</v>
      </c>
      <c r="G4" s="21" t="str">
        <f ca="1">IFERROR(__xludf.DUMMYFUNCTION("""COMPUTED_VALUE"""),"VerifyClosedTrades")</f>
        <v>VerifyClosedTrades</v>
      </c>
      <c r="H4" s="21" t="str">
        <f ca="1">IFERROR(__xludf.DUMMYFUNCTION("""COMPUTED_VALUE"""),"VerifyLongPositionsGrid")</f>
        <v>VerifyLongPositionsGrid</v>
      </c>
      <c r="I4" s="21" t="str">
        <f ca="1">IFERROR(__xludf.DUMMYFUNCTION("""COMPUTED_VALUE"""),"VerifyShortPositionsGrid")</f>
        <v>VerifyShortPositionsGrid</v>
      </c>
      <c r="J4" s="21" t="str">
        <f ca="1">IFERROR(__xludf.DUMMYFUNCTION("""COMPUTED_VALUE"""),"SelectTradeUnexpiredUnsettled")</f>
        <v>SelectTradeUnexpiredUnsettled</v>
      </c>
      <c r="K4" s="21" t="str">
        <f ca="1">IFERROR(__xludf.DUMMYFUNCTION("""COMPUTED_VALUE"""),"CashSettlementAtCost")</f>
        <v>CashSettlementAtCost</v>
      </c>
      <c r="L4" s="21" t="str">
        <f ca="1">IFERROR(__xludf.DUMMYFUNCTION("""COMPUTED_VALUE"""),"CashSettlementAtZeroPrice")</f>
        <v>CashSettlementAtZeroPrice</v>
      </c>
      <c r="M4" s="21" t="str">
        <f ca="1">IFERROR(__xludf.DUMMYFUNCTION("""COMPUTED_VALUE"""),"CashSettlementAtClosingDtSpotPx")</f>
        <v>CashSettlementAtClosingDtSpotPx</v>
      </c>
      <c r="N4" s="21" t="str">
        <f ca="1">IFERROR(__xludf.DUMMYFUNCTION("""COMPUTED_VALUE"""),"PhysicalSettlement")</f>
        <v>PhysicalSettlement</v>
      </c>
      <c r="O4" s="21" t="str">
        <f ca="1">IFERROR(__xludf.DUMMYFUNCTION("""COMPUTED_VALUE"""),"Expire")</f>
        <v>Expire</v>
      </c>
      <c r="P4" s="23" t="str">
        <f ca="1">IFERROR(__xludf.DUMMYFUNCTION("""COMPUTED_VALUE"""),"ExerciseAssignment")</f>
        <v>ExerciseAssignment</v>
      </c>
      <c r="Q4" s="23" t="str">
        <f ca="1">IFERROR(__xludf.DUMMYFUNCTION("""COMPUTED_VALUE"""),"ExerciseAssignmentAtZero")</f>
        <v>ExerciseAssignmentAtZero</v>
      </c>
      <c r="R4" s="23" t="str">
        <f ca="1">IFERROR(__xludf.DUMMYFUNCTION("""COMPUTED_VALUE"""),"SwapExpireAndRollover")</f>
        <v>SwapExpireAndRollover</v>
      </c>
      <c r="S4" s="23" t="str">
        <f ca="1">IFERROR(__xludf.DUMMYFUNCTION("""COMPUTED_VALUE"""),"SwapExpire")</f>
        <v>SwapExpire</v>
      </c>
      <c r="T4" s="23" t="str">
        <f ca="1">IFERROR(__xludf.DUMMYFUNCTION("""COMPUTED_VALUE"""),"VerifyExpiredSettledGrid")</f>
        <v>VerifyExpiredSettledGrid</v>
      </c>
      <c r="U4" s="23" t="str">
        <f ca="1">IFERROR(__xludf.DUMMYFUNCTION("""COMPUTED_VALUE"""),"VerifyUnExpiredUnSettledGrid")</f>
        <v>VerifyUnExpiredUnSettledGrid</v>
      </c>
      <c r="V4" s="23" t="str">
        <f ca="1">IFERROR(__xludf.DUMMYFUNCTION("""COMPUTED_VALUE"""),"UnWindTradeSettlement")</f>
        <v>UnWindTradeSettlement</v>
      </c>
      <c r="W4" s="23" t="str">
        <f ca="1">IFERROR(__xludf.DUMMYFUNCTION("""COMPUTED_VALUE"""),"CloseOrder")</f>
        <v>CloseOrder</v>
      </c>
      <c r="X4" s="23" t="str">
        <f ca="1">IFERROR(__xludf.DUMMYFUNCTION("""COMPUTED_VALUE"""),"VerifyCloseOrder")</f>
        <v>VerifyCloseOrder</v>
      </c>
      <c r="Y4" s="23" t="str">
        <f ca="1">IFERROR(__xludf.DUMMYFUNCTION("""COMPUTED_VALUE"""),"UnWindCloseOrder")</f>
        <v>UnWindCloseOrder</v>
      </c>
      <c r="Z4" s="23" t="str">
        <f ca="1">IFERROR(__xludf.DUMMYFUNCTION("""COMPUTED_VALUE"""),"ClosingCleanUp")</f>
        <v>ClosingCleanUp</v>
      </c>
      <c r="AA4" s="23" t="str">
        <f ca="1">IFERROR(__xludf.DUMMYFUNCTION("""COMPUTED_VALUE"""),"CloseClosingUI")</f>
        <v>CloseClosingUI</v>
      </c>
      <c r="AB4" s="23" t="str">
        <f ca="1">IFERROR(__xludf.DUMMYFUNCTION("""COMPUTED_VALUE"""),"SetClosingPreference")</f>
        <v>SetClosingPreference</v>
      </c>
      <c r="AC4" s="23" t="str">
        <f ca="1">IFERROR(__xludf.DUMMYFUNCTION("""COMPUTED_VALUE"""),"EditTradeUnexpiredUnsettled")</f>
        <v>EditTradeUnexpiredUnsettled</v>
      </c>
      <c r="AD4" s="23" t="str">
        <f ca="1">IFERROR(__xludf.DUMMYFUNCTION("""COMPUTED_VALUE"""),"")</f>
        <v/>
      </c>
      <c r="AE4" s="23" t="str">
        <f ca="1">IFERROR(__xludf.DUMMYFUNCTION("""COMPUTED_VALUE"""),"")</f>
        <v/>
      </c>
      <c r="AF4" s="23" t="str">
        <f ca="1">IFERROR(__xludf.DUMMYFUNCTION("""COMPUTED_VALUE"""),"")</f>
        <v/>
      </c>
      <c r="AG4" s="23" t="str">
        <f ca="1">IFERROR(__xludf.DUMMYFUNCTION("""COMPUTED_VALUE"""),"")</f>
        <v/>
      </c>
      <c r="AH4" s="23" t="str">
        <f ca="1">IFERROR(__xludf.DUMMYFUNCTION("""COMPUTED_VALUE"""),"")</f>
        <v/>
      </c>
      <c r="AI4" s="23" t="str">
        <f ca="1">IFERROR(__xludf.DUMMYFUNCTION("""COMPUTED_VALUE"""),"")</f>
        <v/>
      </c>
      <c r="AJ4" s="23" t="str">
        <f ca="1">IFERROR(__xludf.DUMMYFUNCTION("""COMPUTED_VALUE"""),"")</f>
        <v/>
      </c>
      <c r="AK4" s="23" t="str">
        <f ca="1">IFERROR(__xludf.DUMMYFUNCTION("""COMPUTED_VALUE"""),"")</f>
        <v/>
      </c>
      <c r="AL4" s="23" t="str">
        <f ca="1">IFERROR(__xludf.DUMMYFUNCTION("""COMPUTED_VALUE"""),"")</f>
        <v/>
      </c>
      <c r="AM4" s="23" t="str">
        <f ca="1">IFERROR(__xludf.DUMMYFUNCTION("""COMPUTED_VALUE"""),"")</f>
        <v/>
      </c>
      <c r="AN4" s="23" t="str">
        <f ca="1">IFERROR(__xludf.DUMMYFUNCTION("""COMPUTED_VALUE"""),"")</f>
        <v/>
      </c>
      <c r="AO4" s="23" t="str">
        <f ca="1">IFERROR(__xludf.DUMMYFUNCTION("""COMPUTED_VALUE"""),"")</f>
        <v/>
      </c>
      <c r="AP4" s="23" t="str">
        <f ca="1">IFERROR(__xludf.DUMMYFUNCTION("""COMPUTED_VALUE"""),"")</f>
        <v/>
      </c>
      <c r="AQ4" s="23" t="str">
        <f ca="1">IFERROR(__xludf.DUMMYFUNCTION("""COMPUTED_VALUE"""),"")</f>
        <v/>
      </c>
      <c r="AR4" s="23" t="str">
        <f ca="1">IFERROR(__xludf.DUMMYFUNCTION("""COMPUTED_VALUE"""),"")</f>
        <v/>
      </c>
      <c r="AS4" s="23" t="str">
        <f ca="1">IFERROR(__xludf.DUMMYFUNCTION("""COMPUTED_VALUE"""),"")</f>
        <v/>
      </c>
      <c r="AT4" s="23" t="str">
        <f ca="1">IFERROR(__xludf.DUMMYFUNCTION("""COMPUTED_VALUE"""),"")</f>
        <v/>
      </c>
      <c r="AU4" s="23" t="str">
        <f ca="1">IFERROR(__xludf.DUMMYFUNCTION("""COMPUTED_VALUE"""),"")</f>
        <v/>
      </c>
      <c r="AV4" s="23" t="str">
        <f ca="1">IFERROR(__xludf.DUMMYFUNCTION("""COMPUTED_VALUE"""),"")</f>
        <v/>
      </c>
      <c r="AW4" s="23" t="str">
        <f ca="1">IFERROR(__xludf.DUMMYFUNCTION("""COMPUTED_VALUE"""),"")</f>
        <v/>
      </c>
      <c r="AX4" s="23" t="str">
        <f ca="1">IFERROR(__xludf.DUMMYFUNCTION("""COMPUTED_VALUE"""),"")</f>
        <v/>
      </c>
      <c r="AY4" s="23" t="str">
        <f ca="1">IFERROR(__xludf.DUMMYFUNCTION("""COMPUTED_VALUE"""),"")</f>
        <v/>
      </c>
      <c r="AZ4" s="23" t="str">
        <f ca="1">IFERROR(__xludf.DUMMYFUNCTION("""COMPUTED_VALUE"""),"")</f>
        <v/>
      </c>
      <c r="BA4" s="23" t="str">
        <f ca="1">IFERROR(__xludf.DUMMYFUNCTION("""COMPUTED_VALUE"""),"")</f>
        <v/>
      </c>
      <c r="BB4" s="23" t="str">
        <f ca="1">IFERROR(__xludf.DUMMYFUNCTION("""COMPUTED_VALUE"""),"")</f>
        <v/>
      </c>
      <c r="BC4" s="23" t="str">
        <f ca="1">IFERROR(__xludf.DUMMYFUNCTION("""COMPUTED_VALUE"""),"")</f>
        <v/>
      </c>
      <c r="BD4" s="23" t="str">
        <f ca="1">IFERROR(__xludf.DUMMYFUNCTION("""COMPUTED_VALUE"""),"")</f>
        <v/>
      </c>
      <c r="BE4" s="23" t="str">
        <f ca="1">IFERROR(__xludf.DUMMYFUNCTION("""COMPUTED_VALUE"""),"")</f>
        <v/>
      </c>
      <c r="BF4" s="23" t="str">
        <f ca="1">IFERROR(__xludf.DUMMYFUNCTION("""COMPUTED_VALUE"""),"")</f>
        <v/>
      </c>
      <c r="BG4" s="23" t="str">
        <f ca="1">IFERROR(__xludf.DUMMYFUNCTION("""COMPUTED_VALUE"""),"")</f>
        <v/>
      </c>
      <c r="BH4" s="23" t="str">
        <f ca="1">IFERROR(__xludf.DUMMYFUNCTION("""COMPUTED_VALUE"""),"")</f>
        <v/>
      </c>
      <c r="BI4" s="23" t="str">
        <f ca="1">IFERROR(__xludf.DUMMYFUNCTION("""COMPUTED_VALUE"""),"")</f>
        <v/>
      </c>
      <c r="BJ4" s="23" t="str">
        <f ca="1">IFERROR(__xludf.DUMMYFUNCTION("""COMPUTED_VALUE"""),"")</f>
        <v/>
      </c>
      <c r="BK4" s="23" t="str">
        <f ca="1">IFERROR(__xludf.DUMMYFUNCTION("""COMPUTED_VALUE"""),"")</f>
        <v/>
      </c>
      <c r="BL4" s="23" t="str">
        <f ca="1">IFERROR(__xludf.DUMMYFUNCTION("""COMPUTED_VALUE"""),"")</f>
        <v/>
      </c>
      <c r="BM4" s="23" t="str">
        <f ca="1">IFERROR(__xludf.DUMMYFUNCTION("""COMPUTED_VALUE"""),"")</f>
        <v/>
      </c>
      <c r="BN4" s="23" t="str">
        <f ca="1">IFERROR(__xludf.DUMMYFUNCTION("""COMPUTED_VALUE"""),"")</f>
        <v/>
      </c>
      <c r="BO4" s="23" t="str">
        <f ca="1">IFERROR(__xludf.DUMMYFUNCTION("""COMPUTED_VALUE"""),"")</f>
        <v/>
      </c>
      <c r="BP4" s="23" t="str">
        <f ca="1">IFERROR(__xludf.DUMMYFUNCTION("""COMPUTED_VALUE"""),"")</f>
        <v/>
      </c>
      <c r="BQ4" s="23" t="str">
        <f ca="1">IFERROR(__xludf.DUMMYFUNCTION("""COMPUTED_VALUE"""),"")</f>
        <v/>
      </c>
      <c r="BR4" s="23" t="str">
        <f ca="1">IFERROR(__xludf.DUMMYFUNCTION("""COMPUTED_VALUE"""),"")</f>
        <v/>
      </c>
      <c r="BS4" s="23" t="str">
        <f ca="1">IFERROR(__xludf.DUMMYFUNCTION("""COMPUTED_VALUE"""),"")</f>
        <v/>
      </c>
      <c r="BT4" s="23" t="str">
        <f ca="1">IFERROR(__xludf.DUMMYFUNCTION("""COMPUTED_VALUE"""),"")</f>
        <v/>
      </c>
      <c r="BU4" s="23" t="str">
        <f ca="1">IFERROR(__xludf.DUMMYFUNCTION("""COMPUTED_VALUE"""),"")</f>
        <v/>
      </c>
      <c r="BV4" s="23" t="str">
        <f ca="1">IFERROR(__xludf.DUMMYFUNCTION("""COMPUTED_VALUE"""),"")</f>
        <v/>
      </c>
      <c r="BW4" s="23" t="str">
        <f ca="1">IFERROR(__xludf.DUMMYFUNCTION("""COMPUTED_VALUE"""),"")</f>
        <v/>
      </c>
      <c r="BX4" s="23" t="str">
        <f ca="1">IFERROR(__xludf.DUMMYFUNCTION("""COMPUTED_VALUE"""),"")</f>
        <v/>
      </c>
      <c r="BY4" s="23" t="str">
        <f ca="1">IFERROR(__xludf.DUMMYFUNCTION("""COMPUTED_VALUE"""),"")</f>
        <v/>
      </c>
      <c r="BZ4" s="23" t="str">
        <f ca="1">IFERROR(__xludf.DUMMYFUNCTION("""COMPUTED_VALUE"""),"")</f>
        <v/>
      </c>
      <c r="CA4" s="23" t="str">
        <f ca="1">IFERROR(__xludf.DUMMYFUNCTION("""COMPUTED_VALUE"""),"")</f>
        <v/>
      </c>
      <c r="CB4" s="23" t="str">
        <f ca="1">IFERROR(__xludf.DUMMYFUNCTION("""COMPUTED_VALUE"""),"")</f>
        <v/>
      </c>
      <c r="CC4" s="23" t="str">
        <f ca="1">IFERROR(__xludf.DUMMYFUNCTION("""COMPUTED_VALUE"""),"")</f>
        <v/>
      </c>
      <c r="CD4" s="23" t="str">
        <f ca="1">IFERROR(__xludf.DUMMYFUNCTION("""COMPUTED_VALUE"""),"")</f>
        <v/>
      </c>
      <c r="CE4" s="23" t="str">
        <f ca="1">IFERROR(__xludf.DUMMYFUNCTION("""COMPUTED_VALUE"""),"")</f>
        <v/>
      </c>
      <c r="CF4" s="23" t="str">
        <f ca="1">IFERROR(__xludf.DUMMYFUNCTION("""COMPUTED_VALUE"""),"")</f>
        <v/>
      </c>
      <c r="CG4" s="23" t="str">
        <f ca="1">IFERROR(__xludf.DUMMYFUNCTION("""COMPUTED_VALUE"""),"")</f>
        <v/>
      </c>
      <c r="CH4" s="23" t="str">
        <f ca="1">IFERROR(__xludf.DUMMYFUNCTION("""COMPUTED_VALUE"""),"")</f>
        <v/>
      </c>
      <c r="CI4" s="23" t="str">
        <f ca="1">IFERROR(__xludf.DUMMYFUNCTION("""COMPUTED_VALUE"""),"")</f>
        <v/>
      </c>
      <c r="CJ4" s="23" t="str">
        <f ca="1">IFERROR(__xludf.DUMMYFUNCTION("""COMPUTED_VALUE"""),"")</f>
        <v/>
      </c>
      <c r="CK4" s="23" t="str">
        <f ca="1">IFERROR(__xludf.DUMMYFUNCTION("""COMPUTED_VALUE"""),"")</f>
        <v/>
      </c>
      <c r="CL4" s="23" t="str">
        <f ca="1">IFERROR(__xludf.DUMMYFUNCTION("""COMPUTED_VALUE"""),"")</f>
        <v/>
      </c>
      <c r="CM4" s="23" t="str">
        <f ca="1">IFERROR(__xludf.DUMMYFUNCTION("""COMPUTED_VALUE"""),"")</f>
        <v/>
      </c>
      <c r="CN4" s="23" t="str">
        <f ca="1">IFERROR(__xludf.DUMMYFUNCTION("""COMPUTED_VALUE"""),"")</f>
        <v/>
      </c>
      <c r="CO4" s="23" t="str">
        <f ca="1">IFERROR(__xludf.DUMMYFUNCTION("""COMPUTED_VALUE"""),"")</f>
        <v/>
      </c>
      <c r="CP4" s="23" t="str">
        <f ca="1">IFERROR(__xludf.DUMMYFUNCTION("""COMPUTED_VALUE"""),"")</f>
        <v/>
      </c>
      <c r="CQ4" s="23" t="str">
        <f ca="1">IFERROR(__xludf.DUMMYFUNCTION("""COMPUTED_VALUE"""),"")</f>
        <v/>
      </c>
      <c r="CR4" s="23" t="str">
        <f ca="1">IFERROR(__xludf.DUMMYFUNCTION("""COMPUTED_VALUE"""),"")</f>
        <v/>
      </c>
      <c r="CS4" s="23" t="str">
        <f ca="1">IFERROR(__xludf.DUMMYFUNCTION("""COMPUTED_VALUE"""),"")</f>
        <v/>
      </c>
      <c r="CT4" s="23" t="str">
        <f ca="1">IFERROR(__xludf.DUMMYFUNCTION("""COMPUTED_VALUE"""),"")</f>
        <v/>
      </c>
      <c r="CU4" s="23" t="str">
        <f ca="1">IFERROR(__xludf.DUMMYFUNCTION("""COMPUTED_VALUE"""),"")</f>
        <v/>
      </c>
      <c r="CV4" s="23" t="str">
        <f ca="1">IFERROR(__xludf.DUMMYFUNCTION("""COMPUTED_VALUE"""),"")</f>
        <v/>
      </c>
      <c r="CW4" s="23" t="str">
        <f ca="1">IFERROR(__xludf.DUMMYFUNCTION("""COMPUTED_VALUE"""),"")</f>
        <v/>
      </c>
      <c r="CX4" s="23" t="str">
        <f ca="1">IFERROR(__xludf.DUMMYFUNCTION("""COMPUTED_VALUE"""),"")</f>
        <v/>
      </c>
      <c r="CY4" s="23" t="str">
        <f ca="1">IFERROR(__xludf.DUMMYFUNCTION("""COMPUTED_VALUE"""),"")</f>
        <v/>
      </c>
      <c r="CZ4" s="23" t="str">
        <f ca="1">IFERROR(__xludf.DUMMYFUNCTION("""COMPUTED_VALUE"""),"")</f>
        <v/>
      </c>
      <c r="DA4" s="23" t="str">
        <f ca="1">IFERROR(__xludf.DUMMYFUNCTION("""COMPUTED_VALUE"""),"")</f>
        <v/>
      </c>
      <c r="DB4" s="23" t="str">
        <f ca="1">IFERROR(__xludf.DUMMYFUNCTION("""COMPUTED_VALUE"""),"")</f>
        <v/>
      </c>
      <c r="DC4" s="23" t="str">
        <f ca="1">IFERROR(__xludf.DUMMYFUNCTION("""COMPUTED_VALUE"""),"")</f>
        <v/>
      </c>
      <c r="DD4" s="23" t="str">
        <f ca="1">IFERROR(__xludf.DUMMYFUNCTION("""COMPUTED_VALUE"""),"")</f>
        <v/>
      </c>
      <c r="DE4" s="23" t="str">
        <f ca="1">IFERROR(__xludf.DUMMYFUNCTION("""COMPUTED_VALUE"""),"")</f>
        <v/>
      </c>
      <c r="DF4" s="23" t="str">
        <f ca="1">IFERROR(__xludf.DUMMYFUNCTION("""COMPUTED_VALUE"""),"")</f>
        <v/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  <c r="EX4" s="23" t="str">
        <f ca="1">IFERROR(__xludf.DUMMYFUNCTION("""COMPUTED_VALUE"""),"")</f>
        <v/>
      </c>
    </row>
    <row r="5" spans="1:154" ht="15.75" customHeight="1" x14ac:dyDescent="0.2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IFERROR(__xludf.DUMMYFUNCTION("""COMPUTED_VALUE"""),"Taxlot ID")</f>
        <v>Taxlot ID</v>
      </c>
      <c r="C5" s="25" t="str">
        <f ca="1">IFERROR(__xludf.DUMMYFUNCTION("""COMPUTED_VALUE"""),"Closing Date")</f>
        <v>Closing Date</v>
      </c>
      <c r="D5" s="25" t="str">
        <f ca="1">IFERROR(__xludf.DUMMYFUNCTION("""COMPUTED_VALUE"""),"Account")</f>
        <v>Account</v>
      </c>
      <c r="E5" s="25" t="str">
        <f ca="1">IFERROR(__xludf.DUMMYFUNCTION("""COMPUTED_VALUE"""),"Strategy")</f>
        <v>Strategy</v>
      </c>
      <c r="F5" s="26" t="str">
        <f ca="1">IFERROR(__xludf.DUMMYFUNCTION("""COMPUTED_VALUE"""),"Position Type")</f>
        <v>Position Type</v>
      </c>
      <c r="G5" s="25" t="str">
        <f ca="1">IFERROR(__xludf.DUMMYFUNCTION("""COMPUTED_VALUE"""),"Asset Class")</f>
        <v>Asset Class</v>
      </c>
      <c r="H5" s="25" t="str">
        <f ca="1">IFERROR(__xludf.DUMMYFUNCTION("""COMPUTED_VALUE"""),"Symbol")</f>
        <v>Symbol</v>
      </c>
      <c r="I5" s="25" t="str">
        <f ca="1">IFERROR(__xludf.DUMMYFUNCTION("""COMPUTED_VALUE"""),"Qty Closed")</f>
        <v>Qty Closed</v>
      </c>
      <c r="J5" s="25" t="str">
        <f ca="1">IFERROR(__xludf.DUMMYFUNCTION("""COMPUTED_VALUE"""),"Opening Price")</f>
        <v>Opening Price</v>
      </c>
      <c r="K5" s="25" t="str">
        <f ca="1">IFERROR(__xludf.DUMMYFUNCTION("""COMPUTED_VALUE"""),"Closing Price")</f>
        <v>Closing Price</v>
      </c>
      <c r="L5" s="25" t="str">
        <f ca="1">IFERROR(__xludf.DUMMYFUNCTION("""COMPUTED_VALUE"""),"ClosingTotalCommissionandFees")</f>
        <v>ClosingTotalCommissionandFees</v>
      </c>
      <c r="M5" s="25" t="str">
        <f ca="1">IFERROR(__xludf.DUMMYFUNCTION("""COMPUTED_VALUE"""),"Realized PNL(C.B.)")</f>
        <v>Realized PNL(C.B.)</v>
      </c>
      <c r="N5" s="25" t="str">
        <f ca="1">IFERROR(__xludf.DUMMYFUNCTION("""COMPUTED_VALUE"""),"Exchange")</f>
        <v>Exchange</v>
      </c>
      <c r="O5" s="25" t="str">
        <f ca="1">IFERROR(__xludf.DUMMYFUNCTION("""COMPUTED_VALUE"""),"Opening Side")</f>
        <v>Opening Side</v>
      </c>
      <c r="P5" s="25" t="str">
        <f ca="1">IFERROR(__xludf.DUMMYFUNCTION("""COMPUTED_VALUE"""),"Opening Fees &amp; Commission")</f>
        <v>Opening Fees &amp; Commission</v>
      </c>
      <c r="Q5" s="25" t="str">
        <f ca="1">IFERROR(__xludf.DUMMYFUNCTION("""COMPUTED_VALUE"""),"Closing Side")</f>
        <v>Closing Side</v>
      </c>
      <c r="R5" s="25" t="str">
        <f ca="1">IFERROR(__xludf.DUMMYFUNCTION("""COMPUTED_VALUE"""),"Closing Method")</f>
        <v>Closing Method</v>
      </c>
      <c r="S5" s="25" t="str">
        <f ca="1">IFERROR(__xludf.DUMMYFUNCTION("""COMPUTED_VALUE"""),"ClosingID")</f>
        <v>ClosingID</v>
      </c>
      <c r="T5" s="28" t="str">
        <f ca="1">IFERROR(__xludf.DUMMYFUNCTION("""COMPUTED_VALUE"""),"Original Purchase Date")</f>
        <v>Original Purchase Date</v>
      </c>
      <c r="U5" s="28" t="str">
        <f ca="1">IFERROR(__xludf.DUMMYFUNCTION("""COMPUTED_VALUE"""),"Description")</f>
        <v>Description</v>
      </c>
      <c r="V5" s="28" t="str">
        <f ca="1">IFERROR(__xludf.DUMMYFUNCTION("""COMPUTED_VALUE"""),"AccountID")</f>
        <v>AccountID</v>
      </c>
      <c r="W5" s="28" t="str">
        <f ca="1">IFERROR(__xludf.DUMMYFUNCTION("""COMPUTED_VALUE"""),"IsExpired_Settled")</f>
        <v>IsExpired_Settled</v>
      </c>
      <c r="X5" s="28" t="str">
        <f ca="1">IFERROR(__xludf.DUMMYFUNCTION("""COMPUTED_VALUE"""),"Underlying")</f>
        <v>Underlying</v>
      </c>
      <c r="Y5" s="28" t="str">
        <f ca="1">IFERROR(__xludf.DUMMYFUNCTION("""COMPUTED_VALUE"""),"CurrencyID")</f>
        <v>CurrencyID</v>
      </c>
      <c r="Z5" s="28" t="str">
        <f ca="1">IFERROR(__xludf.DUMMYFUNCTION("""COMPUTED_VALUE"""),"Currency")</f>
        <v>Currency</v>
      </c>
      <c r="AA5" s="28" t="str">
        <f ca="1">IFERROR(__xludf.DUMMYFUNCTION("""COMPUTED_VALUE"""),"AUECID")</f>
        <v>AUECID</v>
      </c>
      <c r="AB5" s="28" t="str">
        <f ca="1">IFERROR(__xludf.DUMMYFUNCTION("""COMPUTED_VALUE"""),"NotionalValue")</f>
        <v>NotionalValue</v>
      </c>
      <c r="AC5" s="28" t="str">
        <f ca="1">IFERROR(__xludf.DUMMYFUNCTION("""COMPUTED_VALUE"""),"Multiplier")</f>
        <v>Multiplier</v>
      </c>
      <c r="AD5" s="28" t="str">
        <f ca="1">IFERROR(__xludf.DUMMYFUNCTION("""COMPUTED_VALUE"""),"TimeOfSaveUTC")</f>
        <v>TimeOfSaveUTC</v>
      </c>
      <c r="AE5" s="28" t="str">
        <f ca="1">IFERROR(__xludf.DUMMYFUNCTION("""COMPUTED_VALUE"""),"Closing Position Type")</f>
        <v>Closing Position Type</v>
      </c>
      <c r="AF5" s="28" t="str">
        <f ca="1">IFERROR(__xludf.DUMMYFUNCTION("""COMPUTED_VALUE"""),"Closing Mode")</f>
        <v>Closing Mode</v>
      </c>
      <c r="AG5" s="28" t="str">
        <f ca="1">IFERROR(__xludf.DUMMYFUNCTION("""COMPUTED_VALUE"""),"StrategyID")</f>
        <v>StrategyID</v>
      </c>
      <c r="AH5" s="28" t="str">
        <f ca="1">IFERROR(__xludf.DUMMYFUNCTION("""COMPUTED_VALUE"""),"")</f>
        <v/>
      </c>
      <c r="AI5" s="28" t="str">
        <f ca="1">IFERROR(__xludf.DUMMYFUNCTION("""COMPUTED_VALUE"""),"")</f>
        <v/>
      </c>
      <c r="AJ5" s="28" t="str">
        <f ca="1">IFERROR(__xludf.DUMMYFUNCTION("""COMPUTED_VALUE"""),"")</f>
        <v/>
      </c>
      <c r="AK5" s="28" t="str">
        <f ca="1">IFERROR(__xludf.DUMMYFUNCTION("""COMPUTED_VALUE"""),"")</f>
        <v/>
      </c>
      <c r="AL5" s="28" t="str">
        <f ca="1">IFERROR(__xludf.DUMMYFUNCTION("""COMPUTED_VALUE"""),"")</f>
        <v/>
      </c>
      <c r="AM5" s="28" t="str">
        <f ca="1">IFERROR(__xludf.DUMMYFUNCTION("""COMPUTED_VALUE"""),"")</f>
        <v/>
      </c>
      <c r="AN5" s="28" t="str">
        <f ca="1">IFERROR(__xludf.DUMMYFUNCTION("""COMPUTED_VALUE"""),"")</f>
        <v/>
      </c>
      <c r="AO5" s="28" t="str">
        <f ca="1">IFERROR(__xludf.DUMMYFUNCTION("""COMPUTED_VALUE"""),"")</f>
        <v/>
      </c>
      <c r="AP5" s="28" t="str">
        <f ca="1">IFERROR(__xludf.DUMMYFUNCTION("""COMPUTED_VALUE"""),"")</f>
        <v/>
      </c>
      <c r="AQ5" s="28" t="str">
        <f ca="1">IFERROR(__xludf.DUMMYFUNCTION("""COMPUTED_VALUE"""),"")</f>
        <v/>
      </c>
      <c r="AR5" s="28" t="str">
        <f ca="1">IFERROR(__xludf.DUMMYFUNCTION("""COMPUTED_VALUE"""),"")</f>
        <v/>
      </c>
      <c r="AS5" s="28" t="str">
        <f ca="1">IFERROR(__xludf.DUMMYFUNCTION("""COMPUTED_VALUE"""),"")</f>
        <v/>
      </c>
      <c r="AT5" s="28" t="str">
        <f ca="1">IFERROR(__xludf.DUMMYFUNCTION("""COMPUTED_VALUE"""),"")</f>
        <v/>
      </c>
      <c r="AU5" s="28" t="str">
        <f ca="1">IFERROR(__xludf.DUMMYFUNCTION("""COMPUTED_VALUE"""),"")</f>
        <v/>
      </c>
      <c r="AV5" s="28" t="str">
        <f ca="1">IFERROR(__xludf.DUMMYFUNCTION("""COMPUTED_VALUE"""),"")</f>
        <v/>
      </c>
      <c r="AW5" s="28" t="str">
        <f ca="1">IFERROR(__xludf.DUMMYFUNCTION("""COMPUTED_VALUE"""),"")</f>
        <v/>
      </c>
      <c r="AX5" s="28" t="str">
        <f ca="1">IFERROR(__xludf.DUMMYFUNCTION("""COMPUTED_VALUE"""),"")</f>
        <v/>
      </c>
      <c r="AY5" s="28" t="str">
        <f ca="1">IFERROR(__xludf.DUMMYFUNCTION("""COMPUTED_VALUE"""),"")</f>
        <v/>
      </c>
      <c r="AZ5" s="28" t="str">
        <f ca="1">IFERROR(__xludf.DUMMYFUNCTION("""COMPUTED_VALUE"""),"")</f>
        <v/>
      </c>
      <c r="BA5" s="28" t="str">
        <f ca="1">IFERROR(__xludf.DUMMYFUNCTION("""COMPUTED_VALUE"""),"")</f>
        <v/>
      </c>
      <c r="BB5" s="28" t="str">
        <f ca="1">IFERROR(__xludf.DUMMYFUNCTION("""COMPUTED_VALUE"""),"")</f>
        <v/>
      </c>
      <c r="BC5" s="28" t="str">
        <f ca="1">IFERROR(__xludf.DUMMYFUNCTION("""COMPUTED_VALUE"""),"")</f>
        <v/>
      </c>
      <c r="BD5" s="28" t="str">
        <f ca="1">IFERROR(__xludf.DUMMYFUNCTION("""COMPUTED_VALUE"""),"")</f>
        <v/>
      </c>
      <c r="BE5" s="28" t="str">
        <f ca="1">IFERROR(__xludf.DUMMYFUNCTION("""COMPUTED_VALUE"""),"")</f>
        <v/>
      </c>
      <c r="BF5" s="28" t="str">
        <f ca="1">IFERROR(__xludf.DUMMYFUNCTION("""COMPUTED_VALUE"""),"")</f>
        <v/>
      </c>
      <c r="BG5" s="28" t="str">
        <f ca="1">IFERROR(__xludf.DUMMYFUNCTION("""COMPUTED_VALUE"""),"")</f>
        <v/>
      </c>
      <c r="BH5" s="28" t="str">
        <f ca="1">IFERROR(__xludf.DUMMYFUNCTION("""COMPUTED_VALUE"""),"")</f>
        <v/>
      </c>
      <c r="BI5" s="28" t="str">
        <f ca="1">IFERROR(__xludf.DUMMYFUNCTION("""COMPUTED_VALUE"""),"")</f>
        <v/>
      </c>
      <c r="BJ5" s="28" t="str">
        <f ca="1">IFERROR(__xludf.DUMMYFUNCTION("""COMPUTED_VALUE"""),"")</f>
        <v/>
      </c>
      <c r="BK5" s="28" t="str">
        <f ca="1">IFERROR(__xludf.DUMMYFUNCTION("""COMPUTED_VALUE"""),"")</f>
        <v/>
      </c>
      <c r="BL5" s="28" t="str">
        <f ca="1">IFERROR(__xludf.DUMMYFUNCTION("""COMPUTED_VALUE"""),"")</f>
        <v/>
      </c>
      <c r="BM5" s="28" t="str">
        <f ca="1">IFERROR(__xludf.DUMMYFUNCTION("""COMPUTED_VALUE"""),"")</f>
        <v/>
      </c>
      <c r="BN5" s="28" t="str">
        <f ca="1">IFERROR(__xludf.DUMMYFUNCTION("""COMPUTED_VALUE"""),"")</f>
        <v/>
      </c>
      <c r="BO5" s="28" t="str">
        <f ca="1">IFERROR(__xludf.DUMMYFUNCTION("""COMPUTED_VALUE"""),"")</f>
        <v/>
      </c>
      <c r="BP5" s="28" t="str">
        <f ca="1">IFERROR(__xludf.DUMMYFUNCTION("""COMPUTED_VALUE"""),"")</f>
        <v/>
      </c>
      <c r="BQ5" s="28" t="str">
        <f ca="1">IFERROR(__xludf.DUMMYFUNCTION("""COMPUTED_VALUE"""),"")</f>
        <v/>
      </c>
      <c r="BR5" s="28" t="str">
        <f ca="1">IFERROR(__xludf.DUMMYFUNCTION("""COMPUTED_VALUE"""),"")</f>
        <v/>
      </c>
      <c r="BS5" s="28" t="str">
        <f ca="1">IFERROR(__xludf.DUMMYFUNCTION("""COMPUTED_VALUE"""),"")</f>
        <v/>
      </c>
      <c r="BT5" s="28" t="str">
        <f ca="1">IFERROR(__xludf.DUMMYFUNCTION("""COMPUTED_VALUE"""),"")</f>
        <v/>
      </c>
      <c r="BU5" s="28" t="str">
        <f ca="1">IFERROR(__xludf.DUMMYFUNCTION("""COMPUTED_VALUE"""),"")</f>
        <v/>
      </c>
      <c r="BV5" s="28" t="str">
        <f ca="1">IFERROR(__xludf.DUMMYFUNCTION("""COMPUTED_VALUE"""),"")</f>
        <v/>
      </c>
      <c r="BW5" s="28" t="str">
        <f ca="1">IFERROR(__xludf.DUMMYFUNCTION("""COMPUTED_VALUE"""),"")</f>
        <v/>
      </c>
      <c r="BX5" s="28" t="str">
        <f ca="1">IFERROR(__xludf.DUMMYFUNCTION("""COMPUTED_VALUE"""),"")</f>
        <v/>
      </c>
      <c r="BY5" s="28" t="str">
        <f ca="1">IFERROR(__xludf.DUMMYFUNCTION("""COMPUTED_VALUE"""),"")</f>
        <v/>
      </c>
      <c r="BZ5" s="28" t="str">
        <f ca="1">IFERROR(__xludf.DUMMYFUNCTION("""COMPUTED_VALUE"""),"")</f>
        <v/>
      </c>
      <c r="CA5" s="28" t="str">
        <f ca="1">IFERROR(__xludf.DUMMYFUNCTION("""COMPUTED_VALUE"""),"")</f>
        <v/>
      </c>
      <c r="CB5" s="28" t="str">
        <f ca="1">IFERROR(__xludf.DUMMYFUNCTION("""COMPUTED_VALUE"""),"")</f>
        <v/>
      </c>
      <c r="CC5" s="28" t="str">
        <f ca="1">IFERROR(__xludf.DUMMYFUNCTION("""COMPUTED_VALUE"""),"")</f>
        <v/>
      </c>
      <c r="CD5" s="28" t="str">
        <f ca="1">IFERROR(__xludf.DUMMYFUNCTION("""COMPUTED_VALUE"""),"")</f>
        <v/>
      </c>
      <c r="CE5" s="28" t="str">
        <f ca="1">IFERROR(__xludf.DUMMYFUNCTION("""COMPUTED_VALUE"""),"")</f>
        <v/>
      </c>
      <c r="CF5" s="28" t="str">
        <f ca="1">IFERROR(__xludf.DUMMYFUNCTION("""COMPUTED_VALUE"""),"")</f>
        <v/>
      </c>
      <c r="CG5" s="28" t="str">
        <f ca="1">IFERROR(__xludf.DUMMYFUNCTION("""COMPUTED_VALUE"""),"")</f>
        <v/>
      </c>
      <c r="CH5" s="28" t="str">
        <f ca="1">IFERROR(__xludf.DUMMYFUNCTION("""COMPUTED_VALUE"""),"")</f>
        <v/>
      </c>
      <c r="CI5" s="28" t="str">
        <f ca="1">IFERROR(__xludf.DUMMYFUNCTION("""COMPUTED_VALUE"""),"")</f>
        <v/>
      </c>
      <c r="CJ5" s="28" t="str">
        <f ca="1">IFERROR(__xludf.DUMMYFUNCTION("""COMPUTED_VALUE"""),"")</f>
        <v/>
      </c>
      <c r="CK5" s="28" t="str">
        <f ca="1">IFERROR(__xludf.DUMMYFUNCTION("""COMPUTED_VALUE"""),"")</f>
        <v/>
      </c>
      <c r="CL5" s="28" t="str">
        <f ca="1">IFERROR(__xludf.DUMMYFUNCTION("""COMPUTED_VALUE"""),"")</f>
        <v/>
      </c>
      <c r="CM5" s="28" t="str">
        <f ca="1">IFERROR(__xludf.DUMMYFUNCTION("""COMPUTED_VALUE"""),"")</f>
        <v/>
      </c>
      <c r="CN5" s="28" t="str">
        <f ca="1">IFERROR(__xludf.DUMMYFUNCTION("""COMPUTED_VALUE"""),"")</f>
        <v/>
      </c>
      <c r="CO5" s="28" t="str">
        <f ca="1">IFERROR(__xludf.DUMMYFUNCTION("""COMPUTED_VALUE"""),"")</f>
        <v/>
      </c>
      <c r="CP5" s="28" t="str">
        <f ca="1">IFERROR(__xludf.DUMMYFUNCTION("""COMPUTED_VALUE"""),"")</f>
        <v/>
      </c>
      <c r="CQ5" s="28" t="str">
        <f ca="1">IFERROR(__xludf.DUMMYFUNCTION("""COMPUTED_VALUE"""),"")</f>
        <v/>
      </c>
      <c r="CR5" s="28" t="str">
        <f ca="1">IFERROR(__xludf.DUMMYFUNCTION("""COMPUTED_VALUE"""),"")</f>
        <v/>
      </c>
      <c r="CS5" s="28" t="str">
        <f ca="1">IFERROR(__xludf.DUMMYFUNCTION("""COMPUTED_VALUE"""),"")</f>
        <v/>
      </c>
      <c r="CT5" s="28" t="str">
        <f ca="1">IFERROR(__xludf.DUMMYFUNCTION("""COMPUTED_VALUE"""),"")</f>
        <v/>
      </c>
      <c r="CU5" s="28" t="str">
        <f ca="1">IFERROR(__xludf.DUMMYFUNCTION("""COMPUTED_VALUE"""),"")</f>
        <v/>
      </c>
      <c r="CV5" s="28" t="str">
        <f ca="1">IFERROR(__xludf.DUMMYFUNCTION("""COMPUTED_VALUE"""),"")</f>
        <v/>
      </c>
      <c r="CW5" s="28" t="str">
        <f ca="1">IFERROR(__xludf.DUMMYFUNCTION("""COMPUTED_VALUE"""),"")</f>
        <v/>
      </c>
      <c r="CX5" s="28" t="str">
        <f ca="1">IFERROR(__xludf.DUMMYFUNCTION("""COMPUTED_VALUE"""),"")</f>
        <v/>
      </c>
      <c r="CY5" s="28" t="str">
        <f ca="1">IFERROR(__xludf.DUMMYFUNCTION("""COMPUTED_VALUE"""),"")</f>
        <v/>
      </c>
      <c r="CZ5" s="28" t="str">
        <f ca="1">IFERROR(__xludf.DUMMYFUNCTION("""COMPUTED_VALUE"""),"")</f>
        <v/>
      </c>
      <c r="DA5" s="28" t="str">
        <f ca="1">IFERROR(__xludf.DUMMYFUNCTION("""COMPUTED_VALUE"""),"")</f>
        <v/>
      </c>
      <c r="DB5" s="28" t="str">
        <f ca="1">IFERROR(__xludf.DUMMYFUNCTION("""COMPUTED_VALUE"""),"")</f>
        <v/>
      </c>
      <c r="DC5" s="28" t="str">
        <f ca="1">IFERROR(__xludf.DUMMYFUNCTION("""COMPUTED_VALUE"""),"")</f>
        <v/>
      </c>
      <c r="DD5" s="28" t="str">
        <f ca="1">IFERROR(__xludf.DUMMYFUNCTION("""COMPUTED_VALUE"""),"")</f>
        <v/>
      </c>
      <c r="DE5" s="28" t="str">
        <f ca="1">IFERROR(__xludf.DUMMYFUNCTION("""COMPUTED_VALUE"""),"")</f>
        <v/>
      </c>
      <c r="DF5" s="28" t="str">
        <f ca="1">IFERROR(__xludf.DUMMYFUNCTION("""COMPUTED_VALUE"""),"")</f>
        <v/>
      </c>
      <c r="DG5" s="28" t="str">
        <f ca="1">IFERROR(__xludf.DUMMYFUNCTION("""COMPUTED_VALUE"""),"")</f>
        <v/>
      </c>
      <c r="DH5" s="28" t="str">
        <f ca="1">IFERROR(__xludf.DUMMYFUNCTION("""COMPUTED_VALUE"""),"")</f>
        <v/>
      </c>
      <c r="DI5" s="28" t="str">
        <f ca="1">IFERROR(__xludf.DUMMYFUNCTION("""COMPUTED_VALUE"""),"")</f>
        <v/>
      </c>
      <c r="DJ5" s="28" t="str">
        <f ca="1">IFERROR(__xludf.DUMMYFUNCTION("""COMPUTED_VALUE"""),"")</f>
        <v/>
      </c>
      <c r="DK5" s="28" t="str">
        <f ca="1">IFERROR(__xludf.DUMMYFUNCTION("""COMPUTED_VALUE"""),"")</f>
        <v/>
      </c>
      <c r="DL5" s="28" t="str">
        <f ca="1">IFERROR(__xludf.DUMMYFUNCTION("""COMPUTED_VALUE"""),"")</f>
        <v/>
      </c>
      <c r="DM5" s="28" t="str">
        <f ca="1">IFERROR(__xludf.DUMMYFUNCTION("""COMPUTED_VALUE"""),"")</f>
        <v/>
      </c>
      <c r="DN5" s="28" t="str">
        <f ca="1">IFERROR(__xludf.DUMMYFUNCTION("""COMPUTED_VALUE"""),"")</f>
        <v/>
      </c>
      <c r="DO5" s="28" t="str">
        <f ca="1">IFERROR(__xludf.DUMMYFUNCTION("""COMPUTED_VALUE"""),"")</f>
        <v/>
      </c>
      <c r="DP5" s="28" t="str">
        <f ca="1">IFERROR(__xludf.DUMMYFUNCTION("""COMPUTED_VALUE"""),"")</f>
        <v/>
      </c>
      <c r="DQ5" s="28" t="str">
        <f ca="1">IFERROR(__xludf.DUMMYFUNCTION("""COMPUTED_VALUE"""),"")</f>
        <v/>
      </c>
      <c r="DR5" s="28" t="str">
        <f ca="1">IFERROR(__xludf.DUMMYFUNCTION("""COMPUTED_VALUE"""),"")</f>
        <v/>
      </c>
      <c r="DS5" s="28" t="str">
        <f ca="1">IFERROR(__xludf.DUMMYFUNCTION("""COMPUTED_VALUE"""),"")</f>
        <v/>
      </c>
      <c r="DT5" s="28" t="str">
        <f ca="1">IFERROR(__xludf.DUMMYFUNCTION("""COMPUTED_VALUE"""),"")</f>
        <v/>
      </c>
      <c r="DU5" s="28" t="str">
        <f ca="1">IFERROR(__xludf.DUMMYFUNCTION("""COMPUTED_VALUE"""),"")</f>
        <v/>
      </c>
      <c r="DV5" s="28" t="str">
        <f ca="1">IFERROR(__xludf.DUMMYFUNCTION("""COMPUTED_VALUE"""),"")</f>
        <v/>
      </c>
      <c r="DW5" s="28" t="str">
        <f ca="1">IFERROR(__xludf.DUMMYFUNCTION("""COMPUTED_VALUE"""),"")</f>
        <v/>
      </c>
      <c r="DX5" s="28" t="str">
        <f ca="1">IFERROR(__xludf.DUMMYFUNCTION("""COMPUTED_VALUE"""),"")</f>
        <v/>
      </c>
      <c r="DY5" s="28" t="str">
        <f ca="1">IFERROR(__xludf.DUMMYFUNCTION("""COMPUTED_VALUE"""),"")</f>
        <v/>
      </c>
      <c r="DZ5" s="28" t="str">
        <f ca="1">IFERROR(__xludf.DUMMYFUNCTION("""COMPUTED_VALUE"""),"")</f>
        <v/>
      </c>
      <c r="EA5" s="28" t="str">
        <f ca="1">IFERROR(__xludf.DUMMYFUNCTION("""COMPUTED_VALUE"""),"")</f>
        <v/>
      </c>
      <c r="EB5" s="28" t="str">
        <f ca="1">IFERROR(__xludf.DUMMYFUNCTION("""COMPUTED_VALUE"""),"")</f>
        <v/>
      </c>
      <c r="EC5" s="28" t="str">
        <f ca="1">IFERROR(__xludf.DUMMYFUNCTION("""COMPUTED_VALUE"""),"")</f>
        <v/>
      </c>
      <c r="ED5" s="28" t="str">
        <f ca="1">IFERROR(__xludf.DUMMYFUNCTION("""COMPUTED_VALUE"""),"")</f>
        <v/>
      </c>
      <c r="EE5" s="28" t="str">
        <f ca="1">IFERROR(__xludf.DUMMYFUNCTION("""COMPUTED_VALUE"""),"")</f>
        <v/>
      </c>
      <c r="EF5" s="28" t="str">
        <f ca="1">IFERROR(__xludf.DUMMYFUNCTION("""COMPUTED_VALUE"""),"")</f>
        <v/>
      </c>
      <c r="EG5" s="28" t="str">
        <f ca="1">IFERROR(__xludf.DUMMYFUNCTION("""COMPUTED_VALUE"""),"")</f>
        <v/>
      </c>
      <c r="EH5" s="28" t="str">
        <f ca="1">IFERROR(__xludf.DUMMYFUNCTION("""COMPUTED_VALUE"""),"")</f>
        <v/>
      </c>
      <c r="EI5" s="28" t="str">
        <f ca="1">IFERROR(__xludf.DUMMYFUNCTION("""COMPUTED_VALUE"""),"")</f>
        <v/>
      </c>
      <c r="EJ5" s="28" t="str">
        <f ca="1">IFERROR(__xludf.DUMMYFUNCTION("""COMPUTED_VALUE"""),"")</f>
        <v/>
      </c>
      <c r="EK5" s="28" t="str">
        <f ca="1">IFERROR(__xludf.DUMMYFUNCTION("""COMPUTED_VALUE"""),"")</f>
        <v/>
      </c>
      <c r="EL5" s="28" t="str">
        <f ca="1">IFERROR(__xludf.DUMMYFUNCTION("""COMPUTED_VALUE"""),"")</f>
        <v/>
      </c>
      <c r="EM5" s="28" t="str">
        <f ca="1">IFERROR(__xludf.DUMMYFUNCTION("""COMPUTED_VALUE"""),"")</f>
        <v/>
      </c>
      <c r="EN5" s="28" t="str">
        <f ca="1">IFERROR(__xludf.DUMMYFUNCTION("""COMPUTED_VALUE"""),"")</f>
        <v/>
      </c>
      <c r="EO5" s="28" t="str">
        <f ca="1">IFERROR(__xludf.DUMMYFUNCTION("""COMPUTED_VALUE"""),"")</f>
        <v/>
      </c>
      <c r="EP5" s="28" t="str">
        <f ca="1">IFERROR(__xludf.DUMMYFUNCTION("""COMPUTED_VALUE"""),"")</f>
        <v/>
      </c>
      <c r="EQ5" s="28" t="str">
        <f ca="1">IFERROR(__xludf.DUMMYFUNCTION("""COMPUTED_VALUE"""),"")</f>
        <v/>
      </c>
      <c r="ER5" s="28" t="str">
        <f ca="1">IFERROR(__xludf.DUMMYFUNCTION("""COMPUTED_VALUE"""),"")</f>
        <v/>
      </c>
      <c r="ES5" s="28" t="str">
        <f ca="1">IFERROR(__xludf.DUMMYFUNCTION("""COMPUTED_VALUE"""),"")</f>
        <v/>
      </c>
      <c r="ET5" s="28" t="str">
        <f ca="1">IFERROR(__xludf.DUMMYFUNCTION("""COMPUTED_VALUE"""),"")</f>
        <v/>
      </c>
      <c r="EU5" s="28" t="str">
        <f ca="1">IFERROR(__xludf.DUMMYFUNCTION("""COMPUTED_VALUE"""),"")</f>
        <v/>
      </c>
      <c r="EV5" s="28" t="str">
        <f ca="1">IFERROR(__xludf.DUMMYFUNCTION("""COMPUTED_VALUE"""),"")</f>
        <v/>
      </c>
      <c r="EW5" s="28" t="str">
        <f ca="1">IFERROR(__xludf.DUMMYFUNCTION("""COMPUTED_VALUE"""),"")</f>
        <v/>
      </c>
      <c r="EX5" s="28" t="str">
        <f ca="1">IFERROR(__xludf.DUMMYFUNCTION("""COMPUTED_VALUE"""),"")</f>
        <v/>
      </c>
    </row>
    <row r="6" spans="1:154" ht="15.75" customHeight="1" x14ac:dyDescent="0.2">
      <c r="A6" s="5"/>
      <c r="B6" s="5"/>
      <c r="C6" s="40">
        <v>42786</v>
      </c>
      <c r="D6" s="41" t="s">
        <v>18</v>
      </c>
      <c r="E6" s="32"/>
      <c r="F6" s="32"/>
      <c r="G6" s="32"/>
      <c r="H6" s="29" t="s">
        <v>16</v>
      </c>
      <c r="I6" s="36">
        <v>100</v>
      </c>
      <c r="J6" s="36">
        <v>12</v>
      </c>
      <c r="K6" s="34">
        <v>12</v>
      </c>
      <c r="L6" s="32"/>
      <c r="M6" s="32"/>
      <c r="N6" s="32"/>
      <c r="O6" s="30" t="s">
        <v>27</v>
      </c>
      <c r="P6" s="32"/>
      <c r="Q6" s="32" t="s">
        <v>20</v>
      </c>
      <c r="R6" s="33" t="s">
        <v>23</v>
      </c>
      <c r="S6" s="32"/>
      <c r="T6" s="32"/>
      <c r="U6" s="32"/>
      <c r="V6" s="32"/>
      <c r="W6" s="32"/>
      <c r="X6" s="32"/>
    </row>
    <row r="7" spans="1:154" ht="15.75" customHeight="1" x14ac:dyDescent="0.2">
      <c r="A7" s="2"/>
      <c r="B7" s="2"/>
      <c r="C7" s="40">
        <v>42788</v>
      </c>
      <c r="D7" s="30" t="s">
        <v>18</v>
      </c>
      <c r="E7" s="32"/>
      <c r="F7" s="32"/>
      <c r="G7" s="32"/>
      <c r="H7" s="29" t="s">
        <v>16</v>
      </c>
      <c r="I7" s="36">
        <v>100</v>
      </c>
      <c r="J7" s="36">
        <v>15</v>
      </c>
      <c r="K7" s="34">
        <v>12</v>
      </c>
      <c r="L7" s="32"/>
      <c r="M7" s="32"/>
      <c r="N7" s="32"/>
      <c r="O7" s="30" t="s">
        <v>27</v>
      </c>
      <c r="P7" s="32"/>
      <c r="Q7" s="32" t="s">
        <v>20</v>
      </c>
      <c r="R7" s="33" t="s">
        <v>23</v>
      </c>
      <c r="S7" s="32"/>
      <c r="T7" s="32"/>
      <c r="U7" s="32"/>
      <c r="V7" s="32"/>
      <c r="W7" s="32"/>
      <c r="X7" s="3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2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3" t="s">
        <v>11</v>
      </c>
      <c r="C1" s="54"/>
      <c r="D1" s="54"/>
      <c r="E1" s="54"/>
      <c r="F1" s="54"/>
      <c r="G1" s="54"/>
      <c r="H1" s="55"/>
      <c r="I1" s="12"/>
      <c r="J1" s="12"/>
      <c r="K1" s="12"/>
      <c r="L1" s="12"/>
      <c r="M1" s="12"/>
      <c r="N1" s="12"/>
      <c r="O1" s="12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e">
        <f ca="1">VLOOKUP($E$3,_MasterData!B4:D1000,3,FALSE)</f>
        <v>#N/A</v>
      </c>
      <c r="K2" s="15"/>
      <c r="L2" s="2"/>
      <c r="M2" s="2"/>
      <c r="N2" s="2"/>
      <c r="O2" s="2"/>
    </row>
    <row r="3" spans="1:154" ht="15.75" customHeight="1" x14ac:dyDescent="0.2">
      <c r="A3" s="17"/>
      <c r="B3" s="3" t="s">
        <v>5</v>
      </c>
      <c r="C3" s="18" t="s">
        <v>21</v>
      </c>
      <c r="D3" s="3" t="s">
        <v>7</v>
      </c>
      <c r="E3" s="18" t="s">
        <v>28</v>
      </c>
      <c r="F3" s="3" t="s">
        <v>14</v>
      </c>
      <c r="G3" s="7" t="s">
        <v>15</v>
      </c>
      <c r="H3" s="3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 x14ac:dyDescent="0.2">
      <c r="A4" s="21"/>
      <c r="B4" s="21" t="str">
        <f ca="1">IFERROR(__xludf.DUMMYFUNCTION("IF(C3="""","""",Transpose(IMPORTRANGE('_Settings'!$B$3,C3&amp;""!A4:A1000"")))"),"SwapExpire")</f>
        <v>SwapExpire</v>
      </c>
      <c r="C4" s="21" t="str">
        <f ca="1">IFERROR(__xludf.DUMMYFUNCTION("""COMPUTED_VALUE"""),"GetDataClosing")</f>
        <v>GetDataClosing</v>
      </c>
      <c r="D4" s="21" t="str">
        <f ca="1">IFERROR(__xludf.DUMMYFUNCTION("""COMPUTED_VALUE"""),"ManualClosing")</f>
        <v>ManualClosing</v>
      </c>
      <c r="E4" s="21" t="str">
        <f ca="1">IFERROR(__xludf.DUMMYFUNCTION("""COMPUTED_VALUE"""),"AutomaticClosing")</f>
        <v>AutomaticClosing</v>
      </c>
      <c r="F4" s="21" t="str">
        <f ca="1">IFERROR(__xludf.DUMMYFUNCTION("""COMPUTED_VALUE"""),"UnwindClosing")</f>
        <v>UnwindClosing</v>
      </c>
      <c r="G4" s="21" t="str">
        <f ca="1">IFERROR(__xludf.DUMMYFUNCTION("""COMPUTED_VALUE"""),"VerifyClosedTrades")</f>
        <v>VerifyClosedTrades</v>
      </c>
      <c r="H4" s="21" t="str">
        <f ca="1">IFERROR(__xludf.DUMMYFUNCTION("""COMPUTED_VALUE"""),"VerifyLongPositionsGrid")</f>
        <v>VerifyLongPositionsGrid</v>
      </c>
      <c r="I4" s="21" t="str">
        <f ca="1">IFERROR(__xludf.DUMMYFUNCTION("""COMPUTED_VALUE"""),"VerifyShortPositionsGrid")</f>
        <v>VerifyShortPositionsGrid</v>
      </c>
      <c r="J4" s="21" t="str">
        <f ca="1">IFERROR(__xludf.DUMMYFUNCTION("""COMPUTED_VALUE"""),"SelectTradeUnexpiredUnsettled")</f>
        <v>SelectTradeUnexpiredUnsettled</v>
      </c>
      <c r="K4" s="21" t="str">
        <f ca="1">IFERROR(__xludf.DUMMYFUNCTION("""COMPUTED_VALUE"""),"CashSettlementAtCost")</f>
        <v>CashSettlementAtCost</v>
      </c>
      <c r="L4" s="21" t="str">
        <f ca="1">IFERROR(__xludf.DUMMYFUNCTION("""COMPUTED_VALUE"""),"CashSettlementAtZeroPrice")</f>
        <v>CashSettlementAtZeroPrice</v>
      </c>
      <c r="M4" s="21" t="str">
        <f ca="1">IFERROR(__xludf.DUMMYFUNCTION("""COMPUTED_VALUE"""),"CashSettlementAtClosingDtSpotPx")</f>
        <v>CashSettlementAtClosingDtSpotPx</v>
      </c>
      <c r="N4" s="21" t="str">
        <f ca="1">IFERROR(__xludf.DUMMYFUNCTION("""COMPUTED_VALUE"""),"PhysicalSettlement")</f>
        <v>PhysicalSettlement</v>
      </c>
      <c r="O4" s="21" t="str">
        <f ca="1">IFERROR(__xludf.DUMMYFUNCTION("""COMPUTED_VALUE"""),"Expire")</f>
        <v>Expire</v>
      </c>
      <c r="P4" s="23" t="str">
        <f ca="1">IFERROR(__xludf.DUMMYFUNCTION("""COMPUTED_VALUE"""),"ExerciseAssignment")</f>
        <v>ExerciseAssignment</v>
      </c>
      <c r="Q4" s="23" t="str">
        <f ca="1">IFERROR(__xludf.DUMMYFUNCTION("""COMPUTED_VALUE"""),"ExerciseAssignmentAtZero")</f>
        <v>ExerciseAssignmentAtZero</v>
      </c>
      <c r="R4" s="23" t="str">
        <f ca="1">IFERROR(__xludf.DUMMYFUNCTION("""COMPUTED_VALUE"""),"SwapExpireAndRollover")</f>
        <v>SwapExpireAndRollover</v>
      </c>
      <c r="S4" s="23" t="str">
        <f ca="1">IFERROR(__xludf.DUMMYFUNCTION("""COMPUTED_VALUE"""),"SwapExpire")</f>
        <v>SwapExpire</v>
      </c>
      <c r="T4" s="23" t="str">
        <f ca="1">IFERROR(__xludf.DUMMYFUNCTION("""COMPUTED_VALUE"""),"VerifyExpiredSettledGrid")</f>
        <v>VerifyExpiredSettledGrid</v>
      </c>
      <c r="U4" s="23" t="str">
        <f ca="1">IFERROR(__xludf.DUMMYFUNCTION("""COMPUTED_VALUE"""),"VerifyUnExpiredUnSettledGrid")</f>
        <v>VerifyUnExpiredUnSettledGrid</v>
      </c>
      <c r="V4" s="23" t="str">
        <f ca="1">IFERROR(__xludf.DUMMYFUNCTION("""COMPUTED_VALUE"""),"UnWindTradeSettlement")</f>
        <v>UnWindTradeSettlement</v>
      </c>
      <c r="W4" s="23" t="str">
        <f ca="1">IFERROR(__xludf.DUMMYFUNCTION("""COMPUTED_VALUE"""),"CloseOrder")</f>
        <v>CloseOrder</v>
      </c>
      <c r="X4" s="23" t="str">
        <f ca="1">IFERROR(__xludf.DUMMYFUNCTION("""COMPUTED_VALUE"""),"VerifyCloseOrder")</f>
        <v>VerifyCloseOrder</v>
      </c>
      <c r="Y4" s="23" t="str">
        <f ca="1">IFERROR(__xludf.DUMMYFUNCTION("""COMPUTED_VALUE"""),"UnWindCloseOrder")</f>
        <v>UnWindCloseOrder</v>
      </c>
      <c r="Z4" s="23" t="str">
        <f ca="1">IFERROR(__xludf.DUMMYFUNCTION("""COMPUTED_VALUE"""),"ClosingCleanUp")</f>
        <v>ClosingCleanUp</v>
      </c>
      <c r="AA4" s="23" t="str">
        <f ca="1">IFERROR(__xludf.DUMMYFUNCTION("""COMPUTED_VALUE"""),"CloseClosingUI")</f>
        <v>CloseClosingUI</v>
      </c>
      <c r="AB4" s="23" t="str">
        <f ca="1">IFERROR(__xludf.DUMMYFUNCTION("""COMPUTED_VALUE"""),"SetClosingPreference")</f>
        <v>SetClosingPreference</v>
      </c>
      <c r="AC4" s="23" t="str">
        <f ca="1">IFERROR(__xludf.DUMMYFUNCTION("""COMPUTED_VALUE"""),"EditTradeUnexpiredUnsettled")</f>
        <v>EditTradeUnexpiredUnsettled</v>
      </c>
      <c r="AD4" s="23" t="str">
        <f ca="1">IFERROR(__xludf.DUMMYFUNCTION("""COMPUTED_VALUE"""),"")</f>
        <v/>
      </c>
      <c r="AE4" s="23" t="str">
        <f ca="1">IFERROR(__xludf.DUMMYFUNCTION("""COMPUTED_VALUE"""),"")</f>
        <v/>
      </c>
      <c r="AF4" s="23" t="str">
        <f ca="1">IFERROR(__xludf.DUMMYFUNCTION("""COMPUTED_VALUE"""),"")</f>
        <v/>
      </c>
      <c r="AG4" s="23" t="str">
        <f ca="1">IFERROR(__xludf.DUMMYFUNCTION("""COMPUTED_VALUE"""),"")</f>
        <v/>
      </c>
      <c r="AH4" s="23" t="str">
        <f ca="1">IFERROR(__xludf.DUMMYFUNCTION("""COMPUTED_VALUE"""),"")</f>
        <v/>
      </c>
      <c r="AI4" s="23" t="str">
        <f ca="1">IFERROR(__xludf.DUMMYFUNCTION("""COMPUTED_VALUE"""),"")</f>
        <v/>
      </c>
      <c r="AJ4" s="23" t="str">
        <f ca="1">IFERROR(__xludf.DUMMYFUNCTION("""COMPUTED_VALUE"""),"")</f>
        <v/>
      </c>
      <c r="AK4" s="23" t="str">
        <f ca="1">IFERROR(__xludf.DUMMYFUNCTION("""COMPUTED_VALUE"""),"")</f>
        <v/>
      </c>
      <c r="AL4" s="23" t="str">
        <f ca="1">IFERROR(__xludf.DUMMYFUNCTION("""COMPUTED_VALUE"""),"")</f>
        <v/>
      </c>
      <c r="AM4" s="23" t="str">
        <f ca="1">IFERROR(__xludf.DUMMYFUNCTION("""COMPUTED_VALUE"""),"")</f>
        <v/>
      </c>
      <c r="AN4" s="23" t="str">
        <f ca="1">IFERROR(__xludf.DUMMYFUNCTION("""COMPUTED_VALUE"""),"")</f>
        <v/>
      </c>
      <c r="AO4" s="23" t="str">
        <f ca="1">IFERROR(__xludf.DUMMYFUNCTION("""COMPUTED_VALUE"""),"")</f>
        <v/>
      </c>
      <c r="AP4" s="23" t="str">
        <f ca="1">IFERROR(__xludf.DUMMYFUNCTION("""COMPUTED_VALUE"""),"")</f>
        <v/>
      </c>
      <c r="AQ4" s="23" t="str">
        <f ca="1">IFERROR(__xludf.DUMMYFUNCTION("""COMPUTED_VALUE"""),"")</f>
        <v/>
      </c>
      <c r="AR4" s="23" t="str">
        <f ca="1">IFERROR(__xludf.DUMMYFUNCTION("""COMPUTED_VALUE"""),"")</f>
        <v/>
      </c>
      <c r="AS4" s="23" t="str">
        <f ca="1">IFERROR(__xludf.DUMMYFUNCTION("""COMPUTED_VALUE"""),"")</f>
        <v/>
      </c>
      <c r="AT4" s="23" t="str">
        <f ca="1">IFERROR(__xludf.DUMMYFUNCTION("""COMPUTED_VALUE"""),"")</f>
        <v/>
      </c>
      <c r="AU4" s="23" t="str">
        <f ca="1">IFERROR(__xludf.DUMMYFUNCTION("""COMPUTED_VALUE"""),"")</f>
        <v/>
      </c>
      <c r="AV4" s="23" t="str">
        <f ca="1">IFERROR(__xludf.DUMMYFUNCTION("""COMPUTED_VALUE"""),"")</f>
        <v/>
      </c>
      <c r="AW4" s="23" t="str">
        <f ca="1">IFERROR(__xludf.DUMMYFUNCTION("""COMPUTED_VALUE"""),"")</f>
        <v/>
      </c>
      <c r="AX4" s="23" t="str">
        <f ca="1">IFERROR(__xludf.DUMMYFUNCTION("""COMPUTED_VALUE"""),"")</f>
        <v/>
      </c>
      <c r="AY4" s="23" t="str">
        <f ca="1">IFERROR(__xludf.DUMMYFUNCTION("""COMPUTED_VALUE"""),"")</f>
        <v/>
      </c>
      <c r="AZ4" s="23" t="str">
        <f ca="1">IFERROR(__xludf.DUMMYFUNCTION("""COMPUTED_VALUE"""),"")</f>
        <v/>
      </c>
      <c r="BA4" s="23" t="str">
        <f ca="1">IFERROR(__xludf.DUMMYFUNCTION("""COMPUTED_VALUE"""),"")</f>
        <v/>
      </c>
      <c r="BB4" s="23" t="str">
        <f ca="1">IFERROR(__xludf.DUMMYFUNCTION("""COMPUTED_VALUE"""),"")</f>
        <v/>
      </c>
      <c r="BC4" s="23" t="str">
        <f ca="1">IFERROR(__xludf.DUMMYFUNCTION("""COMPUTED_VALUE"""),"")</f>
        <v/>
      </c>
      <c r="BD4" s="23" t="str">
        <f ca="1">IFERROR(__xludf.DUMMYFUNCTION("""COMPUTED_VALUE"""),"")</f>
        <v/>
      </c>
      <c r="BE4" s="23" t="str">
        <f ca="1">IFERROR(__xludf.DUMMYFUNCTION("""COMPUTED_VALUE"""),"")</f>
        <v/>
      </c>
      <c r="BF4" s="23" t="str">
        <f ca="1">IFERROR(__xludf.DUMMYFUNCTION("""COMPUTED_VALUE"""),"")</f>
        <v/>
      </c>
      <c r="BG4" s="23" t="str">
        <f ca="1">IFERROR(__xludf.DUMMYFUNCTION("""COMPUTED_VALUE"""),"")</f>
        <v/>
      </c>
      <c r="BH4" s="23" t="str">
        <f ca="1">IFERROR(__xludf.DUMMYFUNCTION("""COMPUTED_VALUE"""),"")</f>
        <v/>
      </c>
      <c r="BI4" s="23" t="str">
        <f ca="1">IFERROR(__xludf.DUMMYFUNCTION("""COMPUTED_VALUE"""),"")</f>
        <v/>
      </c>
      <c r="BJ4" s="23" t="str">
        <f ca="1">IFERROR(__xludf.DUMMYFUNCTION("""COMPUTED_VALUE"""),"")</f>
        <v/>
      </c>
      <c r="BK4" s="23" t="str">
        <f ca="1">IFERROR(__xludf.DUMMYFUNCTION("""COMPUTED_VALUE"""),"")</f>
        <v/>
      </c>
      <c r="BL4" s="23" t="str">
        <f ca="1">IFERROR(__xludf.DUMMYFUNCTION("""COMPUTED_VALUE"""),"")</f>
        <v/>
      </c>
      <c r="BM4" s="23" t="str">
        <f ca="1">IFERROR(__xludf.DUMMYFUNCTION("""COMPUTED_VALUE"""),"")</f>
        <v/>
      </c>
      <c r="BN4" s="23" t="str">
        <f ca="1">IFERROR(__xludf.DUMMYFUNCTION("""COMPUTED_VALUE"""),"")</f>
        <v/>
      </c>
      <c r="BO4" s="23" t="str">
        <f ca="1">IFERROR(__xludf.DUMMYFUNCTION("""COMPUTED_VALUE"""),"")</f>
        <v/>
      </c>
      <c r="BP4" s="23" t="str">
        <f ca="1">IFERROR(__xludf.DUMMYFUNCTION("""COMPUTED_VALUE"""),"")</f>
        <v/>
      </c>
      <c r="BQ4" s="23" t="str">
        <f ca="1">IFERROR(__xludf.DUMMYFUNCTION("""COMPUTED_VALUE"""),"")</f>
        <v/>
      </c>
      <c r="BR4" s="23" t="str">
        <f ca="1">IFERROR(__xludf.DUMMYFUNCTION("""COMPUTED_VALUE"""),"")</f>
        <v/>
      </c>
      <c r="BS4" s="23" t="str">
        <f ca="1">IFERROR(__xludf.DUMMYFUNCTION("""COMPUTED_VALUE"""),"")</f>
        <v/>
      </c>
      <c r="BT4" s="23" t="str">
        <f ca="1">IFERROR(__xludf.DUMMYFUNCTION("""COMPUTED_VALUE"""),"")</f>
        <v/>
      </c>
      <c r="BU4" s="23" t="str">
        <f ca="1">IFERROR(__xludf.DUMMYFUNCTION("""COMPUTED_VALUE"""),"")</f>
        <v/>
      </c>
      <c r="BV4" s="23" t="str">
        <f ca="1">IFERROR(__xludf.DUMMYFUNCTION("""COMPUTED_VALUE"""),"")</f>
        <v/>
      </c>
      <c r="BW4" s="23" t="str">
        <f ca="1">IFERROR(__xludf.DUMMYFUNCTION("""COMPUTED_VALUE"""),"")</f>
        <v/>
      </c>
      <c r="BX4" s="23" t="str">
        <f ca="1">IFERROR(__xludf.DUMMYFUNCTION("""COMPUTED_VALUE"""),"")</f>
        <v/>
      </c>
      <c r="BY4" s="23" t="str">
        <f ca="1">IFERROR(__xludf.DUMMYFUNCTION("""COMPUTED_VALUE"""),"")</f>
        <v/>
      </c>
      <c r="BZ4" s="23" t="str">
        <f ca="1">IFERROR(__xludf.DUMMYFUNCTION("""COMPUTED_VALUE"""),"")</f>
        <v/>
      </c>
      <c r="CA4" s="23" t="str">
        <f ca="1">IFERROR(__xludf.DUMMYFUNCTION("""COMPUTED_VALUE"""),"")</f>
        <v/>
      </c>
      <c r="CB4" s="23" t="str">
        <f ca="1">IFERROR(__xludf.DUMMYFUNCTION("""COMPUTED_VALUE"""),"")</f>
        <v/>
      </c>
      <c r="CC4" s="23" t="str">
        <f ca="1">IFERROR(__xludf.DUMMYFUNCTION("""COMPUTED_VALUE"""),"")</f>
        <v/>
      </c>
      <c r="CD4" s="23" t="str">
        <f ca="1">IFERROR(__xludf.DUMMYFUNCTION("""COMPUTED_VALUE"""),"")</f>
        <v/>
      </c>
      <c r="CE4" s="23" t="str">
        <f ca="1">IFERROR(__xludf.DUMMYFUNCTION("""COMPUTED_VALUE"""),"")</f>
        <v/>
      </c>
      <c r="CF4" s="23" t="str">
        <f ca="1">IFERROR(__xludf.DUMMYFUNCTION("""COMPUTED_VALUE"""),"")</f>
        <v/>
      </c>
      <c r="CG4" s="23" t="str">
        <f ca="1">IFERROR(__xludf.DUMMYFUNCTION("""COMPUTED_VALUE"""),"")</f>
        <v/>
      </c>
      <c r="CH4" s="23" t="str">
        <f ca="1">IFERROR(__xludf.DUMMYFUNCTION("""COMPUTED_VALUE"""),"")</f>
        <v/>
      </c>
      <c r="CI4" s="23" t="str">
        <f ca="1">IFERROR(__xludf.DUMMYFUNCTION("""COMPUTED_VALUE"""),"")</f>
        <v/>
      </c>
      <c r="CJ4" s="23" t="str">
        <f ca="1">IFERROR(__xludf.DUMMYFUNCTION("""COMPUTED_VALUE"""),"")</f>
        <v/>
      </c>
      <c r="CK4" s="23" t="str">
        <f ca="1">IFERROR(__xludf.DUMMYFUNCTION("""COMPUTED_VALUE"""),"")</f>
        <v/>
      </c>
      <c r="CL4" s="23" t="str">
        <f ca="1">IFERROR(__xludf.DUMMYFUNCTION("""COMPUTED_VALUE"""),"")</f>
        <v/>
      </c>
      <c r="CM4" s="23" t="str">
        <f ca="1">IFERROR(__xludf.DUMMYFUNCTION("""COMPUTED_VALUE"""),"")</f>
        <v/>
      </c>
      <c r="CN4" s="23" t="str">
        <f ca="1">IFERROR(__xludf.DUMMYFUNCTION("""COMPUTED_VALUE"""),"")</f>
        <v/>
      </c>
      <c r="CO4" s="23" t="str">
        <f ca="1">IFERROR(__xludf.DUMMYFUNCTION("""COMPUTED_VALUE"""),"")</f>
        <v/>
      </c>
      <c r="CP4" s="23" t="str">
        <f ca="1">IFERROR(__xludf.DUMMYFUNCTION("""COMPUTED_VALUE"""),"")</f>
        <v/>
      </c>
      <c r="CQ4" s="23" t="str">
        <f ca="1">IFERROR(__xludf.DUMMYFUNCTION("""COMPUTED_VALUE"""),"")</f>
        <v/>
      </c>
      <c r="CR4" s="23" t="str">
        <f ca="1">IFERROR(__xludf.DUMMYFUNCTION("""COMPUTED_VALUE"""),"")</f>
        <v/>
      </c>
      <c r="CS4" s="23" t="str">
        <f ca="1">IFERROR(__xludf.DUMMYFUNCTION("""COMPUTED_VALUE"""),"")</f>
        <v/>
      </c>
      <c r="CT4" s="23" t="str">
        <f ca="1">IFERROR(__xludf.DUMMYFUNCTION("""COMPUTED_VALUE"""),"")</f>
        <v/>
      </c>
      <c r="CU4" s="23" t="str">
        <f ca="1">IFERROR(__xludf.DUMMYFUNCTION("""COMPUTED_VALUE"""),"")</f>
        <v/>
      </c>
      <c r="CV4" s="23" t="str">
        <f ca="1">IFERROR(__xludf.DUMMYFUNCTION("""COMPUTED_VALUE"""),"")</f>
        <v/>
      </c>
      <c r="CW4" s="23" t="str">
        <f ca="1">IFERROR(__xludf.DUMMYFUNCTION("""COMPUTED_VALUE"""),"")</f>
        <v/>
      </c>
      <c r="CX4" s="23" t="str">
        <f ca="1">IFERROR(__xludf.DUMMYFUNCTION("""COMPUTED_VALUE"""),"")</f>
        <v/>
      </c>
      <c r="CY4" s="23" t="str">
        <f ca="1">IFERROR(__xludf.DUMMYFUNCTION("""COMPUTED_VALUE"""),"")</f>
        <v/>
      </c>
      <c r="CZ4" s="23" t="str">
        <f ca="1">IFERROR(__xludf.DUMMYFUNCTION("""COMPUTED_VALUE"""),"")</f>
        <v/>
      </c>
      <c r="DA4" s="23" t="str">
        <f ca="1">IFERROR(__xludf.DUMMYFUNCTION("""COMPUTED_VALUE"""),"")</f>
        <v/>
      </c>
      <c r="DB4" s="23" t="str">
        <f ca="1">IFERROR(__xludf.DUMMYFUNCTION("""COMPUTED_VALUE"""),"")</f>
        <v/>
      </c>
      <c r="DC4" s="23" t="str">
        <f ca="1">IFERROR(__xludf.DUMMYFUNCTION("""COMPUTED_VALUE"""),"")</f>
        <v/>
      </c>
      <c r="DD4" s="23" t="str">
        <f ca="1">IFERROR(__xludf.DUMMYFUNCTION("""COMPUTED_VALUE"""),"")</f>
        <v/>
      </c>
      <c r="DE4" s="23" t="str">
        <f ca="1">IFERROR(__xludf.DUMMYFUNCTION("""COMPUTED_VALUE"""),"")</f>
        <v/>
      </c>
      <c r="DF4" s="23" t="str">
        <f ca="1">IFERROR(__xludf.DUMMYFUNCTION("""COMPUTED_VALUE"""),"")</f>
        <v/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  <c r="EX4" s="23" t="str">
        <f ca="1">IFERROR(__xludf.DUMMYFUNCTION("""COMPUTED_VALUE"""),"")</f>
        <v/>
      </c>
    </row>
    <row r="5" spans="1:154" ht="15.75" customHeight="1" x14ac:dyDescent="0.2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IFERROR(__xludf.DUMMYFUNCTION("""COMPUTED_VALUE"""),"Taxlot ID")</f>
        <v>Taxlot ID</v>
      </c>
      <c r="C5" s="25" t="str">
        <f ca="1">IFERROR(__xludf.DUMMYFUNCTION("""COMPUTED_VALUE"""),"Closing Date")</f>
        <v>Closing Date</v>
      </c>
      <c r="D5" s="25" t="str">
        <f ca="1">IFERROR(__xludf.DUMMYFUNCTION("""COMPUTED_VALUE"""),"Account")</f>
        <v>Account</v>
      </c>
      <c r="E5" s="25" t="str">
        <f ca="1">IFERROR(__xludf.DUMMYFUNCTION("""COMPUTED_VALUE"""),"Strategy")</f>
        <v>Strategy</v>
      </c>
      <c r="F5" s="26" t="str">
        <f ca="1">IFERROR(__xludf.DUMMYFUNCTION("""COMPUTED_VALUE"""),"Position Type")</f>
        <v>Position Type</v>
      </c>
      <c r="G5" s="25" t="str">
        <f ca="1">IFERROR(__xludf.DUMMYFUNCTION("""COMPUTED_VALUE"""),"Asset Class")</f>
        <v>Asset Class</v>
      </c>
      <c r="H5" s="25" t="str">
        <f ca="1">IFERROR(__xludf.DUMMYFUNCTION("""COMPUTED_VALUE"""),"Symbol")</f>
        <v>Symbol</v>
      </c>
      <c r="I5" s="25" t="str">
        <f ca="1">IFERROR(__xludf.DUMMYFUNCTION("""COMPUTED_VALUE"""),"Qty Closed")</f>
        <v>Qty Closed</v>
      </c>
      <c r="J5" s="25" t="str">
        <f ca="1">IFERROR(__xludf.DUMMYFUNCTION("""COMPUTED_VALUE"""),"Opening Price")</f>
        <v>Opening Price</v>
      </c>
      <c r="K5" s="25" t="str">
        <f ca="1">IFERROR(__xludf.DUMMYFUNCTION("""COMPUTED_VALUE"""),"Closing Price")</f>
        <v>Closing Price</v>
      </c>
      <c r="L5" s="25" t="str">
        <f ca="1">IFERROR(__xludf.DUMMYFUNCTION("""COMPUTED_VALUE"""),"ClosingTotalCommissionandFees")</f>
        <v>ClosingTotalCommissionandFees</v>
      </c>
      <c r="M5" s="25" t="str">
        <f ca="1">IFERROR(__xludf.DUMMYFUNCTION("""COMPUTED_VALUE"""),"Realized PNL(C.B.)")</f>
        <v>Realized PNL(C.B.)</v>
      </c>
      <c r="N5" s="25" t="str">
        <f ca="1">IFERROR(__xludf.DUMMYFUNCTION("""COMPUTED_VALUE"""),"Exchange")</f>
        <v>Exchange</v>
      </c>
      <c r="O5" s="25" t="str">
        <f ca="1">IFERROR(__xludf.DUMMYFUNCTION("""COMPUTED_VALUE"""),"Opening Side")</f>
        <v>Opening Side</v>
      </c>
      <c r="P5" s="25" t="str">
        <f ca="1">IFERROR(__xludf.DUMMYFUNCTION("""COMPUTED_VALUE"""),"Opening Fees &amp; Commission")</f>
        <v>Opening Fees &amp; Commission</v>
      </c>
      <c r="Q5" s="25" t="str">
        <f ca="1">IFERROR(__xludf.DUMMYFUNCTION("""COMPUTED_VALUE"""),"Closing Side")</f>
        <v>Closing Side</v>
      </c>
      <c r="R5" s="25" t="str">
        <f ca="1">IFERROR(__xludf.DUMMYFUNCTION("""COMPUTED_VALUE"""),"Closing Method")</f>
        <v>Closing Method</v>
      </c>
      <c r="S5" s="25" t="str">
        <f ca="1">IFERROR(__xludf.DUMMYFUNCTION("""COMPUTED_VALUE"""),"ClosingID")</f>
        <v>ClosingID</v>
      </c>
      <c r="T5" s="28" t="str">
        <f ca="1">IFERROR(__xludf.DUMMYFUNCTION("""COMPUTED_VALUE"""),"Original Purchase Date")</f>
        <v>Original Purchase Date</v>
      </c>
      <c r="U5" s="28" t="str">
        <f ca="1">IFERROR(__xludf.DUMMYFUNCTION("""COMPUTED_VALUE"""),"Description")</f>
        <v>Description</v>
      </c>
      <c r="V5" s="28" t="str">
        <f ca="1">IFERROR(__xludf.DUMMYFUNCTION("""COMPUTED_VALUE"""),"AccountID")</f>
        <v>AccountID</v>
      </c>
      <c r="W5" s="28" t="str">
        <f ca="1">IFERROR(__xludf.DUMMYFUNCTION("""COMPUTED_VALUE"""),"IsExpired_Settled")</f>
        <v>IsExpired_Settled</v>
      </c>
      <c r="X5" s="28" t="str">
        <f ca="1">IFERROR(__xludf.DUMMYFUNCTION("""COMPUTED_VALUE"""),"Underlying")</f>
        <v>Underlying</v>
      </c>
      <c r="Y5" s="28" t="str">
        <f ca="1">IFERROR(__xludf.DUMMYFUNCTION("""COMPUTED_VALUE"""),"CurrencyID")</f>
        <v>CurrencyID</v>
      </c>
      <c r="Z5" s="28" t="str">
        <f ca="1">IFERROR(__xludf.DUMMYFUNCTION("""COMPUTED_VALUE"""),"Currency")</f>
        <v>Currency</v>
      </c>
      <c r="AA5" s="28" t="str">
        <f ca="1">IFERROR(__xludf.DUMMYFUNCTION("""COMPUTED_VALUE"""),"AUECID")</f>
        <v>AUECID</v>
      </c>
      <c r="AB5" s="28" t="str">
        <f ca="1">IFERROR(__xludf.DUMMYFUNCTION("""COMPUTED_VALUE"""),"NotionalValue")</f>
        <v>NotionalValue</v>
      </c>
      <c r="AC5" s="28" t="str">
        <f ca="1">IFERROR(__xludf.DUMMYFUNCTION("""COMPUTED_VALUE"""),"Multiplier")</f>
        <v>Multiplier</v>
      </c>
      <c r="AD5" s="28" t="str">
        <f ca="1">IFERROR(__xludf.DUMMYFUNCTION("""COMPUTED_VALUE"""),"TimeOfSaveUTC")</f>
        <v>TimeOfSaveUTC</v>
      </c>
      <c r="AE5" s="28" t="str">
        <f ca="1">IFERROR(__xludf.DUMMYFUNCTION("""COMPUTED_VALUE"""),"Closing Position Type")</f>
        <v>Closing Position Type</v>
      </c>
      <c r="AF5" s="28" t="str">
        <f ca="1">IFERROR(__xludf.DUMMYFUNCTION("""COMPUTED_VALUE"""),"Closing Mode")</f>
        <v>Closing Mode</v>
      </c>
      <c r="AG5" s="28" t="str">
        <f ca="1">IFERROR(__xludf.DUMMYFUNCTION("""COMPUTED_VALUE"""),"StrategyID")</f>
        <v>StrategyID</v>
      </c>
      <c r="AH5" s="28" t="str">
        <f ca="1">IFERROR(__xludf.DUMMYFUNCTION("""COMPUTED_VALUE"""),"")</f>
        <v/>
      </c>
      <c r="AI5" s="28" t="str">
        <f ca="1">IFERROR(__xludf.DUMMYFUNCTION("""COMPUTED_VALUE"""),"")</f>
        <v/>
      </c>
      <c r="AJ5" s="28" t="str">
        <f ca="1">IFERROR(__xludf.DUMMYFUNCTION("""COMPUTED_VALUE"""),"")</f>
        <v/>
      </c>
      <c r="AK5" s="28" t="str">
        <f ca="1">IFERROR(__xludf.DUMMYFUNCTION("""COMPUTED_VALUE"""),"")</f>
        <v/>
      </c>
      <c r="AL5" s="28" t="str">
        <f ca="1">IFERROR(__xludf.DUMMYFUNCTION("""COMPUTED_VALUE"""),"")</f>
        <v/>
      </c>
      <c r="AM5" s="28" t="str">
        <f ca="1">IFERROR(__xludf.DUMMYFUNCTION("""COMPUTED_VALUE"""),"")</f>
        <v/>
      </c>
      <c r="AN5" s="28" t="str">
        <f ca="1">IFERROR(__xludf.DUMMYFUNCTION("""COMPUTED_VALUE"""),"")</f>
        <v/>
      </c>
      <c r="AO5" s="28" t="str">
        <f ca="1">IFERROR(__xludf.DUMMYFUNCTION("""COMPUTED_VALUE"""),"")</f>
        <v/>
      </c>
      <c r="AP5" s="28" t="str">
        <f ca="1">IFERROR(__xludf.DUMMYFUNCTION("""COMPUTED_VALUE"""),"")</f>
        <v/>
      </c>
      <c r="AQ5" s="28" t="str">
        <f ca="1">IFERROR(__xludf.DUMMYFUNCTION("""COMPUTED_VALUE"""),"")</f>
        <v/>
      </c>
      <c r="AR5" s="28" t="str">
        <f ca="1">IFERROR(__xludf.DUMMYFUNCTION("""COMPUTED_VALUE"""),"")</f>
        <v/>
      </c>
      <c r="AS5" s="28" t="str">
        <f ca="1">IFERROR(__xludf.DUMMYFUNCTION("""COMPUTED_VALUE"""),"")</f>
        <v/>
      </c>
      <c r="AT5" s="28" t="str">
        <f ca="1">IFERROR(__xludf.DUMMYFUNCTION("""COMPUTED_VALUE"""),"")</f>
        <v/>
      </c>
      <c r="AU5" s="28" t="str">
        <f ca="1">IFERROR(__xludf.DUMMYFUNCTION("""COMPUTED_VALUE"""),"")</f>
        <v/>
      </c>
      <c r="AV5" s="28" t="str">
        <f ca="1">IFERROR(__xludf.DUMMYFUNCTION("""COMPUTED_VALUE"""),"")</f>
        <v/>
      </c>
      <c r="AW5" s="28" t="str">
        <f ca="1">IFERROR(__xludf.DUMMYFUNCTION("""COMPUTED_VALUE"""),"")</f>
        <v/>
      </c>
      <c r="AX5" s="28" t="str">
        <f ca="1">IFERROR(__xludf.DUMMYFUNCTION("""COMPUTED_VALUE"""),"")</f>
        <v/>
      </c>
      <c r="AY5" s="28" t="str">
        <f ca="1">IFERROR(__xludf.DUMMYFUNCTION("""COMPUTED_VALUE"""),"")</f>
        <v/>
      </c>
      <c r="AZ5" s="28" t="str">
        <f ca="1">IFERROR(__xludf.DUMMYFUNCTION("""COMPUTED_VALUE"""),"")</f>
        <v/>
      </c>
      <c r="BA5" s="28" t="str">
        <f ca="1">IFERROR(__xludf.DUMMYFUNCTION("""COMPUTED_VALUE"""),"")</f>
        <v/>
      </c>
      <c r="BB5" s="28" t="str">
        <f ca="1">IFERROR(__xludf.DUMMYFUNCTION("""COMPUTED_VALUE"""),"")</f>
        <v/>
      </c>
      <c r="BC5" s="28" t="str">
        <f ca="1">IFERROR(__xludf.DUMMYFUNCTION("""COMPUTED_VALUE"""),"")</f>
        <v/>
      </c>
      <c r="BD5" s="28" t="str">
        <f ca="1">IFERROR(__xludf.DUMMYFUNCTION("""COMPUTED_VALUE"""),"")</f>
        <v/>
      </c>
      <c r="BE5" s="28" t="str">
        <f ca="1">IFERROR(__xludf.DUMMYFUNCTION("""COMPUTED_VALUE"""),"")</f>
        <v/>
      </c>
      <c r="BF5" s="28" t="str">
        <f ca="1">IFERROR(__xludf.DUMMYFUNCTION("""COMPUTED_VALUE"""),"")</f>
        <v/>
      </c>
      <c r="BG5" s="28" t="str">
        <f ca="1">IFERROR(__xludf.DUMMYFUNCTION("""COMPUTED_VALUE"""),"")</f>
        <v/>
      </c>
      <c r="BH5" s="28" t="str">
        <f ca="1">IFERROR(__xludf.DUMMYFUNCTION("""COMPUTED_VALUE"""),"")</f>
        <v/>
      </c>
      <c r="BI5" s="28" t="str">
        <f ca="1">IFERROR(__xludf.DUMMYFUNCTION("""COMPUTED_VALUE"""),"")</f>
        <v/>
      </c>
      <c r="BJ5" s="28" t="str">
        <f ca="1">IFERROR(__xludf.DUMMYFUNCTION("""COMPUTED_VALUE"""),"")</f>
        <v/>
      </c>
      <c r="BK5" s="28" t="str">
        <f ca="1">IFERROR(__xludf.DUMMYFUNCTION("""COMPUTED_VALUE"""),"")</f>
        <v/>
      </c>
      <c r="BL5" s="28" t="str">
        <f ca="1">IFERROR(__xludf.DUMMYFUNCTION("""COMPUTED_VALUE"""),"")</f>
        <v/>
      </c>
      <c r="BM5" s="28" t="str">
        <f ca="1">IFERROR(__xludf.DUMMYFUNCTION("""COMPUTED_VALUE"""),"")</f>
        <v/>
      </c>
      <c r="BN5" s="28" t="str">
        <f ca="1">IFERROR(__xludf.DUMMYFUNCTION("""COMPUTED_VALUE"""),"")</f>
        <v/>
      </c>
      <c r="BO5" s="28" t="str">
        <f ca="1">IFERROR(__xludf.DUMMYFUNCTION("""COMPUTED_VALUE"""),"")</f>
        <v/>
      </c>
      <c r="BP5" s="28" t="str">
        <f ca="1">IFERROR(__xludf.DUMMYFUNCTION("""COMPUTED_VALUE"""),"")</f>
        <v/>
      </c>
      <c r="BQ5" s="28" t="str">
        <f ca="1">IFERROR(__xludf.DUMMYFUNCTION("""COMPUTED_VALUE"""),"")</f>
        <v/>
      </c>
      <c r="BR5" s="28" t="str">
        <f ca="1">IFERROR(__xludf.DUMMYFUNCTION("""COMPUTED_VALUE"""),"")</f>
        <v/>
      </c>
      <c r="BS5" s="28" t="str">
        <f ca="1">IFERROR(__xludf.DUMMYFUNCTION("""COMPUTED_VALUE"""),"")</f>
        <v/>
      </c>
      <c r="BT5" s="28" t="str">
        <f ca="1">IFERROR(__xludf.DUMMYFUNCTION("""COMPUTED_VALUE"""),"")</f>
        <v/>
      </c>
      <c r="BU5" s="28" t="str">
        <f ca="1">IFERROR(__xludf.DUMMYFUNCTION("""COMPUTED_VALUE"""),"")</f>
        <v/>
      </c>
      <c r="BV5" s="28" t="str">
        <f ca="1">IFERROR(__xludf.DUMMYFUNCTION("""COMPUTED_VALUE"""),"")</f>
        <v/>
      </c>
      <c r="BW5" s="28" t="str">
        <f ca="1">IFERROR(__xludf.DUMMYFUNCTION("""COMPUTED_VALUE"""),"")</f>
        <v/>
      </c>
      <c r="BX5" s="28" t="str">
        <f ca="1">IFERROR(__xludf.DUMMYFUNCTION("""COMPUTED_VALUE"""),"")</f>
        <v/>
      </c>
      <c r="BY5" s="28" t="str">
        <f ca="1">IFERROR(__xludf.DUMMYFUNCTION("""COMPUTED_VALUE"""),"")</f>
        <v/>
      </c>
      <c r="BZ5" s="28" t="str">
        <f ca="1">IFERROR(__xludf.DUMMYFUNCTION("""COMPUTED_VALUE"""),"")</f>
        <v/>
      </c>
      <c r="CA5" s="28" t="str">
        <f ca="1">IFERROR(__xludf.DUMMYFUNCTION("""COMPUTED_VALUE"""),"")</f>
        <v/>
      </c>
      <c r="CB5" s="28" t="str">
        <f ca="1">IFERROR(__xludf.DUMMYFUNCTION("""COMPUTED_VALUE"""),"")</f>
        <v/>
      </c>
      <c r="CC5" s="28" t="str">
        <f ca="1">IFERROR(__xludf.DUMMYFUNCTION("""COMPUTED_VALUE"""),"")</f>
        <v/>
      </c>
      <c r="CD5" s="28" t="str">
        <f ca="1">IFERROR(__xludf.DUMMYFUNCTION("""COMPUTED_VALUE"""),"")</f>
        <v/>
      </c>
      <c r="CE5" s="28" t="str">
        <f ca="1">IFERROR(__xludf.DUMMYFUNCTION("""COMPUTED_VALUE"""),"")</f>
        <v/>
      </c>
      <c r="CF5" s="28" t="str">
        <f ca="1">IFERROR(__xludf.DUMMYFUNCTION("""COMPUTED_VALUE"""),"")</f>
        <v/>
      </c>
      <c r="CG5" s="28" t="str">
        <f ca="1">IFERROR(__xludf.DUMMYFUNCTION("""COMPUTED_VALUE"""),"")</f>
        <v/>
      </c>
      <c r="CH5" s="28" t="str">
        <f ca="1">IFERROR(__xludf.DUMMYFUNCTION("""COMPUTED_VALUE"""),"")</f>
        <v/>
      </c>
      <c r="CI5" s="28" t="str">
        <f ca="1">IFERROR(__xludf.DUMMYFUNCTION("""COMPUTED_VALUE"""),"")</f>
        <v/>
      </c>
      <c r="CJ5" s="28" t="str">
        <f ca="1">IFERROR(__xludf.DUMMYFUNCTION("""COMPUTED_VALUE"""),"")</f>
        <v/>
      </c>
      <c r="CK5" s="28" t="str">
        <f ca="1">IFERROR(__xludf.DUMMYFUNCTION("""COMPUTED_VALUE"""),"")</f>
        <v/>
      </c>
      <c r="CL5" s="28" t="str">
        <f ca="1">IFERROR(__xludf.DUMMYFUNCTION("""COMPUTED_VALUE"""),"")</f>
        <v/>
      </c>
      <c r="CM5" s="28" t="str">
        <f ca="1">IFERROR(__xludf.DUMMYFUNCTION("""COMPUTED_VALUE"""),"")</f>
        <v/>
      </c>
      <c r="CN5" s="28" t="str">
        <f ca="1">IFERROR(__xludf.DUMMYFUNCTION("""COMPUTED_VALUE"""),"")</f>
        <v/>
      </c>
      <c r="CO5" s="28" t="str">
        <f ca="1">IFERROR(__xludf.DUMMYFUNCTION("""COMPUTED_VALUE"""),"")</f>
        <v/>
      </c>
      <c r="CP5" s="28" t="str">
        <f ca="1">IFERROR(__xludf.DUMMYFUNCTION("""COMPUTED_VALUE"""),"")</f>
        <v/>
      </c>
      <c r="CQ5" s="28" t="str">
        <f ca="1">IFERROR(__xludf.DUMMYFUNCTION("""COMPUTED_VALUE"""),"")</f>
        <v/>
      </c>
      <c r="CR5" s="28" t="str">
        <f ca="1">IFERROR(__xludf.DUMMYFUNCTION("""COMPUTED_VALUE"""),"")</f>
        <v/>
      </c>
      <c r="CS5" s="28" t="str">
        <f ca="1">IFERROR(__xludf.DUMMYFUNCTION("""COMPUTED_VALUE"""),"")</f>
        <v/>
      </c>
      <c r="CT5" s="28" t="str">
        <f ca="1">IFERROR(__xludf.DUMMYFUNCTION("""COMPUTED_VALUE"""),"")</f>
        <v/>
      </c>
      <c r="CU5" s="28" t="str">
        <f ca="1">IFERROR(__xludf.DUMMYFUNCTION("""COMPUTED_VALUE"""),"")</f>
        <v/>
      </c>
      <c r="CV5" s="28" t="str">
        <f ca="1">IFERROR(__xludf.DUMMYFUNCTION("""COMPUTED_VALUE"""),"")</f>
        <v/>
      </c>
      <c r="CW5" s="28" t="str">
        <f ca="1">IFERROR(__xludf.DUMMYFUNCTION("""COMPUTED_VALUE"""),"")</f>
        <v/>
      </c>
      <c r="CX5" s="28" t="str">
        <f ca="1">IFERROR(__xludf.DUMMYFUNCTION("""COMPUTED_VALUE"""),"")</f>
        <v/>
      </c>
      <c r="CY5" s="28" t="str">
        <f ca="1">IFERROR(__xludf.DUMMYFUNCTION("""COMPUTED_VALUE"""),"")</f>
        <v/>
      </c>
      <c r="CZ5" s="28" t="str">
        <f ca="1">IFERROR(__xludf.DUMMYFUNCTION("""COMPUTED_VALUE"""),"")</f>
        <v/>
      </c>
      <c r="DA5" s="28" t="str">
        <f ca="1">IFERROR(__xludf.DUMMYFUNCTION("""COMPUTED_VALUE"""),"")</f>
        <v/>
      </c>
      <c r="DB5" s="28" t="str">
        <f ca="1">IFERROR(__xludf.DUMMYFUNCTION("""COMPUTED_VALUE"""),"")</f>
        <v/>
      </c>
      <c r="DC5" s="28" t="str">
        <f ca="1">IFERROR(__xludf.DUMMYFUNCTION("""COMPUTED_VALUE"""),"")</f>
        <v/>
      </c>
      <c r="DD5" s="28" t="str">
        <f ca="1">IFERROR(__xludf.DUMMYFUNCTION("""COMPUTED_VALUE"""),"")</f>
        <v/>
      </c>
      <c r="DE5" s="28" t="str">
        <f ca="1">IFERROR(__xludf.DUMMYFUNCTION("""COMPUTED_VALUE"""),"")</f>
        <v/>
      </c>
      <c r="DF5" s="28" t="str">
        <f ca="1">IFERROR(__xludf.DUMMYFUNCTION("""COMPUTED_VALUE"""),"")</f>
        <v/>
      </c>
      <c r="DG5" s="28" t="str">
        <f ca="1">IFERROR(__xludf.DUMMYFUNCTION("""COMPUTED_VALUE"""),"")</f>
        <v/>
      </c>
      <c r="DH5" s="28" t="str">
        <f ca="1">IFERROR(__xludf.DUMMYFUNCTION("""COMPUTED_VALUE"""),"")</f>
        <v/>
      </c>
      <c r="DI5" s="28" t="str">
        <f ca="1">IFERROR(__xludf.DUMMYFUNCTION("""COMPUTED_VALUE"""),"")</f>
        <v/>
      </c>
      <c r="DJ5" s="28" t="str">
        <f ca="1">IFERROR(__xludf.DUMMYFUNCTION("""COMPUTED_VALUE"""),"")</f>
        <v/>
      </c>
      <c r="DK5" s="28" t="str">
        <f ca="1">IFERROR(__xludf.DUMMYFUNCTION("""COMPUTED_VALUE"""),"")</f>
        <v/>
      </c>
      <c r="DL5" s="28" t="str">
        <f ca="1">IFERROR(__xludf.DUMMYFUNCTION("""COMPUTED_VALUE"""),"")</f>
        <v/>
      </c>
      <c r="DM5" s="28" t="str">
        <f ca="1">IFERROR(__xludf.DUMMYFUNCTION("""COMPUTED_VALUE"""),"")</f>
        <v/>
      </c>
      <c r="DN5" s="28" t="str">
        <f ca="1">IFERROR(__xludf.DUMMYFUNCTION("""COMPUTED_VALUE"""),"")</f>
        <v/>
      </c>
      <c r="DO5" s="28" t="str">
        <f ca="1">IFERROR(__xludf.DUMMYFUNCTION("""COMPUTED_VALUE"""),"")</f>
        <v/>
      </c>
      <c r="DP5" s="28" t="str">
        <f ca="1">IFERROR(__xludf.DUMMYFUNCTION("""COMPUTED_VALUE"""),"")</f>
        <v/>
      </c>
      <c r="DQ5" s="28" t="str">
        <f ca="1">IFERROR(__xludf.DUMMYFUNCTION("""COMPUTED_VALUE"""),"")</f>
        <v/>
      </c>
      <c r="DR5" s="28" t="str">
        <f ca="1">IFERROR(__xludf.DUMMYFUNCTION("""COMPUTED_VALUE"""),"")</f>
        <v/>
      </c>
      <c r="DS5" s="28" t="str">
        <f ca="1">IFERROR(__xludf.DUMMYFUNCTION("""COMPUTED_VALUE"""),"")</f>
        <v/>
      </c>
      <c r="DT5" s="28" t="str">
        <f ca="1">IFERROR(__xludf.DUMMYFUNCTION("""COMPUTED_VALUE"""),"")</f>
        <v/>
      </c>
      <c r="DU5" s="28" t="str">
        <f ca="1">IFERROR(__xludf.DUMMYFUNCTION("""COMPUTED_VALUE"""),"")</f>
        <v/>
      </c>
      <c r="DV5" s="28" t="str">
        <f ca="1">IFERROR(__xludf.DUMMYFUNCTION("""COMPUTED_VALUE"""),"")</f>
        <v/>
      </c>
      <c r="DW5" s="28" t="str">
        <f ca="1">IFERROR(__xludf.DUMMYFUNCTION("""COMPUTED_VALUE"""),"")</f>
        <v/>
      </c>
      <c r="DX5" s="28" t="str">
        <f ca="1">IFERROR(__xludf.DUMMYFUNCTION("""COMPUTED_VALUE"""),"")</f>
        <v/>
      </c>
      <c r="DY5" s="28" t="str">
        <f ca="1">IFERROR(__xludf.DUMMYFUNCTION("""COMPUTED_VALUE"""),"")</f>
        <v/>
      </c>
      <c r="DZ5" s="28" t="str">
        <f ca="1">IFERROR(__xludf.DUMMYFUNCTION("""COMPUTED_VALUE"""),"")</f>
        <v/>
      </c>
      <c r="EA5" s="28" t="str">
        <f ca="1">IFERROR(__xludf.DUMMYFUNCTION("""COMPUTED_VALUE"""),"")</f>
        <v/>
      </c>
      <c r="EB5" s="28" t="str">
        <f ca="1">IFERROR(__xludf.DUMMYFUNCTION("""COMPUTED_VALUE"""),"")</f>
        <v/>
      </c>
      <c r="EC5" s="28" t="str">
        <f ca="1">IFERROR(__xludf.DUMMYFUNCTION("""COMPUTED_VALUE"""),"")</f>
        <v/>
      </c>
      <c r="ED5" s="28" t="str">
        <f ca="1">IFERROR(__xludf.DUMMYFUNCTION("""COMPUTED_VALUE"""),"")</f>
        <v/>
      </c>
      <c r="EE5" s="28" t="str">
        <f ca="1">IFERROR(__xludf.DUMMYFUNCTION("""COMPUTED_VALUE"""),"")</f>
        <v/>
      </c>
      <c r="EF5" s="28" t="str">
        <f ca="1">IFERROR(__xludf.DUMMYFUNCTION("""COMPUTED_VALUE"""),"")</f>
        <v/>
      </c>
      <c r="EG5" s="28" t="str">
        <f ca="1">IFERROR(__xludf.DUMMYFUNCTION("""COMPUTED_VALUE"""),"")</f>
        <v/>
      </c>
      <c r="EH5" s="28" t="str">
        <f ca="1">IFERROR(__xludf.DUMMYFUNCTION("""COMPUTED_VALUE"""),"")</f>
        <v/>
      </c>
      <c r="EI5" s="28" t="str">
        <f ca="1">IFERROR(__xludf.DUMMYFUNCTION("""COMPUTED_VALUE"""),"")</f>
        <v/>
      </c>
      <c r="EJ5" s="28" t="str">
        <f ca="1">IFERROR(__xludf.DUMMYFUNCTION("""COMPUTED_VALUE"""),"")</f>
        <v/>
      </c>
      <c r="EK5" s="28" t="str">
        <f ca="1">IFERROR(__xludf.DUMMYFUNCTION("""COMPUTED_VALUE"""),"")</f>
        <v/>
      </c>
      <c r="EL5" s="28" t="str">
        <f ca="1">IFERROR(__xludf.DUMMYFUNCTION("""COMPUTED_VALUE"""),"")</f>
        <v/>
      </c>
      <c r="EM5" s="28" t="str">
        <f ca="1">IFERROR(__xludf.DUMMYFUNCTION("""COMPUTED_VALUE"""),"")</f>
        <v/>
      </c>
      <c r="EN5" s="28" t="str">
        <f ca="1">IFERROR(__xludf.DUMMYFUNCTION("""COMPUTED_VALUE"""),"")</f>
        <v/>
      </c>
      <c r="EO5" s="28" t="str">
        <f ca="1">IFERROR(__xludf.DUMMYFUNCTION("""COMPUTED_VALUE"""),"")</f>
        <v/>
      </c>
      <c r="EP5" s="28" t="str">
        <f ca="1">IFERROR(__xludf.DUMMYFUNCTION("""COMPUTED_VALUE"""),"")</f>
        <v/>
      </c>
      <c r="EQ5" s="28" t="str">
        <f ca="1">IFERROR(__xludf.DUMMYFUNCTION("""COMPUTED_VALUE"""),"")</f>
        <v/>
      </c>
      <c r="ER5" s="28" t="str">
        <f ca="1">IFERROR(__xludf.DUMMYFUNCTION("""COMPUTED_VALUE"""),"")</f>
        <v/>
      </c>
      <c r="ES5" s="28" t="str">
        <f ca="1">IFERROR(__xludf.DUMMYFUNCTION("""COMPUTED_VALUE"""),"")</f>
        <v/>
      </c>
      <c r="ET5" s="28" t="str">
        <f ca="1">IFERROR(__xludf.DUMMYFUNCTION("""COMPUTED_VALUE"""),"")</f>
        <v/>
      </c>
      <c r="EU5" s="28" t="str">
        <f ca="1">IFERROR(__xludf.DUMMYFUNCTION("""COMPUTED_VALUE"""),"")</f>
        <v/>
      </c>
      <c r="EV5" s="28" t="str">
        <f ca="1">IFERROR(__xludf.DUMMYFUNCTION("""COMPUTED_VALUE"""),"")</f>
        <v/>
      </c>
      <c r="EW5" s="28" t="str">
        <f ca="1">IFERROR(__xludf.DUMMYFUNCTION("""COMPUTED_VALUE"""),"")</f>
        <v/>
      </c>
      <c r="EX5" s="28" t="str">
        <f ca="1">IFERROR(__xludf.DUMMYFUNCTION("""COMPUTED_VALUE"""),"")</f>
        <v/>
      </c>
    </row>
    <row r="6" spans="1:154" ht="15.75" customHeight="1" x14ac:dyDescent="0.2">
      <c r="A6" s="5"/>
      <c r="B6" s="5"/>
      <c r="C6" s="37">
        <v>42786</v>
      </c>
      <c r="D6" s="41" t="s">
        <v>18</v>
      </c>
      <c r="E6" s="30" t="s">
        <v>29</v>
      </c>
      <c r="F6" s="30" t="s">
        <v>27</v>
      </c>
      <c r="G6" s="30" t="s">
        <v>30</v>
      </c>
      <c r="H6" s="29" t="s">
        <v>16</v>
      </c>
      <c r="I6" s="36">
        <v>100</v>
      </c>
      <c r="J6" s="36">
        <v>12</v>
      </c>
      <c r="K6" s="34">
        <v>12</v>
      </c>
      <c r="L6" s="32"/>
      <c r="M6" s="32"/>
      <c r="N6" s="32"/>
      <c r="O6" s="30" t="s">
        <v>27</v>
      </c>
      <c r="P6" s="32"/>
      <c r="Q6" s="32" t="s">
        <v>20</v>
      </c>
      <c r="R6" s="33" t="s">
        <v>23</v>
      </c>
      <c r="S6" s="32"/>
      <c r="T6" s="42">
        <v>42786</v>
      </c>
      <c r="U6" s="32"/>
      <c r="V6" s="32"/>
      <c r="W6" s="32"/>
      <c r="X6" s="32"/>
      <c r="Y6" s="32"/>
      <c r="Z6" s="32"/>
      <c r="AA6" s="32"/>
      <c r="AB6" s="32"/>
      <c r="AC6" s="32"/>
    </row>
    <row r="7" spans="1:154" ht="15.75" customHeight="1" x14ac:dyDescent="0.2">
      <c r="A7" s="2"/>
      <c r="B7" s="2"/>
      <c r="C7" s="37">
        <v>42788</v>
      </c>
      <c r="D7" s="5" t="s">
        <v>18</v>
      </c>
      <c r="E7" s="5" t="s">
        <v>29</v>
      </c>
      <c r="F7" s="5" t="s">
        <v>27</v>
      </c>
      <c r="G7" s="5" t="s">
        <v>30</v>
      </c>
      <c r="H7" s="29" t="s">
        <v>16</v>
      </c>
      <c r="I7" s="5">
        <v>100</v>
      </c>
      <c r="J7" s="5">
        <v>15</v>
      </c>
      <c r="K7" s="5">
        <v>12</v>
      </c>
      <c r="L7" s="2"/>
      <c r="M7" s="2"/>
      <c r="N7" s="2"/>
      <c r="O7" s="5" t="s">
        <v>27</v>
      </c>
      <c r="Q7" s="39" t="s">
        <v>20</v>
      </c>
      <c r="R7" s="39" t="s">
        <v>23</v>
      </c>
      <c r="T7" s="43">
        <v>42788</v>
      </c>
    </row>
    <row r="8" spans="1:154" ht="15.75" customHeight="1" x14ac:dyDescent="0.2">
      <c r="A8" s="2"/>
      <c r="B8" s="2"/>
      <c r="C8" s="16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T8" s="38"/>
    </row>
    <row r="9" spans="1:154" ht="15.75" customHeight="1" x14ac:dyDescent="0.2">
      <c r="A9" s="2"/>
      <c r="B9" s="2"/>
      <c r="C9" s="16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T9" s="38"/>
    </row>
    <row r="10" spans="1:154" ht="15.75" customHeight="1" x14ac:dyDescent="0.2">
      <c r="A10" s="2"/>
      <c r="B10" s="2"/>
      <c r="C10" s="1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16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16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16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2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3" t="s">
        <v>11</v>
      </c>
      <c r="C1" s="54"/>
      <c r="D1" s="54"/>
      <c r="E1" s="54"/>
      <c r="F1" s="54"/>
      <c r="G1" s="54"/>
      <c r="H1" s="55"/>
      <c r="I1" s="12"/>
      <c r="J1" s="12"/>
      <c r="K1" s="12"/>
      <c r="L1" s="12"/>
      <c r="M1" s="12"/>
      <c r="N1" s="12"/>
      <c r="O1" s="12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e">
        <f ca="1">VLOOKUP($E$3,_MasterData!B4:D1000,3,FALSE)</f>
        <v>#N/A</v>
      </c>
      <c r="K2" s="15"/>
      <c r="L2" s="2"/>
      <c r="M2" s="2"/>
      <c r="N2" s="2"/>
      <c r="O2" s="2"/>
    </row>
    <row r="3" spans="1:154" ht="15.75" customHeight="1" x14ac:dyDescent="0.2">
      <c r="A3" s="17"/>
      <c r="B3" s="3" t="s">
        <v>5</v>
      </c>
      <c r="C3" s="18" t="s">
        <v>21</v>
      </c>
      <c r="D3" s="3" t="s">
        <v>7</v>
      </c>
      <c r="E3" s="18" t="s">
        <v>31</v>
      </c>
      <c r="F3" s="3" t="s">
        <v>14</v>
      </c>
      <c r="G3" s="7" t="s">
        <v>15</v>
      </c>
      <c r="H3" s="3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 x14ac:dyDescent="0.2">
      <c r="A4" s="21"/>
      <c r="B4" s="21" t="str">
        <f ca="1">IFERROR(__xludf.DUMMYFUNCTION("IF(C3="""","""",Transpose(IMPORTRANGE('_Settings'!$B$3,C3&amp;""!A4:A1000"")))"),"SwapExpire")</f>
        <v>SwapExpire</v>
      </c>
      <c r="C4" s="21" t="str">
        <f ca="1">IFERROR(__xludf.DUMMYFUNCTION("""COMPUTED_VALUE"""),"GetDataClosing")</f>
        <v>GetDataClosing</v>
      </c>
      <c r="D4" s="21" t="str">
        <f ca="1">IFERROR(__xludf.DUMMYFUNCTION("""COMPUTED_VALUE"""),"ManualClosing")</f>
        <v>ManualClosing</v>
      </c>
      <c r="E4" s="21" t="str">
        <f ca="1">IFERROR(__xludf.DUMMYFUNCTION("""COMPUTED_VALUE"""),"AutomaticClosing")</f>
        <v>AutomaticClosing</v>
      </c>
      <c r="F4" s="21" t="str">
        <f ca="1">IFERROR(__xludf.DUMMYFUNCTION("""COMPUTED_VALUE"""),"UnwindClosing")</f>
        <v>UnwindClosing</v>
      </c>
      <c r="G4" s="21" t="str">
        <f ca="1">IFERROR(__xludf.DUMMYFUNCTION("""COMPUTED_VALUE"""),"VerifyClosedTrades")</f>
        <v>VerifyClosedTrades</v>
      </c>
      <c r="H4" s="21" t="str">
        <f ca="1">IFERROR(__xludf.DUMMYFUNCTION("""COMPUTED_VALUE"""),"VerifyLongPositionsGrid")</f>
        <v>VerifyLongPositionsGrid</v>
      </c>
      <c r="I4" s="21" t="str">
        <f ca="1">IFERROR(__xludf.DUMMYFUNCTION("""COMPUTED_VALUE"""),"VerifyShortPositionsGrid")</f>
        <v>VerifyShortPositionsGrid</v>
      </c>
      <c r="J4" s="21" t="str">
        <f ca="1">IFERROR(__xludf.DUMMYFUNCTION("""COMPUTED_VALUE"""),"SelectTradeUnexpiredUnsettled")</f>
        <v>SelectTradeUnexpiredUnsettled</v>
      </c>
      <c r="K4" s="21" t="str">
        <f ca="1">IFERROR(__xludf.DUMMYFUNCTION("""COMPUTED_VALUE"""),"CashSettlementAtCost")</f>
        <v>CashSettlementAtCost</v>
      </c>
      <c r="L4" s="21" t="str">
        <f ca="1">IFERROR(__xludf.DUMMYFUNCTION("""COMPUTED_VALUE"""),"CashSettlementAtZeroPrice")</f>
        <v>CashSettlementAtZeroPrice</v>
      </c>
      <c r="M4" s="21" t="str">
        <f ca="1">IFERROR(__xludf.DUMMYFUNCTION("""COMPUTED_VALUE"""),"CashSettlementAtClosingDtSpotPx")</f>
        <v>CashSettlementAtClosingDtSpotPx</v>
      </c>
      <c r="N4" s="21" t="str">
        <f ca="1">IFERROR(__xludf.DUMMYFUNCTION("""COMPUTED_VALUE"""),"PhysicalSettlement")</f>
        <v>PhysicalSettlement</v>
      </c>
      <c r="O4" s="21" t="str">
        <f ca="1">IFERROR(__xludf.DUMMYFUNCTION("""COMPUTED_VALUE"""),"Expire")</f>
        <v>Expire</v>
      </c>
      <c r="P4" s="23" t="str">
        <f ca="1">IFERROR(__xludf.DUMMYFUNCTION("""COMPUTED_VALUE"""),"ExerciseAssignment")</f>
        <v>ExerciseAssignment</v>
      </c>
      <c r="Q4" s="23" t="str">
        <f ca="1">IFERROR(__xludf.DUMMYFUNCTION("""COMPUTED_VALUE"""),"ExerciseAssignmentAtZero")</f>
        <v>ExerciseAssignmentAtZero</v>
      </c>
      <c r="R4" s="23" t="str">
        <f ca="1">IFERROR(__xludf.DUMMYFUNCTION("""COMPUTED_VALUE"""),"SwapExpireAndRollover")</f>
        <v>SwapExpireAndRollover</v>
      </c>
      <c r="S4" s="23" t="str">
        <f ca="1">IFERROR(__xludf.DUMMYFUNCTION("""COMPUTED_VALUE"""),"SwapExpire")</f>
        <v>SwapExpire</v>
      </c>
      <c r="T4" s="23" t="str">
        <f ca="1">IFERROR(__xludf.DUMMYFUNCTION("""COMPUTED_VALUE"""),"VerifyExpiredSettledGrid")</f>
        <v>VerifyExpiredSettledGrid</v>
      </c>
      <c r="U4" s="23" t="str">
        <f ca="1">IFERROR(__xludf.DUMMYFUNCTION("""COMPUTED_VALUE"""),"VerifyUnExpiredUnSettledGrid")</f>
        <v>VerifyUnExpiredUnSettledGrid</v>
      </c>
      <c r="V4" s="23" t="str">
        <f ca="1">IFERROR(__xludf.DUMMYFUNCTION("""COMPUTED_VALUE"""),"UnWindTradeSettlement")</f>
        <v>UnWindTradeSettlement</v>
      </c>
      <c r="W4" s="23" t="str">
        <f ca="1">IFERROR(__xludf.DUMMYFUNCTION("""COMPUTED_VALUE"""),"CloseOrder")</f>
        <v>CloseOrder</v>
      </c>
      <c r="X4" s="23" t="str">
        <f ca="1">IFERROR(__xludf.DUMMYFUNCTION("""COMPUTED_VALUE"""),"VerifyCloseOrder")</f>
        <v>VerifyCloseOrder</v>
      </c>
      <c r="Y4" s="23" t="str">
        <f ca="1">IFERROR(__xludf.DUMMYFUNCTION("""COMPUTED_VALUE"""),"UnWindCloseOrder")</f>
        <v>UnWindCloseOrder</v>
      </c>
      <c r="Z4" s="23" t="str">
        <f ca="1">IFERROR(__xludf.DUMMYFUNCTION("""COMPUTED_VALUE"""),"ClosingCleanUp")</f>
        <v>ClosingCleanUp</v>
      </c>
      <c r="AA4" s="23" t="str">
        <f ca="1">IFERROR(__xludf.DUMMYFUNCTION("""COMPUTED_VALUE"""),"CloseClosingUI")</f>
        <v>CloseClosingUI</v>
      </c>
      <c r="AB4" s="23" t="str">
        <f ca="1">IFERROR(__xludf.DUMMYFUNCTION("""COMPUTED_VALUE"""),"SetClosingPreference")</f>
        <v>SetClosingPreference</v>
      </c>
      <c r="AC4" s="23" t="str">
        <f ca="1">IFERROR(__xludf.DUMMYFUNCTION("""COMPUTED_VALUE"""),"EditTradeUnexpiredUnsettled")</f>
        <v>EditTradeUnexpiredUnsettled</v>
      </c>
      <c r="AD4" s="23" t="str">
        <f ca="1">IFERROR(__xludf.DUMMYFUNCTION("""COMPUTED_VALUE"""),"")</f>
        <v/>
      </c>
      <c r="AE4" s="23" t="str">
        <f ca="1">IFERROR(__xludf.DUMMYFUNCTION("""COMPUTED_VALUE"""),"")</f>
        <v/>
      </c>
      <c r="AF4" s="23" t="str">
        <f ca="1">IFERROR(__xludf.DUMMYFUNCTION("""COMPUTED_VALUE"""),"")</f>
        <v/>
      </c>
      <c r="AG4" s="23" t="str">
        <f ca="1">IFERROR(__xludf.DUMMYFUNCTION("""COMPUTED_VALUE"""),"")</f>
        <v/>
      </c>
      <c r="AH4" s="23" t="str">
        <f ca="1">IFERROR(__xludf.DUMMYFUNCTION("""COMPUTED_VALUE"""),"")</f>
        <v/>
      </c>
      <c r="AI4" s="23" t="str">
        <f ca="1">IFERROR(__xludf.DUMMYFUNCTION("""COMPUTED_VALUE"""),"")</f>
        <v/>
      </c>
      <c r="AJ4" s="23" t="str">
        <f ca="1">IFERROR(__xludf.DUMMYFUNCTION("""COMPUTED_VALUE"""),"")</f>
        <v/>
      </c>
      <c r="AK4" s="23" t="str">
        <f ca="1">IFERROR(__xludf.DUMMYFUNCTION("""COMPUTED_VALUE"""),"")</f>
        <v/>
      </c>
      <c r="AL4" s="23" t="str">
        <f ca="1">IFERROR(__xludf.DUMMYFUNCTION("""COMPUTED_VALUE"""),"")</f>
        <v/>
      </c>
      <c r="AM4" s="23" t="str">
        <f ca="1">IFERROR(__xludf.DUMMYFUNCTION("""COMPUTED_VALUE"""),"")</f>
        <v/>
      </c>
      <c r="AN4" s="23" t="str">
        <f ca="1">IFERROR(__xludf.DUMMYFUNCTION("""COMPUTED_VALUE"""),"")</f>
        <v/>
      </c>
      <c r="AO4" s="23" t="str">
        <f ca="1">IFERROR(__xludf.DUMMYFUNCTION("""COMPUTED_VALUE"""),"")</f>
        <v/>
      </c>
      <c r="AP4" s="23" t="str">
        <f ca="1">IFERROR(__xludf.DUMMYFUNCTION("""COMPUTED_VALUE"""),"")</f>
        <v/>
      </c>
      <c r="AQ4" s="23" t="str">
        <f ca="1">IFERROR(__xludf.DUMMYFUNCTION("""COMPUTED_VALUE"""),"")</f>
        <v/>
      </c>
      <c r="AR4" s="23" t="str">
        <f ca="1">IFERROR(__xludf.DUMMYFUNCTION("""COMPUTED_VALUE"""),"")</f>
        <v/>
      </c>
      <c r="AS4" s="23" t="str">
        <f ca="1">IFERROR(__xludf.DUMMYFUNCTION("""COMPUTED_VALUE"""),"")</f>
        <v/>
      </c>
      <c r="AT4" s="23" t="str">
        <f ca="1">IFERROR(__xludf.DUMMYFUNCTION("""COMPUTED_VALUE"""),"")</f>
        <v/>
      </c>
      <c r="AU4" s="23" t="str">
        <f ca="1">IFERROR(__xludf.DUMMYFUNCTION("""COMPUTED_VALUE"""),"")</f>
        <v/>
      </c>
      <c r="AV4" s="23" t="str">
        <f ca="1">IFERROR(__xludf.DUMMYFUNCTION("""COMPUTED_VALUE"""),"")</f>
        <v/>
      </c>
      <c r="AW4" s="23" t="str">
        <f ca="1">IFERROR(__xludf.DUMMYFUNCTION("""COMPUTED_VALUE"""),"")</f>
        <v/>
      </c>
      <c r="AX4" s="23" t="str">
        <f ca="1">IFERROR(__xludf.DUMMYFUNCTION("""COMPUTED_VALUE"""),"")</f>
        <v/>
      </c>
      <c r="AY4" s="23" t="str">
        <f ca="1">IFERROR(__xludf.DUMMYFUNCTION("""COMPUTED_VALUE"""),"")</f>
        <v/>
      </c>
      <c r="AZ4" s="23" t="str">
        <f ca="1">IFERROR(__xludf.DUMMYFUNCTION("""COMPUTED_VALUE"""),"")</f>
        <v/>
      </c>
      <c r="BA4" s="23" t="str">
        <f ca="1">IFERROR(__xludf.DUMMYFUNCTION("""COMPUTED_VALUE"""),"")</f>
        <v/>
      </c>
      <c r="BB4" s="23" t="str">
        <f ca="1">IFERROR(__xludf.DUMMYFUNCTION("""COMPUTED_VALUE"""),"")</f>
        <v/>
      </c>
      <c r="BC4" s="23" t="str">
        <f ca="1">IFERROR(__xludf.DUMMYFUNCTION("""COMPUTED_VALUE"""),"")</f>
        <v/>
      </c>
      <c r="BD4" s="23" t="str">
        <f ca="1">IFERROR(__xludf.DUMMYFUNCTION("""COMPUTED_VALUE"""),"")</f>
        <v/>
      </c>
      <c r="BE4" s="23" t="str">
        <f ca="1">IFERROR(__xludf.DUMMYFUNCTION("""COMPUTED_VALUE"""),"")</f>
        <v/>
      </c>
      <c r="BF4" s="23" t="str">
        <f ca="1">IFERROR(__xludf.DUMMYFUNCTION("""COMPUTED_VALUE"""),"")</f>
        <v/>
      </c>
      <c r="BG4" s="23" t="str">
        <f ca="1">IFERROR(__xludf.DUMMYFUNCTION("""COMPUTED_VALUE"""),"")</f>
        <v/>
      </c>
      <c r="BH4" s="23" t="str">
        <f ca="1">IFERROR(__xludf.DUMMYFUNCTION("""COMPUTED_VALUE"""),"")</f>
        <v/>
      </c>
      <c r="BI4" s="23" t="str">
        <f ca="1">IFERROR(__xludf.DUMMYFUNCTION("""COMPUTED_VALUE"""),"")</f>
        <v/>
      </c>
      <c r="BJ4" s="23" t="str">
        <f ca="1">IFERROR(__xludf.DUMMYFUNCTION("""COMPUTED_VALUE"""),"")</f>
        <v/>
      </c>
      <c r="BK4" s="23" t="str">
        <f ca="1">IFERROR(__xludf.DUMMYFUNCTION("""COMPUTED_VALUE"""),"")</f>
        <v/>
      </c>
      <c r="BL4" s="23" t="str">
        <f ca="1">IFERROR(__xludf.DUMMYFUNCTION("""COMPUTED_VALUE"""),"")</f>
        <v/>
      </c>
      <c r="BM4" s="23" t="str">
        <f ca="1">IFERROR(__xludf.DUMMYFUNCTION("""COMPUTED_VALUE"""),"")</f>
        <v/>
      </c>
      <c r="BN4" s="23" t="str">
        <f ca="1">IFERROR(__xludf.DUMMYFUNCTION("""COMPUTED_VALUE"""),"")</f>
        <v/>
      </c>
      <c r="BO4" s="23" t="str">
        <f ca="1">IFERROR(__xludf.DUMMYFUNCTION("""COMPUTED_VALUE"""),"")</f>
        <v/>
      </c>
      <c r="BP4" s="23" t="str">
        <f ca="1">IFERROR(__xludf.DUMMYFUNCTION("""COMPUTED_VALUE"""),"")</f>
        <v/>
      </c>
      <c r="BQ4" s="23" t="str">
        <f ca="1">IFERROR(__xludf.DUMMYFUNCTION("""COMPUTED_VALUE"""),"")</f>
        <v/>
      </c>
      <c r="BR4" s="23" t="str">
        <f ca="1">IFERROR(__xludf.DUMMYFUNCTION("""COMPUTED_VALUE"""),"")</f>
        <v/>
      </c>
      <c r="BS4" s="23" t="str">
        <f ca="1">IFERROR(__xludf.DUMMYFUNCTION("""COMPUTED_VALUE"""),"")</f>
        <v/>
      </c>
      <c r="BT4" s="23" t="str">
        <f ca="1">IFERROR(__xludf.DUMMYFUNCTION("""COMPUTED_VALUE"""),"")</f>
        <v/>
      </c>
      <c r="BU4" s="23" t="str">
        <f ca="1">IFERROR(__xludf.DUMMYFUNCTION("""COMPUTED_VALUE"""),"")</f>
        <v/>
      </c>
      <c r="BV4" s="23" t="str">
        <f ca="1">IFERROR(__xludf.DUMMYFUNCTION("""COMPUTED_VALUE"""),"")</f>
        <v/>
      </c>
      <c r="BW4" s="23" t="str">
        <f ca="1">IFERROR(__xludf.DUMMYFUNCTION("""COMPUTED_VALUE"""),"")</f>
        <v/>
      </c>
      <c r="BX4" s="23" t="str">
        <f ca="1">IFERROR(__xludf.DUMMYFUNCTION("""COMPUTED_VALUE"""),"")</f>
        <v/>
      </c>
      <c r="BY4" s="23" t="str">
        <f ca="1">IFERROR(__xludf.DUMMYFUNCTION("""COMPUTED_VALUE"""),"")</f>
        <v/>
      </c>
      <c r="BZ4" s="23" t="str">
        <f ca="1">IFERROR(__xludf.DUMMYFUNCTION("""COMPUTED_VALUE"""),"")</f>
        <v/>
      </c>
      <c r="CA4" s="23" t="str">
        <f ca="1">IFERROR(__xludf.DUMMYFUNCTION("""COMPUTED_VALUE"""),"")</f>
        <v/>
      </c>
      <c r="CB4" s="23" t="str">
        <f ca="1">IFERROR(__xludf.DUMMYFUNCTION("""COMPUTED_VALUE"""),"")</f>
        <v/>
      </c>
      <c r="CC4" s="23" t="str">
        <f ca="1">IFERROR(__xludf.DUMMYFUNCTION("""COMPUTED_VALUE"""),"")</f>
        <v/>
      </c>
      <c r="CD4" s="23" t="str">
        <f ca="1">IFERROR(__xludf.DUMMYFUNCTION("""COMPUTED_VALUE"""),"")</f>
        <v/>
      </c>
      <c r="CE4" s="23" t="str">
        <f ca="1">IFERROR(__xludf.DUMMYFUNCTION("""COMPUTED_VALUE"""),"")</f>
        <v/>
      </c>
      <c r="CF4" s="23" t="str">
        <f ca="1">IFERROR(__xludf.DUMMYFUNCTION("""COMPUTED_VALUE"""),"")</f>
        <v/>
      </c>
      <c r="CG4" s="23" t="str">
        <f ca="1">IFERROR(__xludf.DUMMYFUNCTION("""COMPUTED_VALUE"""),"")</f>
        <v/>
      </c>
      <c r="CH4" s="23" t="str">
        <f ca="1">IFERROR(__xludf.DUMMYFUNCTION("""COMPUTED_VALUE"""),"")</f>
        <v/>
      </c>
      <c r="CI4" s="23" t="str">
        <f ca="1">IFERROR(__xludf.DUMMYFUNCTION("""COMPUTED_VALUE"""),"")</f>
        <v/>
      </c>
      <c r="CJ4" s="23" t="str">
        <f ca="1">IFERROR(__xludf.DUMMYFUNCTION("""COMPUTED_VALUE"""),"")</f>
        <v/>
      </c>
      <c r="CK4" s="23" t="str">
        <f ca="1">IFERROR(__xludf.DUMMYFUNCTION("""COMPUTED_VALUE"""),"")</f>
        <v/>
      </c>
      <c r="CL4" s="23" t="str">
        <f ca="1">IFERROR(__xludf.DUMMYFUNCTION("""COMPUTED_VALUE"""),"")</f>
        <v/>
      </c>
      <c r="CM4" s="23" t="str">
        <f ca="1">IFERROR(__xludf.DUMMYFUNCTION("""COMPUTED_VALUE"""),"")</f>
        <v/>
      </c>
      <c r="CN4" s="23" t="str">
        <f ca="1">IFERROR(__xludf.DUMMYFUNCTION("""COMPUTED_VALUE"""),"")</f>
        <v/>
      </c>
      <c r="CO4" s="23" t="str">
        <f ca="1">IFERROR(__xludf.DUMMYFUNCTION("""COMPUTED_VALUE"""),"")</f>
        <v/>
      </c>
      <c r="CP4" s="23" t="str">
        <f ca="1">IFERROR(__xludf.DUMMYFUNCTION("""COMPUTED_VALUE"""),"")</f>
        <v/>
      </c>
      <c r="CQ4" s="23" t="str">
        <f ca="1">IFERROR(__xludf.DUMMYFUNCTION("""COMPUTED_VALUE"""),"")</f>
        <v/>
      </c>
      <c r="CR4" s="23" t="str">
        <f ca="1">IFERROR(__xludf.DUMMYFUNCTION("""COMPUTED_VALUE"""),"")</f>
        <v/>
      </c>
      <c r="CS4" s="23" t="str">
        <f ca="1">IFERROR(__xludf.DUMMYFUNCTION("""COMPUTED_VALUE"""),"")</f>
        <v/>
      </c>
      <c r="CT4" s="23" t="str">
        <f ca="1">IFERROR(__xludf.DUMMYFUNCTION("""COMPUTED_VALUE"""),"")</f>
        <v/>
      </c>
      <c r="CU4" s="23" t="str">
        <f ca="1">IFERROR(__xludf.DUMMYFUNCTION("""COMPUTED_VALUE"""),"")</f>
        <v/>
      </c>
      <c r="CV4" s="23" t="str">
        <f ca="1">IFERROR(__xludf.DUMMYFUNCTION("""COMPUTED_VALUE"""),"")</f>
        <v/>
      </c>
      <c r="CW4" s="23" t="str">
        <f ca="1">IFERROR(__xludf.DUMMYFUNCTION("""COMPUTED_VALUE"""),"")</f>
        <v/>
      </c>
      <c r="CX4" s="23" t="str">
        <f ca="1">IFERROR(__xludf.DUMMYFUNCTION("""COMPUTED_VALUE"""),"")</f>
        <v/>
      </c>
      <c r="CY4" s="23" t="str">
        <f ca="1">IFERROR(__xludf.DUMMYFUNCTION("""COMPUTED_VALUE"""),"")</f>
        <v/>
      </c>
      <c r="CZ4" s="23" t="str">
        <f ca="1">IFERROR(__xludf.DUMMYFUNCTION("""COMPUTED_VALUE"""),"")</f>
        <v/>
      </c>
      <c r="DA4" s="23" t="str">
        <f ca="1">IFERROR(__xludf.DUMMYFUNCTION("""COMPUTED_VALUE"""),"")</f>
        <v/>
      </c>
      <c r="DB4" s="23" t="str">
        <f ca="1">IFERROR(__xludf.DUMMYFUNCTION("""COMPUTED_VALUE"""),"")</f>
        <v/>
      </c>
      <c r="DC4" s="23" t="str">
        <f ca="1">IFERROR(__xludf.DUMMYFUNCTION("""COMPUTED_VALUE"""),"")</f>
        <v/>
      </c>
      <c r="DD4" s="23" t="str">
        <f ca="1">IFERROR(__xludf.DUMMYFUNCTION("""COMPUTED_VALUE"""),"")</f>
        <v/>
      </c>
      <c r="DE4" s="23" t="str">
        <f ca="1">IFERROR(__xludf.DUMMYFUNCTION("""COMPUTED_VALUE"""),"")</f>
        <v/>
      </c>
      <c r="DF4" s="23" t="str">
        <f ca="1">IFERROR(__xludf.DUMMYFUNCTION("""COMPUTED_VALUE"""),"")</f>
        <v/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  <c r="EX4" s="23" t="str">
        <f ca="1">IFERROR(__xludf.DUMMYFUNCTION("""COMPUTED_VALUE"""),"")</f>
        <v/>
      </c>
    </row>
    <row r="5" spans="1:154" ht="15.75" customHeight="1" x14ac:dyDescent="0.2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IFERROR(__xludf.DUMMYFUNCTION("""COMPUTED_VALUE"""),"RangeType")</f>
        <v>RangeType</v>
      </c>
      <c r="C5" s="25" t="str">
        <f ca="1">IFERROR(__xludf.DUMMYFUNCTION("""COMPUTED_VALUE"""),"From")</f>
        <v>From</v>
      </c>
      <c r="D5" s="25" t="str">
        <f ca="1">IFERROR(__xludf.DUMMYFUNCTION("""COMPUTED_VALUE"""),"To")</f>
        <v>To</v>
      </c>
      <c r="E5" s="25" t="str">
        <f ca="1">IFERROR(__xludf.DUMMYFUNCTION("""COMPUTED_VALUE"""),"Account Filter")</f>
        <v>Account Filter</v>
      </c>
      <c r="F5" s="26" t="str">
        <f ca="1">IFERROR(__xludf.DUMMYFUNCTION("""COMPUTED_VALUE"""),"")</f>
        <v/>
      </c>
      <c r="G5" s="25" t="str">
        <f ca="1">IFERROR(__xludf.DUMMYFUNCTION("""COMPUTED_VALUE"""),"")</f>
        <v/>
      </c>
      <c r="H5" s="25" t="str">
        <f ca="1">IFERROR(__xludf.DUMMYFUNCTION("""COMPUTED_VALUE"""),"")</f>
        <v/>
      </c>
      <c r="I5" s="25" t="str">
        <f ca="1">IFERROR(__xludf.DUMMYFUNCTION("""COMPUTED_VALUE"""),"")</f>
        <v/>
      </c>
      <c r="J5" s="25" t="str">
        <f ca="1">IFERROR(__xludf.DUMMYFUNCTION("""COMPUTED_VALUE"""),"")</f>
        <v/>
      </c>
      <c r="K5" s="25" t="str">
        <f ca="1">IFERROR(__xludf.DUMMYFUNCTION("""COMPUTED_VALUE"""),"")</f>
        <v/>
      </c>
      <c r="L5" s="25" t="str">
        <f ca="1">IFERROR(__xludf.DUMMYFUNCTION("""COMPUTED_VALUE"""),"")</f>
        <v/>
      </c>
      <c r="M5" s="25" t="str">
        <f ca="1">IFERROR(__xludf.DUMMYFUNCTION("""COMPUTED_VALUE"""),"")</f>
        <v/>
      </c>
      <c r="N5" s="25" t="str">
        <f ca="1">IFERROR(__xludf.DUMMYFUNCTION("""COMPUTED_VALUE"""),"")</f>
        <v/>
      </c>
      <c r="O5" s="25" t="str">
        <f ca="1">IFERROR(__xludf.DUMMYFUNCTION("""COMPUTED_VALUE"""),"")</f>
        <v/>
      </c>
      <c r="P5" s="25" t="str">
        <f ca="1">IFERROR(__xludf.DUMMYFUNCTION("""COMPUTED_VALUE"""),"")</f>
        <v/>
      </c>
      <c r="Q5" s="25" t="str">
        <f ca="1">IFERROR(__xludf.DUMMYFUNCTION("""COMPUTED_VALUE"""),"")</f>
        <v/>
      </c>
      <c r="R5" s="25" t="str">
        <f ca="1">IFERROR(__xludf.DUMMYFUNCTION("""COMPUTED_VALUE"""),"")</f>
        <v/>
      </c>
      <c r="S5" s="25" t="str">
        <f ca="1">IFERROR(__xludf.DUMMYFUNCTION("""COMPUTED_VALUE"""),"")</f>
        <v/>
      </c>
      <c r="T5" s="28" t="str">
        <f ca="1">IFERROR(__xludf.DUMMYFUNCTION("""COMPUTED_VALUE"""),"")</f>
        <v/>
      </c>
      <c r="U5" s="28" t="str">
        <f ca="1">IFERROR(__xludf.DUMMYFUNCTION("""COMPUTED_VALUE"""),"")</f>
        <v/>
      </c>
      <c r="V5" s="28" t="str">
        <f ca="1">IFERROR(__xludf.DUMMYFUNCTION("""COMPUTED_VALUE"""),"")</f>
        <v/>
      </c>
      <c r="W5" s="28" t="str">
        <f ca="1">IFERROR(__xludf.DUMMYFUNCTION("""COMPUTED_VALUE"""),"")</f>
        <v/>
      </c>
      <c r="X5" s="28" t="str">
        <f ca="1">IFERROR(__xludf.DUMMYFUNCTION("""COMPUTED_VALUE"""),"")</f>
        <v/>
      </c>
      <c r="Y5" s="28" t="str">
        <f ca="1">IFERROR(__xludf.DUMMYFUNCTION("""COMPUTED_VALUE"""),"")</f>
        <v/>
      </c>
      <c r="Z5" s="28" t="str">
        <f ca="1">IFERROR(__xludf.DUMMYFUNCTION("""COMPUTED_VALUE"""),"")</f>
        <v/>
      </c>
      <c r="AA5" s="28" t="str">
        <f ca="1">IFERROR(__xludf.DUMMYFUNCTION("""COMPUTED_VALUE"""),"")</f>
        <v/>
      </c>
      <c r="AB5" s="28" t="str">
        <f ca="1">IFERROR(__xludf.DUMMYFUNCTION("""COMPUTED_VALUE"""),"")</f>
        <v/>
      </c>
      <c r="AC5" s="28" t="str">
        <f ca="1">IFERROR(__xludf.DUMMYFUNCTION("""COMPUTED_VALUE"""),"")</f>
        <v/>
      </c>
      <c r="AD5" s="28" t="str">
        <f ca="1">IFERROR(__xludf.DUMMYFUNCTION("""COMPUTED_VALUE"""),"")</f>
        <v/>
      </c>
      <c r="AE5" s="28" t="str">
        <f ca="1">IFERROR(__xludf.DUMMYFUNCTION("""COMPUTED_VALUE"""),"")</f>
        <v/>
      </c>
      <c r="AF5" s="28" t="str">
        <f ca="1">IFERROR(__xludf.DUMMYFUNCTION("""COMPUTED_VALUE"""),"")</f>
        <v/>
      </c>
      <c r="AG5" s="28" t="str">
        <f ca="1">IFERROR(__xludf.DUMMYFUNCTION("""COMPUTED_VALUE"""),"")</f>
        <v/>
      </c>
      <c r="AH5" s="28" t="str">
        <f ca="1">IFERROR(__xludf.DUMMYFUNCTION("""COMPUTED_VALUE"""),"")</f>
        <v/>
      </c>
      <c r="AI5" s="28" t="str">
        <f ca="1">IFERROR(__xludf.DUMMYFUNCTION("""COMPUTED_VALUE"""),"")</f>
        <v/>
      </c>
      <c r="AJ5" s="28" t="str">
        <f ca="1">IFERROR(__xludf.DUMMYFUNCTION("""COMPUTED_VALUE"""),"")</f>
        <v/>
      </c>
      <c r="AK5" s="28" t="str">
        <f ca="1">IFERROR(__xludf.DUMMYFUNCTION("""COMPUTED_VALUE"""),"")</f>
        <v/>
      </c>
      <c r="AL5" s="28" t="str">
        <f ca="1">IFERROR(__xludf.DUMMYFUNCTION("""COMPUTED_VALUE"""),"")</f>
        <v/>
      </c>
      <c r="AM5" s="28" t="str">
        <f ca="1">IFERROR(__xludf.DUMMYFUNCTION("""COMPUTED_VALUE"""),"")</f>
        <v/>
      </c>
      <c r="AN5" s="28" t="str">
        <f ca="1">IFERROR(__xludf.DUMMYFUNCTION("""COMPUTED_VALUE"""),"")</f>
        <v/>
      </c>
      <c r="AO5" s="28" t="str">
        <f ca="1">IFERROR(__xludf.DUMMYFUNCTION("""COMPUTED_VALUE"""),"")</f>
        <v/>
      </c>
      <c r="AP5" s="28" t="str">
        <f ca="1">IFERROR(__xludf.DUMMYFUNCTION("""COMPUTED_VALUE"""),"")</f>
        <v/>
      </c>
      <c r="AQ5" s="28" t="str">
        <f ca="1">IFERROR(__xludf.DUMMYFUNCTION("""COMPUTED_VALUE"""),"")</f>
        <v/>
      </c>
      <c r="AR5" s="28" t="str">
        <f ca="1">IFERROR(__xludf.DUMMYFUNCTION("""COMPUTED_VALUE"""),"")</f>
        <v/>
      </c>
      <c r="AS5" s="28" t="str">
        <f ca="1">IFERROR(__xludf.DUMMYFUNCTION("""COMPUTED_VALUE"""),"")</f>
        <v/>
      </c>
      <c r="AT5" s="28" t="str">
        <f ca="1">IFERROR(__xludf.DUMMYFUNCTION("""COMPUTED_VALUE"""),"")</f>
        <v/>
      </c>
      <c r="AU5" s="28" t="str">
        <f ca="1">IFERROR(__xludf.DUMMYFUNCTION("""COMPUTED_VALUE"""),"")</f>
        <v/>
      </c>
      <c r="AV5" s="28" t="str">
        <f ca="1">IFERROR(__xludf.DUMMYFUNCTION("""COMPUTED_VALUE"""),"")</f>
        <v/>
      </c>
      <c r="AW5" s="28" t="str">
        <f ca="1">IFERROR(__xludf.DUMMYFUNCTION("""COMPUTED_VALUE"""),"")</f>
        <v/>
      </c>
      <c r="AX5" s="28" t="str">
        <f ca="1">IFERROR(__xludf.DUMMYFUNCTION("""COMPUTED_VALUE"""),"")</f>
        <v/>
      </c>
      <c r="AY5" s="28" t="str">
        <f ca="1">IFERROR(__xludf.DUMMYFUNCTION("""COMPUTED_VALUE"""),"")</f>
        <v/>
      </c>
      <c r="AZ5" s="28" t="str">
        <f ca="1">IFERROR(__xludf.DUMMYFUNCTION("""COMPUTED_VALUE"""),"")</f>
        <v/>
      </c>
      <c r="BA5" s="28" t="str">
        <f ca="1">IFERROR(__xludf.DUMMYFUNCTION("""COMPUTED_VALUE"""),"")</f>
        <v/>
      </c>
      <c r="BB5" s="28" t="str">
        <f ca="1">IFERROR(__xludf.DUMMYFUNCTION("""COMPUTED_VALUE"""),"")</f>
        <v/>
      </c>
      <c r="BC5" s="28" t="str">
        <f ca="1">IFERROR(__xludf.DUMMYFUNCTION("""COMPUTED_VALUE"""),"")</f>
        <v/>
      </c>
      <c r="BD5" s="28" t="str">
        <f ca="1">IFERROR(__xludf.DUMMYFUNCTION("""COMPUTED_VALUE"""),"")</f>
        <v/>
      </c>
      <c r="BE5" s="28" t="str">
        <f ca="1">IFERROR(__xludf.DUMMYFUNCTION("""COMPUTED_VALUE"""),"")</f>
        <v/>
      </c>
      <c r="BF5" s="28" t="str">
        <f ca="1">IFERROR(__xludf.DUMMYFUNCTION("""COMPUTED_VALUE"""),"")</f>
        <v/>
      </c>
      <c r="BG5" s="28" t="str">
        <f ca="1">IFERROR(__xludf.DUMMYFUNCTION("""COMPUTED_VALUE"""),"")</f>
        <v/>
      </c>
      <c r="BH5" s="28" t="str">
        <f ca="1">IFERROR(__xludf.DUMMYFUNCTION("""COMPUTED_VALUE"""),"")</f>
        <v/>
      </c>
      <c r="BI5" s="28" t="str">
        <f ca="1">IFERROR(__xludf.DUMMYFUNCTION("""COMPUTED_VALUE"""),"")</f>
        <v/>
      </c>
      <c r="BJ5" s="28" t="str">
        <f ca="1">IFERROR(__xludf.DUMMYFUNCTION("""COMPUTED_VALUE"""),"")</f>
        <v/>
      </c>
      <c r="BK5" s="28" t="str">
        <f ca="1">IFERROR(__xludf.DUMMYFUNCTION("""COMPUTED_VALUE"""),"")</f>
        <v/>
      </c>
      <c r="BL5" s="28" t="str">
        <f ca="1">IFERROR(__xludf.DUMMYFUNCTION("""COMPUTED_VALUE"""),"")</f>
        <v/>
      </c>
      <c r="BM5" s="28" t="str">
        <f ca="1">IFERROR(__xludf.DUMMYFUNCTION("""COMPUTED_VALUE"""),"")</f>
        <v/>
      </c>
      <c r="BN5" s="28" t="str">
        <f ca="1">IFERROR(__xludf.DUMMYFUNCTION("""COMPUTED_VALUE"""),"")</f>
        <v/>
      </c>
      <c r="BO5" s="28" t="str">
        <f ca="1">IFERROR(__xludf.DUMMYFUNCTION("""COMPUTED_VALUE"""),"")</f>
        <v/>
      </c>
      <c r="BP5" s="28" t="str">
        <f ca="1">IFERROR(__xludf.DUMMYFUNCTION("""COMPUTED_VALUE"""),"")</f>
        <v/>
      </c>
      <c r="BQ5" s="28" t="str">
        <f ca="1">IFERROR(__xludf.DUMMYFUNCTION("""COMPUTED_VALUE"""),"")</f>
        <v/>
      </c>
      <c r="BR5" s="28" t="str">
        <f ca="1">IFERROR(__xludf.DUMMYFUNCTION("""COMPUTED_VALUE"""),"")</f>
        <v/>
      </c>
      <c r="BS5" s="28" t="str">
        <f ca="1">IFERROR(__xludf.DUMMYFUNCTION("""COMPUTED_VALUE"""),"")</f>
        <v/>
      </c>
      <c r="BT5" s="28" t="str">
        <f ca="1">IFERROR(__xludf.DUMMYFUNCTION("""COMPUTED_VALUE"""),"")</f>
        <v/>
      </c>
      <c r="BU5" s="28" t="str">
        <f ca="1">IFERROR(__xludf.DUMMYFUNCTION("""COMPUTED_VALUE"""),"")</f>
        <v/>
      </c>
      <c r="BV5" s="28" t="str">
        <f ca="1">IFERROR(__xludf.DUMMYFUNCTION("""COMPUTED_VALUE"""),"")</f>
        <v/>
      </c>
      <c r="BW5" s="28" t="str">
        <f ca="1">IFERROR(__xludf.DUMMYFUNCTION("""COMPUTED_VALUE"""),"")</f>
        <v/>
      </c>
      <c r="BX5" s="28" t="str">
        <f ca="1">IFERROR(__xludf.DUMMYFUNCTION("""COMPUTED_VALUE"""),"")</f>
        <v/>
      </c>
      <c r="BY5" s="28" t="str">
        <f ca="1">IFERROR(__xludf.DUMMYFUNCTION("""COMPUTED_VALUE"""),"")</f>
        <v/>
      </c>
      <c r="BZ5" s="28" t="str">
        <f ca="1">IFERROR(__xludf.DUMMYFUNCTION("""COMPUTED_VALUE"""),"")</f>
        <v/>
      </c>
      <c r="CA5" s="28" t="str">
        <f ca="1">IFERROR(__xludf.DUMMYFUNCTION("""COMPUTED_VALUE"""),"")</f>
        <v/>
      </c>
      <c r="CB5" s="28" t="str">
        <f ca="1">IFERROR(__xludf.DUMMYFUNCTION("""COMPUTED_VALUE"""),"")</f>
        <v/>
      </c>
      <c r="CC5" s="28" t="str">
        <f ca="1">IFERROR(__xludf.DUMMYFUNCTION("""COMPUTED_VALUE"""),"")</f>
        <v/>
      </c>
      <c r="CD5" s="28" t="str">
        <f ca="1">IFERROR(__xludf.DUMMYFUNCTION("""COMPUTED_VALUE"""),"")</f>
        <v/>
      </c>
      <c r="CE5" s="28" t="str">
        <f ca="1">IFERROR(__xludf.DUMMYFUNCTION("""COMPUTED_VALUE"""),"")</f>
        <v/>
      </c>
      <c r="CF5" s="28" t="str">
        <f ca="1">IFERROR(__xludf.DUMMYFUNCTION("""COMPUTED_VALUE"""),"")</f>
        <v/>
      </c>
      <c r="CG5" s="28" t="str">
        <f ca="1">IFERROR(__xludf.DUMMYFUNCTION("""COMPUTED_VALUE"""),"")</f>
        <v/>
      </c>
      <c r="CH5" s="28" t="str">
        <f ca="1">IFERROR(__xludf.DUMMYFUNCTION("""COMPUTED_VALUE"""),"")</f>
        <v/>
      </c>
      <c r="CI5" s="28" t="str">
        <f ca="1">IFERROR(__xludf.DUMMYFUNCTION("""COMPUTED_VALUE"""),"")</f>
        <v/>
      </c>
      <c r="CJ5" s="28" t="str">
        <f ca="1">IFERROR(__xludf.DUMMYFUNCTION("""COMPUTED_VALUE"""),"")</f>
        <v/>
      </c>
      <c r="CK5" s="28" t="str">
        <f ca="1">IFERROR(__xludf.DUMMYFUNCTION("""COMPUTED_VALUE"""),"")</f>
        <v/>
      </c>
      <c r="CL5" s="28" t="str">
        <f ca="1">IFERROR(__xludf.DUMMYFUNCTION("""COMPUTED_VALUE"""),"")</f>
        <v/>
      </c>
      <c r="CM5" s="28" t="str">
        <f ca="1">IFERROR(__xludf.DUMMYFUNCTION("""COMPUTED_VALUE"""),"")</f>
        <v/>
      </c>
      <c r="CN5" s="28" t="str">
        <f ca="1">IFERROR(__xludf.DUMMYFUNCTION("""COMPUTED_VALUE"""),"")</f>
        <v/>
      </c>
      <c r="CO5" s="28" t="str">
        <f ca="1">IFERROR(__xludf.DUMMYFUNCTION("""COMPUTED_VALUE"""),"")</f>
        <v/>
      </c>
      <c r="CP5" s="28" t="str">
        <f ca="1">IFERROR(__xludf.DUMMYFUNCTION("""COMPUTED_VALUE"""),"")</f>
        <v/>
      </c>
      <c r="CQ5" s="28" t="str">
        <f ca="1">IFERROR(__xludf.DUMMYFUNCTION("""COMPUTED_VALUE"""),"")</f>
        <v/>
      </c>
      <c r="CR5" s="28" t="str">
        <f ca="1">IFERROR(__xludf.DUMMYFUNCTION("""COMPUTED_VALUE"""),"")</f>
        <v/>
      </c>
      <c r="CS5" s="28" t="str">
        <f ca="1">IFERROR(__xludf.DUMMYFUNCTION("""COMPUTED_VALUE"""),"")</f>
        <v/>
      </c>
      <c r="CT5" s="28" t="str">
        <f ca="1">IFERROR(__xludf.DUMMYFUNCTION("""COMPUTED_VALUE"""),"")</f>
        <v/>
      </c>
      <c r="CU5" s="28" t="str">
        <f ca="1">IFERROR(__xludf.DUMMYFUNCTION("""COMPUTED_VALUE"""),"")</f>
        <v/>
      </c>
      <c r="CV5" s="28" t="str">
        <f ca="1">IFERROR(__xludf.DUMMYFUNCTION("""COMPUTED_VALUE"""),"")</f>
        <v/>
      </c>
      <c r="CW5" s="28" t="str">
        <f ca="1">IFERROR(__xludf.DUMMYFUNCTION("""COMPUTED_VALUE"""),"")</f>
        <v/>
      </c>
      <c r="CX5" s="28" t="str">
        <f ca="1">IFERROR(__xludf.DUMMYFUNCTION("""COMPUTED_VALUE"""),"")</f>
        <v/>
      </c>
      <c r="CY5" s="28" t="str">
        <f ca="1">IFERROR(__xludf.DUMMYFUNCTION("""COMPUTED_VALUE"""),"")</f>
        <v/>
      </c>
      <c r="CZ5" s="28" t="str">
        <f ca="1">IFERROR(__xludf.DUMMYFUNCTION("""COMPUTED_VALUE"""),"")</f>
        <v/>
      </c>
      <c r="DA5" s="28" t="str">
        <f ca="1">IFERROR(__xludf.DUMMYFUNCTION("""COMPUTED_VALUE"""),"")</f>
        <v/>
      </c>
      <c r="DB5" s="28" t="str">
        <f ca="1">IFERROR(__xludf.DUMMYFUNCTION("""COMPUTED_VALUE"""),"")</f>
        <v/>
      </c>
      <c r="DC5" s="28" t="str">
        <f ca="1">IFERROR(__xludf.DUMMYFUNCTION("""COMPUTED_VALUE"""),"")</f>
        <v/>
      </c>
      <c r="DD5" s="28" t="str">
        <f ca="1">IFERROR(__xludf.DUMMYFUNCTION("""COMPUTED_VALUE"""),"")</f>
        <v/>
      </c>
      <c r="DE5" s="28" t="str">
        <f ca="1">IFERROR(__xludf.DUMMYFUNCTION("""COMPUTED_VALUE"""),"")</f>
        <v/>
      </c>
      <c r="DF5" s="28" t="str">
        <f ca="1">IFERROR(__xludf.DUMMYFUNCTION("""COMPUTED_VALUE"""),"")</f>
        <v/>
      </c>
      <c r="DG5" s="28" t="str">
        <f ca="1">IFERROR(__xludf.DUMMYFUNCTION("""COMPUTED_VALUE"""),"")</f>
        <v/>
      </c>
      <c r="DH5" s="28" t="str">
        <f ca="1">IFERROR(__xludf.DUMMYFUNCTION("""COMPUTED_VALUE"""),"")</f>
        <v/>
      </c>
      <c r="DI5" s="28" t="str">
        <f ca="1">IFERROR(__xludf.DUMMYFUNCTION("""COMPUTED_VALUE"""),"")</f>
        <v/>
      </c>
      <c r="DJ5" s="28" t="str">
        <f ca="1">IFERROR(__xludf.DUMMYFUNCTION("""COMPUTED_VALUE"""),"")</f>
        <v/>
      </c>
      <c r="DK5" s="28" t="str">
        <f ca="1">IFERROR(__xludf.DUMMYFUNCTION("""COMPUTED_VALUE"""),"")</f>
        <v/>
      </c>
      <c r="DL5" s="28" t="str">
        <f ca="1">IFERROR(__xludf.DUMMYFUNCTION("""COMPUTED_VALUE"""),"")</f>
        <v/>
      </c>
      <c r="DM5" s="28" t="str">
        <f ca="1">IFERROR(__xludf.DUMMYFUNCTION("""COMPUTED_VALUE"""),"")</f>
        <v/>
      </c>
      <c r="DN5" s="28" t="str">
        <f ca="1">IFERROR(__xludf.DUMMYFUNCTION("""COMPUTED_VALUE"""),"")</f>
        <v/>
      </c>
      <c r="DO5" s="28" t="str">
        <f ca="1">IFERROR(__xludf.DUMMYFUNCTION("""COMPUTED_VALUE"""),"")</f>
        <v/>
      </c>
      <c r="DP5" s="28" t="str">
        <f ca="1">IFERROR(__xludf.DUMMYFUNCTION("""COMPUTED_VALUE"""),"")</f>
        <v/>
      </c>
      <c r="DQ5" s="28" t="str">
        <f ca="1">IFERROR(__xludf.DUMMYFUNCTION("""COMPUTED_VALUE"""),"")</f>
        <v/>
      </c>
      <c r="DR5" s="28" t="str">
        <f ca="1">IFERROR(__xludf.DUMMYFUNCTION("""COMPUTED_VALUE"""),"")</f>
        <v/>
      </c>
      <c r="DS5" s="28" t="str">
        <f ca="1">IFERROR(__xludf.DUMMYFUNCTION("""COMPUTED_VALUE"""),"")</f>
        <v/>
      </c>
      <c r="DT5" s="28" t="str">
        <f ca="1">IFERROR(__xludf.DUMMYFUNCTION("""COMPUTED_VALUE"""),"")</f>
        <v/>
      </c>
      <c r="DU5" s="28" t="str">
        <f ca="1">IFERROR(__xludf.DUMMYFUNCTION("""COMPUTED_VALUE"""),"")</f>
        <v/>
      </c>
      <c r="DV5" s="28" t="str">
        <f ca="1">IFERROR(__xludf.DUMMYFUNCTION("""COMPUTED_VALUE"""),"")</f>
        <v/>
      </c>
      <c r="DW5" s="28" t="str">
        <f ca="1">IFERROR(__xludf.DUMMYFUNCTION("""COMPUTED_VALUE"""),"")</f>
        <v/>
      </c>
      <c r="DX5" s="28" t="str">
        <f ca="1">IFERROR(__xludf.DUMMYFUNCTION("""COMPUTED_VALUE"""),"")</f>
        <v/>
      </c>
      <c r="DY5" s="28" t="str">
        <f ca="1">IFERROR(__xludf.DUMMYFUNCTION("""COMPUTED_VALUE"""),"")</f>
        <v/>
      </c>
      <c r="DZ5" s="28" t="str">
        <f ca="1">IFERROR(__xludf.DUMMYFUNCTION("""COMPUTED_VALUE"""),"")</f>
        <v/>
      </c>
      <c r="EA5" s="28" t="str">
        <f ca="1">IFERROR(__xludf.DUMMYFUNCTION("""COMPUTED_VALUE"""),"")</f>
        <v/>
      </c>
      <c r="EB5" s="28" t="str">
        <f ca="1">IFERROR(__xludf.DUMMYFUNCTION("""COMPUTED_VALUE"""),"")</f>
        <v/>
      </c>
      <c r="EC5" s="28" t="str">
        <f ca="1">IFERROR(__xludf.DUMMYFUNCTION("""COMPUTED_VALUE"""),"")</f>
        <v/>
      </c>
      <c r="ED5" s="28" t="str">
        <f ca="1">IFERROR(__xludf.DUMMYFUNCTION("""COMPUTED_VALUE"""),"")</f>
        <v/>
      </c>
      <c r="EE5" s="28" t="str">
        <f ca="1">IFERROR(__xludf.DUMMYFUNCTION("""COMPUTED_VALUE"""),"")</f>
        <v/>
      </c>
      <c r="EF5" s="28" t="str">
        <f ca="1">IFERROR(__xludf.DUMMYFUNCTION("""COMPUTED_VALUE"""),"")</f>
        <v/>
      </c>
      <c r="EG5" s="28" t="str">
        <f ca="1">IFERROR(__xludf.DUMMYFUNCTION("""COMPUTED_VALUE"""),"")</f>
        <v/>
      </c>
      <c r="EH5" s="28" t="str">
        <f ca="1">IFERROR(__xludf.DUMMYFUNCTION("""COMPUTED_VALUE"""),"")</f>
        <v/>
      </c>
      <c r="EI5" s="28" t="str">
        <f ca="1">IFERROR(__xludf.DUMMYFUNCTION("""COMPUTED_VALUE"""),"")</f>
        <v/>
      </c>
      <c r="EJ5" s="28" t="str">
        <f ca="1">IFERROR(__xludf.DUMMYFUNCTION("""COMPUTED_VALUE"""),"")</f>
        <v/>
      </c>
      <c r="EK5" s="28" t="str">
        <f ca="1">IFERROR(__xludf.DUMMYFUNCTION("""COMPUTED_VALUE"""),"")</f>
        <v/>
      </c>
      <c r="EL5" s="28" t="str">
        <f ca="1">IFERROR(__xludf.DUMMYFUNCTION("""COMPUTED_VALUE"""),"")</f>
        <v/>
      </c>
      <c r="EM5" s="28" t="str">
        <f ca="1">IFERROR(__xludf.DUMMYFUNCTION("""COMPUTED_VALUE"""),"")</f>
        <v/>
      </c>
      <c r="EN5" s="28" t="str">
        <f ca="1">IFERROR(__xludf.DUMMYFUNCTION("""COMPUTED_VALUE"""),"")</f>
        <v/>
      </c>
      <c r="EO5" s="28" t="str">
        <f ca="1">IFERROR(__xludf.DUMMYFUNCTION("""COMPUTED_VALUE"""),"")</f>
        <v/>
      </c>
      <c r="EP5" s="28" t="str">
        <f ca="1">IFERROR(__xludf.DUMMYFUNCTION("""COMPUTED_VALUE"""),"")</f>
        <v/>
      </c>
      <c r="EQ5" s="28" t="str">
        <f ca="1">IFERROR(__xludf.DUMMYFUNCTION("""COMPUTED_VALUE"""),"")</f>
        <v/>
      </c>
      <c r="ER5" s="28" t="str">
        <f ca="1">IFERROR(__xludf.DUMMYFUNCTION("""COMPUTED_VALUE"""),"")</f>
        <v/>
      </c>
      <c r="ES5" s="28" t="str">
        <f ca="1">IFERROR(__xludf.DUMMYFUNCTION("""COMPUTED_VALUE"""),"")</f>
        <v/>
      </c>
      <c r="ET5" s="28" t="str">
        <f ca="1">IFERROR(__xludf.DUMMYFUNCTION("""COMPUTED_VALUE"""),"")</f>
        <v/>
      </c>
      <c r="EU5" s="28" t="str">
        <f ca="1">IFERROR(__xludf.DUMMYFUNCTION("""COMPUTED_VALUE"""),"")</f>
        <v/>
      </c>
      <c r="EV5" s="28" t="str">
        <f ca="1">IFERROR(__xludf.DUMMYFUNCTION("""COMPUTED_VALUE"""),"")</f>
        <v/>
      </c>
      <c r="EW5" s="28" t="str">
        <f ca="1">IFERROR(__xludf.DUMMYFUNCTION("""COMPUTED_VALUE"""),"")</f>
        <v/>
      </c>
      <c r="EX5" s="28" t="str">
        <f ca="1">IFERROR(__xludf.DUMMYFUNCTION("""COMPUTED_VALUE"""),"")</f>
        <v/>
      </c>
    </row>
    <row r="6" spans="1:154" ht="15.75" customHeight="1" x14ac:dyDescent="0.2">
      <c r="A6" s="5"/>
      <c r="B6" s="41" t="s">
        <v>32</v>
      </c>
      <c r="C6" s="37">
        <v>42786</v>
      </c>
      <c r="D6" s="37">
        <v>42788</v>
      </c>
      <c r="E6" s="44" t="s">
        <v>18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2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3" t="s">
        <v>11</v>
      </c>
      <c r="C1" s="54"/>
      <c r="D1" s="54"/>
      <c r="E1" s="54"/>
      <c r="F1" s="54"/>
      <c r="G1" s="54"/>
      <c r="H1" s="55"/>
      <c r="I1" s="12"/>
      <c r="J1" s="12"/>
      <c r="K1" s="12"/>
      <c r="L1" s="12"/>
      <c r="M1" s="12"/>
      <c r="N1" s="12"/>
      <c r="O1" s="12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e">
        <f ca="1">VLOOKUP($E$3,_MasterData!B4:D1000,3,FALSE)</f>
        <v>#N/A</v>
      </c>
      <c r="K2" s="15"/>
      <c r="L2" s="2"/>
      <c r="M2" s="2"/>
      <c r="N2" s="2"/>
      <c r="O2" s="2"/>
    </row>
    <row r="3" spans="1:154" ht="15.75" customHeight="1" x14ac:dyDescent="0.2">
      <c r="A3" s="17"/>
      <c r="B3" s="3" t="s">
        <v>5</v>
      </c>
      <c r="C3" s="18" t="s">
        <v>33</v>
      </c>
      <c r="D3" s="3" t="s">
        <v>7</v>
      </c>
      <c r="E3" s="18" t="s">
        <v>34</v>
      </c>
      <c r="F3" s="3" t="s">
        <v>14</v>
      </c>
      <c r="G3" s="7" t="s">
        <v>15</v>
      </c>
      <c r="H3" s="3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 x14ac:dyDescent="0.2">
      <c r="A4" s="21"/>
      <c r="B4" s="21" t="str">
        <f ca="1">IFERROR(__xludf.DUMMYFUNCTION("IF(C3="""","""",Transpose(IMPORTRANGE('_Settings'!$B$3,C3&amp;""!A4:A1000"")))"),"Allocate")</f>
        <v>Allocate</v>
      </c>
      <c r="C4" s="21" t="str">
        <f ca="1">IFERROR(__xludf.DUMMYFUNCTION("""COMPUTED_VALUE"""),"CheckAllocatedGroups")</f>
        <v>CheckAllocatedGroups</v>
      </c>
      <c r="D4" s="21" t="str">
        <f ca="1">IFERROR(__xludf.DUMMYFUNCTION("""COMPUTED_VALUE"""),"Unallocate")</f>
        <v>Unallocate</v>
      </c>
      <c r="E4" s="21" t="str">
        <f ca="1">IFERROR(__xludf.DUMMYFUNCTION("""COMPUTED_VALUE"""),"GetDataAllocation")</f>
        <v>GetDataAllocation</v>
      </c>
      <c r="F4" s="21" t="str">
        <f ca="1">IFERROR(__xludf.DUMMYFUNCTION("""COMPUTED_VALUE"""),"SelectAllocatedGroup")</f>
        <v>SelectAllocatedGroup</v>
      </c>
      <c r="G4" s="21" t="str">
        <f ca="1">IFERROR(__xludf.DUMMYFUNCTION("""COMPUTED_VALUE"""),"EditTradesAllocated")</f>
        <v>EditTradesAllocated</v>
      </c>
      <c r="H4" s="21" t="str">
        <f ca="1">IFERROR(__xludf.DUMMYFUNCTION("""COMPUTED_VALUE"""),"EditTradesUnallocated")</f>
        <v>EditTradesUnallocated</v>
      </c>
      <c r="I4" s="21" t="str">
        <f ca="1">IFERROR(__xludf.DUMMYFUNCTION("""COMPUTED_VALUE"""),"Reallocate")</f>
        <v>Reallocate</v>
      </c>
      <c r="J4" s="21" t="str">
        <f ca="1">IFERROR(__xludf.DUMMYFUNCTION("""COMPUTED_VALUE"""),"EditUnallocatedGroupSidePanel")</f>
        <v>EditUnallocatedGroupSidePanel</v>
      </c>
      <c r="K4" s="21" t="str">
        <f ca="1">IFERROR(__xludf.DUMMYFUNCTION("""COMPUTED_VALUE"""),"TradeAttributeBulkChange")</f>
        <v>TradeAttributeBulkChange</v>
      </c>
      <c r="L4" s="21" t="str">
        <f ca="1">IFERROR(__xludf.DUMMYFUNCTION("""COMPUTED_VALUE"""),"ApplyBulkUpdateOnGroups")</f>
        <v>ApplyBulkUpdateOnGroups</v>
      </c>
      <c r="M4" s="21" t="str">
        <f ca="1">IFERROR(__xludf.DUMMYFUNCTION("""COMPUTED_VALUE"""),"ApplyPrefetchFilters")</f>
        <v>ApplyPrefetchFilters</v>
      </c>
      <c r="N4" s="21" t="str">
        <f ca="1">IFERROR(__xludf.DUMMYFUNCTION("""COMPUTED_VALUE"""),"GeneralPreferencesDefaultRule")</f>
        <v>GeneralPreferencesDefaultRule</v>
      </c>
      <c r="O4" s="21" t="str">
        <f ca="1">IFERROR(__xludf.DUMMYFUNCTION("""COMPUTED_VALUE"""),"GeneralPrefCompanyUserWise")</f>
        <v>GeneralPrefCompanyUserWise</v>
      </c>
      <c r="P4" s="23" t="str">
        <f ca="1">IFERROR(__xludf.DUMMYFUNCTION("""COMPUTED_VALUE"""),"RenameTradeAttributes")</f>
        <v>RenameTradeAttributes</v>
      </c>
      <c r="Q4" s="23" t="str">
        <f ca="1">IFERROR(__xludf.DUMMYFUNCTION("""COMPUTED_VALUE"""),"SetGroupingRules")</f>
        <v>SetGroupingRules</v>
      </c>
      <c r="R4" s="23" t="str">
        <f ca="1">IFERROR(__xludf.DUMMYFUNCTION("""COMPUTED_VALUE"""),"SetMasterFundRatio")</f>
        <v>SetMasterFundRatio</v>
      </c>
      <c r="S4" s="23" t="str">
        <f ca="1">IFERROR(__xludf.DUMMYFUNCTION("""COMPUTED_VALUE"""),"CheckFixedPreference")</f>
        <v>CheckFixedPreference</v>
      </c>
      <c r="T4" s="23" t="str">
        <f ca="1">IFERROR(__xludf.DUMMYFUNCTION("""COMPUTED_VALUE"""),"GetFixedPreference")</f>
        <v>GetFixedPreference</v>
      </c>
      <c r="U4" s="23" t="str">
        <f ca="1">IFERROR(__xludf.DUMMYFUNCTION("""COMPUTED_VALUE"""),"AddCalculatedPreferences")</f>
        <v>AddCalculatedPreferences</v>
      </c>
      <c r="V4" s="23" t="str">
        <f ca="1">IFERROR(__xludf.DUMMYFUNCTION("""COMPUTED_VALUE"""),"BulkChangeCalculatedPreferences")</f>
        <v>BulkChangeCalculatedPreferences</v>
      </c>
      <c r="W4" s="23" t="str">
        <f ca="1">IFERROR(__xludf.DUMMYFUNCTION("""COMPUTED_VALUE"""),"DeleteCalculatedPreferences")</f>
        <v>DeleteCalculatedPreferences</v>
      </c>
      <c r="X4" s="23" t="str">
        <f ca="1">IFERROR(__xludf.DUMMYFUNCTION("""COMPUTED_VALUE"""),"RenameCalculatedPreferences")</f>
        <v>RenameCalculatedPreferences</v>
      </c>
      <c r="Y4" s="23" t="str">
        <f ca="1">IFERROR(__xludf.DUMMYFUNCTION("""COMPUTED_VALUE"""),"CopyCalculatedPreferences")</f>
        <v>CopyCalculatedPreferences</v>
      </c>
      <c r="Z4" s="23" t="str">
        <f ca="1">IFERROR(__xludf.DUMMYFUNCTION("""COMPUTED_VALUE"""),"RunAutoGroup")</f>
        <v>RunAutoGroup</v>
      </c>
      <c r="AA4" s="23" t="str">
        <f ca="1">IFERROR(__xludf.DUMMYFUNCTION("""COMPUTED_VALUE"""),"BookOrUpdateSwap")</f>
        <v>BookOrUpdateSwap</v>
      </c>
      <c r="AB4" s="23" t="str">
        <f ca="1">IFERROR(__xludf.DUMMYFUNCTION("""COMPUTED_VALUE"""),"RunProrata")</f>
        <v>RunProrata</v>
      </c>
      <c r="AC4" s="23" t="str">
        <f ca="1">IFERROR(__xludf.DUMMYFUNCTION("""COMPUTED_VALUE"""),"SetDefaultRuleCalculatedPref")</f>
        <v>SetDefaultRuleCalculatedPref</v>
      </c>
      <c r="AD4" s="23" t="str">
        <f ca="1">IFERROR(__xludf.DUMMYFUNCTION("""COMPUTED_VALUE"""),"SetAccountValueCalculatedPref")</f>
        <v>SetAccountValueCalculatedPref</v>
      </c>
      <c r="AE4" s="23" t="str">
        <f ca="1">IFERROR(__xludf.DUMMYFUNCTION("""COMPUTED_VALUE"""),"TradeAttributeBulkChangeGroups")</f>
        <v>TradeAttributeBulkChangeGroups</v>
      </c>
      <c r="AF4" s="23" t="str">
        <f ca="1">IFERROR(__xludf.DUMMYFUNCTION("""COMPUTED_VALUE"""),"TradeAttributeBulkChangeTaxlots")</f>
        <v>TradeAttributeBulkChangeTaxlots</v>
      </c>
      <c r="AG4" s="23" t="str">
        <f ca="1">IFERROR(__xludf.DUMMYFUNCTION("""COMPUTED_VALUE"""),"AddCalculatedPreferenceToolbar")</f>
        <v>AddCalculatedPreferenceToolbar</v>
      </c>
      <c r="AH4" s="23" t="str">
        <f ca="1">IFERROR(__xludf.DUMMYFUNCTION("""COMPUTED_VALUE"""),"SetStrategyValueCalculatedPref")</f>
        <v>SetStrategyValueCalculatedPref</v>
      </c>
      <c r="AI4" s="23" t="str">
        <f ca="1">IFERROR(__xludf.DUMMYFUNCTION("""COMPUTED_VALUE"""),"ApplyBulkUpdateOnTaxlots")</f>
        <v>ApplyBulkUpdateOnTaxlots</v>
      </c>
      <c r="AJ4" s="23" t="str">
        <f ca="1">IFERROR(__xludf.DUMMYFUNCTION("""COMPUTED_VALUE"""),"CommissionBulkChangeOnGroups")</f>
        <v>CommissionBulkChangeOnGroups</v>
      </c>
      <c r="AK4" s="23" t="str">
        <f ca="1">IFERROR(__xludf.DUMMYFUNCTION("""COMPUTED_VALUE"""),"CommissionBulkChangeOnTaxlots")</f>
        <v>CommissionBulkChangeOnTaxlots</v>
      </c>
      <c r="AL4" s="23" t="str">
        <f ca="1">IFERROR(__xludf.DUMMYFUNCTION("""COMPUTED_VALUE"""),"SelectUnallocatedGroup")</f>
        <v>SelectUnallocatedGroup</v>
      </c>
      <c r="AM4" s="23" t="str">
        <f ca="1">IFERROR(__xludf.DUMMYFUNCTION("""COMPUTED_VALUE"""),"EnterAccountValuesToAllocate")</f>
        <v>EnterAccountValuesToAllocate</v>
      </c>
      <c r="AN4" s="23" t="str">
        <f ca="1">IFERROR(__xludf.DUMMYFUNCTION("""COMPUTED_VALUE"""),"EnterAllocatePreference")</f>
        <v>EnterAllocatePreference</v>
      </c>
      <c r="AO4" s="23" t="str">
        <f ca="1">IFERROR(__xludf.DUMMYFUNCTION("""COMPUTED_VALUE"""),"EnterStrategyValuesToAllocate")</f>
        <v>EnterStrategyValuesToAllocate</v>
      </c>
      <c r="AP4" s="23" t="str">
        <f ca="1">IFERROR(__xludf.DUMMYFUNCTION("""COMPUTED_VALUE"""),"CopyCalculatedPreferenceToolbar")</f>
        <v>CopyCalculatedPreferenceToolbar</v>
      </c>
      <c r="AQ4" s="23" t="str">
        <f ca="1">IFERROR(__xludf.DUMMYFUNCTION("""COMPUTED_VALUE"""),"SetGeneralRuleCalculatedPref")</f>
        <v>SetGeneralRuleCalculatedPref</v>
      </c>
      <c r="AR4" s="23" t="str">
        <f ca="1">IFERROR(__xludf.DUMMYFUNCTION("""COMPUTED_VALUE"""),"ExportAllCalculatedPreferences")</f>
        <v>ExportAllCalculatedPreferences</v>
      </c>
      <c r="AS4" s="23" t="str">
        <f ca="1">IFERROR(__xludf.DUMMYFUNCTION("""COMPUTED_VALUE"""),"SaveCalculatedPreferences")</f>
        <v>SaveCalculatedPreferences</v>
      </c>
      <c r="AT4" s="23" t="str">
        <f ca="1">IFERROR(__xludf.DUMMYFUNCTION("""COMPUTED_VALUE"""),"CloseCalculatedPreferences")</f>
        <v>CloseCalculatedPreferences</v>
      </c>
      <c r="AU4" s="23" t="str">
        <f ca="1">IFERROR(__xludf.DUMMYFUNCTION("""COMPUTED_VALUE"""),"ExportCalculatedPreference")</f>
        <v>ExportCalculatedPreference</v>
      </c>
      <c r="AV4" s="23" t="str">
        <f ca="1">IFERROR(__xludf.DUMMYFUNCTION("""COMPUTED_VALUE"""),"ImportCalculatedPreferences")</f>
        <v>ImportCalculatedPreferences</v>
      </c>
      <c r="AW4" s="23" t="str">
        <f ca="1">IFERROR(__xludf.DUMMYFUNCTION("""COMPUTED_VALUE"""),"OpenAuditTrailUnallocatedGroup")</f>
        <v>OpenAuditTrailUnallocatedGroup</v>
      </c>
      <c r="AX4" s="23" t="str">
        <f ca="1">IFERROR(__xludf.DUMMYFUNCTION("""COMPUTED_VALUE"""),"DeleteCalculatedPreferencesTool")</f>
        <v>DeleteCalculatedPreferencesTool</v>
      </c>
      <c r="AY4" s="23" t="str">
        <f ca="1">IFERROR(__xludf.DUMMYFUNCTION("""COMPUTED_VALUE"""),"ImportCalculatedPreferencesTool")</f>
        <v>ImportCalculatedPreferencesTool</v>
      </c>
      <c r="AZ4" s="23" t="str">
        <f ca="1">IFERROR(__xludf.DUMMYFUNCTION("""COMPUTED_VALUE"""),"ExportAllCalculatedPreferTool")</f>
        <v>ExportAllCalculatedPreferTool</v>
      </c>
      <c r="BA4" s="23" t="str">
        <f ca="1">IFERROR(__xludf.DUMMYFUNCTION("""COMPUTED_VALUE"""),"OpenAuditTrailAllocatedGroup")</f>
        <v>OpenAuditTrailAllocatedGroup</v>
      </c>
      <c r="BB4" s="23" t="str">
        <f ca="1">IFERROR(__xludf.DUMMYFUNCTION("""COMPUTED_VALUE"""),"OpenSymbolLookupUnallocateGroup")</f>
        <v>OpenSymbolLookupUnallocateGroup</v>
      </c>
      <c r="BC4" s="23" t="str">
        <f ca="1">IFERROR(__xludf.DUMMYFUNCTION("""COMPUTED_VALUE"""),"OpenSymbolLookupAllocatedGroup")</f>
        <v>OpenSymbolLookupAllocatedGroup</v>
      </c>
      <c r="BD4" s="23" t="str">
        <f ca="1">IFERROR(__xludf.DUMMYFUNCTION("""COMPUTED_VALUE"""),"DeleteFixedPreference")</f>
        <v>DeleteFixedPreference</v>
      </c>
      <c r="BE4" s="23" t="str">
        <f ca="1">IFERROR(__xludf.DUMMYFUNCTION("""COMPUTED_VALUE"""),"EditAllocatedGroupSidePanel")</f>
        <v>EditAllocatedGroupSidePanel</v>
      </c>
      <c r="BF4" s="23" t="str">
        <f ca="1">IFERROR(__xludf.DUMMYFUNCTION("""COMPUTED_VALUE"""),"CheckUnallocatedGroups")</f>
        <v>CheckUnallocatedGroups</v>
      </c>
      <c r="BG4" s="23" t="str">
        <f ca="1">IFERROR(__xludf.DUMMYFUNCTION("""COMPUTED_VALUE"""),"SetGeneralPreferences")</f>
        <v>SetGeneralPreferences</v>
      </c>
      <c r="BH4" s="23" t="str">
        <f ca="1">IFERROR(__xludf.DUMMYFUNCTION("""COMPUTED_VALUE"""),"GroupTrades")</f>
        <v>GroupTrades</v>
      </c>
      <c r="BI4" s="23" t="str">
        <f ca="1">IFERROR(__xludf.DUMMYFUNCTION("""COMPUTED_VALUE"""),"UngroupTrades")</f>
        <v>UngroupTrades</v>
      </c>
      <c r="BJ4" s="23" t="str">
        <f ca="1">IFERROR(__xludf.DUMMYFUNCTION("""COMPUTED_VALUE"""),"DeleteGroup")</f>
        <v>DeleteGroup</v>
      </c>
      <c r="BK4" s="23" t="str">
        <f ca="1">IFERROR(__xludf.DUMMYFUNCTION("""COMPUTED_VALUE"""),"CloseOrder")</f>
        <v>CloseOrder</v>
      </c>
      <c r="BL4" s="23" t="str">
        <f ca="1">IFERROR(__xludf.DUMMYFUNCTION("""COMPUTED_VALUE"""),"Unallocate")</f>
        <v>Unallocate</v>
      </c>
      <c r="BM4" s="23" t="str">
        <f ca="1">IFERROR(__xludf.DUMMYFUNCTION("""COMPUTED_VALUE"""),"CloseAllocation")</f>
        <v>CloseAllocation</v>
      </c>
      <c r="BN4" s="23" t="str">
        <f ca="1">IFERROR(__xludf.DUMMYFUNCTION("""COMPUTED_VALUE"""),"UpdateGRAccountValue")</f>
        <v>UpdateGRAccountValue</v>
      </c>
      <c r="BO4" s="23" t="str">
        <f ca="1">IFERROR(__xludf.DUMMYFUNCTION("""COMPUTED_VALUE"""),"UpdateGRStrategyValue")</f>
        <v>UpdateGRStrategyValue</v>
      </c>
      <c r="BP4" s="23" t="str">
        <f ca="1">IFERROR(__xludf.DUMMYFUNCTION("""COMPUTED_VALUE"""),"UpdateGRDefaultRule")</f>
        <v>UpdateGRDefaultRule</v>
      </c>
      <c r="BQ4" s="23" t="str">
        <f ca="1">IFERROR(__xludf.DUMMYFUNCTION("""COMPUTED_VALUE"""),"UpdateGeneralRulePref")</f>
        <v>UpdateGeneralRulePref</v>
      </c>
      <c r="BR4" s="23" t="str">
        <f ca="1">IFERROR(__xludf.DUMMYFUNCTION("""COMPUTED_VALUE"""),"ModifyGRPreferenceValues")</f>
        <v>ModifyGRPreferenceValues</v>
      </c>
      <c r="BS4" s="23" t="str">
        <f ca="1">IFERROR(__xludf.DUMMYFUNCTION("""COMPUTED_VALUE"""),"AddMFPreferences")</f>
        <v>AddMFPreferences</v>
      </c>
      <c r="BT4" s="23" t="str">
        <f ca="1">IFERROR(__xludf.DUMMYFUNCTION("""COMPUTED_VALUE"""),"AddMFPreferenceToolbar")</f>
        <v>AddMFPreferenceToolbar</v>
      </c>
      <c r="BU4" s="23" t="str">
        <f ca="1">IFERROR(__xludf.DUMMYFUNCTION("""COMPUTED_VALUE"""),"DeleteMFPreferences")</f>
        <v>DeleteMFPreferences</v>
      </c>
      <c r="BV4" s="23" t="str">
        <f ca="1">IFERROR(__xludf.DUMMYFUNCTION("""COMPUTED_VALUE"""),"DeleteMFPreferenceToolbar")</f>
        <v>DeleteMFPreferenceToolbar</v>
      </c>
      <c r="BW4" s="23" t="str">
        <f ca="1">IFERROR(__xludf.DUMMYFUNCTION("""COMPUTED_VALUE"""),"RenameMFPreferences")</f>
        <v>RenameMFPreferences</v>
      </c>
      <c r="BX4" s="23" t="str">
        <f ca="1">IFERROR(__xludf.DUMMYFUNCTION("""COMPUTED_VALUE"""),"SaveCloseMFPreference")</f>
        <v>SaveCloseMFPreference</v>
      </c>
      <c r="BY4" s="23" t="str">
        <f ca="1">IFERROR(__xludf.DUMMYFUNCTION("""COMPUTED_VALUE"""),"SetMFPrefAccountValues")</f>
        <v>SetMFPrefAccountValues</v>
      </c>
      <c r="BZ4" s="23" t="str">
        <f ca="1">IFERROR(__xludf.DUMMYFUNCTION("""COMPUTED_VALUE"""),"ModifyMFPrefGeneralRuleValues")</f>
        <v>ModifyMFPrefGeneralRuleValues</v>
      </c>
      <c r="CA4" s="23" t="str">
        <f ca="1">IFERROR(__xludf.DUMMYFUNCTION("""COMPUTED_VALUE"""),"SetMFPrefStrategyValues")</f>
        <v>SetMFPrefStrategyValues</v>
      </c>
      <c r="CB4" s="23" t="str">
        <f ca="1">IFERROR(__xludf.DUMMYFUNCTION("""COMPUTED_VALUE"""),"SetMFPrefGeneralRule")</f>
        <v>SetMFPrefGeneralRule</v>
      </c>
      <c r="CC4" s="23" t="str">
        <f ca="1">IFERROR(__xludf.DUMMYFUNCTION("""COMPUTED_VALUE"""),"SetMFPrefFundDistribution")</f>
        <v>SetMFPrefFundDistribution</v>
      </c>
      <c r="CD4" s="23" t="str">
        <f ca="1">IFERROR(__xludf.DUMMYFUNCTION("""COMPUTED_VALUE"""),"SetMFPreferencesDefaultRule")</f>
        <v>SetMFPreferencesDefaultRule</v>
      </c>
      <c r="CE4" s="23" t="str">
        <f ca="1">IFERROR(__xludf.DUMMYFUNCTION("""COMPUTED_VALUE"""),"SetMFPrefFundDefaultRule")</f>
        <v>SetMFPrefFundDefaultRule</v>
      </c>
      <c r="CF4" s="23" t="str">
        <f ca="1">IFERROR(__xludf.DUMMYFUNCTION("""COMPUTED_VALUE"""),"ClearPrefetchFilters")</f>
        <v>ClearPrefetchFilters</v>
      </c>
      <c r="CG4" s="23" t="str">
        <f ca="1">IFERROR(__xludf.DUMMYFUNCTION("""COMPUTED_VALUE"""),"ExpandCollapseAllUnallocated")</f>
        <v>ExpandCollapseAllUnallocated</v>
      </c>
      <c r="CH4" s="23" t="str">
        <f ca="1">IFERROR(__xludf.DUMMYFUNCTION("""COMPUTED_VALUE"""),"ExpandCollapseAllAllocated")</f>
        <v>ExpandCollapseAllAllocated</v>
      </c>
      <c r="CI4" s="23" t="str">
        <f ca="1">IFERROR(__xludf.DUMMYFUNCTION("""COMPUTED_VALUE"""),"GenerateCashTransaction")</f>
        <v>GenerateCashTransaction</v>
      </c>
      <c r="CJ4" s="23" t="str">
        <f ca="1">IFERROR(__xludf.DUMMYFUNCTION("""COMPUTED_VALUE"""),"SaveAllocation")</f>
        <v>SaveAllocation</v>
      </c>
      <c r="CK4" s="23" t="str">
        <f ca="1">IFERROR(__xludf.DUMMYFUNCTION("""COMPUTED_VALUE"""),"UnallocateWithOutSave")</f>
        <v>UnallocateWithOutSave</v>
      </c>
      <c r="CL4" s="23" t="str">
        <f ca="1">IFERROR(__xludf.DUMMYFUNCTION("""COMPUTED_VALUE"""),"EditUnallocatedGrid")</f>
        <v>EditUnallocatedGrid</v>
      </c>
      <c r="CM4" s="23" t="str">
        <f ca="1">IFERROR(__xludf.DUMMYFUNCTION("""COMPUTED_VALUE"""),"EditAllocatedGrid")</f>
        <v>EditAllocatedGrid</v>
      </c>
      <c r="CN4" s="23" t="str">
        <f ca="1">IFERROR(__xludf.DUMMYFUNCTION("""COMPUTED_VALUE"""),"SaveLayoutAllocatedGrid")</f>
        <v>SaveLayoutAllocatedGrid</v>
      </c>
      <c r="CO4" s="23" t="str">
        <f ca="1">IFERROR(__xludf.DUMMYFUNCTION("""COMPUTED_VALUE"""),"SaveLayoutUnallocatedGrid")</f>
        <v>SaveLayoutUnallocatedGrid</v>
      </c>
      <c r="CP4" s="23" t="str">
        <f ca="1">IFERROR(__xludf.DUMMYFUNCTION("""COMPUTED_VALUE"""),"SaveLayoutAllocationUI")</f>
        <v>SaveLayoutAllocationUI</v>
      </c>
      <c r="CQ4" s="23" t="str">
        <f ca="1">IFERROR(__xludf.DUMMYFUNCTION("""COMPUTED_VALUE"""),"ClearFiltersAllocatedGrid")</f>
        <v>ClearFiltersAllocatedGrid</v>
      </c>
      <c r="CR4" s="23" t="str">
        <f ca="1">IFERROR(__xludf.DUMMYFUNCTION("""COMPUTED_VALUE"""),"ClearFiltersUnallocatedGrid")</f>
        <v>ClearFiltersUnallocatedGrid</v>
      </c>
      <c r="CS4" s="23" t="str">
        <f ca="1">IFERROR(__xludf.DUMMYFUNCTION("""COMPUTED_VALUE"""),"VerifyLayoutAllocatedGrid")</f>
        <v>VerifyLayoutAllocatedGrid</v>
      </c>
      <c r="CT4" s="23" t="str">
        <f ca="1">IFERROR(__xludf.DUMMYFUNCTION("""COMPUTED_VALUE"""),"VerifyLayoutUnallocatedGrid")</f>
        <v>VerifyLayoutUnallocatedGrid</v>
      </c>
      <c r="CU4" s="23" t="str">
        <f ca="1">IFERROR(__xludf.DUMMYFUNCTION("""COMPUTED_VALUE"""),"CleanUp")</f>
        <v>CleanUp</v>
      </c>
      <c r="CV4" s="23" t="str">
        <f ca="1">IFERROR(__xludf.DUMMYFUNCTION("""COMPUTED_VALUE"""),"CheckAllocatedTaxlots")</f>
        <v>CheckAllocatedTaxlots</v>
      </c>
      <c r="CW4" s="23" t="str">
        <f ca="1">IFERROR(__xludf.DUMMYFUNCTION("""COMPUTED_VALUE"""),"")</f>
        <v/>
      </c>
      <c r="CX4" s="23" t="str">
        <f ca="1">IFERROR(__xludf.DUMMYFUNCTION("""COMPUTED_VALUE"""),"")</f>
        <v/>
      </c>
      <c r="CY4" s="23" t="str">
        <f ca="1">IFERROR(__xludf.DUMMYFUNCTION("""COMPUTED_VALUE"""),"")</f>
        <v/>
      </c>
      <c r="CZ4" s="23" t="str">
        <f ca="1">IFERROR(__xludf.DUMMYFUNCTION("""COMPUTED_VALUE"""),"")</f>
        <v/>
      </c>
      <c r="DA4" s="23" t="str">
        <f ca="1">IFERROR(__xludf.DUMMYFUNCTION("""COMPUTED_VALUE"""),"")</f>
        <v/>
      </c>
      <c r="DB4" s="23" t="str">
        <f ca="1">IFERROR(__xludf.DUMMYFUNCTION("""COMPUTED_VALUE"""),"")</f>
        <v/>
      </c>
      <c r="DC4" s="23" t="str">
        <f ca="1">IFERROR(__xludf.DUMMYFUNCTION("""COMPUTED_VALUE"""),"")</f>
        <v/>
      </c>
      <c r="DD4" s="23" t="str">
        <f ca="1">IFERROR(__xludf.DUMMYFUNCTION("""COMPUTED_VALUE"""),"")</f>
        <v/>
      </c>
      <c r="DE4" s="23" t="str">
        <f ca="1">IFERROR(__xludf.DUMMYFUNCTION("""COMPUTED_VALUE"""),"")</f>
        <v/>
      </c>
      <c r="DF4" s="23" t="str">
        <f ca="1">IFERROR(__xludf.DUMMYFUNCTION("""COMPUTED_VALUE"""),"")</f>
        <v/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  <c r="EX4" s="23" t="str">
        <f ca="1">IFERROR(__xludf.DUMMYFUNCTION("""COMPUTED_VALUE"""),"")</f>
        <v/>
      </c>
    </row>
    <row r="5" spans="1:154" ht="15.75" customHeight="1" x14ac:dyDescent="0.2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IFERROR(__xludf.DUMMYFUNCTION("""COMPUTED_VALUE"""),"RangeType")</f>
        <v>RangeType</v>
      </c>
      <c r="C5" s="25" t="str">
        <f ca="1">IFERROR(__xludf.DUMMYFUNCTION("""COMPUTED_VALUE"""),"From")</f>
        <v>From</v>
      </c>
      <c r="D5" s="25" t="str">
        <f ca="1">IFERROR(__xludf.DUMMYFUNCTION("""COMPUTED_VALUE"""),"To")</f>
        <v>To</v>
      </c>
      <c r="E5" s="25" t="str">
        <f ca="1">IFERROR(__xludf.DUMMYFUNCTION("""COMPUTED_VALUE"""),"FilterTabName")</f>
        <v>FilterTabName</v>
      </c>
      <c r="F5" s="26" t="str">
        <f ca="1">IFERROR(__xludf.DUMMYFUNCTION("""COMPUTED_VALUE"""),"Symbol")</f>
        <v>Symbol</v>
      </c>
      <c r="G5" s="25" t="str">
        <f ca="1">IFERROR(__xludf.DUMMYFUNCTION("""COMPUTED_VALUE"""),"Asset")</f>
        <v>Asset</v>
      </c>
      <c r="H5" s="25" t="str">
        <f ca="1">IFERROR(__xludf.DUMMYFUNCTION("""COMPUTED_VALUE"""),"Side")</f>
        <v>Side</v>
      </c>
      <c r="I5" s="25" t="str">
        <f ca="1">IFERROR(__xludf.DUMMYFUNCTION("""COMPUTED_VALUE"""),"Account")</f>
        <v>Account</v>
      </c>
      <c r="J5" s="25" t="str">
        <f ca="1">IFERROR(__xludf.DUMMYFUNCTION("""COMPUTED_VALUE"""),"Broker")</f>
        <v>Broker</v>
      </c>
      <c r="K5" s="25" t="str">
        <f ca="1">IFERROR(__xludf.DUMMYFUNCTION("""COMPUTED_VALUE"""),"Currency")</f>
        <v>Currency</v>
      </c>
      <c r="L5" s="25" t="str">
        <f ca="1">IFERROR(__xludf.DUMMYFUNCTION("""COMPUTED_VALUE"""),"Exchange")</f>
        <v>Exchange</v>
      </c>
      <c r="M5" s="25" t="str">
        <f ca="1">IFERROR(__xludf.DUMMYFUNCTION("""COMPUTED_VALUE"""),"StrategyName")</f>
        <v>StrategyName</v>
      </c>
      <c r="N5" s="25" t="str">
        <f ca="1">IFERROR(__xludf.DUMMYFUNCTION("""COMPUTED_VALUE"""),"Underlying")</f>
        <v>Underlying</v>
      </c>
      <c r="O5" s="25" t="str">
        <f ca="1">IFERROR(__xludf.DUMMYFUNCTION("""COMPUTED_VALUE"""),"Venue")</f>
        <v>Venue</v>
      </c>
      <c r="P5" s="25" t="str">
        <f ca="1">IFERROR(__xludf.DUMMYFUNCTION("""COMPUTED_VALUE"""),"TradingAccount")</f>
        <v>TradingAccount</v>
      </c>
      <c r="Q5" s="25" t="str">
        <f ca="1">IFERROR(__xludf.DUMMYFUNCTION("""COMPUTED_VALUE"""),"PreAllocated")</f>
        <v>PreAllocated</v>
      </c>
      <c r="R5" s="25" t="str">
        <f ca="1">IFERROR(__xludf.DUMMYFUNCTION("""COMPUTED_VALUE"""),"ManualGroup")</f>
        <v>ManualGroup</v>
      </c>
      <c r="S5" s="25" t="str">
        <f ca="1">IFERROR(__xludf.DUMMYFUNCTION("""COMPUTED_VALUE"""),"")</f>
        <v/>
      </c>
      <c r="T5" s="28" t="str">
        <f ca="1">IFERROR(__xludf.DUMMYFUNCTION("""COMPUTED_VALUE"""),"")</f>
        <v/>
      </c>
      <c r="U5" s="28" t="str">
        <f ca="1">IFERROR(__xludf.DUMMYFUNCTION("""COMPUTED_VALUE"""),"")</f>
        <v/>
      </c>
      <c r="V5" s="28" t="str">
        <f ca="1">IFERROR(__xludf.DUMMYFUNCTION("""COMPUTED_VALUE"""),"")</f>
        <v/>
      </c>
      <c r="W5" s="28" t="str">
        <f ca="1">IFERROR(__xludf.DUMMYFUNCTION("""COMPUTED_VALUE"""),"")</f>
        <v/>
      </c>
      <c r="X5" s="28" t="str">
        <f ca="1">IFERROR(__xludf.DUMMYFUNCTION("""COMPUTED_VALUE"""),"")</f>
        <v/>
      </c>
      <c r="Y5" s="28" t="str">
        <f ca="1">IFERROR(__xludf.DUMMYFUNCTION("""COMPUTED_VALUE"""),"")</f>
        <v/>
      </c>
      <c r="Z5" s="28" t="str">
        <f ca="1">IFERROR(__xludf.DUMMYFUNCTION("""COMPUTED_VALUE"""),"")</f>
        <v/>
      </c>
      <c r="AA5" s="28" t="str">
        <f ca="1">IFERROR(__xludf.DUMMYFUNCTION("""COMPUTED_VALUE"""),"")</f>
        <v/>
      </c>
      <c r="AB5" s="28" t="str">
        <f ca="1">IFERROR(__xludf.DUMMYFUNCTION("""COMPUTED_VALUE"""),"")</f>
        <v/>
      </c>
      <c r="AC5" s="28" t="str">
        <f ca="1">IFERROR(__xludf.DUMMYFUNCTION("""COMPUTED_VALUE"""),"")</f>
        <v/>
      </c>
      <c r="AD5" s="28" t="str">
        <f ca="1">IFERROR(__xludf.DUMMYFUNCTION("""COMPUTED_VALUE"""),"")</f>
        <v/>
      </c>
      <c r="AE5" s="28" t="str">
        <f ca="1">IFERROR(__xludf.DUMMYFUNCTION("""COMPUTED_VALUE"""),"")</f>
        <v/>
      </c>
      <c r="AF5" s="28" t="str">
        <f ca="1">IFERROR(__xludf.DUMMYFUNCTION("""COMPUTED_VALUE"""),"")</f>
        <v/>
      </c>
      <c r="AG5" s="28" t="str">
        <f ca="1">IFERROR(__xludf.DUMMYFUNCTION("""COMPUTED_VALUE"""),"")</f>
        <v/>
      </c>
      <c r="AH5" s="28" t="str">
        <f ca="1">IFERROR(__xludf.DUMMYFUNCTION("""COMPUTED_VALUE"""),"")</f>
        <v/>
      </c>
      <c r="AI5" s="28" t="str">
        <f ca="1">IFERROR(__xludf.DUMMYFUNCTION("""COMPUTED_VALUE"""),"")</f>
        <v/>
      </c>
      <c r="AJ5" s="28" t="str">
        <f ca="1">IFERROR(__xludf.DUMMYFUNCTION("""COMPUTED_VALUE"""),"")</f>
        <v/>
      </c>
      <c r="AK5" s="28" t="str">
        <f ca="1">IFERROR(__xludf.DUMMYFUNCTION("""COMPUTED_VALUE"""),"")</f>
        <v/>
      </c>
      <c r="AL5" s="28" t="str">
        <f ca="1">IFERROR(__xludf.DUMMYFUNCTION("""COMPUTED_VALUE"""),"")</f>
        <v/>
      </c>
      <c r="AM5" s="28" t="str">
        <f ca="1">IFERROR(__xludf.DUMMYFUNCTION("""COMPUTED_VALUE"""),"")</f>
        <v/>
      </c>
      <c r="AN5" s="28" t="str">
        <f ca="1">IFERROR(__xludf.DUMMYFUNCTION("""COMPUTED_VALUE"""),"")</f>
        <v/>
      </c>
      <c r="AO5" s="28" t="str">
        <f ca="1">IFERROR(__xludf.DUMMYFUNCTION("""COMPUTED_VALUE"""),"")</f>
        <v/>
      </c>
      <c r="AP5" s="28" t="str">
        <f ca="1">IFERROR(__xludf.DUMMYFUNCTION("""COMPUTED_VALUE"""),"")</f>
        <v/>
      </c>
      <c r="AQ5" s="28" t="str">
        <f ca="1">IFERROR(__xludf.DUMMYFUNCTION("""COMPUTED_VALUE"""),"")</f>
        <v/>
      </c>
      <c r="AR5" s="28" t="str">
        <f ca="1">IFERROR(__xludf.DUMMYFUNCTION("""COMPUTED_VALUE"""),"")</f>
        <v/>
      </c>
      <c r="AS5" s="28" t="str">
        <f ca="1">IFERROR(__xludf.DUMMYFUNCTION("""COMPUTED_VALUE"""),"")</f>
        <v/>
      </c>
      <c r="AT5" s="28" t="str">
        <f ca="1">IFERROR(__xludf.DUMMYFUNCTION("""COMPUTED_VALUE"""),"")</f>
        <v/>
      </c>
      <c r="AU5" s="28" t="str">
        <f ca="1">IFERROR(__xludf.DUMMYFUNCTION("""COMPUTED_VALUE"""),"")</f>
        <v/>
      </c>
      <c r="AV5" s="28" t="str">
        <f ca="1">IFERROR(__xludf.DUMMYFUNCTION("""COMPUTED_VALUE"""),"")</f>
        <v/>
      </c>
      <c r="AW5" s="28" t="str">
        <f ca="1">IFERROR(__xludf.DUMMYFUNCTION("""COMPUTED_VALUE"""),"")</f>
        <v/>
      </c>
      <c r="AX5" s="28" t="str">
        <f ca="1">IFERROR(__xludf.DUMMYFUNCTION("""COMPUTED_VALUE"""),"")</f>
        <v/>
      </c>
      <c r="AY5" s="28" t="str">
        <f ca="1">IFERROR(__xludf.DUMMYFUNCTION("""COMPUTED_VALUE"""),"")</f>
        <v/>
      </c>
      <c r="AZ5" s="28" t="str">
        <f ca="1">IFERROR(__xludf.DUMMYFUNCTION("""COMPUTED_VALUE"""),"")</f>
        <v/>
      </c>
      <c r="BA5" s="28" t="str">
        <f ca="1">IFERROR(__xludf.DUMMYFUNCTION("""COMPUTED_VALUE"""),"")</f>
        <v/>
      </c>
      <c r="BB5" s="28" t="str">
        <f ca="1">IFERROR(__xludf.DUMMYFUNCTION("""COMPUTED_VALUE"""),"")</f>
        <v/>
      </c>
      <c r="BC5" s="28" t="str">
        <f ca="1">IFERROR(__xludf.DUMMYFUNCTION("""COMPUTED_VALUE"""),"")</f>
        <v/>
      </c>
      <c r="BD5" s="28" t="str">
        <f ca="1">IFERROR(__xludf.DUMMYFUNCTION("""COMPUTED_VALUE"""),"")</f>
        <v/>
      </c>
      <c r="BE5" s="28" t="str">
        <f ca="1">IFERROR(__xludf.DUMMYFUNCTION("""COMPUTED_VALUE"""),"")</f>
        <v/>
      </c>
      <c r="BF5" s="28" t="str">
        <f ca="1">IFERROR(__xludf.DUMMYFUNCTION("""COMPUTED_VALUE"""),"")</f>
        <v/>
      </c>
      <c r="BG5" s="28" t="str">
        <f ca="1">IFERROR(__xludf.DUMMYFUNCTION("""COMPUTED_VALUE"""),"")</f>
        <v/>
      </c>
      <c r="BH5" s="28" t="str">
        <f ca="1">IFERROR(__xludf.DUMMYFUNCTION("""COMPUTED_VALUE"""),"")</f>
        <v/>
      </c>
      <c r="BI5" s="28" t="str">
        <f ca="1">IFERROR(__xludf.DUMMYFUNCTION("""COMPUTED_VALUE"""),"")</f>
        <v/>
      </c>
      <c r="BJ5" s="28" t="str">
        <f ca="1">IFERROR(__xludf.DUMMYFUNCTION("""COMPUTED_VALUE"""),"")</f>
        <v/>
      </c>
      <c r="BK5" s="28" t="str">
        <f ca="1">IFERROR(__xludf.DUMMYFUNCTION("""COMPUTED_VALUE"""),"")</f>
        <v/>
      </c>
      <c r="BL5" s="28" t="str">
        <f ca="1">IFERROR(__xludf.DUMMYFUNCTION("""COMPUTED_VALUE"""),"")</f>
        <v/>
      </c>
      <c r="BM5" s="28" t="str">
        <f ca="1">IFERROR(__xludf.DUMMYFUNCTION("""COMPUTED_VALUE"""),"")</f>
        <v/>
      </c>
      <c r="BN5" s="28" t="str">
        <f ca="1">IFERROR(__xludf.DUMMYFUNCTION("""COMPUTED_VALUE"""),"")</f>
        <v/>
      </c>
      <c r="BO5" s="28" t="str">
        <f ca="1">IFERROR(__xludf.DUMMYFUNCTION("""COMPUTED_VALUE"""),"")</f>
        <v/>
      </c>
      <c r="BP5" s="28" t="str">
        <f ca="1">IFERROR(__xludf.DUMMYFUNCTION("""COMPUTED_VALUE"""),"")</f>
        <v/>
      </c>
      <c r="BQ5" s="28" t="str">
        <f ca="1">IFERROR(__xludf.DUMMYFUNCTION("""COMPUTED_VALUE"""),"")</f>
        <v/>
      </c>
      <c r="BR5" s="28" t="str">
        <f ca="1">IFERROR(__xludf.DUMMYFUNCTION("""COMPUTED_VALUE"""),"")</f>
        <v/>
      </c>
      <c r="BS5" s="28" t="str">
        <f ca="1">IFERROR(__xludf.DUMMYFUNCTION("""COMPUTED_VALUE"""),"")</f>
        <v/>
      </c>
      <c r="BT5" s="28" t="str">
        <f ca="1">IFERROR(__xludf.DUMMYFUNCTION("""COMPUTED_VALUE"""),"")</f>
        <v/>
      </c>
      <c r="BU5" s="28" t="str">
        <f ca="1">IFERROR(__xludf.DUMMYFUNCTION("""COMPUTED_VALUE"""),"")</f>
        <v/>
      </c>
      <c r="BV5" s="28" t="str">
        <f ca="1">IFERROR(__xludf.DUMMYFUNCTION("""COMPUTED_VALUE"""),"")</f>
        <v/>
      </c>
      <c r="BW5" s="28" t="str">
        <f ca="1">IFERROR(__xludf.DUMMYFUNCTION("""COMPUTED_VALUE"""),"")</f>
        <v/>
      </c>
      <c r="BX5" s="28" t="str">
        <f ca="1">IFERROR(__xludf.DUMMYFUNCTION("""COMPUTED_VALUE"""),"")</f>
        <v/>
      </c>
      <c r="BY5" s="28" t="str">
        <f ca="1">IFERROR(__xludf.DUMMYFUNCTION("""COMPUTED_VALUE"""),"")</f>
        <v/>
      </c>
      <c r="BZ5" s="28" t="str">
        <f ca="1">IFERROR(__xludf.DUMMYFUNCTION("""COMPUTED_VALUE"""),"")</f>
        <v/>
      </c>
      <c r="CA5" s="28" t="str">
        <f ca="1">IFERROR(__xludf.DUMMYFUNCTION("""COMPUTED_VALUE"""),"")</f>
        <v/>
      </c>
      <c r="CB5" s="28" t="str">
        <f ca="1">IFERROR(__xludf.DUMMYFUNCTION("""COMPUTED_VALUE"""),"")</f>
        <v/>
      </c>
      <c r="CC5" s="28" t="str">
        <f ca="1">IFERROR(__xludf.DUMMYFUNCTION("""COMPUTED_VALUE"""),"")</f>
        <v/>
      </c>
      <c r="CD5" s="28" t="str">
        <f ca="1">IFERROR(__xludf.DUMMYFUNCTION("""COMPUTED_VALUE"""),"")</f>
        <v/>
      </c>
      <c r="CE5" s="28" t="str">
        <f ca="1">IFERROR(__xludf.DUMMYFUNCTION("""COMPUTED_VALUE"""),"")</f>
        <v/>
      </c>
      <c r="CF5" s="28" t="str">
        <f ca="1">IFERROR(__xludf.DUMMYFUNCTION("""COMPUTED_VALUE"""),"")</f>
        <v/>
      </c>
      <c r="CG5" s="28" t="str">
        <f ca="1">IFERROR(__xludf.DUMMYFUNCTION("""COMPUTED_VALUE"""),"")</f>
        <v/>
      </c>
      <c r="CH5" s="28" t="str">
        <f ca="1">IFERROR(__xludf.DUMMYFUNCTION("""COMPUTED_VALUE"""),"")</f>
        <v/>
      </c>
      <c r="CI5" s="28" t="str">
        <f ca="1">IFERROR(__xludf.DUMMYFUNCTION("""COMPUTED_VALUE"""),"")</f>
        <v/>
      </c>
      <c r="CJ5" s="28" t="str">
        <f ca="1">IFERROR(__xludf.DUMMYFUNCTION("""COMPUTED_VALUE"""),"")</f>
        <v/>
      </c>
      <c r="CK5" s="28" t="str">
        <f ca="1">IFERROR(__xludf.DUMMYFUNCTION("""COMPUTED_VALUE"""),"")</f>
        <v/>
      </c>
      <c r="CL5" s="28" t="str">
        <f ca="1">IFERROR(__xludf.DUMMYFUNCTION("""COMPUTED_VALUE"""),"")</f>
        <v/>
      </c>
      <c r="CM5" s="28" t="str">
        <f ca="1">IFERROR(__xludf.DUMMYFUNCTION("""COMPUTED_VALUE"""),"")</f>
        <v/>
      </c>
      <c r="CN5" s="28" t="str">
        <f ca="1">IFERROR(__xludf.DUMMYFUNCTION("""COMPUTED_VALUE"""),"")</f>
        <v/>
      </c>
      <c r="CO5" s="28" t="str">
        <f ca="1">IFERROR(__xludf.DUMMYFUNCTION("""COMPUTED_VALUE"""),"")</f>
        <v/>
      </c>
      <c r="CP5" s="28" t="str">
        <f ca="1">IFERROR(__xludf.DUMMYFUNCTION("""COMPUTED_VALUE"""),"")</f>
        <v/>
      </c>
      <c r="CQ5" s="28" t="str">
        <f ca="1">IFERROR(__xludf.DUMMYFUNCTION("""COMPUTED_VALUE"""),"")</f>
        <v/>
      </c>
      <c r="CR5" s="28" t="str">
        <f ca="1">IFERROR(__xludf.DUMMYFUNCTION("""COMPUTED_VALUE"""),"")</f>
        <v/>
      </c>
      <c r="CS5" s="28" t="str">
        <f ca="1">IFERROR(__xludf.DUMMYFUNCTION("""COMPUTED_VALUE"""),"")</f>
        <v/>
      </c>
      <c r="CT5" s="28" t="str">
        <f ca="1">IFERROR(__xludf.DUMMYFUNCTION("""COMPUTED_VALUE"""),"")</f>
        <v/>
      </c>
      <c r="CU5" s="28" t="str">
        <f ca="1">IFERROR(__xludf.DUMMYFUNCTION("""COMPUTED_VALUE"""),"")</f>
        <v/>
      </c>
      <c r="CV5" s="28" t="str">
        <f ca="1">IFERROR(__xludf.DUMMYFUNCTION("""COMPUTED_VALUE"""),"")</f>
        <v/>
      </c>
      <c r="CW5" s="28" t="str">
        <f ca="1">IFERROR(__xludf.DUMMYFUNCTION("""COMPUTED_VALUE"""),"")</f>
        <v/>
      </c>
      <c r="CX5" s="28" t="str">
        <f ca="1">IFERROR(__xludf.DUMMYFUNCTION("""COMPUTED_VALUE"""),"")</f>
        <v/>
      </c>
      <c r="CY5" s="28" t="str">
        <f ca="1">IFERROR(__xludf.DUMMYFUNCTION("""COMPUTED_VALUE"""),"")</f>
        <v/>
      </c>
      <c r="CZ5" s="28" t="str">
        <f ca="1">IFERROR(__xludf.DUMMYFUNCTION("""COMPUTED_VALUE"""),"")</f>
        <v/>
      </c>
      <c r="DA5" s="28" t="str">
        <f ca="1">IFERROR(__xludf.DUMMYFUNCTION("""COMPUTED_VALUE"""),"")</f>
        <v/>
      </c>
      <c r="DB5" s="28" t="str">
        <f ca="1">IFERROR(__xludf.DUMMYFUNCTION("""COMPUTED_VALUE"""),"")</f>
        <v/>
      </c>
      <c r="DC5" s="28" t="str">
        <f ca="1">IFERROR(__xludf.DUMMYFUNCTION("""COMPUTED_VALUE"""),"")</f>
        <v/>
      </c>
      <c r="DD5" s="28" t="str">
        <f ca="1">IFERROR(__xludf.DUMMYFUNCTION("""COMPUTED_VALUE"""),"")</f>
        <v/>
      </c>
      <c r="DE5" s="28" t="str">
        <f ca="1">IFERROR(__xludf.DUMMYFUNCTION("""COMPUTED_VALUE"""),"")</f>
        <v/>
      </c>
      <c r="DF5" s="28" t="str">
        <f ca="1">IFERROR(__xludf.DUMMYFUNCTION("""COMPUTED_VALUE"""),"")</f>
        <v/>
      </c>
      <c r="DG5" s="28" t="str">
        <f ca="1">IFERROR(__xludf.DUMMYFUNCTION("""COMPUTED_VALUE"""),"")</f>
        <v/>
      </c>
      <c r="DH5" s="28" t="str">
        <f ca="1">IFERROR(__xludf.DUMMYFUNCTION("""COMPUTED_VALUE"""),"")</f>
        <v/>
      </c>
      <c r="DI5" s="28" t="str">
        <f ca="1">IFERROR(__xludf.DUMMYFUNCTION("""COMPUTED_VALUE"""),"")</f>
        <v/>
      </c>
      <c r="DJ5" s="28" t="str">
        <f ca="1">IFERROR(__xludf.DUMMYFUNCTION("""COMPUTED_VALUE"""),"")</f>
        <v/>
      </c>
      <c r="DK5" s="28" t="str">
        <f ca="1">IFERROR(__xludf.DUMMYFUNCTION("""COMPUTED_VALUE"""),"")</f>
        <v/>
      </c>
      <c r="DL5" s="28" t="str">
        <f ca="1">IFERROR(__xludf.DUMMYFUNCTION("""COMPUTED_VALUE"""),"")</f>
        <v/>
      </c>
      <c r="DM5" s="28" t="str">
        <f ca="1">IFERROR(__xludf.DUMMYFUNCTION("""COMPUTED_VALUE"""),"")</f>
        <v/>
      </c>
      <c r="DN5" s="28" t="str">
        <f ca="1">IFERROR(__xludf.DUMMYFUNCTION("""COMPUTED_VALUE"""),"")</f>
        <v/>
      </c>
      <c r="DO5" s="28" t="str">
        <f ca="1">IFERROR(__xludf.DUMMYFUNCTION("""COMPUTED_VALUE"""),"")</f>
        <v/>
      </c>
      <c r="DP5" s="28" t="str">
        <f ca="1">IFERROR(__xludf.DUMMYFUNCTION("""COMPUTED_VALUE"""),"")</f>
        <v/>
      </c>
      <c r="DQ5" s="28" t="str">
        <f ca="1">IFERROR(__xludf.DUMMYFUNCTION("""COMPUTED_VALUE"""),"")</f>
        <v/>
      </c>
      <c r="DR5" s="28" t="str">
        <f ca="1">IFERROR(__xludf.DUMMYFUNCTION("""COMPUTED_VALUE"""),"")</f>
        <v/>
      </c>
      <c r="DS5" s="28" t="str">
        <f ca="1">IFERROR(__xludf.DUMMYFUNCTION("""COMPUTED_VALUE"""),"")</f>
        <v/>
      </c>
      <c r="DT5" s="28" t="str">
        <f ca="1">IFERROR(__xludf.DUMMYFUNCTION("""COMPUTED_VALUE"""),"")</f>
        <v/>
      </c>
      <c r="DU5" s="28" t="str">
        <f ca="1">IFERROR(__xludf.DUMMYFUNCTION("""COMPUTED_VALUE"""),"")</f>
        <v/>
      </c>
      <c r="DV5" s="28" t="str">
        <f ca="1">IFERROR(__xludf.DUMMYFUNCTION("""COMPUTED_VALUE"""),"")</f>
        <v/>
      </c>
      <c r="DW5" s="28" t="str">
        <f ca="1">IFERROR(__xludf.DUMMYFUNCTION("""COMPUTED_VALUE"""),"")</f>
        <v/>
      </c>
      <c r="DX5" s="28" t="str">
        <f ca="1">IFERROR(__xludf.DUMMYFUNCTION("""COMPUTED_VALUE"""),"")</f>
        <v/>
      </c>
      <c r="DY5" s="28" t="str">
        <f ca="1">IFERROR(__xludf.DUMMYFUNCTION("""COMPUTED_VALUE"""),"")</f>
        <v/>
      </c>
      <c r="DZ5" s="28" t="str">
        <f ca="1">IFERROR(__xludf.DUMMYFUNCTION("""COMPUTED_VALUE"""),"")</f>
        <v/>
      </c>
      <c r="EA5" s="28" t="str">
        <f ca="1">IFERROR(__xludf.DUMMYFUNCTION("""COMPUTED_VALUE"""),"")</f>
        <v/>
      </c>
      <c r="EB5" s="28" t="str">
        <f ca="1">IFERROR(__xludf.DUMMYFUNCTION("""COMPUTED_VALUE"""),"")</f>
        <v/>
      </c>
      <c r="EC5" s="28" t="str">
        <f ca="1">IFERROR(__xludf.DUMMYFUNCTION("""COMPUTED_VALUE"""),"")</f>
        <v/>
      </c>
      <c r="ED5" s="28" t="str">
        <f ca="1">IFERROR(__xludf.DUMMYFUNCTION("""COMPUTED_VALUE"""),"")</f>
        <v/>
      </c>
      <c r="EE5" s="28" t="str">
        <f ca="1">IFERROR(__xludf.DUMMYFUNCTION("""COMPUTED_VALUE"""),"")</f>
        <v/>
      </c>
      <c r="EF5" s="28" t="str">
        <f ca="1">IFERROR(__xludf.DUMMYFUNCTION("""COMPUTED_VALUE"""),"")</f>
        <v/>
      </c>
      <c r="EG5" s="28" t="str">
        <f ca="1">IFERROR(__xludf.DUMMYFUNCTION("""COMPUTED_VALUE"""),"")</f>
        <v/>
      </c>
      <c r="EH5" s="28" t="str">
        <f ca="1">IFERROR(__xludf.DUMMYFUNCTION("""COMPUTED_VALUE"""),"")</f>
        <v/>
      </c>
      <c r="EI5" s="28" t="str">
        <f ca="1">IFERROR(__xludf.DUMMYFUNCTION("""COMPUTED_VALUE"""),"")</f>
        <v/>
      </c>
      <c r="EJ5" s="28" t="str">
        <f ca="1">IFERROR(__xludf.DUMMYFUNCTION("""COMPUTED_VALUE"""),"")</f>
        <v/>
      </c>
      <c r="EK5" s="28" t="str">
        <f ca="1">IFERROR(__xludf.DUMMYFUNCTION("""COMPUTED_VALUE"""),"")</f>
        <v/>
      </c>
      <c r="EL5" s="28" t="str">
        <f ca="1">IFERROR(__xludf.DUMMYFUNCTION("""COMPUTED_VALUE"""),"")</f>
        <v/>
      </c>
      <c r="EM5" s="28" t="str">
        <f ca="1">IFERROR(__xludf.DUMMYFUNCTION("""COMPUTED_VALUE"""),"")</f>
        <v/>
      </c>
      <c r="EN5" s="28" t="str">
        <f ca="1">IFERROR(__xludf.DUMMYFUNCTION("""COMPUTED_VALUE"""),"")</f>
        <v/>
      </c>
      <c r="EO5" s="28" t="str">
        <f ca="1">IFERROR(__xludf.DUMMYFUNCTION("""COMPUTED_VALUE"""),"")</f>
        <v/>
      </c>
      <c r="EP5" s="28" t="str">
        <f ca="1">IFERROR(__xludf.DUMMYFUNCTION("""COMPUTED_VALUE"""),"")</f>
        <v/>
      </c>
      <c r="EQ5" s="28" t="str">
        <f ca="1">IFERROR(__xludf.DUMMYFUNCTION("""COMPUTED_VALUE"""),"")</f>
        <v/>
      </c>
      <c r="ER5" s="28" t="str">
        <f ca="1">IFERROR(__xludf.DUMMYFUNCTION("""COMPUTED_VALUE"""),"")</f>
        <v/>
      </c>
      <c r="ES5" s="28" t="str">
        <f ca="1">IFERROR(__xludf.DUMMYFUNCTION("""COMPUTED_VALUE"""),"")</f>
        <v/>
      </c>
      <c r="ET5" s="28" t="str">
        <f ca="1">IFERROR(__xludf.DUMMYFUNCTION("""COMPUTED_VALUE"""),"")</f>
        <v/>
      </c>
      <c r="EU5" s="28" t="str">
        <f ca="1">IFERROR(__xludf.DUMMYFUNCTION("""COMPUTED_VALUE"""),"")</f>
        <v/>
      </c>
      <c r="EV5" s="28" t="str">
        <f ca="1">IFERROR(__xludf.DUMMYFUNCTION("""COMPUTED_VALUE"""),"")</f>
        <v/>
      </c>
      <c r="EW5" s="28" t="str">
        <f ca="1">IFERROR(__xludf.DUMMYFUNCTION("""COMPUTED_VALUE"""),"")</f>
        <v/>
      </c>
      <c r="EX5" s="28" t="str">
        <f ca="1">IFERROR(__xludf.DUMMYFUNCTION("""COMPUTED_VALUE"""),"")</f>
        <v/>
      </c>
    </row>
    <row r="6" spans="1:154" ht="15.75" customHeight="1" x14ac:dyDescent="0.2">
      <c r="A6" s="5"/>
      <c r="B6" s="41" t="s">
        <v>32</v>
      </c>
      <c r="C6" s="37">
        <v>42786</v>
      </c>
      <c r="D6" s="37">
        <v>42791</v>
      </c>
      <c r="E6" s="45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2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3" t="s">
        <v>11</v>
      </c>
      <c r="C1" s="54"/>
      <c r="D1" s="54"/>
      <c r="E1" s="54"/>
      <c r="F1" s="54"/>
      <c r="G1" s="54"/>
      <c r="H1" s="55"/>
      <c r="I1" s="12"/>
      <c r="J1" s="12"/>
      <c r="K1" s="12"/>
      <c r="L1" s="12"/>
      <c r="M1" s="12"/>
      <c r="N1" s="12"/>
      <c r="O1" s="12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e">
        <f ca="1">VLOOKUP($E$3,_MasterData!B4:D1000,3,FALSE)</f>
        <v>#N/A</v>
      </c>
      <c r="K2" s="15"/>
      <c r="L2" s="2"/>
      <c r="M2" s="2"/>
      <c r="N2" s="2"/>
      <c r="O2" s="2"/>
    </row>
    <row r="3" spans="1:154" ht="15.75" customHeight="1" x14ac:dyDescent="0.2">
      <c r="A3" s="17"/>
      <c r="B3" s="3" t="s">
        <v>5</v>
      </c>
      <c r="C3" s="18" t="s">
        <v>33</v>
      </c>
      <c r="D3" s="3" t="s">
        <v>7</v>
      </c>
      <c r="E3" s="18" t="s">
        <v>35</v>
      </c>
      <c r="F3" s="3" t="s">
        <v>14</v>
      </c>
      <c r="G3" s="7" t="s">
        <v>15</v>
      </c>
      <c r="H3" s="3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 x14ac:dyDescent="0.2">
      <c r="A4" s="21"/>
      <c r="B4" s="21" t="str">
        <f ca="1">IFERROR(__xludf.DUMMYFUNCTION("IF(C3="""","""",Transpose(IMPORTRANGE('_Settings'!$B$3,C3&amp;""!A4:A1000"")))"),"Allocate")</f>
        <v>Allocate</v>
      </c>
      <c r="C4" s="21" t="str">
        <f ca="1">IFERROR(__xludf.DUMMYFUNCTION("""COMPUTED_VALUE"""),"CheckAllocatedGroups")</f>
        <v>CheckAllocatedGroups</v>
      </c>
      <c r="D4" s="21" t="str">
        <f ca="1">IFERROR(__xludf.DUMMYFUNCTION("""COMPUTED_VALUE"""),"Unallocate")</f>
        <v>Unallocate</v>
      </c>
      <c r="E4" s="21" t="str">
        <f ca="1">IFERROR(__xludf.DUMMYFUNCTION("""COMPUTED_VALUE"""),"GetDataAllocation")</f>
        <v>GetDataAllocation</v>
      </c>
      <c r="F4" s="21" t="str">
        <f ca="1">IFERROR(__xludf.DUMMYFUNCTION("""COMPUTED_VALUE"""),"SelectAllocatedGroup")</f>
        <v>SelectAllocatedGroup</v>
      </c>
      <c r="G4" s="21" t="str">
        <f ca="1">IFERROR(__xludf.DUMMYFUNCTION("""COMPUTED_VALUE"""),"EditTradesAllocated")</f>
        <v>EditTradesAllocated</v>
      </c>
      <c r="H4" s="21" t="str">
        <f ca="1">IFERROR(__xludf.DUMMYFUNCTION("""COMPUTED_VALUE"""),"EditTradesUnallocated")</f>
        <v>EditTradesUnallocated</v>
      </c>
      <c r="I4" s="21" t="str">
        <f ca="1">IFERROR(__xludf.DUMMYFUNCTION("""COMPUTED_VALUE"""),"Reallocate")</f>
        <v>Reallocate</v>
      </c>
      <c r="J4" s="21" t="str">
        <f ca="1">IFERROR(__xludf.DUMMYFUNCTION("""COMPUTED_VALUE"""),"EditUnallocatedGroupSidePanel")</f>
        <v>EditUnallocatedGroupSidePanel</v>
      </c>
      <c r="K4" s="21" t="str">
        <f ca="1">IFERROR(__xludf.DUMMYFUNCTION("""COMPUTED_VALUE"""),"TradeAttributeBulkChange")</f>
        <v>TradeAttributeBulkChange</v>
      </c>
      <c r="L4" s="21" t="str">
        <f ca="1">IFERROR(__xludf.DUMMYFUNCTION("""COMPUTED_VALUE"""),"ApplyBulkUpdateOnGroups")</f>
        <v>ApplyBulkUpdateOnGroups</v>
      </c>
      <c r="M4" s="21" t="str">
        <f ca="1">IFERROR(__xludf.DUMMYFUNCTION("""COMPUTED_VALUE"""),"ApplyPrefetchFilters")</f>
        <v>ApplyPrefetchFilters</v>
      </c>
      <c r="N4" s="21" t="str">
        <f ca="1">IFERROR(__xludf.DUMMYFUNCTION("""COMPUTED_VALUE"""),"GeneralPreferencesDefaultRule")</f>
        <v>GeneralPreferencesDefaultRule</v>
      </c>
      <c r="O4" s="21" t="str">
        <f ca="1">IFERROR(__xludf.DUMMYFUNCTION("""COMPUTED_VALUE"""),"GeneralPrefCompanyUserWise")</f>
        <v>GeneralPrefCompanyUserWise</v>
      </c>
      <c r="P4" s="23" t="str">
        <f ca="1">IFERROR(__xludf.DUMMYFUNCTION("""COMPUTED_VALUE"""),"RenameTradeAttributes")</f>
        <v>RenameTradeAttributes</v>
      </c>
      <c r="Q4" s="23" t="str">
        <f ca="1">IFERROR(__xludf.DUMMYFUNCTION("""COMPUTED_VALUE"""),"SetGroupingRules")</f>
        <v>SetGroupingRules</v>
      </c>
      <c r="R4" s="23" t="str">
        <f ca="1">IFERROR(__xludf.DUMMYFUNCTION("""COMPUTED_VALUE"""),"SetMasterFundRatio")</f>
        <v>SetMasterFundRatio</v>
      </c>
      <c r="S4" s="23" t="str">
        <f ca="1">IFERROR(__xludf.DUMMYFUNCTION("""COMPUTED_VALUE"""),"CheckFixedPreference")</f>
        <v>CheckFixedPreference</v>
      </c>
      <c r="T4" s="23" t="str">
        <f ca="1">IFERROR(__xludf.DUMMYFUNCTION("""COMPUTED_VALUE"""),"GetFixedPreference")</f>
        <v>GetFixedPreference</v>
      </c>
      <c r="U4" s="23" t="str">
        <f ca="1">IFERROR(__xludf.DUMMYFUNCTION("""COMPUTED_VALUE"""),"AddCalculatedPreferences")</f>
        <v>AddCalculatedPreferences</v>
      </c>
      <c r="V4" s="23" t="str">
        <f ca="1">IFERROR(__xludf.DUMMYFUNCTION("""COMPUTED_VALUE"""),"BulkChangeCalculatedPreferences")</f>
        <v>BulkChangeCalculatedPreferences</v>
      </c>
      <c r="W4" s="23" t="str">
        <f ca="1">IFERROR(__xludf.DUMMYFUNCTION("""COMPUTED_VALUE"""),"DeleteCalculatedPreferences")</f>
        <v>DeleteCalculatedPreferences</v>
      </c>
      <c r="X4" s="23" t="str">
        <f ca="1">IFERROR(__xludf.DUMMYFUNCTION("""COMPUTED_VALUE"""),"RenameCalculatedPreferences")</f>
        <v>RenameCalculatedPreferences</v>
      </c>
      <c r="Y4" s="23" t="str">
        <f ca="1">IFERROR(__xludf.DUMMYFUNCTION("""COMPUTED_VALUE"""),"CopyCalculatedPreferences")</f>
        <v>CopyCalculatedPreferences</v>
      </c>
      <c r="Z4" s="23" t="str">
        <f ca="1">IFERROR(__xludf.DUMMYFUNCTION("""COMPUTED_VALUE"""),"RunAutoGroup")</f>
        <v>RunAutoGroup</v>
      </c>
      <c r="AA4" s="23" t="str">
        <f ca="1">IFERROR(__xludf.DUMMYFUNCTION("""COMPUTED_VALUE"""),"BookOrUpdateSwap")</f>
        <v>BookOrUpdateSwap</v>
      </c>
      <c r="AB4" s="23" t="str">
        <f ca="1">IFERROR(__xludf.DUMMYFUNCTION("""COMPUTED_VALUE"""),"RunProrata")</f>
        <v>RunProrata</v>
      </c>
      <c r="AC4" s="23" t="str">
        <f ca="1">IFERROR(__xludf.DUMMYFUNCTION("""COMPUTED_VALUE"""),"SetDefaultRuleCalculatedPref")</f>
        <v>SetDefaultRuleCalculatedPref</v>
      </c>
      <c r="AD4" s="23" t="str">
        <f ca="1">IFERROR(__xludf.DUMMYFUNCTION("""COMPUTED_VALUE"""),"SetAccountValueCalculatedPref")</f>
        <v>SetAccountValueCalculatedPref</v>
      </c>
      <c r="AE4" s="23" t="str">
        <f ca="1">IFERROR(__xludf.DUMMYFUNCTION("""COMPUTED_VALUE"""),"TradeAttributeBulkChangeGroups")</f>
        <v>TradeAttributeBulkChangeGroups</v>
      </c>
      <c r="AF4" s="23" t="str">
        <f ca="1">IFERROR(__xludf.DUMMYFUNCTION("""COMPUTED_VALUE"""),"TradeAttributeBulkChangeTaxlots")</f>
        <v>TradeAttributeBulkChangeTaxlots</v>
      </c>
      <c r="AG4" s="23" t="str">
        <f ca="1">IFERROR(__xludf.DUMMYFUNCTION("""COMPUTED_VALUE"""),"AddCalculatedPreferenceToolbar")</f>
        <v>AddCalculatedPreferenceToolbar</v>
      </c>
      <c r="AH4" s="23" t="str">
        <f ca="1">IFERROR(__xludf.DUMMYFUNCTION("""COMPUTED_VALUE"""),"SetStrategyValueCalculatedPref")</f>
        <v>SetStrategyValueCalculatedPref</v>
      </c>
      <c r="AI4" s="23" t="str">
        <f ca="1">IFERROR(__xludf.DUMMYFUNCTION("""COMPUTED_VALUE"""),"ApplyBulkUpdateOnTaxlots")</f>
        <v>ApplyBulkUpdateOnTaxlots</v>
      </c>
      <c r="AJ4" s="23" t="str">
        <f ca="1">IFERROR(__xludf.DUMMYFUNCTION("""COMPUTED_VALUE"""),"CommissionBulkChangeOnGroups")</f>
        <v>CommissionBulkChangeOnGroups</v>
      </c>
      <c r="AK4" s="23" t="str">
        <f ca="1">IFERROR(__xludf.DUMMYFUNCTION("""COMPUTED_VALUE"""),"CommissionBulkChangeOnTaxlots")</f>
        <v>CommissionBulkChangeOnTaxlots</v>
      </c>
      <c r="AL4" s="23" t="str">
        <f ca="1">IFERROR(__xludf.DUMMYFUNCTION("""COMPUTED_VALUE"""),"SelectUnallocatedGroup")</f>
        <v>SelectUnallocatedGroup</v>
      </c>
      <c r="AM4" s="23" t="str">
        <f ca="1">IFERROR(__xludf.DUMMYFUNCTION("""COMPUTED_VALUE"""),"EnterAccountValuesToAllocate")</f>
        <v>EnterAccountValuesToAllocate</v>
      </c>
      <c r="AN4" s="23" t="str">
        <f ca="1">IFERROR(__xludf.DUMMYFUNCTION("""COMPUTED_VALUE"""),"EnterAllocatePreference")</f>
        <v>EnterAllocatePreference</v>
      </c>
      <c r="AO4" s="23" t="str">
        <f ca="1">IFERROR(__xludf.DUMMYFUNCTION("""COMPUTED_VALUE"""),"EnterStrategyValuesToAllocate")</f>
        <v>EnterStrategyValuesToAllocate</v>
      </c>
      <c r="AP4" s="23" t="str">
        <f ca="1">IFERROR(__xludf.DUMMYFUNCTION("""COMPUTED_VALUE"""),"CopyCalculatedPreferenceToolbar")</f>
        <v>CopyCalculatedPreferenceToolbar</v>
      </c>
      <c r="AQ4" s="23" t="str">
        <f ca="1">IFERROR(__xludf.DUMMYFUNCTION("""COMPUTED_VALUE"""),"SetGeneralRuleCalculatedPref")</f>
        <v>SetGeneralRuleCalculatedPref</v>
      </c>
      <c r="AR4" s="23" t="str">
        <f ca="1">IFERROR(__xludf.DUMMYFUNCTION("""COMPUTED_VALUE"""),"ExportAllCalculatedPreferences")</f>
        <v>ExportAllCalculatedPreferences</v>
      </c>
      <c r="AS4" s="23" t="str">
        <f ca="1">IFERROR(__xludf.DUMMYFUNCTION("""COMPUTED_VALUE"""),"SaveCalculatedPreferences")</f>
        <v>SaveCalculatedPreferences</v>
      </c>
      <c r="AT4" s="23" t="str">
        <f ca="1">IFERROR(__xludf.DUMMYFUNCTION("""COMPUTED_VALUE"""),"CloseCalculatedPreferences")</f>
        <v>CloseCalculatedPreferences</v>
      </c>
      <c r="AU4" s="23" t="str">
        <f ca="1">IFERROR(__xludf.DUMMYFUNCTION("""COMPUTED_VALUE"""),"ExportCalculatedPreference")</f>
        <v>ExportCalculatedPreference</v>
      </c>
      <c r="AV4" s="23" t="str">
        <f ca="1">IFERROR(__xludf.DUMMYFUNCTION("""COMPUTED_VALUE"""),"ImportCalculatedPreferences")</f>
        <v>ImportCalculatedPreferences</v>
      </c>
      <c r="AW4" s="23" t="str">
        <f ca="1">IFERROR(__xludf.DUMMYFUNCTION("""COMPUTED_VALUE"""),"OpenAuditTrailUnallocatedGroup")</f>
        <v>OpenAuditTrailUnallocatedGroup</v>
      </c>
      <c r="AX4" s="23" t="str">
        <f ca="1">IFERROR(__xludf.DUMMYFUNCTION("""COMPUTED_VALUE"""),"DeleteCalculatedPreferencesTool")</f>
        <v>DeleteCalculatedPreferencesTool</v>
      </c>
      <c r="AY4" s="23" t="str">
        <f ca="1">IFERROR(__xludf.DUMMYFUNCTION("""COMPUTED_VALUE"""),"ImportCalculatedPreferencesTool")</f>
        <v>ImportCalculatedPreferencesTool</v>
      </c>
      <c r="AZ4" s="23" t="str">
        <f ca="1">IFERROR(__xludf.DUMMYFUNCTION("""COMPUTED_VALUE"""),"ExportAllCalculatedPreferTool")</f>
        <v>ExportAllCalculatedPreferTool</v>
      </c>
      <c r="BA4" s="23" t="str">
        <f ca="1">IFERROR(__xludf.DUMMYFUNCTION("""COMPUTED_VALUE"""),"OpenAuditTrailAllocatedGroup")</f>
        <v>OpenAuditTrailAllocatedGroup</v>
      </c>
      <c r="BB4" s="23" t="str">
        <f ca="1">IFERROR(__xludf.DUMMYFUNCTION("""COMPUTED_VALUE"""),"OpenSymbolLookupUnallocateGroup")</f>
        <v>OpenSymbolLookupUnallocateGroup</v>
      </c>
      <c r="BC4" s="23" t="str">
        <f ca="1">IFERROR(__xludf.DUMMYFUNCTION("""COMPUTED_VALUE"""),"OpenSymbolLookupAllocatedGroup")</f>
        <v>OpenSymbolLookupAllocatedGroup</v>
      </c>
      <c r="BD4" s="23" t="str">
        <f ca="1">IFERROR(__xludf.DUMMYFUNCTION("""COMPUTED_VALUE"""),"DeleteFixedPreference")</f>
        <v>DeleteFixedPreference</v>
      </c>
      <c r="BE4" s="23" t="str">
        <f ca="1">IFERROR(__xludf.DUMMYFUNCTION("""COMPUTED_VALUE"""),"EditAllocatedGroupSidePanel")</f>
        <v>EditAllocatedGroupSidePanel</v>
      </c>
      <c r="BF4" s="23" t="str">
        <f ca="1">IFERROR(__xludf.DUMMYFUNCTION("""COMPUTED_VALUE"""),"CheckUnallocatedGroups")</f>
        <v>CheckUnallocatedGroups</v>
      </c>
      <c r="BG4" s="23" t="str">
        <f ca="1">IFERROR(__xludf.DUMMYFUNCTION("""COMPUTED_VALUE"""),"SetGeneralPreferences")</f>
        <v>SetGeneralPreferences</v>
      </c>
      <c r="BH4" s="23" t="str">
        <f ca="1">IFERROR(__xludf.DUMMYFUNCTION("""COMPUTED_VALUE"""),"GroupTrades")</f>
        <v>GroupTrades</v>
      </c>
      <c r="BI4" s="23" t="str">
        <f ca="1">IFERROR(__xludf.DUMMYFUNCTION("""COMPUTED_VALUE"""),"UngroupTrades")</f>
        <v>UngroupTrades</v>
      </c>
      <c r="BJ4" s="23" t="str">
        <f ca="1">IFERROR(__xludf.DUMMYFUNCTION("""COMPUTED_VALUE"""),"DeleteGroup")</f>
        <v>DeleteGroup</v>
      </c>
      <c r="BK4" s="23" t="str">
        <f ca="1">IFERROR(__xludf.DUMMYFUNCTION("""COMPUTED_VALUE"""),"CloseOrder")</f>
        <v>CloseOrder</v>
      </c>
      <c r="BL4" s="23" t="str">
        <f ca="1">IFERROR(__xludf.DUMMYFUNCTION("""COMPUTED_VALUE"""),"Unallocate")</f>
        <v>Unallocate</v>
      </c>
      <c r="BM4" s="23" t="str">
        <f ca="1">IFERROR(__xludf.DUMMYFUNCTION("""COMPUTED_VALUE"""),"CloseAllocation")</f>
        <v>CloseAllocation</v>
      </c>
      <c r="BN4" s="23" t="str">
        <f ca="1">IFERROR(__xludf.DUMMYFUNCTION("""COMPUTED_VALUE"""),"UpdateGRAccountValue")</f>
        <v>UpdateGRAccountValue</v>
      </c>
      <c r="BO4" s="23" t="str">
        <f ca="1">IFERROR(__xludf.DUMMYFUNCTION("""COMPUTED_VALUE"""),"UpdateGRStrategyValue")</f>
        <v>UpdateGRStrategyValue</v>
      </c>
      <c r="BP4" s="23" t="str">
        <f ca="1">IFERROR(__xludf.DUMMYFUNCTION("""COMPUTED_VALUE"""),"UpdateGRDefaultRule")</f>
        <v>UpdateGRDefaultRule</v>
      </c>
      <c r="BQ4" s="23" t="str">
        <f ca="1">IFERROR(__xludf.DUMMYFUNCTION("""COMPUTED_VALUE"""),"UpdateGeneralRulePref")</f>
        <v>UpdateGeneralRulePref</v>
      </c>
      <c r="BR4" s="23" t="str">
        <f ca="1">IFERROR(__xludf.DUMMYFUNCTION("""COMPUTED_VALUE"""),"ModifyGRPreferenceValues")</f>
        <v>ModifyGRPreferenceValues</v>
      </c>
      <c r="BS4" s="23" t="str">
        <f ca="1">IFERROR(__xludf.DUMMYFUNCTION("""COMPUTED_VALUE"""),"AddMFPreferences")</f>
        <v>AddMFPreferences</v>
      </c>
      <c r="BT4" s="23" t="str">
        <f ca="1">IFERROR(__xludf.DUMMYFUNCTION("""COMPUTED_VALUE"""),"AddMFPreferenceToolbar")</f>
        <v>AddMFPreferenceToolbar</v>
      </c>
      <c r="BU4" s="23" t="str">
        <f ca="1">IFERROR(__xludf.DUMMYFUNCTION("""COMPUTED_VALUE"""),"DeleteMFPreferences")</f>
        <v>DeleteMFPreferences</v>
      </c>
      <c r="BV4" s="23" t="str">
        <f ca="1">IFERROR(__xludf.DUMMYFUNCTION("""COMPUTED_VALUE"""),"DeleteMFPreferenceToolbar")</f>
        <v>DeleteMFPreferenceToolbar</v>
      </c>
      <c r="BW4" s="23" t="str">
        <f ca="1">IFERROR(__xludf.DUMMYFUNCTION("""COMPUTED_VALUE"""),"RenameMFPreferences")</f>
        <v>RenameMFPreferences</v>
      </c>
      <c r="BX4" s="23" t="str">
        <f ca="1">IFERROR(__xludf.DUMMYFUNCTION("""COMPUTED_VALUE"""),"SaveCloseMFPreference")</f>
        <v>SaveCloseMFPreference</v>
      </c>
      <c r="BY4" s="23" t="str">
        <f ca="1">IFERROR(__xludf.DUMMYFUNCTION("""COMPUTED_VALUE"""),"SetMFPrefAccountValues")</f>
        <v>SetMFPrefAccountValues</v>
      </c>
      <c r="BZ4" s="23" t="str">
        <f ca="1">IFERROR(__xludf.DUMMYFUNCTION("""COMPUTED_VALUE"""),"ModifyMFPrefGeneralRuleValues")</f>
        <v>ModifyMFPrefGeneralRuleValues</v>
      </c>
      <c r="CA4" s="23" t="str">
        <f ca="1">IFERROR(__xludf.DUMMYFUNCTION("""COMPUTED_VALUE"""),"SetMFPrefStrategyValues")</f>
        <v>SetMFPrefStrategyValues</v>
      </c>
      <c r="CB4" s="23" t="str">
        <f ca="1">IFERROR(__xludf.DUMMYFUNCTION("""COMPUTED_VALUE"""),"SetMFPrefGeneralRule")</f>
        <v>SetMFPrefGeneralRule</v>
      </c>
      <c r="CC4" s="23" t="str">
        <f ca="1">IFERROR(__xludf.DUMMYFUNCTION("""COMPUTED_VALUE"""),"SetMFPrefFundDistribution")</f>
        <v>SetMFPrefFundDistribution</v>
      </c>
      <c r="CD4" s="23" t="str">
        <f ca="1">IFERROR(__xludf.DUMMYFUNCTION("""COMPUTED_VALUE"""),"SetMFPreferencesDefaultRule")</f>
        <v>SetMFPreferencesDefaultRule</v>
      </c>
      <c r="CE4" s="23" t="str">
        <f ca="1">IFERROR(__xludf.DUMMYFUNCTION("""COMPUTED_VALUE"""),"SetMFPrefFundDefaultRule")</f>
        <v>SetMFPrefFundDefaultRule</v>
      </c>
      <c r="CF4" s="23" t="str">
        <f ca="1">IFERROR(__xludf.DUMMYFUNCTION("""COMPUTED_VALUE"""),"ClearPrefetchFilters")</f>
        <v>ClearPrefetchFilters</v>
      </c>
      <c r="CG4" s="23" t="str">
        <f ca="1">IFERROR(__xludf.DUMMYFUNCTION("""COMPUTED_VALUE"""),"ExpandCollapseAllUnallocated")</f>
        <v>ExpandCollapseAllUnallocated</v>
      </c>
      <c r="CH4" s="23" t="str">
        <f ca="1">IFERROR(__xludf.DUMMYFUNCTION("""COMPUTED_VALUE"""),"ExpandCollapseAllAllocated")</f>
        <v>ExpandCollapseAllAllocated</v>
      </c>
      <c r="CI4" s="23" t="str">
        <f ca="1">IFERROR(__xludf.DUMMYFUNCTION("""COMPUTED_VALUE"""),"GenerateCashTransaction")</f>
        <v>GenerateCashTransaction</v>
      </c>
      <c r="CJ4" s="23" t="str">
        <f ca="1">IFERROR(__xludf.DUMMYFUNCTION("""COMPUTED_VALUE"""),"SaveAllocation")</f>
        <v>SaveAllocation</v>
      </c>
      <c r="CK4" s="23" t="str">
        <f ca="1">IFERROR(__xludf.DUMMYFUNCTION("""COMPUTED_VALUE"""),"UnallocateWithOutSave")</f>
        <v>UnallocateWithOutSave</v>
      </c>
      <c r="CL4" s="23" t="str">
        <f ca="1">IFERROR(__xludf.DUMMYFUNCTION("""COMPUTED_VALUE"""),"EditUnallocatedGrid")</f>
        <v>EditUnallocatedGrid</v>
      </c>
      <c r="CM4" s="23" t="str">
        <f ca="1">IFERROR(__xludf.DUMMYFUNCTION("""COMPUTED_VALUE"""),"EditAllocatedGrid")</f>
        <v>EditAllocatedGrid</v>
      </c>
      <c r="CN4" s="23" t="str">
        <f ca="1">IFERROR(__xludf.DUMMYFUNCTION("""COMPUTED_VALUE"""),"SaveLayoutAllocatedGrid")</f>
        <v>SaveLayoutAllocatedGrid</v>
      </c>
      <c r="CO4" s="23" t="str">
        <f ca="1">IFERROR(__xludf.DUMMYFUNCTION("""COMPUTED_VALUE"""),"SaveLayoutUnallocatedGrid")</f>
        <v>SaveLayoutUnallocatedGrid</v>
      </c>
      <c r="CP4" s="23" t="str">
        <f ca="1">IFERROR(__xludf.DUMMYFUNCTION("""COMPUTED_VALUE"""),"SaveLayoutAllocationUI")</f>
        <v>SaveLayoutAllocationUI</v>
      </c>
      <c r="CQ4" s="23" t="str">
        <f ca="1">IFERROR(__xludf.DUMMYFUNCTION("""COMPUTED_VALUE"""),"ClearFiltersAllocatedGrid")</f>
        <v>ClearFiltersAllocatedGrid</v>
      </c>
      <c r="CR4" s="23" t="str">
        <f ca="1">IFERROR(__xludf.DUMMYFUNCTION("""COMPUTED_VALUE"""),"ClearFiltersUnallocatedGrid")</f>
        <v>ClearFiltersUnallocatedGrid</v>
      </c>
      <c r="CS4" s="23" t="str">
        <f ca="1">IFERROR(__xludf.DUMMYFUNCTION("""COMPUTED_VALUE"""),"VerifyLayoutAllocatedGrid")</f>
        <v>VerifyLayoutAllocatedGrid</v>
      </c>
      <c r="CT4" s="23" t="str">
        <f ca="1">IFERROR(__xludf.DUMMYFUNCTION("""COMPUTED_VALUE"""),"VerifyLayoutUnallocatedGrid")</f>
        <v>VerifyLayoutUnallocatedGrid</v>
      </c>
      <c r="CU4" s="23" t="str">
        <f ca="1">IFERROR(__xludf.DUMMYFUNCTION("""COMPUTED_VALUE"""),"CleanUp")</f>
        <v>CleanUp</v>
      </c>
      <c r="CV4" s="23" t="str">
        <f ca="1">IFERROR(__xludf.DUMMYFUNCTION("""COMPUTED_VALUE"""),"CheckAllocatedTaxlots")</f>
        <v>CheckAllocatedTaxlots</v>
      </c>
      <c r="CW4" s="23" t="str">
        <f ca="1">IFERROR(__xludf.DUMMYFUNCTION("""COMPUTED_VALUE"""),"")</f>
        <v/>
      </c>
      <c r="CX4" s="23" t="str">
        <f ca="1">IFERROR(__xludf.DUMMYFUNCTION("""COMPUTED_VALUE"""),"")</f>
        <v/>
      </c>
      <c r="CY4" s="23" t="str">
        <f ca="1">IFERROR(__xludf.DUMMYFUNCTION("""COMPUTED_VALUE"""),"")</f>
        <v/>
      </c>
      <c r="CZ4" s="23" t="str">
        <f ca="1">IFERROR(__xludf.DUMMYFUNCTION("""COMPUTED_VALUE"""),"")</f>
        <v/>
      </c>
      <c r="DA4" s="23" t="str">
        <f ca="1">IFERROR(__xludf.DUMMYFUNCTION("""COMPUTED_VALUE"""),"")</f>
        <v/>
      </c>
      <c r="DB4" s="23" t="str">
        <f ca="1">IFERROR(__xludf.DUMMYFUNCTION("""COMPUTED_VALUE"""),"")</f>
        <v/>
      </c>
      <c r="DC4" s="23" t="str">
        <f ca="1">IFERROR(__xludf.DUMMYFUNCTION("""COMPUTED_VALUE"""),"")</f>
        <v/>
      </c>
      <c r="DD4" s="23" t="str">
        <f ca="1">IFERROR(__xludf.DUMMYFUNCTION("""COMPUTED_VALUE"""),"")</f>
        <v/>
      </c>
      <c r="DE4" s="23" t="str">
        <f ca="1">IFERROR(__xludf.DUMMYFUNCTION("""COMPUTED_VALUE"""),"")</f>
        <v/>
      </c>
      <c r="DF4" s="23" t="str">
        <f ca="1">IFERROR(__xludf.DUMMYFUNCTION("""COMPUTED_VALUE"""),"")</f>
        <v/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  <c r="EX4" s="23" t="str">
        <f ca="1">IFERROR(__xludf.DUMMYFUNCTION("""COMPUTED_VALUE"""),"")</f>
        <v/>
      </c>
    </row>
    <row r="5" spans="1:154" ht="15.75" customHeight="1" x14ac:dyDescent="0.2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IFERROR(__xludf.DUMMYFUNCTION("""COMPUTED_VALUE"""),"Account Name")</f>
        <v>Account Name</v>
      </c>
      <c r="C5" s="25" t="str">
        <f ca="1">IFERROR(__xludf.DUMMYFUNCTION("""COMPUTED_VALUE"""),"Accrual Basis")</f>
        <v>Accrual Basis</v>
      </c>
      <c r="D5" s="25" t="str">
        <f ca="1">IFERROR(__xludf.DUMMYFUNCTION("""COMPUTED_VALUE"""),"Accrued Interest")</f>
        <v>Accrued Interest</v>
      </c>
      <c r="E5" s="25" t="str">
        <f ca="1">IFERROR(__xludf.DUMMYFUNCTION("""COMPUTED_VALUE"""),"Allocated Qty")</f>
        <v>Allocated Qty</v>
      </c>
      <c r="F5" s="26" t="str">
        <f ca="1">IFERROR(__xludf.DUMMYFUNCTION("""COMPUTED_VALUE"""),"Allocation Scheme Name")</f>
        <v>Allocation Scheme Name</v>
      </c>
      <c r="G5" s="25" t="str">
        <f ca="1">IFERROR(__xludf.DUMMYFUNCTION("""COMPUTED_VALUE"""),"Asset Category")</f>
        <v>Asset Category</v>
      </c>
      <c r="H5" s="25" t="str">
        <f ca="1">IFERROR(__xludf.DUMMYFUNCTION("""COMPUTED_VALUE"""),"AUEC Fee1")</f>
        <v>AUEC Fee1</v>
      </c>
      <c r="I5" s="25" t="str">
        <f ca="1">IFERROR(__xludf.DUMMYFUNCTION("""COMPUTED_VALUE"""),"AUEC Fee2")</f>
        <v>AUEC Fee2</v>
      </c>
      <c r="J5" s="25" t="str">
        <f ca="1">IFERROR(__xludf.DUMMYFUNCTION("""COMPUTED_VALUE"""),"AUECID")</f>
        <v>AUECID</v>
      </c>
      <c r="K5" s="25" t="str">
        <f ca="1">IFERROR(__xludf.DUMMYFUNCTION("""COMPUTED_VALUE"""),"Avg Price(Base)")</f>
        <v>Avg Price(Base)</v>
      </c>
      <c r="L5" s="25" t="str">
        <f ca="1">IFERROR(__xludf.DUMMYFUNCTION("""COMPUTED_VALUE"""),"Avg Price(Local)")</f>
        <v>Avg Price(Local)</v>
      </c>
      <c r="M5" s="25" t="str">
        <f ca="1">IFERROR(__xludf.DUMMYFUNCTION("""COMPUTED_VALUE"""),"Bloomberg")</f>
        <v>Bloomberg</v>
      </c>
      <c r="N5" s="25" t="str">
        <f ca="1">IFERROR(__xludf.DUMMYFUNCTION("""COMPUTED_VALUE"""),"Bond Type")</f>
        <v>Bond Type</v>
      </c>
      <c r="O5" s="25" t="str">
        <f ca="1">IFERROR(__xludf.DUMMYFUNCTION("""COMPUTED_VALUE"""),"Broker")</f>
        <v>Broker</v>
      </c>
      <c r="P5" s="25" t="str">
        <f ca="1">IFERROR(__xludf.DUMMYFUNCTION("""COMPUTED_VALUE"""),"Change Comment")</f>
        <v>Change Comment</v>
      </c>
      <c r="Q5" s="25" t="str">
        <f ca="1">IFERROR(__xludf.DUMMYFUNCTION("""COMPUTED_VALUE"""),"Change Type")</f>
        <v>Change Type</v>
      </c>
      <c r="R5" s="25" t="str">
        <f ca="1">IFERROR(__xludf.DUMMYFUNCTION("""COMPUTED_VALUE"""),"Clearing Broker Fee")</f>
        <v>Clearing Broker Fee</v>
      </c>
      <c r="S5" s="25" t="str">
        <f ca="1">IFERROR(__xludf.DUMMYFUNCTION("""COMPUTED_VALUE"""),"Closing Status")</f>
        <v>Closing Status</v>
      </c>
      <c r="T5" s="28" t="str">
        <f ca="1">IFERROR(__xludf.DUMMYFUNCTION("""COMPUTED_VALUE"""),"Commission")</f>
        <v>Commission</v>
      </c>
      <c r="U5" s="28" t="str">
        <f ca="1">IFERROR(__xludf.DUMMYFUNCTION("""COMPUTED_VALUE"""),"Commission Per Share")</f>
        <v>Commission Per Share</v>
      </c>
      <c r="V5" s="28" t="str">
        <f ca="1">IFERROR(__xludf.DUMMYFUNCTION("""COMPUTED_VALUE"""),"Company")</f>
        <v>Company</v>
      </c>
      <c r="W5" s="28" t="str">
        <f ca="1">IFERROR(__xludf.DUMMYFUNCTION("""COMPUTED_VALUE"""),"Contract Multiplier")</f>
        <v>Contract Multiplier</v>
      </c>
      <c r="X5" s="28" t="str">
        <f ca="1">IFERROR(__xludf.DUMMYFUNCTION("""COMPUTED_VALUE"""),"Coupon Rate")</f>
        <v>Coupon Rate</v>
      </c>
      <c r="Y5" s="28" t="str">
        <f ca="1">IFERROR(__xludf.DUMMYFUNCTION("""COMPUTED_VALUE"""),"Cum Qty For Sub Order")</f>
        <v>Cum Qty For Sub Order</v>
      </c>
      <c r="Z5" s="28" t="str">
        <f ca="1">IFERROR(__xludf.DUMMYFUNCTION("""COMPUTED_VALUE"""),"Currency")</f>
        <v>Currency</v>
      </c>
      <c r="AA5" s="28" t="str">
        <f ca="1">IFERROR(__xludf.DUMMYFUNCTION("""COMPUTED_VALUE"""),"Cusip Symbol")</f>
        <v>Cusip Symbol</v>
      </c>
      <c r="AB5" s="28" t="str">
        <f ca="1">IFERROR(__xludf.DUMMYFUNCTION("""COMPUTED_VALUE"""),"Delta")</f>
        <v>Delta</v>
      </c>
      <c r="AC5" s="28" t="str">
        <f ca="1">IFERROR(__xludf.DUMMYFUNCTION("""COMPUTED_VALUE"""),"Description")</f>
        <v>Description</v>
      </c>
      <c r="AD5" s="28" t="str">
        <f ca="1">IFERROR(__xludf.DUMMYFUNCTION("""COMPUTED_VALUE"""),"Exchange")</f>
        <v>Exchange</v>
      </c>
      <c r="AE5" s="28" t="str">
        <f ca="1">IFERROR(__xludf.DUMMYFUNCTION("""COMPUTED_VALUE"""),"Executed Qty")</f>
        <v>Executed Qty</v>
      </c>
      <c r="AF5" s="28" t="str">
        <f ca="1">IFERROR(__xludf.DUMMYFUNCTION("""COMPUTED_VALUE"""),"Exceution Time")</f>
        <v>Exceution Time</v>
      </c>
      <c r="AG5" s="28" t="str">
        <f ca="1">IFERROR(__xludf.DUMMYFUNCTION("""COMPUTED_VALUE"""),"Expiration Date")</f>
        <v>Expiration Date</v>
      </c>
      <c r="AH5" s="28" t="str">
        <f ca="1">IFERROR(__xludf.DUMMYFUNCTION("""COMPUTED_VALUE"""),"FX Conversion Operator")</f>
        <v>FX Conversion Operator</v>
      </c>
      <c r="AI5" s="28" t="str">
        <f ca="1">IFERROR(__xludf.DUMMYFUNCTION("""COMPUTED_VALUE"""),"FX Rate")</f>
        <v>FX Rate</v>
      </c>
      <c r="AJ5" s="28" t="str">
        <f ca="1">IFERROR(__xludf.DUMMYFUNCTION("""COMPUTED_VALUE"""),"Group Status")</f>
        <v>Group Status</v>
      </c>
      <c r="AK5" s="28" t="str">
        <f ca="1">IFERROR(__xludf.DUMMYFUNCTION("""COMPUTED_VALUE"""),"IDCOSymbol")</f>
        <v>IDCOSymbol</v>
      </c>
      <c r="AL5" s="28" t="str">
        <f ca="1">IFERROR(__xludf.DUMMYFUNCTION("""COMPUTED_VALUE"""),"Import File Name")</f>
        <v>Import File Name</v>
      </c>
      <c r="AM5" s="28" t="str">
        <f ca="1">IFERROR(__xludf.DUMMYFUNCTION("""COMPUTED_VALUE"""),"Internal Comments")</f>
        <v>Internal Comments</v>
      </c>
      <c r="AN5" s="28" t="str">
        <f ca="1">IFERROR(__xludf.DUMMYFUNCTION("""COMPUTED_VALUE"""),"IsAnotherTaxlotAttributesUpdated")</f>
        <v>IsAnotherTaxlotAttributesUpdated</v>
      </c>
      <c r="AO5" s="28" t="str">
        <f ca="1">IFERROR(__xludf.DUMMYFUNCTION("""COMPUTED_VALUE"""),"ISIN")</f>
        <v>ISIN</v>
      </c>
      <c r="AP5" s="28" t="str">
        <f ca="1">IFERROR(__xludf.DUMMYFUNCTION("""COMPUTED_VALUE"""),"IsManualGroup")</f>
        <v>IsManualGroup</v>
      </c>
      <c r="AQ5" s="28" t="str">
        <f ca="1">IFERROR(__xludf.DUMMYFUNCTION("""COMPUTED_VALUE"""),"ISNDF")</f>
        <v>ISNDF</v>
      </c>
      <c r="AR5" s="28" t="str">
        <f ca="1">IFERROR(__xludf.DUMMYFUNCTION("""COMPUTED_VALUE"""),"IsPreAllocated")</f>
        <v>IsPreAllocated</v>
      </c>
      <c r="AS5" s="28" t="str">
        <f ca="1">IFERROR(__xludf.DUMMYFUNCTION("""COMPUTED_VALUE"""),"M2MProfitLoss")</f>
        <v>M2MProfitLoss</v>
      </c>
      <c r="AT5" s="28" t="str">
        <f ca="1">IFERROR(__xludf.DUMMYFUNCTION("""COMPUTED_VALUE"""),"Net Amount( Base)")</f>
        <v>Net Amount( Base)</v>
      </c>
      <c r="AU5" s="28" t="str">
        <f ca="1">IFERROR(__xludf.DUMMYFUNCTION("""COMPUTED_VALUE"""),"Net Amount( Local)")</f>
        <v>Net Amount( Local)</v>
      </c>
      <c r="AV5" s="28" t="str">
        <f ca="1">IFERROR(__xludf.DUMMYFUNCTION("""COMPUTED_VALUE"""),"Nirvana Process Date")</f>
        <v>Nirvana Process Date</v>
      </c>
      <c r="AW5" s="28" t="str">
        <f ca="1">IFERROR(__xludf.DUMMYFUNCTION("""COMPUTED_VALUE"""),"OCC Fee")</f>
        <v>OCC Fee</v>
      </c>
      <c r="AX5" s="28" t="str">
        <f ca="1">IFERROR(__xludf.DUMMYFUNCTION("""COMPUTED_VALUE"""),"Option Premium Adjustment")</f>
        <v>Option Premium Adjustment</v>
      </c>
      <c r="AY5" s="28" t="str">
        <f ca="1">IFERROR(__xludf.DUMMYFUNCTION("""COMPUTED_VALUE"""),"Order Type")</f>
        <v>Order Type</v>
      </c>
      <c r="AZ5" s="28" t="str">
        <f ca="1">IFERROR(__xludf.DUMMYFUNCTION("""COMPUTED_VALUE"""),"ORF Fee")</f>
        <v>ORF Fee</v>
      </c>
      <c r="BA5" s="28" t="str">
        <f ca="1">IFERROR(__xludf.DUMMYFUNCTION("""COMPUTED_VALUE"""),"Original Purchase Date")</f>
        <v>Original Purchase Date</v>
      </c>
      <c r="BB5" s="28" t="str">
        <f ca="1">IFERROR(__xludf.DUMMYFUNCTION("""COMPUTED_VALUE"""),"OSISSymbol")</f>
        <v>OSISSymbol</v>
      </c>
      <c r="BC5" s="28" t="str">
        <f ca="1">IFERROR(__xludf.DUMMYFUNCTION("""COMPUTED_VALUE"""),"Other Broker Fees")</f>
        <v>Other Broker Fees</v>
      </c>
      <c r="BD5" s="28" t="str">
        <f ca="1">IFERROR(__xludf.DUMMYFUNCTION("""COMPUTED_VALUE"""),"Prana Msg Type")</f>
        <v>Prana Msg Type</v>
      </c>
      <c r="BE5" s="28" t="str">
        <f ca="1">IFERROR(__xludf.DUMMYFUNCTION("""COMPUTED_VALUE"""),"Principal Amount( Base)")</f>
        <v>Principal Amount( Base)</v>
      </c>
      <c r="BF5" s="28" t="str">
        <f ca="1">IFERROR(__xludf.DUMMYFUNCTION("""COMPUTED_VALUE"""),"Principal Amount( Local)")</f>
        <v>Principal Amount( Local)</v>
      </c>
      <c r="BG5" s="28" t="str">
        <f ca="1">IFERROR(__xludf.DUMMYFUNCTION("""COMPUTED_VALUE"""),"Process Date")</f>
        <v>Process Date</v>
      </c>
      <c r="BH5" s="28" t="str">
        <f ca="1">IFERROR(__xludf.DUMMYFUNCTION("""COMPUTED_VALUE"""),"Proxy Symbol")</f>
        <v>Proxy Symbol</v>
      </c>
      <c r="BI5" s="28" t="str">
        <f ca="1">IFERROR(__xludf.DUMMYFUNCTION("""COMPUTED_VALUE"""),"Put Or Call")</f>
        <v>Put Or Call</v>
      </c>
      <c r="BJ5" s="28" t="str">
        <f ca="1">IFERROR(__xludf.DUMMYFUNCTION("""COMPUTED_VALUE"""),"Quantity")</f>
        <v>Quantity</v>
      </c>
      <c r="BK5" s="28" t="str">
        <f ca="1">IFERROR(__xludf.DUMMYFUNCTION("""COMPUTED_VALUE"""),"SEC Fee")</f>
        <v>SEC Fee</v>
      </c>
      <c r="BL5" s="28" t="str">
        <f ca="1">IFERROR(__xludf.DUMMYFUNCTION("""COMPUTED_VALUE"""),"Sedol Symbol")</f>
        <v>Sedol Symbol</v>
      </c>
      <c r="BM5" s="28" t="str">
        <f ca="1">IFERROR(__xludf.DUMMYFUNCTION("""COMPUTED_VALUE"""),"Settlement Currency")</f>
        <v>Settlement Currency</v>
      </c>
      <c r="BN5" s="28" t="str">
        <f ca="1">IFERROR(__xludf.DUMMYFUNCTION("""COMPUTED_VALUE"""),"Settlement Date")</f>
        <v>Settlement Date</v>
      </c>
      <c r="BO5" s="28" t="str">
        <f ca="1">IFERROR(__xludf.DUMMYFUNCTION("""COMPUTED_VALUE"""),"Side")</f>
        <v>Side</v>
      </c>
      <c r="BP5" s="28" t="str">
        <f ca="1">IFERROR(__xludf.DUMMYFUNCTION("""COMPUTED_VALUE"""),"Soft Commission")</f>
        <v>Soft Commission</v>
      </c>
      <c r="BQ5" s="28" t="str">
        <f ca="1">IFERROR(__xludf.DUMMYFUNCTION("""COMPUTED_VALUE"""),"Soft Commission Per Share")</f>
        <v>Soft Commission Per Share</v>
      </c>
      <c r="BR5" s="28" t="str">
        <f ca="1">IFERROR(__xludf.DUMMYFUNCTION("""COMPUTED_VALUE"""),"Stamp Duty")</f>
        <v>Stamp Duty</v>
      </c>
      <c r="BS5" s="28" t="str">
        <f ca="1">IFERROR(__xludf.DUMMYFUNCTION("""COMPUTED_VALUE"""),"Strategy Name")</f>
        <v>Strategy Name</v>
      </c>
      <c r="BT5" s="28" t="str">
        <f ca="1">IFERROR(__xludf.DUMMYFUNCTION("""COMPUTED_VALUE"""),"Symbol")</f>
        <v>Symbol</v>
      </c>
      <c r="BU5" s="28" t="str">
        <f ca="1">IFERROR(__xludf.DUMMYFUNCTION("""COMPUTED_VALUE"""),"Tax On Commissions")</f>
        <v>Tax On Commissions</v>
      </c>
      <c r="BV5" s="28" t="str">
        <f ca="1">IFERROR(__xludf.DUMMYFUNCTION("""COMPUTED_VALUE"""),"Total Commission")</f>
        <v>Total Commission</v>
      </c>
      <c r="BW5" s="28" t="str">
        <f ca="1">IFERROR(__xludf.DUMMYFUNCTION("""COMPUTED_VALUE"""),"Total Commission And Fee")</f>
        <v>Total Commission And Fee</v>
      </c>
      <c r="BX5" s="28" t="str">
        <f ca="1">IFERROR(__xludf.DUMMYFUNCTION("""COMPUTED_VALUE"""),"Total Commission Per Share")</f>
        <v>Total Commission Per Share</v>
      </c>
      <c r="BY5" s="28" t="str">
        <f ca="1">IFERROR(__xludf.DUMMYFUNCTION("""COMPUTED_VALUE"""),"Trade Attribute 1")</f>
        <v>Trade Attribute 1</v>
      </c>
      <c r="BZ5" s="28" t="str">
        <f ca="1">IFERROR(__xludf.DUMMYFUNCTION("""COMPUTED_VALUE"""),"Trade Attribute 2")</f>
        <v>Trade Attribute 2</v>
      </c>
      <c r="CA5" s="28" t="str">
        <f ca="1">IFERROR(__xludf.DUMMYFUNCTION("""COMPUTED_VALUE"""),"Trade Attribute 3")</f>
        <v>Trade Attribute 3</v>
      </c>
      <c r="CB5" s="28" t="str">
        <f ca="1">IFERROR(__xludf.DUMMYFUNCTION("""COMPUTED_VALUE"""),"Trade Attribute 4")</f>
        <v>Trade Attribute 4</v>
      </c>
      <c r="CC5" s="28" t="str">
        <f ca="1">IFERROR(__xludf.DUMMYFUNCTION("""COMPUTED_VALUE"""),"Trade Attribute 5")</f>
        <v>Trade Attribute 5</v>
      </c>
      <c r="CD5" s="28" t="str">
        <f ca="1">IFERROR(__xludf.DUMMYFUNCTION("""COMPUTED_VALUE"""),"Trade Attribute 6")</f>
        <v>Trade Attribute 6</v>
      </c>
      <c r="CE5" s="28" t="str">
        <f ca="1">IFERROR(__xludf.DUMMYFUNCTION("""COMPUTED_VALUE"""),"Trade Date")</f>
        <v>Trade Date</v>
      </c>
      <c r="CF5" s="28" t="str">
        <f ca="1">IFERROR(__xludf.DUMMYFUNCTION("""COMPUTED_VALUE"""),"Trading Account")</f>
        <v>Trading Account</v>
      </c>
      <c r="CG5" s="28" t="str">
        <f ca="1">IFERROR(__xludf.DUMMYFUNCTION("""COMPUTED_VALUE"""),"Transaction Levy")</f>
        <v>Transaction Levy</v>
      </c>
      <c r="CH5" s="28" t="str">
        <f ca="1">IFERROR(__xludf.DUMMYFUNCTION("""COMPUTED_VALUE"""),"Transaction Source")</f>
        <v>Transaction Source</v>
      </c>
      <c r="CI5" s="46" t="str">
        <f ca="1">IFERROR(__xludf.DUMMYFUNCTION("""COMPUTED_VALUE"""),"Transaction Type")</f>
        <v>Transaction Type</v>
      </c>
      <c r="CJ5" s="28" t="str">
        <f ca="1">IFERROR(__xludf.DUMMYFUNCTION("""COMPUTED_VALUE"""),"UnAllocatedQty")</f>
        <v>UnAllocatedQty</v>
      </c>
      <c r="CK5" s="28" t="str">
        <f ca="1">IFERROR(__xludf.DUMMYFUNCTION("""COMPUTED_VALUE"""),"Underlying")</f>
        <v>Underlying</v>
      </c>
      <c r="CL5" s="28" t="str">
        <f ca="1">IFERROR(__xludf.DUMMYFUNCTION("""COMPUTED_VALUE"""),"Underlying Delta")</f>
        <v>Underlying Delta</v>
      </c>
      <c r="CM5" s="28" t="str">
        <f ca="1">IFERROR(__xludf.DUMMYFUNCTION("""COMPUTED_VALUE"""),"Underlying Symbol")</f>
        <v>Underlying Symbol</v>
      </c>
      <c r="CN5" s="28" t="str">
        <f ca="1">IFERROR(__xludf.DUMMYFUNCTION("""COMPUTED_VALUE"""),"User")</f>
        <v>User</v>
      </c>
      <c r="CO5" s="28" t="str">
        <f ca="1">IFERROR(__xludf.DUMMYFUNCTION("""COMPUTED_VALUE"""),"Venue")</f>
        <v>Venue</v>
      </c>
      <c r="CP5" s="28" t="str">
        <f ca="1">IFERROR(__xludf.DUMMYFUNCTION("""COMPUTED_VALUE"""),"Closing Method")</f>
        <v>Closing Method</v>
      </c>
      <c r="CQ5" s="28" t="str">
        <f ca="1">IFERROR(__xludf.DUMMYFUNCTION("""COMPUTED_VALUE"""),"Closing Date")</f>
        <v>Closing Date</v>
      </c>
      <c r="CR5" s="28" t="str">
        <f ca="1">IFERROR(__xludf.DUMMYFUNCTION("""COMPUTED_VALUE"""),"GroupID")</f>
        <v>GroupID</v>
      </c>
      <c r="CS5" s="28" t="str">
        <f ca="1">IFERROR(__xludf.DUMMYFUNCTION("""COMPUTED_VALUE"""),"")</f>
        <v/>
      </c>
      <c r="CT5" s="28" t="str">
        <f ca="1">IFERROR(__xludf.DUMMYFUNCTION("""COMPUTED_VALUE"""),"")</f>
        <v/>
      </c>
      <c r="CU5" s="28" t="str">
        <f ca="1">IFERROR(__xludf.DUMMYFUNCTION("""COMPUTED_VALUE"""),"")</f>
        <v/>
      </c>
      <c r="CV5" s="28" t="str">
        <f ca="1">IFERROR(__xludf.DUMMYFUNCTION("""COMPUTED_VALUE"""),"")</f>
        <v/>
      </c>
      <c r="CW5" s="28" t="str">
        <f ca="1">IFERROR(__xludf.DUMMYFUNCTION("""COMPUTED_VALUE"""),"")</f>
        <v/>
      </c>
      <c r="CX5" s="28" t="str">
        <f ca="1">IFERROR(__xludf.DUMMYFUNCTION("""COMPUTED_VALUE"""),"")</f>
        <v/>
      </c>
      <c r="CY5" s="28" t="str">
        <f ca="1">IFERROR(__xludf.DUMMYFUNCTION("""COMPUTED_VALUE"""),"")</f>
        <v/>
      </c>
      <c r="CZ5" s="28" t="str">
        <f ca="1">IFERROR(__xludf.DUMMYFUNCTION("""COMPUTED_VALUE"""),"")</f>
        <v/>
      </c>
      <c r="DA5" s="28" t="str">
        <f ca="1">IFERROR(__xludf.DUMMYFUNCTION("""COMPUTED_VALUE"""),"")</f>
        <v/>
      </c>
      <c r="DB5" s="28" t="str">
        <f ca="1">IFERROR(__xludf.DUMMYFUNCTION("""COMPUTED_VALUE"""),"")</f>
        <v/>
      </c>
      <c r="DC5" s="28" t="str">
        <f ca="1">IFERROR(__xludf.DUMMYFUNCTION("""COMPUTED_VALUE"""),"")</f>
        <v/>
      </c>
      <c r="DD5" s="28" t="str">
        <f ca="1">IFERROR(__xludf.DUMMYFUNCTION("""COMPUTED_VALUE"""),"")</f>
        <v/>
      </c>
      <c r="DE5" s="28" t="str">
        <f ca="1">IFERROR(__xludf.DUMMYFUNCTION("""COMPUTED_VALUE"""),"")</f>
        <v/>
      </c>
      <c r="DF5" s="28" t="str">
        <f ca="1">IFERROR(__xludf.DUMMYFUNCTION("""COMPUTED_VALUE"""),"")</f>
        <v/>
      </c>
      <c r="DG5" s="28" t="str">
        <f ca="1">IFERROR(__xludf.DUMMYFUNCTION("""COMPUTED_VALUE"""),"")</f>
        <v/>
      </c>
      <c r="DH5" s="28" t="str">
        <f ca="1">IFERROR(__xludf.DUMMYFUNCTION("""COMPUTED_VALUE"""),"")</f>
        <v/>
      </c>
      <c r="DI5" s="28" t="str">
        <f ca="1">IFERROR(__xludf.DUMMYFUNCTION("""COMPUTED_VALUE"""),"")</f>
        <v/>
      </c>
      <c r="DJ5" s="28" t="str">
        <f ca="1">IFERROR(__xludf.DUMMYFUNCTION("""COMPUTED_VALUE"""),"")</f>
        <v/>
      </c>
      <c r="DK5" s="28" t="str">
        <f ca="1">IFERROR(__xludf.DUMMYFUNCTION("""COMPUTED_VALUE"""),"")</f>
        <v/>
      </c>
      <c r="DL5" s="28" t="str">
        <f ca="1">IFERROR(__xludf.DUMMYFUNCTION("""COMPUTED_VALUE"""),"")</f>
        <v/>
      </c>
      <c r="DM5" s="28" t="str">
        <f ca="1">IFERROR(__xludf.DUMMYFUNCTION("""COMPUTED_VALUE"""),"")</f>
        <v/>
      </c>
      <c r="DN5" s="28" t="str">
        <f ca="1">IFERROR(__xludf.DUMMYFUNCTION("""COMPUTED_VALUE"""),"")</f>
        <v/>
      </c>
      <c r="DO5" s="28" t="str">
        <f ca="1">IFERROR(__xludf.DUMMYFUNCTION("""COMPUTED_VALUE"""),"")</f>
        <v/>
      </c>
      <c r="DP5" s="28" t="str">
        <f ca="1">IFERROR(__xludf.DUMMYFUNCTION("""COMPUTED_VALUE"""),"")</f>
        <v/>
      </c>
      <c r="DQ5" s="28" t="str">
        <f ca="1">IFERROR(__xludf.DUMMYFUNCTION("""COMPUTED_VALUE"""),"")</f>
        <v/>
      </c>
      <c r="DR5" s="28" t="str">
        <f ca="1">IFERROR(__xludf.DUMMYFUNCTION("""COMPUTED_VALUE"""),"")</f>
        <v/>
      </c>
      <c r="DS5" s="28" t="str">
        <f ca="1">IFERROR(__xludf.DUMMYFUNCTION("""COMPUTED_VALUE"""),"")</f>
        <v/>
      </c>
      <c r="DT5" s="28" t="str">
        <f ca="1">IFERROR(__xludf.DUMMYFUNCTION("""COMPUTED_VALUE"""),"")</f>
        <v/>
      </c>
      <c r="DU5" s="28" t="str">
        <f ca="1">IFERROR(__xludf.DUMMYFUNCTION("""COMPUTED_VALUE"""),"")</f>
        <v/>
      </c>
      <c r="DV5" s="28" t="str">
        <f ca="1">IFERROR(__xludf.DUMMYFUNCTION("""COMPUTED_VALUE"""),"")</f>
        <v/>
      </c>
      <c r="DW5" s="28" t="str">
        <f ca="1">IFERROR(__xludf.DUMMYFUNCTION("""COMPUTED_VALUE"""),"")</f>
        <v/>
      </c>
      <c r="DX5" s="28" t="str">
        <f ca="1">IFERROR(__xludf.DUMMYFUNCTION("""COMPUTED_VALUE"""),"")</f>
        <v/>
      </c>
      <c r="DY5" s="28" t="str">
        <f ca="1">IFERROR(__xludf.DUMMYFUNCTION("""COMPUTED_VALUE"""),"")</f>
        <v/>
      </c>
      <c r="DZ5" s="28" t="str">
        <f ca="1">IFERROR(__xludf.DUMMYFUNCTION("""COMPUTED_VALUE"""),"")</f>
        <v/>
      </c>
      <c r="EA5" s="28" t="str">
        <f ca="1">IFERROR(__xludf.DUMMYFUNCTION("""COMPUTED_VALUE"""),"")</f>
        <v/>
      </c>
      <c r="EB5" s="28" t="str">
        <f ca="1">IFERROR(__xludf.DUMMYFUNCTION("""COMPUTED_VALUE"""),"")</f>
        <v/>
      </c>
      <c r="EC5" s="28" t="str">
        <f ca="1">IFERROR(__xludf.DUMMYFUNCTION("""COMPUTED_VALUE"""),"")</f>
        <v/>
      </c>
      <c r="ED5" s="28" t="str">
        <f ca="1">IFERROR(__xludf.DUMMYFUNCTION("""COMPUTED_VALUE"""),"")</f>
        <v/>
      </c>
      <c r="EE5" s="28" t="str">
        <f ca="1">IFERROR(__xludf.DUMMYFUNCTION("""COMPUTED_VALUE"""),"")</f>
        <v/>
      </c>
      <c r="EF5" s="28" t="str">
        <f ca="1">IFERROR(__xludf.DUMMYFUNCTION("""COMPUTED_VALUE"""),"")</f>
        <v/>
      </c>
      <c r="EG5" s="28" t="str">
        <f ca="1">IFERROR(__xludf.DUMMYFUNCTION("""COMPUTED_VALUE"""),"")</f>
        <v/>
      </c>
      <c r="EH5" s="28" t="str">
        <f ca="1">IFERROR(__xludf.DUMMYFUNCTION("""COMPUTED_VALUE"""),"")</f>
        <v/>
      </c>
      <c r="EI5" s="28" t="str">
        <f ca="1">IFERROR(__xludf.DUMMYFUNCTION("""COMPUTED_VALUE"""),"")</f>
        <v/>
      </c>
      <c r="EJ5" s="28" t="str">
        <f ca="1">IFERROR(__xludf.DUMMYFUNCTION("""COMPUTED_VALUE"""),"")</f>
        <v/>
      </c>
      <c r="EK5" s="28" t="str">
        <f ca="1">IFERROR(__xludf.DUMMYFUNCTION("""COMPUTED_VALUE"""),"")</f>
        <v/>
      </c>
      <c r="EL5" s="28" t="str">
        <f ca="1">IFERROR(__xludf.DUMMYFUNCTION("""COMPUTED_VALUE"""),"")</f>
        <v/>
      </c>
      <c r="EM5" s="28" t="str">
        <f ca="1">IFERROR(__xludf.DUMMYFUNCTION("""COMPUTED_VALUE"""),"")</f>
        <v/>
      </c>
      <c r="EN5" s="28" t="str">
        <f ca="1">IFERROR(__xludf.DUMMYFUNCTION("""COMPUTED_VALUE"""),"")</f>
        <v/>
      </c>
      <c r="EO5" s="28" t="str">
        <f ca="1">IFERROR(__xludf.DUMMYFUNCTION("""COMPUTED_VALUE"""),"")</f>
        <v/>
      </c>
      <c r="EP5" s="28" t="str">
        <f ca="1">IFERROR(__xludf.DUMMYFUNCTION("""COMPUTED_VALUE"""),"")</f>
        <v/>
      </c>
      <c r="EQ5" s="28" t="str">
        <f ca="1">IFERROR(__xludf.DUMMYFUNCTION("""COMPUTED_VALUE"""),"")</f>
        <v/>
      </c>
      <c r="ER5" s="28" t="str">
        <f ca="1">IFERROR(__xludf.DUMMYFUNCTION("""COMPUTED_VALUE"""),"")</f>
        <v/>
      </c>
      <c r="ES5" s="28" t="str">
        <f ca="1">IFERROR(__xludf.DUMMYFUNCTION("""COMPUTED_VALUE"""),"")</f>
        <v/>
      </c>
      <c r="ET5" s="28" t="str">
        <f ca="1">IFERROR(__xludf.DUMMYFUNCTION("""COMPUTED_VALUE"""),"")</f>
        <v/>
      </c>
      <c r="EU5" s="28" t="str">
        <f ca="1">IFERROR(__xludf.DUMMYFUNCTION("""COMPUTED_VALUE"""),"")</f>
        <v/>
      </c>
      <c r="EV5" s="28" t="str">
        <f ca="1">IFERROR(__xludf.DUMMYFUNCTION("""COMPUTED_VALUE"""),"")</f>
        <v/>
      </c>
      <c r="EW5" s="28" t="str">
        <f ca="1">IFERROR(__xludf.DUMMYFUNCTION("""COMPUTED_VALUE"""),"")</f>
        <v/>
      </c>
      <c r="EX5" s="28" t="str">
        <f ca="1">IFERROR(__xludf.DUMMYFUNCTION("""COMPUTED_VALUE"""),"")</f>
        <v/>
      </c>
    </row>
    <row r="6" spans="1:154" ht="15.75" customHeight="1" x14ac:dyDescent="0.2">
      <c r="A6" s="5"/>
      <c r="B6" s="41" t="s">
        <v>18</v>
      </c>
      <c r="C6" s="32"/>
      <c r="D6" s="47"/>
      <c r="E6" s="34">
        <v>120</v>
      </c>
      <c r="F6" s="32"/>
      <c r="G6" s="32"/>
      <c r="H6" s="32"/>
      <c r="I6" s="48"/>
      <c r="J6" s="32"/>
      <c r="K6" s="32"/>
      <c r="L6" s="34"/>
      <c r="M6" s="32"/>
      <c r="N6" s="32"/>
      <c r="O6" s="32"/>
      <c r="P6" s="32"/>
      <c r="Q6" s="32"/>
      <c r="R6" s="32"/>
      <c r="S6" s="33" t="s">
        <v>36</v>
      </c>
      <c r="T6" s="32"/>
      <c r="V6" s="32"/>
      <c r="W6" s="32"/>
      <c r="X6" s="32"/>
      <c r="Y6" s="32"/>
      <c r="Z6" s="32"/>
      <c r="AA6" s="32"/>
      <c r="AB6" s="32"/>
      <c r="AC6" s="32"/>
      <c r="AD6" s="32"/>
      <c r="AE6" s="49">
        <v>120</v>
      </c>
      <c r="AF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3" t="s">
        <v>19</v>
      </c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49">
        <v>120</v>
      </c>
      <c r="BK6" s="32"/>
      <c r="BL6" s="32"/>
      <c r="BN6" s="32"/>
      <c r="BO6" s="32" t="s">
        <v>37</v>
      </c>
      <c r="BP6" s="32"/>
      <c r="BQ6" s="32"/>
      <c r="BR6" s="32"/>
      <c r="BS6" s="32"/>
      <c r="BT6" s="29" t="s">
        <v>16</v>
      </c>
      <c r="BV6" s="32"/>
      <c r="BW6" s="32"/>
      <c r="BX6" s="32"/>
      <c r="BY6" s="32"/>
      <c r="CA6" s="32"/>
      <c r="CB6" s="32"/>
      <c r="CC6" s="32"/>
      <c r="CD6" s="32"/>
      <c r="CE6" s="32"/>
      <c r="CF6" s="32"/>
      <c r="CG6" s="32"/>
      <c r="CH6" s="32"/>
      <c r="CI6" s="50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</row>
    <row r="7" spans="1:154" ht="15.75" customHeight="1" x14ac:dyDescent="0.2">
      <c r="A7" s="2"/>
      <c r="B7" s="30" t="s">
        <v>18</v>
      </c>
      <c r="C7" s="32"/>
      <c r="D7" s="32"/>
      <c r="E7" s="36">
        <v>100</v>
      </c>
      <c r="F7" s="32"/>
      <c r="G7" s="32"/>
      <c r="H7" s="32"/>
      <c r="I7" s="48"/>
      <c r="J7" s="32"/>
      <c r="K7" s="32"/>
      <c r="L7" s="34"/>
      <c r="M7" s="32"/>
      <c r="N7" s="32"/>
      <c r="O7" s="32"/>
      <c r="P7" s="32"/>
      <c r="Q7" s="32"/>
      <c r="R7" s="32"/>
      <c r="S7" s="32" t="s">
        <v>38</v>
      </c>
      <c r="T7" s="32"/>
      <c r="V7" s="32"/>
      <c r="W7" s="32"/>
      <c r="X7" s="32"/>
      <c r="Y7" s="32"/>
      <c r="Z7" s="32"/>
      <c r="AA7" s="32"/>
      <c r="AB7" s="32"/>
      <c r="AC7" s="32"/>
      <c r="AD7" s="32"/>
      <c r="AE7" s="51">
        <v>100</v>
      </c>
      <c r="AF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3" t="s">
        <v>19</v>
      </c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51">
        <v>100</v>
      </c>
      <c r="BK7" s="32"/>
      <c r="BL7" s="32"/>
      <c r="BN7" s="32"/>
      <c r="BO7" s="32" t="s">
        <v>20</v>
      </c>
      <c r="BP7" s="32"/>
      <c r="BQ7" s="32"/>
      <c r="BR7" s="32"/>
      <c r="BS7" s="32"/>
      <c r="BT7" s="29" t="s">
        <v>16</v>
      </c>
      <c r="BV7" s="32"/>
      <c r="BW7" s="32"/>
      <c r="BX7" s="32"/>
      <c r="BY7" s="32"/>
      <c r="CA7" s="32"/>
      <c r="CB7" s="32"/>
      <c r="CC7" s="32"/>
      <c r="CD7" s="32"/>
      <c r="CE7" s="32"/>
      <c r="CF7" s="32"/>
      <c r="CG7" s="32"/>
      <c r="CH7" s="32"/>
      <c r="CI7" s="5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</row>
    <row r="8" spans="1:154" ht="15.75" customHeight="1" x14ac:dyDescent="0.2">
      <c r="A8" s="2"/>
      <c r="B8" s="41" t="s">
        <v>18</v>
      </c>
      <c r="C8" s="32"/>
      <c r="D8" s="47"/>
      <c r="E8" s="34">
        <v>120</v>
      </c>
      <c r="F8" s="32"/>
      <c r="G8" s="32"/>
      <c r="H8" s="32"/>
      <c r="I8" s="48"/>
      <c r="J8" s="32"/>
      <c r="K8" s="32"/>
      <c r="L8" s="34"/>
      <c r="M8" s="32"/>
      <c r="N8" s="32"/>
      <c r="O8" s="32"/>
      <c r="P8" s="32"/>
      <c r="Q8" s="32"/>
      <c r="R8" s="32"/>
      <c r="S8" s="33" t="s">
        <v>36</v>
      </c>
      <c r="T8" s="32"/>
      <c r="V8" s="32"/>
      <c r="W8" s="32"/>
      <c r="X8" s="32"/>
      <c r="Y8" s="32"/>
      <c r="Z8" s="32"/>
      <c r="AA8" s="32"/>
      <c r="AB8" s="32"/>
      <c r="AC8" s="32"/>
      <c r="AD8" s="32"/>
      <c r="AE8" s="49">
        <v>120</v>
      </c>
      <c r="AF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3" t="s">
        <v>19</v>
      </c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49">
        <v>120</v>
      </c>
      <c r="BK8" s="32"/>
      <c r="BL8" s="32"/>
      <c r="BN8" s="32"/>
      <c r="BO8" s="32" t="s">
        <v>37</v>
      </c>
      <c r="BP8" s="32"/>
      <c r="BQ8" s="32"/>
      <c r="BR8" s="32"/>
      <c r="BS8" s="32"/>
      <c r="BT8" s="29" t="s">
        <v>16</v>
      </c>
      <c r="BV8" s="32"/>
      <c r="BW8" s="32"/>
      <c r="BX8" s="32"/>
      <c r="BY8" s="32"/>
      <c r="CA8" s="32"/>
      <c r="CB8" s="32"/>
      <c r="CC8" s="32"/>
      <c r="CD8" s="32"/>
      <c r="CE8" s="32"/>
      <c r="CF8" s="32"/>
      <c r="CG8" s="32"/>
      <c r="CH8" s="32"/>
      <c r="CI8" s="50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</row>
    <row r="9" spans="1:154" ht="15.75" customHeight="1" x14ac:dyDescent="0.2">
      <c r="A9" s="2"/>
      <c r="B9" s="30" t="s">
        <v>18</v>
      </c>
      <c r="C9" s="32"/>
      <c r="D9" s="32"/>
      <c r="E9" s="36">
        <v>100</v>
      </c>
      <c r="F9" s="32"/>
      <c r="G9" s="32"/>
      <c r="H9" s="32"/>
      <c r="I9" s="48"/>
      <c r="J9" s="32"/>
      <c r="K9" s="32"/>
      <c r="L9" s="34"/>
      <c r="M9" s="32"/>
      <c r="N9" s="32"/>
      <c r="O9" s="32"/>
      <c r="P9" s="32"/>
      <c r="Q9" s="32"/>
      <c r="R9" s="32"/>
      <c r="S9" s="32" t="s">
        <v>38</v>
      </c>
      <c r="T9" s="32"/>
      <c r="V9" s="32"/>
      <c r="W9" s="32"/>
      <c r="X9" s="32"/>
      <c r="Y9" s="32"/>
      <c r="Z9" s="32"/>
      <c r="AA9" s="32"/>
      <c r="AB9" s="32"/>
      <c r="AC9" s="32"/>
      <c r="AD9" s="32"/>
      <c r="AE9" s="51">
        <v>100</v>
      </c>
      <c r="AF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3" t="s">
        <v>19</v>
      </c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51">
        <v>100</v>
      </c>
      <c r="BK9" s="32"/>
      <c r="BL9" s="32"/>
      <c r="BN9" s="32"/>
      <c r="BO9" s="32" t="s">
        <v>20</v>
      </c>
      <c r="BP9" s="32"/>
      <c r="BQ9" s="32"/>
      <c r="BR9" s="32"/>
      <c r="BS9" s="32"/>
      <c r="BT9" s="29" t="s">
        <v>16</v>
      </c>
      <c r="BV9" s="32"/>
      <c r="BW9" s="32"/>
      <c r="BX9" s="32"/>
      <c r="BY9" s="32"/>
      <c r="CA9" s="32"/>
      <c r="CB9" s="32"/>
      <c r="CC9" s="32"/>
      <c r="CD9" s="32"/>
      <c r="CE9" s="32"/>
      <c r="CF9" s="32"/>
      <c r="CG9" s="32"/>
      <c r="CH9" s="32"/>
      <c r="CI9" s="50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</row>
    <row r="10" spans="1:154" ht="15.75" customHeight="1" x14ac:dyDescent="0.2">
      <c r="A10" s="2"/>
      <c r="B10" s="5" t="s">
        <v>18</v>
      </c>
      <c r="C10" s="2"/>
      <c r="D10" s="2"/>
      <c r="E10" s="5">
        <v>120</v>
      </c>
      <c r="F10" s="2"/>
      <c r="G10" s="2"/>
      <c r="H10" s="2"/>
      <c r="I10" s="2"/>
      <c r="J10" s="2"/>
      <c r="K10" s="2"/>
      <c r="L10" s="2"/>
      <c r="M10" s="2"/>
      <c r="N10" s="2"/>
      <c r="O10" s="2"/>
      <c r="S10" s="39" t="s">
        <v>39</v>
      </c>
      <c r="AE10" s="39">
        <v>120</v>
      </c>
      <c r="AY10" s="39" t="s">
        <v>19</v>
      </c>
      <c r="BJ10" s="39">
        <v>120</v>
      </c>
      <c r="BO10" s="39" t="s">
        <v>37</v>
      </c>
      <c r="BT10" s="39" t="s">
        <v>16</v>
      </c>
      <c r="CI10" s="38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992"/>
  <sheetViews>
    <sheetView tabSelected="1" topLeftCell="BE1" workbookViewId="0">
      <selection activeCell="BM7" sqref="BM7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 x14ac:dyDescent="0.3">
      <c r="A1" s="12"/>
      <c r="B1" s="53" t="s">
        <v>11</v>
      </c>
      <c r="C1" s="54"/>
      <c r="D1" s="54"/>
      <c r="E1" s="54"/>
      <c r="F1" s="54"/>
      <c r="G1" s="54"/>
      <c r="H1" s="55"/>
      <c r="I1" s="12"/>
      <c r="J1" s="12"/>
      <c r="K1" s="12"/>
      <c r="L1" s="12"/>
      <c r="M1" s="12"/>
      <c r="N1" s="12"/>
      <c r="O1" s="12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spans="1:169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e">
        <f ca="1">VLOOKUP($E$3,_MasterData!B4:D1000,3,FALSE)</f>
        <v>#N/A</v>
      </c>
      <c r="K2" s="15"/>
      <c r="L2" s="2"/>
      <c r="M2" s="2"/>
      <c r="N2" s="2"/>
      <c r="O2" s="2"/>
    </row>
    <row r="3" spans="1:169" ht="15.75" customHeight="1" x14ac:dyDescent="0.2">
      <c r="A3" s="17"/>
      <c r="B3" s="3" t="s">
        <v>5</v>
      </c>
      <c r="C3" s="18" t="s">
        <v>40</v>
      </c>
      <c r="D3" s="3" t="s">
        <v>7</v>
      </c>
      <c r="E3" s="18" t="s">
        <v>41</v>
      </c>
      <c r="F3" s="3" t="s">
        <v>14</v>
      </c>
      <c r="G3" s="7" t="s">
        <v>15</v>
      </c>
      <c r="H3" s="3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</row>
    <row r="4" spans="1:169" ht="15.75" customHeight="1" x14ac:dyDescent="0.2">
      <c r="A4" s="21"/>
      <c r="B4" s="21" t="str">
        <f ca="1">IFERROR(__xludf.DUMMYFUNCTION("IF(C3="""","""",Transpose(IMPORTRANGE('_Settings'!$B$3,C3&amp;""!A4:A1000"")))"),"CheckDashboardPM")</f>
        <v>CheckDashboardPM</v>
      </c>
      <c r="C4" s="21" t="str">
        <f ca="1">IFERROR(__xludf.DUMMYFUNCTION("""COMPUTED_VALUE"""),"CheckPortfolioManagement")</f>
        <v>CheckPortfolioManagement</v>
      </c>
      <c r="D4" s="21" t="str">
        <f ca="1">IFERROR(__xludf.DUMMYFUNCTION("""COMPUTED_VALUE"""),"OpenPSTFromPM")</f>
        <v>OpenPSTFromPM</v>
      </c>
      <c r="E4" s="21" t="str">
        <f ca="1">IFERROR(__xludf.DUMMYFUNCTION("""COMPUTED_VALUE"""),"ClosePM")</f>
        <v>ClosePM</v>
      </c>
      <c r="F4" s="21" t="str">
        <f ca="1">IFERROR(__xludf.DUMMYFUNCTION("""COMPUTED_VALUE"""),"FilterPM")</f>
        <v>FilterPM</v>
      </c>
      <c r="G4" s="21" t="str">
        <f ca="1">IFERROR(__xludf.DUMMYFUNCTION("""COMPUTED_VALUE"""),"GroupRowPM")</f>
        <v>GroupRowPM</v>
      </c>
      <c r="H4" s="21" t="str">
        <f ca="1">IFERROR(__xludf.DUMMYFUNCTION("""COMPUTED_VALUE"""),"CheckDashboardWithPM")</f>
        <v>CheckDashboardWithPM</v>
      </c>
      <c r="I4" s="21" t="str">
        <f ca="1">IFERROR(__xludf.DUMMYFUNCTION("""COMPUTED_VALUE"""),"RemoveFilterPM")</f>
        <v>RemoveFilterPM</v>
      </c>
      <c r="J4" s="21" t="str">
        <f ca="1">IFERROR(__xludf.DUMMYFUNCTION("""COMPUTED_VALUE"""),"CheckSummaryRowsPM")</f>
        <v>CheckSummaryRowsPM</v>
      </c>
      <c r="K4" s="21" t="str">
        <f ca="1">IFERROR(__xludf.DUMMYFUNCTION("""COMPUTED_VALUE"""),"OpenPTTFromPM")</f>
        <v>OpenPTTFromPM</v>
      </c>
      <c r="L4" s="21" t="str">
        <f ca="1">IFERROR(__xludf.DUMMYFUNCTION("""COMPUTED_VALUE"""),"OpenCreateTransactionFromPM")</f>
        <v>OpenCreateTransactionFromPM</v>
      </c>
      <c r="M4" s="21" t="str">
        <f ca="1">IFERROR(__xludf.DUMMYFUNCTION("""COMPUTED_VALUE"""),"OpenClosingFromPM")</f>
        <v>OpenClosingFromPM</v>
      </c>
      <c r="N4" s="21" t="str">
        <f ca="1">IFERROR(__xludf.DUMMYFUNCTION("""COMPUTED_VALUE"""),"OpenCorporateActionFromPM")</f>
        <v>OpenCorporateActionFromPM</v>
      </c>
      <c r="O4" s="21" t="str">
        <f ca="1">IFERROR(__xludf.DUMMYFUNCTION("""COMPUTED_VALUE"""),"OpenDailyValuationFromPM")</f>
        <v>OpenDailyValuationFromPM</v>
      </c>
      <c r="P4" s="23" t="str">
        <f ca="1">IFERROR(__xludf.DUMMYFUNCTION("""COMPUTED_VALUE"""),"ClosePositionFromPM")</f>
        <v>ClosePositionFromPM</v>
      </c>
      <c r="Q4" s="23" t="str">
        <f ca="1">IFERROR(__xludf.DUMMYFUNCTION("""COMPUTED_VALUE"""),"ShowSummaryToolFromPM")</f>
        <v>ShowSummaryToolFromPM</v>
      </c>
      <c r="R4" s="23" t="str">
        <f ca="1">IFERROR(__xludf.DUMMYFUNCTION("""COMPUTED_VALUE"""),"HideSummaryToolFromPM")</f>
        <v>HideSummaryToolFromPM</v>
      </c>
      <c r="S4" s="23" t="str">
        <f ca="1">IFERROR(__xludf.DUMMYFUNCTION("""COMPUTED_VALUE"""),"CloseAccountPositionFromPM")</f>
        <v>CloseAccountPositionFromPM</v>
      </c>
      <c r="T4" s="23" t="str">
        <f ca="1">IFERROR(__xludf.DUMMYFUNCTION("""COMPUTED_VALUE"""),"CloseSelectedTaxlotsFromPM")</f>
        <v>CloseSelectedTaxlotsFromPM</v>
      </c>
      <c r="U4" s="23" t="str">
        <f ca="1">IFERROR(__xludf.DUMMYFUNCTION("""COMPUTED_VALUE"""),"ExpandCollapsePM")</f>
        <v>ExpandCollapsePM</v>
      </c>
      <c r="V4" s="23" t="str">
        <f ca="1">IFERROR(__xludf.DUMMYFUNCTION("""COMPUTED_VALUE"""),"AddCustomViewPM")</f>
        <v>AddCustomViewPM</v>
      </c>
      <c r="W4" s="23" t="str">
        <f ca="1">IFERROR(__xludf.DUMMYFUNCTION("""COMPUTED_VALUE"""),"AddCustomViewRightClickPM")</f>
        <v>AddCustomViewRightClickPM</v>
      </c>
      <c r="X4" s="23" t="str">
        <f ca="1">IFERROR(__xludf.DUMMYFUNCTION("""COMPUTED_VALUE"""),"RenameCustomViewPM")</f>
        <v>RenameCustomViewPM</v>
      </c>
      <c r="Y4" s="23" t="str">
        <f ca="1">IFERROR(__xludf.DUMMYFUNCTION("""COMPUTED_VALUE"""),"DeleteCustomViewPM")</f>
        <v>DeleteCustomViewPM</v>
      </c>
      <c r="Z4" s="23" t="str">
        <f ca="1">IFERROR(__xludf.DUMMYFUNCTION("""COMPUTED_VALUE"""),"")</f>
        <v/>
      </c>
      <c r="AA4" s="23" t="str">
        <f ca="1">IFERROR(__xludf.DUMMYFUNCTION("""COMPUTED_VALUE"""),"")</f>
        <v/>
      </c>
      <c r="AB4" s="23" t="str">
        <f ca="1">IFERROR(__xludf.DUMMYFUNCTION("""COMPUTED_VALUE"""),"")</f>
        <v/>
      </c>
      <c r="AC4" s="23" t="str">
        <f ca="1">IFERROR(__xludf.DUMMYFUNCTION("""COMPUTED_VALUE"""),"")</f>
        <v/>
      </c>
      <c r="AD4" s="23" t="str">
        <f ca="1">IFERROR(__xludf.DUMMYFUNCTION("""COMPUTED_VALUE"""),"")</f>
        <v/>
      </c>
      <c r="AE4" s="23" t="str">
        <f ca="1">IFERROR(__xludf.DUMMYFUNCTION("""COMPUTED_VALUE"""),"")</f>
        <v/>
      </c>
      <c r="AF4" s="23" t="str">
        <f ca="1">IFERROR(__xludf.DUMMYFUNCTION("""COMPUTED_VALUE"""),"")</f>
        <v/>
      </c>
      <c r="AG4" s="23" t="str">
        <f ca="1">IFERROR(__xludf.DUMMYFUNCTION("""COMPUTED_VALUE"""),"")</f>
        <v/>
      </c>
      <c r="AH4" s="23" t="str">
        <f ca="1">IFERROR(__xludf.DUMMYFUNCTION("""COMPUTED_VALUE"""),"")</f>
        <v/>
      </c>
      <c r="AI4" s="23" t="str">
        <f ca="1">IFERROR(__xludf.DUMMYFUNCTION("""COMPUTED_VALUE"""),"")</f>
        <v/>
      </c>
      <c r="AJ4" s="23" t="str">
        <f ca="1">IFERROR(__xludf.DUMMYFUNCTION("""COMPUTED_VALUE"""),"")</f>
        <v/>
      </c>
      <c r="AK4" s="23" t="str">
        <f ca="1">IFERROR(__xludf.DUMMYFUNCTION("""COMPUTED_VALUE"""),"")</f>
        <v/>
      </c>
      <c r="AL4" s="23" t="str">
        <f ca="1">IFERROR(__xludf.DUMMYFUNCTION("""COMPUTED_VALUE"""),"")</f>
        <v/>
      </c>
      <c r="AM4" s="23" t="str">
        <f ca="1">IFERROR(__xludf.DUMMYFUNCTION("""COMPUTED_VALUE"""),"")</f>
        <v/>
      </c>
      <c r="AN4" s="23" t="str">
        <f ca="1">IFERROR(__xludf.DUMMYFUNCTION("""COMPUTED_VALUE"""),"")</f>
        <v/>
      </c>
      <c r="AO4" s="23" t="str">
        <f ca="1">IFERROR(__xludf.DUMMYFUNCTION("""COMPUTED_VALUE"""),"")</f>
        <v/>
      </c>
      <c r="AP4" s="23" t="str">
        <f ca="1">IFERROR(__xludf.DUMMYFUNCTION("""COMPUTED_VALUE"""),"")</f>
        <v/>
      </c>
      <c r="AQ4" s="23" t="str">
        <f ca="1">IFERROR(__xludf.DUMMYFUNCTION("""COMPUTED_VALUE"""),"")</f>
        <v/>
      </c>
      <c r="AR4" s="23" t="str">
        <f ca="1">IFERROR(__xludf.DUMMYFUNCTION("""COMPUTED_VALUE"""),"")</f>
        <v/>
      </c>
      <c r="AS4" s="23" t="str">
        <f ca="1">IFERROR(__xludf.DUMMYFUNCTION("""COMPUTED_VALUE"""),"")</f>
        <v/>
      </c>
      <c r="AT4" s="23" t="str">
        <f ca="1">IFERROR(__xludf.DUMMYFUNCTION("""COMPUTED_VALUE"""),"")</f>
        <v/>
      </c>
      <c r="AU4" s="23" t="str">
        <f ca="1">IFERROR(__xludf.DUMMYFUNCTION("""COMPUTED_VALUE"""),"")</f>
        <v/>
      </c>
      <c r="AV4" s="23" t="str">
        <f ca="1">IFERROR(__xludf.DUMMYFUNCTION("""COMPUTED_VALUE"""),"")</f>
        <v/>
      </c>
      <c r="AW4" s="23" t="str">
        <f ca="1">IFERROR(__xludf.DUMMYFUNCTION("""COMPUTED_VALUE"""),"")</f>
        <v/>
      </c>
      <c r="AX4" s="23" t="str">
        <f ca="1">IFERROR(__xludf.DUMMYFUNCTION("""COMPUTED_VALUE"""),"")</f>
        <v/>
      </c>
      <c r="AY4" s="23" t="str">
        <f ca="1">IFERROR(__xludf.DUMMYFUNCTION("""COMPUTED_VALUE"""),"")</f>
        <v/>
      </c>
      <c r="AZ4" s="23" t="str">
        <f ca="1">IFERROR(__xludf.DUMMYFUNCTION("""COMPUTED_VALUE"""),"")</f>
        <v/>
      </c>
      <c r="BA4" s="23" t="str">
        <f ca="1">IFERROR(__xludf.DUMMYFUNCTION("""COMPUTED_VALUE"""),"")</f>
        <v/>
      </c>
      <c r="BB4" s="23" t="str">
        <f ca="1">IFERROR(__xludf.DUMMYFUNCTION("""COMPUTED_VALUE"""),"")</f>
        <v/>
      </c>
      <c r="BC4" s="23" t="str">
        <f ca="1">IFERROR(__xludf.DUMMYFUNCTION("""COMPUTED_VALUE"""),"")</f>
        <v/>
      </c>
      <c r="BD4" s="23" t="str">
        <f ca="1">IFERROR(__xludf.DUMMYFUNCTION("""COMPUTED_VALUE"""),"")</f>
        <v/>
      </c>
      <c r="BE4" s="23" t="str">
        <f ca="1">IFERROR(__xludf.DUMMYFUNCTION("""COMPUTED_VALUE"""),"")</f>
        <v/>
      </c>
      <c r="BF4" s="23" t="str">
        <f ca="1">IFERROR(__xludf.DUMMYFUNCTION("""COMPUTED_VALUE"""),"")</f>
        <v/>
      </c>
      <c r="BG4" s="23" t="str">
        <f ca="1">IFERROR(__xludf.DUMMYFUNCTION("""COMPUTED_VALUE"""),"")</f>
        <v/>
      </c>
      <c r="BH4" s="23" t="str">
        <f ca="1">IFERROR(__xludf.DUMMYFUNCTION("""COMPUTED_VALUE"""),"")</f>
        <v/>
      </c>
      <c r="BI4" s="23" t="str">
        <f ca="1">IFERROR(__xludf.DUMMYFUNCTION("""COMPUTED_VALUE"""),"")</f>
        <v/>
      </c>
      <c r="BJ4" s="23" t="str">
        <f ca="1">IFERROR(__xludf.DUMMYFUNCTION("""COMPUTED_VALUE"""),"")</f>
        <v/>
      </c>
      <c r="BK4" s="23" t="str">
        <f ca="1">IFERROR(__xludf.DUMMYFUNCTION("""COMPUTED_VALUE"""),"")</f>
        <v/>
      </c>
      <c r="BL4" s="23" t="str">
        <f ca="1">IFERROR(__xludf.DUMMYFUNCTION("""COMPUTED_VALUE"""),"")</f>
        <v/>
      </c>
      <c r="BM4" s="23" t="str">
        <f ca="1">IFERROR(__xludf.DUMMYFUNCTION("""COMPUTED_VALUE"""),"")</f>
        <v/>
      </c>
      <c r="BN4" s="23" t="str">
        <f ca="1">IFERROR(__xludf.DUMMYFUNCTION("""COMPUTED_VALUE"""),"")</f>
        <v/>
      </c>
      <c r="BO4" s="23" t="str">
        <f ca="1">IFERROR(__xludf.DUMMYFUNCTION("""COMPUTED_VALUE"""),"")</f>
        <v/>
      </c>
      <c r="BP4" s="23" t="str">
        <f ca="1">IFERROR(__xludf.DUMMYFUNCTION("""COMPUTED_VALUE"""),"")</f>
        <v/>
      </c>
      <c r="BQ4" s="23" t="str">
        <f ca="1">IFERROR(__xludf.DUMMYFUNCTION("""COMPUTED_VALUE"""),"")</f>
        <v/>
      </c>
      <c r="BR4" s="23" t="str">
        <f ca="1">IFERROR(__xludf.DUMMYFUNCTION("""COMPUTED_VALUE"""),"")</f>
        <v/>
      </c>
      <c r="BS4" s="23" t="str">
        <f ca="1">IFERROR(__xludf.DUMMYFUNCTION("""COMPUTED_VALUE"""),"")</f>
        <v/>
      </c>
      <c r="BT4" s="23" t="str">
        <f ca="1">IFERROR(__xludf.DUMMYFUNCTION("""COMPUTED_VALUE"""),"")</f>
        <v/>
      </c>
      <c r="BU4" s="23" t="str">
        <f ca="1">IFERROR(__xludf.DUMMYFUNCTION("""COMPUTED_VALUE"""),"")</f>
        <v/>
      </c>
      <c r="BV4" s="23" t="str">
        <f ca="1">IFERROR(__xludf.DUMMYFUNCTION("""COMPUTED_VALUE"""),"")</f>
        <v/>
      </c>
      <c r="BW4" s="23" t="str">
        <f ca="1">IFERROR(__xludf.DUMMYFUNCTION("""COMPUTED_VALUE"""),"")</f>
        <v/>
      </c>
      <c r="BX4" s="23" t="str">
        <f ca="1">IFERROR(__xludf.DUMMYFUNCTION("""COMPUTED_VALUE"""),"")</f>
        <v/>
      </c>
      <c r="BY4" s="23" t="str">
        <f ca="1">IFERROR(__xludf.DUMMYFUNCTION("""COMPUTED_VALUE"""),"")</f>
        <v/>
      </c>
      <c r="BZ4" s="23" t="str">
        <f ca="1">IFERROR(__xludf.DUMMYFUNCTION("""COMPUTED_VALUE"""),"")</f>
        <v/>
      </c>
      <c r="CA4" s="23" t="str">
        <f ca="1">IFERROR(__xludf.DUMMYFUNCTION("""COMPUTED_VALUE"""),"")</f>
        <v/>
      </c>
      <c r="CB4" s="23" t="str">
        <f ca="1">IFERROR(__xludf.DUMMYFUNCTION("""COMPUTED_VALUE"""),"")</f>
        <v/>
      </c>
      <c r="CC4" s="23" t="str">
        <f ca="1">IFERROR(__xludf.DUMMYFUNCTION("""COMPUTED_VALUE"""),"")</f>
        <v/>
      </c>
      <c r="CD4" s="23" t="str">
        <f ca="1">IFERROR(__xludf.DUMMYFUNCTION("""COMPUTED_VALUE"""),"")</f>
        <v/>
      </c>
      <c r="CE4" s="23" t="str">
        <f ca="1">IFERROR(__xludf.DUMMYFUNCTION("""COMPUTED_VALUE"""),"")</f>
        <v/>
      </c>
      <c r="CF4" s="23" t="str">
        <f ca="1">IFERROR(__xludf.DUMMYFUNCTION("""COMPUTED_VALUE"""),"")</f>
        <v/>
      </c>
      <c r="CG4" s="23" t="str">
        <f ca="1">IFERROR(__xludf.DUMMYFUNCTION("""COMPUTED_VALUE"""),"")</f>
        <v/>
      </c>
      <c r="CH4" s="23" t="str">
        <f ca="1">IFERROR(__xludf.DUMMYFUNCTION("""COMPUTED_VALUE"""),"")</f>
        <v/>
      </c>
      <c r="CI4" s="23" t="str">
        <f ca="1">IFERROR(__xludf.DUMMYFUNCTION("""COMPUTED_VALUE"""),"")</f>
        <v/>
      </c>
      <c r="CJ4" s="23" t="str">
        <f ca="1">IFERROR(__xludf.DUMMYFUNCTION("""COMPUTED_VALUE"""),"")</f>
        <v/>
      </c>
      <c r="CK4" s="23" t="str">
        <f ca="1">IFERROR(__xludf.DUMMYFUNCTION("""COMPUTED_VALUE"""),"")</f>
        <v/>
      </c>
      <c r="CL4" s="23" t="str">
        <f ca="1">IFERROR(__xludf.DUMMYFUNCTION("""COMPUTED_VALUE"""),"")</f>
        <v/>
      </c>
      <c r="CM4" s="23" t="str">
        <f ca="1">IFERROR(__xludf.DUMMYFUNCTION("""COMPUTED_VALUE"""),"")</f>
        <v/>
      </c>
      <c r="CN4" s="23" t="str">
        <f ca="1">IFERROR(__xludf.DUMMYFUNCTION("""COMPUTED_VALUE"""),"")</f>
        <v/>
      </c>
      <c r="CO4" s="23" t="str">
        <f ca="1">IFERROR(__xludf.DUMMYFUNCTION("""COMPUTED_VALUE"""),"")</f>
        <v/>
      </c>
      <c r="CP4" s="23" t="str">
        <f ca="1">IFERROR(__xludf.DUMMYFUNCTION("""COMPUTED_VALUE"""),"")</f>
        <v/>
      </c>
      <c r="CQ4" s="23" t="str">
        <f ca="1">IFERROR(__xludf.DUMMYFUNCTION("""COMPUTED_VALUE"""),"")</f>
        <v/>
      </c>
      <c r="CR4" s="23" t="str">
        <f ca="1">IFERROR(__xludf.DUMMYFUNCTION("""COMPUTED_VALUE"""),"")</f>
        <v/>
      </c>
      <c r="CS4" s="23" t="str">
        <f ca="1">IFERROR(__xludf.DUMMYFUNCTION("""COMPUTED_VALUE"""),"")</f>
        <v/>
      </c>
      <c r="CT4" s="23" t="str">
        <f ca="1">IFERROR(__xludf.DUMMYFUNCTION("""COMPUTED_VALUE"""),"")</f>
        <v/>
      </c>
      <c r="CU4" s="23" t="str">
        <f ca="1">IFERROR(__xludf.DUMMYFUNCTION("""COMPUTED_VALUE"""),"")</f>
        <v/>
      </c>
      <c r="CV4" s="23" t="str">
        <f ca="1">IFERROR(__xludf.DUMMYFUNCTION("""COMPUTED_VALUE"""),"")</f>
        <v/>
      </c>
      <c r="CW4" s="23" t="str">
        <f ca="1">IFERROR(__xludf.DUMMYFUNCTION("""COMPUTED_VALUE"""),"")</f>
        <v/>
      </c>
      <c r="CX4" s="23" t="str">
        <f ca="1">IFERROR(__xludf.DUMMYFUNCTION("""COMPUTED_VALUE"""),"")</f>
        <v/>
      </c>
      <c r="CY4" s="23" t="str">
        <f ca="1">IFERROR(__xludf.DUMMYFUNCTION("""COMPUTED_VALUE"""),"")</f>
        <v/>
      </c>
      <c r="CZ4" s="23" t="str">
        <f ca="1">IFERROR(__xludf.DUMMYFUNCTION("""COMPUTED_VALUE"""),"")</f>
        <v/>
      </c>
      <c r="DA4" s="23" t="str">
        <f ca="1">IFERROR(__xludf.DUMMYFUNCTION("""COMPUTED_VALUE"""),"")</f>
        <v/>
      </c>
      <c r="DB4" s="23" t="str">
        <f ca="1">IFERROR(__xludf.DUMMYFUNCTION("""COMPUTED_VALUE"""),"")</f>
        <v/>
      </c>
      <c r="DC4" s="23" t="str">
        <f ca="1">IFERROR(__xludf.DUMMYFUNCTION("""COMPUTED_VALUE"""),"")</f>
        <v/>
      </c>
      <c r="DD4" s="23" t="str">
        <f ca="1">IFERROR(__xludf.DUMMYFUNCTION("""COMPUTED_VALUE"""),"")</f>
        <v/>
      </c>
      <c r="DE4" s="23" t="str">
        <f ca="1">IFERROR(__xludf.DUMMYFUNCTION("""COMPUTED_VALUE"""),"")</f>
        <v/>
      </c>
      <c r="DF4" s="23" t="str">
        <f ca="1">IFERROR(__xludf.DUMMYFUNCTION("""COMPUTED_VALUE"""),"")</f>
        <v/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  <c r="EX4" s="23" t="str">
        <f ca="1">IFERROR(__xludf.DUMMYFUNCTION("""COMPUTED_VALUE"""),"")</f>
        <v/>
      </c>
      <c r="EY4" s="23" t="str">
        <f ca="1">IFERROR(__xludf.DUMMYFUNCTION("""COMPUTED_VALUE"""),"")</f>
        <v/>
      </c>
      <c r="EZ4" s="23" t="str">
        <f ca="1">IFERROR(__xludf.DUMMYFUNCTION("""COMPUTED_VALUE"""),"")</f>
        <v/>
      </c>
      <c r="FA4" s="23" t="str">
        <f ca="1">IFERROR(__xludf.DUMMYFUNCTION("""COMPUTED_VALUE"""),"")</f>
        <v/>
      </c>
      <c r="FB4" s="23" t="str">
        <f ca="1">IFERROR(__xludf.DUMMYFUNCTION("""COMPUTED_VALUE"""),"")</f>
        <v/>
      </c>
      <c r="FC4" s="23" t="str">
        <f ca="1">IFERROR(__xludf.DUMMYFUNCTION("""COMPUTED_VALUE"""),"")</f>
        <v/>
      </c>
      <c r="FD4" s="23" t="str">
        <f ca="1">IFERROR(__xludf.DUMMYFUNCTION("""COMPUTED_VALUE"""),"")</f>
        <v/>
      </c>
      <c r="FE4" s="23" t="str">
        <f ca="1">IFERROR(__xludf.DUMMYFUNCTION("""COMPUTED_VALUE"""),"")</f>
        <v/>
      </c>
      <c r="FF4" s="23" t="str">
        <f ca="1">IFERROR(__xludf.DUMMYFUNCTION("""COMPUTED_VALUE"""),"")</f>
        <v/>
      </c>
      <c r="FG4" s="23" t="str">
        <f ca="1">IFERROR(__xludf.DUMMYFUNCTION("""COMPUTED_VALUE"""),"")</f>
        <v/>
      </c>
      <c r="FH4" s="23" t="str">
        <f ca="1">IFERROR(__xludf.DUMMYFUNCTION("""COMPUTED_VALUE"""),"")</f>
        <v/>
      </c>
      <c r="FI4" s="23" t="str">
        <f ca="1">IFERROR(__xludf.DUMMYFUNCTION("""COMPUTED_VALUE"""),"")</f>
        <v/>
      </c>
      <c r="FJ4" s="23" t="str">
        <f ca="1">IFERROR(__xludf.DUMMYFUNCTION("""COMPUTED_VALUE"""),"")</f>
        <v/>
      </c>
      <c r="FK4" s="23" t="str">
        <f ca="1">IFERROR(__xludf.DUMMYFUNCTION("""COMPUTED_VALUE"""),"")</f>
        <v/>
      </c>
      <c r="FL4" s="23" t="str">
        <f ca="1">IFERROR(__xludf.DUMMYFUNCTION("""COMPUTED_VALUE"""),"")</f>
        <v/>
      </c>
      <c r="FM4" s="23" t="str">
        <f ca="1">IFERROR(__xludf.DUMMYFUNCTION("""COMPUTED_VALUE"""),"")</f>
        <v/>
      </c>
    </row>
    <row r="5" spans="1:169" ht="15.75" customHeight="1" x14ac:dyDescent="0.2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IFERROR(__xludf.DUMMYFUNCTION("""COMPUTED_VALUE"""),"Trade Date")</f>
        <v>Trade Date</v>
      </c>
      <c r="C5" s="25" t="str">
        <f ca="1">IFERROR(__xludf.DUMMYFUNCTION("""COMPUTED_VALUE"""),"Symbol")</f>
        <v>Symbol</v>
      </c>
      <c r="D5" s="25" t="str">
        <f ca="1">IFERROR(__xludf.DUMMYFUNCTION("""COMPUTED_VALUE"""),"Position")</f>
        <v>Position</v>
      </c>
      <c r="E5" s="25" t="str">
        <f ca="1">IFERROR(__xludf.DUMMYFUNCTION("""COMPUTED_VALUE"""),"Account")</f>
        <v>Account</v>
      </c>
      <c r="F5" s="26" t="str">
        <f ca="1">IFERROR(__xludf.DUMMYFUNCTION("""COMPUTED_VALUE"""),"MasterFund")</f>
        <v>MasterFund</v>
      </c>
      <c r="G5" s="25" t="str">
        <f ca="1">IFERROR(__xludf.DUMMYFUNCTION("""COMPUTED_VALUE"""),"Cost Basis")</f>
        <v>Cost Basis</v>
      </c>
      <c r="H5" s="25" t="str">
        <f ca="1">IFERROR(__xludf.DUMMYFUNCTION("""COMPUTED_VALUE"""),"Position Side")</f>
        <v>Position Side</v>
      </c>
      <c r="I5" s="25" t="str">
        <f ca="1">IFERROR(__xludf.DUMMYFUNCTION("""COMPUTED_VALUE"""),"Market Value (Base)")</f>
        <v>Market Value (Base)</v>
      </c>
      <c r="J5" s="25" t="str">
        <f ca="1">IFERROR(__xludf.DUMMYFUNCTION("""COMPUTED_VALUE"""),"% Day P&amp;L (Gross MV)")</f>
        <v>% Day P&amp;L (Gross MV)</v>
      </c>
      <c r="K5" s="25" t="str">
        <f ca="1">IFERROR(__xludf.DUMMYFUNCTION("""COMPUTED_VALUE"""),"Net Exposure (Base)")</f>
        <v>Net Exposure (Base)</v>
      </c>
      <c r="L5" s="25" t="str">
        <f ca="1">IFERROR(__xludf.DUMMYFUNCTION("""COMPUTED_VALUE"""),"Beta Adj. Gross Exposure (Base)")</f>
        <v>Beta Adj. Gross Exposure (Base)</v>
      </c>
      <c r="M5" s="25" t="str">
        <f ca="1">IFERROR(__xludf.DUMMYFUNCTION("""COMPUTED_VALUE"""),"Beta Adj. Gross Exposure (Underlying) (Base)")</f>
        <v>Beta Adj. Gross Exposure (Underlying) (Base)</v>
      </c>
      <c r="N5" s="25" t="str">
        <f ca="1">IFERROR(__xludf.DUMMYFUNCTION("""COMPUTED_VALUE"""),"Day P&amp;L (Base)")</f>
        <v>Day P&amp;L (Base)</v>
      </c>
      <c r="O5" s="25" t="str">
        <f ca="1">IFERROR(__xludf.DUMMYFUNCTION("""COMPUTED_VALUE"""),"Security Name")</f>
        <v>Security Name</v>
      </c>
      <c r="P5" s="25" t="str">
        <f ca="1">IFERROR(__xludf.DUMMYFUNCTION("""COMPUTED_VALUE"""),"Closing Mark")</f>
        <v>Closing Mark</v>
      </c>
      <c r="Q5" s="25" t="str">
        <f ca="1">IFERROR(__xludf.DUMMYFUNCTION("""COMPUTED_VALUE"""),"Cost Basis P&amp;L (Base)")</f>
        <v>Cost Basis P&amp;L (Base)</v>
      </c>
      <c r="R5" s="25" t="str">
        <f ca="1">IFERROR(__xludf.DUMMYFUNCTION("""COMPUTED_VALUE"""),"Prime Broker")</f>
        <v>Prime Broker</v>
      </c>
      <c r="S5" s="25" t="str">
        <f ca="1">IFERROR(__xludf.DUMMYFUNCTION("""COMPUTED_VALUE"""),"Strategy")</f>
        <v>Strategy</v>
      </c>
      <c r="T5" s="28" t="str">
        <f ca="1">IFERROR(__xludf.DUMMYFUNCTION("""COMPUTED_VALUE"""),"Asset Class")</f>
        <v>Asset Class</v>
      </c>
      <c r="U5" s="28" t="str">
        <f ca="1">IFERROR(__xludf.DUMMYFUNCTION("""COMPUTED_VALUE"""),"Underlying")</f>
        <v>Underlying</v>
      </c>
      <c r="V5" s="28" t="str">
        <f ca="1">IFERROR(__xludf.DUMMYFUNCTION("""COMPUTED_VALUE"""),"Exchange")</f>
        <v>Exchange</v>
      </c>
      <c r="W5" s="28" t="str">
        <f ca="1">IFERROR(__xludf.DUMMYFUNCTION("""COMPUTED_VALUE"""),"Trade Currency")</f>
        <v>Trade Currency</v>
      </c>
      <c r="X5" s="28" t="str">
        <f ca="1">IFERROR(__xludf.DUMMYFUNCTION("""COMPUTED_VALUE"""),"Multiplier")</f>
        <v>Multiplier</v>
      </c>
      <c r="Y5" s="28" t="str">
        <f ca="1">IFERROR(__xludf.DUMMYFUNCTION("""COMPUTED_VALUE"""),"FX Rate")</f>
        <v>FX Rate</v>
      </c>
      <c r="Z5" s="28" t="str">
        <f ca="1">IFERROR(__xludf.DUMMYFUNCTION("""COMPUTED_VALUE"""),"Vs Currency")</f>
        <v>Vs Currency</v>
      </c>
      <c r="AA5" s="28" t="str">
        <f ca="1">IFERROR(__xludf.DUMMYFUNCTION("""COMPUTED_VALUE"""),"Lead Currency")</f>
        <v>Lead Currency</v>
      </c>
      <c r="AB5" s="28" t="str">
        <f ca="1">IFERROR(__xludf.DUMMYFUNCTION("""COMPUTED_VALUE"""),"Dividend Yield (%)")</f>
        <v>Dividend Yield (%)</v>
      </c>
      <c r="AC5" s="28" t="str">
        <f ca="1">IFERROR(__xludf.DUMMYFUNCTION("""COMPUTED_VALUE"""),"% Change")</f>
        <v>% Change</v>
      </c>
      <c r="AD5" s="28" t="str">
        <f ca="1">IFERROR(__xludf.DUMMYFUNCTION("""COMPUTED_VALUE"""),"Net Exposure (Local)")</f>
        <v>Net Exposure (Local)</v>
      </c>
      <c r="AE5" s="28" t="str">
        <f ca="1">IFERROR(__xludf.DUMMYFUNCTION("""COMPUTED_VALUE"""),"Exposure (Local)")</f>
        <v>Exposure (Local)</v>
      </c>
      <c r="AF5" s="28" t="str">
        <f ca="1">IFERROR(__xludf.DUMMYFUNCTION("""COMPUTED_VALUE"""),"Delta Adj. Position")</f>
        <v>Delta Adj. Position</v>
      </c>
      <c r="AG5" s="28" t="str">
        <f ca="1">IFERROR(__xludf.DUMMYFUNCTION("""COMPUTED_VALUE"""),"Exposure (Base)")</f>
        <v>Exposure (Base)</v>
      </c>
      <c r="AH5" s="28" t="str">
        <f ca="1">IFERROR(__xludf.DUMMYFUNCTION("""COMPUTED_VALUE"""),"Beta Adj. Exposure (Local)")</f>
        <v>Beta Adj. Exposure (Local)</v>
      </c>
      <c r="AI5" s="28" t="str">
        <f ca="1">IFERROR(__xludf.DUMMYFUNCTION("""COMPUTED_VALUE"""),"Beta Adj. Exposure (Base)")</f>
        <v>Beta Adj. Exposure (Base)</v>
      </c>
      <c r="AJ5" s="28" t="str">
        <f ca="1">IFERROR(__xludf.DUMMYFUNCTION("""COMPUTED_VALUE"""),"Exposure (BP)(Base)")</f>
        <v>Exposure (BP)(Base)</v>
      </c>
      <c r="AK5" s="28" t="str">
        <f ca="1">IFERROR(__xludf.DUMMYFUNCTION("""COMPUTED_VALUE"""),"Day P&amp;L (Local)")</f>
        <v>Day P&amp;L (Local)</v>
      </c>
      <c r="AL5" s="28" t="str">
        <f ca="1">IFERROR(__xludf.DUMMYFUNCTION("""COMPUTED_VALUE"""),"Delta")</f>
        <v>Delta</v>
      </c>
      <c r="AM5" s="28" t="str">
        <f ca="1">IFERROR(__xludf.DUMMYFUNCTION("""COMPUTED_VALUE"""),"Leveraged Factor")</f>
        <v>Leveraged Factor</v>
      </c>
      <c r="AN5" s="28" t="str">
        <f ca="1">IFERROR(__xludf.DUMMYFUNCTION("""COMPUTED_VALUE"""),"Order Side")</f>
        <v>Order Side</v>
      </c>
      <c r="AO5" s="28" t="str">
        <f ca="1">IFERROR(__xludf.DUMMYFUNCTION("""COMPUTED_VALUE"""),"Master Strategy")</f>
        <v>Master Strategy</v>
      </c>
      <c r="AP5" s="28" t="str">
        <f ca="1">IFERROR(__xludf.DUMMYFUNCTION("""COMPUTED_VALUE"""),"Transaction Side")</f>
        <v>Transaction Side</v>
      </c>
      <c r="AQ5" s="28" t="str">
        <f ca="1">IFERROR(__xludf.DUMMYFUNCTION("""COMPUTED_VALUE"""),"Underlying Symbol")</f>
        <v>Underlying Symbol</v>
      </c>
      <c r="AR5" s="28" t="str">
        <f ca="1">IFERROR(__xludf.DUMMYFUNCTION("""COMPUTED_VALUE"""),"Underlying Price")</f>
        <v>Underlying Price</v>
      </c>
      <c r="AS5" s="28" t="str">
        <f ca="1">IFERROR(__xludf.DUMMYFUNCTION("""COMPUTED_VALUE"""),"Side Multiplier")</f>
        <v>Side Multiplier</v>
      </c>
      <c r="AT5" s="28" t="str">
        <f ca="1">IFERROR(__xludf.DUMMYFUNCTION("""COMPUTED_VALUE"""),"Description")</f>
        <v>Description</v>
      </c>
      <c r="AU5" s="28" t="str">
        <f ca="1">IFERROR(__xludf.DUMMYFUNCTION("""COMPUTED_VALUE"""),"Internal Comments")</f>
        <v>Internal Comments</v>
      </c>
      <c r="AV5" s="28" t="str">
        <f ca="1">IFERROR(__xludf.DUMMYFUNCTION("""COMPUTED_VALUE"""),"FX Rate On Trade Date")</f>
        <v>FX Rate On Trade Date</v>
      </c>
      <c r="AW5" s="28" t="str">
        <f ca="1">IFERROR(__xludf.DUMMYFUNCTION("""COMPUTED_VALUE"""),"Cost Basis P&amp;L (Local)")</f>
        <v>Cost Basis P&amp;L (Local)</v>
      </c>
      <c r="AX5" s="28" t="str">
        <f ca="1">IFERROR(__xludf.DUMMYFUNCTION("""COMPUTED_VALUE"""),"Day Interest")</f>
        <v>Day Interest</v>
      </c>
      <c r="AY5" s="28" t="str">
        <f ca="1">IFERROR(__xludf.DUMMYFUNCTION("""COMPUTED_VALUE"""),"Total Interest")</f>
        <v>Total Interest</v>
      </c>
      <c r="AZ5" s="28" t="str">
        <f ca="1">IFERROR(__xludf.DUMMYFUNCTION("""COMPUTED_VALUE"""),"Market Value (Local)")</f>
        <v>Market Value (Local)</v>
      </c>
      <c r="BA5" s="28" t="str">
        <f ca="1">IFERROR(__xludf.DUMMYFUNCTION("""COMPUTED_VALUE"""),"% Gain/Loss Day")</f>
        <v>% Gain/Loss Day</v>
      </c>
      <c r="BB5" s="28" t="str">
        <f ca="1">IFERROR(__xludf.DUMMYFUNCTION("""COMPUTED_VALUE"""),"Update Time (Last Price)")</f>
        <v>Update Time (Last Price)</v>
      </c>
      <c r="BC5" s="28" t="str">
        <f ca="1">IFERROR(__xludf.DUMMYFUNCTION("""COMPUTED_VALUE"""),"Beta")</f>
        <v>Beta</v>
      </c>
      <c r="BD5" s="28" t="str">
        <f ca="1">IFERROR(__xludf.DUMMYFUNCTION("""COMPUTED_VALUE"""),"Cash Impact (Local)")</f>
        <v>Cash Impact (Local)</v>
      </c>
      <c r="BE5" s="28" t="str">
        <f ca="1">IFERROR(__xludf.DUMMYFUNCTION("""COMPUTED_VALUE"""),"User Asset")</f>
        <v>User Asset</v>
      </c>
      <c r="BF5" s="28" t="str">
        <f ca="1">IFERROR(__xludf.DUMMYFUNCTION("""COMPUTED_VALUE"""),"Security Type")</f>
        <v>Security Type</v>
      </c>
      <c r="BG5" s="28" t="str">
        <f ca="1">IFERROR(__xludf.DUMMYFUNCTION("""COMPUTED_VALUE"""),"Sector")</f>
        <v>Sector</v>
      </c>
      <c r="BH5" s="28" t="str">
        <f ca="1">IFERROR(__xludf.DUMMYFUNCTION("""COMPUTED_VALUE"""),"Sub Sector")</f>
        <v>Sub Sector</v>
      </c>
      <c r="BI5" s="28" t="str">
        <f ca="1">IFERROR(__xludf.DUMMYFUNCTION("""COMPUTED_VALUE"""),"Country")</f>
        <v>Country</v>
      </c>
      <c r="BJ5" s="28" t="str">
        <f ca="1">IFERROR(__xludf.DUMMYFUNCTION("""COMPUTED_VALUE"""),"Market Cap")</f>
        <v>Market Cap</v>
      </c>
      <c r="BK5" s="28" t="str">
        <f ca="1">IFERROR(__xludf.DUMMYFUNCTION("""COMPUTED_VALUE"""),"Shares Outstanding (MM)")</f>
        <v>Shares Outstanding (MM)</v>
      </c>
      <c r="BL5" s="28" t="str">
        <f ca="1">IFERROR(__xludf.DUMMYFUNCTION("""COMPUTED_VALUE"""),"Avg Volume 20 Day")</f>
        <v>Avg Volume 20 Day</v>
      </c>
      <c r="BM5" s="28" t="str">
        <f ca="1">IFERROR(__xludf.DUMMYFUNCTION("""COMPUTED_VALUE"""),"% Avg Volume (Delta Adj.)")</f>
        <v>% Avg Volume (Delta Adj.)</v>
      </c>
      <c r="BN5" s="28" t="str">
        <f ca="1">IFERROR(__xludf.DUMMYFUNCTION("""COMPUTED_VALUE"""),"Ex Dividend Date")</f>
        <v>Ex Dividend Date</v>
      </c>
      <c r="BO5" s="28" t="str">
        <f ca="1">IFERROR(__xludf.DUMMYFUNCTION("""COMPUTED_VALUE"""),"Cash Impact (Base)")</f>
        <v>Cash Impact (Base)</v>
      </c>
      <c r="BP5" s="28" t="str">
        <f ca="1">IFERROR(__xludf.DUMMYFUNCTION("""COMPUTED_VALUE"""),"Volatility (%)")</f>
        <v>Volatility (%)</v>
      </c>
      <c r="BQ5" s="28" t="str">
        <f ca="1">IFERROR(__xludf.DUMMYFUNCTION("""COMPUTED_VALUE"""),"User")</f>
        <v>User</v>
      </c>
      <c r="BR5" s="28" t="str">
        <f ca="1">IFERROR(__xludf.DUMMYFUNCTION("""COMPUTED_VALUE"""),"Broker")</f>
        <v>Broker</v>
      </c>
      <c r="BS5" s="28" t="str">
        <f ca="1">IFERROR(__xludf.DUMMYFUNCTION("""COMPUTED_VALUE"""),"Earned Dividend (Local)")</f>
        <v>Earned Dividend (Local)</v>
      </c>
      <c r="BT5" s="28" t="str">
        <f ca="1">IFERROR(__xludf.DUMMYFUNCTION("""COMPUTED_VALUE"""),"Earned Dividend (Base)")</f>
        <v>Earned Dividend (Base)</v>
      </c>
      <c r="BU5" s="28" t="str">
        <f ca="1">IFERROR(__xludf.DUMMYFUNCTION("""COMPUTED_VALUE"""),"Put/Call")</f>
        <v>Put/Call</v>
      </c>
      <c r="BV5" s="28" t="str">
        <f ca="1">IFERROR(__xludf.DUMMYFUNCTION("""COMPUTED_VALUE"""),"Expiration Date")</f>
        <v>Expiration Date</v>
      </c>
      <c r="BW5" s="28" t="str">
        <f ca="1">IFERROR(__xludf.DUMMYFUNCTION("""COMPUTED_VALUE"""),"Strike Price")</f>
        <v>Strike Price</v>
      </c>
      <c r="BX5" s="28" t="str">
        <f ca="1">IFERROR(__xludf.DUMMYFUNCTION("""COMPUTED_VALUE"""),"Gross Exposure (Base)")</f>
        <v>Gross Exposure (Base)</v>
      </c>
      <c r="BY5" s="28" t="str">
        <f ca="1">IFERROR(__xludf.DUMMYFUNCTION("""COMPUTED_VALUE"""),"Gross Market Value (Base)")</f>
        <v>Gross Market Value (Base)</v>
      </c>
      <c r="BZ5" s="28" t="str">
        <f ca="1">IFERROR(__xludf.DUMMYFUNCTION("""COMPUTED_VALUE"""),"Px Selected Feed (Local)")</f>
        <v>Px Selected Feed (Local)</v>
      </c>
      <c r="CA5" s="28" t="str">
        <f ca="1">IFERROR(__xludf.DUMMYFUNCTION("""COMPUTED_VALUE"""),"Px Selected Feed (Base)")</f>
        <v>Px Selected Feed (Base)</v>
      </c>
      <c r="CB5" s="28" t="str">
        <f ca="1">IFERROR(__xludf.DUMMYFUNCTION("""COMPUTED_VALUE"""),"Settlement Date")</f>
        <v>Settlement Date</v>
      </c>
      <c r="CC5" s="28" t="str">
        <f ca="1">IFERROR(__xludf.DUMMYFUNCTION("""COMPUTED_VALUE"""),"% Avg Volume")</f>
        <v>% Avg Volume</v>
      </c>
      <c r="CD5" s="28" t="str">
        <f ca="1">IFERROR(__xludf.DUMMYFUNCTION("""COMPUTED_VALUE"""),"Day P&amp;L (Base)(Price Gain)")</f>
        <v>Day P&amp;L (Base)(Price Gain)</v>
      </c>
      <c r="CE5" s="28" t="str">
        <f ca="1">IFERROR(__xludf.DUMMYFUNCTION("""COMPUTED_VALUE"""),"Day P&amp;L (Base)(FX Gain)")</f>
        <v>Day P&amp;L (Base)(FX Gain)</v>
      </c>
      <c r="CF5" s="28" t="str">
        <f ca="1">IFERROR(__xludf.DUMMYFUNCTION("""COMPUTED_VALUE"""),"Cost Basis P&amp;L (Base)(FX Gain)")</f>
        <v>Cost Basis P&amp;L (Base)(FX Gain)</v>
      </c>
      <c r="CG5" s="28" t="str">
        <f ca="1">IFERROR(__xludf.DUMMYFUNCTION("""COMPUTED_VALUE"""),"Cost Basis P&amp;L (Base)(Price Gain)")</f>
        <v>Cost Basis P&amp;L (Base)(Price Gain)</v>
      </c>
      <c r="CH5" s="28" t="str">
        <f ca="1">IFERROR(__xludf.DUMMYFUNCTION("""COMPUTED_VALUE"""),"% Gain/Loss Cost")</f>
        <v>% Gain/Loss Cost</v>
      </c>
      <c r="CI5" s="28" t="str">
        <f ca="1">IFERROR(__xludf.DUMMYFUNCTION("""COMPUTED_VALUE"""),"Underlying Value (Options)")</f>
        <v>Underlying Value (Options)</v>
      </c>
      <c r="CJ5" s="28" t="str">
        <f ca="1">IFERROR(__xludf.DUMMYFUNCTION("""COMPUTED_VALUE"""),"Avg Volume 20 Day (Underlying Symbol)")</f>
        <v>Avg Volume 20 Day (Underlying Symbol)</v>
      </c>
      <c r="CK5" s="28" t="str">
        <f ca="1">IFERROR(__xludf.DUMMYFUNCTION("""COMPUTED_VALUE"""),"IsStaleData")</f>
        <v>IsStaleData</v>
      </c>
      <c r="CL5" s="28" t="str">
        <f ca="1">IFERROR(__xludf.DUMMYFUNCTION("""COMPUTED_VALUE"""),"IDCO")</f>
        <v>IDCO</v>
      </c>
      <c r="CM5" s="28" t="str">
        <f ca="1">IFERROR(__xludf.DUMMYFUNCTION("""COMPUTED_VALUE"""),"OSI")</f>
        <v>OSI</v>
      </c>
      <c r="CN5" s="28" t="str">
        <f ca="1">IFERROR(__xludf.DUMMYFUNCTION("""COMPUTED_VALUE"""),"SEDOL")</f>
        <v>SEDOL</v>
      </c>
      <c r="CO5" s="28" t="str">
        <f ca="1">IFERROR(__xludf.DUMMYFUNCTION("""COMPUTED_VALUE"""),"CUSIP")</f>
        <v>CUSIP</v>
      </c>
      <c r="CP5" s="28" t="str">
        <f ca="1">IFERROR(__xludf.DUMMYFUNCTION("""COMPUTED_VALUE"""),"Bloomberg")</f>
        <v>Bloomberg</v>
      </c>
      <c r="CQ5" s="28" t="str">
        <f ca="1">IFERROR(__xludf.DUMMYFUNCTION("""COMPUTED_VALUE"""),"ISIN")</f>
        <v>ISIN</v>
      </c>
      <c r="CR5" s="28" t="str">
        <f ca="1">IFERROR(__xludf.DUMMYFUNCTION("""COMPUTED_VALUE"""),"Start Trade Date")</f>
        <v>Start Trade Date</v>
      </c>
      <c r="CS5" s="28" t="str">
        <f ca="1">IFERROR(__xludf.DUMMYFUNCTION("""COMPUTED_VALUE"""),"Cost Basis (Break Even)")</f>
        <v>Cost Basis (Break Even)</v>
      </c>
      <c r="CT5" s="28" t="str">
        <f ca="1">IFERROR(__xludf.DUMMYFUNCTION("""COMPUTED_VALUE"""),"Trade Attribute 3")</f>
        <v>Trade Attribute 3</v>
      </c>
      <c r="CU5" s="28" t="str">
        <f ca="1">IFERROR(__xludf.DUMMYFUNCTION("""COMPUTED_VALUE"""),"Trade Attribute 4")</f>
        <v>Trade Attribute 4</v>
      </c>
      <c r="CV5" s="28" t="str">
        <f ca="1">IFERROR(__xludf.DUMMYFUNCTION("""COMPUTED_VALUE"""),"Trade Attribute 5")</f>
        <v>Trade Attribute 5</v>
      </c>
      <c r="CW5" s="28" t="str">
        <f ca="1">IFERROR(__xludf.DUMMYFUNCTION("""COMPUTED_VALUE"""),"Trade Attribute 6")</f>
        <v>Trade Attribute 6</v>
      </c>
      <c r="CX5" s="28" t="str">
        <f ca="1">IFERROR(__xludf.DUMMYFUNCTION("""COMPUTED_VALUE"""),"Proxy Symbol")</f>
        <v>Proxy Symbol</v>
      </c>
      <c r="CY5" s="28" t="str">
        <f ca="1">IFERROR(__xludf.DUMMYFUNCTION("""COMPUTED_VALUE"""),"Pricing Source")</f>
        <v>Pricing Source</v>
      </c>
      <c r="CZ5" s="28" t="str">
        <f ca="1">IFERROR(__xludf.DUMMYFUNCTION("""COMPUTED_VALUE"""),"Delta Source")</f>
        <v>Delta Source</v>
      </c>
      <c r="DA5" s="28" t="str">
        <f ca="1">IFERROR(__xludf.DUMMYFUNCTION("""COMPUTED_VALUE"""),"Gross Exposure (Local)")</f>
        <v>Gross Exposure (Local)</v>
      </c>
      <c r="DB5" s="28" t="str">
        <f ca="1">IFERROR(__xludf.DUMMYFUNCTION("""COMPUTED_VALUE"""),"% Day P&amp;L (Net MV)")</f>
        <v>% Day P&amp;L (Net MV)</v>
      </c>
      <c r="DC5" s="28" t="str">
        <f ca="1">IFERROR(__xludf.DUMMYFUNCTION("""COMPUTED_VALUE"""),"Expiration Month")</f>
        <v>Expiration Month</v>
      </c>
      <c r="DD5" s="28" t="str">
        <f ca="1">IFERROR(__xludf.DUMMYFUNCTION("""COMPUTED_VALUE"""),"Delta Adj. Position (LME)")</f>
        <v>Delta Adj. Position (LME)</v>
      </c>
      <c r="DE5" s="28" t="str">
        <f ca="1">IFERROR(__xludf.DUMMYFUNCTION("""COMPUTED_VALUE"""),"Premium")</f>
        <v>Premium</v>
      </c>
      <c r="DF5" s="28" t="str">
        <f ca="1">IFERROR(__xludf.DUMMYFUNCTION("""COMPUTED_VALUE"""),"Premium $")</f>
        <v>Premium $</v>
      </c>
      <c r="DG5" s="28" t="str">
        <f ca="1">IFERROR(__xludf.DUMMYFUNCTION("""COMPUTED_VALUE"""),"Forward Points")</f>
        <v>Forward Points</v>
      </c>
      <c r="DH5" s="28" t="str">
        <f ca="1">IFERROR(__xludf.DUMMYFUNCTION("""COMPUTED_VALUE"""),"Closing Mark (Underlying)")</f>
        <v>Closing Mark (Underlying)</v>
      </c>
      <c r="DI5" s="28" t="str">
        <f ca="1">IFERROR(__xludf.DUMMYFUNCTION("""COMPUTED_VALUE"""),"% Change (Underlying Price)")</f>
        <v>% Change (Underlying Price)</v>
      </c>
      <c r="DJ5" s="28" t="str">
        <f ca="1">IFERROR(__xludf.DUMMYFUNCTION("""COMPUTED_VALUE"""),"Transaction Type")</f>
        <v>Transaction Type</v>
      </c>
      <c r="DK5" s="28" t="str">
        <f ca="1">IFERROR(__xludf.DUMMYFUNCTION("""COMPUTED_VALUE"""),"Closing Market Value (Local)")</f>
        <v>Closing Market Value (Local)</v>
      </c>
      <c r="DL5" s="28" t="str">
        <f ca="1">IFERROR(__xludf.DUMMYFUNCTION("""COMPUTED_VALUE"""),"Closing Market Value (Base)")</f>
        <v>Closing Market Value (Base)</v>
      </c>
      <c r="DM5" s="28" t="str">
        <f ca="1">IFERROR(__xludf.DUMMYFUNCTION("""COMPUTED_VALUE"""),"Closing FX Rate")</f>
        <v>Closing FX Rate</v>
      </c>
      <c r="DN5" s="28" t="str">
        <f ca="1">IFERROR(__xludf.DUMMYFUNCTION("""COMPUTED_VALUE"""),"Change In Underlying Price")</f>
        <v>Change In Underlying Price</v>
      </c>
      <c r="DO5" s="28" t="str">
        <f ca="1">IFERROR(__xludf.DUMMYFUNCTION("""COMPUTED_VALUE"""),"RIC")</f>
        <v>RIC</v>
      </c>
      <c r="DP5" s="28" t="str">
        <f ca="1">IFERROR(__xludf.DUMMYFUNCTION("""COMPUTED_VALUE"""),"Position Side Exposure (Boxed)")</f>
        <v>Position Side Exposure (Boxed)</v>
      </c>
      <c r="DQ5" s="28" t="str">
        <f ca="1">IFERROR(__xludf.DUMMYFUNCTION("""COMPUTED_VALUE"""),"Analyst")</f>
        <v>Analyst</v>
      </c>
      <c r="DR5" s="28" t="str">
        <f ca="1">IFERROR(__xludf.DUMMYFUNCTION("""COMPUTED_VALUE"""),"Country Of Risk")</f>
        <v>Country Of Risk</v>
      </c>
      <c r="DS5" s="28" t="str">
        <f ca="1">IFERROR(__xludf.DUMMYFUNCTION("""COMPUTED_VALUE"""),"Custom UDA1")</f>
        <v>Custom UDA1</v>
      </c>
      <c r="DT5" s="28" t="str">
        <f ca="1">IFERROR(__xludf.DUMMYFUNCTION("""COMPUTED_VALUE"""),"Custom UDA2")</f>
        <v>Custom UDA2</v>
      </c>
      <c r="DU5" s="28" t="str">
        <f ca="1">IFERROR(__xludf.DUMMYFUNCTION("""COMPUTED_VALUE"""),"Custom UDA3")</f>
        <v>Custom UDA3</v>
      </c>
      <c r="DV5" s="28" t="str">
        <f ca="1">IFERROR(__xludf.DUMMYFUNCTION("""COMPUTED_VALUE"""),"Custom UDA4")</f>
        <v>Custom UDA4</v>
      </c>
      <c r="DW5" s="28" t="str">
        <f ca="1">IFERROR(__xludf.DUMMYFUNCTION("""COMPUTED_VALUE"""),"Custom UDA5")</f>
        <v>Custom UDA5</v>
      </c>
      <c r="DX5" s="28" t="str">
        <f ca="1">IFERROR(__xludf.DUMMYFUNCTION("""COMPUTED_VALUE"""),"Custom UDA6")</f>
        <v>Custom UDA6</v>
      </c>
      <c r="DY5" s="28" t="str">
        <f ca="1">IFERROR(__xludf.DUMMYFUNCTION("""COMPUTED_VALUE"""),"Custom UDA7")</f>
        <v>Custom UDA7</v>
      </c>
      <c r="DZ5" s="28" t="str">
        <f ca="1">IFERROR(__xludf.DUMMYFUNCTION("""COMPUTED_VALUE"""),"Issuer")</f>
        <v>Issuer</v>
      </c>
      <c r="EA5" s="28" t="str">
        <f ca="1">IFERROR(__xludf.DUMMYFUNCTION("""COMPUTED_VALUE"""),"Liquid Tag")</f>
        <v>Liquid Tag</v>
      </c>
      <c r="EB5" s="28" t="str">
        <f ca="1">IFERROR(__xludf.DUMMYFUNCTION("""COMPUTED_VALUE"""),"Market Cap UDA")</f>
        <v>Market Cap UDA</v>
      </c>
      <c r="EC5" s="28" t="str">
        <f ca="1">IFERROR(__xludf.DUMMYFUNCTION("""COMPUTED_VALUE"""),"Region")</f>
        <v>Region</v>
      </c>
      <c r="ED5" s="28" t="str">
        <f ca="1">IFERROR(__xludf.DUMMYFUNCTION("""COMPUTED_VALUE"""),"Risk Currency")</f>
        <v>Risk Currency</v>
      </c>
      <c r="EE5" s="28" t="str">
        <f ca="1">IFERROR(__xludf.DUMMYFUNCTION("""COMPUTED_VALUE"""),"UCITS Eligible Tag")</f>
        <v>UCITS Eligible Tag</v>
      </c>
      <c r="EF5" s="28" t="str">
        <f ca="1">IFERROR(__xludf.DUMMYFUNCTION("""COMPUTED_VALUE"""),"FX Rate (Display)")</f>
        <v>FX Rate (Display)</v>
      </c>
      <c r="EG5" s="28" t="str">
        <f ca="1">IFERROR(__xludf.DUMMYFUNCTION("""COMPUTED_VALUE"""),"% Net Exposure (Base)")</f>
        <v>% Net Exposure (Base)</v>
      </c>
      <c r="EH5" s="28" t="str">
        <f ca="1">IFERROR(__xludf.DUMMYFUNCTION("""COMPUTED_VALUE"""),"% Gross Exposure (Base)")</f>
        <v>% Gross Exposure (Base)</v>
      </c>
      <c r="EI5" s="28" t="str">
        <f ca="1">IFERROR(__xludf.DUMMYFUNCTION("""COMPUTED_VALUE"""),"% Exposure (Base)")</f>
        <v>% Exposure (Base)</v>
      </c>
      <c r="EJ5" s="28" t="str">
        <f ca="1">IFERROR(__xludf.DUMMYFUNCTION("""COMPUTED_VALUE"""),"% Gross Exposure (Underlying) (Base)")</f>
        <v>% Gross Exposure (Underlying) (Base)</v>
      </c>
      <c r="EK5" s="28" t="str">
        <f ca="1">IFERROR(__xludf.DUMMYFUNCTION("""COMPUTED_VALUE"""),"% Beta Adj. Gross Exposure (Base)")</f>
        <v>% Beta Adj. Gross Exposure (Base)</v>
      </c>
      <c r="EL5" s="28" t="str">
        <f ca="1">IFERROR(__xludf.DUMMYFUNCTION("""COMPUTED_VALUE"""),"Position Side Exposure (Underlying)")</f>
        <v>Position Side Exposure (Underlying)</v>
      </c>
      <c r="EM5" s="28" t="str">
        <f ca="1">IFERROR(__xludf.DUMMYFUNCTION("""COMPUTED_VALUE"""),"Gross Exposure (Underlying) (Base)")</f>
        <v>Gross Exposure (Underlying) (Base)</v>
      </c>
      <c r="EN5" s="28" t="str">
        <f ca="1">IFERROR(__xludf.DUMMYFUNCTION("""COMPUTED_VALUE"""),"Gross Exposure (Underlying)")</f>
        <v>Gross Exposure (Underlying)</v>
      </c>
      <c r="EO5" s="28" t="str">
        <f ca="1">IFERROR(__xludf.DUMMYFUNCTION("""COMPUTED_VALUE"""),"Day Return")</f>
        <v>Day Return</v>
      </c>
      <c r="EP5" s="28" t="str">
        <f ca="1">IFERROR(__xludf.DUMMYFUNCTION("""COMPUTED_VALUE"""),"Start of Day NAV")</f>
        <v>Start of Day NAV</v>
      </c>
      <c r="EQ5" s="28" t="str">
        <f ca="1">IFERROR(__xludf.DUMMYFUNCTION("""COMPUTED_VALUE"""),"% Gross Market Value (Base)")</f>
        <v>% Gross Market Value (Base)</v>
      </c>
      <c r="ER5" s="28" t="str">
        <f ca="1">IFERROR(__xludf.DUMMYFUNCTION("""COMPUTED_VALUE"""),"Beta Adj. Gross Exposure (Underlying) (Local)")</f>
        <v>Beta Adj. Gross Exposure (Underlying) (Local)</v>
      </c>
      <c r="ES5" s="28" t="str">
        <f ca="1">IFERROR(__xludf.DUMMYFUNCTION("""COMPUTED_VALUE"""),"NAV")</f>
        <v>NAV</v>
      </c>
      <c r="ET5" s="28" t="str">
        <f ca="1">IFERROR(__xludf.DUMMYFUNCTION("""COMPUTED_VALUE"""),"% P&amp;L Contribution")</f>
        <v>% P&amp;L Contribution</v>
      </c>
      <c r="EU5" s="28" t="str">
        <f ca="1">IFERROR(__xludf.DUMMYFUNCTION("""COMPUTED_VALUE"""),"% Net Market Value (Base)")</f>
        <v>% Net Market Value (Base)</v>
      </c>
      <c r="EV5" s="28" t="str">
        <f ca="1">IFERROR(__xludf.DUMMYFUNCTION("""COMPUTED_VALUE"""),"Position Side Exposure")</f>
        <v>Position Side Exposure</v>
      </c>
      <c r="EW5" s="28" t="str">
        <f ca="1">IFERROR(__xludf.DUMMYFUNCTION("""COMPUTED_VALUE"""),"NAV (Touch)")</f>
        <v>NAV (Touch)</v>
      </c>
      <c r="EX5" s="28" t="str">
        <f ca="1">IFERROR(__xludf.DUMMYFUNCTION("""COMPUTED_VALUE"""),"IgnorePropertyChangeEvents")</f>
        <v>IgnorePropertyChangeEvents</v>
      </c>
      <c r="EY5" s="28" t="str">
        <f ca="1">IFERROR(__xludf.DUMMYFUNCTION("""COMPUTED_VALUE"""),"Trade Attribute 1")</f>
        <v>Trade Attribute 1</v>
      </c>
      <c r="EZ5" s="28" t="str">
        <f ca="1">IFERROR(__xludf.DUMMYFUNCTION("""COMPUTED_VALUE"""),"Trade Attribute 2")</f>
        <v>Trade Attribute 2</v>
      </c>
      <c r="FA5" s="28" t="str">
        <f ca="1">IFERROR(__xludf.DUMMYFUNCTION("""COMPUTED_VALUE"""),"")</f>
        <v/>
      </c>
      <c r="FB5" s="28" t="str">
        <f ca="1">IFERROR(__xludf.DUMMYFUNCTION("""COMPUTED_VALUE"""),"")</f>
        <v/>
      </c>
      <c r="FC5" s="28" t="str">
        <f ca="1">IFERROR(__xludf.DUMMYFUNCTION("""COMPUTED_VALUE"""),"")</f>
        <v/>
      </c>
      <c r="FD5" s="28" t="str">
        <f ca="1">IFERROR(__xludf.DUMMYFUNCTION("""COMPUTED_VALUE"""),"")</f>
        <v/>
      </c>
      <c r="FE5" s="28" t="str">
        <f ca="1">IFERROR(__xludf.DUMMYFUNCTION("""COMPUTED_VALUE"""),"")</f>
        <v/>
      </c>
      <c r="FF5" s="28" t="str">
        <f ca="1">IFERROR(__xludf.DUMMYFUNCTION("""COMPUTED_VALUE"""),"")</f>
        <v/>
      </c>
      <c r="FG5" s="28" t="str">
        <f ca="1">IFERROR(__xludf.DUMMYFUNCTION("""COMPUTED_VALUE"""),"")</f>
        <v/>
      </c>
      <c r="FH5" s="28" t="str">
        <f ca="1">IFERROR(__xludf.DUMMYFUNCTION("""COMPUTED_VALUE"""),"")</f>
        <v/>
      </c>
      <c r="FI5" s="28" t="str">
        <f ca="1">IFERROR(__xludf.DUMMYFUNCTION("""COMPUTED_VALUE"""),"")</f>
        <v/>
      </c>
      <c r="FJ5" s="28" t="str">
        <f ca="1">IFERROR(__xludf.DUMMYFUNCTION("""COMPUTED_VALUE"""),"")</f>
        <v/>
      </c>
      <c r="FK5" s="28" t="str">
        <f ca="1">IFERROR(__xludf.DUMMYFUNCTION("""COMPUTED_VALUE"""),"")</f>
        <v/>
      </c>
      <c r="FL5" s="28" t="str">
        <f ca="1">IFERROR(__xludf.DUMMYFUNCTION("""COMPUTED_VALUE"""),"")</f>
        <v/>
      </c>
      <c r="FM5" s="28" t="str">
        <f ca="1">IFERROR(__xludf.DUMMYFUNCTION("""COMPUTED_VALUE"""),"")</f>
        <v/>
      </c>
    </row>
    <row r="6" spans="1:169" ht="15.75" customHeight="1" x14ac:dyDescent="0.2">
      <c r="A6" s="5"/>
      <c r="B6" s="5"/>
      <c r="C6" s="29" t="s">
        <v>16</v>
      </c>
      <c r="D6" s="31">
        <v>20</v>
      </c>
      <c r="E6" s="30" t="s">
        <v>18</v>
      </c>
      <c r="F6" s="32"/>
      <c r="G6" s="36">
        <v>12</v>
      </c>
      <c r="H6" s="32"/>
      <c r="I6" s="48"/>
      <c r="J6" s="32"/>
      <c r="K6" s="32"/>
      <c r="L6" s="32"/>
      <c r="M6" s="32"/>
      <c r="N6" s="32"/>
      <c r="O6" s="32"/>
      <c r="P6" s="32"/>
      <c r="Q6" s="32"/>
      <c r="R6" s="32"/>
      <c r="S6" s="32" t="s">
        <v>29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17</v>
      </c>
      <c r="AO6" s="32"/>
      <c r="AP6" s="33" t="s">
        <v>27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</row>
    <row r="7" spans="1:169" ht="15.75" customHeight="1" x14ac:dyDescent="0.2">
      <c r="A7" s="2"/>
      <c r="B7" s="2"/>
      <c r="C7" s="29" t="s">
        <v>16</v>
      </c>
      <c r="D7" s="34">
        <v>20</v>
      </c>
      <c r="E7" s="30" t="s">
        <v>18</v>
      </c>
      <c r="F7" s="32"/>
      <c r="G7" s="34">
        <v>15</v>
      </c>
      <c r="H7" s="32"/>
      <c r="I7" s="48"/>
      <c r="J7" s="32"/>
      <c r="K7" s="32"/>
      <c r="L7" s="32"/>
      <c r="M7" s="32"/>
      <c r="N7" s="32"/>
      <c r="O7" s="32"/>
      <c r="P7" s="32"/>
      <c r="Q7" s="32"/>
      <c r="R7" s="32"/>
      <c r="S7" s="32" t="s">
        <v>29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 t="s">
        <v>17</v>
      </c>
      <c r="AO7" s="32"/>
      <c r="AP7" s="33" t="s">
        <v>27</v>
      </c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</row>
    <row r="8" spans="1:169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69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69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69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69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69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69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69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69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3" t="s">
        <v>11</v>
      </c>
      <c r="C1" s="54"/>
      <c r="D1" s="54"/>
      <c r="E1" s="54"/>
      <c r="F1" s="54"/>
      <c r="G1" s="54"/>
      <c r="H1" s="55"/>
      <c r="I1" s="12"/>
      <c r="J1" s="12"/>
      <c r="K1" s="12"/>
      <c r="L1" s="12"/>
      <c r="M1" s="12"/>
      <c r="N1" s="12"/>
      <c r="O1" s="12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e">
        <f ca="1">VLOOKUP($E$3,_MasterData!B4:D1000,3,FALSE)</f>
        <v>#N/A</v>
      </c>
      <c r="K2" s="15"/>
      <c r="L2" s="2"/>
      <c r="M2" s="2"/>
      <c r="N2" s="2"/>
      <c r="O2" s="2"/>
    </row>
    <row r="3" spans="1:154" ht="15.75" customHeight="1" x14ac:dyDescent="0.2">
      <c r="A3" s="17"/>
      <c r="B3" s="3" t="s">
        <v>5</v>
      </c>
      <c r="C3" s="18" t="s">
        <v>21</v>
      </c>
      <c r="D3" s="3" t="s">
        <v>7</v>
      </c>
      <c r="E3" s="18" t="s">
        <v>42</v>
      </c>
      <c r="F3" s="3" t="s">
        <v>14</v>
      </c>
      <c r="G3" s="7" t="s">
        <v>15</v>
      </c>
      <c r="H3" s="3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 x14ac:dyDescent="0.2">
      <c r="A4" s="21"/>
      <c r="B4" s="21" t="str">
        <f ca="1">IFERROR(__xludf.DUMMYFUNCTION("IF(C3="""","""",Transpose(IMPORTRANGE('_Settings'!$B$3,C3&amp;""!A4:A1000"")))"),"SwapExpire")</f>
        <v>SwapExpire</v>
      </c>
      <c r="C4" s="21" t="str">
        <f ca="1">IFERROR(__xludf.DUMMYFUNCTION("""COMPUTED_VALUE"""),"GetDataClosing")</f>
        <v>GetDataClosing</v>
      </c>
      <c r="D4" s="21" t="str">
        <f ca="1">IFERROR(__xludf.DUMMYFUNCTION("""COMPUTED_VALUE"""),"ManualClosing")</f>
        <v>ManualClosing</v>
      </c>
      <c r="E4" s="21" t="str">
        <f ca="1">IFERROR(__xludf.DUMMYFUNCTION("""COMPUTED_VALUE"""),"AutomaticClosing")</f>
        <v>AutomaticClosing</v>
      </c>
      <c r="F4" s="21" t="str">
        <f ca="1">IFERROR(__xludf.DUMMYFUNCTION("""COMPUTED_VALUE"""),"UnwindClosing")</f>
        <v>UnwindClosing</v>
      </c>
      <c r="G4" s="21" t="str">
        <f ca="1">IFERROR(__xludf.DUMMYFUNCTION("""COMPUTED_VALUE"""),"VerifyClosedTrades")</f>
        <v>VerifyClosedTrades</v>
      </c>
      <c r="H4" s="21" t="str">
        <f ca="1">IFERROR(__xludf.DUMMYFUNCTION("""COMPUTED_VALUE"""),"VerifyLongPositionsGrid")</f>
        <v>VerifyLongPositionsGrid</v>
      </c>
      <c r="I4" s="21" t="str">
        <f ca="1">IFERROR(__xludf.DUMMYFUNCTION("""COMPUTED_VALUE"""),"VerifyShortPositionsGrid")</f>
        <v>VerifyShortPositionsGrid</v>
      </c>
      <c r="J4" s="21" t="str">
        <f ca="1">IFERROR(__xludf.DUMMYFUNCTION("""COMPUTED_VALUE"""),"SelectTradeUnexpiredUnsettled")</f>
        <v>SelectTradeUnexpiredUnsettled</v>
      </c>
      <c r="K4" s="21" t="str">
        <f ca="1">IFERROR(__xludf.DUMMYFUNCTION("""COMPUTED_VALUE"""),"CashSettlementAtCost")</f>
        <v>CashSettlementAtCost</v>
      </c>
      <c r="L4" s="21" t="str">
        <f ca="1">IFERROR(__xludf.DUMMYFUNCTION("""COMPUTED_VALUE"""),"CashSettlementAtZeroPrice")</f>
        <v>CashSettlementAtZeroPrice</v>
      </c>
      <c r="M4" s="21" t="str">
        <f ca="1">IFERROR(__xludf.DUMMYFUNCTION("""COMPUTED_VALUE"""),"CashSettlementAtClosingDtSpotPx")</f>
        <v>CashSettlementAtClosingDtSpotPx</v>
      </c>
      <c r="N4" s="21" t="str">
        <f ca="1">IFERROR(__xludf.DUMMYFUNCTION("""COMPUTED_VALUE"""),"PhysicalSettlement")</f>
        <v>PhysicalSettlement</v>
      </c>
      <c r="O4" s="21" t="str">
        <f ca="1">IFERROR(__xludf.DUMMYFUNCTION("""COMPUTED_VALUE"""),"Expire")</f>
        <v>Expire</v>
      </c>
      <c r="P4" s="23" t="str">
        <f ca="1">IFERROR(__xludf.DUMMYFUNCTION("""COMPUTED_VALUE"""),"ExerciseAssignment")</f>
        <v>ExerciseAssignment</v>
      </c>
      <c r="Q4" s="23" t="str">
        <f ca="1">IFERROR(__xludf.DUMMYFUNCTION("""COMPUTED_VALUE"""),"ExerciseAssignmentAtZero")</f>
        <v>ExerciseAssignmentAtZero</v>
      </c>
      <c r="R4" s="23" t="str">
        <f ca="1">IFERROR(__xludf.DUMMYFUNCTION("""COMPUTED_VALUE"""),"SwapExpireAndRollover")</f>
        <v>SwapExpireAndRollover</v>
      </c>
      <c r="S4" s="23" t="str">
        <f ca="1">IFERROR(__xludf.DUMMYFUNCTION("""COMPUTED_VALUE"""),"SwapExpire")</f>
        <v>SwapExpire</v>
      </c>
      <c r="T4" s="23" t="str">
        <f ca="1">IFERROR(__xludf.DUMMYFUNCTION("""COMPUTED_VALUE"""),"VerifyExpiredSettledGrid")</f>
        <v>VerifyExpiredSettledGrid</v>
      </c>
      <c r="U4" s="23" t="str">
        <f ca="1">IFERROR(__xludf.DUMMYFUNCTION("""COMPUTED_VALUE"""),"VerifyUnExpiredUnSettledGrid")</f>
        <v>VerifyUnExpiredUnSettledGrid</v>
      </c>
      <c r="V4" s="23" t="str">
        <f ca="1">IFERROR(__xludf.DUMMYFUNCTION("""COMPUTED_VALUE"""),"UnWindTradeSettlement")</f>
        <v>UnWindTradeSettlement</v>
      </c>
      <c r="W4" s="23" t="str">
        <f ca="1">IFERROR(__xludf.DUMMYFUNCTION("""COMPUTED_VALUE"""),"CloseOrder")</f>
        <v>CloseOrder</v>
      </c>
      <c r="X4" s="23" t="str">
        <f ca="1">IFERROR(__xludf.DUMMYFUNCTION("""COMPUTED_VALUE"""),"VerifyCloseOrder")</f>
        <v>VerifyCloseOrder</v>
      </c>
      <c r="Y4" s="23" t="str">
        <f ca="1">IFERROR(__xludf.DUMMYFUNCTION("""COMPUTED_VALUE"""),"UnWindCloseOrder")</f>
        <v>UnWindCloseOrder</v>
      </c>
      <c r="Z4" s="23" t="str">
        <f ca="1">IFERROR(__xludf.DUMMYFUNCTION("""COMPUTED_VALUE"""),"ClosingCleanUp")</f>
        <v>ClosingCleanUp</v>
      </c>
      <c r="AA4" s="23" t="str">
        <f ca="1">IFERROR(__xludf.DUMMYFUNCTION("""COMPUTED_VALUE"""),"CloseClosingUI")</f>
        <v>CloseClosingUI</v>
      </c>
      <c r="AB4" s="23" t="str">
        <f ca="1">IFERROR(__xludf.DUMMYFUNCTION("""COMPUTED_VALUE"""),"SetClosingPreference")</f>
        <v>SetClosingPreference</v>
      </c>
      <c r="AC4" s="23" t="str">
        <f ca="1">IFERROR(__xludf.DUMMYFUNCTION("""COMPUTED_VALUE"""),"EditTradeUnexpiredUnsettled")</f>
        <v>EditTradeUnexpiredUnsettled</v>
      </c>
      <c r="AD4" s="23" t="str">
        <f ca="1">IFERROR(__xludf.DUMMYFUNCTION("""COMPUTED_VALUE"""),"")</f>
        <v/>
      </c>
      <c r="AE4" s="23" t="str">
        <f ca="1">IFERROR(__xludf.DUMMYFUNCTION("""COMPUTED_VALUE"""),"")</f>
        <v/>
      </c>
      <c r="AF4" s="23" t="str">
        <f ca="1">IFERROR(__xludf.DUMMYFUNCTION("""COMPUTED_VALUE"""),"")</f>
        <v/>
      </c>
      <c r="AG4" s="23" t="str">
        <f ca="1">IFERROR(__xludf.DUMMYFUNCTION("""COMPUTED_VALUE"""),"")</f>
        <v/>
      </c>
      <c r="AH4" s="23" t="str">
        <f ca="1">IFERROR(__xludf.DUMMYFUNCTION("""COMPUTED_VALUE"""),"")</f>
        <v/>
      </c>
      <c r="AI4" s="23" t="str">
        <f ca="1">IFERROR(__xludf.DUMMYFUNCTION("""COMPUTED_VALUE"""),"")</f>
        <v/>
      </c>
      <c r="AJ4" s="23" t="str">
        <f ca="1">IFERROR(__xludf.DUMMYFUNCTION("""COMPUTED_VALUE"""),"")</f>
        <v/>
      </c>
      <c r="AK4" s="23" t="str">
        <f ca="1">IFERROR(__xludf.DUMMYFUNCTION("""COMPUTED_VALUE"""),"")</f>
        <v/>
      </c>
      <c r="AL4" s="23" t="str">
        <f ca="1">IFERROR(__xludf.DUMMYFUNCTION("""COMPUTED_VALUE"""),"")</f>
        <v/>
      </c>
      <c r="AM4" s="23" t="str">
        <f ca="1">IFERROR(__xludf.DUMMYFUNCTION("""COMPUTED_VALUE"""),"")</f>
        <v/>
      </c>
      <c r="AN4" s="23" t="str">
        <f ca="1">IFERROR(__xludf.DUMMYFUNCTION("""COMPUTED_VALUE"""),"")</f>
        <v/>
      </c>
      <c r="AO4" s="23" t="str">
        <f ca="1">IFERROR(__xludf.DUMMYFUNCTION("""COMPUTED_VALUE"""),"")</f>
        <v/>
      </c>
      <c r="AP4" s="23" t="str">
        <f ca="1">IFERROR(__xludf.DUMMYFUNCTION("""COMPUTED_VALUE"""),"")</f>
        <v/>
      </c>
      <c r="AQ4" s="23" t="str">
        <f ca="1">IFERROR(__xludf.DUMMYFUNCTION("""COMPUTED_VALUE"""),"")</f>
        <v/>
      </c>
      <c r="AR4" s="23" t="str">
        <f ca="1">IFERROR(__xludf.DUMMYFUNCTION("""COMPUTED_VALUE"""),"")</f>
        <v/>
      </c>
      <c r="AS4" s="23" t="str">
        <f ca="1">IFERROR(__xludf.DUMMYFUNCTION("""COMPUTED_VALUE"""),"")</f>
        <v/>
      </c>
      <c r="AT4" s="23" t="str">
        <f ca="1">IFERROR(__xludf.DUMMYFUNCTION("""COMPUTED_VALUE"""),"")</f>
        <v/>
      </c>
      <c r="AU4" s="23" t="str">
        <f ca="1">IFERROR(__xludf.DUMMYFUNCTION("""COMPUTED_VALUE"""),"")</f>
        <v/>
      </c>
      <c r="AV4" s="23" t="str">
        <f ca="1">IFERROR(__xludf.DUMMYFUNCTION("""COMPUTED_VALUE"""),"")</f>
        <v/>
      </c>
      <c r="AW4" s="23" t="str">
        <f ca="1">IFERROR(__xludf.DUMMYFUNCTION("""COMPUTED_VALUE"""),"")</f>
        <v/>
      </c>
      <c r="AX4" s="23" t="str">
        <f ca="1">IFERROR(__xludf.DUMMYFUNCTION("""COMPUTED_VALUE"""),"")</f>
        <v/>
      </c>
      <c r="AY4" s="23" t="str">
        <f ca="1">IFERROR(__xludf.DUMMYFUNCTION("""COMPUTED_VALUE"""),"")</f>
        <v/>
      </c>
      <c r="AZ4" s="23" t="str">
        <f ca="1">IFERROR(__xludf.DUMMYFUNCTION("""COMPUTED_VALUE"""),"")</f>
        <v/>
      </c>
      <c r="BA4" s="23" t="str">
        <f ca="1">IFERROR(__xludf.DUMMYFUNCTION("""COMPUTED_VALUE"""),"")</f>
        <v/>
      </c>
      <c r="BB4" s="23" t="str">
        <f ca="1">IFERROR(__xludf.DUMMYFUNCTION("""COMPUTED_VALUE"""),"")</f>
        <v/>
      </c>
      <c r="BC4" s="23" t="str">
        <f ca="1">IFERROR(__xludf.DUMMYFUNCTION("""COMPUTED_VALUE"""),"")</f>
        <v/>
      </c>
      <c r="BD4" s="23" t="str">
        <f ca="1">IFERROR(__xludf.DUMMYFUNCTION("""COMPUTED_VALUE"""),"")</f>
        <v/>
      </c>
      <c r="BE4" s="23" t="str">
        <f ca="1">IFERROR(__xludf.DUMMYFUNCTION("""COMPUTED_VALUE"""),"")</f>
        <v/>
      </c>
      <c r="BF4" s="23" t="str">
        <f ca="1">IFERROR(__xludf.DUMMYFUNCTION("""COMPUTED_VALUE"""),"")</f>
        <v/>
      </c>
      <c r="BG4" s="23" t="str">
        <f ca="1">IFERROR(__xludf.DUMMYFUNCTION("""COMPUTED_VALUE"""),"")</f>
        <v/>
      </c>
      <c r="BH4" s="23" t="str">
        <f ca="1">IFERROR(__xludf.DUMMYFUNCTION("""COMPUTED_VALUE"""),"")</f>
        <v/>
      </c>
      <c r="BI4" s="23" t="str">
        <f ca="1">IFERROR(__xludf.DUMMYFUNCTION("""COMPUTED_VALUE"""),"")</f>
        <v/>
      </c>
      <c r="BJ4" s="23" t="str">
        <f ca="1">IFERROR(__xludf.DUMMYFUNCTION("""COMPUTED_VALUE"""),"")</f>
        <v/>
      </c>
      <c r="BK4" s="23" t="str">
        <f ca="1">IFERROR(__xludf.DUMMYFUNCTION("""COMPUTED_VALUE"""),"")</f>
        <v/>
      </c>
      <c r="BL4" s="23" t="str">
        <f ca="1">IFERROR(__xludf.DUMMYFUNCTION("""COMPUTED_VALUE"""),"")</f>
        <v/>
      </c>
      <c r="BM4" s="23" t="str">
        <f ca="1">IFERROR(__xludf.DUMMYFUNCTION("""COMPUTED_VALUE"""),"")</f>
        <v/>
      </c>
      <c r="BN4" s="23" t="str">
        <f ca="1">IFERROR(__xludf.DUMMYFUNCTION("""COMPUTED_VALUE"""),"")</f>
        <v/>
      </c>
      <c r="BO4" s="23" t="str">
        <f ca="1">IFERROR(__xludf.DUMMYFUNCTION("""COMPUTED_VALUE"""),"")</f>
        <v/>
      </c>
      <c r="BP4" s="23" t="str">
        <f ca="1">IFERROR(__xludf.DUMMYFUNCTION("""COMPUTED_VALUE"""),"")</f>
        <v/>
      </c>
      <c r="BQ4" s="23" t="str">
        <f ca="1">IFERROR(__xludf.DUMMYFUNCTION("""COMPUTED_VALUE"""),"")</f>
        <v/>
      </c>
      <c r="BR4" s="23" t="str">
        <f ca="1">IFERROR(__xludf.DUMMYFUNCTION("""COMPUTED_VALUE"""),"")</f>
        <v/>
      </c>
      <c r="BS4" s="23" t="str">
        <f ca="1">IFERROR(__xludf.DUMMYFUNCTION("""COMPUTED_VALUE"""),"")</f>
        <v/>
      </c>
      <c r="BT4" s="23" t="str">
        <f ca="1">IFERROR(__xludf.DUMMYFUNCTION("""COMPUTED_VALUE"""),"")</f>
        <v/>
      </c>
      <c r="BU4" s="23" t="str">
        <f ca="1">IFERROR(__xludf.DUMMYFUNCTION("""COMPUTED_VALUE"""),"")</f>
        <v/>
      </c>
      <c r="BV4" s="23" t="str">
        <f ca="1">IFERROR(__xludf.DUMMYFUNCTION("""COMPUTED_VALUE"""),"")</f>
        <v/>
      </c>
      <c r="BW4" s="23" t="str">
        <f ca="1">IFERROR(__xludf.DUMMYFUNCTION("""COMPUTED_VALUE"""),"")</f>
        <v/>
      </c>
      <c r="BX4" s="23" t="str">
        <f ca="1">IFERROR(__xludf.DUMMYFUNCTION("""COMPUTED_VALUE"""),"")</f>
        <v/>
      </c>
      <c r="BY4" s="23" t="str">
        <f ca="1">IFERROR(__xludf.DUMMYFUNCTION("""COMPUTED_VALUE"""),"")</f>
        <v/>
      </c>
      <c r="BZ4" s="23" t="str">
        <f ca="1">IFERROR(__xludf.DUMMYFUNCTION("""COMPUTED_VALUE"""),"")</f>
        <v/>
      </c>
      <c r="CA4" s="23" t="str">
        <f ca="1">IFERROR(__xludf.DUMMYFUNCTION("""COMPUTED_VALUE"""),"")</f>
        <v/>
      </c>
      <c r="CB4" s="23" t="str">
        <f ca="1">IFERROR(__xludf.DUMMYFUNCTION("""COMPUTED_VALUE"""),"")</f>
        <v/>
      </c>
      <c r="CC4" s="23" t="str">
        <f ca="1">IFERROR(__xludf.DUMMYFUNCTION("""COMPUTED_VALUE"""),"")</f>
        <v/>
      </c>
      <c r="CD4" s="23" t="str">
        <f ca="1">IFERROR(__xludf.DUMMYFUNCTION("""COMPUTED_VALUE"""),"")</f>
        <v/>
      </c>
      <c r="CE4" s="23" t="str">
        <f ca="1">IFERROR(__xludf.DUMMYFUNCTION("""COMPUTED_VALUE"""),"")</f>
        <v/>
      </c>
      <c r="CF4" s="23" t="str">
        <f ca="1">IFERROR(__xludf.DUMMYFUNCTION("""COMPUTED_VALUE"""),"")</f>
        <v/>
      </c>
      <c r="CG4" s="23" t="str">
        <f ca="1">IFERROR(__xludf.DUMMYFUNCTION("""COMPUTED_VALUE"""),"")</f>
        <v/>
      </c>
      <c r="CH4" s="23" t="str">
        <f ca="1">IFERROR(__xludf.DUMMYFUNCTION("""COMPUTED_VALUE"""),"")</f>
        <v/>
      </c>
      <c r="CI4" s="23" t="str">
        <f ca="1">IFERROR(__xludf.DUMMYFUNCTION("""COMPUTED_VALUE"""),"")</f>
        <v/>
      </c>
      <c r="CJ4" s="23" t="str">
        <f ca="1">IFERROR(__xludf.DUMMYFUNCTION("""COMPUTED_VALUE"""),"")</f>
        <v/>
      </c>
      <c r="CK4" s="23" t="str">
        <f ca="1">IFERROR(__xludf.DUMMYFUNCTION("""COMPUTED_VALUE"""),"")</f>
        <v/>
      </c>
      <c r="CL4" s="23" t="str">
        <f ca="1">IFERROR(__xludf.DUMMYFUNCTION("""COMPUTED_VALUE"""),"")</f>
        <v/>
      </c>
      <c r="CM4" s="23" t="str">
        <f ca="1">IFERROR(__xludf.DUMMYFUNCTION("""COMPUTED_VALUE"""),"")</f>
        <v/>
      </c>
      <c r="CN4" s="23" t="str">
        <f ca="1">IFERROR(__xludf.DUMMYFUNCTION("""COMPUTED_VALUE"""),"")</f>
        <v/>
      </c>
      <c r="CO4" s="23" t="str">
        <f ca="1">IFERROR(__xludf.DUMMYFUNCTION("""COMPUTED_VALUE"""),"")</f>
        <v/>
      </c>
      <c r="CP4" s="23" t="str">
        <f ca="1">IFERROR(__xludf.DUMMYFUNCTION("""COMPUTED_VALUE"""),"")</f>
        <v/>
      </c>
      <c r="CQ4" s="23" t="str">
        <f ca="1">IFERROR(__xludf.DUMMYFUNCTION("""COMPUTED_VALUE"""),"")</f>
        <v/>
      </c>
      <c r="CR4" s="23" t="str">
        <f ca="1">IFERROR(__xludf.DUMMYFUNCTION("""COMPUTED_VALUE"""),"")</f>
        <v/>
      </c>
      <c r="CS4" s="23" t="str">
        <f ca="1">IFERROR(__xludf.DUMMYFUNCTION("""COMPUTED_VALUE"""),"")</f>
        <v/>
      </c>
      <c r="CT4" s="23" t="str">
        <f ca="1">IFERROR(__xludf.DUMMYFUNCTION("""COMPUTED_VALUE"""),"")</f>
        <v/>
      </c>
      <c r="CU4" s="23" t="str">
        <f ca="1">IFERROR(__xludf.DUMMYFUNCTION("""COMPUTED_VALUE"""),"")</f>
        <v/>
      </c>
      <c r="CV4" s="23" t="str">
        <f ca="1">IFERROR(__xludf.DUMMYFUNCTION("""COMPUTED_VALUE"""),"")</f>
        <v/>
      </c>
      <c r="CW4" s="23" t="str">
        <f ca="1">IFERROR(__xludf.DUMMYFUNCTION("""COMPUTED_VALUE"""),"")</f>
        <v/>
      </c>
      <c r="CX4" s="23" t="str">
        <f ca="1">IFERROR(__xludf.DUMMYFUNCTION("""COMPUTED_VALUE"""),"")</f>
        <v/>
      </c>
      <c r="CY4" s="23" t="str">
        <f ca="1">IFERROR(__xludf.DUMMYFUNCTION("""COMPUTED_VALUE"""),"")</f>
        <v/>
      </c>
      <c r="CZ4" s="23" t="str">
        <f ca="1">IFERROR(__xludf.DUMMYFUNCTION("""COMPUTED_VALUE"""),"")</f>
        <v/>
      </c>
      <c r="DA4" s="23" t="str">
        <f ca="1">IFERROR(__xludf.DUMMYFUNCTION("""COMPUTED_VALUE"""),"")</f>
        <v/>
      </c>
      <c r="DB4" s="23" t="str">
        <f ca="1">IFERROR(__xludf.DUMMYFUNCTION("""COMPUTED_VALUE"""),"")</f>
        <v/>
      </c>
      <c r="DC4" s="23" t="str">
        <f ca="1">IFERROR(__xludf.DUMMYFUNCTION("""COMPUTED_VALUE"""),"")</f>
        <v/>
      </c>
      <c r="DD4" s="23" t="str">
        <f ca="1">IFERROR(__xludf.DUMMYFUNCTION("""COMPUTED_VALUE"""),"")</f>
        <v/>
      </c>
      <c r="DE4" s="23" t="str">
        <f ca="1">IFERROR(__xludf.DUMMYFUNCTION("""COMPUTED_VALUE"""),"")</f>
        <v/>
      </c>
      <c r="DF4" s="23" t="str">
        <f ca="1">IFERROR(__xludf.DUMMYFUNCTION("""COMPUTED_VALUE"""),"")</f>
        <v/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  <c r="EX4" s="23" t="str">
        <f ca="1">IFERROR(__xludf.DUMMYFUNCTION("""COMPUTED_VALUE"""),"")</f>
        <v/>
      </c>
    </row>
    <row r="5" spans="1:154" ht="15.75" customHeight="1" x14ac:dyDescent="0.2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IFERROR(__xludf.DUMMYFUNCTION("""COMPUTED_VALUE"""),"Account")</f>
        <v>Account</v>
      </c>
      <c r="C5" s="25" t="str">
        <f ca="1">IFERROR(__xludf.DUMMYFUNCTION("""COMPUTED_VALUE"""),"Asset Class")</f>
        <v>Asset Class</v>
      </c>
      <c r="D5" s="25" t="str">
        <f ca="1">IFERROR(__xludf.DUMMYFUNCTION("""COMPUTED_VALUE"""),"AUECID")</f>
        <v>AUECID</v>
      </c>
      <c r="E5" s="25" t="str">
        <f ca="1">IFERROR(__xludf.DUMMYFUNCTION("""COMPUTED_VALUE"""),"ExternalTransId")</f>
        <v>ExternalTransId</v>
      </c>
      <c r="F5" s="26" t="str">
        <f ca="1">IFERROR(__xludf.DUMMYFUNCTION("""COMPUTED_VALUE"""),"IsSwapped")</f>
        <v>IsSwapped</v>
      </c>
      <c r="G5" s="25" t="str">
        <f ca="1">IFERROR(__xludf.DUMMYFUNCTION("""COMPUTED_VALUE"""),"LotId")</f>
        <v>LotId</v>
      </c>
      <c r="H5" s="25" t="str">
        <f ca="1">IFERROR(__xludf.DUMMYFUNCTION("""COMPUTED_VALUE"""),"Net Notional")</f>
        <v>Net Notional</v>
      </c>
      <c r="I5" s="25" t="str">
        <f ca="1">IFERROR(__xludf.DUMMYFUNCTION("""COMPUTED_VALUE"""),"Opening Price")</f>
        <v>Opening Price</v>
      </c>
      <c r="J5" s="25" t="str">
        <f ca="1">IFERROR(__xludf.DUMMYFUNCTION("""COMPUTED_VALUE"""),"Original Purchase Date")</f>
        <v>Original Purchase Date</v>
      </c>
      <c r="K5" s="25" t="str">
        <f ca="1">IFERROR(__xludf.DUMMYFUNCTION("""COMPUTED_VALUE"""),"PositionTag")</f>
        <v>PositionTag</v>
      </c>
      <c r="L5" s="25" t="str">
        <f ca="1">IFERROR(__xludf.DUMMYFUNCTION("""COMPUTED_VALUE"""),"Process Date")</f>
        <v>Process Date</v>
      </c>
      <c r="M5" s="25" t="str">
        <f ca="1">IFERROR(__xludf.DUMMYFUNCTION("""COMPUTED_VALUE"""),"Quantity")</f>
        <v>Quantity</v>
      </c>
      <c r="N5" s="25" t="str">
        <f ca="1">IFERROR(__xludf.DUMMYFUNCTION("""COMPUTED_VALUE"""),"Security Name")</f>
        <v>Security Name</v>
      </c>
      <c r="O5" s="25" t="str">
        <f ca="1">IFERROR(__xludf.DUMMYFUNCTION("""COMPUTED_VALUE"""),"Settlement Currency")</f>
        <v>Settlement Currency</v>
      </c>
      <c r="P5" s="25" t="str">
        <f ca="1">IFERROR(__xludf.DUMMYFUNCTION("""COMPUTED_VALUE"""),"Side")</f>
        <v>Side</v>
      </c>
      <c r="Q5" s="25" t="str">
        <f ca="1">IFERROR(__xludf.DUMMYFUNCTION("""COMPUTED_VALUE"""),"Strategy")</f>
        <v>Strategy</v>
      </c>
      <c r="R5" s="25" t="str">
        <f ca="1">IFERROR(__xludf.DUMMYFUNCTION("""COMPUTED_VALUE"""),"Symbol")</f>
        <v>Symbol</v>
      </c>
      <c r="S5" s="25" t="str">
        <f ca="1">IFERROR(__xludf.DUMMYFUNCTION("""COMPUTED_VALUE"""),"Taxlot ID")</f>
        <v>Taxlot ID</v>
      </c>
      <c r="T5" s="28" t="str">
        <f ca="1">IFERROR(__xludf.DUMMYFUNCTION("""COMPUTED_VALUE"""),"Total Fees and Commission")</f>
        <v>Total Fees and Commission</v>
      </c>
      <c r="U5" s="28" t="str">
        <f ca="1">IFERROR(__xludf.DUMMYFUNCTION("""COMPUTED_VALUE"""),"Trade Date")</f>
        <v>Trade Date</v>
      </c>
      <c r="V5" s="28" t="str">
        <f ca="1">IFERROR(__xludf.DUMMYFUNCTION("""COMPUTED_VALUE"""),"Transaction Type")</f>
        <v>Transaction Type</v>
      </c>
      <c r="W5" s="28" t="str">
        <f ca="1">IFERROR(__xludf.DUMMYFUNCTION("""COMPUTED_VALUE"""),"UnderlyingName")</f>
        <v>UnderlyingName</v>
      </c>
      <c r="X5" s="28" t="str">
        <f ca="1">IFERROR(__xludf.DUMMYFUNCTION("""COMPUTED_VALUE"""),"UnitCost")</f>
        <v>UnitCost</v>
      </c>
      <c r="Y5" s="28" t="str">
        <f ca="1">IFERROR(__xludf.DUMMYFUNCTION("""COMPUTED_VALUE"""),"Unit Cost(Base)")</f>
        <v>Unit Cost(Base)</v>
      </c>
      <c r="Z5" s="28" t="str">
        <f ca="1">IFERROR(__xludf.DUMMYFUNCTION("""COMPUTED_VALUE"""),"AvgPriceBase")</f>
        <v>AvgPriceBase</v>
      </c>
      <c r="AA5" s="28" t="str">
        <f ca="1">IFERROR(__xludf.DUMMYFUNCTION("""COMPUTED_VALUE"""),"")</f>
        <v/>
      </c>
      <c r="AB5" s="28" t="str">
        <f ca="1">IFERROR(__xludf.DUMMYFUNCTION("""COMPUTED_VALUE"""),"")</f>
        <v/>
      </c>
      <c r="AC5" s="28" t="str">
        <f ca="1">IFERROR(__xludf.DUMMYFUNCTION("""COMPUTED_VALUE"""),"")</f>
        <v/>
      </c>
      <c r="AD5" s="28" t="str">
        <f ca="1">IFERROR(__xludf.DUMMYFUNCTION("""COMPUTED_VALUE"""),"")</f>
        <v/>
      </c>
      <c r="AE5" s="28" t="str">
        <f ca="1">IFERROR(__xludf.DUMMYFUNCTION("""COMPUTED_VALUE"""),"")</f>
        <v/>
      </c>
      <c r="AF5" s="28" t="str">
        <f ca="1">IFERROR(__xludf.DUMMYFUNCTION("""COMPUTED_VALUE"""),"")</f>
        <v/>
      </c>
      <c r="AG5" s="28" t="str">
        <f ca="1">IFERROR(__xludf.DUMMYFUNCTION("""COMPUTED_VALUE"""),"")</f>
        <v/>
      </c>
      <c r="AH5" s="28" t="str">
        <f ca="1">IFERROR(__xludf.DUMMYFUNCTION("""COMPUTED_VALUE"""),"")</f>
        <v/>
      </c>
      <c r="AI5" s="28" t="str">
        <f ca="1">IFERROR(__xludf.DUMMYFUNCTION("""COMPUTED_VALUE"""),"")</f>
        <v/>
      </c>
      <c r="AJ5" s="28" t="str">
        <f ca="1">IFERROR(__xludf.DUMMYFUNCTION("""COMPUTED_VALUE"""),"")</f>
        <v/>
      </c>
      <c r="AK5" s="28" t="str">
        <f ca="1">IFERROR(__xludf.DUMMYFUNCTION("""COMPUTED_VALUE"""),"")</f>
        <v/>
      </c>
      <c r="AL5" s="28" t="str">
        <f ca="1">IFERROR(__xludf.DUMMYFUNCTION("""COMPUTED_VALUE"""),"")</f>
        <v/>
      </c>
      <c r="AM5" s="28" t="str">
        <f ca="1">IFERROR(__xludf.DUMMYFUNCTION("""COMPUTED_VALUE"""),"")</f>
        <v/>
      </c>
      <c r="AN5" s="28" t="str">
        <f ca="1">IFERROR(__xludf.DUMMYFUNCTION("""COMPUTED_VALUE"""),"")</f>
        <v/>
      </c>
      <c r="AO5" s="28" t="str">
        <f ca="1">IFERROR(__xludf.DUMMYFUNCTION("""COMPUTED_VALUE"""),"")</f>
        <v/>
      </c>
      <c r="AP5" s="28" t="str">
        <f ca="1">IFERROR(__xludf.DUMMYFUNCTION("""COMPUTED_VALUE"""),"")</f>
        <v/>
      </c>
      <c r="AQ5" s="28" t="str">
        <f ca="1">IFERROR(__xludf.DUMMYFUNCTION("""COMPUTED_VALUE"""),"")</f>
        <v/>
      </c>
      <c r="AR5" s="28" t="str">
        <f ca="1">IFERROR(__xludf.DUMMYFUNCTION("""COMPUTED_VALUE"""),"")</f>
        <v/>
      </c>
      <c r="AS5" s="28" t="str">
        <f ca="1">IFERROR(__xludf.DUMMYFUNCTION("""COMPUTED_VALUE"""),"")</f>
        <v/>
      </c>
      <c r="AT5" s="28" t="str">
        <f ca="1">IFERROR(__xludf.DUMMYFUNCTION("""COMPUTED_VALUE"""),"")</f>
        <v/>
      </c>
      <c r="AU5" s="28" t="str">
        <f ca="1">IFERROR(__xludf.DUMMYFUNCTION("""COMPUTED_VALUE"""),"")</f>
        <v/>
      </c>
      <c r="AV5" s="28" t="str">
        <f ca="1">IFERROR(__xludf.DUMMYFUNCTION("""COMPUTED_VALUE"""),"")</f>
        <v/>
      </c>
      <c r="AW5" s="28" t="str">
        <f ca="1">IFERROR(__xludf.DUMMYFUNCTION("""COMPUTED_VALUE"""),"")</f>
        <v/>
      </c>
      <c r="AX5" s="28" t="str">
        <f ca="1">IFERROR(__xludf.DUMMYFUNCTION("""COMPUTED_VALUE"""),"")</f>
        <v/>
      </c>
      <c r="AY5" s="28" t="str">
        <f ca="1">IFERROR(__xludf.DUMMYFUNCTION("""COMPUTED_VALUE"""),"")</f>
        <v/>
      </c>
      <c r="AZ5" s="28" t="str">
        <f ca="1">IFERROR(__xludf.DUMMYFUNCTION("""COMPUTED_VALUE"""),"")</f>
        <v/>
      </c>
      <c r="BA5" s="28" t="str">
        <f ca="1">IFERROR(__xludf.DUMMYFUNCTION("""COMPUTED_VALUE"""),"")</f>
        <v/>
      </c>
      <c r="BB5" s="28" t="str">
        <f ca="1">IFERROR(__xludf.DUMMYFUNCTION("""COMPUTED_VALUE"""),"")</f>
        <v/>
      </c>
      <c r="BC5" s="28" t="str">
        <f ca="1">IFERROR(__xludf.DUMMYFUNCTION("""COMPUTED_VALUE"""),"")</f>
        <v/>
      </c>
      <c r="BD5" s="28" t="str">
        <f ca="1">IFERROR(__xludf.DUMMYFUNCTION("""COMPUTED_VALUE"""),"")</f>
        <v/>
      </c>
      <c r="BE5" s="28" t="str">
        <f ca="1">IFERROR(__xludf.DUMMYFUNCTION("""COMPUTED_VALUE"""),"")</f>
        <v/>
      </c>
      <c r="BF5" s="28" t="str">
        <f ca="1">IFERROR(__xludf.DUMMYFUNCTION("""COMPUTED_VALUE"""),"")</f>
        <v/>
      </c>
      <c r="BG5" s="28" t="str">
        <f ca="1">IFERROR(__xludf.DUMMYFUNCTION("""COMPUTED_VALUE"""),"")</f>
        <v/>
      </c>
      <c r="BH5" s="28" t="str">
        <f ca="1">IFERROR(__xludf.DUMMYFUNCTION("""COMPUTED_VALUE"""),"")</f>
        <v/>
      </c>
      <c r="BI5" s="28" t="str">
        <f ca="1">IFERROR(__xludf.DUMMYFUNCTION("""COMPUTED_VALUE"""),"")</f>
        <v/>
      </c>
      <c r="BJ5" s="28" t="str">
        <f ca="1">IFERROR(__xludf.DUMMYFUNCTION("""COMPUTED_VALUE"""),"")</f>
        <v/>
      </c>
      <c r="BK5" s="28" t="str">
        <f ca="1">IFERROR(__xludf.DUMMYFUNCTION("""COMPUTED_VALUE"""),"")</f>
        <v/>
      </c>
      <c r="BL5" s="28" t="str">
        <f ca="1">IFERROR(__xludf.DUMMYFUNCTION("""COMPUTED_VALUE"""),"")</f>
        <v/>
      </c>
      <c r="BM5" s="28" t="str">
        <f ca="1">IFERROR(__xludf.DUMMYFUNCTION("""COMPUTED_VALUE"""),"")</f>
        <v/>
      </c>
      <c r="BN5" s="28" t="str">
        <f ca="1">IFERROR(__xludf.DUMMYFUNCTION("""COMPUTED_VALUE"""),"")</f>
        <v/>
      </c>
      <c r="BO5" s="28" t="str">
        <f ca="1">IFERROR(__xludf.DUMMYFUNCTION("""COMPUTED_VALUE"""),"")</f>
        <v/>
      </c>
      <c r="BP5" s="28" t="str">
        <f ca="1">IFERROR(__xludf.DUMMYFUNCTION("""COMPUTED_VALUE"""),"")</f>
        <v/>
      </c>
      <c r="BQ5" s="28" t="str">
        <f ca="1">IFERROR(__xludf.DUMMYFUNCTION("""COMPUTED_VALUE"""),"")</f>
        <v/>
      </c>
      <c r="BR5" s="28" t="str">
        <f ca="1">IFERROR(__xludf.DUMMYFUNCTION("""COMPUTED_VALUE"""),"")</f>
        <v/>
      </c>
      <c r="BS5" s="28" t="str">
        <f ca="1">IFERROR(__xludf.DUMMYFUNCTION("""COMPUTED_VALUE"""),"")</f>
        <v/>
      </c>
      <c r="BT5" s="28" t="str">
        <f ca="1">IFERROR(__xludf.DUMMYFUNCTION("""COMPUTED_VALUE"""),"")</f>
        <v/>
      </c>
      <c r="BU5" s="28" t="str">
        <f ca="1">IFERROR(__xludf.DUMMYFUNCTION("""COMPUTED_VALUE"""),"")</f>
        <v/>
      </c>
      <c r="BV5" s="28" t="str">
        <f ca="1">IFERROR(__xludf.DUMMYFUNCTION("""COMPUTED_VALUE"""),"")</f>
        <v/>
      </c>
      <c r="BW5" s="28" t="str">
        <f ca="1">IFERROR(__xludf.DUMMYFUNCTION("""COMPUTED_VALUE"""),"")</f>
        <v/>
      </c>
      <c r="BX5" s="28" t="str">
        <f ca="1">IFERROR(__xludf.DUMMYFUNCTION("""COMPUTED_VALUE"""),"")</f>
        <v/>
      </c>
      <c r="BY5" s="28" t="str">
        <f ca="1">IFERROR(__xludf.DUMMYFUNCTION("""COMPUTED_VALUE"""),"")</f>
        <v/>
      </c>
      <c r="BZ5" s="28" t="str">
        <f ca="1">IFERROR(__xludf.DUMMYFUNCTION("""COMPUTED_VALUE"""),"")</f>
        <v/>
      </c>
      <c r="CA5" s="28" t="str">
        <f ca="1">IFERROR(__xludf.DUMMYFUNCTION("""COMPUTED_VALUE"""),"")</f>
        <v/>
      </c>
      <c r="CB5" s="28" t="str">
        <f ca="1">IFERROR(__xludf.DUMMYFUNCTION("""COMPUTED_VALUE"""),"")</f>
        <v/>
      </c>
      <c r="CC5" s="28" t="str">
        <f ca="1">IFERROR(__xludf.DUMMYFUNCTION("""COMPUTED_VALUE"""),"")</f>
        <v/>
      </c>
      <c r="CD5" s="28" t="str">
        <f ca="1">IFERROR(__xludf.DUMMYFUNCTION("""COMPUTED_VALUE"""),"")</f>
        <v/>
      </c>
      <c r="CE5" s="28" t="str">
        <f ca="1">IFERROR(__xludf.DUMMYFUNCTION("""COMPUTED_VALUE"""),"")</f>
        <v/>
      </c>
      <c r="CF5" s="28" t="str">
        <f ca="1">IFERROR(__xludf.DUMMYFUNCTION("""COMPUTED_VALUE"""),"")</f>
        <v/>
      </c>
      <c r="CG5" s="28" t="str">
        <f ca="1">IFERROR(__xludf.DUMMYFUNCTION("""COMPUTED_VALUE"""),"")</f>
        <v/>
      </c>
      <c r="CH5" s="28" t="str">
        <f ca="1">IFERROR(__xludf.DUMMYFUNCTION("""COMPUTED_VALUE"""),"")</f>
        <v/>
      </c>
      <c r="CI5" s="28" t="str">
        <f ca="1">IFERROR(__xludf.DUMMYFUNCTION("""COMPUTED_VALUE"""),"")</f>
        <v/>
      </c>
      <c r="CJ5" s="28" t="str">
        <f ca="1">IFERROR(__xludf.DUMMYFUNCTION("""COMPUTED_VALUE"""),"")</f>
        <v/>
      </c>
      <c r="CK5" s="28" t="str">
        <f ca="1">IFERROR(__xludf.DUMMYFUNCTION("""COMPUTED_VALUE"""),"")</f>
        <v/>
      </c>
      <c r="CL5" s="28" t="str">
        <f ca="1">IFERROR(__xludf.DUMMYFUNCTION("""COMPUTED_VALUE"""),"")</f>
        <v/>
      </c>
      <c r="CM5" s="28" t="str">
        <f ca="1">IFERROR(__xludf.DUMMYFUNCTION("""COMPUTED_VALUE"""),"")</f>
        <v/>
      </c>
      <c r="CN5" s="28" t="str">
        <f ca="1">IFERROR(__xludf.DUMMYFUNCTION("""COMPUTED_VALUE"""),"")</f>
        <v/>
      </c>
      <c r="CO5" s="28" t="str">
        <f ca="1">IFERROR(__xludf.DUMMYFUNCTION("""COMPUTED_VALUE"""),"")</f>
        <v/>
      </c>
      <c r="CP5" s="28" t="str">
        <f ca="1">IFERROR(__xludf.DUMMYFUNCTION("""COMPUTED_VALUE"""),"")</f>
        <v/>
      </c>
      <c r="CQ5" s="28" t="str">
        <f ca="1">IFERROR(__xludf.DUMMYFUNCTION("""COMPUTED_VALUE"""),"")</f>
        <v/>
      </c>
      <c r="CR5" s="28" t="str">
        <f ca="1">IFERROR(__xludf.DUMMYFUNCTION("""COMPUTED_VALUE"""),"")</f>
        <v/>
      </c>
      <c r="CS5" s="28" t="str">
        <f ca="1">IFERROR(__xludf.DUMMYFUNCTION("""COMPUTED_VALUE"""),"")</f>
        <v/>
      </c>
      <c r="CT5" s="28" t="str">
        <f ca="1">IFERROR(__xludf.DUMMYFUNCTION("""COMPUTED_VALUE"""),"")</f>
        <v/>
      </c>
      <c r="CU5" s="28" t="str">
        <f ca="1">IFERROR(__xludf.DUMMYFUNCTION("""COMPUTED_VALUE"""),"")</f>
        <v/>
      </c>
      <c r="CV5" s="28" t="str">
        <f ca="1">IFERROR(__xludf.DUMMYFUNCTION("""COMPUTED_VALUE"""),"")</f>
        <v/>
      </c>
      <c r="CW5" s="28" t="str">
        <f ca="1">IFERROR(__xludf.DUMMYFUNCTION("""COMPUTED_VALUE"""),"")</f>
        <v/>
      </c>
      <c r="CX5" s="28" t="str">
        <f ca="1">IFERROR(__xludf.DUMMYFUNCTION("""COMPUTED_VALUE"""),"")</f>
        <v/>
      </c>
      <c r="CY5" s="28" t="str">
        <f ca="1">IFERROR(__xludf.DUMMYFUNCTION("""COMPUTED_VALUE"""),"")</f>
        <v/>
      </c>
      <c r="CZ5" s="28" t="str">
        <f ca="1">IFERROR(__xludf.DUMMYFUNCTION("""COMPUTED_VALUE"""),"")</f>
        <v/>
      </c>
      <c r="DA5" s="28" t="str">
        <f ca="1">IFERROR(__xludf.DUMMYFUNCTION("""COMPUTED_VALUE"""),"")</f>
        <v/>
      </c>
      <c r="DB5" s="28" t="str">
        <f ca="1">IFERROR(__xludf.DUMMYFUNCTION("""COMPUTED_VALUE"""),"")</f>
        <v/>
      </c>
      <c r="DC5" s="28" t="str">
        <f ca="1">IFERROR(__xludf.DUMMYFUNCTION("""COMPUTED_VALUE"""),"")</f>
        <v/>
      </c>
      <c r="DD5" s="28" t="str">
        <f ca="1">IFERROR(__xludf.DUMMYFUNCTION("""COMPUTED_VALUE"""),"")</f>
        <v/>
      </c>
      <c r="DE5" s="28" t="str">
        <f ca="1">IFERROR(__xludf.DUMMYFUNCTION("""COMPUTED_VALUE"""),"")</f>
        <v/>
      </c>
      <c r="DF5" s="28" t="str">
        <f ca="1">IFERROR(__xludf.DUMMYFUNCTION("""COMPUTED_VALUE"""),"")</f>
        <v/>
      </c>
      <c r="DG5" s="28" t="str">
        <f ca="1">IFERROR(__xludf.DUMMYFUNCTION("""COMPUTED_VALUE"""),"")</f>
        <v/>
      </c>
      <c r="DH5" s="28" t="str">
        <f ca="1">IFERROR(__xludf.DUMMYFUNCTION("""COMPUTED_VALUE"""),"")</f>
        <v/>
      </c>
      <c r="DI5" s="28" t="str">
        <f ca="1">IFERROR(__xludf.DUMMYFUNCTION("""COMPUTED_VALUE"""),"")</f>
        <v/>
      </c>
      <c r="DJ5" s="28" t="str">
        <f ca="1">IFERROR(__xludf.DUMMYFUNCTION("""COMPUTED_VALUE"""),"")</f>
        <v/>
      </c>
      <c r="DK5" s="28" t="str">
        <f ca="1">IFERROR(__xludf.DUMMYFUNCTION("""COMPUTED_VALUE"""),"")</f>
        <v/>
      </c>
      <c r="DL5" s="28" t="str">
        <f ca="1">IFERROR(__xludf.DUMMYFUNCTION("""COMPUTED_VALUE"""),"")</f>
        <v/>
      </c>
      <c r="DM5" s="28" t="str">
        <f ca="1">IFERROR(__xludf.DUMMYFUNCTION("""COMPUTED_VALUE"""),"")</f>
        <v/>
      </c>
      <c r="DN5" s="28" t="str">
        <f ca="1">IFERROR(__xludf.DUMMYFUNCTION("""COMPUTED_VALUE"""),"")</f>
        <v/>
      </c>
      <c r="DO5" s="28" t="str">
        <f ca="1">IFERROR(__xludf.DUMMYFUNCTION("""COMPUTED_VALUE"""),"")</f>
        <v/>
      </c>
      <c r="DP5" s="28" t="str">
        <f ca="1">IFERROR(__xludf.DUMMYFUNCTION("""COMPUTED_VALUE"""),"")</f>
        <v/>
      </c>
      <c r="DQ5" s="28" t="str">
        <f ca="1">IFERROR(__xludf.DUMMYFUNCTION("""COMPUTED_VALUE"""),"")</f>
        <v/>
      </c>
      <c r="DR5" s="28" t="str">
        <f ca="1">IFERROR(__xludf.DUMMYFUNCTION("""COMPUTED_VALUE"""),"")</f>
        <v/>
      </c>
      <c r="DS5" s="28" t="str">
        <f ca="1">IFERROR(__xludf.DUMMYFUNCTION("""COMPUTED_VALUE"""),"")</f>
        <v/>
      </c>
      <c r="DT5" s="28" t="str">
        <f ca="1">IFERROR(__xludf.DUMMYFUNCTION("""COMPUTED_VALUE"""),"")</f>
        <v/>
      </c>
      <c r="DU5" s="28" t="str">
        <f ca="1">IFERROR(__xludf.DUMMYFUNCTION("""COMPUTED_VALUE"""),"")</f>
        <v/>
      </c>
      <c r="DV5" s="28" t="str">
        <f ca="1">IFERROR(__xludf.DUMMYFUNCTION("""COMPUTED_VALUE"""),"")</f>
        <v/>
      </c>
      <c r="DW5" s="28" t="str">
        <f ca="1">IFERROR(__xludf.DUMMYFUNCTION("""COMPUTED_VALUE"""),"")</f>
        <v/>
      </c>
      <c r="DX5" s="28" t="str">
        <f ca="1">IFERROR(__xludf.DUMMYFUNCTION("""COMPUTED_VALUE"""),"")</f>
        <v/>
      </c>
      <c r="DY5" s="28" t="str">
        <f ca="1">IFERROR(__xludf.DUMMYFUNCTION("""COMPUTED_VALUE"""),"")</f>
        <v/>
      </c>
      <c r="DZ5" s="28" t="str">
        <f ca="1">IFERROR(__xludf.DUMMYFUNCTION("""COMPUTED_VALUE"""),"")</f>
        <v/>
      </c>
      <c r="EA5" s="28" t="str">
        <f ca="1">IFERROR(__xludf.DUMMYFUNCTION("""COMPUTED_VALUE"""),"")</f>
        <v/>
      </c>
      <c r="EB5" s="28" t="str">
        <f ca="1">IFERROR(__xludf.DUMMYFUNCTION("""COMPUTED_VALUE"""),"")</f>
        <v/>
      </c>
      <c r="EC5" s="28" t="str">
        <f ca="1">IFERROR(__xludf.DUMMYFUNCTION("""COMPUTED_VALUE"""),"")</f>
        <v/>
      </c>
      <c r="ED5" s="28" t="str">
        <f ca="1">IFERROR(__xludf.DUMMYFUNCTION("""COMPUTED_VALUE"""),"")</f>
        <v/>
      </c>
      <c r="EE5" s="28" t="str">
        <f ca="1">IFERROR(__xludf.DUMMYFUNCTION("""COMPUTED_VALUE"""),"")</f>
        <v/>
      </c>
      <c r="EF5" s="28" t="str">
        <f ca="1">IFERROR(__xludf.DUMMYFUNCTION("""COMPUTED_VALUE"""),"")</f>
        <v/>
      </c>
      <c r="EG5" s="28" t="str">
        <f ca="1">IFERROR(__xludf.DUMMYFUNCTION("""COMPUTED_VALUE"""),"")</f>
        <v/>
      </c>
      <c r="EH5" s="28" t="str">
        <f ca="1">IFERROR(__xludf.DUMMYFUNCTION("""COMPUTED_VALUE"""),"")</f>
        <v/>
      </c>
      <c r="EI5" s="28" t="str">
        <f ca="1">IFERROR(__xludf.DUMMYFUNCTION("""COMPUTED_VALUE"""),"")</f>
        <v/>
      </c>
      <c r="EJ5" s="28" t="str">
        <f ca="1">IFERROR(__xludf.DUMMYFUNCTION("""COMPUTED_VALUE"""),"")</f>
        <v/>
      </c>
      <c r="EK5" s="28" t="str">
        <f ca="1">IFERROR(__xludf.DUMMYFUNCTION("""COMPUTED_VALUE"""),"")</f>
        <v/>
      </c>
      <c r="EL5" s="28" t="str">
        <f ca="1">IFERROR(__xludf.DUMMYFUNCTION("""COMPUTED_VALUE"""),"")</f>
        <v/>
      </c>
      <c r="EM5" s="28" t="str">
        <f ca="1">IFERROR(__xludf.DUMMYFUNCTION("""COMPUTED_VALUE"""),"")</f>
        <v/>
      </c>
      <c r="EN5" s="28" t="str">
        <f ca="1">IFERROR(__xludf.DUMMYFUNCTION("""COMPUTED_VALUE"""),"")</f>
        <v/>
      </c>
      <c r="EO5" s="28" t="str">
        <f ca="1">IFERROR(__xludf.DUMMYFUNCTION("""COMPUTED_VALUE"""),"")</f>
        <v/>
      </c>
      <c r="EP5" s="28" t="str">
        <f ca="1">IFERROR(__xludf.DUMMYFUNCTION("""COMPUTED_VALUE"""),"")</f>
        <v/>
      </c>
      <c r="EQ5" s="28" t="str">
        <f ca="1">IFERROR(__xludf.DUMMYFUNCTION("""COMPUTED_VALUE"""),"")</f>
        <v/>
      </c>
      <c r="ER5" s="28" t="str">
        <f ca="1">IFERROR(__xludf.DUMMYFUNCTION("""COMPUTED_VALUE"""),"")</f>
        <v/>
      </c>
      <c r="ES5" s="28" t="str">
        <f ca="1">IFERROR(__xludf.DUMMYFUNCTION("""COMPUTED_VALUE"""),"")</f>
        <v/>
      </c>
      <c r="ET5" s="28" t="str">
        <f ca="1">IFERROR(__xludf.DUMMYFUNCTION("""COMPUTED_VALUE"""),"")</f>
        <v/>
      </c>
      <c r="EU5" s="28" t="str">
        <f ca="1">IFERROR(__xludf.DUMMYFUNCTION("""COMPUTED_VALUE"""),"")</f>
        <v/>
      </c>
      <c r="EV5" s="28" t="str">
        <f ca="1">IFERROR(__xludf.DUMMYFUNCTION("""COMPUTED_VALUE"""),"")</f>
        <v/>
      </c>
      <c r="EW5" s="28" t="str">
        <f ca="1">IFERROR(__xludf.DUMMYFUNCTION("""COMPUTED_VALUE"""),"")</f>
        <v/>
      </c>
      <c r="EX5" s="28" t="str">
        <f ca="1">IFERROR(__xludf.DUMMYFUNCTION("""COMPUTED_VALUE"""),"")</f>
        <v/>
      </c>
    </row>
    <row r="6" spans="1:154" ht="15.75" customHeight="1" x14ac:dyDescent="0.2">
      <c r="A6" s="5"/>
      <c r="B6" s="5" t="s">
        <v>18</v>
      </c>
      <c r="C6" s="2"/>
      <c r="D6" s="5"/>
      <c r="E6" s="45"/>
      <c r="F6" s="2"/>
      <c r="G6" s="2"/>
      <c r="H6" s="2"/>
      <c r="I6" s="5">
        <v>12</v>
      </c>
      <c r="J6" s="2"/>
      <c r="K6" s="2"/>
      <c r="L6" s="2"/>
      <c r="M6" s="5">
        <v>120</v>
      </c>
      <c r="N6" s="2"/>
      <c r="O6" s="2"/>
      <c r="P6" s="39" t="s">
        <v>17</v>
      </c>
      <c r="R6" s="39" t="s">
        <v>16</v>
      </c>
    </row>
    <row r="7" spans="1:154" ht="15.75" customHeight="1" x14ac:dyDescent="0.2">
      <c r="A7" s="2"/>
      <c r="B7" s="5" t="s">
        <v>18</v>
      </c>
      <c r="C7" s="2"/>
      <c r="D7" s="2"/>
      <c r="E7" s="2"/>
      <c r="F7" s="2"/>
      <c r="G7" s="2"/>
      <c r="H7" s="2"/>
      <c r="I7" s="5">
        <v>13</v>
      </c>
      <c r="J7" s="2"/>
      <c r="K7" s="2"/>
      <c r="L7" s="2"/>
      <c r="M7" s="5">
        <v>120</v>
      </c>
      <c r="N7" s="2"/>
      <c r="O7" s="2"/>
      <c r="P7" s="39" t="s">
        <v>17</v>
      </c>
      <c r="R7" s="39" t="s">
        <v>16</v>
      </c>
    </row>
    <row r="8" spans="1:154" ht="15.75" customHeight="1" x14ac:dyDescent="0.2">
      <c r="A8" s="2"/>
      <c r="B8" s="5" t="s">
        <v>18</v>
      </c>
      <c r="C8" s="2"/>
      <c r="D8" s="2"/>
      <c r="E8" s="2"/>
      <c r="F8" s="2"/>
      <c r="G8" s="2"/>
      <c r="H8" s="2"/>
      <c r="I8" s="5">
        <v>15</v>
      </c>
      <c r="J8" s="2"/>
      <c r="K8" s="2"/>
      <c r="L8" s="2"/>
      <c r="M8" s="5">
        <v>120</v>
      </c>
      <c r="N8" s="2"/>
      <c r="O8" s="2"/>
      <c r="P8" s="39" t="s">
        <v>17</v>
      </c>
      <c r="R8" s="39" t="s">
        <v>16</v>
      </c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53" t="s">
        <v>11</v>
      </c>
      <c r="C1" s="54"/>
      <c r="D1" s="54"/>
      <c r="E1" s="54"/>
      <c r="F1" s="54"/>
      <c r="G1" s="54"/>
      <c r="H1" s="55"/>
      <c r="I1" s="12"/>
      <c r="J1" s="12"/>
      <c r="K1" s="12"/>
      <c r="L1" s="12"/>
      <c r="M1" s="12"/>
      <c r="N1" s="12"/>
      <c r="O1" s="12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5" t="e">
        <f ca="1">VLOOKUP($E$3,_MasterData!B4:D1000,3,FALSE)</f>
        <v>#N/A</v>
      </c>
      <c r="K2" s="15"/>
      <c r="L2" s="2"/>
      <c r="M2" s="2"/>
      <c r="N2" s="2"/>
      <c r="O2" s="2"/>
    </row>
    <row r="3" spans="1:154" ht="15.75" customHeight="1" x14ac:dyDescent="0.2">
      <c r="A3" s="17"/>
      <c r="B3" s="3" t="s">
        <v>5</v>
      </c>
      <c r="C3" s="18" t="s">
        <v>21</v>
      </c>
      <c r="D3" s="3" t="s">
        <v>7</v>
      </c>
      <c r="E3" s="18" t="s">
        <v>43</v>
      </c>
      <c r="F3" s="3" t="s">
        <v>14</v>
      </c>
      <c r="G3" s="7" t="s">
        <v>15</v>
      </c>
      <c r="H3" s="3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 x14ac:dyDescent="0.2">
      <c r="A4" s="21"/>
      <c r="B4" s="21" t="str">
        <f ca="1">IFERROR(__xludf.DUMMYFUNCTION("IF(C3="""","""",Transpose(IMPORTRANGE('_Settings'!$B$3,C3&amp;""!A4:A1000"")))"),"SwapExpire")</f>
        <v>SwapExpire</v>
      </c>
      <c r="C4" s="21" t="str">
        <f ca="1">IFERROR(__xludf.DUMMYFUNCTION("""COMPUTED_VALUE"""),"GetDataClosing")</f>
        <v>GetDataClosing</v>
      </c>
      <c r="D4" s="21" t="str">
        <f ca="1">IFERROR(__xludf.DUMMYFUNCTION("""COMPUTED_VALUE"""),"ManualClosing")</f>
        <v>ManualClosing</v>
      </c>
      <c r="E4" s="21" t="str">
        <f ca="1">IFERROR(__xludf.DUMMYFUNCTION("""COMPUTED_VALUE"""),"AutomaticClosing")</f>
        <v>AutomaticClosing</v>
      </c>
      <c r="F4" s="21" t="str">
        <f ca="1">IFERROR(__xludf.DUMMYFUNCTION("""COMPUTED_VALUE"""),"UnwindClosing")</f>
        <v>UnwindClosing</v>
      </c>
      <c r="G4" s="21" t="str">
        <f ca="1">IFERROR(__xludf.DUMMYFUNCTION("""COMPUTED_VALUE"""),"VerifyClosedTrades")</f>
        <v>VerifyClosedTrades</v>
      </c>
      <c r="H4" s="21" t="str">
        <f ca="1">IFERROR(__xludf.DUMMYFUNCTION("""COMPUTED_VALUE"""),"VerifyLongPositionsGrid")</f>
        <v>VerifyLongPositionsGrid</v>
      </c>
      <c r="I4" s="21" t="str">
        <f ca="1">IFERROR(__xludf.DUMMYFUNCTION("""COMPUTED_VALUE"""),"VerifyShortPositionsGrid")</f>
        <v>VerifyShortPositionsGrid</v>
      </c>
      <c r="J4" s="21" t="str">
        <f ca="1">IFERROR(__xludf.DUMMYFUNCTION("""COMPUTED_VALUE"""),"SelectTradeUnexpiredUnsettled")</f>
        <v>SelectTradeUnexpiredUnsettled</v>
      </c>
      <c r="K4" s="21" t="str">
        <f ca="1">IFERROR(__xludf.DUMMYFUNCTION("""COMPUTED_VALUE"""),"CashSettlementAtCost")</f>
        <v>CashSettlementAtCost</v>
      </c>
      <c r="L4" s="21" t="str">
        <f ca="1">IFERROR(__xludf.DUMMYFUNCTION("""COMPUTED_VALUE"""),"CashSettlementAtZeroPrice")</f>
        <v>CashSettlementAtZeroPrice</v>
      </c>
      <c r="M4" s="21" t="str">
        <f ca="1">IFERROR(__xludf.DUMMYFUNCTION("""COMPUTED_VALUE"""),"CashSettlementAtClosingDtSpotPx")</f>
        <v>CashSettlementAtClosingDtSpotPx</v>
      </c>
      <c r="N4" s="21" t="str">
        <f ca="1">IFERROR(__xludf.DUMMYFUNCTION("""COMPUTED_VALUE"""),"PhysicalSettlement")</f>
        <v>PhysicalSettlement</v>
      </c>
      <c r="O4" s="21" t="str">
        <f ca="1">IFERROR(__xludf.DUMMYFUNCTION("""COMPUTED_VALUE"""),"Expire")</f>
        <v>Expire</v>
      </c>
      <c r="P4" s="23" t="str">
        <f ca="1">IFERROR(__xludf.DUMMYFUNCTION("""COMPUTED_VALUE"""),"ExerciseAssignment")</f>
        <v>ExerciseAssignment</v>
      </c>
      <c r="Q4" s="23" t="str">
        <f ca="1">IFERROR(__xludf.DUMMYFUNCTION("""COMPUTED_VALUE"""),"ExerciseAssignmentAtZero")</f>
        <v>ExerciseAssignmentAtZero</v>
      </c>
      <c r="R4" s="23" t="str">
        <f ca="1">IFERROR(__xludf.DUMMYFUNCTION("""COMPUTED_VALUE"""),"SwapExpireAndRollover")</f>
        <v>SwapExpireAndRollover</v>
      </c>
      <c r="S4" s="23" t="str">
        <f ca="1">IFERROR(__xludf.DUMMYFUNCTION("""COMPUTED_VALUE"""),"SwapExpire")</f>
        <v>SwapExpire</v>
      </c>
      <c r="T4" s="23" t="str">
        <f ca="1">IFERROR(__xludf.DUMMYFUNCTION("""COMPUTED_VALUE"""),"VerifyExpiredSettledGrid")</f>
        <v>VerifyExpiredSettledGrid</v>
      </c>
      <c r="U4" s="23" t="str">
        <f ca="1">IFERROR(__xludf.DUMMYFUNCTION("""COMPUTED_VALUE"""),"VerifyUnExpiredUnSettledGrid")</f>
        <v>VerifyUnExpiredUnSettledGrid</v>
      </c>
      <c r="V4" s="23" t="str">
        <f ca="1">IFERROR(__xludf.DUMMYFUNCTION("""COMPUTED_VALUE"""),"UnWindTradeSettlement")</f>
        <v>UnWindTradeSettlement</v>
      </c>
      <c r="W4" s="23" t="str">
        <f ca="1">IFERROR(__xludf.DUMMYFUNCTION("""COMPUTED_VALUE"""),"CloseOrder")</f>
        <v>CloseOrder</v>
      </c>
      <c r="X4" s="23" t="str">
        <f ca="1">IFERROR(__xludf.DUMMYFUNCTION("""COMPUTED_VALUE"""),"VerifyCloseOrder")</f>
        <v>VerifyCloseOrder</v>
      </c>
      <c r="Y4" s="23" t="str">
        <f ca="1">IFERROR(__xludf.DUMMYFUNCTION("""COMPUTED_VALUE"""),"UnWindCloseOrder")</f>
        <v>UnWindCloseOrder</v>
      </c>
      <c r="Z4" s="23" t="str">
        <f ca="1">IFERROR(__xludf.DUMMYFUNCTION("""COMPUTED_VALUE"""),"ClosingCleanUp")</f>
        <v>ClosingCleanUp</v>
      </c>
      <c r="AA4" s="23" t="str">
        <f ca="1">IFERROR(__xludf.DUMMYFUNCTION("""COMPUTED_VALUE"""),"CloseClosingUI")</f>
        <v>CloseClosingUI</v>
      </c>
      <c r="AB4" s="23" t="str">
        <f ca="1">IFERROR(__xludf.DUMMYFUNCTION("""COMPUTED_VALUE"""),"SetClosingPreference")</f>
        <v>SetClosingPreference</v>
      </c>
      <c r="AC4" s="23" t="str">
        <f ca="1">IFERROR(__xludf.DUMMYFUNCTION("""COMPUTED_VALUE"""),"EditTradeUnexpiredUnsettled")</f>
        <v>EditTradeUnexpiredUnsettled</v>
      </c>
      <c r="AD4" s="23" t="str">
        <f ca="1">IFERROR(__xludf.DUMMYFUNCTION("""COMPUTED_VALUE"""),"")</f>
        <v/>
      </c>
      <c r="AE4" s="23" t="str">
        <f ca="1">IFERROR(__xludf.DUMMYFUNCTION("""COMPUTED_VALUE"""),"")</f>
        <v/>
      </c>
      <c r="AF4" s="23" t="str">
        <f ca="1">IFERROR(__xludf.DUMMYFUNCTION("""COMPUTED_VALUE"""),"")</f>
        <v/>
      </c>
      <c r="AG4" s="23" t="str">
        <f ca="1">IFERROR(__xludf.DUMMYFUNCTION("""COMPUTED_VALUE"""),"")</f>
        <v/>
      </c>
      <c r="AH4" s="23" t="str">
        <f ca="1">IFERROR(__xludf.DUMMYFUNCTION("""COMPUTED_VALUE"""),"")</f>
        <v/>
      </c>
      <c r="AI4" s="23" t="str">
        <f ca="1">IFERROR(__xludf.DUMMYFUNCTION("""COMPUTED_VALUE"""),"")</f>
        <v/>
      </c>
      <c r="AJ4" s="23" t="str">
        <f ca="1">IFERROR(__xludf.DUMMYFUNCTION("""COMPUTED_VALUE"""),"")</f>
        <v/>
      </c>
      <c r="AK4" s="23" t="str">
        <f ca="1">IFERROR(__xludf.DUMMYFUNCTION("""COMPUTED_VALUE"""),"")</f>
        <v/>
      </c>
      <c r="AL4" s="23" t="str">
        <f ca="1">IFERROR(__xludf.DUMMYFUNCTION("""COMPUTED_VALUE"""),"")</f>
        <v/>
      </c>
      <c r="AM4" s="23" t="str">
        <f ca="1">IFERROR(__xludf.DUMMYFUNCTION("""COMPUTED_VALUE"""),"")</f>
        <v/>
      </c>
      <c r="AN4" s="23" t="str">
        <f ca="1">IFERROR(__xludf.DUMMYFUNCTION("""COMPUTED_VALUE"""),"")</f>
        <v/>
      </c>
      <c r="AO4" s="23" t="str">
        <f ca="1">IFERROR(__xludf.DUMMYFUNCTION("""COMPUTED_VALUE"""),"")</f>
        <v/>
      </c>
      <c r="AP4" s="23" t="str">
        <f ca="1">IFERROR(__xludf.DUMMYFUNCTION("""COMPUTED_VALUE"""),"")</f>
        <v/>
      </c>
      <c r="AQ4" s="23" t="str">
        <f ca="1">IFERROR(__xludf.DUMMYFUNCTION("""COMPUTED_VALUE"""),"")</f>
        <v/>
      </c>
      <c r="AR4" s="23" t="str">
        <f ca="1">IFERROR(__xludf.DUMMYFUNCTION("""COMPUTED_VALUE"""),"")</f>
        <v/>
      </c>
      <c r="AS4" s="23" t="str">
        <f ca="1">IFERROR(__xludf.DUMMYFUNCTION("""COMPUTED_VALUE"""),"")</f>
        <v/>
      </c>
      <c r="AT4" s="23" t="str">
        <f ca="1">IFERROR(__xludf.DUMMYFUNCTION("""COMPUTED_VALUE"""),"")</f>
        <v/>
      </c>
      <c r="AU4" s="23" t="str">
        <f ca="1">IFERROR(__xludf.DUMMYFUNCTION("""COMPUTED_VALUE"""),"")</f>
        <v/>
      </c>
      <c r="AV4" s="23" t="str">
        <f ca="1">IFERROR(__xludf.DUMMYFUNCTION("""COMPUTED_VALUE"""),"")</f>
        <v/>
      </c>
      <c r="AW4" s="23" t="str">
        <f ca="1">IFERROR(__xludf.DUMMYFUNCTION("""COMPUTED_VALUE"""),"")</f>
        <v/>
      </c>
      <c r="AX4" s="23" t="str">
        <f ca="1">IFERROR(__xludf.DUMMYFUNCTION("""COMPUTED_VALUE"""),"")</f>
        <v/>
      </c>
      <c r="AY4" s="23" t="str">
        <f ca="1">IFERROR(__xludf.DUMMYFUNCTION("""COMPUTED_VALUE"""),"")</f>
        <v/>
      </c>
      <c r="AZ4" s="23" t="str">
        <f ca="1">IFERROR(__xludf.DUMMYFUNCTION("""COMPUTED_VALUE"""),"")</f>
        <v/>
      </c>
      <c r="BA4" s="23" t="str">
        <f ca="1">IFERROR(__xludf.DUMMYFUNCTION("""COMPUTED_VALUE"""),"")</f>
        <v/>
      </c>
      <c r="BB4" s="23" t="str">
        <f ca="1">IFERROR(__xludf.DUMMYFUNCTION("""COMPUTED_VALUE"""),"")</f>
        <v/>
      </c>
      <c r="BC4" s="23" t="str">
        <f ca="1">IFERROR(__xludf.DUMMYFUNCTION("""COMPUTED_VALUE"""),"")</f>
        <v/>
      </c>
      <c r="BD4" s="23" t="str">
        <f ca="1">IFERROR(__xludf.DUMMYFUNCTION("""COMPUTED_VALUE"""),"")</f>
        <v/>
      </c>
      <c r="BE4" s="23" t="str">
        <f ca="1">IFERROR(__xludf.DUMMYFUNCTION("""COMPUTED_VALUE"""),"")</f>
        <v/>
      </c>
      <c r="BF4" s="23" t="str">
        <f ca="1">IFERROR(__xludf.DUMMYFUNCTION("""COMPUTED_VALUE"""),"")</f>
        <v/>
      </c>
      <c r="BG4" s="23" t="str">
        <f ca="1">IFERROR(__xludf.DUMMYFUNCTION("""COMPUTED_VALUE"""),"")</f>
        <v/>
      </c>
      <c r="BH4" s="23" t="str">
        <f ca="1">IFERROR(__xludf.DUMMYFUNCTION("""COMPUTED_VALUE"""),"")</f>
        <v/>
      </c>
      <c r="BI4" s="23" t="str">
        <f ca="1">IFERROR(__xludf.DUMMYFUNCTION("""COMPUTED_VALUE"""),"")</f>
        <v/>
      </c>
      <c r="BJ4" s="23" t="str">
        <f ca="1">IFERROR(__xludf.DUMMYFUNCTION("""COMPUTED_VALUE"""),"")</f>
        <v/>
      </c>
      <c r="BK4" s="23" t="str">
        <f ca="1">IFERROR(__xludf.DUMMYFUNCTION("""COMPUTED_VALUE"""),"")</f>
        <v/>
      </c>
      <c r="BL4" s="23" t="str">
        <f ca="1">IFERROR(__xludf.DUMMYFUNCTION("""COMPUTED_VALUE"""),"")</f>
        <v/>
      </c>
      <c r="BM4" s="23" t="str">
        <f ca="1">IFERROR(__xludf.DUMMYFUNCTION("""COMPUTED_VALUE"""),"")</f>
        <v/>
      </c>
      <c r="BN4" s="23" t="str">
        <f ca="1">IFERROR(__xludf.DUMMYFUNCTION("""COMPUTED_VALUE"""),"")</f>
        <v/>
      </c>
      <c r="BO4" s="23" t="str">
        <f ca="1">IFERROR(__xludf.DUMMYFUNCTION("""COMPUTED_VALUE"""),"")</f>
        <v/>
      </c>
      <c r="BP4" s="23" t="str">
        <f ca="1">IFERROR(__xludf.DUMMYFUNCTION("""COMPUTED_VALUE"""),"")</f>
        <v/>
      </c>
      <c r="BQ4" s="23" t="str">
        <f ca="1">IFERROR(__xludf.DUMMYFUNCTION("""COMPUTED_VALUE"""),"")</f>
        <v/>
      </c>
      <c r="BR4" s="23" t="str">
        <f ca="1">IFERROR(__xludf.DUMMYFUNCTION("""COMPUTED_VALUE"""),"")</f>
        <v/>
      </c>
      <c r="BS4" s="23" t="str">
        <f ca="1">IFERROR(__xludf.DUMMYFUNCTION("""COMPUTED_VALUE"""),"")</f>
        <v/>
      </c>
      <c r="BT4" s="23" t="str">
        <f ca="1">IFERROR(__xludf.DUMMYFUNCTION("""COMPUTED_VALUE"""),"")</f>
        <v/>
      </c>
      <c r="BU4" s="23" t="str">
        <f ca="1">IFERROR(__xludf.DUMMYFUNCTION("""COMPUTED_VALUE"""),"")</f>
        <v/>
      </c>
      <c r="BV4" s="23" t="str">
        <f ca="1">IFERROR(__xludf.DUMMYFUNCTION("""COMPUTED_VALUE"""),"")</f>
        <v/>
      </c>
      <c r="BW4" s="23" t="str">
        <f ca="1">IFERROR(__xludf.DUMMYFUNCTION("""COMPUTED_VALUE"""),"")</f>
        <v/>
      </c>
      <c r="BX4" s="23" t="str">
        <f ca="1">IFERROR(__xludf.DUMMYFUNCTION("""COMPUTED_VALUE"""),"")</f>
        <v/>
      </c>
      <c r="BY4" s="23" t="str">
        <f ca="1">IFERROR(__xludf.DUMMYFUNCTION("""COMPUTED_VALUE"""),"")</f>
        <v/>
      </c>
      <c r="BZ4" s="23" t="str">
        <f ca="1">IFERROR(__xludf.DUMMYFUNCTION("""COMPUTED_VALUE"""),"")</f>
        <v/>
      </c>
      <c r="CA4" s="23" t="str">
        <f ca="1">IFERROR(__xludf.DUMMYFUNCTION("""COMPUTED_VALUE"""),"")</f>
        <v/>
      </c>
      <c r="CB4" s="23" t="str">
        <f ca="1">IFERROR(__xludf.DUMMYFUNCTION("""COMPUTED_VALUE"""),"")</f>
        <v/>
      </c>
      <c r="CC4" s="23" t="str">
        <f ca="1">IFERROR(__xludf.DUMMYFUNCTION("""COMPUTED_VALUE"""),"")</f>
        <v/>
      </c>
      <c r="CD4" s="23" t="str">
        <f ca="1">IFERROR(__xludf.DUMMYFUNCTION("""COMPUTED_VALUE"""),"")</f>
        <v/>
      </c>
      <c r="CE4" s="23" t="str">
        <f ca="1">IFERROR(__xludf.DUMMYFUNCTION("""COMPUTED_VALUE"""),"")</f>
        <v/>
      </c>
      <c r="CF4" s="23" t="str">
        <f ca="1">IFERROR(__xludf.DUMMYFUNCTION("""COMPUTED_VALUE"""),"")</f>
        <v/>
      </c>
      <c r="CG4" s="23" t="str">
        <f ca="1">IFERROR(__xludf.DUMMYFUNCTION("""COMPUTED_VALUE"""),"")</f>
        <v/>
      </c>
      <c r="CH4" s="23" t="str">
        <f ca="1">IFERROR(__xludf.DUMMYFUNCTION("""COMPUTED_VALUE"""),"")</f>
        <v/>
      </c>
      <c r="CI4" s="23" t="str">
        <f ca="1">IFERROR(__xludf.DUMMYFUNCTION("""COMPUTED_VALUE"""),"")</f>
        <v/>
      </c>
      <c r="CJ4" s="23" t="str">
        <f ca="1">IFERROR(__xludf.DUMMYFUNCTION("""COMPUTED_VALUE"""),"")</f>
        <v/>
      </c>
      <c r="CK4" s="23" t="str">
        <f ca="1">IFERROR(__xludf.DUMMYFUNCTION("""COMPUTED_VALUE"""),"")</f>
        <v/>
      </c>
      <c r="CL4" s="23" t="str">
        <f ca="1">IFERROR(__xludf.DUMMYFUNCTION("""COMPUTED_VALUE"""),"")</f>
        <v/>
      </c>
      <c r="CM4" s="23" t="str">
        <f ca="1">IFERROR(__xludf.DUMMYFUNCTION("""COMPUTED_VALUE"""),"")</f>
        <v/>
      </c>
      <c r="CN4" s="23" t="str">
        <f ca="1">IFERROR(__xludf.DUMMYFUNCTION("""COMPUTED_VALUE"""),"")</f>
        <v/>
      </c>
      <c r="CO4" s="23" t="str">
        <f ca="1">IFERROR(__xludf.DUMMYFUNCTION("""COMPUTED_VALUE"""),"")</f>
        <v/>
      </c>
      <c r="CP4" s="23" t="str">
        <f ca="1">IFERROR(__xludf.DUMMYFUNCTION("""COMPUTED_VALUE"""),"")</f>
        <v/>
      </c>
      <c r="CQ4" s="23" t="str">
        <f ca="1">IFERROR(__xludf.DUMMYFUNCTION("""COMPUTED_VALUE"""),"")</f>
        <v/>
      </c>
      <c r="CR4" s="23" t="str">
        <f ca="1">IFERROR(__xludf.DUMMYFUNCTION("""COMPUTED_VALUE"""),"")</f>
        <v/>
      </c>
      <c r="CS4" s="23" t="str">
        <f ca="1">IFERROR(__xludf.DUMMYFUNCTION("""COMPUTED_VALUE"""),"")</f>
        <v/>
      </c>
      <c r="CT4" s="23" t="str">
        <f ca="1">IFERROR(__xludf.DUMMYFUNCTION("""COMPUTED_VALUE"""),"")</f>
        <v/>
      </c>
      <c r="CU4" s="23" t="str">
        <f ca="1">IFERROR(__xludf.DUMMYFUNCTION("""COMPUTED_VALUE"""),"")</f>
        <v/>
      </c>
      <c r="CV4" s="23" t="str">
        <f ca="1">IFERROR(__xludf.DUMMYFUNCTION("""COMPUTED_VALUE"""),"")</f>
        <v/>
      </c>
      <c r="CW4" s="23" t="str">
        <f ca="1">IFERROR(__xludf.DUMMYFUNCTION("""COMPUTED_VALUE"""),"")</f>
        <v/>
      </c>
      <c r="CX4" s="23" t="str">
        <f ca="1">IFERROR(__xludf.DUMMYFUNCTION("""COMPUTED_VALUE"""),"")</f>
        <v/>
      </c>
      <c r="CY4" s="23" t="str">
        <f ca="1">IFERROR(__xludf.DUMMYFUNCTION("""COMPUTED_VALUE"""),"")</f>
        <v/>
      </c>
      <c r="CZ4" s="23" t="str">
        <f ca="1">IFERROR(__xludf.DUMMYFUNCTION("""COMPUTED_VALUE"""),"")</f>
        <v/>
      </c>
      <c r="DA4" s="23" t="str">
        <f ca="1">IFERROR(__xludf.DUMMYFUNCTION("""COMPUTED_VALUE"""),"")</f>
        <v/>
      </c>
      <c r="DB4" s="23" t="str">
        <f ca="1">IFERROR(__xludf.DUMMYFUNCTION("""COMPUTED_VALUE"""),"")</f>
        <v/>
      </c>
      <c r="DC4" s="23" t="str">
        <f ca="1">IFERROR(__xludf.DUMMYFUNCTION("""COMPUTED_VALUE"""),"")</f>
        <v/>
      </c>
      <c r="DD4" s="23" t="str">
        <f ca="1">IFERROR(__xludf.DUMMYFUNCTION("""COMPUTED_VALUE"""),"")</f>
        <v/>
      </c>
      <c r="DE4" s="23" t="str">
        <f ca="1">IFERROR(__xludf.DUMMYFUNCTION("""COMPUTED_VALUE"""),"")</f>
        <v/>
      </c>
      <c r="DF4" s="23" t="str">
        <f ca="1">IFERROR(__xludf.DUMMYFUNCTION("""COMPUTED_VALUE"""),"")</f>
        <v/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  <c r="EX4" s="23" t="str">
        <f ca="1">IFERROR(__xludf.DUMMYFUNCTION("""COMPUTED_VALUE"""),"")</f>
        <v/>
      </c>
    </row>
    <row r="5" spans="1:154" ht="15.75" customHeight="1" x14ac:dyDescent="0.2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IFERROR(__xludf.DUMMYFUNCTION("""COMPUTED_VALUE"""),"Account")</f>
        <v>Account</v>
      </c>
      <c r="C5" s="25" t="str">
        <f ca="1">IFERROR(__xludf.DUMMYFUNCTION("""COMPUTED_VALUE"""),"Asset Class")</f>
        <v>Asset Class</v>
      </c>
      <c r="D5" s="25" t="str">
        <f ca="1">IFERROR(__xludf.DUMMYFUNCTION("""COMPUTED_VALUE"""),"AUECID")</f>
        <v>AUECID</v>
      </c>
      <c r="E5" s="25" t="str">
        <f ca="1">IFERROR(__xludf.DUMMYFUNCTION("""COMPUTED_VALUE"""),"ExternalTransId")</f>
        <v>ExternalTransId</v>
      </c>
      <c r="F5" s="26" t="str">
        <f ca="1">IFERROR(__xludf.DUMMYFUNCTION("""COMPUTED_VALUE"""),"IsSwapped")</f>
        <v>IsSwapped</v>
      </c>
      <c r="G5" s="25" t="str">
        <f ca="1">IFERROR(__xludf.DUMMYFUNCTION("""COMPUTED_VALUE"""),"LotId")</f>
        <v>LotId</v>
      </c>
      <c r="H5" s="25" t="str">
        <f ca="1">IFERROR(__xludf.DUMMYFUNCTION("""COMPUTED_VALUE"""),"Net Notional")</f>
        <v>Net Notional</v>
      </c>
      <c r="I5" s="25" t="str">
        <f ca="1">IFERROR(__xludf.DUMMYFUNCTION("""COMPUTED_VALUE"""),"Opening Price")</f>
        <v>Opening Price</v>
      </c>
      <c r="J5" s="25" t="str">
        <f ca="1">IFERROR(__xludf.DUMMYFUNCTION("""COMPUTED_VALUE"""),"Original Purchase Date")</f>
        <v>Original Purchase Date</v>
      </c>
      <c r="K5" s="25" t="str">
        <f ca="1">IFERROR(__xludf.DUMMYFUNCTION("""COMPUTED_VALUE"""),"PositionTag")</f>
        <v>PositionTag</v>
      </c>
      <c r="L5" s="25" t="str">
        <f ca="1">IFERROR(__xludf.DUMMYFUNCTION("""COMPUTED_VALUE"""),"Process Date")</f>
        <v>Process Date</v>
      </c>
      <c r="M5" s="25" t="str">
        <f ca="1">IFERROR(__xludf.DUMMYFUNCTION("""COMPUTED_VALUE"""),"Quantity")</f>
        <v>Quantity</v>
      </c>
      <c r="N5" s="25" t="str">
        <f ca="1">IFERROR(__xludf.DUMMYFUNCTION("""COMPUTED_VALUE"""),"Security Name")</f>
        <v>Security Name</v>
      </c>
      <c r="O5" s="25" t="str">
        <f ca="1">IFERROR(__xludf.DUMMYFUNCTION("""COMPUTED_VALUE"""),"Settlement Currency")</f>
        <v>Settlement Currency</v>
      </c>
      <c r="P5" s="25" t="str">
        <f ca="1">IFERROR(__xludf.DUMMYFUNCTION("""COMPUTED_VALUE"""),"Side")</f>
        <v>Side</v>
      </c>
      <c r="Q5" s="25" t="str">
        <f ca="1">IFERROR(__xludf.DUMMYFUNCTION("""COMPUTED_VALUE"""),"Strategy")</f>
        <v>Strategy</v>
      </c>
      <c r="R5" s="25" t="str">
        <f ca="1">IFERROR(__xludf.DUMMYFUNCTION("""COMPUTED_VALUE"""),"Symbol")</f>
        <v>Symbol</v>
      </c>
      <c r="S5" s="25" t="str">
        <f ca="1">IFERROR(__xludf.DUMMYFUNCTION("""COMPUTED_VALUE"""),"Taxlot ID")</f>
        <v>Taxlot ID</v>
      </c>
      <c r="T5" s="28" t="str">
        <f ca="1">IFERROR(__xludf.DUMMYFUNCTION("""COMPUTED_VALUE"""),"Total Fees and Commission")</f>
        <v>Total Fees and Commission</v>
      </c>
      <c r="U5" s="28" t="str">
        <f ca="1">IFERROR(__xludf.DUMMYFUNCTION("""COMPUTED_VALUE"""),"Trade Date")</f>
        <v>Trade Date</v>
      </c>
      <c r="V5" s="28" t="str">
        <f ca="1">IFERROR(__xludf.DUMMYFUNCTION("""COMPUTED_VALUE"""),"Transaction Type")</f>
        <v>Transaction Type</v>
      </c>
      <c r="W5" s="28" t="str">
        <f ca="1">IFERROR(__xludf.DUMMYFUNCTION("""COMPUTED_VALUE"""),"UnderlyingName")</f>
        <v>UnderlyingName</v>
      </c>
      <c r="X5" s="28" t="str">
        <f ca="1">IFERROR(__xludf.DUMMYFUNCTION("""COMPUTED_VALUE"""),"UnitCost")</f>
        <v>UnitCost</v>
      </c>
      <c r="Y5" s="28" t="str">
        <f ca="1">IFERROR(__xludf.DUMMYFUNCTION("""COMPUTED_VALUE"""),"Unit Cost(Base)")</f>
        <v>Unit Cost(Base)</v>
      </c>
      <c r="Z5" s="28" t="str">
        <f ca="1">IFERROR(__xludf.DUMMYFUNCTION("""COMPUTED_VALUE"""),"AvgPriceBase")</f>
        <v>AvgPriceBase</v>
      </c>
      <c r="AA5" s="28" t="str">
        <f ca="1">IFERROR(__xludf.DUMMYFUNCTION("""COMPUTED_VALUE"""),"")</f>
        <v/>
      </c>
      <c r="AB5" s="28" t="str">
        <f ca="1">IFERROR(__xludf.DUMMYFUNCTION("""COMPUTED_VALUE"""),"")</f>
        <v/>
      </c>
      <c r="AC5" s="28" t="str">
        <f ca="1">IFERROR(__xludf.DUMMYFUNCTION("""COMPUTED_VALUE"""),"")</f>
        <v/>
      </c>
      <c r="AD5" s="28" t="str">
        <f ca="1">IFERROR(__xludf.DUMMYFUNCTION("""COMPUTED_VALUE"""),"")</f>
        <v/>
      </c>
      <c r="AE5" s="28" t="str">
        <f ca="1">IFERROR(__xludf.DUMMYFUNCTION("""COMPUTED_VALUE"""),"")</f>
        <v/>
      </c>
      <c r="AF5" s="28" t="str">
        <f ca="1">IFERROR(__xludf.DUMMYFUNCTION("""COMPUTED_VALUE"""),"")</f>
        <v/>
      </c>
      <c r="AG5" s="28" t="str">
        <f ca="1">IFERROR(__xludf.DUMMYFUNCTION("""COMPUTED_VALUE"""),"")</f>
        <v/>
      </c>
      <c r="AH5" s="28" t="str">
        <f ca="1">IFERROR(__xludf.DUMMYFUNCTION("""COMPUTED_VALUE"""),"")</f>
        <v/>
      </c>
      <c r="AI5" s="28" t="str">
        <f ca="1">IFERROR(__xludf.DUMMYFUNCTION("""COMPUTED_VALUE"""),"")</f>
        <v/>
      </c>
      <c r="AJ5" s="28" t="str">
        <f ca="1">IFERROR(__xludf.DUMMYFUNCTION("""COMPUTED_VALUE"""),"")</f>
        <v/>
      </c>
      <c r="AK5" s="28" t="str">
        <f ca="1">IFERROR(__xludf.DUMMYFUNCTION("""COMPUTED_VALUE"""),"")</f>
        <v/>
      </c>
      <c r="AL5" s="28" t="str">
        <f ca="1">IFERROR(__xludf.DUMMYFUNCTION("""COMPUTED_VALUE"""),"")</f>
        <v/>
      </c>
      <c r="AM5" s="28" t="str">
        <f ca="1">IFERROR(__xludf.DUMMYFUNCTION("""COMPUTED_VALUE"""),"")</f>
        <v/>
      </c>
      <c r="AN5" s="28" t="str">
        <f ca="1">IFERROR(__xludf.DUMMYFUNCTION("""COMPUTED_VALUE"""),"")</f>
        <v/>
      </c>
      <c r="AO5" s="28" t="str">
        <f ca="1">IFERROR(__xludf.DUMMYFUNCTION("""COMPUTED_VALUE"""),"")</f>
        <v/>
      </c>
      <c r="AP5" s="28" t="str">
        <f ca="1">IFERROR(__xludf.DUMMYFUNCTION("""COMPUTED_VALUE"""),"")</f>
        <v/>
      </c>
      <c r="AQ5" s="28" t="str">
        <f ca="1">IFERROR(__xludf.DUMMYFUNCTION("""COMPUTED_VALUE"""),"")</f>
        <v/>
      </c>
      <c r="AR5" s="28" t="str">
        <f ca="1">IFERROR(__xludf.DUMMYFUNCTION("""COMPUTED_VALUE"""),"")</f>
        <v/>
      </c>
      <c r="AS5" s="28" t="str">
        <f ca="1">IFERROR(__xludf.DUMMYFUNCTION("""COMPUTED_VALUE"""),"")</f>
        <v/>
      </c>
      <c r="AT5" s="28" t="str">
        <f ca="1">IFERROR(__xludf.DUMMYFUNCTION("""COMPUTED_VALUE"""),"")</f>
        <v/>
      </c>
      <c r="AU5" s="28" t="str">
        <f ca="1">IFERROR(__xludf.DUMMYFUNCTION("""COMPUTED_VALUE"""),"")</f>
        <v/>
      </c>
      <c r="AV5" s="28" t="str">
        <f ca="1">IFERROR(__xludf.DUMMYFUNCTION("""COMPUTED_VALUE"""),"")</f>
        <v/>
      </c>
      <c r="AW5" s="28" t="str">
        <f ca="1">IFERROR(__xludf.DUMMYFUNCTION("""COMPUTED_VALUE"""),"")</f>
        <v/>
      </c>
      <c r="AX5" s="28" t="str">
        <f ca="1">IFERROR(__xludf.DUMMYFUNCTION("""COMPUTED_VALUE"""),"")</f>
        <v/>
      </c>
      <c r="AY5" s="28" t="str">
        <f ca="1">IFERROR(__xludf.DUMMYFUNCTION("""COMPUTED_VALUE"""),"")</f>
        <v/>
      </c>
      <c r="AZ5" s="28" t="str">
        <f ca="1">IFERROR(__xludf.DUMMYFUNCTION("""COMPUTED_VALUE"""),"")</f>
        <v/>
      </c>
      <c r="BA5" s="28" t="str">
        <f ca="1">IFERROR(__xludf.DUMMYFUNCTION("""COMPUTED_VALUE"""),"")</f>
        <v/>
      </c>
      <c r="BB5" s="28" t="str">
        <f ca="1">IFERROR(__xludf.DUMMYFUNCTION("""COMPUTED_VALUE"""),"")</f>
        <v/>
      </c>
      <c r="BC5" s="28" t="str">
        <f ca="1">IFERROR(__xludf.DUMMYFUNCTION("""COMPUTED_VALUE"""),"")</f>
        <v/>
      </c>
      <c r="BD5" s="28" t="str">
        <f ca="1">IFERROR(__xludf.DUMMYFUNCTION("""COMPUTED_VALUE"""),"")</f>
        <v/>
      </c>
      <c r="BE5" s="28" t="str">
        <f ca="1">IFERROR(__xludf.DUMMYFUNCTION("""COMPUTED_VALUE"""),"")</f>
        <v/>
      </c>
      <c r="BF5" s="28" t="str">
        <f ca="1">IFERROR(__xludf.DUMMYFUNCTION("""COMPUTED_VALUE"""),"")</f>
        <v/>
      </c>
      <c r="BG5" s="28" t="str">
        <f ca="1">IFERROR(__xludf.DUMMYFUNCTION("""COMPUTED_VALUE"""),"")</f>
        <v/>
      </c>
      <c r="BH5" s="28" t="str">
        <f ca="1">IFERROR(__xludf.DUMMYFUNCTION("""COMPUTED_VALUE"""),"")</f>
        <v/>
      </c>
      <c r="BI5" s="28" t="str">
        <f ca="1">IFERROR(__xludf.DUMMYFUNCTION("""COMPUTED_VALUE"""),"")</f>
        <v/>
      </c>
      <c r="BJ5" s="28" t="str">
        <f ca="1">IFERROR(__xludf.DUMMYFUNCTION("""COMPUTED_VALUE"""),"")</f>
        <v/>
      </c>
      <c r="BK5" s="28" t="str">
        <f ca="1">IFERROR(__xludf.DUMMYFUNCTION("""COMPUTED_VALUE"""),"")</f>
        <v/>
      </c>
      <c r="BL5" s="28" t="str">
        <f ca="1">IFERROR(__xludf.DUMMYFUNCTION("""COMPUTED_VALUE"""),"")</f>
        <v/>
      </c>
      <c r="BM5" s="28" t="str">
        <f ca="1">IFERROR(__xludf.DUMMYFUNCTION("""COMPUTED_VALUE"""),"")</f>
        <v/>
      </c>
      <c r="BN5" s="28" t="str">
        <f ca="1">IFERROR(__xludf.DUMMYFUNCTION("""COMPUTED_VALUE"""),"")</f>
        <v/>
      </c>
      <c r="BO5" s="28" t="str">
        <f ca="1">IFERROR(__xludf.DUMMYFUNCTION("""COMPUTED_VALUE"""),"")</f>
        <v/>
      </c>
      <c r="BP5" s="28" t="str">
        <f ca="1">IFERROR(__xludf.DUMMYFUNCTION("""COMPUTED_VALUE"""),"")</f>
        <v/>
      </c>
      <c r="BQ5" s="28" t="str">
        <f ca="1">IFERROR(__xludf.DUMMYFUNCTION("""COMPUTED_VALUE"""),"")</f>
        <v/>
      </c>
      <c r="BR5" s="28" t="str">
        <f ca="1">IFERROR(__xludf.DUMMYFUNCTION("""COMPUTED_VALUE"""),"")</f>
        <v/>
      </c>
      <c r="BS5" s="28" t="str">
        <f ca="1">IFERROR(__xludf.DUMMYFUNCTION("""COMPUTED_VALUE"""),"")</f>
        <v/>
      </c>
      <c r="BT5" s="28" t="str">
        <f ca="1">IFERROR(__xludf.DUMMYFUNCTION("""COMPUTED_VALUE"""),"")</f>
        <v/>
      </c>
      <c r="BU5" s="28" t="str">
        <f ca="1">IFERROR(__xludf.DUMMYFUNCTION("""COMPUTED_VALUE"""),"")</f>
        <v/>
      </c>
      <c r="BV5" s="28" t="str">
        <f ca="1">IFERROR(__xludf.DUMMYFUNCTION("""COMPUTED_VALUE"""),"")</f>
        <v/>
      </c>
      <c r="BW5" s="28" t="str">
        <f ca="1">IFERROR(__xludf.DUMMYFUNCTION("""COMPUTED_VALUE"""),"")</f>
        <v/>
      </c>
      <c r="BX5" s="28" t="str">
        <f ca="1">IFERROR(__xludf.DUMMYFUNCTION("""COMPUTED_VALUE"""),"")</f>
        <v/>
      </c>
      <c r="BY5" s="28" t="str">
        <f ca="1">IFERROR(__xludf.DUMMYFUNCTION("""COMPUTED_VALUE"""),"")</f>
        <v/>
      </c>
      <c r="BZ5" s="28" t="str">
        <f ca="1">IFERROR(__xludf.DUMMYFUNCTION("""COMPUTED_VALUE"""),"")</f>
        <v/>
      </c>
      <c r="CA5" s="28" t="str">
        <f ca="1">IFERROR(__xludf.DUMMYFUNCTION("""COMPUTED_VALUE"""),"")</f>
        <v/>
      </c>
      <c r="CB5" s="28" t="str">
        <f ca="1">IFERROR(__xludf.DUMMYFUNCTION("""COMPUTED_VALUE"""),"")</f>
        <v/>
      </c>
      <c r="CC5" s="28" t="str">
        <f ca="1">IFERROR(__xludf.DUMMYFUNCTION("""COMPUTED_VALUE"""),"")</f>
        <v/>
      </c>
      <c r="CD5" s="28" t="str">
        <f ca="1">IFERROR(__xludf.DUMMYFUNCTION("""COMPUTED_VALUE"""),"")</f>
        <v/>
      </c>
      <c r="CE5" s="28" t="str">
        <f ca="1">IFERROR(__xludf.DUMMYFUNCTION("""COMPUTED_VALUE"""),"")</f>
        <v/>
      </c>
      <c r="CF5" s="28" t="str">
        <f ca="1">IFERROR(__xludf.DUMMYFUNCTION("""COMPUTED_VALUE"""),"")</f>
        <v/>
      </c>
      <c r="CG5" s="28" t="str">
        <f ca="1">IFERROR(__xludf.DUMMYFUNCTION("""COMPUTED_VALUE"""),"")</f>
        <v/>
      </c>
      <c r="CH5" s="28" t="str">
        <f ca="1">IFERROR(__xludf.DUMMYFUNCTION("""COMPUTED_VALUE"""),"")</f>
        <v/>
      </c>
      <c r="CI5" s="28" t="str">
        <f ca="1">IFERROR(__xludf.DUMMYFUNCTION("""COMPUTED_VALUE"""),"")</f>
        <v/>
      </c>
      <c r="CJ5" s="28" t="str">
        <f ca="1">IFERROR(__xludf.DUMMYFUNCTION("""COMPUTED_VALUE"""),"")</f>
        <v/>
      </c>
      <c r="CK5" s="28" t="str">
        <f ca="1">IFERROR(__xludf.DUMMYFUNCTION("""COMPUTED_VALUE"""),"")</f>
        <v/>
      </c>
      <c r="CL5" s="28" t="str">
        <f ca="1">IFERROR(__xludf.DUMMYFUNCTION("""COMPUTED_VALUE"""),"")</f>
        <v/>
      </c>
      <c r="CM5" s="28" t="str">
        <f ca="1">IFERROR(__xludf.DUMMYFUNCTION("""COMPUTED_VALUE"""),"")</f>
        <v/>
      </c>
      <c r="CN5" s="28" t="str">
        <f ca="1">IFERROR(__xludf.DUMMYFUNCTION("""COMPUTED_VALUE"""),"")</f>
        <v/>
      </c>
      <c r="CO5" s="28" t="str">
        <f ca="1">IFERROR(__xludf.DUMMYFUNCTION("""COMPUTED_VALUE"""),"")</f>
        <v/>
      </c>
      <c r="CP5" s="28" t="str">
        <f ca="1">IFERROR(__xludf.DUMMYFUNCTION("""COMPUTED_VALUE"""),"")</f>
        <v/>
      </c>
      <c r="CQ5" s="28" t="str">
        <f ca="1">IFERROR(__xludf.DUMMYFUNCTION("""COMPUTED_VALUE"""),"")</f>
        <v/>
      </c>
      <c r="CR5" s="28" t="str">
        <f ca="1">IFERROR(__xludf.DUMMYFUNCTION("""COMPUTED_VALUE"""),"")</f>
        <v/>
      </c>
      <c r="CS5" s="28" t="str">
        <f ca="1">IFERROR(__xludf.DUMMYFUNCTION("""COMPUTED_VALUE"""),"")</f>
        <v/>
      </c>
      <c r="CT5" s="28" t="str">
        <f ca="1">IFERROR(__xludf.DUMMYFUNCTION("""COMPUTED_VALUE"""),"")</f>
        <v/>
      </c>
      <c r="CU5" s="28" t="str">
        <f ca="1">IFERROR(__xludf.DUMMYFUNCTION("""COMPUTED_VALUE"""),"")</f>
        <v/>
      </c>
      <c r="CV5" s="28" t="str">
        <f ca="1">IFERROR(__xludf.DUMMYFUNCTION("""COMPUTED_VALUE"""),"")</f>
        <v/>
      </c>
      <c r="CW5" s="28" t="str">
        <f ca="1">IFERROR(__xludf.DUMMYFUNCTION("""COMPUTED_VALUE"""),"")</f>
        <v/>
      </c>
      <c r="CX5" s="28" t="str">
        <f ca="1">IFERROR(__xludf.DUMMYFUNCTION("""COMPUTED_VALUE"""),"")</f>
        <v/>
      </c>
      <c r="CY5" s="28" t="str">
        <f ca="1">IFERROR(__xludf.DUMMYFUNCTION("""COMPUTED_VALUE"""),"")</f>
        <v/>
      </c>
      <c r="CZ5" s="28" t="str">
        <f ca="1">IFERROR(__xludf.DUMMYFUNCTION("""COMPUTED_VALUE"""),"")</f>
        <v/>
      </c>
      <c r="DA5" s="28" t="str">
        <f ca="1">IFERROR(__xludf.DUMMYFUNCTION("""COMPUTED_VALUE"""),"")</f>
        <v/>
      </c>
      <c r="DB5" s="28" t="str">
        <f ca="1">IFERROR(__xludf.DUMMYFUNCTION("""COMPUTED_VALUE"""),"")</f>
        <v/>
      </c>
      <c r="DC5" s="28" t="str">
        <f ca="1">IFERROR(__xludf.DUMMYFUNCTION("""COMPUTED_VALUE"""),"")</f>
        <v/>
      </c>
      <c r="DD5" s="28" t="str">
        <f ca="1">IFERROR(__xludf.DUMMYFUNCTION("""COMPUTED_VALUE"""),"")</f>
        <v/>
      </c>
      <c r="DE5" s="28" t="str">
        <f ca="1">IFERROR(__xludf.DUMMYFUNCTION("""COMPUTED_VALUE"""),"")</f>
        <v/>
      </c>
      <c r="DF5" s="28" t="str">
        <f ca="1">IFERROR(__xludf.DUMMYFUNCTION("""COMPUTED_VALUE"""),"")</f>
        <v/>
      </c>
      <c r="DG5" s="28" t="str">
        <f ca="1">IFERROR(__xludf.DUMMYFUNCTION("""COMPUTED_VALUE"""),"")</f>
        <v/>
      </c>
      <c r="DH5" s="28" t="str">
        <f ca="1">IFERROR(__xludf.DUMMYFUNCTION("""COMPUTED_VALUE"""),"")</f>
        <v/>
      </c>
      <c r="DI5" s="28" t="str">
        <f ca="1">IFERROR(__xludf.DUMMYFUNCTION("""COMPUTED_VALUE"""),"")</f>
        <v/>
      </c>
      <c r="DJ5" s="28" t="str">
        <f ca="1">IFERROR(__xludf.DUMMYFUNCTION("""COMPUTED_VALUE"""),"")</f>
        <v/>
      </c>
      <c r="DK5" s="28" t="str">
        <f ca="1">IFERROR(__xludf.DUMMYFUNCTION("""COMPUTED_VALUE"""),"")</f>
        <v/>
      </c>
      <c r="DL5" s="28" t="str">
        <f ca="1">IFERROR(__xludf.DUMMYFUNCTION("""COMPUTED_VALUE"""),"")</f>
        <v/>
      </c>
      <c r="DM5" s="28" t="str">
        <f ca="1">IFERROR(__xludf.DUMMYFUNCTION("""COMPUTED_VALUE"""),"")</f>
        <v/>
      </c>
      <c r="DN5" s="28" t="str">
        <f ca="1">IFERROR(__xludf.DUMMYFUNCTION("""COMPUTED_VALUE"""),"")</f>
        <v/>
      </c>
      <c r="DO5" s="28" t="str">
        <f ca="1">IFERROR(__xludf.DUMMYFUNCTION("""COMPUTED_VALUE"""),"")</f>
        <v/>
      </c>
      <c r="DP5" s="28" t="str">
        <f ca="1">IFERROR(__xludf.DUMMYFUNCTION("""COMPUTED_VALUE"""),"")</f>
        <v/>
      </c>
      <c r="DQ5" s="28" t="str">
        <f ca="1">IFERROR(__xludf.DUMMYFUNCTION("""COMPUTED_VALUE"""),"")</f>
        <v/>
      </c>
      <c r="DR5" s="28" t="str">
        <f ca="1">IFERROR(__xludf.DUMMYFUNCTION("""COMPUTED_VALUE"""),"")</f>
        <v/>
      </c>
      <c r="DS5" s="28" t="str">
        <f ca="1">IFERROR(__xludf.DUMMYFUNCTION("""COMPUTED_VALUE"""),"")</f>
        <v/>
      </c>
      <c r="DT5" s="28" t="str">
        <f ca="1">IFERROR(__xludf.DUMMYFUNCTION("""COMPUTED_VALUE"""),"")</f>
        <v/>
      </c>
      <c r="DU5" s="28" t="str">
        <f ca="1">IFERROR(__xludf.DUMMYFUNCTION("""COMPUTED_VALUE"""),"")</f>
        <v/>
      </c>
      <c r="DV5" s="28" t="str">
        <f ca="1">IFERROR(__xludf.DUMMYFUNCTION("""COMPUTED_VALUE"""),"")</f>
        <v/>
      </c>
      <c r="DW5" s="28" t="str">
        <f ca="1">IFERROR(__xludf.DUMMYFUNCTION("""COMPUTED_VALUE"""),"")</f>
        <v/>
      </c>
      <c r="DX5" s="28" t="str">
        <f ca="1">IFERROR(__xludf.DUMMYFUNCTION("""COMPUTED_VALUE"""),"")</f>
        <v/>
      </c>
      <c r="DY5" s="28" t="str">
        <f ca="1">IFERROR(__xludf.DUMMYFUNCTION("""COMPUTED_VALUE"""),"")</f>
        <v/>
      </c>
      <c r="DZ5" s="28" t="str">
        <f ca="1">IFERROR(__xludf.DUMMYFUNCTION("""COMPUTED_VALUE"""),"")</f>
        <v/>
      </c>
      <c r="EA5" s="28" t="str">
        <f ca="1">IFERROR(__xludf.DUMMYFUNCTION("""COMPUTED_VALUE"""),"")</f>
        <v/>
      </c>
      <c r="EB5" s="28" t="str">
        <f ca="1">IFERROR(__xludf.DUMMYFUNCTION("""COMPUTED_VALUE"""),"")</f>
        <v/>
      </c>
      <c r="EC5" s="28" t="str">
        <f ca="1">IFERROR(__xludf.DUMMYFUNCTION("""COMPUTED_VALUE"""),"")</f>
        <v/>
      </c>
      <c r="ED5" s="28" t="str">
        <f ca="1">IFERROR(__xludf.DUMMYFUNCTION("""COMPUTED_VALUE"""),"")</f>
        <v/>
      </c>
      <c r="EE5" s="28" t="str">
        <f ca="1">IFERROR(__xludf.DUMMYFUNCTION("""COMPUTED_VALUE"""),"")</f>
        <v/>
      </c>
      <c r="EF5" s="28" t="str">
        <f ca="1">IFERROR(__xludf.DUMMYFUNCTION("""COMPUTED_VALUE"""),"")</f>
        <v/>
      </c>
      <c r="EG5" s="28" t="str">
        <f ca="1">IFERROR(__xludf.DUMMYFUNCTION("""COMPUTED_VALUE"""),"")</f>
        <v/>
      </c>
      <c r="EH5" s="28" t="str">
        <f ca="1">IFERROR(__xludf.DUMMYFUNCTION("""COMPUTED_VALUE"""),"")</f>
        <v/>
      </c>
      <c r="EI5" s="28" t="str">
        <f ca="1">IFERROR(__xludf.DUMMYFUNCTION("""COMPUTED_VALUE"""),"")</f>
        <v/>
      </c>
      <c r="EJ5" s="28" t="str">
        <f ca="1">IFERROR(__xludf.DUMMYFUNCTION("""COMPUTED_VALUE"""),"")</f>
        <v/>
      </c>
      <c r="EK5" s="28" t="str">
        <f ca="1">IFERROR(__xludf.DUMMYFUNCTION("""COMPUTED_VALUE"""),"")</f>
        <v/>
      </c>
      <c r="EL5" s="28" t="str">
        <f ca="1">IFERROR(__xludf.DUMMYFUNCTION("""COMPUTED_VALUE"""),"")</f>
        <v/>
      </c>
      <c r="EM5" s="28" t="str">
        <f ca="1">IFERROR(__xludf.DUMMYFUNCTION("""COMPUTED_VALUE"""),"")</f>
        <v/>
      </c>
      <c r="EN5" s="28" t="str">
        <f ca="1">IFERROR(__xludf.DUMMYFUNCTION("""COMPUTED_VALUE"""),"")</f>
        <v/>
      </c>
      <c r="EO5" s="28" t="str">
        <f ca="1">IFERROR(__xludf.DUMMYFUNCTION("""COMPUTED_VALUE"""),"")</f>
        <v/>
      </c>
      <c r="EP5" s="28" t="str">
        <f ca="1">IFERROR(__xludf.DUMMYFUNCTION("""COMPUTED_VALUE"""),"")</f>
        <v/>
      </c>
      <c r="EQ5" s="28" t="str">
        <f ca="1">IFERROR(__xludf.DUMMYFUNCTION("""COMPUTED_VALUE"""),"")</f>
        <v/>
      </c>
      <c r="ER5" s="28" t="str">
        <f ca="1">IFERROR(__xludf.DUMMYFUNCTION("""COMPUTED_VALUE"""),"")</f>
        <v/>
      </c>
      <c r="ES5" s="28" t="str">
        <f ca="1">IFERROR(__xludf.DUMMYFUNCTION("""COMPUTED_VALUE"""),"")</f>
        <v/>
      </c>
      <c r="ET5" s="28" t="str">
        <f ca="1">IFERROR(__xludf.DUMMYFUNCTION("""COMPUTED_VALUE"""),"")</f>
        <v/>
      </c>
      <c r="EU5" s="28" t="str">
        <f ca="1">IFERROR(__xludf.DUMMYFUNCTION("""COMPUTED_VALUE"""),"")</f>
        <v/>
      </c>
      <c r="EV5" s="28" t="str">
        <f ca="1">IFERROR(__xludf.DUMMYFUNCTION("""COMPUTED_VALUE"""),"")</f>
        <v/>
      </c>
      <c r="EW5" s="28" t="str">
        <f ca="1">IFERROR(__xludf.DUMMYFUNCTION("""COMPUTED_VALUE"""),"")</f>
        <v/>
      </c>
      <c r="EX5" s="28" t="str">
        <f ca="1">IFERROR(__xludf.DUMMYFUNCTION("""COMPUTED_VALUE"""),"")</f>
        <v/>
      </c>
    </row>
    <row r="6" spans="1:154" ht="15.75" customHeight="1" x14ac:dyDescent="0.2">
      <c r="A6" s="5"/>
      <c r="B6" s="5" t="s">
        <v>18</v>
      </c>
      <c r="C6" s="2"/>
      <c r="D6" s="5"/>
      <c r="E6" s="45"/>
      <c r="F6" s="2"/>
      <c r="G6" s="2"/>
      <c r="H6" s="2"/>
      <c r="I6" s="5">
        <v>12</v>
      </c>
      <c r="J6" s="2"/>
      <c r="K6" s="2"/>
      <c r="L6" s="2"/>
      <c r="M6" s="5">
        <v>100</v>
      </c>
      <c r="N6" s="2"/>
      <c r="O6" s="2"/>
      <c r="P6" s="39" t="s">
        <v>20</v>
      </c>
      <c r="R6" s="39" t="s">
        <v>16</v>
      </c>
    </row>
    <row r="7" spans="1:154" ht="15.75" customHeight="1" x14ac:dyDescent="0.2">
      <c r="A7" s="2"/>
      <c r="B7" s="5" t="s">
        <v>18</v>
      </c>
      <c r="C7" s="2"/>
      <c r="D7" s="2"/>
      <c r="E7" s="2"/>
      <c r="F7" s="2"/>
      <c r="G7" s="2"/>
      <c r="H7" s="2"/>
      <c r="I7" s="5">
        <v>12</v>
      </c>
      <c r="J7" s="2"/>
      <c r="K7" s="2"/>
      <c r="L7" s="2"/>
      <c r="M7" s="5">
        <v>100</v>
      </c>
      <c r="N7" s="2"/>
      <c r="O7" s="2"/>
      <c r="P7" s="39" t="s">
        <v>20</v>
      </c>
      <c r="R7" s="39" t="s">
        <v>16</v>
      </c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CreateDoneAwayOrder</vt:lpstr>
      <vt:lpstr>AutomaticClosing</vt:lpstr>
      <vt:lpstr>VerifyClosedTrades</vt:lpstr>
      <vt:lpstr>UnwindClosing</vt:lpstr>
      <vt:lpstr>GetDataClosing</vt:lpstr>
      <vt:lpstr>GetDataAllocation</vt:lpstr>
      <vt:lpstr>CheckAllocatedGroups</vt:lpstr>
      <vt:lpstr>CheckPortfolioManagement</vt:lpstr>
      <vt:lpstr>VerifyLongPositionsGrid</vt:lpstr>
      <vt:lpstr>VerifyShortPositionsGrid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2021-08-04T09:32:55Z</dcterms:modified>
</cp:coreProperties>
</file>