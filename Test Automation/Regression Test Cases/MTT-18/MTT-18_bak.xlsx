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PricingInput" sheetId="5" r:id="rId7"/>
    <sheet state="visible" name="SetTTUIAdminPreferences" sheetId="6" r:id="rId8"/>
    <sheet state="visible" name="SetBrokerWisePreferencesTT" sheetId="7" r:id="rId9"/>
    <sheet state="visible" name="GetDailyCash" sheetId="8" r:id="rId10"/>
    <sheet state="visible" name="UpdateDailyCash" sheetId="9" r:id="rId11"/>
    <sheet state="visible" name="CreateOrderPTT" sheetId="10" r:id="rId12"/>
    <sheet state="visible" name="CreateOrderPTT1" sheetId="11" r:id="rId13"/>
    <sheet state="visible" name="MultiTradingTicketFromBlotter" sheetId="12" r:id="rId14"/>
    <sheet state="visible" name="SelectTradeUsingMTT" sheetId="13" r:id="rId15"/>
    <sheet state="visible" name="EditTradeUsingMTT" sheetId="14" r:id="rId16"/>
    <sheet state="visible" name="SelectTradeUsingMTT1" sheetId="15" r:id="rId17"/>
    <sheet state="visible" name="EditTradeUsingMTT1" sheetId="16" r:id="rId18"/>
    <sheet state="visible" name="DoneAwayUsingMTT" sheetId="17" r:id="rId19"/>
    <sheet state="visible" name="VerifyOrder" sheetId="18" r:id="rId20"/>
    <sheet state="visible" name="VerifyWorkingSubs" sheetId="19" r:id="rId21"/>
  </sheets>
  <definedNames/>
  <calcPr/>
</workbook>
</file>

<file path=xl/sharedStrings.xml><?xml version="1.0" encoding="utf-8"?>
<sst xmlns="http://schemas.openxmlformats.org/spreadsheetml/2006/main" count="213" uniqueCount="49">
  <si>
    <t>Modules Info</t>
  </si>
  <si>
    <t>Modules</t>
  </si>
  <si>
    <t>Settings</t>
  </si>
  <si>
    <t>Module Step Setting File</t>
  </si>
  <si>
    <t>1s8Tugp9tltXlrflnMpJQZAK_8xohzWlqShomllKwg98</t>
  </si>
  <si>
    <t>Master Data Settings File</t>
  </si>
  <si>
    <t>16ToEbuvGu5ULnNFKOMTFrT9KWOcXxJTnSbDbsSXIfZo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</si>
  <si>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</si>
  <si>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</si>
  <si>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</si>
  <si>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</si>
  <si>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</si>
  <si>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</si>
  <si>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</si>
  <si>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</si>
  <si>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</si>
  <si>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</si>
  <si>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</si>
  <si>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Unallocated</t>
  </si>
  <si>
    <t>Market</t>
  </si>
  <si>
    <t>MSFT</t>
  </si>
  <si>
    <t>Pricinginput</t>
  </si>
  <si>
    <t>PricingInput</t>
  </si>
  <si>
    <t>Admin</t>
  </si>
  <si>
    <t>SetTTUIAdminPreferences</t>
  </si>
  <si>
    <t>NULL</t>
  </si>
  <si>
    <t>SetBrokerWisePreferencesTT</t>
  </si>
  <si>
    <t>MS</t>
  </si>
  <si>
    <t>NASDAQ</t>
  </si>
  <si>
    <t>DailyValuation</t>
  </si>
  <si>
    <t>GetDailyCash</t>
  </si>
  <si>
    <t>UpdateDailyCash</t>
  </si>
  <si>
    <t>Allocation1</t>
  </si>
  <si>
    <t>USD</t>
  </si>
  <si>
    <t>PTT</t>
  </si>
  <si>
    <t>CreateOrderPTT</t>
  </si>
  <si>
    <t>Basis Point</t>
  </si>
  <si>
    <t>No</t>
  </si>
  <si>
    <t>Account</t>
  </si>
  <si>
    <t>Blotter</t>
  </si>
  <si>
    <t>MultiTradingTicketFromBlotter</t>
  </si>
  <si>
    <t>New</t>
  </si>
  <si>
    <t>MultiTradingTicket</t>
  </si>
  <si>
    <t>SelectTradeUsingMTT</t>
  </si>
  <si>
    <t>EditTradeUsingMTT</t>
  </si>
  <si>
    <t>DoneAwayUsingMTT</t>
  </si>
  <si>
    <t>VerifyOrder</t>
  </si>
  <si>
    <t>Filled</t>
  </si>
  <si>
    <t>VerifyWorkingSubs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</si>
</sst>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vertical="bottom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5" fillId="0" fontId="5" numFmtId="14" xfId="0" applyAlignment="1" applyBorder="1" applyFont="1" applyNumberForma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vertical="bottom"/>
    </xf>
    <xf borderId="5" fillId="0" fontId="5" numFmtId="0" xfId="0" applyAlignment="1" applyBorder="1" applyFont="1">
      <alignment readingOrder="0" vertical="bottom"/>
    </xf>
    <xf borderId="5" fillId="0" fontId="13" numFmtId="0" xfId="0" applyAlignment="1" applyBorder="1" applyFont="1">
      <alignment horizontal="right" readingOrder="0" vertical="bottom"/>
    </xf>
    <xf borderId="5" fillId="0" fontId="13" numFmtId="0" xfId="0" applyAlignment="1" applyBorder="1" applyFont="1">
      <alignment vertical="bottom"/>
    </xf>
    <xf borderId="5" fillId="0" fontId="13" numFmtId="0" xfId="0" applyAlignment="1" applyBorder="1" applyFont="1">
      <alignment readingOrder="0" shrinkToFit="0" vertical="bottom" wrapText="0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right" readingOrder="0" vertical="bottom"/>
    </xf>
    <xf borderId="5" fillId="0" fontId="5" numFmtId="0" xfId="0" applyAlignment="1" applyBorder="1" applyFont="1">
      <alignment horizontal="right" readingOrder="0" vertical="bottom"/>
    </xf>
    <xf borderId="0" fillId="0" fontId="5" numFmtId="0" xfId="0" applyAlignment="1" applyFont="1">
      <alignment horizontal="right" readingOrder="0" vertical="bottom"/>
    </xf>
    <xf borderId="5" fillId="0" fontId="3" numFmtId="0" xfId="0" applyAlignment="1" applyBorder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1b5S4Xpp4fgZ1ez6cK92QFnVBylqz8jhwxdAyEvwDqUI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13" t="s">
        <v>16</v>
      </c>
      <c r="C6" s="13" t="s">
        <v>17</v>
      </c>
      <c r="D6" s="13">
        <v>1.0</v>
      </c>
      <c r="E6" s="8"/>
      <c r="F6" s="13" t="s">
        <v>18</v>
      </c>
      <c r="G6" s="8"/>
      <c r="H6" s="8"/>
      <c r="I6" s="13" t="s">
        <v>19</v>
      </c>
      <c r="J6" s="13">
        <v>10.0</v>
      </c>
      <c r="K6" s="8"/>
      <c r="L6" s="8"/>
      <c r="M6" s="8"/>
      <c r="N6" s="8"/>
      <c r="O6" s="8"/>
    </row>
    <row r="7" ht="15.75" customHeight="1">
      <c r="A7" s="8"/>
      <c r="B7" s="13" t="s">
        <v>20</v>
      </c>
      <c r="C7" s="13" t="s">
        <v>17</v>
      </c>
      <c r="D7" s="13">
        <v>1.0</v>
      </c>
      <c r="E7" s="8"/>
      <c r="F7" s="13" t="s">
        <v>18</v>
      </c>
      <c r="G7" s="8"/>
      <c r="H7" s="8"/>
      <c r="I7" s="13" t="s">
        <v>19</v>
      </c>
      <c r="J7" s="13">
        <v>10.0</v>
      </c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8"/>
      <c r="B6" s="31" t="s">
        <v>16</v>
      </c>
      <c r="C6" s="13">
        <v>10.0</v>
      </c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1" t="s">
        <v>20</v>
      </c>
      <c r="C7" s="13">
        <v>10.0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IFERROR(__xludf.DUMMYFUNCTION("""COMPUTED_VALUE"""),"SetTradingComplianceRules")</f>
        <v>SetTradingComplianceRules</v>
      </c>
      <c r="I4" s="25" t="str">
        <f>IFERROR(__xludf.DUMMYFUNCTION("""COMPUTED_VALUE"""),"EnableBreakdownRealizedPNL")</f>
        <v>EnableBreakdownRealizedPNL</v>
      </c>
      <c r="J4" s="25" t="str">
        <f>IFERROR(__xludf.DUMMYFUNCTION("""COMPUTED_VALUE"""),"SetTTGeneralPreferences")</f>
        <v>SetTTGeneralPreferences</v>
      </c>
      <c r="K4" s="25" t="str">
        <f>IFERROR(__xludf.DUMMYFUNCTION("""COMPUTED_VALUE"""),"SetDollarAmountPermission")</f>
        <v>SetDollarAmountPermission</v>
      </c>
      <c r="L4" s="25" t="str">
        <f>IFERROR(__xludf.DUMMYFUNCTION("""COMPUTED_VALUE"""),"EnableDisableModule")</f>
        <v>EnableDisableModule</v>
      </c>
      <c r="M4" s="25" t="str">
        <f>IFERROR(__xludf.DUMMYFUNCTION("""COMPUTED_VALUE"""),"IsImportOverrideOnShortLocate")</f>
        <v>IsImportOverrideOnShortLocate</v>
      </c>
      <c r="N4" s="25" t="str">
        <f>IFERROR(__xludf.DUMMYFUNCTION("""COMPUTED_VALUE"""),"SetShortLocateStructures")</f>
        <v>SetShortLocateStructures</v>
      </c>
      <c r="O4" s="25" t="str">
        <f>IFERROR(__xludf.DUMMYFUNCTION("""COMPUTED_VALUE"""),"SetComplianceAlert")</f>
        <v>SetComplianceAlert</v>
      </c>
      <c r="P4" s="26" t="str">
        <f>IFERROR(__xludf.DUMMYFUNCTION("""COMPUTED_VALUE"""),"UpdateExpirationDate")</f>
        <v>UpdateExpirationDate</v>
      </c>
      <c r="Q4" s="26" t="str">
        <f>IFERROR(__xludf.DUMMYFUNCTION("""COMPUTED_VALUE"""),"RenameMasterStrategy")</f>
        <v>RenameMasterStrategy</v>
      </c>
      <c r="R4" s="26" t="str">
        <f>IFERROR(__xludf.DUMMYFUNCTION("""COMPUTED_VALUE"""),"SetTTUIAdminPreferences")</f>
        <v>SetTTUIAdminPreferences</v>
      </c>
      <c r="S4" s="26" t="str">
        <f>IFERROR(__xludf.DUMMYFUNCTION("""COMPUTED_VALUE"""),"UpdateSecFee")</f>
        <v>UpdateSecFee</v>
      </c>
      <c r="T4" s="26" t="str">
        <f>IFERROR(__xludf.DUMMYFUNCTION("""COMPUTED_VALUE"""),"UpdateFee")</f>
        <v>UpdateFee</v>
      </c>
      <c r="U4" s="26" t="str">
        <f>IFERROR(__xludf.DUMMYFUNCTION("""COMPUTED_VALUE"""),"RevertingSMSharesOutValue")</f>
        <v>RevertingSMSharesOutValue</v>
      </c>
      <c r="V4" s="26" t="str">
        <f>IFERROR(__xludf.DUMMYFUNCTION("""COMPUTED_VALUE"""),"SetTTUIAdminPreferences")</f>
        <v>SetTTUIAdminPreferences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IFERROR(__xludf.DUMMYFUNCTION("""COMPUTED_VALUE"""),"UpdateRoundLot")</f>
        <v>UpdateRoundLot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2" t="s">
        <v>25</v>
      </c>
      <c r="C6" s="33" t="s">
        <v>25</v>
      </c>
      <c r="D6" s="13"/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IFERROR(__xludf.DUMMYFUNCTION("""COMPUTED_VALUE"""),"TradeNewSub")</f>
        <v>TradeNewSub</v>
      </c>
      <c r="I4" s="25" t="str">
        <f>IFERROR(__xludf.DUMMYFUNCTION("""COMPUTED_VALUE"""),"CreateStageOrder")</f>
        <v>CreateStageOrder</v>
      </c>
      <c r="J4" s="25" t="str">
        <f>IFERROR(__xludf.DUMMYFUNCTION("""COMPUTED_VALUE"""),"CreateReplaceOrder")</f>
        <v>CreateReplaceOrder</v>
      </c>
      <c r="K4" s="25" t="str">
        <f>IFERROR(__xludf.DUMMYFUNCTION("""COMPUTED_VALUE"""),"SetGeneralPreference")</f>
        <v>SetGeneralPreference</v>
      </c>
      <c r="L4" s="25" t="str">
        <f>IFERROR(__xludf.DUMMYFUNCTION("""COMPUTED_VALUE"""),"CreateNewSubOrder")</f>
        <v>CreateNewSubOrder</v>
      </c>
      <c r="M4" s="25" t="str">
        <f>IFERROR(__xludf.DUMMYFUNCTION("""COMPUTED_VALUE"""),"TradeBloomberg")</f>
        <v>TradeBloomberg</v>
      </c>
      <c r="N4" s="25" t="str">
        <f>IFERROR(__xludf.DUMMYFUNCTION("""COMPUTED_VALUE"""),"ClickSymbolLookup")</f>
        <v>ClickSymbolLookup</v>
      </c>
      <c r="O4" s="25" t="str">
        <f>IFERROR(__xludf.DUMMYFUNCTION("""COMPUTED_VALUE"""),"VerifyTT")</f>
        <v>VerifyTT</v>
      </c>
      <c r="P4" s="26" t="str">
        <f>IFERROR(__xludf.DUMMYFUNCTION("""COMPUTED_VALUE"""),"CreateLiveOrder")</f>
        <v>CreateLiveOrder</v>
      </c>
      <c r="Q4" s="26" t="str">
        <f>IFERROR(__xludf.DUMMYFUNCTION("""COMPUTED_VALUE"""),"UpdateMasterFundOnTT")</f>
        <v>UpdateMasterFundOnTT</v>
      </c>
      <c r="R4" s="26" t="str">
        <f>IFERROR(__xludf.DUMMYFUNCTION("""COMPUTED_VALUE"""),"SetTTCompliancePreference")</f>
        <v>SetTTCompliancePreference</v>
      </c>
      <c r="S4" s="26" t="str">
        <f>IFERROR(__xludf.DUMMYFUNCTION("""COMPUTED_VALUE"""),"ImportSymbol")</f>
        <v>ImportSymbol</v>
      </c>
      <c r="T4" s="26" t="str">
        <f>IFERROR(__xludf.DUMMYFUNCTION("""COMPUTED_VALUE"""),"ExportSymbolFromRAList")</f>
        <v>ExportSymbolFromRAList</v>
      </c>
      <c r="U4" s="26" t="str">
        <f>IFERROR(__xludf.DUMMYFUNCTION("""COMPUTED_VALUE"""),"CheckPendingNewOrderAlert")</f>
        <v>CheckPendingNewOrderAlert</v>
      </c>
      <c r="V4" s="26" t="str">
        <f>IFERROR(__xludf.DUMMYFUNCTION("""COMPUTED_VALUE"""),"AddSymbolOnRAList")</f>
        <v>AddSymbolOnRAList</v>
      </c>
      <c r="W4" s="26" t="str">
        <f>IFERROR(__xludf.DUMMYFUNCTION("""COMPUTED_VALUE"""),"DeleteSymbolListFromRA")</f>
        <v>DeleteSymbolListFromRA</v>
      </c>
      <c r="X4" s="26" t="str">
        <f>IFERROR(__xludf.DUMMYFUNCTION("""COMPUTED_VALUE"""),"RemoveSymbolFromRAList")</f>
        <v>RemoveSymbolFromRAList</v>
      </c>
      <c r="Y4" s="26" t="str">
        <f>IFERROR(__xludf.DUMMYFUNCTION("""COMPUTED_VALUE"""),"ToggleBlombergOnRA")</f>
        <v>ToggleBlombergOnRA</v>
      </c>
      <c r="Z4" s="26" t="str">
        <f>IFERROR(__xludf.DUMMYFUNCTION("""COMPUTED_VALUE"""),"CreateDoneAwayOrder")</f>
        <v>CreateDoneAwayOrder</v>
      </c>
      <c r="AA4" s="26" t="str">
        <f>IFERROR(__xludf.DUMMYFUNCTION("""COMPUTED_VALUE"""),"AddOptionTrade")</f>
        <v>AddOptionTrade</v>
      </c>
      <c r="AB4" s="26" t="str">
        <f>IFERROR(__xludf.DUMMYFUNCTION("""COMPUTED_VALUE"""),"SendLiveBloomberg")</f>
        <v>SendLiveBloomberg</v>
      </c>
      <c r="AC4" s="26" t="str">
        <f>IFERROR(__xludf.DUMMYFUNCTION("""COMPUTED_VALUE"""),"ViewAllocation")</f>
        <v>ViewAllocation</v>
      </c>
      <c r="AD4" s="26" t="str">
        <f>IFERROR(__xludf.DUMMYFUNCTION("""COMPUTED_VALUE"""),"CreateReplaceLiveOrder")</f>
        <v>CreateReplaceLiveOrder</v>
      </c>
      <c r="AE4" s="26" t="str">
        <f>IFERROR(__xludf.DUMMYFUNCTION("""COMPUTED_VALUE"""),"CreateNewSubLiveOrder")</f>
        <v>CreateNewSubLiveOrder</v>
      </c>
      <c r="AF4" s="26" t="str">
        <f>IFERROR(__xludf.DUMMYFUNCTION("""COMPUTED_VALUE"""),"VerifyBasketExport")</f>
        <v>VerifyBasketExport</v>
      </c>
      <c r="AG4" s="26" t="str">
        <f>IFERROR(__xludf.DUMMYFUNCTION("""COMPUTED_VALUE"""),"CreateComplianceOrder")</f>
        <v>CreateComplianceOrder</v>
      </c>
      <c r="AH4" s="26" t="str">
        <f>IFERROR(__xludf.DUMMYFUNCTION("""COMPUTED_VALUE"""),"VerifyComplianceOrder")</f>
        <v>VerifyComplianceOrder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IFERROR(__xludf.DUMMYFUNCTION("""COMPUTED_VALUE"""),"Commission Basis")</f>
        <v>Commission Basis</v>
      </c>
      <c r="D5" s="28" t="str">
        <f>IFERROR(__xludf.DUMMYFUNCTION("""COMPUTED_VALUE"""),"Soft Commission Basis")</f>
        <v>Soft Commission Basis</v>
      </c>
      <c r="E5" s="28" t="str">
        <f>IFERROR(__xludf.DUMMYFUNCTION("""COMPUTED_VALUE"""),"Execution Instruction")</f>
        <v>Execution Instruction</v>
      </c>
      <c r="F5" s="29" t="str">
        <f>IFERROR(__xludf.DUMMYFUNCTION("""COMPUTED_VALUE"""),"Venue")</f>
        <v>Venue</v>
      </c>
      <c r="G5" s="28" t="str">
        <f>IFERROR(__xludf.DUMMYFUNCTION("""COMPUTED_VALUE"""),"Algo Type")</f>
        <v>Algo Type</v>
      </c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27</v>
      </c>
      <c r="C6" s="37"/>
      <c r="D6" s="36"/>
      <c r="E6" s="37"/>
      <c r="F6" s="37" t="s">
        <v>28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SetBrokerWisePreferencesTT!$4:$4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8">
        <f t="shared" ref="B6:C6" si="1">today()-1</f>
        <v>44896</v>
      </c>
      <c r="C6" s="38">
        <f t="shared" si="1"/>
        <v>44896</v>
      </c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IFERROR(__xludf.DUMMYFUNCTION("""COMPUTED_VALUE"""),"UpdateForexConversion")</f>
        <v>UpdateForexConversion</v>
      </c>
      <c r="E4" s="25" t="str">
        <f>IFERROR(__xludf.DUMMYFUNCTION("""COMPUTED_VALUE"""),"UpdateMarkPrice")</f>
        <v>UpdateMarkPrice</v>
      </c>
      <c r="F4" s="25" t="str">
        <f>IFERROR(__xludf.DUMMYFUNCTION("""COMPUTED_VALUE"""),"CleanUp")</f>
        <v>CleanUp</v>
      </c>
      <c r="G4" s="25" t="str">
        <f>IFERROR(__xludf.DUMMYFUNCTION("""COMPUTED_VALUE"""),"GetMarkPriceData")</f>
        <v>GetMarkPriceData</v>
      </c>
      <c r="H4" s="25" t="str">
        <f>IFERROR(__xludf.DUMMYFUNCTION("""COMPUTED_VALUE"""),"GetForwardPoints")</f>
        <v>GetForwardPoints</v>
      </c>
      <c r="I4" s="25" t="str">
        <f>IFERROR(__xludf.DUMMYFUNCTION("""COMPUTED_VALUE"""),"UpdateForwardPoints")</f>
        <v>UpdateForwardPoints</v>
      </c>
      <c r="J4" s="25" t="str">
        <f>IFERROR(__xludf.DUMMYFUNCTION("""COMPUTED_VALUE"""),"GetForexConversion")</f>
        <v>GetForexConversion</v>
      </c>
      <c r="K4" s="25" t="str">
        <f>IFERROR(__xludf.DUMMYFUNCTION("""COMPUTED_VALUE"""),"DeleteNAV")</f>
        <v>DeleteNAV</v>
      </c>
      <c r="L4" s="25" t="str">
        <f>IFERROR(__xludf.DUMMYFUNCTION("""COMPUTED_VALUE"""),"GetDailyCash")</f>
        <v>GetDailyCash</v>
      </c>
      <c r="M4" s="25" t="str">
        <f>IFERROR(__xludf.DUMMYFUNCTION("""COMPUTED_VALUE"""),"GetDailyBeta")</f>
        <v>GetDailyBeta</v>
      </c>
      <c r="N4" s="25" t="str">
        <f>IFERROR(__xludf.DUMMYFUNCTION("""COMPUTED_VALUE"""),"GetDailyVolatility")</f>
        <v>GetDailyVolatility</v>
      </c>
      <c r="O4" s="25" t="str">
        <f>IFERROR(__xludf.DUMMYFUNCTION("""COMPUTED_VALUE"""),"GetDailyDividendYield")</f>
        <v>GetDailyDividendYield</v>
      </c>
      <c r="P4" s="26" t="str">
        <f>IFERROR(__xludf.DUMMYFUNCTION("""COMPUTED_VALUE"""),"GetDailyTradingVolume")</f>
        <v>GetDailyTradingVolume</v>
      </c>
      <c r="Q4" s="26" t="str">
        <f>IFERROR(__xludf.DUMMYFUNCTION("""COMPUTED_VALUE"""),"GetDailyOutstandings")</f>
        <v>GetDailyOutstandings</v>
      </c>
      <c r="R4" s="26" t="str">
        <f>IFERROR(__xludf.DUMMYFUNCTION("""COMPUTED_VALUE"""),"GetDailyDelta")</f>
        <v>GetDailyDelta</v>
      </c>
      <c r="S4" s="26" t="str">
        <f>IFERROR(__xludf.DUMMYFUNCTION("""COMPUTED_VALUE"""),"UpdateDailyVolatility")</f>
        <v>UpdateDailyVolatility</v>
      </c>
      <c r="T4" s="26" t="str">
        <f>IFERROR(__xludf.DUMMYFUNCTION("""COMPUTED_VALUE"""),"UpdateDividendYield")</f>
        <v>UpdateDividendYield</v>
      </c>
      <c r="U4" s="26" t="str">
        <f>IFERROR(__xludf.DUMMYFUNCTION("""COMPUTED_VALUE"""),"UpdateTradingVolume")</f>
        <v>UpdateTradingVolume</v>
      </c>
      <c r="V4" s="26" t="str">
        <f>IFERROR(__xludf.DUMMYFUNCTION("""COMPUTED_VALUE"""),"UpdateDailyDelta")</f>
        <v>UpdateDailyDelta</v>
      </c>
      <c r="W4" s="26" t="str">
        <f>IFERROR(__xludf.DUMMYFUNCTION("""COMPUTED_VALUE"""),"UpdateDailyOutstandings")</f>
        <v>UpdateDailyOutstandings</v>
      </c>
      <c r="X4" s="26" t="str">
        <f>IFERROR(__xludf.DUMMYFUNCTION("""COMPUTED_VALUE"""),"UpdateBeta")</f>
        <v>UpdateBeta</v>
      </c>
      <c r="Y4" s="26" t="str">
        <f>IFERROR(__xludf.DUMMYFUNCTION("""COMPUTED_VALUE"""),"UpdateNAV")</f>
        <v>UpdateNAV</v>
      </c>
      <c r="Z4" s="26" t="str">
        <f>IFERROR(__xludf.DUMMYFUNCTION("""COMPUTED_VALUE"""),"UpdateDailyCash")</f>
        <v>UpdateDailyCash</v>
      </c>
      <c r="AA4" s="26" t="str">
        <f>IFERROR(__xludf.DUMMYFUNCTION("""COMPUTED_VALUE"""),"UpdateDailyCreditLimt")</f>
        <v>UpdateDailyCreditLimt</v>
      </c>
      <c r="AB4" s="26" t="str">
        <f>IFERROR(__xludf.DUMMYFUNCTION("""COMPUTED_VALUE"""),"RemoveDailyCreditLimit")</f>
        <v>RemoveDailyCreditLimit</v>
      </c>
      <c r="AC4" s="26" t="str">
        <f>IFERROR(__xludf.DUMMYFUNCTION("""COMPUTED_VALUE"""),"RemoveDailyCash")</f>
        <v>RemoveDailyCash</v>
      </c>
      <c r="AD4" s="26" t="str">
        <f>IFERROR(__xludf.DUMMYFUNCTION("""COMPUTED_VALUE"""),"RemoveNAV")</f>
        <v>RemoveNAV</v>
      </c>
      <c r="AE4" s="26" t="str">
        <f>IFERROR(__xludf.DUMMYFUNCTION("""COMPUTED_VALUE"""),"UpdateForexConversionMonthly")</f>
        <v>UpdateForexConversionMonthly</v>
      </c>
      <c r="AF4" s="26" t="str">
        <f>IFERROR(__xludf.DUMMYFUNCTION("""COMPUTED_VALUE"""),"UpdateMarkPriceMonthly")</f>
        <v>UpdateMarkPriceMonthly</v>
      </c>
      <c r="AG4" s="26" t="str">
        <f>IFERROR(__xludf.DUMMYFUNCTION("""COMPUTED_VALUE"""),"VerifyDailyCash")</f>
        <v>VerifyDailyCash</v>
      </c>
      <c r="AH4" s="26" t="str">
        <f>IFERROR(__xludf.DUMMYFUNCTION("""COMPUTED_VALUE"""),"UpdateMultipleDailyCash")</f>
        <v>UpdateMultipleDailyCash</v>
      </c>
      <c r="AI4" s="26" t="str">
        <f>IFERROR(__xludf.DUMMYFUNCTION("""COMPUTED_VALUE"""),"IsDefaultFilterToShowAccountWiseDataOnDailyValuation")</f>
        <v>IsDefaultFilterToShowAccountWiseDataOnDailyValuation</v>
      </c>
      <c r="AJ4" s="26" t="str">
        <f>IFERROR(__xludf.DUMMYFUNCTION("""COMPUTED_VALUE"""),"EnableBlankMarkPrices")</f>
        <v>EnableBlankMarkPrices</v>
      </c>
      <c r="AK4" s="26" t="str">
        <f>IFERROR(__xludf.DUMMYFUNCTION("""COMPUTED_VALUE"""),"EnableBlankMarkPrices")</f>
        <v>EnableBlankMarkPrices</v>
      </c>
      <c r="AL4" s="26" t="str">
        <f>IFERROR(__xludf.DUMMYFUNCTION("""COMPUTED_VALUE"""),"UpateSymbolAndMarkPrice")</f>
        <v>UpateSymbolAndMarkPrice</v>
      </c>
      <c r="AM4" s="26" t="str">
        <f>IFERROR(__xludf.DUMMYFUNCTION("""COMPUTED_VALUE"""),"UpateSymbolBlankMP")</f>
        <v>UpateSymbolBlankMP</v>
      </c>
      <c r="AN4" s="26" t="str">
        <f>IFERROR(__xludf.DUMMYFUNCTION("""COMPUTED_VALUE"""),"UpdateBlankMP")</f>
        <v>UpdateBlankMP</v>
      </c>
      <c r="AO4" s="26" t="str">
        <f>IFERROR(__xludf.DUMMYFUNCTION("""COMPUTED_VALUE"""),"FilterBlankMP")</f>
        <v>FilterBlankMP</v>
      </c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6"/>
      <c r="B6" s="36" t="s">
        <v>32</v>
      </c>
      <c r="C6" s="37" t="s">
        <v>33</v>
      </c>
      <c r="D6" s="39">
        <v>100000.0</v>
      </c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UpdateDailyCash!$4:$4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0" t="s">
        <v>16</v>
      </c>
      <c r="C6" s="41" t="s">
        <v>17</v>
      </c>
      <c r="D6" s="42" t="s">
        <v>36</v>
      </c>
      <c r="E6" s="43">
        <v>100.0</v>
      </c>
      <c r="F6" s="43"/>
      <c r="G6" s="44" t="s">
        <v>37</v>
      </c>
      <c r="H6" s="44" t="s">
        <v>38</v>
      </c>
      <c r="I6" s="45" t="s">
        <v>32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34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IFERROR(__xludf.DUMMYFUNCTION("""COMPUTED_VALUE"""),"StageOrderUsingPTT")</f>
        <v>StageOrderUsingPTT</v>
      </c>
      <c r="E4" s="25" t="str">
        <f>IFERROR(__xludf.DUMMYFUNCTION("""COMPUTED_VALUE"""),"CreateOrderPTT")</f>
        <v>CreateOrderPTT</v>
      </c>
      <c r="F4" s="25" t="str">
        <f>IFERROR(__xludf.DUMMYFUNCTION("""COMPUTED_VALUE"""),"TradePTT")</f>
        <v>TradePTT</v>
      </c>
      <c r="G4" s="25" t="str">
        <f>IFERROR(__xludf.DUMMYFUNCTION("""COMPUTED_VALUE"""),"VerifyPTT")</f>
        <v>VerifyPTT</v>
      </c>
      <c r="H4" s="25" t="str">
        <f>IFERROR(__xludf.DUMMYFUNCTION("""COMPUTED_VALUE"""),"OpenMultiTTFromPTT")</f>
        <v>OpenMultiTTFromPTT</v>
      </c>
      <c r="I4" s="25" t="str">
        <f>IFERROR(__xludf.DUMMYFUNCTION("""COMPUTED_VALUE"""),"SelectMultiTT")</f>
        <v>SelectMultiTT</v>
      </c>
      <c r="J4" s="25" t="str">
        <f>IFERROR(__xludf.DUMMYFUNCTION("""COMPUTED_VALUE"""),"EditMultiTT")</f>
        <v>EditMultiTT</v>
      </c>
      <c r="K4" s="25" t="str">
        <f>IFERROR(__xludf.DUMMYFUNCTION("""COMPUTED_VALUE"""),"SetAccountFactor")</f>
        <v>SetAccountFactor</v>
      </c>
      <c r="L4" s="25" t="str">
        <f>IFERROR(__xludf.DUMMYFUNCTION("""COMPUTED_VALUE"""),"SetPTTPreference")</f>
        <v>SetPTTPreference</v>
      </c>
      <c r="M4" s="25" t="str">
        <f>IFERROR(__xludf.DUMMYFUNCTION("""COMPUTED_VALUE"""),"SetLongShortPTTPreference")</f>
        <v>SetLongShortPTTPreference</v>
      </c>
      <c r="N4" s="25" t="str">
        <f>IFERROR(__xludf.DUMMYFUNCTION("""COMPUTED_VALUE"""),"SelectPTTRecord")</f>
        <v>SelectPTTRecord</v>
      </c>
      <c r="O4" s="25" t="str">
        <f>IFERROR(__xludf.DUMMYFUNCTION("""COMPUTED_VALUE"""),"EditPTTRecord")</f>
        <v>EditPTTRecord</v>
      </c>
      <c r="P4" s="26" t="str">
        <f>IFERROR(__xludf.DUMMYFUNCTION("""COMPUTED_VALUE"""),"SetDefaultSymbology")</f>
        <v>SetDefaultSymbology</v>
      </c>
      <c r="Q4" s="26" t="str">
        <f>IFERROR(__xludf.DUMMYFUNCTION("""COMPUTED_VALUE"""),"EditPTTAccountLevelWPF")</f>
        <v>EditPTTAccountLevelWPF</v>
      </c>
      <c r="R4" s="26" t="str">
        <f>IFERROR(__xludf.DUMMYFUNCTION("""COMPUTED_VALUE"""),"VerifyPTTCompliance")</f>
        <v>VerifyPTTCompliance</v>
      </c>
      <c r="S4" s="26" t="str">
        <f>IFERROR(__xludf.DUMMYFUNCTION("""COMPUTED_VALUE"""),"CreateOrderAfterEditPTT")</f>
        <v>CreateOrderAfterEditPTT</v>
      </c>
      <c r="T4" s="26" t="str">
        <f>IFERROR(__xludf.DUMMYFUNCTION("""COMPUTED_VALUE"""),"EditPTTWPFGrid")</f>
        <v>EditPTTWPFGrid</v>
      </c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IFERROR(__xludf.DUMMYFUNCTION("""COMPUTED_VALUE"""),"SoftNotesCount")</f>
        <v>SoftNotesCount</v>
      </c>
      <c r="K5" s="28" t="str">
        <f>IFERROR(__xludf.DUMMYFUNCTION("""COMPUTED_VALUE"""),"SoftNotesComment")</f>
        <v>SoftNotesComment</v>
      </c>
      <c r="L5" s="28" t="str">
        <f>IFERROR(__xludf.DUMMYFUNCTION("""COMPUTED_VALUE"""),"DoNotAllowTrade")</f>
        <v>DoNotAllowTrade</v>
      </c>
      <c r="M5" s="28" t="str">
        <f>IFERROR(__xludf.DUMMYFUNCTION("""COMPUTED_VALUE"""),"Round Lots")</f>
        <v>Round Lots</v>
      </c>
      <c r="N5" s="28" t="str">
        <f>IFERROR(__xludf.DUMMYFUNCTION("""COMPUTED_VALUE"""),"Alert Type")</f>
        <v>Alert Type</v>
      </c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41" t="s">
        <v>20</v>
      </c>
      <c r="C6" s="41" t="s">
        <v>17</v>
      </c>
      <c r="D6" s="42" t="s">
        <v>36</v>
      </c>
      <c r="E6" s="43">
        <v>100.0</v>
      </c>
      <c r="F6" s="43"/>
      <c r="G6" s="44" t="s">
        <v>37</v>
      </c>
      <c r="H6" s="44" t="s">
        <v>38</v>
      </c>
      <c r="I6" s="45" t="s">
        <v>32</v>
      </c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CreateOrderPTT1!$4:$4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41</v>
      </c>
      <c r="AL6" s="46">
        <v>100.0</v>
      </c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41</v>
      </c>
      <c r="AL7" s="47">
        <v>100.0</v>
      </c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MultiTradingTicketFromBlotter!$4:$4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7" t="s">
        <v>17</v>
      </c>
      <c r="D6" s="39">
        <v>100.0</v>
      </c>
      <c r="E6" s="37"/>
      <c r="F6" s="37" t="s">
        <v>32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EditTradeUsingMTT!$4:$4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20</v>
      </c>
      <c r="C6" s="37" t="s">
        <v>17</v>
      </c>
      <c r="D6" s="48">
        <v>100.0</v>
      </c>
      <c r="E6" s="37"/>
      <c r="F6" s="37" t="s">
        <v>32</v>
      </c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SelectTradeUsingMTT1!$4:$4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4"/>
      <c r="F6" s="8"/>
      <c r="G6" s="13" t="s">
        <v>27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EditTradeUsingMTT1!$4:$4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42</v>
      </c>
      <c r="D3" s="5" t="s">
        <v>9</v>
      </c>
      <c r="E3" s="23" t="s">
        <v>45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IFERROR(__xludf.DUMMYFUNCTION("IF(C3="""","""",Transpose(IMPORTRANGE('_Settings'!$B$3,C3&amp;""!A4:A1000"")))"),"EditTradeUsingMTT")</f>
        <v>EditTradeUsingMTT</v>
      </c>
      <c r="C4" s="25" t="str">
        <f>IFERROR(__xludf.DUMMYFUNCTION("""COMPUTED_VALUE"""),"SelectTradeUsingMTT")</f>
        <v>SelectTradeUsingMTT</v>
      </c>
      <c r="D4" s="25" t="str">
        <f>IFERROR(__xludf.DUMMYFUNCTION("""COMPUTED_VALUE"""),"GetPriceUsingMTT")</f>
        <v>GetPriceUsingMTT</v>
      </c>
      <c r="E4" s="25" t="str">
        <f>IFERROR(__xludf.DUMMYFUNCTION("""COMPUTED_VALUE"""),"DoneAwayUsingMTT")</f>
        <v>DoneAwayUsingMTT</v>
      </c>
      <c r="F4" s="25" t="str">
        <f>IFERROR(__xludf.DUMMYFUNCTION("""COMPUTED_VALUE"""),"SendOrderUsingMTT")</f>
        <v>SendOrderUsingMTT</v>
      </c>
      <c r="G4" s="25" t="str">
        <f>IFERROR(__xludf.DUMMYFUNCTION("""COMPUTED_VALUE"""),"BulkChangeTradeDoneAway")</f>
        <v>BulkChangeTradeDoneAway</v>
      </c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 t="s">
        <v>16</v>
      </c>
      <c r="C6" s="37" t="s">
        <v>17</v>
      </c>
      <c r="D6" s="39">
        <v>100.0</v>
      </c>
      <c r="E6" s="37"/>
      <c r="F6" s="37" t="s">
        <v>32</v>
      </c>
      <c r="G6" s="37" t="s">
        <v>27</v>
      </c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 t="s">
        <v>28</v>
      </c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 t="s">
        <v>20</v>
      </c>
      <c r="C7" s="31" t="s">
        <v>17</v>
      </c>
      <c r="D7" s="49">
        <v>100.0</v>
      </c>
      <c r="E7" s="31"/>
      <c r="F7" s="31" t="s">
        <v>32</v>
      </c>
      <c r="G7" s="31" t="s">
        <v>27</v>
      </c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 t="s">
        <v>28</v>
      </c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DoneAwayUsingMTT!$4:$4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36"/>
      <c r="C6" s="37"/>
      <c r="D6" s="36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 t="s">
        <v>16</v>
      </c>
      <c r="AJ6" s="31" t="s">
        <v>17</v>
      </c>
      <c r="AK6" s="31" t="s">
        <v>47</v>
      </c>
      <c r="AL6" s="46">
        <v>100.0</v>
      </c>
      <c r="AM6" s="46">
        <v>100.0</v>
      </c>
      <c r="AN6" s="31"/>
      <c r="AO6" s="31"/>
      <c r="AP6" s="31"/>
      <c r="AQ6" s="31"/>
      <c r="AR6" s="31"/>
      <c r="AS6" s="31" t="s">
        <v>27</v>
      </c>
      <c r="AT6" s="31" t="s">
        <v>32</v>
      </c>
      <c r="AU6" s="31"/>
      <c r="AV6" s="31"/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31"/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 t="s">
        <v>20</v>
      </c>
      <c r="AJ7" s="31" t="s">
        <v>17</v>
      </c>
      <c r="AK7" s="31" t="s">
        <v>47</v>
      </c>
      <c r="AL7" s="47">
        <v>100.0</v>
      </c>
      <c r="AM7" s="47">
        <v>100.0</v>
      </c>
      <c r="AN7" s="31"/>
      <c r="AO7" s="31"/>
      <c r="AP7" s="31"/>
      <c r="AQ7" s="31"/>
      <c r="AR7" s="31"/>
      <c r="AS7" s="31" t="s">
        <v>27</v>
      </c>
      <c r="AT7" s="31" t="s">
        <v>32</v>
      </c>
      <c r="AU7" s="31"/>
      <c r="AV7" s="31"/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AI8" s="31" t="s">
        <v>16</v>
      </c>
      <c r="AJ8" s="31" t="s">
        <v>17</v>
      </c>
      <c r="AK8" s="31" t="s">
        <v>47</v>
      </c>
      <c r="AL8" s="9">
        <v>1.0</v>
      </c>
      <c r="AM8" s="47">
        <v>100.0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AI9" s="31" t="s">
        <v>20</v>
      </c>
      <c r="AJ9" s="31" t="s">
        <v>17</v>
      </c>
      <c r="AK9" s="31" t="s">
        <v>47</v>
      </c>
      <c r="AL9" s="9">
        <v>1.0</v>
      </c>
      <c r="AM9" s="47">
        <v>100.0</v>
      </c>
      <c r="AT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IFERROR(__xludf.DUMMYFUNCTION("""COMPUTED_VALUE"""),"CheckBlotter")</f>
        <v>CheckBlotter</v>
      </c>
      <c r="BE4" s="26" t="str">
        <f>IFERROR(__xludf.DUMMYFUNCTION("""COMPUTED_VALUE"""),"ReloadOrderFromBlotter")</f>
        <v>ReloadOrderFromBlotter</v>
      </c>
      <c r="BF4" s="26" t="str">
        <f>IFERROR(__xludf.DUMMYFUNCTION("""COMPUTED_VALUE"""),"ReloadOrderFromSubOrder")</f>
        <v>ReloadOrderFromSubOrder</v>
      </c>
      <c r="BG4" s="26" t="str">
        <f>IFERROR(__xludf.DUMMYFUNCTION("""COMPUTED_VALUE"""),"ReloadOrderFromWorkingSubs")</f>
        <v>ReloadOrderFromWorkingSubs</v>
      </c>
      <c r="BH4" s="26" t="str">
        <f>IFERROR(__xludf.DUMMYFUNCTION("""COMPUTED_VALUE"""),"SelectFills")</f>
        <v>SelectFills</v>
      </c>
      <c r="BI4" s="26" t="str">
        <f>IFERROR(__xludf.DUMMYFUNCTION("""COMPUTED_VALUE"""),"ModifyFills")</f>
        <v>ModifyFills</v>
      </c>
      <c r="BJ4" s="26" t="str">
        <f>IFERROR(__xludf.DUMMYFUNCTION("""COMPUTED_VALUE"""),"AllocateFromBlotter")</f>
        <v>AllocateFromBlotter</v>
      </c>
      <c r="BK4" s="26" t="str">
        <f>IFERROR(__xludf.DUMMYFUNCTION("""COMPUTED_VALUE"""),"ViewPTTAllocationDetails")</f>
        <v>ViewPTTAllocationDetails</v>
      </c>
      <c r="BL4" s="26" t="str">
        <f>IFERROR(__xludf.DUMMYFUNCTION("""COMPUTED_VALUE"""),"MergeOrder")</f>
        <v>MergeOrder</v>
      </c>
      <c r="BM4" s="26" t="str">
        <f>IFERROR(__xludf.DUMMYFUNCTION("""COMPUTED_VALUE"""),"VerifyMergeOrder")</f>
        <v>VerifyMergeOrder</v>
      </c>
      <c r="BN4" s="26" t="str">
        <f>IFERROR(__xludf.DUMMYFUNCTION("""COMPUTED_VALUE"""),"AddTabOnWatchlist")</f>
        <v>AddTabOnWatchlist</v>
      </c>
      <c r="BO4" s="26" t="str">
        <f>IFERROR(__xludf.DUMMYFUNCTION("""COMPUTED_VALUE"""),"AddTab")</f>
        <v>AddTab</v>
      </c>
      <c r="BP4" s="26" t="str">
        <f>IFERROR(__xludf.DUMMYFUNCTION("""COMPUTED_VALUE"""),"AddTabBlotter")</f>
        <v>AddTabBlotter</v>
      </c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IFERROR(__xludf.DUMMYFUNCTION("""COMPUTED_VALUE"""),"Side")</f>
        <v>Side</v>
      </c>
      <c r="D5" s="28" t="str">
        <f>IFERROR(__xludf.DUMMYFUNCTION("""COMPUTED_VALUE"""),"Quantity")</f>
        <v>Quantity</v>
      </c>
      <c r="E5" s="28" t="str">
        <f>IFERROR(__xludf.DUMMYFUNCTION("""COMPUTED_VALUE"""),"Executed Qty")</f>
        <v>Executed Qty</v>
      </c>
      <c r="F5" s="29" t="str">
        <f>IFERROR(__xludf.DUMMYFUNCTION("""COMPUTED_VALUE"""),"Unexecuted Qty")</f>
        <v>Unexecuted Qty</v>
      </c>
      <c r="G5" s="28" t="str">
        <f>IFERROR(__xludf.DUMMYFUNCTION("""COMPUTED_VALUE"""),"Status")</f>
        <v>Status</v>
      </c>
      <c r="H5" s="28" t="str">
        <f>IFERROR(__xludf.DUMMYFUNCTION("""COMPUTED_VALUE"""),"Last Shares")</f>
        <v>Last Shares</v>
      </c>
      <c r="I5" s="28" t="str">
        <f>IFERROR(__xludf.DUMMYFUNCTION("""COMPUTED_VALUE"""),"Last Fill Price (Local)")</f>
        <v>Last Fill Price (Local)</v>
      </c>
      <c r="J5" s="28" t="str">
        <f>IFERROR(__xludf.DUMMYFUNCTION("""COMPUTED_VALUE"""),"Avg Fill Price (Local)")</f>
        <v>Avg Fill Price (Local)</v>
      </c>
      <c r="K5" s="28" t="str">
        <f>IFERROR(__xludf.DUMMYFUNCTION("""COMPUTED_VALUE"""),"Broker")</f>
        <v>Broker</v>
      </c>
      <c r="L5" s="28" t="str">
        <f>IFERROR(__xludf.DUMMYFUNCTION("""COMPUTED_VALUE"""),"Account")</f>
        <v>Account</v>
      </c>
      <c r="M5" s="28" t="str">
        <f>IFERROR(__xludf.DUMMYFUNCTION("""COMPUTED_VALUE"""),"Order Type")</f>
        <v>Order Type</v>
      </c>
      <c r="N5" s="28" t="str">
        <f>IFERROR(__xludf.DUMMYFUNCTION("""COMPUTED_VALUE"""),"OrderStatus")</f>
        <v>OrderStatus</v>
      </c>
      <c r="O5" s="28" t="str">
        <f>IFERROR(__xludf.DUMMYFUNCTION("""COMPUTED_VALUE"""),"Avg Fill Price (Base)")</f>
        <v>Avg Fill Price (Base)</v>
      </c>
      <c r="P5" s="28" t="str">
        <f>IFERROR(__xludf.DUMMYFUNCTION("""COMPUTED_VALUE"""),"Limit Price")</f>
        <v>Limit Price</v>
      </c>
      <c r="Q5" s="28" t="str">
        <f>IFERROR(__xludf.DUMMYFUNCTION("""COMPUTED_VALUE"""),"Stop Price")</f>
        <v>Stop Price</v>
      </c>
      <c r="R5" s="28" t="str">
        <f>IFERROR(__xludf.DUMMYFUNCTION("""COMPUTED_VALUE"""),"Actual User")</f>
        <v>Actual User</v>
      </c>
      <c r="S5" s="28" t="str">
        <f>IFERROR(__xludf.DUMMYFUNCTION("""COMPUTED_VALUE"""),"Bloomberg Symbol")</f>
        <v>Bloomberg Symbol</v>
      </c>
      <c r="T5" s="30" t="str">
        <f>IFERROR(__xludf.DUMMYFUNCTION("""COMPUTED_VALUE"""),"Algo")</f>
        <v>Algo</v>
      </c>
      <c r="U5" s="30" t="str">
        <f>IFERROR(__xludf.DUMMYFUNCTION("""COMPUTED_VALUE"""),"Allocation Scheme Name")</f>
        <v>Allocation Scheme Name</v>
      </c>
      <c r="V5" s="30" t="str">
        <f>IFERROR(__xludf.DUMMYFUNCTION("""COMPUTED_VALUE"""),"Allocation Status")</f>
        <v>Allocation Status</v>
      </c>
      <c r="W5" s="30" t="str">
        <f>IFERROR(__xludf.DUMMYFUNCTION("""COMPUTED_VALUE"""),"Asset Class")</f>
        <v>Asset Class</v>
      </c>
      <c r="X5" s="30" t="str">
        <f>IFERROR(__xludf.DUMMYFUNCTION("""COMPUTED_VALUE"""),"FX Conversion Operator")</f>
        <v>FX Conversion Operator</v>
      </c>
      <c r="Y5" s="30" t="str">
        <f>IFERROR(__xludf.DUMMYFUNCTION("""COMPUTED_VALUE"""),"FX Rate")</f>
        <v>FX Rate</v>
      </c>
      <c r="Z5" s="30" t="str">
        <f>IFERROR(__xludf.DUMMYFUNCTION("""COMPUTED_VALUE"""),"Imported File Name")</f>
        <v>Imported File Name</v>
      </c>
      <c r="AA5" s="30" t="str">
        <f>IFERROR(__xludf.DUMMYFUNCTION("""COMPUTED_VALUE"""),"Internal Comments")</f>
        <v>Internal Comments</v>
      </c>
      <c r="AB5" s="30" t="str">
        <f>IFERROR(__xludf.DUMMYFUNCTION("""COMPUTED_VALUE"""),"Peg")</f>
        <v>Peg</v>
      </c>
      <c r="AC5" s="30" t="str">
        <f>IFERROR(__xludf.DUMMYFUNCTION("""COMPUTED_VALUE"""),"Principal Amount (Base)")</f>
        <v>Principal Amount (Base)</v>
      </c>
      <c r="AD5" s="30" t="str">
        <f>IFERROR(__xludf.DUMMYFUNCTION("""COMPUTED_VALUE"""),"Principal Amount (Local)")</f>
        <v>Principal Amount (Local)</v>
      </c>
      <c r="AE5" s="30" t="str">
        <f>IFERROR(__xludf.DUMMYFUNCTION("""COMPUTED_VALUE"""),"Process Date")</f>
        <v>Process Date</v>
      </c>
      <c r="AF5" s="30" t="str">
        <f>IFERROR(__xludf.DUMMYFUNCTION("""COMPUTED_VALUE"""),"Put/Call")</f>
        <v>Put/Call</v>
      </c>
      <c r="AG5" s="30" t="str">
        <f>IFERROR(__xludf.DUMMYFUNCTION("""COMPUTED_VALUE"""),"Settlement Currency")</f>
        <v>Settlement Currency</v>
      </c>
      <c r="AH5" s="30" t="str">
        <f>IFERROR(__xludf.DUMMYFUNCTION("""COMPUTED_VALUE"""),"Source")</f>
        <v>Source</v>
      </c>
      <c r="AI5" s="30" t="str">
        <f>IFERROR(__xludf.DUMMYFUNCTION("""COMPUTED_VALUE"""),"Status (With Rollover)")</f>
        <v>Status (With Rollover)</v>
      </c>
      <c r="AJ5" s="30" t="str">
        <f>IFERROR(__xludf.DUMMYFUNCTION("""COMPUTED_VALUE"""),"Strategy")</f>
        <v>Strategy</v>
      </c>
      <c r="AK5" s="30" t="str">
        <f>IFERROR(__xludf.DUMMYFUNCTION("""COMPUTED_VALUE"""),"Strike Price")</f>
        <v>Strike Price</v>
      </c>
      <c r="AL5" s="30" t="str">
        <f>IFERROR(__xludf.DUMMYFUNCTION("""COMPUTED_VALUE"""),"Trade Attribute 1")</f>
        <v>Trade Attribute 1</v>
      </c>
      <c r="AM5" s="30" t="str">
        <f>IFERROR(__xludf.DUMMYFUNCTION("""COMPUTED_VALUE"""),"Trade Attribute 2")</f>
        <v>Trade Attribute 2</v>
      </c>
      <c r="AN5" s="30" t="str">
        <f>IFERROR(__xludf.DUMMYFUNCTION("""COMPUTED_VALUE"""),"Trade Attribute 3")</f>
        <v>Trade Attribute 3</v>
      </c>
      <c r="AO5" s="30" t="str">
        <f>IFERROR(__xludf.DUMMYFUNCTION("""COMPUTED_VALUE"""),"Trade Attribute 4")</f>
        <v>Trade Attribute 4</v>
      </c>
      <c r="AP5" s="30" t="str">
        <f>IFERROR(__xludf.DUMMYFUNCTION("""COMPUTED_VALUE"""),"Trade Attribute 5")</f>
        <v>Trade Attribute 5</v>
      </c>
      <c r="AQ5" s="30" t="str">
        <f>IFERROR(__xludf.DUMMYFUNCTION("""COMPUTED_VALUE"""),"Trade Attribute 6")</f>
        <v>Trade Attribute 6</v>
      </c>
      <c r="AR5" s="30" t="str">
        <f>IFERROR(__xludf.DUMMYFUNCTION("""COMPUTED_VALUE"""),"Trader")</f>
        <v>Trader</v>
      </c>
      <c r="AS5" s="30" t="str">
        <f>IFERROR(__xludf.DUMMYFUNCTION("""COMPUTED_VALUE"""),"Transaction Time")</f>
        <v>Transaction Time</v>
      </c>
      <c r="AT5" s="30" t="str">
        <f>IFERROR(__xludf.DUMMYFUNCTION("""COMPUTED_VALUE"""),"Underlying Country")</f>
        <v>Underlying Country</v>
      </c>
      <c r="AU5" s="30" t="str">
        <f>IFERROR(__xludf.DUMMYFUNCTION("""COMPUTED_VALUE"""),"Underlying Symbol")</f>
        <v>Underlying Symbol</v>
      </c>
      <c r="AV5" s="30" t="str">
        <f>IFERROR(__xludf.DUMMYFUNCTION("""COMPUTED_VALUE"""),"Venue")</f>
        <v>Venue</v>
      </c>
      <c r="AW5" s="30" t="str">
        <f>IFERROR(__xludf.DUMMYFUNCTION("""COMPUTED_VALUE"""),"Working Qty")</f>
        <v>Working Qty</v>
      </c>
      <c r="AX5" s="30" t="str">
        <f>IFERROR(__xludf.DUMMYFUNCTION("""COMPUTED_VALUE"""),"Client")</f>
        <v>Client</v>
      </c>
      <c r="AY5" s="30" t="str">
        <f>IFERROR(__xludf.DUMMYFUNCTION("""COMPUTED_VALUE"""),"OrderID")</f>
        <v>OrderID</v>
      </c>
      <c r="AZ5" s="30" t="str">
        <f>IFERROR(__xludf.DUMMYFUNCTION("""COMPUTED_VALUE"""),"ParentClOrderID")</f>
        <v>ParentClOrderID</v>
      </c>
      <c r="BA5" s="30" t="str">
        <f>IFERROR(__xludf.DUMMYFUNCTION("""COMPUTED_VALUE"""),"Master Fund")</f>
        <v>Master Fund</v>
      </c>
      <c r="BB5" s="30" t="str">
        <f>IFERROR(__xludf.DUMMYFUNCTION("""COMPUTED_VALUE"""),"Current User")</f>
        <v>Current User</v>
      </c>
      <c r="BC5" s="30" t="str">
        <f>IFERROR(__xludf.DUMMYFUNCTION("""COMPUTED_VALUE"""),"isRowCountCheck")</f>
        <v>isRowCountCheck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5"/>
      <c r="B6" s="50" t="s">
        <v>16</v>
      </c>
      <c r="C6" s="37" t="s">
        <v>17</v>
      </c>
      <c r="D6" s="48">
        <v>100.0</v>
      </c>
      <c r="E6" s="48">
        <v>100.0</v>
      </c>
      <c r="F6" s="37"/>
      <c r="G6" s="37" t="s">
        <v>47</v>
      </c>
      <c r="H6" s="37"/>
      <c r="I6" s="37"/>
      <c r="J6" s="37"/>
      <c r="K6" s="37" t="s">
        <v>27</v>
      </c>
      <c r="L6" s="37" t="s">
        <v>32</v>
      </c>
      <c r="M6" s="37"/>
      <c r="N6" s="37"/>
      <c r="O6" s="37"/>
      <c r="P6" s="37"/>
      <c r="Q6" s="37"/>
      <c r="R6" s="37"/>
      <c r="S6" s="37"/>
      <c r="T6" s="31"/>
      <c r="U6" s="31"/>
      <c r="V6" s="31"/>
      <c r="W6" s="31"/>
      <c r="X6" s="31"/>
      <c r="Y6" s="31"/>
      <c r="Z6" s="31"/>
      <c r="AA6" s="31"/>
      <c r="AB6" s="31"/>
      <c r="AC6" s="31"/>
      <c r="AD6" s="31"/>
      <c r="AE6" s="31"/>
      <c r="AF6" s="31"/>
      <c r="AG6" s="31"/>
      <c r="AH6" s="31"/>
      <c r="AI6" s="31"/>
      <c r="AJ6" s="31"/>
      <c r="AK6" s="31"/>
      <c r="AL6" s="31"/>
      <c r="AM6" s="31"/>
      <c r="AN6" s="31"/>
      <c r="AO6" s="31"/>
      <c r="AP6" s="31"/>
      <c r="AQ6" s="31"/>
      <c r="AR6" s="31"/>
      <c r="AS6" s="31"/>
      <c r="AT6" s="31"/>
      <c r="AU6" s="31"/>
      <c r="AV6" s="31" t="s">
        <v>28</v>
      </c>
      <c r="AW6" s="31"/>
      <c r="AX6" s="31"/>
      <c r="AY6" s="31"/>
      <c r="AZ6" s="31"/>
      <c r="BA6" s="31"/>
      <c r="BB6" s="31"/>
      <c r="BC6" s="31"/>
      <c r="BD6" s="31"/>
      <c r="BE6" s="31"/>
      <c r="BF6" s="31"/>
      <c r="BG6" s="31"/>
      <c r="BH6" s="31"/>
      <c r="BI6" s="31"/>
      <c r="BJ6" s="31"/>
      <c r="BK6" s="31"/>
      <c r="BL6" s="31"/>
      <c r="BM6" s="31"/>
      <c r="BN6" s="31"/>
      <c r="BO6" s="31"/>
      <c r="BP6" s="31"/>
      <c r="BQ6" s="31"/>
      <c r="BR6" s="31"/>
      <c r="BS6" s="31"/>
      <c r="BT6" s="31"/>
      <c r="BU6" s="31"/>
      <c r="BV6" s="31"/>
      <c r="BW6" s="31"/>
      <c r="BX6" s="31"/>
      <c r="BY6" s="31"/>
      <c r="BZ6" s="31"/>
      <c r="CA6" s="31"/>
      <c r="CB6" s="31"/>
      <c r="CC6" s="31"/>
      <c r="CD6" s="31"/>
      <c r="CE6" s="31"/>
      <c r="CF6" s="31"/>
      <c r="CG6" s="31"/>
      <c r="CH6" s="31"/>
      <c r="CI6" s="31"/>
      <c r="CJ6" s="31"/>
      <c r="CK6" s="31"/>
      <c r="CL6" s="31"/>
      <c r="CM6" s="31"/>
      <c r="CN6" s="31"/>
      <c r="CO6" s="31"/>
      <c r="CP6" s="31"/>
      <c r="CQ6" s="31"/>
      <c r="CR6" s="31"/>
      <c r="CS6" s="31"/>
      <c r="CT6" s="31"/>
      <c r="CU6" s="31"/>
      <c r="CV6" s="31"/>
      <c r="CW6" s="31"/>
      <c r="CX6" s="31"/>
      <c r="CY6" s="31"/>
      <c r="CZ6" s="31"/>
      <c r="DA6" s="31"/>
      <c r="DB6" s="31"/>
      <c r="DC6" s="31"/>
      <c r="DD6" s="31"/>
      <c r="DE6" s="31"/>
      <c r="DF6" s="31"/>
      <c r="DG6" s="31"/>
      <c r="DH6" s="31"/>
      <c r="DI6" s="31"/>
      <c r="DJ6" s="31"/>
      <c r="DK6" s="31"/>
      <c r="DL6" s="31"/>
      <c r="DM6" s="31"/>
      <c r="DN6" s="31"/>
      <c r="DO6" s="31"/>
      <c r="DP6" s="31"/>
      <c r="DQ6" s="31"/>
      <c r="DR6" s="31"/>
      <c r="DS6" s="31"/>
      <c r="DT6" s="31"/>
      <c r="DU6" s="31"/>
      <c r="DV6" s="31"/>
      <c r="DW6" s="31"/>
      <c r="DX6" s="31"/>
      <c r="DY6" s="31"/>
      <c r="DZ6" s="31"/>
      <c r="EA6" s="31"/>
      <c r="EB6" s="31"/>
      <c r="EC6" s="31"/>
      <c r="ED6" s="31"/>
      <c r="EE6" s="31"/>
      <c r="EF6" s="31"/>
      <c r="EG6" s="31"/>
      <c r="EH6" s="31"/>
      <c r="EI6" s="31"/>
      <c r="EJ6" s="31"/>
      <c r="EK6" s="31"/>
      <c r="EL6" s="31"/>
      <c r="EM6" s="31"/>
      <c r="EN6" s="31"/>
      <c r="EO6" s="31"/>
      <c r="EP6" s="31"/>
      <c r="EQ6" s="31"/>
      <c r="ER6" s="31"/>
      <c r="ES6" s="31"/>
      <c r="ET6" s="31"/>
      <c r="EU6" s="31"/>
      <c r="EV6" s="31"/>
      <c r="EW6" s="31"/>
      <c r="EX6" s="31"/>
    </row>
    <row r="7" ht="15.75" customHeight="1">
      <c r="A7" s="31"/>
      <c r="B7" s="51" t="s">
        <v>20</v>
      </c>
      <c r="C7" s="31" t="s">
        <v>17</v>
      </c>
      <c r="D7" s="52">
        <v>100.0</v>
      </c>
      <c r="E7" s="52">
        <v>100.0</v>
      </c>
      <c r="F7" s="31"/>
      <c r="G7" s="31" t="s">
        <v>47</v>
      </c>
      <c r="H7" s="31"/>
      <c r="I7" s="31"/>
      <c r="J7" s="31"/>
      <c r="K7" s="31" t="s">
        <v>27</v>
      </c>
      <c r="L7" s="31" t="s">
        <v>32</v>
      </c>
      <c r="M7" s="31"/>
      <c r="N7" s="31"/>
      <c r="O7" s="31"/>
      <c r="P7" s="31"/>
      <c r="Q7" s="31"/>
      <c r="R7" s="31"/>
      <c r="S7" s="31"/>
      <c r="T7" s="31"/>
      <c r="U7" s="31"/>
      <c r="V7" s="31"/>
      <c r="W7" s="31"/>
      <c r="X7" s="31"/>
      <c r="Y7" s="31"/>
      <c r="Z7" s="31"/>
      <c r="AA7" s="31"/>
      <c r="AB7" s="31"/>
      <c r="AC7" s="31"/>
      <c r="AD7" s="31"/>
      <c r="AE7" s="31"/>
      <c r="AF7" s="31"/>
      <c r="AG7" s="31"/>
      <c r="AH7" s="31"/>
      <c r="AI7" s="31"/>
      <c r="AJ7" s="31"/>
      <c r="AK7" s="31"/>
      <c r="AL7" s="31"/>
      <c r="AM7" s="31"/>
      <c r="AN7" s="31"/>
      <c r="AO7" s="31"/>
      <c r="AP7" s="31"/>
      <c r="AQ7" s="31"/>
      <c r="AR7" s="31"/>
      <c r="AS7" s="31"/>
      <c r="AT7" s="31"/>
      <c r="AU7" s="31"/>
      <c r="AV7" s="31" t="s">
        <v>28</v>
      </c>
      <c r="AW7" s="31"/>
      <c r="AX7" s="31"/>
      <c r="AY7" s="31"/>
      <c r="AZ7" s="31"/>
      <c r="BA7" s="31"/>
      <c r="BB7" s="31"/>
      <c r="BC7" s="31"/>
      <c r="BD7" s="31"/>
      <c r="BE7" s="31"/>
      <c r="BF7" s="31"/>
      <c r="BG7" s="31"/>
      <c r="BH7" s="31"/>
      <c r="BI7" s="31"/>
      <c r="BJ7" s="31"/>
      <c r="BK7" s="31"/>
      <c r="BL7" s="31"/>
      <c r="BM7" s="31"/>
      <c r="BN7" s="31"/>
      <c r="BO7" s="31"/>
      <c r="BP7" s="31"/>
      <c r="BQ7" s="31"/>
      <c r="BR7" s="31"/>
      <c r="BS7" s="31"/>
      <c r="BT7" s="31"/>
      <c r="BU7" s="31"/>
      <c r="BV7" s="31"/>
      <c r="BW7" s="31"/>
      <c r="BX7" s="31"/>
      <c r="BY7" s="31"/>
      <c r="BZ7" s="31"/>
      <c r="CA7" s="31"/>
      <c r="CB7" s="31"/>
      <c r="CC7" s="31"/>
      <c r="CD7" s="31"/>
      <c r="CE7" s="31"/>
      <c r="CF7" s="31"/>
      <c r="CG7" s="31"/>
      <c r="CH7" s="31"/>
      <c r="CI7" s="31"/>
      <c r="CJ7" s="31"/>
      <c r="CK7" s="31"/>
      <c r="CL7" s="31"/>
      <c r="CM7" s="31"/>
      <c r="CN7" s="31"/>
      <c r="CO7" s="31"/>
      <c r="CP7" s="31"/>
      <c r="CQ7" s="31"/>
      <c r="CR7" s="31"/>
      <c r="CS7" s="31"/>
      <c r="CT7" s="31"/>
      <c r="CU7" s="31"/>
      <c r="CV7" s="31"/>
      <c r="CW7" s="31"/>
      <c r="CX7" s="31"/>
      <c r="CY7" s="31"/>
      <c r="CZ7" s="31"/>
      <c r="DA7" s="31"/>
      <c r="DB7" s="31"/>
      <c r="DC7" s="31"/>
      <c r="DD7" s="31"/>
      <c r="DE7" s="31"/>
      <c r="DF7" s="31"/>
      <c r="DG7" s="31"/>
      <c r="DH7" s="31"/>
      <c r="DI7" s="31"/>
      <c r="DJ7" s="31"/>
      <c r="DK7" s="31"/>
      <c r="DL7" s="31"/>
      <c r="DM7" s="31"/>
      <c r="DN7" s="31"/>
      <c r="DO7" s="31"/>
      <c r="DP7" s="31"/>
      <c r="DQ7" s="31"/>
      <c r="DR7" s="31"/>
      <c r="DS7" s="31"/>
      <c r="DT7" s="31"/>
      <c r="DU7" s="31"/>
      <c r="DV7" s="31"/>
      <c r="DW7" s="31"/>
      <c r="DX7" s="31"/>
      <c r="DY7" s="31"/>
      <c r="DZ7" s="31"/>
      <c r="EA7" s="31"/>
      <c r="EB7" s="31"/>
      <c r="EC7" s="31"/>
      <c r="ED7" s="31"/>
      <c r="EE7" s="31"/>
      <c r="EF7" s="31"/>
      <c r="EG7" s="31"/>
      <c r="EH7" s="31"/>
      <c r="EI7" s="31"/>
      <c r="EJ7" s="31"/>
      <c r="EK7" s="31"/>
      <c r="EL7" s="31"/>
      <c r="EM7" s="31"/>
      <c r="EN7" s="31"/>
      <c r="EO7" s="31"/>
      <c r="EP7" s="31"/>
      <c r="EQ7" s="31"/>
      <c r="ER7" s="31"/>
      <c r="ES7" s="31"/>
      <c r="ET7" s="31"/>
      <c r="EU7" s="31"/>
      <c r="EV7" s="31"/>
      <c r="EW7" s="31"/>
      <c r="EX7" s="31"/>
    </row>
    <row r="8" ht="15.75" customHeight="1">
      <c r="A8" s="8"/>
      <c r="B8" s="50" t="s">
        <v>16</v>
      </c>
      <c r="C8" s="37" t="s">
        <v>17</v>
      </c>
      <c r="D8" s="48">
        <v>1.0</v>
      </c>
      <c r="E8" s="48">
        <v>1.0</v>
      </c>
      <c r="F8" s="37"/>
      <c r="G8" s="37" t="s">
        <v>47</v>
      </c>
      <c r="H8" s="8"/>
      <c r="I8" s="8"/>
      <c r="J8" s="8"/>
      <c r="K8" s="8"/>
      <c r="L8" s="13" t="s">
        <v>18</v>
      </c>
      <c r="M8" s="8"/>
      <c r="N8" s="8"/>
      <c r="O8" s="8"/>
    </row>
    <row r="9" ht="15.75" customHeight="1">
      <c r="A9" s="8"/>
      <c r="B9" s="51" t="s">
        <v>20</v>
      </c>
      <c r="C9" s="31" t="s">
        <v>17</v>
      </c>
      <c r="D9" s="49">
        <v>1.0</v>
      </c>
      <c r="E9" s="49">
        <v>1.0</v>
      </c>
      <c r="F9" s="31"/>
      <c r="G9" s="31" t="s">
        <v>47</v>
      </c>
      <c r="H9" s="8"/>
      <c r="I9" s="8"/>
      <c r="J9" s="8"/>
      <c r="K9" s="8"/>
      <c r="L9" s="13" t="s">
        <v>18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