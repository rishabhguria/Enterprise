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taSymbolLookup" sheetId="5" r:id="rId7"/>
    <sheet state="visible" name="TradeSymbolFromSM" sheetId="6" r:id="rId8"/>
    <sheet state="visible" name="CheckPortfolioManagement" sheetId="7" r:id="rId9"/>
    <sheet state="visible" name="CustomOrderTT" sheetId="8" r:id="rId10"/>
  </sheets>
  <definedNames/>
  <calcPr/>
</workbook>
</file>

<file path=xl/sharedStrings.xml><?xml version="1.0" encoding="utf-8"?>
<sst xmlns="http://schemas.openxmlformats.org/spreadsheetml/2006/main" count="80" uniqueCount="43">
  <si>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</si>
  <si>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</si>
  <si>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</si>
  <si>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</si>
  <si>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</si>
  <si>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</si>
  <si>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</si>
  <si>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</si>
  <si>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</si>
  <si>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</si>
  <si>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</si>
  <si>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</si>
  <si>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</si>
  <si>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</si>
  <si>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</si>
  <si>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</si>
  <si>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SymbolLookup</t>
  </si>
  <si>
    <t>GetDataSymbolLookup</t>
  </si>
  <si>
    <t>IBM</t>
  </si>
  <si>
    <t>Exact</t>
  </si>
  <si>
    <t>TradeSymbolFromSM</t>
  </si>
  <si>
    <t>Equity</t>
  </si>
  <si>
    <t>US</t>
  </si>
  <si>
    <t>NYSE</t>
  </si>
  <si>
    <t>USD</t>
  </si>
  <si>
    <t>IBM US EQUITY</t>
  </si>
  <si>
    <t>PortfolioManagement</t>
  </si>
  <si>
    <t>CheckPortfolioManagement</t>
  </si>
  <si>
    <t>Allocation1</t>
  </si>
  <si>
    <t>NewMF</t>
  </si>
  <si>
    <t>Long</t>
  </si>
  <si>
    <t>FIMAT</t>
  </si>
  <si>
    <t>Strategy Unallocated</t>
  </si>
  <si>
    <t>Buy</t>
  </si>
  <si>
    <t>Equity General</t>
  </si>
  <si>
    <t>Technology</t>
  </si>
  <si>
    <t>Undefined</t>
  </si>
  <si>
    <t>USA</t>
  </si>
  <si>
    <t>jpearce</t>
  </si>
  <si>
    <t>MS</t>
  </si>
  <si>
    <t>TradingTicket</t>
  </si>
  <si>
    <t>CustomOrderTT</t>
  </si>
  <si>
    <t>DONEAWAY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</si>
</sst>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IFERROR(__xludf.DUMMYFUNCTION("""COMPUTED_VALUE"""),"TradeID")</f>
        <v>TradeID</v>
      </c>
      <c r="C5" s="28" t="str">
        <f>IFERROR(__xludf.DUMMYFUNCTION("""COMPUTED_VALUE"""),"Symbol")</f>
        <v>Symbol</v>
      </c>
      <c r="D5" s="28" t="str">
        <f>IFERROR(__xludf.DUMMYFUNCTION("""COMPUTED_VALUE"""),"Search Type")</f>
        <v>Search Type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 t="s">
        <v>19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GetDataSymbolLookup!$4:$4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IFERROR(__xludf.DUMMYFUNCTION("""COMPUTED_VALUE"""),"Analyst")</f>
        <v>Analyst</v>
      </c>
      <c r="C5" s="28" t="str">
        <f>IFERROR(__xludf.DUMMYFUNCTION("""COMPUTED_VALUE"""),"Asset Class")</f>
        <v>Asset Class</v>
      </c>
      <c r="D5" s="28" t="str">
        <f>IFERROR(__xludf.DUMMYFUNCTION("""COMPUTED_VALUE"""),"Underlying")</f>
        <v>Underlying</v>
      </c>
      <c r="E5" s="28" t="str">
        <f>IFERROR(__xludf.DUMMYFUNCTION("""COMPUTED_VALUE"""),"Exchange")</f>
        <v>Exchange</v>
      </c>
      <c r="F5" s="29" t="str">
        <f>IFERROR(__xludf.DUMMYFUNCTION("""COMPUTED_VALUE"""),"Currency")</f>
        <v>Currency</v>
      </c>
      <c r="G5" s="28" t="str">
        <f>IFERROR(__xludf.DUMMYFUNCTION("""COMPUTED_VALUE"""),"Ticker")</f>
        <v>Ticker</v>
      </c>
      <c r="H5" s="28" t="str">
        <f>IFERROR(__xludf.DUMMYFUNCTION("""COMPUTED_VALUE"""),"Description")</f>
        <v>Description</v>
      </c>
      <c r="I5" s="28" t="str">
        <f>IFERROR(__xludf.DUMMYFUNCTION("""COMPUTED_VALUE"""),"Proxy Symbol")</f>
        <v>Proxy Symbol</v>
      </c>
      <c r="J5" s="28" t="str">
        <f>IFERROR(__xludf.DUMMYFUNCTION("""COMPUTED_VALUE"""),"RIC")</f>
        <v>RIC</v>
      </c>
      <c r="K5" s="28" t="str">
        <f>IFERROR(__xludf.DUMMYFUNCTION("""COMPUTED_VALUE"""),"BB Code")</f>
        <v>BB Code</v>
      </c>
      <c r="L5" s="28" t="str">
        <f>IFERROR(__xludf.DUMMYFUNCTION("""COMPUTED_VALUE"""),"CUSIP")</f>
        <v>CUSIP</v>
      </c>
      <c r="M5" s="28" t="str">
        <f>IFERROR(__xludf.DUMMYFUNCTION("""COMPUTED_VALUE"""),"ISIN")</f>
        <v>ISIN</v>
      </c>
      <c r="N5" s="28" t="str">
        <f>IFERROR(__xludf.DUMMYFUNCTION("""COMPUTED_VALUE"""),"SEDOL")</f>
        <v>SEDOL</v>
      </c>
      <c r="O5" s="28" t="str">
        <f>IFERROR(__xludf.DUMMYFUNCTION("""COMPUTED_VALUE"""),"OSI-21")</f>
        <v>OSI-21</v>
      </c>
      <c r="P5" s="28" t="str">
        <f>IFERROR(__xludf.DUMMYFUNCTION("""COMPUTED_VALUE"""),"IDCO-22")</f>
        <v>IDCO-22</v>
      </c>
      <c r="Q5" s="28" t="str">
        <f>IFERROR(__xludf.DUMMYFUNCTION("""COMPUTED_VALUE"""),"Country Of Risk")</f>
        <v>Country Of Risk</v>
      </c>
      <c r="R5" s="28" t="str">
        <f>IFERROR(__xludf.DUMMYFUNCTION("""COMPUTED_VALUE"""),"Multiplier")</f>
        <v>Multiplier</v>
      </c>
      <c r="S5" s="28" t="str">
        <f>IFERROR(__xludf.DUMMYFUNCTION("""COMPUTED_VALUE"""),"IssueDate")</f>
        <v>IssueDate</v>
      </c>
      <c r="T5" s="30" t="str">
        <f>IFERROR(__xludf.DUMMYFUNCTION("""COMPUTED_VALUE"""),"FirstCouponDate")</f>
        <v>FirstCouponDate</v>
      </c>
      <c r="U5" s="30" t="str">
        <f>IFERROR(__xludf.DUMMYFUNCTION("""COMPUTED_VALUE"""),"Expiration Date")</f>
        <v>Expiration Date</v>
      </c>
      <c r="V5" s="30" t="str">
        <f>IFERROR(__xludf.DUMMYFUNCTION("""COMPUTED_VALUE"""),"Fixing Date")</f>
        <v>Fixing Date</v>
      </c>
      <c r="W5" s="30" t="str">
        <f>IFERROR(__xludf.DUMMYFUNCTION("""COMPUTED_VALUE"""),"Is NDF")</f>
        <v>Is NDF</v>
      </c>
      <c r="X5" s="30" t="str">
        <f>IFERROR(__xludf.DUMMYFUNCTION("""COMPUTED_VALUE"""),"Underlying Symbol")</f>
        <v>Underlying Symbol</v>
      </c>
      <c r="Y5" s="30" t="str">
        <f>IFERROR(__xludf.DUMMYFUNCTION("""COMPUTED_VALUE"""),"Put/Call")</f>
        <v>Put/Call</v>
      </c>
      <c r="Z5" s="30" t="str">
        <f>IFERROR(__xludf.DUMMYFUNCTION("""COMPUTED_VALUE"""),"Strike Price")</f>
        <v>Strike Price</v>
      </c>
      <c r="AA5" s="30" t="str">
        <f>IFERROR(__xludf.DUMMYFUNCTION("""COMPUTED_VALUE"""),"Leveraged Factor")</f>
        <v>Leveraged Factor</v>
      </c>
      <c r="AB5" s="30" t="str">
        <f>IFERROR(__xludf.DUMMYFUNCTION("""COMPUTED_VALUE"""),"Bond Type")</f>
        <v>Bond Type</v>
      </c>
      <c r="AC5" s="30" t="str">
        <f>IFERROR(__xludf.DUMMYFUNCTION("""COMPUTED_VALUE"""),"Accrual Basis")</f>
        <v>Accrual Basis</v>
      </c>
      <c r="AD5" s="30" t="str">
        <f>IFERROR(__xludf.DUMMYFUNCTION("""COMPUTED_VALUE"""),"Coupon Frequency")</f>
        <v>Coupon Frequency</v>
      </c>
      <c r="AE5" s="30" t="str">
        <f>IFERROR(__xludf.DUMMYFUNCTION("""COMPUTED_VALUE"""),"Issuer")</f>
        <v>Issuer</v>
      </c>
      <c r="AF5" s="30" t="str">
        <f>IFERROR(__xludf.DUMMYFUNCTION("""COMPUTED_VALUE"""),"Currency Future")</f>
        <v>Currency Future</v>
      </c>
      <c r="AG5" s="30" t="str">
        <f>IFERROR(__xludf.DUMMYFUNCTION("""COMPUTED_VALUE"""),"Custom UDA4")</f>
        <v>Custom UDA4</v>
      </c>
      <c r="AH5" s="30" t="str">
        <f>IFERROR(__xludf.DUMMYFUNCTION("""COMPUTED_VALUE"""),"Custom UDA5")</f>
        <v>Custom UDA5</v>
      </c>
      <c r="AI5" s="30" t="str">
        <f>IFERROR(__xludf.DUMMYFUNCTION("""COMPUTED_VALUE"""),"Custom UDA6")</f>
        <v>Custom UDA6</v>
      </c>
      <c r="AJ5" s="30" t="str">
        <f>IFERROR(__xludf.DUMMYFUNCTION("""COMPUTED_VALUE"""),"Custom UDA7")</f>
        <v>Custom UDA7</v>
      </c>
      <c r="AK5" s="30" t="str">
        <f>IFERROR(__xludf.DUMMYFUNCTION("""COMPUTED_VALUE"""),"Liquid Tag")</f>
        <v>Liquid Tag</v>
      </c>
      <c r="AL5" s="30" t="str">
        <f>IFERROR(__xludf.DUMMYFUNCTION("""COMPUTED_VALUE"""),"Region")</f>
        <v>Region</v>
      </c>
      <c r="AM5" s="30" t="str">
        <f>IFERROR(__xludf.DUMMYFUNCTION("""COMPUTED_VALUE"""),"OPRAOptionSymbol")</f>
        <v>OPRAOptionSymbol</v>
      </c>
      <c r="AN5" s="30" t="str">
        <f>IFERROR(__xludf.DUMMYFUNCTION("""COMPUTED_VALUE"""),"Risk Currency")</f>
        <v>Risk Currency</v>
      </c>
      <c r="AO5" s="30" t="str">
        <f>IFERROR(__xludf.DUMMYFUNCTION("""COMPUTED_VALUE"""),"RequestedSymbology")</f>
        <v>RequestedSymbology</v>
      </c>
      <c r="AP5" s="30" t="str">
        <f>IFERROR(__xludf.DUMMYFUNCTION("""COMPUTED_VALUE"""),"RequestedSymbol")</f>
        <v>RequestedSymbol</v>
      </c>
      <c r="AQ5" s="30" t="str">
        <f>IFERROR(__xludf.DUMMYFUNCTION("""COMPUTED_VALUE"""),"Coupon (%)")</f>
        <v>Coupon (%)</v>
      </c>
      <c r="AR5" s="30" t="str">
        <f>IFERROR(__xludf.DUMMYFUNCTION("""COMPUTED_VALUE"""),"IsZero")</f>
        <v>IsZero</v>
      </c>
      <c r="AS5" s="30" t="str">
        <f>IFERROR(__xludf.DUMMYFUNCTION("""COMPUTED_VALUE"""),"CountryCode")</f>
        <v>CountryCode</v>
      </c>
      <c r="AT5" s="30" t="str">
        <f>IFERROR(__xludf.DUMMYFUNCTION("""COMPUTED_VALUE"""),"DaysToSettlement")</f>
        <v>DaysToSettlement</v>
      </c>
      <c r="AU5" s="30" t="str">
        <f>IFERROR(__xludf.DUMMYFUNCTION("""COMPUTED_VALUE"""),"CutOffTime")</f>
        <v>CutOffTime</v>
      </c>
      <c r="AV5" s="30" t="str">
        <f>IFERROR(__xludf.DUMMYFUNCTION("""COMPUTED_VALUE"""),"Creation Date")</f>
        <v>Creation Date</v>
      </c>
      <c r="AW5" s="30" t="str">
        <f>IFERROR(__xludf.DUMMYFUNCTION("""COMPUTED_VALUE"""),"Modified Date")</f>
        <v>Modified Date</v>
      </c>
      <c r="AX5" s="30" t="str">
        <f>IFERROR(__xludf.DUMMYFUNCTION("""COMPUTED_VALUE"""),"RoundLots")</f>
        <v>RoundLots</v>
      </c>
      <c r="AY5" s="30" t="str">
        <f>IFERROR(__xludf.DUMMYFUNCTION("""COMPUTED_VALUE"""),"Sector")</f>
        <v>Sector</v>
      </c>
      <c r="AZ5" s="30" t="str">
        <f>IFERROR(__xludf.DUMMYFUNCTION("""COMPUTED_VALUE"""),"UCITS Eligible Tag")</f>
        <v>UCITS Eligible Tag</v>
      </c>
      <c r="BA5" s="30" t="str">
        <f>IFERROR(__xludf.DUMMYFUNCTION("""COMPUTED_VALUE"""),"DataSource")</f>
        <v>DataSource</v>
      </c>
      <c r="BB5" s="30" t="str">
        <f>IFERROR(__xludf.DUMMYFUNCTION("""COMPUTED_VALUE"""),"IsSecApproved")</f>
        <v>IsSecApproved</v>
      </c>
      <c r="BC5" s="30" t="str">
        <f>IFERROR(__xludf.DUMMYFUNCTION("""COMPUTED_VALUE"""),"Approval Status")</f>
        <v>Approval Status</v>
      </c>
      <c r="BD5" s="30" t="str">
        <f>IFERROR(__xludf.DUMMYFUNCTION("""COMPUTED_VALUE"""),"Last Approved By")</f>
        <v>Last Approved By</v>
      </c>
      <c r="BE5" s="30" t="str">
        <f>IFERROR(__xludf.DUMMYFUNCTION("""COMPUTED_VALUE"""),"CreatedBy")</f>
        <v>CreatedBy</v>
      </c>
      <c r="BF5" s="30" t="str">
        <f>IFERROR(__xludf.DUMMYFUNCTION("""COMPUTED_VALUE"""),"ModifiedBy")</f>
        <v>ModifiedBy</v>
      </c>
      <c r="BG5" s="30" t="str">
        <f>IFERROR(__xludf.DUMMYFUNCTION("""COMPUTED_VALUE"""),"BBGID")</f>
        <v>BBGID</v>
      </c>
      <c r="BH5" s="30" t="str">
        <f>IFERROR(__xludf.DUMMYFUNCTION("""COMPUTED_VALUE"""),"PrimarySymbology")</f>
        <v>PrimarySymbology</v>
      </c>
      <c r="BI5" s="30" t="str">
        <f>IFERROR(__xludf.DUMMYFUNCTION("""COMPUTED_VALUE"""),"ApprovalDate")</f>
        <v>ApprovalDate</v>
      </c>
      <c r="BJ5" s="30" t="str">
        <f>IFERROR(__xludf.DUMMYFUNCTION("""COMPUTED_VALUE"""),"Comments")</f>
        <v>Comments</v>
      </c>
      <c r="BK5" s="30" t="str">
        <f>IFERROR(__xludf.DUMMYFUNCTION("""COMPUTED_VALUE"""),"Strike Price Multiplier")</f>
        <v>Strike Price Multiplier</v>
      </c>
      <c r="BL5" s="30" t="str">
        <f>IFERROR(__xludf.DUMMYFUNCTION("""COMPUTED_VALUE"""),"Esignal Option Root")</f>
        <v>Esignal Option Root</v>
      </c>
      <c r="BM5" s="30" t="str">
        <f>IFERROR(__xludf.DUMMYFUNCTION("""COMPUTED_VALUE"""),"Bloomberg Option Root")</f>
        <v>Bloomberg Option Root</v>
      </c>
      <c r="BN5" s="30" t="str">
        <f>IFERROR(__xludf.DUMMYFUNCTION("""COMPUTED_VALUE"""),"UDA Asset")</f>
        <v>UDA Asset</v>
      </c>
      <c r="BO5" s="30" t="str">
        <f>IFERROR(__xludf.DUMMYFUNCTION("""COMPUTED_VALUE"""),"UDA Security")</f>
        <v>UDA Security</v>
      </c>
      <c r="BP5" s="30" t="str">
        <f>IFERROR(__xludf.DUMMYFUNCTION("""COMPUTED_VALUE"""),"UDA Sector")</f>
        <v>UDA Sector</v>
      </c>
      <c r="BQ5" s="30" t="str">
        <f>IFERROR(__xludf.DUMMYFUNCTION("""COMPUTED_VALUE"""),"UDA SubSector")</f>
        <v>UDA SubSector</v>
      </c>
      <c r="BR5" s="30" t="str">
        <f>IFERROR(__xludf.DUMMYFUNCTION("""COMPUTED_VALUE"""),"UDA Country")</f>
        <v>UDA Country</v>
      </c>
      <c r="BS5" s="30" t="str">
        <f>IFERROR(__xludf.DUMMYFUNCTION("""COMPUTED_VALUE"""),"UseUDAFromUnderlyingOrRoot")</f>
        <v>UseUDAFromUnderlyingOrRoot</v>
      </c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21</v>
      </c>
      <c r="D6" s="13" t="s">
        <v>22</v>
      </c>
      <c r="E6" s="13" t="s">
        <v>23</v>
      </c>
      <c r="F6" s="13" t="s">
        <v>24</v>
      </c>
      <c r="G6" s="13" t="s">
        <v>18</v>
      </c>
      <c r="H6" s="13" t="s">
        <v>18</v>
      </c>
      <c r="I6" s="8"/>
      <c r="J6" s="8"/>
      <c r="K6" s="13" t="s">
        <v>25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TradeSymbolFromSM!$4:$4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2" t="s">
        <v>18</v>
      </c>
      <c r="D6" s="33">
        <v>1000.0</v>
      </c>
      <c r="E6" s="13" t="s">
        <v>28</v>
      </c>
      <c r="F6" s="13" t="s">
        <v>29</v>
      </c>
      <c r="G6" s="8"/>
      <c r="H6" s="13" t="s">
        <v>30</v>
      </c>
      <c r="I6" s="8"/>
      <c r="J6" s="8"/>
      <c r="K6" s="8"/>
      <c r="L6" s="8"/>
      <c r="M6" s="8"/>
      <c r="N6" s="8"/>
      <c r="O6" s="32" t="s">
        <v>18</v>
      </c>
      <c r="R6" s="32" t="s">
        <v>31</v>
      </c>
      <c r="S6" s="32" t="s">
        <v>32</v>
      </c>
      <c r="T6" s="32" t="s">
        <v>21</v>
      </c>
      <c r="U6" s="9" t="s">
        <v>22</v>
      </c>
      <c r="V6" s="9" t="s">
        <v>23</v>
      </c>
      <c r="W6" s="9" t="s">
        <v>24</v>
      </c>
      <c r="X6" s="9">
        <v>1.0</v>
      </c>
      <c r="Y6" s="9">
        <v>1.0</v>
      </c>
      <c r="AN6" s="9" t="s">
        <v>33</v>
      </c>
      <c r="AP6" s="32" t="s">
        <v>30</v>
      </c>
      <c r="AQ6" s="32" t="s">
        <v>18</v>
      </c>
      <c r="AR6" s="34">
        <v>0.0</v>
      </c>
      <c r="AS6" s="34">
        <v>1.0</v>
      </c>
      <c r="AT6" s="32"/>
      <c r="BE6" s="32" t="s">
        <v>21</v>
      </c>
      <c r="BF6" s="32" t="s">
        <v>34</v>
      </c>
      <c r="BG6" s="32" t="s">
        <v>35</v>
      </c>
      <c r="BH6" s="32" t="s">
        <v>36</v>
      </c>
      <c r="BI6" s="32" t="s">
        <v>37</v>
      </c>
      <c r="BQ6" s="32" t="s">
        <v>38</v>
      </c>
      <c r="BR6" s="32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1000.0</v>
      </c>
      <c r="D6" s="13">
        <v>2.0</v>
      </c>
      <c r="E6" s="13" t="s">
        <v>42</v>
      </c>
      <c r="F6" s="13" t="b">
        <v>1</v>
      </c>
      <c r="G6" s="8"/>
      <c r="H6" s="9">
        <v>1000000.0</v>
      </c>
      <c r="I6" s="13" t="s">
        <v>28</v>
      </c>
      <c r="J6" s="13" t="s">
        <v>33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