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CreateDoneAwayOrder" sheetId="8" r:id="rId10"/>
    <sheet state="visible" name="SelectUnallocatedGroup" sheetId="9" r:id="rId11"/>
    <sheet state="visible" name="EnterAccountValuesToAllocate" sheetId="10" r:id="rId12"/>
    <sheet state="visible" name="SelectUnallocatedGroup1" sheetId="11" r:id="rId13"/>
    <sheet state="visible" name="CheckUnallocatedGroups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<sst xmlns="http://schemas.openxmlformats.org/spreadsheetml/2006/main" count="125" uniqueCount="45">
  <si>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</si>
  <si>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</si>
  <si>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</si>
  <si>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</si>
  <si>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</si>
  <si>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</si>
  <si>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</si>
  <si>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</si>
  <si>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</si>
  <si>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</si>
  <si>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</si>
  <si>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</si>
  <si>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</si>
  <si>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</si>
  <si>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</si>
  <si>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</si>
  <si>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AddCalculatedPreferences</t>
  </si>
  <si>
    <t>Test</t>
  </si>
  <si>
    <t>SetAccountValueCalculatedPref</t>
  </si>
  <si>
    <t>Allocation1</t>
  </si>
  <si>
    <t>Allocation3</t>
  </si>
  <si>
    <t>SetDefaultRuleCalculatedPref</t>
  </si>
  <si>
    <t>Trade Quantity</t>
  </si>
  <si>
    <t>Current Preference</t>
  </si>
  <si>
    <t>TradingTicket</t>
  </si>
  <si>
    <t>CreateDoneAwayOrder</t>
  </si>
  <si>
    <t>CSCO</t>
  </si>
  <si>
    <t>Sell</t>
  </si>
  <si>
    <t>IBM</t>
  </si>
  <si>
    <t>Unallocated</t>
  </si>
  <si>
    <t>SelectUnallocatedGroup</t>
  </si>
  <si>
    <t>EnterAccountValuesToAllocate</t>
  </si>
  <si>
    <t>Allocation2</t>
  </si>
  <si>
    <t>CheckUnallocatedGroups</t>
  </si>
  <si>
    <t>CSCO US EQUITY</t>
  </si>
  <si>
    <t>MS</t>
  </si>
  <si>
    <t>USD</t>
  </si>
  <si>
    <t>NASDAQ</t>
  </si>
  <si>
    <t>IBM US EQUITY</t>
  </si>
  <si>
    <t>NYSE</t>
  </si>
  <si>
    <t>Blotter</t>
  </si>
  <si>
    <t>VerifyOrder</t>
  </si>
  <si>
    <t>Filled</t>
  </si>
  <si>
    <t>Multiple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</si>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</sst>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000000"/>
      <name val="Calibri"/>
    </font>
    <font>
      <color rgb="FF000000"/>
    </font>
    <font>
      <sz val="9.0"/>
      <color rgb="FF000000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5" fillId="5" fontId="4" numFmtId="0" xfId="0" applyAlignment="1" applyBorder="1" applyFont="1">
      <alignment shrinkToFit="0" wrapText="0"/>
    </xf>
    <xf borderId="5" fillId="5" fontId="4" numFmtId="0" xfId="0" applyAlignment="1" applyBorder="1" applyFont="1">
      <alignment readingOrder="0" shrinkToFit="0" wrapText="0"/>
    </xf>
    <xf borderId="0" fillId="6" fontId="14" numFmtId="0" xfId="0" applyAlignment="1" applyFill="1" applyFont="1">
      <alignment readingOrder="0" shrinkToFit="0" vertical="bottom" wrapText="0"/>
    </xf>
    <xf borderId="0" fillId="6" fontId="14" numFmtId="0" xfId="0" applyAlignment="1" applyFont="1">
      <alignment shrinkToFit="0" vertical="bottom" wrapText="0"/>
    </xf>
    <xf borderId="0" fillId="6" fontId="14" numFmtId="0" xfId="0" applyAlignment="1" applyFont="1">
      <alignment readingOrder="0" shrinkToFit="0" vertical="bottom" wrapText="0"/>
    </xf>
    <xf borderId="0" fillId="6" fontId="15" numFmtId="0" xfId="0" applyAlignment="1" applyFont="1">
      <alignment vertical="bottom"/>
    </xf>
    <xf borderId="0" fillId="6" fontId="16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IFERROR(__xludf.DUMMYFUNCTION("""COMPUTED_VALUE"""),"Admin")</f>
        <v>Admin</v>
      </c>
      <c r="B783" t="str">
        <f>IFERROR(__xludf.DUMMYFUNCTION("""COMPUTED_VALUE"""),"DeselectAccounts")</f>
        <v>DeselectAccounts</v>
      </c>
      <c r="C783" t="str">
        <f>IFERROR(__xludf.DUMMYFUNCTION("""COMPUTED_VALUE"""),"1H6AwalClVecdoJUQp5wTWXzd6NE4Y5Hty6PTKnO9Rk4")</f>
        <v>1H6AwalClVecdoJUQp5wTWXzd6NE4Y5Hty6PTKnO9Rk4</v>
      </c>
    </row>
    <row r="784" ht="15.75" customHeight="1">
      <c r="A784" t="str">
        <f>IFERROR(__xludf.DUMMYFUNCTION("""COMPUTED_VALUE"""),"TradingTicket")</f>
        <v>TradingTicket</v>
      </c>
      <c r="B784" t="str">
        <f>IFERROR(__xludf.DUMMYFUNCTION("""COMPUTED_VALUE"""),"ResizeEnsureTT")</f>
        <v>ResizeEnsureTT</v>
      </c>
      <c r="C784" t="str">
        <f>IFERROR(__xludf.DUMMYFUNCTION("""COMPUTED_VALUE"""),"1X1m60ND44-Chxr6N4sH6Fqbh_pqzIH8Cfy3c89u2_lQ")</f>
        <v>1X1m60ND44-Chxr6N4sH6Fqbh_pqzIH8Cfy3c89u2_lQ</v>
      </c>
    </row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19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 t="s">
        <v>17</v>
      </c>
      <c r="C7" s="12" t="s">
        <v>20</v>
      </c>
      <c r="D7" s="12">
        <v>50.0</v>
      </c>
      <c r="E7" s="3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22</v>
      </c>
      <c r="C6" s="33"/>
      <c r="D6" s="32" t="s">
        <v>23</v>
      </c>
      <c r="E6" s="33"/>
      <c r="F6" s="33"/>
      <c r="G6" s="34" t="b">
        <v>0</v>
      </c>
      <c r="H6" s="35" t="s">
        <v>17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27</v>
      </c>
      <c r="D6" s="12">
        <v>250.0</v>
      </c>
      <c r="E6" s="30"/>
      <c r="F6" s="12" t="s">
        <v>17</v>
      </c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12"/>
      <c r="B7" s="12" t="s">
        <v>28</v>
      </c>
      <c r="C7" s="12" t="s">
        <v>27</v>
      </c>
      <c r="D7" s="12">
        <v>250.0</v>
      </c>
      <c r="E7" s="30"/>
      <c r="F7" s="12" t="s">
        <v>29</v>
      </c>
      <c r="G7" s="8"/>
      <c r="H7" s="8"/>
      <c r="I7" s="8"/>
      <c r="J7" s="12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27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2"/>
      <c r="E6" s="8"/>
      <c r="F6" s="8"/>
      <c r="G6" s="8"/>
      <c r="H6" s="8"/>
      <c r="I6" s="8"/>
      <c r="J6" s="36">
        <v>10.0</v>
      </c>
      <c r="K6" s="36">
        <v>10.0</v>
      </c>
      <c r="L6" s="37" t="s">
        <v>34</v>
      </c>
      <c r="M6" s="8"/>
      <c r="N6" s="37" t="s">
        <v>35</v>
      </c>
      <c r="O6" s="8"/>
      <c r="Z6" s="37" t="s">
        <v>36</v>
      </c>
      <c r="AD6" s="37" t="s">
        <v>37</v>
      </c>
      <c r="AE6" s="9">
        <v>250.0</v>
      </c>
      <c r="AG6" s="37"/>
      <c r="BE6" s="38"/>
      <c r="BF6" s="38"/>
      <c r="BJ6" s="36">
        <v>250.0</v>
      </c>
      <c r="BM6" s="37" t="s">
        <v>36</v>
      </c>
      <c r="BO6" s="37" t="s">
        <v>27</v>
      </c>
      <c r="BS6" s="37" t="s">
        <v>26</v>
      </c>
      <c r="CI6" s="36">
        <v>250.0</v>
      </c>
      <c r="CJ6" s="37"/>
      <c r="CM6" s="37"/>
      <c r="CN6" s="37"/>
    </row>
    <row r="7" ht="15.75" customHeight="1">
      <c r="A7" s="12"/>
      <c r="B7" s="12"/>
      <c r="C7" s="8"/>
      <c r="D7" s="12"/>
      <c r="E7" s="30"/>
      <c r="F7" s="8"/>
      <c r="G7" s="8"/>
      <c r="H7" s="8"/>
      <c r="I7" s="8"/>
      <c r="J7" s="36">
        <v>10.0</v>
      </c>
      <c r="K7" s="36">
        <v>10.0</v>
      </c>
      <c r="L7" s="37" t="s">
        <v>38</v>
      </c>
      <c r="M7" s="8"/>
      <c r="N7" s="37" t="s">
        <v>35</v>
      </c>
      <c r="O7" s="8"/>
      <c r="Z7" s="37" t="s">
        <v>36</v>
      </c>
      <c r="AD7" s="37" t="s">
        <v>39</v>
      </c>
      <c r="AE7" s="9">
        <v>250.0</v>
      </c>
      <c r="AG7" s="37"/>
      <c r="BE7" s="38"/>
      <c r="BF7" s="38"/>
      <c r="BJ7" s="36">
        <v>250.0</v>
      </c>
      <c r="BM7" s="37" t="s">
        <v>36</v>
      </c>
      <c r="BO7" s="37" t="s">
        <v>27</v>
      </c>
      <c r="BS7" s="37" t="s">
        <v>28</v>
      </c>
      <c r="CI7" s="36">
        <v>250.0</v>
      </c>
      <c r="CJ7" s="37"/>
      <c r="CM7" s="37"/>
      <c r="CN7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9" t="str">
        <f>IFERROR(__xludf.DUMMYFUNCTION("""COMPUTED_VALUE"""),"Transaction Time")</f>
        <v>Transaction Time</v>
      </c>
      <c r="C5" s="39" t="str">
        <f>IFERROR(__xludf.DUMMYFUNCTION("""COMPUTED_VALUE"""),"Algo")</f>
        <v>Algo</v>
      </c>
      <c r="D5" s="39" t="str">
        <f>IFERROR(__xludf.DUMMYFUNCTION("""COMPUTED_VALUE"""),"Avg Fill Price (Base)")</f>
        <v>Avg Fill Price (Base)</v>
      </c>
      <c r="E5" s="39" t="str">
        <f>IFERROR(__xludf.DUMMYFUNCTION("""COMPUTED_VALUE"""),"Bloomberg Symbol")</f>
        <v>Bloomberg Symbol</v>
      </c>
      <c r="F5" s="40" t="str">
        <f>IFERROR(__xludf.DUMMYFUNCTION("""COMPUTED_VALUE"""),"Limit Price")</f>
        <v>Limit Price</v>
      </c>
      <c r="G5" s="39" t="str">
        <f>IFERROR(__xludf.DUMMYFUNCTION("""COMPUTED_VALUE"""),"Working Qty")</f>
        <v>Working Qty</v>
      </c>
      <c r="H5" s="39" t="str">
        <f>IFERROR(__xludf.DUMMYFUNCTION("""COMPUTED_VALUE"""),"Venue")</f>
        <v>Venue</v>
      </c>
      <c r="I5" s="39" t="str">
        <f>IFERROR(__xludf.DUMMYFUNCTION("""COMPUTED_VALUE"""),"Current User")</f>
        <v>Current User</v>
      </c>
      <c r="J5" s="39" t="str">
        <f>IFERROR(__xludf.DUMMYFUNCTION("""COMPUTED_VALUE"""),"Underlying Symbol")</f>
        <v>Underlying Symbol</v>
      </c>
      <c r="K5" s="39" t="str">
        <f>IFERROR(__xludf.DUMMYFUNCTION("""COMPUTED_VALUE"""),"Underlying Country")</f>
        <v>Underlying Country</v>
      </c>
      <c r="L5" s="39" t="str">
        <f>IFERROR(__xludf.DUMMYFUNCTION("""COMPUTED_VALUE"""),"Trader")</f>
        <v>Trader</v>
      </c>
      <c r="M5" s="39" t="str">
        <f>IFERROR(__xludf.DUMMYFUNCTION("""COMPUTED_VALUE"""),"Trade Attribute 6")</f>
        <v>Trade Attribute 6</v>
      </c>
      <c r="N5" s="39" t="str">
        <f>IFERROR(__xludf.DUMMYFUNCTION("""COMPUTED_VALUE"""),"Trade Attribute 5")</f>
        <v>Trade Attribute 5</v>
      </c>
      <c r="O5" s="39" t="str">
        <f>IFERROR(__xludf.DUMMYFUNCTION("""COMPUTED_VALUE"""),"Trade Attribute 4")</f>
        <v>Trade Attribute 4</v>
      </c>
      <c r="P5" s="39" t="str">
        <f>IFERROR(__xludf.DUMMYFUNCTION("""COMPUTED_VALUE"""),"Trade Attribute 3")</f>
        <v>Trade Attribute 3</v>
      </c>
      <c r="Q5" s="39" t="str">
        <f>IFERROR(__xludf.DUMMYFUNCTION("""COMPUTED_VALUE"""),"Trade Attribute 1")</f>
        <v>Trade Attribute 1</v>
      </c>
      <c r="R5" s="39" t="str">
        <f>IFERROR(__xludf.DUMMYFUNCTION("""COMPUTED_VALUE"""),"Trade Attribute 2")</f>
        <v>Trade Attribute 2</v>
      </c>
      <c r="S5" s="39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1"/>
      <c r="C6" s="42"/>
      <c r="D6" s="41"/>
      <c r="E6" s="43"/>
      <c r="F6" s="42"/>
      <c r="G6" s="42"/>
      <c r="H6" s="42"/>
      <c r="I6" s="42"/>
      <c r="J6" s="42"/>
      <c r="K6" s="42"/>
      <c r="L6" s="42"/>
      <c r="M6" s="42"/>
      <c r="N6" s="42"/>
      <c r="O6" s="42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5" t="s">
        <v>26</v>
      </c>
      <c r="AJ6" s="45" t="s">
        <v>27</v>
      </c>
      <c r="AK6" s="45" t="s">
        <v>42</v>
      </c>
      <c r="AL6" s="45">
        <v>250.0</v>
      </c>
      <c r="AM6" s="45">
        <v>250.0</v>
      </c>
      <c r="AN6" s="44"/>
      <c r="AO6" s="44"/>
      <c r="AP6" s="44"/>
      <c r="AQ6" s="45">
        <v>10.0</v>
      </c>
      <c r="AR6" s="45">
        <v>10.0</v>
      </c>
      <c r="AS6" s="45" t="s">
        <v>35</v>
      </c>
      <c r="AT6" s="45" t="s">
        <v>43</v>
      </c>
      <c r="AU6" s="45" t="s">
        <v>44</v>
      </c>
      <c r="AV6" s="45">
        <v>-2500.0</v>
      </c>
      <c r="AW6" s="45">
        <v>-2500.0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</row>
    <row r="7" ht="15.75" customHeight="1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5" t="s">
        <v>28</v>
      </c>
      <c r="AJ7" s="45" t="s">
        <v>27</v>
      </c>
      <c r="AK7" s="45" t="s">
        <v>42</v>
      </c>
      <c r="AL7" s="45">
        <v>250.0</v>
      </c>
      <c r="AM7" s="45">
        <v>250.0</v>
      </c>
      <c r="AN7" s="44"/>
      <c r="AO7" s="44"/>
      <c r="AP7" s="44"/>
      <c r="AQ7" s="45">
        <v>10.0</v>
      </c>
      <c r="AR7" s="45">
        <v>10.0</v>
      </c>
      <c r="AS7" s="45" t="s">
        <v>35</v>
      </c>
      <c r="AT7" s="45"/>
      <c r="AU7" s="45" t="s">
        <v>44</v>
      </c>
      <c r="AV7" s="45">
        <v>-2500.0</v>
      </c>
      <c r="AW7" s="45">
        <v>-2500.0</v>
      </c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  <c r="EL7" s="44"/>
      <c r="EM7" s="44"/>
      <c r="EN7" s="44"/>
      <c r="EO7" s="44"/>
      <c r="EP7" s="44"/>
      <c r="EQ7" s="44"/>
      <c r="ER7" s="44"/>
      <c r="ES7" s="44"/>
      <c r="ET7" s="44"/>
      <c r="EU7" s="44"/>
      <c r="EV7" s="44"/>
      <c r="EW7" s="44"/>
      <c r="EX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