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SetAuecExecutingBroker" sheetId="4" r:id="rId7"/>
    <sheet state="visible" name="SetTTUIAdminPreferences" sheetId="5" r:id="rId8"/>
    <sheet state="visible" name="SetGeneralPreference" sheetId="6" r:id="rId9"/>
    <sheet state="visible" name="AddCalculatedPreferences" sheetId="7" r:id="rId10"/>
    <sheet state="visible" name="SetAccountValueCalculatedPref" sheetId="8" r:id="rId11"/>
    <sheet state="visible" name="SetDefaultRuleCalculatedPref" sheetId="9" r:id="rId12"/>
    <sheet state="visible" name="CustomOrderTT" sheetId="10" r:id="rId13"/>
    <sheet state="visible" name="TradeNewSubOrder" sheetId="11" r:id="rId14"/>
    <sheet state="visible" name="CreateNewSubLiveOrder" sheetId="12" r:id="rId15"/>
    <sheet state="visible" name="TradeNewSubOrder1" sheetId="13" r:id="rId16"/>
    <sheet state="visible" name="CreateNewSubLiveOrder1" sheetId="14" r:id="rId17"/>
    <sheet state="visible" name="SelectTrade" sheetId="15" r:id="rId18"/>
    <sheet state="visible" name="AcknowledgeTrade" sheetId="16" r:id="rId19"/>
    <sheet state="visible" name="SelectTrade1" sheetId="17" r:id="rId20"/>
    <sheet state="visible" name="AcknowledgeTrade1" sheetId="18" r:id="rId21"/>
    <sheet state="visible" name="ExecuteTrade" sheetId="19" r:id="rId22"/>
    <sheet state="visible" name="CheckAllocatedTaxlots" sheetId="20" r:id="rId23"/>
    <sheet state="visible" name="CheckPortfolioManagement" sheetId="21" r:id="rId24"/>
  </sheets>
  <definedNames/>
  <calcPr/>
  <extLst>
    <ext uri="GoogleSheetsCustomDataVersion2">
      <go:sheetsCustomData xmlns:go="http://customooxmlschemas.google.com/" r:id="rId25" roundtripDataChecksum="d/kBAw5kDkaDqkqL57qw5v0mQDvureRPI+NhxzzDEQE="/>
    </ext>
  </extLst>
</workbook>
</file>

<file path=xl/sharedStrings.xml><?xml version="1.0" encoding="utf-8"?>
<sst xmlns="http://schemas.openxmlformats.org/spreadsheetml/2006/main" count="287" uniqueCount="71">
  <si>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</si>
  <si>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</si>
  <si>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</si>
  <si>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</si>
  <si>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</si>
  <si>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</si>
  <si>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</si>
  <si>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</si>
  <si>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</si>
  <si>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</si>
  <si>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</si>
  <si>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</si>
  <si>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</si>
  <si>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</si>
  <si>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</si>
  <si>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</si>
  <si>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</si>
  <si>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GS</t>
  </si>
  <si>
    <t>Allocation2</t>
  </si>
  <si>
    <t>Allocation3</t>
  </si>
  <si>
    <t>MS</t>
  </si>
  <si>
    <t>Allocation4</t>
  </si>
  <si>
    <t>SetTTUIAdminPreferences</t>
  </si>
  <si>
    <t>TradingTicket</t>
  </si>
  <si>
    <t>SetGeneralPreference</t>
  </si>
  <si>
    <t>Allocation</t>
  </si>
  <si>
    <t>AddCalculatedPreferences</t>
  </si>
  <si>
    <t>DEMO1</t>
  </si>
  <si>
    <t>SetAccountValueCalculatedPref</t>
  </si>
  <si>
    <t>SetDefaultRuleCalculatedPref</t>
  </si>
  <si>
    <t>Trade Quantity</t>
  </si>
  <si>
    <t>Current Preference</t>
  </si>
  <si>
    <t>CustomOrderTT</t>
  </si>
  <si>
    <t>AAPL</t>
  </si>
  <si>
    <t>Create Order</t>
  </si>
  <si>
    <t>Buy</t>
  </si>
  <si>
    <t>Allocation1,Allocation2</t>
  </si>
  <si>
    <t>50,50</t>
  </si>
  <si>
    <t>MSFT</t>
  </si>
  <si>
    <t>Blotter</t>
  </si>
  <si>
    <t>TradeNewSubOrder</t>
  </si>
  <si>
    <t>CreateNewSubLiveOrder</t>
  </si>
  <si>
    <t>Allocation1,Allocation2,Allocation3,Allocation4</t>
  </si>
  <si>
    <t>0,0,50,50</t>
  </si>
  <si>
    <t>Simulator</t>
  </si>
  <si>
    <t>SelectTrade</t>
  </si>
  <si>
    <t>AcknowledgeTrade</t>
  </si>
  <si>
    <t>ExecuteTrade</t>
  </si>
  <si>
    <t>CheckAllocatedTaxlots</t>
  </si>
  <si>
    <t>M</t>
  </si>
  <si>
    <t>Strategy Unallocated</t>
  </si>
  <si>
    <t>PortfolioManagement</t>
  </si>
  <si>
    <t>CheckPortfolioManagement</t>
  </si>
  <si>
    <t/>
  </si>
  <si>
    <t>NewMF</t>
  </si>
  <si>
    <t>Long</t>
  </si>
  <si>
    <t>APPLE</t>
  </si>
  <si>
    <t>Undefined</t>
  </si>
  <si>
    <t>Equity</t>
  </si>
  <si>
    <t>US</t>
  </si>
  <si>
    <t>NASDAQ</t>
  </si>
  <si>
    <t>USD</t>
  </si>
  <si>
    <t>DefaultNotes</t>
  </si>
  <si>
    <t>New Hedge</t>
  </si>
  <si>
    <t>Small Cap</t>
  </si>
  <si>
    <t>jpearce</t>
  </si>
  <si>
    <t>NewMF1</t>
  </si>
  <si>
    <t>MICROSOFT INC</t>
  </si>
  <si>
    <t>Equity General</t>
  </si>
  <si>
    <t>Information Technology</t>
  </si>
  <si>
    <t>Copper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</si>
</sst>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6" numFmtId="0" xfId="0" applyAlignment="1" applyFont="1">
      <alignment readingOrder="0"/>
    </xf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1" numFmtId="0" xfId="0" applyFont="1"/>
    <xf borderId="3" fillId="3" fontId="8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IFERROR(__xludf.DUMMYFUNCTION("""COMPUTED_VALUE"""),"1Yw4tQ35sAxNJda9xoHyKAOkv1uUSL6Lyjkb7t2gRWzU")</f>
        <v>1Yw4tQ35sAxNJda9xoHyKAOkv1uUSL6Lyjkb7t2gRWzU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7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</row>
    <row r="4" ht="15.75" customHeight="1">
      <c r="A4" s="19"/>
      <c r="B4" s="19" t="str">
        <f>IFERROR(__xludf.DUMMYFUNCTION("IF(C3="""","""",Transpose(IMPORTRANGE('_Settings'!$B$3,C3&amp;""!A4:A1000"")))"),"SetTTUIPreferences")</f>
        <v>SetTTUIPreferences</v>
      </c>
      <c r="C4" s="19" t="str">
        <f>IFERROR(__xludf.DUMMYFUNCTION("""COMPUTED_VALUE"""),"TTPermissionLevel")</f>
        <v>TTPermissionLevel</v>
      </c>
      <c r="D4" s="19" t="str">
        <f>IFERROR(__xludf.DUMMYFUNCTION("""COMPUTED_VALUE"""),"SetCheckSide")</f>
        <v>SetCheckSide</v>
      </c>
      <c r="E4" s="19" t="str">
        <f>IFERROR(__xludf.DUMMYFUNCTION("""COMPUTED_VALUE"""),"SetRollover")</f>
        <v>SetRollover</v>
      </c>
      <c r="F4" s="19" t="str">
        <f>IFERROR(__xludf.DUMMYFUNCTION("""COMPUTED_VALUE"""),"SetActive")</f>
        <v>SetActive</v>
      </c>
      <c r="G4" s="19" t="str">
        <f>IFERROR(__xludf.DUMMYFUNCTION("""COMPUTED_VALUE"""),"SetThirdPartyFormat")</f>
        <v>SetThirdPartyFormat</v>
      </c>
      <c r="H4" s="19" t="str">
        <f>IFERROR(__xludf.DUMMYFUNCTION("""COMPUTED_VALUE"""),"UpdateRoundLot")</f>
        <v>UpdateRoundLot</v>
      </c>
      <c r="I4" s="19" t="str">
        <f>IFERROR(__xludf.DUMMYFUNCTION("""COMPUTED_VALUE"""),"SetTradingComplianceRules")</f>
        <v>SetTradingComplianceRules</v>
      </c>
      <c r="J4" s="19" t="str">
        <f>IFERROR(__xludf.DUMMYFUNCTION("""COMPUTED_VALUE"""),"EnableBreakdownRealizedPNL")</f>
        <v>EnableBreakdownRealizedPNL</v>
      </c>
      <c r="K4" s="19" t="str">
        <f>IFERROR(__xludf.DUMMYFUNCTION("""COMPUTED_VALUE"""),"SetTTGeneralPreferences")</f>
        <v>SetTTGeneralPreferences</v>
      </c>
      <c r="L4" s="19" t="str">
        <f>IFERROR(__xludf.DUMMYFUNCTION("""COMPUTED_VALUE"""),"SetDollarAmountPermission")</f>
        <v>SetDollarAmountPermission</v>
      </c>
      <c r="M4" s="19" t="str">
        <f>IFERROR(__xludf.DUMMYFUNCTION("""COMPUTED_VALUE"""),"EnableDisableModule")</f>
        <v>EnableDisableModule</v>
      </c>
      <c r="N4" s="19" t="str">
        <f>IFERROR(__xludf.DUMMYFUNCTION("""COMPUTED_VALUE"""),"IsImportOverrideOnShortLocate")</f>
        <v>IsImportOverrideOnShortLocate</v>
      </c>
      <c r="O4" s="19" t="str">
        <f>IFERROR(__xludf.DUMMYFUNCTION("""COMPUTED_VALUE"""),"SetShortLocateStructures")</f>
        <v>SetShortLocateStructures</v>
      </c>
      <c r="P4" s="20" t="str">
        <f>IFERROR(__xludf.DUMMYFUNCTION("""COMPUTED_VALUE"""),"SetComplianceAlert")</f>
        <v>SetComplianceAlert</v>
      </c>
      <c r="Q4" s="20" t="str">
        <f>IFERROR(__xludf.DUMMYFUNCTION("""COMPUTED_VALUE"""),"UpdateExpirationDate")</f>
        <v>UpdateExpirationDate</v>
      </c>
      <c r="R4" s="20" t="str">
        <f>IFERROR(__xludf.DUMMYFUNCTION("""COMPUTED_VALUE"""),"RenameMasterStrategy")</f>
        <v>RenameMasterStrategy</v>
      </c>
      <c r="S4" s="20" t="str">
        <f>IFERROR(__xludf.DUMMYFUNCTION("""COMPUTED_VALUE"""),"SetTTUIAdminPreferences")</f>
        <v>SetTTUIAdminPreferences</v>
      </c>
      <c r="T4" s="20" t="str">
        <f>IFERROR(__xludf.DUMMYFUNCTION("""COMPUTED_VALUE"""),"UpdateSecFee")</f>
        <v>UpdateSecFee</v>
      </c>
      <c r="U4" s="20" t="str">
        <f>IFERROR(__xludf.DUMMYFUNCTION("""COMPUTED_VALUE"""),"UpdateFee")</f>
        <v>UpdateFee</v>
      </c>
      <c r="V4" s="20" t="str">
        <f>IFERROR(__xludf.DUMMYFUNCTION("""COMPUTED_VALUE"""),"RevertingSMSharesOutValue")</f>
        <v>RevertingSMSharesOutValue</v>
      </c>
      <c r="W4" s="20" t="str">
        <f>IFERROR(__xludf.DUMMYFUNCTION("""COMPUTED_VALUE"""),"RestartSQL")</f>
        <v>RestartSQL</v>
      </c>
      <c r="X4" s="20" t="str">
        <f>IFERROR(__xludf.DUMMYFUNCTION("""COMPUTED_VALUE"""),"TradeAuditCleanUp")</f>
        <v>TradeAuditCleanUp</v>
      </c>
      <c r="Y4" s="20" t="str">
        <f>IFERROR(__xludf.DUMMYFUNCTION("""COMPUTED_VALUE"""),"DeleteSymbolFromSM")</f>
        <v>DeleteSymbolFromSM</v>
      </c>
      <c r="Z4" s="20" t="str">
        <f>IFERROR(__xludf.DUMMYFUNCTION("""COMPUTED_VALUE"""),"SetCompliancePermission")</f>
        <v>SetCompliancePermission</v>
      </c>
      <c r="AA4" s="20" t="str">
        <f>IFERROR(__xludf.DUMMYFUNCTION("""COMPUTED_VALUE"""),"SetMasterFundOnTT")</f>
        <v>SetMasterFundOnTT</v>
      </c>
      <c r="AB4" s="20" t="str">
        <f>IFERROR(__xludf.DUMMYFUNCTION("""COMPUTED_VALUE"""),"SetMarketDataProvider")</f>
        <v>SetMarketDataProvider</v>
      </c>
      <c r="AC4" s="20" t="str">
        <f>IFERROR(__xludf.DUMMYFUNCTION("""COMPUTED_VALUE"""),"SetAllocationPreferences")</f>
        <v>SetAllocationPreferences</v>
      </c>
      <c r="AD4" s="20" t="str">
        <f>IFERROR(__xludf.DUMMYFUNCTION("""COMPUTED_VALUE"""),"SetRegularCompliancePermission")</f>
        <v>SetRegularCompliancePermission</v>
      </c>
      <c r="AE4" s="20" t="str">
        <f>IFERROR(__xludf.DUMMYFUNCTION("""COMPUTED_VALUE"""),"SetCommissionRule")</f>
        <v>SetCommissionRule</v>
      </c>
      <c r="AF4" s="20" t="str">
        <f>IFERROR(__xludf.DUMMYFUNCTION("""COMPUTED_VALUE"""),"SetPreTradeCompliancePermission")</f>
        <v>SetPreTradeCompliancePermission</v>
      </c>
      <c r="AG4" s="20" t="str">
        <f>IFERROR(__xludf.DUMMYFUNCTION("""COMPUTED_VALUE"""),"SetAuecExecutingBroker")</f>
        <v>SetAuecExecutingBroker</v>
      </c>
      <c r="AH4" s="20" t="str">
        <f>IFERROR(__xludf.DUMMYFUNCTION("""COMPUTED_VALUE"""),"SetAlgoBroker")</f>
        <v>SetAlgoBroker</v>
      </c>
      <c r="AI4" s="20" t="str">
        <f>IFERROR(__xludf.DUMMYFUNCTION("""COMPUTED_VALUE"""),"EnableAutoGroupingAllocation")</f>
        <v>EnableAutoGroupingAllocation</v>
      </c>
      <c r="AJ4" s="20" t="str">
        <f>IFERROR(__xludf.DUMMYFUNCTION("""COMPUTED_VALUE"""),"ConfigUpdater")</f>
        <v>ConfigUpdater</v>
      </c>
      <c r="AK4" s="20" t="str">
        <f>IFERROR(__xludf.DUMMYFUNCTION("""COMPUTED_VALUE"""),"AccountPermission")</f>
        <v>AccountPermission</v>
      </c>
      <c r="AL4" s="20" t="str">
        <f>IFERROR(__xludf.DUMMYFUNCTION("""COMPUTED_VALUE"""),"BasketPermission")</f>
        <v>BasketPermission</v>
      </c>
      <c r="AM4" s="20" t="str">
        <f>IFERROR(__xludf.DUMMYFUNCTION("""COMPUTED_VALUE"""),"ChangeDate")</f>
        <v>ChangeDate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IFERROR(__xludf.DUMMYFUNCTION("""COMPUTED_VALUE"""),"Account")</f>
        <v>Account</v>
      </c>
      <c r="C5" s="22" t="str">
        <f>IFERROR(__xludf.DUMMYFUNCTION("""COMPUTED_VALUE"""),"Broker")</f>
        <v>Broker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</row>
    <row r="6" ht="15.75" customHeight="1">
      <c r="A6" s="6"/>
      <c r="B6" s="6" t="s">
        <v>16</v>
      </c>
      <c r="C6" s="6" t="s">
        <v>17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 t="s">
        <v>18</v>
      </c>
      <c r="C7" s="6" t="s">
        <v>17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 t="s">
        <v>19</v>
      </c>
      <c r="C8" s="6" t="s">
        <v>20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 t="s">
        <v>21</v>
      </c>
      <c r="C9" s="6" t="s">
        <v>20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7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24" t="s">
        <v>22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</row>
    <row r="4" ht="15.75" customHeight="1">
      <c r="A4" s="19"/>
      <c r="B4" s="19" t="str">
        <f>IFERROR(__xludf.DUMMYFUNCTION("IF(C3="""","""",Transpose(IMPORTRANGE('_Settings'!$B$3,C3&amp;""!A4:A1000"")))"),"SetTTUIPreferences")</f>
        <v>SetTTUIPreferences</v>
      </c>
      <c r="C4" s="19" t="str">
        <f>IFERROR(__xludf.DUMMYFUNCTION("""COMPUTED_VALUE"""),"TTPermissionLevel")</f>
        <v>TTPermissionLevel</v>
      </c>
      <c r="D4" s="19" t="str">
        <f>IFERROR(__xludf.DUMMYFUNCTION("""COMPUTED_VALUE"""),"SetCheckSide")</f>
        <v>SetCheckSide</v>
      </c>
      <c r="E4" s="19" t="str">
        <f>IFERROR(__xludf.DUMMYFUNCTION("""COMPUTED_VALUE"""),"SetRollover")</f>
        <v>SetRollover</v>
      </c>
      <c r="F4" s="19" t="str">
        <f>IFERROR(__xludf.DUMMYFUNCTION("""COMPUTED_VALUE"""),"SetActive")</f>
        <v>SetActive</v>
      </c>
      <c r="G4" s="19" t="str">
        <f>IFERROR(__xludf.DUMMYFUNCTION("""COMPUTED_VALUE"""),"SetThirdPartyFormat")</f>
        <v>SetThirdPartyFormat</v>
      </c>
      <c r="H4" s="19" t="str">
        <f>IFERROR(__xludf.DUMMYFUNCTION("""COMPUTED_VALUE"""),"UpdateRoundLot")</f>
        <v>UpdateRoundLot</v>
      </c>
      <c r="I4" s="19" t="str">
        <f>IFERROR(__xludf.DUMMYFUNCTION("""COMPUTED_VALUE"""),"SetTradingComplianceRules")</f>
        <v>SetTradingComplianceRules</v>
      </c>
      <c r="J4" s="19" t="str">
        <f>IFERROR(__xludf.DUMMYFUNCTION("""COMPUTED_VALUE"""),"EnableBreakdownRealizedPNL")</f>
        <v>EnableBreakdownRealizedPNL</v>
      </c>
      <c r="K4" s="19" t="str">
        <f>IFERROR(__xludf.DUMMYFUNCTION("""COMPUTED_VALUE"""),"SetTTGeneralPreferences")</f>
        <v>SetTTGeneralPreferences</v>
      </c>
      <c r="L4" s="19" t="str">
        <f>IFERROR(__xludf.DUMMYFUNCTION("""COMPUTED_VALUE"""),"SetDollarAmountPermission")</f>
        <v>SetDollarAmountPermission</v>
      </c>
      <c r="M4" s="19" t="str">
        <f>IFERROR(__xludf.DUMMYFUNCTION("""COMPUTED_VALUE"""),"EnableDisableModule")</f>
        <v>EnableDisableModule</v>
      </c>
      <c r="N4" s="19" t="str">
        <f>IFERROR(__xludf.DUMMYFUNCTION("""COMPUTED_VALUE"""),"IsImportOverrideOnShortLocate")</f>
        <v>IsImportOverrideOnShortLocate</v>
      </c>
      <c r="O4" s="19" t="str">
        <f>IFERROR(__xludf.DUMMYFUNCTION("""COMPUTED_VALUE"""),"SetShortLocateStructures")</f>
        <v>SetShortLocateStructures</v>
      </c>
      <c r="P4" s="20" t="str">
        <f>IFERROR(__xludf.DUMMYFUNCTION("""COMPUTED_VALUE"""),"SetComplianceAlert")</f>
        <v>SetComplianceAlert</v>
      </c>
      <c r="Q4" s="20" t="str">
        <f>IFERROR(__xludf.DUMMYFUNCTION("""COMPUTED_VALUE"""),"UpdateExpirationDate")</f>
        <v>UpdateExpirationDate</v>
      </c>
      <c r="R4" s="20" t="str">
        <f>IFERROR(__xludf.DUMMYFUNCTION("""COMPUTED_VALUE"""),"RenameMasterStrategy")</f>
        <v>RenameMasterStrategy</v>
      </c>
      <c r="S4" s="20" t="str">
        <f>IFERROR(__xludf.DUMMYFUNCTION("""COMPUTED_VALUE"""),"SetTTUIAdminPreferences")</f>
        <v>SetTTUIAdminPreferences</v>
      </c>
      <c r="T4" s="20" t="str">
        <f>IFERROR(__xludf.DUMMYFUNCTION("""COMPUTED_VALUE"""),"UpdateSecFee")</f>
        <v>UpdateSecFee</v>
      </c>
      <c r="U4" s="20" t="str">
        <f>IFERROR(__xludf.DUMMYFUNCTION("""COMPUTED_VALUE"""),"UpdateFee")</f>
        <v>UpdateFee</v>
      </c>
      <c r="V4" s="20" t="str">
        <f>IFERROR(__xludf.DUMMYFUNCTION("""COMPUTED_VALUE"""),"RevertingSMSharesOutValue")</f>
        <v>RevertingSMSharesOutValue</v>
      </c>
      <c r="W4" s="20" t="str">
        <f>IFERROR(__xludf.DUMMYFUNCTION("""COMPUTED_VALUE"""),"RestartSQL")</f>
        <v>RestartSQL</v>
      </c>
      <c r="X4" s="20" t="str">
        <f>IFERROR(__xludf.DUMMYFUNCTION("""COMPUTED_VALUE"""),"TradeAuditCleanUp")</f>
        <v>TradeAuditCleanUp</v>
      </c>
      <c r="Y4" s="20" t="str">
        <f>IFERROR(__xludf.DUMMYFUNCTION("""COMPUTED_VALUE"""),"DeleteSymbolFromSM")</f>
        <v>DeleteSymbolFromSM</v>
      </c>
      <c r="Z4" s="20" t="str">
        <f>IFERROR(__xludf.DUMMYFUNCTION("""COMPUTED_VALUE"""),"SetCompliancePermission")</f>
        <v>SetCompliancePermission</v>
      </c>
      <c r="AA4" s="20" t="str">
        <f>IFERROR(__xludf.DUMMYFUNCTION("""COMPUTED_VALUE"""),"SetMasterFundOnTT")</f>
        <v>SetMasterFundOnTT</v>
      </c>
      <c r="AB4" s="20" t="str">
        <f>IFERROR(__xludf.DUMMYFUNCTION("""COMPUTED_VALUE"""),"SetMarketDataProvider")</f>
        <v>SetMarketDataProvider</v>
      </c>
      <c r="AC4" s="20" t="str">
        <f>IFERROR(__xludf.DUMMYFUNCTION("""COMPUTED_VALUE"""),"SetAllocationPreferences")</f>
        <v>SetAllocationPreferences</v>
      </c>
      <c r="AD4" s="20" t="str">
        <f>IFERROR(__xludf.DUMMYFUNCTION("""COMPUTED_VALUE"""),"SetRegularCompliancePermission")</f>
        <v>SetRegularCompliancePermission</v>
      </c>
      <c r="AE4" s="20" t="str">
        <f>IFERROR(__xludf.DUMMYFUNCTION("""COMPUTED_VALUE"""),"SetCommissionRule")</f>
        <v>SetCommissionRule</v>
      </c>
      <c r="AF4" s="20" t="str">
        <f>IFERROR(__xludf.DUMMYFUNCTION("""COMPUTED_VALUE"""),"SetPreTradeCompliancePermission")</f>
        <v>SetPreTradeCompliancePermission</v>
      </c>
      <c r="AG4" s="20" t="str">
        <f>IFERROR(__xludf.DUMMYFUNCTION("""COMPUTED_VALUE"""),"SetAuecExecutingBroker")</f>
        <v>SetAuecExecutingBroker</v>
      </c>
      <c r="AH4" s="20" t="str">
        <f>IFERROR(__xludf.DUMMYFUNCTION("""COMPUTED_VALUE"""),"SetAlgoBroker")</f>
        <v>SetAlgoBroker</v>
      </c>
      <c r="AI4" s="20" t="str">
        <f>IFERROR(__xludf.DUMMYFUNCTION("""COMPUTED_VALUE"""),"EnableAutoGroupingAllocation")</f>
        <v>EnableAutoGroupingAllocation</v>
      </c>
      <c r="AJ4" s="20" t="str">
        <f>IFERROR(__xludf.DUMMYFUNCTION("""COMPUTED_VALUE"""),"ConfigUpdater")</f>
        <v>ConfigUpdater</v>
      </c>
      <c r="AK4" s="20" t="str">
        <f>IFERROR(__xludf.DUMMYFUNCTION("""COMPUTED_VALUE"""),"AccountPermission")</f>
        <v>AccountPermission</v>
      </c>
      <c r="AL4" s="20" t="str">
        <f>IFERROR(__xludf.DUMMYFUNCTION("""COMPUTED_VALUE"""),"BasketPermission")</f>
        <v>BasketPermission</v>
      </c>
      <c r="AM4" s="20" t="str">
        <f>IFERROR(__xludf.DUMMYFUNCTION("""COMPUTED_VALUE"""),"ChangeDate")</f>
        <v>ChangeDate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IFERROR(__xludf.DUMMYFUNCTION("""COMPUTED_VALUE"""),"Broker")</f>
        <v>Broker</v>
      </c>
      <c r="C5" s="22" t="str">
        <f>IFERROR(__xludf.DUMMYFUNCTION("""COMPUTED_VALUE"""),"Venue")</f>
        <v>Venue</v>
      </c>
      <c r="D5" s="22" t="str">
        <f>IFERROR(__xludf.DUMMYFUNCTION("""COMPUTED_VALUE"""),"TIF")</f>
        <v>TIF</v>
      </c>
      <c r="E5" s="22" t="str">
        <f>IFERROR(__xludf.DUMMYFUNCTION("""COMPUTED_VALUE"""),"Trader")</f>
        <v>Trader</v>
      </c>
      <c r="F5" s="22" t="str">
        <f>IFERROR(__xludf.DUMMYFUNCTION("""COMPUTED_VALUE"""),"ShowHideTargetQuantity")</f>
        <v>ShowHideTargetQuantity</v>
      </c>
      <c r="G5" s="22" t="str">
        <f>IFERROR(__xludf.DUMMYFUNCTION("""COMPUTED_VALUE"""),"SecurityValidationForEquityOption")</f>
        <v>SecurityValidationForEquityOption</v>
      </c>
      <c r="H5" s="22" t="str">
        <f>IFERROR(__xludf.DUMMYFUNCTION("""COMPUTED_VALUE"""),"Order Type")</f>
        <v>Order Type</v>
      </c>
      <c r="I5" s="22" t="str">
        <f>IFERROR(__xludf.DUMMYFUNCTION("""COMPUTED_VALUE"""),"Account")</f>
        <v>Account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</row>
    <row r="6" ht="15.75" customHeight="1">
      <c r="A6" s="6"/>
      <c r="B6" s="25" t="s">
        <v>20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2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24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IFERROR(__xludf.DUMMYFUNCTION("""COMPUTED_VALUE"""),"DefaultSymbology")</f>
        <v>DefaultSymbology</v>
      </c>
      <c r="C5" s="22" t="str">
        <f>IFERROR(__xludf.DUMMYFUNCTION("""COMPUTED_VALUE"""),"DefaultOptionType")</f>
        <v>DefaultOptionType</v>
      </c>
      <c r="D5" s="22" t="str">
        <f>IFERROR(__xludf.DUMMYFUNCTION("""COMPUTED_VALUE"""),"DefaultNotes")</f>
        <v>DefaultNotes</v>
      </c>
      <c r="E5" s="22" t="str">
        <f>IFERROR(__xludf.DUMMYFUNCTION("""COMPUTED_VALUE"""),"DefaultBrokerNotes")</f>
        <v>DefaultBrokerNotes</v>
      </c>
      <c r="F5" s="22" t="str">
        <f>IFERROR(__xludf.DUMMYFUNCTION("""COMPUTED_VALUE"""),"KeepTradingTicketOpenAfterTrade")</f>
        <v>KeepTradingTicketOpenAfterTrade</v>
      </c>
      <c r="G5" s="22" t="str">
        <f>IFERROR(__xludf.DUMMYFUNCTION("""COMPUTED_VALUE"""),"ShowOptionDetails")</f>
        <v>ShowOptionDetails</v>
      </c>
      <c r="H5" s="22" t="str">
        <f>IFERROR(__xludf.DUMMYFUNCTION("""COMPUTED_VALUE"""),"Use Custodian Broker")</f>
        <v>Use Custodian Broker</v>
      </c>
      <c r="I5" s="22" t="str">
        <f>IFERROR(__xludf.DUMMYFUNCTION("""COMPUTED_VALUE"""),"Button_Status")</f>
        <v>Button_Status</v>
      </c>
      <c r="J5" s="22" t="str">
        <f>IFERROR(__xludf.DUMMYFUNCTION("""COMPUTED_VALUE"""),"ClearColumnValue")</f>
        <v>ClearColumnValue</v>
      </c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</row>
    <row r="6" ht="15.75" customHeight="1">
      <c r="A6" s="6"/>
      <c r="B6" s="6"/>
      <c r="C6" s="6"/>
      <c r="D6" s="6"/>
      <c r="E6" s="6"/>
      <c r="F6" s="6"/>
      <c r="G6" s="6"/>
      <c r="H6" s="6" t="b">
        <v>1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26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IFERROR(__xludf.DUMMYFUNCTION("""COMPUTED_VALUE"""),"PreferenceName")</f>
        <v>PreferenceName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6" t="s">
        <v>27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28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IFERROR(__xludf.DUMMYFUNCTION("""COMPUTED_VALUE"""),"PreferenceName")</f>
        <v>PreferenceName</v>
      </c>
      <c r="C5" s="22" t="str">
        <f>IFERROR(__xludf.DUMMYFUNCTION("""COMPUTED_VALUE"""),"AccountName")</f>
        <v>AccountName</v>
      </c>
      <c r="D5" s="22" t="str">
        <f>IFERROR(__xludf.DUMMYFUNCTION("""COMPUTED_VALUE"""),"Percentage")</f>
        <v>Percentage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6" t="s">
        <v>27</v>
      </c>
      <c r="C6" s="6" t="s">
        <v>16</v>
      </c>
      <c r="D6" s="6">
        <v>50.0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 t="s">
        <v>27</v>
      </c>
      <c r="C7" s="6" t="s">
        <v>18</v>
      </c>
      <c r="D7" s="6">
        <v>50.0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29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IFERROR(__xludf.DUMMYFUNCTION("""COMPUTED_VALUE"""),"AllocationMethod")</f>
        <v>AllocationMethod</v>
      </c>
      <c r="C5" s="22" t="str">
        <f>IFERROR(__xludf.DUMMYFUNCTION("""COMPUTED_VALUE"""),"RemainderAllocationTo")</f>
        <v>RemainderAllocationTo</v>
      </c>
      <c r="D5" s="22" t="str">
        <f>IFERROR(__xludf.DUMMYFUNCTION("""COMPUTED_VALUE"""),"Target%AsOf")</f>
        <v>Target%AsOf</v>
      </c>
      <c r="E5" s="22" t="str">
        <f>IFERROR(__xludf.DUMMYFUNCTION("""COMPUTED_VALUE"""),"ProrataAccounts")</f>
        <v>ProrataAccounts</v>
      </c>
      <c r="F5" s="22" t="str">
        <f>IFERROR(__xludf.DUMMYFUNCTION("""COMPUTED_VALUE"""),"DateUptoDays")</f>
        <v>DateUptoDays</v>
      </c>
      <c r="G5" s="22" t="str">
        <f>IFERROR(__xludf.DUMMYFUNCTION("""COMPUTED_VALUE"""),"MatchClosingTransactions")</f>
        <v>MatchClosingTransactions</v>
      </c>
      <c r="H5" s="22" t="str">
        <f>IFERROR(__xludf.DUMMYFUNCTION("""COMPUTED_VALUE"""),"PreferenceName")</f>
        <v>PreferenceName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6" t="s">
        <v>30</v>
      </c>
      <c r="C6" s="6"/>
      <c r="D6" s="6" t="s">
        <v>31</v>
      </c>
      <c r="E6" s="6"/>
      <c r="F6" s="6"/>
      <c r="G6" s="6" t="b">
        <v>0</v>
      </c>
      <c r="H6" s="6" t="s">
        <v>27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2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32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</row>
    <row r="6" ht="15.75" customHeight="1">
      <c r="A6" s="6"/>
      <c r="B6" s="6" t="s">
        <v>33</v>
      </c>
      <c r="C6" s="6">
        <v>100.0</v>
      </c>
      <c r="D6" s="6">
        <v>2.0</v>
      </c>
      <c r="E6" s="6" t="s">
        <v>34</v>
      </c>
      <c r="F6" s="6"/>
      <c r="G6" s="6"/>
      <c r="H6" s="6"/>
      <c r="I6" s="6"/>
      <c r="J6" s="6" t="s">
        <v>35</v>
      </c>
      <c r="K6" s="6"/>
      <c r="L6" s="6"/>
      <c r="M6" s="6"/>
      <c r="N6" s="6"/>
      <c r="O6" s="6"/>
      <c r="P6" s="8" t="s">
        <v>36</v>
      </c>
      <c r="Q6" s="8" t="s">
        <v>37</v>
      </c>
    </row>
    <row r="7" ht="15.75" customHeight="1">
      <c r="A7" s="6"/>
      <c r="B7" s="6" t="s">
        <v>38</v>
      </c>
      <c r="C7" s="6">
        <v>100.0</v>
      </c>
      <c r="D7" s="6">
        <v>2.0</v>
      </c>
      <c r="E7" s="6" t="s">
        <v>34</v>
      </c>
      <c r="F7" s="6"/>
      <c r="G7" s="6"/>
      <c r="H7" s="6"/>
      <c r="I7" s="6" t="s">
        <v>27</v>
      </c>
      <c r="J7" s="6" t="s">
        <v>35</v>
      </c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39</v>
      </c>
      <c r="D3" s="4" t="s">
        <v>9</v>
      </c>
      <c r="E3" s="11" t="s">
        <v>40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/>
      <c r="DJ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IFERROR(__xludf.DUMMYFUNCTION("""COMPUTED_VALUE"""),"User")</f>
        <v>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IFERROR(__xludf.DUMMYFUNCTION("""COMPUTED_VALUE"""),"Status (With Rollover)")</f>
        <v>Status (With Rollover)</v>
      </c>
      <c r="AZ5" s="23" t="str">
        <f>IFERROR(__xludf.DUMMYFUNCTION("""COMPUTED_VALUE"""),"Start of Day Qty")</f>
        <v>Start of Day Qty</v>
      </c>
      <c r="BA5" s="23" t="str">
        <f>IFERROR(__xludf.DUMMYFUNCTION("""COMPUTED_VALUE"""),"Leaves")</f>
        <v>Leaves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8" t="s">
        <v>33</v>
      </c>
      <c r="AJ6" s="8" t="s">
        <v>35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2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41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IFERROR(__xludf.DUMMYFUNCTION("""COMPUTED_VALUE"""),"Order Side")</f>
        <v>Order Side</v>
      </c>
      <c r="D5" s="22" t="str">
        <f>IFERROR(__xludf.DUMMYFUNCTION("""COMPUTED_VALUE"""),"Quantity")</f>
        <v>Quantity</v>
      </c>
      <c r="E5" s="22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2" t="str">
        <f>IFERROR(__xludf.DUMMYFUNCTION("""COMPUTED_VALUE"""),"Broker")</f>
        <v>Broker</v>
      </c>
      <c r="H5" s="22" t="str">
        <f>IFERROR(__xludf.DUMMYFUNCTION("""COMPUTED_VALUE"""),"TIF")</f>
        <v>TIF</v>
      </c>
      <c r="I5" s="22" t="str">
        <f>IFERROR(__xludf.DUMMYFUNCTION("""COMPUTED_VALUE"""),"Order Type")</f>
        <v>Order Type</v>
      </c>
      <c r="J5" s="22" t="str">
        <f>IFERROR(__xludf.DUMMYFUNCTION("""COMPUTED_VALUE"""),"Price")</f>
        <v>Price</v>
      </c>
      <c r="K5" s="22" t="str">
        <f>IFERROR(__xludf.DUMMYFUNCTION("""COMPUTED_VALUE"""),"Stop")</f>
        <v>Stop</v>
      </c>
      <c r="L5" s="22" t="str">
        <f>IFERROR(__xludf.DUMMYFUNCTION("""COMPUTED_VALUE"""),"Limit")</f>
        <v>Limit</v>
      </c>
      <c r="M5" s="22" t="str">
        <f>IFERROR(__xludf.DUMMYFUNCTION("""COMPUTED_VALUE"""),"Strategy")</f>
        <v>Strategy</v>
      </c>
      <c r="N5" s="22" t="str">
        <f>IFERROR(__xludf.DUMMYFUNCTION("""COMPUTED_VALUE"""),"Trade Date")</f>
        <v>Trade Date</v>
      </c>
      <c r="O5" s="22" t="str">
        <f>IFERROR(__xludf.DUMMYFUNCTION("""COMPUTED_VALUE"""),"FxRate")</f>
        <v>FxRate</v>
      </c>
      <c r="P5" s="22" t="str">
        <f>IFERROR(__xludf.DUMMYFUNCTION("""COMPUTED_VALUE"""),"Notes")</f>
        <v>Notes</v>
      </c>
      <c r="Q5" s="22" t="str">
        <f>IFERROR(__xludf.DUMMYFUNCTION("""COMPUTED_VALUE"""),"Broker Notes")</f>
        <v>Broker Notes</v>
      </c>
      <c r="R5" s="22" t="str">
        <f>IFERROR(__xludf.DUMMYFUNCTION("""COMPUTED_VALUE"""),"CommissionBasis")</f>
        <v>CommissionBasis</v>
      </c>
      <c r="S5" s="22" t="str">
        <f>IFERROR(__xludf.DUMMYFUNCTION("""COMPUTED_VALUE"""),"CommissionRate")</f>
        <v>CommissionRate</v>
      </c>
      <c r="T5" s="23" t="str">
        <f>IFERROR(__xludf.DUMMYFUNCTION("""COMPUTED_VALUE"""),"SoftBasis")</f>
        <v>SoftBasis</v>
      </c>
      <c r="U5" s="23" t="str">
        <f>IFERROR(__xludf.DUMMYFUNCTION("""COMPUTED_VALUE"""),"SoftRate")</f>
        <v>SoftRate</v>
      </c>
      <c r="V5" s="23" t="str">
        <f>IFERROR(__xludf.DUMMYFUNCTION("""COMPUTED_VALUE"""),"TradeAttribute1")</f>
        <v>TradeAttribute1</v>
      </c>
      <c r="W5" s="23" t="str">
        <f>IFERROR(__xludf.DUMMYFUNCTION("""COMPUTED_VALUE"""),"TradeAttribute2")</f>
        <v>TradeAttribute2</v>
      </c>
      <c r="X5" s="23" t="str">
        <f>IFERROR(__xludf.DUMMYFUNCTION("""COMPUTED_VALUE"""),"TradeAttribute3")</f>
        <v>TradeAttribute3</v>
      </c>
      <c r="Y5" s="23" t="str">
        <f>IFERROR(__xludf.DUMMYFUNCTION("""COMPUTED_VALUE"""),"TradeAttribute4")</f>
        <v>TradeAttribute4</v>
      </c>
      <c r="Z5" s="23" t="str">
        <f>IFERROR(__xludf.DUMMYFUNCTION("""COMPUTED_VALUE"""),"TradeAttribute5")</f>
        <v>TradeAttribute5</v>
      </c>
      <c r="AA5" s="23" t="str">
        <f>IFERROR(__xludf.DUMMYFUNCTION("""COMPUTED_VALUE"""),"TradeAttribute6")</f>
        <v>TradeAttribute6</v>
      </c>
      <c r="AB5" s="23" t="str">
        <f>IFERROR(__xludf.DUMMYFUNCTION("""COMPUTED_VALUE"""),"Venue")</f>
        <v>Venue</v>
      </c>
      <c r="AC5" s="23" t="str">
        <f>IFERROR(__xludf.DUMMYFUNCTION("""COMPUTED_VALUE"""),"ExecutionInstructions")</f>
        <v>ExecutionInstructions</v>
      </c>
      <c r="AD5" s="23" t="str">
        <f>IFERROR(__xludf.DUMMYFUNCTION("""COMPUTED_VALUE"""),"HandlingInstructions")</f>
        <v>HandlingInstructions</v>
      </c>
      <c r="AE5" s="23" t="str">
        <f>IFERROR(__xludf.DUMMYFUNCTION("""COMPUTED_VALUE"""),"Trader")</f>
        <v>Trader</v>
      </c>
      <c r="AF5" s="23" t="str">
        <f>IFERROR(__xludf.DUMMYFUNCTION("""COMPUTED_VALUE"""),"SettlementCurrency")</f>
        <v>SettlementCurrency</v>
      </c>
      <c r="AG5" s="23" t="str">
        <f>IFERROR(__xludf.DUMMYFUNCTION("""COMPUTED_VALUE"""),"SettlementFXRate")</f>
        <v>SettlementFXRate</v>
      </c>
      <c r="AH5" s="23" t="str">
        <f>IFERROR(__xludf.DUMMYFUNCTION("""COMPUTED_VALUE"""),"SettlementAmount")</f>
        <v>SettlementAmount</v>
      </c>
      <c r="AI5" s="23" t="str">
        <f>IFERROR(__xludf.DUMMYFUNCTION("""COMPUTED_VALUE"""),"SettlementFXOperator")</f>
        <v>SettlementFXOperator</v>
      </c>
      <c r="AJ5" s="23" t="str">
        <f>IFERROR(__xludf.DUMMYFUNCTION("""COMPUTED_VALUE"""),"SettleByBroker")</f>
        <v>SettleByBroker</v>
      </c>
      <c r="AK5" s="23" t="str">
        <f>IFERROR(__xludf.DUMMYFUNCTION("""COMPUTED_VALUE"""),"Account")</f>
        <v>Account</v>
      </c>
      <c r="AL5" s="23" t="str">
        <f>IFERROR(__xludf.DUMMYFUNCTION("""COMPUTED_VALUE"""),"Account %")</f>
        <v>Account %</v>
      </c>
      <c r="AM5" s="23" t="str">
        <f>IFERROR(__xludf.DUMMYFUNCTION("""COMPUTED_VALUE"""),"Deal In")</f>
        <v>Deal In</v>
      </c>
      <c r="AN5" s="23" t="str">
        <f>IFERROR(__xludf.DUMMYFUNCTION("""COMPUTED_VALUE"""),"PopUpQuantity")</f>
        <v>PopUpQuantity</v>
      </c>
      <c r="AO5" s="23" t="str">
        <f>IFERROR(__xludf.DUMMYFUNCTION("""COMPUTED_VALUE"""),"ShortLocate")</f>
        <v>ShortLocate</v>
      </c>
      <c r="AP5" s="23" t="str">
        <f>IFERROR(__xludf.DUMMYFUNCTION("""COMPUTED_VALUE"""),"ChkBoxBookAsSwap")</f>
        <v>ChkBoxBookAsSwap</v>
      </c>
      <c r="AQ5" s="23" t="str">
        <f>IFERROR(__xludf.DUMMYFUNCTION("""COMPUTED_VALUE"""),"Interest Rate")</f>
        <v>Interest Rate</v>
      </c>
      <c r="AR5" s="23" t="str">
        <f>IFERROR(__xludf.DUMMYFUNCTION("""COMPUTED_VALUE"""),"SharesOutstandingPopUp")</f>
        <v>SharesOutstandingPopUp</v>
      </c>
      <c r="AS5" s="23" t="str">
        <f>IFERROR(__xludf.DUMMYFUNCTION("""COMPUTED_VALUE"""),"AllowTrade")</f>
        <v>AllowTrade</v>
      </c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</row>
    <row r="6" ht="15.75" customHeight="1">
      <c r="A6" s="6"/>
      <c r="B6" s="6" t="s">
        <v>33</v>
      </c>
      <c r="C6" s="6" t="s">
        <v>35</v>
      </c>
      <c r="D6" s="6">
        <v>100.0</v>
      </c>
      <c r="E6" s="6"/>
      <c r="F6" s="6"/>
      <c r="G6" s="6"/>
      <c r="H6" s="6"/>
      <c r="I6" s="6"/>
      <c r="J6" s="6">
        <v>2.0</v>
      </c>
      <c r="K6" s="6"/>
      <c r="L6" s="6"/>
      <c r="M6" s="6"/>
      <c r="N6" s="6"/>
      <c r="O6" s="6"/>
      <c r="AK6" s="8" t="s">
        <v>42</v>
      </c>
      <c r="AL6" s="8" t="s">
        <v>43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39</v>
      </c>
      <c r="D3" s="4" t="s">
        <v>9</v>
      </c>
      <c r="E3" s="11" t="s">
        <v>40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/>
      <c r="DJ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IFERROR(__xludf.DUMMYFUNCTION("""COMPUTED_VALUE"""),"User")</f>
        <v>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IFERROR(__xludf.DUMMYFUNCTION("""COMPUTED_VALUE"""),"Status (With Rollover)")</f>
        <v>Status (With Rollover)</v>
      </c>
      <c r="AZ5" s="23" t="str">
        <f>IFERROR(__xludf.DUMMYFUNCTION("""COMPUTED_VALUE"""),"Start of Day Qty")</f>
        <v>Start of Day Qty</v>
      </c>
      <c r="BA5" s="23" t="str">
        <f>IFERROR(__xludf.DUMMYFUNCTION("""COMPUTED_VALUE"""),"Leaves")</f>
        <v>Leaves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8" t="s">
        <v>38</v>
      </c>
      <c r="AJ6" s="8" t="s">
        <v>35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2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41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IFERROR(__xludf.DUMMYFUNCTION("""COMPUTED_VALUE"""),"Order Side")</f>
        <v>Order Side</v>
      </c>
      <c r="D5" s="22" t="str">
        <f>IFERROR(__xludf.DUMMYFUNCTION("""COMPUTED_VALUE"""),"Quantity")</f>
        <v>Quantity</v>
      </c>
      <c r="E5" s="22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2" t="str">
        <f>IFERROR(__xludf.DUMMYFUNCTION("""COMPUTED_VALUE"""),"Broker")</f>
        <v>Broker</v>
      </c>
      <c r="H5" s="22" t="str">
        <f>IFERROR(__xludf.DUMMYFUNCTION("""COMPUTED_VALUE"""),"TIF")</f>
        <v>TIF</v>
      </c>
      <c r="I5" s="22" t="str">
        <f>IFERROR(__xludf.DUMMYFUNCTION("""COMPUTED_VALUE"""),"Order Type")</f>
        <v>Order Type</v>
      </c>
      <c r="J5" s="22" t="str">
        <f>IFERROR(__xludf.DUMMYFUNCTION("""COMPUTED_VALUE"""),"Price")</f>
        <v>Price</v>
      </c>
      <c r="K5" s="22" t="str">
        <f>IFERROR(__xludf.DUMMYFUNCTION("""COMPUTED_VALUE"""),"Stop")</f>
        <v>Stop</v>
      </c>
      <c r="L5" s="22" t="str">
        <f>IFERROR(__xludf.DUMMYFUNCTION("""COMPUTED_VALUE"""),"Limit")</f>
        <v>Limit</v>
      </c>
      <c r="M5" s="22" t="str">
        <f>IFERROR(__xludf.DUMMYFUNCTION("""COMPUTED_VALUE"""),"Strategy")</f>
        <v>Strategy</v>
      </c>
      <c r="N5" s="22" t="str">
        <f>IFERROR(__xludf.DUMMYFUNCTION("""COMPUTED_VALUE"""),"Trade Date")</f>
        <v>Trade Date</v>
      </c>
      <c r="O5" s="22" t="str">
        <f>IFERROR(__xludf.DUMMYFUNCTION("""COMPUTED_VALUE"""),"FxRate")</f>
        <v>FxRate</v>
      </c>
      <c r="P5" s="22" t="str">
        <f>IFERROR(__xludf.DUMMYFUNCTION("""COMPUTED_VALUE"""),"Notes")</f>
        <v>Notes</v>
      </c>
      <c r="Q5" s="22" t="str">
        <f>IFERROR(__xludf.DUMMYFUNCTION("""COMPUTED_VALUE"""),"Broker Notes")</f>
        <v>Broker Notes</v>
      </c>
      <c r="R5" s="22" t="str">
        <f>IFERROR(__xludf.DUMMYFUNCTION("""COMPUTED_VALUE"""),"CommissionBasis")</f>
        <v>CommissionBasis</v>
      </c>
      <c r="S5" s="22" t="str">
        <f>IFERROR(__xludf.DUMMYFUNCTION("""COMPUTED_VALUE"""),"CommissionRate")</f>
        <v>CommissionRate</v>
      </c>
      <c r="T5" s="23" t="str">
        <f>IFERROR(__xludf.DUMMYFUNCTION("""COMPUTED_VALUE"""),"SoftBasis")</f>
        <v>SoftBasis</v>
      </c>
      <c r="U5" s="23" t="str">
        <f>IFERROR(__xludf.DUMMYFUNCTION("""COMPUTED_VALUE"""),"SoftRate")</f>
        <v>SoftRate</v>
      </c>
      <c r="V5" s="23" t="str">
        <f>IFERROR(__xludf.DUMMYFUNCTION("""COMPUTED_VALUE"""),"TradeAttribute1")</f>
        <v>TradeAttribute1</v>
      </c>
      <c r="W5" s="23" t="str">
        <f>IFERROR(__xludf.DUMMYFUNCTION("""COMPUTED_VALUE"""),"TradeAttribute2")</f>
        <v>TradeAttribute2</v>
      </c>
      <c r="X5" s="23" t="str">
        <f>IFERROR(__xludf.DUMMYFUNCTION("""COMPUTED_VALUE"""),"TradeAttribute3")</f>
        <v>TradeAttribute3</v>
      </c>
      <c r="Y5" s="23" t="str">
        <f>IFERROR(__xludf.DUMMYFUNCTION("""COMPUTED_VALUE"""),"TradeAttribute4")</f>
        <v>TradeAttribute4</v>
      </c>
      <c r="Z5" s="23" t="str">
        <f>IFERROR(__xludf.DUMMYFUNCTION("""COMPUTED_VALUE"""),"TradeAttribute5")</f>
        <v>TradeAttribute5</v>
      </c>
      <c r="AA5" s="23" t="str">
        <f>IFERROR(__xludf.DUMMYFUNCTION("""COMPUTED_VALUE"""),"TradeAttribute6")</f>
        <v>TradeAttribute6</v>
      </c>
      <c r="AB5" s="23" t="str">
        <f>IFERROR(__xludf.DUMMYFUNCTION("""COMPUTED_VALUE"""),"Venue")</f>
        <v>Venue</v>
      </c>
      <c r="AC5" s="23" t="str">
        <f>IFERROR(__xludf.DUMMYFUNCTION("""COMPUTED_VALUE"""),"ExecutionInstructions")</f>
        <v>ExecutionInstructions</v>
      </c>
      <c r="AD5" s="23" t="str">
        <f>IFERROR(__xludf.DUMMYFUNCTION("""COMPUTED_VALUE"""),"HandlingInstructions")</f>
        <v>HandlingInstructions</v>
      </c>
      <c r="AE5" s="23" t="str">
        <f>IFERROR(__xludf.DUMMYFUNCTION("""COMPUTED_VALUE"""),"Trader")</f>
        <v>Trader</v>
      </c>
      <c r="AF5" s="23" t="str">
        <f>IFERROR(__xludf.DUMMYFUNCTION("""COMPUTED_VALUE"""),"SettlementCurrency")</f>
        <v>SettlementCurrency</v>
      </c>
      <c r="AG5" s="23" t="str">
        <f>IFERROR(__xludf.DUMMYFUNCTION("""COMPUTED_VALUE"""),"SettlementFXRate")</f>
        <v>SettlementFXRate</v>
      </c>
      <c r="AH5" s="23" t="str">
        <f>IFERROR(__xludf.DUMMYFUNCTION("""COMPUTED_VALUE"""),"SettlementAmount")</f>
        <v>SettlementAmount</v>
      </c>
      <c r="AI5" s="23" t="str">
        <f>IFERROR(__xludf.DUMMYFUNCTION("""COMPUTED_VALUE"""),"SettlementFXOperator")</f>
        <v>SettlementFXOperator</v>
      </c>
      <c r="AJ5" s="23" t="str">
        <f>IFERROR(__xludf.DUMMYFUNCTION("""COMPUTED_VALUE"""),"SettleByBroker")</f>
        <v>SettleByBroker</v>
      </c>
      <c r="AK5" s="23" t="str">
        <f>IFERROR(__xludf.DUMMYFUNCTION("""COMPUTED_VALUE"""),"Account")</f>
        <v>Account</v>
      </c>
      <c r="AL5" s="23" t="str">
        <f>IFERROR(__xludf.DUMMYFUNCTION("""COMPUTED_VALUE"""),"Account %")</f>
        <v>Account %</v>
      </c>
      <c r="AM5" s="23" t="str">
        <f>IFERROR(__xludf.DUMMYFUNCTION("""COMPUTED_VALUE"""),"Deal In")</f>
        <v>Deal In</v>
      </c>
      <c r="AN5" s="23" t="str">
        <f>IFERROR(__xludf.DUMMYFUNCTION("""COMPUTED_VALUE"""),"PopUpQuantity")</f>
        <v>PopUpQuantity</v>
      </c>
      <c r="AO5" s="23" t="str">
        <f>IFERROR(__xludf.DUMMYFUNCTION("""COMPUTED_VALUE"""),"ShortLocate")</f>
        <v>ShortLocate</v>
      </c>
      <c r="AP5" s="23" t="str">
        <f>IFERROR(__xludf.DUMMYFUNCTION("""COMPUTED_VALUE"""),"ChkBoxBookAsSwap")</f>
        <v>ChkBoxBookAsSwap</v>
      </c>
      <c r="AQ5" s="23" t="str">
        <f>IFERROR(__xludf.DUMMYFUNCTION("""COMPUTED_VALUE"""),"Interest Rate")</f>
        <v>Interest Rate</v>
      </c>
      <c r="AR5" s="23" t="str">
        <f>IFERROR(__xludf.DUMMYFUNCTION("""COMPUTED_VALUE"""),"SharesOutstandingPopUp")</f>
        <v>SharesOutstandingPopUp</v>
      </c>
      <c r="AS5" s="23" t="str">
        <f>IFERROR(__xludf.DUMMYFUNCTION("""COMPUTED_VALUE"""),"AllowTrade")</f>
        <v>AllowTrade</v>
      </c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</row>
    <row r="6" ht="15.75" customHeight="1">
      <c r="A6" s="6"/>
      <c r="B6" s="6" t="s">
        <v>38</v>
      </c>
      <c r="C6" s="6" t="s">
        <v>35</v>
      </c>
      <c r="D6" s="6">
        <v>100.0</v>
      </c>
      <c r="E6" s="6"/>
      <c r="F6" s="6"/>
      <c r="G6" s="6"/>
      <c r="H6" s="6"/>
      <c r="I6" s="6"/>
      <c r="J6" s="6">
        <v>2.0</v>
      </c>
      <c r="K6" s="6"/>
      <c r="L6" s="6"/>
      <c r="M6" s="6"/>
      <c r="N6" s="6"/>
      <c r="O6" s="6"/>
      <c r="AK6" s="8" t="s">
        <v>42</v>
      </c>
      <c r="AL6" s="8" t="s">
        <v>43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44</v>
      </c>
      <c r="D3" s="4" t="s">
        <v>9</v>
      </c>
      <c r="E3" s="11" t="s">
        <v>45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 t="str">
        <f>IFERROR(__xludf.DUMMYFUNCTION("""COMPUTED_VALUE"""),"NewAcknowledgeTrade")</f>
        <v>NewAcknowledgeTrade</v>
      </c>
      <c r="P4" s="20" t="str">
        <f>IFERROR(__xludf.DUMMYFUNCTION("""COMPUTED_VALUE"""),"VerifyRowAllFixLogs")</f>
        <v>VerifyRowAllFixLogs</v>
      </c>
      <c r="Q4" s="20" t="str">
        <f>IFERROR(__xludf.DUMMYFUNCTION("""COMPUTED_VALUE"""),"ClearAllFixLogs")</f>
        <v>ClearAllFixLogs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 t="s">
        <v>35</v>
      </c>
      <c r="C6" s="6" t="s">
        <v>33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44</v>
      </c>
      <c r="D3" s="4" t="s">
        <v>9</v>
      </c>
      <c r="E3" s="11" t="s">
        <v>46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 t="str">
        <f>IFERROR(__xludf.DUMMYFUNCTION("""COMPUTED_VALUE"""),"NewAcknowledgeTrade")</f>
        <v>NewAcknowledgeTrade</v>
      </c>
      <c r="P4" s="20" t="str">
        <f>IFERROR(__xludf.DUMMYFUNCTION("""COMPUTED_VALUE"""),"VerifyRowAllFixLogs")</f>
        <v>VerifyRowAllFixLogs</v>
      </c>
      <c r="Q4" s="20" t="str">
        <f>IFERROR(__xludf.DUMMYFUNCTION("""COMPUTED_VALUE"""),"ClearAllFixLogs")</f>
        <v>ClearAllFixLogs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 t="s">
        <v>35</v>
      </c>
      <c r="C6" s="6" t="s">
        <v>33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44</v>
      </c>
      <c r="D3" s="4" t="s">
        <v>9</v>
      </c>
      <c r="E3" s="11" t="s">
        <v>45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 t="str">
        <f>IFERROR(__xludf.DUMMYFUNCTION("""COMPUTED_VALUE"""),"NewAcknowledgeTrade")</f>
        <v>NewAcknowledgeTrade</v>
      </c>
      <c r="P4" s="20" t="str">
        <f>IFERROR(__xludf.DUMMYFUNCTION("""COMPUTED_VALUE"""),"VerifyRowAllFixLogs")</f>
        <v>VerifyRowAllFixLogs</v>
      </c>
      <c r="Q4" s="20" t="str">
        <f>IFERROR(__xludf.DUMMYFUNCTION("""COMPUTED_VALUE"""),"ClearAllFixLogs")</f>
        <v>ClearAllFixLogs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 t="s">
        <v>35</v>
      </c>
      <c r="C6" s="25" t="s">
        <v>38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44</v>
      </c>
      <c r="D3" s="4" t="s">
        <v>9</v>
      </c>
      <c r="E3" s="11" t="s">
        <v>46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 t="str">
        <f>IFERROR(__xludf.DUMMYFUNCTION("""COMPUTED_VALUE"""),"NewAcknowledgeTrade")</f>
        <v>NewAcknowledgeTrade</v>
      </c>
      <c r="P4" s="20" t="str">
        <f>IFERROR(__xludf.DUMMYFUNCTION("""COMPUTED_VALUE"""),"VerifyRowAllFixLogs")</f>
        <v>VerifyRowAllFixLogs</v>
      </c>
      <c r="Q4" s="20" t="str">
        <f>IFERROR(__xludf.DUMMYFUNCTION("""COMPUTED_VALUE"""),"ClearAllFixLogs")</f>
        <v>ClearAllFixLogs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 t="s">
        <v>35</v>
      </c>
      <c r="C6" s="25" t="s">
        <v>38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44</v>
      </c>
      <c r="D3" s="4" t="s">
        <v>9</v>
      </c>
      <c r="E3" s="11" t="s">
        <v>47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 t="str">
        <f>IFERROR(__xludf.DUMMYFUNCTION("""COMPUTED_VALUE"""),"NewAcknowledgeTrade")</f>
        <v>NewAcknowledgeTrade</v>
      </c>
      <c r="P4" s="20" t="str">
        <f>IFERROR(__xludf.DUMMYFUNCTION("""COMPUTED_VALUE"""),"VerifyRowAllFixLogs")</f>
        <v>VerifyRowAllFixLogs</v>
      </c>
      <c r="Q4" s="20" t="str">
        <f>IFERROR(__xludf.DUMMYFUNCTION("""COMPUTED_VALUE"""),"ClearAllFixLogs")</f>
        <v>ClearAllFixLogs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IFERROR(__xludf.DUMMYFUNCTION("""COMPUTED_VALUE"""),"Price")</f>
        <v>Price</v>
      </c>
      <c r="C5" s="22" t="str">
        <f>IFERROR(__xludf.DUMMYFUNCTION("""COMPUTED_VALUE"""),"Shares")</f>
        <v>Shares</v>
      </c>
      <c r="D5" s="22" t="str">
        <f>IFERROR(__xludf.DUMMYFUNCTION("""COMPUTED_VALUE"""),"ClearAllPrice")</f>
        <v>ClearAllPrice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>
        <v>2.0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48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IFERROR(__xludf.DUMMYFUNCTION("""COMPUTED_VALUE"""),"Net Amount(Local)")</f>
        <v>Net Amount(Local)</v>
      </c>
      <c r="C5" s="22" t="str">
        <f>IFERROR(__xludf.DUMMYFUNCTION("""COMPUTED_VALUE"""),"Net Amount(Base)")</f>
        <v>Net Amount(Base)</v>
      </c>
      <c r="D5" s="22" t="str">
        <f>IFERROR(__xludf.DUMMYFUNCTION("""COMPUTED_VALUE"""),"Principal Amount(Local)")</f>
        <v>Principal Amount(Local)</v>
      </c>
      <c r="E5" s="22" t="str">
        <f>IFERROR(__xludf.DUMMYFUNCTION("""COMPUTED_VALUE"""),"Principal Amount(Base)")</f>
        <v>Principal Amount(Base)</v>
      </c>
      <c r="F5" s="22" t="str">
        <f>IFERROR(__xludf.DUMMYFUNCTION("""COMPUTED_VALUE"""),"FX Conversion Operator")</f>
        <v>FX Conversion Operator</v>
      </c>
      <c r="G5" s="22" t="str">
        <f>IFERROR(__xludf.DUMMYFUNCTION("""COMPUTED_VALUE"""),"TaxLotID")</f>
        <v>TaxLotID</v>
      </c>
      <c r="H5" s="22" t="str">
        <f>IFERROR(__xludf.DUMMYFUNCTION("""COMPUTED_VALUE"""),"Settlement Currency")</f>
        <v>Settlement Currency</v>
      </c>
      <c r="I5" s="22" t="str">
        <f>IFERROR(__xludf.DUMMYFUNCTION("""COMPUTED_VALUE"""),"Trade Attribute 1")</f>
        <v>Trade Attribute 1</v>
      </c>
      <c r="J5" s="22" t="str">
        <f>IFERROR(__xludf.DUMMYFUNCTION("""COMPUTED_VALUE"""),"Trade Attribute 2")</f>
        <v>Trade Attribute 2</v>
      </c>
      <c r="K5" s="22" t="str">
        <f>IFERROR(__xludf.DUMMYFUNCTION("""COMPUTED_VALUE"""),"Trade Attribute 3")</f>
        <v>Trade Attribute 3</v>
      </c>
      <c r="L5" s="22" t="str">
        <f>IFERROR(__xludf.DUMMYFUNCTION("""COMPUTED_VALUE"""),"Trade Attribute 4")</f>
        <v>Trade Attribute 4</v>
      </c>
      <c r="M5" s="22" t="str">
        <f>IFERROR(__xludf.DUMMYFUNCTION("""COMPUTED_VALUE"""),"Trade Attribute 5")</f>
        <v>Trade Attribute 5</v>
      </c>
      <c r="N5" s="22" t="str">
        <f>IFERROR(__xludf.DUMMYFUNCTION("""COMPUTED_VALUE"""),"Trade Attribute 6")</f>
        <v>Trade Attribute 6</v>
      </c>
      <c r="O5" s="22" t="str">
        <f>IFERROR(__xludf.DUMMYFUNCTION("""COMPUTED_VALUE"""),"Account Name")</f>
        <v>Account Name</v>
      </c>
      <c r="P5" s="22" t="str">
        <f>IFERROR(__xludf.DUMMYFUNCTION("""COMPUTED_VALUE"""),"Strategy Name")</f>
        <v>Strategy Name</v>
      </c>
      <c r="Q5" s="22" t="str">
        <f>IFERROR(__xludf.DUMMYFUNCTION("""COMPUTED_VALUE"""),"Percentage")</f>
        <v>Percentage</v>
      </c>
      <c r="R5" s="22" t="str">
        <f>IFERROR(__xludf.DUMMYFUNCTION("""COMPUTED_VALUE"""),"Taxlot Qty")</f>
        <v>Taxlot Qty</v>
      </c>
      <c r="S5" s="22" t="str">
        <f>IFERROR(__xludf.DUMMYFUNCTION("""COMPUTED_VALUE"""),"Commission")</f>
        <v>Commission</v>
      </c>
      <c r="T5" s="23" t="str">
        <f>IFERROR(__xludf.DUMMYFUNCTION("""COMPUTED_VALUE"""),"Soft Commission")</f>
        <v>Soft Commission</v>
      </c>
      <c r="U5" s="23" t="str">
        <f>IFERROR(__xludf.DUMMYFUNCTION("""COMPUTED_VALUE"""),"Other Broker Fees")</f>
        <v>Other Broker Fees</v>
      </c>
      <c r="V5" s="23" t="str">
        <f>IFERROR(__xludf.DUMMYFUNCTION("""COMPUTED_VALUE"""),"Clearing Broker Fees")</f>
        <v>Clearing Broker Fees</v>
      </c>
      <c r="W5" s="23" t="str">
        <f>IFERROR(__xludf.DUMMYFUNCTION("""COMPUTED_VALUE"""),"Stamp Duty")</f>
        <v>Stamp Duty</v>
      </c>
      <c r="X5" s="23" t="str">
        <f>IFERROR(__xludf.DUMMYFUNCTION("""COMPUTED_VALUE"""),"Transaction Levy")</f>
        <v>Transaction Levy</v>
      </c>
      <c r="Y5" s="23" t="str">
        <f>IFERROR(__xludf.DUMMYFUNCTION("""COMPUTED_VALUE"""),"AUEC Fee1")</f>
        <v>AUEC Fee1</v>
      </c>
      <c r="Z5" s="23" t="str">
        <f>IFERROR(__xludf.DUMMYFUNCTION("""COMPUTED_VALUE"""),"Tax On Commissions")</f>
        <v>Tax On Commissions</v>
      </c>
      <c r="AA5" s="23" t="str">
        <f>IFERROR(__xludf.DUMMYFUNCTION("""COMPUTED_VALUE"""),"AUEC Fee2")</f>
        <v>AUEC Fee2</v>
      </c>
      <c r="AB5" s="23" t="str">
        <f>IFERROR(__xludf.DUMMYFUNCTION("""COMPUTED_VALUE"""),"SEC Fee")</f>
        <v>SEC Fee</v>
      </c>
      <c r="AC5" s="23" t="str">
        <f>IFERROR(__xludf.DUMMYFUNCTION("""COMPUTED_VALUE"""),"OCC Fee")</f>
        <v>OCC Fee</v>
      </c>
      <c r="AD5" s="23" t="str">
        <f>IFERROR(__xludf.DUMMYFUNCTION("""COMPUTED_VALUE"""),"ORF Fee")</f>
        <v>ORF Fee</v>
      </c>
      <c r="AE5" s="23" t="str">
        <f>IFERROR(__xludf.DUMMYFUNCTION("""COMPUTED_VALUE"""),"Option Premium Adjustment")</f>
        <v>Option Premium Adjustment</v>
      </c>
      <c r="AF5" s="23" t="str">
        <f>IFERROR(__xludf.DUMMYFUNCTION("""COMPUTED_VALUE"""),"Closing Status")</f>
        <v>Closing Status</v>
      </c>
      <c r="AG5" s="23" t="str">
        <f>IFERROR(__xludf.DUMMYFUNCTION("""COMPUTED_VALUE"""),"External Transaction ID")</f>
        <v>External Transaction ID</v>
      </c>
      <c r="AH5" s="23" t="str">
        <f>IFERROR(__xludf.DUMMYFUNCTION("""COMPUTED_VALUE"""),"Lot ID")</f>
        <v>Lot ID</v>
      </c>
      <c r="AI5" s="23" t="str">
        <f>IFERROR(__xludf.DUMMYFUNCTION("""COMPUTED_VALUE"""),"AvgPriceBase")</f>
        <v>AvgPriceBase</v>
      </c>
      <c r="AJ5" s="23" t="str">
        <f>IFERROR(__xludf.DUMMYFUNCTION("""COMPUTED_VALUE"""),"Accrued Interest")</f>
        <v>Accrued Interest</v>
      </c>
      <c r="AK5" s="23" t="str">
        <f>IFERROR(__xludf.DUMMYFUNCTION("""COMPUTED_VALUE"""),"FXRate")</f>
        <v>FXRate</v>
      </c>
      <c r="AL5" s="23" t="str">
        <f>IFERROR(__xludf.DUMMYFUNCTION("""COMPUTED_VALUE"""),"Change Type")</f>
        <v>Change Type</v>
      </c>
      <c r="AM5" s="23" t="str">
        <f>IFERROR(__xludf.DUMMYFUNCTION("""COMPUTED_VALUE"""),"MandatoryColumn")</f>
        <v>MandatoryColumn</v>
      </c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6"/>
      <c r="C6" s="6"/>
      <c r="D6" s="6">
        <v>100.0</v>
      </c>
      <c r="E6" s="6">
        <v>100.0</v>
      </c>
      <c r="F6" s="6" t="s">
        <v>49</v>
      </c>
      <c r="G6" s="6"/>
      <c r="H6" s="6"/>
      <c r="I6" s="6"/>
      <c r="J6" s="6"/>
      <c r="K6" s="6"/>
      <c r="L6" s="6"/>
      <c r="M6" s="6"/>
      <c r="N6" s="6"/>
      <c r="O6" s="6" t="s">
        <v>19</v>
      </c>
      <c r="P6" s="8" t="s">
        <v>50</v>
      </c>
      <c r="Q6" s="8">
        <v>50.0</v>
      </c>
      <c r="R6" s="8">
        <v>50.0</v>
      </c>
    </row>
    <row r="7" ht="15.75" customHeight="1">
      <c r="A7" s="6"/>
      <c r="B7" s="6"/>
      <c r="C7" s="6"/>
      <c r="D7" s="6">
        <v>100.0</v>
      </c>
      <c r="E7" s="6">
        <v>100.0</v>
      </c>
      <c r="F7" s="6" t="s">
        <v>49</v>
      </c>
      <c r="G7" s="6"/>
      <c r="H7" s="6"/>
      <c r="I7" s="6"/>
      <c r="J7" s="6"/>
      <c r="K7" s="6"/>
      <c r="L7" s="6"/>
      <c r="M7" s="6"/>
      <c r="N7" s="6"/>
      <c r="O7" s="6" t="s">
        <v>21</v>
      </c>
      <c r="P7" s="8" t="s">
        <v>50</v>
      </c>
      <c r="Q7" s="8">
        <v>50.0</v>
      </c>
      <c r="R7" s="8">
        <v>50.0</v>
      </c>
    </row>
    <row r="8" ht="15.75" customHeight="1">
      <c r="A8" s="6"/>
      <c r="B8" s="6"/>
      <c r="C8" s="6"/>
      <c r="D8" s="6">
        <v>100.0</v>
      </c>
      <c r="E8" s="6">
        <v>100.0</v>
      </c>
      <c r="F8" s="6" t="s">
        <v>49</v>
      </c>
      <c r="G8" s="6"/>
      <c r="H8" s="6"/>
      <c r="I8" s="6"/>
      <c r="J8" s="6"/>
      <c r="K8" s="6"/>
      <c r="L8" s="6"/>
      <c r="M8" s="6"/>
      <c r="N8" s="6"/>
      <c r="O8" s="6" t="s">
        <v>19</v>
      </c>
      <c r="P8" s="8" t="s">
        <v>50</v>
      </c>
      <c r="Q8" s="8">
        <v>50.0</v>
      </c>
      <c r="R8" s="8">
        <v>50.0</v>
      </c>
    </row>
    <row r="9" ht="15.75" customHeight="1">
      <c r="A9" s="6"/>
      <c r="B9" s="6"/>
      <c r="C9" s="6"/>
      <c r="D9" s="6">
        <v>100.0</v>
      </c>
      <c r="E9" s="6">
        <v>100.0</v>
      </c>
      <c r="F9" s="6" t="s">
        <v>49</v>
      </c>
      <c r="G9" s="6"/>
      <c r="H9" s="6"/>
      <c r="I9" s="6"/>
      <c r="J9" s="6"/>
      <c r="K9" s="6"/>
      <c r="L9" s="6"/>
      <c r="M9" s="6"/>
      <c r="N9" s="6"/>
      <c r="O9" s="6" t="s">
        <v>21</v>
      </c>
      <c r="P9" s="8" t="s">
        <v>50</v>
      </c>
      <c r="Q9" s="8">
        <v>50.0</v>
      </c>
      <c r="R9" s="8">
        <v>50.0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51</v>
      </c>
      <c r="D3" s="4" t="s">
        <v>9</v>
      </c>
      <c r="E3" s="11" t="s">
        <v>52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</row>
    <row r="4" ht="15.75" customHeight="1">
      <c r="A4" s="19"/>
      <c r="B4" s="19" t="str">
        <f>IFERROR(__xludf.DUMMYFUNCTION("IF(C3="""","""",Transpose(IMPORTRANGE('_Settings'!$B$3,C3&amp;""!A4:A1000"")))"),"CheckDashboardPM")</f>
        <v>CheckDashboardPM</v>
      </c>
      <c r="C4" s="19" t="str">
        <f>IFERROR(__xludf.DUMMYFUNCTION("""COMPUTED_VALUE"""),"CheckPortfolioManagement")</f>
        <v>CheckPortfolioManagement</v>
      </c>
      <c r="D4" s="19" t="str">
        <f>IFERROR(__xludf.DUMMYFUNCTION("""COMPUTED_VALUE"""),"CheckPMLiveFeed")</f>
        <v>CheckPMLiveFeed</v>
      </c>
      <c r="E4" s="19" t="str">
        <f>IFERROR(__xludf.DUMMYFUNCTION("""COMPUTED_VALUE"""),"OpenPSTFromPM")</f>
        <v>OpenPSTFromPM</v>
      </c>
      <c r="F4" s="19" t="str">
        <f>IFERROR(__xludf.DUMMYFUNCTION("""COMPUTED_VALUE"""),"ClosePM")</f>
        <v>ClosePM</v>
      </c>
      <c r="G4" s="19" t="str">
        <f>IFERROR(__xludf.DUMMYFUNCTION("""COMPUTED_VALUE"""),"FilterPM")</f>
        <v>FilterPM</v>
      </c>
      <c r="H4" s="19" t="str">
        <f>IFERROR(__xludf.DUMMYFUNCTION("""COMPUTED_VALUE"""),"GroupRowPM")</f>
        <v>GroupRowPM</v>
      </c>
      <c r="I4" s="19" t="str">
        <f>IFERROR(__xludf.DUMMYFUNCTION("""COMPUTED_VALUE"""),"CheckDashboardWithPM")</f>
        <v>CheckDashboardWithPM</v>
      </c>
      <c r="J4" s="19" t="str">
        <f>IFERROR(__xludf.DUMMYFUNCTION("""COMPUTED_VALUE"""),"RemoveFilterPM")</f>
        <v>RemoveFilterPM</v>
      </c>
      <c r="K4" s="19" t="str">
        <f>IFERROR(__xludf.DUMMYFUNCTION("""COMPUTED_VALUE"""),"CheckSummaryRowsPM")</f>
        <v>CheckSummaryRowsPM</v>
      </c>
      <c r="L4" s="19" t="str">
        <f>IFERROR(__xludf.DUMMYFUNCTION("""COMPUTED_VALUE"""),"OpenPTTFromPM")</f>
        <v>OpenPTTFromPM</v>
      </c>
      <c r="M4" s="19" t="str">
        <f>IFERROR(__xludf.DUMMYFUNCTION("""COMPUTED_VALUE"""),"OpenClosingFromPM")</f>
        <v>OpenClosingFromPM</v>
      </c>
      <c r="N4" s="19" t="str">
        <f>IFERROR(__xludf.DUMMYFUNCTION("""COMPUTED_VALUE"""),"OpenCorporateActionFromPM")</f>
        <v>OpenCorporateActionFromPM</v>
      </c>
      <c r="O4" s="19" t="str">
        <f>IFERROR(__xludf.DUMMYFUNCTION("""COMPUTED_VALUE"""),"OpenDailyValuationFromPM")</f>
        <v>OpenDailyValuationFromPM</v>
      </c>
      <c r="P4" s="20" t="str">
        <f>IFERROR(__xludf.DUMMYFUNCTION("""COMPUTED_VALUE"""),"ClosePositionFromPM")</f>
        <v>ClosePositionFromPM</v>
      </c>
      <c r="Q4" s="20" t="str">
        <f>IFERROR(__xludf.DUMMYFUNCTION("""COMPUTED_VALUE"""),"ShowSummaryToolFromPM")</f>
        <v>ShowSummaryToolFromPM</v>
      </c>
      <c r="R4" s="20" t="str">
        <f>IFERROR(__xludf.DUMMYFUNCTION("""COMPUTED_VALUE"""),"HideSummaryToolFromPM")</f>
        <v>HideSummaryToolFromPM</v>
      </c>
      <c r="S4" s="20" t="str">
        <f>IFERROR(__xludf.DUMMYFUNCTION("""COMPUTED_VALUE"""),"CloseAccountPositionFromPM")</f>
        <v>CloseAccountPositionFromPM</v>
      </c>
      <c r="T4" s="20" t="str">
        <f>IFERROR(__xludf.DUMMYFUNCTION("""COMPUTED_VALUE"""),"CloseSelectedTaxlotsFromPM")</f>
        <v>CloseSelectedTaxlotsFromPM</v>
      </c>
      <c r="U4" s="20" t="str">
        <f>IFERROR(__xludf.DUMMYFUNCTION("""COMPUTED_VALUE"""),"ExpandCollapsePM")</f>
        <v>ExpandCollapsePM</v>
      </c>
      <c r="V4" s="20" t="str">
        <f>IFERROR(__xludf.DUMMYFUNCTION("""COMPUTED_VALUE"""),"AddCustomViewPM")</f>
        <v>AddCustomViewPM</v>
      </c>
      <c r="W4" s="20" t="str">
        <f>IFERROR(__xludf.DUMMYFUNCTION("""COMPUTED_VALUE"""),"AddCustomViewRightClickPM")</f>
        <v>AddCustomViewRightClickPM</v>
      </c>
      <c r="X4" s="20" t="str">
        <f>IFERROR(__xludf.DUMMYFUNCTION("""COMPUTED_VALUE"""),"RenameCustomViewPM")</f>
        <v>RenameCustomViewPM</v>
      </c>
      <c r="Y4" s="20" t="str">
        <f>IFERROR(__xludf.DUMMYFUNCTION("""COMPUTED_VALUE"""),"DeleteCustomViewPM")</f>
        <v>DeleteCustomViewPM</v>
      </c>
      <c r="Z4" s="20" t="str">
        <f>IFERROR(__xludf.DUMMYFUNCTION("""COMPUTED_VALUE"""),"OpenCreateTransactionFromPM")</f>
        <v>OpenCreateTransactionFromPM</v>
      </c>
      <c r="AA4" s="20" t="str">
        <f>IFERROR(__xludf.DUMMYFUNCTION("""COMPUTED_VALUE"""),"RemoveGroupingFromPM")</f>
        <v>RemoveGroupingFromPM</v>
      </c>
      <c r="AB4" s="20" t="str">
        <f>IFERROR(__xludf.DUMMYFUNCTION("""COMPUTED_VALUE"""),"IncreasePositionFromPM")</f>
        <v>IncreasePositionFromPM</v>
      </c>
      <c r="AC4" s="20" t="str">
        <f>IFERROR(__xludf.DUMMYFUNCTION("""COMPUTED_VALUE"""),"SortAndVerifyPM")</f>
        <v>SortAndVerifyPM</v>
      </c>
      <c r="AD4" s="20" t="str">
        <f>IFERROR(__xludf.DUMMYFUNCTION("""COMPUTED_VALUE"""),"OpenPIFromPM")</f>
        <v>OpenPIFromPM</v>
      </c>
      <c r="AE4" s="20" t="str">
        <f>IFERROR(__xludf.DUMMYFUNCTION("""COMPUTED_VALUE"""),"ViewSettings")</f>
        <v>ViewSettings</v>
      </c>
      <c r="AF4" s="20" t="str">
        <f>IFERROR(__xludf.DUMMYFUNCTION("""COMPUTED_VALUE"""),"SaveLayoutPM")</f>
        <v>SaveLayoutPM</v>
      </c>
      <c r="AG4" s="20" t="str">
        <f>IFERROR(__xludf.DUMMYFUNCTION("""COMPUTED_VALUE"""),"SaveLayoutPM")</f>
        <v>SaveLayoutPM</v>
      </c>
      <c r="AH4" s="20" t="str">
        <f>IFERROR(__xludf.DUMMYFUNCTION("""COMPUTED_VALUE"""),"CustomView")</f>
        <v>CustomView</v>
      </c>
      <c r="AI4" s="20" t="str">
        <f>IFERROR(__xludf.DUMMYFUNCTION("""COMPUTED_VALUE"""),"OpenCustomView")</f>
        <v>OpenCustomView</v>
      </c>
      <c r="AJ4" s="20" t="str">
        <f>IFERROR(__xludf.DUMMYFUNCTION("""COMPUTED_VALUE"""),"CheckSummaryRowsPM")</f>
        <v>CheckSummaryRowsPM</v>
      </c>
      <c r="AK4" s="20" t="str">
        <f>IFERROR(__xludf.DUMMYFUNCTION("""COMPUTED_VALUE"""),"CheckCustomViewRowSummary")</f>
        <v>CheckCustomViewRowSummary</v>
      </c>
      <c r="AL4" s="20" t="str">
        <f>IFERROR(__xludf.DUMMYFUNCTION("""COMPUTED_VALUE"""),"GroupRowCustomView")</f>
        <v>GroupRowCustomView</v>
      </c>
      <c r="AM4" s="20" t="str">
        <f>IFERROR(__xludf.DUMMYFUNCTION("""COMPUTED_VALUE"""),"CheckCustomViewRowSummary")</f>
        <v>CheckCustomViewRowSummary</v>
      </c>
      <c r="AN4" s="20" t="str">
        <f>IFERROR(__xludf.DUMMYFUNCTION("""COMPUTED_VALUE"""),"OpenTaxlotDetails")</f>
        <v>OpenTaxlotDetails</v>
      </c>
      <c r="AO4" s="20" t="str">
        <f>IFERROR(__xludf.DUMMYFUNCTION("""COMPUTED_VALUE"""),"CheckTaxlotDetails")</f>
        <v>CheckTaxlotDetails</v>
      </c>
      <c r="AP4" s="20" t="str">
        <f>IFERROR(__xludf.DUMMYFUNCTION("""COMPUTED_VALUE"""),"SelectTradeOnPM")</f>
        <v>SelectTradeOnPM</v>
      </c>
      <c r="AQ4" s="20" t="str">
        <f>IFERROR(__xludf.DUMMYFUNCTION("""COMPUTED_VALUE"""),"OperationsonPM")</f>
        <v>OperationsonPM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IFERROR(__xludf.DUMMYFUNCTION("""COMPUTED_VALUE"""),"Trade Date")</f>
        <v>Trade Date</v>
      </c>
      <c r="C5" s="22" t="str">
        <f>IFERROR(__xludf.DUMMYFUNCTION("""COMPUTED_VALUE"""),"Symbol")</f>
        <v>Symbol</v>
      </c>
      <c r="D5" s="22" t="str">
        <f>IFERROR(__xludf.DUMMYFUNCTION("""COMPUTED_VALUE"""),"Position")</f>
        <v>Position</v>
      </c>
      <c r="E5" s="22" t="str">
        <f>IFERROR(__xludf.DUMMYFUNCTION("""COMPUTED_VALUE"""),"Account")</f>
        <v>Account</v>
      </c>
      <c r="F5" s="22" t="str">
        <f>IFERROR(__xludf.DUMMYFUNCTION("""COMPUTED_VALUE"""),"MasterFund")</f>
        <v>MasterFund</v>
      </c>
      <c r="G5" s="22" t="str">
        <f>IFERROR(__xludf.DUMMYFUNCTION("""COMPUTED_VALUE"""),"Cost Basis")</f>
        <v>Cost Basis</v>
      </c>
      <c r="H5" s="22" t="str">
        <f>IFERROR(__xludf.DUMMYFUNCTION("""COMPUTED_VALUE"""),"Position Side")</f>
        <v>Position Side</v>
      </c>
      <c r="I5" s="22" t="str">
        <f>IFERROR(__xludf.DUMMYFUNCTION("""COMPUTED_VALUE"""),"Market Value (Base)")</f>
        <v>Market Value (Base)</v>
      </c>
      <c r="J5" s="22" t="str">
        <f>IFERROR(__xludf.DUMMYFUNCTION("""COMPUTED_VALUE"""),"% Day P&amp;L (Gross MV)")</f>
        <v>% Day P&amp;L (Gross MV)</v>
      </c>
      <c r="K5" s="22" t="str">
        <f>IFERROR(__xludf.DUMMYFUNCTION("""COMPUTED_VALUE"""),"Net Exposure (Base)")</f>
        <v>Net Exposure (Base)</v>
      </c>
      <c r="L5" s="22" t="str">
        <f>IFERROR(__xludf.DUMMYFUNCTION("""COMPUTED_VALUE"""),"Beta Adj. Gross Exposure (Base)")</f>
        <v>Beta Adj. Gross Exposure (Base)</v>
      </c>
      <c r="M5" s="22" t="str">
        <f>IFERROR(__xludf.DUMMYFUNCTION("""COMPUTED_VALUE"""),"Beta Adj. Gross Exposure (Underlying) (Base)")</f>
        <v>Beta Adj. Gross Exposure (Underlying) (Base)</v>
      </c>
      <c r="N5" s="22" t="str">
        <f>IFERROR(__xludf.DUMMYFUNCTION("""COMPUTED_VALUE"""),"Day P&amp;L (Base)")</f>
        <v>Day P&amp;L (Base)</v>
      </c>
      <c r="O5" s="22" t="str">
        <f>IFERROR(__xludf.DUMMYFUNCTION("""COMPUTED_VALUE"""),"Security Name")</f>
        <v>Security Name</v>
      </c>
      <c r="P5" s="22" t="str">
        <f>IFERROR(__xludf.DUMMYFUNCTION("""COMPUTED_VALUE"""),"Closing Mark")</f>
        <v>Closing Mark</v>
      </c>
      <c r="Q5" s="22" t="str">
        <f>IFERROR(__xludf.DUMMYFUNCTION("""COMPUTED_VALUE"""),"Cost Basis P&amp;L (Base)")</f>
        <v>Cost Basis P&amp;L (Base)</v>
      </c>
      <c r="R5" s="22" t="str">
        <f>IFERROR(__xludf.DUMMYFUNCTION("""COMPUTED_VALUE"""),"Prime Broker")</f>
        <v>Prime Broker</v>
      </c>
      <c r="S5" s="22" t="str">
        <f>IFERROR(__xludf.DUMMYFUNCTION("""COMPUTED_VALUE"""),"Strategy")</f>
        <v>Strategy</v>
      </c>
      <c r="T5" s="23" t="str">
        <f>IFERROR(__xludf.DUMMYFUNCTION("""COMPUTED_VALUE"""),"Asset Class")</f>
        <v>Asset Class</v>
      </c>
      <c r="U5" s="23" t="str">
        <f>IFERROR(__xludf.DUMMYFUNCTION("""COMPUTED_VALUE"""),"Underlying")</f>
        <v>Underlying</v>
      </c>
      <c r="V5" s="23" t="str">
        <f>IFERROR(__xludf.DUMMYFUNCTION("""COMPUTED_VALUE"""),"Exchange")</f>
        <v>Exchange</v>
      </c>
      <c r="W5" s="23" t="str">
        <f>IFERROR(__xludf.DUMMYFUNCTION("""COMPUTED_VALUE"""),"Trade Currency")</f>
        <v>Trade Currency</v>
      </c>
      <c r="X5" s="23" t="str">
        <f>IFERROR(__xludf.DUMMYFUNCTION("""COMPUTED_VALUE"""),"Multiplier")</f>
        <v>Multiplier</v>
      </c>
      <c r="Y5" s="23" t="str">
        <f>IFERROR(__xludf.DUMMYFUNCTION("""COMPUTED_VALUE"""),"FX Rate")</f>
        <v>FX Rate</v>
      </c>
      <c r="Z5" s="23" t="str">
        <f>IFERROR(__xludf.DUMMYFUNCTION("""COMPUTED_VALUE"""),"Vs Currency")</f>
        <v>Vs Currency</v>
      </c>
      <c r="AA5" s="23" t="str">
        <f>IFERROR(__xludf.DUMMYFUNCTION("""COMPUTED_VALUE"""),"Lead Currency")</f>
        <v>Lead Currency</v>
      </c>
      <c r="AB5" s="23" t="str">
        <f>IFERROR(__xludf.DUMMYFUNCTION("""COMPUTED_VALUE"""),"Dividend Yield (%)")</f>
        <v>Dividend Yield (%)</v>
      </c>
      <c r="AC5" s="23" t="str">
        <f>IFERROR(__xludf.DUMMYFUNCTION("""COMPUTED_VALUE"""),"% Change")</f>
        <v>% Change</v>
      </c>
      <c r="AD5" s="23" t="str">
        <f>IFERROR(__xludf.DUMMYFUNCTION("""COMPUTED_VALUE"""),"Net Exposure (Local)")</f>
        <v>Net Exposure (Local)</v>
      </c>
      <c r="AE5" s="23" t="str">
        <f>IFERROR(__xludf.DUMMYFUNCTION("""COMPUTED_VALUE"""),"Exposure (Local)")</f>
        <v>Exposure (Local)</v>
      </c>
      <c r="AF5" s="23" t="str">
        <f>IFERROR(__xludf.DUMMYFUNCTION("""COMPUTED_VALUE"""),"Delta Adj. Position")</f>
        <v>Delta Adj. Position</v>
      </c>
      <c r="AG5" s="23" t="str">
        <f>IFERROR(__xludf.DUMMYFUNCTION("""COMPUTED_VALUE"""),"Exposure (Base)")</f>
        <v>Exposure (Base)</v>
      </c>
      <c r="AH5" s="23" t="str">
        <f>IFERROR(__xludf.DUMMYFUNCTION("""COMPUTED_VALUE"""),"Beta Adj. Exposure (Local)")</f>
        <v>Beta Adj. Exposure (Local)</v>
      </c>
      <c r="AI5" s="23" t="str">
        <f>IFERROR(__xludf.DUMMYFUNCTION("""COMPUTED_VALUE"""),"Beta Adj. Exposure (Base)")</f>
        <v>Beta Adj. Exposure (Base)</v>
      </c>
      <c r="AJ5" s="23" t="str">
        <f>IFERROR(__xludf.DUMMYFUNCTION("""COMPUTED_VALUE"""),"Exposure (BP)(Base)")</f>
        <v>Exposure (BP)(Base)</v>
      </c>
      <c r="AK5" s="23" t="str">
        <f>IFERROR(__xludf.DUMMYFUNCTION("""COMPUTED_VALUE"""),"Day P&amp;L (Local)")</f>
        <v>Day P&amp;L (Local)</v>
      </c>
      <c r="AL5" s="23" t="str">
        <f>IFERROR(__xludf.DUMMYFUNCTION("""COMPUTED_VALUE"""),"Delta")</f>
        <v>Delta</v>
      </c>
      <c r="AM5" s="23" t="str">
        <f>IFERROR(__xludf.DUMMYFUNCTION("""COMPUTED_VALUE"""),"Leveraged Factor")</f>
        <v>Leveraged Factor</v>
      </c>
      <c r="AN5" s="23" t="str">
        <f>IFERROR(__xludf.DUMMYFUNCTION("""COMPUTED_VALUE"""),"Order Side")</f>
        <v>Order Side</v>
      </c>
      <c r="AO5" s="23" t="str">
        <f>IFERROR(__xludf.DUMMYFUNCTION("""COMPUTED_VALUE"""),"Master Strategy")</f>
        <v>Master Strategy</v>
      </c>
      <c r="AP5" s="23" t="str">
        <f>IFERROR(__xludf.DUMMYFUNCTION("""COMPUTED_VALUE"""),"Transaction Side")</f>
        <v>Transaction Side</v>
      </c>
      <c r="AQ5" s="23" t="str">
        <f>IFERROR(__xludf.DUMMYFUNCTION("""COMPUTED_VALUE"""),"Underlying Symbol")</f>
        <v>Underlying Symbol</v>
      </c>
      <c r="AR5" s="23" t="str">
        <f>IFERROR(__xludf.DUMMYFUNCTION("""COMPUTED_VALUE"""),"Underlying Price")</f>
        <v>Underlying Price</v>
      </c>
      <c r="AS5" s="23" t="str">
        <f>IFERROR(__xludf.DUMMYFUNCTION("""COMPUTED_VALUE"""),"Side Multiplier")</f>
        <v>Side Multiplier</v>
      </c>
      <c r="AT5" s="23" t="str">
        <f>IFERROR(__xludf.DUMMYFUNCTION("""COMPUTED_VALUE"""),"Description")</f>
        <v>Description</v>
      </c>
      <c r="AU5" s="23" t="str">
        <f>IFERROR(__xludf.DUMMYFUNCTION("""COMPUTED_VALUE"""),"Internal Comments")</f>
        <v>Internal Comments</v>
      </c>
      <c r="AV5" s="23" t="str">
        <f>IFERROR(__xludf.DUMMYFUNCTION("""COMPUTED_VALUE"""),"FX Rate On Trade Date")</f>
        <v>FX Rate On Trade Date</v>
      </c>
      <c r="AW5" s="23" t="str">
        <f>IFERROR(__xludf.DUMMYFUNCTION("""COMPUTED_VALUE"""),"Cost Basis P&amp;L (Local)")</f>
        <v>Cost Basis P&amp;L (Local)</v>
      </c>
      <c r="AX5" s="23" t="str">
        <f>IFERROR(__xludf.DUMMYFUNCTION("""COMPUTED_VALUE"""),"Day Interest")</f>
        <v>Day Interest</v>
      </c>
      <c r="AY5" s="23" t="str">
        <f>IFERROR(__xludf.DUMMYFUNCTION("""COMPUTED_VALUE"""),"Total Interest")</f>
        <v>Total Interest</v>
      </c>
      <c r="AZ5" s="23" t="str">
        <f>IFERROR(__xludf.DUMMYFUNCTION("""COMPUTED_VALUE"""),"Market Value (Local)")</f>
        <v>Market Value (Local)</v>
      </c>
      <c r="BA5" s="23" t="str">
        <f>IFERROR(__xludf.DUMMYFUNCTION("""COMPUTED_VALUE"""),"% Gain/Loss Day")</f>
        <v>% Gain/Loss Day</v>
      </c>
      <c r="BB5" s="23" t="str">
        <f>IFERROR(__xludf.DUMMYFUNCTION("""COMPUTED_VALUE"""),"Update Time (Last Price)")</f>
        <v>Update Time (Last Price)</v>
      </c>
      <c r="BC5" s="23" t="str">
        <f>IFERROR(__xludf.DUMMYFUNCTION("""COMPUTED_VALUE"""),"Beta")</f>
        <v>Beta</v>
      </c>
      <c r="BD5" s="23" t="str">
        <f>IFERROR(__xludf.DUMMYFUNCTION("""COMPUTED_VALUE"""),"Cash Impact (Local)")</f>
        <v>Cash Impact (Local)</v>
      </c>
      <c r="BE5" s="23" t="str">
        <f>IFERROR(__xludf.DUMMYFUNCTION("""COMPUTED_VALUE"""),"User Asset")</f>
        <v>User Asset</v>
      </c>
      <c r="BF5" s="23" t="str">
        <f>IFERROR(__xludf.DUMMYFUNCTION("""COMPUTED_VALUE"""),"Security Type")</f>
        <v>Security Type</v>
      </c>
      <c r="BG5" s="23" t="str">
        <f>IFERROR(__xludf.DUMMYFUNCTION("""COMPUTED_VALUE"""),"Sector")</f>
        <v>Sector</v>
      </c>
      <c r="BH5" s="23" t="str">
        <f>IFERROR(__xludf.DUMMYFUNCTION("""COMPUTED_VALUE"""),"Sub Sector")</f>
        <v>Sub Sector</v>
      </c>
      <c r="BI5" s="23" t="str">
        <f>IFERROR(__xludf.DUMMYFUNCTION("""COMPUTED_VALUE"""),"Country")</f>
        <v>Country</v>
      </c>
      <c r="BJ5" s="23" t="str">
        <f>IFERROR(__xludf.DUMMYFUNCTION("""COMPUTED_VALUE"""),"Market Cap")</f>
        <v>Market Cap</v>
      </c>
      <c r="BK5" s="23" t="str">
        <f>IFERROR(__xludf.DUMMYFUNCTION("""COMPUTED_VALUE"""),"Shares Outstanding (MM)")</f>
        <v>Shares Outstanding (MM)</v>
      </c>
      <c r="BL5" s="23" t="str">
        <f>IFERROR(__xludf.DUMMYFUNCTION("""COMPUTED_VALUE"""),"Avg Volume 20 Day")</f>
        <v>Avg Volume 20 Day</v>
      </c>
      <c r="BM5" s="23" t="str">
        <f>IFERROR(__xludf.DUMMYFUNCTION("""COMPUTED_VALUE"""),"% Avg Volume (Delta Adj.)")</f>
        <v>% Avg Volume (Delta Adj.)</v>
      </c>
      <c r="BN5" s="23" t="str">
        <f>IFERROR(__xludf.DUMMYFUNCTION("""COMPUTED_VALUE"""),"Ex Dividend Date")</f>
        <v>Ex Dividend Date</v>
      </c>
      <c r="BO5" s="23" t="str">
        <f>IFERROR(__xludf.DUMMYFUNCTION("""COMPUTED_VALUE"""),"Cash Impact (Base)")</f>
        <v>Cash Impact (Base)</v>
      </c>
      <c r="BP5" s="23" t="str">
        <f>IFERROR(__xludf.DUMMYFUNCTION("""COMPUTED_VALUE"""),"Volatility (%)")</f>
        <v>Volatility (%)</v>
      </c>
      <c r="BQ5" s="23" t="str">
        <f>IFERROR(__xludf.DUMMYFUNCTION("""COMPUTED_VALUE"""),"User")</f>
        <v>User</v>
      </c>
      <c r="BR5" s="23" t="str">
        <f>IFERROR(__xludf.DUMMYFUNCTION("""COMPUTED_VALUE"""),"Broker")</f>
        <v>Broker</v>
      </c>
      <c r="BS5" s="23" t="str">
        <f>IFERROR(__xludf.DUMMYFUNCTION("""COMPUTED_VALUE"""),"Earned Dividend (Local)")</f>
        <v>Earned Dividend (Local)</v>
      </c>
      <c r="BT5" s="23" t="str">
        <f>IFERROR(__xludf.DUMMYFUNCTION("""COMPUTED_VALUE"""),"Earned Dividend (Base)")</f>
        <v>Earned Dividend (Base)</v>
      </c>
      <c r="BU5" s="23" t="str">
        <f>IFERROR(__xludf.DUMMYFUNCTION("""COMPUTED_VALUE"""),"Put/Call")</f>
        <v>Put/Call</v>
      </c>
      <c r="BV5" s="23" t="str">
        <f>IFERROR(__xludf.DUMMYFUNCTION("""COMPUTED_VALUE"""),"Expiration Date")</f>
        <v>Expiration Date</v>
      </c>
      <c r="BW5" s="23" t="str">
        <f>IFERROR(__xludf.DUMMYFUNCTION("""COMPUTED_VALUE"""),"Strike Price")</f>
        <v>Strike Price</v>
      </c>
      <c r="BX5" s="23" t="str">
        <f>IFERROR(__xludf.DUMMYFUNCTION("""COMPUTED_VALUE"""),"Gross Exposure (Base)")</f>
        <v>Gross Exposure (Base)</v>
      </c>
      <c r="BY5" s="23" t="str">
        <f>IFERROR(__xludf.DUMMYFUNCTION("""COMPUTED_VALUE"""),"Gross Market Value (Base)")</f>
        <v>Gross Market Value (Base)</v>
      </c>
      <c r="BZ5" s="23" t="str">
        <f>IFERROR(__xludf.DUMMYFUNCTION("""COMPUTED_VALUE"""),"Px Selected Feed (Local)")</f>
        <v>Px Selected Feed (Local)</v>
      </c>
      <c r="CA5" s="23" t="str">
        <f>IFERROR(__xludf.DUMMYFUNCTION("""COMPUTED_VALUE"""),"Px Selected Feed (Base)")</f>
        <v>Px Selected Feed (Base)</v>
      </c>
      <c r="CB5" s="23" t="str">
        <f>IFERROR(__xludf.DUMMYFUNCTION("""COMPUTED_VALUE"""),"Settlement Date")</f>
        <v>Settlement Date</v>
      </c>
      <c r="CC5" s="23" t="str">
        <f>IFERROR(__xludf.DUMMYFUNCTION("""COMPUTED_VALUE"""),"% Avg Volume")</f>
        <v>% Avg Volume</v>
      </c>
      <c r="CD5" s="23" t="str">
        <f>IFERROR(__xludf.DUMMYFUNCTION("""COMPUTED_VALUE"""),"Day P&amp;L (Base)(Price Gain)")</f>
        <v>Day P&amp;L (Base)(Price Gain)</v>
      </c>
      <c r="CE5" s="23" t="str">
        <f>IFERROR(__xludf.DUMMYFUNCTION("""COMPUTED_VALUE"""),"Day P&amp;L (Base)(FX Gain)")</f>
        <v>Day P&amp;L (Base)(FX Gain)</v>
      </c>
      <c r="CF5" s="23" t="str">
        <f>IFERROR(__xludf.DUMMYFUNCTION("""COMPUTED_VALUE"""),"Cost Basis P&amp;L (Base)(FX Gain)")</f>
        <v>Cost Basis P&amp;L (Base)(FX Gain)</v>
      </c>
      <c r="CG5" s="23" t="str">
        <f>IFERROR(__xludf.DUMMYFUNCTION("""COMPUTED_VALUE"""),"Cost Basis P&amp;L (Base)(Price Gain)")</f>
        <v>Cost Basis P&amp;L (Base)(Price Gain)</v>
      </c>
      <c r="CH5" s="23" t="str">
        <f>IFERROR(__xludf.DUMMYFUNCTION("""COMPUTED_VALUE"""),"% Gain/Loss Cost")</f>
        <v>% Gain/Loss Cost</v>
      </c>
      <c r="CI5" s="23" t="str">
        <f>IFERROR(__xludf.DUMMYFUNCTION("""COMPUTED_VALUE"""),"Underlying Value (Options)")</f>
        <v>Underlying Value (Options)</v>
      </c>
      <c r="CJ5" s="23" t="str">
        <f>IFERROR(__xludf.DUMMYFUNCTION("""COMPUTED_VALUE"""),"Avg Volume 20 Day (Underlying Symbol)")</f>
        <v>Avg Volume 20 Day (Underlying Symbol)</v>
      </c>
      <c r="CK5" s="23" t="str">
        <f>IFERROR(__xludf.DUMMYFUNCTION("""COMPUTED_VALUE"""),"IsStaleData")</f>
        <v>IsStaleData</v>
      </c>
      <c r="CL5" s="23" t="str">
        <f>IFERROR(__xludf.DUMMYFUNCTION("""COMPUTED_VALUE"""),"IDCO")</f>
        <v>IDCO</v>
      </c>
      <c r="CM5" s="23" t="str">
        <f>IFERROR(__xludf.DUMMYFUNCTION("""COMPUTED_VALUE"""),"OSI")</f>
        <v>OSI</v>
      </c>
      <c r="CN5" s="23" t="str">
        <f>IFERROR(__xludf.DUMMYFUNCTION("""COMPUTED_VALUE"""),"SEDOL")</f>
        <v>SEDOL</v>
      </c>
      <c r="CO5" s="23" t="str">
        <f>IFERROR(__xludf.DUMMYFUNCTION("""COMPUTED_VALUE"""),"CUSIP")</f>
        <v>CUSIP</v>
      </c>
      <c r="CP5" s="23" t="str">
        <f>IFERROR(__xludf.DUMMYFUNCTION("""COMPUTED_VALUE"""),"Bloomberg")</f>
        <v>Bloomberg</v>
      </c>
      <c r="CQ5" s="23" t="str">
        <f>IFERROR(__xludf.DUMMYFUNCTION("""COMPUTED_VALUE"""),"ISIN")</f>
        <v>ISIN</v>
      </c>
      <c r="CR5" s="23" t="str">
        <f>IFERROR(__xludf.DUMMYFUNCTION("""COMPUTED_VALUE"""),"Start Trade Date")</f>
        <v>Start Trade Date</v>
      </c>
      <c r="CS5" s="23" t="str">
        <f>IFERROR(__xludf.DUMMYFUNCTION("""COMPUTED_VALUE"""),"Cost Basis (Break Even)")</f>
        <v>Cost Basis (Break Even)</v>
      </c>
      <c r="CT5" s="23" t="str">
        <f>IFERROR(__xludf.DUMMYFUNCTION("""COMPUTED_VALUE"""),"Trade Attribute 3")</f>
        <v>Trade Attribute 3</v>
      </c>
      <c r="CU5" s="23" t="str">
        <f>IFERROR(__xludf.DUMMYFUNCTION("""COMPUTED_VALUE"""),"Trade Attribute 4")</f>
        <v>Trade Attribute 4</v>
      </c>
      <c r="CV5" s="23" t="str">
        <f>IFERROR(__xludf.DUMMYFUNCTION("""COMPUTED_VALUE"""),"Trade Attribute 5")</f>
        <v>Trade Attribute 5</v>
      </c>
      <c r="CW5" s="23" t="str">
        <f>IFERROR(__xludf.DUMMYFUNCTION("""COMPUTED_VALUE"""),"Trade Attribute 6")</f>
        <v>Trade Attribute 6</v>
      </c>
      <c r="CX5" s="23" t="str">
        <f>IFERROR(__xludf.DUMMYFUNCTION("""COMPUTED_VALUE"""),"Proxy Symbol")</f>
        <v>Proxy Symbol</v>
      </c>
      <c r="CY5" s="23" t="str">
        <f>IFERROR(__xludf.DUMMYFUNCTION("""COMPUTED_VALUE"""),"Pricing Source")</f>
        <v>Pricing Source</v>
      </c>
      <c r="CZ5" s="23" t="str">
        <f>IFERROR(__xludf.DUMMYFUNCTION("""COMPUTED_VALUE"""),"Delta Source")</f>
        <v>Delta Source</v>
      </c>
      <c r="DA5" s="23" t="str">
        <f>IFERROR(__xludf.DUMMYFUNCTION("""COMPUTED_VALUE"""),"Gross Exposure (Local)")</f>
        <v>Gross Exposure (Local)</v>
      </c>
      <c r="DB5" s="23" t="str">
        <f>IFERROR(__xludf.DUMMYFUNCTION("""COMPUTED_VALUE"""),"% Day P&amp;L (Net MV)")</f>
        <v>% Day P&amp;L (Net MV)</v>
      </c>
      <c r="DC5" s="23" t="str">
        <f>IFERROR(__xludf.DUMMYFUNCTION("""COMPUTED_VALUE"""),"Expiration Month")</f>
        <v>Expiration Month</v>
      </c>
      <c r="DD5" s="23" t="str">
        <f>IFERROR(__xludf.DUMMYFUNCTION("""COMPUTED_VALUE"""),"Delta Adj. Position (LME)")</f>
        <v>Delta Adj. Position (LME)</v>
      </c>
      <c r="DE5" s="23" t="str">
        <f>IFERROR(__xludf.DUMMYFUNCTION("""COMPUTED_VALUE"""),"Premium")</f>
        <v>Premium</v>
      </c>
      <c r="DF5" s="23" t="str">
        <f>IFERROR(__xludf.DUMMYFUNCTION("""COMPUTED_VALUE"""),"Premium $")</f>
        <v>Premium $</v>
      </c>
      <c r="DG5" s="23" t="str">
        <f>IFERROR(__xludf.DUMMYFUNCTION("""COMPUTED_VALUE"""),"Forward Points")</f>
        <v>Forward Points</v>
      </c>
      <c r="DH5" s="23" t="str">
        <f>IFERROR(__xludf.DUMMYFUNCTION("""COMPUTED_VALUE"""),"Closing Mark (Underlying)")</f>
        <v>Closing Mark (Underlying)</v>
      </c>
      <c r="DI5" s="23" t="str">
        <f>IFERROR(__xludf.DUMMYFUNCTION("""COMPUTED_VALUE"""),"% Change (Underlying Price)")</f>
        <v>% Change (Underlying Price)</v>
      </c>
      <c r="DJ5" s="23" t="str">
        <f>IFERROR(__xludf.DUMMYFUNCTION("""COMPUTED_VALUE"""),"Transaction Type")</f>
        <v>Transaction Type</v>
      </c>
      <c r="DK5" s="23" t="str">
        <f>IFERROR(__xludf.DUMMYFUNCTION("""COMPUTED_VALUE"""),"Closing Market Value (Local)")</f>
        <v>Closing Market Value (Local)</v>
      </c>
      <c r="DL5" s="23" t="str">
        <f>IFERROR(__xludf.DUMMYFUNCTION("""COMPUTED_VALUE"""),"Closing Market Value (Base)")</f>
        <v>Closing Market Value (Base)</v>
      </c>
      <c r="DM5" s="23" t="str">
        <f>IFERROR(__xludf.DUMMYFUNCTION("""COMPUTED_VALUE"""),"Closing FX Rate")</f>
        <v>Closing FX Rate</v>
      </c>
      <c r="DN5" s="23" t="str">
        <f>IFERROR(__xludf.DUMMYFUNCTION("""COMPUTED_VALUE"""),"Change In Underlying Price")</f>
        <v>Change In Underlying Price</v>
      </c>
      <c r="DO5" s="23" t="str">
        <f>IFERROR(__xludf.DUMMYFUNCTION("""COMPUTED_VALUE"""),"RIC")</f>
        <v>RIC</v>
      </c>
      <c r="DP5" s="23" t="str">
        <f>IFERROR(__xludf.DUMMYFUNCTION("""COMPUTED_VALUE"""),"Position Side Exposure (Boxed)")</f>
        <v>Position Side Exposure (Boxed)</v>
      </c>
      <c r="DQ5" s="23" t="str">
        <f>IFERROR(__xludf.DUMMYFUNCTION("""COMPUTED_VALUE"""),"Analyst")</f>
        <v>Analyst</v>
      </c>
      <c r="DR5" s="23" t="str">
        <f>IFERROR(__xludf.DUMMYFUNCTION("""COMPUTED_VALUE"""),"Country Of Risk")</f>
        <v>Country Of Risk</v>
      </c>
      <c r="DS5" s="23" t="str">
        <f>IFERROR(__xludf.DUMMYFUNCTION("""COMPUTED_VALUE"""),"Custom UDA1")</f>
        <v>Custom UDA1</v>
      </c>
      <c r="DT5" s="23" t="str">
        <f>IFERROR(__xludf.DUMMYFUNCTION("""COMPUTED_VALUE"""),"Custom UDA2")</f>
        <v>Custom UDA2</v>
      </c>
      <c r="DU5" s="23" t="str">
        <f>IFERROR(__xludf.DUMMYFUNCTION("""COMPUTED_VALUE"""),"Custom UDA3")</f>
        <v>Custom UDA3</v>
      </c>
      <c r="DV5" s="23" t="str">
        <f>IFERROR(__xludf.DUMMYFUNCTION("""COMPUTED_VALUE"""),"Custom UDA4")</f>
        <v>Custom UDA4</v>
      </c>
      <c r="DW5" s="23" t="str">
        <f>IFERROR(__xludf.DUMMYFUNCTION("""COMPUTED_VALUE"""),"Custom UDA5")</f>
        <v>Custom UDA5</v>
      </c>
      <c r="DX5" s="23" t="str">
        <f>IFERROR(__xludf.DUMMYFUNCTION("""COMPUTED_VALUE"""),"Custom UDA6")</f>
        <v>Custom UDA6</v>
      </c>
      <c r="DY5" s="23" t="str">
        <f>IFERROR(__xludf.DUMMYFUNCTION("""COMPUTED_VALUE"""),"Custom UDA7")</f>
        <v>Custom UDA7</v>
      </c>
      <c r="DZ5" s="23" t="str">
        <f>IFERROR(__xludf.DUMMYFUNCTION("""COMPUTED_VALUE"""),"Issuer")</f>
        <v>Issuer</v>
      </c>
      <c r="EA5" s="23" t="str">
        <f>IFERROR(__xludf.DUMMYFUNCTION("""COMPUTED_VALUE"""),"Liquid Tag")</f>
        <v>Liquid Tag</v>
      </c>
      <c r="EB5" s="23" t="str">
        <f>IFERROR(__xludf.DUMMYFUNCTION("""COMPUTED_VALUE"""),"Market Cap UDA")</f>
        <v>Market Cap UDA</v>
      </c>
      <c r="EC5" s="23" t="str">
        <f>IFERROR(__xludf.DUMMYFUNCTION("""COMPUTED_VALUE"""),"Region")</f>
        <v>Region</v>
      </c>
      <c r="ED5" s="23" t="str">
        <f>IFERROR(__xludf.DUMMYFUNCTION("""COMPUTED_VALUE"""),"Risk Currency")</f>
        <v>Risk Currency</v>
      </c>
      <c r="EE5" s="23" t="str">
        <f>IFERROR(__xludf.DUMMYFUNCTION("""COMPUTED_VALUE"""),"UCITS Eligible Tag")</f>
        <v>UCITS Eligible Tag</v>
      </c>
      <c r="EF5" s="23" t="str">
        <f>IFERROR(__xludf.DUMMYFUNCTION("""COMPUTED_VALUE"""),"FX Rate (Display)")</f>
        <v>FX Rate (Display)</v>
      </c>
      <c r="EG5" s="23" t="str">
        <f>IFERROR(__xludf.DUMMYFUNCTION("""COMPUTED_VALUE"""),"% Net Exposure (Base)")</f>
        <v>% Net Exposure (Base)</v>
      </c>
      <c r="EH5" s="23" t="str">
        <f>IFERROR(__xludf.DUMMYFUNCTION("""COMPUTED_VALUE"""),"% Gross Exposure (Base)")</f>
        <v>% Gross Exposure (Base)</v>
      </c>
      <c r="EI5" s="23" t="str">
        <f>IFERROR(__xludf.DUMMYFUNCTION("""COMPUTED_VALUE"""),"% Exposure (Base)")</f>
        <v>% Exposure (Base)</v>
      </c>
      <c r="EJ5" s="23" t="str">
        <f>IFERROR(__xludf.DUMMYFUNCTION("""COMPUTED_VALUE"""),"% Gross Exposure (Underlying) (Base)")</f>
        <v>% Gross Exposure (Underlying) (Base)</v>
      </c>
      <c r="EK5" s="23" t="str">
        <f>IFERROR(__xludf.DUMMYFUNCTION("""COMPUTED_VALUE"""),"% Beta Adj. Gross Exposure (Base)")</f>
        <v>% Beta Adj. Gross Exposure (Base)</v>
      </c>
      <c r="EL5" s="23" t="str">
        <f>IFERROR(__xludf.DUMMYFUNCTION("""COMPUTED_VALUE"""),"Position Side Exposure (Underlying)")</f>
        <v>Position Side Exposure (Underlying)</v>
      </c>
      <c r="EM5" s="23" t="str">
        <f>IFERROR(__xludf.DUMMYFUNCTION("""COMPUTED_VALUE"""),"Gross Exposure (Underlying) (Base)")</f>
        <v>Gross Exposure (Underlying) (Base)</v>
      </c>
      <c r="EN5" s="23" t="str">
        <f>IFERROR(__xludf.DUMMYFUNCTION("""COMPUTED_VALUE"""),"Gross Exposure (Underlying)")</f>
        <v>Gross Exposure (Underlying)</v>
      </c>
      <c r="EO5" s="23" t="str">
        <f>IFERROR(__xludf.DUMMYFUNCTION("""COMPUTED_VALUE"""),"Day Return")</f>
        <v>Day Return</v>
      </c>
      <c r="EP5" s="23" t="str">
        <f>IFERROR(__xludf.DUMMYFUNCTION("""COMPUTED_VALUE"""),"Start of Day NAV")</f>
        <v>Start of Day NAV</v>
      </c>
      <c r="EQ5" s="23" t="str">
        <f>IFERROR(__xludf.DUMMYFUNCTION("""COMPUTED_VALUE"""),"% Gross Market Value (Base)")</f>
        <v>% Gross Market Value (Base)</v>
      </c>
      <c r="ER5" s="23" t="str">
        <f>IFERROR(__xludf.DUMMYFUNCTION("""COMPUTED_VALUE"""),"Beta Adj. Gross Exposure (Underlying) (Local)")</f>
        <v>Beta Adj. Gross Exposure (Underlying) (Local)</v>
      </c>
      <c r="ES5" s="23" t="str">
        <f>IFERROR(__xludf.DUMMYFUNCTION("""COMPUTED_VALUE"""),"NAV")</f>
        <v>NAV</v>
      </c>
      <c r="ET5" s="23" t="str">
        <f>IFERROR(__xludf.DUMMYFUNCTION("""COMPUTED_VALUE"""),"% P&amp;L Contribution")</f>
        <v>% P&amp;L Contribution</v>
      </c>
      <c r="EU5" s="23" t="str">
        <f>IFERROR(__xludf.DUMMYFUNCTION("""COMPUTED_VALUE"""),"% Net Market Value (Base)")</f>
        <v>% Net Market Value (Base)</v>
      </c>
      <c r="EV5" s="23" t="str">
        <f>IFERROR(__xludf.DUMMYFUNCTION("""COMPUTED_VALUE"""),"Position Side Exposure")</f>
        <v>Position Side Exposure</v>
      </c>
      <c r="EW5" s="23" t="str">
        <f>IFERROR(__xludf.DUMMYFUNCTION("""COMPUTED_VALUE"""),"NAV (Touch)")</f>
        <v>NAV (Touch)</v>
      </c>
      <c r="EX5" s="23" t="str">
        <f>IFERROR(__xludf.DUMMYFUNCTION("""COMPUTED_VALUE"""),"IgnorePropertyChangeEvents")</f>
        <v>IgnorePropertyChangeEvents</v>
      </c>
      <c r="EY5" s="23" t="str">
        <f>IFERROR(__xludf.DUMMYFUNCTION("""COMPUTED_VALUE"""),"Trade Attribute 1")</f>
        <v>Trade Attribute 1</v>
      </c>
      <c r="EZ5" s="23" t="str">
        <f>IFERROR(__xludf.DUMMYFUNCTION("""COMPUTED_VALUE"""),"Trade Attribute 2")</f>
        <v>Trade Attribute 2</v>
      </c>
      <c r="FA5" s="23" t="str">
        <f>IFERROR(__xludf.DUMMYFUNCTION("""COMPUTED_VALUE"""),"Client")</f>
        <v>Client</v>
      </c>
      <c r="FB5" s="23" t="str">
        <f>IFERROR(__xludf.DUMMYFUNCTION("""COMPUTED_VALUE"""),"IsCustomViewTab")</f>
        <v>IsCustomViewTab</v>
      </c>
      <c r="FC5" s="23" t="str">
        <f>IFERROR(__xludf.DUMMYFUNCTION("""COMPUTED_VALUE"""),"ITM/OTM")</f>
        <v>ITM/OTM</v>
      </c>
      <c r="FD5" s="23" t="str">
        <f>IFERROR(__xludf.DUMMYFUNCTION("""COMPUTED_VALUE"""),"Days to Expiry")</f>
        <v>Days to Expiry</v>
      </c>
      <c r="FE5" s="23" t="str">
        <f>IFERROR(__xludf.DUMMYFUNCTION("""COMPUTED_VALUE"""),"% of Underlying Price")</f>
        <v>% of Underlying Price</v>
      </c>
      <c r="FF5" s="23" t="str">
        <f>IFERROR(__xludf.DUMMYFUNCTION("""COMPUTED_VALUE"""),"Intrinsic value")</f>
        <v>Intrinsic value</v>
      </c>
      <c r="FG5" s="23" t="str">
        <f>IFERROR(__xludf.DUMMYFUNCTION("""COMPUTED_VALUE"""),"Gain/Loss if Ex./Assign")</f>
        <v>Gain/Loss if Ex./Assign</v>
      </c>
      <c r="FH5" s="23" t="str">
        <f>IFERROR(__xludf.DUMMYFUNCTION("""COMPUTED_VALUE"""),"Day Traded Position")</f>
        <v>Day Traded Position</v>
      </c>
      <c r="FI5" s="23" t="str">
        <f>IFERROR(__xludf.DUMMYFUNCTION("""COMPUTED_VALUE"""),"isRowCountCheck")</f>
        <v>isRowCountCheck</v>
      </c>
      <c r="FJ5" s="23" t="str">
        <f>IFERROR(__xludf.DUMMYFUNCTION("""COMPUTED_VALUE"""),"ACTIV Symbol")</f>
        <v>ACTIV Symbol</v>
      </c>
      <c r="FK5" s="23" t="str">
        <f>IFERROR(__xludf.DUMMYFUNCTION("""COMPUTED_VALUE"""),"IsAccountBlank")</f>
        <v>IsAccountBlank</v>
      </c>
      <c r="FL5" s="23" t="str">
        <f>IFERROR(__xludf.DUMMYFUNCTION("""COMPUTED_VALUE"""),"MandatoryColumn")</f>
        <v>MandatoryColumn</v>
      </c>
      <c r="FM5" s="23" t="str">
        <f>IFERROR(__xludf.DUMMYFUNCTION("""COMPUTED_VALUE"""),"Px Last")</f>
        <v>Px Last</v>
      </c>
      <c r="FN5" s="23" t="str">
        <f>IFERROR(__xludf.DUMMYFUNCTION("""COMPUTED_VALUE"""),"Px Ask")</f>
        <v>Px Ask</v>
      </c>
      <c r="FO5" s="23" t="str">
        <f>IFERROR(__xludf.DUMMYFUNCTION("""COMPUTED_VALUE"""),"Px Bid")</f>
        <v>Px Bid</v>
      </c>
      <c r="FP5" s="23" t="str">
        <f>IFERROR(__xludf.DUMMYFUNCTION("""COMPUTED_VALUE"""),"Px Mid")</f>
        <v>Px Mid</v>
      </c>
      <c r="FQ5" s="23" t="str">
        <f>IFERROR(__xludf.DUMMYFUNCTION("""COMPUTED_VALUE"""),"Closing Price")</f>
        <v>Closing Price</v>
      </c>
      <c r="FR5" s="23" t="str">
        <f>IFERROR(__xludf.DUMMYFUNCTION("""COMPUTED_VALUE"""),"Total Volume")</f>
        <v>Total Volume</v>
      </c>
      <c r="FS5" s="23" t="str">
        <f>IFERROR(__xludf.DUMMYFUNCTION("""COMPUTED_VALUE"""),"Custom UDA8")</f>
        <v>Custom UDA8</v>
      </c>
      <c r="FT5" s="23" t="str">
        <f>IFERROR(__xludf.DUMMYFUNCTION("""COMPUTED_VALUE"""),"Custom UDA9")</f>
        <v>Custom UDA9</v>
      </c>
      <c r="FU5" s="23" t="str">
        <f>IFERROR(__xludf.DUMMYFUNCTION("""COMPUTED_VALUE"""),"Custom UDA10")</f>
        <v>Custom UDA10</v>
      </c>
      <c r="FV5" s="23" t="str">
        <f>IFERROR(__xludf.DUMMYFUNCTION("""COMPUTED_VALUE"""),"Custom UDA11")</f>
        <v>Custom UDA11</v>
      </c>
      <c r="FW5" s="23" t="str">
        <f>IFERROR(__xludf.DUMMYFUNCTION("""COMPUTED_VALUE"""),"Custom UDA12")</f>
        <v>Custom UDA12</v>
      </c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</row>
    <row r="6" ht="15.75" customHeight="1">
      <c r="A6" s="6" t="s">
        <v>53</v>
      </c>
      <c r="B6" s="6"/>
      <c r="C6" s="6" t="s">
        <v>33</v>
      </c>
      <c r="D6" s="6">
        <v>50.0</v>
      </c>
      <c r="E6" s="6" t="s">
        <v>19</v>
      </c>
      <c r="F6" s="6" t="s">
        <v>54</v>
      </c>
      <c r="G6" s="6">
        <v>2.0</v>
      </c>
      <c r="H6" s="6" t="s">
        <v>55</v>
      </c>
      <c r="I6" s="6"/>
      <c r="J6" s="6"/>
      <c r="K6" s="6"/>
      <c r="L6" s="6"/>
      <c r="M6" s="6"/>
      <c r="N6" s="6"/>
      <c r="O6" s="6" t="s">
        <v>56</v>
      </c>
      <c r="P6" s="7" t="s">
        <v>57</v>
      </c>
      <c r="R6" s="7" t="s">
        <v>20</v>
      </c>
      <c r="S6" s="7" t="s">
        <v>50</v>
      </c>
      <c r="T6" s="7" t="s">
        <v>58</v>
      </c>
      <c r="U6" s="7" t="s">
        <v>59</v>
      </c>
      <c r="V6" s="7" t="s">
        <v>60</v>
      </c>
      <c r="W6" s="7" t="s">
        <v>61</v>
      </c>
      <c r="X6" s="7">
        <v>1.0</v>
      </c>
      <c r="Y6" s="7">
        <v>1.0</v>
      </c>
      <c r="AN6" s="7" t="s">
        <v>35</v>
      </c>
      <c r="AP6" s="7" t="s">
        <v>55</v>
      </c>
      <c r="AQ6" s="7" t="s">
        <v>33</v>
      </c>
      <c r="AU6" s="7" t="s">
        <v>62</v>
      </c>
      <c r="BC6" s="7">
        <v>1.0</v>
      </c>
      <c r="BE6" s="7" t="s">
        <v>58</v>
      </c>
      <c r="BF6" s="7" t="s">
        <v>63</v>
      </c>
      <c r="BG6" s="7" t="s">
        <v>64</v>
      </c>
      <c r="BH6" s="7" t="s">
        <v>57</v>
      </c>
      <c r="BQ6" s="7" t="s">
        <v>65</v>
      </c>
      <c r="BR6" s="8" t="s">
        <v>20</v>
      </c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</row>
    <row r="7" ht="15.75" customHeight="1">
      <c r="A7" s="6" t="s">
        <v>53</v>
      </c>
      <c r="B7" s="6"/>
      <c r="C7" s="6" t="s">
        <v>33</v>
      </c>
      <c r="D7" s="6">
        <v>50.0</v>
      </c>
      <c r="E7" s="6" t="s">
        <v>21</v>
      </c>
      <c r="F7" s="6" t="s">
        <v>66</v>
      </c>
      <c r="G7" s="6">
        <v>2.0</v>
      </c>
      <c r="H7" s="6" t="s">
        <v>55</v>
      </c>
      <c r="I7" s="6"/>
      <c r="J7" s="6"/>
      <c r="K7" s="6"/>
      <c r="L7" s="6"/>
      <c r="M7" s="6"/>
      <c r="N7" s="6"/>
      <c r="O7" s="6" t="s">
        <v>56</v>
      </c>
      <c r="P7" s="7" t="s">
        <v>57</v>
      </c>
      <c r="R7" s="7" t="s">
        <v>20</v>
      </c>
      <c r="S7" s="7" t="s">
        <v>50</v>
      </c>
      <c r="T7" s="7" t="s">
        <v>58</v>
      </c>
      <c r="U7" s="7" t="s">
        <v>59</v>
      </c>
      <c r="V7" s="7" t="s">
        <v>60</v>
      </c>
      <c r="W7" s="7" t="s">
        <v>61</v>
      </c>
      <c r="X7" s="7">
        <v>1.0</v>
      </c>
      <c r="Y7" s="7">
        <v>1.0</v>
      </c>
      <c r="AN7" s="7" t="s">
        <v>35</v>
      </c>
      <c r="AP7" s="7" t="s">
        <v>55</v>
      </c>
      <c r="AQ7" s="7" t="s">
        <v>33</v>
      </c>
      <c r="AU7" s="7" t="s">
        <v>62</v>
      </c>
      <c r="BC7" s="7">
        <v>1.0</v>
      </c>
      <c r="BE7" s="7" t="s">
        <v>58</v>
      </c>
      <c r="BF7" s="7" t="s">
        <v>63</v>
      </c>
      <c r="BG7" s="7" t="s">
        <v>64</v>
      </c>
      <c r="BH7" s="7" t="s">
        <v>57</v>
      </c>
      <c r="BQ7" s="7" t="s">
        <v>65</v>
      </c>
      <c r="BR7" s="8" t="s">
        <v>20</v>
      </c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</row>
    <row r="8" ht="15.75" customHeight="1">
      <c r="A8" s="6" t="s">
        <v>53</v>
      </c>
      <c r="B8" s="6"/>
      <c r="C8" s="6" t="s">
        <v>38</v>
      </c>
      <c r="D8" s="6">
        <v>50.0</v>
      </c>
      <c r="E8" s="6" t="s">
        <v>19</v>
      </c>
      <c r="F8" s="6" t="s">
        <v>54</v>
      </c>
      <c r="G8" s="6">
        <v>2.0</v>
      </c>
      <c r="H8" s="6" t="s">
        <v>55</v>
      </c>
      <c r="I8" s="6"/>
      <c r="J8" s="6"/>
      <c r="K8" s="6"/>
      <c r="L8" s="6"/>
      <c r="M8" s="6"/>
      <c r="N8" s="6"/>
      <c r="O8" s="6" t="s">
        <v>67</v>
      </c>
      <c r="P8" s="7" t="s">
        <v>57</v>
      </c>
      <c r="R8" s="7" t="s">
        <v>20</v>
      </c>
      <c r="S8" s="7" t="s">
        <v>50</v>
      </c>
      <c r="T8" s="7" t="s">
        <v>58</v>
      </c>
      <c r="U8" s="7" t="s">
        <v>59</v>
      </c>
      <c r="V8" s="7" t="s">
        <v>60</v>
      </c>
      <c r="W8" s="7" t="s">
        <v>61</v>
      </c>
      <c r="X8" s="7">
        <v>1.0</v>
      </c>
      <c r="Y8" s="7">
        <v>1.0</v>
      </c>
      <c r="AN8" s="7" t="s">
        <v>35</v>
      </c>
      <c r="AP8" s="7" t="s">
        <v>55</v>
      </c>
      <c r="AQ8" s="7" t="s">
        <v>38</v>
      </c>
      <c r="AU8" s="7" t="s">
        <v>62</v>
      </c>
      <c r="BC8" s="7">
        <v>1.0</v>
      </c>
      <c r="BE8" s="7" t="s">
        <v>58</v>
      </c>
      <c r="BF8" s="7" t="s">
        <v>68</v>
      </c>
      <c r="BG8" s="7" t="s">
        <v>69</v>
      </c>
      <c r="BH8" s="7" t="s">
        <v>70</v>
      </c>
      <c r="BQ8" s="7" t="s">
        <v>65</v>
      </c>
      <c r="BR8" s="8" t="s">
        <v>20</v>
      </c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</row>
    <row r="9" ht="15.75" customHeight="1">
      <c r="A9" s="6" t="s">
        <v>53</v>
      </c>
      <c r="B9" s="6"/>
      <c r="C9" s="6" t="s">
        <v>38</v>
      </c>
      <c r="D9" s="6">
        <v>50.0</v>
      </c>
      <c r="E9" s="6" t="s">
        <v>21</v>
      </c>
      <c r="F9" s="6" t="s">
        <v>66</v>
      </c>
      <c r="G9" s="6">
        <v>2.0</v>
      </c>
      <c r="H9" s="6" t="s">
        <v>55</v>
      </c>
      <c r="I9" s="6"/>
      <c r="J9" s="6"/>
      <c r="K9" s="6"/>
      <c r="L9" s="6"/>
      <c r="M9" s="6"/>
      <c r="N9" s="6"/>
      <c r="O9" s="6" t="s">
        <v>67</v>
      </c>
      <c r="P9" s="7" t="s">
        <v>57</v>
      </c>
      <c r="R9" s="7" t="s">
        <v>20</v>
      </c>
      <c r="S9" s="7" t="s">
        <v>50</v>
      </c>
      <c r="T9" s="7" t="s">
        <v>58</v>
      </c>
      <c r="U9" s="7" t="s">
        <v>59</v>
      </c>
      <c r="V9" s="7" t="s">
        <v>60</v>
      </c>
      <c r="W9" s="7" t="s">
        <v>61</v>
      </c>
      <c r="X9" s="7">
        <v>1.0</v>
      </c>
      <c r="Y9" s="7">
        <v>1.0</v>
      </c>
      <c r="AN9" s="7" t="s">
        <v>35</v>
      </c>
      <c r="AP9" s="7" t="s">
        <v>55</v>
      </c>
      <c r="AQ9" s="7" t="s">
        <v>38</v>
      </c>
      <c r="AU9" s="7" t="s">
        <v>62</v>
      </c>
      <c r="BC9" s="7">
        <v>1.0</v>
      </c>
      <c r="BE9" s="7" t="s">
        <v>58</v>
      </c>
      <c r="BF9" s="7" t="s">
        <v>68</v>
      </c>
      <c r="BG9" s="7" t="s">
        <v>69</v>
      </c>
      <c r="BH9" s="7" t="s">
        <v>70</v>
      </c>
      <c r="BQ9" s="7" t="s">
        <v>65</v>
      </c>
      <c r="BR9" s="8" t="s">
        <v>20</v>
      </c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