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VerifyOrder" sheetId="6" r:id="rId8"/>
  </sheets>
  <calcPr fullCalcOnLoad="1"/>
</workbook>
</file>

<file path=xl/sharedStrings.xml><?xml version="1.0" encoding="utf-8"?>
<sst xmlns="http://schemas.openxmlformats.org/spreadsheetml/2006/main" count="29" uniqueCount="29">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</sst>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IFERROR(__xludf.DUMMYFUNCTION("""COMPUTED_VALUE"""),"PranaClient")</f>
        <v>PranaClient</v>
      </c>
      <c r="B629" s="0" t="str">
        <f>IFERROR(__xludf.DUMMYFUNCTION("""COMPUTED_VALUE"""),"LoginClient")</f>
        <v>LoginClient</v>
      </c>
      <c r="C629" s="0" t="str">
        <f>IFERROR(__xludf.DUMMYFUNCTION("""COMPUTED_VALUE"""),"15s_MBgGJ0dfZ8sabmSGlh8UnFHbnEhlY_4upAbjXzmg")</f>
        <v>15s_MBgGJ0dfZ8sabmSGlh8UnFHbnEhlY_4upAbjXzmg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IFERROR(__xludf.DUMMYFUNCTION("""COMPUTED_VALUE"""),"BulkChangeCreateStageOrder")</f>
        <v>BulkChangeCreateStageOrder</v>
      </c>
      <c r="C630" s="0" t="str">
        <f>IFERROR(__xludf.DUMMYFUNCTION("""COMPUTED_VALUE"""),"1XpPlMHrXIkdrEc4GgpL4YGWBTY6izs1MK6Jy7Z3jR-Q")</f>
        <v>1XpPlMHrXIkdrEc4GgpL4YGWBTY6izs1MK6Jy7Z3jR-Q</v>
      </c>
    </row>
    <row r="631" ht="15.75" customHeight="1">
      <c r="A631" s="0" t="str">
        <f>IFERROR(__xludf.DUMMYFUNCTION("""COMPUTED_VALUE"""),"MultiTradingTicket")</f>
        <v>MultiTradingTicket</v>
      </c>
      <c r="B631" s="0" t="str">
        <f>IFERROR(__xludf.DUMMYFUNCTION("""COMPUTED_VALUE"""),"BulkUpdateUsingMTT")</f>
        <v>BulkUpdateUsingMTT</v>
      </c>
      <c r="C631" s="0" t="str">
        <f>IFERROR(__xludf.DUMMYFUNCTION("""COMPUTED_VALUE"""),"1z5unUI4CMAB-Y1nnow1quueM3t3SDsE_5x7GoqlPJdo")</f>
        <v>1z5unUI4CMAB-Y1nnow1quueM3t3SDsE_5x7GoqlPJdo</v>
      </c>
    </row>
    <row r="632" ht="15.75" customHeight="1">
      <c r="A632" s="0" t="str">
        <f>IFERROR(__xludf.DUMMYFUNCTION("""COMPUTED_VALUE"""),"PranaClient")</f>
        <v>PranaClient</v>
      </c>
      <c r="B632" s="0" t="str">
        <f>IFERROR(__xludf.DUMMYFUNCTION("""COMPUTED_VALUE"""),"CompareXML")</f>
        <v>CompareXML</v>
      </c>
      <c r="C632" s="0" t="str">
        <f>IFERROR(__xludf.DUMMYFUNCTION("""COMPUTED_VALUE"""),"1UbkLLvFc4omZgamtV9FPjYfaLw9XLbjQYRKGGO3lyPE")</f>
        <v>1UbkLLvFc4omZgamtV9FPjYfaLw9XLbjQYRKGGO3lyPE</v>
      </c>
    </row>
    <row r="633" ht="15.75" customHeight="1">
      <c r="A633" s="0" t="str">
        <f>IFERROR(__xludf.DUMMYFUNCTION("""COMPUTED_VALUE"""),"Admin")</f>
        <v>Admin</v>
      </c>
      <c r="B633" s="0" t="str">
        <f>IFERROR(__xludf.DUMMYFUNCTION("""COMPUTED_VALUE"""),"SetMasterFundOnTT")</f>
        <v>SetMasterFundOnTT</v>
      </c>
      <c r="C633" s="0" t="str">
        <f>IFERROR(__xludf.DUMMYFUNCTION("""COMPUTED_VALUE"""),"1LK3f7jczHzLHkY7I_RK-58BnR45KNGpebn0hHO3eSgo")</f>
        <v>1LK3f7jczHzLHkY7I_RK-58BnR45KNGpebn0hHO3eSgo</v>
      </c>
    </row>
    <row r="634" ht="15.75" customHeight="1">
      <c r="A634" s="0" t="str">
        <f>IFERROR(__xludf.DUMMYFUNCTION("""COMPUTED_VALUE"""),"TradingTicket")</f>
        <v>TradingTicket</v>
      </c>
      <c r="B634" s="0" t="str">
        <f>IFERROR(__xludf.DUMMYFUNCTION("""COMPUTED_VALUE"""),"VerifyCustomAllocationonTT")</f>
        <v>VerifyCustomAllocationonTT</v>
      </c>
      <c r="C634" s="0" t="str">
        <f>IFERROR(__xludf.DUMMYFUNCTION("""COMPUTED_VALUE"""),"10ici7f6_wpSFiwpn22nHeSOFsZ1dU_pzk6nMLQKHIRY")</f>
        <v>10ici7f6_wpSFiwpn22nHeSOFsZ1dU_pzk6nMLQKHIRY</v>
      </c>
    </row>
    <row r="635" ht="15.75" customHeight="1">
      <c r="A635" s="0" t="str">
        <f>IFERROR(__xludf.DUMMYFUNCTION("""COMPUTED_VALUE"""),"Blotter")</f>
        <v>Blotter</v>
      </c>
      <c r="B635" s="0" t="str">
        <f>IFERROR(__xludf.DUMMYFUNCTION("""COMPUTED_VALUE"""),"ReAllocateFromBlotterByAllocate")</f>
        <v>ReAllocateFromBlotterByAllocate</v>
      </c>
      <c r="C635" s="0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1800.56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5">
        <v>1700</v>
      </c>
      <c r="E6" s="35">
        <v>1700</v>
      </c>
      <c r="F6" s="32"/>
      <c r="G6" s="32" t="s">
        <v>22</v>
      </c>
      <c r="H6" s="32"/>
      <c r="I6" s="32"/>
      <c r="J6" s="34">
        <v>1</v>
      </c>
      <c r="K6" s="32"/>
      <c r="L6" s="32"/>
      <c r="M6" s="32"/>
      <c r="N6" s="36">
        <f>today()</f>
        <v>44998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23</v>
      </c>
      <c r="AL6" s="32" t="s">
        <v>24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21</v>
      </c>
      <c r="AK6" s="32" t="s">
        <v>27</v>
      </c>
      <c r="AL6" s="37">
        <v>1700</v>
      </c>
      <c r="AM6" s="37">
        <v>1700</v>
      </c>
      <c r="AN6" s="38">
        <v>100</v>
      </c>
      <c r="AO6" s="32"/>
      <c r="AP6" s="32"/>
      <c r="AQ6" s="32"/>
      <c r="AR6" s="32"/>
      <c r="AS6" s="32" t="s">
        <v>22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