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8" activeTab="11"/>
  </bookViews>
  <sheets>
    <sheet name="_Modules" sheetId="1" r:id="rId1"/>
    <sheet name="_Settings" sheetId="2" r:id="rId2"/>
    <sheet name="_MasterData" sheetId="3" r:id="rId3"/>
    <sheet name="CreateDoneAwayOrder" sheetId="4" r:id="rId4"/>
    <sheet name="GetDataClosing1" sheetId="5" r:id="rId5"/>
    <sheet name="VerifyLongPositionsGrid" sheetId="6" r:id="rId6"/>
    <sheet name="SelectTradeUnexpiredUnsettled" sheetId="7" r:id="rId7"/>
    <sheet name="ExerciseAssignment" sheetId="8" r:id="rId8"/>
    <sheet name="VerifyExpiredSettledGrid" sheetId="9" r:id="rId9"/>
    <sheet name="GetDataAllocation" sheetId="10" r:id="rId10"/>
    <sheet name="CheckAllocatedGroups" sheetId="11" r:id="rId11"/>
    <sheet name="CheckPortfolioManagement" sheetId="12" r:id="rId12"/>
  </sheets>
  <calcPr calcId="145621"/>
</workbook>
</file>

<file path=xl/calcChain.xml><?xml version="1.0" encoding="utf-8"?>
<calcChain xmlns="http://schemas.openxmlformats.org/spreadsheetml/2006/main">
  <c r="J2" i="12" l="1"/>
  <c r="J2" i="11"/>
  <c r="J2" i="10"/>
  <c r="J2" i="9"/>
  <c r="J2" i="8"/>
  <c r="J2" i="7"/>
  <c r="J2" i="6"/>
  <c r="J2" i="5"/>
  <c r="J2" i="4"/>
  <c r="BK5" i="12"/>
  <c r="FA5" i="12"/>
  <c r="ES5" i="12"/>
  <c r="EK5" i="12"/>
  <c r="EC5" i="12"/>
  <c r="DU5" i="12"/>
  <c r="DM5" i="12"/>
  <c r="DE5" i="12"/>
  <c r="CW5" i="12"/>
  <c r="CO5" i="12"/>
  <c r="CG5" i="12"/>
  <c r="BY5" i="12"/>
  <c r="BQ5" i="12"/>
  <c r="BI5" i="12"/>
  <c r="BA5" i="12"/>
  <c r="AS5" i="12"/>
  <c r="AK5" i="12"/>
  <c r="AC5" i="12"/>
  <c r="U5" i="12"/>
  <c r="M5" i="12"/>
  <c r="E5" i="12"/>
  <c r="V4" i="12"/>
  <c r="N4" i="12"/>
  <c r="F4" i="12"/>
  <c r="CQ5" i="11"/>
  <c r="CI5" i="11"/>
  <c r="CA5" i="11"/>
  <c r="BS5" i="11"/>
  <c r="BK5" i="11"/>
  <c r="BC5" i="11"/>
  <c r="AU5" i="11"/>
  <c r="AM5" i="11"/>
  <c r="AE5" i="11"/>
  <c r="W5" i="11"/>
  <c r="O5" i="11"/>
  <c r="G5" i="11"/>
  <c r="DP4" i="11"/>
  <c r="DH4" i="11"/>
  <c r="CZ4" i="11"/>
  <c r="CR4" i="11"/>
  <c r="CJ4" i="11"/>
  <c r="CB4" i="11"/>
  <c r="BT4" i="11"/>
  <c r="BL4" i="11"/>
  <c r="BD4" i="11"/>
  <c r="AV4" i="11"/>
  <c r="AN4" i="11"/>
  <c r="AF4" i="11"/>
  <c r="X4" i="11"/>
  <c r="P4" i="11"/>
  <c r="H4" i="11"/>
  <c r="R5" i="10"/>
  <c r="J5" i="10"/>
  <c r="B5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Y5" i="9"/>
  <c r="Q5" i="9"/>
  <c r="I5" i="9"/>
  <c r="A5" i="9"/>
  <c r="V4" i="9"/>
  <c r="N4" i="9"/>
  <c r="F4" i="9"/>
  <c r="BT5" i="8"/>
  <c r="BL5" i="8"/>
  <c r="BD5" i="8"/>
  <c r="AV5" i="8"/>
  <c r="AN5" i="8"/>
  <c r="AF5" i="8"/>
  <c r="X5" i="8"/>
  <c r="P5" i="8"/>
  <c r="H5" i="8"/>
  <c r="AC4" i="8"/>
  <c r="U4" i="8"/>
  <c r="M4" i="8"/>
  <c r="E4" i="8"/>
  <c r="EJ5" i="7"/>
  <c r="EB5" i="7"/>
  <c r="DT5" i="7"/>
  <c r="DL5" i="7"/>
  <c r="DD5" i="7"/>
  <c r="CV5" i="7"/>
  <c r="CN5" i="7"/>
  <c r="CF5" i="7"/>
  <c r="BX5" i="7"/>
  <c r="BP5" i="7"/>
  <c r="BH5" i="7"/>
  <c r="AZ5" i="7"/>
  <c r="AR5" i="7"/>
  <c r="AJ5" i="7"/>
  <c r="AB5" i="7"/>
  <c r="T5" i="7"/>
  <c r="L5" i="7"/>
  <c r="D5" i="7"/>
  <c r="Y4" i="7"/>
  <c r="Q4" i="7"/>
  <c r="I4" i="7"/>
  <c r="S5" i="6"/>
  <c r="K5" i="6"/>
  <c r="C5" i="6"/>
  <c r="X4" i="6"/>
  <c r="P4" i="6"/>
  <c r="H4" i="6"/>
  <c r="E5" i="5"/>
  <c r="Z4" i="5"/>
  <c r="R4" i="5"/>
  <c r="J4" i="5"/>
  <c r="B4" i="5"/>
  <c r="AI5" i="4"/>
  <c r="AA5" i="4"/>
  <c r="S5" i="4"/>
  <c r="K5" i="4"/>
  <c r="C5" i="4"/>
  <c r="O4" i="4"/>
  <c r="G4" i="4"/>
  <c r="EZ5" i="12"/>
  <c r="ER5" i="12"/>
  <c r="EJ5" i="12"/>
  <c r="EB5" i="12"/>
  <c r="DT5" i="12"/>
  <c r="DL5" i="12"/>
  <c r="DD5" i="12"/>
  <c r="CV5" i="12"/>
  <c r="CN5" i="12"/>
  <c r="CF5" i="12"/>
  <c r="BX5" i="12"/>
  <c r="BP5" i="12"/>
  <c r="BH5" i="12"/>
  <c r="AZ5" i="12"/>
  <c r="AR5" i="12"/>
  <c r="AJ5" i="12"/>
  <c r="AB5" i="12"/>
  <c r="T5" i="12"/>
  <c r="L5" i="12"/>
  <c r="D5" i="12"/>
  <c r="U4" i="12"/>
  <c r="M4" i="12"/>
  <c r="E4" i="12"/>
  <c r="CP5" i="11"/>
  <c r="CH5" i="11"/>
  <c r="BZ5" i="11"/>
  <c r="BR5" i="11"/>
  <c r="BJ5" i="11"/>
  <c r="BB5" i="11"/>
  <c r="AT5" i="11"/>
  <c r="AL5" i="11"/>
  <c r="AD5" i="11"/>
  <c r="V5" i="11"/>
  <c r="N5" i="11"/>
  <c r="F5" i="11"/>
  <c r="DO4" i="11"/>
  <c r="DG4" i="11"/>
  <c r="CY4" i="11"/>
  <c r="CQ4" i="11"/>
  <c r="CI4" i="11"/>
  <c r="CA4" i="11"/>
  <c r="BS4" i="11"/>
  <c r="BK4" i="11"/>
  <c r="BC4" i="11"/>
  <c r="AU4" i="11"/>
  <c r="AM4" i="11"/>
  <c r="AE4" i="11"/>
  <c r="W4" i="11"/>
  <c r="O4" i="11"/>
  <c r="G4" i="11"/>
  <c r="Q5" i="10"/>
  <c r="I5" i="10"/>
  <c r="A5" i="10"/>
  <c r="DJ4" i="10"/>
  <c r="DB4" i="10"/>
  <c r="CT4" i="10"/>
  <c r="CL4" i="10"/>
  <c r="CD4" i="10"/>
  <c r="BV4" i="10"/>
  <c r="BN4" i="10"/>
  <c r="BF4" i="10"/>
  <c r="AX4" i="10"/>
  <c r="AP4" i="10"/>
  <c r="AH4" i="10"/>
  <c r="Z4" i="10"/>
  <c r="R4" i="10"/>
  <c r="J4" i="10"/>
  <c r="B4" i="10"/>
  <c r="X5" i="9"/>
  <c r="P5" i="9"/>
  <c r="H5" i="9"/>
  <c r="AC4" i="9"/>
  <c r="U4" i="9"/>
  <c r="M4" i="9"/>
  <c r="E4" i="9"/>
  <c r="BS5" i="8"/>
  <c r="BK5" i="8"/>
  <c r="BC5" i="8"/>
  <c r="AU5" i="8"/>
  <c r="AM5" i="8"/>
  <c r="AE5" i="8"/>
  <c r="W5" i="8"/>
  <c r="O5" i="8"/>
  <c r="G5" i="8"/>
  <c r="AB4" i="8"/>
  <c r="T4" i="8"/>
  <c r="L4" i="8"/>
  <c r="D4" i="8"/>
  <c r="EI5" i="7"/>
  <c r="EA5" i="7"/>
  <c r="DS5" i="7"/>
  <c r="DK5" i="7"/>
  <c r="DC5" i="7"/>
  <c r="CU5" i="7"/>
  <c r="CM5" i="7"/>
  <c r="CE5" i="7"/>
  <c r="BW5" i="7"/>
  <c r="BO5" i="7"/>
  <c r="BG5" i="7"/>
  <c r="AY5" i="7"/>
  <c r="AQ5" i="7"/>
  <c r="AI5" i="7"/>
  <c r="AA5" i="7"/>
  <c r="S5" i="7"/>
  <c r="K5" i="7"/>
  <c r="C5" i="7"/>
  <c r="X4" i="7"/>
  <c r="P4" i="7"/>
  <c r="H4" i="7"/>
  <c r="Z5" i="6"/>
  <c r="R5" i="6"/>
  <c r="J5" i="6"/>
  <c r="B5" i="6"/>
  <c r="W4" i="6"/>
  <c r="O4" i="6"/>
  <c r="EY5" i="12"/>
  <c r="EQ5" i="12"/>
  <c r="EI5" i="12"/>
  <c r="EA5" i="12"/>
  <c r="DS5" i="12"/>
  <c r="DK5" i="12"/>
  <c r="DC5" i="12"/>
  <c r="CU5" i="12"/>
  <c r="CM5" i="12"/>
  <c r="CE5" i="12"/>
  <c r="BW5" i="12"/>
  <c r="BO5" i="12"/>
  <c r="BG5" i="12"/>
  <c r="AY5" i="12"/>
  <c r="AQ5" i="12"/>
  <c r="AI5" i="12"/>
  <c r="AA5" i="12"/>
  <c r="S5" i="12"/>
  <c r="K5" i="12"/>
  <c r="C5" i="12"/>
  <c r="T4" i="12"/>
  <c r="L4" i="12"/>
  <c r="D4" i="12"/>
  <c r="CO5" i="11"/>
  <c r="CG5" i="11"/>
  <c r="BY5" i="11"/>
  <c r="BQ5" i="11"/>
  <c r="BI5" i="11"/>
  <c r="BA5" i="11"/>
  <c r="AS5" i="11"/>
  <c r="AK5" i="11"/>
  <c r="AC5" i="11"/>
  <c r="U5" i="11"/>
  <c r="M5" i="11"/>
  <c r="E5" i="11"/>
  <c r="DN4" i="11"/>
  <c r="DF4" i="11"/>
  <c r="CX4" i="11"/>
  <c r="CP4" i="11"/>
  <c r="CH4" i="11"/>
  <c r="BZ4" i="11"/>
  <c r="BR4" i="11"/>
  <c r="BJ4" i="11"/>
  <c r="BB4" i="11"/>
  <c r="AT4" i="11"/>
  <c r="AL4" i="11"/>
  <c r="AD4" i="11"/>
  <c r="V4" i="11"/>
  <c r="N4" i="11"/>
  <c r="F4" i="11"/>
  <c r="P5" i="10"/>
  <c r="H5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W5" i="9"/>
  <c r="O5" i="9"/>
  <c r="G5" i="9"/>
  <c r="AB4" i="9"/>
  <c r="T4" i="9"/>
  <c r="L4" i="9"/>
  <c r="D4" i="9"/>
  <c r="BR5" i="8"/>
  <c r="BJ5" i="8"/>
  <c r="BB5" i="8"/>
  <c r="AT5" i="8"/>
  <c r="AL5" i="8"/>
  <c r="AD5" i="8"/>
  <c r="V5" i="8"/>
  <c r="N5" i="8"/>
  <c r="F5" i="8"/>
  <c r="AA4" i="8"/>
  <c r="S4" i="8"/>
  <c r="K4" i="8"/>
  <c r="ET5" i="12"/>
  <c r="EL5" i="12"/>
  <c r="ED5" i="12"/>
  <c r="DV5" i="12"/>
  <c r="DN5" i="12"/>
  <c r="DF5" i="12"/>
  <c r="CX5" i="12"/>
  <c r="CP5" i="12"/>
  <c r="CH5" i="12"/>
  <c r="BZ5" i="12"/>
  <c r="BR5" i="12"/>
  <c r="BJ5" i="12"/>
  <c r="BB5" i="12"/>
  <c r="AT5" i="12"/>
  <c r="AL5" i="12"/>
  <c r="AD5" i="12"/>
  <c r="V5" i="12"/>
  <c r="N5" i="12"/>
  <c r="F5" i="12"/>
  <c r="W4" i="12"/>
  <c r="O4" i="12"/>
  <c r="G4" i="12"/>
  <c r="CR5" i="11"/>
  <c r="CJ5" i="11"/>
  <c r="CB5" i="11"/>
  <c r="BT5" i="11"/>
  <c r="BL5" i="11"/>
  <c r="BD5" i="11"/>
  <c r="AV5" i="11"/>
  <c r="AN5" i="11"/>
  <c r="AF5" i="11"/>
  <c r="X5" i="11"/>
  <c r="P5" i="11"/>
  <c r="H5" i="11"/>
  <c r="DQ4" i="11"/>
  <c r="DI4" i="11"/>
  <c r="DA4" i="11"/>
  <c r="CS4" i="11"/>
  <c r="CK4" i="11"/>
  <c r="CC4" i="11"/>
  <c r="BU4" i="11"/>
  <c r="BM4" i="11"/>
  <c r="BE4" i="11"/>
  <c r="AW4" i="11"/>
  <c r="AO4" i="11"/>
  <c r="AG4" i="11"/>
  <c r="Y4" i="11"/>
  <c r="Q4" i="11"/>
  <c r="I4" i="11"/>
  <c r="K5" i="10"/>
  <c r="C5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Z5" i="9"/>
  <c r="R5" i="9"/>
  <c r="J5" i="9"/>
  <c r="B5" i="9"/>
  <c r="W4" i="9"/>
  <c r="O4" i="9"/>
  <c r="G4" i="9"/>
  <c r="EX5" i="12"/>
  <c r="EH5" i="12"/>
  <c r="DR5" i="12"/>
  <c r="DB5" i="12"/>
  <c r="CL5" i="12"/>
  <c r="BV5" i="12"/>
  <c r="BF5" i="12"/>
  <c r="AP5" i="12"/>
  <c r="Z5" i="12"/>
  <c r="J5" i="12"/>
  <c r="S4" i="12"/>
  <c r="C4" i="12"/>
  <c r="CF5" i="11"/>
  <c r="BP5" i="11"/>
  <c r="AZ5" i="11"/>
  <c r="AJ5" i="11"/>
  <c r="T5" i="11"/>
  <c r="D5" i="11"/>
  <c r="DE4" i="11"/>
  <c r="CO4" i="11"/>
  <c r="BY4" i="11"/>
  <c r="BI4" i="11"/>
  <c r="AS4" i="11"/>
  <c r="AC4" i="11"/>
  <c r="M4" i="11"/>
  <c r="D5" i="10"/>
  <c r="DE4" i="10"/>
  <c r="CO4" i="10"/>
  <c r="BY4" i="10"/>
  <c r="BI4" i="10"/>
  <c r="AS4" i="10"/>
  <c r="AC4" i="10"/>
  <c r="M4" i="10"/>
  <c r="AB5" i="9"/>
  <c r="L5" i="9"/>
  <c r="Y4" i="9"/>
  <c r="I4" i="9"/>
  <c r="BP5" i="8"/>
  <c r="BE5" i="8"/>
  <c r="AQ5" i="8"/>
  <c r="AC5" i="8"/>
  <c r="R5" i="8"/>
  <c r="D5" i="8"/>
  <c r="V4" i="8"/>
  <c r="H4" i="8"/>
  <c r="EK5" i="7"/>
  <c r="DY5" i="7"/>
  <c r="DO5" i="7"/>
  <c r="DE5" i="7"/>
  <c r="CS5" i="7"/>
  <c r="CI5" i="7"/>
  <c r="BY5" i="7"/>
  <c r="BM5" i="7"/>
  <c r="BC5" i="7"/>
  <c r="AS5" i="7"/>
  <c r="AG5" i="7"/>
  <c r="W5" i="7"/>
  <c r="M5" i="7"/>
  <c r="A5" i="7"/>
  <c r="T4" i="7"/>
  <c r="J4" i="7"/>
  <c r="Y5" i="6"/>
  <c r="O5" i="6"/>
  <c r="E5" i="6"/>
  <c r="V4" i="6"/>
  <c r="L4" i="6"/>
  <c r="C4" i="6"/>
  <c r="AB4" i="5"/>
  <c r="S4" i="5"/>
  <c r="I4" i="5"/>
  <c r="AO5" i="4"/>
  <c r="AF5" i="4"/>
  <c r="W5" i="4"/>
  <c r="N5" i="4"/>
  <c r="E5" i="4"/>
  <c r="P4" i="4"/>
  <c r="F4" i="4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EP5" i="12"/>
  <c r="DZ5" i="12"/>
  <c r="DJ5" i="12"/>
  <c r="CT5" i="12"/>
  <c r="CD5" i="12"/>
  <c r="BN5" i="12"/>
  <c r="AX5" i="12"/>
  <c r="AH5" i="12"/>
  <c r="R5" i="12"/>
  <c r="B5" i="12"/>
  <c r="K4" i="12"/>
  <c r="CN5" i="11"/>
  <c r="BX5" i="11"/>
  <c r="BH5" i="11"/>
  <c r="AR5" i="11"/>
  <c r="AB5" i="11"/>
  <c r="L5" i="11"/>
  <c r="DM4" i="11"/>
  <c r="CW4" i="11"/>
  <c r="CG4" i="11"/>
  <c r="BQ4" i="11"/>
  <c r="BA4" i="11"/>
  <c r="AK4" i="11"/>
  <c r="U4" i="11"/>
  <c r="E4" i="11"/>
  <c r="L5" i="10"/>
  <c r="DM4" i="10"/>
  <c r="CW4" i="10"/>
  <c r="CG4" i="10"/>
  <c r="BQ4" i="10"/>
  <c r="BA4" i="10"/>
  <c r="AK4" i="10"/>
  <c r="U4" i="10"/>
  <c r="E4" i="10"/>
  <c r="T5" i="9"/>
  <c r="D5" i="9"/>
  <c r="Q4" i="9"/>
  <c r="BI5" i="8"/>
  <c r="AX5" i="8"/>
  <c r="AJ5" i="8"/>
  <c r="Y5" i="8"/>
  <c r="K5" i="8"/>
  <c r="Z4" i="8"/>
  <c r="O4" i="8"/>
  <c r="B4" i="8"/>
  <c r="EN5" i="12"/>
  <c r="DX5" i="12"/>
  <c r="DH5" i="12"/>
  <c r="CR5" i="12"/>
  <c r="CB5" i="12"/>
  <c r="BL5" i="12"/>
  <c r="AV5" i="12"/>
  <c r="AF5" i="12"/>
  <c r="P5" i="12"/>
  <c r="Y4" i="12"/>
  <c r="I4" i="12"/>
  <c r="CL5" i="11"/>
  <c r="BV5" i="11"/>
  <c r="BF5" i="11"/>
  <c r="AP5" i="11"/>
  <c r="Z5" i="11"/>
  <c r="J5" i="11"/>
  <c r="DK4" i="11"/>
  <c r="CU4" i="11"/>
  <c r="CE4" i="11"/>
  <c r="BO4" i="11"/>
  <c r="AY4" i="11"/>
  <c r="AI4" i="11"/>
  <c r="S4" i="11"/>
  <c r="C4" i="11"/>
  <c r="F5" i="10"/>
  <c r="DG4" i="10"/>
  <c r="CQ4" i="10"/>
  <c r="CA4" i="10"/>
  <c r="BK4" i="10"/>
  <c r="AU4" i="10"/>
  <c r="AE4" i="10"/>
  <c r="O4" i="10"/>
  <c r="AD5" i="9"/>
  <c r="N5" i="9"/>
  <c r="AA4" i="9"/>
  <c r="K4" i="9"/>
  <c r="BU5" i="8"/>
  <c r="BG5" i="8"/>
  <c r="AS5" i="8"/>
  <c r="AH5" i="8"/>
  <c r="T5" i="8"/>
  <c r="I5" i="8"/>
  <c r="X4" i="8"/>
  <c r="J4" i="8"/>
  <c r="EM5" i="7"/>
  <c r="EC5" i="7"/>
  <c r="DQ5" i="7"/>
  <c r="DG5" i="7"/>
  <c r="CW5" i="7"/>
  <c r="CK5" i="7"/>
  <c r="CA5" i="7"/>
  <c r="BQ5" i="7"/>
  <c r="BE5" i="7"/>
  <c r="AU5" i="7"/>
  <c r="AK5" i="7"/>
  <c r="Y5" i="7"/>
  <c r="O5" i="7"/>
  <c r="E5" i="7"/>
  <c r="V4" i="7"/>
  <c r="L4" i="7"/>
  <c r="B4" i="7"/>
  <c r="Q5" i="6"/>
  <c r="G5" i="6"/>
  <c r="EM5" i="12"/>
  <c r="DW5" i="12"/>
  <c r="DG5" i="12"/>
  <c r="CQ5" i="12"/>
  <c r="CA5" i="12"/>
  <c r="AU5" i="12"/>
  <c r="AE5" i="12"/>
  <c r="O5" i="12"/>
  <c r="X4" i="12"/>
  <c r="H4" i="12"/>
  <c r="CK5" i="11"/>
  <c r="BU5" i="11"/>
  <c r="BE5" i="11"/>
  <c r="AO5" i="11"/>
  <c r="Y5" i="11"/>
  <c r="I5" i="11"/>
  <c r="DJ4" i="11"/>
  <c r="CT4" i="11"/>
  <c r="CD4" i="11"/>
  <c r="BN4" i="11"/>
  <c r="AX4" i="11"/>
  <c r="AH4" i="11"/>
  <c r="R4" i="11"/>
  <c r="B4" i="11"/>
  <c r="E5" i="10"/>
  <c r="DF4" i="10"/>
  <c r="CP4" i="10"/>
  <c r="BZ4" i="10"/>
  <c r="BJ4" i="10"/>
  <c r="AT4" i="10"/>
  <c r="AD4" i="10"/>
  <c r="N4" i="10"/>
  <c r="AC5" i="9"/>
  <c r="M5" i="9"/>
  <c r="Z4" i="9"/>
  <c r="J4" i="9"/>
  <c r="BQ5" i="8"/>
  <c r="BF5" i="8"/>
  <c r="AR5" i="8"/>
  <c r="AG5" i="8"/>
  <c r="S5" i="8"/>
  <c r="E5" i="8"/>
  <c r="W4" i="8"/>
  <c r="I4" i="8"/>
  <c r="EL5" i="7"/>
  <c r="DZ5" i="7"/>
  <c r="DP5" i="7"/>
  <c r="DF5" i="7"/>
  <c r="CT5" i="7"/>
  <c r="CJ5" i="7"/>
  <c r="BZ5" i="7"/>
  <c r="BN5" i="7"/>
  <c r="BD5" i="7"/>
  <c r="AT5" i="7"/>
  <c r="AH5" i="7"/>
  <c r="X5" i="7"/>
  <c r="N5" i="7"/>
  <c r="B5" i="7"/>
  <c r="U4" i="7"/>
  <c r="K4" i="7"/>
  <c r="P5" i="6"/>
  <c r="F5" i="6"/>
  <c r="Y4" i="6"/>
  <c r="M4" i="6"/>
  <c r="D4" i="6"/>
  <c r="AC4" i="5"/>
  <c r="T4" i="5"/>
  <c r="K4" i="5"/>
  <c r="AG5" i="4"/>
  <c r="X5" i="4"/>
  <c r="O5" i="4"/>
  <c r="F5" i="4"/>
  <c r="Q4" i="4"/>
  <c r="H4" i="4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EW5" i="12"/>
  <c r="DQ5" i="12"/>
  <c r="CK5" i="12"/>
  <c r="BE5" i="12"/>
  <c r="Y5" i="12"/>
  <c r="R4" i="12"/>
  <c r="CE5" i="11"/>
  <c r="AY5" i="11"/>
  <c r="S5" i="11"/>
  <c r="DD4" i="11"/>
  <c r="BX4" i="11"/>
  <c r="AR4" i="11"/>
  <c r="L4" i="11"/>
  <c r="G5" i="10"/>
  <c r="CR4" i="10"/>
  <c r="BL4" i="10"/>
  <c r="AF4" i="10"/>
  <c r="C5" i="9"/>
  <c r="AY5" i="8"/>
  <c r="Z5" i="8"/>
  <c r="A5" i="8"/>
  <c r="C4" i="8"/>
  <c r="DW5" i="7"/>
  <c r="DH5" i="7"/>
  <c r="CP5" i="7"/>
  <c r="BV5" i="7"/>
  <c r="BI5" i="7"/>
  <c r="AO5" i="7"/>
  <c r="Z5" i="7"/>
  <c r="H5" i="7"/>
  <c r="S4" i="7"/>
  <c r="D4" i="7"/>
  <c r="N5" i="6"/>
  <c r="AB4" i="6"/>
  <c r="N4" i="6"/>
  <c r="W4" i="5"/>
  <c r="L4" i="5"/>
  <c r="AN5" i="4"/>
  <c r="AC5" i="4"/>
  <c r="Q5" i="4"/>
  <c r="D5" i="4"/>
  <c r="L4" i="4"/>
  <c r="B461" i="1"/>
  <c r="A458" i="1"/>
  <c r="C454" i="1"/>
  <c r="C450" i="1"/>
  <c r="B447" i="1"/>
  <c r="A444" i="1"/>
  <c r="A440" i="1"/>
  <c r="C436" i="1"/>
  <c r="B433" i="1"/>
  <c r="B429" i="1"/>
  <c r="A426" i="1"/>
  <c r="C422" i="1"/>
  <c r="C418" i="1"/>
  <c r="B415" i="1"/>
  <c r="A412" i="1"/>
  <c r="A408" i="1"/>
  <c r="C404" i="1"/>
  <c r="B401" i="1"/>
  <c r="B397" i="1"/>
  <c r="A394" i="1"/>
  <c r="C390" i="1"/>
  <c r="C386" i="1"/>
  <c r="B383" i="1"/>
  <c r="A380" i="1"/>
  <c r="A376" i="1"/>
  <c r="C372" i="1"/>
  <c r="B369" i="1"/>
  <c r="B365" i="1"/>
  <c r="A362" i="1"/>
  <c r="C358" i="1"/>
  <c r="C354" i="1"/>
  <c r="B351" i="1"/>
  <c r="A348" i="1"/>
  <c r="A344" i="1"/>
  <c r="C340" i="1"/>
  <c r="B337" i="1"/>
  <c r="B333" i="1"/>
  <c r="A330" i="1"/>
  <c r="C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EV5" i="12"/>
  <c r="DP5" i="12"/>
  <c r="CJ5" i="12"/>
  <c r="BD5" i="12"/>
  <c r="X5" i="12"/>
  <c r="Q4" i="12"/>
  <c r="CD5" i="11"/>
  <c r="AX5" i="11"/>
  <c r="R5" i="11"/>
  <c r="DC4" i="11"/>
  <c r="BW4" i="11"/>
  <c r="AQ4" i="11"/>
  <c r="K4" i="11"/>
  <c r="DP4" i="10"/>
  <c r="CJ4" i="10"/>
  <c r="BD4" i="10"/>
  <c r="X4" i="10"/>
  <c r="AA5" i="9"/>
  <c r="X4" i="9"/>
  <c r="BV5" i="8"/>
  <c r="AW5" i="8"/>
  <c r="U5" i="8"/>
  <c r="Y4" i="8"/>
  <c r="DV5" i="7"/>
  <c r="DB5" i="7"/>
  <c r="CO5" i="7"/>
  <c r="BU5" i="7"/>
  <c r="BF5" i="7"/>
  <c r="AN5" i="7"/>
  <c r="V5" i="7"/>
  <c r="G5" i="7"/>
  <c r="R4" i="7"/>
  <c r="C4" i="7"/>
  <c r="M5" i="6"/>
  <c r="AA4" i="6"/>
  <c r="K4" i="6"/>
  <c r="D5" i="5"/>
  <c r="V4" i="5"/>
  <c r="H4" i="5"/>
  <c r="AM5" i="4"/>
  <c r="AB5" i="4"/>
  <c r="P5" i="4"/>
  <c r="B5" i="4"/>
  <c r="K4" i="4"/>
  <c r="A4" i="3"/>
  <c r="A461" i="1"/>
  <c r="C457" i="1"/>
  <c r="B454" i="1"/>
  <c r="B450" i="1"/>
  <c r="A447" i="1"/>
  <c r="C443" i="1"/>
  <c r="C439" i="1"/>
  <c r="B436" i="1"/>
  <c r="A433" i="1"/>
  <c r="A429" i="1"/>
  <c r="C425" i="1"/>
  <c r="B422" i="1"/>
  <c r="B418" i="1"/>
  <c r="A415" i="1"/>
  <c r="C411" i="1"/>
  <c r="C407" i="1"/>
  <c r="B404" i="1"/>
  <c r="A401" i="1"/>
  <c r="A397" i="1"/>
  <c r="C393" i="1"/>
  <c r="B390" i="1"/>
  <c r="B386" i="1"/>
  <c r="A383" i="1"/>
  <c r="C379" i="1"/>
  <c r="C375" i="1"/>
  <c r="B372" i="1"/>
  <c r="A369" i="1"/>
  <c r="A365" i="1"/>
  <c r="C361" i="1"/>
  <c r="B358" i="1"/>
  <c r="B354" i="1"/>
  <c r="A351" i="1"/>
  <c r="C347" i="1"/>
  <c r="C343" i="1"/>
  <c r="B340" i="1"/>
  <c r="A337" i="1"/>
  <c r="A333" i="1"/>
  <c r="C329" i="1"/>
  <c r="B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EG5" i="12"/>
  <c r="DA5" i="12"/>
  <c r="BU5" i="12"/>
  <c r="AO5" i="12"/>
  <c r="I5" i="12"/>
  <c r="B4" i="12"/>
  <c r="BO5" i="11"/>
  <c r="AI5" i="11"/>
  <c r="C5" i="11"/>
  <c r="CN4" i="11"/>
  <c r="BH4" i="11"/>
  <c r="AB4" i="11"/>
  <c r="DH4" i="10"/>
  <c r="CB4" i="10"/>
  <c r="AV4" i="10"/>
  <c r="P4" i="10"/>
  <c r="S5" i="9"/>
  <c r="P4" i="9"/>
  <c r="BM5" i="8"/>
  <c r="AK5" i="8"/>
  <c r="L5" i="8"/>
  <c r="P4" i="8"/>
  <c r="EF5" i="7"/>
  <c r="DN5" i="7"/>
  <c r="CY5" i="7"/>
  <c r="CG5" i="7"/>
  <c r="BR5" i="7"/>
  <c r="AX5" i="7"/>
  <c r="AF5" i="7"/>
  <c r="Q5" i="7"/>
  <c r="AB4" i="7"/>
  <c r="M4" i="7"/>
  <c r="W5" i="6"/>
  <c r="H5" i="6"/>
  <c r="T4" i="6"/>
  <c r="G4" i="6"/>
  <c r="A5" i="5"/>
  <c r="P4" i="5"/>
  <c r="E4" i="5"/>
  <c r="AJ5" i="4"/>
  <c r="V5" i="4"/>
  <c r="J5" i="4"/>
  <c r="S4" i="4"/>
  <c r="E4" i="4"/>
  <c r="B463" i="1"/>
  <c r="A460" i="1"/>
  <c r="A456" i="1"/>
  <c r="C452" i="1"/>
  <c r="B449" i="1"/>
  <c r="B445" i="1"/>
  <c r="A442" i="1"/>
  <c r="C438" i="1"/>
  <c r="C434" i="1"/>
  <c r="B431" i="1"/>
  <c r="A428" i="1"/>
  <c r="A424" i="1"/>
  <c r="C420" i="1"/>
  <c r="B417" i="1"/>
  <c r="B413" i="1"/>
  <c r="A410" i="1"/>
  <c r="C406" i="1"/>
  <c r="C402" i="1"/>
  <c r="B399" i="1"/>
  <c r="A396" i="1"/>
  <c r="A392" i="1"/>
  <c r="C388" i="1"/>
  <c r="B385" i="1"/>
  <c r="B381" i="1"/>
  <c r="A378" i="1"/>
  <c r="C374" i="1"/>
  <c r="C370" i="1"/>
  <c r="B367" i="1"/>
  <c r="A364" i="1"/>
  <c r="A360" i="1"/>
  <c r="C356" i="1"/>
  <c r="B353" i="1"/>
  <c r="B349" i="1"/>
  <c r="A346" i="1"/>
  <c r="C342" i="1"/>
  <c r="C338" i="1"/>
  <c r="B335" i="1"/>
  <c r="A332" i="1"/>
  <c r="EF5" i="12"/>
  <c r="CZ5" i="12"/>
  <c r="BT5" i="12"/>
  <c r="AN5" i="12"/>
  <c r="H5" i="12"/>
  <c r="BN5" i="11"/>
  <c r="AH5" i="11"/>
  <c r="B5" i="11"/>
  <c r="CM4" i="11"/>
  <c r="BG4" i="11"/>
  <c r="AA4" i="11"/>
  <c r="O5" i="10"/>
  <c r="CZ4" i="10"/>
  <c r="BT4" i="10"/>
  <c r="AN4" i="10"/>
  <c r="H4" i="10"/>
  <c r="K5" i="9"/>
  <c r="H4" i="9"/>
  <c r="BH5" i="8"/>
  <c r="AI5" i="8"/>
  <c r="J5" i="8"/>
  <c r="N4" i="8"/>
  <c r="EE5" i="7"/>
  <c r="DM5" i="7"/>
  <c r="CX5" i="7"/>
  <c r="CD5" i="7"/>
  <c r="BL5" i="7"/>
  <c r="AW5" i="7"/>
  <c r="AE5" i="7"/>
  <c r="P5" i="7"/>
  <c r="AA4" i="7"/>
  <c r="G4" i="7"/>
  <c r="V5" i="6"/>
  <c r="D5" i="6"/>
  <c r="S4" i="6"/>
  <c r="F4" i="6"/>
  <c r="AA4" i="5"/>
  <c r="O4" i="5"/>
  <c r="D4" i="5"/>
  <c r="AH5" i="4"/>
  <c r="U5" i="4"/>
  <c r="I5" i="4"/>
  <c r="R4" i="4"/>
  <c r="D4" i="4"/>
  <c r="A463" i="1"/>
  <c r="C459" i="1"/>
  <c r="C455" i="1"/>
  <c r="B452" i="1"/>
  <c r="A449" i="1"/>
  <c r="A445" i="1"/>
  <c r="C441" i="1"/>
  <c r="B438" i="1"/>
  <c r="B434" i="1"/>
  <c r="A431" i="1"/>
  <c r="DY5" i="12"/>
  <c r="CS5" i="12"/>
  <c r="BM5" i="12"/>
  <c r="AG5" i="12"/>
  <c r="A5" i="12"/>
  <c r="CM5" i="11"/>
  <c r="BG5" i="11"/>
  <c r="AA5" i="11"/>
  <c r="DL4" i="11"/>
  <c r="CF4" i="11"/>
  <c r="AZ4" i="11"/>
  <c r="T4" i="11"/>
  <c r="M5" i="10"/>
  <c r="CX4" i="10"/>
  <c r="BR4" i="10"/>
  <c r="AL4" i="10"/>
  <c r="F4" i="10"/>
  <c r="E5" i="9"/>
  <c r="B4" i="9"/>
  <c r="AZ5" i="8"/>
  <c r="AA5" i="8"/>
  <c r="B5" i="8"/>
  <c r="F4" i="8"/>
  <c r="DX5" i="7"/>
  <c r="DI5" i="7"/>
  <c r="CQ5" i="7"/>
  <c r="CB5" i="7"/>
  <c r="BJ5" i="7"/>
  <c r="AP5" i="7"/>
  <c r="AC5" i="7"/>
  <c r="I5" i="7"/>
  <c r="W4" i="7"/>
  <c r="E4" i="7"/>
  <c r="T5" i="6"/>
  <c r="AC4" i="6"/>
  <c r="Q4" i="6"/>
  <c r="B4" i="6"/>
  <c r="X4" i="5"/>
  <c r="M4" i="5"/>
  <c r="AD5" i="4"/>
  <c r="R5" i="4"/>
  <c r="G5" i="4"/>
  <c r="M4" i="4"/>
  <c r="B4" i="4"/>
  <c r="B462" i="1"/>
  <c r="B458" i="1"/>
  <c r="A455" i="1"/>
  <c r="C451" i="1"/>
  <c r="C447" i="1"/>
  <c r="B444" i="1"/>
  <c r="A441" i="1"/>
  <c r="A437" i="1"/>
  <c r="C433" i="1"/>
  <c r="B430" i="1"/>
  <c r="B426" i="1"/>
  <c r="A423" i="1"/>
  <c r="C419" i="1"/>
  <c r="C415" i="1"/>
  <c r="B412" i="1"/>
  <c r="A409" i="1"/>
  <c r="A405" i="1"/>
  <c r="C401" i="1"/>
  <c r="B398" i="1"/>
  <c r="B394" i="1"/>
  <c r="A391" i="1"/>
  <c r="C387" i="1"/>
  <c r="C383" i="1"/>
  <c r="B380" i="1"/>
  <c r="A377" i="1"/>
  <c r="A373" i="1"/>
  <c r="C369" i="1"/>
  <c r="B366" i="1"/>
  <c r="B362" i="1"/>
  <c r="A359" i="1"/>
  <c r="C355" i="1"/>
  <c r="C351" i="1"/>
  <c r="B348" i="1"/>
  <c r="A345" i="1"/>
  <c r="A341" i="1"/>
  <c r="C337" i="1"/>
  <c r="B334" i="1"/>
  <c r="B330" i="1"/>
  <c r="A327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EU5" i="12"/>
  <c r="BS5" i="12"/>
  <c r="J4" i="12"/>
  <c r="AG5" i="11"/>
  <c r="BP4" i="11"/>
  <c r="N5" i="10"/>
  <c r="BB4" i="10"/>
  <c r="F5" i="9"/>
  <c r="AP5" i="8"/>
  <c r="G4" i="8"/>
  <c r="DA5" i="7"/>
  <c r="BK5" i="7"/>
  <c r="R5" i="7"/>
  <c r="R4" i="6"/>
  <c r="U4" i="5"/>
  <c r="AK5" i="4"/>
  <c r="A5" i="4"/>
  <c r="C463" i="1"/>
  <c r="B453" i="1"/>
  <c r="C444" i="1"/>
  <c r="C435" i="1"/>
  <c r="C426" i="1"/>
  <c r="A420" i="1"/>
  <c r="C412" i="1"/>
  <c r="B405" i="1"/>
  <c r="C398" i="1"/>
  <c r="B391" i="1"/>
  <c r="A384" i="1"/>
  <c r="B377" i="1"/>
  <c r="A370" i="1"/>
  <c r="C362" i="1"/>
  <c r="A356" i="1"/>
  <c r="C348" i="1"/>
  <c r="B341" i="1"/>
  <c r="C334" i="1"/>
  <c r="C327" i="1"/>
  <c r="C322" i="1"/>
  <c r="A319" i="1"/>
  <c r="B314" i="1"/>
  <c r="C309" i="1"/>
  <c r="A306" i="1"/>
  <c r="B301" i="1"/>
  <c r="C297" i="1"/>
  <c r="A293" i="1"/>
  <c r="B288" i="1"/>
  <c r="C284" i="1"/>
  <c r="A280" i="1"/>
  <c r="B276" i="1"/>
  <c r="C271" i="1"/>
  <c r="A267" i="1"/>
  <c r="B263" i="1"/>
  <c r="C258" i="1"/>
  <c r="A255" i="1"/>
  <c r="B250" i="1"/>
  <c r="C245" i="1"/>
  <c r="A242" i="1"/>
  <c r="B237" i="1"/>
  <c r="C233" i="1"/>
  <c r="A229" i="1"/>
  <c r="B224" i="1"/>
  <c r="C220" i="1"/>
  <c r="A216" i="1"/>
  <c r="B212" i="1"/>
  <c r="A208" i="1"/>
  <c r="C204" i="1"/>
  <c r="C200" i="1"/>
  <c r="B197" i="1"/>
  <c r="A194" i="1"/>
  <c r="A190" i="1"/>
  <c r="C186" i="1"/>
  <c r="B183" i="1"/>
  <c r="B179" i="1"/>
  <c r="A176" i="1"/>
  <c r="C172" i="1"/>
  <c r="C168" i="1"/>
  <c r="B165" i="1"/>
  <c r="A162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49" i="1"/>
  <c r="C38" i="1"/>
  <c r="B33" i="1"/>
  <c r="B25" i="1"/>
  <c r="B17" i="1"/>
  <c r="C6" i="1"/>
  <c r="EO5" i="12"/>
  <c r="BC5" i="12"/>
  <c r="Q5" i="11"/>
  <c r="BF4" i="11"/>
  <c r="DO4" i="10"/>
  <c r="AM4" i="10"/>
  <c r="S4" i="9"/>
  <c r="AO5" i="8"/>
  <c r="CZ5" i="7"/>
  <c r="BB5" i="7"/>
  <c r="J5" i="7"/>
  <c r="X5" i="6"/>
  <c r="J4" i="6"/>
  <c r="Q4" i="5"/>
  <c r="AE5" i="4"/>
  <c r="T4" i="4"/>
  <c r="C462" i="1"/>
  <c r="A453" i="1"/>
  <c r="C442" i="1"/>
  <c r="A434" i="1"/>
  <c r="B425" i="1"/>
  <c r="A418" i="1"/>
  <c r="C410" i="1"/>
  <c r="A404" i="1"/>
  <c r="C396" i="1"/>
  <c r="B389" i="1"/>
  <c r="C382" i="1"/>
  <c r="B375" i="1"/>
  <c r="A368" i="1"/>
  <c r="B361" i="1"/>
  <c r="A354" i="1"/>
  <c r="C346" i="1"/>
  <c r="A340" i="1"/>
  <c r="C332" i="1"/>
  <c r="B327" i="1"/>
  <c r="B322" i="1"/>
  <c r="C317" i="1"/>
  <c r="A314" i="1"/>
  <c r="B309" i="1"/>
  <c r="C305" i="1"/>
  <c r="A301" i="1"/>
  <c r="B296" i="1"/>
  <c r="C292" i="1"/>
  <c r="A288" i="1"/>
  <c r="B284" i="1"/>
  <c r="C279" i="1"/>
  <c r="A275" i="1"/>
  <c r="B271" i="1"/>
  <c r="C266" i="1"/>
  <c r="A263" i="1"/>
  <c r="B258" i="1"/>
  <c r="C253" i="1"/>
  <c r="A250" i="1"/>
  <c r="B245" i="1"/>
  <c r="C241" i="1"/>
  <c r="A237" i="1"/>
  <c r="B232" i="1"/>
  <c r="C228" i="1"/>
  <c r="A224" i="1"/>
  <c r="B220" i="1"/>
  <c r="C215" i="1"/>
  <c r="A211" i="1"/>
  <c r="C207" i="1"/>
  <c r="B204" i="1"/>
  <c r="B200" i="1"/>
  <c r="A197" i="1"/>
  <c r="C193" i="1"/>
  <c r="C189" i="1"/>
  <c r="B186" i="1"/>
  <c r="A183" i="1"/>
  <c r="A179" i="1"/>
  <c r="C175" i="1"/>
  <c r="B172" i="1"/>
  <c r="B168" i="1"/>
  <c r="A165" i="1"/>
  <c r="C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C46" i="1"/>
  <c r="B41" i="1"/>
  <c r="C30" i="1"/>
  <c r="A20" i="1"/>
  <c r="EE5" i="12"/>
  <c r="AW5" i="12"/>
  <c r="CS5" i="11"/>
  <c r="K5" i="11"/>
  <c r="AP4" i="11"/>
  <c r="DN4" i="10"/>
  <c r="W4" i="10"/>
  <c r="R4" i="9"/>
  <c r="AB5" i="8"/>
  <c r="EH5" i="7"/>
  <c r="CR5" i="7"/>
  <c r="BA5" i="7"/>
  <c r="F5" i="7"/>
  <c r="U5" i="6"/>
  <c r="I4" i="6"/>
  <c r="N4" i="5"/>
  <c r="Z5" i="4"/>
  <c r="N4" i="4"/>
  <c r="C460" i="1"/>
  <c r="A452" i="1"/>
  <c r="B442" i="1"/>
  <c r="A432" i="1"/>
  <c r="A425" i="1"/>
  <c r="C417" i="1"/>
  <c r="B410" i="1"/>
  <c r="C403" i="1"/>
  <c r="B396" i="1"/>
  <c r="A389" i="1"/>
  <c r="B382" i="1"/>
  <c r="A375" i="1"/>
  <c r="C367" i="1"/>
  <c r="A361" i="1"/>
  <c r="C353" i="1"/>
  <c r="B346" i="1"/>
  <c r="C339" i="1"/>
  <c r="B332" i="1"/>
  <c r="A326" i="1"/>
  <c r="A322" i="1"/>
  <c r="B317" i="1"/>
  <c r="C313" i="1"/>
  <c r="A309" i="1"/>
  <c r="B304" i="1"/>
  <c r="C300" i="1"/>
  <c r="A296" i="1"/>
  <c r="B292" i="1"/>
  <c r="C287" i="1"/>
  <c r="A283" i="1"/>
  <c r="B279" i="1"/>
  <c r="C274" i="1"/>
  <c r="A271" i="1"/>
  <c r="B266" i="1"/>
  <c r="C261" i="1"/>
  <c r="A258" i="1"/>
  <c r="B253" i="1"/>
  <c r="C249" i="1"/>
  <c r="A245" i="1"/>
  <c r="B240" i="1"/>
  <c r="C236" i="1"/>
  <c r="A232" i="1"/>
  <c r="B228" i="1"/>
  <c r="C223" i="1"/>
  <c r="A219" i="1"/>
  <c r="B215" i="1"/>
  <c r="C210" i="1"/>
  <c r="B207" i="1"/>
  <c r="B203" i="1"/>
  <c r="A200" i="1"/>
  <c r="C196" i="1"/>
  <c r="C192" i="1"/>
  <c r="B189" i="1"/>
  <c r="A186" i="1"/>
  <c r="A182" i="1"/>
  <c r="C178" i="1"/>
  <c r="B175" i="1"/>
  <c r="B171" i="1"/>
  <c r="A168" i="1"/>
  <c r="C164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DO5" i="12"/>
  <c r="AM5" i="12"/>
  <c r="CC5" i="11"/>
  <c r="A5" i="11"/>
  <c r="AJ4" i="11"/>
  <c r="CY4" i="10"/>
  <c r="V4" i="10"/>
  <c r="C4" i="9"/>
  <c r="Q5" i="8"/>
  <c r="EG5" i="7"/>
  <c r="CL5" i="7"/>
  <c r="AV5" i="7"/>
  <c r="AC4" i="7"/>
  <c r="L5" i="6"/>
  <c r="E4" i="6"/>
  <c r="G4" i="5"/>
  <c r="Y5" i="4"/>
  <c r="J4" i="4"/>
  <c r="B460" i="1"/>
  <c r="A450" i="1"/>
  <c r="B441" i="1"/>
  <c r="C431" i="1"/>
  <c r="C423" i="1"/>
  <c r="A417" i="1"/>
  <c r="C409" i="1"/>
  <c r="B402" i="1"/>
  <c r="C395" i="1"/>
  <c r="B388" i="1"/>
  <c r="A381" i="1"/>
  <c r="B374" i="1"/>
  <c r="A367" i="1"/>
  <c r="C359" i="1"/>
  <c r="A353" i="1"/>
  <c r="C345" i="1"/>
  <c r="B338" i="1"/>
  <c r="C331" i="1"/>
  <c r="B325" i="1"/>
  <c r="C321" i="1"/>
  <c r="A317" i="1"/>
  <c r="B312" i="1"/>
  <c r="C308" i="1"/>
  <c r="A304" i="1"/>
  <c r="B300" i="1"/>
  <c r="C295" i="1"/>
  <c r="A291" i="1"/>
  <c r="B287" i="1"/>
  <c r="C282" i="1"/>
  <c r="A279" i="1"/>
  <c r="B274" i="1"/>
  <c r="C269" i="1"/>
  <c r="A266" i="1"/>
  <c r="B261" i="1"/>
  <c r="C257" i="1"/>
  <c r="A253" i="1"/>
  <c r="B248" i="1"/>
  <c r="C244" i="1"/>
  <c r="A240" i="1"/>
  <c r="B236" i="1"/>
  <c r="C231" i="1"/>
  <c r="A227" i="1"/>
  <c r="B223" i="1"/>
  <c r="C218" i="1"/>
  <c r="A215" i="1"/>
  <c r="B210" i="1"/>
  <c r="A207" i="1"/>
  <c r="A203" i="1"/>
  <c r="C199" i="1"/>
  <c r="B196" i="1"/>
  <c r="B192" i="1"/>
  <c r="A189" i="1"/>
  <c r="C185" i="1"/>
  <c r="C181" i="1"/>
  <c r="B178" i="1"/>
  <c r="A175" i="1"/>
  <c r="A171" i="1"/>
  <c r="C167" i="1"/>
  <c r="B164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CC5" i="12"/>
  <c r="P4" i="12"/>
  <c r="AQ5" i="11"/>
  <c r="BV4" i="11"/>
  <c r="BC4" i="10"/>
  <c r="U5" i="9"/>
  <c r="BA5" i="8"/>
  <c r="Q4" i="8"/>
  <c r="DJ5" i="7"/>
  <c r="BS5" i="7"/>
  <c r="U5" i="7"/>
  <c r="F4" i="7"/>
  <c r="U4" i="6"/>
  <c r="Y4" i="5"/>
  <c r="AL5" i="4"/>
  <c r="H5" i="4"/>
  <c r="A464" i="1"/>
  <c r="B455" i="1"/>
  <c r="B446" i="1"/>
  <c r="A436" i="1"/>
  <c r="C427" i="1"/>
  <c r="B420" i="1"/>
  <c r="A413" i="1"/>
  <c r="B406" i="1"/>
  <c r="A399" i="1"/>
  <c r="C391" i="1"/>
  <c r="A385" i="1"/>
  <c r="C377" i="1"/>
  <c r="B370" i="1"/>
  <c r="C363" i="1"/>
  <c r="B356" i="1"/>
  <c r="A349" i="1"/>
  <c r="B342" i="1"/>
  <c r="A335" i="1"/>
  <c r="A328" i="1"/>
  <c r="A323" i="1"/>
  <c r="B319" i="1"/>
  <c r="C314" i="1"/>
  <c r="A311" i="1"/>
  <c r="B306" i="1"/>
  <c r="C301" i="1"/>
  <c r="A298" i="1"/>
  <c r="B293" i="1"/>
  <c r="C289" i="1"/>
  <c r="A285" i="1"/>
  <c r="B280" i="1"/>
  <c r="C276" i="1"/>
  <c r="A272" i="1"/>
  <c r="B268" i="1"/>
  <c r="C263" i="1"/>
  <c r="A259" i="1"/>
  <c r="B255" i="1"/>
  <c r="C250" i="1"/>
  <c r="A247" i="1"/>
  <c r="B242" i="1"/>
  <c r="C237" i="1"/>
  <c r="A234" i="1"/>
  <c r="B229" i="1"/>
  <c r="C225" i="1"/>
  <c r="A221" i="1"/>
  <c r="B216" i="1"/>
  <c r="C212" i="1"/>
  <c r="B208" i="1"/>
  <c r="A205" i="1"/>
  <c r="C201" i="1"/>
  <c r="C197" i="1"/>
  <c r="B194" i="1"/>
  <c r="A191" i="1"/>
  <c r="A187" i="1"/>
  <c r="C183" i="1"/>
  <c r="B180" i="1"/>
  <c r="B176" i="1"/>
  <c r="A173" i="1"/>
  <c r="C169" i="1"/>
  <c r="C165" i="1"/>
  <c r="B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44" i="1"/>
  <c r="A36" i="1"/>
  <c r="A28" i="1"/>
  <c r="C22" i="1"/>
  <c r="C14" i="1"/>
  <c r="A12" i="1"/>
  <c r="DI5" i="12"/>
  <c r="BM5" i="11"/>
  <c r="BO5" i="8"/>
  <c r="DR5" i="7"/>
  <c r="O4" i="7"/>
  <c r="B5" i="5"/>
  <c r="C4" i="4"/>
  <c r="B439" i="1"/>
  <c r="A421" i="1"/>
  <c r="A400" i="1"/>
  <c r="C380" i="1"/>
  <c r="B364" i="1"/>
  <c r="B343" i="1"/>
  <c r="A325" i="1"/>
  <c r="A315" i="1"/>
  <c r="B303" i="1"/>
  <c r="C290" i="1"/>
  <c r="C281" i="1"/>
  <c r="A269" i="1"/>
  <c r="B256" i="1"/>
  <c r="B247" i="1"/>
  <c r="C234" i="1"/>
  <c r="A223" i="1"/>
  <c r="A213" i="1"/>
  <c r="B202" i="1"/>
  <c r="A192" i="1"/>
  <c r="A184" i="1"/>
  <c r="C173" i="1"/>
  <c r="B163" i="1"/>
  <c r="A157" i="1"/>
  <c r="B149" i="1"/>
  <c r="C141" i="1"/>
  <c r="C135" i="1"/>
  <c r="A128" i="1"/>
  <c r="B120" i="1"/>
  <c r="B114" i="1"/>
  <c r="C106" i="1"/>
  <c r="A99" i="1"/>
  <c r="A93" i="1"/>
  <c r="B85" i="1"/>
  <c r="C77" i="1"/>
  <c r="C71" i="1"/>
  <c r="A64" i="1"/>
  <c r="B56" i="1"/>
  <c r="B50" i="1"/>
  <c r="C42" i="1"/>
  <c r="A35" i="1"/>
  <c r="C29" i="1"/>
  <c r="A25" i="1"/>
  <c r="B21" i="1"/>
  <c r="C16" i="1"/>
  <c r="A13" i="1"/>
  <c r="C8" i="1"/>
  <c r="A5" i="1"/>
  <c r="C98" i="1"/>
  <c r="A85" i="1"/>
  <c r="C69" i="1"/>
  <c r="A56" i="1"/>
  <c r="B42" i="1"/>
  <c r="B29" i="1"/>
  <c r="B16" i="1"/>
  <c r="B8" i="1"/>
  <c r="C19" i="1"/>
  <c r="C15" i="1"/>
  <c r="CL4" i="11"/>
  <c r="A393" i="1"/>
  <c r="B298" i="1"/>
  <c r="C229" i="1"/>
  <c r="B188" i="1"/>
  <c r="A160" i="1"/>
  <c r="A131" i="1"/>
  <c r="C109" i="1"/>
  <c r="B82" i="1"/>
  <c r="A61" i="1"/>
  <c r="B32" i="1"/>
  <c r="B14" i="1"/>
  <c r="G5" i="12"/>
  <c r="M5" i="4"/>
  <c r="A388" i="1"/>
  <c r="A307" i="1"/>
  <c r="B239" i="1"/>
  <c r="B187" i="1"/>
  <c r="A152" i="1"/>
  <c r="A117" i="1"/>
  <c r="A88" i="1"/>
  <c r="A53" i="1"/>
  <c r="A32" i="1"/>
  <c r="C18" i="1"/>
  <c r="J4" i="11"/>
  <c r="A448" i="1"/>
  <c r="C366" i="1"/>
  <c r="A295" i="1"/>
  <c r="A248" i="1"/>
  <c r="A195" i="1"/>
  <c r="C151" i="1"/>
  <c r="C122" i="1"/>
  <c r="C93" i="1"/>
  <c r="B72" i="1"/>
  <c r="C31" i="1"/>
  <c r="C5" i="1"/>
  <c r="CY5" i="12"/>
  <c r="AW5" i="11"/>
  <c r="CI4" i="10"/>
  <c r="BN5" i="8"/>
  <c r="CH5" i="7"/>
  <c r="N4" i="7"/>
  <c r="F4" i="5"/>
  <c r="A439" i="1"/>
  <c r="A416" i="1"/>
  <c r="C399" i="1"/>
  <c r="C378" i="1"/>
  <c r="B359" i="1"/>
  <c r="A343" i="1"/>
  <c r="C324" i="1"/>
  <c r="A312" i="1"/>
  <c r="A303" i="1"/>
  <c r="B290" i="1"/>
  <c r="C277" i="1"/>
  <c r="C268" i="1"/>
  <c r="A256" i="1"/>
  <c r="B244" i="1"/>
  <c r="B234" i="1"/>
  <c r="C221" i="1"/>
  <c r="A210" i="1"/>
  <c r="A202" i="1"/>
  <c r="C191" i="1"/>
  <c r="B181" i="1"/>
  <c r="B173" i="1"/>
  <c r="A163" i="1"/>
  <c r="A155" i="1"/>
  <c r="A149" i="1"/>
  <c r="B141" i="1"/>
  <c r="C133" i="1"/>
  <c r="C127" i="1"/>
  <c r="A120" i="1"/>
  <c r="B112" i="1"/>
  <c r="B106" i="1"/>
  <c r="A91" i="1"/>
  <c r="B77" i="1"/>
  <c r="C63" i="1"/>
  <c r="B48" i="1"/>
  <c r="C24" i="1"/>
  <c r="C11" i="1"/>
  <c r="B11" i="1"/>
  <c r="B19" i="1"/>
  <c r="R4" i="8"/>
  <c r="B409" i="1"/>
  <c r="A320" i="1"/>
  <c r="A274" i="1"/>
  <c r="A198" i="1"/>
  <c r="C138" i="1"/>
  <c r="B88" i="1"/>
  <c r="C39" i="1"/>
  <c r="C10" i="1"/>
  <c r="C449" i="1"/>
  <c r="C371" i="1"/>
  <c r="B295" i="1"/>
  <c r="A251" i="1"/>
  <c r="C217" i="1"/>
  <c r="B167" i="1"/>
  <c r="C130" i="1"/>
  <c r="B80" i="1"/>
  <c r="B45" i="1"/>
  <c r="B10" i="1"/>
  <c r="AD5" i="7"/>
  <c r="B423" i="1"/>
  <c r="B329" i="1"/>
  <c r="B272" i="1"/>
  <c r="C213" i="1"/>
  <c r="A167" i="1"/>
  <c r="A115" i="1"/>
  <c r="C58" i="1"/>
  <c r="B9" i="1"/>
  <c r="CI5" i="12"/>
  <c r="DB4" i="11"/>
  <c r="CH4" i="10"/>
  <c r="M5" i="8"/>
  <c r="CC5" i="7"/>
  <c r="C4" i="5"/>
  <c r="C458" i="1"/>
  <c r="B437" i="1"/>
  <c r="C414" i="1"/>
  <c r="C394" i="1"/>
  <c r="B378" i="1"/>
  <c r="B357" i="1"/>
  <c r="A338" i="1"/>
  <c r="B324" i="1"/>
  <c r="C311" i="1"/>
  <c r="A299" i="1"/>
  <c r="A290" i="1"/>
  <c r="B277" i="1"/>
  <c r="C265" i="1"/>
  <c r="C255" i="1"/>
  <c r="A243" i="1"/>
  <c r="B231" i="1"/>
  <c r="B221" i="1"/>
  <c r="C209" i="1"/>
  <c r="B199" i="1"/>
  <c r="B191" i="1"/>
  <c r="A181" i="1"/>
  <c r="C170" i="1"/>
  <c r="C162" i="1"/>
  <c r="C154" i="1"/>
  <c r="A147" i="1"/>
  <c r="A141" i="1"/>
  <c r="B133" i="1"/>
  <c r="C125" i="1"/>
  <c r="C119" i="1"/>
  <c r="A112" i="1"/>
  <c r="B104" i="1"/>
  <c r="B98" i="1"/>
  <c r="C90" i="1"/>
  <c r="A83" i="1"/>
  <c r="A77" i="1"/>
  <c r="B69" i="1"/>
  <c r="C61" i="1"/>
  <c r="C55" i="1"/>
  <c r="A48" i="1"/>
  <c r="B40" i="1"/>
  <c r="B34" i="1"/>
  <c r="A29" i="1"/>
  <c r="B24" i="1"/>
  <c r="A8" i="1"/>
  <c r="C7" i="1"/>
  <c r="AM5" i="7"/>
  <c r="C335" i="1"/>
  <c r="C239" i="1"/>
  <c r="A170" i="1"/>
  <c r="B117" i="1"/>
  <c r="A67" i="1"/>
  <c r="B27" i="1"/>
  <c r="Z4" i="11"/>
  <c r="C350" i="1"/>
  <c r="A261" i="1"/>
  <c r="C205" i="1"/>
  <c r="C159" i="1"/>
  <c r="B109" i="1"/>
  <c r="B74" i="1"/>
  <c r="B22" i="1"/>
  <c r="V5" i="9"/>
  <c r="A386" i="1"/>
  <c r="B282" i="1"/>
  <c r="B226" i="1"/>
  <c r="C176" i="1"/>
  <c r="B130" i="1"/>
  <c r="A80" i="1"/>
  <c r="A45" i="1"/>
  <c r="C13" i="1"/>
  <c r="W5" i="12"/>
  <c r="CV4" i="11"/>
  <c r="BS4" i="10"/>
  <c r="C5" i="8"/>
  <c r="BT5" i="7"/>
  <c r="I5" i="6"/>
  <c r="B457" i="1"/>
  <c r="C430" i="1"/>
  <c r="B414" i="1"/>
  <c r="B393" i="1"/>
  <c r="B373" i="1"/>
  <c r="A357" i="1"/>
  <c r="A336" i="1"/>
  <c r="B320" i="1"/>
  <c r="B311" i="1"/>
  <c r="C298" i="1"/>
  <c r="A287" i="1"/>
  <c r="A277" i="1"/>
  <c r="B264" i="1"/>
  <c r="C252" i="1"/>
  <c r="C242" i="1"/>
  <c r="A231" i="1"/>
  <c r="B218" i="1"/>
  <c r="C208" i="1"/>
  <c r="A199" i="1"/>
  <c r="C188" i="1"/>
  <c r="C180" i="1"/>
  <c r="B170" i="1"/>
  <c r="B160" i="1"/>
  <c r="B154" i="1"/>
  <c r="C146" i="1"/>
  <c r="A139" i="1"/>
  <c r="A133" i="1"/>
  <c r="B125" i="1"/>
  <c r="C117" i="1"/>
  <c r="C111" i="1"/>
  <c r="A104" i="1"/>
  <c r="B96" i="1"/>
  <c r="B90" i="1"/>
  <c r="C82" i="1"/>
  <c r="A75" i="1"/>
  <c r="A69" i="1"/>
  <c r="B61" i="1"/>
  <c r="C53" i="1"/>
  <c r="C47" i="1"/>
  <c r="A40" i="1"/>
  <c r="A33" i="1"/>
  <c r="C27" i="1"/>
  <c r="A11" i="1"/>
  <c r="G4" i="10"/>
  <c r="A5" i="6"/>
  <c r="T5" i="4"/>
  <c r="A457" i="1"/>
  <c r="C428" i="1"/>
  <c r="A352" i="1"/>
  <c r="B308" i="1"/>
  <c r="A264" i="1"/>
  <c r="A206" i="1"/>
  <c r="B152" i="1"/>
  <c r="C103" i="1"/>
  <c r="B53" i="1"/>
  <c r="A19" i="1"/>
  <c r="B407" i="1"/>
  <c r="C319" i="1"/>
  <c r="C273" i="1"/>
  <c r="B195" i="1"/>
  <c r="B138" i="1"/>
  <c r="C101" i="1"/>
  <c r="A59" i="1"/>
  <c r="A27" i="1"/>
  <c r="A6" i="1"/>
  <c r="ED5" i="7"/>
  <c r="C316" i="1"/>
  <c r="A239" i="1"/>
  <c r="C184" i="1"/>
  <c r="A144" i="1"/>
  <c r="C87" i="1"/>
  <c r="A51" i="1"/>
  <c r="A22" i="1"/>
  <c r="A109" i="1"/>
  <c r="C26" i="1"/>
  <c r="BW5" i="11"/>
  <c r="D4" i="11"/>
  <c r="DU5" i="7"/>
  <c r="Z4" i="7"/>
  <c r="C5" i="5"/>
  <c r="I4" i="4"/>
  <c r="C446" i="1"/>
  <c r="B421" i="1"/>
  <c r="A402" i="1"/>
  <c r="C385" i="1"/>
  <c r="C364" i="1"/>
  <c r="B345" i="1"/>
  <c r="A329" i="1"/>
  <c r="B316" i="1"/>
  <c r="C303" i="1"/>
  <c r="C293" i="1"/>
  <c r="A282" i="1"/>
  <c r="B269" i="1"/>
  <c r="B260" i="1"/>
  <c r="C247" i="1"/>
  <c r="A235" i="1"/>
  <c r="A226" i="1"/>
  <c r="B213" i="1"/>
  <c r="C202" i="1"/>
  <c r="C194" i="1"/>
  <c r="B184" i="1"/>
  <c r="A174" i="1"/>
  <c r="A166" i="1"/>
  <c r="B157" i="1"/>
  <c r="C149" i="1"/>
  <c r="C143" i="1"/>
  <c r="A136" i="1"/>
  <c r="B128" i="1"/>
  <c r="B122" i="1"/>
  <c r="C114" i="1"/>
  <c r="A107" i="1"/>
  <c r="A101" i="1"/>
  <c r="B93" i="1"/>
  <c r="C85" i="1"/>
  <c r="C79" i="1"/>
  <c r="A72" i="1"/>
  <c r="B64" i="1"/>
  <c r="B58" i="1"/>
  <c r="C50" i="1"/>
  <c r="A43" i="1"/>
  <c r="A37" i="1"/>
  <c r="B30" i="1"/>
  <c r="B26" i="1"/>
  <c r="C21" i="1"/>
  <c r="A17" i="1"/>
  <c r="B13" i="1"/>
  <c r="A9" i="1"/>
  <c r="B5" i="1"/>
  <c r="C34" i="1"/>
  <c r="A21" i="1"/>
  <c r="A4" i="1"/>
  <c r="A16" i="1"/>
  <c r="A24" i="1"/>
  <c r="Q5" i="12"/>
  <c r="A372" i="1"/>
  <c r="C285" i="1"/>
  <c r="B252" i="1"/>
  <c r="A218" i="1"/>
  <c r="A178" i="1"/>
  <c r="B146" i="1"/>
  <c r="A125" i="1"/>
  <c r="A96" i="1"/>
  <c r="C74" i="1"/>
  <c r="C45" i="1"/>
  <c r="C23" i="1"/>
  <c r="B6" i="1"/>
  <c r="AL5" i="7"/>
  <c r="Z4" i="6"/>
  <c r="B428" i="1"/>
  <c r="C330" i="1"/>
  <c r="B285" i="1"/>
  <c r="C226" i="1"/>
  <c r="C177" i="1"/>
  <c r="B144" i="1"/>
  <c r="A123" i="1"/>
  <c r="C95" i="1"/>
  <c r="C66" i="1"/>
  <c r="C37" i="1"/>
  <c r="A14" i="1"/>
  <c r="L5" i="4"/>
  <c r="A407" i="1"/>
  <c r="B350" i="1"/>
  <c r="C306" i="1"/>
  <c r="C260" i="1"/>
  <c r="B205" i="1"/>
  <c r="C157" i="1"/>
  <c r="B136" i="1"/>
  <c r="B101" i="1"/>
  <c r="B66" i="1"/>
  <c r="B37" i="1"/>
  <c r="B18" i="1"/>
</calcChain>
</file>

<file path=xl/sharedStrings.xml><?xml version="1.0" encoding="utf-8"?>
<sst xmlns="http://schemas.openxmlformats.org/spreadsheetml/2006/main" count="130" uniqueCount="44">
  <si>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</si>
  <si>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</si>
  <si>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</si>
  <si>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</si>
  <si>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</si>
  <si>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</si>
  <si>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</si>
  <si>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</si>
  <si>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</si>
  <si>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</si>
  <si>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</si>
  <si>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</si>
  <si>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</si>
  <si>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</si>
  <si>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</si>
  <si>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</si>
  <si>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 xml:space="preserve"> O:ABM 10D20.00</t>
  </si>
  <si>
    <t>Buy to Open</t>
  </si>
  <si>
    <t>Allocation1</t>
  </si>
  <si>
    <t>Closing</t>
  </si>
  <si>
    <t>GetDataClosing</t>
  </si>
  <si>
    <t>Current</t>
  </si>
  <si>
    <t>VerifyLongPositionsGrid</t>
  </si>
  <si>
    <t>EquityOption</t>
  </si>
  <si>
    <t>O:ABM 10D20.00</t>
  </si>
  <si>
    <t>SelectTradeUnexpiredUnsettled</t>
  </si>
  <si>
    <t>Open</t>
  </si>
  <si>
    <t>ExerciseAssignment</t>
  </si>
  <si>
    <t>Equity</t>
  </si>
  <si>
    <t>Buy</t>
  </si>
  <si>
    <t>Long</t>
  </si>
  <si>
    <t>S1</t>
  </si>
  <si>
    <t>ABM</t>
  </si>
  <si>
    <t>VerifyExpiredSettledGrid</t>
  </si>
  <si>
    <t>Allocation</t>
  </si>
  <si>
    <t>GetDataAllocation</t>
  </si>
  <si>
    <t>CheckAllocatedGroups</t>
  </si>
  <si>
    <t>Closed</t>
  </si>
  <si>
    <t>BuytoOpen</t>
  </si>
  <si>
    <t>Sell to Close</t>
  </si>
  <si>
    <t>Exercise</t>
  </si>
  <si>
    <t>PortfolioManagement</t>
  </si>
  <si>
    <t>CheckPortfolioManagement</t>
  </si>
  <si>
    <t>Strategy Unallocated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</si>
</sst>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8"/>
      <name val="Arial"/>
    </font>
    <font>
      <sz val="8"/>
      <color rgb="FF000000"/>
      <name val="Calibri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4" fontId="14" fillId="0" borderId="0" xfId="0" applyNumberFormat="1" applyFont="1" applyAlignment="1">
      <alignment horizontal="righ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3" fontId="1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4" t="s">
        <v>0</v>
      </c>
      <c r="B1" s="35"/>
      <c r="C1" s="35"/>
      <c r="D1" s="35"/>
      <c r="E1" s="35"/>
      <c r="F1" s="36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IFERROR(__xludf.DUMMYFUNCTION("""COMPUTED_VALUE"""),"RebalanceAcrossSecuritiesViaBloomberg")</f>
        <v>RebalanceAcrossSecuritiesViaBloomberg</v>
      </c>
      <c r="C461" t="str">
        <f ca="1">IFERROR(__xludf.DUMMYFUNCTION("""COMPUTED_VALUE"""),"1z93mn3V8oo4z9cPizVEsKkgznY19l8cLUIZiwvfNHFs")</f>
        <v>1z93mn3V8oo4z9cPizVEsKkgznY19l8cLUIZiwvfNHFs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7" t="s">
        <v>2</v>
      </c>
      <c r="B1" s="35"/>
      <c r="C1" s="36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4" t="s">
        <v>7</v>
      </c>
      <c r="B1" s="35"/>
      <c r="C1" s="35"/>
      <c r="D1" s="35"/>
      <c r="E1" s="35"/>
      <c r="F1" s="36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100</v>
      </c>
      <c r="E6" s="7">
        <v>100</v>
      </c>
      <c r="F6" s="7" t="s">
        <v>18</v>
      </c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5"/>
      <c r="F6" s="5"/>
      <c r="G6" s="5"/>
      <c r="H6" s="5"/>
      <c r="I6" s="26">
        <v>10</v>
      </c>
      <c r="J6" s="5"/>
      <c r="K6" s="5"/>
      <c r="L6" s="5"/>
      <c r="M6" s="26">
        <v>100</v>
      </c>
      <c r="N6" s="5"/>
      <c r="O6" s="5"/>
      <c r="P6" s="27" t="s">
        <v>17</v>
      </c>
      <c r="R6" s="27" t="s">
        <v>24</v>
      </c>
      <c r="Z6" s="26">
        <v>10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IFERROR(__xludf.DUMMYFUNCTION("""COMPUTED_VALUE"""),"AccruedInterest")</f>
        <v>AccruedInterest</v>
      </c>
      <c r="D5" s="22" t="str">
        <f ca="1">IFERROR(__xludf.DUMMYFUNCTION("""COMPUTED_VALUE"""),"Analyst")</f>
        <v>Analyst</v>
      </c>
      <c r="E5" s="22" t="str">
        <f ca="1">IFERROR(__xludf.DUMMYFUNCTION("""COMPUTED_VALUE"""),"Asset Class")</f>
        <v>Asset Class</v>
      </c>
      <c r="F5" s="23" t="str">
        <f ca="1">IFERROR(__xludf.DUMMYFUNCTION("""COMPUTED_VALUE"""),"Asset Derivative")</f>
        <v>Asset Derivative</v>
      </c>
      <c r="G5" s="22" t="str">
        <f ca="1">IFERROR(__xludf.DUMMYFUNCTION("""COMPUTED_VALUE"""),"AUECID")</f>
        <v>AUECID</v>
      </c>
      <c r="H5" s="22" t="str">
        <f ca="1">IFERROR(__xludf.DUMMYFUNCTION("""COMPUTED_VALUE"""),"AUECModifiedDate")</f>
        <v>AUECModifiedDate</v>
      </c>
      <c r="I5" s="22" t="str">
        <f ca="1">IFERROR(__xludf.DUMMYFUNCTION("""COMPUTED_VALUE"""),"Average Price")</f>
        <v>Average Price</v>
      </c>
      <c r="J5" s="22" t="str">
        <f ca="1">IFERROR(__xludf.DUMMYFUNCTION("""COMPUTED_VALUE"""),"BloombergSymbol")</f>
        <v>BloombergSymbol</v>
      </c>
      <c r="K5" s="22" t="str">
        <f ca="1">IFERROR(__xludf.DUMMYFUNCTION("""COMPUTED_VALUE"""),"Broker")</f>
        <v>Broker</v>
      </c>
      <c r="L5" s="22" t="str">
        <f ca="1">IFERROR(__xludf.DUMMYFUNCTION("""COMPUTED_VALUE"""),"CalcBasis")</f>
        <v>CalcBasis</v>
      </c>
      <c r="M5" s="22" t="str">
        <f ca="1">IFERROR(__xludf.DUMMYFUNCTION("""COMPUTED_VALUE"""),"CashSettledPrice")</f>
        <v>CashSettledPrice</v>
      </c>
      <c r="N5" s="22" t="str">
        <f ca="1">IFERROR(__xludf.DUMMYFUNCTION("""COMPUTED_VALUE"""),"ChangeComment")</f>
        <v>ChangeComment</v>
      </c>
      <c r="O5" s="22" t="str">
        <f ca="1">IFERROR(__xludf.DUMMYFUNCTION("""COMPUTED_VALUE"""),"ChangeType")</f>
        <v>ChangeType</v>
      </c>
      <c r="P5" s="22" t="str">
        <f ca="1">IFERROR(__xludf.DUMMYFUNCTION("""COMPUTED_VALUE"""),"ClearingBrokerFee")</f>
        <v>ClearingBrokerFee</v>
      </c>
      <c r="Q5" s="22" t="str">
        <f ca="1">IFERROR(__xludf.DUMMYFUNCTION("""COMPUTED_VALUE"""),"ClearingFee")</f>
        <v>ClearingFee</v>
      </c>
      <c r="R5" s="22" t="str">
        <f ca="1">IFERROR(__xludf.DUMMYFUNCTION("""COMPUTED_VALUE"""),"ClosedTotalCommissionandFees")</f>
        <v>ClosedTotalCommissionandFees</v>
      </c>
      <c r="S5" s="22" t="str">
        <f ca="1">IFERROR(__xludf.DUMMYFUNCTION("""COMPUTED_VALUE"""),"ClosingAlgo")</f>
        <v>ClosingAlgo</v>
      </c>
      <c r="T5" s="24" t="str">
        <f ca="1">IFERROR(__xludf.DUMMYFUNCTION("""COMPUTED_VALUE"""),"ClosingDate")</f>
        <v>ClosingDate</v>
      </c>
      <c r="U5" s="24" t="str">
        <f ca="1">IFERROR(__xludf.DUMMYFUNCTION("""COMPUTED_VALUE"""),"ClosingStatus")</f>
        <v>ClosingStatus</v>
      </c>
      <c r="V5" s="24" t="str">
        <f ca="1">IFERROR(__xludf.DUMMYFUNCTION("""COMPUTED_VALUE"""),"Commission")</f>
        <v>Commission</v>
      </c>
      <c r="W5" s="24" t="str">
        <f ca="1">IFERROR(__xludf.DUMMYFUNCTION("""COMPUTED_VALUE"""),"CommissionAmt")</f>
        <v>CommissionAmt</v>
      </c>
      <c r="X5" s="24" t="str">
        <f ca="1">IFERROR(__xludf.DUMMYFUNCTION("""COMPUTED_VALUE"""),"CommissionRate")</f>
        <v>CommissionRate</v>
      </c>
      <c r="Y5" s="24" t="str">
        <f ca="1">IFERROR(__xludf.DUMMYFUNCTION("""COMPUTED_VALUE"""),"CompanyUserName")</f>
        <v>CompanyUserName</v>
      </c>
      <c r="Z5" s="24" t="str">
        <f ca="1">IFERROR(__xludf.DUMMYFUNCTION("""COMPUTED_VALUE"""),"ContractMultiplier")</f>
        <v>ContractMultiplier</v>
      </c>
      <c r="AA5" s="24" t="str">
        <f ca="1">IFERROR(__xludf.DUMMYFUNCTION("""COMPUTED_VALUE"""),"CountryName")</f>
        <v>CountryName</v>
      </c>
      <c r="AB5" s="24" t="str">
        <f ca="1">IFERROR(__xludf.DUMMYFUNCTION("""COMPUTED_VALUE"""),"CountryOfRisk")</f>
        <v>CountryOfRisk</v>
      </c>
      <c r="AC5" s="24" t="str">
        <f ca="1">IFERROR(__xludf.DUMMYFUNCTION("""COMPUTED_VALUE"""),"CumQty")</f>
        <v>CumQty</v>
      </c>
      <c r="AD5" s="24" t="str">
        <f ca="1">IFERROR(__xludf.DUMMYFUNCTION("""COMPUTED_VALUE"""),"CurrencyID")</f>
        <v>CurrencyID</v>
      </c>
      <c r="AE5" s="24" t="str">
        <f ca="1">IFERROR(__xludf.DUMMYFUNCTION("""COMPUTED_VALUE"""),"CurrencyName")</f>
        <v>CurrencyName</v>
      </c>
      <c r="AF5" s="24" t="str">
        <f ca="1">IFERROR(__xludf.DUMMYFUNCTION("""COMPUTED_VALUE"""),"CusipSymbol")</f>
        <v>CusipSymbol</v>
      </c>
      <c r="AG5" s="24" t="str">
        <f ca="1">IFERROR(__xludf.DUMMYFUNCTION("""COMPUTED_VALUE"""),"CustomUDA1")</f>
        <v>CustomUDA1</v>
      </c>
      <c r="AH5" s="24" t="str">
        <f ca="1">IFERROR(__xludf.DUMMYFUNCTION("""COMPUTED_VALUE"""),"CustomUDA2")</f>
        <v>CustomUDA2</v>
      </c>
      <c r="AI5" s="24" t="str">
        <f ca="1">IFERROR(__xludf.DUMMYFUNCTION("""COMPUTED_VALUE"""),"CustomUDA3")</f>
        <v>CustomUDA3</v>
      </c>
      <c r="AJ5" s="24" t="str">
        <f ca="1">IFERROR(__xludf.DUMMYFUNCTION("""COMPUTED_VALUE"""),"CustomUDA4")</f>
        <v>CustomUDA4</v>
      </c>
      <c r="AK5" s="24" t="str">
        <f ca="1">IFERROR(__xludf.DUMMYFUNCTION("""COMPUTED_VALUE"""),"CustomUDA5")</f>
        <v>CustomUDA5</v>
      </c>
      <c r="AL5" s="24" t="str">
        <f ca="1">IFERROR(__xludf.DUMMYFUNCTION("""COMPUTED_VALUE"""),"CustomUDA6")</f>
        <v>CustomUDA6</v>
      </c>
      <c r="AM5" s="24" t="str">
        <f ca="1">IFERROR(__xludf.DUMMYFUNCTION("""COMPUTED_VALUE"""),"CustomUDA7")</f>
        <v>CustomUDA7</v>
      </c>
      <c r="AN5" s="24" t="str">
        <f ca="1">IFERROR(__xludf.DUMMYFUNCTION("""COMPUTED_VALUE"""),"Delta")</f>
        <v>Delta</v>
      </c>
      <c r="AO5" s="24" t="str">
        <f ca="1">IFERROR(__xludf.DUMMYFUNCTION("""COMPUTED_VALUE"""),"Description")</f>
        <v>Description</v>
      </c>
      <c r="AP5" s="24" t="str">
        <f ca="1">IFERROR(__xludf.DUMMYFUNCTION("""COMPUTED_VALUE"""),"ExchangeName")</f>
        <v>ExchangeName</v>
      </c>
      <c r="AQ5" s="24" t="str">
        <f ca="1">IFERROR(__xludf.DUMMYFUNCTION("""COMPUTED_VALUE"""),"ExecutedQty")</f>
        <v>ExecutedQty</v>
      </c>
      <c r="AR5" s="24" t="str">
        <f ca="1">IFERROR(__xludf.DUMMYFUNCTION("""COMPUTED_VALUE"""),"ExpirationDate")</f>
        <v>ExpirationDate</v>
      </c>
      <c r="AS5" s="24" t="str">
        <f ca="1">IFERROR(__xludf.DUMMYFUNCTION("""COMPUTED_VALUE"""),"ExternalTransID")</f>
        <v>ExternalTransID</v>
      </c>
      <c r="AT5" s="24" t="str">
        <f ca="1">IFERROR(__xludf.DUMMYFUNCTION("""COMPUTED_VALUE"""),"FXConversionMethodOperator")</f>
        <v>FXConversionMethodOperator</v>
      </c>
      <c r="AU5" s="24" t="str">
        <f ca="1">IFERROR(__xludf.DUMMYFUNCTION("""COMPUTED_VALUE"""),"FXRate")</f>
        <v>FXRate</v>
      </c>
      <c r="AV5" s="24" t="str">
        <f ca="1">IFERROR(__xludf.DUMMYFUNCTION("""COMPUTED_VALUE"""),"GroupID")</f>
        <v>GroupID</v>
      </c>
      <c r="AW5" s="24" t="str">
        <f ca="1">IFERROR(__xludf.DUMMYFUNCTION("""COMPUTED_VALUE"""),"IDCOSymbol")</f>
        <v>IDCOSymbol</v>
      </c>
      <c r="AX5" s="24" t="str">
        <f ca="1">IFERROR(__xludf.DUMMYFUNCTION("""COMPUTED_VALUE"""),"InternalComments")</f>
        <v>InternalComments</v>
      </c>
      <c r="AY5" s="24" t="str">
        <f ca="1">IFERROR(__xludf.DUMMYFUNCTION("""COMPUTED_VALUE"""),"IsExerciseAtZero")</f>
        <v>IsExerciseAtZero</v>
      </c>
      <c r="AZ5" s="24" t="str">
        <f ca="1">IFERROR(__xludf.DUMMYFUNCTION("""COMPUTED_VALUE"""),"ISINSymbol")</f>
        <v>ISINSymbol</v>
      </c>
      <c r="BA5" s="24" t="str">
        <f ca="1">IFERROR(__xludf.DUMMYFUNCTION("""COMPUTED_VALUE"""),"IsNDF")</f>
        <v>IsNDF</v>
      </c>
      <c r="BB5" s="24" t="str">
        <f ca="1">IFERROR(__xludf.DUMMYFUNCTION("""COMPUTED_VALUE"""),"IsPosition")</f>
        <v>IsPosition</v>
      </c>
      <c r="BC5" s="24" t="str">
        <f ca="1">IFERROR(__xludf.DUMMYFUNCTION("""COMPUTED_VALUE"""),"IsPreAllocated")</f>
        <v>IsPreAllocated</v>
      </c>
      <c r="BD5" s="24" t="str">
        <f ca="1">IFERROR(__xludf.DUMMYFUNCTION("""COMPUTED_VALUE"""),"Issuer")</f>
        <v>Issuer</v>
      </c>
      <c r="BE5" s="24" t="str">
        <f ca="1">IFERROR(__xludf.DUMMYFUNCTION("""COMPUTED_VALUE"""),"IsSwapped")</f>
        <v>IsSwapped</v>
      </c>
      <c r="BF5" s="24" t="str">
        <f ca="1">IFERROR(__xludf.DUMMYFUNCTION("""COMPUTED_VALUE"""),"LeadCurrencyID")</f>
        <v>LeadCurrencyID</v>
      </c>
      <c r="BG5" s="24" t="str">
        <f ca="1">IFERROR(__xludf.DUMMYFUNCTION("""COMPUTED_VALUE"""),"LiquidTag")</f>
        <v>LiquidTag</v>
      </c>
      <c r="BH5" s="24" t="str">
        <f ca="1">IFERROR(__xludf.DUMMYFUNCTION("""COMPUTED_VALUE"""),"LongOrShort")</f>
        <v>LongOrShort</v>
      </c>
      <c r="BI5" s="24" t="str">
        <f ca="1">IFERROR(__xludf.DUMMYFUNCTION("""COMPUTED_VALUE"""),"LotId")</f>
        <v>LotId</v>
      </c>
      <c r="BJ5" s="24" t="str">
        <f ca="1">IFERROR(__xludf.DUMMYFUNCTION("""COMPUTED_VALUE"""),"M2MProfitLoss")</f>
        <v>M2MProfitLoss</v>
      </c>
      <c r="BK5" s="24" t="str">
        <f ca="1">IFERROR(__xludf.DUMMYFUNCTION("""COMPUTED_VALUE"""),"MarkPrice")</f>
        <v>MarkPrice</v>
      </c>
      <c r="BL5" s="24" t="str">
        <f ca="1">IFERROR(__xludf.DUMMYFUNCTION("""COMPUTED_VALUE"""),"MasterFund")</f>
        <v>MasterFund</v>
      </c>
      <c r="BM5" s="24" t="str">
        <f ca="1">IFERROR(__xludf.DUMMYFUNCTION("""COMPUTED_VALUE"""),"MiscFees")</f>
        <v>MiscFees</v>
      </c>
      <c r="BN5" s="24" t="str">
        <f ca="1">IFERROR(__xludf.DUMMYFUNCTION("""COMPUTED_VALUE"""),"NavLockStatus")</f>
        <v>NavLockStatus</v>
      </c>
      <c r="BO5" s="24" t="str">
        <f ca="1">IFERROR(__xludf.DUMMYFUNCTION("""COMPUTED_VALUE"""),"Net Notional")</f>
        <v>Net Notional</v>
      </c>
      <c r="BP5" s="24" t="str">
        <f ca="1">IFERROR(__xludf.DUMMYFUNCTION("""COMPUTED_VALUE"""),"NirvanaProcessDate")</f>
        <v>NirvanaProcessDate</v>
      </c>
      <c r="BQ5" s="24" t="str">
        <f ca="1">IFERROR(__xludf.DUMMYFUNCTION("""COMPUTED_VALUE"""),"OccFee")</f>
        <v>OccFee</v>
      </c>
      <c r="BR5" s="24" t="str">
        <f ca="1">IFERROR(__xludf.DUMMYFUNCTION("""COMPUTED_VALUE"""),"OptionPremiumAdjustment")</f>
        <v>OptionPremiumAdjustment</v>
      </c>
      <c r="BS5" s="24" t="str">
        <f ca="1">IFERROR(__xludf.DUMMYFUNCTION("""COMPUTED_VALUE"""),"OrderSideTagValue")</f>
        <v>OrderSideTagValue</v>
      </c>
      <c r="BT5" s="24" t="str">
        <f ca="1">IFERROR(__xludf.DUMMYFUNCTION("""COMPUTED_VALUE"""),"OrderType")</f>
        <v>OrderType</v>
      </c>
      <c r="BU5" s="24" t="str">
        <f ca="1">IFERROR(__xludf.DUMMYFUNCTION("""COMPUTED_VALUE"""),"OrfFee")</f>
        <v>OrfFee</v>
      </c>
      <c r="BV5" s="24" t="str">
        <f ca="1">IFERROR(__xludf.DUMMYFUNCTION("""COMPUTED_VALUE"""),"Original Side")</f>
        <v>Original Side</v>
      </c>
      <c r="BW5" s="24" t="str">
        <f ca="1">IFERROR(__xludf.DUMMYFUNCTION("""COMPUTED_VALUE"""),"OriginalPurchase Date")</f>
        <v>OriginalPurchase Date</v>
      </c>
      <c r="BX5" s="24" t="str">
        <f ca="1">IFERROR(__xludf.DUMMYFUNCTION("""COMPUTED_VALUE"""),"OSISymbol")</f>
        <v>OSISymbol</v>
      </c>
      <c r="BY5" s="24" t="str">
        <f ca="1">IFERROR(__xludf.DUMMYFUNCTION("""COMPUTED_VALUE"""),"OtherBrokerFees")</f>
        <v>OtherBrokerFees</v>
      </c>
      <c r="BZ5" s="24" t="str">
        <f ca="1">IFERROR(__xludf.DUMMYFUNCTION("""COMPUTED_VALUE"""),"ParentRowPK")</f>
        <v>ParentRowPK</v>
      </c>
      <c r="CA5" s="24" t="str">
        <f ca="1">IFERROR(__xludf.DUMMYFUNCTION("""COMPUTED_VALUE"""),"Percentage")</f>
        <v>Percentage</v>
      </c>
      <c r="CB5" s="24" t="str">
        <f ca="1">IFERROR(__xludf.DUMMYFUNCTION("""COMPUTED_VALUE"""),"PositionTag")</f>
        <v>PositionTag</v>
      </c>
      <c r="CC5" s="24" t="str">
        <f ca="1">IFERROR(__xludf.DUMMYFUNCTION("""COMPUTED_VALUE"""),"PositionType")</f>
        <v>PositionType</v>
      </c>
      <c r="CD5" s="24" t="str">
        <f ca="1">IFERROR(__xludf.DUMMYFUNCTION("""COMPUTED_VALUE"""),"Process Date")</f>
        <v>Process Date</v>
      </c>
      <c r="CE5" s="24" t="str">
        <f ca="1">IFERROR(__xludf.DUMMYFUNCTION("""COMPUTED_VALUE"""),"ProxySymbol")</f>
        <v>ProxySymbol</v>
      </c>
      <c r="CF5" s="24" t="str">
        <f ca="1">IFERROR(__xludf.DUMMYFUNCTION("""COMPUTED_VALUE"""),"PutOrCall")</f>
        <v>PutOrCall</v>
      </c>
      <c r="CG5" s="24" t="str">
        <f ca="1">IFERROR(__xludf.DUMMYFUNCTION("""COMPUTED_VALUE"""),"Quantity")</f>
        <v>Quantity</v>
      </c>
      <c r="CH5" s="24" t="str">
        <f ca="1">IFERROR(__xludf.DUMMYFUNCTION("""COMPUTED_VALUE"""),"Region")</f>
        <v>Region</v>
      </c>
      <c r="CI5" s="24" t="str">
        <f ca="1">IFERROR(__xludf.DUMMYFUNCTION("""COMPUTED_VALUE"""),"ReutersSymbol")</f>
        <v>ReutersSymbol</v>
      </c>
      <c r="CJ5" s="24" t="str">
        <f ca="1">IFERROR(__xludf.DUMMYFUNCTION("""COMPUTED_VALUE"""),"RiskCurrency")</f>
        <v>RiskCurrency</v>
      </c>
      <c r="CK5" s="24" t="str">
        <f ca="1">IFERROR(__xludf.DUMMYFUNCTION("""COMPUTED_VALUE"""),"SecFee")</f>
        <v>SecFee</v>
      </c>
      <c r="CL5" s="24" t="str">
        <f ca="1">IFERROR(__xludf.DUMMYFUNCTION("""COMPUTED_VALUE"""),"SectorName")</f>
        <v>SectorName</v>
      </c>
      <c r="CM5" s="24" t="str">
        <f ca="1">IFERROR(__xludf.DUMMYFUNCTION("""COMPUTED_VALUE"""),"Security Name")</f>
        <v>Security Name</v>
      </c>
      <c r="CN5" s="24" t="str">
        <f ca="1">IFERROR(__xludf.DUMMYFUNCTION("""COMPUTED_VALUE"""),"SecurityTypeName")</f>
        <v>SecurityTypeName</v>
      </c>
      <c r="CO5" s="24" t="str">
        <f ca="1">IFERROR(__xludf.DUMMYFUNCTION("""COMPUTED_VALUE"""),"SedolSymbol")</f>
        <v>SedolSymbol</v>
      </c>
      <c r="CP5" s="24" t="str">
        <f ca="1">IFERROR(__xludf.DUMMYFUNCTION("""COMPUTED_VALUE"""),"SettlCurrAmt")</f>
        <v>SettlCurrAmt</v>
      </c>
      <c r="CQ5" s="24" t="str">
        <f ca="1">IFERROR(__xludf.DUMMYFUNCTION("""COMPUTED_VALUE"""),"SettlCurrFxRate")</f>
        <v>SettlCurrFxRate</v>
      </c>
      <c r="CR5" s="24" t="str">
        <f ca="1">IFERROR(__xludf.DUMMYFUNCTION("""COMPUTED_VALUE"""),"SettlCurrFxRateCalc")</f>
        <v>SettlCurrFxRateCalc</v>
      </c>
      <c r="CS5" s="24" t="str">
        <f ca="1">IFERROR(__xludf.DUMMYFUNCTION("""COMPUTED_VALUE"""),"SettlCurrUnitCost")</f>
        <v>SettlCurrUnitCost</v>
      </c>
      <c r="CT5" s="24" t="str">
        <f ca="1">IFERROR(__xludf.DUMMYFUNCTION("""COMPUTED_VALUE"""),"Settlement Mode")</f>
        <v>Settlement Mode</v>
      </c>
      <c r="CU5" s="24" t="str">
        <f ca="1">IFERROR(__xludf.DUMMYFUNCTION("""COMPUTED_VALUE"""),"Settlement Qty")</f>
        <v>Settlement Qty</v>
      </c>
      <c r="CV5" s="24" t="str">
        <f ca="1">IFERROR(__xludf.DUMMYFUNCTION("""COMPUTED_VALUE"""),"SettlementCurrencyID")</f>
        <v>SettlementCurrencyID</v>
      </c>
      <c r="CW5" s="24" t="str">
        <f ca="1">IFERROR(__xludf.DUMMYFUNCTION("""COMPUTED_VALUE"""),"SettlementDate")</f>
        <v>SettlementDate</v>
      </c>
      <c r="CX5" s="24" t="str">
        <f ca="1">IFERROR(__xludf.DUMMYFUNCTION("""COMPUTED_VALUE"""),"SideMultiplier")</f>
        <v>SideMultiplier</v>
      </c>
      <c r="CY5" s="24" t="str">
        <f ca="1">IFERROR(__xludf.DUMMYFUNCTION("""COMPUTED_VALUE"""),"SoftCommission")</f>
        <v>SoftCommission</v>
      </c>
      <c r="CZ5" s="24" t="str">
        <f ca="1">IFERROR(__xludf.DUMMYFUNCTION("""COMPUTED_VALUE"""),"SoftCommissionAmt")</f>
        <v>SoftCommissionAmt</v>
      </c>
      <c r="DA5" s="24" t="str">
        <f ca="1">IFERROR(__xludf.DUMMYFUNCTION("""COMPUTED_VALUE"""),"SoftCommissionCalcBasis")</f>
        <v>SoftCommissionCalcBasis</v>
      </c>
      <c r="DB5" s="24" t="str">
        <f ca="1">IFERROR(__xludf.DUMMYFUNCTION("""COMPUTED_VALUE"""),"SoftCommissionRate")</f>
        <v>SoftCommissionRate</v>
      </c>
      <c r="DC5" s="24" t="str">
        <f ca="1">IFERROR(__xludf.DUMMYFUNCTION("""COMPUTED_VALUE"""),"StampDuty")</f>
        <v>StampDuty</v>
      </c>
      <c r="DD5" s="24" t="str">
        <f ca="1">IFERROR(__xludf.DUMMYFUNCTION("""COMPUTED_VALUE"""),"Strategy")</f>
        <v>Strategy</v>
      </c>
      <c r="DE5" s="24" t="str">
        <f ca="1">IFERROR(__xludf.DUMMYFUNCTION("""COMPUTED_VALUE"""),"Strike Price")</f>
        <v>Strike Price</v>
      </c>
      <c r="DF5" s="24" t="str">
        <f ca="1">IFERROR(__xludf.DUMMYFUNCTION("""COMPUTED_VALUE"""),"SubSectorName")</f>
        <v>SubSectorName</v>
      </c>
      <c r="DG5" s="24" t="str">
        <f ca="1">IFERROR(__xludf.DUMMYFUNCTION("""COMPUTED_VALUE"""),"SwapParameters")</f>
        <v>SwapParameters</v>
      </c>
      <c r="DH5" s="24" t="str">
        <f ca="1">IFERROR(__xludf.DUMMYFUNCTION("""COMPUTED_VALUE"""),"Symbol")</f>
        <v>Symbol</v>
      </c>
      <c r="DI5" s="24" t="str">
        <f ca="1">IFERROR(__xludf.DUMMYFUNCTION("""COMPUTED_VALUE"""),"TaxlotClosingId")</f>
        <v>TaxlotClosingId</v>
      </c>
      <c r="DJ5" s="24" t="str">
        <f ca="1">IFERROR(__xludf.DUMMYFUNCTION("""COMPUTED_VALUE"""),"TaxLotID")</f>
        <v>TaxLotID</v>
      </c>
      <c r="DK5" s="24" t="str">
        <f ca="1">IFERROR(__xludf.DUMMYFUNCTION("""COMPUTED_VALUE"""),"TaxlotPk")</f>
        <v>TaxlotPk</v>
      </c>
      <c r="DL5" s="24" t="str">
        <f ca="1">IFERROR(__xludf.DUMMYFUNCTION("""COMPUTED_VALUE"""),"TaxLotQtyToClose")</f>
        <v>TaxLotQtyToClose</v>
      </c>
      <c r="DM5" s="24" t="str">
        <f ca="1">IFERROR(__xludf.DUMMYFUNCTION("""COMPUTED_VALUE"""),"TaxonCommissions")</f>
        <v>TaxonCommissions</v>
      </c>
      <c r="DN5" s="24" t="str">
        <f ca="1">IFERROR(__xludf.DUMMYFUNCTION("""COMPUTED_VALUE"""),"TimeOfSaveUTC")</f>
        <v>TimeOfSaveUTC</v>
      </c>
      <c r="DO5" s="24" t="str">
        <f ca="1">IFERROR(__xludf.DUMMYFUNCTION("""COMPUTED_VALUE"""),"TotalCommission&amp;Fees")</f>
        <v>TotalCommission&amp;Fees</v>
      </c>
      <c r="DP5" s="24" t="str">
        <f ca="1">IFERROR(__xludf.DUMMYFUNCTION("""COMPUTED_VALUE"""),"TotalCommissionandFees")</f>
        <v>TotalCommissionandFees</v>
      </c>
      <c r="DQ5" s="24" t="str">
        <f ca="1">IFERROR(__xludf.DUMMYFUNCTION("""COMPUTED_VALUE"""),"Tradedate")</f>
        <v>Tradedate</v>
      </c>
      <c r="DR5" s="24" t="str">
        <f ca="1">IFERROR(__xludf.DUMMYFUNCTION("""COMPUTED_VALUE"""),"TradeAttribute1")</f>
        <v>TradeAttribute1</v>
      </c>
      <c r="DS5" s="24" t="str">
        <f ca="1">IFERROR(__xludf.DUMMYFUNCTION("""COMPUTED_VALUE"""),"TradeAttribute2")</f>
        <v>TradeAttribute2</v>
      </c>
      <c r="DT5" s="24" t="str">
        <f ca="1">IFERROR(__xludf.DUMMYFUNCTION("""COMPUTED_VALUE"""),"TradeAttribute3")</f>
        <v>TradeAttribute3</v>
      </c>
      <c r="DU5" s="24" t="str">
        <f ca="1">IFERROR(__xludf.DUMMYFUNCTION("""COMPUTED_VALUE"""),"TradeAttribute4")</f>
        <v>TradeAttribute4</v>
      </c>
      <c r="DV5" s="24" t="str">
        <f ca="1">IFERROR(__xludf.DUMMYFUNCTION("""COMPUTED_VALUE"""),"TradeAttribute5")</f>
        <v>TradeAttribute5</v>
      </c>
      <c r="DW5" s="24" t="str">
        <f ca="1">IFERROR(__xludf.DUMMYFUNCTION("""COMPUTED_VALUE"""),"TradeAttribute6")</f>
        <v>TradeAttribute6</v>
      </c>
      <c r="DX5" s="24" t="str">
        <f ca="1">IFERROR(__xludf.DUMMYFUNCTION("""COMPUTED_VALUE"""),"TradingAccountName")</f>
        <v>TradingAccountName</v>
      </c>
      <c r="DY5" s="24" t="str">
        <f ca="1">IFERROR(__xludf.DUMMYFUNCTION("""COMPUTED_VALUE"""),"TransactionLevy")</f>
        <v>TransactionLevy</v>
      </c>
      <c r="DZ5" s="24" t="str">
        <f ca="1">IFERROR(__xludf.DUMMYFUNCTION("""COMPUTED_VALUE"""),"TransactionType")</f>
        <v>TransactionType</v>
      </c>
      <c r="EA5" s="24" t="str">
        <f ca="1">IFERROR(__xludf.DUMMYFUNCTION("""COMPUTED_VALUE"""),"UcitsEligibleTag")</f>
        <v>UcitsEligibleTag</v>
      </c>
      <c r="EB5" s="24" t="str">
        <f ca="1">IFERROR(__xludf.DUMMYFUNCTION("""COMPUTED_VALUE"""),"UDAAsset")</f>
        <v>UDAAsset</v>
      </c>
      <c r="EC5" s="24" t="str">
        <f ca="1">IFERROR(__xludf.DUMMYFUNCTION("""COMPUTED_VALUE"""),"UnderlyingDelta")</f>
        <v>UnderlyingDelta</v>
      </c>
      <c r="ED5" s="24" t="str">
        <f ca="1">IFERROR(__xludf.DUMMYFUNCTION("""COMPUTED_VALUE"""),"UnderlyingName")</f>
        <v>UnderlyingName</v>
      </c>
      <c r="EE5" s="24" t="str">
        <f ca="1">IFERROR(__xludf.DUMMYFUNCTION("""COMPUTED_VALUE"""),"UnderlyingSymbol")</f>
        <v>UnderlyingSymbol</v>
      </c>
      <c r="EF5" s="24" t="str">
        <f ca="1">IFERROR(__xludf.DUMMYFUNCTION("""COMPUTED_VALUE"""),"UnitCost")</f>
        <v>UnitCost</v>
      </c>
      <c r="EG5" s="24" t="str">
        <f ca="1">IFERROR(__xludf.DUMMYFUNCTION("""COMPUTED_VALUE"""),"UnRealizedPNL")</f>
        <v>UnRealizedPNL</v>
      </c>
      <c r="EH5" s="24" t="str">
        <f ca="1">IFERROR(__xludf.DUMMYFUNCTION("""COMPUTED_VALUE"""),"Venue")</f>
        <v>Venue</v>
      </c>
      <c r="EI5" s="24" t="str">
        <f ca="1">IFERROR(__xludf.DUMMYFUNCTION("""COMPUTED_VALUE"""),"VsCurrencyID")</f>
        <v>VsCurrencyID</v>
      </c>
      <c r="EJ5" s="24" t="str">
        <f ca="1">IFERROR(__xludf.DUMMYFUNCTION("""COMPUTED_VALUE"""),"WorkflowState")</f>
        <v>WorkflowState</v>
      </c>
      <c r="EK5" s="24" t="str">
        <f ca="1">IFERROR(__xludf.DUMMYFUNCTION("""COMPUTED_VALUE"""),"AvgPriceBase")</f>
        <v>AvgPriceBase</v>
      </c>
      <c r="EL5" s="24" t="str">
        <f ca="1">IFERROR(__xludf.DUMMYFUNCTION("""COMPUTED_VALUE"""),"MarketCap")</f>
        <v>MarketCap</v>
      </c>
      <c r="EM5" s="24" t="str">
        <f ca="1">IFERROR(__xludf.DUMMYFUNCTION("""COMPUTED_VALUE"""),"UnitCostBase")</f>
        <v>UnitCostBase</v>
      </c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5"/>
      <c r="D6" s="7"/>
      <c r="E6" s="25"/>
      <c r="F6" s="5"/>
      <c r="G6" s="5"/>
      <c r="H6" s="5"/>
      <c r="I6" s="7">
        <v>10</v>
      </c>
      <c r="J6" s="5"/>
      <c r="K6" s="5"/>
      <c r="L6" s="5"/>
      <c r="M6" s="5"/>
      <c r="N6" s="5"/>
      <c r="O6" s="5"/>
      <c r="U6" s="6" t="s">
        <v>26</v>
      </c>
      <c r="AQ6" s="6">
        <v>100</v>
      </c>
      <c r="CG6" s="6">
        <v>100</v>
      </c>
      <c r="DH6" s="27" t="s">
        <v>24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IFERROR(__xludf.DUMMYFUNCTION("""COMPUTED_VALUE"""),"AccountValue")</f>
        <v>AccountValue</v>
      </c>
      <c r="D5" s="22" t="str">
        <f ca="1">IFERROR(__xludf.DUMMYFUNCTION("""COMPUTED_VALUE"""),"AccruedInterest")</f>
        <v>AccruedInterest</v>
      </c>
      <c r="E5" s="22" t="str">
        <f ca="1">IFERROR(__xludf.DUMMYFUNCTION("""COMPUTED_VALUE"""),"Asset")</f>
        <v>Asset</v>
      </c>
      <c r="F5" s="23" t="str">
        <f ca="1">IFERROR(__xludf.DUMMYFUNCTION("""COMPUTED_VALUE"""),"AUEC Fee1")</f>
        <v>AUEC Fee1</v>
      </c>
      <c r="G5" s="22" t="str">
        <f ca="1">IFERROR(__xludf.DUMMYFUNCTION("""COMPUTED_VALUE"""),"AUCE Fee2")</f>
        <v>AUCE Fee2</v>
      </c>
      <c r="H5" s="22" t="str">
        <f ca="1">IFERROR(__xludf.DUMMYFUNCTION("""COMPUTED_VALUE"""),"AUECID")</f>
        <v>AUECID</v>
      </c>
      <c r="I5" s="22" t="str">
        <f ca="1">IFERROR(__xludf.DUMMYFUNCTION("""COMPUTED_VALUE"""),"AUECLocalDateToday")</f>
        <v>AUECLocalDateToday</v>
      </c>
      <c r="J5" s="22" t="str">
        <f ca="1">IFERROR(__xludf.DUMMYFUNCTION("""COMPUTED_VALUE"""),"Average Price")</f>
        <v>Average Price</v>
      </c>
      <c r="K5" s="22" t="str">
        <f ca="1">IFERROR(__xludf.DUMMYFUNCTION("""COMPUTED_VALUE"""),"AvgPriceRealizedPL")</f>
        <v>AvgPriceRealizedPL</v>
      </c>
      <c r="L5" s="22" t="str">
        <f ca="1">IFERROR(__xludf.DUMMYFUNCTION("""COMPUTED_VALUE"""),"Broker")</f>
        <v>Broker</v>
      </c>
      <c r="M5" s="22" t="str">
        <f ca="1">IFERROR(__xludf.DUMMYFUNCTION("""COMPUTED_VALUE"""),"Clearing Broker Fee")</f>
        <v>Clearing Broker Fee</v>
      </c>
      <c r="N5" s="22" t="str">
        <f ca="1">IFERROR(__xludf.DUMMYFUNCTION("""COMPUTED_VALUE"""),"ClosedQty")</f>
        <v>ClosedQty</v>
      </c>
      <c r="O5" s="22" t="str">
        <f ca="1">IFERROR(__xludf.DUMMYFUNCTION("""COMPUTED_VALUE"""),"Commission")</f>
        <v>Commission</v>
      </c>
      <c r="P5" s="22" t="str">
        <f ca="1">IFERROR(__xludf.DUMMYFUNCTION("""COMPUTED_VALUE"""),"CostBasisRealizePNL")</f>
        <v>CostBasisRealizePNL</v>
      </c>
      <c r="Q5" s="22" t="str">
        <f ca="1">IFERROR(__xludf.DUMMYFUNCTION("""COMPUTED_VALUE"""),"Currency")</f>
        <v>Currency</v>
      </c>
      <c r="R5" s="22" t="str">
        <f ca="1">IFERROR(__xludf.DUMMYFUNCTION("""COMPUTED_VALUE"""),"Description")</f>
        <v>Description</v>
      </c>
      <c r="S5" s="22" t="str">
        <f ca="1">IFERROR(__xludf.DUMMYFUNCTION("""COMPUTED_VALUE"""),"EndDate")</f>
        <v>EndDate</v>
      </c>
      <c r="T5" s="24" t="str">
        <f ca="1">IFERROR(__xludf.DUMMYFUNCTION("""COMPUTED_VALUE"""),"ExchangeID")</f>
        <v>ExchangeID</v>
      </c>
      <c r="U5" s="24" t="str">
        <f ca="1">IFERROR(__xludf.DUMMYFUNCTION("""COMPUTED_VALUE"""),"Expiration Date")</f>
        <v>Expiration Date</v>
      </c>
      <c r="V5" s="24" t="str">
        <f ca="1">IFERROR(__xludf.DUMMYFUNCTION("""COMPUTED_VALUE"""),"ExpiredQty")</f>
        <v>ExpiredQty</v>
      </c>
      <c r="W5" s="24" t="str">
        <f ca="1">IFERROR(__xludf.DUMMYFUNCTION("""COMPUTED_VALUE"""),"ExpiredTaxlotID")</f>
        <v>ExpiredTaxlotID</v>
      </c>
      <c r="X5" s="24" t="str">
        <f ca="1">IFERROR(__xludf.DUMMYFUNCTION("""COMPUTED_VALUE"""),"FXRate")</f>
        <v>FXRate</v>
      </c>
      <c r="Y5" s="24" t="str">
        <f ca="1">IFERROR(__xludf.DUMMYFUNCTION("""COMPUTED_VALUE"""),"FXRateoperator")</f>
        <v>FXRateoperator</v>
      </c>
      <c r="Z5" s="24" t="str">
        <f ca="1">IFERROR(__xludf.DUMMYFUNCTION("""COMPUTED_VALUE"""),"ID")</f>
        <v>ID</v>
      </c>
      <c r="AA5" s="24" t="str">
        <f ca="1">IFERROR(__xludf.DUMMYFUNCTION("""COMPUTED_VALUE"""),"If Pay/Recevie Changes")</f>
        <v>If Pay/Recevie Changes</v>
      </c>
      <c r="AB5" s="24" t="str">
        <f ca="1">IFERROR(__xludf.DUMMYFUNCTION("""COMPUTED_VALUE"""),"IntPositionType")</f>
        <v>IntPositionType</v>
      </c>
      <c r="AC5" s="24" t="str">
        <f ca="1">IFERROR(__xludf.DUMMYFUNCTION("""COMPUTED_VALUE"""),"LeadCurrencyID")</f>
        <v>LeadCurrencyID</v>
      </c>
      <c r="AD5" s="24" t="str">
        <f ca="1">IFERROR(__xludf.DUMMYFUNCTION("""COMPUTED_VALUE"""),"Leveraged Factor")</f>
        <v>Leveraged Factor</v>
      </c>
      <c r="AE5" s="24" t="str">
        <f ca="1">IFERROR(__xludf.DUMMYFUNCTION("""COMPUTED_VALUE"""),"MarkPriceForMonth")</f>
        <v>MarkPriceForMonth</v>
      </c>
      <c r="AF5" s="24" t="str">
        <f ca="1">IFERROR(__xludf.DUMMYFUNCTION("""COMPUTED_VALUE"""),"MonthToDateRealizedProfit")</f>
        <v>MonthToDateRealizedProfit</v>
      </c>
      <c r="AG5" s="24" t="str">
        <f ca="1">IFERROR(__xludf.DUMMYFUNCTION("""COMPUTED_VALUE"""),"Multiplier")</f>
        <v>Multiplier</v>
      </c>
      <c r="AH5" s="24" t="str">
        <f ca="1">IFERROR(__xludf.DUMMYFUNCTION("""COMPUTED_VALUE"""),"NotionalValue")</f>
        <v>NotionalValue</v>
      </c>
      <c r="AI5" s="24" t="str">
        <f ca="1">IFERROR(__xludf.DUMMYFUNCTION("""COMPUTED_VALUE"""),"OCC Fee")</f>
        <v>OCC Fee</v>
      </c>
      <c r="AJ5" s="24" t="str">
        <f ca="1">IFERROR(__xludf.DUMMYFUNCTION("""COMPUTED_VALUE"""),"OpenQty")</f>
        <v>OpenQty</v>
      </c>
      <c r="AK5" s="24" t="str">
        <f ca="1">IFERROR(__xludf.DUMMYFUNCTION("""COMPUTED_VALUE"""),"Option Activated")</f>
        <v>Option Activated</v>
      </c>
      <c r="AL5" s="24" t="str">
        <f ca="1">IFERROR(__xludf.DUMMYFUNCTION("""COMPUTED_VALUE"""),"Option Type")</f>
        <v>Option Type</v>
      </c>
      <c r="AM5" s="24" t="str">
        <f ca="1">IFERROR(__xludf.DUMMYFUNCTION("""COMPUTED_VALUE"""),"OptionPremiumAdjustment")</f>
        <v>OptionPremiumAdjustment</v>
      </c>
      <c r="AN5" s="24" t="str">
        <f ca="1">IFERROR(__xludf.DUMMYFUNCTION("""COMPUTED_VALUE"""),"ORF Fee")</f>
        <v>ORF Fee</v>
      </c>
      <c r="AO5" s="24" t="str">
        <f ca="1">IFERROR(__xludf.DUMMYFUNCTION("""COMPUTED_VALUE"""),"Original Side")</f>
        <v>Original Side</v>
      </c>
      <c r="AP5" s="24" t="str">
        <f ca="1">IFERROR(__xludf.DUMMYFUNCTION("""COMPUTED_VALUE"""),"OriginalPurchaseDate")</f>
        <v>OriginalPurchaseDate</v>
      </c>
      <c r="AQ5" s="24" t="str">
        <f ca="1">IFERROR(__xludf.DUMMYFUNCTION("""COMPUTED_VALUE"""),"Other Broker Fees")</f>
        <v>Other Broker Fees</v>
      </c>
      <c r="AR5" s="24" t="str">
        <f ca="1">IFERROR(__xludf.DUMMYFUNCTION("""COMPUTED_VALUE"""),"ParentTradeDate")</f>
        <v>ParentTradeDate</v>
      </c>
      <c r="AS5" s="24" t="str">
        <f ca="1">IFERROR(__xludf.DUMMYFUNCTION("""COMPUTED_VALUE"""),"Pay/Recive")</f>
        <v>Pay/Recive</v>
      </c>
      <c r="AT5" s="24" t="str">
        <f ca="1">IFERROR(__xludf.DUMMYFUNCTION("""COMPUTED_VALUE"""),"PositionType")</f>
        <v>PositionType</v>
      </c>
      <c r="AU5" s="24" t="str">
        <f ca="1">IFERROR(__xludf.DUMMYFUNCTION("""COMPUTED_VALUE"""),"ProcessDate")</f>
        <v>ProcessDate</v>
      </c>
      <c r="AV5" s="24" t="str">
        <f ca="1">IFERROR(__xludf.DUMMYFUNCTION("""COMPUTED_VALUE"""),"QtyCurrency")</f>
        <v>QtyCurrency</v>
      </c>
      <c r="AW5" s="24" t="str">
        <f ca="1">IFERROR(__xludf.DUMMYFUNCTION("""COMPUTED_VALUE"""),"Quantity")</f>
        <v>Quantity</v>
      </c>
      <c r="AX5" s="24" t="str">
        <f ca="1">IFERROR(__xludf.DUMMYFUNCTION("""COMPUTED_VALUE"""),"RecordType")</f>
        <v>RecordType</v>
      </c>
      <c r="AY5" s="24" t="str">
        <f ca="1">IFERROR(__xludf.DUMMYFUNCTION("""COMPUTED_VALUE"""),"SEC Fee")</f>
        <v>SEC Fee</v>
      </c>
      <c r="AZ5" s="24" t="str">
        <f ca="1">IFERROR(__xludf.DUMMYFUNCTION("""COMPUTED_VALUE"""),"Settlement Currency")</f>
        <v>Settlement Currency</v>
      </c>
      <c r="BA5" s="24" t="str">
        <f ca="1">IFERROR(__xludf.DUMMYFUNCTION("""COMPUTED_VALUE"""),"Settlement Date")</f>
        <v>Settlement Date</v>
      </c>
      <c r="BB5" s="24" t="str">
        <f ca="1">IFERROR(__xludf.DUMMYFUNCTION("""COMPUTED_VALUE"""),"Settlement FxRate")</f>
        <v>Settlement FxRate</v>
      </c>
      <c r="BC5" s="24" t="str">
        <f ca="1">IFERROR(__xludf.DUMMYFUNCTION("""COMPUTED_VALUE"""),"Settlement FxRate Operator")</f>
        <v>Settlement FxRate Operator</v>
      </c>
      <c r="BD5" s="24" t="str">
        <f ca="1">IFERROR(__xludf.DUMMYFUNCTION("""COMPUTED_VALUE"""),"Settlement Price")</f>
        <v>Settlement Price</v>
      </c>
      <c r="BE5" s="24" t="str">
        <f ca="1">IFERROR(__xludf.DUMMYFUNCTION("""COMPUTED_VALUE"""),"Side")</f>
        <v>Side</v>
      </c>
      <c r="BF5" s="24" t="str">
        <f ca="1">IFERROR(__xludf.DUMMYFUNCTION("""COMPUTED_VALUE"""),"Soft Commission")</f>
        <v>Soft Commission</v>
      </c>
      <c r="BG5" s="24" t="str">
        <f ca="1">IFERROR(__xludf.DUMMYFUNCTION("""COMPUTED_VALUE"""),"Stamp Duty")</f>
        <v>Stamp Duty</v>
      </c>
      <c r="BH5" s="24" t="str">
        <f ca="1">IFERROR(__xludf.DUMMYFUNCTION("""COMPUTED_VALUE"""),"StartTaxlotID")</f>
        <v>StartTaxlotID</v>
      </c>
      <c r="BI5" s="24" t="str">
        <f ca="1">IFERROR(__xludf.DUMMYFUNCTION("""COMPUTED_VALUE"""),"Status")</f>
        <v>Status</v>
      </c>
      <c r="BJ5" s="24" t="str">
        <f ca="1">IFERROR(__xludf.DUMMYFUNCTION("""COMPUTED_VALUE"""),"Strategy")</f>
        <v>Strategy</v>
      </c>
      <c r="BK5" s="24" t="str">
        <f ca="1">IFERROR(__xludf.DUMMYFUNCTION("""COMPUTED_VALUE"""),"Strike Price")</f>
        <v>Strike Price</v>
      </c>
      <c r="BL5" s="24" t="str">
        <f ca="1">IFERROR(__xludf.DUMMYFUNCTION("""COMPUTED_VALUE"""),"Symbol")</f>
        <v>Symbol</v>
      </c>
      <c r="BM5" s="24" t="str">
        <f ca="1">IFERROR(__xludf.DUMMYFUNCTION("""COMPUTED_VALUE"""),"SymbolAveragePrice")</f>
        <v>SymbolAveragePrice</v>
      </c>
      <c r="BN5" s="24" t="str">
        <f ca="1">IFERROR(__xludf.DUMMYFUNCTION("""COMPUTED_VALUE"""),"Tax On Commissions")</f>
        <v>Tax On Commissions</v>
      </c>
      <c r="BO5" s="24" t="str">
        <f ca="1">IFERROR(__xludf.DUMMYFUNCTION("""COMPUTED_VALUE"""),"TaxLotClosingId")</f>
        <v>TaxLotClosingId</v>
      </c>
      <c r="BP5" s="24" t="str">
        <f ca="1">IFERROR(__xludf.DUMMYFUNCTION("""COMPUTED_VALUE"""),"Trade Date")</f>
        <v>Trade Date</v>
      </c>
      <c r="BQ5" s="24" t="str">
        <f ca="1">IFERROR(__xludf.DUMMYFUNCTION("""COMPUTED_VALUE"""),"Transaction Levy")</f>
        <v>Transaction Levy</v>
      </c>
      <c r="BR5" s="24" t="str">
        <f ca="1">IFERROR(__xludf.DUMMYFUNCTION("""COMPUTED_VALUE"""),"Transaction Type")</f>
        <v>Transaction Type</v>
      </c>
      <c r="BS5" s="24" t="str">
        <f ca="1">IFERROR(__xludf.DUMMYFUNCTION("""COMPUTED_VALUE"""),"TransactionSource")</f>
        <v>TransactionSource</v>
      </c>
      <c r="BT5" s="24" t="str">
        <f ca="1">IFERROR(__xludf.DUMMYFUNCTION("""COMPUTED_VALUE"""),"Underlying Symbol")</f>
        <v>Underlying Symbol</v>
      </c>
      <c r="BU5" s="24" t="str">
        <f ca="1">IFERROR(__xludf.DUMMYFUNCTION("""COMPUTED_VALUE"""),"UnderlyingID")</f>
        <v>UnderlyingID</v>
      </c>
      <c r="BV5" s="24" t="str">
        <f ca="1">IFERROR(__xludf.DUMMYFUNCTION("""COMPUTED_VALUE"""),"Venue")</f>
        <v>Venue</v>
      </c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5"/>
      <c r="D6" s="7"/>
      <c r="E6" s="7" t="s">
        <v>28</v>
      </c>
      <c r="F6" s="5"/>
      <c r="G6" s="5"/>
      <c r="H6" s="5"/>
      <c r="I6" s="5"/>
      <c r="J6" s="7">
        <v>10</v>
      </c>
      <c r="K6" s="5"/>
      <c r="L6" s="5"/>
      <c r="M6" s="5"/>
      <c r="N6" s="5"/>
      <c r="O6" s="5"/>
      <c r="AO6" s="6" t="s">
        <v>29</v>
      </c>
      <c r="AT6" s="6" t="s">
        <v>30</v>
      </c>
      <c r="BJ6" s="6" t="s">
        <v>31</v>
      </c>
      <c r="BL6" s="6" t="s">
        <v>32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23" width="14.42578125" customWidth="1"/>
    <col min="24" max="24" width="25.5703125" customWidth="1"/>
    <col min="25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19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IFERROR(__xludf.DUMMYFUNCTION("""COMPUTED_VALUE"""),"checkBox")</f>
        <v>checkBox</v>
      </c>
      <c r="E5" s="22" t="str">
        <f ca="1">IFERROR(__xludf.DUMMYFUNCTION("""COMPUTED_VALUE"""),"Close Date")</f>
        <v>Close Date</v>
      </c>
      <c r="F5" s="23" t="str">
        <f ca="1">IFERROR(__xludf.DUMMYFUNCTION("""COMPUTED_VALUE"""),"ClosedAveragePrice")</f>
        <v>ClosedAveragePrice</v>
      </c>
      <c r="G5" s="22" t="str">
        <f ca="1">IFERROR(__xludf.DUMMYFUNCTION("""COMPUTED_VALUE"""),"ClosedQty")</f>
        <v>ClosedQty</v>
      </c>
      <c r="H5" s="22" t="str">
        <f ca="1">IFERROR(__xludf.DUMMYFUNCTION("""COMPUTED_VALUE"""),"Closing Method")</f>
        <v>Closing Method</v>
      </c>
      <c r="I5" s="22" t="str">
        <f ca="1">IFERROR(__xludf.DUMMYFUNCTION("""COMPUTED_VALUE"""),"ClosingID")</f>
        <v>ClosingID</v>
      </c>
      <c r="J5" s="22" t="str">
        <f ca="1">IFERROR(__xludf.DUMMYFUNCTION("""COMPUTED_VALUE"""),"ClosingMode")</f>
        <v>ClosingMode</v>
      </c>
      <c r="K5" s="22" t="str">
        <f ca="1">IFERROR(__xludf.DUMMYFUNCTION("""COMPUTED_VALUE"""),"ClosingPositionTag")</f>
        <v>ClosingPositionTag</v>
      </c>
      <c r="L5" s="22" t="str">
        <f ca="1">IFERROR(__xludf.DUMMYFUNCTION("""COMPUTED_VALUE"""),"ClosingSide")</f>
        <v>ClosingSide</v>
      </c>
      <c r="M5" s="22" t="str">
        <f ca="1">IFERROR(__xludf.DUMMYFUNCTION("""COMPUTED_VALUE"""),"ClosingTotalCommissionandFees")</f>
        <v>ClosingTotalCommissionandFees</v>
      </c>
      <c r="N5" s="22" t="str">
        <f ca="1">IFERROR(__xludf.DUMMYFUNCTION("""COMPUTED_VALUE"""),"Column1")</f>
        <v>Column1</v>
      </c>
      <c r="O5" s="22" t="str">
        <f ca="1">IFERROR(__xludf.DUMMYFUNCTION("""COMPUTED_VALUE"""),"CostBasisGrossPNL")</f>
        <v>CostBasisGrossPNL</v>
      </c>
      <c r="P5" s="22" t="str">
        <f ca="1">IFERROR(__xludf.DUMMYFUNCTION("""COMPUTED_VALUE"""),"Currency")</f>
        <v>Currency</v>
      </c>
      <c r="Q5" s="22" t="str">
        <f ca="1">IFERROR(__xludf.DUMMYFUNCTION("""COMPUTED_VALUE"""),"CurrencyID")</f>
        <v>CurrencyID</v>
      </c>
      <c r="R5" s="22" t="str">
        <f ca="1">IFERROR(__xludf.DUMMYFUNCTION("""COMPUTED_VALUE"""),"Exchange")</f>
        <v>Exchange</v>
      </c>
      <c r="S5" s="22" t="str">
        <f ca="1">IFERROR(__xludf.DUMMYFUNCTION("""COMPUTED_VALUE"""),"NotionalChange")</f>
        <v>NotionalChange</v>
      </c>
      <c r="T5" s="24" t="str">
        <f ca="1">IFERROR(__xludf.DUMMYFUNCTION("""COMPUTED_VALUE"""),"OpenAveragePrice")</f>
        <v>OpenAveragePrice</v>
      </c>
      <c r="U5" s="24" t="str">
        <f ca="1">IFERROR(__xludf.DUMMYFUNCTION("""COMPUTED_VALUE"""),"Original Purchase Date")</f>
        <v>Original Purchase Date</v>
      </c>
      <c r="V5" s="24" t="str">
        <f ca="1">IFERROR(__xludf.DUMMYFUNCTION("""COMPUTED_VALUE"""),"Position Type")</f>
        <v>Position Type</v>
      </c>
      <c r="W5" s="24" t="str">
        <f ca="1">IFERROR(__xludf.DUMMYFUNCTION("""COMPUTED_VALUE"""),"PositionSide")</f>
        <v>PositionSide</v>
      </c>
      <c r="X5" s="24" t="str">
        <f ca="1">IFERROR(__xludf.DUMMYFUNCTION("""COMPUTED_VALUE"""),"PositionTotalCommissionandFees")</f>
        <v>PositionTotalCommissionandFees</v>
      </c>
      <c r="Y5" s="24" t="str">
        <f ca="1">IFERROR(__xludf.DUMMYFUNCTION("""COMPUTED_VALUE"""),"Realized PNL(C.B.)")</f>
        <v>Realized PNL(C.B.)</v>
      </c>
      <c r="Z5" s="24" t="str">
        <f ca="1">IFERROR(__xludf.DUMMYFUNCTION("""COMPUTED_VALUE"""),"Side")</f>
        <v>Side</v>
      </c>
      <c r="AA5" s="24" t="str">
        <f ca="1">IFERROR(__xludf.DUMMYFUNCTION("""COMPUTED_VALUE"""),"Strategy")</f>
        <v>Strategy</v>
      </c>
      <c r="AB5" s="24" t="str">
        <f ca="1">IFERROR(__xludf.DUMMYFUNCTION("""COMPUTED_VALUE"""),"Symbol")</f>
        <v>Symbol</v>
      </c>
      <c r="AC5" s="24" t="str">
        <f ca="1">IFERROR(__xludf.DUMMYFUNCTION("""COMPUTED_VALUE"""),"Taxlot ID")</f>
        <v>Taxlot ID</v>
      </c>
      <c r="AD5" s="24" t="str">
        <f ca="1">IFERROR(__xludf.DUMMYFUNCTION("""COMPUTED_VALUE"""),"UnderlyingName")</f>
        <v>UnderlyingName</v>
      </c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5"/>
      <c r="F6" s="5"/>
      <c r="G6" s="7">
        <v>100</v>
      </c>
      <c r="H6" s="5"/>
      <c r="I6" s="5"/>
      <c r="J6" s="5"/>
      <c r="K6" s="5"/>
      <c r="L6" s="7"/>
      <c r="M6" s="5"/>
      <c r="N6" s="5"/>
      <c r="O6" s="5"/>
      <c r="T6" s="6">
        <v>10</v>
      </c>
      <c r="W6" s="6" t="s">
        <v>30</v>
      </c>
      <c r="Z6" s="6" t="s">
        <v>17</v>
      </c>
      <c r="AB6" s="27" t="s">
        <v>24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34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21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34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8" t="s">
        <v>18</v>
      </c>
      <c r="C6" s="5"/>
      <c r="D6" s="7"/>
      <c r="E6" s="29">
        <v>100</v>
      </c>
      <c r="F6" s="5"/>
      <c r="G6" s="5"/>
      <c r="H6" s="5"/>
      <c r="I6" s="5"/>
      <c r="J6" s="5"/>
      <c r="K6" s="29">
        <v>10</v>
      </c>
      <c r="L6" s="29">
        <v>10</v>
      </c>
      <c r="M6" s="5"/>
      <c r="N6" s="5"/>
      <c r="O6" s="5"/>
      <c r="S6" s="28" t="s">
        <v>37</v>
      </c>
      <c r="BJ6" s="29">
        <v>100</v>
      </c>
      <c r="BO6" s="28" t="s">
        <v>17</v>
      </c>
      <c r="BT6" s="28" t="s">
        <v>24</v>
      </c>
      <c r="CI6" s="28" t="s">
        <v>38</v>
      </c>
    </row>
    <row r="7" spans="1:154" ht="15.75" customHeight="1" x14ac:dyDescent="0.2">
      <c r="A7" s="5"/>
      <c r="B7" s="28" t="s">
        <v>18</v>
      </c>
      <c r="C7" s="5"/>
      <c r="D7" s="5"/>
      <c r="E7" s="29">
        <v>100</v>
      </c>
      <c r="F7" s="5"/>
      <c r="G7" s="5"/>
      <c r="H7" s="5"/>
      <c r="I7" s="5"/>
      <c r="J7" s="5"/>
      <c r="K7" s="29">
        <v>0</v>
      </c>
      <c r="L7" s="29">
        <v>0</v>
      </c>
      <c r="M7" s="5"/>
      <c r="N7" s="5"/>
      <c r="O7" s="5"/>
      <c r="S7" s="28" t="s">
        <v>37</v>
      </c>
      <c r="BJ7" s="29">
        <v>100</v>
      </c>
      <c r="BO7" s="28" t="s">
        <v>39</v>
      </c>
      <c r="BT7" s="28" t="s">
        <v>24</v>
      </c>
      <c r="CI7" s="28" t="s">
        <v>40</v>
      </c>
    </row>
    <row r="8" spans="1:154" ht="15.75" customHeight="1" x14ac:dyDescent="0.2">
      <c r="A8" s="5"/>
      <c r="B8" s="28" t="s">
        <v>18</v>
      </c>
      <c r="C8" s="5"/>
      <c r="D8" s="5"/>
      <c r="E8" s="30">
        <v>10000</v>
      </c>
      <c r="F8" s="5"/>
      <c r="G8" s="5"/>
      <c r="H8" s="5"/>
      <c r="I8" s="5"/>
      <c r="J8" s="5"/>
      <c r="K8" s="29">
        <v>10</v>
      </c>
      <c r="L8" s="29">
        <v>10</v>
      </c>
      <c r="M8" s="5"/>
      <c r="N8" s="5"/>
      <c r="O8" s="5"/>
      <c r="S8" s="28" t="s">
        <v>26</v>
      </c>
      <c r="BJ8" s="30">
        <v>10000</v>
      </c>
      <c r="BO8" s="28" t="s">
        <v>29</v>
      </c>
      <c r="BT8" s="28" t="s">
        <v>32</v>
      </c>
      <c r="CI8" s="28" t="s">
        <v>40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E1" workbookViewId="0">
      <selection activeCell="BM10" sqref="BM10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3"/>
      <c r="B1" s="34" t="s">
        <v>11</v>
      </c>
      <c r="C1" s="35"/>
      <c r="D1" s="35"/>
      <c r="E1" s="35"/>
      <c r="F1" s="35"/>
      <c r="G1" s="35"/>
      <c r="H1" s="3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 x14ac:dyDescent="0.2">
      <c r="A6" s="7"/>
      <c r="B6" s="7"/>
      <c r="C6" s="31" t="s">
        <v>24</v>
      </c>
      <c r="D6" s="32">
        <v>100</v>
      </c>
      <c r="E6" s="31" t="s">
        <v>18</v>
      </c>
      <c r="F6" s="5"/>
      <c r="G6" s="32">
        <v>10</v>
      </c>
      <c r="H6" s="31" t="s">
        <v>30</v>
      </c>
      <c r="I6" s="5"/>
      <c r="J6" s="5"/>
      <c r="K6" s="5"/>
      <c r="L6" s="5"/>
      <c r="M6" s="5"/>
      <c r="N6" s="5"/>
      <c r="O6" s="5"/>
      <c r="S6" s="31" t="s">
        <v>43</v>
      </c>
      <c r="T6" s="31" t="s">
        <v>23</v>
      </c>
      <c r="AN6" s="31" t="s">
        <v>17</v>
      </c>
    </row>
    <row r="7" spans="1:167" ht="15.75" customHeight="1" x14ac:dyDescent="0.2">
      <c r="A7" s="5"/>
      <c r="B7" s="5"/>
      <c r="C7" s="31" t="s">
        <v>24</v>
      </c>
      <c r="D7" s="32">
        <v>-100</v>
      </c>
      <c r="E7" s="31" t="s">
        <v>18</v>
      </c>
      <c r="F7" s="5"/>
      <c r="G7" s="32">
        <v>0</v>
      </c>
      <c r="H7" s="31" t="s">
        <v>30</v>
      </c>
      <c r="I7" s="5"/>
      <c r="J7" s="5"/>
      <c r="K7" s="5"/>
      <c r="L7" s="5"/>
      <c r="M7" s="5"/>
      <c r="N7" s="5"/>
      <c r="O7" s="5"/>
      <c r="S7" s="31" t="s">
        <v>43</v>
      </c>
      <c r="T7" s="31" t="s">
        <v>23</v>
      </c>
      <c r="AN7" s="31" t="s">
        <v>39</v>
      </c>
    </row>
    <row r="8" spans="1:167" ht="15.75" customHeight="1" x14ac:dyDescent="0.2">
      <c r="A8" s="5"/>
      <c r="B8" s="5"/>
      <c r="C8" s="31" t="s">
        <v>32</v>
      </c>
      <c r="D8" s="33">
        <v>10000</v>
      </c>
      <c r="E8" s="31" t="s">
        <v>18</v>
      </c>
      <c r="F8" s="5"/>
      <c r="G8" s="32">
        <v>10</v>
      </c>
      <c r="H8" s="31" t="s">
        <v>30</v>
      </c>
      <c r="I8" s="5"/>
      <c r="J8" s="5"/>
      <c r="K8" s="5"/>
      <c r="L8" s="5"/>
      <c r="M8" s="5"/>
      <c r="N8" s="5"/>
      <c r="O8" s="5"/>
      <c r="S8" s="31" t="s">
        <v>31</v>
      </c>
      <c r="T8" s="31" t="s">
        <v>28</v>
      </c>
      <c r="AN8" s="31" t="s">
        <v>29</v>
      </c>
    </row>
    <row r="9" spans="1:167" ht="15.75" customHeight="1" x14ac:dyDescent="0.2">
      <c r="A9" s="5"/>
      <c r="B9" s="5"/>
      <c r="C9" s="31"/>
      <c r="D9" s="32"/>
      <c r="E9" s="31"/>
      <c r="F9" s="5"/>
      <c r="G9" s="5"/>
      <c r="H9" s="31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31"/>
      <c r="D10" s="33"/>
      <c r="E10" s="31"/>
      <c r="F10" s="5"/>
      <c r="G10" s="5"/>
      <c r="H10" s="31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_Modules</vt:lpstr>
      <vt:lpstr>_Settings</vt:lpstr>
      <vt:lpstr>_MasterData</vt:lpstr>
      <vt:lpstr>CreateDoneAwayOrder</vt:lpstr>
      <vt:lpstr>GetDataClosing1</vt:lpstr>
      <vt:lpstr>VerifyLongPositionsGrid</vt:lpstr>
      <vt:lpstr>SelectTradeUnexpiredUnsettled</vt:lpstr>
      <vt:lpstr>ExerciseAssignment</vt:lpstr>
      <vt:lpstr>VerifyExpiredSettledGrid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2021-08-04T10:22:05Z</dcterms:modified>
</cp:coreProperties>
</file>