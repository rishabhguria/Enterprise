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ReloadOrderFromBlotter" sheetId="5" r:id="rId7"/>
    <sheet state="visible" name="CreateDoneAwayOrder1" sheetId="6" r:id="rId8"/>
    <sheet state="visible" name="SelectTradeOnOrderGrid" sheetId="7" r:id="rId9"/>
    <sheet state="visible" name="ReloadOrderFromSubOrder" sheetId="8" r:id="rId10"/>
  </sheets>
  <definedNames/>
  <calcPr/>
</workbook>
</file>

<file path=xl/sharedStrings.xml><?xml version="1.0" encoding="utf-8"?>
<sst xmlns="http://schemas.openxmlformats.org/spreadsheetml/2006/main" count="68" uniqueCount="27">
  <si>
    <t>Modules Info</t>
  </si>
  <si>
    <t>Modules</t>
  </si>
  <si>
    <t>Settings</t>
  </si>
  <si>
    <t>Module Step Setting File</t>
  </si>
  <si>
    <t>1FGxALDJcb5ehnsyvPsvvK2RmR5w5NvwxselvS8Rk8g0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</si>
  <si>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</si>
  <si>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</si>
  <si>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</si>
  <si>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</si>
  <si>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</si>
  <si>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</si>
  <si>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</si>
  <si>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</si>
  <si>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</si>
  <si>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</si>
  <si>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</si>
  <si>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IBM</t>
  </si>
  <si>
    <t>Buy</t>
  </si>
  <si>
    <t>Allocation1</t>
  </si>
  <si>
    <t>Blotter</t>
  </si>
  <si>
    <t>ReloadOrderFromBlotter</t>
  </si>
  <si>
    <t>M</t>
  </si>
  <si>
    <t>PartiallyFilled</t>
  </si>
  <si>
    <t>Market</t>
  </si>
  <si>
    <t>SelectTradeOnOrderGrid</t>
  </si>
  <si>
    <t>Filled</t>
  </si>
  <si>
    <t>ReloadOrderFromSubOrder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</si>
</sst>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  <font>
      <sz val="9.0"/>
      <color rgb="FFFF8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vertical="bottom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6" fontId="13" numFmtId="0" xfId="0" applyAlignment="1" applyBorder="1" applyFill="1" applyFont="1">
      <alignment horizontal="right" vertical="top"/>
    </xf>
    <xf borderId="7" fillId="6" fontId="13" numFmtId="0" xfId="0" applyAlignment="1" applyBorder="1" applyFont="1">
      <alignment horizontal="right" readingOrder="0" shrinkToFit="0" vertical="top" wrapText="0"/>
    </xf>
    <xf borderId="0" fillId="0" fontId="5" numFmtId="0" xfId="0" applyAlignment="1" applyFont="1">
      <alignment horizontal="right" vertical="bottom"/>
    </xf>
    <xf borderId="6" fillId="7" fontId="13" numFmtId="0" xfId="0" applyAlignment="1" applyBorder="1" applyFill="1" applyFont="1">
      <alignment horizontal="right" vertical="top"/>
    </xf>
    <xf borderId="6" fillId="7" fontId="13" numFmtId="0" xfId="0" applyAlignment="1" applyBorder="1" applyFont="1">
      <alignment horizontal="right" vertical="top"/>
    </xf>
    <xf borderId="6" fillId="7" fontId="14" numFmtId="0" xfId="0" applyAlignment="1" applyBorder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IFERROR(__xludf.DUMMYFUNCTION("""COMPUTED_VALUE"""),"FilterClosing")</f>
        <v>FilterClosing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 ")</f>
        <v>FilterClosing 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</row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17</v>
      </c>
      <c r="D6" s="32">
        <v>1000.0</v>
      </c>
      <c r="E6" s="32">
        <v>800.0</v>
      </c>
      <c r="F6" s="31" t="s">
        <v>18</v>
      </c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IFERROR(__xludf.DUMMYFUNCTION("""COMPUTED_VALUE"""),"AllocateFromBlotter")</f>
        <v>AllocateFromBlotter</v>
      </c>
      <c r="BK4" s="25" t="str">
        <f>IFERROR(__xludf.DUMMYFUNCTION("""COMPUTED_VALUE"""),"ViewPTTAllocationDetails")</f>
        <v>ViewPTTAllocationDetails</v>
      </c>
      <c r="BL4" s="25" t="str">
        <f>IFERROR(__xludf.DUMMYFUNCTION("""COMPUTED_VALUE"""),"MergeOrder")</f>
        <v>MergeOrder</v>
      </c>
      <c r="BM4" s="25" t="str">
        <f>IFERROR(__xludf.DUMMYFUNCTION("""COMPUTED_VALUE"""),"VerifyMergeOrder")</f>
        <v>VerifyMergeOrder</v>
      </c>
      <c r="BN4" s="25" t="str">
        <f>IFERROR(__xludf.DUMMYFUNCTION("""COMPUTED_VALUE"""),"AddTabOnWatchlist")</f>
        <v>AddTabOnWatchlist</v>
      </c>
      <c r="BO4" s="25" t="str">
        <f>IFERROR(__xludf.DUMMYFUNCTION("""COMPUTED_VALUE"""),"AddTab")</f>
        <v>AddTab</v>
      </c>
      <c r="BP4" s="25" t="str">
        <f>IFERROR(__xludf.DUMMYFUNCTION("""COMPUTED_VALUE"""),"AddTabBlotter")</f>
        <v>AddTabBlotter</v>
      </c>
      <c r="BQ4" s="25" t="str">
        <f>IFERROR(__xludf.DUMMYFUNCTION("""COMPUTED_VALUE"""),"VerifyLowerStripBlotterUI")</f>
        <v>VerifyLowerStripBlotterUI</v>
      </c>
      <c r="BR4" s="25" t="str">
        <f>IFERROR(__xludf.DUMMYFUNCTION("""COMPUTED_VALUE"""),"SaveOrRemoveInSummaryTab")</f>
        <v>SaveOrRemoveInSummaryTab</v>
      </c>
      <c r="BS4" s="25" t="str">
        <f>IFERROR(__xludf.DUMMYFUNCTION("""COMPUTED_VALUE"""),"SaveOrRemoveInWorkingSubsTab")</f>
        <v>SaveOrRemoveInWorkingSubsTab</v>
      </c>
      <c r="BT4" s="25" t="str">
        <f>IFERROR(__xludf.DUMMYFUNCTION("""COMPUTED_VALUE"""),"SelectCheckBoxOnOrderGrid")</f>
        <v>SelectCheckBoxOnOrderGrid</v>
      </c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4"/>
      <c r="AD6" s="35">
        <v>1.0</v>
      </c>
      <c r="AE6" s="34"/>
      <c r="AF6" s="35" t="s">
        <v>21</v>
      </c>
      <c r="AG6" s="31"/>
      <c r="AH6" s="34"/>
      <c r="AI6" s="35" t="s">
        <v>16</v>
      </c>
      <c r="AJ6" s="35" t="s">
        <v>17</v>
      </c>
      <c r="AK6" s="36" t="s">
        <v>22</v>
      </c>
      <c r="AL6" s="35">
        <v>1000.0</v>
      </c>
      <c r="AM6" s="36">
        <v>800.0</v>
      </c>
      <c r="AN6" s="35"/>
      <c r="AO6" s="31"/>
      <c r="AP6" s="34"/>
      <c r="AQ6" s="36">
        <v>10.0</v>
      </c>
      <c r="AR6" s="36">
        <v>10.0</v>
      </c>
      <c r="AS6" s="34"/>
      <c r="AT6" s="35" t="s">
        <v>18</v>
      </c>
      <c r="AU6" s="35" t="s">
        <v>23</v>
      </c>
      <c r="AV6" s="36">
        <v>8000.0</v>
      </c>
      <c r="AW6" s="36">
        <v>8000.0</v>
      </c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17</v>
      </c>
      <c r="D6" s="37">
        <v>1000.0</v>
      </c>
      <c r="E6" s="33">
        <v>1000.0</v>
      </c>
      <c r="F6" s="31" t="s">
        <v>18</v>
      </c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IFERROR(__xludf.DUMMYFUNCTION("""COMPUTED_VALUE"""),"AllocateFromBlotter")</f>
        <v>AllocateFromBlotter</v>
      </c>
      <c r="BK4" s="25" t="str">
        <f>IFERROR(__xludf.DUMMYFUNCTION("""COMPUTED_VALUE"""),"ViewPTTAllocationDetails")</f>
        <v>ViewPTTAllocationDetails</v>
      </c>
      <c r="BL4" s="25" t="str">
        <f>IFERROR(__xludf.DUMMYFUNCTION("""COMPUTED_VALUE"""),"MergeOrder")</f>
        <v>MergeOrder</v>
      </c>
      <c r="BM4" s="25" t="str">
        <f>IFERROR(__xludf.DUMMYFUNCTION("""COMPUTED_VALUE"""),"VerifyMergeOrder")</f>
        <v>VerifyMergeOrder</v>
      </c>
      <c r="BN4" s="25" t="str">
        <f>IFERROR(__xludf.DUMMYFUNCTION("""COMPUTED_VALUE"""),"AddTabOnWatchlist")</f>
        <v>AddTabOnWatchlist</v>
      </c>
      <c r="BO4" s="25" t="str">
        <f>IFERROR(__xludf.DUMMYFUNCTION("""COMPUTED_VALUE"""),"AddTab")</f>
        <v>AddTab</v>
      </c>
      <c r="BP4" s="25" t="str">
        <f>IFERROR(__xludf.DUMMYFUNCTION("""COMPUTED_VALUE"""),"AddTabBlotter")</f>
        <v>AddTabBlotter</v>
      </c>
      <c r="BQ4" s="25" t="str">
        <f>IFERROR(__xludf.DUMMYFUNCTION("""COMPUTED_VALUE"""),"VerifyLowerStripBlotterUI")</f>
        <v>VerifyLowerStripBlotterUI</v>
      </c>
      <c r="BR4" s="25" t="str">
        <f>IFERROR(__xludf.DUMMYFUNCTION("""COMPUTED_VALUE"""),"SaveOrRemoveInSummaryTab")</f>
        <v>SaveOrRemoveInSummaryTab</v>
      </c>
      <c r="BS4" s="25" t="str">
        <f>IFERROR(__xludf.DUMMYFUNCTION("""COMPUTED_VALUE"""),"SaveOrRemoveInWorkingSubsTab")</f>
        <v>SaveOrRemoveInWorkingSubsTab</v>
      </c>
      <c r="BT4" s="25" t="str">
        <f>IFERROR(__xludf.DUMMYFUNCTION("""COMPUTED_VALUE"""),"SelectCheckBoxOnOrderGrid")</f>
        <v>SelectCheckBoxOnOrderGrid</v>
      </c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/>
      <c r="D6" s="38" t="s">
        <v>16</v>
      </c>
      <c r="E6" s="34"/>
      <c r="F6" s="39" t="s">
        <v>17</v>
      </c>
      <c r="G6" s="40" t="s">
        <v>25</v>
      </c>
      <c r="H6" s="39">
        <v>1000.0</v>
      </c>
      <c r="I6" s="39">
        <v>1000.0</v>
      </c>
      <c r="J6" s="39"/>
      <c r="K6" s="31"/>
      <c r="L6" s="31"/>
      <c r="M6" s="34"/>
      <c r="N6" s="39">
        <v>10.0</v>
      </c>
      <c r="O6" s="34"/>
      <c r="P6" s="39">
        <v>10.0</v>
      </c>
      <c r="Q6" s="34"/>
      <c r="R6" s="39" t="s">
        <v>18</v>
      </c>
      <c r="S6" s="31"/>
      <c r="T6" s="34"/>
      <c r="U6" s="39">
        <v>10000.0</v>
      </c>
      <c r="V6" s="39">
        <v>10000.0</v>
      </c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4"/>
      <c r="AL6" s="39" t="s">
        <v>21</v>
      </c>
      <c r="AM6" s="31"/>
      <c r="AN6" s="31"/>
      <c r="AO6" s="34"/>
      <c r="AP6" s="39">
        <v>1.0</v>
      </c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IFERROR(__xludf.DUMMYFUNCTION("""COMPUTED_VALUE"""),"AllocateFromBlotter")</f>
        <v>AllocateFromBlotter</v>
      </c>
      <c r="BK4" s="25" t="str">
        <f>IFERROR(__xludf.DUMMYFUNCTION("""COMPUTED_VALUE"""),"ViewPTTAllocationDetails")</f>
        <v>ViewPTTAllocationDetails</v>
      </c>
      <c r="BL4" s="25" t="str">
        <f>IFERROR(__xludf.DUMMYFUNCTION("""COMPUTED_VALUE"""),"MergeOrder")</f>
        <v>MergeOrder</v>
      </c>
      <c r="BM4" s="25" t="str">
        <f>IFERROR(__xludf.DUMMYFUNCTION("""COMPUTED_VALUE"""),"VerifyMergeOrder")</f>
        <v>VerifyMergeOrder</v>
      </c>
      <c r="BN4" s="25" t="str">
        <f>IFERROR(__xludf.DUMMYFUNCTION("""COMPUTED_VALUE"""),"AddTabOnWatchlist")</f>
        <v>AddTabOnWatchlist</v>
      </c>
      <c r="BO4" s="25" t="str">
        <f>IFERROR(__xludf.DUMMYFUNCTION("""COMPUTED_VALUE"""),"AddTab")</f>
        <v>AddTab</v>
      </c>
      <c r="BP4" s="25" t="str">
        <f>IFERROR(__xludf.DUMMYFUNCTION("""COMPUTED_VALUE"""),"AddTabBlotter")</f>
        <v>AddTabBlotter</v>
      </c>
      <c r="BQ4" s="25" t="str">
        <f>IFERROR(__xludf.DUMMYFUNCTION("""COMPUTED_VALUE"""),"VerifyLowerStripBlotterUI")</f>
        <v>VerifyLowerStripBlotterUI</v>
      </c>
      <c r="BR4" s="25" t="str">
        <f>IFERROR(__xludf.DUMMYFUNCTION("""COMPUTED_VALUE"""),"SaveOrRemoveInSummaryTab")</f>
        <v>SaveOrRemoveInSummaryTab</v>
      </c>
      <c r="BS4" s="25" t="str">
        <f>IFERROR(__xludf.DUMMYFUNCTION("""COMPUTED_VALUE"""),"SaveOrRemoveInWorkingSubsTab")</f>
        <v>SaveOrRemoveInWorkingSubsTab</v>
      </c>
      <c r="BT4" s="25" t="str">
        <f>IFERROR(__xludf.DUMMYFUNCTION("""COMPUTED_VALUE"""),"SelectCheckBoxOnOrderGrid")</f>
        <v>SelectCheckBoxOnOrderGrid</v>
      </c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Name")</f>
        <v>Allocation Scheme Name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IFERROR(__xludf.DUMMYFUNCTION("""COMPUTED_VALUE"""),"Source")</f>
        <v>Source</v>
      </c>
      <c r="AW5" s="29" t="str">
        <f>IFERROR(__xludf.DUMMYFUNCTION("""COMPUTED_VALUE"""),"Strategy")</f>
        <v>Strategy</v>
      </c>
      <c r="AX5" s="29" t="str">
        <f>IFERROR(__xludf.DUMMYFUNCTION("""COMPUTED_VALUE"""),"Unexecuted Qty")</f>
        <v>Unexecuted Qty</v>
      </c>
      <c r="AY5" s="29" t="str">
        <f>IFERROR(__xludf.DUMMYFUNCTION("""COMPUTED_VALUE"""),"Allocation Status")</f>
        <v>Allocation Status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/>
      <c r="D6" s="38" t="s">
        <v>16</v>
      </c>
      <c r="E6" s="34"/>
      <c r="F6" s="39" t="s">
        <v>17</v>
      </c>
      <c r="G6" s="39" t="s">
        <v>25</v>
      </c>
      <c r="H6" s="39">
        <v>1000.0</v>
      </c>
      <c r="I6" s="39">
        <v>1000.0</v>
      </c>
      <c r="J6" s="39"/>
      <c r="K6" s="39">
        <v>10.0</v>
      </c>
      <c r="L6" s="34"/>
      <c r="M6" s="39">
        <v>10.0</v>
      </c>
      <c r="N6" s="34"/>
      <c r="O6" s="39" t="s">
        <v>18</v>
      </c>
      <c r="P6" s="31"/>
      <c r="Q6" s="34"/>
      <c r="R6" s="39">
        <v>10000.0</v>
      </c>
      <c r="S6" s="39">
        <v>10000.0</v>
      </c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4"/>
      <c r="AH6" s="39" t="s">
        <v>21</v>
      </c>
      <c r="AI6" s="31"/>
      <c r="AJ6" s="31"/>
      <c r="AK6" s="34"/>
      <c r="AL6" s="39">
        <v>1.0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