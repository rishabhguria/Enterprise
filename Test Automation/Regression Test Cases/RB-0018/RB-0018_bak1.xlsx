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<sst xmlns="http://schemas.openxmlformats.org/spreadsheetml/2006/main" count="108" uniqueCount="40">
  <si>
    <t>Settings</t>
  </si>
  <si>
    <t>Master Data Info</t>
  </si>
  <si>
    <t>Modules Info</t>
  </si>
  <si>
    <t>Module Step Setting File</t>
  </si>
  <si>
    <t>Modules</t>
  </si>
  <si>
    <t>Module</t>
  </si>
  <si>
    <t>Step</t>
  </si>
  <si>
    <t>Master Data Sheet</t>
  </si>
  <si>
    <t>1BICZ_GcMhh_S937ZinFvSYqvvKYtOYB2Bc4woEPpgPg</t>
  </si>
  <si>
    <t>Master Data Settings File</t>
  </si>
  <si>
    <t>1hEhI9rg16D4Xvfk19pDaFUFF78jjfIG29BBaNg8kT0A</t>
  </si>
  <si>
    <t>Data</t>
  </si>
  <si>
    <t>DailyValuation</t>
  </si>
  <si>
    <t>GetDailyCash</t>
  </si>
  <si>
    <t>Data Format</t>
  </si>
  <si>
    <t>UpdateDailyCash</t>
  </si>
  <si>
    <t>Input Format</t>
  </si>
  <si>
    <t>Allocation1</t>
  </si>
  <si>
    <t>USD</t>
  </si>
  <si>
    <t>Allocation3</t>
  </si>
  <si>
    <t>TradingTicket</t>
  </si>
  <si>
    <t>PricingInput</t>
  </si>
  <si>
    <t>CreateDoneAwayOrder</t>
  </si>
  <si>
    <t>AAPL</t>
  </si>
  <si>
    <t>Buy</t>
  </si>
  <si>
    <t>MSFT</t>
  </si>
  <si>
    <t>AIG</t>
  </si>
  <si>
    <t>Rebalancer</t>
  </si>
  <si>
    <t>RebalanceAcrossSecurities</t>
  </si>
  <si>
    <t>FetchAccountPositions</t>
  </si>
  <si>
    <t>NewMF</t>
  </si>
  <si>
    <t>Set</t>
  </si>
  <si>
    <t>Real-Time Positions</t>
  </si>
  <si>
    <t>Check</t>
  </si>
  <si>
    <t>VerifyGridData</t>
  </si>
  <si>
    <t>RunRebalance</t>
  </si>
  <si>
    <t>Nearest Round Off</t>
  </si>
  <si>
    <t>Accruals</t>
  </si>
  <si>
    <t>Cash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</si>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</sst>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2" fontId="4" numFmtId="0" xfId="0" applyAlignment="1" applyBorder="1" applyFont="1">
      <alignment horizontal="center" shrinkToFit="0" wrapText="0"/>
    </xf>
    <xf borderId="1" fillId="2" fontId="4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4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14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2</v>
      </c>
      <c r="B1" s="2"/>
      <c r="C1" s="2"/>
      <c r="D1" s="2"/>
      <c r="E1" s="2"/>
      <c r="F1" s="3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3"/>
      <c r="C3" s="14"/>
      <c r="D3" s="14"/>
      <c r="E3" s="14"/>
      <c r="F3" s="14"/>
    </row>
    <row r="4" ht="15.75" customHeight="1">
      <c r="A4" s="4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6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8" t="s">
        <v>3</v>
      </c>
      <c r="B3" s="12" t="s">
        <v>8</v>
      </c>
      <c r="C3" s="4"/>
    </row>
    <row r="4" ht="15.75" customHeight="1">
      <c r="A4" s="9" t="s">
        <v>9</v>
      </c>
      <c r="B4" s="12" t="s">
        <v>10</v>
      </c>
      <c r="C4" s="4"/>
    </row>
    <row r="5" ht="15.75" customHeight="1">
      <c r="A5" s="15"/>
      <c r="B5" s="4"/>
      <c r="C5" s="4"/>
    </row>
    <row r="6" ht="15.75" customHeight="1">
      <c r="A6" s="15"/>
      <c r="B6" s="4"/>
      <c r="C6" s="4"/>
    </row>
    <row r="7" ht="15.75" customHeight="1">
      <c r="A7" s="15"/>
      <c r="B7" s="4"/>
      <c r="C7" s="4"/>
    </row>
    <row r="8" ht="15.75" customHeight="1">
      <c r="A8" s="15"/>
      <c r="B8" s="4"/>
      <c r="C8" s="4"/>
    </row>
    <row r="9" ht="15.75" customHeight="1">
      <c r="A9" s="15"/>
      <c r="B9" s="4"/>
      <c r="C9" s="4"/>
    </row>
    <row r="10" ht="15.75" customHeight="1">
      <c r="A10" s="15"/>
      <c r="B10" s="4"/>
      <c r="C10" s="4"/>
    </row>
    <row r="11" ht="15.75" customHeight="1">
      <c r="A11" s="15"/>
      <c r="B11" s="4"/>
      <c r="C11" s="4"/>
    </row>
    <row r="12" ht="15.75" customHeight="1">
      <c r="A12" s="15"/>
      <c r="B12" s="4"/>
      <c r="C12" s="4"/>
    </row>
    <row r="13" ht="15.75" customHeight="1">
      <c r="A13" s="15"/>
      <c r="B13" s="4"/>
      <c r="C13" s="4"/>
    </row>
    <row r="14" ht="15.75" customHeight="1">
      <c r="A14" s="15"/>
      <c r="B14" s="4"/>
      <c r="C14" s="4"/>
    </row>
    <row r="15" ht="15.75" customHeight="1">
      <c r="A15" s="15"/>
      <c r="B15" s="4"/>
      <c r="C15" s="4"/>
    </row>
    <row r="16" ht="15.75" customHeight="1">
      <c r="A16" s="15"/>
      <c r="B16" s="4"/>
      <c r="C16" s="4"/>
    </row>
    <row r="17" ht="15.75" customHeight="1">
      <c r="A17" s="15"/>
      <c r="B17" s="4"/>
      <c r="C17" s="4"/>
    </row>
    <row r="18" ht="15.75" customHeight="1">
      <c r="A18" s="15"/>
      <c r="B18" s="4"/>
      <c r="C18" s="4"/>
    </row>
    <row r="19" ht="15.75" customHeight="1">
      <c r="A19" s="15"/>
      <c r="B19" s="4"/>
      <c r="C19" s="4"/>
    </row>
    <row r="20" ht="15.75" customHeight="1">
      <c r="A20" s="15"/>
      <c r="B20" s="4"/>
      <c r="C20" s="4"/>
    </row>
    <row r="21" ht="15.75" customHeight="1">
      <c r="A21" s="15"/>
      <c r="B21" s="4"/>
      <c r="C21" s="4"/>
    </row>
    <row r="22" ht="15.75" customHeight="1">
      <c r="A22" s="15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6" t="s">
        <v>1</v>
      </c>
      <c r="B1" s="2"/>
      <c r="C1" s="2"/>
      <c r="D1" s="2"/>
      <c r="E1" s="2"/>
      <c r="F1" s="3"/>
    </row>
    <row r="2">
      <c r="A2" s="7"/>
      <c r="B2" s="7"/>
      <c r="C2" s="7"/>
      <c r="D2" s="7"/>
      <c r="E2" s="7"/>
      <c r="F2" s="7"/>
    </row>
    <row r="3">
      <c r="A3" s="9" t="s">
        <v>5</v>
      </c>
      <c r="B3" s="10" t="s">
        <v>6</v>
      </c>
      <c r="C3" s="10" t="s">
        <v>7</v>
      </c>
      <c r="D3" s="11"/>
      <c r="E3" s="11"/>
      <c r="F3" s="11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13</v>
      </c>
      <c r="F3" s="8" t="s">
        <v>14</v>
      </c>
      <c r="G3" s="15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2">
        <f t="shared" ref="B6:C6" si="1">Today()-1</f>
        <v>43641</v>
      </c>
      <c r="C6" s="32">
        <f t="shared" si="1"/>
        <v>43641</v>
      </c>
      <c r="D6" s="12"/>
      <c r="E6" s="3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15</v>
      </c>
      <c r="F3" s="8" t="s">
        <v>14</v>
      </c>
      <c r="G3" s="15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 t="s">
        <v>17</v>
      </c>
      <c r="C6" s="30" t="s">
        <v>18</v>
      </c>
      <c r="D6" s="31">
        <v>3000.0</v>
      </c>
      <c r="E6" s="3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4" t="s">
        <v>19</v>
      </c>
      <c r="C7" s="34" t="s">
        <v>18</v>
      </c>
      <c r="D7" s="35">
        <v>2000.0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8" t="s">
        <v>5</v>
      </c>
      <c r="C3" s="21" t="s">
        <v>20</v>
      </c>
      <c r="D3" s="8" t="s">
        <v>6</v>
      </c>
      <c r="E3" s="21" t="s">
        <v>22</v>
      </c>
      <c r="F3" s="8" t="s">
        <v>14</v>
      </c>
      <c r="G3" s="15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7" t="s">
        <v>23</v>
      </c>
      <c r="C6" s="30" t="s">
        <v>24</v>
      </c>
      <c r="D6" s="31">
        <v>100.0</v>
      </c>
      <c r="E6" s="38">
        <v>100.0</v>
      </c>
      <c r="F6" s="30" t="s">
        <v>19</v>
      </c>
      <c r="G6" s="39"/>
      <c r="H6" s="39"/>
      <c r="I6" s="39"/>
      <c r="J6" s="38">
        <v>20.0</v>
      </c>
      <c r="K6" s="4"/>
      <c r="L6" s="4"/>
      <c r="M6" s="4"/>
      <c r="N6" s="4"/>
      <c r="O6" s="4"/>
    </row>
    <row r="7" ht="15.75" customHeight="1">
      <c r="A7" s="4"/>
      <c r="B7" s="34" t="s">
        <v>25</v>
      </c>
      <c r="C7" s="34" t="s">
        <v>24</v>
      </c>
      <c r="D7" s="35">
        <v>100.0</v>
      </c>
      <c r="E7" s="35">
        <v>100.0</v>
      </c>
      <c r="F7" s="34" t="s">
        <v>17</v>
      </c>
      <c r="G7" s="40"/>
      <c r="H7" s="40"/>
      <c r="I7" s="40"/>
      <c r="J7" s="35">
        <v>20.0</v>
      </c>
      <c r="K7" s="4"/>
      <c r="L7" s="4"/>
      <c r="M7" s="4"/>
      <c r="N7" s="4"/>
      <c r="O7" s="4"/>
    </row>
    <row r="8" ht="15.75" customHeight="1">
      <c r="A8" s="4"/>
      <c r="B8" s="34" t="s">
        <v>26</v>
      </c>
      <c r="C8" s="34" t="s">
        <v>24</v>
      </c>
      <c r="D8" s="35">
        <v>10.0</v>
      </c>
      <c r="E8" s="35">
        <v>10.0</v>
      </c>
      <c r="F8" s="34" t="s">
        <v>19</v>
      </c>
      <c r="G8" s="40"/>
      <c r="H8" s="40"/>
      <c r="I8" s="40"/>
      <c r="J8" s="35">
        <v>30.0</v>
      </c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8" t="s">
        <v>5</v>
      </c>
      <c r="C3" s="21" t="s">
        <v>21</v>
      </c>
      <c r="D3" s="8" t="s">
        <v>6</v>
      </c>
      <c r="E3" s="21" t="s">
        <v>21</v>
      </c>
      <c r="F3" s="8" t="s">
        <v>14</v>
      </c>
      <c r="G3" s="15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7" t="s">
        <v>23</v>
      </c>
      <c r="C6" s="38">
        <v>20.0</v>
      </c>
      <c r="D6" s="12"/>
      <c r="E6" s="3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4" t="s">
        <v>25</v>
      </c>
      <c r="C7" s="35">
        <v>10.0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34" t="s">
        <v>26</v>
      </c>
      <c r="C8" s="35">
        <v>30.0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8" t="s">
        <v>5</v>
      </c>
      <c r="C3" s="21" t="s">
        <v>27</v>
      </c>
      <c r="D3" s="8" t="s">
        <v>6</v>
      </c>
      <c r="E3" s="21" t="s">
        <v>29</v>
      </c>
      <c r="F3" s="8" t="s">
        <v>14</v>
      </c>
      <c r="G3" s="15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1" t="s">
        <v>30</v>
      </c>
      <c r="C6" s="42" t="s">
        <v>32</v>
      </c>
      <c r="D6" s="12"/>
      <c r="E6" s="3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8" t="s">
        <v>5</v>
      </c>
      <c r="C3" s="21" t="s">
        <v>27</v>
      </c>
      <c r="D3" s="8" t="s">
        <v>6</v>
      </c>
      <c r="E3" s="21" t="s">
        <v>28</v>
      </c>
      <c r="F3" s="8" t="s">
        <v>14</v>
      </c>
      <c r="G3" s="15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IFERROR(__xludf.DUMMYFUNCTION("""COMPUTED_VALUE"""),"Set/Inc/Dec")</f>
        <v>Set/Inc/Dec</v>
      </c>
      <c r="D5" s="26" t="str">
        <f>IFERROR(__xludf.DUMMYFUNCTION("""COMPUTED_VALUE"""),"Target%")</f>
        <v>Target%</v>
      </c>
      <c r="E5" s="26" t="str">
        <f>IFERROR(__xludf.DUMMYFUNCTION("""COMPUTED_VALUE"""),"Account/Group")</f>
        <v>Account/Group</v>
      </c>
      <c r="F5" s="27" t="str">
        <f>IFERROR(__xludf.DUMMYFUNCTION("""COMPUTED_VALUE"""),"ReinvestCash")</f>
        <v>ReinvestCash</v>
      </c>
      <c r="G5" s="26" t="str">
        <f>IFERROR(__xludf.DUMMYFUNCTION("""COMPUTED_VALUE"""),"SellToRaiseCash")</f>
        <v>SellToRaiseCash</v>
      </c>
      <c r="H5" s="26" t="str">
        <f>IFERROR(__xludf.DUMMYFUNCTION("""COMPUTED_VALUE"""),"AllowNegCash")</f>
        <v>AllowNegCash</v>
      </c>
      <c r="I5" s="26" t="str">
        <f>IFERROR(__xludf.DUMMYFUNCTION("""COMPUTED_VALUE"""),"NoShortning")</f>
        <v>NoShortning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7" t="s">
        <v>26</v>
      </c>
      <c r="C6" s="30" t="s">
        <v>31</v>
      </c>
      <c r="D6" s="43">
        <v>-30.0</v>
      </c>
      <c r="E6" s="30" t="s">
        <v>17</v>
      </c>
      <c r="F6" s="30" t="s">
        <v>33</v>
      </c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8" t="s">
        <v>5</v>
      </c>
      <c r="C3" s="21" t="s">
        <v>27</v>
      </c>
      <c r="D3" s="8" t="s">
        <v>6</v>
      </c>
      <c r="E3" s="21" t="s">
        <v>35</v>
      </c>
      <c r="F3" s="8" t="s">
        <v>14</v>
      </c>
      <c r="G3" s="15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36</v>
      </c>
      <c r="C6" s="4"/>
      <c r="D6" s="12"/>
      <c r="E6" s="3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8" t="s">
        <v>5</v>
      </c>
      <c r="C3" s="21" t="s">
        <v>27</v>
      </c>
      <c r="D3" s="8" t="s">
        <v>6</v>
      </c>
      <c r="E3" s="21" t="s">
        <v>34</v>
      </c>
      <c r="F3" s="8" t="s">
        <v>14</v>
      </c>
      <c r="G3" s="15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IFERROR(__xludf.DUMMYFUNCTION("""COMPUTED_VALUE"""),"Lock/Unlock")</f>
        <v>Lock/Unlock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IFERROR(__xludf.DUMMYFUNCTION("""COMPUTED_VALUE"""),"Asset")</f>
        <v>Asset</v>
      </c>
      <c r="F5" s="27" t="str">
        <f>IFERROR(__xludf.DUMMYFUNCTION("""COMPUTED_VALUE"""),"Side")</f>
        <v>Side</v>
      </c>
      <c r="G5" s="26" t="str">
        <f>IFERROR(__xludf.DUMMYFUNCTION("""COMPUTED_VALUE"""),"Price (Local)")</f>
        <v>Price (Local)</v>
      </c>
      <c r="H5" s="26" t="str">
        <f>IFERROR(__xludf.DUMMYFUNCTION("""COMPUTED_VALUE"""),"Price")</f>
        <v>Price</v>
      </c>
      <c r="I5" s="26" t="str">
        <f>IFERROR(__xludf.DUMMYFUNCTION("""COMPUTED_VALUE"""),"FX Rate")</f>
        <v>FX Rate</v>
      </c>
      <c r="J5" s="26" t="str">
        <f>IFERROR(__xludf.DUMMYFUNCTION("""COMPUTED_VALUE"""),"Current %")</f>
        <v>Current %</v>
      </c>
      <c r="K5" s="26" t="str">
        <f>IFERROR(__xludf.DUMMYFUNCTION("""COMPUTED_VALUE"""),"Current Position")</f>
        <v>Current Position</v>
      </c>
      <c r="L5" s="26" t="str">
        <f>IFERROR(__xludf.DUMMYFUNCTION("""COMPUTED_VALUE"""),"Current Market Value (Local)")</f>
        <v>Current Market Value (Local)</v>
      </c>
      <c r="M5" s="26" t="str">
        <f>IFERROR(__xludf.DUMMYFUNCTION("""COMPUTED_VALUE"""),"Current Market Value")</f>
        <v>Current Market Value</v>
      </c>
      <c r="N5" s="26" t="str">
        <f>IFERROR(__xludf.DUMMYFUNCTION("""COMPUTED_VALUE"""),"Target %")</f>
        <v>Target %</v>
      </c>
      <c r="O5" s="26" t="str">
        <f>IFERROR(__xludf.DUMMYFUNCTION("""COMPUTED_VALUE"""),"Target Position")</f>
        <v>Target Position</v>
      </c>
      <c r="P5" s="26" t="str">
        <f>IFERROR(__xludf.DUMMYFUNCTION("""COMPUTED_VALUE"""),"Target Market Value (Local)")</f>
        <v>Target Market Value (Local)</v>
      </c>
      <c r="Q5" s="26" t="str">
        <f>IFERROR(__xludf.DUMMYFUNCTION("""COMPUTED_VALUE"""),"Target Market Value")</f>
        <v>Target Market Value</v>
      </c>
      <c r="R5" s="26" t="str">
        <f>IFERROR(__xludf.DUMMYFUNCTION("""COMPUTED_VALUE"""),"Buy/Sell Qty")</f>
        <v>Buy/Sell Qty</v>
      </c>
      <c r="S5" s="26" t="str">
        <f>IFERROR(__xludf.DUMMYFUNCTION("""COMPUTED_VALUE"""),"Buy/Sell Value")</f>
        <v>Buy/Sell Value</v>
      </c>
      <c r="T5" s="28" t="str">
        <f>IFERROR(__xludf.DUMMYFUNCTION("""COMPUTED_VALUE"""),"Sector")</f>
        <v>Sector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44" t="s">
        <v>19</v>
      </c>
      <c r="D6" s="44" t="s">
        <v>23</v>
      </c>
      <c r="E6" s="33"/>
      <c r="F6" s="4"/>
      <c r="G6" s="4"/>
      <c r="H6" s="45">
        <v>20.0</v>
      </c>
      <c r="I6" s="4"/>
      <c r="J6" s="4"/>
      <c r="K6" s="45">
        <v>100.0</v>
      </c>
      <c r="L6" s="4"/>
      <c r="M6" s="4"/>
      <c r="N6" s="4"/>
      <c r="O6" s="45">
        <v>100.0</v>
      </c>
      <c r="R6" s="45">
        <v>0.0</v>
      </c>
    </row>
    <row r="7" ht="15.75" customHeight="1">
      <c r="A7" s="4"/>
      <c r="B7" s="4"/>
      <c r="C7" s="44" t="s">
        <v>17</v>
      </c>
      <c r="D7" s="44" t="s">
        <v>26</v>
      </c>
      <c r="E7" s="4"/>
      <c r="F7" s="4"/>
      <c r="G7" s="4"/>
      <c r="H7" s="45">
        <v>30.0</v>
      </c>
      <c r="I7" s="4"/>
      <c r="J7" s="4"/>
      <c r="K7" s="45">
        <v>0.0</v>
      </c>
      <c r="L7" s="4"/>
      <c r="M7" s="4"/>
      <c r="N7" s="4"/>
      <c r="O7" s="45">
        <v>20.0</v>
      </c>
      <c r="R7" s="45">
        <v>20.0</v>
      </c>
    </row>
    <row r="8" ht="15.75" customHeight="1">
      <c r="A8" s="4"/>
      <c r="B8" s="4"/>
      <c r="C8" s="44" t="s">
        <v>19</v>
      </c>
      <c r="D8" s="44" t="s">
        <v>26</v>
      </c>
      <c r="E8" s="4"/>
      <c r="F8" s="4"/>
      <c r="G8" s="4"/>
      <c r="H8" s="45">
        <v>30.0</v>
      </c>
      <c r="I8" s="4"/>
      <c r="J8" s="4"/>
      <c r="K8" s="45">
        <v>10.0</v>
      </c>
      <c r="L8" s="4"/>
      <c r="M8" s="4"/>
      <c r="N8" s="4"/>
      <c r="O8" s="45">
        <v>10.0</v>
      </c>
      <c r="R8" s="45">
        <v>0.0</v>
      </c>
    </row>
    <row r="9" ht="15.75" customHeight="1">
      <c r="A9" s="4"/>
      <c r="B9" s="4"/>
      <c r="C9" s="44" t="s">
        <v>17</v>
      </c>
      <c r="D9" s="44" t="s">
        <v>25</v>
      </c>
      <c r="E9" s="4"/>
      <c r="F9" s="4"/>
      <c r="G9" s="4"/>
      <c r="H9" s="45">
        <v>10.0</v>
      </c>
      <c r="I9" s="4"/>
      <c r="J9" s="4"/>
      <c r="K9" s="45">
        <v>100.0</v>
      </c>
      <c r="L9" s="4"/>
      <c r="M9" s="4"/>
      <c r="N9" s="4"/>
      <c r="O9" s="45">
        <v>130.0</v>
      </c>
      <c r="R9" s="45">
        <v>30.0</v>
      </c>
    </row>
    <row r="10" ht="15.75" customHeight="1">
      <c r="A10" s="4"/>
      <c r="B10" s="4"/>
      <c r="C10" s="44" t="s">
        <v>17</v>
      </c>
      <c r="D10" s="44" t="s">
        <v>37</v>
      </c>
      <c r="E10" s="4"/>
      <c r="F10" s="4"/>
      <c r="G10" s="4"/>
      <c r="H10" s="45">
        <v>1.0</v>
      </c>
      <c r="I10" s="4"/>
      <c r="J10" s="4"/>
      <c r="K10" s="45">
        <v>0.0</v>
      </c>
      <c r="L10" s="4"/>
      <c r="M10" s="4"/>
      <c r="N10" s="4"/>
      <c r="O10" s="45">
        <v>0.0</v>
      </c>
      <c r="R10" s="45">
        <v>0.0</v>
      </c>
    </row>
    <row r="11" ht="15.75" customHeight="1">
      <c r="A11" s="4"/>
      <c r="B11" s="4"/>
      <c r="C11" s="44" t="s">
        <v>19</v>
      </c>
      <c r="D11" s="44" t="s">
        <v>37</v>
      </c>
      <c r="E11" s="4"/>
      <c r="F11" s="4"/>
      <c r="G11" s="4"/>
      <c r="H11" s="45">
        <v>1.0</v>
      </c>
      <c r="I11" s="4"/>
      <c r="J11" s="4"/>
      <c r="K11" s="45">
        <v>0.0</v>
      </c>
      <c r="L11" s="4"/>
      <c r="M11" s="4"/>
      <c r="N11" s="4"/>
      <c r="O11" s="45">
        <v>0.0</v>
      </c>
      <c r="R11" s="45">
        <v>0.0</v>
      </c>
    </row>
    <row r="12" ht="15.75" customHeight="1">
      <c r="A12" s="4"/>
      <c r="B12" s="4"/>
      <c r="C12" s="44" t="s">
        <v>17</v>
      </c>
      <c r="D12" s="44" t="s">
        <v>38</v>
      </c>
      <c r="E12" s="4"/>
      <c r="F12" s="4"/>
      <c r="G12" s="4"/>
      <c r="H12" s="45">
        <v>1.0</v>
      </c>
      <c r="I12" s="4"/>
      <c r="J12" s="4"/>
      <c r="K12" s="45">
        <v>1000.0</v>
      </c>
      <c r="L12" s="4"/>
      <c r="M12" s="4"/>
      <c r="N12" s="4"/>
      <c r="O12" s="45">
        <v>1300.0</v>
      </c>
      <c r="R12" s="45">
        <v>300.0</v>
      </c>
    </row>
    <row r="13" ht="15.75" customHeight="1">
      <c r="A13" s="4"/>
      <c r="B13" s="4"/>
      <c r="C13" s="44" t="s">
        <v>19</v>
      </c>
      <c r="D13" s="44" t="s">
        <v>38</v>
      </c>
      <c r="E13" s="4"/>
      <c r="F13" s="4"/>
      <c r="G13" s="4"/>
      <c r="H13" s="45">
        <v>1.0</v>
      </c>
      <c r="I13" s="4"/>
      <c r="J13" s="4"/>
      <c r="K13" s="45">
        <v>300.0</v>
      </c>
      <c r="L13" s="4"/>
      <c r="M13" s="4"/>
      <c r="N13" s="4"/>
      <c r="O13" s="45">
        <v>300.0</v>
      </c>
      <c r="R13" s="45">
        <v>0.0</v>
      </c>
    </row>
    <row r="14" ht="15.75" customHeight="1">
      <c r="A14" s="4"/>
      <c r="B14" s="4"/>
      <c r="C14" s="44" t="s">
        <v>39</v>
      </c>
      <c r="D14" s="44" t="s">
        <v>39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