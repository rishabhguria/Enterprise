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FilterPM" sheetId="8" r:id="rId10"/>
    <sheet state="visible" name="CheckPortfolioManagement" sheetId="9" r:id="rId11"/>
    <sheet state="visible" name="CheckPortfolioManagement1" sheetId="10" r:id="rId12"/>
    <sheet state="visible" name="FilterPM1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</sheets>
  <definedNames/>
  <calcPr/>
</workbook>
</file>

<file path=xl/sharedStrings.xml><?xml version="1.0" encoding="utf-8"?>
<sst xmlns="http://schemas.openxmlformats.org/spreadsheetml/2006/main" count="355" uniqueCount="61">
  <si>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</si>
  <si>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</si>
  <si>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</si>
  <si>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</si>
  <si>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</si>
  <si>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</si>
  <si>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</si>
  <si>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</si>
  <si>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</si>
  <si>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</si>
  <si>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</si>
  <si>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</si>
  <si>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</si>
  <si>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</si>
  <si>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</si>
  <si>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</si>
  <si>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</si>
  <si>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</si>
  <si>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</si>
  <si>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</si>
  <si>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</si>
  <si>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</si>
  <si>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Allocation3</t>
  </si>
  <si>
    <t>DailyValuation</t>
  </si>
  <si>
    <t>GetDailyCash</t>
  </si>
  <si>
    <t>UpdateMultipleDailyCash</t>
  </si>
  <si>
    <t>USD</t>
  </si>
  <si>
    <t>PortfolioManagement</t>
  </si>
  <si>
    <t>FilterPM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</si>
  <si>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</si>
  <si>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</si>
  <si>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</si>
  <si>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</si>
  <si>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</si>
  <si>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</si>
  <si>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</si>
  <si>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</si>
  <si>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</si>
  <si>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</si>
  <si>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</si>
  <si>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</si>
  <si>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</si>
  <si>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</si>
  <si>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</si>
  <si>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</si>
  <si>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</si>
  <si>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</si>
  <si>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</si>
  <si>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</si>
  <si>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</si>
  <si>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</si>
  <si>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</si>
  <si>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</si>
  <si>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NA</t>
  </si>
  <si>
    <t>MasterFund</t>
  </si>
  <si>
    <t>CreateLiveOrder</t>
  </si>
  <si>
    <t>IBM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</si>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</sst>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4" numFmtId="164" xfId="0" applyAlignment="1" applyFont="1" applyNumberForma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4" fillId="5" fontId="4" numFmtId="164" xfId="0" applyAlignment="1" applyBorder="1" applyFont="1" applyNumberFormat="1">
      <alignment readingOrder="0" shrinkToFit="0" wrapText="0"/>
    </xf>
    <xf borderId="0" fillId="5" fontId="11" numFmtId="164" xfId="0" applyFont="1" applyNumberFormat="1"/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2.0</v>
      </c>
      <c r="I6" s="8"/>
      <c r="J6" s="8"/>
      <c r="K6" s="1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1"/>
      <c r="F6" s="13" t="s">
        <v>21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20</v>
      </c>
      <c r="D7" s="13">
        <v>100.0</v>
      </c>
      <c r="E7" s="31"/>
      <c r="F7" s="13" t="s">
        <v>22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2" t="str">
        <f>IFERROR(__xludf.DUMMYFUNCTION("TRANSPOSE(IMPORTRANGE(VLOOKUP($E$3,IMPORTRANGE('_Settings'!$B$3,$C$3&amp;""!A4:B1000""),2,FALSE),$G$3&amp;""!A4:A1000""))"),"")</f>
        <v/>
      </c>
      <c r="B5" s="33" t="str">
        <f>IFERROR(__xludf.DUMMYFUNCTION("""COMPUTED_VALUE"""),"Select Date")</f>
        <v>Select Date</v>
      </c>
      <c r="C5" s="33" t="str">
        <f>IFERROR(__xludf.DUMMYFUNCTION("""COMPUTED_VALUE"""),"Copy From")</f>
        <v>Copy From</v>
      </c>
      <c r="D5" s="33"/>
      <c r="E5" s="33"/>
      <c r="F5" s="34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36"/>
      <c r="B6" s="36">
        <f t="shared" ref="B6:C6" si="1">today()-1</f>
        <v>45218</v>
      </c>
      <c r="C6" s="36">
        <f t="shared" si="1"/>
        <v>45218</v>
      </c>
      <c r="D6" s="36"/>
      <c r="E6" s="36"/>
      <c r="F6" s="37"/>
      <c r="G6" s="37"/>
      <c r="H6" s="37"/>
      <c r="I6" s="37"/>
      <c r="J6" s="37"/>
      <c r="K6" s="37"/>
      <c r="L6" s="37"/>
      <c r="M6" s="37"/>
      <c r="N6" s="37"/>
      <c r="O6" s="37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26</v>
      </c>
      <c r="D6" s="13">
        <v>1323506.0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22</v>
      </c>
      <c r="C7" s="13" t="s">
        <v>26</v>
      </c>
      <c r="D7" s="13">
        <v>200.0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30</v>
      </c>
      <c r="B6" s="39"/>
      <c r="C6" s="8" t="s">
        <v>19</v>
      </c>
      <c r="D6" s="39">
        <v>100.0</v>
      </c>
      <c r="E6" s="8" t="s">
        <v>21</v>
      </c>
      <c r="F6" s="8" t="s">
        <v>31</v>
      </c>
      <c r="G6" s="8">
        <v>2.0</v>
      </c>
      <c r="H6" s="8" t="s">
        <v>32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-200.0</v>
      </c>
      <c r="O6" s="8" t="s">
        <v>33</v>
      </c>
      <c r="P6" t="s">
        <v>34</v>
      </c>
      <c r="Q6">
        <v>-200.0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26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-200.0</v>
      </c>
      <c r="AL6">
        <v>1.0</v>
      </c>
      <c r="AM6">
        <v>1.0</v>
      </c>
      <c r="AN6" t="s">
        <v>20</v>
      </c>
      <c r="AP6" t="s">
        <v>32</v>
      </c>
      <c r="AQ6" t="s">
        <v>19</v>
      </c>
      <c r="AR6">
        <v>0.0</v>
      </c>
      <c r="AS6">
        <v>1.0</v>
      </c>
      <c r="AT6" t="s">
        <v>40</v>
      </c>
      <c r="AU6" t="s">
        <v>41</v>
      </c>
      <c r="AV6">
        <v>1.0</v>
      </c>
      <c r="AW6">
        <v>-200.0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-200.0</v>
      </c>
      <c r="BE6" t="s">
        <v>37</v>
      </c>
      <c r="BF6" t="s">
        <v>42</v>
      </c>
      <c r="BG6" t="s">
        <v>43</v>
      </c>
      <c r="BH6" t="s">
        <v>34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-200.0</v>
      </c>
      <c r="BP6">
        <v>0.0</v>
      </c>
      <c r="BQ6" t="s">
        <v>44</v>
      </c>
      <c r="BR6" t="s">
        <v>45</v>
      </c>
      <c r="BS6">
        <v>0.0</v>
      </c>
      <c r="BT6">
        <v>0.0</v>
      </c>
      <c r="BU6" t="s">
        <v>37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-200.0</v>
      </c>
      <c r="CE6">
        <v>0.0</v>
      </c>
      <c r="CF6">
        <v>0.0</v>
      </c>
      <c r="CG6">
        <v>-200.0</v>
      </c>
      <c r="CH6">
        <v>-100.0</v>
      </c>
      <c r="CI6">
        <v>0.0</v>
      </c>
      <c r="CJ6">
        <v>0.0</v>
      </c>
      <c r="CK6" t="b">
        <v>0</v>
      </c>
      <c r="CN6" t="s">
        <v>19</v>
      </c>
      <c r="CO6" t="s">
        <v>19</v>
      </c>
      <c r="CP6" t="s">
        <v>46</v>
      </c>
      <c r="CS6">
        <v>2.0</v>
      </c>
      <c r="CY6" t="s">
        <v>47</v>
      </c>
      <c r="CZ6" t="s">
        <v>48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34</v>
      </c>
      <c r="DI6">
        <v>0.0</v>
      </c>
      <c r="DJ6" t="s">
        <v>20</v>
      </c>
      <c r="DK6">
        <v>0.0</v>
      </c>
      <c r="DL6">
        <v>0.0</v>
      </c>
      <c r="DM6">
        <v>1.0</v>
      </c>
      <c r="DN6">
        <v>0.0</v>
      </c>
      <c r="DP6" t="s">
        <v>32</v>
      </c>
      <c r="DQ6" t="s">
        <v>49</v>
      </c>
      <c r="DR6" t="s">
        <v>50</v>
      </c>
      <c r="DS6" t="s">
        <v>49</v>
      </c>
      <c r="DT6" t="s">
        <v>49</v>
      </c>
      <c r="DU6" t="s">
        <v>51</v>
      </c>
      <c r="DV6" t="s">
        <v>49</v>
      </c>
      <c r="DW6" t="s">
        <v>49</v>
      </c>
      <c r="DX6" t="s">
        <v>49</v>
      </c>
      <c r="DY6" t="s">
        <v>49</v>
      </c>
      <c r="DZ6" t="s">
        <v>33</v>
      </c>
      <c r="EA6" t="s">
        <v>51</v>
      </c>
      <c r="EB6" t="s">
        <v>49</v>
      </c>
      <c r="EC6" t="s">
        <v>49</v>
      </c>
      <c r="ED6" t="s">
        <v>26</v>
      </c>
      <c r="EE6" t="s">
        <v>52</v>
      </c>
      <c r="EF6">
        <v>0.0</v>
      </c>
      <c r="EG6">
        <v>0.0</v>
      </c>
      <c r="EH6">
        <v>0.0</v>
      </c>
      <c r="EI6">
        <v>0.0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53</v>
      </c>
      <c r="FD6">
        <v>0.0</v>
      </c>
      <c r="FE6" t="s">
        <v>30</v>
      </c>
      <c r="FF6">
        <v>0.0</v>
      </c>
      <c r="FG6">
        <v>0.0</v>
      </c>
      <c r="FH6">
        <v>100.0</v>
      </c>
      <c r="FI6" t="s">
        <v>30</v>
      </c>
      <c r="FK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30</v>
      </c>
      <c r="B6" s="39"/>
      <c r="C6" s="8" t="s">
        <v>19</v>
      </c>
      <c r="D6" s="39">
        <v>100.0</v>
      </c>
      <c r="E6" s="8" t="s">
        <v>21</v>
      </c>
      <c r="F6" s="8" t="s">
        <v>31</v>
      </c>
      <c r="G6" s="8">
        <v>2.0</v>
      </c>
      <c r="H6" s="8" t="s">
        <v>32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-200.0</v>
      </c>
      <c r="O6" s="8" t="s">
        <v>33</v>
      </c>
      <c r="P6" t="s">
        <v>34</v>
      </c>
      <c r="Q6">
        <v>-200.0</v>
      </c>
      <c r="R6" t="s">
        <v>35</v>
      </c>
      <c r="S6" t="s">
        <v>36</v>
      </c>
      <c r="T6" t="s">
        <v>37</v>
      </c>
      <c r="U6" t="s">
        <v>38</v>
      </c>
      <c r="V6" t="s">
        <v>39</v>
      </c>
      <c r="W6" t="s">
        <v>26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-200.0</v>
      </c>
      <c r="AL6">
        <v>1.0</v>
      </c>
      <c r="AM6">
        <v>1.0</v>
      </c>
      <c r="AN6" t="s">
        <v>20</v>
      </c>
      <c r="AP6" t="s">
        <v>32</v>
      </c>
      <c r="AQ6" t="s">
        <v>19</v>
      </c>
      <c r="AR6">
        <v>0.0</v>
      </c>
      <c r="AS6">
        <v>1.0</v>
      </c>
      <c r="AT6" t="s">
        <v>40</v>
      </c>
      <c r="AU6" t="s">
        <v>41</v>
      </c>
      <c r="AV6">
        <v>1.0</v>
      </c>
      <c r="AW6">
        <v>-200.0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-200.0</v>
      </c>
      <c r="BE6" t="s">
        <v>37</v>
      </c>
      <c r="BF6" t="s">
        <v>42</v>
      </c>
      <c r="BG6" t="s">
        <v>43</v>
      </c>
      <c r="BH6" t="s">
        <v>34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-200.0</v>
      </c>
      <c r="BP6">
        <v>0.0</v>
      </c>
      <c r="BQ6" t="s">
        <v>44</v>
      </c>
      <c r="BR6" t="s">
        <v>45</v>
      </c>
      <c r="BS6">
        <v>0.0</v>
      </c>
      <c r="BT6">
        <v>0.0</v>
      </c>
      <c r="BU6" t="s">
        <v>37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-200.0</v>
      </c>
      <c r="CE6">
        <v>0.0</v>
      </c>
      <c r="CF6">
        <v>0.0</v>
      </c>
      <c r="CG6">
        <v>-200.0</v>
      </c>
      <c r="CH6">
        <v>-100.0</v>
      </c>
      <c r="CI6">
        <v>0.0</v>
      </c>
      <c r="CJ6">
        <v>0.0</v>
      </c>
      <c r="CK6" t="b">
        <v>0</v>
      </c>
      <c r="CN6" t="s">
        <v>19</v>
      </c>
      <c r="CO6" t="s">
        <v>19</v>
      </c>
      <c r="CP6" t="s">
        <v>46</v>
      </c>
      <c r="CS6">
        <v>2.0</v>
      </c>
      <c r="CY6" t="s">
        <v>47</v>
      </c>
      <c r="CZ6" t="s">
        <v>48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34</v>
      </c>
      <c r="DI6">
        <v>0.0</v>
      </c>
      <c r="DJ6" t="s">
        <v>20</v>
      </c>
      <c r="DK6">
        <v>0.0</v>
      </c>
      <c r="DL6">
        <v>0.0</v>
      </c>
      <c r="DM6">
        <v>1.0</v>
      </c>
      <c r="DN6">
        <v>0.0</v>
      </c>
      <c r="DP6" t="s">
        <v>32</v>
      </c>
      <c r="DQ6" t="s">
        <v>49</v>
      </c>
      <c r="DR6" t="s">
        <v>50</v>
      </c>
      <c r="DS6" t="s">
        <v>49</v>
      </c>
      <c r="DT6" t="s">
        <v>49</v>
      </c>
      <c r="DU6" t="s">
        <v>51</v>
      </c>
      <c r="DV6" t="s">
        <v>49</v>
      </c>
      <c r="DW6" t="s">
        <v>49</v>
      </c>
      <c r="DX6" t="s">
        <v>49</v>
      </c>
      <c r="DY6" t="s">
        <v>49</v>
      </c>
      <c r="DZ6" t="s">
        <v>33</v>
      </c>
      <c r="EA6" t="s">
        <v>51</v>
      </c>
      <c r="EB6" t="s">
        <v>49</v>
      </c>
      <c r="EC6" t="s">
        <v>49</v>
      </c>
      <c r="ED6" t="s">
        <v>26</v>
      </c>
      <c r="EE6" t="s">
        <v>52</v>
      </c>
      <c r="EF6">
        <v>0.0</v>
      </c>
      <c r="EG6">
        <v>0.0</v>
      </c>
      <c r="EH6">
        <v>0.0</v>
      </c>
      <c r="EI6">
        <v>0.0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53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9" t="s">
        <v>30</v>
      </c>
      <c r="B7" s="39"/>
      <c r="C7" s="8" t="s">
        <v>19</v>
      </c>
      <c r="D7" s="39">
        <v>100.0</v>
      </c>
      <c r="E7" s="39" t="s">
        <v>22</v>
      </c>
      <c r="F7" s="8" t="s">
        <v>31</v>
      </c>
      <c r="G7" s="8">
        <v>2.0</v>
      </c>
      <c r="H7" s="8" t="s">
        <v>32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-200.0</v>
      </c>
      <c r="O7" s="8" t="s">
        <v>33</v>
      </c>
      <c r="P7" t="s">
        <v>34</v>
      </c>
      <c r="Q7">
        <v>-200.0</v>
      </c>
      <c r="R7" t="s">
        <v>45</v>
      </c>
      <c r="S7" t="s">
        <v>36</v>
      </c>
      <c r="T7" t="s">
        <v>37</v>
      </c>
      <c r="U7" t="s">
        <v>38</v>
      </c>
      <c r="V7" t="s">
        <v>39</v>
      </c>
      <c r="W7" t="s">
        <v>26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100.0</v>
      </c>
      <c r="AG7">
        <v>0.0</v>
      </c>
      <c r="AH7">
        <v>0.0</v>
      </c>
      <c r="AI7">
        <v>0.0</v>
      </c>
      <c r="AJ7">
        <v>0.0</v>
      </c>
      <c r="AK7">
        <v>-200.0</v>
      </c>
      <c r="AL7">
        <v>1.0</v>
      </c>
      <c r="AM7">
        <v>1.0</v>
      </c>
      <c r="AN7" t="s">
        <v>20</v>
      </c>
      <c r="AP7" t="s">
        <v>32</v>
      </c>
      <c r="AQ7" t="s">
        <v>19</v>
      </c>
      <c r="AR7">
        <v>0.0</v>
      </c>
      <c r="AS7">
        <v>1.0</v>
      </c>
      <c r="AT7" t="s">
        <v>40</v>
      </c>
      <c r="AU7" t="s">
        <v>41</v>
      </c>
      <c r="AV7">
        <v>1.0</v>
      </c>
      <c r="AW7">
        <v>-200.0</v>
      </c>
      <c r="AX7">
        <v>0.0</v>
      </c>
      <c r="AY7">
        <v>0.0</v>
      </c>
      <c r="AZ7">
        <v>0.0</v>
      </c>
      <c r="BA7">
        <v>-100.0</v>
      </c>
      <c r="BC7">
        <v>1.0</v>
      </c>
      <c r="BD7">
        <v>-200.0</v>
      </c>
      <c r="BE7" t="s">
        <v>37</v>
      </c>
      <c r="BF7" t="s">
        <v>42</v>
      </c>
      <c r="BG7" t="s">
        <v>43</v>
      </c>
      <c r="BH7" t="s">
        <v>34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-200.0</v>
      </c>
      <c r="BP7">
        <v>0.0</v>
      </c>
      <c r="BQ7" t="s">
        <v>44</v>
      </c>
      <c r="BR7" t="s">
        <v>45</v>
      </c>
      <c r="BS7">
        <v>0.0</v>
      </c>
      <c r="BT7">
        <v>0.0</v>
      </c>
      <c r="BU7" t="s">
        <v>37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-200.0</v>
      </c>
      <c r="CE7">
        <v>0.0</v>
      </c>
      <c r="CF7">
        <v>0.0</v>
      </c>
      <c r="CG7">
        <v>-200.0</v>
      </c>
      <c r="CH7">
        <v>-100.0</v>
      </c>
      <c r="CI7">
        <v>0.0</v>
      </c>
      <c r="CJ7">
        <v>0.0</v>
      </c>
      <c r="CK7" t="b">
        <v>0</v>
      </c>
      <c r="CN7" t="s">
        <v>19</v>
      </c>
      <c r="CO7" t="s">
        <v>19</v>
      </c>
      <c r="CP7" t="s">
        <v>46</v>
      </c>
      <c r="CS7">
        <v>2.0</v>
      </c>
      <c r="CY7" t="s">
        <v>47</v>
      </c>
      <c r="CZ7" t="s">
        <v>48</v>
      </c>
      <c r="DA7">
        <v>0.0</v>
      </c>
      <c r="DB7">
        <v>0.0</v>
      </c>
      <c r="DD7">
        <v>100.0</v>
      </c>
      <c r="DE7">
        <v>0.0</v>
      </c>
      <c r="DF7">
        <v>0.0</v>
      </c>
      <c r="DG7">
        <v>0.0</v>
      </c>
      <c r="DH7" t="s">
        <v>34</v>
      </c>
      <c r="DI7">
        <v>0.0</v>
      </c>
      <c r="DJ7" t="s">
        <v>20</v>
      </c>
      <c r="DK7">
        <v>0.0</v>
      </c>
      <c r="DL7">
        <v>0.0</v>
      </c>
      <c r="DM7">
        <v>1.0</v>
      </c>
      <c r="DN7">
        <v>0.0</v>
      </c>
      <c r="DP7" t="s">
        <v>32</v>
      </c>
      <c r="DQ7" t="s">
        <v>49</v>
      </c>
      <c r="DR7" t="s">
        <v>50</v>
      </c>
      <c r="DS7" t="s">
        <v>49</v>
      </c>
      <c r="DT7" t="s">
        <v>49</v>
      </c>
      <c r="DU7" t="s">
        <v>51</v>
      </c>
      <c r="DV7" t="s">
        <v>49</v>
      </c>
      <c r="DW7" t="s">
        <v>49</v>
      </c>
      <c r="DX7" t="s">
        <v>49</v>
      </c>
      <c r="DY7" t="s">
        <v>49</v>
      </c>
      <c r="DZ7" t="s">
        <v>33</v>
      </c>
      <c r="EA7" t="s">
        <v>51</v>
      </c>
      <c r="EB7" t="s">
        <v>49</v>
      </c>
      <c r="EC7" t="s">
        <v>49</v>
      </c>
      <c r="ED7" t="s">
        <v>26</v>
      </c>
      <c r="EE7" t="s">
        <v>52</v>
      </c>
      <c r="EF7">
        <v>0.0</v>
      </c>
      <c r="EG7">
        <v>0.0</v>
      </c>
      <c r="EH7">
        <v>0.0</v>
      </c>
      <c r="EI7">
        <v>0.0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53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13" t="s">
        <v>20</v>
      </c>
      <c r="D6" s="40">
        <v>26467.0</v>
      </c>
      <c r="E6" s="31"/>
      <c r="F6" s="13" t="s">
        <v>21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56</v>
      </c>
      <c r="D6" s="13"/>
      <c r="E6" s="31"/>
      <c r="F6" s="8"/>
      <c r="G6" s="40">
        <v>26467.0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56</v>
      </c>
      <c r="D6" s="13"/>
      <c r="E6" s="31"/>
      <c r="F6" s="8"/>
      <c r="G6" s="40">
        <v>26467.0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26467.0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