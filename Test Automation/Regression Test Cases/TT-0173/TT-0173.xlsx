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<sst xmlns="http://schemas.openxmlformats.org/spreadsheetml/2006/main" count="78" uniqueCount="34">
  <si>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</si>
  <si>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</si>
  <si>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</si>
  <si>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</si>
  <si>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</si>
  <si>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</si>
  <si>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</si>
  <si>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</si>
  <si>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</si>
  <si>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</si>
  <si>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</si>
  <si>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</si>
  <si>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</si>
  <si>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</si>
  <si>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</si>
  <si>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</si>
  <si>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</si>
  <si>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</si>
  <si>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</si>
  <si>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</si>
  <si>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</si>
  <si>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</si>
  <si>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</si>
  <si>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</si>
  <si>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</si>
  <si>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</si>
  <si>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</si>
  <si>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IBM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</si>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</sst>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 t="shared" ref="B6:C6" si="1">today()</f>
        <v>44943</v>
      </c>
      <c r="C6" s="36">
        <f t="shared" si="1"/>
        <v>44943</v>
      </c>
      <c r="D6" s="34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19</v>
      </c>
      <c r="C6" s="34" t="s">
        <v>20</v>
      </c>
      <c r="D6" s="34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4" t="s">
        <v>20</v>
      </c>
      <c r="D7" s="34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4" t="s">
        <v>25</v>
      </c>
      <c r="D6" s="34">
        <v>100000.0</v>
      </c>
      <c r="E6" s="34">
        <v>100000.0</v>
      </c>
      <c r="F6" s="8"/>
      <c r="G6" s="34" t="s">
        <v>26</v>
      </c>
      <c r="H6" s="8"/>
      <c r="I6" s="8"/>
      <c r="J6" s="34">
        <v>1.0</v>
      </c>
      <c r="K6" s="8"/>
      <c r="L6" s="8"/>
      <c r="M6" s="8"/>
      <c r="N6" s="36">
        <f t="shared" ref="N6:N8" si="1">today()</f>
        <v>44943</v>
      </c>
      <c r="O6" s="8"/>
      <c r="AK6" s="9" t="s">
        <v>19</v>
      </c>
    </row>
    <row r="7" ht="15.75" customHeight="1">
      <c r="A7" s="8"/>
      <c r="B7" s="34" t="s">
        <v>27</v>
      </c>
      <c r="C7" s="34" t="s">
        <v>25</v>
      </c>
      <c r="D7" s="34">
        <v>50000.0</v>
      </c>
      <c r="E7" s="34">
        <v>50000.0</v>
      </c>
      <c r="F7" s="8"/>
      <c r="G7" s="34" t="s">
        <v>26</v>
      </c>
      <c r="H7" s="8"/>
      <c r="I7" s="8"/>
      <c r="J7" s="34">
        <v>1.0</v>
      </c>
      <c r="K7" s="8"/>
      <c r="L7" s="8"/>
      <c r="M7" s="8"/>
      <c r="N7" s="36">
        <f t="shared" si="1"/>
        <v>44943</v>
      </c>
      <c r="O7" s="8"/>
      <c r="AK7" s="9" t="s">
        <v>21</v>
      </c>
    </row>
    <row r="8" ht="15.75" customHeight="1">
      <c r="A8" s="8"/>
      <c r="B8" s="34" t="s">
        <v>24</v>
      </c>
      <c r="C8" s="34" t="s">
        <v>25</v>
      </c>
      <c r="D8" s="34">
        <v>30000.0</v>
      </c>
      <c r="E8" s="34">
        <v>30000.0</v>
      </c>
      <c r="F8" s="8"/>
      <c r="G8" s="34" t="s">
        <v>26</v>
      </c>
      <c r="H8" s="8"/>
      <c r="I8" s="8"/>
      <c r="J8" s="34">
        <v>1.0</v>
      </c>
      <c r="K8" s="8"/>
      <c r="L8" s="8"/>
      <c r="M8" s="8"/>
      <c r="N8" s="36">
        <f t="shared" si="1"/>
        <v>44943</v>
      </c>
      <c r="O8" s="8"/>
      <c r="AK8" s="9" t="s">
        <v>28</v>
      </c>
      <c r="AL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8"/>
      <c r="D6" s="34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24</v>
      </c>
      <c r="AJ6" s="38" t="s">
        <v>25</v>
      </c>
      <c r="AK6" s="38" t="s">
        <v>32</v>
      </c>
      <c r="AL6" s="38">
        <v>30000.0</v>
      </c>
      <c r="AS6" s="38" t="s">
        <v>26</v>
      </c>
      <c r="AT6" s="38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9" t="s">
        <v>27</v>
      </c>
      <c r="AJ7" s="39" t="s">
        <v>25</v>
      </c>
      <c r="AK7" s="39" t="s">
        <v>32</v>
      </c>
      <c r="AL7" s="39">
        <v>50000.0</v>
      </c>
      <c r="AS7" s="39" t="s">
        <v>26</v>
      </c>
      <c r="AT7" s="3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8" t="s">
        <v>24</v>
      </c>
      <c r="AJ8" s="38" t="s">
        <v>25</v>
      </c>
      <c r="AK8" s="38" t="s">
        <v>32</v>
      </c>
      <c r="AL8" s="38">
        <v>100000.0</v>
      </c>
      <c r="AS8" s="38" t="s">
        <v>26</v>
      </c>
      <c r="AT8" s="38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