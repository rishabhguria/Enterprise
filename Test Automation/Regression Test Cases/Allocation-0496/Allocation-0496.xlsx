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SetDefaultRuleCalculatedPref" sheetId="7" r:id="rId9"/>
    <sheet state="visible" name="AddCalculatedPreferences" sheetId="8" r:id="rId10"/>
    <sheet state="visible" name="CreateDoneAwayOrder" sheetId="9" r:id="rId11"/>
    <sheet state="visible" name="GetDataAllocation" sheetId="10" r:id="rId12"/>
    <sheet state="visible" name="SelectUnallocatedGroup" sheetId="11" r:id="rId13"/>
    <sheet state="visible" name="EnterAllocatePreference" sheetId="12" r:id="rId14"/>
    <sheet state="visible" name="SelectAllocatedGroup" sheetId="13" r:id="rId15"/>
    <sheet state="visible" name="EnterAccountValuesToAllocate" sheetId="14" r:id="rId16"/>
    <sheet state="visible" name="CheckAllocatedTaxlots" sheetId="15" r:id="rId17"/>
  </sheets>
  <definedNames/>
  <calcPr/>
</workbook>
</file>

<file path=xl/sharedStrings.xml><?xml version="1.0" encoding="utf-8"?>
<sst xmlns="http://schemas.openxmlformats.org/spreadsheetml/2006/main" count="124" uniqueCount="43">
  <si>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</si>
  <si>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</si>
  <si>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</si>
  <si>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</si>
  <si>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</si>
  <si>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</si>
  <si>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</si>
  <si>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</si>
  <si>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</si>
  <si>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</si>
  <si>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</si>
  <si>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</si>
  <si>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</si>
  <si>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</si>
  <si>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</si>
  <si>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</si>
  <si>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</si>
  <si>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Allocation1</t>
  </si>
  <si>
    <t>USD</t>
  </si>
  <si>
    <t>Allocation2</t>
  </si>
  <si>
    <t>Allocation</t>
  </si>
  <si>
    <t>SetGeneralPreferences</t>
  </si>
  <si>
    <t>SetDefaultRuleCalculatedPref</t>
  </si>
  <si>
    <t>Pro-rata (NAV)</t>
  </si>
  <si>
    <t>Allocation2,Allocation1</t>
  </si>
  <si>
    <t>Prorata</t>
  </si>
  <si>
    <t>AddCalculatedPreferences</t>
  </si>
  <si>
    <t>TradingTicket</t>
  </si>
  <si>
    <t>CreateDoneAwayOrder</t>
  </si>
  <si>
    <t>AAPL</t>
  </si>
  <si>
    <t>Sell short</t>
  </si>
  <si>
    <t>Unallocated</t>
  </si>
  <si>
    <t>MS</t>
  </si>
  <si>
    <t>GetDataAllocation</t>
  </si>
  <si>
    <t>Current</t>
  </si>
  <si>
    <t>SelectUnallocatedGroup</t>
  </si>
  <si>
    <t>EnterAllocatePreference</t>
  </si>
  <si>
    <t>Calculated</t>
  </si>
  <si>
    <t>SelectAllocatedGroup</t>
  </si>
  <si>
    <t>EnterAccountValuesToAllocate</t>
  </si>
  <si>
    <t>CheckAllocatedTaxlots</t>
  </si>
  <si>
    <t>M</t>
  </si>
  <si>
    <t>Strategy 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</si>
</sst>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45102</v>
      </c>
      <c r="C6" s="32">
        <f>TODAY()</f>
        <v>45103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 t="s">
        <v>18</v>
      </c>
      <c r="D6" s="34">
        <v>3000.0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18</v>
      </c>
      <c r="D7" s="35">
        <v>6000.0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IFERROR(__xludf.DUMMYFUNCTION("""COMPUTED_VALUE"""),"ValidateCheckSide")</f>
        <v>ValidateCheckSide</v>
      </c>
      <c r="C5" s="28" t="str">
        <f>IFERROR(__xludf.DUMMYFUNCTION("""COMPUTED_VALUE"""),"DisabledChecksideAssets")</f>
        <v>DisabledChecksideAssets</v>
      </c>
      <c r="D5" s="28" t="str">
        <f>IFERROR(__xludf.DUMMYFUNCTION("""COMPUTED_VALUE"""),"PrecisionValue")</f>
        <v>PrecisionValue</v>
      </c>
      <c r="E5" s="28" t="str">
        <f>IFERROR(__xludf.DUMMYFUNCTION("""COMPUTED_VALUE"""),"UseCommissionInNetAmount")</f>
        <v>UseCommissionInNetAmount</v>
      </c>
      <c r="F5" s="29" t="str">
        <f>IFERROR(__xludf.DUMMYFUNCTION("""COMPUTED_VALUE"""),"SaveWithoutState")</f>
        <v>SaveWithoutState</v>
      </c>
      <c r="G5" s="28" t="str">
        <f>IFERROR(__xludf.DUMMYFUNCTION("""COMPUTED_VALUE"""),"SaveWithState")</f>
        <v>SaveWithState</v>
      </c>
      <c r="H5" s="28" t="str">
        <f>IFERROR(__xludf.DUMMYFUNCTION("""COMPUTED_VALUE"""),"ClearQuantities")</f>
        <v>ClearQuantities</v>
      </c>
      <c r="I5" s="28" t="str">
        <f>IFERROR(__xludf.DUMMYFUNCTION("""COMPUTED_VALUE"""),"ReapplyAllocation")</f>
        <v>ReapplyAllocation</v>
      </c>
      <c r="J5" s="28" t="str">
        <f>IFERROR(__xludf.DUMMYFUNCTION("""COMPUTED_VALUE"""),"DefaultAllocation")</f>
        <v>DefaultAllocation</v>
      </c>
      <c r="K5" s="28" t="str">
        <f>IFERROR(__xludf.DUMMYFUNCTION("""COMPUTED_VALUE"""),"IsCustomPreference")</f>
        <v>IsCustomPreference</v>
      </c>
      <c r="L5" s="28" t="str">
        <f>IFERROR(__xludf.DUMMYFUNCTION("""COMPUTED_VALUE"""),"AllocationMethod")</f>
        <v>AllocationMethod</v>
      </c>
      <c r="M5" s="28" t="str">
        <f>IFERROR(__xludf.DUMMYFUNCTION("""COMPUTED_VALUE"""),"RemainderAllocationTo")</f>
        <v>RemainderAllocationTo</v>
      </c>
      <c r="N5" s="28" t="str">
        <f>IFERROR(__xludf.DUMMYFUNCTION("""COMPUTED_VALUE"""),"Target%AsOf")</f>
        <v>Target%AsOf</v>
      </c>
      <c r="O5" s="28" t="str">
        <f>IFERROR(__xludf.DUMMYFUNCTION("""COMPUTED_VALUE"""),"ProrataAccounts")</f>
        <v>ProrataAccounts</v>
      </c>
      <c r="P5" s="28" t="str">
        <f>IFERROR(__xludf.DUMMYFUNCTION("""COMPUTED_VALUE"""),"DateUptoDays")</f>
        <v>DateUptoDays</v>
      </c>
      <c r="Q5" s="28" t="str">
        <f>IFERROR(__xludf.DUMMYFUNCTION("""COMPUTED_VALUE"""),"MatchClosing")</f>
        <v>MatchClosing</v>
      </c>
      <c r="R5" s="28" t="str">
        <f>IFERROR(__xludf.DUMMYFUNCTION("""COMPUTED_VALUE"""),"CommissionAlertOnBrokerChange")</f>
        <v>CommissionAlertOnBrokerChange</v>
      </c>
      <c r="S5" s="28" t="str">
        <f>IFERROR(__xludf.DUMMYFUNCTION("""COMPUTED_VALUE"""),"RecalculateCommissionOnBrokerChange")</f>
        <v>RecalculateCommissionOnBrokerChange</v>
      </c>
      <c r="T5" s="30" t="str">
        <f>IFERROR(__xludf.DUMMYFUNCTION("""COMPUTED_VALUE"""),"CommissionAlertOnAllocation")</f>
        <v>CommissionAlertOnAllocation</v>
      </c>
      <c r="U5" s="30" t="str">
        <f>IFERROR(__xludf.DUMMYFUNCTION("""COMPUTED_VALUE"""),"RecalculateCommissionOnAllocation")</f>
        <v>RecalculateCommissionOnAllocation</v>
      </c>
      <c r="V5" s="30" t="str">
        <f>IFERROR(__xludf.DUMMYFUNCTION("""COMPUTED_VALUE"""),"EnableMasterFund")</f>
        <v>EnableMasterFund</v>
      </c>
      <c r="W5" s="30" t="str">
        <f>IFERROR(__xludf.DUMMYFUNCTION("""COMPUTED_VALUE"""),"1MasterFund/1Symbol")</f>
        <v>1MasterFund/1Symbol</v>
      </c>
      <c r="X5" s="30" t="str">
        <f>IFERROR(__xludf.DUMMYFUNCTION("""COMPUTED_VALUE"""),"ProrataSchemeName")</f>
        <v>ProrataSchemeName</v>
      </c>
      <c r="Y5" s="30" t="str">
        <f>IFERROR(__xludf.DUMMYFUNCTION("""COMPUTED_VALUE"""),"ProrataAllocationSchemeBasis")</f>
        <v>ProrataAllocationSchemeBasis</v>
      </c>
      <c r="Z5" s="30" t="str">
        <f>IFERROR(__xludf.DUMMYFUNCTION("""COMPUTED_VALUE"""),"ShowAdvancedProrataUI")</f>
        <v>ShowAdvancedProrataUI</v>
      </c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b">
        <v>1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23</v>
      </c>
      <c r="E6" s="37" t="s">
        <v>24</v>
      </c>
      <c r="F6" s="33"/>
      <c r="G6" s="33"/>
      <c r="H6" s="33" t="s">
        <v>25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8" t="s">
        <v>30</v>
      </c>
      <c r="D6" s="34">
        <v>200.0</v>
      </c>
      <c r="E6" s="35">
        <v>200.0</v>
      </c>
      <c r="F6" s="33" t="s">
        <v>31</v>
      </c>
      <c r="G6" s="33" t="s">
        <v>32</v>
      </c>
      <c r="H6" s="33"/>
      <c r="I6" s="33"/>
      <c r="J6" s="35">
        <v>1.0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34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8" t="s">
        <v>30</v>
      </c>
      <c r="D6" s="39">
        <v>200.0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IFERROR(__xludf.DUMMYFUNCTION("""COMPUTED_VALUE"""),"PreferenceType")</f>
        <v>PreferenceType</v>
      </c>
      <c r="C5" s="28" t="str">
        <f>IFERROR(__xludf.DUMMYFUNCTION("""COMPUTED_VALUE"""),"PreferenceName")</f>
        <v>PreferenceName</v>
      </c>
      <c r="D5" s="28" t="str">
        <f>IFERROR(__xludf.DUMMYFUNCTION("""COMPUTED_VALUE"""),"PTTPrefNeeded")</f>
        <v>PTTPrefNeeded</v>
      </c>
      <c r="E5" s="28" t="str">
        <f>IFERROR(__xludf.DUMMYFUNCTION("""COMPUTED_VALUE"""),"IsForceAllocation")</f>
        <v>IsForceAllocation</v>
      </c>
      <c r="F5" s="29" t="str">
        <f>IFERROR(__xludf.DUMMYFUNCTION("""COMPUTED_VALUE"""),"AllocationMethod")</f>
        <v>AllocationMethod</v>
      </c>
      <c r="G5" s="28" t="str">
        <f>IFERROR(__xludf.DUMMYFUNCTION("""COMPUTED_VALUE"""),"RemainderAllocationTo")</f>
        <v>RemainderAllocationTo</v>
      </c>
      <c r="H5" s="28" t="str">
        <f>IFERROR(__xludf.DUMMYFUNCTION("""COMPUTED_VALUE"""),"Target%AsOf")</f>
        <v>Target%AsOf</v>
      </c>
      <c r="I5" s="28" t="str">
        <f>IFERROR(__xludf.DUMMYFUNCTION("""COMPUTED_VALUE"""),"AccountsForProrata")</f>
        <v>AccountsForProrata</v>
      </c>
      <c r="J5" s="28" t="str">
        <f>IFERROR(__xludf.DUMMYFUNCTION("""COMPUTED_VALUE"""),"DateUptoDays")</f>
        <v>DateUptoDays</v>
      </c>
      <c r="K5" s="28" t="str">
        <f>IFERROR(__xludf.DUMMYFUNCTION("""COMPUTED_VALUE"""),"MatchClosingTransactions")</f>
        <v>MatchClosingTransactions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37</v>
      </c>
      <c r="C6" s="33" t="s">
        <v>25</v>
      </c>
      <c r="D6" s="31"/>
      <c r="E6" s="40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EnterAllocatePreference!$4:$4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29</v>
      </c>
      <c r="C6" s="35">
        <v>200.0</v>
      </c>
      <c r="D6" s="31"/>
      <c r="E6" s="33"/>
      <c r="F6" s="38" t="s">
        <v>30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17</v>
      </c>
      <c r="C6" s="33"/>
      <c r="D6" s="34">
        <v>133.0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/>
      <c r="D7" s="35">
        <v>67.0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v>62.3099665</v>
      </c>
      <c r="C6" s="42">
        <v>62.3099665</v>
      </c>
      <c r="D6" s="41">
        <v>67.0</v>
      </c>
      <c r="E6" s="42">
        <v>67.0</v>
      </c>
      <c r="F6" s="43" t="s">
        <v>41</v>
      </c>
      <c r="G6" s="42"/>
      <c r="H6" s="43" t="s">
        <v>18</v>
      </c>
      <c r="I6" s="33"/>
      <c r="J6" s="33"/>
      <c r="K6" s="33"/>
      <c r="L6" s="33"/>
      <c r="M6" s="33"/>
      <c r="N6" s="33"/>
      <c r="O6" s="43" t="s">
        <v>19</v>
      </c>
      <c r="P6" s="43" t="s">
        <v>42</v>
      </c>
      <c r="Q6" s="42">
        <v>33.5</v>
      </c>
      <c r="R6" s="42">
        <v>67.0</v>
      </c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42">
        <v>1.0</v>
      </c>
      <c r="AJ6" s="42"/>
      <c r="AK6" s="42">
        <v>1.0</v>
      </c>
      <c r="AL6" s="42">
        <v>3.0</v>
      </c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2">
        <v>123.6899335</v>
      </c>
      <c r="C7" s="42">
        <v>123.6899335</v>
      </c>
      <c r="D7" s="42">
        <v>133.0</v>
      </c>
      <c r="E7" s="42">
        <v>133.0</v>
      </c>
      <c r="F7" s="43" t="s">
        <v>41</v>
      </c>
      <c r="G7" s="42"/>
      <c r="H7" s="43" t="s">
        <v>18</v>
      </c>
      <c r="I7" s="33"/>
      <c r="J7" s="33"/>
      <c r="K7" s="33"/>
      <c r="L7" s="33"/>
      <c r="M7" s="33"/>
      <c r="N7" s="33"/>
      <c r="O7" s="43" t="s">
        <v>17</v>
      </c>
      <c r="P7" s="43" t="s">
        <v>42</v>
      </c>
      <c r="Q7" s="42">
        <v>66.5</v>
      </c>
      <c r="R7" s="42">
        <v>133.0</v>
      </c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42">
        <v>1.0</v>
      </c>
      <c r="AJ7" s="42"/>
      <c r="AK7" s="42">
        <v>1.0</v>
      </c>
      <c r="AL7" s="42">
        <v>3.0</v>
      </c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