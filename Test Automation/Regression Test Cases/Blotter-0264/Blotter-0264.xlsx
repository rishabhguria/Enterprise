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CompliancePreference" sheetId="4" r:id="rId6"/>
    <sheet state="visible" name="CreateDoneAwayOrder" sheetId="5" r:id="rId7"/>
    <sheet state="visible" name="VerifySubOrder" sheetId="6" r:id="rId8"/>
    <sheet state="visible" name="VerifyOrder" sheetId="7" r:id="rId9"/>
    <sheet state="visible" name="AddFillsSubOrder" sheetId="8" r:id="rId10"/>
    <sheet state="visible" name="EditAddFillsDetails" sheetId="9" r:id="rId11"/>
    <sheet state="visible" name="VerifySubOrder1" sheetId="10" r:id="rId12"/>
    <sheet state="visible" name="VerifyOrder1" sheetId="11" r:id="rId13"/>
    <sheet state="visible" name="CheckAllocatedGroups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<sst xmlns="http://schemas.openxmlformats.org/spreadsheetml/2006/main" count="278" uniqueCount="51">
  <si>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</si>
  <si>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</si>
  <si>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</si>
  <si>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</si>
  <si>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</si>
  <si>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</si>
  <si>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</si>
  <si>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</si>
  <si>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</si>
  <si>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</si>
  <si>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</si>
  <si>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</si>
  <si>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</si>
  <si>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SetTTCompliancePreference</t>
  </si>
  <si>
    <t>Data Format</t>
  </si>
  <si>
    <t>Input Format</t>
  </si>
  <si>
    <t>CreateDoneAwayOrder</t>
  </si>
  <si>
    <t>AAPL</t>
  </si>
  <si>
    <t>Buy</t>
  </si>
  <si>
    <t>Allocation1</t>
  </si>
  <si>
    <t>MS</t>
  </si>
  <si>
    <t>Blotter</t>
  </si>
  <si>
    <t>VerifySubOrder</t>
  </si>
  <si>
    <t>PartiallyFilled</t>
  </si>
  <si>
    <t>VerifyOrder</t>
  </si>
  <si>
    <t>AAPL US EQUITY</t>
  </si>
  <si>
    <t>NASDAQ</t>
  </si>
  <si>
    <t>jpearce</t>
  </si>
  <si>
    <t>US</t>
  </si>
  <si>
    <t>USD</t>
  </si>
  <si>
    <t>NONE</t>
  </si>
  <si>
    <t>NewMF</t>
  </si>
  <si>
    <t>DefaultNotes</t>
  </si>
  <si>
    <t>M</t>
  </si>
  <si>
    <t>Equity</t>
  </si>
  <si>
    <t>Market</t>
  </si>
  <si>
    <t>Manual</t>
  </si>
  <si>
    <t/>
  </si>
  <si>
    <t>AddFillsWorkingSubs</t>
  </si>
  <si>
    <t>EditAddFillsDetails</t>
  </si>
  <si>
    <t>Filled</t>
  </si>
  <si>
    <t>Allocation</t>
  </si>
  <si>
    <t>CheckAllocatedGroups</t>
  </si>
  <si>
    <t>APPLE</t>
  </si>
  <si>
    <t>None</t>
  </si>
  <si>
    <t>PortfolioManagement</t>
  </si>
  <si>
    <t>CheckPortfolioManagement</t>
  </si>
  <si>
    <t>Long</t>
  </si>
  <si>
    <t>Undefined</t>
  </si>
  <si>
    <t>New Hedge</t>
  </si>
  <si>
    <t>Small Cap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</si>
</sst>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SetTTCompliancePreference!$4:$4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1000.0</v>
      </c>
      <c r="E6" s="13">
        <v>1000.0</v>
      </c>
      <c r="F6" s="13" t="s">
        <v>19</v>
      </c>
      <c r="G6" s="13" t="s">
        <v>20</v>
      </c>
      <c r="H6" s="8"/>
      <c r="I6" s="8"/>
      <c r="J6" s="13">
        <v>1.0</v>
      </c>
      <c r="K6" s="8"/>
      <c r="L6" s="8"/>
      <c r="M6" s="8"/>
      <c r="N6" s="32">
        <f>TODAY()</f>
        <v>45299</v>
      </c>
      <c r="O6" s="8"/>
      <c r="AO6" s="9">
        <v>400.0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/>
      <c r="D6" s="33"/>
      <c r="E6" s="34"/>
      <c r="F6" s="34"/>
      <c r="G6" s="35">
        <v>600.0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6">
        <v>1.0</v>
      </c>
      <c r="AE6" s="34"/>
      <c r="AF6" s="34"/>
      <c r="AG6" s="34"/>
      <c r="AH6" s="34"/>
      <c r="AI6" s="34" t="s">
        <v>17</v>
      </c>
      <c r="AJ6" s="34" t="s">
        <v>18</v>
      </c>
      <c r="AK6" s="34" t="s">
        <v>23</v>
      </c>
      <c r="AL6" s="36">
        <v>1000.0</v>
      </c>
      <c r="AM6" s="36">
        <v>400.0</v>
      </c>
      <c r="AN6" s="34"/>
      <c r="AO6" s="34"/>
      <c r="AP6" s="34"/>
      <c r="AQ6" s="34" t="s">
        <v>20</v>
      </c>
      <c r="AR6" s="34" t="s">
        <v>19</v>
      </c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/>
      <c r="D6" s="37">
        <v>1.0</v>
      </c>
      <c r="E6" s="34" t="s">
        <v>25</v>
      </c>
      <c r="F6" s="34"/>
      <c r="G6" s="35">
        <v>600.0</v>
      </c>
      <c r="H6" s="34" t="s">
        <v>26</v>
      </c>
      <c r="I6" s="34" t="s">
        <v>27</v>
      </c>
      <c r="J6" s="34" t="s">
        <v>17</v>
      </c>
      <c r="K6" s="34" t="s">
        <v>28</v>
      </c>
      <c r="L6" s="34"/>
      <c r="M6" s="34"/>
      <c r="N6" s="34"/>
      <c r="O6" s="34"/>
      <c r="P6" s="34"/>
      <c r="Q6" s="34"/>
      <c r="R6" s="34"/>
      <c r="S6" s="34"/>
      <c r="T6" s="34"/>
      <c r="U6" s="34" t="s">
        <v>29</v>
      </c>
      <c r="V6" s="34" t="s">
        <v>30</v>
      </c>
      <c r="W6" s="34"/>
      <c r="X6" s="34"/>
      <c r="Y6" s="34"/>
      <c r="Z6" s="34"/>
      <c r="AA6" s="34" t="s">
        <v>31</v>
      </c>
      <c r="AB6" s="36">
        <v>400.0</v>
      </c>
      <c r="AC6" s="34" t="s">
        <v>32</v>
      </c>
      <c r="AD6" s="36">
        <v>1.0</v>
      </c>
      <c r="AE6" s="34"/>
      <c r="AF6" s="34" t="s">
        <v>33</v>
      </c>
      <c r="AG6" s="36">
        <v>1.0</v>
      </c>
      <c r="AH6" s="34" t="s">
        <v>34</v>
      </c>
      <c r="AI6" s="34" t="s">
        <v>17</v>
      </c>
      <c r="AJ6" s="34" t="s">
        <v>18</v>
      </c>
      <c r="AK6" s="34" t="s">
        <v>23</v>
      </c>
      <c r="AL6" s="36">
        <v>1000.0</v>
      </c>
      <c r="AM6" s="36">
        <v>400.0</v>
      </c>
      <c r="AN6" s="36">
        <v>40.0</v>
      </c>
      <c r="AO6" s="36">
        <v>400.0</v>
      </c>
      <c r="AP6" s="34"/>
      <c r="AQ6" s="36">
        <v>1.0</v>
      </c>
      <c r="AR6" s="36">
        <v>1.0</v>
      </c>
      <c r="AS6" s="34" t="s">
        <v>20</v>
      </c>
      <c r="AT6" s="34" t="s">
        <v>19</v>
      </c>
      <c r="AU6" s="34" t="s">
        <v>35</v>
      </c>
      <c r="AV6" s="36">
        <v>400.0</v>
      </c>
      <c r="AW6" s="36">
        <v>400.0</v>
      </c>
      <c r="AX6" s="34" t="s">
        <v>36</v>
      </c>
      <c r="AY6" s="36">
        <v>1000.0</v>
      </c>
      <c r="AZ6" s="36">
        <v>600.0</v>
      </c>
      <c r="BA6" s="34" t="s">
        <v>27</v>
      </c>
      <c r="BB6" s="34" t="s">
        <v>37</v>
      </c>
      <c r="BC6" s="34" t="s">
        <v>37</v>
      </c>
      <c r="BD6" s="34" t="s">
        <v>37</v>
      </c>
      <c r="BE6" s="34" t="s">
        <v>37</v>
      </c>
      <c r="BF6" s="34" t="s">
        <v>37</v>
      </c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Name")</f>
        <v>Allocation Scheme Name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IFERROR(__xludf.DUMMYFUNCTION("""COMPUTED_VALUE"""),"Source")</f>
        <v>Source</v>
      </c>
      <c r="AW5" s="30" t="str">
        <f>IFERROR(__xludf.DUMMYFUNCTION("""COMPUTED_VALUE"""),"Strategy")</f>
        <v>Strategy</v>
      </c>
      <c r="AX5" s="30" t="str">
        <f>IFERROR(__xludf.DUMMYFUNCTION("""COMPUTED_VALUE"""),"Unexecuted Qty")</f>
        <v>Unexecuted Qty</v>
      </c>
      <c r="AY5" s="30" t="str">
        <f>IFERROR(__xludf.DUMMYFUNCTION("""COMPUTED_VALUE"""),"Allocation Status")</f>
        <v>Allocation Status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7">
        <v>1.0</v>
      </c>
      <c r="C6" s="34"/>
      <c r="D6" s="38" t="s">
        <v>17</v>
      </c>
      <c r="E6" s="34" t="s">
        <v>37</v>
      </c>
      <c r="F6" s="34" t="s">
        <v>18</v>
      </c>
      <c r="G6" s="34" t="s">
        <v>23</v>
      </c>
      <c r="H6" s="35">
        <v>1000.0</v>
      </c>
      <c r="I6" s="35">
        <v>400.0</v>
      </c>
      <c r="J6" s="34" t="s">
        <v>37</v>
      </c>
      <c r="K6" s="35">
        <v>1.0</v>
      </c>
      <c r="L6" s="34" t="s">
        <v>37</v>
      </c>
      <c r="M6" s="35">
        <v>1.0</v>
      </c>
      <c r="N6" s="34" t="s">
        <v>20</v>
      </c>
      <c r="O6" s="34" t="s">
        <v>19</v>
      </c>
      <c r="P6" s="34" t="s">
        <v>37</v>
      </c>
      <c r="Q6" s="34" t="s">
        <v>35</v>
      </c>
      <c r="R6" s="36">
        <v>400.0</v>
      </c>
      <c r="S6" s="36">
        <v>400.0</v>
      </c>
      <c r="T6" s="34" t="s">
        <v>37</v>
      </c>
      <c r="U6" s="34" t="s">
        <v>37</v>
      </c>
      <c r="V6" s="34" t="s">
        <v>37</v>
      </c>
      <c r="W6" s="34" t="s">
        <v>37</v>
      </c>
      <c r="X6" s="36">
        <v>600.0</v>
      </c>
      <c r="Y6" s="34" t="s">
        <v>37</v>
      </c>
      <c r="Z6" s="34" t="s">
        <v>37</v>
      </c>
      <c r="AA6" s="34" t="s">
        <v>37</v>
      </c>
      <c r="AB6" s="34" t="s">
        <v>37</v>
      </c>
      <c r="AC6" s="34" t="s">
        <v>37</v>
      </c>
      <c r="AD6" s="34" t="s">
        <v>37</v>
      </c>
      <c r="AE6" s="34" t="s">
        <v>37</v>
      </c>
      <c r="AF6" s="34" t="s">
        <v>37</v>
      </c>
      <c r="AG6" s="34" t="s">
        <v>29</v>
      </c>
      <c r="AH6" s="34" t="s">
        <v>37</v>
      </c>
      <c r="AI6" s="34" t="s">
        <v>37</v>
      </c>
      <c r="AJ6" s="34" t="s">
        <v>37</v>
      </c>
      <c r="AK6" s="34" t="s">
        <v>37</v>
      </c>
      <c r="AL6" s="34" t="s">
        <v>37</v>
      </c>
      <c r="AM6" s="34" t="s">
        <v>37</v>
      </c>
      <c r="AN6" s="34" t="s">
        <v>37</v>
      </c>
      <c r="AO6" s="34" t="s">
        <v>37</v>
      </c>
      <c r="AP6" s="34" t="s">
        <v>37</v>
      </c>
      <c r="AQ6" s="34" t="s">
        <v>37</v>
      </c>
      <c r="AR6" s="34" t="s">
        <v>37</v>
      </c>
      <c r="AS6" s="34" t="s">
        <v>37</v>
      </c>
      <c r="AT6" s="34" t="s">
        <v>37</v>
      </c>
      <c r="AU6" s="34" t="s">
        <v>37</v>
      </c>
      <c r="AV6" s="34" t="s">
        <v>37</v>
      </c>
      <c r="AW6" s="34" t="s">
        <v>37</v>
      </c>
      <c r="AX6" s="34" t="s">
        <v>37</v>
      </c>
      <c r="AY6" s="34" t="s">
        <v>37</v>
      </c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900.0</v>
      </c>
      <c r="C6" s="13">
        <v>1.0</v>
      </c>
      <c r="D6" s="13" t="b">
        <v>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>
        <v>100.0</v>
      </c>
      <c r="C7" s="13">
        <v>1.0</v>
      </c>
      <c r="D7" s="13" t="b">
        <v>1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/>
      <c r="C6" s="8" t="s">
        <v>37</v>
      </c>
      <c r="D6" s="39">
        <v>1.0</v>
      </c>
      <c r="E6" s="8" t="s">
        <v>37</v>
      </c>
      <c r="F6" s="8" t="s">
        <v>37</v>
      </c>
      <c r="G6" s="8"/>
      <c r="H6" s="8" t="s">
        <v>37</v>
      </c>
      <c r="I6" s="8" t="s">
        <v>37</v>
      </c>
      <c r="J6" s="8" t="s">
        <v>37</v>
      </c>
      <c r="K6" s="8" t="s">
        <v>37</v>
      </c>
      <c r="L6" s="8" t="s">
        <v>37</v>
      </c>
      <c r="M6" s="8" t="s">
        <v>37</v>
      </c>
      <c r="N6" s="8" t="s">
        <v>37</v>
      </c>
      <c r="O6" s="8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29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17</v>
      </c>
      <c r="AJ6" t="s">
        <v>18</v>
      </c>
      <c r="AK6" t="s">
        <v>40</v>
      </c>
      <c r="AL6">
        <v>1000.0</v>
      </c>
      <c r="AM6">
        <v>1000.0</v>
      </c>
      <c r="AO6">
        <v>1.0</v>
      </c>
      <c r="AP6">
        <v>1.0</v>
      </c>
      <c r="AQ6" t="s">
        <v>20</v>
      </c>
      <c r="AR6" t="s">
        <v>19</v>
      </c>
      <c r="AS6" t="s">
        <v>35</v>
      </c>
      <c r="AT6">
        <v>1000.0</v>
      </c>
      <c r="AU6">
        <v>1000.0</v>
      </c>
      <c r="AV6" t="s">
        <v>36</v>
      </c>
      <c r="AW6" t="s">
        <v>37</v>
      </c>
      <c r="AX6" t="s">
        <v>37</v>
      </c>
      <c r="AY6" t="s">
        <v>37</v>
      </c>
      <c r="AZ6" t="s">
        <v>27</v>
      </c>
      <c r="BA6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/>
      <c r="C6" s="8"/>
      <c r="D6" s="39">
        <v>1.0</v>
      </c>
      <c r="E6" s="8" t="s">
        <v>25</v>
      </c>
      <c r="F6" s="8"/>
      <c r="G6" s="8"/>
      <c r="H6" s="8" t="s">
        <v>26</v>
      </c>
      <c r="I6" s="8" t="s">
        <v>27</v>
      </c>
      <c r="J6" s="8" t="s">
        <v>17</v>
      </c>
      <c r="K6" s="8" t="s">
        <v>28</v>
      </c>
      <c r="L6" s="8"/>
      <c r="M6" s="8"/>
      <c r="N6" s="8"/>
      <c r="O6" s="8"/>
      <c r="U6" t="s">
        <v>29</v>
      </c>
      <c r="V6" t="s">
        <v>30</v>
      </c>
      <c r="AA6" t="s">
        <v>31</v>
      </c>
      <c r="AB6">
        <v>100.0</v>
      </c>
      <c r="AC6" t="s">
        <v>32</v>
      </c>
      <c r="AD6">
        <v>1.0</v>
      </c>
      <c r="AF6" t="s">
        <v>33</v>
      </c>
      <c r="AG6">
        <v>1.0</v>
      </c>
      <c r="AH6" t="s">
        <v>34</v>
      </c>
      <c r="AI6" t="s">
        <v>17</v>
      </c>
      <c r="AJ6" t="s">
        <v>18</v>
      </c>
      <c r="AK6" t="s">
        <v>40</v>
      </c>
      <c r="AL6">
        <v>1000.0</v>
      </c>
      <c r="AM6">
        <v>1000.0</v>
      </c>
      <c r="AN6">
        <v>100.0</v>
      </c>
      <c r="AO6">
        <v>1000.0</v>
      </c>
      <c r="AQ6">
        <v>1.0</v>
      </c>
      <c r="AR6">
        <v>1.0</v>
      </c>
      <c r="AS6" t="s">
        <v>20</v>
      </c>
      <c r="AT6" t="s">
        <v>19</v>
      </c>
      <c r="AU6" t="s">
        <v>35</v>
      </c>
      <c r="AV6">
        <v>1000.0</v>
      </c>
      <c r="AW6">
        <v>1000.0</v>
      </c>
      <c r="AX6" t="s">
        <v>36</v>
      </c>
      <c r="AY6">
        <v>1000.0</v>
      </c>
      <c r="BA6" t="s">
        <v>27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G6" s="9" t="s">
        <v>12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19</v>
      </c>
      <c r="C6" s="34" t="s">
        <v>37</v>
      </c>
      <c r="D6" s="38"/>
      <c r="E6" s="40">
        <v>1000.0</v>
      </c>
      <c r="F6" s="34" t="s">
        <v>36</v>
      </c>
      <c r="G6" s="34" t="s">
        <v>34</v>
      </c>
      <c r="H6" s="35"/>
      <c r="I6" s="35"/>
      <c r="J6" s="35"/>
      <c r="K6" s="35">
        <v>1.0</v>
      </c>
      <c r="L6" s="35">
        <v>1.0</v>
      </c>
      <c r="M6" s="34" t="s">
        <v>25</v>
      </c>
      <c r="N6" s="34" t="s">
        <v>37</v>
      </c>
      <c r="O6" s="34" t="s">
        <v>20</v>
      </c>
      <c r="P6" s="34"/>
      <c r="Q6" s="36"/>
      <c r="R6" s="34"/>
      <c r="S6" s="34"/>
      <c r="T6" s="34"/>
      <c r="U6" s="34"/>
      <c r="V6" s="34" t="s">
        <v>43</v>
      </c>
      <c r="W6" s="36"/>
      <c r="X6" s="34" t="s">
        <v>37</v>
      </c>
      <c r="Y6" s="34" t="s">
        <v>37</v>
      </c>
      <c r="Z6" s="34" t="s">
        <v>29</v>
      </c>
      <c r="AA6" s="34" t="s">
        <v>17</v>
      </c>
      <c r="AB6" s="36"/>
      <c r="AC6" s="34"/>
      <c r="AD6" s="34" t="s">
        <v>26</v>
      </c>
      <c r="AE6" s="41">
        <v>1000.0</v>
      </c>
      <c r="AF6" s="34" t="s">
        <v>37</v>
      </c>
      <c r="AG6" s="34"/>
      <c r="AH6" s="34" t="s">
        <v>33</v>
      </c>
      <c r="AI6" s="36">
        <v>1.0</v>
      </c>
      <c r="AJ6" s="34" t="s">
        <v>44</v>
      </c>
      <c r="AK6" s="34"/>
      <c r="AL6" s="34"/>
      <c r="AM6" s="34" t="s">
        <v>32</v>
      </c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 t="s">
        <v>35</v>
      </c>
      <c r="AZ6" s="34"/>
      <c r="BA6" s="34"/>
      <c r="BB6" s="34"/>
      <c r="BC6" s="34"/>
      <c r="BD6" s="34"/>
      <c r="BE6" s="41">
        <v>1000.0</v>
      </c>
      <c r="BF6" s="41">
        <v>1000.0</v>
      </c>
      <c r="BG6" s="34"/>
      <c r="BH6" s="34"/>
      <c r="BI6" s="34"/>
      <c r="BJ6" s="36">
        <v>1000.0</v>
      </c>
      <c r="BK6" s="34"/>
      <c r="BL6" s="34" t="s">
        <v>37</v>
      </c>
      <c r="BM6" s="34" t="s">
        <v>29</v>
      </c>
      <c r="BN6" s="34"/>
      <c r="BO6" s="34" t="s">
        <v>18</v>
      </c>
      <c r="BP6" s="34"/>
      <c r="BQ6" s="34"/>
      <c r="BR6" s="34"/>
      <c r="BS6" s="34"/>
      <c r="BT6" s="34" t="s">
        <v>17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 t="s">
        <v>12</v>
      </c>
      <c r="CI6" s="34" t="s">
        <v>18</v>
      </c>
      <c r="CJ6" s="34"/>
      <c r="CK6" s="34" t="s">
        <v>28</v>
      </c>
      <c r="CL6" s="34"/>
      <c r="CM6" s="34" t="s">
        <v>17</v>
      </c>
      <c r="CN6" s="34" t="s">
        <v>27</v>
      </c>
      <c r="CO6" s="34" t="s">
        <v>26</v>
      </c>
      <c r="CP6" s="34"/>
      <c r="CQ6" s="34"/>
      <c r="CR6" s="34"/>
      <c r="CS6" s="34"/>
      <c r="CT6" s="34"/>
      <c r="CU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3"/>
      <c r="B6" s="33"/>
      <c r="C6" s="42" t="s">
        <v>17</v>
      </c>
      <c r="D6" s="40">
        <v>1000.0</v>
      </c>
      <c r="E6" s="42" t="s">
        <v>19</v>
      </c>
      <c r="F6" s="42" t="s">
        <v>31</v>
      </c>
      <c r="G6" s="35"/>
      <c r="H6" s="42" t="s">
        <v>47</v>
      </c>
      <c r="I6" s="42"/>
      <c r="J6" s="42"/>
      <c r="K6" s="42"/>
      <c r="L6" s="42"/>
      <c r="M6" s="42"/>
      <c r="N6" s="42"/>
      <c r="O6" s="42" t="s">
        <v>43</v>
      </c>
      <c r="P6" s="34" t="s">
        <v>48</v>
      </c>
      <c r="Q6" s="34"/>
      <c r="R6" s="34"/>
      <c r="S6" s="34"/>
      <c r="T6" s="34" t="s">
        <v>34</v>
      </c>
      <c r="U6" s="34" t="s">
        <v>28</v>
      </c>
      <c r="V6" s="34" t="s">
        <v>26</v>
      </c>
      <c r="W6" s="34" t="s">
        <v>29</v>
      </c>
      <c r="X6" s="36">
        <v>1.0</v>
      </c>
      <c r="Y6" s="36">
        <v>1.0</v>
      </c>
      <c r="Z6" s="34"/>
      <c r="AA6" s="34"/>
      <c r="AB6" s="34"/>
      <c r="AC6" s="34"/>
      <c r="AD6" s="34"/>
      <c r="AE6" s="34"/>
      <c r="AF6" s="36"/>
      <c r="AG6" s="34"/>
      <c r="AH6" s="34"/>
      <c r="AI6" s="34"/>
      <c r="AJ6" s="34"/>
      <c r="AK6" s="34"/>
      <c r="AL6" s="34"/>
      <c r="AM6" s="34"/>
      <c r="AN6" s="34" t="s">
        <v>18</v>
      </c>
      <c r="AO6" s="34"/>
      <c r="AP6" s="34" t="s">
        <v>47</v>
      </c>
      <c r="AQ6" s="34" t="s">
        <v>17</v>
      </c>
      <c r="AR6" s="34"/>
      <c r="AS6" s="36">
        <v>1.0</v>
      </c>
      <c r="AT6" s="34"/>
      <c r="AU6" s="34"/>
      <c r="AV6" s="36"/>
      <c r="AW6" s="34"/>
      <c r="AX6" s="34"/>
      <c r="AY6" s="34"/>
      <c r="AZ6" s="34"/>
      <c r="BA6" s="34"/>
      <c r="BB6" s="34"/>
      <c r="BC6" s="36"/>
      <c r="BD6" s="34"/>
      <c r="BE6" s="34" t="s">
        <v>34</v>
      </c>
      <c r="BF6" s="34" t="s">
        <v>49</v>
      </c>
      <c r="BG6" s="34" t="s">
        <v>50</v>
      </c>
      <c r="BH6" s="34"/>
      <c r="BI6" s="36"/>
      <c r="BJ6" s="34"/>
      <c r="BK6" s="34"/>
      <c r="BL6" s="34"/>
      <c r="BM6" s="34"/>
      <c r="BN6" s="34"/>
      <c r="BO6" s="34"/>
      <c r="BP6" s="34"/>
      <c r="BQ6" s="34" t="s">
        <v>27</v>
      </c>
      <c r="BR6" s="34" t="s">
        <v>20</v>
      </c>
      <c r="BS6" s="34"/>
      <c r="BT6" s="34"/>
      <c r="BU6" s="34" t="s">
        <v>34</v>
      </c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43" t="s">
        <v>25</v>
      </c>
      <c r="CQ6" s="34"/>
      <c r="CR6" s="34"/>
      <c r="CS6" s="36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 t="s">
        <v>18</v>
      </c>
      <c r="DK6" s="34"/>
      <c r="DL6" s="34"/>
      <c r="DM6" s="36"/>
      <c r="DN6" s="34"/>
      <c r="DO6" s="34"/>
      <c r="DP6" s="34" t="s">
        <v>47</v>
      </c>
      <c r="DQ6" s="34"/>
      <c r="DR6" s="34"/>
      <c r="DS6" s="34"/>
      <c r="DT6" s="34"/>
      <c r="DU6" s="34"/>
      <c r="DV6" s="34"/>
      <c r="DW6" s="34"/>
      <c r="DX6" s="34"/>
      <c r="DY6" s="34"/>
      <c r="DZ6" s="34" t="s">
        <v>43</v>
      </c>
      <c r="EA6" s="34"/>
      <c r="EB6" s="34"/>
      <c r="EC6" s="34"/>
      <c r="ED6" s="34" t="s">
        <v>29</v>
      </c>
      <c r="EE6" s="34"/>
      <c r="EF6" s="34"/>
      <c r="EG6" s="34"/>
      <c r="EH6" s="34"/>
      <c r="EI6" s="34"/>
      <c r="EJ6" s="34"/>
      <c r="EK6" s="34"/>
      <c r="EL6" s="34" t="s">
        <v>47</v>
      </c>
      <c r="EM6" s="34"/>
      <c r="EN6" s="34"/>
      <c r="EO6" s="34"/>
      <c r="EP6" s="34"/>
      <c r="EQ6" s="34"/>
      <c r="ER6" s="34"/>
      <c r="ES6" s="34"/>
      <c r="ET6" s="34"/>
      <c r="EU6" s="34"/>
      <c r="EV6" s="34" t="s">
        <v>47</v>
      </c>
      <c r="EW6" s="34"/>
      <c r="EX6" s="34"/>
      <c r="EY6" s="34"/>
      <c r="EZ6" s="34"/>
      <c r="FA6" s="34" t="s">
        <v>37</v>
      </c>
      <c r="FB6" s="34" t="s">
        <v>37</v>
      </c>
      <c r="FC6" s="34"/>
      <c r="FD6" s="34"/>
      <c r="FE6" s="34" t="s">
        <v>37</v>
      </c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