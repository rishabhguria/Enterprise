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ChangeDate" sheetId="6" r:id="rId8"/>
    <sheet state="visible" name="ChangeDate1" sheetId="7" r:id="rId9"/>
    <sheet state="visible" name="RestartReleasesAndServices" sheetId="8" r:id="rId10"/>
    <sheet state="visible" name="TradeNewSubOrder" sheetId="9" r:id="rId11"/>
    <sheet state="visible" name="TradeNewSubOrder1" sheetId="10" r:id="rId12"/>
    <sheet state="visible" name="TradeNewSubOrder2" sheetId="11" r:id="rId13"/>
    <sheet state="visible" name="CreateNewSubLiveOrder" sheetId="12" r:id="rId14"/>
    <sheet state="visible" name="CreateNewSubLiveOrder1" sheetId="13" r:id="rId15"/>
    <sheet state="visible" name="CreateNewSubLiveOrder2" sheetId="14" r:id="rId16"/>
    <sheet state="visible" name="SelectTrade" sheetId="15" r:id="rId17"/>
    <sheet state="visible" name="AcknowledgeTrade" sheetId="16" r:id="rId18"/>
    <sheet state="visible" name="SelectTrade1" sheetId="17" r:id="rId19"/>
    <sheet state="visible" name="AcknowledgeTrade1" sheetId="18" r:id="rId20"/>
    <sheet state="visible" name="SelectTrade2" sheetId="19" r:id="rId21"/>
    <sheet state="visible" name="AcknowledgeTrade2" sheetId="20" r:id="rId22"/>
    <sheet state="visible" name="ExecuteTrade" sheetId="21" r:id="rId23"/>
    <sheet state="visible" name="CancelAllSubs" sheetId="22" r:id="rId24"/>
    <sheet state="visible" name="GetExecutionReportDetails" sheetId="23" r:id="rId25"/>
    <sheet state="visible" name="VerifyExecutionReport" sheetId="24" r:id="rId26"/>
    <sheet state="visible" name="GetDataFromAuditTrail" sheetId="25" r:id="rId27"/>
    <sheet state="visible" name="VerifyAuditTrail" sheetId="26" r:id="rId28"/>
  </sheets>
  <definedNames/>
  <calcPr/>
</workbook>
</file>

<file path=xl/sharedStrings.xml><?xml version="1.0" encoding="utf-8"?>
<sst xmlns="http://schemas.openxmlformats.org/spreadsheetml/2006/main" count="210" uniqueCount="48">
  <si>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</si>
  <si>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</si>
  <si>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</si>
  <si>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</si>
  <si>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</si>
  <si>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</si>
  <si>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</si>
  <si>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</si>
  <si>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</si>
  <si>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</si>
  <si>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</si>
  <si>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</si>
  <si>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</si>
  <si>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</si>
  <si>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</si>
  <si>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</si>
  <si>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</si>
  <si>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</si>
  <si>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</si>
  <si>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AMZN</t>
  </si>
  <si>
    <t>CreateOrder</t>
  </si>
  <si>
    <t>Buy</t>
  </si>
  <si>
    <t>Allocation1</t>
  </si>
  <si>
    <t>Good Till Date</t>
  </si>
  <si>
    <t>Limit</t>
  </si>
  <si>
    <t>GOOG</t>
  </si>
  <si>
    <t>GTC</t>
  </si>
  <si>
    <t>AAPL</t>
  </si>
  <si>
    <t>Day</t>
  </si>
  <si>
    <t>Admin</t>
  </si>
  <si>
    <t>ChangeDate</t>
  </si>
  <si>
    <t>Today()+1</t>
  </si>
  <si>
    <t>reset</t>
  </si>
  <si>
    <t>Compliance</t>
  </si>
  <si>
    <t>RestartReleasesAndServices</t>
  </si>
  <si>
    <t>Blotter</t>
  </si>
  <si>
    <t>TradeNewSubOrder</t>
  </si>
  <si>
    <t>CreateNewSubLiveOrder</t>
  </si>
  <si>
    <t>Simulator</t>
  </si>
  <si>
    <t>SelectTrade</t>
  </si>
  <si>
    <t>AcknowledgeTrade</t>
  </si>
  <si>
    <t>ExecuteTrade</t>
  </si>
  <si>
    <t>CancelAllSubs</t>
  </si>
  <si>
    <t>GetExecutionReportDetails</t>
  </si>
  <si>
    <t>VerifyExecutionReport</t>
  </si>
  <si>
    <t>AuditTrail</t>
  </si>
  <si>
    <t>GetDataFromAuditTrail</t>
  </si>
  <si>
    <t>VerifyAuditTrail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</si>
</sst>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2" numFmtId="14" xfId="0" applyFont="1" applyNumberForma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6.0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1000.0</v>
      </c>
      <c r="D6" s="12"/>
      <c r="E6" s="12" t="s">
        <v>20</v>
      </c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  <c r="P6" s="9" t="s">
        <v>22</v>
      </c>
      <c r="U6" s="9" t="s">
        <v>23</v>
      </c>
      <c r="V6" s="9" t="s">
        <v>24</v>
      </c>
      <c r="X6" s="9">
        <v>140.0</v>
      </c>
      <c r="Y6" s="34">
        <f>TODAY()+1</f>
        <v>45861</v>
      </c>
    </row>
    <row r="7" ht="15.75" customHeight="1">
      <c r="A7" s="8"/>
      <c r="B7" s="12" t="s">
        <v>25</v>
      </c>
      <c r="C7" s="12">
        <v>1000.0</v>
      </c>
      <c r="D7" s="8"/>
      <c r="E7" s="12" t="s">
        <v>20</v>
      </c>
      <c r="F7" s="8"/>
      <c r="G7" s="8"/>
      <c r="H7" s="8"/>
      <c r="I7" s="8"/>
      <c r="J7" s="12" t="s">
        <v>21</v>
      </c>
      <c r="K7" s="8"/>
      <c r="L7" s="8"/>
      <c r="M7" s="8"/>
      <c r="N7" s="8"/>
      <c r="O7" s="8"/>
      <c r="P7" s="9" t="s">
        <v>22</v>
      </c>
      <c r="U7" s="9" t="s">
        <v>26</v>
      </c>
      <c r="V7" s="9" t="s">
        <v>24</v>
      </c>
      <c r="X7" s="9">
        <v>140.0</v>
      </c>
    </row>
    <row r="8" ht="15.75" customHeight="1">
      <c r="A8" s="8"/>
      <c r="B8" s="12" t="s">
        <v>27</v>
      </c>
      <c r="C8" s="12">
        <v>1000.0</v>
      </c>
      <c r="D8" s="8"/>
      <c r="E8" s="12" t="s">
        <v>20</v>
      </c>
      <c r="F8" s="8"/>
      <c r="G8" s="8"/>
      <c r="H8" s="8"/>
      <c r="I8" s="8"/>
      <c r="J8" s="12" t="s">
        <v>21</v>
      </c>
      <c r="K8" s="8"/>
      <c r="L8" s="8"/>
      <c r="M8" s="8"/>
      <c r="N8" s="8"/>
      <c r="O8" s="8"/>
      <c r="P8" s="9" t="s">
        <v>22</v>
      </c>
      <c r="U8" s="9" t="s">
        <v>28</v>
      </c>
      <c r="V8" s="9" t="s">
        <v>24</v>
      </c>
      <c r="X8" s="9">
        <v>140.0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31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32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7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25</v>
      </c>
      <c r="AJ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12">
        <v>400.0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12">
        <v>400.0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12">
        <v>400.0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122.2</v>
      </c>
      <c r="C6" s="12">
        <v>50.0</v>
      </c>
      <c r="D6" s="12" t="b">
        <v>1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IFERROR(__xludf.DUMMYFUNCTION("""COMPUTED_VALUE"""),"CustomTabName")</f>
        <v>CustomTabName</v>
      </c>
      <c r="BA5" s="29" t="str">
        <f>IFERROR(__xludf.DUMMYFUNCTION("""COMPUTED_VALUE"""),"CancelAllSubsOnHeader")</f>
        <v>CancelAllSubsOnHeader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Date")</f>
        <v>From Date</v>
      </c>
      <c r="C5" s="27" t="str">
        <f>IFERROR(__xludf.DUMMYFUNCTION("""COMPUTED_VALUE"""),"To Date")</f>
        <v>To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>
        <f>TODAY()-5</f>
        <v>45855</v>
      </c>
      <c r="C6" s="39">
        <f>TODAY()+5</f>
        <v>45865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GetExecutionReportDetails!$4:$4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IFERROR(__xludf.DUMMYFUNCTION("""COMPUTED_VALUE"""),"Order Type")</f>
        <v>Order Type</v>
      </c>
      <c r="E5" s="27" t="str">
        <f>IFERROR(__xludf.DUMMYFUNCTION("""COMPUTED_VALUE"""),"Target Quantity")</f>
        <v>Target Quantity</v>
      </c>
      <c r="F5" s="28" t="str">
        <f>IFERROR(__xludf.DUMMYFUNCTION("""COMPUTED_VALUE"""),"Executed Qty")</f>
        <v>Executed Qty</v>
      </c>
      <c r="G5" s="27" t="str">
        <f>IFERROR(__xludf.DUMMYFUNCTION("""COMPUTED_VALUE"""),"Avg Price")</f>
        <v>Avg Price</v>
      </c>
      <c r="H5" s="27" t="str">
        <f>IFERROR(__xludf.DUMMYFUNCTION("""COMPUTED_VALUE"""),"Status")</f>
        <v>Status</v>
      </c>
      <c r="I5" s="27" t="str">
        <f>IFERROR(__xludf.DUMMYFUNCTION("""COMPUTED_VALUE"""),"Price")</f>
        <v>Price</v>
      </c>
      <c r="J5" s="27" t="str">
        <f>IFERROR(__xludf.DUMMYFUNCTION("""COMPUTED_VALUE"""),"OrderID")</f>
        <v>OrderID</v>
      </c>
      <c r="K5" s="27" t="str">
        <f>IFERROR(__xludf.DUMMYFUNCTION("""COMPUTED_VALUE"""),"CIOrderID")</f>
        <v>CIOrderID</v>
      </c>
      <c r="L5" s="27" t="str">
        <f>IFERROR(__xludf.DUMMYFUNCTION("""COMPUTED_VALUE"""),"Actual User")</f>
        <v>Actual User</v>
      </c>
      <c r="M5" s="27" t="str">
        <f>IFERROR(__xludf.DUMMYFUNCTION("""COMPUTED_VALUE"""),"Trader")</f>
        <v>Trader</v>
      </c>
      <c r="N5" s="27" t="str">
        <f>IFERROR(__xludf.DUMMYFUNCTION("""COMPUTED_VALUE"""),"Broker")</f>
        <v>Broker</v>
      </c>
      <c r="O5" s="27" t="str">
        <f>IFERROR(__xludf.DUMMYFUNCTION("""COMPUTED_VALUE"""),"Modified User")</f>
        <v>Modified User</v>
      </c>
      <c r="P5" s="27" t="str">
        <f>IFERROR(__xludf.DUMMYFUNCTION("""COMPUTED_VALUE"""),"Current User")</f>
        <v>Current User</v>
      </c>
      <c r="Q5" s="27" t="str">
        <f>IFERROR(__xludf.DUMMYFUNCTION("""COMPUTED_VALUE"""),"Avg Fx Rate")</f>
        <v>Avg Fx Rate</v>
      </c>
      <c r="R5" s="27" t="str">
        <f>IFERROR(__xludf.DUMMYFUNCTION("""COMPUTED_VALUE"""),"Account")</f>
        <v>Account</v>
      </c>
      <c r="S5" s="27" t="str">
        <f>IFERROR(__xludf.DUMMYFUNCTION("""COMPUTED_VALUE"""),"Process Date")</f>
        <v>Process Date</v>
      </c>
      <c r="T5" s="29" t="str">
        <f>IFERROR(__xludf.DUMMYFUNCTION("""COMPUTED_VALUE"""),"Last Shares")</f>
        <v>Last Shares</v>
      </c>
      <c r="U5" s="29" t="str">
        <f>IFERROR(__xludf.DUMMYFUNCTION("""COMPUTED_VALUE"""),"Last Price")</f>
        <v>Last Price</v>
      </c>
      <c r="V5" s="29" t="str">
        <f>IFERROR(__xludf.DUMMYFUNCTION("""COMPUTED_VALUE"""),"Exchange")</f>
        <v>Exchange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VerifyExecutionReport!$4:$4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>
        <f>TODAY()-5</f>
        <v>45855</v>
      </c>
      <c r="C6" s="39">
        <f>TODAY()+5</f>
        <v>45865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