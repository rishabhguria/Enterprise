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8" activeTab="12"/>
  </bookViews>
  <sheets>
    <sheet name="_Modules" sheetId="1" r:id="rId1"/>
    <sheet name="_Settings" sheetId="2" r:id="rId2"/>
    <sheet name="_MasterData" sheetId="3" r:id="rId3"/>
    <sheet name="SetTTGeneralPreferences" sheetId="4" r:id="rId4"/>
    <sheet name="AddSymbolOnRAList" sheetId="5" r:id="rId5"/>
    <sheet name="RemoveSymbolFromRAList" sheetId="6" r:id="rId6"/>
    <sheet name="ExportSymbolFromRAList" sheetId="7" r:id="rId7"/>
    <sheet name="CreateDoneAwayOrder" sheetId="8" r:id="rId8"/>
    <sheet name="TradeBloomberg" sheetId="9" r:id="rId9"/>
    <sheet name="VerifyOrder" sheetId="10" r:id="rId10"/>
    <sheet name="GetDataAllocation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J2" i="5"/>
  <c r="J2" i="4"/>
  <c r="BK5" i="13"/>
  <c r="FB5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X4" i="13"/>
  <c r="P4" i="13"/>
  <c r="H4" i="13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L5" i="11"/>
  <c r="D5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AX5" i="10"/>
  <c r="AP5" i="10"/>
  <c r="AH5" i="10"/>
  <c r="Z5" i="10"/>
  <c r="R5" i="10"/>
  <c r="J5" i="10"/>
  <c r="B5" i="10"/>
  <c r="AR4" i="10"/>
  <c r="AJ4" i="10"/>
  <c r="AB4" i="10"/>
  <c r="T4" i="10"/>
  <c r="L4" i="10"/>
  <c r="D4" i="10"/>
  <c r="AI5" i="9"/>
  <c r="AA5" i="9"/>
  <c r="S5" i="9"/>
  <c r="K5" i="9"/>
  <c r="C5" i="9"/>
  <c r="V4" i="9"/>
  <c r="N4" i="9"/>
  <c r="F4" i="9"/>
  <c r="AN5" i="8"/>
  <c r="AF5" i="8"/>
  <c r="X5" i="8"/>
  <c r="P5" i="8"/>
  <c r="H5" i="8"/>
  <c r="AA4" i="8"/>
  <c r="S4" i="8"/>
  <c r="K4" i="8"/>
  <c r="C4" i="8"/>
  <c r="Y4" i="7"/>
  <c r="Q4" i="7"/>
  <c r="I4" i="7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W4" i="13"/>
  <c r="O4" i="13"/>
  <c r="G4" i="13"/>
  <c r="CR5" i="12"/>
  <c r="CJ5" i="12"/>
  <c r="CB5" i="12"/>
  <c r="BT5" i="12"/>
  <c r="BL5" i="12"/>
  <c r="BD5" i="12"/>
  <c r="AV5" i="12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V4" i="13"/>
  <c r="N4" i="13"/>
  <c r="F4" i="13"/>
  <c r="CQ5" i="12"/>
  <c r="CI5" i="12"/>
  <c r="CA5" i="12"/>
  <c r="BS5" i="12"/>
  <c r="BK5" i="12"/>
  <c r="BC5" i="12"/>
  <c r="AU5" i="12"/>
  <c r="AM5" i="12"/>
  <c r="AE5" i="12"/>
  <c r="W5" i="12"/>
  <c r="O5" i="12"/>
  <c r="G5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R5" i="11"/>
  <c r="J5" i="11"/>
  <c r="B5" i="11"/>
  <c r="DK4" i="11"/>
  <c r="DC4" i="11"/>
  <c r="CU4" i="11"/>
  <c r="CM4" i="11"/>
  <c r="CE4" i="11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U4" i="13"/>
  <c r="M4" i="13"/>
  <c r="E4" i="13"/>
  <c r="CP5" i="12"/>
  <c r="CH5" i="12"/>
  <c r="BZ5" i="12"/>
  <c r="BR5" i="12"/>
  <c r="BJ5" i="12"/>
  <c r="BB5" i="12"/>
  <c r="AT5" i="12"/>
  <c r="AL5" i="12"/>
  <c r="AD5" i="12"/>
  <c r="V5" i="12"/>
  <c r="N5" i="12"/>
  <c r="F5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Q5" i="11"/>
  <c r="I5" i="11"/>
  <c r="A5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AU5" i="10"/>
  <c r="AM5" i="10"/>
  <c r="AE5" i="10"/>
  <c r="W5" i="10"/>
  <c r="O5" i="10"/>
  <c r="G5" i="10"/>
  <c r="AW4" i="10"/>
  <c r="AO4" i="10"/>
  <c r="AG4" i="10"/>
  <c r="Y4" i="10"/>
  <c r="Q4" i="10"/>
  <c r="I4" i="10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T4" i="13"/>
  <c r="L4" i="13"/>
  <c r="D4" i="13"/>
  <c r="CO5" i="12"/>
  <c r="CG5" i="12"/>
  <c r="BY5" i="12"/>
  <c r="BQ5" i="12"/>
  <c r="BI5" i="12"/>
  <c r="BA5" i="12"/>
  <c r="AS5" i="12"/>
  <c r="AK5" i="12"/>
  <c r="AC5" i="12"/>
  <c r="U5" i="12"/>
  <c r="M5" i="12"/>
  <c r="E5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P5" i="11"/>
  <c r="H5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S4" i="13"/>
  <c r="K4" i="13"/>
  <c r="C4" i="13"/>
  <c r="CN5" i="12"/>
  <c r="CF5" i="12"/>
  <c r="BX5" i="12"/>
  <c r="BP5" i="12"/>
  <c r="BH5" i="12"/>
  <c r="AZ5" i="12"/>
  <c r="AR5" i="12"/>
  <c r="AJ5" i="12"/>
  <c r="AB5" i="12"/>
  <c r="T5" i="12"/>
  <c r="L5" i="12"/>
  <c r="D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O5" i="11"/>
  <c r="G5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BA5" i="10"/>
  <c r="AS5" i="10"/>
  <c r="AK5" i="10"/>
  <c r="AC5" i="10"/>
  <c r="U5" i="10"/>
  <c r="M5" i="10"/>
  <c r="E5" i="10"/>
  <c r="AU4" i="10"/>
  <c r="AM4" i="10"/>
  <c r="AE4" i="10"/>
  <c r="W4" i="10"/>
  <c r="O4" i="10"/>
  <c r="G4" i="10"/>
  <c r="AL5" i="9"/>
  <c r="AD5" i="9"/>
  <c r="V5" i="9"/>
  <c r="N5" i="9"/>
  <c r="F5" i="9"/>
  <c r="Y4" i="9"/>
  <c r="Q4" i="9"/>
  <c r="I4" i="9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Z4" i="13"/>
  <c r="R4" i="13"/>
  <c r="J4" i="13"/>
  <c r="B4" i="13"/>
  <c r="CM5" i="12"/>
  <c r="CE5" i="12"/>
  <c r="BW5" i="12"/>
  <c r="BO5" i="12"/>
  <c r="BG5" i="12"/>
  <c r="AY5" i="12"/>
  <c r="AQ5" i="12"/>
  <c r="AI5" i="12"/>
  <c r="AA5" i="12"/>
  <c r="S5" i="12"/>
  <c r="K5" i="12"/>
  <c r="C5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N5" i="11"/>
  <c r="F5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AZ5" i="10"/>
  <c r="AR5" i="10"/>
  <c r="AJ5" i="10"/>
  <c r="AB5" i="10"/>
  <c r="T5" i="10"/>
  <c r="L5" i="10"/>
  <c r="D5" i="10"/>
  <c r="AT4" i="10"/>
  <c r="AL4" i="10"/>
  <c r="AD4" i="10"/>
  <c r="V4" i="10"/>
  <c r="N4" i="10"/>
  <c r="F4" i="10"/>
  <c r="AK5" i="9"/>
  <c r="AC5" i="9"/>
  <c r="U5" i="9"/>
  <c r="M5" i="9"/>
  <c r="E5" i="9"/>
  <c r="X4" i="9"/>
  <c r="P4" i="9"/>
  <c r="H4" i="9"/>
  <c r="AP5" i="8"/>
  <c r="AH5" i="8"/>
  <c r="Z5" i="8"/>
  <c r="R5" i="8"/>
  <c r="J5" i="8"/>
  <c r="B5" i="8"/>
  <c r="U4" i="8"/>
  <c r="M4" i="8"/>
  <c r="E4" i="8"/>
  <c r="AA4" i="7"/>
  <c r="S4" i="7"/>
  <c r="K4" i="7"/>
  <c r="C4" i="7"/>
  <c r="X4" i="6"/>
  <c r="P4" i="6"/>
  <c r="H4" i="6"/>
  <c r="B5" i="5"/>
  <c r="U4" i="5"/>
  <c r="M4" i="5"/>
  <c r="E4" i="5"/>
  <c r="C5" i="4"/>
  <c r="E4" i="4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Y4" i="13"/>
  <c r="Q4" i="13"/>
  <c r="I4" i="13"/>
  <c r="CL5" i="12"/>
  <c r="AH5" i="12"/>
  <c r="B5" i="12"/>
  <c r="CM4" i="12"/>
  <c r="BG4" i="12"/>
  <c r="AA4" i="12"/>
  <c r="M5" i="11"/>
  <c r="CX4" i="11"/>
  <c r="BW4" i="11"/>
  <c r="AZ4" i="11"/>
  <c r="AD4" i="11"/>
  <c r="K4" i="11"/>
  <c r="AT5" i="10"/>
  <c r="AD5" i="10"/>
  <c r="N5" i="10"/>
  <c r="AV4" i="10"/>
  <c r="AF4" i="10"/>
  <c r="P4" i="10"/>
  <c r="Z5" i="9"/>
  <c r="O5" i="9"/>
  <c r="A5" i="9"/>
  <c r="O4" i="9"/>
  <c r="C4" i="9"/>
  <c r="AI5" i="8"/>
  <c r="W5" i="8"/>
  <c r="M5" i="8"/>
  <c r="C5" i="8"/>
  <c r="R4" i="8"/>
  <c r="H4" i="8"/>
  <c r="A5" i="7"/>
  <c r="P4" i="7"/>
  <c r="F4" i="7"/>
  <c r="Z4" i="6"/>
  <c r="Q4" i="6"/>
  <c r="G4" i="6"/>
  <c r="AA4" i="5"/>
  <c r="R4" i="5"/>
  <c r="I4" i="5"/>
  <c r="F5" i="4"/>
  <c r="G4" i="4"/>
  <c r="A493" i="1"/>
  <c r="C489" i="1"/>
  <c r="C486" i="1"/>
  <c r="C483" i="1"/>
  <c r="C480" i="1"/>
  <c r="C477" i="1"/>
  <c r="C474" i="1"/>
  <c r="C471" i="1"/>
  <c r="B468" i="1"/>
  <c r="B465" i="1"/>
  <c r="B462" i="1"/>
  <c r="B459" i="1"/>
  <c r="B456" i="1"/>
  <c r="B453" i="1"/>
  <c r="B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CD5" i="12"/>
  <c r="AF5" i="12"/>
  <c r="DQ4" i="12"/>
  <c r="CK4" i="12"/>
  <c r="BE4" i="12"/>
  <c r="Y4" i="12"/>
  <c r="K5" i="11"/>
  <c r="CV4" i="11"/>
  <c r="BR4" i="11"/>
  <c r="AY4" i="11"/>
  <c r="AB4" i="11"/>
  <c r="F4" i="11"/>
  <c r="AQ5" i="10"/>
  <c r="AA5" i="10"/>
  <c r="K5" i="10"/>
  <c r="AS4" i="10"/>
  <c r="AC4" i="10"/>
  <c r="M4" i="10"/>
  <c r="AM5" i="9"/>
  <c r="Y5" i="9"/>
  <c r="L5" i="9"/>
  <c r="AA4" i="9"/>
  <c r="M4" i="9"/>
  <c r="B4" i="9"/>
  <c r="AG5" i="8"/>
  <c r="V5" i="8"/>
  <c r="L5" i="8"/>
  <c r="A5" i="8"/>
  <c r="Q4" i="8"/>
  <c r="G4" i="8"/>
  <c r="Z4" i="7"/>
  <c r="O4" i="7"/>
  <c r="E4" i="7"/>
  <c r="Y4" i="6"/>
  <c r="O4" i="6"/>
  <c r="F4" i="6"/>
  <c r="Z4" i="5"/>
  <c r="Q4" i="5"/>
  <c r="H4" i="5"/>
  <c r="E5" i="4"/>
  <c r="F4" i="4"/>
  <c r="B492" i="1"/>
  <c r="B489" i="1"/>
  <c r="B486" i="1"/>
  <c r="B483" i="1"/>
  <c r="B480" i="1"/>
  <c r="B477" i="1"/>
  <c r="B474" i="1"/>
  <c r="A471" i="1"/>
  <c r="A468" i="1"/>
  <c r="A465" i="1"/>
  <c r="A462" i="1"/>
  <c r="A459" i="1"/>
  <c r="A456" i="1"/>
  <c r="A453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BV5" i="12"/>
  <c r="Z5" i="12"/>
  <c r="DK4" i="12"/>
  <c r="CE4" i="12"/>
  <c r="AY4" i="12"/>
  <c r="S4" i="12"/>
  <c r="E5" i="11"/>
  <c r="CP4" i="11"/>
  <c r="BP4" i="11"/>
  <c r="AT4" i="11"/>
  <c r="AA4" i="11"/>
  <c r="D4" i="11"/>
  <c r="AO5" i="10"/>
  <c r="Y5" i="10"/>
  <c r="I5" i="10"/>
  <c r="AQ4" i="10"/>
  <c r="AA4" i="10"/>
  <c r="K4" i="10"/>
  <c r="AJ5" i="9"/>
  <c r="X5" i="9"/>
  <c r="J5" i="9"/>
  <c r="Z4" i="9"/>
  <c r="L4" i="9"/>
  <c r="AE5" i="8"/>
  <c r="U5" i="8"/>
  <c r="K5" i="8"/>
  <c r="Z4" i="8"/>
  <c r="P4" i="8"/>
  <c r="F4" i="8"/>
  <c r="X4" i="7"/>
  <c r="N4" i="7"/>
  <c r="D4" i="7"/>
  <c r="W4" i="6"/>
  <c r="N4" i="6"/>
  <c r="E4" i="6"/>
  <c r="Y4" i="5"/>
  <c r="P4" i="5"/>
  <c r="G4" i="5"/>
  <c r="D5" i="4"/>
  <c r="D4" i="4"/>
  <c r="A492" i="1"/>
  <c r="A489" i="1"/>
  <c r="A486" i="1"/>
  <c r="A483" i="1"/>
  <c r="A480" i="1"/>
  <c r="A477" i="1"/>
  <c r="C473" i="1"/>
  <c r="C470" i="1"/>
  <c r="C467" i="1"/>
  <c r="C464" i="1"/>
  <c r="C461" i="1"/>
  <c r="C458" i="1"/>
  <c r="C455" i="1"/>
  <c r="B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N5" i="12"/>
  <c r="X5" i="12"/>
  <c r="DI4" i="12"/>
  <c r="CC4" i="12"/>
  <c r="AW4" i="12"/>
  <c r="Q4" i="12"/>
  <c r="C5" i="11"/>
  <c r="CN4" i="11"/>
  <c r="BO4" i="11"/>
  <c r="AR4" i="11"/>
  <c r="V4" i="11"/>
  <c r="C4" i="11"/>
  <c r="AN5" i="10"/>
  <c r="X5" i="10"/>
  <c r="H5" i="10"/>
  <c r="AP4" i="10"/>
  <c r="Z4" i="10"/>
  <c r="J4" i="10"/>
  <c r="AH5" i="9"/>
  <c r="W5" i="9"/>
  <c r="I5" i="9"/>
  <c r="W4" i="9"/>
  <c r="K4" i="9"/>
  <c r="AO5" i="8"/>
  <c r="AD5" i="8"/>
  <c r="T5" i="8"/>
  <c r="I5" i="8"/>
  <c r="Y4" i="8"/>
  <c r="O4" i="8"/>
  <c r="D4" i="8"/>
  <c r="W4" i="7"/>
  <c r="M4" i="7"/>
  <c r="B4" i="7"/>
  <c r="V4" i="6"/>
  <c r="M4" i="6"/>
  <c r="D4" i="6"/>
  <c r="X4" i="5"/>
  <c r="O4" i="5"/>
  <c r="F4" i="5"/>
  <c r="B5" i="4"/>
  <c r="C4" i="4"/>
  <c r="C491" i="1"/>
  <c r="C488" i="1"/>
  <c r="C485" i="1"/>
  <c r="C482" i="1"/>
  <c r="C479" i="1"/>
  <c r="B476" i="1"/>
  <c r="B473" i="1"/>
  <c r="B470" i="1"/>
  <c r="B467" i="1"/>
  <c r="B464" i="1"/>
  <c r="B461" i="1"/>
  <c r="B458" i="1"/>
  <c r="A455" i="1"/>
  <c r="A452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BF5" i="12"/>
  <c r="R5" i="12"/>
  <c r="DC4" i="12"/>
  <c r="BW4" i="12"/>
  <c r="AQ4" i="12"/>
  <c r="K4" i="12"/>
  <c r="DN4" i="11"/>
  <c r="CH4" i="11"/>
  <c r="BJ4" i="11"/>
  <c r="AQ4" i="11"/>
  <c r="T4" i="11"/>
  <c r="AL5" i="10"/>
  <c r="V5" i="10"/>
  <c r="F5" i="10"/>
  <c r="AN4" i="10"/>
  <c r="X4" i="10"/>
  <c r="H4" i="10"/>
  <c r="AG5" i="9"/>
  <c r="T5" i="9"/>
  <c r="H5" i="9"/>
  <c r="U4" i="9"/>
  <c r="J4" i="9"/>
  <c r="AM5" i="8"/>
  <c r="AC5" i="8"/>
  <c r="S5" i="8"/>
  <c r="G5" i="8"/>
  <c r="X4" i="8"/>
  <c r="N4" i="8"/>
  <c r="B4" i="8"/>
  <c r="V4" i="7"/>
  <c r="L4" i="7"/>
  <c r="U4" i="6"/>
  <c r="L4" i="6"/>
  <c r="C4" i="6"/>
  <c r="W4" i="5"/>
  <c r="N4" i="5"/>
  <c r="D4" i="5"/>
  <c r="A5" i="4"/>
  <c r="B4" i="4"/>
  <c r="B491" i="1"/>
  <c r="B488" i="1"/>
  <c r="B485" i="1"/>
  <c r="B482" i="1"/>
  <c r="A479" i="1"/>
  <c r="A476" i="1"/>
  <c r="A473" i="1"/>
  <c r="A470" i="1"/>
  <c r="A467" i="1"/>
  <c r="A464" i="1"/>
  <c r="A461" i="1"/>
  <c r="C457" i="1"/>
  <c r="C454" i="1"/>
  <c r="C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AX5" i="12"/>
  <c r="P5" i="12"/>
  <c r="DA4" i="12"/>
  <c r="BU4" i="12"/>
  <c r="AO4" i="12"/>
  <c r="I4" i="12"/>
  <c r="DL4" i="11"/>
  <c r="CF4" i="11"/>
  <c r="BH4" i="11"/>
  <c r="AL4" i="11"/>
  <c r="S4" i="11"/>
  <c r="AY5" i="10"/>
  <c r="AI5" i="10"/>
  <c r="S5" i="10"/>
  <c r="C5" i="10"/>
  <c r="AK4" i="10"/>
  <c r="U4" i="10"/>
  <c r="E4" i="10"/>
  <c r="AF5" i="9"/>
  <c r="R5" i="9"/>
  <c r="G5" i="9"/>
  <c r="T4" i="9"/>
  <c r="G4" i="9"/>
  <c r="AL5" i="8"/>
  <c r="AB5" i="8"/>
  <c r="Q5" i="8"/>
  <c r="F5" i="8"/>
  <c r="W4" i="8"/>
  <c r="L4" i="8"/>
  <c r="U4" i="7"/>
  <c r="J4" i="7"/>
  <c r="B5" i="6"/>
  <c r="T4" i="6"/>
  <c r="K4" i="6"/>
  <c r="B4" i="6"/>
  <c r="V4" i="5"/>
  <c r="L4" i="5"/>
  <c r="C4" i="5"/>
  <c r="J4" i="4"/>
  <c r="A491" i="1"/>
  <c r="A488" i="1"/>
  <c r="A485" i="1"/>
  <c r="C481" i="1"/>
  <c r="C478" i="1"/>
  <c r="C475" i="1"/>
  <c r="C472" i="1"/>
  <c r="C469" i="1"/>
  <c r="C466" i="1"/>
  <c r="C463" i="1"/>
  <c r="B460" i="1"/>
  <c r="B457" i="1"/>
  <c r="B454" i="1"/>
  <c r="B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AP5" i="12"/>
  <c r="J5" i="12"/>
  <c r="CU4" i="12"/>
  <c r="BO4" i="12"/>
  <c r="AI4" i="12"/>
  <c r="C4" i="12"/>
  <c r="DF4" i="11"/>
  <c r="BZ4" i="11"/>
  <c r="BG4" i="11"/>
  <c r="AJ4" i="11"/>
  <c r="N4" i="11"/>
  <c r="AW5" i="10"/>
  <c r="AG5" i="10"/>
  <c r="Q5" i="10"/>
  <c r="A5" i="10"/>
  <c r="AI4" i="10"/>
  <c r="S4" i="10"/>
  <c r="C4" i="10"/>
  <c r="AE5" i="9"/>
  <c r="Q5" i="9"/>
  <c r="D5" i="9"/>
  <c r="S4" i="9"/>
  <c r="E4" i="9"/>
  <c r="AK5" i="8"/>
  <c r="AA5" i="8"/>
  <c r="O5" i="8"/>
  <c r="E5" i="8"/>
  <c r="V4" i="8"/>
  <c r="J4" i="8"/>
  <c r="C5" i="7"/>
  <c r="T4" i="7"/>
  <c r="H4" i="7"/>
  <c r="A5" i="6"/>
  <c r="S4" i="6"/>
  <c r="J4" i="6"/>
  <c r="T4" i="5"/>
  <c r="K4" i="5"/>
  <c r="B4" i="5"/>
  <c r="I4" i="4"/>
  <c r="A4" i="3"/>
  <c r="C490" i="1"/>
  <c r="C487" i="1"/>
  <c r="B484" i="1"/>
  <c r="B481" i="1"/>
  <c r="B478" i="1"/>
  <c r="B475" i="1"/>
  <c r="B472" i="1"/>
  <c r="B469" i="1"/>
  <c r="B466" i="1"/>
  <c r="A463" i="1"/>
  <c r="A460" i="1"/>
  <c r="A457" i="1"/>
  <c r="A454" i="1"/>
  <c r="A451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AN5" i="12"/>
  <c r="H5" i="12"/>
  <c r="CS4" i="12"/>
  <c r="BM4" i="12"/>
  <c r="AG4" i="12"/>
  <c r="DD4" i="11"/>
  <c r="BX4" i="11"/>
  <c r="BB4" i="11"/>
  <c r="AI4" i="11"/>
  <c r="L4" i="11"/>
  <c r="AV5" i="10"/>
  <c r="AF5" i="10"/>
  <c r="P5" i="10"/>
  <c r="AX4" i="10"/>
  <c r="AH4" i="10"/>
  <c r="R4" i="10"/>
  <c r="B4" i="10"/>
  <c r="AB5" i="9"/>
  <c r="P5" i="9"/>
  <c r="B5" i="9"/>
  <c r="R4" i="9"/>
  <c r="D4" i="9"/>
  <c r="AJ5" i="8"/>
  <c r="Y5" i="8"/>
  <c r="N5" i="8"/>
  <c r="D5" i="8"/>
  <c r="T4" i="8"/>
  <c r="I4" i="8"/>
  <c r="B5" i="7"/>
  <c r="R4" i="7"/>
  <c r="G4" i="7"/>
  <c r="AA4" i="6"/>
  <c r="R4" i="6"/>
  <c r="I4" i="6"/>
  <c r="A5" i="5"/>
  <c r="S4" i="5"/>
  <c r="J4" i="5"/>
  <c r="H4" i="4"/>
  <c r="B493" i="1"/>
  <c r="B490" i="1"/>
  <c r="A487" i="1"/>
  <c r="A484" i="1"/>
  <c r="A481" i="1"/>
  <c r="A478" i="1"/>
  <c r="A475" i="1"/>
  <c r="A472" i="1"/>
  <c r="A469" i="1"/>
  <c r="C465" i="1"/>
  <c r="C462" i="1"/>
  <c r="C459" i="1"/>
  <c r="C456" i="1"/>
  <c r="C453" i="1"/>
  <c r="C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A264" i="1"/>
  <c r="A261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66" i="1"/>
  <c r="C263" i="1"/>
  <c r="B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66" i="1"/>
  <c r="A263" i="1"/>
  <c r="A260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65" i="1"/>
  <c r="C262" i="1"/>
  <c r="C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265" i="1"/>
  <c r="B262" i="1"/>
  <c r="B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65" i="1"/>
  <c r="A262" i="1"/>
  <c r="A259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64" i="1"/>
  <c r="C261" i="1"/>
  <c r="C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64" i="1"/>
  <c r="B261" i="1"/>
  <c r="B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</calcChain>
</file>

<file path=xl/sharedStrings.xml><?xml version="1.0" encoding="utf-8"?>
<sst xmlns="http://schemas.openxmlformats.org/spreadsheetml/2006/main" count="217" uniqueCount="57">
  <si>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</si>
  <si>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</si>
  <si>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</si>
  <si>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</si>
  <si>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</si>
  <si>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</si>
  <si>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</si>
  <si>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</si>
  <si>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</si>
  <si>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</si>
  <si>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</si>
  <si>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</si>
  <si>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</si>
  <si>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</si>
  <si>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</si>
  <si>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</si>
  <si>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</si>
  <si>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</si>
  <si>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MSFT</t>
  </si>
  <si>
    <t>IBM</t>
  </si>
  <si>
    <t>AAPL</t>
  </si>
  <si>
    <t xml:space="preserve">O:CAM 10E37.50 </t>
  </si>
  <si>
    <t>O:ABM 10D20.00</t>
  </si>
  <si>
    <t>CL H9</t>
  </si>
  <si>
    <t>BP H9</t>
  </si>
  <si>
    <t>GBP/USD</t>
  </si>
  <si>
    <t>USD/NOK</t>
  </si>
  <si>
    <t>RemoveSymbolFromRAList</t>
  </si>
  <si>
    <t>ExportSymbolFromRAList</t>
  </si>
  <si>
    <t>CreateDoneAwayOrder</t>
  </si>
  <si>
    <t>Buy</t>
  </si>
  <si>
    <t>Allocation1</t>
  </si>
  <si>
    <t>Sell</t>
  </si>
  <si>
    <t>TradeBloomberg</t>
  </si>
  <si>
    <t>MSFT US EQUITY</t>
  </si>
  <si>
    <t>Blotter</t>
  </si>
  <si>
    <t>VerifyOrder</t>
  </si>
  <si>
    <t>NASDAQ</t>
  </si>
  <si>
    <t>USD</t>
  </si>
  <si>
    <t>Equity</t>
  </si>
  <si>
    <t>Filled</t>
  </si>
  <si>
    <t>MS</t>
  </si>
  <si>
    <t>Market</t>
  </si>
  <si>
    <t>CAM</t>
  </si>
  <si>
    <t>EquityOption</t>
  </si>
  <si>
    <t>Allocation</t>
  </si>
  <si>
    <t>GetDataAllocation</t>
  </si>
  <si>
    <t>Current</t>
  </si>
  <si>
    <t>CheckAllocatedGroups</t>
  </si>
  <si>
    <t>Open</t>
  </si>
  <si>
    <t>O:CAM 10E37.50</t>
  </si>
  <si>
    <t>PortfolioManagement</t>
  </si>
  <si>
    <t>CheckPortfolioManagement</t>
  </si>
  <si>
    <t>Long</t>
  </si>
  <si>
    <t>US</t>
  </si>
  <si>
    <t>Short</t>
  </si>
  <si>
    <t>OPTS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</si>
</sst>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4" fillId="0" borderId="5" xfId="0" applyFont="1" applyBorder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3" t="s">
        <v>0</v>
      </c>
      <c r="B1" s="34"/>
      <c r="C1" s="34"/>
      <c r="D1" s="34"/>
      <c r="E1" s="34"/>
      <c r="F1" s="3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6" t="s">
        <v>2</v>
      </c>
      <c r="B1" s="34"/>
      <c r="C1" s="3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3" t="s">
        <v>7</v>
      </c>
      <c r="B1" s="34"/>
      <c r="C1" s="34"/>
      <c r="D1" s="34"/>
      <c r="E1" s="34"/>
      <c r="F1" s="3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 t="b">
        <v>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19.425781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9" t="s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9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9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9" t="s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9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9" t="s">
        <v>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9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9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 Securities List")</f>
        <v>Restricted Securities List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9" t="s">
        <v>24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9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4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 Securities List")</f>
        <v>Restricted Securities List</v>
      </c>
      <c r="C5" s="23" t="str">
        <f ca="1">IFERROR(__xludf.DUMMYFUNCTION("""COMPUTED_VALUE"""),"Allowed Securities List")</f>
        <v>Allowed Securities List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C6" s="9" t="s">
        <v>18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C7" s="9" t="s">
        <v>19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C8" s="9" t="s">
        <v>21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C9" s="9" t="s">
        <v>22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C10" s="9" t="s">
        <v>23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9" t="s">
        <v>26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9" t="s">
        <v>30</v>
      </c>
      <c r="D6" s="9">
        <v>50</v>
      </c>
      <c r="E6" s="9">
        <v>50</v>
      </c>
      <c r="F6" s="9" t="s">
        <v>31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9" t="s">
        <v>21</v>
      </c>
      <c r="C7" s="9" t="s">
        <v>32</v>
      </c>
      <c r="D7" s="9">
        <v>100</v>
      </c>
      <c r="E7" s="9">
        <v>100</v>
      </c>
      <c r="F7" s="9" t="s">
        <v>31</v>
      </c>
      <c r="G7" s="5"/>
      <c r="H7" s="5"/>
      <c r="I7" s="5"/>
      <c r="J7" s="9">
        <v>20</v>
      </c>
      <c r="K7" s="5"/>
      <c r="L7" s="5"/>
      <c r="M7" s="5"/>
      <c r="N7" s="5"/>
      <c r="O7" s="5"/>
    </row>
    <row r="8" spans="1:154" ht="15.75" customHeight="1">
      <c r="A8" s="5"/>
      <c r="B8" s="9" t="s">
        <v>24</v>
      </c>
      <c r="C8" s="9" t="s">
        <v>30</v>
      </c>
      <c r="D8" s="9">
        <v>150</v>
      </c>
      <c r="E8" s="9">
        <v>150</v>
      </c>
      <c r="F8" s="9" t="s">
        <v>31</v>
      </c>
      <c r="G8" s="5"/>
      <c r="H8" s="5"/>
      <c r="I8" s="5"/>
      <c r="J8" s="9">
        <v>30</v>
      </c>
      <c r="K8" s="5"/>
      <c r="L8" s="5"/>
      <c r="M8" s="5"/>
      <c r="N8" s="5"/>
      <c r="O8" s="5"/>
    </row>
    <row r="9" spans="1:154" ht="15.75" customHeight="1">
      <c r="A9" s="5"/>
      <c r="B9" s="9" t="s">
        <v>25</v>
      </c>
      <c r="C9" s="9" t="s">
        <v>32</v>
      </c>
      <c r="D9" s="9">
        <v>200</v>
      </c>
      <c r="E9" s="9">
        <v>200</v>
      </c>
      <c r="F9" s="9" t="s">
        <v>31</v>
      </c>
      <c r="G9" s="5"/>
      <c r="H9" s="5"/>
      <c r="I9" s="5"/>
      <c r="J9" s="9">
        <v>40</v>
      </c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33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34</v>
      </c>
      <c r="C6" s="9" t="s">
        <v>30</v>
      </c>
      <c r="D6" s="9">
        <v>200</v>
      </c>
      <c r="E6" s="9">
        <v>200</v>
      </c>
      <c r="F6" s="9" t="s">
        <v>31</v>
      </c>
      <c r="G6" s="5"/>
      <c r="H6" s="5"/>
      <c r="I6" s="5"/>
      <c r="J6" s="9">
        <v>100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35</v>
      </c>
      <c r="D3" s="2" t="s">
        <v>9</v>
      </c>
      <c r="E3" s="18" t="s">
        <v>36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10</v>
      </c>
      <c r="E6" s="26"/>
      <c r="F6" s="5"/>
      <c r="G6" s="5"/>
      <c r="H6" s="9" t="s">
        <v>37</v>
      </c>
      <c r="I6" s="5"/>
      <c r="J6" s="9" t="s">
        <v>18</v>
      </c>
      <c r="K6" s="5"/>
      <c r="L6" s="5"/>
      <c r="M6" s="5"/>
      <c r="N6" s="5"/>
      <c r="O6" s="5"/>
      <c r="T6" s="6">
        <v>0</v>
      </c>
      <c r="U6" s="6" t="s">
        <v>38</v>
      </c>
      <c r="AD6" s="6">
        <v>1</v>
      </c>
      <c r="AG6" s="6">
        <v>10</v>
      </c>
      <c r="AH6" s="6" t="s">
        <v>39</v>
      </c>
      <c r="AI6" s="6" t="s">
        <v>18</v>
      </c>
      <c r="AJ6" s="6" t="s">
        <v>30</v>
      </c>
      <c r="AK6" s="6" t="s">
        <v>40</v>
      </c>
      <c r="AL6" s="6">
        <v>50</v>
      </c>
      <c r="AM6" s="6">
        <v>50</v>
      </c>
      <c r="AN6" s="6">
        <v>100</v>
      </c>
      <c r="AO6" s="6">
        <v>50</v>
      </c>
      <c r="AQ6" s="6">
        <v>10</v>
      </c>
      <c r="AR6" s="6">
        <v>10</v>
      </c>
      <c r="AS6" s="6" t="s">
        <v>41</v>
      </c>
      <c r="AT6" s="6" t="s">
        <v>31</v>
      </c>
      <c r="AU6" s="6" t="s">
        <v>42</v>
      </c>
      <c r="AV6" s="6">
        <v>500</v>
      </c>
      <c r="AW6" s="6">
        <v>500</v>
      </c>
      <c r="AY6" s="6">
        <v>50</v>
      </c>
      <c r="AZ6" s="6">
        <v>0</v>
      </c>
    </row>
    <row r="7" spans="1:154" ht="15.75" customHeight="1">
      <c r="A7" s="5"/>
      <c r="B7" s="5"/>
      <c r="C7" s="5"/>
      <c r="D7" s="9">
        <v>20</v>
      </c>
      <c r="E7" s="5"/>
      <c r="F7" s="5"/>
      <c r="G7" s="5"/>
      <c r="H7" s="9" t="s">
        <v>37</v>
      </c>
      <c r="I7" s="5"/>
      <c r="J7" s="9" t="s">
        <v>43</v>
      </c>
      <c r="K7" s="5"/>
      <c r="L7" s="5"/>
      <c r="M7" s="5"/>
      <c r="N7" s="5"/>
      <c r="O7" s="5"/>
      <c r="T7" s="6">
        <v>0</v>
      </c>
      <c r="U7" s="6" t="s">
        <v>38</v>
      </c>
      <c r="AD7" s="6">
        <v>1</v>
      </c>
      <c r="AG7" s="6">
        <v>20</v>
      </c>
      <c r="AH7" s="6" t="s">
        <v>44</v>
      </c>
      <c r="AI7" s="9" t="s">
        <v>21</v>
      </c>
      <c r="AJ7" s="6" t="s">
        <v>32</v>
      </c>
      <c r="AK7" s="6" t="s">
        <v>40</v>
      </c>
      <c r="AL7" s="6">
        <v>100</v>
      </c>
      <c r="AM7" s="6">
        <v>100</v>
      </c>
      <c r="AN7" s="6">
        <v>100</v>
      </c>
      <c r="AO7" s="6">
        <v>100</v>
      </c>
      <c r="AQ7" s="6">
        <v>20</v>
      </c>
      <c r="AR7" s="6">
        <v>20</v>
      </c>
      <c r="AS7" s="6" t="s">
        <v>41</v>
      </c>
      <c r="AT7" s="6" t="s">
        <v>31</v>
      </c>
      <c r="AU7" s="6" t="s">
        <v>42</v>
      </c>
      <c r="AV7" s="27">
        <v>-200000</v>
      </c>
      <c r="AW7" s="27">
        <v>-200000</v>
      </c>
      <c r="AY7" s="6">
        <v>100</v>
      </c>
      <c r="AZ7" s="6">
        <v>0</v>
      </c>
    </row>
    <row r="8" spans="1:154" ht="15.75" customHeight="1">
      <c r="A8" s="5"/>
      <c r="B8" s="5"/>
      <c r="C8" s="5"/>
      <c r="D8" s="9">
        <v>100</v>
      </c>
      <c r="E8" s="5"/>
      <c r="F8" s="5"/>
      <c r="G8" s="5"/>
      <c r="H8" s="9" t="s">
        <v>37</v>
      </c>
      <c r="I8" s="5"/>
      <c r="J8" s="9" t="s">
        <v>18</v>
      </c>
      <c r="K8" s="5"/>
      <c r="L8" s="5"/>
      <c r="M8" s="5"/>
      <c r="N8" s="5"/>
      <c r="O8" s="5"/>
      <c r="T8" s="6">
        <v>0</v>
      </c>
      <c r="U8" s="6" t="s">
        <v>38</v>
      </c>
      <c r="AD8" s="6">
        <v>1</v>
      </c>
      <c r="AG8" s="6">
        <v>100</v>
      </c>
      <c r="AH8" s="6" t="s">
        <v>39</v>
      </c>
      <c r="AI8" s="6" t="s">
        <v>18</v>
      </c>
      <c r="AJ8" s="6" t="s">
        <v>30</v>
      </c>
      <c r="AK8" s="6" t="s">
        <v>40</v>
      </c>
      <c r="AL8" s="6">
        <v>200</v>
      </c>
      <c r="AM8" s="6">
        <v>200</v>
      </c>
      <c r="AN8" s="6">
        <v>100</v>
      </c>
      <c r="AO8" s="6">
        <v>200</v>
      </c>
      <c r="AQ8" s="6">
        <v>100</v>
      </c>
      <c r="AR8" s="6">
        <v>100</v>
      </c>
      <c r="AS8" s="6" t="s">
        <v>41</v>
      </c>
      <c r="AT8" s="6" t="s">
        <v>31</v>
      </c>
      <c r="AU8" s="6" t="s">
        <v>42</v>
      </c>
      <c r="AV8" s="27">
        <v>20000</v>
      </c>
      <c r="AW8" s="27">
        <v>20000</v>
      </c>
      <c r="AY8" s="6">
        <v>200</v>
      </c>
      <c r="AZ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45</v>
      </c>
      <c r="D3" s="2" t="s">
        <v>9</v>
      </c>
      <c r="E3" s="18" t="s">
        <v>46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47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2" width="14.42578125" customWidth="1"/>
    <col min="13" max="13" width="20.85546875" customWidth="1"/>
    <col min="14" max="154" width="14.42578125" customWidth="1"/>
  </cols>
  <sheetData>
    <row r="1" spans="1:154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45</v>
      </c>
      <c r="D3" s="2" t="s">
        <v>9</v>
      </c>
      <c r="E3" s="18" t="s">
        <v>48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8" t="s">
        <v>31</v>
      </c>
      <c r="C6" s="5"/>
      <c r="D6" s="29">
        <v>0</v>
      </c>
      <c r="E6" s="29">
        <v>50</v>
      </c>
      <c r="F6" s="5"/>
      <c r="G6" s="30" t="s">
        <v>39</v>
      </c>
      <c r="H6" s="29">
        <v>4</v>
      </c>
      <c r="I6" s="29">
        <v>5</v>
      </c>
      <c r="J6" s="5"/>
      <c r="K6" s="29">
        <v>10</v>
      </c>
      <c r="L6" s="29">
        <v>10</v>
      </c>
      <c r="M6" s="30"/>
      <c r="N6" s="5"/>
      <c r="O6" s="9" t="s">
        <v>41</v>
      </c>
      <c r="Q6" s="29">
        <v>3</v>
      </c>
      <c r="R6" s="29">
        <v>0</v>
      </c>
      <c r="S6" s="30" t="s">
        <v>49</v>
      </c>
      <c r="T6" s="29">
        <v>0</v>
      </c>
      <c r="U6" s="29">
        <v>0</v>
      </c>
      <c r="AE6" s="29">
        <v>50</v>
      </c>
      <c r="AI6" s="29">
        <v>1</v>
      </c>
      <c r="AT6" s="29">
        <v>514.00030000000004</v>
      </c>
      <c r="AU6" s="29">
        <v>514.00030000000004</v>
      </c>
      <c r="AW6" s="29">
        <v>0</v>
      </c>
      <c r="AX6" s="29">
        <v>0</v>
      </c>
      <c r="AY6" s="30" t="s">
        <v>42</v>
      </c>
      <c r="AZ6" s="29">
        <v>0</v>
      </c>
      <c r="BC6" s="29">
        <v>0</v>
      </c>
      <c r="BE6" s="29">
        <v>500</v>
      </c>
      <c r="BF6" s="29">
        <v>500</v>
      </c>
      <c r="BJ6" s="29">
        <v>50</v>
      </c>
      <c r="BK6" s="29">
        <v>0</v>
      </c>
      <c r="BM6" s="30" t="s">
        <v>38</v>
      </c>
      <c r="BO6" s="30" t="s">
        <v>30</v>
      </c>
      <c r="BP6" s="29">
        <v>0</v>
      </c>
      <c r="BQ6" s="29">
        <v>0</v>
      </c>
      <c r="BT6" s="30" t="s">
        <v>18</v>
      </c>
      <c r="BU6" s="29">
        <v>3</v>
      </c>
      <c r="BV6" s="29">
        <v>0</v>
      </c>
      <c r="BW6" s="29">
        <v>14.000299999999999</v>
      </c>
      <c r="BX6" s="29">
        <v>0</v>
      </c>
      <c r="CI6" s="30" t="s">
        <v>30</v>
      </c>
      <c r="CJ6" s="29">
        <v>0</v>
      </c>
    </row>
    <row r="7" spans="1:154" ht="15.75" customHeight="1">
      <c r="A7" s="5"/>
      <c r="B7" s="30" t="s">
        <v>31</v>
      </c>
      <c r="C7" s="5"/>
      <c r="D7" s="29">
        <v>0</v>
      </c>
      <c r="E7" s="29">
        <v>100</v>
      </c>
      <c r="F7" s="5"/>
      <c r="G7" s="30" t="s">
        <v>44</v>
      </c>
      <c r="H7" s="29">
        <v>0</v>
      </c>
      <c r="I7" s="29">
        <v>0</v>
      </c>
      <c r="J7" s="5"/>
      <c r="K7" s="29">
        <v>20</v>
      </c>
      <c r="L7" s="29">
        <v>20</v>
      </c>
      <c r="M7" s="31"/>
      <c r="N7" s="5"/>
      <c r="O7" s="9" t="s">
        <v>41</v>
      </c>
      <c r="Q7" s="29">
        <v>3</v>
      </c>
      <c r="R7" s="29">
        <v>0</v>
      </c>
      <c r="S7" s="30" t="s">
        <v>49</v>
      </c>
      <c r="T7" s="29">
        <v>0</v>
      </c>
      <c r="U7" s="29">
        <v>0</v>
      </c>
      <c r="AE7" s="29">
        <v>100</v>
      </c>
      <c r="AI7" s="29">
        <v>1</v>
      </c>
      <c r="AT7" s="29">
        <v>200000</v>
      </c>
      <c r="AU7" s="29">
        <v>200000</v>
      </c>
      <c r="AW7" s="29">
        <v>0</v>
      </c>
      <c r="AX7" s="29">
        <v>0</v>
      </c>
      <c r="AY7" s="30" t="s">
        <v>42</v>
      </c>
      <c r="AZ7" s="29">
        <v>0</v>
      </c>
      <c r="BC7" s="29">
        <v>0</v>
      </c>
      <c r="BE7" s="29">
        <v>200000</v>
      </c>
      <c r="BF7" s="29">
        <v>200000</v>
      </c>
      <c r="BJ7" s="29">
        <v>100</v>
      </c>
      <c r="BK7" s="29">
        <v>0</v>
      </c>
      <c r="BM7" s="30" t="s">
        <v>38</v>
      </c>
      <c r="BO7" s="30" t="s">
        <v>32</v>
      </c>
      <c r="BP7" s="29">
        <v>0</v>
      </c>
      <c r="BQ7" s="29">
        <v>0</v>
      </c>
      <c r="BT7" s="30" t="s">
        <v>50</v>
      </c>
      <c r="BU7" s="29">
        <v>0</v>
      </c>
      <c r="BV7" s="29">
        <v>0</v>
      </c>
      <c r="BW7" s="29">
        <v>0</v>
      </c>
      <c r="BX7" s="29">
        <v>0</v>
      </c>
      <c r="CI7" s="30" t="s">
        <v>32</v>
      </c>
      <c r="CJ7" s="29">
        <v>0</v>
      </c>
    </row>
    <row r="8" spans="1:154" ht="15.75" customHeight="1">
      <c r="A8" s="5"/>
      <c r="B8" s="30" t="s">
        <v>31</v>
      </c>
      <c r="C8" s="5"/>
      <c r="D8" s="29">
        <v>0</v>
      </c>
      <c r="E8" s="29">
        <v>200</v>
      </c>
      <c r="F8" s="5"/>
      <c r="G8" s="30" t="s">
        <v>39</v>
      </c>
      <c r="H8" s="29">
        <v>4</v>
      </c>
      <c r="I8" s="29">
        <v>5</v>
      </c>
      <c r="J8" s="5"/>
      <c r="K8" s="29">
        <v>100</v>
      </c>
      <c r="L8" s="29">
        <v>100</v>
      </c>
      <c r="M8" s="30"/>
      <c r="N8" s="5"/>
      <c r="O8" s="9" t="s">
        <v>41</v>
      </c>
      <c r="Q8" s="29">
        <v>3</v>
      </c>
      <c r="R8" s="29">
        <v>0</v>
      </c>
      <c r="S8" s="30" t="s">
        <v>49</v>
      </c>
      <c r="T8" s="29">
        <v>0</v>
      </c>
      <c r="U8" s="29">
        <v>0</v>
      </c>
      <c r="AE8" s="29">
        <v>200</v>
      </c>
      <c r="AI8" s="29">
        <v>1</v>
      </c>
      <c r="AT8" s="29">
        <v>20014.011200000001</v>
      </c>
      <c r="AU8" s="29">
        <v>20014.011200000001</v>
      </c>
      <c r="AW8" s="29">
        <v>0</v>
      </c>
      <c r="AX8" s="29">
        <v>0</v>
      </c>
      <c r="AY8" s="30" t="s">
        <v>42</v>
      </c>
      <c r="AZ8" s="29">
        <v>0</v>
      </c>
      <c r="BC8" s="29">
        <v>0</v>
      </c>
      <c r="BE8" s="29">
        <v>20000</v>
      </c>
      <c r="BF8" s="29">
        <v>20000</v>
      </c>
      <c r="BJ8" s="29">
        <v>200</v>
      </c>
      <c r="BK8" s="29">
        <v>0</v>
      </c>
      <c r="BM8" s="30" t="s">
        <v>38</v>
      </c>
      <c r="BO8" s="30" t="s">
        <v>30</v>
      </c>
      <c r="BP8" s="29">
        <v>0</v>
      </c>
      <c r="BQ8" s="29">
        <v>0</v>
      </c>
      <c r="BT8" s="30" t="s">
        <v>18</v>
      </c>
      <c r="BU8" s="29">
        <v>3</v>
      </c>
      <c r="BV8" s="29">
        <v>0</v>
      </c>
      <c r="BW8" s="29">
        <v>14.011200000000001</v>
      </c>
      <c r="BX8" s="29">
        <v>0</v>
      </c>
      <c r="CI8" s="30" t="s">
        <v>30</v>
      </c>
      <c r="CJ8" s="29">
        <v>0</v>
      </c>
    </row>
    <row r="9" spans="1:154" ht="15.75" customHeight="1">
      <c r="A9" s="5"/>
      <c r="B9" s="30"/>
      <c r="C9" s="5"/>
      <c r="D9" s="3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R9" s="30"/>
      <c r="U9" s="30"/>
      <c r="AT9" s="30"/>
      <c r="AU9" s="30"/>
      <c r="AY9" s="30"/>
      <c r="BC9" s="30"/>
      <c r="BK9" s="30"/>
      <c r="BU9" s="30"/>
      <c r="BV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U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U11" s="30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M14" sqref="BM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4"/>
      <c r="B1" s="33" t="s">
        <v>11</v>
      </c>
      <c r="C1" s="34"/>
      <c r="D1" s="34"/>
      <c r="E1" s="34"/>
      <c r="F1" s="34"/>
      <c r="G1" s="34"/>
      <c r="H1" s="3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51</v>
      </c>
      <c r="D3" s="2" t="s">
        <v>9</v>
      </c>
      <c r="E3" s="18" t="s">
        <v>52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6" t="s">
        <v>18</v>
      </c>
      <c r="D6" s="9">
        <v>50</v>
      </c>
      <c r="E6" s="9" t="s">
        <v>31</v>
      </c>
      <c r="F6" s="5"/>
      <c r="G6" s="9">
        <v>10</v>
      </c>
      <c r="H6" s="9" t="s">
        <v>53</v>
      </c>
      <c r="I6" s="9">
        <v>0</v>
      </c>
      <c r="J6" s="5"/>
      <c r="K6" s="9">
        <v>0</v>
      </c>
      <c r="L6" s="9">
        <v>0</v>
      </c>
      <c r="M6" s="9">
        <v>0</v>
      </c>
      <c r="N6" s="9">
        <v>-500</v>
      </c>
      <c r="O6" s="5"/>
      <c r="Q6" s="9">
        <v>-500</v>
      </c>
      <c r="T6" s="6" t="s">
        <v>39</v>
      </c>
      <c r="U6" s="6" t="s">
        <v>54</v>
      </c>
      <c r="V6" s="6" t="s">
        <v>37</v>
      </c>
      <c r="W6" s="6" t="s">
        <v>38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</v>
      </c>
      <c r="AG6" s="6">
        <v>0</v>
      </c>
      <c r="AH6" s="6">
        <v>0</v>
      </c>
      <c r="AI6" s="6">
        <v>0</v>
      </c>
      <c r="AJ6" s="6">
        <v>0</v>
      </c>
      <c r="AK6" s="9">
        <v>-500</v>
      </c>
      <c r="AL6" s="6">
        <v>1</v>
      </c>
      <c r="AM6" s="6">
        <v>1</v>
      </c>
      <c r="AN6" s="6" t="s">
        <v>30</v>
      </c>
      <c r="AP6" s="6" t="s">
        <v>53</v>
      </c>
      <c r="AQ6" s="6" t="s">
        <v>18</v>
      </c>
      <c r="AR6" s="6">
        <v>0</v>
      </c>
      <c r="AV6" s="6">
        <v>1</v>
      </c>
      <c r="AW6" s="9">
        <v>-500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9">
        <v>-500</v>
      </c>
      <c r="BJ6" s="6">
        <v>0</v>
      </c>
      <c r="BK6" s="6">
        <v>0</v>
      </c>
      <c r="BL6" s="6">
        <v>0</v>
      </c>
      <c r="BM6" s="6">
        <v>0</v>
      </c>
      <c r="BO6" s="9">
        <v>-500</v>
      </c>
      <c r="BP6" s="6">
        <v>0</v>
      </c>
      <c r="BR6" s="6" t="s">
        <v>41</v>
      </c>
      <c r="BS6" s="6">
        <v>0</v>
      </c>
      <c r="BT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9">
        <v>-500</v>
      </c>
      <c r="CE6" s="6">
        <v>0</v>
      </c>
      <c r="CF6" s="6">
        <v>0</v>
      </c>
      <c r="CG6" s="9">
        <v>-500</v>
      </c>
      <c r="CH6" s="6">
        <v>-100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D6" s="6">
        <v>50</v>
      </c>
      <c r="DE6" s="6">
        <v>0</v>
      </c>
      <c r="DF6" s="6">
        <v>0</v>
      </c>
      <c r="DG6" s="6">
        <v>0</v>
      </c>
      <c r="DI6" s="6">
        <v>0</v>
      </c>
      <c r="DJ6" s="6" t="s">
        <v>30</v>
      </c>
      <c r="DK6" s="6">
        <v>0</v>
      </c>
      <c r="DL6" s="6">
        <v>0</v>
      </c>
      <c r="DM6" s="6">
        <v>1</v>
      </c>
      <c r="DN6" s="6">
        <v>0</v>
      </c>
      <c r="DP6" s="6" t="s">
        <v>53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53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  <c r="EU6" s="6">
        <v>0</v>
      </c>
      <c r="EV6" s="6" t="s">
        <v>53</v>
      </c>
    </row>
    <row r="7" spans="1:168" ht="15.75" customHeight="1">
      <c r="A7" s="5"/>
      <c r="B7" s="5"/>
      <c r="C7" s="9" t="s">
        <v>21</v>
      </c>
      <c r="D7" s="9">
        <v>-100</v>
      </c>
      <c r="E7" s="9" t="s">
        <v>31</v>
      </c>
      <c r="F7" s="5"/>
      <c r="G7" s="9">
        <v>20</v>
      </c>
      <c r="H7" s="9" t="s">
        <v>55</v>
      </c>
      <c r="I7" s="9">
        <v>0</v>
      </c>
      <c r="J7" s="5"/>
      <c r="K7" s="9">
        <v>0</v>
      </c>
      <c r="L7" s="9">
        <v>0</v>
      </c>
      <c r="M7" s="9">
        <v>0</v>
      </c>
      <c r="N7" s="32">
        <v>200000</v>
      </c>
      <c r="O7" s="5"/>
      <c r="Q7" s="32">
        <v>200000</v>
      </c>
      <c r="T7" s="6" t="s">
        <v>44</v>
      </c>
      <c r="U7" s="6" t="s">
        <v>54</v>
      </c>
      <c r="V7" s="6" t="s">
        <v>56</v>
      </c>
      <c r="W7" s="6" t="s">
        <v>38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32">
        <v>200000</v>
      </c>
      <c r="AL7" s="6">
        <v>0</v>
      </c>
      <c r="AM7" s="6">
        <v>1</v>
      </c>
      <c r="AN7" s="6" t="s">
        <v>32</v>
      </c>
      <c r="AP7" s="6" t="s">
        <v>53</v>
      </c>
      <c r="AQ7" s="6" t="s">
        <v>43</v>
      </c>
      <c r="AR7" s="6">
        <v>0</v>
      </c>
      <c r="AV7" s="6">
        <v>1</v>
      </c>
      <c r="AW7" s="32">
        <v>200000</v>
      </c>
      <c r="AX7" s="6">
        <v>0</v>
      </c>
      <c r="AY7" s="6">
        <v>0</v>
      </c>
      <c r="AZ7" s="6">
        <v>0</v>
      </c>
      <c r="BA7" s="6">
        <v>100</v>
      </c>
      <c r="BC7" s="6">
        <v>1</v>
      </c>
      <c r="BD7" s="32">
        <v>200000</v>
      </c>
      <c r="BJ7" s="6">
        <v>0</v>
      </c>
      <c r="BK7" s="6">
        <v>0</v>
      </c>
      <c r="BL7" s="6">
        <v>0</v>
      </c>
      <c r="BM7" s="6">
        <v>0</v>
      </c>
      <c r="BO7" s="32">
        <v>200000</v>
      </c>
      <c r="BP7" s="6">
        <v>-100</v>
      </c>
      <c r="BR7" s="6" t="s">
        <v>41</v>
      </c>
      <c r="BS7" s="6">
        <v>0</v>
      </c>
      <c r="BT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32">
        <v>200000</v>
      </c>
      <c r="CE7" s="6">
        <v>0</v>
      </c>
      <c r="CF7" s="6">
        <v>0</v>
      </c>
      <c r="CG7" s="32">
        <v>200000</v>
      </c>
      <c r="CH7" s="6">
        <v>100</v>
      </c>
      <c r="CI7" s="6">
        <v>0</v>
      </c>
      <c r="CJ7" s="6">
        <v>0</v>
      </c>
      <c r="CS7" s="6">
        <v>20</v>
      </c>
      <c r="DA7" s="6">
        <v>0</v>
      </c>
      <c r="DB7" s="6">
        <v>0</v>
      </c>
      <c r="DD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32</v>
      </c>
      <c r="DK7" s="6">
        <v>0</v>
      </c>
      <c r="DL7" s="6">
        <v>0</v>
      </c>
      <c r="DM7" s="6">
        <v>1</v>
      </c>
      <c r="DN7" s="6">
        <v>0</v>
      </c>
      <c r="DP7" s="6" t="s">
        <v>53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53</v>
      </c>
      <c r="EM7" s="6">
        <v>0</v>
      </c>
      <c r="EN7" s="6">
        <v>0</v>
      </c>
      <c r="EO7" s="6">
        <v>0</v>
      </c>
      <c r="EQ7" s="6">
        <v>0</v>
      </c>
      <c r="ER7" s="6">
        <v>0</v>
      </c>
      <c r="EU7" s="6">
        <v>0</v>
      </c>
      <c r="EV7" s="6" t="s">
        <v>53</v>
      </c>
    </row>
    <row r="8" spans="1:168" ht="15.75" customHeight="1">
      <c r="A8" s="5"/>
      <c r="B8" s="5"/>
      <c r="C8" s="6" t="s">
        <v>18</v>
      </c>
      <c r="D8" s="9">
        <v>200</v>
      </c>
      <c r="E8" s="9" t="s">
        <v>31</v>
      </c>
      <c r="F8" s="5"/>
      <c r="G8" s="9">
        <v>100</v>
      </c>
      <c r="H8" s="9" t="s">
        <v>53</v>
      </c>
      <c r="I8" s="9">
        <v>0</v>
      </c>
      <c r="J8" s="5"/>
      <c r="K8" s="9">
        <v>0</v>
      </c>
      <c r="L8" s="9">
        <v>0</v>
      </c>
      <c r="M8" s="9">
        <v>0</v>
      </c>
      <c r="N8" s="32">
        <v>-20000</v>
      </c>
      <c r="O8" s="5"/>
      <c r="Q8" s="32">
        <v>-20000</v>
      </c>
      <c r="T8" s="6" t="s">
        <v>39</v>
      </c>
      <c r="U8" s="6" t="s">
        <v>54</v>
      </c>
      <c r="V8" s="6" t="s">
        <v>37</v>
      </c>
      <c r="W8" s="6" t="s">
        <v>38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200</v>
      </c>
      <c r="AG8" s="6">
        <v>0</v>
      </c>
      <c r="AH8" s="6">
        <v>0</v>
      </c>
      <c r="AI8" s="6">
        <v>0</v>
      </c>
      <c r="AJ8" s="6">
        <v>0</v>
      </c>
      <c r="AK8" s="32">
        <v>-20000</v>
      </c>
      <c r="AL8" s="6">
        <v>1</v>
      </c>
      <c r="AM8" s="6">
        <v>1</v>
      </c>
      <c r="AN8" s="6" t="s">
        <v>30</v>
      </c>
      <c r="AP8" s="6" t="s">
        <v>53</v>
      </c>
      <c r="AQ8" s="6" t="s">
        <v>18</v>
      </c>
      <c r="AR8" s="6">
        <v>0</v>
      </c>
      <c r="AV8" s="6">
        <v>1</v>
      </c>
      <c r="AW8" s="32">
        <v>-20000</v>
      </c>
      <c r="AX8" s="6">
        <v>0</v>
      </c>
      <c r="AY8" s="6">
        <v>0</v>
      </c>
      <c r="AZ8" s="6">
        <v>0</v>
      </c>
      <c r="BA8" s="6">
        <v>-100</v>
      </c>
      <c r="BC8" s="6">
        <v>1</v>
      </c>
      <c r="BD8" s="32">
        <v>-20000</v>
      </c>
      <c r="BJ8" s="6">
        <v>0</v>
      </c>
      <c r="BK8" s="6">
        <v>0</v>
      </c>
      <c r="BL8" s="6">
        <v>0</v>
      </c>
      <c r="BM8" s="6">
        <v>0</v>
      </c>
      <c r="BO8" s="32">
        <v>-20000</v>
      </c>
      <c r="BP8" s="6">
        <v>0</v>
      </c>
      <c r="BR8" s="6" t="s">
        <v>41</v>
      </c>
      <c r="BS8" s="6">
        <v>0</v>
      </c>
      <c r="BT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32">
        <v>-20000</v>
      </c>
      <c r="CE8" s="6">
        <v>0</v>
      </c>
      <c r="CF8" s="6">
        <v>0</v>
      </c>
      <c r="CG8" s="32">
        <v>-20000</v>
      </c>
      <c r="CH8" s="6">
        <v>-100</v>
      </c>
      <c r="CI8" s="6">
        <v>0</v>
      </c>
      <c r="CJ8" s="6">
        <v>0</v>
      </c>
      <c r="CS8" s="6">
        <v>100</v>
      </c>
      <c r="DA8" s="6">
        <v>0</v>
      </c>
      <c r="DB8" s="6">
        <v>0</v>
      </c>
      <c r="DD8" s="6">
        <v>200</v>
      </c>
      <c r="DE8" s="6">
        <v>0</v>
      </c>
      <c r="DF8" s="6">
        <v>0</v>
      </c>
      <c r="DG8" s="6">
        <v>0</v>
      </c>
      <c r="DI8" s="6">
        <v>0</v>
      </c>
      <c r="DJ8" s="6" t="s">
        <v>30</v>
      </c>
      <c r="DK8" s="6">
        <v>0</v>
      </c>
      <c r="DL8" s="6">
        <v>0</v>
      </c>
      <c r="DM8" s="6">
        <v>1</v>
      </c>
      <c r="DN8" s="6">
        <v>0</v>
      </c>
      <c r="DP8" s="6" t="s">
        <v>53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 t="s">
        <v>53</v>
      </c>
      <c r="EM8" s="6">
        <v>0</v>
      </c>
      <c r="EN8" s="6">
        <v>0</v>
      </c>
      <c r="EO8" s="6">
        <v>0</v>
      </c>
      <c r="EQ8" s="6">
        <v>0</v>
      </c>
      <c r="ER8" s="6">
        <v>0</v>
      </c>
      <c r="EU8" s="6">
        <v>0</v>
      </c>
      <c r="EV8" s="6" t="s">
        <v>53</v>
      </c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SetTTGeneralPreferences</vt:lpstr>
      <vt:lpstr>AddSymbolOnRAList</vt:lpstr>
      <vt:lpstr>RemoveSymbolFromRAList</vt:lpstr>
      <vt:lpstr>ExportSymbolFromRAList</vt:lpstr>
      <vt:lpstr>CreateDoneAwayOrder</vt:lpstr>
      <vt:lpstr>TradeBloomberg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2021-08-04T11:06:05Z</dcterms:modified>
</cp:coreProperties>
</file>