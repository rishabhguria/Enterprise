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ditSMGridUi" sheetId="4" r:id="rId6"/>
    <sheet state="visible" name="UpdateExpnlConfig" sheetId="5" r:id="rId7"/>
    <sheet state="visible" name="UpdateRoundLot" sheetId="6" r:id="rId8"/>
    <sheet state="visible" name="CustomOrderTT" sheetId="7" r:id="rId9"/>
    <sheet state="visible" name="PricingInput" sheetId="8" r:id="rId10"/>
    <sheet state="visible" name="GetForexConversion" sheetId="9" r:id="rId11"/>
    <sheet state="visible" name="UpdateForexConversion" sheetId="10" r:id="rId12"/>
    <sheet state="visible" name="GetDataAllocation" sheetId="11" r:id="rId13"/>
    <sheet state="visible" name="SelectAllocatedGroup" sheetId="12" r:id="rId14"/>
    <sheet state="visible" name="BookOrUpdateSwap" sheetId="13" r:id="rId15"/>
    <sheet state="visible" name="SelectAllocatedGroup1" sheetId="14" r:id="rId16"/>
    <sheet state="visible" name="BookOrUpdateSwap1" sheetId="15" r:id="rId17"/>
    <sheet state="visible" name="CustomOrderTT1" sheetId="16" r:id="rId18"/>
    <sheet state="visible" name="PricingInput1" sheetId="17" r:id="rId19"/>
    <sheet state="visible" name="GetDailyCash" sheetId="18" r:id="rId20"/>
    <sheet state="visible" name="UpdateMultipleDailyCash" sheetId="19" r:id="rId21"/>
    <sheet state="visible" name="GetCashTransaction" sheetId="20" r:id="rId22"/>
    <sheet state="visible" name="AddCashTransaction" sheetId="21" r:id="rId23"/>
    <sheet state="visible" name="RunRevaluation" sheetId="22" r:id="rId24"/>
    <sheet state="visible" name="RebalancePreference" sheetId="23" r:id="rId25"/>
    <sheet state="visible" name="FetchAccountPositions" sheetId="24" r:id="rId26"/>
    <sheet state="visible" name="AddCash" sheetId="25" r:id="rId27"/>
    <sheet state="visible" name="RunRebalance" sheetId="26" r:id="rId28"/>
    <sheet state="visible" name="RebalanceAcrossSecurities" sheetId="27" r:id="rId29"/>
    <sheet state="visible" name="ModifyRebalance" sheetId="28" r:id="rId30"/>
    <sheet state="visible" name="SendtoStaging" sheetId="29" r:id="rId31"/>
    <sheet state="visible" name="RunRebalance1" sheetId="30" r:id="rId32"/>
    <sheet state="visible" name="SendtoStaging1" sheetId="31" r:id="rId33"/>
    <sheet state="visible" name="RunRebalance2" sheetId="32" r:id="rId34"/>
    <sheet state="visible" name="SendtoStaging2" sheetId="33" r:id="rId35"/>
    <sheet state="visible" name="TradeNewSubOrder" sheetId="34" r:id="rId36"/>
    <sheet state="visible" name="CreateNewSubLiveOrder" sheetId="35" r:id="rId37"/>
    <sheet state="visible" name="TradeNewSubOrder1" sheetId="36" r:id="rId38"/>
    <sheet state="visible" name="CreateNewSubLiveOrder1" sheetId="37" r:id="rId39"/>
    <sheet state="visible" name="SelectTrade" sheetId="38" r:id="rId40"/>
    <sheet state="visible" name="AcknowledgeTrade" sheetId="39" r:id="rId41"/>
    <sheet state="visible" name="ExecuteTrade" sheetId="40" r:id="rId42"/>
    <sheet state="visible" name="SelectTrade1" sheetId="41" r:id="rId43"/>
    <sheet state="visible" name="AcknowledgeTrade1" sheetId="42" r:id="rId44"/>
    <sheet state="visible" name="ExecuteTrade1" sheetId="43" r:id="rId45"/>
    <sheet state="visible" name="CheckAllocatedGroups" sheetId="44" r:id="rId46"/>
    <sheet state="visible" name="CheckPortfolioManagement" sheetId="45" r:id="rId47"/>
  </sheets>
  <definedNames/>
  <calcPr/>
</workbook>
</file>

<file path=xl/sharedStrings.xml><?xml version="1.0" encoding="utf-8"?>
<sst xmlns="http://schemas.openxmlformats.org/spreadsheetml/2006/main" count="925" uniqueCount="133">
  <si>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</si>
  <si>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</si>
  <si>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</si>
  <si>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</si>
  <si>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</si>
  <si>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</si>
  <si>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</si>
  <si>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</si>
  <si>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</si>
  <si>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</si>
  <si>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</si>
  <si>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</si>
  <si>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SymbolLookup</t>
  </si>
  <si>
    <t>EditSMGridUi</t>
  </si>
  <si>
    <t>Data Format</t>
  </si>
  <si>
    <t>Input Format</t>
  </si>
  <si>
    <t>ES H4</t>
  </si>
  <si>
    <t>Yes</t>
  </si>
  <si>
    <t>Expnl</t>
  </si>
  <si>
    <t>UpdateExpnlConfig</t>
  </si>
  <si>
    <t>EquitySwapsMarketValueAsEquity</t>
  </si>
  <si>
    <t>Admin</t>
  </si>
  <si>
    <t>UpdateRoundLot</t>
  </si>
  <si>
    <t>AMZN</t>
  </si>
  <si>
    <t>FRA-FRA</t>
  </si>
  <si>
    <t>GLE-LON</t>
  </si>
  <si>
    <t>INFY</t>
  </si>
  <si>
    <t>KO</t>
  </si>
  <si>
    <t>SAP</t>
  </si>
  <si>
    <t>TradingTicket</t>
  </si>
  <si>
    <t>CustomOrderTT</t>
  </si>
  <si>
    <t>DoneAway</t>
  </si>
  <si>
    <t>Buy</t>
  </si>
  <si>
    <t>Sell</t>
  </si>
  <si>
    <t>Sell short</t>
  </si>
  <si>
    <t>912828WJ5</t>
  </si>
  <si>
    <t>O:AAPL 14C545.00</t>
  </si>
  <si>
    <t>Buy to Open</t>
  </si>
  <si>
    <t>O:MSFT 14K29.00</t>
  </si>
  <si>
    <t>Sell to Close</t>
  </si>
  <si>
    <t>PricingInput</t>
  </si>
  <si>
    <t>DailyValuation</t>
  </si>
  <si>
    <t>GetForexConversion</t>
  </si>
  <si>
    <t>UpdateForexConversion</t>
  </si>
  <si>
    <t>EUR</t>
  </si>
  <si>
    <t>USD</t>
  </si>
  <si>
    <t>USD A0-FX</t>
  </si>
  <si>
    <t>GBP</t>
  </si>
  <si>
    <t>GBP A0-FX</t>
  </si>
  <si>
    <t>Allocation</t>
  </si>
  <si>
    <t>GetDataAllocation</t>
  </si>
  <si>
    <t>Historical</t>
  </si>
  <si>
    <t>SelectAllocatedGroup</t>
  </si>
  <si>
    <t>BookOrUpdateSwap</t>
  </si>
  <si>
    <t xml:space="preserve"> ES U5</t>
  </si>
  <si>
    <t xml:space="preserve"> ES H4</t>
  </si>
  <si>
    <t>GetDailyCash</t>
  </si>
  <si>
    <t>UpdateMultipleDailyCash</t>
  </si>
  <si>
    <t>Allocation1</t>
  </si>
  <si>
    <t>GeneralLedger</t>
  </si>
  <si>
    <t>GetCashTransaction</t>
  </si>
  <si>
    <t>ExDate</t>
  </si>
  <si>
    <t>No</t>
  </si>
  <si>
    <t>Exact</t>
  </si>
  <si>
    <t>AddCashTransaction</t>
  </si>
  <si>
    <t>DividendIncome</t>
  </si>
  <si>
    <t>GOOG</t>
  </si>
  <si>
    <t>Long</t>
  </si>
  <si>
    <t>mgmt fees</t>
  </si>
  <si>
    <t>M</t>
  </si>
  <si>
    <t>Cash Transaction</t>
  </si>
  <si>
    <t>RunRevaluation</t>
  </si>
  <si>
    <t>NewMF</t>
  </si>
  <si>
    <t>Rebalancer</t>
  </si>
  <si>
    <t>RebalancePreference</t>
  </si>
  <si>
    <t>Allocation1,Other Assets Market Value</t>
  </si>
  <si>
    <t>FetchAccountPositions</t>
  </si>
  <si>
    <t>AddCash</t>
  </si>
  <si>
    <t>Impact NAV</t>
  </si>
  <si>
    <t>None</t>
  </si>
  <si>
    <t>RunRebalance</t>
  </si>
  <si>
    <t>Round Up</t>
  </si>
  <si>
    <t>RebalanceAcrossSecurities</t>
  </si>
  <si>
    <t>BMW-XET</t>
  </si>
  <si>
    <t>Increase</t>
  </si>
  <si>
    <t>ModifyRebalance</t>
  </si>
  <si>
    <t>SendtoStaging</t>
  </si>
  <si>
    <t>SellShort</t>
  </si>
  <si>
    <t>BuyToClose</t>
  </si>
  <si>
    <t>Nearest Round Off</t>
  </si>
  <si>
    <t>Round Down</t>
  </si>
  <si>
    <t>Blotter</t>
  </si>
  <si>
    <t>TradeNewSubOrder</t>
  </si>
  <si>
    <t>CreateNewSubLiveOrder</t>
  </si>
  <si>
    <t>Simulator</t>
  </si>
  <si>
    <t>SelectTrade</t>
  </si>
  <si>
    <t>AcknowledgeTrade</t>
  </si>
  <si>
    <t>ExecuteTrade</t>
  </si>
  <si>
    <t>CheckAllocatedGroups</t>
  </si>
  <si>
    <t/>
  </si>
  <si>
    <t>Actual_365</t>
  </si>
  <si>
    <t>Manual</t>
  </si>
  <si>
    <t>Equity</t>
  </si>
  <si>
    <t>AMZN US EQUITY</t>
  </si>
  <si>
    <t>Treasury</t>
  </si>
  <si>
    <t>MS</t>
  </si>
  <si>
    <t>Open</t>
  </si>
  <si>
    <t>AMAZON.COM</t>
  </si>
  <si>
    <t>NASDAQ</t>
  </si>
  <si>
    <t>Market</t>
  </si>
  <si>
    <t>InternalOrder</t>
  </si>
  <si>
    <t>Strategy Unallocated</t>
  </si>
  <si>
    <t>KO US EQUITY</t>
  </si>
  <si>
    <t>COCA COLA</t>
  </si>
  <si>
    <t>NYSE</t>
  </si>
  <si>
    <t>PortfolioManagement</t>
  </si>
  <si>
    <t>CheckPortfolioManagement</t>
  </si>
  <si>
    <t>Undefined</t>
  </si>
  <si>
    <t>FIMAT</t>
  </si>
  <si>
    <t>US</t>
  </si>
  <si>
    <t>Short</t>
  </si>
  <si>
    <t>Equity General</t>
  </si>
  <si>
    <t>Communications</t>
  </si>
  <si>
    <t>Europe</t>
  </si>
  <si>
    <t>USA</t>
  </si>
  <si>
    <t>jpearce</t>
  </si>
  <si>
    <t>US0231351067</t>
  </si>
  <si>
    <t>User Defined</t>
  </si>
  <si>
    <t>Default</t>
  </si>
  <si>
    <t>AMZN.O</t>
  </si>
  <si>
    <t>Consumer</t>
  </si>
  <si>
    <t>US1912161007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</si>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</sst>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3" numFmtId="164" xfId="0" applyAlignment="1" applyFont="1" applyNumberFormat="1">
      <alignment horizontal="right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horizontal="right" vertical="bottom"/>
    </xf>
    <xf borderId="0" fillId="6" fontId="1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3" xfId="0" applyAlignment="1" applyFont="1" applyNumberFormat="1">
      <alignment readingOrder="0" shrinkToFit="0" wrapText="0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shrinkToFit="0" wrapText="0"/>
    </xf>
    <xf borderId="0" fillId="6" fontId="15" numFmtId="0" xfId="0" applyAlignment="1" applyFont="1">
      <alignment vertical="bottom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47" Type="http://schemas.openxmlformats.org/officeDocument/2006/relationships/worksheet" Target="worksheets/sheet45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IFERROR(__xludf.DUMMYFUNCTION("IF(C3="""","""",Transpose(IMPORTRANGE('_Settings'!$B$3,C3&amp;""!A4:A1000"")))"),"VerifySymbolLookUp")</f>
        <v>VerifySymbolLookUp</v>
      </c>
      <c r="C4" s="24" t="str">
        <f>IFERROR(__xludf.DUMMYFUNCTION("""COMPUTED_VALUE"""),"SymbolLookupFromTT")</f>
        <v>SymbolLookupFromTT</v>
      </c>
      <c r="D4" s="24" t="str">
        <f>IFERROR(__xludf.DUMMYFUNCTION("""COMPUTED_VALUE"""),"UpdateUDA")</f>
        <v>UpdateUDA</v>
      </c>
      <c r="E4" s="24" t="str">
        <f>IFERROR(__xludf.DUMMYFUNCTION("""COMPUTED_VALUE"""),"GetSymbol")</f>
        <v>GetSymbol</v>
      </c>
      <c r="F4" s="24" t="str">
        <f>IFERROR(__xludf.DUMMYFUNCTION("""COMPUTED_VALUE"""),"GetDataSymbolLookup")</f>
        <v>GetDataSymbolLookup</v>
      </c>
      <c r="G4" s="24" t="str">
        <f>IFERROR(__xludf.DUMMYFUNCTION("""COMPUTED_VALUE"""),"DeleteValidateSymbol")</f>
        <v>DeleteValidateSymbol</v>
      </c>
      <c r="H4" s="24" t="str">
        <f>IFERROR(__xludf.DUMMYFUNCTION("""COMPUTED_VALUE"""),"EnterEquity")</f>
        <v>EnterEquity</v>
      </c>
      <c r="I4" s="24" t="str">
        <f>IFERROR(__xludf.DUMMYFUNCTION("""COMPUTED_VALUE"""),"UpdateSecurityInfoOnSM")</f>
        <v>UpdateSecurityInfoOnSM</v>
      </c>
      <c r="J4" s="24" t="str">
        <f>IFERROR(__xludf.DUMMYFUNCTION("""COMPUTED_VALUE"""),"TradeSymbolFromSM")</f>
        <v>TradeSymbolFromSM</v>
      </c>
      <c r="K4" s="24" t="str">
        <f>IFERROR(__xludf.DUMMYFUNCTION("""COMPUTED_VALUE"""),"AddSymbol")</f>
        <v>AddSymbol</v>
      </c>
      <c r="L4" s="24" t="str">
        <f>IFERROR(__xludf.DUMMYFUNCTION("""COMPUTED_VALUE"""),"SelectFromSMGridUI")</f>
        <v>SelectFromSMGridUI</v>
      </c>
      <c r="M4" s="24" t="str">
        <f>IFERROR(__xludf.DUMMYFUNCTION("""COMPUTED_VALUE"""),"EditSMGridUi")</f>
        <v>EditSMGridUi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IFERROR(__xludf.DUMMYFUNCTION("""COMPUTED_VALUE"""),"UseUDAFromUnderlyingOrRoot")</f>
        <v>UseUDAFromUnderlyingOrRoot</v>
      </c>
      <c r="C5" s="27" t="str">
        <f>IFERROR(__xludf.DUMMYFUNCTION("""COMPUTED_VALUE"""),"Is NDF")</f>
        <v>Is NDF</v>
      </c>
      <c r="D5" s="27" t="str">
        <f>IFERROR(__xludf.DUMMYFUNCTION("""COMPUTED_VALUE"""),"IsZero")</f>
        <v>IsZero</v>
      </c>
      <c r="E5" s="27" t="str">
        <f>IFERROR(__xludf.DUMMYFUNCTION("""COMPUTED_VALUE"""),"IsSecApproved")</f>
        <v>IsSecApproved</v>
      </c>
      <c r="F5" s="28" t="str">
        <f>IFERROR(__xludf.DUMMYFUNCTION("""COMPUTED_VALUE"""),"Strike Price")</f>
        <v>Strike Price</v>
      </c>
      <c r="G5" s="27" t="str">
        <f>IFERROR(__xludf.DUMMYFUNCTION("""COMPUTED_VALUE"""),"Search Type")</f>
        <v>Search Type</v>
      </c>
      <c r="H5" s="27" t="str">
        <f>IFERROR(__xludf.DUMMYFUNCTION("""COMPUTED_VALUE"""),"Symbol")</f>
        <v>Symbol</v>
      </c>
      <c r="I5" s="27" t="str">
        <f>IFERROR(__xludf.DUMMYFUNCTION("""COMPUTED_VALUE"""),"SearchBeforeEdit")</f>
        <v>SearchBeforeEdit</v>
      </c>
      <c r="J5" s="27" t="str">
        <f>IFERROR(__xludf.DUMMYFUNCTION("""COMPUTED_VALUE"""),"BB Code")</f>
        <v>BB Code</v>
      </c>
      <c r="K5" s="27" t="str">
        <f>IFERROR(__xludf.DUMMYFUNCTION("""COMPUTED_VALUE"""),"Underlying Symbol")</f>
        <v>Underlying Symbol</v>
      </c>
      <c r="L5" s="27" t="str">
        <f>IFERROR(__xludf.DUMMYFUNCTION("""COMPUTED_VALUE"""),"Multiplier")</f>
        <v>Multiplier</v>
      </c>
      <c r="M5" s="27" t="str">
        <f>IFERROR(__xludf.DUMMYFUNCTION("""COMPUTED_VALUE"""),"CUSIP")</f>
        <v>CUSIP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2" t="s">
        <v>16</v>
      </c>
      <c r="I6" s="32" t="s">
        <v>17</v>
      </c>
      <c r="J6" s="31"/>
      <c r="K6" s="31"/>
      <c r="L6" s="33">
        <v>1.0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EditSMGridUi!$4:$4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5" t="b">
        <v>1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IFERROR(__xludf.DUMMYFUNCTION("""COMPUTED_VALUE"""),"RemoveMasterUser")</f>
        <v>RemoveMasterUser</v>
      </c>
      <c r="AK4" s="25" t="str">
        <f>IFERROR(__xludf.DUMMYFUNCTION("""COMPUTED_VALUE"""),"ClearRTPNLtabs")</f>
        <v>ClearRTPNLtabs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 Update")</f>
        <v>Symbol Update</v>
      </c>
      <c r="C5" s="27" t="str">
        <f>IFERROR(__xludf.DUMMYFUNCTION("""COMPUTED_VALUE"""),"RoundLot")</f>
        <v>RoundLot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3">
        <v>100.0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24</v>
      </c>
      <c r="C7" s="33">
        <v>200.0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25</v>
      </c>
      <c r="C8" s="33">
        <v>400.0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26</v>
      </c>
      <c r="C9" s="33">
        <v>500.0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27</v>
      </c>
      <c r="C10" s="33">
        <v>600.0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28</v>
      </c>
      <c r="C11" s="33">
        <v>300.0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100.0</v>
      </c>
      <c r="D6" s="36">
        <v>26.47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7">
        <f t="shared" ref="Z6:Z15" si="1">TODAY()-1</f>
        <v>45854</v>
      </c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100.0</v>
      </c>
      <c r="D7" s="33">
        <v>10.0</v>
      </c>
      <c r="E7" s="31" t="s">
        <v>31</v>
      </c>
      <c r="F7" s="31"/>
      <c r="G7" s="31"/>
      <c r="H7" s="31"/>
      <c r="I7" s="31"/>
      <c r="J7" s="32" t="s">
        <v>32</v>
      </c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7">
        <f t="shared" si="1"/>
        <v>45854</v>
      </c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12000.0</v>
      </c>
      <c r="D8" s="33">
        <v>25.0</v>
      </c>
      <c r="E8" s="31" t="s">
        <v>31</v>
      </c>
      <c r="F8" s="31"/>
      <c r="G8" s="31"/>
      <c r="H8" s="31"/>
      <c r="I8" s="31"/>
      <c r="J8" s="32" t="s">
        <v>32</v>
      </c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7">
        <f t="shared" si="1"/>
        <v>45854</v>
      </c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10.0</v>
      </c>
      <c r="D9" s="33">
        <v>20.0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7">
        <f t="shared" si="1"/>
        <v>45854</v>
      </c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100.0</v>
      </c>
      <c r="D10" s="33">
        <v>10.0</v>
      </c>
      <c r="E10" s="31" t="s">
        <v>31</v>
      </c>
      <c r="F10" s="31"/>
      <c r="G10" s="31"/>
      <c r="H10" s="31"/>
      <c r="I10" s="31"/>
      <c r="J10" s="32" t="s">
        <v>34</v>
      </c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7">
        <f t="shared" si="1"/>
        <v>45854</v>
      </c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10.0</v>
      </c>
      <c r="D11" s="33">
        <v>36.6</v>
      </c>
      <c r="E11" s="31" t="s">
        <v>31</v>
      </c>
      <c r="F11" s="31"/>
      <c r="G11" s="31"/>
      <c r="H11" s="31"/>
      <c r="I11" s="31"/>
      <c r="J11" s="32" t="s">
        <v>34</v>
      </c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7">
        <f t="shared" si="1"/>
        <v>45854</v>
      </c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100.0</v>
      </c>
      <c r="D12" s="33">
        <v>8.0</v>
      </c>
      <c r="E12" s="31" t="s">
        <v>31</v>
      </c>
      <c r="F12" s="31"/>
      <c r="G12" s="31"/>
      <c r="H12" s="31"/>
      <c r="I12" s="31"/>
      <c r="J12" s="32" t="s">
        <v>32</v>
      </c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7">
        <f t="shared" si="1"/>
        <v>45854</v>
      </c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20000.0</v>
      </c>
      <c r="D13" s="33">
        <v>5.0</v>
      </c>
      <c r="E13" s="31" t="s">
        <v>31</v>
      </c>
      <c r="F13" s="31"/>
      <c r="G13" s="31"/>
      <c r="H13" s="31"/>
      <c r="I13" s="31"/>
      <c r="J13" s="32" t="s">
        <v>33</v>
      </c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7">
        <f t="shared" si="1"/>
        <v>45854</v>
      </c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100.0</v>
      </c>
      <c r="D14" s="33">
        <v>8.0</v>
      </c>
      <c r="E14" s="31" t="s">
        <v>31</v>
      </c>
      <c r="F14" s="31"/>
      <c r="G14" s="31"/>
      <c r="H14" s="31"/>
      <c r="I14" s="31"/>
      <c r="J14" s="32" t="s">
        <v>37</v>
      </c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7">
        <f t="shared" si="1"/>
        <v>45854</v>
      </c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10.0</v>
      </c>
      <c r="D15" s="33">
        <v>5.0</v>
      </c>
      <c r="E15" s="31" t="s">
        <v>31</v>
      </c>
      <c r="F15" s="31"/>
      <c r="G15" s="31"/>
      <c r="H15" s="31"/>
      <c r="I15" s="31"/>
      <c r="J15" s="32" t="s">
        <v>39</v>
      </c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7">
        <f t="shared" si="1"/>
        <v>45854</v>
      </c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24</v>
      </c>
      <c r="C6" s="33">
        <v>25.0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28</v>
      </c>
      <c r="C7" s="33">
        <v>10.0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3">
        <v>1.23456789E8</v>
      </c>
      <c r="C8" s="33">
        <v>25.0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27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31"/>
      <c r="B10" s="32" t="s">
        <v>26</v>
      </c>
      <c r="C10" s="33">
        <v>10.0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  <c r="BS10" s="31"/>
      <c r="BT10" s="31"/>
      <c r="BU10" s="31"/>
      <c r="BV10" s="31"/>
      <c r="BW10" s="31"/>
      <c r="BX10" s="31"/>
      <c r="BY10" s="31"/>
      <c r="BZ10" s="31"/>
      <c r="CA10" s="31"/>
      <c r="CB10" s="31"/>
      <c r="CC10" s="31"/>
      <c r="CD10" s="31"/>
      <c r="CE10" s="31"/>
      <c r="CF10" s="31"/>
      <c r="CG10" s="31"/>
      <c r="CH10" s="31"/>
      <c r="CI10" s="31"/>
      <c r="CJ10" s="31"/>
      <c r="CK10" s="31"/>
      <c r="CL10" s="31"/>
      <c r="CM10" s="31"/>
      <c r="CN10" s="31"/>
      <c r="CO10" s="31"/>
      <c r="CP10" s="31"/>
      <c r="CQ10" s="31"/>
      <c r="CR10" s="31"/>
      <c r="CS10" s="31"/>
      <c r="CT10" s="31"/>
      <c r="CU10" s="31"/>
      <c r="CV10" s="31"/>
      <c r="CW10" s="31"/>
      <c r="CX10" s="31"/>
      <c r="CY10" s="31"/>
      <c r="CZ10" s="31"/>
      <c r="DA10" s="31"/>
      <c r="DB10" s="31"/>
      <c r="DC10" s="31"/>
      <c r="DD10" s="31"/>
      <c r="DE10" s="31"/>
      <c r="DF10" s="31"/>
      <c r="DG10" s="31"/>
      <c r="DH10" s="31"/>
      <c r="DI10" s="31"/>
      <c r="DJ10" s="31"/>
      <c r="DK10" s="31"/>
      <c r="DL10" s="31"/>
      <c r="DM10" s="31"/>
      <c r="DN10" s="31"/>
      <c r="DO10" s="31"/>
      <c r="DP10" s="31"/>
      <c r="DQ10" s="31"/>
      <c r="DR10" s="31"/>
      <c r="DS10" s="31"/>
      <c r="DT10" s="31"/>
      <c r="DU10" s="31"/>
      <c r="DV10" s="31"/>
      <c r="DW10" s="31"/>
      <c r="DX10" s="31"/>
      <c r="DY10" s="31"/>
      <c r="DZ10" s="31"/>
      <c r="EA10" s="31"/>
      <c r="EB10" s="31"/>
      <c r="EC10" s="31"/>
      <c r="ED10" s="31"/>
      <c r="EE10" s="31"/>
      <c r="EF10" s="31"/>
      <c r="EG10" s="31"/>
      <c r="EH10" s="31"/>
      <c r="EI10" s="31"/>
      <c r="EJ10" s="31"/>
      <c r="EK10" s="31"/>
      <c r="EL10" s="31"/>
      <c r="EM10" s="31"/>
      <c r="EN10" s="31"/>
      <c r="EO10" s="31"/>
      <c r="EP10" s="31"/>
      <c r="EQ10" s="31"/>
      <c r="ER10" s="31"/>
      <c r="ES10" s="31"/>
      <c r="ET10" s="31"/>
      <c r="EU10" s="31"/>
      <c r="EV10" s="31"/>
      <c r="EW10" s="31"/>
      <c r="EX10" s="31"/>
    </row>
    <row r="11" ht="15.75" customHeight="1">
      <c r="A11" s="31"/>
      <c r="B11" s="32" t="s">
        <v>25</v>
      </c>
      <c r="C11" s="33">
        <v>30.0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  <c r="AT11" s="31"/>
      <c r="AU11" s="31"/>
      <c r="AV11" s="31"/>
      <c r="AW11" s="31"/>
      <c r="AX11" s="31"/>
      <c r="AY11" s="31"/>
      <c r="AZ11" s="31"/>
      <c r="BA11" s="31"/>
      <c r="BB11" s="31"/>
      <c r="BC11" s="31"/>
      <c r="BD11" s="31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  <c r="BS11" s="31"/>
      <c r="BT11" s="31"/>
      <c r="BU11" s="31"/>
      <c r="BV11" s="31"/>
      <c r="BW11" s="31"/>
      <c r="BX11" s="31"/>
      <c r="BY11" s="31"/>
      <c r="BZ11" s="31"/>
      <c r="CA11" s="31"/>
      <c r="CB11" s="31"/>
      <c r="CC11" s="31"/>
      <c r="CD11" s="31"/>
      <c r="CE11" s="31"/>
      <c r="CF11" s="31"/>
      <c r="CG11" s="31"/>
      <c r="CH11" s="31"/>
      <c r="CI11" s="31"/>
      <c r="CJ11" s="31"/>
      <c r="CK11" s="31"/>
      <c r="CL11" s="31"/>
      <c r="CM11" s="31"/>
      <c r="CN11" s="31"/>
      <c r="CO11" s="31"/>
      <c r="CP11" s="31"/>
      <c r="CQ11" s="31"/>
      <c r="CR11" s="31"/>
      <c r="CS11" s="31"/>
      <c r="CT11" s="31"/>
      <c r="CU11" s="31"/>
      <c r="CV11" s="31"/>
      <c r="CW11" s="31"/>
      <c r="CX11" s="31"/>
      <c r="CY11" s="31"/>
      <c r="CZ11" s="31"/>
      <c r="DA11" s="31"/>
      <c r="DB11" s="31"/>
      <c r="DC11" s="31"/>
      <c r="DD11" s="31"/>
      <c r="DE11" s="31"/>
      <c r="DF11" s="31"/>
      <c r="DG11" s="31"/>
      <c r="DH11" s="31"/>
      <c r="DI11" s="31"/>
      <c r="DJ11" s="31"/>
      <c r="DK11" s="31"/>
      <c r="DL11" s="31"/>
      <c r="DM11" s="31"/>
      <c r="DN11" s="31"/>
      <c r="DO11" s="31"/>
      <c r="DP11" s="31"/>
      <c r="DQ11" s="31"/>
      <c r="DR11" s="31"/>
      <c r="DS11" s="31"/>
      <c r="DT11" s="31"/>
      <c r="DU11" s="31"/>
      <c r="DV11" s="31"/>
      <c r="DW11" s="31"/>
      <c r="DX11" s="31"/>
      <c r="DY11" s="31"/>
      <c r="DZ11" s="31"/>
      <c r="EA11" s="31"/>
      <c r="EB11" s="31"/>
      <c r="EC11" s="31"/>
      <c r="ED11" s="31"/>
      <c r="EE11" s="31"/>
      <c r="EF11" s="31"/>
      <c r="EG11" s="31"/>
      <c r="EH11" s="31"/>
      <c r="EI11" s="31"/>
      <c r="EJ11" s="31"/>
      <c r="EK11" s="31"/>
      <c r="EL11" s="31"/>
      <c r="EM11" s="31"/>
      <c r="EN11" s="31"/>
      <c r="EO11" s="31"/>
      <c r="EP11" s="31"/>
      <c r="EQ11" s="31"/>
      <c r="ER11" s="31"/>
      <c r="ES11" s="31"/>
      <c r="ET11" s="31"/>
      <c r="EU11" s="31"/>
      <c r="EV11" s="31"/>
      <c r="EW11" s="31"/>
      <c r="EX11" s="31"/>
    </row>
    <row r="12" ht="15.75" customHeight="1">
      <c r="A12" s="31"/>
      <c r="B12" s="32" t="s">
        <v>23</v>
      </c>
      <c r="C12" s="33">
        <v>8.0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1"/>
      <c r="BD12" s="31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  <c r="BS12" s="31"/>
      <c r="BT12" s="31"/>
      <c r="BU12" s="31"/>
      <c r="BV12" s="31"/>
      <c r="BW12" s="31"/>
      <c r="BX12" s="31"/>
      <c r="BY12" s="31"/>
      <c r="BZ12" s="31"/>
      <c r="CA12" s="31"/>
      <c r="CB12" s="31"/>
      <c r="CC12" s="31"/>
      <c r="CD12" s="31"/>
      <c r="CE12" s="31"/>
      <c r="CF12" s="31"/>
      <c r="CG12" s="31"/>
      <c r="CH12" s="31"/>
      <c r="CI12" s="31"/>
      <c r="CJ12" s="31"/>
      <c r="CK12" s="31"/>
      <c r="CL12" s="31"/>
      <c r="CM12" s="31"/>
      <c r="CN12" s="31"/>
      <c r="CO12" s="31"/>
      <c r="CP12" s="31"/>
      <c r="CQ12" s="31"/>
      <c r="CR12" s="31"/>
      <c r="CS12" s="31"/>
      <c r="CT12" s="31"/>
      <c r="CU12" s="31"/>
      <c r="CV12" s="31"/>
      <c r="CW12" s="31"/>
      <c r="CX12" s="31"/>
      <c r="CY12" s="31"/>
      <c r="CZ12" s="31"/>
      <c r="DA12" s="31"/>
      <c r="DB12" s="31"/>
      <c r="DC12" s="31"/>
      <c r="DD12" s="31"/>
      <c r="DE12" s="31"/>
      <c r="DF12" s="31"/>
      <c r="DG12" s="31"/>
      <c r="DH12" s="31"/>
      <c r="DI12" s="31"/>
      <c r="DJ12" s="31"/>
      <c r="DK12" s="31"/>
      <c r="DL12" s="31"/>
      <c r="DM12" s="31"/>
      <c r="DN12" s="31"/>
      <c r="DO12" s="31"/>
      <c r="DP12" s="31"/>
      <c r="DQ12" s="31"/>
      <c r="DR12" s="31"/>
      <c r="DS12" s="31"/>
      <c r="DT12" s="31"/>
      <c r="DU12" s="31"/>
      <c r="DV12" s="31"/>
      <c r="DW12" s="31"/>
      <c r="DX12" s="31"/>
      <c r="DY12" s="31"/>
      <c r="DZ12" s="31"/>
      <c r="EA12" s="31"/>
      <c r="EB12" s="31"/>
      <c r="EC12" s="31"/>
      <c r="ED12" s="31"/>
      <c r="EE12" s="31"/>
      <c r="EF12" s="31"/>
      <c r="EG12" s="31"/>
      <c r="EH12" s="31"/>
      <c r="EI12" s="31"/>
      <c r="EJ12" s="31"/>
      <c r="EK12" s="31"/>
      <c r="EL12" s="31"/>
      <c r="EM12" s="31"/>
      <c r="EN12" s="31"/>
      <c r="EO12" s="31"/>
      <c r="EP12" s="31"/>
      <c r="EQ12" s="31"/>
      <c r="ER12" s="31"/>
      <c r="ES12" s="31"/>
      <c r="ET12" s="31"/>
      <c r="EU12" s="31"/>
      <c r="EV12" s="31"/>
      <c r="EW12" s="31"/>
      <c r="EX12" s="31"/>
    </row>
    <row r="13" ht="15.75" customHeight="1">
      <c r="A13" s="31"/>
      <c r="B13" s="32" t="s">
        <v>35</v>
      </c>
      <c r="C13" s="33">
        <v>5.0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31"/>
      <c r="AP13" s="31"/>
      <c r="AQ13" s="31"/>
      <c r="AR13" s="31"/>
      <c r="AS13" s="31"/>
      <c r="AT13" s="31"/>
      <c r="AU13" s="31"/>
      <c r="AV13" s="31"/>
      <c r="AW13" s="31"/>
      <c r="AX13" s="31"/>
      <c r="AY13" s="31"/>
      <c r="AZ13" s="31"/>
      <c r="BA13" s="31"/>
      <c r="BB13" s="31"/>
      <c r="BC13" s="31"/>
      <c r="BD13" s="31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  <c r="BS13" s="31"/>
      <c r="BT13" s="31"/>
      <c r="BU13" s="31"/>
      <c r="BV13" s="31"/>
      <c r="BW13" s="31"/>
      <c r="BX13" s="31"/>
      <c r="BY13" s="31"/>
      <c r="BZ13" s="31"/>
      <c r="CA13" s="31"/>
      <c r="CB13" s="31"/>
      <c r="CC13" s="31"/>
      <c r="CD13" s="31"/>
      <c r="CE13" s="31"/>
      <c r="CF13" s="31"/>
      <c r="CG13" s="31"/>
      <c r="CH13" s="31"/>
      <c r="CI13" s="31"/>
      <c r="CJ13" s="31"/>
      <c r="CK13" s="31"/>
      <c r="CL13" s="31"/>
      <c r="CM13" s="31"/>
      <c r="CN13" s="31"/>
      <c r="CO13" s="31"/>
      <c r="CP13" s="31"/>
      <c r="CQ13" s="31"/>
      <c r="CR13" s="31"/>
      <c r="CS13" s="31"/>
      <c r="CT13" s="31"/>
      <c r="CU13" s="31"/>
      <c r="CV13" s="31"/>
      <c r="CW13" s="31"/>
      <c r="CX13" s="31"/>
      <c r="CY13" s="31"/>
      <c r="CZ13" s="31"/>
      <c r="DA13" s="31"/>
      <c r="DB13" s="31"/>
      <c r="DC13" s="31"/>
      <c r="DD13" s="31"/>
      <c r="DE13" s="31"/>
      <c r="DF13" s="31"/>
      <c r="DG13" s="31"/>
      <c r="DH13" s="31"/>
      <c r="DI13" s="31"/>
      <c r="DJ13" s="31"/>
      <c r="DK13" s="31"/>
      <c r="DL13" s="31"/>
      <c r="DM13" s="31"/>
      <c r="DN13" s="31"/>
      <c r="DO13" s="31"/>
      <c r="DP13" s="31"/>
      <c r="DQ13" s="31"/>
      <c r="DR13" s="31"/>
      <c r="DS13" s="31"/>
      <c r="DT13" s="31"/>
      <c r="DU13" s="31"/>
      <c r="DV13" s="31"/>
      <c r="DW13" s="31"/>
      <c r="DX13" s="31"/>
      <c r="DY13" s="31"/>
      <c r="DZ13" s="31"/>
      <c r="EA13" s="31"/>
      <c r="EB13" s="31"/>
      <c r="EC13" s="31"/>
      <c r="ED13" s="31"/>
      <c r="EE13" s="31"/>
      <c r="EF13" s="31"/>
      <c r="EG13" s="31"/>
      <c r="EH13" s="31"/>
      <c r="EI13" s="31"/>
      <c r="EJ13" s="31"/>
      <c r="EK13" s="31"/>
      <c r="EL13" s="31"/>
      <c r="EM13" s="31"/>
      <c r="EN13" s="31"/>
      <c r="EO13" s="31"/>
      <c r="EP13" s="31"/>
      <c r="EQ13" s="31"/>
      <c r="ER13" s="31"/>
      <c r="ES13" s="31"/>
      <c r="ET13" s="31"/>
      <c r="EU13" s="31"/>
      <c r="EV13" s="31"/>
      <c r="EW13" s="31"/>
      <c r="EX13" s="31"/>
    </row>
    <row r="14" ht="15.75" customHeight="1">
      <c r="A14" s="31"/>
      <c r="B14" s="31" t="s">
        <v>36</v>
      </c>
      <c r="C14" s="33">
        <v>25.0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1"/>
      <c r="BD14" s="31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  <c r="BS14" s="31"/>
      <c r="BT14" s="31"/>
      <c r="BU14" s="31"/>
      <c r="BV14" s="31"/>
      <c r="BW14" s="31"/>
      <c r="BX14" s="31"/>
      <c r="BY14" s="31"/>
      <c r="BZ14" s="31"/>
      <c r="CA14" s="31"/>
      <c r="CB14" s="31"/>
      <c r="CC14" s="31"/>
      <c r="CD14" s="31"/>
      <c r="CE14" s="31"/>
      <c r="CF14" s="31"/>
      <c r="CG14" s="31"/>
      <c r="CH14" s="31"/>
      <c r="CI14" s="31"/>
      <c r="CJ14" s="31"/>
      <c r="CK14" s="31"/>
      <c r="CL14" s="31"/>
      <c r="CM14" s="31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1"/>
      <c r="DB14" s="31"/>
      <c r="DC14" s="31"/>
      <c r="DD14" s="31"/>
      <c r="DE14" s="31"/>
      <c r="DF14" s="31"/>
      <c r="DG14" s="31"/>
      <c r="DH14" s="31"/>
      <c r="DI14" s="31"/>
      <c r="DJ14" s="31"/>
      <c r="DK14" s="31"/>
      <c r="DL14" s="31"/>
      <c r="DM14" s="31"/>
      <c r="DN14" s="31"/>
      <c r="DO14" s="31"/>
      <c r="DP14" s="31"/>
      <c r="DQ14" s="31"/>
      <c r="DR14" s="31"/>
      <c r="DS14" s="31"/>
      <c r="DT14" s="31"/>
      <c r="DU14" s="31"/>
      <c r="DV14" s="31"/>
      <c r="DW14" s="31"/>
      <c r="DX14" s="31"/>
      <c r="DY14" s="31"/>
      <c r="DZ14" s="31"/>
      <c r="EA14" s="31"/>
      <c r="EB14" s="31"/>
      <c r="EC14" s="31"/>
      <c r="ED14" s="31"/>
      <c r="EE14" s="31"/>
      <c r="EF14" s="31"/>
      <c r="EG14" s="31"/>
      <c r="EH14" s="31"/>
      <c r="EI14" s="31"/>
      <c r="EJ14" s="31"/>
      <c r="EK14" s="31"/>
      <c r="EL14" s="31"/>
      <c r="EM14" s="31"/>
      <c r="EN14" s="31"/>
      <c r="EO14" s="31"/>
      <c r="EP14" s="31"/>
      <c r="EQ14" s="31"/>
      <c r="ER14" s="31"/>
      <c r="ES14" s="31"/>
      <c r="ET14" s="31"/>
      <c r="EU14" s="31"/>
      <c r="EV14" s="31"/>
      <c r="EW14" s="31"/>
      <c r="EX14" s="31"/>
    </row>
    <row r="15" ht="15.75" customHeight="1">
      <c r="A15" s="31"/>
      <c r="B15" s="32" t="s">
        <v>38</v>
      </c>
      <c r="C15" s="33">
        <v>15.0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  <c r="BS15" s="31"/>
      <c r="BT15" s="31"/>
      <c r="BU15" s="31"/>
      <c r="BV15" s="31"/>
      <c r="BW15" s="31"/>
      <c r="BX15" s="31"/>
      <c r="BY15" s="31"/>
      <c r="BZ15" s="31"/>
      <c r="CA15" s="31"/>
      <c r="CB15" s="31"/>
      <c r="CC15" s="31"/>
      <c r="CD15" s="31"/>
      <c r="CE15" s="31"/>
      <c r="CF15" s="31"/>
      <c r="CG15" s="31"/>
      <c r="CH15" s="31"/>
      <c r="CI15" s="31"/>
      <c r="CJ15" s="31"/>
      <c r="CK15" s="31"/>
      <c r="CL15" s="31"/>
      <c r="CM15" s="31"/>
      <c r="CN15" s="31"/>
      <c r="CO15" s="31"/>
      <c r="CP15" s="31"/>
      <c r="CQ15" s="31"/>
      <c r="CR15" s="31"/>
      <c r="CS15" s="31"/>
      <c r="CT15" s="31"/>
      <c r="CU15" s="31"/>
      <c r="CV15" s="31"/>
      <c r="CW15" s="31"/>
      <c r="CX15" s="31"/>
      <c r="CY15" s="31"/>
      <c r="CZ15" s="31"/>
      <c r="DA15" s="31"/>
      <c r="DB15" s="31"/>
      <c r="DC15" s="31"/>
      <c r="DD15" s="31"/>
      <c r="DE15" s="31"/>
      <c r="DF15" s="31"/>
      <c r="DG15" s="31"/>
      <c r="DH15" s="31"/>
      <c r="DI15" s="31"/>
      <c r="DJ15" s="31"/>
      <c r="DK15" s="31"/>
      <c r="DL15" s="31"/>
      <c r="DM15" s="31"/>
      <c r="DN15" s="31"/>
      <c r="DO15" s="31"/>
      <c r="DP15" s="31"/>
      <c r="DQ15" s="31"/>
      <c r="DR15" s="31"/>
      <c r="DS15" s="31"/>
      <c r="DT15" s="31"/>
      <c r="DU15" s="31"/>
      <c r="DV15" s="31"/>
      <c r="DW15" s="31"/>
      <c r="DX15" s="31"/>
      <c r="DY15" s="31"/>
      <c r="DZ15" s="31"/>
      <c r="EA15" s="31"/>
      <c r="EB15" s="31"/>
      <c r="EC15" s="31"/>
      <c r="ED15" s="31"/>
      <c r="EE15" s="31"/>
      <c r="EF15" s="31"/>
      <c r="EG15" s="31"/>
      <c r="EH15" s="31"/>
      <c r="EI15" s="31"/>
      <c r="EJ15" s="31"/>
      <c r="EK15" s="31"/>
      <c r="EL15" s="31"/>
      <c r="EM15" s="31"/>
      <c r="EN15" s="31"/>
      <c r="EO15" s="31"/>
      <c r="EP15" s="31"/>
      <c r="EQ15" s="31"/>
      <c r="ER15" s="31"/>
      <c r="ES15" s="31"/>
      <c r="ET15" s="31"/>
      <c r="EU15" s="31"/>
      <c r="EV15" s="31"/>
      <c r="EW15" s="31"/>
      <c r="EX15" s="31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>TODAY()-1</f>
        <v>45854</v>
      </c>
      <c r="C6" s="37">
        <f>TODAY()</f>
        <v>45855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44</v>
      </c>
      <c r="C6" s="32" t="s">
        <v>45</v>
      </c>
      <c r="D6" s="34" t="s">
        <v>46</v>
      </c>
      <c r="E6" s="33">
        <v>1.0588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47</v>
      </c>
      <c r="C7" s="32" t="s">
        <v>45</v>
      </c>
      <c r="D7" s="32" t="s">
        <v>48</v>
      </c>
      <c r="E7" s="33">
        <v>1.22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UpdateForexConversion!$4:$4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51</v>
      </c>
      <c r="C6" s="37">
        <f>TODAY()-1</f>
        <v>45854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26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720.0</v>
      </c>
      <c r="C6" s="31"/>
      <c r="D6" s="30"/>
      <c r="E6" s="31"/>
      <c r="F6" s="33">
        <v>365.0</v>
      </c>
      <c r="G6" s="31"/>
      <c r="H6" s="33">
        <v>8.0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BookOrUpdateSwap!$4:$4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IFERROR(__xludf.DUMMYFUNCTION("""COMPUTED_VALUE"""),"NotionalValue")</f>
        <v>NotionalValue</v>
      </c>
      <c r="C5" s="27" t="str">
        <f>IFERROR(__xludf.DUMMYFUNCTION("""COMPUTED_VALUE"""),"Interest Rate")</f>
        <v>Interest Rate</v>
      </c>
      <c r="D5" s="27" t="str">
        <f>IFERROR(__xludf.DUMMYFUNCTION("""COMPUTED_VALUE"""),"Spread(B.P)")</f>
        <v>Spread(B.P)</v>
      </c>
      <c r="E5" s="27" t="str">
        <f>IFERROR(__xludf.DUMMYFUNCTION("""COMPUTED_VALUE"""),"First Reset Date")</f>
        <v>First Reset Date</v>
      </c>
      <c r="F5" s="28" t="str">
        <f>IFERROR(__xludf.DUMMYFUNCTION("""COMPUTED_VALUE"""),"DayCount")</f>
        <v>DayCount</v>
      </c>
      <c r="G5" s="27" t="str">
        <f>IFERROR(__xludf.DUMMYFUNCTION("""COMPUTED_VALUE"""),"Original T.Date")</f>
        <v>Original T.Date</v>
      </c>
      <c r="H5" s="27" t="str">
        <f>IFERROR(__xludf.DUMMYFUNCTION("""COMPUTED_VALUE"""),"OriginalCostBasis")</f>
        <v>OriginalCostBasis</v>
      </c>
      <c r="I5" s="27" t="str">
        <f>IFERROR(__xludf.DUMMYFUNCTION("""COMPUTED_VALUE"""),"SwapDescription")</f>
        <v>SwapDescription</v>
      </c>
      <c r="J5" s="27" t="str">
        <f>IFERROR(__xludf.DUMMYFUNCTION("""COMPUTED_VALUE"""),"CommissionChange")</f>
        <v>CommissionChange</v>
      </c>
      <c r="K5" s="27" t="str">
        <f>IFERROR(__xludf.DUMMYFUNCTION("""COMPUTED_VALUE"""),"CommissionRuleRecalculate")</f>
        <v>CommissionRuleRecalculate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50.0</v>
      </c>
      <c r="C6" s="31"/>
      <c r="D6" s="30"/>
      <c r="E6" s="31"/>
      <c r="F6" s="33">
        <v>365.0</v>
      </c>
      <c r="G6" s="31"/>
      <c r="H6" s="33">
        <v>5.0</v>
      </c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IFERROR(__xludf.DUMMYFUNCTION("""COMPUTED_VALUE"""),"FixDisconnectionPopup")</f>
        <v>FixDisconnectionPopup</v>
      </c>
      <c r="AN5" s="29" t="str">
        <f>IFERROR(__xludf.DUMMYFUNCTION("""COMPUTED_VALUE"""),"Trade Attribute 01")</f>
        <v>Trade Attribute 01</v>
      </c>
      <c r="AO5" s="29" t="str">
        <f>IFERROR(__xludf.DUMMYFUNCTION("""COMPUTED_VALUE"""),"Trade Attribute 02")</f>
        <v>Trade Attribute 02</v>
      </c>
      <c r="AP5" s="29" t="str">
        <f>IFERROR(__xludf.DUMMYFUNCTION("""COMPUTED_VALUE"""),"Trade Attribute 03")</f>
        <v>Trade Attribute 03</v>
      </c>
      <c r="AQ5" s="29" t="str">
        <f>IFERROR(__xludf.DUMMYFUNCTION("""COMPUTED_VALUE"""),"Trade Attribute 04")</f>
        <v>Trade Attribute 04</v>
      </c>
      <c r="AR5" s="29" t="str">
        <f>IFERROR(__xludf.DUMMYFUNCTION("""COMPUTED_VALUE"""),"Trade Attribute 05")</f>
        <v>Trade Attribute 05</v>
      </c>
      <c r="AS5" s="29" t="str">
        <f>IFERROR(__xludf.DUMMYFUNCTION("""COMPUTED_VALUE"""),"Trade Attribute 06")</f>
        <v>Trade Attribute 06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100.0</v>
      </c>
      <c r="D6" s="36">
        <v>50.0</v>
      </c>
      <c r="E6" s="31" t="s">
        <v>31</v>
      </c>
      <c r="F6" s="31"/>
      <c r="G6" s="31"/>
      <c r="H6" s="31"/>
      <c r="I6" s="31"/>
      <c r="J6" s="32" t="s">
        <v>32</v>
      </c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1.0</v>
      </c>
      <c r="D7" s="33">
        <v>50.0</v>
      </c>
      <c r="E7" s="31" t="s">
        <v>31</v>
      </c>
      <c r="F7" s="31"/>
      <c r="G7" s="31"/>
      <c r="H7" s="31"/>
      <c r="I7" s="31"/>
      <c r="J7" s="32" t="s">
        <v>33</v>
      </c>
      <c r="K7" s="31"/>
      <c r="L7" s="31"/>
      <c r="M7" s="31"/>
      <c r="N7" s="38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98.0</v>
      </c>
      <c r="D8" s="33">
        <v>50.0</v>
      </c>
      <c r="E8" s="31" t="s">
        <v>31</v>
      </c>
      <c r="F8" s="31"/>
      <c r="G8" s="31"/>
      <c r="H8" s="31"/>
      <c r="I8" s="31"/>
      <c r="J8" s="32" t="s">
        <v>33</v>
      </c>
      <c r="K8" s="31"/>
      <c r="L8" s="31"/>
      <c r="M8" s="31"/>
      <c r="N8" s="38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10.0</v>
      </c>
      <c r="D9" s="33">
        <v>5.0</v>
      </c>
      <c r="E9" s="31" t="s">
        <v>31</v>
      </c>
      <c r="F9" s="31"/>
      <c r="G9" s="31"/>
      <c r="H9" s="31"/>
      <c r="I9" s="31"/>
      <c r="J9" s="32" t="s">
        <v>33</v>
      </c>
      <c r="K9" s="31"/>
      <c r="L9" s="31"/>
      <c r="M9" s="31"/>
      <c r="N9" s="38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 t="str">
        <f>IFERROR(__xludf.DUMMYFUNCTION("""COMPUTED_VALUE"""),"UpdatePricingInput")</f>
        <v>UpdatePricingInput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54</v>
      </c>
      <c r="C6" s="33">
        <v>15.0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2" t="s">
        <v>54</v>
      </c>
      <c r="C7" s="33">
        <v>15.0</v>
      </c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31"/>
      <c r="B8" s="32" t="s">
        <v>54</v>
      </c>
      <c r="C8" s="33">
        <v>15.0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  <c r="AT8" s="31"/>
      <c r="AU8" s="31"/>
      <c r="AV8" s="31"/>
      <c r="AW8" s="31"/>
      <c r="AX8" s="31"/>
      <c r="AY8" s="31"/>
      <c r="AZ8" s="31"/>
      <c r="BA8" s="31"/>
      <c r="BB8" s="31"/>
      <c r="BC8" s="31"/>
      <c r="BD8" s="31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  <c r="BS8" s="31"/>
      <c r="BT8" s="31"/>
      <c r="BU8" s="31"/>
      <c r="BV8" s="31"/>
      <c r="BW8" s="31"/>
      <c r="BX8" s="31"/>
      <c r="BY8" s="31"/>
      <c r="BZ8" s="31"/>
      <c r="CA8" s="31"/>
      <c r="CB8" s="31"/>
      <c r="CC8" s="31"/>
      <c r="CD8" s="31"/>
      <c r="CE8" s="31"/>
      <c r="CF8" s="31"/>
      <c r="CG8" s="31"/>
      <c r="CH8" s="31"/>
      <c r="CI8" s="31"/>
      <c r="CJ8" s="31"/>
      <c r="CK8" s="31"/>
      <c r="CL8" s="31"/>
      <c r="CM8" s="31"/>
      <c r="CN8" s="31"/>
      <c r="CO8" s="31"/>
      <c r="CP8" s="31"/>
      <c r="CQ8" s="31"/>
      <c r="CR8" s="31"/>
      <c r="CS8" s="31"/>
      <c r="CT8" s="31"/>
      <c r="CU8" s="31"/>
      <c r="CV8" s="31"/>
      <c r="CW8" s="31"/>
      <c r="CX8" s="31"/>
      <c r="CY8" s="31"/>
      <c r="CZ8" s="31"/>
      <c r="DA8" s="31"/>
      <c r="DB8" s="31"/>
      <c r="DC8" s="31"/>
      <c r="DD8" s="31"/>
      <c r="DE8" s="31"/>
      <c r="DF8" s="31"/>
      <c r="DG8" s="31"/>
      <c r="DH8" s="31"/>
      <c r="DI8" s="31"/>
      <c r="DJ8" s="31"/>
      <c r="DK8" s="31"/>
      <c r="DL8" s="31"/>
      <c r="DM8" s="31"/>
      <c r="DN8" s="31"/>
      <c r="DO8" s="31"/>
      <c r="DP8" s="31"/>
      <c r="DQ8" s="31"/>
      <c r="DR8" s="31"/>
      <c r="DS8" s="31"/>
      <c r="DT8" s="31"/>
      <c r="DU8" s="31"/>
      <c r="DV8" s="31"/>
      <c r="DW8" s="31"/>
      <c r="DX8" s="31"/>
      <c r="DY8" s="31"/>
      <c r="DZ8" s="31"/>
      <c r="EA8" s="31"/>
      <c r="EB8" s="31"/>
      <c r="EC8" s="31"/>
      <c r="ED8" s="31"/>
      <c r="EE8" s="31"/>
      <c r="EF8" s="31"/>
      <c r="EG8" s="31"/>
      <c r="EH8" s="31"/>
      <c r="EI8" s="31"/>
      <c r="EJ8" s="31"/>
      <c r="EK8" s="31"/>
      <c r="EL8" s="31"/>
      <c r="EM8" s="31"/>
      <c r="EN8" s="31"/>
      <c r="EO8" s="31"/>
      <c r="EP8" s="31"/>
      <c r="EQ8" s="31"/>
      <c r="ER8" s="31"/>
      <c r="ES8" s="31"/>
      <c r="ET8" s="31"/>
      <c r="EU8" s="31"/>
      <c r="EV8" s="31"/>
      <c r="EW8" s="31"/>
      <c r="EX8" s="31"/>
    </row>
    <row r="9" ht="15.75" customHeight="1">
      <c r="A9" s="31"/>
      <c r="B9" s="32" t="s">
        <v>55</v>
      </c>
      <c r="C9" s="33">
        <v>20.0</v>
      </c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/>
      <c r="BD9" s="31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  <c r="BS9" s="31"/>
      <c r="BT9" s="31"/>
      <c r="BU9" s="31"/>
      <c r="BV9" s="31"/>
      <c r="BW9" s="31"/>
      <c r="BX9" s="31"/>
      <c r="BY9" s="31"/>
      <c r="BZ9" s="31"/>
      <c r="CA9" s="31"/>
      <c r="CB9" s="31"/>
      <c r="CC9" s="31"/>
      <c r="CD9" s="31"/>
      <c r="CE9" s="31"/>
      <c r="CF9" s="31"/>
      <c r="CG9" s="31"/>
      <c r="CH9" s="31"/>
      <c r="CI9" s="31"/>
      <c r="CJ9" s="31"/>
      <c r="CK9" s="31"/>
      <c r="CL9" s="31"/>
      <c r="CM9" s="31"/>
      <c r="CN9" s="31"/>
      <c r="CO9" s="31"/>
      <c r="CP9" s="31"/>
      <c r="CQ9" s="31"/>
      <c r="CR9" s="31"/>
      <c r="CS9" s="31"/>
      <c r="CT9" s="31"/>
      <c r="CU9" s="31"/>
      <c r="CV9" s="31"/>
      <c r="CW9" s="31"/>
      <c r="CX9" s="31"/>
      <c r="CY9" s="31"/>
      <c r="CZ9" s="31"/>
      <c r="DA9" s="31"/>
      <c r="DB9" s="31"/>
      <c r="DC9" s="31"/>
      <c r="DD9" s="31"/>
      <c r="DE9" s="31"/>
      <c r="DF9" s="31"/>
      <c r="DG9" s="31"/>
      <c r="DH9" s="31"/>
      <c r="DI9" s="31"/>
      <c r="DJ9" s="31"/>
      <c r="DK9" s="31"/>
      <c r="DL9" s="31"/>
      <c r="DM9" s="31"/>
      <c r="DN9" s="31"/>
      <c r="DO9" s="31"/>
      <c r="DP9" s="31"/>
      <c r="DQ9" s="31"/>
      <c r="DR9" s="31"/>
      <c r="DS9" s="31"/>
      <c r="DT9" s="31"/>
      <c r="DU9" s="31"/>
      <c r="DV9" s="31"/>
      <c r="DW9" s="31"/>
      <c r="DX9" s="31"/>
      <c r="DY9" s="31"/>
      <c r="DZ9" s="31"/>
      <c r="EA9" s="31"/>
      <c r="EB9" s="31"/>
      <c r="EC9" s="31"/>
      <c r="ED9" s="31"/>
      <c r="EE9" s="31"/>
      <c r="EF9" s="31"/>
      <c r="EG9" s="31"/>
      <c r="EH9" s="31"/>
      <c r="EI9" s="31"/>
      <c r="EJ9" s="31"/>
      <c r="EK9" s="31"/>
      <c r="EL9" s="31"/>
      <c r="EM9" s="31"/>
      <c r="EN9" s="31"/>
      <c r="EO9" s="31"/>
      <c r="EP9" s="31"/>
      <c r="EQ9" s="31"/>
      <c r="ER9" s="31"/>
      <c r="ES9" s="31"/>
      <c r="ET9" s="31"/>
      <c r="EU9" s="31"/>
      <c r="EV9" s="31"/>
      <c r="EW9" s="31"/>
      <c r="EX9" s="3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f t="shared" ref="B6:C6" si="1">TODAY()-1</f>
        <v>45854</v>
      </c>
      <c r="C6" s="37">
        <f t="shared" si="1"/>
        <v>45854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8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57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IFERROR(__xludf.DUMMYFUNCTION("""COMPUTED_VALUE"""),"UpdateMPAndFC")</f>
        <v>UpdateMPAndFC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2" t="s">
        <v>45</v>
      </c>
      <c r="D6" s="12">
        <v>4662.0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IFERROR(__xludf.DUMMYFUNCTION("""COMPUTED_VALUE"""),"Date Type")</f>
        <v>Date Type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IFERROR(__xludf.DUMMYFUNCTION("""COMPUTED_VALUE"""),"Symbol")</f>
        <v>Symbol</v>
      </c>
      <c r="G5" s="27" t="str">
        <f>IFERROR(__xludf.DUMMYFUNCTION("""COMPUTED_VALUE"""),"Contains")</f>
        <v>Contains</v>
      </c>
      <c r="H5" s="27" t="str">
        <f>IFERROR(__xludf.DUMMYFUNCTION("""COMPUTED_VALUE"""),"Exact")</f>
        <v>Exact</v>
      </c>
      <c r="I5" s="27" t="str">
        <f>IFERROR(__xludf.DUMMYFUNCTION("""COMPUTED_VALUE"""),"Starts With")</f>
        <v>Starts With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58</v>
      </c>
      <c r="C6" s="31" t="s">
        <v>61</v>
      </c>
      <c r="D6" s="39">
        <f t="shared" ref="D6:E6" si="1">TODAY()</f>
        <v>45855</v>
      </c>
      <c r="E6" s="39">
        <f t="shared" si="1"/>
        <v>45855</v>
      </c>
      <c r="F6" s="31"/>
      <c r="G6" s="31" t="s">
        <v>62</v>
      </c>
      <c r="H6" s="31" t="s">
        <v>63</v>
      </c>
      <c r="I6" s="31" t="s">
        <v>62</v>
      </c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GetCashTransaction!$4:$4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64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IFERROR(__xludf.DUMMYFUNCTION("""COMPUTED_VALUE"""),"CashTransactionId")</f>
        <v>CashTransactionId</v>
      </c>
      <c r="C5" s="27" t="str">
        <f>IFERROR(__xludf.DUMMYFUNCTION("""COMPUTED_VALUE"""),"Activity Type")</f>
        <v>Activity Type</v>
      </c>
      <c r="D5" s="27" t="str">
        <f>IFERROR(__xludf.DUMMYFUNCTION("""COMPUTED_VALUE"""),"Symbol")</f>
        <v>Symbol</v>
      </c>
      <c r="E5" s="27" t="str">
        <f>IFERROR(__xludf.DUMMYFUNCTION("""COMPUTED_VALUE"""),"Strategy")</f>
        <v>Strategy</v>
      </c>
      <c r="F5" s="28" t="str">
        <f>IFERROR(__xludf.DUMMYFUNCTION("""COMPUTED_VALUE"""),"Account")</f>
        <v>Account</v>
      </c>
      <c r="G5" s="27" t="str">
        <f>IFERROR(__xludf.DUMMYFUNCTION("""COMPUTED_VALUE"""),"Currency")</f>
        <v>Currency</v>
      </c>
      <c r="H5" s="27" t="str">
        <f>IFERROR(__xludf.DUMMYFUNCTION("""COMPUTED_VALUE"""),"Amount")</f>
        <v>Amount</v>
      </c>
      <c r="I5" s="27" t="str">
        <f>IFERROR(__xludf.DUMMYFUNCTION("""COMPUTED_VALUE"""),"Ex Date")</f>
        <v>Ex Date</v>
      </c>
      <c r="J5" s="27" t="str">
        <f>IFERROR(__xludf.DUMMYFUNCTION("""COMPUTED_VALUE"""),"Payout Date")</f>
        <v>Payout Date</v>
      </c>
      <c r="K5" s="27" t="str">
        <f>IFERROR(__xludf.DUMMYFUNCTION("""COMPUTED_VALUE"""),"Record Date")</f>
        <v>Record Date</v>
      </c>
      <c r="L5" s="27" t="str">
        <f>IFERROR(__xludf.DUMMYFUNCTION("""COMPUTED_VALUE"""),"Declaration Date")</f>
        <v>Declaration Date</v>
      </c>
      <c r="M5" s="27" t="str">
        <f>IFERROR(__xludf.DUMMYFUNCTION("""COMPUTED_VALUE"""),"Description")</f>
        <v>Description</v>
      </c>
      <c r="N5" s="27" t="str">
        <f>IFERROR(__xludf.DUMMYFUNCTION("""COMPUTED_VALUE"""),"Other Currency")</f>
        <v>Other Currency</v>
      </c>
      <c r="O5" s="27" t="str">
        <f>IFERROR(__xludf.DUMMYFUNCTION("""COMPUTED_VALUE"""),"FXRate")</f>
        <v>FXRate</v>
      </c>
      <c r="P5" s="27" t="str">
        <f>IFERROR(__xludf.DUMMYFUNCTION("""COMPUTED_VALUE"""),"FXConversionMethodOperator")</f>
        <v>FXConversionMethodOperator</v>
      </c>
      <c r="Q5" s="27" t="str">
        <f>IFERROR(__xludf.DUMMYFUNCTION("""COMPUTED_VALUE"""),"Transaction Source")</f>
        <v>Transaction Source</v>
      </c>
      <c r="R5" s="27" t="str">
        <f>IFERROR(__xludf.DUMMYFUNCTION("""COMPUTED_VALUE"""),"Entry Date")</f>
        <v>Entry Date</v>
      </c>
      <c r="S5" s="27" t="str">
        <f>IFERROR(__xludf.DUMMYFUNCTION("""COMPUTED_VALUE"""),"Modify Date")</f>
        <v>Modify Date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 t="s">
        <v>65</v>
      </c>
      <c r="D6" s="34" t="s">
        <v>66</v>
      </c>
      <c r="E6" s="31" t="s">
        <v>67</v>
      </c>
      <c r="F6" s="32" t="s">
        <v>58</v>
      </c>
      <c r="G6" s="32" t="s">
        <v>45</v>
      </c>
      <c r="H6" s="33">
        <v>1500.0</v>
      </c>
      <c r="I6" s="37">
        <f>TODAY()-1</f>
        <v>45854</v>
      </c>
      <c r="J6" s="37">
        <f>TODAY()+2</f>
        <v>45857</v>
      </c>
      <c r="K6" s="37">
        <f>TODAY()</f>
        <v>45855</v>
      </c>
      <c r="L6" s="31"/>
      <c r="M6" s="40" t="s">
        <v>68</v>
      </c>
      <c r="N6" s="40" t="s">
        <v>45</v>
      </c>
      <c r="O6" s="41">
        <v>1.0</v>
      </c>
      <c r="P6" s="40" t="s">
        <v>69</v>
      </c>
      <c r="Q6" s="42" t="s">
        <v>70</v>
      </c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AddCashTransaction!$4:$4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59</v>
      </c>
      <c r="D3" s="5" t="s">
        <v>9</v>
      </c>
      <c r="E3" s="22" t="s">
        <v>71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IFERROR(__xludf.DUMMYFUNCTION("IF(C3="""","""",Transpose(IMPORTRANGE('_Settings'!$B$3,C3&amp;""!A4:A1000"")))"),"GetDataCash")</f>
        <v>GetDataCash</v>
      </c>
      <c r="C4" s="24" t="str">
        <f>IFERROR(__xludf.DUMMYFUNCTION("""COMPUTED_VALUE"""),"EnterCashDividends")</f>
        <v>EnterCashDividends</v>
      </c>
      <c r="D4" s="24" t="str">
        <f>IFERROR(__xludf.DUMMYFUNCTION("""COMPUTED_VALUE"""),"EnterNonTradingTransaction")</f>
        <v>EnterNonTradingTransaction</v>
      </c>
      <c r="E4" s="24" t="str">
        <f>IFERROR(__xludf.DUMMYFUNCTION("""COMPUTED_VALUE"""),"VerifyCash")</f>
        <v>VerifyCash</v>
      </c>
      <c r="F4" s="24" t="str">
        <f>IFERROR(__xludf.DUMMYFUNCTION("""COMPUTED_VALUE"""),"VerifyActivity")</f>
        <v>VerifyActivity</v>
      </c>
      <c r="G4" s="24" t="str">
        <f>IFERROR(__xludf.DUMMYFUNCTION("""COMPUTED_VALUE"""),"VerifyTradingTransaction")</f>
        <v>VerifyTradingTransaction</v>
      </c>
      <c r="H4" s="24" t="str">
        <f>IFERROR(__xludf.DUMMYFUNCTION("""COMPUTED_VALUE"""),"VerifyRevaluationData")</f>
        <v>VerifyRevaluationData</v>
      </c>
      <c r="I4" s="24" t="str">
        <f>IFERROR(__xludf.DUMMYFUNCTION("""COMPUTED_VALUE"""),"GetTradingTransaction")</f>
        <v>GetTradingTransaction</v>
      </c>
      <c r="J4" s="24" t="str">
        <f>IFERROR(__xludf.DUMMYFUNCTION("""COMPUTED_VALUE"""),"GetActivityData")</f>
        <v>GetActivityData</v>
      </c>
      <c r="K4" s="24" t="str">
        <f>IFERROR(__xludf.DUMMYFUNCTION("""COMPUTED_VALUE"""),"GetRevaluationData")</f>
        <v>GetRevaluationData</v>
      </c>
      <c r="L4" s="24" t="str">
        <f>IFERROR(__xludf.DUMMYFUNCTION("""COMPUTED_VALUE"""),"GetAccountDetails")</f>
        <v>GetAccountDetails</v>
      </c>
      <c r="M4" s="24" t="str">
        <f>IFERROR(__xludf.DUMMYFUNCTION("""COMPUTED_VALUE"""),"GetNonTradingTransaction")</f>
        <v>GetNonTradingTransaction</v>
      </c>
      <c r="N4" s="24" t="str">
        <f>IFERROR(__xludf.DUMMYFUNCTION("""COMPUTED_VALUE"""),"GetDividendData")</f>
        <v>GetDividendData</v>
      </c>
      <c r="O4" s="24" t="str">
        <f>IFERROR(__xludf.DUMMYFUNCTION("""COMPUTED_VALUE"""),"VerifyNonTradingTransaction")</f>
        <v>VerifyNonTradingTransaction</v>
      </c>
      <c r="P4" s="25" t="str">
        <f>IFERROR(__xludf.DUMMYFUNCTION("""COMPUTED_VALUE"""),"VerifyDividend")</f>
        <v>VerifyDividend</v>
      </c>
      <c r="Q4" s="25" t="str">
        <f>IFERROR(__xludf.DUMMYFUNCTION("""COMPUTED_VALUE"""),"GetOpeningBalanceData")</f>
        <v>GetOpeningBalanceData</v>
      </c>
      <c r="R4" s="25" t="str">
        <f>IFERROR(__xludf.DUMMYFUNCTION("""COMPUTED_VALUE"""),"GetAccountBalance")</f>
        <v>GetAccountBalance</v>
      </c>
      <c r="S4" s="25" t="str">
        <f>IFERROR(__xludf.DUMMYFUNCTION("""COMPUTED_VALUE"""),"SelectNonTradingTransaction")</f>
        <v>SelectNonTradingTransaction</v>
      </c>
      <c r="T4" s="25" t="str">
        <f>IFERROR(__xludf.DUMMYFUNCTION("""COMPUTED_VALUE"""),"SelectNonTradingTranItem")</f>
        <v>SelectNonTradingTranItem</v>
      </c>
      <c r="U4" s="25" t="str">
        <f>IFERROR(__xludf.DUMMYFUNCTION("""COMPUTED_VALUE"""),"DeleteNonTradingTransaction")</f>
        <v>DeleteNonTradingTransaction</v>
      </c>
      <c r="V4" s="25" t="str">
        <f>IFERROR(__xludf.DUMMYFUNCTION("""COMPUTED_VALUE"""),"DeleteNonTradingTranItem")</f>
        <v>DeleteNonTradingTranItem</v>
      </c>
      <c r="W4" s="25" t="str">
        <f>IFERROR(__xludf.DUMMYFUNCTION("""COMPUTED_VALUE"""),"AddNonTradingTransaction")</f>
        <v>AddNonTradingTransaction</v>
      </c>
      <c r="X4" s="25" t="str">
        <f>IFERROR(__xludf.DUMMYFUNCTION("""COMPUTED_VALUE"""),"AddNonTradingTranItem")</f>
        <v>AddNonTradingTranItem</v>
      </c>
      <c r="Y4" s="25" t="str">
        <f>IFERROR(__xludf.DUMMYFUNCTION("""COMPUTED_VALUE"""),"VerifyOpeningBalanceData")</f>
        <v>VerifyOpeningBalanceData</v>
      </c>
      <c r="Z4" s="25" t="str">
        <f>IFERROR(__xludf.DUMMYFUNCTION("""COMPUTED_VALUE"""),"SelectOpeningBalanceTransaction")</f>
        <v>SelectOpeningBalanceTransaction</v>
      </c>
      <c r="AA4" s="25" t="str">
        <f>IFERROR(__xludf.DUMMYFUNCTION("""COMPUTED_VALUE"""),"SelectOpeningBalanceTranItem")</f>
        <v>SelectOpeningBalanceTranItem</v>
      </c>
      <c r="AB4" s="25" t="str">
        <f>IFERROR(__xludf.DUMMYFUNCTION("""COMPUTED_VALUE"""),"EditNonTradingTransaction")</f>
        <v>EditNonTradingTransaction</v>
      </c>
      <c r="AC4" s="25" t="str">
        <f>IFERROR(__xludf.DUMMYFUNCTION("""COMPUTED_VALUE"""),"EditNonTradingTranItem")</f>
        <v>EditNonTradingTranItem</v>
      </c>
      <c r="AD4" s="25" t="str">
        <f>IFERROR(__xludf.DUMMYFUNCTION("""COMPUTED_VALUE"""),"DeleteOpeningBalanceTransaction")</f>
        <v>DeleteOpeningBalanceTransaction</v>
      </c>
      <c r="AE4" s="25" t="str">
        <f>IFERROR(__xludf.DUMMYFUNCTION("""COMPUTED_VALUE"""),"DeleteOpeningBalanceTranItem")</f>
        <v>DeleteOpeningBalanceTranItem</v>
      </c>
      <c r="AF4" s="25" t="str">
        <f>IFERROR(__xludf.DUMMYFUNCTION("""COMPUTED_VALUE"""),"GetDayEndCash")</f>
        <v>GetDayEndCash</v>
      </c>
      <c r="AG4" s="25" t="str">
        <f>IFERROR(__xludf.DUMMYFUNCTION("""COMPUTED_VALUE"""),"VerifyDayEndCash")</f>
        <v>VerifyDayEndCash</v>
      </c>
      <c r="AH4" s="25" t="str">
        <f>IFERROR(__xludf.DUMMYFUNCTION("""COMPUTED_VALUE"""),"RunRevaluation")</f>
        <v>RunRevaluation</v>
      </c>
      <c r="AI4" s="25" t="str">
        <f>IFERROR(__xludf.DUMMYFUNCTION("""COMPUTED_VALUE"""),"CalculateDayEndCash")</f>
        <v>CalculateDayEndCash</v>
      </c>
      <c r="AJ4" s="25" t="str">
        <f>IFERROR(__xludf.DUMMYFUNCTION("""COMPUTED_VALUE"""),"GetCashTransaction")</f>
        <v>GetCashTransaction</v>
      </c>
      <c r="AK4" s="25" t="str">
        <f>IFERROR(__xludf.DUMMYFUNCTION("""COMPUTED_VALUE"""),"SelectCashTransaction")</f>
        <v>SelectCashTransaction</v>
      </c>
      <c r="AL4" s="25" t="str">
        <f>IFERROR(__xludf.DUMMYFUNCTION("""COMPUTED_VALUE"""),"DeleteCashTransaction")</f>
        <v>DeleteCashTransaction</v>
      </c>
      <c r="AM4" s="25" t="str">
        <f>IFERROR(__xludf.DUMMYFUNCTION("""COMPUTED_VALUE"""),"EditCashTransaction")</f>
        <v>EditCashTransaction</v>
      </c>
      <c r="AN4" s="25" t="str">
        <f>IFERROR(__xludf.DUMMYFUNCTION("""COMPUTED_VALUE"""),"AddCashTransaction")</f>
        <v>AddCashTransaction</v>
      </c>
      <c r="AO4" s="25" t="str">
        <f>IFERROR(__xludf.DUMMYFUNCTION("""COMPUTED_VALUE"""),"AddOpeningBalanceTransaction")</f>
        <v>AddOpeningBalanceTransaction</v>
      </c>
      <c r="AP4" s="25" t="str">
        <f>IFERROR(__xludf.DUMMYFUNCTION("""COMPUTED_VALUE"""),"AddOpeningBalanceTranItem")</f>
        <v>AddOpeningBalanceTranItem</v>
      </c>
      <c r="AQ4" s="25" t="str">
        <f>IFERROR(__xludf.DUMMYFUNCTION("""COMPUTED_VALUE"""),"GetDailyCalculationsData")</f>
        <v>GetDailyCalculationsData</v>
      </c>
      <c r="AR4" s="25" t="str">
        <f>IFERROR(__xludf.DUMMYFUNCTION("""COMPUTED_VALUE"""),"CalculateDailyCalculations")</f>
        <v>CalculateDailyCalculations</v>
      </c>
      <c r="AS4" s="25" t="str">
        <f>IFERROR(__xludf.DUMMYFUNCTION("""COMPUTED_VALUE"""),"EditOpeningBalanceTransaction")</f>
        <v>EditOpeningBalanceTransaction</v>
      </c>
      <c r="AT4" s="25" t="str">
        <f>IFERROR(__xludf.DUMMYFUNCTION("""COMPUTED_VALUE"""),"EditOpeningBalanceTranItem")</f>
        <v>EditOpeningBalanceTranItem</v>
      </c>
      <c r="AU4" s="25" t="str">
        <f>IFERROR(__xludf.DUMMYFUNCTION("""COMPUTED_VALUE"""),"VerifyDailyCalTransactions")</f>
        <v>VerifyDailyCalTransactions</v>
      </c>
      <c r="AV4" s="25" t="str">
        <f>IFERROR(__xludf.DUMMYFUNCTION("""COMPUTED_VALUE"""),"CloseGeneralLedger")</f>
        <v>CloseGeneralLedger</v>
      </c>
      <c r="AW4" s="25" t="str">
        <f>IFERROR(__xludf.DUMMYFUNCTION("""COMPUTED_VALUE"""),"VerifyAccountDetails")</f>
        <v>VerifyAccountDetails</v>
      </c>
      <c r="AX4" s="25" t="str">
        <f>IFERROR(__xludf.DUMMYFUNCTION("""COMPUTED_VALUE"""),"SaveTransaction")</f>
        <v>SaveTransaction</v>
      </c>
      <c r="AY4" s="25" t="str">
        <f>IFERROR(__xludf.DUMMYFUNCTION("""COMPUTED_VALUE"""),"VerifyCashTransaction")</f>
        <v>VerifyCashTransaction</v>
      </c>
      <c r="AZ4" s="25" t="str">
        <f>IFERROR(__xludf.DUMMYFUNCTION("""COMPUTED_VALUE"""),"VerifyAccountBalances")</f>
        <v>VerifyAccountBalances</v>
      </c>
      <c r="BA4" s="25" t="str">
        <f>IFERROR(__xludf.DUMMYFUNCTION("""COMPUTED_VALUE"""),"AddMultipleOpeningBalTranItem")</f>
        <v>AddMultipleOpeningBalTranItem</v>
      </c>
      <c r="BB4" s="25" t="str">
        <f>IFERROR(__xludf.DUMMYFUNCTION("""COMPUTED_VALUE"""),"FilterCashTransactionGrid")</f>
        <v>FilterCashTransactionGrid</v>
      </c>
      <c r="BC4" s="25" t="str">
        <f>IFERROR(__xludf.DUMMYFUNCTION("""COMPUTED_VALUE"""),"EditGridCashTransactions")</f>
        <v>EditGridCashTransactions</v>
      </c>
      <c r="BD4" s="25" t="str">
        <f>IFERROR(__xludf.DUMMYFUNCTION("""COMPUTED_VALUE"""),"SaveCashTransaction")</f>
        <v>SaveCashTransaction</v>
      </c>
      <c r="BE4" s="25" t="str">
        <f>IFERROR(__xludf.DUMMYFUNCTION("""COMPUTED_VALUE"""),"RunManualRevaluation")</f>
        <v>RunManualRevaluation</v>
      </c>
      <c r="BF4" s="25" t="str">
        <f>IFERROR(__xludf.DUMMYFUNCTION("""COMPUTED_VALUE"""),"VerifyGLNavLockPopup")</f>
        <v>VerifyGLNavLockPopup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72</v>
      </c>
      <c r="C6" s="32" t="s">
        <v>58</v>
      </c>
      <c r="D6" s="37">
        <f>TODAY()</f>
        <v>45855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RunRevaluation!$4:$4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43"/>
      <c r="F6" s="8"/>
      <c r="G6" s="8"/>
      <c r="H6" s="12"/>
      <c r="I6" s="12" t="s">
        <v>75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>
        <v>-10000.0</v>
      </c>
      <c r="C6" s="32" t="s">
        <v>78</v>
      </c>
      <c r="D6" s="34" t="s">
        <v>79</v>
      </c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81</v>
      </c>
      <c r="C6" s="31"/>
      <c r="D6" s="44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83</v>
      </c>
      <c r="C6" s="32" t="s">
        <v>84</v>
      </c>
      <c r="D6" s="36">
        <v>1.0</v>
      </c>
      <c r="E6" s="32" t="s">
        <v>58</v>
      </c>
      <c r="F6" s="31"/>
      <c r="G6" s="31"/>
      <c r="H6" s="31"/>
      <c r="I6" s="31"/>
      <c r="J6" s="33">
        <v>10.0</v>
      </c>
      <c r="K6" s="33">
        <v>1.0</v>
      </c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17</v>
      </c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58</v>
      </c>
      <c r="C6" s="45" t="s">
        <v>33</v>
      </c>
      <c r="D6" s="45">
        <v>1.23456789E8</v>
      </c>
      <c r="E6" s="46">
        <v>12000.0</v>
      </c>
      <c r="F6" s="46">
        <v>25.0</v>
      </c>
      <c r="G6" s="47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58</v>
      </c>
      <c r="C7" s="45" t="s">
        <v>87</v>
      </c>
      <c r="D7" s="45">
        <v>1.23456789E8</v>
      </c>
      <c r="E7" s="46">
        <v>13.0</v>
      </c>
      <c r="F7" s="46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58</v>
      </c>
      <c r="C8" s="45" t="s">
        <v>88</v>
      </c>
      <c r="D8" s="45" t="s">
        <v>35</v>
      </c>
      <c r="E8" s="46">
        <v>20000.0</v>
      </c>
      <c r="F8" s="46">
        <v>5.0</v>
      </c>
      <c r="G8" s="47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58</v>
      </c>
      <c r="C9" s="45" t="s">
        <v>87</v>
      </c>
      <c r="D9" s="45" t="s">
        <v>35</v>
      </c>
      <c r="E9" s="46">
        <v>21.0</v>
      </c>
      <c r="F9" s="46">
        <v>5.0</v>
      </c>
      <c r="G9" s="46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58</v>
      </c>
      <c r="C10" s="45" t="s">
        <v>33</v>
      </c>
      <c r="D10" s="45" t="s">
        <v>23</v>
      </c>
      <c r="E10" s="46">
        <v>100.0</v>
      </c>
      <c r="F10" s="46">
        <v>8.0</v>
      </c>
      <c r="G10" s="46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58</v>
      </c>
      <c r="C11" s="45" t="s">
        <v>87</v>
      </c>
      <c r="D11" s="45" t="s">
        <v>23</v>
      </c>
      <c r="E11" s="46">
        <v>1.0</v>
      </c>
      <c r="F11" s="46">
        <v>8.0</v>
      </c>
      <c r="G11" s="46">
        <v>-8.0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58</v>
      </c>
      <c r="C12" s="45" t="s">
        <v>32</v>
      </c>
      <c r="D12" s="45" t="s">
        <v>83</v>
      </c>
      <c r="E12" s="46">
        <v>235.0</v>
      </c>
      <c r="F12" s="46">
        <v>10.0</v>
      </c>
      <c r="G12" s="47">
        <v>2350.0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58</v>
      </c>
      <c r="C13" s="45" t="s">
        <v>33</v>
      </c>
      <c r="D13" s="45" t="s">
        <v>24</v>
      </c>
      <c r="E13" s="46">
        <v>100.0</v>
      </c>
      <c r="F13" s="46">
        <v>25.0</v>
      </c>
      <c r="G13" s="47">
        <v>-2647.0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 t="s">
        <v>58</v>
      </c>
      <c r="C14" s="45" t="s">
        <v>87</v>
      </c>
      <c r="D14" s="45" t="s">
        <v>24</v>
      </c>
      <c r="E14" s="46">
        <v>1.0</v>
      </c>
      <c r="F14" s="46">
        <v>25.0</v>
      </c>
      <c r="G14" s="46">
        <v>-26.0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 t="s">
        <v>58</v>
      </c>
      <c r="C15" s="45" t="s">
        <v>88</v>
      </c>
      <c r="D15" s="45" t="s">
        <v>25</v>
      </c>
      <c r="E15" s="46">
        <v>10.0</v>
      </c>
      <c r="F15" s="46">
        <v>30.0</v>
      </c>
      <c r="G15" s="46">
        <v>366.0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 t="s">
        <v>58</v>
      </c>
      <c r="C16" s="45" t="s">
        <v>87</v>
      </c>
      <c r="D16" s="45" t="s">
        <v>25</v>
      </c>
      <c r="E16" s="46">
        <v>1.0</v>
      </c>
      <c r="F16" s="46">
        <v>30.0</v>
      </c>
      <c r="G16" s="46">
        <v>-37.0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5" t="s">
        <v>58</v>
      </c>
      <c r="C17" s="45" t="s">
        <v>88</v>
      </c>
      <c r="D17" s="45" t="s">
        <v>26</v>
      </c>
      <c r="E17" s="46">
        <v>100.0</v>
      </c>
      <c r="F17" s="46">
        <v>10.0</v>
      </c>
      <c r="G17" s="47">
        <v>1000.0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5" t="s">
        <v>58</v>
      </c>
      <c r="C18" s="45" t="s">
        <v>87</v>
      </c>
      <c r="D18" s="45" t="s">
        <v>26</v>
      </c>
      <c r="E18" s="46">
        <v>1.0</v>
      </c>
      <c r="F18" s="46">
        <v>10.0</v>
      </c>
      <c r="G18" s="46">
        <v>-10.0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5" t="s">
        <v>58</v>
      </c>
      <c r="C19" s="45" t="s">
        <v>88</v>
      </c>
      <c r="D19" s="45" t="s">
        <v>27</v>
      </c>
      <c r="E19" s="46">
        <v>10.0</v>
      </c>
      <c r="F19" s="46">
        <v>20.0</v>
      </c>
      <c r="G19" s="46">
        <v>200.0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5" t="s">
        <v>58</v>
      </c>
      <c r="C20" s="45" t="s">
        <v>87</v>
      </c>
      <c r="D20" s="45" t="s">
        <v>27</v>
      </c>
      <c r="E20" s="46">
        <v>1.0</v>
      </c>
      <c r="F20" s="46">
        <v>20.0</v>
      </c>
      <c r="G20" s="46">
        <v>-20.0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5" t="s">
        <v>58</v>
      </c>
      <c r="C21" s="45" t="s">
        <v>33</v>
      </c>
      <c r="D21" s="45" t="s">
        <v>28</v>
      </c>
      <c r="E21" s="46">
        <v>100.0</v>
      </c>
      <c r="F21" s="46">
        <v>10.0</v>
      </c>
      <c r="G21" s="47">
        <v>-1000.0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5" t="s">
        <v>58</v>
      </c>
      <c r="C22" s="45" t="s">
        <v>87</v>
      </c>
      <c r="D22" s="45" t="s">
        <v>28</v>
      </c>
      <c r="E22" s="46">
        <v>1.0</v>
      </c>
      <c r="F22" s="46">
        <v>10.0</v>
      </c>
      <c r="G22" s="46">
        <v>-10.0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8" t="s">
        <v>89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58</v>
      </c>
      <c r="C6" s="12" t="s">
        <v>33</v>
      </c>
      <c r="D6" s="12">
        <v>1.23456789E8</v>
      </c>
      <c r="E6" s="12">
        <v>12000.0</v>
      </c>
      <c r="F6" s="12">
        <v>25.0</v>
      </c>
      <c r="G6" s="49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58</v>
      </c>
      <c r="C7" s="12" t="s">
        <v>87</v>
      </c>
      <c r="D7" s="12">
        <v>1.23456789E8</v>
      </c>
      <c r="E7" s="12">
        <v>13.0</v>
      </c>
      <c r="F7" s="12">
        <v>25.0</v>
      </c>
      <c r="G7" s="12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58</v>
      </c>
      <c r="C8" s="12" t="s">
        <v>88</v>
      </c>
      <c r="D8" s="12" t="s">
        <v>35</v>
      </c>
      <c r="E8" s="12">
        <v>20000.0</v>
      </c>
      <c r="F8" s="12">
        <v>5.0</v>
      </c>
      <c r="G8" s="49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58</v>
      </c>
      <c r="C9" s="12" t="s">
        <v>87</v>
      </c>
      <c r="D9" s="12" t="s">
        <v>35</v>
      </c>
      <c r="E9" s="12">
        <v>21.0</v>
      </c>
      <c r="F9" s="12">
        <v>5.0</v>
      </c>
      <c r="G9" s="12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12" t="s">
        <v>58</v>
      </c>
      <c r="C10" s="12" t="s">
        <v>33</v>
      </c>
      <c r="D10" s="12" t="s">
        <v>23</v>
      </c>
      <c r="E10" s="12">
        <v>100.0</v>
      </c>
      <c r="F10" s="12">
        <v>8.0</v>
      </c>
      <c r="G10" s="12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12" t="s">
        <v>58</v>
      </c>
      <c r="C11" s="12" t="s">
        <v>32</v>
      </c>
      <c r="D11" s="12" t="s">
        <v>83</v>
      </c>
      <c r="E11" s="12">
        <v>235.0</v>
      </c>
      <c r="F11" s="12">
        <v>10.0</v>
      </c>
      <c r="G11" s="49">
        <v>2350.0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12" t="s">
        <v>58</v>
      </c>
      <c r="C12" s="12" t="s">
        <v>33</v>
      </c>
      <c r="D12" s="12" t="s">
        <v>24</v>
      </c>
      <c r="E12" s="12">
        <v>100.0</v>
      </c>
      <c r="F12" s="12">
        <v>25.0</v>
      </c>
      <c r="G12" s="49">
        <v>-2647.0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12" t="s">
        <v>58</v>
      </c>
      <c r="C13" s="12" t="s">
        <v>88</v>
      </c>
      <c r="D13" s="12" t="s">
        <v>25</v>
      </c>
      <c r="E13" s="12">
        <v>10.0</v>
      </c>
      <c r="F13" s="12">
        <v>30.0</v>
      </c>
      <c r="G13" s="12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12" t="s">
        <v>58</v>
      </c>
      <c r="C14" s="12" t="s">
        <v>88</v>
      </c>
      <c r="D14" s="12" t="s">
        <v>26</v>
      </c>
      <c r="E14" s="12">
        <v>100.0</v>
      </c>
      <c r="F14" s="12">
        <v>10.0</v>
      </c>
      <c r="G14" s="49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12" t="s">
        <v>58</v>
      </c>
      <c r="C15" s="12" t="s">
        <v>88</v>
      </c>
      <c r="D15" s="12" t="s">
        <v>27</v>
      </c>
      <c r="E15" s="12">
        <v>10.0</v>
      </c>
      <c r="F15" s="12">
        <v>20.0</v>
      </c>
      <c r="G15" s="12">
        <v>200.0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12" t="s">
        <v>58</v>
      </c>
      <c r="C16" s="12" t="s">
        <v>33</v>
      </c>
      <c r="D16" s="12" t="s">
        <v>28</v>
      </c>
      <c r="E16" s="12">
        <v>100.0</v>
      </c>
      <c r="F16" s="12">
        <v>10.0</v>
      </c>
      <c r="G16" s="49">
        <v>-1000.0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90</v>
      </c>
      <c r="C6" s="8"/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73</v>
      </c>
      <c r="D3" s="5" t="s">
        <v>9</v>
      </c>
      <c r="E3" s="22" t="s">
        <v>86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5" t="s">
        <v>58</v>
      </c>
      <c r="C6" s="45" t="s">
        <v>33</v>
      </c>
      <c r="D6" s="45">
        <v>1.23456789E8</v>
      </c>
      <c r="E6" s="46">
        <v>12000.0</v>
      </c>
      <c r="F6" s="46">
        <v>25.0</v>
      </c>
      <c r="G6" s="47">
        <v>-3000.0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58</v>
      </c>
      <c r="C7" s="45" t="s">
        <v>87</v>
      </c>
      <c r="D7" s="45">
        <v>1.23456789E8</v>
      </c>
      <c r="E7" s="46">
        <v>12.0</v>
      </c>
      <c r="F7" s="46">
        <v>25.0</v>
      </c>
      <c r="G7" s="46">
        <v>-3.0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58</v>
      </c>
      <c r="C8" s="45" t="s">
        <v>88</v>
      </c>
      <c r="D8" s="45" t="s">
        <v>35</v>
      </c>
      <c r="E8" s="46">
        <v>20000.0</v>
      </c>
      <c r="F8" s="46">
        <v>5.0</v>
      </c>
      <c r="G8" s="47">
        <v>1000.0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58</v>
      </c>
      <c r="C9" s="45" t="s">
        <v>87</v>
      </c>
      <c r="D9" s="45" t="s">
        <v>35</v>
      </c>
      <c r="E9" s="46">
        <v>20.0</v>
      </c>
      <c r="F9" s="46">
        <v>5.0</v>
      </c>
      <c r="G9" s="46">
        <v>-1.0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58</v>
      </c>
      <c r="C10" s="45" t="s">
        <v>33</v>
      </c>
      <c r="D10" s="45" t="s">
        <v>23</v>
      </c>
      <c r="E10" s="46">
        <v>100.0</v>
      </c>
      <c r="F10" s="46">
        <v>8.0</v>
      </c>
      <c r="G10" s="46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5" t="s">
        <v>58</v>
      </c>
      <c r="C11" s="45" t="s">
        <v>32</v>
      </c>
      <c r="D11" s="45" t="s">
        <v>83</v>
      </c>
      <c r="E11" s="46">
        <v>234.0</v>
      </c>
      <c r="F11" s="46">
        <v>10.0</v>
      </c>
      <c r="G11" s="47">
        <v>2340.0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5" t="s">
        <v>58</v>
      </c>
      <c r="C12" s="45" t="s">
        <v>33</v>
      </c>
      <c r="D12" s="45" t="s">
        <v>24</v>
      </c>
      <c r="E12" s="46">
        <v>100.0</v>
      </c>
      <c r="F12" s="46">
        <v>25.0</v>
      </c>
      <c r="G12" s="47">
        <v>-2647.0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5" t="s">
        <v>58</v>
      </c>
      <c r="C13" s="45" t="s">
        <v>88</v>
      </c>
      <c r="D13" s="45" t="s">
        <v>25</v>
      </c>
      <c r="E13" s="46">
        <v>10.0</v>
      </c>
      <c r="F13" s="46">
        <v>30.0</v>
      </c>
      <c r="G13" s="46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5" t="s">
        <v>58</v>
      </c>
      <c r="C14" s="45" t="s">
        <v>88</v>
      </c>
      <c r="D14" s="45" t="s">
        <v>26</v>
      </c>
      <c r="E14" s="46">
        <v>100.0</v>
      </c>
      <c r="F14" s="46">
        <v>10.0</v>
      </c>
      <c r="G14" s="47">
        <v>1000.0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5" t="s">
        <v>58</v>
      </c>
      <c r="C15" s="45" t="s">
        <v>88</v>
      </c>
      <c r="D15" s="45" t="s">
        <v>27</v>
      </c>
      <c r="E15" s="46">
        <v>10.0</v>
      </c>
      <c r="F15" s="46">
        <v>20.0</v>
      </c>
      <c r="G15" s="46">
        <v>200.0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5" t="s">
        <v>58</v>
      </c>
      <c r="C16" s="45" t="s">
        <v>33</v>
      </c>
      <c r="D16" s="45" t="s">
        <v>28</v>
      </c>
      <c r="E16" s="46">
        <v>100.0</v>
      </c>
      <c r="F16" s="46">
        <v>10.0</v>
      </c>
      <c r="G16" s="47">
        <v>-1000.0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27</v>
      </c>
      <c r="AJ6" s="31" t="s">
        <v>34</v>
      </c>
      <c r="AK6" s="31"/>
      <c r="AL6" s="50">
        <v>1.0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27</v>
      </c>
      <c r="C6" s="32" t="s">
        <v>34</v>
      </c>
      <c r="D6" s="51">
        <v>1.0</v>
      </c>
      <c r="E6" s="31"/>
      <c r="F6" s="31"/>
      <c r="G6" s="31"/>
      <c r="H6" s="31"/>
      <c r="I6" s="31"/>
      <c r="J6" s="33">
        <v>20.0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91</v>
      </c>
      <c r="D3" s="5" t="s">
        <v>9</v>
      </c>
      <c r="E3" s="22" t="s">
        <v>92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2"/>
      <c r="C6" s="8"/>
      <c r="D6" s="52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AI6" t="s">
        <v>23</v>
      </c>
      <c r="AJ6" t="s">
        <v>34</v>
      </c>
      <c r="AL6" s="9">
        <v>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93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53" t="s">
        <v>23</v>
      </c>
      <c r="C6" s="32" t="s">
        <v>34</v>
      </c>
      <c r="D6" s="51">
        <v>1.0</v>
      </c>
      <c r="E6" s="31"/>
      <c r="F6" s="31"/>
      <c r="G6" s="31"/>
      <c r="H6" s="31"/>
      <c r="I6" s="31"/>
      <c r="J6" s="33">
        <v>10.0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27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27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23</v>
      </c>
      <c r="D6" s="30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94</v>
      </c>
      <c r="D3" s="5" t="s">
        <v>9</v>
      </c>
      <c r="E3" s="22" t="s">
        <v>97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20.0</v>
      </c>
      <c r="C6" s="12">
        <v>1.0</v>
      </c>
      <c r="D6" s="12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99</v>
      </c>
      <c r="B6" s="52" t="s">
        <v>58</v>
      </c>
      <c r="C6" s="8" t="s">
        <v>100</v>
      </c>
      <c r="D6" s="52"/>
      <c r="E6" s="8">
        <v>1.0</v>
      </c>
      <c r="F6" s="8" t="s">
        <v>101</v>
      </c>
      <c r="G6" s="8" t="s">
        <v>102</v>
      </c>
      <c r="H6" s="8"/>
      <c r="I6" s="8"/>
      <c r="J6" s="8"/>
      <c r="K6" s="8"/>
      <c r="L6" s="8"/>
      <c r="M6" s="8" t="s">
        <v>103</v>
      </c>
      <c r="N6" s="8" t="s">
        <v>104</v>
      </c>
      <c r="O6" s="8" t="s">
        <v>105</v>
      </c>
      <c r="Q6">
        <v>2.0</v>
      </c>
      <c r="S6" t="s">
        <v>106</v>
      </c>
      <c r="V6" t="s">
        <v>107</v>
      </c>
      <c r="W6">
        <v>1.0</v>
      </c>
      <c r="Y6" t="s">
        <v>99</v>
      </c>
      <c r="Z6" t="s">
        <v>45</v>
      </c>
      <c r="AA6">
        <v>2.3135106E7</v>
      </c>
      <c r="AB6">
        <v>1.0</v>
      </c>
      <c r="AD6" t="s">
        <v>108</v>
      </c>
      <c r="AE6">
        <v>1.0</v>
      </c>
      <c r="AF6" t="s">
        <v>99</v>
      </c>
      <c r="AH6" t="s">
        <v>69</v>
      </c>
      <c r="AI6">
        <v>1.0</v>
      </c>
      <c r="AJ6" t="s">
        <v>79</v>
      </c>
      <c r="AN6" t="b">
        <v>0</v>
      </c>
      <c r="AP6" t="b">
        <v>0</v>
      </c>
      <c r="AQ6" t="b">
        <v>0</v>
      </c>
      <c r="AR6" t="b">
        <v>1</v>
      </c>
      <c r="AY6" t="s">
        <v>109</v>
      </c>
      <c r="BD6" t="s">
        <v>110</v>
      </c>
      <c r="BE6">
        <v>20.0</v>
      </c>
      <c r="BF6">
        <v>20.0</v>
      </c>
      <c r="BJ6">
        <v>1.0</v>
      </c>
      <c r="BL6" t="s">
        <v>99</v>
      </c>
      <c r="BM6" t="s">
        <v>45</v>
      </c>
      <c r="BO6" t="s">
        <v>34</v>
      </c>
      <c r="BS6" t="s">
        <v>111</v>
      </c>
      <c r="BT6" t="s">
        <v>23</v>
      </c>
      <c r="BU6">
        <v>3.0</v>
      </c>
      <c r="CF6" t="s">
        <v>99</v>
      </c>
      <c r="CG6" t="s">
        <v>99</v>
      </c>
      <c r="CH6" t="s">
        <v>99</v>
      </c>
      <c r="CI6" t="s">
        <v>99</v>
      </c>
      <c r="CJ6" t="s">
        <v>99</v>
      </c>
      <c r="CK6" t="s">
        <v>99</v>
      </c>
      <c r="CL6" t="s">
        <v>99</v>
      </c>
      <c r="CM6" t="s">
        <v>99</v>
      </c>
      <c r="CN6" t="s">
        <v>99</v>
      </c>
      <c r="CO6" t="s">
        <v>99</v>
      </c>
      <c r="CP6" t="s">
        <v>99</v>
      </c>
      <c r="CQ6" t="s">
        <v>99</v>
      </c>
      <c r="CR6" t="s">
        <v>99</v>
      </c>
      <c r="CS6" t="s">
        <v>99</v>
      </c>
      <c r="CT6" t="s">
        <v>99</v>
      </c>
      <c r="CU6" t="s">
        <v>99</v>
      </c>
      <c r="CV6" t="s">
        <v>99</v>
      </c>
      <c r="CW6" t="s">
        <v>99</v>
      </c>
      <c r="CX6" t="s">
        <v>99</v>
      </c>
      <c r="CY6" t="s">
        <v>99</v>
      </c>
      <c r="CZ6" t="s">
        <v>99</v>
      </c>
      <c r="DA6" t="s">
        <v>99</v>
      </c>
      <c r="DB6" t="s">
        <v>99</v>
      </c>
      <c r="DC6" t="s">
        <v>99</v>
      </c>
      <c r="DD6" t="s">
        <v>99</v>
      </c>
      <c r="DE6" t="s">
        <v>99</v>
      </c>
      <c r="DF6" t="s">
        <v>99</v>
      </c>
      <c r="DG6" t="s">
        <v>99</v>
      </c>
      <c r="DH6" t="s">
        <v>99</v>
      </c>
      <c r="DI6" t="s">
        <v>99</v>
      </c>
      <c r="DJ6" t="s">
        <v>99</v>
      </c>
      <c r="DK6" t="s">
        <v>99</v>
      </c>
      <c r="DL6" t="s">
        <v>99</v>
      </c>
      <c r="DM6" t="s">
        <v>99</v>
      </c>
      <c r="DN6" t="s">
        <v>99</v>
      </c>
      <c r="DO6" t="s">
        <v>99</v>
      </c>
      <c r="DP6" t="s">
        <v>99</v>
      </c>
      <c r="DQ6" t="s">
        <v>99</v>
      </c>
      <c r="DR6" t="s">
        <v>99</v>
      </c>
      <c r="DS6" t="s">
        <v>99</v>
      </c>
      <c r="DT6" t="s">
        <v>99</v>
      </c>
      <c r="DU6" t="s">
        <v>99</v>
      </c>
      <c r="DV6" t="s">
        <v>99</v>
      </c>
      <c r="DW6" t="s">
        <v>99</v>
      </c>
      <c r="DX6" t="s">
        <v>99</v>
      </c>
      <c r="DY6" t="s">
        <v>99</v>
      </c>
      <c r="DZ6" t="s">
        <v>99</v>
      </c>
      <c r="EA6" t="s">
        <v>99</v>
      </c>
      <c r="EB6" t="s">
        <v>99</v>
      </c>
      <c r="EC6" t="s">
        <v>99</v>
      </c>
      <c r="ED6" t="s">
        <v>99</v>
      </c>
      <c r="EE6" t="s">
        <v>99</v>
      </c>
      <c r="EF6" t="s">
        <v>99</v>
      </c>
      <c r="EG6" t="s">
        <v>99</v>
      </c>
      <c r="EH6" t="s">
        <v>99</v>
      </c>
      <c r="EI6" t="s">
        <v>99</v>
      </c>
      <c r="EJ6" t="s">
        <v>99</v>
      </c>
      <c r="EK6" t="s">
        <v>99</v>
      </c>
      <c r="EL6" t="s">
        <v>99</v>
      </c>
      <c r="EM6" t="s">
        <v>99</v>
      </c>
      <c r="EN6" t="s">
        <v>99</v>
      </c>
      <c r="EO6" t="s">
        <v>99</v>
      </c>
      <c r="EP6" t="s">
        <v>99</v>
      </c>
      <c r="EQ6" t="s">
        <v>99</v>
      </c>
      <c r="ER6" t="s">
        <v>99</v>
      </c>
      <c r="ES6" t="s">
        <v>99</v>
      </c>
      <c r="ET6" t="s">
        <v>99</v>
      </c>
      <c r="EU6" t="s">
        <v>99</v>
      </c>
      <c r="EV6" t="s">
        <v>99</v>
      </c>
      <c r="EW6" t="s">
        <v>99</v>
      </c>
      <c r="EX6" t="s">
        <v>99</v>
      </c>
      <c r="EY6" t="s">
        <v>99</v>
      </c>
      <c r="EZ6" t="s">
        <v>99</v>
      </c>
      <c r="FA6" t="s">
        <v>99</v>
      </c>
      <c r="FB6" t="s">
        <v>99</v>
      </c>
      <c r="FC6" t="s">
        <v>99</v>
      </c>
      <c r="FD6" t="s">
        <v>99</v>
      </c>
      <c r="FE6" t="s">
        <v>99</v>
      </c>
      <c r="FF6" t="s">
        <v>99</v>
      </c>
      <c r="FG6" t="s">
        <v>99</v>
      </c>
      <c r="FH6" t="s">
        <v>99</v>
      </c>
      <c r="FI6" t="s">
        <v>99</v>
      </c>
      <c r="FJ6" t="s">
        <v>99</v>
      </c>
      <c r="FK6" t="s">
        <v>99</v>
      </c>
      <c r="FL6" t="s">
        <v>99</v>
      </c>
      <c r="FM6" t="s">
        <v>99</v>
      </c>
      <c r="FN6" t="s">
        <v>99</v>
      </c>
      <c r="FO6" t="s">
        <v>99</v>
      </c>
      <c r="FP6" t="s">
        <v>99</v>
      </c>
      <c r="FQ6" t="s">
        <v>99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99</v>
      </c>
      <c r="B7" s="8" t="s">
        <v>58</v>
      </c>
      <c r="C7" s="8" t="s">
        <v>100</v>
      </c>
      <c r="D7" s="8"/>
      <c r="E7" s="8">
        <v>1.0</v>
      </c>
      <c r="F7" s="8" t="s">
        <v>101</v>
      </c>
      <c r="G7" s="8" t="s">
        <v>102</v>
      </c>
      <c r="H7" s="8"/>
      <c r="I7" s="8"/>
      <c r="J7" s="8"/>
      <c r="K7" s="8"/>
      <c r="L7" s="8"/>
      <c r="M7" s="8" t="s">
        <v>112</v>
      </c>
      <c r="N7" s="8" t="s">
        <v>104</v>
      </c>
      <c r="O7" s="8" t="s">
        <v>105</v>
      </c>
      <c r="Q7">
        <v>2.0</v>
      </c>
      <c r="S7" t="s">
        <v>106</v>
      </c>
      <c r="V7" t="s">
        <v>113</v>
      </c>
      <c r="W7">
        <v>1.0</v>
      </c>
      <c r="Y7" t="s">
        <v>99</v>
      </c>
      <c r="Z7" t="s">
        <v>45</v>
      </c>
      <c r="AA7">
        <v>1.912161E8</v>
      </c>
      <c r="AB7">
        <v>1.0</v>
      </c>
      <c r="AD7" t="s">
        <v>114</v>
      </c>
      <c r="AE7">
        <v>1.0</v>
      </c>
      <c r="AF7" t="s">
        <v>99</v>
      </c>
      <c r="AH7" t="s">
        <v>69</v>
      </c>
      <c r="AI7">
        <v>1.0</v>
      </c>
      <c r="AJ7" t="s">
        <v>79</v>
      </c>
      <c r="AN7" t="b">
        <v>0</v>
      </c>
      <c r="AP7" t="b">
        <v>0</v>
      </c>
      <c r="AQ7" t="b">
        <v>0</v>
      </c>
      <c r="AR7" t="b">
        <v>1</v>
      </c>
      <c r="AY7" t="s">
        <v>109</v>
      </c>
      <c r="BD7" t="s">
        <v>110</v>
      </c>
      <c r="BE7">
        <v>20.0</v>
      </c>
      <c r="BF7">
        <v>20.0</v>
      </c>
      <c r="BJ7">
        <v>1.0</v>
      </c>
      <c r="BL7" t="s">
        <v>99</v>
      </c>
      <c r="BM7" t="s">
        <v>45</v>
      </c>
      <c r="BO7" t="s">
        <v>34</v>
      </c>
      <c r="BS7" t="s">
        <v>111</v>
      </c>
      <c r="BT7" t="s">
        <v>27</v>
      </c>
      <c r="BU7">
        <v>2.0</v>
      </c>
      <c r="CF7" t="s">
        <v>99</v>
      </c>
      <c r="CG7" t="s">
        <v>99</v>
      </c>
      <c r="CH7" t="s">
        <v>99</v>
      </c>
      <c r="CI7" t="s">
        <v>99</v>
      </c>
      <c r="CJ7" t="s">
        <v>99</v>
      </c>
      <c r="CK7" t="s">
        <v>99</v>
      </c>
      <c r="CL7" t="s">
        <v>99</v>
      </c>
      <c r="CM7" t="s">
        <v>99</v>
      </c>
      <c r="CN7" t="s">
        <v>99</v>
      </c>
      <c r="CO7" t="s">
        <v>99</v>
      </c>
      <c r="CP7" t="s">
        <v>99</v>
      </c>
      <c r="CQ7" t="s">
        <v>99</v>
      </c>
      <c r="CR7" t="s">
        <v>99</v>
      </c>
      <c r="CS7" t="s">
        <v>99</v>
      </c>
      <c r="CT7" t="s">
        <v>99</v>
      </c>
      <c r="CU7" t="s">
        <v>99</v>
      </c>
      <c r="CV7" t="s">
        <v>99</v>
      </c>
      <c r="CW7" t="s">
        <v>99</v>
      </c>
      <c r="CX7" t="s">
        <v>99</v>
      </c>
      <c r="CY7" t="s">
        <v>99</v>
      </c>
      <c r="CZ7" t="s">
        <v>99</v>
      </c>
      <c r="DA7" t="s">
        <v>99</v>
      </c>
      <c r="DB7" t="s">
        <v>99</v>
      </c>
      <c r="DC7" t="s">
        <v>99</v>
      </c>
      <c r="DD7" t="s">
        <v>99</v>
      </c>
      <c r="DE7" t="s">
        <v>99</v>
      </c>
      <c r="DF7" t="s">
        <v>99</v>
      </c>
      <c r="DG7" t="s">
        <v>99</v>
      </c>
      <c r="DH7" t="s">
        <v>99</v>
      </c>
      <c r="DI7" t="s">
        <v>99</v>
      </c>
      <c r="DJ7" t="s">
        <v>99</v>
      </c>
      <c r="DK7" t="s">
        <v>99</v>
      </c>
      <c r="DL7" t="s">
        <v>99</v>
      </c>
      <c r="DM7" t="s">
        <v>99</v>
      </c>
      <c r="DN7" t="s">
        <v>99</v>
      </c>
      <c r="DO7" t="s">
        <v>99</v>
      </c>
      <c r="DP7" t="s">
        <v>99</v>
      </c>
      <c r="DQ7" t="s">
        <v>99</v>
      </c>
      <c r="DR7" t="s">
        <v>99</v>
      </c>
      <c r="DS7" t="s">
        <v>99</v>
      </c>
      <c r="DT7" t="s">
        <v>99</v>
      </c>
      <c r="DU7" t="s">
        <v>99</v>
      </c>
      <c r="DV7" t="s">
        <v>99</v>
      </c>
      <c r="DW7" t="s">
        <v>99</v>
      </c>
      <c r="DX7" t="s">
        <v>99</v>
      </c>
      <c r="DY7" t="s">
        <v>99</v>
      </c>
      <c r="DZ7" t="s">
        <v>99</v>
      </c>
      <c r="EA7" t="s">
        <v>99</v>
      </c>
      <c r="EB7" t="s">
        <v>99</v>
      </c>
      <c r="EC7" t="s">
        <v>99</v>
      </c>
      <c r="ED7" t="s">
        <v>99</v>
      </c>
      <c r="EE7" t="s">
        <v>99</v>
      </c>
      <c r="EF7" t="s">
        <v>99</v>
      </c>
      <c r="EG7" t="s">
        <v>99</v>
      </c>
      <c r="EH7" t="s">
        <v>99</v>
      </c>
      <c r="EI7" t="s">
        <v>99</v>
      </c>
      <c r="EJ7" t="s">
        <v>99</v>
      </c>
      <c r="EK7" t="s">
        <v>99</v>
      </c>
      <c r="EL7" t="s">
        <v>99</v>
      </c>
      <c r="EM7" t="s">
        <v>99</v>
      </c>
      <c r="EN7" t="s">
        <v>99</v>
      </c>
      <c r="EO7" t="s">
        <v>99</v>
      </c>
      <c r="EP7" t="s">
        <v>99</v>
      </c>
      <c r="EQ7" t="s">
        <v>99</v>
      </c>
      <c r="ER7" t="s">
        <v>99</v>
      </c>
      <c r="ES7" t="s">
        <v>99</v>
      </c>
      <c r="ET7" t="s">
        <v>99</v>
      </c>
      <c r="EU7" t="s">
        <v>99</v>
      </c>
      <c r="EV7" t="s">
        <v>99</v>
      </c>
      <c r="EW7" t="s">
        <v>99</v>
      </c>
      <c r="EX7" t="s">
        <v>99</v>
      </c>
      <c r="EY7" t="s">
        <v>99</v>
      </c>
      <c r="EZ7" t="s">
        <v>99</v>
      </c>
      <c r="FA7" t="s">
        <v>99</v>
      </c>
      <c r="FB7" t="s">
        <v>99</v>
      </c>
      <c r="FC7" t="s">
        <v>99</v>
      </c>
      <c r="FD7" t="s">
        <v>99</v>
      </c>
      <c r="FE7" t="s">
        <v>99</v>
      </c>
      <c r="FF7" t="s">
        <v>99</v>
      </c>
      <c r="FG7" t="s">
        <v>99</v>
      </c>
      <c r="FH7" t="s">
        <v>99</v>
      </c>
      <c r="FI7" t="s">
        <v>99</v>
      </c>
      <c r="FJ7" t="s">
        <v>99</v>
      </c>
      <c r="FK7" t="s">
        <v>99</v>
      </c>
      <c r="FL7" t="s">
        <v>99</v>
      </c>
      <c r="FM7" t="s">
        <v>99</v>
      </c>
      <c r="FN7" t="s">
        <v>99</v>
      </c>
      <c r="FO7" t="s">
        <v>99</v>
      </c>
      <c r="FP7" t="s">
        <v>99</v>
      </c>
      <c r="FQ7" t="s">
        <v>99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115</v>
      </c>
      <c r="D3" s="5" t="s">
        <v>9</v>
      </c>
      <c r="E3" s="22" t="s">
        <v>116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52" t="s">
        <v>99</v>
      </c>
      <c r="B6" s="52"/>
      <c r="C6" s="8" t="s">
        <v>23</v>
      </c>
      <c r="D6" s="52">
        <v>-1.0</v>
      </c>
      <c r="E6" s="8" t="s">
        <v>58</v>
      </c>
      <c r="F6" s="8" t="s">
        <v>72</v>
      </c>
      <c r="G6" s="8">
        <v>20.0</v>
      </c>
      <c r="H6" s="8" t="s">
        <v>67</v>
      </c>
      <c r="I6" s="8"/>
      <c r="J6" s="8"/>
      <c r="K6" s="8"/>
      <c r="L6" s="8"/>
      <c r="M6" s="8"/>
      <c r="N6" s="8"/>
      <c r="O6" s="8" t="s">
        <v>107</v>
      </c>
      <c r="P6" t="s">
        <v>117</v>
      </c>
      <c r="R6" t="s">
        <v>118</v>
      </c>
      <c r="S6" t="s">
        <v>111</v>
      </c>
      <c r="T6" t="s">
        <v>102</v>
      </c>
      <c r="U6" t="s">
        <v>119</v>
      </c>
      <c r="V6" t="s">
        <v>108</v>
      </c>
      <c r="W6" t="s">
        <v>45</v>
      </c>
      <c r="X6">
        <v>1.0</v>
      </c>
      <c r="Y6">
        <v>1.0</v>
      </c>
      <c r="AF6">
        <v>-1.0</v>
      </c>
      <c r="AL6">
        <v>1.0</v>
      </c>
      <c r="AM6">
        <v>1.0</v>
      </c>
      <c r="AN6" t="s">
        <v>34</v>
      </c>
      <c r="AP6" t="s">
        <v>120</v>
      </c>
      <c r="AQ6" t="s">
        <v>23</v>
      </c>
      <c r="AR6">
        <v>8.0</v>
      </c>
      <c r="AV6">
        <v>1.0</v>
      </c>
      <c r="BC6">
        <v>1.0</v>
      </c>
      <c r="BD6">
        <v>20.0</v>
      </c>
      <c r="BE6" t="s">
        <v>102</v>
      </c>
      <c r="BF6" t="s">
        <v>121</v>
      </c>
      <c r="BG6" t="s">
        <v>122</v>
      </c>
      <c r="BH6" t="s">
        <v>123</v>
      </c>
      <c r="BI6" t="s">
        <v>124</v>
      </c>
      <c r="BO6">
        <v>20.0</v>
      </c>
      <c r="BQ6" t="s">
        <v>125</v>
      </c>
      <c r="BR6" t="s">
        <v>105</v>
      </c>
      <c r="BU6" t="s">
        <v>102</v>
      </c>
      <c r="BX6">
        <v>8.0</v>
      </c>
      <c r="BY6">
        <v>8.0</v>
      </c>
      <c r="BZ6">
        <v>8.0</v>
      </c>
      <c r="CA6">
        <v>8.0</v>
      </c>
      <c r="CK6" t="b">
        <v>0</v>
      </c>
      <c r="CP6" t="s">
        <v>103</v>
      </c>
      <c r="CQ6" t="s">
        <v>126</v>
      </c>
      <c r="CS6">
        <v>20.0</v>
      </c>
      <c r="CY6" t="s">
        <v>127</v>
      </c>
      <c r="CZ6" t="s">
        <v>128</v>
      </c>
      <c r="DH6" t="s">
        <v>117</v>
      </c>
      <c r="DJ6" t="s">
        <v>34</v>
      </c>
      <c r="DM6">
        <v>1.0</v>
      </c>
      <c r="DN6">
        <v>8.0</v>
      </c>
      <c r="DO6" t="s">
        <v>129</v>
      </c>
      <c r="DP6" t="s">
        <v>99</v>
      </c>
      <c r="DQ6" t="s">
        <v>99</v>
      </c>
      <c r="DR6" t="s">
        <v>99</v>
      </c>
      <c r="DS6" t="s">
        <v>99</v>
      </c>
      <c r="DT6" t="s">
        <v>99</v>
      </c>
      <c r="DU6" t="s">
        <v>99</v>
      </c>
      <c r="DV6" t="s">
        <v>99</v>
      </c>
      <c r="DW6" t="s">
        <v>99</v>
      </c>
      <c r="DX6" t="s">
        <v>99</v>
      </c>
      <c r="DY6" t="s">
        <v>99</v>
      </c>
      <c r="DZ6" t="s">
        <v>99</v>
      </c>
      <c r="EA6" t="s">
        <v>99</v>
      </c>
      <c r="EB6" t="s">
        <v>99</v>
      </c>
      <c r="EC6" t="s">
        <v>99</v>
      </c>
      <c r="ED6" t="s">
        <v>99</v>
      </c>
      <c r="EE6" t="s">
        <v>99</v>
      </c>
      <c r="EF6" t="s">
        <v>99</v>
      </c>
      <c r="EG6" t="s">
        <v>99</v>
      </c>
      <c r="EH6" t="s">
        <v>99</v>
      </c>
      <c r="EI6" t="s">
        <v>99</v>
      </c>
      <c r="EJ6" t="s">
        <v>99</v>
      </c>
      <c r="EK6" t="s">
        <v>99</v>
      </c>
      <c r="EL6" t="s">
        <v>99</v>
      </c>
      <c r="EM6" t="s">
        <v>99</v>
      </c>
      <c r="EN6" t="s">
        <v>99</v>
      </c>
      <c r="EO6" t="s">
        <v>99</v>
      </c>
      <c r="EP6" t="s">
        <v>99</v>
      </c>
      <c r="EQ6" t="s">
        <v>99</v>
      </c>
      <c r="ER6" t="s">
        <v>99</v>
      </c>
      <c r="ES6" t="s">
        <v>99</v>
      </c>
      <c r="ET6" t="s">
        <v>99</v>
      </c>
      <c r="EU6" t="s">
        <v>99</v>
      </c>
      <c r="EV6" t="s">
        <v>99</v>
      </c>
      <c r="EW6" t="s">
        <v>99</v>
      </c>
      <c r="EX6" t="s">
        <v>99</v>
      </c>
      <c r="EY6" t="s">
        <v>99</v>
      </c>
      <c r="EZ6" t="s">
        <v>99</v>
      </c>
      <c r="FA6" t="s">
        <v>99</v>
      </c>
      <c r="FB6" t="s">
        <v>99</v>
      </c>
      <c r="FC6" t="s">
        <v>99</v>
      </c>
      <c r="FD6" t="s">
        <v>99</v>
      </c>
      <c r="FE6" t="s">
        <v>99</v>
      </c>
      <c r="FF6" t="s">
        <v>99</v>
      </c>
      <c r="FG6" t="s">
        <v>99</v>
      </c>
      <c r="FH6" t="s">
        <v>99</v>
      </c>
      <c r="FI6" t="s">
        <v>99</v>
      </c>
      <c r="FJ6" t="s">
        <v>99</v>
      </c>
      <c r="FK6" t="s">
        <v>99</v>
      </c>
      <c r="FL6" t="s">
        <v>99</v>
      </c>
      <c r="FM6" t="s">
        <v>99</v>
      </c>
      <c r="FN6" t="s">
        <v>99</v>
      </c>
      <c r="FO6" t="s">
        <v>99</v>
      </c>
      <c r="FP6" t="s">
        <v>99</v>
      </c>
      <c r="FQ6" t="s">
        <v>99</v>
      </c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  <c r="AMK6" s="54"/>
      <c r="AML6" s="54"/>
    </row>
    <row r="7" ht="15.75" customHeight="1">
      <c r="A7" s="8" t="s">
        <v>99</v>
      </c>
      <c r="B7" s="8"/>
      <c r="C7" s="8" t="s">
        <v>27</v>
      </c>
      <c r="D7" s="8">
        <v>-1.0</v>
      </c>
      <c r="E7" s="8" t="s">
        <v>58</v>
      </c>
      <c r="F7" s="8" t="s">
        <v>72</v>
      </c>
      <c r="G7" s="8">
        <v>20.0</v>
      </c>
      <c r="H7" s="8" t="s">
        <v>120</v>
      </c>
      <c r="I7" s="8"/>
      <c r="J7" s="8"/>
      <c r="K7" s="8"/>
      <c r="L7" s="8"/>
      <c r="M7" s="8"/>
      <c r="N7" s="8"/>
      <c r="O7" s="8" t="s">
        <v>113</v>
      </c>
      <c r="P7" t="s">
        <v>117</v>
      </c>
      <c r="R7" t="s">
        <v>118</v>
      </c>
      <c r="S7" t="s">
        <v>111</v>
      </c>
      <c r="T7" t="s">
        <v>102</v>
      </c>
      <c r="U7" t="s">
        <v>119</v>
      </c>
      <c r="V7" t="s">
        <v>114</v>
      </c>
      <c r="W7" t="s">
        <v>45</v>
      </c>
      <c r="X7">
        <v>1.0</v>
      </c>
      <c r="Y7">
        <v>1.0</v>
      </c>
      <c r="AF7">
        <v>-1.0</v>
      </c>
      <c r="AL7">
        <v>1.0</v>
      </c>
      <c r="AM7">
        <v>1.0</v>
      </c>
      <c r="AN7" t="s">
        <v>34</v>
      </c>
      <c r="AP7" t="s">
        <v>120</v>
      </c>
      <c r="AQ7" t="s">
        <v>27</v>
      </c>
      <c r="AR7">
        <v>20.0</v>
      </c>
      <c r="AV7">
        <v>1.0</v>
      </c>
      <c r="BC7">
        <v>1.0</v>
      </c>
      <c r="BD7">
        <v>20.0</v>
      </c>
      <c r="BE7" t="s">
        <v>102</v>
      </c>
      <c r="BF7" t="s">
        <v>121</v>
      </c>
      <c r="BG7" t="s">
        <v>130</v>
      </c>
      <c r="BH7" t="s">
        <v>117</v>
      </c>
      <c r="BI7" t="s">
        <v>124</v>
      </c>
      <c r="BO7">
        <v>20.0</v>
      </c>
      <c r="BQ7" t="s">
        <v>125</v>
      </c>
      <c r="BR7" t="s">
        <v>105</v>
      </c>
      <c r="BU7" t="s">
        <v>102</v>
      </c>
      <c r="BX7">
        <v>20.0</v>
      </c>
      <c r="BY7">
        <v>20.0</v>
      </c>
      <c r="BZ7">
        <v>20.0</v>
      </c>
      <c r="CA7">
        <v>20.0</v>
      </c>
      <c r="CK7" t="b">
        <v>0</v>
      </c>
      <c r="CP7" t="s">
        <v>112</v>
      </c>
      <c r="CQ7" t="s">
        <v>131</v>
      </c>
      <c r="CS7">
        <v>20.0</v>
      </c>
      <c r="CY7" t="s">
        <v>127</v>
      </c>
      <c r="CZ7" t="s">
        <v>128</v>
      </c>
      <c r="DH7" t="s">
        <v>117</v>
      </c>
      <c r="DJ7" t="s">
        <v>34</v>
      </c>
      <c r="DM7">
        <v>1.0</v>
      </c>
      <c r="DN7">
        <v>20.0</v>
      </c>
      <c r="DO7" t="s">
        <v>132</v>
      </c>
      <c r="DP7" t="s">
        <v>99</v>
      </c>
      <c r="DQ7" t="s">
        <v>99</v>
      </c>
      <c r="DR7" t="s">
        <v>99</v>
      </c>
      <c r="DS7" t="s">
        <v>99</v>
      </c>
      <c r="DT7" t="s">
        <v>99</v>
      </c>
      <c r="DU7" t="s">
        <v>99</v>
      </c>
      <c r="DV7" t="s">
        <v>99</v>
      </c>
      <c r="DW7" t="s">
        <v>99</v>
      </c>
      <c r="DX7" t="s">
        <v>99</v>
      </c>
      <c r="DY7" t="s">
        <v>99</v>
      </c>
      <c r="DZ7" t="s">
        <v>99</v>
      </c>
      <c r="EA7" t="s">
        <v>99</v>
      </c>
      <c r="EB7" t="s">
        <v>99</v>
      </c>
      <c r="EC7" t="s">
        <v>99</v>
      </c>
      <c r="ED7" t="s">
        <v>99</v>
      </c>
      <c r="EE7" t="s">
        <v>99</v>
      </c>
      <c r="EF7" t="s">
        <v>99</v>
      </c>
      <c r="EG7" t="s">
        <v>99</v>
      </c>
      <c r="EH7" t="s">
        <v>99</v>
      </c>
      <c r="EI7" t="s">
        <v>99</v>
      </c>
      <c r="EJ7" t="s">
        <v>99</v>
      </c>
      <c r="EK7" t="s">
        <v>99</v>
      </c>
      <c r="EL7" t="s">
        <v>99</v>
      </c>
      <c r="EM7" t="s">
        <v>99</v>
      </c>
      <c r="EN7" t="s">
        <v>99</v>
      </c>
      <c r="EO7" t="s">
        <v>99</v>
      </c>
      <c r="EP7" t="s">
        <v>99</v>
      </c>
      <c r="EQ7" t="s">
        <v>99</v>
      </c>
      <c r="ER7" t="s">
        <v>99</v>
      </c>
      <c r="ES7" t="s">
        <v>99</v>
      </c>
      <c r="ET7" t="s">
        <v>99</v>
      </c>
      <c r="EU7" t="s">
        <v>99</v>
      </c>
      <c r="EV7" t="s">
        <v>99</v>
      </c>
      <c r="EW7" t="s">
        <v>99</v>
      </c>
      <c r="EX7" t="s">
        <v>99</v>
      </c>
      <c r="EY7" t="s">
        <v>99</v>
      </c>
      <c r="EZ7" t="s">
        <v>99</v>
      </c>
      <c r="FA7" t="s">
        <v>99</v>
      </c>
      <c r="FB7" t="s">
        <v>99</v>
      </c>
      <c r="FC7" t="s">
        <v>99</v>
      </c>
      <c r="FD7" t="s">
        <v>99</v>
      </c>
      <c r="FE7" t="s">
        <v>99</v>
      </c>
      <c r="FF7" t="s">
        <v>99</v>
      </c>
      <c r="FG7" t="s">
        <v>99</v>
      </c>
      <c r="FH7" t="s">
        <v>99</v>
      </c>
      <c r="FI7" t="s">
        <v>99</v>
      </c>
      <c r="FJ7" t="s">
        <v>99</v>
      </c>
      <c r="FK7" t="s">
        <v>99</v>
      </c>
      <c r="FL7" t="s">
        <v>99</v>
      </c>
      <c r="FM7" t="s">
        <v>99</v>
      </c>
      <c r="FN7" t="s">
        <v>99</v>
      </c>
      <c r="FO7" t="s">
        <v>99</v>
      </c>
      <c r="FP7" t="s">
        <v>99</v>
      </c>
      <c r="FQ7" t="s">
        <v>99</v>
      </c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  <c r="AMK7" s="54"/>
      <c r="AML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