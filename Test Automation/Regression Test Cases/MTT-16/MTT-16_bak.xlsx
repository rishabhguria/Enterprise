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3" activeTab="16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GetDailyCash" sheetId="6" r:id="rId6"/>
    <sheet name="UpdateDailyCash" sheetId="7" r:id="rId7"/>
    <sheet name="UpdateMasterFundOnTT" sheetId="8" r:id="rId8"/>
    <sheet name="CreateStageOrder" sheetId="9" r:id="rId9"/>
    <sheet name="UpdateMasterFundOnTT1" sheetId="10" r:id="rId10"/>
    <sheet name="CreateStageOrder1" sheetId="11" r:id="rId11"/>
    <sheet name="MultiTradingTicketFromBlotter" sheetId="12" r:id="rId12"/>
    <sheet name="SelectTradeUsingMTT" sheetId="13" r:id="rId13"/>
    <sheet name="EditTradeUsingMTT" sheetId="14" r:id="rId14"/>
    <sheet name="SelectTradeUsingMTT1" sheetId="15" r:id="rId15"/>
    <sheet name="EditTradeUsingMTT1" sheetId="16" r:id="rId16"/>
    <sheet name="DoneAwayUsingMTT" sheetId="17" r:id="rId17"/>
    <sheet name="VerifyOrder" sheetId="18" r:id="rId18"/>
    <sheet name="GetDataAllocation" sheetId="19" r:id="rId19"/>
    <sheet name="CheckAllocatedGroups" sheetId="20" r:id="rId20"/>
    <sheet name="CheckPortfolioManagement" sheetId="21" r:id="rId21"/>
  </sheets>
  <calcPr calcId="145621"/>
</workbook>
</file>

<file path=xl/calcChain.xml><?xml version="1.0" encoding="utf-8"?>
<calcChain xmlns="http://schemas.openxmlformats.org/spreadsheetml/2006/main">
  <c r="J2" i="21" l="1"/>
  <c r="J2" i="20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C6" i="6"/>
  <c r="B6" i="6"/>
  <c r="J2" i="6"/>
  <c r="J2" i="5"/>
  <c r="J2" i="4"/>
  <c r="FG5" i="21"/>
  <c r="EY5" i="21"/>
  <c r="EQ5" i="21"/>
  <c r="EI5" i="21"/>
  <c r="EA5" i="21"/>
  <c r="DS5" i="21"/>
  <c r="DK5" i="21"/>
  <c r="DC5" i="21"/>
  <c r="CU5" i="21"/>
  <c r="CM5" i="21"/>
  <c r="CE5" i="21"/>
  <c r="BW5" i="21"/>
  <c r="BO5" i="21"/>
  <c r="BG5" i="21"/>
  <c r="AY5" i="21"/>
  <c r="AQ5" i="21"/>
  <c r="AI5" i="21"/>
  <c r="AA5" i="21"/>
  <c r="S5" i="21"/>
  <c r="K5" i="21"/>
  <c r="C5" i="21"/>
  <c r="V4" i="21"/>
  <c r="N4" i="21"/>
  <c r="F4" i="21"/>
  <c r="CQ5" i="20"/>
  <c r="CI5" i="20"/>
  <c r="CA5" i="20"/>
  <c r="BS5" i="20"/>
  <c r="BK5" i="20"/>
  <c r="BC5" i="20"/>
  <c r="AU5" i="20"/>
  <c r="AM5" i="20"/>
  <c r="AE5" i="20"/>
  <c r="W5" i="20"/>
  <c r="O5" i="20"/>
  <c r="G5" i="20"/>
  <c r="DP4" i="20"/>
  <c r="DH4" i="20"/>
  <c r="CZ4" i="20"/>
  <c r="CR4" i="20"/>
  <c r="CJ4" i="20"/>
  <c r="CB4" i="20"/>
  <c r="BT4" i="20"/>
  <c r="BL4" i="20"/>
  <c r="BD4" i="20"/>
  <c r="AV4" i="20"/>
  <c r="AN4" i="20"/>
  <c r="AF4" i="20"/>
  <c r="X4" i="20"/>
  <c r="P4" i="20"/>
  <c r="H4" i="20"/>
  <c r="R5" i="19"/>
  <c r="J5" i="19"/>
  <c r="B5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AV5" i="18"/>
  <c r="AN5" i="18"/>
  <c r="AF5" i="18"/>
  <c r="X5" i="18"/>
  <c r="P5" i="18"/>
  <c r="H5" i="18"/>
  <c r="BH4" i="18"/>
  <c r="AZ4" i="18"/>
  <c r="AR4" i="18"/>
  <c r="AJ4" i="18"/>
  <c r="AB4" i="18"/>
  <c r="T4" i="18"/>
  <c r="L4" i="18"/>
  <c r="D4" i="18"/>
  <c r="AF5" i="17"/>
  <c r="X5" i="17"/>
  <c r="P5" i="17"/>
  <c r="H5" i="17"/>
  <c r="G4" i="17"/>
  <c r="AI5" i="16"/>
  <c r="AA5" i="16"/>
  <c r="S5" i="16"/>
  <c r="K5" i="16"/>
  <c r="C5" i="16"/>
  <c r="B4" i="16"/>
  <c r="AD5" i="15"/>
  <c r="V5" i="15"/>
  <c r="N5" i="15"/>
  <c r="F5" i="15"/>
  <c r="E4" i="15"/>
  <c r="AG5" i="14"/>
  <c r="Y5" i="14"/>
  <c r="Q5" i="14"/>
  <c r="I5" i="14"/>
  <c r="A5" i="14"/>
  <c r="AJ5" i="13"/>
  <c r="AB5" i="13"/>
  <c r="T5" i="13"/>
  <c r="L5" i="13"/>
  <c r="D5" i="13"/>
  <c r="C4" i="13"/>
  <c r="AR5" i="12"/>
  <c r="AJ5" i="12"/>
  <c r="AB5" i="12"/>
  <c r="T5" i="12"/>
  <c r="L5" i="12"/>
  <c r="D5" i="12"/>
  <c r="BD4" i="12"/>
  <c r="AV4" i="12"/>
  <c r="AN4" i="12"/>
  <c r="AF4" i="12"/>
  <c r="X4" i="12"/>
  <c r="P4" i="12"/>
  <c r="H4" i="12"/>
  <c r="AO5" i="11"/>
  <c r="AG5" i="11"/>
  <c r="Y5" i="11"/>
  <c r="Q5" i="11"/>
  <c r="FF5" i="21"/>
  <c r="EX5" i="21"/>
  <c r="EP5" i="21"/>
  <c r="EH5" i="21"/>
  <c r="DZ5" i="21"/>
  <c r="DR5" i="21"/>
  <c r="DJ5" i="21"/>
  <c r="DB5" i="21"/>
  <c r="CT5" i="21"/>
  <c r="CL5" i="21"/>
  <c r="CD5" i="21"/>
  <c r="BV5" i="21"/>
  <c r="BN5" i="21"/>
  <c r="BF5" i="21"/>
  <c r="AX5" i="21"/>
  <c r="AP5" i="21"/>
  <c r="AH5" i="21"/>
  <c r="Z5" i="21"/>
  <c r="R5" i="21"/>
  <c r="J5" i="21"/>
  <c r="B5" i="21"/>
  <c r="U4" i="21"/>
  <c r="M4" i="21"/>
  <c r="E4" i="21"/>
  <c r="CP5" i="20"/>
  <c r="CH5" i="20"/>
  <c r="BZ5" i="20"/>
  <c r="BR5" i="20"/>
  <c r="BJ5" i="20"/>
  <c r="BB5" i="20"/>
  <c r="AT5" i="20"/>
  <c r="AL5" i="20"/>
  <c r="AD5" i="20"/>
  <c r="V5" i="20"/>
  <c r="N5" i="20"/>
  <c r="F5" i="20"/>
  <c r="DO4" i="20"/>
  <c r="DG4" i="20"/>
  <c r="CY4" i="20"/>
  <c r="CQ4" i="20"/>
  <c r="CI4" i="20"/>
  <c r="CA4" i="20"/>
  <c r="BS4" i="20"/>
  <c r="BK4" i="20"/>
  <c r="BC4" i="20"/>
  <c r="AU4" i="20"/>
  <c r="AM4" i="20"/>
  <c r="AE4" i="20"/>
  <c r="W4" i="20"/>
  <c r="O4" i="20"/>
  <c r="G4" i="20"/>
  <c r="Q5" i="19"/>
  <c r="I5" i="19"/>
  <c r="A5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AU5" i="18"/>
  <c r="AM5" i="18"/>
  <c r="AE5" i="18"/>
  <c r="W5" i="18"/>
  <c r="O5" i="18"/>
  <c r="G5" i="18"/>
  <c r="BG4" i="18"/>
  <c r="AY4" i="18"/>
  <c r="AQ4" i="18"/>
  <c r="AI4" i="18"/>
  <c r="AA4" i="18"/>
  <c r="S4" i="18"/>
  <c r="K4" i="18"/>
  <c r="C4" i="18"/>
  <c r="AE5" i="17"/>
  <c r="W5" i="17"/>
  <c r="O5" i="17"/>
  <c r="G5" i="17"/>
  <c r="F4" i="17"/>
  <c r="AH5" i="16"/>
  <c r="Z5" i="16"/>
  <c r="R5" i="16"/>
  <c r="J5" i="16"/>
  <c r="B5" i="16"/>
  <c r="AC5" i="15"/>
  <c r="U5" i="15"/>
  <c r="M5" i="15"/>
  <c r="E5" i="15"/>
  <c r="D4" i="15"/>
  <c r="AF5" i="14"/>
  <c r="X5" i="14"/>
  <c r="P5" i="14"/>
  <c r="H5" i="14"/>
  <c r="G4" i="14"/>
  <c r="AI5" i="13"/>
  <c r="AA5" i="13"/>
  <c r="S5" i="13"/>
  <c r="K5" i="13"/>
  <c r="C5" i="13"/>
  <c r="B4" i="13"/>
  <c r="AQ5" i="12"/>
  <c r="AI5" i="12"/>
  <c r="AA5" i="12"/>
  <c r="S5" i="12"/>
  <c r="K5" i="12"/>
  <c r="C5" i="12"/>
  <c r="BC4" i="12"/>
  <c r="FE5" i="21"/>
  <c r="EW5" i="21"/>
  <c r="EO5" i="21"/>
  <c r="EG5" i="21"/>
  <c r="DY5" i="21"/>
  <c r="DQ5" i="21"/>
  <c r="DI5" i="21"/>
  <c r="DA5" i="21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T4" i="21"/>
  <c r="L4" i="21"/>
  <c r="D4" i="21"/>
  <c r="CO5" i="20"/>
  <c r="CG5" i="20"/>
  <c r="BY5" i="20"/>
  <c r="BQ5" i="20"/>
  <c r="BI5" i="20"/>
  <c r="BA5" i="20"/>
  <c r="AS5" i="20"/>
  <c r="AK5" i="20"/>
  <c r="AC5" i="20"/>
  <c r="U5" i="20"/>
  <c r="M5" i="20"/>
  <c r="E5" i="20"/>
  <c r="DN4" i="20"/>
  <c r="DF4" i="20"/>
  <c r="CX4" i="20"/>
  <c r="CP4" i="20"/>
  <c r="CH4" i="20"/>
  <c r="BZ4" i="20"/>
  <c r="BR4" i="20"/>
  <c r="BJ4" i="20"/>
  <c r="BB4" i="20"/>
  <c r="AT4" i="20"/>
  <c r="AL4" i="20"/>
  <c r="AD4" i="20"/>
  <c r="V4" i="20"/>
  <c r="N4" i="20"/>
  <c r="F4" i="20"/>
  <c r="P5" i="19"/>
  <c r="H5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AT5" i="18"/>
  <c r="AL5" i="18"/>
  <c r="AD5" i="18"/>
  <c r="V5" i="18"/>
  <c r="N5" i="18"/>
  <c r="F5" i="18"/>
  <c r="BF4" i="18"/>
  <c r="AX4" i="18"/>
  <c r="AP4" i="18"/>
  <c r="AH4" i="18"/>
  <c r="Z4" i="18"/>
  <c r="R4" i="18"/>
  <c r="J4" i="18"/>
  <c r="B4" i="18"/>
  <c r="AD5" i="17"/>
  <c r="V5" i="17"/>
  <c r="N5" i="17"/>
  <c r="F5" i="17"/>
  <c r="E4" i="17"/>
  <c r="AG5" i="16"/>
  <c r="Y5" i="16"/>
  <c r="Q5" i="16"/>
  <c r="I5" i="16"/>
  <c r="A5" i="16"/>
  <c r="AJ5" i="15"/>
  <c r="AB5" i="15"/>
  <c r="FD5" i="21"/>
  <c r="EV5" i="21"/>
  <c r="EN5" i="21"/>
  <c r="EF5" i="21"/>
  <c r="DX5" i="21"/>
  <c r="DP5" i="21"/>
  <c r="DH5" i="21"/>
  <c r="CZ5" i="21"/>
  <c r="CR5" i="21"/>
  <c r="CJ5" i="21"/>
  <c r="CB5" i="21"/>
  <c r="BT5" i="21"/>
  <c r="BL5" i="21"/>
  <c r="BD5" i="21"/>
  <c r="AV5" i="21"/>
  <c r="AN5" i="21"/>
  <c r="AF5" i="21"/>
  <c r="X5" i="21"/>
  <c r="P5" i="21"/>
  <c r="H5" i="21"/>
  <c r="AA4" i="21"/>
  <c r="S4" i="21"/>
  <c r="K4" i="21"/>
  <c r="C4" i="21"/>
  <c r="CN5" i="20"/>
  <c r="CF5" i="20"/>
  <c r="BX5" i="20"/>
  <c r="BP5" i="20"/>
  <c r="BH5" i="20"/>
  <c r="AZ5" i="20"/>
  <c r="AR5" i="20"/>
  <c r="AJ5" i="20"/>
  <c r="AB5" i="20"/>
  <c r="T5" i="20"/>
  <c r="L5" i="20"/>
  <c r="D5" i="20"/>
  <c r="DM4" i="20"/>
  <c r="DE4" i="20"/>
  <c r="CW4" i="20"/>
  <c r="CO4" i="20"/>
  <c r="CG4" i="20"/>
  <c r="BY4" i="20"/>
  <c r="BQ4" i="20"/>
  <c r="BI4" i="20"/>
  <c r="BA4" i="20"/>
  <c r="AS4" i="20"/>
  <c r="AK4" i="20"/>
  <c r="AC4" i="20"/>
  <c r="U4" i="20"/>
  <c r="M4" i="20"/>
  <c r="E4" i="20"/>
  <c r="O5" i="19"/>
  <c r="G5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BA5" i="18"/>
  <c r="AS5" i="18"/>
  <c r="AK5" i="18"/>
  <c r="AC5" i="18"/>
  <c r="U5" i="18"/>
  <c r="M5" i="18"/>
  <c r="E5" i="18"/>
  <c r="BE4" i="18"/>
  <c r="AW4" i="18"/>
  <c r="AO4" i="18"/>
  <c r="AG4" i="18"/>
  <c r="Y4" i="18"/>
  <c r="Q4" i="18"/>
  <c r="I4" i="18"/>
  <c r="AC5" i="17"/>
  <c r="U5" i="17"/>
  <c r="M5" i="17"/>
  <c r="E5" i="17"/>
  <c r="D4" i="17"/>
  <c r="AF5" i="16"/>
  <c r="X5" i="16"/>
  <c r="P5" i="16"/>
  <c r="H5" i="16"/>
  <c r="G4" i="16"/>
  <c r="AI5" i="15"/>
  <c r="AA5" i="15"/>
  <c r="S5" i="15"/>
  <c r="K5" i="15"/>
  <c r="C5" i="15"/>
  <c r="B4" i="15"/>
  <c r="AD5" i="14"/>
  <c r="V5" i="14"/>
  <c r="N5" i="14"/>
  <c r="F5" i="14"/>
  <c r="E4" i="14"/>
  <c r="AG5" i="13"/>
  <c r="Y5" i="13"/>
  <c r="Q5" i="13"/>
  <c r="I5" i="13"/>
  <c r="A5" i="13"/>
  <c r="AW5" i="12"/>
  <c r="AO5" i="12"/>
  <c r="AG5" i="12"/>
  <c r="Y5" i="12"/>
  <c r="Q5" i="12"/>
  <c r="I5" i="12"/>
  <c r="A5" i="12"/>
  <c r="BA4" i="12"/>
  <c r="AS4" i="12"/>
  <c r="AK4" i="12"/>
  <c r="AC4" i="12"/>
  <c r="U4" i="12"/>
  <c r="FC5" i="21"/>
  <c r="EU5" i="21"/>
  <c r="EM5" i="21"/>
  <c r="EE5" i="21"/>
  <c r="DW5" i="21"/>
  <c r="DO5" i="21"/>
  <c r="DG5" i="21"/>
  <c r="CY5" i="21"/>
  <c r="CQ5" i="21"/>
  <c r="CI5" i="21"/>
  <c r="CA5" i="21"/>
  <c r="BS5" i="21"/>
  <c r="BK5" i="21"/>
  <c r="BC5" i="21"/>
  <c r="AU5" i="21"/>
  <c r="AM5" i="21"/>
  <c r="AE5" i="21"/>
  <c r="W5" i="21"/>
  <c r="O5" i="21"/>
  <c r="G5" i="21"/>
  <c r="Z4" i="21"/>
  <c r="R4" i="21"/>
  <c r="J4" i="21"/>
  <c r="B4" i="21"/>
  <c r="CM5" i="20"/>
  <c r="CE5" i="20"/>
  <c r="BW5" i="20"/>
  <c r="BO5" i="20"/>
  <c r="BG5" i="20"/>
  <c r="AY5" i="20"/>
  <c r="AQ5" i="20"/>
  <c r="AI5" i="20"/>
  <c r="AA5" i="20"/>
  <c r="S5" i="20"/>
  <c r="K5" i="20"/>
  <c r="C5" i="20"/>
  <c r="DL4" i="20"/>
  <c r="DD4" i="20"/>
  <c r="CV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N5" i="19"/>
  <c r="F5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AZ5" i="18"/>
  <c r="AR5" i="18"/>
  <c r="AJ5" i="18"/>
  <c r="AB5" i="18"/>
  <c r="T5" i="18"/>
  <c r="L5" i="18"/>
  <c r="D5" i="18"/>
  <c r="BD4" i="18"/>
  <c r="AV4" i="18"/>
  <c r="AN4" i="18"/>
  <c r="AF4" i="18"/>
  <c r="X4" i="18"/>
  <c r="P4" i="18"/>
  <c r="H4" i="18"/>
  <c r="AJ5" i="17"/>
  <c r="AB5" i="17"/>
  <c r="T5" i="17"/>
  <c r="L5" i="17"/>
  <c r="D5" i="17"/>
  <c r="C4" i="17"/>
  <c r="AE5" i="16"/>
  <c r="W5" i="16"/>
  <c r="O5" i="16"/>
  <c r="G5" i="16"/>
  <c r="F4" i="16"/>
  <c r="AH5" i="15"/>
  <c r="Z5" i="15"/>
  <c r="R5" i="15"/>
  <c r="J5" i="15"/>
  <c r="B5" i="15"/>
  <c r="AC5" i="14"/>
  <c r="U5" i="14"/>
  <c r="M5" i="14"/>
  <c r="E5" i="14"/>
  <c r="D4" i="14"/>
  <c r="FB5" i="21"/>
  <c r="ET5" i="21"/>
  <c r="EL5" i="21"/>
  <c r="ED5" i="21"/>
  <c r="DV5" i="21"/>
  <c r="DN5" i="21"/>
  <c r="DF5" i="21"/>
  <c r="CX5" i="21"/>
  <c r="CP5" i="21"/>
  <c r="CH5" i="21"/>
  <c r="BZ5" i="21"/>
  <c r="BR5" i="21"/>
  <c r="BJ5" i="21"/>
  <c r="BB5" i="21"/>
  <c r="AT5" i="21"/>
  <c r="AL5" i="21"/>
  <c r="AD5" i="21"/>
  <c r="V5" i="21"/>
  <c r="N5" i="21"/>
  <c r="F5" i="21"/>
  <c r="Y4" i="21"/>
  <c r="Q4" i="21"/>
  <c r="I4" i="21"/>
  <c r="CL5" i="20"/>
  <c r="CD5" i="20"/>
  <c r="BV5" i="20"/>
  <c r="BN5" i="20"/>
  <c r="BF5" i="20"/>
  <c r="AX5" i="20"/>
  <c r="AP5" i="20"/>
  <c r="AH5" i="20"/>
  <c r="Z5" i="20"/>
  <c r="R5" i="20"/>
  <c r="J5" i="20"/>
  <c r="B5" i="20"/>
  <c r="DK4" i="20"/>
  <c r="DC4" i="20"/>
  <c r="CU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M5" i="19"/>
  <c r="E5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AY5" i="18"/>
  <c r="AQ5" i="18"/>
  <c r="AI5" i="18"/>
  <c r="AA5" i="18"/>
  <c r="S5" i="18"/>
  <c r="K5" i="18"/>
  <c r="C5" i="18"/>
  <c r="BC4" i="18"/>
  <c r="AU4" i="18"/>
  <c r="AM4" i="18"/>
  <c r="AE4" i="18"/>
  <c r="W4" i="18"/>
  <c r="O4" i="18"/>
  <c r="G4" i="18"/>
  <c r="AI5" i="17"/>
  <c r="AA5" i="17"/>
  <c r="S5" i="17"/>
  <c r="K5" i="17"/>
  <c r="C5" i="17"/>
  <c r="B4" i="17"/>
  <c r="AD5" i="16"/>
  <c r="V5" i="16"/>
  <c r="N5" i="16"/>
  <c r="F5" i="16"/>
  <c r="E4" i="16"/>
  <c r="AG5" i="15"/>
  <c r="Y5" i="15"/>
  <c r="Q5" i="15"/>
  <c r="I5" i="15"/>
  <c r="A5" i="15"/>
  <c r="AJ5" i="14"/>
  <c r="AB5" i="14"/>
  <c r="T5" i="14"/>
  <c r="L5" i="14"/>
  <c r="D5" i="14"/>
  <c r="C4" i="14"/>
  <c r="AE5" i="13"/>
  <c r="W5" i="13"/>
  <c r="O5" i="13"/>
  <c r="G5" i="13"/>
  <c r="F4" i="13"/>
  <c r="AU5" i="12"/>
  <c r="AM5" i="12"/>
  <c r="AE5" i="12"/>
  <c r="W5" i="12"/>
  <c r="O5" i="12"/>
  <c r="G5" i="12"/>
  <c r="BG4" i="12"/>
  <c r="FA5" i="21"/>
  <c r="ES5" i="21"/>
  <c r="EK5" i="21"/>
  <c r="EC5" i="21"/>
  <c r="DU5" i="21"/>
  <c r="DM5" i="21"/>
  <c r="DE5" i="21"/>
  <c r="CW5" i="21"/>
  <c r="CO5" i="21"/>
  <c r="CG5" i="21"/>
  <c r="BY5" i="21"/>
  <c r="BQ5" i="21"/>
  <c r="BI5" i="21"/>
  <c r="BA5" i="21"/>
  <c r="AS5" i="21"/>
  <c r="AK5" i="21"/>
  <c r="AC5" i="21"/>
  <c r="U5" i="21"/>
  <c r="M5" i="21"/>
  <c r="E5" i="21"/>
  <c r="X4" i="21"/>
  <c r="P4" i="21"/>
  <c r="H4" i="21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L5" i="19"/>
  <c r="D5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AX5" i="18"/>
  <c r="AP5" i="18"/>
  <c r="AH5" i="18"/>
  <c r="Z5" i="18"/>
  <c r="R5" i="18"/>
  <c r="J5" i="18"/>
  <c r="B5" i="18"/>
  <c r="BB4" i="18"/>
  <c r="AT4" i="18"/>
  <c r="AL4" i="18"/>
  <c r="AD4" i="18"/>
  <c r="V4" i="18"/>
  <c r="N4" i="18"/>
  <c r="F4" i="18"/>
  <c r="AH5" i="17"/>
  <c r="Z5" i="17"/>
  <c r="R5" i="17"/>
  <c r="J5" i="17"/>
  <c r="B5" i="17"/>
  <c r="AC5" i="16"/>
  <c r="U5" i="16"/>
  <c r="M5" i="16"/>
  <c r="E5" i="16"/>
  <c r="D4" i="16"/>
  <c r="AF5" i="15"/>
  <c r="X5" i="15"/>
  <c r="P5" i="15"/>
  <c r="H5" i="15"/>
  <c r="G4" i="15"/>
  <c r="AI5" i="14"/>
  <c r="AA5" i="14"/>
  <c r="S5" i="14"/>
  <c r="K5" i="14"/>
  <c r="C5" i="14"/>
  <c r="B4" i="14"/>
  <c r="AD5" i="13"/>
  <c r="V5" i="13"/>
  <c r="N5" i="13"/>
  <c r="F5" i="13"/>
  <c r="E4" i="13"/>
  <c r="AT5" i="12"/>
  <c r="AL5" i="12"/>
  <c r="AD5" i="12"/>
  <c r="V5" i="12"/>
  <c r="N5" i="12"/>
  <c r="F5" i="12"/>
  <c r="BF4" i="12"/>
  <c r="AX4" i="12"/>
  <c r="AP4" i="12"/>
  <c r="AH4" i="12"/>
  <c r="Z4" i="12"/>
  <c r="R4" i="12"/>
  <c r="J4" i="12"/>
  <c r="EZ5" i="21"/>
  <c r="ER5" i="21"/>
  <c r="EJ5" i="21"/>
  <c r="EB5" i="21"/>
  <c r="DT5" i="21"/>
  <c r="DL5" i="21"/>
  <c r="DD5" i="21"/>
  <c r="CV5" i="21"/>
  <c r="CN5" i="21"/>
  <c r="CF5" i="21"/>
  <c r="BX5" i="21"/>
  <c r="BP5" i="21"/>
  <c r="BH5" i="21"/>
  <c r="AZ5" i="21"/>
  <c r="AR5" i="21"/>
  <c r="AJ5" i="21"/>
  <c r="AB5" i="21"/>
  <c r="T5" i="21"/>
  <c r="L5" i="21"/>
  <c r="D5" i="21"/>
  <c r="W4" i="21"/>
  <c r="O4" i="21"/>
  <c r="G4" i="21"/>
  <c r="CR5" i="20"/>
  <c r="CJ5" i="20"/>
  <c r="CB5" i="20"/>
  <c r="BT5" i="20"/>
  <c r="BL5" i="20"/>
  <c r="BD5" i="20"/>
  <c r="AV5" i="20"/>
  <c r="AN5" i="20"/>
  <c r="AF5" i="20"/>
  <c r="X5" i="20"/>
  <c r="P5" i="20"/>
  <c r="H5" i="20"/>
  <c r="DQ4" i="20"/>
  <c r="DI4" i="20"/>
  <c r="DA4" i="20"/>
  <c r="CS4" i="20"/>
  <c r="CK4" i="20"/>
  <c r="CC4" i="20"/>
  <c r="BU4" i="20"/>
  <c r="BM4" i="20"/>
  <c r="BE4" i="20"/>
  <c r="AW4" i="20"/>
  <c r="AO4" i="20"/>
  <c r="AG4" i="20"/>
  <c r="Y4" i="20"/>
  <c r="Q4" i="20"/>
  <c r="I4" i="20"/>
  <c r="K5" i="19"/>
  <c r="C5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AW5" i="18"/>
  <c r="AO5" i="18"/>
  <c r="AG5" i="18"/>
  <c r="Y5" i="18"/>
  <c r="Q5" i="18"/>
  <c r="I5" i="18"/>
  <c r="A5" i="18"/>
  <c r="BA4" i="18"/>
  <c r="AS4" i="18"/>
  <c r="AK4" i="18"/>
  <c r="AC4" i="18"/>
  <c r="U4" i="18"/>
  <c r="M4" i="18"/>
  <c r="E4" i="18"/>
  <c r="AG5" i="17"/>
  <c r="Y5" i="17"/>
  <c r="Q5" i="17"/>
  <c r="I5" i="17"/>
  <c r="A5" i="17"/>
  <c r="AJ5" i="16"/>
  <c r="AB5" i="16"/>
  <c r="T5" i="16"/>
  <c r="L5" i="16"/>
  <c r="D5" i="16"/>
  <c r="C4" i="16"/>
  <c r="AE5" i="15"/>
  <c r="W5" i="15"/>
  <c r="O5" i="15"/>
  <c r="G5" i="15"/>
  <c r="F4" i="15"/>
  <c r="AH5" i="14"/>
  <c r="Z5" i="14"/>
  <c r="R5" i="14"/>
  <c r="J5" i="14"/>
  <c r="B5" i="14"/>
  <c r="AC5" i="13"/>
  <c r="U5" i="13"/>
  <c r="M5" i="13"/>
  <c r="E5" i="13"/>
  <c r="D4" i="13"/>
  <c r="AS5" i="12"/>
  <c r="AK5" i="12"/>
  <c r="AC5" i="12"/>
  <c r="U5" i="12"/>
  <c r="M5" i="12"/>
  <c r="E5" i="12"/>
  <c r="BE4" i="12"/>
  <c r="AW4" i="12"/>
  <c r="AO4" i="12"/>
  <c r="AG4" i="12"/>
  <c r="Y4" i="12"/>
  <c r="Q4" i="12"/>
  <c r="I4" i="12"/>
  <c r="T5" i="15"/>
  <c r="G5" i="14"/>
  <c r="P5" i="13"/>
  <c r="AN5" i="12"/>
  <c r="H5" i="12"/>
  <c r="AR4" i="12"/>
  <c r="AB4" i="12"/>
  <c r="M4" i="12"/>
  <c r="B4" i="12"/>
  <c r="AH5" i="11"/>
  <c r="X5" i="11"/>
  <c r="O5" i="11"/>
  <c r="G5" i="11"/>
  <c r="AC4" i="11"/>
  <c r="U4" i="11"/>
  <c r="M4" i="11"/>
  <c r="E4" i="11"/>
  <c r="AC4" i="10"/>
  <c r="U4" i="10"/>
  <c r="M4" i="10"/>
  <c r="E4" i="10"/>
  <c r="AL5" i="9"/>
  <c r="AD5" i="9"/>
  <c r="V5" i="9"/>
  <c r="N5" i="9"/>
  <c r="F5" i="9"/>
  <c r="AB4" i="9"/>
  <c r="T4" i="9"/>
  <c r="L4" i="9"/>
  <c r="D4" i="9"/>
  <c r="AB4" i="8"/>
  <c r="T4" i="8"/>
  <c r="L4" i="8"/>
  <c r="D4" i="8"/>
  <c r="AG4" i="7"/>
  <c r="Y4" i="7"/>
  <c r="Q4" i="7"/>
  <c r="I4" i="7"/>
  <c r="AE4" i="6"/>
  <c r="W4" i="6"/>
  <c r="O4" i="6"/>
  <c r="G4" i="6"/>
  <c r="A5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F5" i="4"/>
  <c r="O4" i="4"/>
  <c r="G4" i="4"/>
  <c r="C525" i="1"/>
  <c r="A523" i="1"/>
  <c r="B520" i="1"/>
  <c r="C517" i="1"/>
  <c r="A515" i="1"/>
  <c r="B512" i="1"/>
  <c r="C509" i="1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L5" i="15"/>
  <c r="F4" i="14"/>
  <c r="J5" i="13"/>
  <c r="AH5" i="12"/>
  <c r="B5" i="12"/>
  <c r="AQ4" i="12"/>
  <c r="AA4" i="12"/>
  <c r="L4" i="12"/>
  <c r="AF5" i="11"/>
  <c r="W5" i="11"/>
  <c r="N5" i="11"/>
  <c r="F5" i="11"/>
  <c r="AB4" i="11"/>
  <c r="T4" i="11"/>
  <c r="L4" i="11"/>
  <c r="D4" i="11"/>
  <c r="AB4" i="10"/>
  <c r="T4" i="10"/>
  <c r="L4" i="10"/>
  <c r="D4" i="10"/>
  <c r="AK5" i="9"/>
  <c r="AC5" i="9"/>
  <c r="U5" i="9"/>
  <c r="M5" i="9"/>
  <c r="E5" i="9"/>
  <c r="AA4" i="9"/>
  <c r="S4" i="9"/>
  <c r="K4" i="9"/>
  <c r="C4" i="9"/>
  <c r="AA4" i="8"/>
  <c r="S4" i="8"/>
  <c r="K4" i="8"/>
  <c r="C4" i="8"/>
  <c r="AF4" i="7"/>
  <c r="X4" i="7"/>
  <c r="P4" i="7"/>
  <c r="H4" i="7"/>
  <c r="AD4" i="6"/>
  <c r="V4" i="6"/>
  <c r="N4" i="6"/>
  <c r="F4" i="6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5" i="4"/>
  <c r="N4" i="4"/>
  <c r="F4" i="4"/>
  <c r="B525" i="1"/>
  <c r="C522" i="1"/>
  <c r="A520" i="1"/>
  <c r="B517" i="1"/>
  <c r="C514" i="1"/>
  <c r="A512" i="1"/>
  <c r="B509" i="1"/>
  <c r="C506" i="1"/>
  <c r="A504" i="1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D5" i="15"/>
  <c r="H5" i="13"/>
  <c r="AF5" i="12"/>
  <c r="BH4" i="12"/>
  <c r="AM4" i="12"/>
  <c r="W4" i="12"/>
  <c r="K4" i="12"/>
  <c r="AN5" i="11"/>
  <c r="AE5" i="11"/>
  <c r="V5" i="11"/>
  <c r="M5" i="11"/>
  <c r="E5" i="11"/>
  <c r="AA4" i="11"/>
  <c r="S4" i="11"/>
  <c r="K4" i="11"/>
  <c r="C4" i="11"/>
  <c r="AA4" i="10"/>
  <c r="S4" i="10"/>
  <c r="K4" i="10"/>
  <c r="C4" i="10"/>
  <c r="AJ5" i="9"/>
  <c r="AB5" i="9"/>
  <c r="T5" i="9"/>
  <c r="L5" i="9"/>
  <c r="D5" i="9"/>
  <c r="Z4" i="9"/>
  <c r="R4" i="9"/>
  <c r="J4" i="9"/>
  <c r="B4" i="9"/>
  <c r="Z4" i="8"/>
  <c r="R4" i="8"/>
  <c r="J4" i="8"/>
  <c r="B4" i="8"/>
  <c r="AE4" i="7"/>
  <c r="W4" i="7"/>
  <c r="O4" i="7"/>
  <c r="G4" i="7"/>
  <c r="AC4" i="6"/>
  <c r="U4" i="6"/>
  <c r="M4" i="6"/>
  <c r="E4" i="6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L5" i="4"/>
  <c r="D5" i="4"/>
  <c r="M4" i="4"/>
  <c r="E4" i="4"/>
  <c r="A525" i="1"/>
  <c r="B522" i="1"/>
  <c r="C519" i="1"/>
  <c r="A517" i="1"/>
  <c r="B514" i="1"/>
  <c r="C511" i="1"/>
  <c r="A509" i="1"/>
  <c r="B506" i="1"/>
  <c r="C503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" i="15"/>
  <c r="AH5" i="13"/>
  <c r="B5" i="13"/>
  <c r="Z5" i="12"/>
  <c r="BB4" i="12"/>
  <c r="AL4" i="12"/>
  <c r="V4" i="12"/>
  <c r="G4" i="12"/>
  <c r="AM5" i="11"/>
  <c r="AD5" i="11"/>
  <c r="U5" i="11"/>
  <c r="L5" i="11"/>
  <c r="D5" i="11"/>
  <c r="Z4" i="11"/>
  <c r="R4" i="11"/>
  <c r="J4" i="11"/>
  <c r="B4" i="11"/>
  <c r="Z4" i="10"/>
  <c r="R4" i="10"/>
  <c r="J4" i="10"/>
  <c r="B4" i="10"/>
  <c r="AI5" i="9"/>
  <c r="AA5" i="9"/>
  <c r="S5" i="9"/>
  <c r="K5" i="9"/>
  <c r="C5" i="9"/>
  <c r="Y4" i="9"/>
  <c r="Q4" i="9"/>
  <c r="I4" i="9"/>
  <c r="Y4" i="8"/>
  <c r="Q4" i="8"/>
  <c r="I4" i="8"/>
  <c r="AD4" i="7"/>
  <c r="V4" i="7"/>
  <c r="N4" i="7"/>
  <c r="F4" i="7"/>
  <c r="C5" i="6"/>
  <c r="AB4" i="6"/>
  <c r="T4" i="6"/>
  <c r="L4" i="6"/>
  <c r="D4" i="6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K5" i="4"/>
  <c r="C5" i="4"/>
  <c r="L4" i="4"/>
  <c r="D4" i="4"/>
  <c r="C524" i="1"/>
  <c r="A522" i="1"/>
  <c r="B519" i="1"/>
  <c r="C516" i="1"/>
  <c r="A514" i="1"/>
  <c r="B511" i="1"/>
  <c r="C508" i="1"/>
  <c r="A506" i="1"/>
  <c r="B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F5" i="13"/>
  <c r="G4" i="13"/>
  <c r="X5" i="12"/>
  <c r="AZ4" i="12"/>
  <c r="AJ4" i="12"/>
  <c r="T4" i="12"/>
  <c r="F4" i="12"/>
  <c r="AL5" i="11"/>
  <c r="AC5" i="11"/>
  <c r="T5" i="11"/>
  <c r="K5" i="11"/>
  <c r="C5" i="11"/>
  <c r="Y4" i="11"/>
  <c r="Q4" i="11"/>
  <c r="I4" i="11"/>
  <c r="Y4" i="10"/>
  <c r="Q4" i="10"/>
  <c r="I4" i="10"/>
  <c r="AH5" i="9"/>
  <c r="Z5" i="9"/>
  <c r="R5" i="9"/>
  <c r="J5" i="9"/>
  <c r="B5" i="9"/>
  <c r="X4" i="9"/>
  <c r="P4" i="9"/>
  <c r="H4" i="9"/>
  <c r="B5" i="8"/>
  <c r="X4" i="8"/>
  <c r="P4" i="8"/>
  <c r="H4" i="8"/>
  <c r="D5" i="7"/>
  <c r="AC4" i="7"/>
  <c r="U4" i="7"/>
  <c r="M4" i="7"/>
  <c r="E4" i="7"/>
  <c r="B5" i="6"/>
  <c r="AA4" i="6"/>
  <c r="S4" i="6"/>
  <c r="K4" i="6"/>
  <c r="C4" i="6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J5" i="4"/>
  <c r="B5" i="4"/>
  <c r="K4" i="4"/>
  <c r="C4" i="4"/>
  <c r="B524" i="1"/>
  <c r="C521" i="1"/>
  <c r="A519" i="1"/>
  <c r="B516" i="1"/>
  <c r="C513" i="1"/>
  <c r="A511" i="1"/>
  <c r="B508" i="1"/>
  <c r="C505" i="1"/>
  <c r="A503" i="1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E5" i="14"/>
  <c r="Z5" i="13"/>
  <c r="R5" i="12"/>
  <c r="AY4" i="12"/>
  <c r="AI4" i="12"/>
  <c r="S4" i="12"/>
  <c r="E4" i="12"/>
  <c r="AK5" i="11"/>
  <c r="AB5" i="11"/>
  <c r="S5" i="11"/>
  <c r="J5" i="11"/>
  <c r="B5" i="11"/>
  <c r="X4" i="11"/>
  <c r="P4" i="11"/>
  <c r="H4" i="11"/>
  <c r="B5" i="10"/>
  <c r="X4" i="10"/>
  <c r="P4" i="10"/>
  <c r="H4" i="10"/>
  <c r="AO5" i="9"/>
  <c r="AG5" i="9"/>
  <c r="Y5" i="9"/>
  <c r="Q5" i="9"/>
  <c r="I5" i="9"/>
  <c r="A5" i="9"/>
  <c r="W4" i="9"/>
  <c r="O4" i="9"/>
  <c r="G4" i="9"/>
  <c r="A5" i="8"/>
  <c r="W4" i="8"/>
  <c r="O4" i="8"/>
  <c r="G4" i="8"/>
  <c r="C5" i="7"/>
  <c r="AB4" i="7"/>
  <c r="T4" i="7"/>
  <c r="L4" i="7"/>
  <c r="D4" i="7"/>
  <c r="A5" i="6"/>
  <c r="Z4" i="6"/>
  <c r="R4" i="6"/>
  <c r="J4" i="6"/>
  <c r="B4" i="6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I5" i="4"/>
  <c r="A5" i="4"/>
  <c r="J4" i="4"/>
  <c r="B4" i="4"/>
  <c r="A524" i="1"/>
  <c r="B521" i="1"/>
  <c r="C518" i="1"/>
  <c r="A516" i="1"/>
  <c r="B513" i="1"/>
  <c r="C510" i="1"/>
  <c r="A508" i="1"/>
  <c r="B505" i="1"/>
  <c r="C502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W5" i="14"/>
  <c r="X5" i="13"/>
  <c r="AV5" i="12"/>
  <c r="P5" i="12"/>
  <c r="AU4" i="12"/>
  <c r="AE4" i="12"/>
  <c r="O4" i="12"/>
  <c r="D4" i="12"/>
  <c r="AJ5" i="11"/>
  <c r="AA5" i="11"/>
  <c r="R5" i="11"/>
  <c r="I5" i="11"/>
  <c r="A5" i="11"/>
  <c r="W4" i="11"/>
  <c r="O4" i="11"/>
  <c r="G4" i="11"/>
  <c r="A5" i="10"/>
  <c r="W4" i="10"/>
  <c r="O4" i="10"/>
  <c r="G4" i="10"/>
  <c r="AN5" i="9"/>
  <c r="AF5" i="9"/>
  <c r="X5" i="9"/>
  <c r="P5" i="9"/>
  <c r="H5" i="9"/>
  <c r="AD4" i="9"/>
  <c r="V4" i="9"/>
  <c r="N4" i="9"/>
  <c r="F4" i="9"/>
  <c r="AD4" i="8"/>
  <c r="V4" i="8"/>
  <c r="N4" i="8"/>
  <c r="F4" i="8"/>
  <c r="B5" i="7"/>
  <c r="AA4" i="7"/>
  <c r="S4" i="7"/>
  <c r="K4" i="7"/>
  <c r="C4" i="7"/>
  <c r="AG4" i="6"/>
  <c r="Y4" i="6"/>
  <c r="Q4" i="6"/>
  <c r="I4" i="6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H5" i="4"/>
  <c r="Q4" i="4"/>
  <c r="I4" i="4"/>
  <c r="C523" i="1"/>
  <c r="A521" i="1"/>
  <c r="B518" i="1"/>
  <c r="C515" i="1"/>
  <c r="A513" i="1"/>
  <c r="B510" i="1"/>
  <c r="C507" i="1"/>
  <c r="A505" i="1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O5" i="14"/>
  <c r="R5" i="13"/>
  <c r="AP5" i="12"/>
  <c r="J5" i="12"/>
  <c r="AT4" i="12"/>
  <c r="AD4" i="12"/>
  <c r="N4" i="12"/>
  <c r="C4" i="12"/>
  <c r="AI5" i="11"/>
  <c r="Z5" i="11"/>
  <c r="P5" i="11"/>
  <c r="H5" i="11"/>
  <c r="AD4" i="11"/>
  <c r="V4" i="11"/>
  <c r="N4" i="11"/>
  <c r="F4" i="11"/>
  <c r="AD4" i="10"/>
  <c r="V4" i="10"/>
  <c r="N4" i="10"/>
  <c r="F4" i="10"/>
  <c r="AM5" i="9"/>
  <c r="AE5" i="9"/>
  <c r="W5" i="9"/>
  <c r="O5" i="9"/>
  <c r="G5" i="9"/>
  <c r="AC4" i="9"/>
  <c r="U4" i="9"/>
  <c r="M4" i="9"/>
  <c r="E4" i="9"/>
  <c r="AC4" i="8"/>
  <c r="U4" i="8"/>
  <c r="M4" i="8"/>
  <c r="E4" i="8"/>
  <c r="A5" i="7"/>
  <c r="Z4" i="7"/>
  <c r="R4" i="7"/>
  <c r="J4" i="7"/>
  <c r="B4" i="7"/>
  <c r="AF4" i="6"/>
  <c r="X4" i="6"/>
  <c r="P4" i="6"/>
  <c r="H4" i="6"/>
  <c r="B5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G5" i="4"/>
  <c r="P4" i="4"/>
  <c r="H4" i="4"/>
  <c r="A4" i="3"/>
  <c r="B523" i="1"/>
  <c r="C520" i="1"/>
  <c r="A518" i="1"/>
  <c r="B515" i="1"/>
  <c r="C512" i="1"/>
  <c r="A510" i="1"/>
  <c r="B507" i="1"/>
  <c r="C504" i="1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C447" i="1"/>
  <c r="A437" i="1"/>
  <c r="B426" i="1"/>
  <c r="B418" i="1"/>
  <c r="C410" i="1"/>
  <c r="A403" i="1"/>
  <c r="A397" i="1"/>
  <c r="B389" i="1"/>
  <c r="C381" i="1"/>
  <c r="C375" i="1"/>
  <c r="A369" i="1"/>
  <c r="B365" i="1"/>
  <c r="A362" i="1"/>
  <c r="A359" i="1"/>
  <c r="A356" i="1"/>
  <c r="A353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445" i="1"/>
  <c r="C434" i="1"/>
  <c r="A424" i="1"/>
  <c r="B416" i="1"/>
  <c r="B410" i="1"/>
  <c r="C402" i="1"/>
  <c r="A395" i="1"/>
  <c r="A389" i="1"/>
  <c r="B381" i="1"/>
  <c r="C373" i="1"/>
  <c r="B368" i="1"/>
  <c r="A365" i="1"/>
  <c r="C361" i="1"/>
  <c r="C358" i="1"/>
  <c r="C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A445" i="1"/>
  <c r="B434" i="1"/>
  <c r="C423" i="1"/>
  <c r="A416" i="1"/>
  <c r="B408" i="1"/>
  <c r="B402" i="1"/>
  <c r="C394" i="1"/>
  <c r="A387" i="1"/>
  <c r="A381" i="1"/>
  <c r="B373" i="1"/>
  <c r="A368" i="1"/>
  <c r="B364" i="1"/>
  <c r="B361" i="1"/>
  <c r="B358" i="1"/>
  <c r="A355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C442" i="1"/>
  <c r="A432" i="1"/>
  <c r="C421" i="1"/>
  <c r="C415" i="1"/>
  <c r="A408" i="1"/>
  <c r="B400" i="1"/>
  <c r="B394" i="1"/>
  <c r="C386" i="1"/>
  <c r="A379" i="1"/>
  <c r="A373" i="1"/>
  <c r="C367" i="1"/>
  <c r="A364" i="1"/>
  <c r="A361" i="1"/>
  <c r="C357" i="1"/>
  <c r="C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B442" i="1"/>
  <c r="C431" i="1"/>
  <c r="B421" i="1"/>
  <c r="C413" i="1"/>
  <c r="C407" i="1"/>
  <c r="A400" i="1"/>
  <c r="B392" i="1"/>
  <c r="B386" i="1"/>
  <c r="C378" i="1"/>
  <c r="A371" i="1"/>
  <c r="A367" i="1"/>
  <c r="C363" i="1"/>
  <c r="B360" i="1"/>
  <c r="B357" i="1"/>
  <c r="B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A440" i="1"/>
  <c r="B429" i="1"/>
  <c r="A421" i="1"/>
  <c r="B413" i="1"/>
  <c r="C405" i="1"/>
  <c r="C399" i="1"/>
  <c r="A392" i="1"/>
  <c r="B384" i="1"/>
  <c r="B378" i="1"/>
  <c r="C370" i="1"/>
  <c r="C366" i="1"/>
  <c r="A363" i="1"/>
  <c r="A360" i="1"/>
  <c r="A357" i="1"/>
  <c r="A354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C439" i="1"/>
  <c r="A429" i="1"/>
  <c r="A419" i="1"/>
  <c r="A413" i="1"/>
  <c r="B405" i="1"/>
  <c r="C397" i="1"/>
  <c r="C391" i="1"/>
  <c r="A384" i="1"/>
  <c r="B376" i="1"/>
  <c r="B370" i="1"/>
  <c r="B366" i="1"/>
  <c r="C362" i="1"/>
  <c r="C359" i="1"/>
  <c r="C356" i="1"/>
  <c r="C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B437" i="1"/>
  <c r="C426" i="1"/>
  <c r="C418" i="1"/>
  <c r="A411" i="1"/>
  <c r="A405" i="1"/>
  <c r="B397" i="1"/>
  <c r="C389" i="1"/>
  <c r="C383" i="1"/>
  <c r="A376" i="1"/>
  <c r="B369" i="1"/>
  <c r="C365" i="1"/>
  <c r="B362" i="1"/>
  <c r="B359" i="1"/>
  <c r="B356" i="1"/>
  <c r="B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5" i="1"/>
  <c r="C4" i="1"/>
  <c r="B4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A5" i="1"/>
  <c r="C9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B7" i="1"/>
  <c r="B6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A4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A7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</calcChain>
</file>

<file path=xl/sharedStrings.xml><?xml version="1.0" encoding="utf-8"?>
<sst xmlns="http://schemas.openxmlformats.org/spreadsheetml/2006/main" count="369" uniqueCount="88">
  <si>
    <t>Modules Info</t>
  </si>
  <si>
    <t>Modules</t>
  </si>
  <si>
    <t>Settings</t>
  </si>
  <si>
    <t>Module Step Setting File</t>
  </si>
  <si>
    <t>15BmYPuIUK8bJJWolrCWS4E1ha5TWcUhcu_ws2uLpBf8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</si>
  <si>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</si>
  <si>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</si>
  <si>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</si>
  <si>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</si>
  <si>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</si>
  <si>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</si>
  <si>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</si>
  <si>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</si>
  <si>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</si>
  <si>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</si>
  <si>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</si>
  <si>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</si>
  <si>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DefinePercent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</si>
  <si>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</si>
  <si>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</si>
  <si>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</si>
  <si>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</si>
  <si>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</si>
  <si>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</si>
  <si>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</si>
  <si>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</si>
  <si>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</si>
  <si>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</si>
  <si>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</si>
  <si>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CreateStageOrder</t>
  </si>
  <si>
    <t>AAPL</t>
  </si>
  <si>
    <t>Buy</t>
  </si>
  <si>
    <t>NewMF1</t>
  </si>
  <si>
    <t>MSFT</t>
  </si>
  <si>
    <t>Sell</t>
  </si>
  <si>
    <t>Blotter</t>
  </si>
  <si>
    <t>MultiTradingTicketFromBlotter</t>
  </si>
  <si>
    <t>NASDAQ</t>
  </si>
  <si>
    <t>Equity</t>
  </si>
  <si>
    <t>New</t>
  </si>
  <si>
    <t>MS</t>
  </si>
  <si>
    <t>Market</t>
  </si>
  <si>
    <t>MultiTradingTicket</t>
  </si>
  <si>
    <t>SelectTradeUsingMTT</t>
  </si>
  <si>
    <t>EditTradeUsingMTT</t>
  </si>
  <si>
    <t>$#$</t>
  </si>
  <si>
    <t>DoneAwayUsingMTT</t>
  </si>
  <si>
    <t>VerifyOrder</t>
  </si>
  <si>
    <t>jpearce</t>
  </si>
  <si>
    <t>US</t>
  </si>
  <si>
    <t>M</t>
  </si>
  <si>
    <t>Filled</t>
  </si>
  <si>
    <t>GetDataAllocation</t>
  </si>
  <si>
    <t>Current</t>
  </si>
  <si>
    <t>CheckAllocatedGroups</t>
  </si>
  <si>
    <t>Open</t>
  </si>
  <si>
    <t>APPLE</t>
  </si>
  <si>
    <t>False</t>
  </si>
  <si>
    <t>True</t>
  </si>
  <si>
    <t>MICROSOFT INC</t>
  </si>
  <si>
    <t>PortfolioManagement</t>
  </si>
  <si>
    <t>CheckPortfolioManagement</t>
  </si>
  <si>
    <t>Long</t>
  </si>
  <si>
    <t>0</t>
  </si>
  <si>
    <t>FIMAT</t>
  </si>
  <si>
    <t>Strategy Unallocated</t>
  </si>
  <si>
    <t>BrokerNotes</t>
  </si>
  <si>
    <t>DefaultNotes</t>
  </si>
  <si>
    <t>1</t>
  </si>
  <si>
    <t>New Hedge</t>
  </si>
  <si>
    <t>Small Cap</t>
  </si>
  <si>
    <t>Undefined</t>
  </si>
  <si>
    <t>5</t>
  </si>
  <si>
    <t>AAPL US EQUITY</t>
  </si>
  <si>
    <t>None</t>
  </si>
  <si>
    <t>Default</t>
  </si>
  <si>
    <t>test1</t>
  </si>
  <si>
    <t>india</t>
  </si>
  <si>
    <t>test 1</t>
  </si>
  <si>
    <t>Yes</t>
  </si>
  <si>
    <t>Short</t>
  </si>
  <si>
    <t>Equity General</t>
  </si>
  <si>
    <t>Information Technology</t>
  </si>
  <si>
    <t>Copper</t>
  </si>
  <si>
    <t>MSFT US EQUITY</t>
  </si>
  <si>
    <t>UNITED STATES</t>
  </si>
  <si>
    <t>MSFT UDA1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</si>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</sst>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3" fillId="0" borderId="0" xfId="0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/>
    <xf numFmtId="14" fontId="3" fillId="0" borderId="5" xfId="0" applyNumberFormat="1" applyFont="1" applyBorder="1" applyAlignment="1"/>
    <xf numFmtId="0" fontId="3" fillId="0" borderId="5" xfId="0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13" fillId="0" borderId="5" xfId="0" applyFont="1" applyBorder="1" applyAlignment="1"/>
    <xf numFmtId="165" fontId="13" fillId="0" borderId="5" xfId="0" applyNumberFormat="1" applyFont="1" applyBorder="1" applyAlignment="1">
      <alignment horizontal="right"/>
    </xf>
    <xf numFmtId="165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5" t="s">
        <v>0</v>
      </c>
      <c r="B1" s="56"/>
      <c r="C1" s="56"/>
      <c r="D1" s="56"/>
      <c r="E1" s="56"/>
      <c r="F1" s="57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>
      <c r="A512" t="str">
        <f ca="1">IFERROR(__xludf.DUMMYFUNCTION("""COMPUTED_VALUE"""),"SecurityMaster")</f>
        <v>SecurityMaster</v>
      </c>
      <c r="B512" t="str">
        <f ca="1">IFERROR(__xludf.DUMMYFUNCTION("""COMPUTED_VALUE"""),"GetSymbolData")</f>
        <v>GetSymbolData</v>
      </c>
      <c r="C512" t="str">
        <f ca="1">IFERROR(__xludf.DUMMYFUNCTION("""COMPUTED_VALUE"""),"1jtd0OYtnm21_vMCd-CSKixcC_TN7ginWcJ7PR714zDw")</f>
        <v>1jtd0OYtnm21_vMCd-CSKixcC_TN7ginWcJ7PR714zDw</v>
      </c>
    </row>
    <row r="513" spans="1:3" ht="15.75" customHeight="1">
      <c r="A513" t="str">
        <f ca="1">IFERROR(__xludf.DUMMYFUNCTION("""COMPUTED_VALUE"""),"SecurityMaster")</f>
        <v>SecurityMaster</v>
      </c>
      <c r="B513" t="str">
        <f ca="1">IFERROR(__xludf.DUMMYFUNCTION("""COMPUTED_VALUE"""),"EditSMData")</f>
        <v>EditSMData</v>
      </c>
      <c r="C513" t="str">
        <f ca="1">IFERROR(__xludf.DUMMYFUNCTION("""COMPUTED_VALUE"""),"1l9IRaSGDow3z943y-v24KT4bLSa2nLFzzrJx6XQozpY")</f>
        <v>1l9IRaSGDow3z943y-v24KT4bLSa2nLFzzrJx6XQozpY</v>
      </c>
    </row>
    <row r="514" spans="1:3" ht="15.75" customHeight="1">
      <c r="A514" t="str">
        <f ca="1">IFERROR(__xludf.DUMMYFUNCTION("""COMPUTED_VALUE"""),"Compliance")</f>
        <v>Compliance</v>
      </c>
      <c r="B514" t="str">
        <f ca="1">IFERROR(__xludf.DUMMYFUNCTION("""COMPUTED_VALUE"""),"RestartRuleMediator")</f>
        <v>RestartRuleMediator</v>
      </c>
      <c r="C514" t="str">
        <f ca="1">IFERROR(__xludf.DUMMYFUNCTION("""COMPUTED_VALUE"""),"18SVZSt8o151Ibqp7S3Ge-27pHb5fW7wNT71WgA_kP_8")</f>
        <v>18SVZSt8o151Ibqp7S3Ge-27pHb5fW7wNT71WgA_kP_8</v>
      </c>
    </row>
    <row r="515" spans="1:3" ht="15.75" customHeight="1">
      <c r="A515" t="str">
        <f ca="1">IFERROR(__xludf.DUMMYFUNCTION("""COMPUTED_VALUE"""),"Compliance")</f>
        <v>Compliance</v>
      </c>
      <c r="B515" t="str">
        <f ca="1">IFERROR(__xludf.DUMMYFUNCTION("""COMPUTED_VALUE"""),"VerifyAggAccountSymbolWithNav")</f>
        <v>VerifyAggAccountSymbolWithNav</v>
      </c>
      <c r="C515" t="str">
        <f ca="1">IFERROR(__xludf.DUMMYFUNCTION("""COMPUTED_VALUE"""),"1yORtQDYWOiS9sGzwmSy3jeH1KeWbwIscJSVtvVljcqk")</f>
        <v>1yORtQDYWOiS9sGzwmSy3jeH1KeWbwIscJSVtvVljcqk</v>
      </c>
    </row>
    <row r="516" spans="1:3" ht="15.75" customHeight="1">
      <c r="A516" t="str">
        <f ca="1">IFERROR(__xludf.DUMMYFUNCTION("""COMPUTED_VALUE"""),"Admin")</f>
        <v>Admin</v>
      </c>
      <c r="B516" t="str">
        <f ca="1">IFERROR(__xludf.DUMMYFUNCTION("""COMPUTED_VALUE"""),"SetComplianceAlert")</f>
        <v>SetComplianceAlert</v>
      </c>
      <c r="C516" t="str">
        <f ca="1">IFERROR(__xludf.DUMMYFUNCTION("""COMPUTED_VALUE"""),"1tHcWqzzT9x7_tjIYlb_jsMu7VunfhVIyqGIWGIXOrQE")</f>
        <v>1tHcWqzzT9x7_tjIYlb_jsMu7VunfhVIyqGIWGIXOrQE</v>
      </c>
    </row>
    <row r="517" spans="1:3" ht="15.75" customHeight="1">
      <c r="A517" t="str">
        <f ca="1">IFERROR(__xludf.DUMMYFUNCTION("""COMPUTED_VALUE"""),"PortfolioManagement")</f>
        <v>PortfolioManagement</v>
      </c>
      <c r="B517" t="str">
        <f ca="1">IFERROR(__xludf.DUMMYFUNCTION("""COMPUTED_VALUE"""),"IncreasePositionFromPM")</f>
        <v>IncreasePositionFromPM</v>
      </c>
      <c r="C517" t="str">
        <f ca="1">IFERROR(__xludf.DUMMYFUNCTION("""COMPUTED_VALUE"""),"1eE569Brgsjqyathy0MKO50Wmj5QCDLuax0S-29Hix4A")</f>
        <v>1eE569Brgsjqyathy0MKO50Wmj5QCDLuax0S-29Hix4A</v>
      </c>
    </row>
    <row r="518" spans="1:3" ht="15.75" customHeight="1">
      <c r="A518" t="str">
        <f ca="1">IFERROR(__xludf.DUMMYFUNCTION("""COMPUTED_VALUE"""),"TradingTicket")</f>
        <v>TradingTicket</v>
      </c>
      <c r="B518" t="str">
        <f ca="1">IFERROR(__xludf.DUMMYFUNCTION("""COMPUTED_VALUE"""),"SendLiveBloomberg")</f>
        <v>SendLiveBloomberg</v>
      </c>
      <c r="C518" t="str">
        <f ca="1">IFERROR(__xludf.DUMMYFUNCTION("""COMPUTED_VALUE"""),"1jm-Rrun0S1nkf5N9L0XR0cK07laQ4i2IyhTZ_88GUUQ")</f>
        <v>1jm-Rrun0S1nkf5N9L0XR0cK07laQ4i2IyhTZ_88GUUQ</v>
      </c>
    </row>
    <row r="519" spans="1:3" ht="15.75" customHeight="1">
      <c r="A519" t="str">
        <f ca="1">IFERROR(__xludf.DUMMYFUNCTION("""COMPUTED_VALUE"""),"Blotter")</f>
        <v>Blotter</v>
      </c>
      <c r="B519" t="str">
        <f ca="1">IFERROR(__xludf.DUMMYFUNCTION("""COMPUTED_VALUE"""),"ReloadOrderFromBlotter")</f>
        <v>ReloadOrderFromBlotter</v>
      </c>
      <c r="C519" t="str">
        <f ca="1">IFERROR(__xludf.DUMMYFUNCTION("""COMPUTED_VALUE"""),"1GnRgq3n2FmksmM-vQvyFRWFLBbtVf3YzhzcYjkk8r48")</f>
        <v>1GnRgq3n2FmksmM-vQvyFRWFLBbtVf3YzhzcYjkk8r48</v>
      </c>
    </row>
    <row r="520" spans="1:3" ht="15.75" customHeight="1">
      <c r="A520" t="str">
        <f ca="1">IFERROR(__xludf.DUMMYFUNCTION("""COMPUTED_VALUE"""),"TradingTicket")</f>
        <v>TradingTicket</v>
      </c>
      <c r="B520" t="str">
        <f ca="1">IFERROR(__xludf.DUMMYFUNCTION("""COMPUTED_VALUE"""),"AddOptionTrade")</f>
        <v>AddOptionTrade</v>
      </c>
      <c r="C520" t="str">
        <f ca="1">IFERROR(__xludf.DUMMYFUNCTION("""COMPUTED_VALUE"""),"1S77RUpuNPEdRdFAsltgJ4BQ2n1UATWQLWerXZ4PXTkk")</f>
        <v>1S77RUpuNPEdRdFAsltgJ4BQ2n1UATWQLWerXZ4PXTkk</v>
      </c>
    </row>
    <row r="521" spans="1:3" ht="15.75" customHeight="1">
      <c r="A521" t="str">
        <f ca="1">IFERROR(__xludf.DUMMYFUNCTION("""COMPUTED_VALUE"""),"Closing")</f>
        <v>Closing</v>
      </c>
      <c r="B521" t="str">
        <f ca="1">IFERROR(__xludf.DUMMYFUNCTION("""COMPUTED_VALUE"""),"AutoExercise")</f>
        <v>AutoExercise</v>
      </c>
      <c r="C521" t="str">
        <f ca="1">IFERROR(__xludf.DUMMYFUNCTION("""COMPUTED_VALUE"""),"1hfy0JEIqBV_drZcgmDPPTyHwSQxbE1sD97UL33FyUKI")</f>
        <v>1hfy0JEIqBV_drZcgmDPPTyHwSQxbE1sD97UL33FyUKI</v>
      </c>
    </row>
    <row r="522" spans="1:3" ht="15.75" customHeight="1">
      <c r="A522" t="str">
        <f ca="1">IFERROR(__xludf.DUMMYFUNCTION("""COMPUTED_VALUE"""),"Admin")</f>
        <v>Admin</v>
      </c>
      <c r="B522" t="str">
        <f ca="1">IFERROR(__xludf.DUMMYFUNCTION("""COMPUTED_VALUE"""),"UpdateExpirationDate")</f>
        <v>UpdateExpirationDate</v>
      </c>
      <c r="C522" t="str">
        <f ca="1">IFERROR(__xludf.DUMMYFUNCTION("""COMPUTED_VALUE"""),"1dylWul81BFmbZVj_Z-Xiz11zLj_QrhKk5QXK_mf_uUE")</f>
        <v>1dylWul81BFmbZVj_Z-Xiz11zLj_QrhKk5QXK_mf_uUE</v>
      </c>
    </row>
    <row r="523" spans="1:3" ht="15.75" customHeight="1">
      <c r="A523" t="str">
        <f ca="1">IFERROR(__xludf.DUMMYFUNCTION("""COMPUTED_VALUE"""),"Blotter")</f>
        <v>Blotter</v>
      </c>
      <c r="B523" t="str">
        <f ca="1">IFERROR(__xludf.DUMMYFUNCTION("""COMPUTED_VALUE"""),"ReloadOrderFromSubOrder")</f>
        <v>ReloadOrderFromSubOrder</v>
      </c>
      <c r="C523" t="str">
        <f ca="1">IFERROR(__xludf.DUMMYFUNCTION("""COMPUTED_VALUE"""),"1HCRddvgPCwJLqnfI7ts10VrFX5EFtgDXaYOCFKQa5Hw")</f>
        <v>1HCRddvgPCwJLqnfI7ts10VrFX5EFtgDXaYOCFKQa5Hw</v>
      </c>
    </row>
    <row r="524" spans="1:3" ht="15.75" customHeight="1">
      <c r="A524" t="str">
        <f ca="1">IFERROR(__xludf.DUMMYFUNCTION("""COMPUTED_VALUE"""),"Blotter")</f>
        <v>Blotter</v>
      </c>
      <c r="B524" t="str">
        <f ca="1">IFERROR(__xludf.DUMMYFUNCTION("""COMPUTED_VALUE"""),"ReloadOrderFromWorkingSubs")</f>
        <v>ReloadOrderFromWorkingSubs</v>
      </c>
      <c r="C524" t="str">
        <f ca="1">IFERROR(__xludf.DUMMYFUNCTION("""COMPUTED_VALUE"""),"1-0deCunA0B5gH5_QgjFRQJkWoWhaKLyiNrCl5nK7g5k")</f>
        <v>1-0deCunA0B5gH5_QgjFRQJkWoWhaKLyiNrCl5nK7g5k</v>
      </c>
    </row>
    <row r="525" spans="1:3" ht="15.75" customHeight="1">
      <c r="A525" t="str">
        <f ca="1">IFERROR(__xludf.DUMMYFUNCTION("""COMPUTED_VALUE"""),"Blotter")</f>
        <v>Blotter</v>
      </c>
      <c r="B525" t="str">
        <f ca="1">IFERROR(__xludf.DUMMYFUNCTION("""COMPUTED_VALUE"""),"SelectFills")</f>
        <v>SelectFills</v>
      </c>
      <c r="C525" t="str">
        <f ca="1">IFERROR(__xludf.DUMMYFUNCTION("""COMPUTED_VALUE"""),"1Z7QxmNsys5SzZV3G-2XqSn0OdEXfUG5t0ZPmwtyFCL8")</f>
        <v>1Z7QxmNsys5SzZV3G-2XqSn0OdEXfUG5t0ZPmwtyFCL8</v>
      </c>
    </row>
    <row r="526" spans="1:3" ht="15.75" customHeight="1"/>
    <row r="527" spans="1:3" ht="15.75" customHeight="1"/>
    <row r="528" spans="1:3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8" t="s">
        <v>2</v>
      </c>
      <c r="B1" s="56"/>
      <c r="C1" s="57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5" t="s">
        <v>7</v>
      </c>
      <c r="B1" s="56"/>
      <c r="C1" s="56"/>
      <c r="D1" s="56"/>
      <c r="E1" s="56"/>
      <c r="F1" s="57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 t="str">
        <f ca="1">IFERROR(__xludf.DUMMYFUNCTION("""COMPUTED_VALUE"""),"UpdateExpirationDate")</f>
        <v>UpdateExpirationDate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 t="str">
        <f ca="1">IFERROR(__xludf.DUMMYFUNCTION("""COMPUTED_VALUE"""),"IsAbsoluteAmountOrDefinePercent")</f>
        <v>IsAbsoluteAmountOrDefinePercent</v>
      </c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/>
      <c r="C6" s="26"/>
      <c r="D6" s="27" t="b">
        <v>1</v>
      </c>
      <c r="E6" s="26"/>
      <c r="F6" s="26"/>
      <c r="G6" s="26"/>
      <c r="H6" s="28">
        <v>10</v>
      </c>
      <c r="I6" s="26"/>
      <c r="J6" s="26"/>
      <c r="K6" s="29" t="s">
        <v>16</v>
      </c>
      <c r="L6" s="26" t="s">
        <v>17</v>
      </c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b">
        <v>1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2">
        <f t="shared" ref="B6:C6" ca="1" si="0">TODAY()-1</f>
        <v>44458</v>
      </c>
      <c r="C6" s="33">
        <f t="shared" ca="1" si="0"/>
        <v>44458</v>
      </c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25" t="s">
        <v>23</v>
      </c>
      <c r="C6" s="26" t="s">
        <v>24</v>
      </c>
      <c r="D6" s="35">
        <v>100000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25</v>
      </c>
      <c r="C7" s="30" t="s">
        <v>24</v>
      </c>
      <c r="D7" s="36">
        <v>100000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 t="str">
        <f ca="1">IFERROR(__xludf.DUMMYFUNCTION("""COMPUTED_VALUE"""),"AddOptionTrade")</f>
        <v>AddOptionTrade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28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26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 t="str">
        <f ca="1">IFERROR(__xludf.DUMMYFUNCTION("""COMPUTED_VALUE"""),"AddOptionTrade")</f>
        <v>AddOptionTrade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 t="str">
        <f ca="1">IFERROR(__xludf.DUMMYFUNCTION("""COMPUTED_VALUE"""),"ShortLocate")</f>
        <v>ShortLocate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25" t="s">
        <v>30</v>
      </c>
      <c r="C6" s="26" t="s">
        <v>31</v>
      </c>
      <c r="D6" s="35">
        <v>100</v>
      </c>
      <c r="E6" s="28">
        <v>100</v>
      </c>
      <c r="F6" s="26" t="s">
        <v>23</v>
      </c>
      <c r="G6" s="26"/>
      <c r="H6" s="26"/>
      <c r="I6" s="26"/>
      <c r="J6" s="28">
        <v>10</v>
      </c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 t="str">
        <f ca="1">IFERROR(__xludf.DUMMYFUNCTION("""COMPUTED_VALUE"""),"AddOptionTrade")</f>
        <v>AddOptionTrade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26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 t="str">
        <f ca="1">IFERROR(__xludf.DUMMYFUNCTION("""COMPUTED_VALUE"""),"AddOptionTrade")</f>
        <v>AddOptionTrade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 t="str">
        <f ca="1">IFERROR(__xludf.DUMMYFUNCTION("""COMPUTED_VALUE"""),"ShortLocate")</f>
        <v>ShortLocate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37" t="s">
        <v>33</v>
      </c>
      <c r="C6" s="38" t="s">
        <v>34</v>
      </c>
      <c r="D6" s="39">
        <v>10000</v>
      </c>
      <c r="E6" s="36">
        <v>10000</v>
      </c>
      <c r="F6" s="38" t="s">
        <v>25</v>
      </c>
      <c r="G6" s="30"/>
      <c r="H6" s="30"/>
      <c r="I6" s="30"/>
      <c r="J6" s="36">
        <v>100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35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25"/>
      <c r="C6" s="26"/>
      <c r="D6" s="35">
        <v>0</v>
      </c>
      <c r="E6" s="26"/>
      <c r="F6" s="26"/>
      <c r="G6" s="26"/>
      <c r="H6" s="26" t="s">
        <v>37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40">
        <v>1</v>
      </c>
      <c r="AE6" s="30"/>
      <c r="AF6" s="30"/>
      <c r="AG6" s="30"/>
      <c r="AH6" s="30" t="s">
        <v>38</v>
      </c>
      <c r="AI6" s="30" t="s">
        <v>30</v>
      </c>
      <c r="AJ6" s="30" t="s">
        <v>31</v>
      </c>
      <c r="AK6" s="30" t="s">
        <v>39</v>
      </c>
      <c r="AL6" s="40">
        <v>100</v>
      </c>
      <c r="AM6" s="30"/>
      <c r="AN6" s="30"/>
      <c r="AO6" s="30"/>
      <c r="AP6" s="40">
        <v>100</v>
      </c>
      <c r="AQ6" s="30"/>
      <c r="AR6" s="30"/>
      <c r="AS6" s="30" t="s">
        <v>40</v>
      </c>
      <c r="AT6" s="30" t="s">
        <v>23</v>
      </c>
      <c r="AU6" s="30" t="s">
        <v>41</v>
      </c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/>
      <c r="C7" s="30"/>
      <c r="D7" s="36">
        <v>0</v>
      </c>
      <c r="E7" s="30"/>
      <c r="F7" s="30"/>
      <c r="G7" s="30"/>
      <c r="H7" s="30" t="s">
        <v>37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40">
        <v>1</v>
      </c>
      <c r="AE7" s="30"/>
      <c r="AF7" s="30"/>
      <c r="AG7" s="30"/>
      <c r="AH7" s="30" t="s">
        <v>38</v>
      </c>
      <c r="AI7" s="30" t="s">
        <v>33</v>
      </c>
      <c r="AJ7" s="30" t="s">
        <v>34</v>
      </c>
      <c r="AK7" s="30" t="s">
        <v>39</v>
      </c>
      <c r="AL7" s="40">
        <v>10000</v>
      </c>
      <c r="AM7" s="30"/>
      <c r="AN7" s="30"/>
      <c r="AO7" s="30"/>
      <c r="AP7" s="40">
        <v>10000</v>
      </c>
      <c r="AQ7" s="30"/>
      <c r="AR7" s="30"/>
      <c r="AS7" s="30" t="s">
        <v>40</v>
      </c>
      <c r="AT7" s="30" t="s">
        <v>25</v>
      </c>
      <c r="AU7" s="30" t="s">
        <v>41</v>
      </c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25" t="s">
        <v>30</v>
      </c>
      <c r="C6" s="26" t="s">
        <v>31</v>
      </c>
      <c r="D6" s="35">
        <v>100</v>
      </c>
      <c r="E6" s="28">
        <v>100</v>
      </c>
      <c r="F6" s="26" t="s">
        <v>23</v>
      </c>
      <c r="G6" s="26" t="s">
        <v>40</v>
      </c>
      <c r="H6" s="26"/>
      <c r="I6" s="26" t="s">
        <v>41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41" t="s">
        <v>45</v>
      </c>
      <c r="C6" s="42" t="s">
        <v>45</v>
      </c>
      <c r="D6" s="41" t="s">
        <v>45</v>
      </c>
      <c r="E6" s="42" t="s">
        <v>45</v>
      </c>
      <c r="F6" s="42"/>
      <c r="G6" s="26"/>
      <c r="H6" s="42"/>
      <c r="I6" s="42"/>
      <c r="J6" s="28">
        <v>10</v>
      </c>
      <c r="K6" s="42" t="s">
        <v>45</v>
      </c>
      <c r="L6" s="42" t="s">
        <v>45</v>
      </c>
      <c r="M6" s="42" t="s">
        <v>45</v>
      </c>
      <c r="N6" s="43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25" t="s">
        <v>33</v>
      </c>
      <c r="C6" s="26" t="s">
        <v>34</v>
      </c>
      <c r="D6" s="35">
        <v>10000</v>
      </c>
      <c r="E6" s="28">
        <v>10000</v>
      </c>
      <c r="F6" s="26" t="s">
        <v>25</v>
      </c>
      <c r="G6" s="26" t="s">
        <v>40</v>
      </c>
      <c r="H6" s="26"/>
      <c r="I6" s="26" t="s">
        <v>41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41" t="s">
        <v>45</v>
      </c>
      <c r="C6" s="42" t="s">
        <v>45</v>
      </c>
      <c r="D6" s="41" t="s">
        <v>45</v>
      </c>
      <c r="E6" s="42" t="s">
        <v>45</v>
      </c>
      <c r="F6" s="42"/>
      <c r="G6" s="26"/>
      <c r="H6" s="42"/>
      <c r="I6" s="42"/>
      <c r="J6" s="28">
        <v>100</v>
      </c>
      <c r="K6" s="42" t="s">
        <v>45</v>
      </c>
      <c r="L6" s="42" t="s">
        <v>45</v>
      </c>
      <c r="M6" s="42" t="s">
        <v>45</v>
      </c>
      <c r="N6" s="43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AE1" workbookViewId="0">
      <selection activeCell="AK5" sqref="A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">
        <v>87</v>
      </c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25" t="s">
        <v>30</v>
      </c>
      <c r="C6" s="26" t="s">
        <v>31</v>
      </c>
      <c r="D6" s="35">
        <v>100</v>
      </c>
      <c r="E6" s="28">
        <v>100</v>
      </c>
      <c r="F6" s="26" t="s">
        <v>23</v>
      </c>
      <c r="G6" s="26" t="s">
        <v>40</v>
      </c>
      <c r="H6" s="26"/>
      <c r="I6" s="26" t="s">
        <v>41</v>
      </c>
      <c r="J6" s="28">
        <v>10</v>
      </c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33</v>
      </c>
      <c r="C7" s="30" t="s">
        <v>34</v>
      </c>
      <c r="D7" s="36">
        <v>10000</v>
      </c>
      <c r="E7" s="36">
        <v>10000</v>
      </c>
      <c r="F7" s="30" t="s">
        <v>25</v>
      </c>
      <c r="G7" s="30" t="s">
        <v>40</v>
      </c>
      <c r="H7" s="30"/>
      <c r="I7" s="30" t="s">
        <v>41</v>
      </c>
      <c r="J7" s="36">
        <v>100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35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25"/>
      <c r="C6" s="26"/>
      <c r="D6" s="35">
        <v>10</v>
      </c>
      <c r="E6" s="26"/>
      <c r="F6" s="28">
        <v>0</v>
      </c>
      <c r="G6" s="26"/>
      <c r="H6" s="26" t="s">
        <v>37</v>
      </c>
      <c r="I6" s="26" t="s">
        <v>48</v>
      </c>
      <c r="J6" s="26" t="s">
        <v>30</v>
      </c>
      <c r="K6" s="26" t="s">
        <v>49</v>
      </c>
      <c r="L6" s="26"/>
      <c r="M6" s="26"/>
      <c r="N6" s="26"/>
      <c r="O6" s="26"/>
      <c r="P6" s="26"/>
      <c r="Q6" s="26"/>
      <c r="R6" s="26"/>
      <c r="S6" s="44">
        <v>0</v>
      </c>
      <c r="T6" s="40">
        <v>0</v>
      </c>
      <c r="U6" s="30" t="s">
        <v>24</v>
      </c>
      <c r="V6" s="30"/>
      <c r="W6" s="30"/>
      <c r="X6" s="30"/>
      <c r="Y6" s="30"/>
      <c r="Z6" s="30"/>
      <c r="AA6" s="30"/>
      <c r="AB6" s="30"/>
      <c r="AC6" s="30"/>
      <c r="AD6" s="40">
        <v>1</v>
      </c>
      <c r="AE6" s="30"/>
      <c r="AF6" s="30" t="s">
        <v>50</v>
      </c>
      <c r="AG6" s="40">
        <v>10</v>
      </c>
      <c r="AH6" s="30" t="s">
        <v>38</v>
      </c>
      <c r="AI6" s="30" t="s">
        <v>30</v>
      </c>
      <c r="AJ6" s="30" t="s">
        <v>31</v>
      </c>
      <c r="AK6" s="30" t="s">
        <v>51</v>
      </c>
      <c r="AL6" s="40">
        <v>100</v>
      </c>
      <c r="AM6" s="40">
        <v>100</v>
      </c>
      <c r="AN6" s="40">
        <v>100</v>
      </c>
      <c r="AO6" s="40">
        <v>100</v>
      </c>
      <c r="AP6" s="30"/>
      <c r="AQ6" s="40">
        <v>10</v>
      </c>
      <c r="AR6" s="40">
        <v>10</v>
      </c>
      <c r="AS6" s="30" t="s">
        <v>40</v>
      </c>
      <c r="AT6" s="30" t="s">
        <v>23</v>
      </c>
      <c r="AU6" s="30" t="s">
        <v>41</v>
      </c>
      <c r="AV6" s="45">
        <v>1000</v>
      </c>
      <c r="AW6" s="45">
        <v>1000</v>
      </c>
      <c r="AX6" s="30"/>
      <c r="AY6" s="40">
        <v>100</v>
      </c>
      <c r="AZ6" s="40">
        <v>0</v>
      </c>
      <c r="BA6" s="30" t="s">
        <v>48</v>
      </c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/>
      <c r="C7" s="30"/>
      <c r="D7" s="36">
        <v>100</v>
      </c>
      <c r="E7" s="30"/>
      <c r="F7" s="36">
        <v>0</v>
      </c>
      <c r="G7" s="30"/>
      <c r="H7" s="30" t="s">
        <v>37</v>
      </c>
      <c r="I7" s="30" t="s">
        <v>48</v>
      </c>
      <c r="J7" s="30" t="s">
        <v>33</v>
      </c>
      <c r="K7" s="30" t="s">
        <v>49</v>
      </c>
      <c r="L7" s="30"/>
      <c r="M7" s="30"/>
      <c r="N7" s="30"/>
      <c r="O7" s="30"/>
      <c r="P7" s="30"/>
      <c r="Q7" s="30"/>
      <c r="R7" s="30"/>
      <c r="S7" s="40">
        <v>0</v>
      </c>
      <c r="T7" s="40">
        <v>0</v>
      </c>
      <c r="U7" s="30" t="s">
        <v>24</v>
      </c>
      <c r="V7" s="30"/>
      <c r="W7" s="30"/>
      <c r="X7" s="30"/>
      <c r="Y7" s="30"/>
      <c r="Z7" s="30"/>
      <c r="AA7" s="30"/>
      <c r="AB7" s="30"/>
      <c r="AC7" s="30"/>
      <c r="AD7" s="40">
        <v>1</v>
      </c>
      <c r="AE7" s="30"/>
      <c r="AF7" s="30" t="s">
        <v>50</v>
      </c>
      <c r="AG7" s="40">
        <v>100</v>
      </c>
      <c r="AH7" s="30" t="s">
        <v>38</v>
      </c>
      <c r="AI7" s="30" t="s">
        <v>33</v>
      </c>
      <c r="AJ7" s="30" t="s">
        <v>34</v>
      </c>
      <c r="AK7" s="30" t="s">
        <v>51</v>
      </c>
      <c r="AL7" s="40">
        <v>10000</v>
      </c>
      <c r="AM7" s="40">
        <v>10000</v>
      </c>
      <c r="AN7" s="40">
        <v>100</v>
      </c>
      <c r="AO7" s="40">
        <v>10000</v>
      </c>
      <c r="AP7" s="30"/>
      <c r="AQ7" s="40">
        <v>100</v>
      </c>
      <c r="AR7" s="40">
        <v>100</v>
      </c>
      <c r="AS7" s="30" t="s">
        <v>40</v>
      </c>
      <c r="AT7" s="30" t="s">
        <v>25</v>
      </c>
      <c r="AU7" s="30" t="s">
        <v>41</v>
      </c>
      <c r="AV7" s="40">
        <v>-1000000</v>
      </c>
      <c r="AW7" s="40">
        <v>-1000000</v>
      </c>
      <c r="AX7" s="30"/>
      <c r="AY7" s="40">
        <v>10000</v>
      </c>
      <c r="AZ7" s="40">
        <v>0</v>
      </c>
      <c r="BA7" s="30" t="s">
        <v>48</v>
      </c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25" t="s">
        <v>53</v>
      </c>
      <c r="C6" s="26"/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54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46" t="s">
        <v>23</v>
      </c>
      <c r="C6" s="26"/>
      <c r="D6" s="47">
        <v>0</v>
      </c>
      <c r="E6" s="47">
        <v>100</v>
      </c>
      <c r="F6" s="26"/>
      <c r="G6" s="26" t="s">
        <v>38</v>
      </c>
      <c r="H6" s="47">
        <v>4</v>
      </c>
      <c r="I6" s="47">
        <v>5</v>
      </c>
      <c r="J6" s="26"/>
      <c r="K6" s="47">
        <v>10</v>
      </c>
      <c r="L6" s="47">
        <v>10</v>
      </c>
      <c r="M6" s="26"/>
      <c r="N6" s="26"/>
      <c r="O6" s="26" t="s">
        <v>40</v>
      </c>
      <c r="P6" s="26"/>
      <c r="Q6" s="47">
        <v>3</v>
      </c>
      <c r="R6" s="47">
        <v>0</v>
      </c>
      <c r="S6" s="48" t="s">
        <v>55</v>
      </c>
      <c r="T6" s="49">
        <v>0</v>
      </c>
      <c r="U6" s="49">
        <v>0</v>
      </c>
      <c r="V6" s="50" t="s">
        <v>56</v>
      </c>
      <c r="W6" s="30"/>
      <c r="X6" s="30"/>
      <c r="Y6" s="30"/>
      <c r="Z6" s="50" t="s">
        <v>24</v>
      </c>
      <c r="AA6" s="30"/>
      <c r="AB6" s="49">
        <v>1</v>
      </c>
      <c r="AC6" s="30"/>
      <c r="AD6" s="50" t="s">
        <v>37</v>
      </c>
      <c r="AE6" s="49">
        <v>100</v>
      </c>
      <c r="AF6" s="30"/>
      <c r="AG6" s="30"/>
      <c r="AH6" s="30" t="s">
        <v>50</v>
      </c>
      <c r="AI6" s="40">
        <v>1</v>
      </c>
      <c r="AJ6" s="30"/>
      <c r="AK6" s="30"/>
      <c r="AL6" s="30"/>
      <c r="AM6" s="30"/>
      <c r="AN6" s="50" t="s">
        <v>57</v>
      </c>
      <c r="AO6" s="30"/>
      <c r="AP6" s="50" t="s">
        <v>58</v>
      </c>
      <c r="AQ6" s="50" t="s">
        <v>57</v>
      </c>
      <c r="AR6" s="50" t="s">
        <v>58</v>
      </c>
      <c r="AS6" s="30"/>
      <c r="AT6" s="49">
        <v>1014.0006</v>
      </c>
      <c r="AU6" s="49">
        <v>1014.0006</v>
      </c>
      <c r="AV6" s="30"/>
      <c r="AW6" s="49">
        <v>0</v>
      </c>
      <c r="AX6" s="49">
        <v>0</v>
      </c>
      <c r="AY6" s="30" t="s">
        <v>41</v>
      </c>
      <c r="AZ6" s="49">
        <v>0</v>
      </c>
      <c r="BA6" s="30"/>
      <c r="BB6" s="30"/>
      <c r="BC6" s="49">
        <v>0</v>
      </c>
      <c r="BD6" s="30"/>
      <c r="BE6" s="49">
        <v>1000</v>
      </c>
      <c r="BF6" s="49">
        <v>1000</v>
      </c>
      <c r="BG6" s="30"/>
      <c r="BH6" s="30"/>
      <c r="BI6" s="30"/>
      <c r="BJ6" s="49">
        <v>100</v>
      </c>
      <c r="BK6" s="49">
        <v>0</v>
      </c>
      <c r="BL6" s="30"/>
      <c r="BM6" s="50" t="s">
        <v>24</v>
      </c>
      <c r="BN6" s="30"/>
      <c r="BO6" s="50" t="s">
        <v>31</v>
      </c>
      <c r="BP6" s="49">
        <v>0</v>
      </c>
      <c r="BQ6" s="49">
        <v>0</v>
      </c>
      <c r="BR6" s="30"/>
      <c r="BS6" s="30"/>
      <c r="BT6" s="30" t="s">
        <v>30</v>
      </c>
      <c r="BU6" s="49">
        <v>3</v>
      </c>
      <c r="BV6" s="49">
        <v>0</v>
      </c>
      <c r="BW6" s="49">
        <v>14.0006</v>
      </c>
      <c r="BX6" s="49">
        <v>0</v>
      </c>
      <c r="BY6" s="30"/>
      <c r="BZ6" s="30"/>
      <c r="CA6" s="30"/>
      <c r="CB6" s="30"/>
      <c r="CC6" s="30"/>
      <c r="CD6" s="30"/>
      <c r="CE6" s="30"/>
      <c r="CF6" s="30"/>
      <c r="CG6" s="49">
        <v>2</v>
      </c>
      <c r="CH6" s="50" t="s">
        <v>26</v>
      </c>
      <c r="CI6" s="50" t="s">
        <v>31</v>
      </c>
      <c r="CJ6" s="49">
        <v>0</v>
      </c>
      <c r="CK6" s="50" t="s">
        <v>49</v>
      </c>
      <c r="CL6" s="30"/>
      <c r="CM6" s="50" t="s">
        <v>30</v>
      </c>
      <c r="CN6" s="50" t="s">
        <v>48</v>
      </c>
      <c r="CO6" s="50" t="s">
        <v>37</v>
      </c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50" t="s">
        <v>25</v>
      </c>
      <c r="C7" s="30"/>
      <c r="D7" s="49">
        <v>0</v>
      </c>
      <c r="E7" s="49">
        <v>10000</v>
      </c>
      <c r="F7" s="30"/>
      <c r="G7" s="30" t="s">
        <v>38</v>
      </c>
      <c r="H7" s="49">
        <v>4</v>
      </c>
      <c r="I7" s="49">
        <v>5</v>
      </c>
      <c r="J7" s="30"/>
      <c r="K7" s="49">
        <v>100</v>
      </c>
      <c r="L7" s="49">
        <v>100</v>
      </c>
      <c r="M7" s="30"/>
      <c r="N7" s="30"/>
      <c r="O7" s="30" t="s">
        <v>40</v>
      </c>
      <c r="P7" s="30"/>
      <c r="Q7" s="49">
        <v>3</v>
      </c>
      <c r="R7" s="49">
        <v>0</v>
      </c>
      <c r="S7" s="50" t="s">
        <v>55</v>
      </c>
      <c r="T7" s="49">
        <v>0</v>
      </c>
      <c r="U7" s="49">
        <v>0</v>
      </c>
      <c r="V7" s="51" t="s">
        <v>59</v>
      </c>
      <c r="W7" s="30"/>
      <c r="X7" s="30"/>
      <c r="Y7" s="30"/>
      <c r="Z7" s="50" t="s">
        <v>24</v>
      </c>
      <c r="AA7" s="30"/>
      <c r="AB7" s="49">
        <v>1</v>
      </c>
      <c r="AC7" s="30"/>
      <c r="AD7" s="50" t="s">
        <v>37</v>
      </c>
      <c r="AE7" s="49">
        <v>10000</v>
      </c>
      <c r="AF7" s="30"/>
      <c r="AG7" s="30"/>
      <c r="AH7" s="30" t="s">
        <v>50</v>
      </c>
      <c r="AI7" s="40">
        <v>1</v>
      </c>
      <c r="AJ7" s="30"/>
      <c r="AK7" s="30"/>
      <c r="AL7" s="30"/>
      <c r="AM7" s="30"/>
      <c r="AN7" s="50" t="s">
        <v>57</v>
      </c>
      <c r="AO7" s="30"/>
      <c r="AP7" s="50" t="s">
        <v>58</v>
      </c>
      <c r="AQ7" s="50" t="s">
        <v>57</v>
      </c>
      <c r="AR7" s="50" t="s">
        <v>58</v>
      </c>
      <c r="AS7" s="30"/>
      <c r="AT7" s="49">
        <v>999985.44</v>
      </c>
      <c r="AU7" s="49">
        <v>999985.44</v>
      </c>
      <c r="AV7" s="30"/>
      <c r="AW7" s="49">
        <v>0</v>
      </c>
      <c r="AX7" s="49">
        <v>0</v>
      </c>
      <c r="AY7" s="30" t="s">
        <v>41</v>
      </c>
      <c r="AZ7" s="49">
        <v>0</v>
      </c>
      <c r="BA7" s="30"/>
      <c r="BB7" s="30"/>
      <c r="BC7" s="49">
        <v>0</v>
      </c>
      <c r="BD7" s="30"/>
      <c r="BE7" s="49">
        <v>1000000</v>
      </c>
      <c r="BF7" s="49">
        <v>1000000</v>
      </c>
      <c r="BG7" s="30"/>
      <c r="BH7" s="30"/>
      <c r="BI7" s="30"/>
      <c r="BJ7" s="49">
        <v>10000</v>
      </c>
      <c r="BK7" s="49">
        <v>0</v>
      </c>
      <c r="BL7" s="30"/>
      <c r="BM7" s="50" t="s">
        <v>24</v>
      </c>
      <c r="BN7" s="30"/>
      <c r="BO7" s="50" t="s">
        <v>34</v>
      </c>
      <c r="BP7" s="49">
        <v>0</v>
      </c>
      <c r="BQ7" s="49">
        <v>0</v>
      </c>
      <c r="BR7" s="30"/>
      <c r="BS7" s="30"/>
      <c r="BT7" s="30" t="s">
        <v>33</v>
      </c>
      <c r="BU7" s="49">
        <v>3</v>
      </c>
      <c r="BV7" s="49">
        <v>0</v>
      </c>
      <c r="BW7" s="49">
        <v>14.56</v>
      </c>
      <c r="BX7" s="49">
        <v>0</v>
      </c>
      <c r="BY7" s="30"/>
      <c r="BZ7" s="30"/>
      <c r="CA7" s="30"/>
      <c r="CB7" s="30"/>
      <c r="CC7" s="30"/>
      <c r="CD7" s="30"/>
      <c r="CE7" s="30"/>
      <c r="CF7" s="30"/>
      <c r="CG7" s="49">
        <v>2</v>
      </c>
      <c r="CH7" s="50" t="s">
        <v>26</v>
      </c>
      <c r="CI7" s="50" t="s">
        <v>34</v>
      </c>
      <c r="CJ7" s="49">
        <v>0</v>
      </c>
      <c r="CK7" s="50" t="s">
        <v>49</v>
      </c>
      <c r="CL7" s="30"/>
      <c r="CM7" s="50" t="s">
        <v>33</v>
      </c>
      <c r="CN7" s="50" t="s">
        <v>48</v>
      </c>
      <c r="CO7" s="50" t="s">
        <v>37</v>
      </c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/>
      <c r="C8" s="30"/>
      <c r="D8" s="50"/>
      <c r="E8" s="30"/>
      <c r="F8" s="30"/>
      <c r="G8" s="30"/>
      <c r="H8" s="50"/>
      <c r="I8" s="50"/>
      <c r="J8" s="30"/>
      <c r="K8" s="30"/>
      <c r="L8" s="30"/>
      <c r="M8" s="30"/>
      <c r="N8" s="30"/>
      <c r="O8" s="30"/>
      <c r="P8" s="30"/>
      <c r="Q8" s="30"/>
      <c r="R8" s="50"/>
      <c r="S8" s="30"/>
      <c r="T8" s="30"/>
      <c r="U8" s="30"/>
      <c r="V8" s="50"/>
      <c r="W8" s="30"/>
      <c r="X8" s="30"/>
      <c r="Y8" s="30"/>
      <c r="Z8" s="30"/>
      <c r="AA8" s="30"/>
      <c r="AB8" s="5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50"/>
      <c r="AO8" s="30"/>
      <c r="AP8" s="30"/>
      <c r="AQ8" s="30"/>
      <c r="AR8" s="30"/>
      <c r="AS8" s="30"/>
      <c r="AT8" s="50"/>
      <c r="AU8" s="50"/>
      <c r="AV8" s="30"/>
      <c r="AW8" s="30"/>
      <c r="AX8" s="30"/>
      <c r="AY8" s="30"/>
      <c r="AZ8" s="30"/>
      <c r="BA8" s="30"/>
      <c r="BB8" s="30"/>
      <c r="BC8" s="30"/>
      <c r="BD8" s="30"/>
      <c r="BE8" s="50"/>
      <c r="BF8" s="50"/>
      <c r="BG8" s="30"/>
      <c r="BH8" s="30"/>
      <c r="BI8" s="30"/>
      <c r="BJ8" s="30"/>
      <c r="BK8" s="50"/>
      <c r="BL8" s="30"/>
      <c r="BM8" s="50"/>
      <c r="BN8" s="30"/>
      <c r="BO8" s="30"/>
      <c r="BP8" s="30"/>
      <c r="BQ8" s="30"/>
      <c r="BR8" s="30"/>
      <c r="BS8" s="30"/>
      <c r="BT8" s="30"/>
      <c r="BU8" s="5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5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Q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73" width="14.42578125" customWidth="1"/>
  </cols>
  <sheetData>
    <row r="1" spans="1:173" ht="15.75" customHeight="1">
      <c r="A1" s="13"/>
      <c r="B1" s="55" t="s">
        <v>11</v>
      </c>
      <c r="C1" s="56"/>
      <c r="D1" s="56"/>
      <c r="E1" s="56"/>
      <c r="F1" s="56"/>
      <c r="G1" s="56"/>
      <c r="H1" s="5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</row>
    <row r="2" spans="1:173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73" ht="15.75" customHeight="1">
      <c r="A3" s="16"/>
      <c r="B3" s="2" t="s">
        <v>8</v>
      </c>
      <c r="C3" s="17" t="s">
        <v>60</v>
      </c>
      <c r="D3" s="2" t="s">
        <v>9</v>
      </c>
      <c r="E3" s="17" t="s">
        <v>61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</row>
    <row r="4" spans="1:173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</row>
    <row r="5" spans="1:173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 t="str">
        <f ca="1">IFERROR(__xludf.DUMMYFUNCTION("""COMPUTED_VALUE"""),"ITM/OTM")</f>
        <v>ITM/OTM</v>
      </c>
      <c r="FD5" s="24" t="str">
        <f ca="1">IFERROR(__xludf.DUMMYFUNCTION("""COMPUTED_VALUE"""),"Days to Expiry")</f>
        <v>Days to Expiry</v>
      </c>
      <c r="FE5" s="24" t="str">
        <f ca="1">IFERROR(__xludf.DUMMYFUNCTION("""COMPUTED_VALUE"""),"% of Underlying Price")</f>
        <v>% of Underlying Price</v>
      </c>
      <c r="FF5" s="24" t="str">
        <f ca="1">IFERROR(__xludf.DUMMYFUNCTION("""COMPUTED_VALUE"""),"Intrinsic value")</f>
        <v>Intrinsic value</v>
      </c>
      <c r="FG5" s="24" t="str">
        <f ca="1">IFERROR(__xludf.DUMMYFUNCTION("""COMPUTED_VALUE"""),"Gain/Loss if Ex./Assign")</f>
        <v>Gain/Loss if Ex./Assign</v>
      </c>
      <c r="FH5" s="24"/>
      <c r="FI5" s="24"/>
      <c r="FJ5" s="24"/>
      <c r="FK5" s="24"/>
      <c r="FL5" s="24"/>
      <c r="FM5" s="24"/>
      <c r="FN5" s="24"/>
      <c r="FO5" s="24"/>
      <c r="FP5" s="24"/>
      <c r="FQ5" s="24"/>
    </row>
    <row r="6" spans="1:173" ht="15.75" customHeight="1">
      <c r="A6" s="34"/>
      <c r="B6" s="25"/>
      <c r="C6" s="48" t="s">
        <v>30</v>
      </c>
      <c r="D6" s="52">
        <v>100</v>
      </c>
      <c r="E6" s="48" t="s">
        <v>23</v>
      </c>
      <c r="F6" s="48" t="s">
        <v>28</v>
      </c>
      <c r="G6" s="52">
        <v>10</v>
      </c>
      <c r="H6" s="48" t="s">
        <v>62</v>
      </c>
      <c r="I6" s="52">
        <v>0</v>
      </c>
      <c r="J6" s="26"/>
      <c r="K6" s="52">
        <v>0</v>
      </c>
      <c r="L6" s="26"/>
      <c r="M6" s="26"/>
      <c r="N6" s="52">
        <v>-1000</v>
      </c>
      <c r="O6" s="48" t="s">
        <v>56</v>
      </c>
      <c r="P6" s="52" t="s">
        <v>63</v>
      </c>
      <c r="Q6" s="52">
        <v>-1000</v>
      </c>
      <c r="R6" s="48" t="s">
        <v>64</v>
      </c>
      <c r="S6" s="48" t="s">
        <v>65</v>
      </c>
      <c r="T6" s="50" t="s">
        <v>38</v>
      </c>
      <c r="U6" s="50" t="s">
        <v>49</v>
      </c>
      <c r="V6" s="50" t="s">
        <v>37</v>
      </c>
      <c r="W6" s="50" t="s">
        <v>24</v>
      </c>
      <c r="X6" s="40">
        <v>1</v>
      </c>
      <c r="Y6" s="53">
        <v>1</v>
      </c>
      <c r="Z6" s="30"/>
      <c r="AA6" s="30"/>
      <c r="AB6" s="53">
        <v>0</v>
      </c>
      <c r="AC6" s="53">
        <v>0</v>
      </c>
      <c r="AD6" s="53">
        <v>0</v>
      </c>
      <c r="AE6" s="53">
        <v>0</v>
      </c>
      <c r="AF6" s="53">
        <v>100</v>
      </c>
      <c r="AG6" s="53">
        <v>0</v>
      </c>
      <c r="AH6" s="53">
        <v>0</v>
      </c>
      <c r="AI6" s="53">
        <v>0</v>
      </c>
      <c r="AJ6" s="53">
        <v>0</v>
      </c>
      <c r="AK6" s="53">
        <v>-1000</v>
      </c>
      <c r="AL6" s="53">
        <v>1</v>
      </c>
      <c r="AM6" s="53">
        <v>1</v>
      </c>
      <c r="AN6" s="30" t="s">
        <v>31</v>
      </c>
      <c r="AO6" s="30"/>
      <c r="AP6" s="50" t="s">
        <v>62</v>
      </c>
      <c r="AQ6" s="50" t="s">
        <v>30</v>
      </c>
      <c r="AR6" s="53">
        <v>0</v>
      </c>
      <c r="AS6" s="53">
        <v>1</v>
      </c>
      <c r="AT6" s="50" t="s">
        <v>66</v>
      </c>
      <c r="AU6" s="50" t="s">
        <v>67</v>
      </c>
      <c r="AV6" s="53" t="s">
        <v>68</v>
      </c>
      <c r="AW6" s="53">
        <v>-1000</v>
      </c>
      <c r="AX6" s="53">
        <v>0</v>
      </c>
      <c r="AY6" s="53">
        <v>0</v>
      </c>
      <c r="AZ6" s="53">
        <v>0</v>
      </c>
      <c r="BA6" s="53">
        <v>-100</v>
      </c>
      <c r="BB6" s="30"/>
      <c r="BC6" s="53">
        <v>1</v>
      </c>
      <c r="BD6" s="53">
        <v>-1000</v>
      </c>
      <c r="BE6" s="50" t="s">
        <v>38</v>
      </c>
      <c r="BF6" s="50" t="s">
        <v>69</v>
      </c>
      <c r="BG6" s="50" t="s">
        <v>70</v>
      </c>
      <c r="BH6" s="50" t="s">
        <v>71</v>
      </c>
      <c r="BI6" s="53" t="s">
        <v>72</v>
      </c>
      <c r="BJ6" s="53">
        <v>0</v>
      </c>
      <c r="BK6" s="53">
        <v>0</v>
      </c>
      <c r="BL6" s="53">
        <v>0</v>
      </c>
      <c r="BM6" s="53">
        <v>0</v>
      </c>
      <c r="BN6" s="30"/>
      <c r="BO6" s="53">
        <v>-1000</v>
      </c>
      <c r="BP6" s="53">
        <v>0</v>
      </c>
      <c r="BQ6" s="50" t="s">
        <v>48</v>
      </c>
      <c r="BR6" s="50" t="s">
        <v>40</v>
      </c>
      <c r="BS6" s="53">
        <v>0</v>
      </c>
      <c r="BT6" s="53">
        <v>0</v>
      </c>
      <c r="BU6" s="50" t="s">
        <v>38</v>
      </c>
      <c r="BV6" s="30"/>
      <c r="BW6" s="53">
        <v>0</v>
      </c>
      <c r="BX6" s="53">
        <v>0</v>
      </c>
      <c r="BY6" s="53">
        <v>0</v>
      </c>
      <c r="BZ6" s="53">
        <v>0</v>
      </c>
      <c r="CA6" s="53">
        <v>0</v>
      </c>
      <c r="CB6" s="53"/>
      <c r="CC6" s="53">
        <v>0</v>
      </c>
      <c r="CD6" s="53">
        <v>-1000</v>
      </c>
      <c r="CE6" s="53">
        <v>0</v>
      </c>
      <c r="CF6" s="53">
        <v>0</v>
      </c>
      <c r="CG6" s="53">
        <v>-1000</v>
      </c>
      <c r="CH6" s="53">
        <v>-100</v>
      </c>
      <c r="CI6" s="53">
        <v>0</v>
      </c>
      <c r="CJ6" s="53">
        <v>0</v>
      </c>
      <c r="CK6" s="54" t="b">
        <v>0</v>
      </c>
      <c r="CL6" s="30"/>
      <c r="CM6" s="30"/>
      <c r="CN6" s="30"/>
      <c r="CO6" s="30"/>
      <c r="CP6" s="51" t="s">
        <v>73</v>
      </c>
      <c r="CQ6" s="30"/>
      <c r="CR6" s="30"/>
      <c r="CS6" s="53">
        <v>10</v>
      </c>
      <c r="CT6" s="30"/>
      <c r="CU6" s="30"/>
      <c r="CV6" s="30"/>
      <c r="CW6" s="30"/>
      <c r="CX6" s="30"/>
      <c r="CY6" s="50" t="s">
        <v>74</v>
      </c>
      <c r="CZ6" s="50" t="s">
        <v>75</v>
      </c>
      <c r="DA6" s="53">
        <v>0</v>
      </c>
      <c r="DB6" s="53">
        <v>0</v>
      </c>
      <c r="DC6" s="53"/>
      <c r="DD6" s="53">
        <v>100</v>
      </c>
      <c r="DE6" s="53">
        <v>0</v>
      </c>
      <c r="DF6" s="53">
        <v>0</v>
      </c>
      <c r="DG6" s="53">
        <v>0</v>
      </c>
      <c r="DH6" s="53" t="s">
        <v>63</v>
      </c>
      <c r="DI6" s="53">
        <v>0</v>
      </c>
      <c r="DJ6" s="50" t="s">
        <v>31</v>
      </c>
      <c r="DK6" s="53">
        <v>0</v>
      </c>
      <c r="DL6" s="53">
        <v>0</v>
      </c>
      <c r="DM6" s="53">
        <v>1</v>
      </c>
      <c r="DN6" s="53">
        <v>0</v>
      </c>
      <c r="DO6" s="30"/>
      <c r="DP6" s="50" t="s">
        <v>62</v>
      </c>
      <c r="DQ6" s="50" t="s">
        <v>76</v>
      </c>
      <c r="DR6" s="50" t="s">
        <v>77</v>
      </c>
      <c r="DS6" s="50" t="s">
        <v>76</v>
      </c>
      <c r="DT6" s="50" t="s">
        <v>76</v>
      </c>
      <c r="DU6" s="50" t="s">
        <v>78</v>
      </c>
      <c r="DV6" s="50" t="s">
        <v>76</v>
      </c>
      <c r="DW6" s="30"/>
      <c r="DX6" s="30"/>
      <c r="DY6" s="50" t="s">
        <v>76</v>
      </c>
      <c r="DZ6" s="50" t="s">
        <v>56</v>
      </c>
      <c r="EA6" s="50" t="s">
        <v>78</v>
      </c>
      <c r="EB6" s="50" t="s">
        <v>76</v>
      </c>
      <c r="EC6" s="50" t="s">
        <v>76</v>
      </c>
      <c r="ED6" s="50" t="s">
        <v>24</v>
      </c>
      <c r="EE6" s="50" t="s">
        <v>79</v>
      </c>
      <c r="EF6" s="53">
        <v>0</v>
      </c>
      <c r="EG6" s="53">
        <v>0</v>
      </c>
      <c r="EH6" s="53">
        <v>0</v>
      </c>
      <c r="EI6" s="53">
        <v>0</v>
      </c>
      <c r="EJ6" s="53">
        <v>0</v>
      </c>
      <c r="EK6" s="53">
        <v>0</v>
      </c>
      <c r="EL6" s="50" t="s">
        <v>62</v>
      </c>
      <c r="EM6" s="53">
        <v>0</v>
      </c>
      <c r="EN6" s="53">
        <v>0</v>
      </c>
      <c r="EO6" s="53"/>
      <c r="EP6" s="53"/>
      <c r="EQ6" s="53">
        <v>0</v>
      </c>
      <c r="ER6" s="53">
        <v>0</v>
      </c>
      <c r="ES6" s="53">
        <v>1199000</v>
      </c>
      <c r="ET6" s="53"/>
      <c r="EU6" s="53">
        <v>0</v>
      </c>
      <c r="EV6" s="50" t="s">
        <v>62</v>
      </c>
      <c r="EW6" s="53">
        <v>99000</v>
      </c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</row>
    <row r="7" spans="1:173" ht="15.75" customHeight="1">
      <c r="A7" s="30"/>
      <c r="B7" s="30"/>
      <c r="C7" s="50" t="s">
        <v>33</v>
      </c>
      <c r="D7" s="53">
        <v>-10000</v>
      </c>
      <c r="E7" s="50" t="s">
        <v>25</v>
      </c>
      <c r="F7" s="50" t="s">
        <v>32</v>
      </c>
      <c r="G7" s="53">
        <v>100</v>
      </c>
      <c r="H7" s="50" t="s">
        <v>80</v>
      </c>
      <c r="I7" s="53">
        <v>0</v>
      </c>
      <c r="J7" s="30"/>
      <c r="K7" s="53">
        <v>0</v>
      </c>
      <c r="L7" s="30"/>
      <c r="M7" s="30"/>
      <c r="N7" s="53">
        <v>1000000</v>
      </c>
      <c r="O7" s="50" t="s">
        <v>59</v>
      </c>
      <c r="P7" s="53" t="s">
        <v>63</v>
      </c>
      <c r="Q7" s="53">
        <v>1000000</v>
      </c>
      <c r="R7" s="50" t="s">
        <v>40</v>
      </c>
      <c r="S7" s="50" t="s">
        <v>65</v>
      </c>
      <c r="T7" s="50" t="s">
        <v>38</v>
      </c>
      <c r="U7" s="50" t="s">
        <v>49</v>
      </c>
      <c r="V7" s="50" t="s">
        <v>37</v>
      </c>
      <c r="W7" s="50" t="s">
        <v>24</v>
      </c>
      <c r="X7" s="40">
        <v>1</v>
      </c>
      <c r="Y7" s="53">
        <v>1</v>
      </c>
      <c r="Z7" s="30"/>
      <c r="AA7" s="30"/>
      <c r="AB7" s="53">
        <v>0</v>
      </c>
      <c r="AC7" s="53">
        <v>0</v>
      </c>
      <c r="AD7" s="53">
        <v>0</v>
      </c>
      <c r="AE7" s="53">
        <v>0</v>
      </c>
      <c r="AF7" s="53">
        <v>-10000</v>
      </c>
      <c r="AG7" s="53">
        <v>0</v>
      </c>
      <c r="AH7" s="53">
        <v>0</v>
      </c>
      <c r="AI7" s="53">
        <v>0</v>
      </c>
      <c r="AJ7" s="53">
        <v>0</v>
      </c>
      <c r="AK7" s="53">
        <v>1000000</v>
      </c>
      <c r="AL7" s="53">
        <v>1</v>
      </c>
      <c r="AM7" s="53">
        <v>1</v>
      </c>
      <c r="AN7" s="30" t="s">
        <v>34</v>
      </c>
      <c r="AO7" s="30"/>
      <c r="AP7" s="50" t="s">
        <v>62</v>
      </c>
      <c r="AQ7" s="50" t="s">
        <v>33</v>
      </c>
      <c r="AR7" s="53">
        <v>0</v>
      </c>
      <c r="AS7" s="53">
        <v>-1</v>
      </c>
      <c r="AT7" s="50" t="s">
        <v>66</v>
      </c>
      <c r="AU7" s="50" t="s">
        <v>67</v>
      </c>
      <c r="AV7" s="53" t="s">
        <v>68</v>
      </c>
      <c r="AW7" s="53">
        <v>1000000</v>
      </c>
      <c r="AX7" s="53">
        <v>0</v>
      </c>
      <c r="AY7" s="53">
        <v>0</v>
      </c>
      <c r="AZ7" s="53">
        <v>0</v>
      </c>
      <c r="BA7" s="53">
        <v>100</v>
      </c>
      <c r="BB7" s="30"/>
      <c r="BC7" s="53">
        <v>1</v>
      </c>
      <c r="BD7" s="53">
        <v>1000000</v>
      </c>
      <c r="BE7" s="50" t="s">
        <v>38</v>
      </c>
      <c r="BF7" s="50" t="s">
        <v>81</v>
      </c>
      <c r="BG7" s="50" t="s">
        <v>82</v>
      </c>
      <c r="BH7" s="50" t="s">
        <v>83</v>
      </c>
      <c r="BI7" s="50" t="s">
        <v>71</v>
      </c>
      <c r="BJ7" s="53">
        <v>0</v>
      </c>
      <c r="BK7" s="53">
        <v>0</v>
      </c>
      <c r="BL7" s="53">
        <v>0</v>
      </c>
      <c r="BM7" s="53">
        <v>0</v>
      </c>
      <c r="BN7" s="30"/>
      <c r="BO7" s="53">
        <v>1000000</v>
      </c>
      <c r="BP7" s="53">
        <v>0</v>
      </c>
      <c r="BQ7" s="50" t="s">
        <v>48</v>
      </c>
      <c r="BR7" s="50" t="s">
        <v>40</v>
      </c>
      <c r="BS7" s="53">
        <v>0</v>
      </c>
      <c r="BT7" s="53">
        <v>0</v>
      </c>
      <c r="BU7" s="50" t="s">
        <v>38</v>
      </c>
      <c r="BV7" s="30"/>
      <c r="BW7" s="53">
        <v>0</v>
      </c>
      <c r="BX7" s="53">
        <v>0</v>
      </c>
      <c r="BY7" s="53">
        <v>0</v>
      </c>
      <c r="BZ7" s="53">
        <v>0</v>
      </c>
      <c r="CA7" s="53">
        <v>0</v>
      </c>
      <c r="CB7" s="53"/>
      <c r="CC7" s="53">
        <v>0</v>
      </c>
      <c r="CD7" s="53">
        <v>1000000</v>
      </c>
      <c r="CE7" s="53">
        <v>0</v>
      </c>
      <c r="CF7" s="53">
        <v>0</v>
      </c>
      <c r="CG7" s="53">
        <v>1000000</v>
      </c>
      <c r="CH7" s="53">
        <v>100</v>
      </c>
      <c r="CI7" s="53">
        <v>0</v>
      </c>
      <c r="CJ7" s="53">
        <v>0</v>
      </c>
      <c r="CK7" s="54" t="b">
        <v>0</v>
      </c>
      <c r="CL7" s="30"/>
      <c r="CM7" s="30"/>
      <c r="CN7" s="30"/>
      <c r="CO7" s="30"/>
      <c r="CP7" s="51" t="s">
        <v>84</v>
      </c>
      <c r="CQ7" s="30"/>
      <c r="CR7" s="30"/>
      <c r="CS7" s="53">
        <v>100</v>
      </c>
      <c r="CT7" s="30"/>
      <c r="CU7" s="30"/>
      <c r="CV7" s="30"/>
      <c r="CW7" s="30"/>
      <c r="CX7" s="30"/>
      <c r="CY7" s="50" t="s">
        <v>74</v>
      </c>
      <c r="CZ7" s="50" t="s">
        <v>75</v>
      </c>
      <c r="DA7" s="53">
        <v>0</v>
      </c>
      <c r="DB7" s="53">
        <v>0</v>
      </c>
      <c r="DC7" s="53"/>
      <c r="DD7" s="53">
        <v>-10000</v>
      </c>
      <c r="DE7" s="53">
        <v>0</v>
      </c>
      <c r="DF7" s="53">
        <v>0</v>
      </c>
      <c r="DG7" s="53">
        <v>0</v>
      </c>
      <c r="DH7" s="53" t="s">
        <v>63</v>
      </c>
      <c r="DI7" s="53">
        <v>0</v>
      </c>
      <c r="DJ7" s="50" t="s">
        <v>34</v>
      </c>
      <c r="DK7" s="53">
        <v>0</v>
      </c>
      <c r="DL7" s="53">
        <v>0</v>
      </c>
      <c r="DM7" s="53">
        <v>1</v>
      </c>
      <c r="DN7" s="53">
        <v>0</v>
      </c>
      <c r="DO7" s="30"/>
      <c r="DP7" s="50" t="s">
        <v>62</v>
      </c>
      <c r="DQ7" s="50" t="s">
        <v>71</v>
      </c>
      <c r="DR7" s="50" t="s">
        <v>85</v>
      </c>
      <c r="DS7" s="50" t="s">
        <v>86</v>
      </c>
      <c r="DT7" s="50" t="s">
        <v>71</v>
      </c>
      <c r="DU7" s="50" t="s">
        <v>71</v>
      </c>
      <c r="DV7" s="50" t="s">
        <v>71</v>
      </c>
      <c r="DW7" s="30"/>
      <c r="DX7" s="30"/>
      <c r="DY7" s="50" t="s">
        <v>71</v>
      </c>
      <c r="DZ7" s="50" t="s">
        <v>59</v>
      </c>
      <c r="EA7" s="50" t="s">
        <v>79</v>
      </c>
      <c r="EB7" s="50" t="s">
        <v>71</v>
      </c>
      <c r="EC7" s="50" t="s">
        <v>71</v>
      </c>
      <c r="ED7" s="50" t="s">
        <v>24</v>
      </c>
      <c r="EE7" s="50" t="s">
        <v>79</v>
      </c>
      <c r="EF7" s="53">
        <v>0</v>
      </c>
      <c r="EG7" s="53">
        <v>0</v>
      </c>
      <c r="EH7" s="53">
        <v>0</v>
      </c>
      <c r="EI7" s="53">
        <v>0</v>
      </c>
      <c r="EJ7" s="53">
        <v>0</v>
      </c>
      <c r="EK7" s="53">
        <v>0</v>
      </c>
      <c r="EL7" s="50" t="s">
        <v>62</v>
      </c>
      <c r="EM7" s="53">
        <v>0</v>
      </c>
      <c r="EN7" s="53">
        <v>0</v>
      </c>
      <c r="EO7" s="53"/>
      <c r="EP7" s="53"/>
      <c r="EQ7" s="53">
        <v>0</v>
      </c>
      <c r="ER7" s="53">
        <v>0</v>
      </c>
      <c r="ES7" s="53">
        <v>1199000</v>
      </c>
      <c r="ET7" s="53"/>
      <c r="EU7" s="53">
        <v>0</v>
      </c>
      <c r="EV7" s="50" t="s">
        <v>62</v>
      </c>
      <c r="EW7" s="53">
        <v>1100000</v>
      </c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</row>
    <row r="8" spans="1:173" ht="15.75" customHeight="1">
      <c r="A8" s="30"/>
      <c r="B8" s="30"/>
      <c r="C8" s="50"/>
      <c r="D8" s="50"/>
      <c r="E8" s="50"/>
      <c r="F8" s="30"/>
      <c r="G8" s="50"/>
      <c r="H8" s="50"/>
      <c r="I8" s="50"/>
      <c r="J8" s="30"/>
      <c r="K8" s="30"/>
      <c r="L8" s="30"/>
      <c r="M8" s="30"/>
      <c r="N8" s="50"/>
      <c r="O8" s="50"/>
      <c r="P8" s="50"/>
      <c r="Q8" s="50"/>
      <c r="R8" s="50"/>
      <c r="S8" s="50"/>
      <c r="T8" s="50"/>
      <c r="U8" s="50"/>
      <c r="V8" s="50"/>
      <c r="W8" s="50"/>
      <c r="X8" s="30"/>
      <c r="Y8" s="50"/>
      <c r="Z8" s="30"/>
      <c r="AA8" s="3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30"/>
      <c r="AO8" s="3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3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30"/>
      <c r="BO8" s="50"/>
      <c r="BP8" s="50"/>
      <c r="BQ8" s="50"/>
      <c r="BR8" s="50"/>
      <c r="BS8" s="50"/>
      <c r="BT8" s="50"/>
      <c r="BU8" s="50"/>
      <c r="BV8" s="3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30"/>
      <c r="ET8" s="50"/>
      <c r="EU8" s="50"/>
      <c r="EV8" s="50"/>
      <c r="EW8" s="5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</row>
    <row r="9" spans="1:173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50"/>
      <c r="O9" s="50"/>
      <c r="P9" s="50"/>
      <c r="Q9" s="50"/>
      <c r="R9" s="50"/>
      <c r="S9" s="50"/>
      <c r="T9" s="50"/>
      <c r="U9" s="50"/>
      <c r="V9" s="50"/>
      <c r="W9" s="50"/>
      <c r="X9" s="30"/>
      <c r="Y9" s="50"/>
      <c r="Z9" s="30"/>
      <c r="AA9" s="30"/>
      <c r="AB9" s="50"/>
      <c r="AC9" s="50"/>
      <c r="AD9" s="50"/>
      <c r="AE9" s="50"/>
      <c r="AF9" s="50"/>
      <c r="AG9" s="50"/>
      <c r="AH9" s="30"/>
      <c r="AI9" s="30"/>
      <c r="AJ9" s="30"/>
      <c r="AK9" s="30"/>
      <c r="AL9" s="30"/>
      <c r="AM9" s="30"/>
      <c r="AN9" s="30"/>
      <c r="AO9" s="3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3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30"/>
      <c r="BO9" s="30"/>
      <c r="BP9" s="30"/>
      <c r="BQ9" s="30"/>
      <c r="BR9" s="30"/>
      <c r="BS9" s="30"/>
      <c r="BT9" s="30"/>
      <c r="BU9" s="30"/>
      <c r="BV9" s="30"/>
      <c r="BW9" s="50"/>
      <c r="BX9" s="50"/>
      <c r="BY9" s="50"/>
      <c r="BZ9" s="50"/>
      <c r="CA9" s="50"/>
      <c r="CB9" s="50"/>
      <c r="CC9" s="30"/>
      <c r="CD9" s="30"/>
      <c r="CE9" s="30"/>
      <c r="CF9" s="30"/>
      <c r="CG9" s="30"/>
      <c r="CH9" s="30"/>
      <c r="CI9" s="50"/>
      <c r="CJ9" s="50"/>
      <c r="CK9" s="5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50"/>
      <c r="CZ9" s="50"/>
      <c r="DA9" s="50"/>
      <c r="DB9" s="50"/>
      <c r="DC9" s="50"/>
      <c r="DD9" s="30"/>
      <c r="DE9" s="30"/>
      <c r="DF9" s="30"/>
      <c r="DG9" s="30"/>
      <c r="DH9" s="30"/>
      <c r="DI9" s="30"/>
      <c r="DJ9" s="50"/>
      <c r="DK9" s="50"/>
      <c r="DL9" s="50"/>
      <c r="DM9" s="50"/>
      <c r="DN9" s="5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50"/>
      <c r="EA9" s="50"/>
      <c r="EB9" s="50"/>
      <c r="EC9" s="30"/>
      <c r="ED9" s="30"/>
      <c r="EE9" s="30"/>
      <c r="EF9" s="30"/>
      <c r="EG9" s="30"/>
      <c r="EH9" s="30"/>
      <c r="EI9" s="50"/>
      <c r="EJ9" s="50"/>
      <c r="EK9" s="50"/>
      <c r="EL9" s="50"/>
      <c r="EM9" s="50"/>
      <c r="EN9" s="30"/>
      <c r="EO9" s="30"/>
      <c r="EP9" s="30"/>
      <c r="EQ9" s="30"/>
      <c r="ER9" s="30"/>
      <c r="ES9" s="30"/>
      <c r="ET9" s="50"/>
      <c r="EU9" s="50"/>
      <c r="EV9" s="5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</row>
    <row r="10" spans="1:173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3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50"/>
      <c r="CJ10" s="50"/>
      <c r="CK10" s="5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50"/>
      <c r="EU10" s="50"/>
      <c r="EV10" s="5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</row>
    <row r="11" spans="1:173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</row>
    <row r="12" spans="1:17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7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7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7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7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SetTradingComplianceRules</vt:lpstr>
      <vt:lpstr>ShowMasterFundOnTT</vt:lpstr>
      <vt:lpstr>GetDailyCash</vt:lpstr>
      <vt:lpstr>UpdateDailyCash</vt:lpstr>
      <vt:lpstr>UpdateMasterFundOnTT</vt:lpstr>
      <vt:lpstr>CreateStageOrder</vt:lpstr>
      <vt:lpstr>UpdateMasterFundOnTT1</vt:lpstr>
      <vt:lpstr>CreateStageOrder1</vt:lpstr>
      <vt:lpstr>MultiTradingTicketFromBlotter</vt:lpstr>
      <vt:lpstr>SelectTradeUsingMTT</vt:lpstr>
      <vt:lpstr>EditTradeUsingMTT</vt:lpstr>
      <vt:lpstr>SelectTradeUsingMTT1</vt:lpstr>
      <vt:lpstr>EditTradeUsingMTT1</vt:lpstr>
      <vt:lpstr>DoneAwayUsingMTT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2021-09-20T13:01:33Z</dcterms:modified>
</cp:coreProperties>
</file>