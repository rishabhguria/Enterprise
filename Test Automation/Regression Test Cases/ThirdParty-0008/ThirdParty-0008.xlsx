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ThirdPartyGenerate" sheetId="5" r:id="rId7"/>
    <sheet state="visible" name="VerifyThirdPartyGenerate" sheetId="6" r:id="rId8"/>
    <sheet state="visible" name="GetDataAllocation" sheetId="7" r:id="rId9"/>
    <sheet state="visible" name="SelectAllocatedGroup" sheetId="8" r:id="rId10"/>
    <sheet state="visible" name="EditAllocatedGridWPF" sheetId="9" r:id="rId11"/>
    <sheet state="visible" name="ViewThirdParty" sheetId="10" r:id="rId12"/>
    <sheet state="visible" name="VerifyThirdPartyView" sheetId="11" r:id="rId13"/>
    <sheet state="visible" name="ThirdPartySend" sheetId="12" r:id="rId14"/>
    <sheet state="visible" name="VerifyThirdPartySend" sheetId="13" r:id="rId15"/>
  </sheets>
  <definedNames/>
  <calcPr/>
</workbook>
</file>

<file path=xl/sharedStrings.xml><?xml version="1.0" encoding="utf-8"?>
<sst xmlns="http://schemas.openxmlformats.org/spreadsheetml/2006/main" count="122" uniqueCount="40">
  <si>
    <t>Modules Info</t>
  </si>
  <si>
    <t>Modules</t>
  </si>
  <si>
    <t>Settings</t>
  </si>
  <si>
    <t>Module Step Setting File</t>
  </si>
  <si>
    <t>1E55LpWk3k96cawrcDIDQfA-hBx8ujS_kRc3OuCcR_Z0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</si>
  <si>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</si>
  <si>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</si>
  <si>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</si>
  <si>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</si>
  <si>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</si>
  <si>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</si>
  <si>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</si>
  <si>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</si>
  <si>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</si>
  <si>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</si>
  <si>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</si>
  <si>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</si>
  <si>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</si>
  <si>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</si>
  <si>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</si>
  <si>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ThirdParty</t>
  </si>
  <si>
    <t>ThirdPartyGenerate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</si>
  <si>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</si>
  <si>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</si>
  <si>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</si>
  <si>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</si>
  <si>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</si>
  <si>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</si>
  <si>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</si>
  <si>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VerifyThirdPartyGenerate</t>
  </si>
  <si>
    <t>Allocated</t>
  </si>
  <si>
    <t>Allocation</t>
  </si>
  <si>
    <t>GetDataAllocation</t>
  </si>
  <si>
    <t>Current</t>
  </si>
  <si>
    <t>SelectAllocatedGroup</t>
  </si>
  <si>
    <t>EditAllocatedGridWPF</t>
  </si>
  <si>
    <t>ViewThirdParty</t>
  </si>
  <si>
    <t>VerifyThirdPartyView</t>
  </si>
  <si>
    <t>ThirdPartySend</t>
  </si>
  <si>
    <t>VerifyThirdPartySend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</si>
</sst>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12.0</v>
      </c>
      <c r="K6" s="32"/>
      <c r="L6" s="32"/>
      <c r="M6" s="32"/>
      <c r="N6" s="35">
        <f>today()</f>
        <v>44397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16</v>
      </c>
      <c r="D6" s="30" t="s">
        <v>17</v>
      </c>
      <c r="E6" s="34">
        <v>12.0</v>
      </c>
      <c r="F6" s="38">
        <f>today()</f>
        <v>44397</v>
      </c>
      <c r="G6" s="34">
        <v>100.0</v>
      </c>
      <c r="H6" s="32" t="s">
        <v>30</v>
      </c>
      <c r="I6" s="32"/>
      <c r="J6" s="31">
        <v>0.0</v>
      </c>
      <c r="K6" s="31">
        <v>1214.0007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VerifyThirdPartyGenerate!$4:$4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1" t="s">
        <v>16</v>
      </c>
      <c r="C6" s="34">
        <v>100.0</v>
      </c>
      <c r="D6" s="35">
        <f>today()</f>
        <v>44397</v>
      </c>
      <c r="E6" s="32"/>
      <c r="F6" s="32" t="s">
        <v>17</v>
      </c>
      <c r="G6" s="32"/>
      <c r="H6" s="34">
        <v>12.0</v>
      </c>
      <c r="I6" s="32"/>
      <c r="J6" s="32"/>
      <c r="K6" s="34">
        <v>12.0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9"/>
      <c r="F6" s="8"/>
      <c r="G6" s="8"/>
      <c r="H6" s="8"/>
      <c r="I6" s="8"/>
      <c r="J6" s="8"/>
      <c r="K6" s="11">
        <v>100.0</v>
      </c>
      <c r="L6" s="8"/>
      <c r="M6" s="8"/>
      <c r="N6" s="8"/>
      <c r="O6" s="8"/>
      <c r="X6" s="9">
        <v>14.0</v>
      </c>
      <c r="AD6" s="9" t="s">
        <v>16</v>
      </c>
      <c r="AE6" s="9">
        <v>100.0</v>
      </c>
      <c r="AF6" s="9">
        <v>12.0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ViewThirdParty!$4:$4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18</v>
      </c>
      <c r="C6" s="31" t="s">
        <v>16</v>
      </c>
      <c r="D6" s="30" t="s">
        <v>17</v>
      </c>
      <c r="E6" s="34">
        <v>14.0</v>
      </c>
      <c r="F6" s="38">
        <f>today()</f>
        <v>44397</v>
      </c>
      <c r="G6" s="34">
        <v>100.0</v>
      </c>
      <c r="H6" s="31" t="s">
        <v>30</v>
      </c>
      <c r="I6" s="32"/>
      <c r="J6" s="31">
        <v>100.0</v>
      </c>
      <c r="K6" s="31">
        <v>1514.0007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23</v>
      </c>
      <c r="D6" s="30" t="s">
        <v>24</v>
      </c>
      <c r="E6" s="32" t="s">
        <v>25</v>
      </c>
      <c r="F6" s="32" t="s">
        <v>26</v>
      </c>
      <c r="G6" s="32" t="s">
        <v>27</v>
      </c>
      <c r="H6" s="32" t="s">
        <v>28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ThirdPartySend!$4:$4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IFERROR(__xludf.DUMMYFUNCTION("""COMPUTED_VALUE"""),"RefreshThirdParty")</f>
        <v>RefreshThirdParty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IFERROR(__xludf.DUMMYFUNCTION("""COMPUTED_VALUE"""),"IsAnOrder")</f>
        <v>IsAnOrder</v>
      </c>
      <c r="V5" s="29" t="str">
        <f>IFERROR(__xludf.DUMMYFUNCTION("""COMPUTED_VALUE"""),"MessageType")</f>
        <v>MessageType</v>
      </c>
      <c r="W5" s="29" t="str">
        <f>IFERROR(__xludf.DUMMYFUNCTION("""COMPUTED_VALUE"""),"ExecutionType")</f>
        <v>ExecutionType</v>
      </c>
      <c r="X5" s="29" t="str">
        <f>IFERROR(__xludf.DUMMYFUNCTION("""COMPUTED_VALUE"""),"Price")</f>
        <v>Price</v>
      </c>
      <c r="Y5" s="29" t="str">
        <f>IFERROR(__xludf.DUMMYFUNCTION("""COMPUTED_VALUE"""),"PortfolioName")</f>
        <v>PortfolioName</v>
      </c>
      <c r="Z5" s="29" t="str">
        <f>IFERROR(__xludf.DUMMYFUNCTION("""COMPUTED_VALUE"""),"Security")</f>
        <v>Security</v>
      </c>
      <c r="AA5" s="29" t="str">
        <f>IFERROR(__xludf.DUMMYFUNCTION("""COMPUTED_VALUE"""),"Sedol")</f>
        <v>Sedol</v>
      </c>
      <c r="AB5" s="29" t="str">
        <f>IFERROR(__xludf.DUMMYFUNCTION("""COMPUTED_VALUE"""),"Cusip")</f>
        <v>Cusip</v>
      </c>
      <c r="AC5" s="29" t="str">
        <f>IFERROR(__xludf.DUMMYFUNCTION("""COMPUTED_VALUE"""),"ISIN")</f>
        <v>ISIN</v>
      </c>
      <c r="AD5" s="29" t="str">
        <f>IFERROR(__xludf.DUMMYFUNCTION("""COMPUTED_VALUE"""),"SecurityName")</f>
        <v>SecurityName</v>
      </c>
      <c r="AE5" s="29" t="str">
        <f>IFERROR(__xludf.DUMMYFUNCTION("""COMPUTED_VALUE"""),"Position")</f>
        <v>Position</v>
      </c>
      <c r="AF5" s="29" t="str">
        <f>IFERROR(__xludf.DUMMYFUNCTION("""COMPUTED_VALUE"""),"Weight")</f>
        <v>Weight</v>
      </c>
      <c r="AG5" s="29" t="str">
        <f>IFERROR(__xludf.DUMMYFUNCTION("""COMPUTED_VALUE"""),"MktPx")</f>
        <v>MktPx</v>
      </c>
      <c r="AH5" s="29" t="str">
        <f>IFERROR(__xludf.DUMMYFUNCTION("""COMPUTED_VALUE"""),"CostPrice")</f>
        <v>CostPrice</v>
      </c>
      <c r="AI5" s="29" t="str">
        <f>IFERROR(__xludf.DUMMYFUNCTION("""COMPUTED_VALUE"""),"AsOfDate")</f>
        <v>AsOfDate</v>
      </c>
      <c r="AJ5" s="29" t="str">
        <f>IFERROR(__xludf.DUMMYFUNCTION("""COMPUTED_VALUE"""),"NewClassification")</f>
        <v>NewClassification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18</v>
      </c>
      <c r="C6" s="31" t="s">
        <v>16</v>
      </c>
      <c r="D6" s="30" t="s">
        <v>17</v>
      </c>
      <c r="E6" s="34">
        <v>14.0</v>
      </c>
      <c r="F6" s="38">
        <f>today()</f>
        <v>44397</v>
      </c>
      <c r="G6" s="34">
        <v>100.0</v>
      </c>
      <c r="H6" s="31" t="s">
        <v>30</v>
      </c>
      <c r="I6" s="32"/>
      <c r="J6" s="31">
        <v>100.0</v>
      </c>
      <c r="K6" s="31">
        <v>1514.0007</v>
      </c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VerifyThirdPartySend!$4:$4</formula1>
    </dataValidation>
  </dataValidations>
  <drawing r:id="rId1"/>
</worksheet>
</file>