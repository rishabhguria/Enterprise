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BookAsSwap" sheetId="5" r:id="rId7"/>
    <sheet state="visible" name="BookAsSwap2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moveManualExecution" sheetId="10" r:id="rId12"/>
    <sheet state="visible" name="BookAsSwap3" sheetId="11" r:id="rId13"/>
    <sheet state="visible" name="BookAsSwap4" sheetId="12" r:id="rId14"/>
    <sheet state="visible" name="BookAsSwap5" sheetId="13" r:id="rId15"/>
    <sheet state="visible" name="VerifyBlotter" sheetId="14" r:id="rId16"/>
    <sheet state="visible" name="GetDataFromAuditTrail" sheetId="15" r:id="rId17"/>
    <sheet state="visible" name="VerifyAuditTrail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<sst xmlns="http://schemas.openxmlformats.org/spreadsheetml/2006/main" count="1242" uniqueCount="146">
  <si>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</si>
  <si>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</si>
  <si>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</si>
  <si>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</si>
  <si>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</si>
  <si>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</si>
  <si>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</si>
  <si>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</si>
  <si>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</si>
  <si>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</si>
  <si>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</si>
  <si>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</si>
  <si>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</si>
  <si>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</si>
  <si>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</si>
  <si>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</si>
  <si>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</si>
  <si>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</si>
  <si>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</si>
  <si>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</si>
  <si>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</si>
  <si>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</si>
  <si>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</si>
  <si>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</si>
  <si>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</si>
  <si>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</si>
  <si>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</si>
  <si>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</si>
  <si>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</si>
  <si>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</si>
  <si>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</si>
  <si>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</si>
  <si>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</si>
  <si>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</si>
  <si>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</si>
  <si>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</si>
  <si>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</si>
  <si>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</si>
  <si>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</si>
  <si>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</si>
  <si>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</si>
  <si>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</si>
  <si>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</si>
  <si>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</si>
  <si>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</si>
  <si>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</si>
  <si>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</si>
  <si>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</si>
  <si>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</si>
  <si>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</si>
  <si>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CreateOrder</t>
  </si>
  <si>
    <t>MSFT</t>
  </si>
  <si>
    <t>DoneAway</t>
  </si>
  <si>
    <t>IBM</t>
  </si>
  <si>
    <t>GOOG</t>
  </si>
  <si>
    <t>O:AAPL 13N715.00</t>
  </si>
  <si>
    <t>Blotter</t>
  </si>
  <si>
    <t>BookAsSwap</t>
  </si>
  <si>
    <t>TradeNewSubOrder</t>
  </si>
  <si>
    <t>CreateNewSubOrder</t>
  </si>
  <si>
    <t>SelectTradeOnOrderGrid</t>
  </si>
  <si>
    <t>RemoveManualExecution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</si>
  <si>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</si>
  <si>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</si>
  <si>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</si>
  <si>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</si>
  <si>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</si>
  <si>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</si>
  <si>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</si>
  <si>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</si>
  <si>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</si>
  <si>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</si>
  <si>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</si>
  <si>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</si>
  <si>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</si>
  <si>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</si>
  <si>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</si>
  <si>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</si>
  <si>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</si>
  <si>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</si>
  <si>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</si>
  <si>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</si>
  <si>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</si>
  <si>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</si>
  <si>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</si>
  <si>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</si>
  <si>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</si>
  <si>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</si>
  <si>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</si>
  <si>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</si>
  <si>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</si>
  <si>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</si>
  <si>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</si>
  <si>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</si>
  <si>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</si>
  <si>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</si>
  <si>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</si>
  <si>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</si>
  <si>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</si>
  <si>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</si>
  <si>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</si>
  <si>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</si>
  <si>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</si>
  <si>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</si>
  <si>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Replaced</t>
  </si>
  <si>
    <t>Manual</t>
  </si>
  <si>
    <t>AAPL US EQUITY</t>
  </si>
  <si>
    <t>Allocation1</t>
  </si>
  <si>
    <t>Buy</t>
  </si>
  <si>
    <t>EquitySwap</t>
  </si>
  <si>
    <t>Samsara</t>
  </si>
  <si>
    <t>MS</t>
  </si>
  <si>
    <t>NASDAQ</t>
  </si>
  <si>
    <t>Filled</t>
  </si>
  <si>
    <t>MSFT US EQUITY</t>
  </si>
  <si>
    <t>Equity</t>
  </si>
  <si>
    <t>IBM US EQUITY</t>
  </si>
  <si>
    <t>GOOG US EQUITY</t>
  </si>
  <si>
    <t>New</t>
  </si>
  <si>
    <t>Buy to Open</t>
  </si>
  <si>
    <t>EquityOption</t>
  </si>
  <si>
    <t>AuditTrail</t>
  </si>
  <si>
    <t>GetDataFromAuditTrail</t>
  </si>
  <si>
    <t>VerifyAuditTrail</t>
  </si>
  <si>
    <t>Order Replaced</t>
  </si>
  <si>
    <t>Trade</t>
  </si>
  <si>
    <t>Order Manual Sub Created</t>
  </si>
  <si>
    <t>Order Filled</t>
  </si>
  <si>
    <t>Sub Order Manual Excecution Removed</t>
  </si>
  <si>
    <t>Allocation</t>
  </si>
  <si>
    <t>CheckAllocatedGroups</t>
  </si>
  <si>
    <t>Actual_365</t>
  </si>
  <si>
    <t>Treasury</t>
  </si>
  <si>
    <t>Open</t>
  </si>
  <si>
    <t>MICROSOFT INC</t>
  </si>
  <si>
    <t>USD</t>
  </si>
  <si>
    <t>M</t>
  </si>
  <si>
    <t>None</t>
  </si>
  <si>
    <t>Market</t>
  </si>
  <si>
    <t>InternalOrder</t>
  </si>
  <si>
    <t>Strategy Unallocated</t>
  </si>
  <si>
    <t>GCCAP1</t>
  </si>
  <si>
    <t>US</t>
  </si>
  <si>
    <t>NONE</t>
  </si>
  <si>
    <t>NewMF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</si>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</sst>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6" numFmtId="0" xfId="0" applyAlignment="1" applyBorder="1" applyFill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shrinkToFit="0" vertical="top" wrapText="0"/>
    </xf>
    <xf borderId="5" fillId="7" fontId="16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13"/>
      <c r="B6" s="13" t="s">
        <v>49</v>
      </c>
      <c r="C6" s="13">
        <v>100.0</v>
      </c>
      <c r="D6" s="13">
        <v>10.0</v>
      </c>
      <c r="E6" s="13" t="s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51</v>
      </c>
      <c r="C7" s="13">
        <v>100.0</v>
      </c>
      <c r="D7" s="13">
        <v>10.0</v>
      </c>
      <c r="E7" s="13" t="s">
        <v>52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53</v>
      </c>
      <c r="C8" s="13">
        <v>100.0</v>
      </c>
      <c r="D8" s="13">
        <v>10.0</v>
      </c>
      <c r="E8" s="13" t="s">
        <v>50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54</v>
      </c>
      <c r="C9" s="13">
        <v>100.0</v>
      </c>
      <c r="D9" s="13">
        <v>10.0</v>
      </c>
      <c r="E9" s="13" t="s">
        <v>52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55</v>
      </c>
      <c r="C10" s="13">
        <v>100.0</v>
      </c>
      <c r="D10" s="13">
        <v>10.0</v>
      </c>
      <c r="E10" s="13" t="s">
        <v>50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IFERROR(__xludf.DUMMYFUNCTION("""COMPUTED_VALUE"""),"User")</f>
        <v>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IFERROR(__xludf.DUMMYFUNCTION("""COMPUTED_VALUE"""),"Status (With Rollover)")</f>
        <v>Status (With Rollover)</v>
      </c>
      <c r="AZ5" s="34" t="str">
        <f>IFERROR(__xludf.DUMMYFUNCTION("""COMPUTED_VALUE"""),"Start of Day Qty")</f>
        <v>Start of Day Qty</v>
      </c>
      <c r="BA5" s="34" t="str">
        <f>IFERROR(__xludf.DUMMYFUNCTION("""COMPUTED_VALUE"""),"Leaves")</f>
        <v>Leaves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49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BookAsSwap!$4:$4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IFERROR(__xludf.DUMMYFUNCTION("""COMPUTED_VALUE"""),"User")</f>
        <v>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IFERROR(__xludf.DUMMYFUNCTION("""COMPUTED_VALUE"""),"Status (With Rollover)")</f>
        <v>Status (With Rollover)</v>
      </c>
      <c r="AZ5" s="34" t="str">
        <f>IFERROR(__xludf.DUMMYFUNCTION("""COMPUTED_VALUE"""),"Start of Day Qty")</f>
        <v>Start of Day Qty</v>
      </c>
      <c r="BA5" s="34" t="str">
        <f>IFERROR(__xludf.DUMMYFUNCTION("""COMPUTED_VALUE"""),"Leaves")</f>
        <v>Leaves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BookAsSwap2!$4:$4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IFERROR(__xludf.DUMMYFUNCTION("""COMPUTED_VALUE"""),"User")</f>
        <v>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IFERROR(__xludf.DUMMYFUNCTION("""COMPUTED_VALUE"""),"Status (With Rollover)")</f>
        <v>Status (With Rollover)</v>
      </c>
      <c r="AZ5" s="34" t="str">
        <f>IFERROR(__xludf.DUMMYFUNCTION("""COMPUTED_VALUE"""),"Start of Day Qty")</f>
        <v>Start of Day Qty</v>
      </c>
      <c r="BA5" s="34" t="str">
        <f>IFERROR(__xludf.DUMMYFUNCTION("""COMPUTED_VALUE"""),"Leaves")</f>
        <v>Leaves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53</v>
      </c>
      <c r="AL6" s="1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IFERROR(__xludf.DUMMYFUNCTION("""COMPUTED_VALUE"""),"PopUpQuantity")</f>
        <v>PopUpQuantity</v>
      </c>
      <c r="AO5" s="34" t="str">
        <f>IFERROR(__xludf.DUMMYFUNCTION("""COMPUTED_VALUE"""),"ShortLocate")</f>
        <v>ShortLocate</v>
      </c>
      <c r="AP5" s="34" t="str">
        <f>IFERROR(__xludf.DUMMYFUNCTION("""COMPUTED_VALUE"""),"ChkBoxBookAsSwap")</f>
        <v>ChkBoxBookAsSwap</v>
      </c>
      <c r="AQ5" s="34" t="str">
        <f>IFERROR(__xludf.DUMMYFUNCTION("""COMPUTED_VALUE"""),"Interest Rate")</f>
        <v>Interest Rate</v>
      </c>
      <c r="AR5" s="34" t="str">
        <f>IFERROR(__xludf.DUMMYFUNCTION("""COMPUTED_VALUE"""),"SharesOutstandingPopUp")</f>
        <v>SharesOutstandingPopUp</v>
      </c>
      <c r="AS5" s="34" t="str">
        <f>IFERROR(__xludf.DUMMYFUNCTION("""COMPUTED_VALUE"""),"AllowTrade")</f>
        <v>AllowTrade</v>
      </c>
      <c r="AT5" s="34" t="str">
        <f>IFERROR(__xludf.DUMMYFUNCTION("""COMPUTED_VALUE"""),"ClearOldCA")</f>
        <v>ClearOldCA</v>
      </c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>
        <v>100.0</v>
      </c>
      <c r="E6" s="35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IFERROR(__xludf.DUMMYFUNCTION("""COMPUTED_VALUE"""),"Avg Fill Price (Base)")</f>
        <v>Avg Fill Price (Base)</v>
      </c>
      <c r="C5" s="32" t="str">
        <f>IFERROR(__xludf.DUMMYFUNCTION("""COMPUTED_VALUE"""),"Transaction Time")</f>
        <v>Transaction Time</v>
      </c>
      <c r="D5" s="32" t="str">
        <f>IFERROR(__xludf.DUMMYFUNCTION("""COMPUTED_VALUE"""),"Symbol")</f>
        <v>Symbol</v>
      </c>
      <c r="E5" s="32" t="str">
        <f>IFERROR(__xludf.DUMMYFUNCTION("""COMPUTED_VALUE"""),"Algo")</f>
        <v>Algo</v>
      </c>
      <c r="F5" s="33" t="str">
        <f>IFERROR(__xludf.DUMMYFUNCTION("""COMPUTED_VALUE"""),"Side")</f>
        <v>Side</v>
      </c>
      <c r="G5" s="32" t="str">
        <f>IFERROR(__xludf.DUMMYFUNCTION("""COMPUTED_VALUE"""),"Status")</f>
        <v>Status</v>
      </c>
      <c r="H5" s="32" t="str">
        <f>IFERROR(__xludf.DUMMYFUNCTION("""COMPUTED_VALUE"""),"Target Qty")</f>
        <v>Target Qty</v>
      </c>
      <c r="I5" s="32" t="str">
        <f>IFERROR(__xludf.DUMMYFUNCTION("""COMPUTED_VALUE"""),"Total Executed Qty")</f>
        <v>Total Executed Qty</v>
      </c>
      <c r="J5" s="32" t="str">
        <f>IFERROR(__xludf.DUMMYFUNCTION("""COMPUTED_VALUE"""),"% Executed")</f>
        <v>% Executed</v>
      </c>
      <c r="K5" s="32" t="str">
        <f>IFERROR(__xludf.DUMMYFUNCTION("""COMPUTED_VALUE"""),"Day Executed Qty")</f>
        <v>Day Executed Qty</v>
      </c>
      <c r="L5" s="32" t="str">
        <f>IFERROR(__xludf.DUMMYFUNCTION("""COMPUTED_VALUE"""),"Uncommitted Qty")</f>
        <v>Uncommitted Qty</v>
      </c>
      <c r="M5" s="32" t="str">
        <f>IFERROR(__xludf.DUMMYFUNCTION("""COMPUTED_VALUE"""),"Limit Price")</f>
        <v>Limit Price</v>
      </c>
      <c r="N5" s="32" t="str">
        <f>IFERROR(__xludf.DUMMYFUNCTION("""COMPUTED_VALUE"""),"Last Fill Price (Local)")</f>
        <v>Last Fill Price (Local)</v>
      </c>
      <c r="O5" s="32" t="str">
        <f>IFERROR(__xludf.DUMMYFUNCTION("""COMPUTED_VALUE"""),"Stop Price")</f>
        <v>Stop Price</v>
      </c>
      <c r="P5" s="32" t="str">
        <f>IFERROR(__xludf.DUMMYFUNCTION("""COMPUTED_VALUE"""),"Avg Fill Price (Local)")</f>
        <v>Avg Fill Price (Local)</v>
      </c>
      <c r="Q5" s="32" t="str">
        <f>IFERROR(__xludf.DUMMYFUNCTION("""COMPUTED_VALUE"""),"Broker")</f>
        <v>Broker</v>
      </c>
      <c r="R5" s="32" t="str">
        <f>IFERROR(__xludf.DUMMYFUNCTION("""COMPUTED_VALUE"""),"Account")</f>
        <v>Account</v>
      </c>
      <c r="S5" s="32" t="str">
        <f>IFERROR(__xludf.DUMMYFUNCTION("""COMPUTED_VALUE"""),"OrderID")</f>
        <v>OrderID</v>
      </c>
      <c r="T5" s="34" t="str">
        <f>IFERROR(__xludf.DUMMYFUNCTION("""COMPUTED_VALUE"""),"Order Type")</f>
        <v>Order Type</v>
      </c>
      <c r="U5" s="34" t="str">
        <f>IFERROR(__xludf.DUMMYFUNCTION("""COMPUTED_VALUE"""),"Principal Amount (Local)")</f>
        <v>Principal Amount (Local)</v>
      </c>
      <c r="V5" s="34" t="str">
        <f>IFERROR(__xludf.DUMMYFUNCTION("""COMPUTED_VALUE"""),"Principal Amount (Base)")</f>
        <v>Principal Amount (Base)</v>
      </c>
      <c r="W5" s="34" t="str">
        <f>IFERROR(__xludf.DUMMYFUNCTION("""COMPUTED_VALUE"""),"Peg")</f>
        <v>Peg</v>
      </c>
      <c r="X5" s="34" t="str">
        <f>IFERROR(__xludf.DUMMYFUNCTION("""COMPUTED_VALUE"""),"ParentClOrderID")</f>
        <v>ParentClOrderID</v>
      </c>
      <c r="Y5" s="34" t="str">
        <f>IFERROR(__xludf.DUMMYFUNCTION("""COMPUTED_VALUE"""),"Strike Price")</f>
        <v>Strike Price</v>
      </c>
      <c r="Z5" s="34" t="str">
        <f>IFERROR(__xludf.DUMMYFUNCTION("""COMPUTED_VALUE"""),"Last Shares")</f>
        <v>Last Shares</v>
      </c>
      <c r="AA5" s="34" t="str">
        <f>IFERROR(__xludf.DUMMYFUNCTION("""COMPUTED_VALUE"""),"Working Qty")</f>
        <v>Working Qty</v>
      </c>
      <c r="AB5" s="34" t="str">
        <f>IFERROR(__xludf.DUMMYFUNCTION("""COMPUTED_VALUE"""),"Bloomberg Symbol")</f>
        <v>Bloomberg Symbol</v>
      </c>
      <c r="AC5" s="34" t="str">
        <f>IFERROR(__xludf.DUMMYFUNCTION("""COMPUTED_VALUE"""),"Imported File Name")</f>
        <v>Imported File Name</v>
      </c>
      <c r="AD5" s="34" t="str">
        <f>IFERROR(__xludf.DUMMYFUNCTION("""COMPUTED_VALUE"""),"Master Fund")</f>
        <v>Master Fund</v>
      </c>
      <c r="AE5" s="34" t="str">
        <f>IFERROR(__xludf.DUMMYFUNCTION("""COMPUTED_VALUE"""),"Day Average Price")</f>
        <v>Day Average Price</v>
      </c>
      <c r="AF5" s="34" t="str">
        <f>IFERROR(__xludf.DUMMYFUNCTION("""COMPUTED_VALUE"""),"Asset Class")</f>
        <v>Asset Class</v>
      </c>
      <c r="AG5" s="34" t="str">
        <f>IFERROR(__xludf.DUMMYFUNCTION("""COMPUTED_VALUE"""),"Underlying Country")</f>
        <v>Underlying Country</v>
      </c>
      <c r="AH5" s="34" t="str">
        <f>IFERROR(__xludf.DUMMYFUNCTION("""COMPUTED_VALUE"""),"Trader")</f>
        <v>Trader</v>
      </c>
      <c r="AI5" s="34" t="str">
        <f>IFERROR(__xludf.DUMMYFUNCTION("""COMPUTED_VALUE"""),"User")</f>
        <v>User</v>
      </c>
      <c r="AJ5" s="34" t="str">
        <f>IFERROR(__xludf.DUMMYFUNCTION("""COMPUTED_VALUE"""),"Venue")</f>
        <v>Venue</v>
      </c>
      <c r="AK5" s="34" t="str">
        <f>IFERROR(__xludf.DUMMYFUNCTION("""COMPUTED_VALUE"""),"Settlement Currency")</f>
        <v>Settlement Currency</v>
      </c>
      <c r="AL5" s="34" t="str">
        <f>IFERROR(__xludf.DUMMYFUNCTION("""COMPUTED_VALUE"""),"FX Conversion Operator")</f>
        <v>FX Conversion Operator</v>
      </c>
      <c r="AM5" s="34" t="str">
        <f>IFERROR(__xludf.DUMMYFUNCTION("""COMPUTED_VALUE"""),"Process Date")</f>
        <v>Process Date</v>
      </c>
      <c r="AN5" s="34" t="str">
        <f>IFERROR(__xludf.DUMMYFUNCTION("""COMPUTED_VALUE"""),"Underlying Symbol")</f>
        <v>Underlying Symbol</v>
      </c>
      <c r="AO5" s="34" t="str">
        <f>IFERROR(__xludf.DUMMYFUNCTION("""COMPUTED_VALUE"""),"Put/Call")</f>
        <v>Put/Call</v>
      </c>
      <c r="AP5" s="34" t="str">
        <f>IFERROR(__xludf.DUMMYFUNCTION("""COMPUTED_VALUE"""),"FX Rate")</f>
        <v>FX Rate</v>
      </c>
      <c r="AQ5" s="34" t="str">
        <f>IFERROR(__xludf.DUMMYFUNCTION("""COMPUTED_VALUE"""),"Trade Attribute 1")</f>
        <v>Trade Attribute 1</v>
      </c>
      <c r="AR5" s="34" t="str">
        <f>IFERROR(__xludf.DUMMYFUNCTION("""COMPUTED_VALUE"""),"Trade Attribute 2")</f>
        <v>Trade Attribute 2</v>
      </c>
      <c r="AS5" s="34" t="str">
        <f>IFERROR(__xludf.DUMMYFUNCTION("""COMPUTED_VALUE"""),"Trade Attribute 3")</f>
        <v>Trade Attribute 3</v>
      </c>
      <c r="AT5" s="34" t="str">
        <f>IFERROR(__xludf.DUMMYFUNCTION("""COMPUTED_VALUE"""),"Trade Attribute 4")</f>
        <v>Trade Attribute 4</v>
      </c>
      <c r="AU5" s="34" t="str">
        <f>IFERROR(__xludf.DUMMYFUNCTION("""COMPUTED_VALUE"""),"Trade Attribute 5")</f>
        <v>Trade Attribute 5</v>
      </c>
      <c r="AV5" s="34" t="str">
        <f>IFERROR(__xludf.DUMMYFUNCTION("""COMPUTED_VALUE"""),"Trade Attribute 6")</f>
        <v>Trade Attribute 6</v>
      </c>
      <c r="AW5" s="34" t="str">
        <f>IFERROR(__xludf.DUMMYFUNCTION("""COMPUTED_VALUE"""),"Internal Comments")</f>
        <v>Internal Comments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IFERROR(__xludf.DUMMYFUNCTION("""COMPUTED_VALUE"""),"Start of Day Qty")</f>
        <v>Start of Day Qty</v>
      </c>
      <c r="AZ5" s="34" t="str">
        <f>IFERROR(__xludf.DUMMYFUNCTION("""COMPUTED_VALUE"""),"Leaves")</f>
        <v>Leaves</v>
      </c>
      <c r="BA5" s="34" t="str">
        <f>IFERROR(__xludf.DUMMYFUNCTION("""COMPUTED_VALUE"""),"CheckBox")</f>
        <v>CheckBox</v>
      </c>
      <c r="BB5" s="34" t="str">
        <f>IFERROR(__xludf.DUMMYFUNCTION("""COMPUTED_VALUE"""),"Action on toolbar")</f>
        <v>Action on toolbar</v>
      </c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 t="s">
        <v>54</v>
      </c>
      <c r="F6" s="8"/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IFERROR(__xludf.DUMMYFUNCTION("""COMPUTED_VALUE"""),"User")</f>
        <v>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IFERROR(__xludf.DUMMYFUNCTION("""COMPUTED_VALUE"""),"Quantity")</f>
        <v>Quantity</v>
      </c>
      <c r="AM5" s="34" t="str">
        <f>IFERROR(__xludf.DUMMYFUNCTION("""COMPUTED_VALUE"""),"Executed Qty")</f>
        <v>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IFERROR(__xludf.DUMMYFUNCTION("""COMPUTED_VALUE"""),"Remaining Qty")</f>
        <v>Remaining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IFERROR(__xludf.DUMMYFUNCTION("""COMPUTED_VALUE"""),"User")</f>
        <v>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IFERROR(__xludf.DUMMYFUNCTION("""COMPUTED_VALUE"""),"Status (With Rollover)")</f>
        <v>Status (With Rollover)</v>
      </c>
      <c r="AZ5" s="34" t="str">
        <f>IFERROR(__xludf.DUMMYFUNCTION("""COMPUTED_VALUE"""),"Start of Day Qty")</f>
        <v>Start of Day Qty</v>
      </c>
      <c r="BA5" s="34" t="str">
        <f>IFERROR(__xludf.DUMMYFUNCTION("""COMPUTED_VALUE"""),"Leaves")</f>
        <v>Leaves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BookAsSwap3!$4:$4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IFERROR(__xludf.DUMMYFUNCTION("""COMPUTED_VALUE"""),"User")</f>
        <v>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IFERROR(__xludf.DUMMYFUNCTION("""COMPUTED_VALUE"""),"Status (With Rollover)")</f>
        <v>Status (With Rollover)</v>
      </c>
      <c r="AZ5" s="34" t="str">
        <f>IFERROR(__xludf.DUMMYFUNCTION("""COMPUTED_VALUE"""),"Start of Day Qty")</f>
        <v>Start of Day Qty</v>
      </c>
      <c r="BA5" s="34" t="str">
        <f>IFERROR(__xludf.DUMMYFUNCTION("""COMPUTED_VALUE"""),"Leaves")</f>
        <v>Leaves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BookAsSwap4!$4:$4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IFERROR(__xludf.DUMMYFUNCTION("""COMPUTED_VALUE"""),"User")</f>
        <v>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IFERROR(__xludf.DUMMYFUNCTION("""COMPUTED_VALUE"""),"Status (With Rollover)")</f>
        <v>Status (With Rollover)</v>
      </c>
      <c r="AZ5" s="34" t="str">
        <f>IFERROR(__xludf.DUMMYFUNCTION("""COMPUTED_VALUE"""),"Start of Day Qty")</f>
        <v>Start of Day Qty</v>
      </c>
      <c r="BA5" s="34" t="str">
        <f>IFERROR(__xludf.DUMMYFUNCTION("""COMPUTED_VALUE"""),"Leaves")</f>
        <v>Leaves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BookAsSwap5!$4:$4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6"/>
      <c r="B5" s="37" t="s">
        <v>63</v>
      </c>
      <c r="C5" s="37" t="s">
        <v>64</v>
      </c>
      <c r="D5" s="37" t="s">
        <v>65</v>
      </c>
      <c r="E5" s="37" t="s">
        <v>66</v>
      </c>
      <c r="F5" s="38" t="s">
        <v>67</v>
      </c>
      <c r="G5" s="37" t="s">
        <v>68</v>
      </c>
      <c r="H5" s="37" t="s">
        <v>69</v>
      </c>
      <c r="I5" s="37" t="s">
        <v>70</v>
      </c>
      <c r="J5" s="37" t="s">
        <v>71</v>
      </c>
      <c r="K5" s="37" t="s">
        <v>72</v>
      </c>
      <c r="L5" s="37" t="s">
        <v>73</v>
      </c>
      <c r="M5" s="37" t="s">
        <v>74</v>
      </c>
      <c r="N5" s="37" t="s">
        <v>75</v>
      </c>
      <c r="O5" s="37" t="s">
        <v>76</v>
      </c>
      <c r="P5" s="37" t="s">
        <v>77</v>
      </c>
      <c r="Q5" s="37" t="s">
        <v>78</v>
      </c>
      <c r="R5" s="37" t="s">
        <v>79</v>
      </c>
      <c r="S5" s="37" t="s">
        <v>80</v>
      </c>
      <c r="T5" s="37" t="s">
        <v>81</v>
      </c>
      <c r="U5" s="37" t="s">
        <v>30</v>
      </c>
      <c r="V5" s="37" t="s">
        <v>82</v>
      </c>
      <c r="W5" s="37" t="s">
        <v>83</v>
      </c>
      <c r="X5" s="37" t="s">
        <v>84</v>
      </c>
      <c r="Y5" s="37" t="s">
        <v>85</v>
      </c>
      <c r="Z5" s="37" t="s">
        <v>86</v>
      </c>
      <c r="AA5" s="37" t="s">
        <v>36</v>
      </c>
      <c r="AB5" s="37" t="s">
        <v>16</v>
      </c>
      <c r="AC5" s="37" t="s">
        <v>87</v>
      </c>
      <c r="AD5" s="37" t="s">
        <v>88</v>
      </c>
      <c r="AE5" s="37" t="s">
        <v>89</v>
      </c>
      <c r="AF5" s="37" t="s">
        <v>90</v>
      </c>
      <c r="AG5" s="37" t="s">
        <v>91</v>
      </c>
      <c r="AH5" s="37" t="s">
        <v>92</v>
      </c>
      <c r="AI5" s="37" t="s">
        <v>93</v>
      </c>
      <c r="AJ5" s="37" t="s">
        <v>94</v>
      </c>
      <c r="AK5" s="37" t="s">
        <v>41</v>
      </c>
      <c r="AL5" s="37" t="s">
        <v>44</v>
      </c>
      <c r="AM5" s="37" t="s">
        <v>95</v>
      </c>
      <c r="AN5" s="37" t="s">
        <v>96</v>
      </c>
      <c r="AO5" s="37" t="s">
        <v>97</v>
      </c>
      <c r="AP5" s="37" t="s">
        <v>98</v>
      </c>
      <c r="AQ5" s="37" t="s">
        <v>99</v>
      </c>
      <c r="AR5" s="37" t="s">
        <v>100</v>
      </c>
      <c r="AS5" s="37" t="s">
        <v>101</v>
      </c>
      <c r="AT5" s="37" t="s">
        <v>102</v>
      </c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  <c r="AMJ5" s="27"/>
      <c r="AMK5" s="27"/>
      <c r="AML5" s="27"/>
    </row>
    <row r="6" ht="15.75" customHeight="1">
      <c r="A6" s="39" t="s">
        <v>103</v>
      </c>
      <c r="B6" s="39" t="s">
        <v>103</v>
      </c>
      <c r="C6" s="8" t="s">
        <v>103</v>
      </c>
      <c r="D6" s="39" t="s">
        <v>103</v>
      </c>
      <c r="E6" s="8"/>
      <c r="F6" s="8" t="s">
        <v>104</v>
      </c>
      <c r="G6" s="8" t="s">
        <v>103</v>
      </c>
      <c r="H6" s="8" t="s">
        <v>103</v>
      </c>
      <c r="I6" s="8"/>
      <c r="J6" s="8" t="s">
        <v>105</v>
      </c>
      <c r="K6" s="8" t="s">
        <v>103</v>
      </c>
      <c r="L6" s="8" t="s">
        <v>103</v>
      </c>
      <c r="M6" s="8" t="s">
        <v>103</v>
      </c>
      <c r="N6" s="8"/>
      <c r="O6" s="8"/>
      <c r="Q6" t="s">
        <v>106</v>
      </c>
      <c r="R6" t="s">
        <v>103</v>
      </c>
      <c r="S6" t="s">
        <v>103</v>
      </c>
      <c r="U6" t="s">
        <v>107</v>
      </c>
      <c r="W6" t="s">
        <v>103</v>
      </c>
      <c r="X6" t="s">
        <v>103</v>
      </c>
      <c r="Y6" t="s">
        <v>103</v>
      </c>
      <c r="Z6" t="s">
        <v>108</v>
      </c>
      <c r="AB6" t="s">
        <v>49</v>
      </c>
      <c r="AC6" t="s">
        <v>103</v>
      </c>
      <c r="AD6" t="s">
        <v>103</v>
      </c>
      <c r="AE6" t="s">
        <v>103</v>
      </c>
      <c r="AF6" t="s">
        <v>109</v>
      </c>
      <c r="AG6" t="s">
        <v>103</v>
      </c>
      <c r="AH6" t="s">
        <v>103</v>
      </c>
      <c r="AI6" t="s">
        <v>110</v>
      </c>
      <c r="AJ6" t="s">
        <v>110</v>
      </c>
      <c r="AK6" t="s">
        <v>111</v>
      </c>
      <c r="AL6" t="s">
        <v>112</v>
      </c>
      <c r="AM6" t="s">
        <v>103</v>
      </c>
      <c r="AS6" s="9" t="s">
        <v>12</v>
      </c>
      <c r="AT6" t="s">
        <v>103</v>
      </c>
      <c r="AU6" t="s">
        <v>103</v>
      </c>
      <c r="AV6" t="s">
        <v>103</v>
      </c>
      <c r="AW6" t="s">
        <v>103</v>
      </c>
      <c r="AX6" t="s">
        <v>103</v>
      </c>
      <c r="AY6" t="s">
        <v>103</v>
      </c>
      <c r="AZ6" t="s">
        <v>103</v>
      </c>
      <c r="BA6" t="s">
        <v>103</v>
      </c>
      <c r="BB6" t="s">
        <v>103</v>
      </c>
      <c r="BC6" t="s">
        <v>103</v>
      </c>
      <c r="BD6" t="s">
        <v>103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 t="s">
        <v>103</v>
      </c>
      <c r="BN6" t="s">
        <v>103</v>
      </c>
      <c r="BO6" t="s">
        <v>103</v>
      </c>
      <c r="BP6" t="s">
        <v>103</v>
      </c>
      <c r="BQ6" t="s">
        <v>103</v>
      </c>
      <c r="BR6" t="s">
        <v>103</v>
      </c>
      <c r="BS6" t="s">
        <v>103</v>
      </c>
      <c r="BT6" t="s">
        <v>103</v>
      </c>
      <c r="BU6" t="s">
        <v>103</v>
      </c>
      <c r="BV6" t="s">
        <v>103</v>
      </c>
      <c r="BW6" t="s">
        <v>103</v>
      </c>
      <c r="BX6" t="s">
        <v>103</v>
      </c>
      <c r="BY6" t="s">
        <v>103</v>
      </c>
      <c r="BZ6" t="s">
        <v>103</v>
      </c>
      <c r="CA6" t="s">
        <v>103</v>
      </c>
      <c r="CB6" t="s">
        <v>103</v>
      </c>
      <c r="CC6" t="s">
        <v>103</v>
      </c>
      <c r="CD6" t="s">
        <v>103</v>
      </c>
      <c r="CE6" t="s">
        <v>103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t="s">
        <v>103</v>
      </c>
      <c r="CL6" t="s">
        <v>103</v>
      </c>
      <c r="CM6" t="s">
        <v>103</v>
      </c>
      <c r="CN6" t="s">
        <v>103</v>
      </c>
      <c r="CO6" t="s">
        <v>103</v>
      </c>
      <c r="CP6" t="s">
        <v>103</v>
      </c>
      <c r="CQ6" t="s">
        <v>103</v>
      </c>
      <c r="CR6" t="s">
        <v>103</v>
      </c>
      <c r="CS6" t="s">
        <v>103</v>
      </c>
      <c r="CT6" t="s">
        <v>103</v>
      </c>
      <c r="CU6" t="s">
        <v>103</v>
      </c>
      <c r="CV6" t="s">
        <v>103</v>
      </c>
      <c r="CW6" t="s">
        <v>103</v>
      </c>
      <c r="CX6" t="s">
        <v>103</v>
      </c>
      <c r="CY6" t="s">
        <v>103</v>
      </c>
      <c r="CZ6" t="s">
        <v>103</v>
      </c>
      <c r="DA6" t="s">
        <v>103</v>
      </c>
      <c r="DB6" t="s">
        <v>103</v>
      </c>
      <c r="DC6" t="s">
        <v>103</v>
      </c>
      <c r="DD6" t="s">
        <v>103</v>
      </c>
      <c r="DE6" t="s">
        <v>103</v>
      </c>
      <c r="DF6" t="s">
        <v>103</v>
      </c>
      <c r="DG6" t="s">
        <v>103</v>
      </c>
      <c r="DH6" t="s">
        <v>103</v>
      </c>
      <c r="DI6" t="s">
        <v>103</v>
      </c>
      <c r="DJ6" t="s">
        <v>103</v>
      </c>
      <c r="DK6" t="s">
        <v>103</v>
      </c>
      <c r="DL6" t="s">
        <v>103</v>
      </c>
      <c r="DM6" t="s">
        <v>103</v>
      </c>
      <c r="DN6" t="s">
        <v>103</v>
      </c>
      <c r="DO6" t="s">
        <v>103</v>
      </c>
      <c r="DP6" t="s">
        <v>103</v>
      </c>
      <c r="DQ6" t="s">
        <v>103</v>
      </c>
      <c r="DR6" t="s">
        <v>103</v>
      </c>
      <c r="DS6" t="s">
        <v>103</v>
      </c>
      <c r="DT6" t="s">
        <v>103</v>
      </c>
      <c r="DU6" t="s">
        <v>103</v>
      </c>
      <c r="DV6" t="s">
        <v>103</v>
      </c>
      <c r="DW6" t="s">
        <v>103</v>
      </c>
      <c r="DX6" t="s">
        <v>103</v>
      </c>
      <c r="DY6" t="s">
        <v>103</v>
      </c>
      <c r="DZ6" t="s">
        <v>103</v>
      </c>
      <c r="EA6" t="s">
        <v>103</v>
      </c>
      <c r="EB6" t="s">
        <v>103</v>
      </c>
      <c r="EC6" t="s">
        <v>103</v>
      </c>
      <c r="ED6" t="s">
        <v>103</v>
      </c>
      <c r="EE6" t="s">
        <v>103</v>
      </c>
      <c r="EF6" t="s">
        <v>103</v>
      </c>
      <c r="EG6" t="s">
        <v>103</v>
      </c>
      <c r="EH6" t="s">
        <v>103</v>
      </c>
      <c r="EI6" t="s">
        <v>103</v>
      </c>
      <c r="EJ6" t="s">
        <v>103</v>
      </c>
      <c r="EK6" t="s">
        <v>103</v>
      </c>
      <c r="EL6" t="s">
        <v>103</v>
      </c>
      <c r="EM6" t="s">
        <v>103</v>
      </c>
      <c r="EN6" t="s">
        <v>103</v>
      </c>
      <c r="EO6" t="s">
        <v>103</v>
      </c>
      <c r="EP6" t="s">
        <v>103</v>
      </c>
      <c r="EQ6" t="s">
        <v>103</v>
      </c>
      <c r="ER6" t="s">
        <v>103</v>
      </c>
      <c r="ES6" t="s">
        <v>103</v>
      </c>
      <c r="ET6" t="s">
        <v>103</v>
      </c>
      <c r="EU6" t="s">
        <v>103</v>
      </c>
      <c r="EV6" t="s">
        <v>103</v>
      </c>
      <c r="EW6" t="s">
        <v>103</v>
      </c>
      <c r="EX6" t="s">
        <v>103</v>
      </c>
      <c r="EY6" t="s">
        <v>103</v>
      </c>
      <c r="EZ6" t="s">
        <v>103</v>
      </c>
      <c r="FA6" t="s">
        <v>103</v>
      </c>
      <c r="FB6" t="s">
        <v>103</v>
      </c>
      <c r="FC6" t="s">
        <v>103</v>
      </c>
      <c r="FD6" t="s">
        <v>103</v>
      </c>
      <c r="FE6" t="s">
        <v>103</v>
      </c>
      <c r="FF6" t="s">
        <v>103</v>
      </c>
      <c r="FG6" t="s">
        <v>103</v>
      </c>
      <c r="FH6" t="s">
        <v>103</v>
      </c>
      <c r="FI6" t="s">
        <v>103</v>
      </c>
      <c r="FJ6" t="s">
        <v>103</v>
      </c>
      <c r="FK6" t="s">
        <v>103</v>
      </c>
      <c r="FL6" t="s">
        <v>103</v>
      </c>
      <c r="FM6" t="s">
        <v>103</v>
      </c>
      <c r="FN6" t="s">
        <v>103</v>
      </c>
      <c r="FO6" t="s">
        <v>103</v>
      </c>
      <c r="FP6" t="s">
        <v>103</v>
      </c>
      <c r="FQ6" t="s">
        <v>103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103</v>
      </c>
      <c r="B7" s="8" t="s">
        <v>103</v>
      </c>
      <c r="C7" s="8" t="s">
        <v>103</v>
      </c>
      <c r="D7" s="8" t="s">
        <v>103</v>
      </c>
      <c r="E7" s="8"/>
      <c r="F7" s="8" t="s">
        <v>113</v>
      </c>
      <c r="G7" s="8" t="s">
        <v>103</v>
      </c>
      <c r="H7" s="8" t="s">
        <v>103</v>
      </c>
      <c r="I7" s="8"/>
      <c r="J7" s="8" t="s">
        <v>105</v>
      </c>
      <c r="K7" s="8" t="s">
        <v>103</v>
      </c>
      <c r="L7" s="8" t="s">
        <v>103</v>
      </c>
      <c r="M7" s="8" t="s">
        <v>103</v>
      </c>
      <c r="N7" s="8"/>
      <c r="O7" s="8"/>
      <c r="Q7" t="s">
        <v>114</v>
      </c>
      <c r="R7" t="s">
        <v>103</v>
      </c>
      <c r="S7" t="s">
        <v>103</v>
      </c>
      <c r="U7" t="s">
        <v>107</v>
      </c>
      <c r="W7" t="s">
        <v>103</v>
      </c>
      <c r="X7" t="s">
        <v>103</v>
      </c>
      <c r="Y7" t="s">
        <v>103</v>
      </c>
      <c r="Z7" t="s">
        <v>108</v>
      </c>
      <c r="AB7" t="s">
        <v>51</v>
      </c>
      <c r="AC7" t="s">
        <v>103</v>
      </c>
      <c r="AD7" t="s">
        <v>103</v>
      </c>
      <c r="AE7" t="s">
        <v>103</v>
      </c>
      <c r="AF7" t="s">
        <v>115</v>
      </c>
      <c r="AG7" t="s">
        <v>103</v>
      </c>
      <c r="AH7" t="s">
        <v>103</v>
      </c>
      <c r="AI7" t="s">
        <v>110</v>
      </c>
      <c r="AJ7" t="s">
        <v>110</v>
      </c>
      <c r="AK7" t="s">
        <v>111</v>
      </c>
      <c r="AL7" t="s">
        <v>112</v>
      </c>
      <c r="AM7" t="s">
        <v>103</v>
      </c>
      <c r="AS7" s="9" t="s">
        <v>12</v>
      </c>
      <c r="AT7" t="s">
        <v>103</v>
      </c>
      <c r="AU7" t="s">
        <v>103</v>
      </c>
      <c r="AV7" t="s">
        <v>103</v>
      </c>
      <c r="AW7" t="s">
        <v>103</v>
      </c>
      <c r="AX7" t="s">
        <v>103</v>
      </c>
      <c r="AY7" t="s">
        <v>103</v>
      </c>
      <c r="AZ7" t="s">
        <v>103</v>
      </c>
      <c r="BA7" t="s">
        <v>103</v>
      </c>
      <c r="BB7" t="s">
        <v>103</v>
      </c>
      <c r="BC7" t="s">
        <v>103</v>
      </c>
      <c r="BD7" t="s">
        <v>103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 t="s">
        <v>103</v>
      </c>
      <c r="BQ7" t="s">
        <v>103</v>
      </c>
      <c r="BR7" t="s">
        <v>103</v>
      </c>
      <c r="BS7" t="s">
        <v>103</v>
      </c>
      <c r="BT7" t="s">
        <v>103</v>
      </c>
      <c r="BU7" t="s">
        <v>103</v>
      </c>
      <c r="BV7" t="s">
        <v>103</v>
      </c>
      <c r="BW7" t="s">
        <v>103</v>
      </c>
      <c r="BX7" t="s">
        <v>103</v>
      </c>
      <c r="BY7" t="s">
        <v>103</v>
      </c>
      <c r="BZ7" t="s">
        <v>103</v>
      </c>
      <c r="CA7" t="s">
        <v>103</v>
      </c>
      <c r="CB7" t="s">
        <v>103</v>
      </c>
      <c r="CC7" t="s">
        <v>103</v>
      </c>
      <c r="CD7" t="s">
        <v>103</v>
      </c>
      <c r="CE7" t="s">
        <v>103</v>
      </c>
      <c r="CF7" t="s">
        <v>103</v>
      </c>
      <c r="CG7" t="s">
        <v>103</v>
      </c>
      <c r="CH7" t="s">
        <v>103</v>
      </c>
      <c r="CI7" t="s">
        <v>103</v>
      </c>
      <c r="CJ7" t="s">
        <v>103</v>
      </c>
      <c r="CK7" t="s">
        <v>103</v>
      </c>
      <c r="CL7" t="s">
        <v>103</v>
      </c>
      <c r="CM7" t="s">
        <v>103</v>
      </c>
      <c r="CN7" t="s">
        <v>103</v>
      </c>
      <c r="CO7" t="s">
        <v>103</v>
      </c>
      <c r="CP7" t="s">
        <v>103</v>
      </c>
      <c r="CQ7" t="s">
        <v>103</v>
      </c>
      <c r="CR7" t="s">
        <v>103</v>
      </c>
      <c r="CS7" t="s">
        <v>103</v>
      </c>
      <c r="CT7" t="s">
        <v>103</v>
      </c>
      <c r="CU7" t="s">
        <v>103</v>
      </c>
      <c r="CV7" t="s">
        <v>103</v>
      </c>
      <c r="CW7" t="s">
        <v>103</v>
      </c>
      <c r="CX7" t="s">
        <v>103</v>
      </c>
      <c r="CY7" t="s">
        <v>103</v>
      </c>
      <c r="CZ7" t="s">
        <v>103</v>
      </c>
      <c r="DA7" t="s">
        <v>103</v>
      </c>
      <c r="DB7" t="s">
        <v>103</v>
      </c>
      <c r="DC7" t="s">
        <v>103</v>
      </c>
      <c r="DD7" t="s">
        <v>103</v>
      </c>
      <c r="DE7" t="s">
        <v>103</v>
      </c>
      <c r="DF7" t="s">
        <v>103</v>
      </c>
      <c r="DG7" t="s">
        <v>103</v>
      </c>
      <c r="DH7" t="s">
        <v>103</v>
      </c>
      <c r="DI7" t="s">
        <v>103</v>
      </c>
      <c r="DJ7" t="s">
        <v>103</v>
      </c>
      <c r="DK7" t="s">
        <v>103</v>
      </c>
      <c r="DL7" t="s">
        <v>103</v>
      </c>
      <c r="DM7" t="s">
        <v>103</v>
      </c>
      <c r="DN7" t="s">
        <v>103</v>
      </c>
      <c r="DO7" t="s">
        <v>103</v>
      </c>
      <c r="DP7" t="s">
        <v>103</v>
      </c>
      <c r="DQ7" t="s">
        <v>103</v>
      </c>
      <c r="DR7" t="s">
        <v>103</v>
      </c>
      <c r="DS7" t="s">
        <v>103</v>
      </c>
      <c r="DT7" t="s">
        <v>103</v>
      </c>
      <c r="DU7" t="s">
        <v>103</v>
      </c>
      <c r="DV7" t="s">
        <v>103</v>
      </c>
      <c r="DW7" t="s">
        <v>103</v>
      </c>
      <c r="DX7" t="s">
        <v>103</v>
      </c>
      <c r="DY7" t="s">
        <v>103</v>
      </c>
      <c r="DZ7" t="s">
        <v>103</v>
      </c>
      <c r="EA7" t="s">
        <v>103</v>
      </c>
      <c r="EB7" t="s">
        <v>103</v>
      </c>
      <c r="EC7" t="s">
        <v>103</v>
      </c>
      <c r="ED7" t="s">
        <v>103</v>
      </c>
      <c r="EE7" t="s">
        <v>103</v>
      </c>
      <c r="EF7" t="s">
        <v>103</v>
      </c>
      <c r="EG7" t="s">
        <v>103</v>
      </c>
      <c r="EH7" t="s">
        <v>103</v>
      </c>
      <c r="EI7" t="s">
        <v>103</v>
      </c>
      <c r="EJ7" t="s">
        <v>103</v>
      </c>
      <c r="EK7" t="s">
        <v>103</v>
      </c>
      <c r="EL7" t="s">
        <v>103</v>
      </c>
      <c r="EM7" t="s">
        <v>103</v>
      </c>
      <c r="EN7" t="s">
        <v>103</v>
      </c>
      <c r="EO7" t="s">
        <v>103</v>
      </c>
      <c r="EP7" t="s">
        <v>103</v>
      </c>
      <c r="EQ7" t="s">
        <v>103</v>
      </c>
      <c r="ER7" t="s">
        <v>103</v>
      </c>
      <c r="ES7" t="s">
        <v>103</v>
      </c>
      <c r="ET7" t="s">
        <v>103</v>
      </c>
      <c r="EU7" t="s">
        <v>103</v>
      </c>
      <c r="EV7" t="s">
        <v>103</v>
      </c>
      <c r="EW7" t="s">
        <v>103</v>
      </c>
      <c r="EX7" t="s">
        <v>103</v>
      </c>
      <c r="EY7" t="s">
        <v>103</v>
      </c>
      <c r="EZ7" t="s">
        <v>103</v>
      </c>
      <c r="FA7" t="s">
        <v>103</v>
      </c>
      <c r="FB7" t="s">
        <v>103</v>
      </c>
      <c r="FC7" t="s">
        <v>103</v>
      </c>
      <c r="FD7" t="s">
        <v>103</v>
      </c>
      <c r="FE7" t="s">
        <v>103</v>
      </c>
      <c r="FF7" t="s">
        <v>103</v>
      </c>
      <c r="FG7" t="s">
        <v>103</v>
      </c>
      <c r="FH7" t="s">
        <v>103</v>
      </c>
      <c r="FI7" t="s">
        <v>103</v>
      </c>
      <c r="FJ7" t="s">
        <v>103</v>
      </c>
      <c r="FK7" t="s">
        <v>103</v>
      </c>
      <c r="FL7" t="s">
        <v>103</v>
      </c>
      <c r="FM7" t="s">
        <v>103</v>
      </c>
      <c r="FN7" t="s">
        <v>103</v>
      </c>
      <c r="FO7" t="s">
        <v>103</v>
      </c>
      <c r="FP7" t="s">
        <v>103</v>
      </c>
      <c r="FQ7" t="s">
        <v>103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103</v>
      </c>
      <c r="B8" s="8" t="s">
        <v>103</v>
      </c>
      <c r="C8" s="8" t="s">
        <v>103</v>
      </c>
      <c r="D8" s="8" t="s">
        <v>103</v>
      </c>
      <c r="E8" s="8"/>
      <c r="F8" s="8" t="s">
        <v>113</v>
      </c>
      <c r="G8" s="8" t="s">
        <v>103</v>
      </c>
      <c r="H8" s="8" t="s">
        <v>103</v>
      </c>
      <c r="I8" s="8"/>
      <c r="J8" s="8" t="s">
        <v>105</v>
      </c>
      <c r="K8" s="8" t="s">
        <v>103</v>
      </c>
      <c r="L8" s="8" t="s">
        <v>103</v>
      </c>
      <c r="M8" s="8" t="s">
        <v>103</v>
      </c>
      <c r="N8" s="8"/>
      <c r="O8" s="8"/>
      <c r="Q8" t="s">
        <v>116</v>
      </c>
      <c r="R8" t="s">
        <v>103</v>
      </c>
      <c r="S8" t="s">
        <v>103</v>
      </c>
      <c r="U8" t="s">
        <v>107</v>
      </c>
      <c r="W8" t="s">
        <v>103</v>
      </c>
      <c r="X8" t="s">
        <v>103</v>
      </c>
      <c r="Y8" t="s">
        <v>103</v>
      </c>
      <c r="Z8" t="s">
        <v>108</v>
      </c>
      <c r="AB8" t="s">
        <v>53</v>
      </c>
      <c r="AC8" t="s">
        <v>103</v>
      </c>
      <c r="AD8" t="s">
        <v>103</v>
      </c>
      <c r="AE8" t="s">
        <v>103</v>
      </c>
      <c r="AF8" t="s">
        <v>115</v>
      </c>
      <c r="AG8" t="s">
        <v>103</v>
      </c>
      <c r="AH8" t="s">
        <v>103</v>
      </c>
      <c r="AI8" t="s">
        <v>110</v>
      </c>
      <c r="AJ8" t="s">
        <v>110</v>
      </c>
      <c r="AK8" t="s">
        <v>111</v>
      </c>
      <c r="AL8" t="s">
        <v>112</v>
      </c>
      <c r="AM8" t="s">
        <v>103</v>
      </c>
      <c r="AS8" s="9" t="s">
        <v>12</v>
      </c>
      <c r="AT8" t="s">
        <v>103</v>
      </c>
      <c r="AU8" t="s">
        <v>103</v>
      </c>
      <c r="AV8" t="s">
        <v>103</v>
      </c>
      <c r="AW8" t="s">
        <v>103</v>
      </c>
      <c r="AX8" t="s">
        <v>103</v>
      </c>
      <c r="AY8" t="s">
        <v>103</v>
      </c>
      <c r="AZ8" t="s">
        <v>103</v>
      </c>
      <c r="BA8" t="s">
        <v>103</v>
      </c>
      <c r="BB8" t="s">
        <v>103</v>
      </c>
      <c r="BC8" t="s">
        <v>103</v>
      </c>
      <c r="BD8" t="s">
        <v>103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 t="s">
        <v>103</v>
      </c>
      <c r="BO8" t="s">
        <v>103</v>
      </c>
      <c r="BP8" t="s">
        <v>103</v>
      </c>
      <c r="BQ8" t="s">
        <v>103</v>
      </c>
      <c r="BR8" t="s">
        <v>103</v>
      </c>
      <c r="BS8" t="s">
        <v>103</v>
      </c>
      <c r="BT8" t="s">
        <v>103</v>
      </c>
      <c r="BU8" t="s">
        <v>103</v>
      </c>
      <c r="BV8" t="s">
        <v>103</v>
      </c>
      <c r="BW8" t="s">
        <v>103</v>
      </c>
      <c r="BX8" t="s">
        <v>103</v>
      </c>
      <c r="BY8" t="s">
        <v>103</v>
      </c>
      <c r="BZ8" t="s">
        <v>103</v>
      </c>
      <c r="CA8" t="s">
        <v>103</v>
      </c>
      <c r="CB8" t="s">
        <v>103</v>
      </c>
      <c r="CC8" t="s">
        <v>103</v>
      </c>
      <c r="CD8" t="s">
        <v>103</v>
      </c>
      <c r="CE8" t="s">
        <v>103</v>
      </c>
      <c r="CF8" t="s">
        <v>103</v>
      </c>
      <c r="CG8" t="s">
        <v>103</v>
      </c>
      <c r="CH8" t="s">
        <v>103</v>
      </c>
      <c r="CI8" t="s">
        <v>103</v>
      </c>
      <c r="CJ8" t="s">
        <v>103</v>
      </c>
      <c r="CK8" t="s">
        <v>103</v>
      </c>
      <c r="CL8" t="s">
        <v>103</v>
      </c>
      <c r="CM8" t="s">
        <v>103</v>
      </c>
      <c r="CN8" t="s">
        <v>103</v>
      </c>
      <c r="CO8" t="s">
        <v>103</v>
      </c>
      <c r="CP8" t="s">
        <v>103</v>
      </c>
      <c r="CQ8" t="s">
        <v>103</v>
      </c>
      <c r="CR8" t="s">
        <v>103</v>
      </c>
      <c r="CS8" t="s">
        <v>103</v>
      </c>
      <c r="CT8" t="s">
        <v>103</v>
      </c>
      <c r="CU8" t="s">
        <v>103</v>
      </c>
      <c r="CV8" t="s">
        <v>103</v>
      </c>
      <c r="CW8" t="s">
        <v>103</v>
      </c>
      <c r="CX8" t="s">
        <v>103</v>
      </c>
      <c r="CY8" t="s">
        <v>103</v>
      </c>
      <c r="CZ8" t="s">
        <v>103</v>
      </c>
      <c r="DA8" t="s">
        <v>103</v>
      </c>
      <c r="DB8" t="s">
        <v>103</v>
      </c>
      <c r="DC8" t="s">
        <v>103</v>
      </c>
      <c r="DD8" t="s">
        <v>103</v>
      </c>
      <c r="DE8" t="s">
        <v>103</v>
      </c>
      <c r="DF8" t="s">
        <v>103</v>
      </c>
      <c r="DG8" t="s">
        <v>103</v>
      </c>
      <c r="DH8" t="s">
        <v>103</v>
      </c>
      <c r="DI8" t="s">
        <v>103</v>
      </c>
      <c r="DJ8" t="s">
        <v>103</v>
      </c>
      <c r="DK8" t="s">
        <v>103</v>
      </c>
      <c r="DL8" t="s">
        <v>103</v>
      </c>
      <c r="DM8" t="s">
        <v>103</v>
      </c>
      <c r="DN8" t="s">
        <v>103</v>
      </c>
      <c r="DO8" t="s">
        <v>103</v>
      </c>
      <c r="DP8" t="s">
        <v>103</v>
      </c>
      <c r="DQ8" t="s">
        <v>103</v>
      </c>
      <c r="DR8" t="s">
        <v>103</v>
      </c>
      <c r="DS8" t="s">
        <v>103</v>
      </c>
      <c r="DT8" t="s">
        <v>103</v>
      </c>
      <c r="DU8" t="s">
        <v>103</v>
      </c>
      <c r="DV8" t="s">
        <v>103</v>
      </c>
      <c r="DW8" t="s">
        <v>103</v>
      </c>
      <c r="DX8" t="s">
        <v>103</v>
      </c>
      <c r="DY8" t="s">
        <v>103</v>
      </c>
      <c r="DZ8" t="s">
        <v>103</v>
      </c>
      <c r="EA8" t="s">
        <v>103</v>
      </c>
      <c r="EB8" t="s">
        <v>103</v>
      </c>
      <c r="EC8" t="s">
        <v>103</v>
      </c>
      <c r="ED8" t="s">
        <v>103</v>
      </c>
      <c r="EE8" t="s">
        <v>103</v>
      </c>
      <c r="EF8" t="s">
        <v>103</v>
      </c>
      <c r="EG8" t="s">
        <v>103</v>
      </c>
      <c r="EH8" t="s">
        <v>103</v>
      </c>
      <c r="EI8" t="s">
        <v>103</v>
      </c>
      <c r="EJ8" t="s">
        <v>103</v>
      </c>
      <c r="EK8" t="s">
        <v>103</v>
      </c>
      <c r="EL8" t="s">
        <v>103</v>
      </c>
      <c r="EM8" t="s">
        <v>103</v>
      </c>
      <c r="EN8" t="s">
        <v>103</v>
      </c>
      <c r="EO8" t="s">
        <v>103</v>
      </c>
      <c r="EP8" t="s">
        <v>103</v>
      </c>
      <c r="EQ8" t="s">
        <v>103</v>
      </c>
      <c r="ER8" t="s">
        <v>103</v>
      </c>
      <c r="ES8" t="s">
        <v>103</v>
      </c>
      <c r="ET8" t="s">
        <v>103</v>
      </c>
      <c r="EU8" t="s">
        <v>103</v>
      </c>
      <c r="EV8" t="s">
        <v>103</v>
      </c>
      <c r="EW8" t="s">
        <v>103</v>
      </c>
      <c r="EX8" t="s">
        <v>103</v>
      </c>
      <c r="EY8" t="s">
        <v>103</v>
      </c>
      <c r="EZ8" t="s">
        <v>103</v>
      </c>
      <c r="FA8" t="s">
        <v>103</v>
      </c>
      <c r="FB8" t="s">
        <v>103</v>
      </c>
      <c r="FC8" t="s">
        <v>103</v>
      </c>
      <c r="FD8" t="s">
        <v>103</v>
      </c>
      <c r="FE8" t="s">
        <v>103</v>
      </c>
      <c r="FF8" t="s">
        <v>103</v>
      </c>
      <c r="FG8" t="s">
        <v>103</v>
      </c>
      <c r="FH8" t="s">
        <v>103</v>
      </c>
      <c r="FI8" t="s">
        <v>103</v>
      </c>
      <c r="FJ8" t="s">
        <v>103</v>
      </c>
      <c r="FK8" t="s">
        <v>103</v>
      </c>
      <c r="FL8" t="s">
        <v>103</v>
      </c>
      <c r="FM8" t="s">
        <v>103</v>
      </c>
      <c r="FN8" t="s">
        <v>103</v>
      </c>
      <c r="FO8" t="s">
        <v>103</v>
      </c>
      <c r="FP8" t="s">
        <v>103</v>
      </c>
      <c r="FQ8" t="s">
        <v>103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 t="s">
        <v>103</v>
      </c>
      <c r="B9" s="8" t="s">
        <v>103</v>
      </c>
      <c r="C9" s="8" t="s">
        <v>103</v>
      </c>
      <c r="D9" s="8" t="s">
        <v>103</v>
      </c>
      <c r="E9" s="8"/>
      <c r="F9" s="8" t="s">
        <v>104</v>
      </c>
      <c r="G9" s="8" t="s">
        <v>103</v>
      </c>
      <c r="H9" s="8" t="s">
        <v>103</v>
      </c>
      <c r="I9" s="8"/>
      <c r="J9" s="8" t="s">
        <v>105</v>
      </c>
      <c r="K9" s="8" t="s">
        <v>103</v>
      </c>
      <c r="L9" s="8" t="s">
        <v>103</v>
      </c>
      <c r="M9" s="8" t="s">
        <v>103</v>
      </c>
      <c r="N9" s="8"/>
      <c r="O9" s="8"/>
      <c r="Q9" t="s">
        <v>117</v>
      </c>
      <c r="R9" t="s">
        <v>103</v>
      </c>
      <c r="S9" t="s">
        <v>103</v>
      </c>
      <c r="U9" t="s">
        <v>107</v>
      </c>
      <c r="W9" t="s">
        <v>103</v>
      </c>
      <c r="X9" t="s">
        <v>103</v>
      </c>
      <c r="Y9" t="s">
        <v>103</v>
      </c>
      <c r="Z9" t="s">
        <v>108</v>
      </c>
      <c r="AB9" t="s">
        <v>54</v>
      </c>
      <c r="AC9" t="s">
        <v>103</v>
      </c>
      <c r="AD9" t="s">
        <v>103</v>
      </c>
      <c r="AE9" t="s">
        <v>103</v>
      </c>
      <c r="AF9" t="s">
        <v>109</v>
      </c>
      <c r="AG9" t="s">
        <v>103</v>
      </c>
      <c r="AH9" t="s">
        <v>103</v>
      </c>
      <c r="AI9" t="s">
        <v>110</v>
      </c>
      <c r="AJ9" t="s">
        <v>110</v>
      </c>
      <c r="AK9" t="s">
        <v>111</v>
      </c>
      <c r="AL9" t="s">
        <v>112</v>
      </c>
      <c r="AM9" t="s">
        <v>103</v>
      </c>
      <c r="AS9" s="9" t="s">
        <v>12</v>
      </c>
      <c r="AT9" t="s">
        <v>103</v>
      </c>
      <c r="AU9" t="s">
        <v>103</v>
      </c>
      <c r="AV9" t="s">
        <v>103</v>
      </c>
      <c r="AW9" t="s">
        <v>103</v>
      </c>
      <c r="AX9" t="s">
        <v>103</v>
      </c>
      <c r="AY9" t="s">
        <v>103</v>
      </c>
      <c r="AZ9" t="s">
        <v>103</v>
      </c>
      <c r="BA9" t="s">
        <v>103</v>
      </c>
      <c r="BB9" t="s">
        <v>103</v>
      </c>
      <c r="BC9" t="s">
        <v>103</v>
      </c>
      <c r="BD9" t="s">
        <v>103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 t="s">
        <v>103</v>
      </c>
      <c r="BN9" t="s">
        <v>103</v>
      </c>
      <c r="BO9" t="s">
        <v>103</v>
      </c>
      <c r="BP9" t="s">
        <v>103</v>
      </c>
      <c r="BQ9" t="s">
        <v>103</v>
      </c>
      <c r="BR9" t="s">
        <v>103</v>
      </c>
      <c r="BS9" t="s">
        <v>103</v>
      </c>
      <c r="BT9" t="s">
        <v>103</v>
      </c>
      <c r="BU9" t="s">
        <v>103</v>
      </c>
      <c r="BV9" t="s">
        <v>103</v>
      </c>
      <c r="BW9" t="s">
        <v>103</v>
      </c>
      <c r="BX9" t="s">
        <v>103</v>
      </c>
      <c r="BY9" t="s">
        <v>103</v>
      </c>
      <c r="BZ9" t="s">
        <v>103</v>
      </c>
      <c r="CA9" t="s">
        <v>103</v>
      </c>
      <c r="CB9" t="s">
        <v>103</v>
      </c>
      <c r="CC9" t="s">
        <v>103</v>
      </c>
      <c r="CD9" t="s">
        <v>103</v>
      </c>
      <c r="CE9" t="s">
        <v>103</v>
      </c>
      <c r="CF9" t="s">
        <v>103</v>
      </c>
      <c r="CG9" t="s">
        <v>103</v>
      </c>
      <c r="CH9" t="s">
        <v>103</v>
      </c>
      <c r="CI9" t="s">
        <v>103</v>
      </c>
      <c r="CJ9" t="s">
        <v>103</v>
      </c>
      <c r="CK9" t="s">
        <v>103</v>
      </c>
      <c r="CL9" t="s">
        <v>103</v>
      </c>
      <c r="CM9" t="s">
        <v>103</v>
      </c>
      <c r="CN9" t="s">
        <v>103</v>
      </c>
      <c r="CO9" t="s">
        <v>103</v>
      </c>
      <c r="CP9" t="s">
        <v>103</v>
      </c>
      <c r="CQ9" t="s">
        <v>103</v>
      </c>
      <c r="CR9" t="s">
        <v>103</v>
      </c>
      <c r="CS9" t="s">
        <v>103</v>
      </c>
      <c r="CT9" t="s">
        <v>103</v>
      </c>
      <c r="CU9" t="s">
        <v>103</v>
      </c>
      <c r="CV9" t="s">
        <v>103</v>
      </c>
      <c r="CW9" t="s">
        <v>103</v>
      </c>
      <c r="CX9" t="s">
        <v>103</v>
      </c>
      <c r="CY9" t="s">
        <v>103</v>
      </c>
      <c r="CZ9" t="s">
        <v>103</v>
      </c>
      <c r="DA9" t="s">
        <v>103</v>
      </c>
      <c r="DB9" t="s">
        <v>103</v>
      </c>
      <c r="DC9" t="s">
        <v>103</v>
      </c>
      <c r="DD9" t="s">
        <v>103</v>
      </c>
      <c r="DE9" t="s">
        <v>103</v>
      </c>
      <c r="DF9" t="s">
        <v>103</v>
      </c>
      <c r="DG9" t="s">
        <v>103</v>
      </c>
      <c r="DH9" t="s">
        <v>103</v>
      </c>
      <c r="DI9" t="s">
        <v>103</v>
      </c>
      <c r="DJ9" t="s">
        <v>103</v>
      </c>
      <c r="DK9" t="s">
        <v>103</v>
      </c>
      <c r="DL9" t="s">
        <v>103</v>
      </c>
      <c r="DM9" t="s">
        <v>103</v>
      </c>
      <c r="DN9" t="s">
        <v>103</v>
      </c>
      <c r="DO9" t="s">
        <v>103</v>
      </c>
      <c r="DP9" t="s">
        <v>103</v>
      </c>
      <c r="DQ9" t="s">
        <v>103</v>
      </c>
      <c r="DR9" t="s">
        <v>103</v>
      </c>
      <c r="DS9" t="s">
        <v>103</v>
      </c>
      <c r="DT9" t="s">
        <v>103</v>
      </c>
      <c r="DU9" t="s">
        <v>103</v>
      </c>
      <c r="DV9" t="s">
        <v>103</v>
      </c>
      <c r="DW9" t="s">
        <v>103</v>
      </c>
      <c r="DX9" t="s">
        <v>103</v>
      </c>
      <c r="DY9" t="s">
        <v>103</v>
      </c>
      <c r="DZ9" t="s">
        <v>103</v>
      </c>
      <c r="EA9" t="s">
        <v>103</v>
      </c>
      <c r="EB9" t="s">
        <v>103</v>
      </c>
      <c r="EC9" t="s">
        <v>103</v>
      </c>
      <c r="ED9" t="s">
        <v>103</v>
      </c>
      <c r="EE9" t="s">
        <v>103</v>
      </c>
      <c r="EF9" t="s">
        <v>103</v>
      </c>
      <c r="EG9" t="s">
        <v>103</v>
      </c>
      <c r="EH9" t="s">
        <v>103</v>
      </c>
      <c r="EI9" t="s">
        <v>103</v>
      </c>
      <c r="EJ9" t="s">
        <v>103</v>
      </c>
      <c r="EK9" t="s">
        <v>103</v>
      </c>
      <c r="EL9" t="s">
        <v>103</v>
      </c>
      <c r="EM9" t="s">
        <v>103</v>
      </c>
      <c r="EN9" t="s">
        <v>103</v>
      </c>
      <c r="EO9" t="s">
        <v>103</v>
      </c>
      <c r="EP9" t="s">
        <v>103</v>
      </c>
      <c r="EQ9" t="s">
        <v>103</v>
      </c>
      <c r="ER9" t="s">
        <v>103</v>
      </c>
      <c r="ES9" t="s">
        <v>103</v>
      </c>
      <c r="ET9" t="s">
        <v>103</v>
      </c>
      <c r="EU9" t="s">
        <v>103</v>
      </c>
      <c r="EV9" t="s">
        <v>103</v>
      </c>
      <c r="EW9" t="s">
        <v>103</v>
      </c>
      <c r="EX9" t="s">
        <v>103</v>
      </c>
      <c r="EY9" t="s">
        <v>103</v>
      </c>
      <c r="EZ9" t="s">
        <v>103</v>
      </c>
      <c r="FA9" t="s">
        <v>103</v>
      </c>
      <c r="FB9" t="s">
        <v>103</v>
      </c>
      <c r="FC9" t="s">
        <v>103</v>
      </c>
      <c r="FD9" t="s">
        <v>103</v>
      </c>
      <c r="FE9" t="s">
        <v>103</v>
      </c>
      <c r="FF9" t="s">
        <v>103</v>
      </c>
      <c r="FG9" t="s">
        <v>103</v>
      </c>
      <c r="FH9" t="s">
        <v>103</v>
      </c>
      <c r="FI9" t="s">
        <v>103</v>
      </c>
      <c r="FJ9" t="s">
        <v>103</v>
      </c>
      <c r="FK9" t="s">
        <v>103</v>
      </c>
      <c r="FL9" t="s">
        <v>103</v>
      </c>
      <c r="FM9" t="s">
        <v>103</v>
      </c>
      <c r="FN9" t="s">
        <v>103</v>
      </c>
      <c r="FO9" t="s">
        <v>103</v>
      </c>
      <c r="FP9" t="s">
        <v>103</v>
      </c>
      <c r="FQ9" t="s">
        <v>103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 t="s">
        <v>103</v>
      </c>
      <c r="B10" s="8" t="s">
        <v>103</v>
      </c>
      <c r="C10" s="8" t="s">
        <v>103</v>
      </c>
      <c r="D10" s="8" t="s">
        <v>103</v>
      </c>
      <c r="E10" s="8"/>
      <c r="F10" s="8" t="s">
        <v>118</v>
      </c>
      <c r="G10" s="8" t="s">
        <v>103</v>
      </c>
      <c r="H10" s="8" t="s">
        <v>103</v>
      </c>
      <c r="I10" s="8"/>
      <c r="J10" s="8" t="s">
        <v>105</v>
      </c>
      <c r="K10" s="8" t="s">
        <v>103</v>
      </c>
      <c r="L10" s="8" t="s">
        <v>103</v>
      </c>
      <c r="M10" s="8" t="s">
        <v>103</v>
      </c>
      <c r="N10" s="8"/>
      <c r="O10" s="8"/>
      <c r="R10" t="s">
        <v>103</v>
      </c>
      <c r="S10" t="s">
        <v>103</v>
      </c>
      <c r="U10" t="s">
        <v>107</v>
      </c>
      <c r="W10" t="s">
        <v>103</v>
      </c>
      <c r="X10" t="s">
        <v>103</v>
      </c>
      <c r="Y10" t="s">
        <v>103</v>
      </c>
      <c r="Z10" t="s">
        <v>119</v>
      </c>
      <c r="AB10" t="s">
        <v>55</v>
      </c>
      <c r="AC10" t="s">
        <v>103</v>
      </c>
      <c r="AD10" t="s">
        <v>103</v>
      </c>
      <c r="AE10" t="s">
        <v>103</v>
      </c>
      <c r="AF10" t="s">
        <v>120</v>
      </c>
      <c r="AG10" t="s">
        <v>103</v>
      </c>
      <c r="AH10" t="s">
        <v>103</v>
      </c>
      <c r="AI10" t="s">
        <v>110</v>
      </c>
      <c r="AJ10" t="s">
        <v>110</v>
      </c>
      <c r="AK10" t="s">
        <v>111</v>
      </c>
      <c r="AL10" t="s">
        <v>112</v>
      </c>
      <c r="AM10" t="s">
        <v>103</v>
      </c>
      <c r="AS10" s="9" t="s">
        <v>12</v>
      </c>
      <c r="AT10" t="s">
        <v>103</v>
      </c>
      <c r="AU10" t="s">
        <v>103</v>
      </c>
      <c r="AV10" t="s">
        <v>103</v>
      </c>
      <c r="AW10" t="s">
        <v>103</v>
      </c>
      <c r="AX10" t="s">
        <v>103</v>
      </c>
      <c r="AY10" t="s">
        <v>103</v>
      </c>
      <c r="AZ10" t="s">
        <v>103</v>
      </c>
      <c r="BA10" t="s">
        <v>103</v>
      </c>
      <c r="BB10" t="s">
        <v>103</v>
      </c>
      <c r="BC10" t="s">
        <v>103</v>
      </c>
      <c r="BD10" t="s">
        <v>103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 t="s">
        <v>103</v>
      </c>
      <c r="BO10" t="s">
        <v>103</v>
      </c>
      <c r="BP10" t="s">
        <v>103</v>
      </c>
      <c r="BQ10" t="s">
        <v>103</v>
      </c>
      <c r="BR10" t="s">
        <v>103</v>
      </c>
      <c r="BS10" t="s">
        <v>103</v>
      </c>
      <c r="BT10" t="s">
        <v>103</v>
      </c>
      <c r="BU10" t="s">
        <v>103</v>
      </c>
      <c r="BV10" t="s">
        <v>103</v>
      </c>
      <c r="BW10" t="s">
        <v>103</v>
      </c>
      <c r="BX10" t="s">
        <v>103</v>
      </c>
      <c r="BY10" t="s">
        <v>103</v>
      </c>
      <c r="BZ10" t="s">
        <v>103</v>
      </c>
      <c r="CA10" t="s">
        <v>103</v>
      </c>
      <c r="CB10" t="s">
        <v>103</v>
      </c>
      <c r="CC10" t="s">
        <v>103</v>
      </c>
      <c r="CD10" t="s">
        <v>103</v>
      </c>
      <c r="CE10" t="s">
        <v>103</v>
      </c>
      <c r="CF10" t="s">
        <v>103</v>
      </c>
      <c r="CG10" t="s">
        <v>103</v>
      </c>
      <c r="CH10" t="s">
        <v>103</v>
      </c>
      <c r="CI10" t="s">
        <v>103</v>
      </c>
      <c r="CJ10" t="s">
        <v>103</v>
      </c>
      <c r="CK10" t="s">
        <v>103</v>
      </c>
      <c r="CL10" t="s">
        <v>103</v>
      </c>
      <c r="CM10" t="s">
        <v>103</v>
      </c>
      <c r="CN10" t="s">
        <v>103</v>
      </c>
      <c r="CO10" t="s">
        <v>103</v>
      </c>
      <c r="CP10" t="s">
        <v>103</v>
      </c>
      <c r="CQ10" t="s">
        <v>103</v>
      </c>
      <c r="CR10" t="s">
        <v>103</v>
      </c>
      <c r="CS10" t="s">
        <v>103</v>
      </c>
      <c r="CT10" t="s">
        <v>103</v>
      </c>
      <c r="CU10" t="s">
        <v>103</v>
      </c>
      <c r="CV10" t="s">
        <v>103</v>
      </c>
      <c r="CW10" t="s">
        <v>103</v>
      </c>
      <c r="CX10" t="s">
        <v>103</v>
      </c>
      <c r="CY10" t="s">
        <v>103</v>
      </c>
      <c r="CZ10" t="s">
        <v>103</v>
      </c>
      <c r="DA10" t="s">
        <v>103</v>
      </c>
      <c r="DB10" t="s">
        <v>103</v>
      </c>
      <c r="DC10" t="s">
        <v>103</v>
      </c>
      <c r="DD10" t="s">
        <v>103</v>
      </c>
      <c r="DE10" t="s">
        <v>103</v>
      </c>
      <c r="DF10" t="s">
        <v>103</v>
      </c>
      <c r="DG10" t="s">
        <v>103</v>
      </c>
      <c r="DH10" t="s">
        <v>103</v>
      </c>
      <c r="DI10" t="s">
        <v>103</v>
      </c>
      <c r="DJ10" t="s">
        <v>103</v>
      </c>
      <c r="DK10" t="s">
        <v>103</v>
      </c>
      <c r="DL10" t="s">
        <v>103</v>
      </c>
      <c r="DM10" t="s">
        <v>103</v>
      </c>
      <c r="DN10" t="s">
        <v>103</v>
      </c>
      <c r="DO10" t="s">
        <v>103</v>
      </c>
      <c r="DP10" t="s">
        <v>103</v>
      </c>
      <c r="DQ10" t="s">
        <v>103</v>
      </c>
      <c r="DR10" t="s">
        <v>103</v>
      </c>
      <c r="DS10" t="s">
        <v>103</v>
      </c>
      <c r="DT10" t="s">
        <v>103</v>
      </c>
      <c r="DU10" t="s">
        <v>103</v>
      </c>
      <c r="DV10" t="s">
        <v>103</v>
      </c>
      <c r="DW10" t="s">
        <v>103</v>
      </c>
      <c r="DX10" t="s">
        <v>103</v>
      </c>
      <c r="DY10" t="s">
        <v>103</v>
      </c>
      <c r="DZ10" t="s">
        <v>103</v>
      </c>
      <c r="EA10" t="s">
        <v>103</v>
      </c>
      <c r="EB10" t="s">
        <v>103</v>
      </c>
      <c r="EC10" t="s">
        <v>103</v>
      </c>
      <c r="ED10" t="s">
        <v>103</v>
      </c>
      <c r="EE10" t="s">
        <v>103</v>
      </c>
      <c r="EF10" t="s">
        <v>103</v>
      </c>
      <c r="EG10" t="s">
        <v>103</v>
      </c>
      <c r="EH10" t="s">
        <v>103</v>
      </c>
      <c r="EI10" t="s">
        <v>103</v>
      </c>
      <c r="EJ10" t="s">
        <v>103</v>
      </c>
      <c r="EK10" t="s">
        <v>103</v>
      </c>
      <c r="EL10" t="s">
        <v>103</v>
      </c>
      <c r="EM10" t="s">
        <v>103</v>
      </c>
      <c r="EN10" t="s">
        <v>103</v>
      </c>
      <c r="EO10" t="s">
        <v>103</v>
      </c>
      <c r="EP10" t="s">
        <v>103</v>
      </c>
      <c r="EQ10" t="s">
        <v>103</v>
      </c>
      <c r="ER10" t="s">
        <v>103</v>
      </c>
      <c r="ES10" t="s">
        <v>103</v>
      </c>
      <c r="ET10" t="s">
        <v>103</v>
      </c>
      <c r="EU10" t="s">
        <v>103</v>
      </c>
      <c r="EV10" t="s">
        <v>103</v>
      </c>
      <c r="EW10" t="s">
        <v>103</v>
      </c>
      <c r="EX10" t="s">
        <v>103</v>
      </c>
      <c r="EY10" t="s">
        <v>103</v>
      </c>
      <c r="EZ10" t="s">
        <v>103</v>
      </c>
      <c r="FA10" t="s">
        <v>103</v>
      </c>
      <c r="FB10" t="s">
        <v>103</v>
      </c>
      <c r="FC10" t="s">
        <v>103</v>
      </c>
      <c r="FD10" t="s">
        <v>103</v>
      </c>
      <c r="FE10" t="s">
        <v>103</v>
      </c>
      <c r="FF10" t="s">
        <v>103</v>
      </c>
      <c r="FG10" t="s">
        <v>103</v>
      </c>
      <c r="FH10" t="s">
        <v>103</v>
      </c>
      <c r="FI10" t="s">
        <v>103</v>
      </c>
      <c r="FJ10" t="s">
        <v>103</v>
      </c>
      <c r="FK10" t="s">
        <v>103</v>
      </c>
      <c r="FL10" t="s">
        <v>103</v>
      </c>
      <c r="FM10" t="s">
        <v>103</v>
      </c>
      <c r="FN10" t="s">
        <v>103</v>
      </c>
      <c r="FO10" t="s">
        <v>103</v>
      </c>
      <c r="FP10" t="s">
        <v>103</v>
      </c>
      <c r="FQ10" t="s">
        <v>103</v>
      </c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  <c r="AML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121</v>
      </c>
      <c r="D3" s="5" t="s">
        <v>9</v>
      </c>
      <c r="E3" s="23" t="s">
        <v>122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IFERROR(__xludf.DUMMYFUNCTION("""COMPUTED_VALUE"""),"FromDate")</f>
        <v>FromDate</v>
      </c>
      <c r="C5" s="32" t="str">
        <f>IFERROR(__xludf.DUMMYFUNCTION("""COMPUTED_VALUE"""),"ToDate")</f>
        <v>ToDate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41">
        <f>TODAY()-1</f>
        <v>45826</v>
      </c>
      <c r="C6" s="42">
        <f>TODAY()</f>
        <v>45827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121</v>
      </c>
      <c r="D3" s="5" t="s">
        <v>9</v>
      </c>
      <c r="E3" s="23" t="s">
        <v>123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IFERROR(__xludf.DUMMYFUNCTION("""COMPUTED_VALUE"""),"Action Time (UTC)")</f>
        <v>Action Time (UTC)</v>
      </c>
      <c r="C5" s="32" t="str">
        <f>IFERROR(__xludf.DUMMYFUNCTION("""COMPUTED_VALUE"""),"Symbol")</f>
        <v>Symbol</v>
      </c>
      <c r="D5" s="32" t="str">
        <f>IFERROR(__xludf.DUMMYFUNCTION("""COMPUTED_VALUE"""),"Order Side")</f>
        <v>Order Side</v>
      </c>
      <c r="E5" s="32" t="str">
        <f>IFERROR(__xludf.DUMMYFUNCTION("""COMPUTED_VALUE"""),"Account Name")</f>
        <v>Account Name</v>
      </c>
      <c r="F5" s="33" t="str">
        <f>IFERROR(__xludf.DUMMYFUNCTION("""COMPUTED_VALUE"""),"Action")</f>
        <v>Action</v>
      </c>
      <c r="G5" s="32" t="str">
        <f>IFERROR(__xludf.DUMMYFUNCTION("""COMPUTED_VALUE"""),"Original Value")</f>
        <v>Original Value</v>
      </c>
      <c r="H5" s="32" t="str">
        <f>IFERROR(__xludf.DUMMYFUNCTION("""COMPUTED_VALUE"""),"New Value")</f>
        <v>New Value</v>
      </c>
      <c r="I5" s="32" t="str">
        <f>IFERROR(__xludf.DUMMYFUNCTION("""COMPUTED_VALUE"""),"Comment")</f>
        <v>Comment</v>
      </c>
      <c r="J5" s="32" t="str">
        <f>IFERROR(__xludf.DUMMYFUNCTION("""COMPUTED_VALUE"""),"Company User")</f>
        <v>Company User</v>
      </c>
      <c r="K5" s="32" t="str">
        <f>IFERROR(__xludf.DUMMYFUNCTION("""COMPUTED_VALUE"""),"TaxlotId")</f>
        <v>TaxlotId</v>
      </c>
      <c r="L5" s="32" t="str">
        <f>IFERROR(__xludf.DUMMYFUNCTION("""COMPUTED_VALUE"""),"GroupId")</f>
        <v>GroupId</v>
      </c>
      <c r="M5" s="32" t="str">
        <f>IFERROR(__xludf.DUMMYFUNCTION("""COMPUTED_VALUE"""),"Action Time")</f>
        <v>Action Time</v>
      </c>
      <c r="N5" s="32" t="str">
        <f>IFERROR(__xludf.DUMMYFUNCTION("""COMPUTED_VALUE"""),"ParentOrderId")</f>
        <v>ParentOrderId</v>
      </c>
      <c r="O5" s="32" t="str">
        <f>IFERROR(__xludf.DUMMYFUNCTION("""COMPUTED_VALUE"""),"OrderId")</f>
        <v>OrderId</v>
      </c>
      <c r="P5" s="32" t="str">
        <f>IFERROR(__xludf.DUMMYFUNCTION("""COMPUTED_VALUE"""),"Source")</f>
        <v>Source</v>
      </c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8"/>
      <c r="B6" s="8"/>
      <c r="C6" s="43" t="s">
        <v>49</v>
      </c>
      <c r="D6" s="43" t="s">
        <v>108</v>
      </c>
      <c r="E6" s="43" t="s">
        <v>107</v>
      </c>
      <c r="F6" s="43" t="s">
        <v>124</v>
      </c>
      <c r="G6" s="43"/>
      <c r="H6" s="44"/>
      <c r="I6" s="43"/>
      <c r="J6" s="43" t="s">
        <v>110</v>
      </c>
      <c r="K6" s="8"/>
      <c r="L6" s="8"/>
      <c r="M6" s="8"/>
      <c r="N6" s="8"/>
      <c r="O6" s="8"/>
      <c r="P6" s="43" t="s">
        <v>125</v>
      </c>
    </row>
    <row r="7" ht="15.75" customHeight="1">
      <c r="C7" s="43" t="s">
        <v>53</v>
      </c>
      <c r="D7" s="43" t="s">
        <v>108</v>
      </c>
      <c r="E7" s="43" t="s">
        <v>107</v>
      </c>
      <c r="F7" s="43" t="s">
        <v>126</v>
      </c>
      <c r="G7" s="44"/>
      <c r="H7" s="44"/>
      <c r="I7" s="43"/>
      <c r="J7" s="43" t="s">
        <v>110</v>
      </c>
      <c r="P7" s="43" t="s">
        <v>125</v>
      </c>
    </row>
    <row r="8" ht="15.75" customHeight="1">
      <c r="C8" s="45" t="s">
        <v>53</v>
      </c>
      <c r="D8" s="45" t="s">
        <v>108</v>
      </c>
      <c r="E8" s="45" t="s">
        <v>107</v>
      </c>
      <c r="F8" s="45" t="s">
        <v>127</v>
      </c>
      <c r="G8" s="46"/>
      <c r="H8" s="46"/>
      <c r="I8" s="45"/>
      <c r="J8" s="45" t="s">
        <v>110</v>
      </c>
      <c r="P8" s="45" t="s">
        <v>56</v>
      </c>
    </row>
    <row r="9" ht="15.75" customHeight="1">
      <c r="C9" s="43" t="s">
        <v>54</v>
      </c>
      <c r="D9" s="43" t="s">
        <v>108</v>
      </c>
      <c r="E9" s="43" t="s">
        <v>107</v>
      </c>
      <c r="F9" s="43" t="s">
        <v>128</v>
      </c>
      <c r="G9" s="44"/>
      <c r="H9" s="44"/>
      <c r="I9" s="43"/>
      <c r="J9" s="43" t="s">
        <v>110</v>
      </c>
      <c r="P9" s="43" t="s">
        <v>56</v>
      </c>
    </row>
    <row r="10" ht="15.75" customHeight="1">
      <c r="C10" s="45" t="s">
        <v>54</v>
      </c>
      <c r="D10" s="45" t="s">
        <v>108</v>
      </c>
      <c r="E10" s="45" t="s">
        <v>107</v>
      </c>
      <c r="F10" s="45" t="s">
        <v>124</v>
      </c>
      <c r="G10" s="45"/>
      <c r="H10" s="46"/>
      <c r="I10" s="45"/>
      <c r="J10" s="45" t="s">
        <v>110</v>
      </c>
      <c r="P10" s="45" t="s">
        <v>125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129</v>
      </c>
      <c r="D3" s="5" t="s">
        <v>9</v>
      </c>
      <c r="E3" s="23" t="s">
        <v>130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 Name")</f>
        <v>Account Name</v>
      </c>
      <c r="C5" s="32" t="str">
        <f>IFERROR(__xludf.DUMMYFUNCTION("""COMPUTED_VALUE"""),"Accrual Basis")</f>
        <v>Accrual Basis</v>
      </c>
      <c r="D5" s="32" t="str">
        <f>IFERROR(__xludf.DUMMYFUNCTION("""COMPUTED_VALUE"""),"Accrued Interest")</f>
        <v>Accrued Interest</v>
      </c>
      <c r="E5" s="32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2" t="str">
        <f>IFERROR(__xludf.DUMMYFUNCTION("""COMPUTED_VALUE"""),"Asset Category")</f>
        <v>Asset Category</v>
      </c>
      <c r="H5" s="32" t="str">
        <f>IFERROR(__xludf.DUMMYFUNCTION("""COMPUTED_VALUE"""),"AUEC Fee1")</f>
        <v>AUEC Fee1</v>
      </c>
      <c r="I5" s="32" t="str">
        <f>IFERROR(__xludf.DUMMYFUNCTION("""COMPUTED_VALUE"""),"AUEC Fee2")</f>
        <v>AUEC Fee2</v>
      </c>
      <c r="J5" s="32" t="str">
        <f>IFERROR(__xludf.DUMMYFUNCTION("""COMPUTED_VALUE"""),"AUECID")</f>
        <v>AUECID</v>
      </c>
      <c r="K5" s="32" t="str">
        <f>IFERROR(__xludf.DUMMYFUNCTION("""COMPUTED_VALUE"""),"Avg Price(Base)")</f>
        <v>Avg Price(Base)</v>
      </c>
      <c r="L5" s="32" t="str">
        <f>IFERROR(__xludf.DUMMYFUNCTION("""COMPUTED_VALUE"""),"Avg Price(Local)")</f>
        <v>Avg Price(Local)</v>
      </c>
      <c r="M5" s="32" t="str">
        <f>IFERROR(__xludf.DUMMYFUNCTION("""COMPUTED_VALUE"""),"Bloomberg")</f>
        <v>Bloomberg</v>
      </c>
      <c r="N5" s="32" t="str">
        <f>IFERROR(__xludf.DUMMYFUNCTION("""COMPUTED_VALUE"""),"Bond Type")</f>
        <v>Bond Type</v>
      </c>
      <c r="O5" s="32" t="str">
        <f>IFERROR(__xludf.DUMMYFUNCTION("""COMPUTED_VALUE"""),"Broker")</f>
        <v>Broker</v>
      </c>
      <c r="P5" s="32" t="str">
        <f>IFERROR(__xludf.DUMMYFUNCTION("""COMPUTED_VALUE"""),"Change Comment")</f>
        <v>Change Comment</v>
      </c>
      <c r="Q5" s="32" t="str">
        <f>IFERROR(__xludf.DUMMYFUNCTION("""COMPUTED_VALUE"""),"Change Type")</f>
        <v>Change Type</v>
      </c>
      <c r="R5" s="32" t="str">
        <f>IFERROR(__xludf.DUMMYFUNCTION("""COMPUTED_VALUE"""),"Clearing Broker Fee")</f>
        <v>Clearing Broker Fee</v>
      </c>
      <c r="S5" s="32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 Group")</f>
        <v>IsManual 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34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IFERROR(__xludf.DUMMYFUNCTION("""COMPUTED_VALUE"""),"Client")</f>
        <v>Client</v>
      </c>
      <c r="CT5" s="34" t="str">
        <f>IFERROR(__xludf.DUMMYFUNCTION("""COMPUTED_VALUE"""),"Borrow Broker")</f>
        <v>Borrow Broker</v>
      </c>
      <c r="CU5" s="34" t="str">
        <f>IFERROR(__xludf.DUMMYFUNCTION("""COMPUTED_VALUE"""),"ACTIV Symbol")</f>
        <v>ACTIV Symbol</v>
      </c>
      <c r="CV5" s="34" t="str">
        <f>IFERROR(__xludf.DUMMYFUNCTION("""COMPUTED_VALUE"""),"Borrower Id")</f>
        <v>Borrower Id</v>
      </c>
      <c r="CW5" s="34" t="str">
        <f>IFERROR(__xludf.DUMMYFUNCTION("""COMPUTED_VALUE"""),"Borrow Rate(%)")</f>
        <v>Borrow Rate(%)</v>
      </c>
      <c r="CX5" s="34" t="str">
        <f>IFERROR(__xludf.DUMMYFUNCTION("""COMPUTED_VALUE"""),"Master Fund")</f>
        <v>Master Fund</v>
      </c>
      <c r="CY5" s="34" t="str">
        <f>IFERROR(__xludf.DUMMYFUNCTION("""COMPUTED_VALUE"""),"MandatoryColumn")</f>
        <v>MandatoryColumn</v>
      </c>
      <c r="CZ5" s="34" t="str">
        <f>IFERROR(__xludf.DUMMYFUNCTION("""COMPUTED_VALUE"""),"Testing Type")</f>
        <v>Testing Type</v>
      </c>
      <c r="DA5" s="34" t="str">
        <f>IFERROR(__xludf.DUMMYFUNCTION("""COMPUTED_VALUE"""),"Testing Column")</f>
        <v>Testing Column</v>
      </c>
      <c r="DB5" s="34" t="str">
        <f>IFERROR(__xludf.DUMMYFUNCTION("""COMPUTED_VALUE"""),"Testing Col Value")</f>
        <v>Testing Col Value</v>
      </c>
      <c r="DC5" s="34" t="str">
        <f>IFERROR(__xludf.DUMMYFUNCTION("""COMPUTED_VALUE"""),"DuplicateRow")</f>
        <v>DuplicateRow</v>
      </c>
      <c r="DD5" s="34" t="str">
        <f>IFERROR(__xludf.DUMMYFUNCTION("""COMPUTED_VALUE"""),"DuplicateCountOnUI")</f>
        <v>DuplicateCountOnUI</v>
      </c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</row>
    <row r="6" ht="15.75" customHeight="1">
      <c r="A6" s="39" t="s">
        <v>103</v>
      </c>
      <c r="B6" s="39" t="s">
        <v>107</v>
      </c>
      <c r="C6" s="8" t="s">
        <v>131</v>
      </c>
      <c r="D6" s="39">
        <v>0.0</v>
      </c>
      <c r="E6" s="8">
        <v>100.0</v>
      </c>
      <c r="F6" s="8" t="s">
        <v>105</v>
      </c>
      <c r="G6" s="8" t="s">
        <v>115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114</v>
      </c>
      <c r="N6" s="8" t="s">
        <v>132</v>
      </c>
      <c r="O6" s="8" t="s">
        <v>111</v>
      </c>
      <c r="Q6">
        <v>3.0</v>
      </c>
      <c r="R6">
        <v>0.0</v>
      </c>
      <c r="S6" t="s">
        <v>133</v>
      </c>
      <c r="T6">
        <v>0.0</v>
      </c>
      <c r="U6">
        <v>0.0</v>
      </c>
      <c r="V6" t="s">
        <v>134</v>
      </c>
      <c r="W6">
        <v>1.0</v>
      </c>
      <c r="X6">
        <v>0.0</v>
      </c>
      <c r="Y6" t="s">
        <v>103</v>
      </c>
      <c r="Z6" t="s">
        <v>135</v>
      </c>
      <c r="AB6">
        <v>1.0</v>
      </c>
      <c r="AD6" t="s">
        <v>112</v>
      </c>
      <c r="AE6">
        <v>100.0</v>
      </c>
      <c r="AF6" t="s">
        <v>103</v>
      </c>
      <c r="AH6" t="s">
        <v>136</v>
      </c>
      <c r="AI6">
        <v>1.0</v>
      </c>
      <c r="AJ6" t="s">
        <v>137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138</v>
      </c>
      <c r="AZ6">
        <v>0.0</v>
      </c>
      <c r="BC6">
        <v>0.0</v>
      </c>
      <c r="BD6" t="s">
        <v>139</v>
      </c>
      <c r="BE6">
        <v>1000.0</v>
      </c>
      <c r="BF6">
        <v>1000.0</v>
      </c>
      <c r="BJ6">
        <v>100.0</v>
      </c>
      <c r="BK6">
        <v>0.0</v>
      </c>
      <c r="BL6" t="s">
        <v>103</v>
      </c>
      <c r="BM6" t="s">
        <v>135</v>
      </c>
      <c r="BO6" t="s">
        <v>108</v>
      </c>
      <c r="BP6">
        <v>0.0</v>
      </c>
      <c r="BQ6">
        <v>0.0</v>
      </c>
      <c r="BR6">
        <v>6.0E-4</v>
      </c>
      <c r="BS6" t="s">
        <v>140</v>
      </c>
      <c r="BT6" t="s">
        <v>51</v>
      </c>
      <c r="BU6">
        <v>3.0</v>
      </c>
      <c r="BV6">
        <v>0.0</v>
      </c>
      <c r="BW6">
        <v>14.0006</v>
      </c>
      <c r="BX6">
        <v>0.0</v>
      </c>
      <c r="CF6" t="s">
        <v>141</v>
      </c>
      <c r="CG6">
        <v>2.0</v>
      </c>
      <c r="CH6" t="s">
        <v>12</v>
      </c>
      <c r="CI6" t="s">
        <v>108</v>
      </c>
      <c r="CJ6">
        <v>0.0</v>
      </c>
      <c r="CK6" t="s">
        <v>142</v>
      </c>
      <c r="CL6">
        <v>1.0</v>
      </c>
      <c r="CM6" t="s">
        <v>51</v>
      </c>
      <c r="CN6" t="s">
        <v>110</v>
      </c>
      <c r="CO6" t="s">
        <v>112</v>
      </c>
      <c r="CP6" t="s">
        <v>143</v>
      </c>
      <c r="CS6" t="s">
        <v>103</v>
      </c>
      <c r="CW6">
        <v>0.0</v>
      </c>
      <c r="CX6" t="s">
        <v>144</v>
      </c>
      <c r="CY6" t="s">
        <v>103</v>
      </c>
      <c r="CZ6" t="s">
        <v>103</v>
      </c>
      <c r="DA6" t="s">
        <v>103</v>
      </c>
      <c r="DB6" t="s">
        <v>103</v>
      </c>
      <c r="DC6" t="s">
        <v>103</v>
      </c>
      <c r="DD6" t="s">
        <v>103</v>
      </c>
      <c r="DE6" t="s">
        <v>103</v>
      </c>
      <c r="DF6" t="s">
        <v>103</v>
      </c>
      <c r="DG6" t="s">
        <v>103</v>
      </c>
      <c r="DH6" t="s">
        <v>103</v>
      </c>
      <c r="DI6" t="s">
        <v>103</v>
      </c>
      <c r="DJ6" t="s">
        <v>103</v>
      </c>
      <c r="DK6" t="s">
        <v>103</v>
      </c>
      <c r="DL6" t="s">
        <v>103</v>
      </c>
      <c r="DM6" t="s">
        <v>103</v>
      </c>
      <c r="DN6" t="s">
        <v>103</v>
      </c>
      <c r="DO6" t="s">
        <v>103</v>
      </c>
      <c r="DP6" t="s">
        <v>103</v>
      </c>
      <c r="DQ6" t="s">
        <v>103</v>
      </c>
      <c r="DR6" t="s">
        <v>103</v>
      </c>
      <c r="DS6" t="s">
        <v>103</v>
      </c>
      <c r="DT6" t="s">
        <v>103</v>
      </c>
      <c r="DU6" t="s">
        <v>103</v>
      </c>
      <c r="DV6" t="s">
        <v>103</v>
      </c>
      <c r="DW6" t="s">
        <v>103</v>
      </c>
      <c r="DX6" t="s">
        <v>103</v>
      </c>
      <c r="DY6" t="s">
        <v>103</v>
      </c>
      <c r="DZ6" t="s">
        <v>103</v>
      </c>
      <c r="EA6" t="s">
        <v>103</v>
      </c>
      <c r="EB6" t="s">
        <v>103</v>
      </c>
      <c r="EC6" t="s">
        <v>103</v>
      </c>
      <c r="ED6" t="s">
        <v>103</v>
      </c>
      <c r="EE6" t="s">
        <v>103</v>
      </c>
      <c r="EF6" t="s">
        <v>103</v>
      </c>
      <c r="EG6" t="s">
        <v>103</v>
      </c>
      <c r="EH6" t="s">
        <v>103</v>
      </c>
      <c r="EI6" t="s">
        <v>103</v>
      </c>
      <c r="EJ6" t="s">
        <v>103</v>
      </c>
      <c r="EK6" t="s">
        <v>103</v>
      </c>
      <c r="EL6" t="s">
        <v>103</v>
      </c>
      <c r="EM6" t="s">
        <v>103</v>
      </c>
      <c r="EN6" t="s">
        <v>103</v>
      </c>
      <c r="EO6" t="s">
        <v>103</v>
      </c>
      <c r="EP6" t="s">
        <v>103</v>
      </c>
      <c r="EQ6" t="s">
        <v>103</v>
      </c>
      <c r="ER6" t="s">
        <v>103</v>
      </c>
      <c r="ES6" t="s">
        <v>103</v>
      </c>
      <c r="ET6" t="s">
        <v>103</v>
      </c>
      <c r="EU6" t="s">
        <v>103</v>
      </c>
      <c r="EV6" t="s">
        <v>103</v>
      </c>
      <c r="EW6" t="s">
        <v>103</v>
      </c>
      <c r="EX6" t="s">
        <v>103</v>
      </c>
      <c r="EY6" t="s">
        <v>103</v>
      </c>
      <c r="EZ6" t="s">
        <v>103</v>
      </c>
      <c r="FA6" t="s">
        <v>103</v>
      </c>
      <c r="FB6" t="s">
        <v>103</v>
      </c>
      <c r="FC6" t="s">
        <v>103</v>
      </c>
      <c r="FD6" t="s">
        <v>103</v>
      </c>
      <c r="FE6" t="s">
        <v>103</v>
      </c>
      <c r="FF6" t="s">
        <v>103</v>
      </c>
      <c r="FG6" t="s">
        <v>103</v>
      </c>
      <c r="FH6" t="s">
        <v>103</v>
      </c>
      <c r="FI6" t="s">
        <v>103</v>
      </c>
      <c r="FJ6" t="s">
        <v>103</v>
      </c>
      <c r="FK6" t="s">
        <v>103</v>
      </c>
      <c r="FL6" t="s">
        <v>103</v>
      </c>
      <c r="FM6" t="s">
        <v>103</v>
      </c>
      <c r="FN6" t="s">
        <v>103</v>
      </c>
      <c r="FO6" t="s">
        <v>103</v>
      </c>
      <c r="FP6" t="s">
        <v>103</v>
      </c>
      <c r="FQ6" t="s">
        <v>103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103</v>
      </c>
      <c r="B7" s="8" t="s">
        <v>107</v>
      </c>
      <c r="C7" s="8" t="s">
        <v>131</v>
      </c>
      <c r="D7" s="8">
        <v>0.0</v>
      </c>
      <c r="E7" s="8">
        <v>100.0</v>
      </c>
      <c r="F7" s="8" t="s">
        <v>105</v>
      </c>
      <c r="G7" s="8" t="s">
        <v>115</v>
      </c>
      <c r="H7" s="8">
        <v>9.0</v>
      </c>
      <c r="I7" s="8">
        <v>0.0</v>
      </c>
      <c r="J7" s="8">
        <v>15.0</v>
      </c>
      <c r="K7" s="8">
        <v>10.0</v>
      </c>
      <c r="L7" s="8">
        <v>10.0</v>
      </c>
      <c r="M7" s="8" t="s">
        <v>116</v>
      </c>
      <c r="N7" s="8" t="s">
        <v>132</v>
      </c>
      <c r="O7" s="8" t="s">
        <v>111</v>
      </c>
      <c r="Q7">
        <v>3.0</v>
      </c>
      <c r="R7">
        <v>0.0</v>
      </c>
      <c r="S7" t="s">
        <v>133</v>
      </c>
      <c r="T7">
        <v>0.0</v>
      </c>
      <c r="U7">
        <v>0.0</v>
      </c>
      <c r="V7" t="s">
        <v>53</v>
      </c>
      <c r="W7">
        <v>1.0</v>
      </c>
      <c r="X7">
        <v>0.0</v>
      </c>
      <c r="Y7" t="s">
        <v>103</v>
      </c>
      <c r="Z7" t="s">
        <v>135</v>
      </c>
      <c r="AB7">
        <v>1.0</v>
      </c>
      <c r="AD7" t="s">
        <v>145</v>
      </c>
      <c r="AE7">
        <v>100.0</v>
      </c>
      <c r="AF7" t="s">
        <v>103</v>
      </c>
      <c r="AH7" t="s">
        <v>136</v>
      </c>
      <c r="AI7">
        <v>1.0</v>
      </c>
      <c r="AJ7" t="s">
        <v>137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1010.175</v>
      </c>
      <c r="AU7">
        <v>1010.175</v>
      </c>
      <c r="AW7">
        <v>0.0</v>
      </c>
      <c r="AX7">
        <v>0.0</v>
      </c>
      <c r="AY7" t="s">
        <v>138</v>
      </c>
      <c r="AZ7">
        <v>0.0</v>
      </c>
      <c r="BC7">
        <v>0.0</v>
      </c>
      <c r="BD7" t="s">
        <v>139</v>
      </c>
      <c r="BE7">
        <v>1000.0</v>
      </c>
      <c r="BF7">
        <v>1000.0</v>
      </c>
      <c r="BJ7">
        <v>100.0</v>
      </c>
      <c r="BK7">
        <v>0.0</v>
      </c>
      <c r="BL7" t="s">
        <v>103</v>
      </c>
      <c r="BM7" t="s">
        <v>135</v>
      </c>
      <c r="BO7" t="s">
        <v>108</v>
      </c>
      <c r="BP7">
        <v>0.0</v>
      </c>
      <c r="BQ7">
        <v>0.0</v>
      </c>
      <c r="BR7">
        <v>0.175</v>
      </c>
      <c r="BS7" t="s">
        <v>140</v>
      </c>
      <c r="BT7" t="s">
        <v>53</v>
      </c>
      <c r="BU7">
        <v>1.0</v>
      </c>
      <c r="BV7">
        <v>0.0</v>
      </c>
      <c r="BW7">
        <v>10.175</v>
      </c>
      <c r="BX7">
        <v>0.0</v>
      </c>
      <c r="CF7" t="s">
        <v>141</v>
      </c>
      <c r="CG7">
        <v>0.0</v>
      </c>
      <c r="CH7" t="s">
        <v>12</v>
      </c>
      <c r="CI7" t="s">
        <v>108</v>
      </c>
      <c r="CJ7">
        <v>0.0</v>
      </c>
      <c r="CK7" t="s">
        <v>142</v>
      </c>
      <c r="CL7">
        <v>1.0</v>
      </c>
      <c r="CM7" t="s">
        <v>53</v>
      </c>
      <c r="CN7" t="s">
        <v>110</v>
      </c>
      <c r="CO7" t="s">
        <v>112</v>
      </c>
      <c r="CP7" t="s">
        <v>143</v>
      </c>
      <c r="CS7" t="s">
        <v>103</v>
      </c>
      <c r="CW7">
        <v>0.0</v>
      </c>
      <c r="CX7" t="s">
        <v>144</v>
      </c>
      <c r="CY7" t="s">
        <v>103</v>
      </c>
      <c r="CZ7" t="s">
        <v>103</v>
      </c>
      <c r="DA7" t="s">
        <v>103</v>
      </c>
      <c r="DB7" t="s">
        <v>103</v>
      </c>
      <c r="DC7" t="s">
        <v>103</v>
      </c>
      <c r="DD7" t="s">
        <v>103</v>
      </c>
      <c r="DE7" t="s">
        <v>103</v>
      </c>
      <c r="DF7" t="s">
        <v>103</v>
      </c>
      <c r="DG7" t="s">
        <v>103</v>
      </c>
      <c r="DH7" t="s">
        <v>103</v>
      </c>
      <c r="DI7" t="s">
        <v>103</v>
      </c>
      <c r="DJ7" t="s">
        <v>103</v>
      </c>
      <c r="DK7" t="s">
        <v>103</v>
      </c>
      <c r="DL7" t="s">
        <v>103</v>
      </c>
      <c r="DM7" t="s">
        <v>103</v>
      </c>
      <c r="DN7" t="s">
        <v>103</v>
      </c>
      <c r="DO7" t="s">
        <v>103</v>
      </c>
      <c r="DP7" t="s">
        <v>103</v>
      </c>
      <c r="DQ7" t="s">
        <v>103</v>
      </c>
      <c r="DR7" t="s">
        <v>103</v>
      </c>
      <c r="DS7" t="s">
        <v>103</v>
      </c>
      <c r="DT7" t="s">
        <v>103</v>
      </c>
      <c r="DU7" t="s">
        <v>103</v>
      </c>
      <c r="DV7" t="s">
        <v>103</v>
      </c>
      <c r="DW7" t="s">
        <v>103</v>
      </c>
      <c r="DX7" t="s">
        <v>103</v>
      </c>
      <c r="DY7" t="s">
        <v>103</v>
      </c>
      <c r="DZ7" t="s">
        <v>103</v>
      </c>
      <c r="EA7" t="s">
        <v>103</v>
      </c>
      <c r="EB7" t="s">
        <v>103</v>
      </c>
      <c r="EC7" t="s">
        <v>103</v>
      </c>
      <c r="ED7" t="s">
        <v>103</v>
      </c>
      <c r="EE7" t="s">
        <v>103</v>
      </c>
      <c r="EF7" t="s">
        <v>103</v>
      </c>
      <c r="EG7" t="s">
        <v>103</v>
      </c>
      <c r="EH7" t="s">
        <v>103</v>
      </c>
      <c r="EI7" t="s">
        <v>103</v>
      </c>
      <c r="EJ7" t="s">
        <v>103</v>
      </c>
      <c r="EK7" t="s">
        <v>103</v>
      </c>
      <c r="EL7" t="s">
        <v>103</v>
      </c>
      <c r="EM7" t="s">
        <v>103</v>
      </c>
      <c r="EN7" t="s">
        <v>103</v>
      </c>
      <c r="EO7" t="s">
        <v>103</v>
      </c>
      <c r="EP7" t="s">
        <v>103</v>
      </c>
      <c r="EQ7" t="s">
        <v>103</v>
      </c>
      <c r="ER7" t="s">
        <v>103</v>
      </c>
      <c r="ES7" t="s">
        <v>103</v>
      </c>
      <c r="ET7" t="s">
        <v>103</v>
      </c>
      <c r="EU7" t="s">
        <v>103</v>
      </c>
      <c r="EV7" t="s">
        <v>103</v>
      </c>
      <c r="EW7" t="s">
        <v>103</v>
      </c>
      <c r="EX7" t="s">
        <v>103</v>
      </c>
      <c r="EY7" t="s">
        <v>103</v>
      </c>
      <c r="EZ7" t="s">
        <v>103</v>
      </c>
      <c r="FA7" t="s">
        <v>103</v>
      </c>
      <c r="FB7" t="s">
        <v>103</v>
      </c>
      <c r="FC7" t="s">
        <v>103</v>
      </c>
      <c r="FD7" t="s">
        <v>103</v>
      </c>
      <c r="FE7" t="s">
        <v>103</v>
      </c>
      <c r="FF7" t="s">
        <v>103</v>
      </c>
      <c r="FG7" t="s">
        <v>103</v>
      </c>
      <c r="FH7" t="s">
        <v>103</v>
      </c>
      <c r="FI7" t="s">
        <v>103</v>
      </c>
      <c r="FJ7" t="s">
        <v>103</v>
      </c>
      <c r="FK7" t="s">
        <v>103</v>
      </c>
      <c r="FL7" t="s">
        <v>103</v>
      </c>
      <c r="FM7" t="s">
        <v>103</v>
      </c>
      <c r="FN7" t="s">
        <v>103</v>
      </c>
      <c r="FO7" t="s">
        <v>103</v>
      </c>
      <c r="FP7" t="s">
        <v>103</v>
      </c>
      <c r="FQ7" t="s">
        <v>103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