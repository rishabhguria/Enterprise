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GetDailyCash" sheetId="11" r:id="rId13"/>
    <sheet state="visible" name="UpdateDailyCash" sheetId="12" r:id="rId14"/>
    <sheet state="visible" name="PricingInput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LoginClient" sheetId="17" r:id="rId19"/>
    <sheet state="visible" name="GetDataAllocation1" sheetId="18" r:id="rId20"/>
    <sheet state="visible" name="SelectUnallocatedGroup" sheetId="19" r:id="rId21"/>
    <sheet state="visible" name="CheckPreferences" sheetId="20" r:id="rId22"/>
    <sheet state="visible" name="CreateDoneAwayOrder" sheetId="21" r:id="rId23"/>
    <sheet state="visible" name="CheckPreferences1" sheetId="22" r:id="rId24"/>
  </sheets>
  <definedNames/>
  <calcPr/>
</workbook>
</file>

<file path=xl/sharedStrings.xml><?xml version="1.0" encoding="utf-8"?>
<sst xmlns="http://schemas.openxmlformats.org/spreadsheetml/2006/main" count="270" uniqueCount="72">
  <si>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</si>
  <si>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</si>
  <si>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</si>
  <si>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</si>
  <si>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</si>
  <si>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</si>
  <si>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</si>
  <si>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</si>
  <si>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</si>
  <si>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</si>
  <si>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</si>
  <si>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</si>
  <si>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</si>
  <si>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</si>
  <si>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</si>
  <si>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</si>
  <si>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Allocation (Leveling)</t>
  </si>
  <si>
    <t>jpearce</t>
  </si>
  <si>
    <t>Allocation (Pro-rata/NAV)</t>
  </si>
  <si>
    <t>Allocation</t>
  </si>
  <si>
    <t>AddCalculatedPreferences</t>
  </si>
  <si>
    <t>Pref1</t>
  </si>
  <si>
    <t>SetAccountValueCalculatedPref</t>
  </si>
  <si>
    <t>Allocation1</t>
  </si>
  <si>
    <t>Allocation3</t>
  </si>
  <si>
    <t>SetDefaultRuleCalculatedPref</t>
  </si>
  <si>
    <t>Pro-rata (NAV)</t>
  </si>
  <si>
    <t>Allocation1,Allocation3</t>
  </si>
  <si>
    <t>Pref2</t>
  </si>
  <si>
    <t>Allocation2</t>
  </si>
  <si>
    <t>Allocation4</t>
  </si>
  <si>
    <t>Leveling</t>
  </si>
  <si>
    <t>Allocation2,Allocation4</t>
  </si>
  <si>
    <t>DailyValuation</t>
  </si>
  <si>
    <t>GetDailyCash</t>
  </si>
  <si>
    <t>UpdateDailyCash</t>
  </si>
  <si>
    <t>USD</t>
  </si>
  <si>
    <t>PricingInput</t>
  </si>
  <si>
    <t>AAPL</t>
  </si>
  <si>
    <t>GetDataAllocation</t>
  </si>
  <si>
    <t>Current</t>
  </si>
  <si>
    <t>CheckAllocatedGroups</t>
  </si>
  <si>
    <t>Equity</t>
  </si>
  <si>
    <t>AAPL US EQUITY</t>
  </si>
  <si>
    <t>MS</t>
  </si>
  <si>
    <t>Open</t>
  </si>
  <si>
    <t>BrokerNotes</t>
  </si>
  <si>
    <t>NASDAQ</t>
  </si>
  <si>
    <t>1/1/1800 12:00:00 PM</t>
  </si>
  <si>
    <t>M</t>
  </si>
  <si>
    <t>None</t>
  </si>
  <si>
    <t>DefaultNotes</t>
  </si>
  <si>
    <t>Market</t>
  </si>
  <si>
    <t>InternalOrder</t>
  </si>
  <si>
    <t>Buy</t>
  </si>
  <si>
    <t>Strategy Unallocated</t>
  </si>
  <si>
    <t>GCCAP1</t>
  </si>
  <si>
    <t>TradingTicket</t>
  </si>
  <si>
    <t>US</t>
  </si>
  <si>
    <t>NONE</t>
  </si>
  <si>
    <t>NewMF</t>
  </si>
  <si>
    <t>NewMF1</t>
  </si>
  <si>
    <t>CheckAllocatedTaxlots</t>
  </si>
  <si>
    <t>PranaClient</t>
  </si>
  <si>
    <t>LoginClient</t>
  </si>
  <si>
    <t>Support2</t>
  </si>
  <si>
    <t>Nirvana@1</t>
  </si>
  <si>
    <t>SelectUnallocatedGroup</t>
  </si>
  <si>
    <t>CheckPreferences</t>
  </si>
  <si>
    <t>CreateDoneAwayOrder</t>
  </si>
  <si>
    <t>Unallocated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</si>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</sst>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IFERROR(__xludf.DUMMYFUNCTION("""COMPUTED_VALUE"""),"user")</f>
        <v>user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1" t="b">
        <v>1</v>
      </c>
      <c r="C7" s="33" t="s">
        <v>18</v>
      </c>
      <c r="D7" s="33" t="s">
        <v>17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2"/>
      <c r="B8" s="34" t="b">
        <v>0</v>
      </c>
      <c r="C8" s="32" t="s">
        <v>16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2"/>
      <c r="B9" s="34" t="b">
        <v>0</v>
      </c>
      <c r="C9" s="33" t="s">
        <v>18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23</v>
      </c>
      <c r="D6" s="38">
        <v>60.0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21</v>
      </c>
      <c r="C7" s="40" t="s">
        <v>24</v>
      </c>
      <c r="D7" s="41">
        <v>40.0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/>
      <c r="C6" s="32"/>
      <c r="D6" s="32" t="s">
        <v>26</v>
      </c>
      <c r="E6" s="43" t="s">
        <v>27</v>
      </c>
      <c r="H6" s="44" t="s">
        <v>21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0" t="s">
        <v>29</v>
      </c>
      <c r="D6" s="38">
        <v>75.0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40" t="s">
        <v>30</v>
      </c>
      <c r="D7" s="41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/>
      <c r="C6" s="32"/>
      <c r="D6" s="44" t="s">
        <v>31</v>
      </c>
      <c r="E6" s="45" t="s">
        <v>32</v>
      </c>
      <c r="H6" s="44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>
        <f>today()-1</f>
        <v>44510</v>
      </c>
      <c r="C6" s="47">
        <f>today()</f>
        <v>44511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 t="s">
        <v>23</v>
      </c>
      <c r="C6" s="32" t="s">
        <v>36</v>
      </c>
      <c r="D6" s="48">
        <v>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36</v>
      </c>
      <c r="D7" s="49">
        <v>1000.0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11">
        <v>10.0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23</v>
      </c>
      <c r="C6" s="50"/>
      <c r="D6" s="51"/>
      <c r="E6" s="51">
        <v>100.0</v>
      </c>
      <c r="F6" s="50" t="s">
        <v>21</v>
      </c>
      <c r="G6" s="50" t="s">
        <v>42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0" t="s">
        <v>43</v>
      </c>
      <c r="N6" s="50"/>
      <c r="O6" s="50" t="s">
        <v>44</v>
      </c>
      <c r="P6" s="52"/>
      <c r="Q6" s="51">
        <v>3.0</v>
      </c>
      <c r="R6" s="51">
        <v>0.0</v>
      </c>
      <c r="S6" s="50" t="s">
        <v>45</v>
      </c>
      <c r="T6" s="51">
        <v>0.0</v>
      </c>
      <c r="U6" s="51">
        <v>0.0</v>
      </c>
      <c r="V6" s="50"/>
      <c r="W6" s="51">
        <v>1.0</v>
      </c>
      <c r="X6" s="51">
        <v>0.0</v>
      </c>
      <c r="Y6" s="52"/>
      <c r="Z6" s="50" t="s">
        <v>36</v>
      </c>
      <c r="AA6" s="50" t="s">
        <v>38</v>
      </c>
      <c r="AB6" s="51">
        <v>1.0</v>
      </c>
      <c r="AC6" s="50" t="s">
        <v>46</v>
      </c>
      <c r="AD6" s="50" t="s">
        <v>47</v>
      </c>
      <c r="AE6" s="51">
        <v>100.0</v>
      </c>
      <c r="AF6" s="53">
        <v>44509.402592592596</v>
      </c>
      <c r="AG6" s="53" t="s">
        <v>48</v>
      </c>
      <c r="AH6" s="50" t="s">
        <v>49</v>
      </c>
      <c r="AI6" s="51">
        <v>1.0</v>
      </c>
      <c r="AJ6" s="50" t="s">
        <v>50</v>
      </c>
      <c r="AK6" s="52"/>
      <c r="AL6" s="52"/>
      <c r="AM6" s="50" t="s">
        <v>51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>
        <v>0.0</v>
      </c>
      <c r="AT6" s="54">
        <v>1014.0006</v>
      </c>
      <c r="AU6" s="54">
        <v>1014.0006</v>
      </c>
      <c r="AV6" s="55">
        <v>44509.402083333334</v>
      </c>
      <c r="AW6" s="51">
        <v>0.0</v>
      </c>
      <c r="AX6" s="51">
        <v>0.0</v>
      </c>
      <c r="AY6" s="50" t="s">
        <v>52</v>
      </c>
      <c r="AZ6" s="51">
        <v>0.0</v>
      </c>
      <c r="BA6" s="55">
        <v>44509.402083333334</v>
      </c>
      <c r="BB6" s="52"/>
      <c r="BC6" s="51">
        <v>0.0</v>
      </c>
      <c r="BD6" s="50" t="s">
        <v>53</v>
      </c>
      <c r="BE6" s="54">
        <v>1000.0</v>
      </c>
      <c r="BF6" s="54">
        <v>1000.0</v>
      </c>
      <c r="BG6" s="55">
        <v>44509.402083333334</v>
      </c>
      <c r="BH6" s="52"/>
      <c r="BI6" s="52"/>
      <c r="BJ6" s="51">
        <v>100.0</v>
      </c>
      <c r="BK6" s="51">
        <v>0.0</v>
      </c>
      <c r="BL6" s="50" t="s">
        <v>38</v>
      </c>
      <c r="BM6" s="50" t="s">
        <v>36</v>
      </c>
      <c r="BN6" s="55"/>
      <c r="BO6" s="50" t="s">
        <v>54</v>
      </c>
      <c r="BP6" s="51">
        <v>0.0</v>
      </c>
      <c r="BQ6" s="51">
        <v>0.0</v>
      </c>
      <c r="BR6" s="51">
        <v>6.0E-4</v>
      </c>
      <c r="BS6" s="50" t="s">
        <v>55</v>
      </c>
      <c r="BT6" s="50" t="s">
        <v>38</v>
      </c>
      <c r="BU6" s="51">
        <v>3.0</v>
      </c>
      <c r="BV6" s="51">
        <v>0.0</v>
      </c>
      <c r="BW6" s="51">
        <v>14.0006</v>
      </c>
      <c r="BX6" s="51">
        <v>0.0</v>
      </c>
      <c r="BY6" s="50" t="s">
        <v>56</v>
      </c>
      <c r="BZ6" s="51">
        <v>2.0</v>
      </c>
      <c r="CA6" s="50" t="s">
        <v>57</v>
      </c>
      <c r="CB6" s="50" t="s">
        <v>54</v>
      </c>
      <c r="CC6" s="51">
        <v>0.0</v>
      </c>
      <c r="CD6" s="50" t="s">
        <v>58</v>
      </c>
      <c r="CE6" s="51">
        <v>1.0</v>
      </c>
      <c r="CF6" s="50" t="s">
        <v>38</v>
      </c>
      <c r="CG6" s="50" t="s">
        <v>17</v>
      </c>
      <c r="CH6" s="50" t="s">
        <v>47</v>
      </c>
      <c r="CI6" s="50" t="s">
        <v>59</v>
      </c>
      <c r="CJ6" s="52"/>
      <c r="CK6" s="52"/>
      <c r="CL6" s="52"/>
      <c r="CM6" s="52"/>
      <c r="CN6" s="52"/>
      <c r="CO6" s="52"/>
      <c r="CP6" s="52"/>
      <c r="CQ6" s="52"/>
      <c r="CR6" s="51">
        <v>2.11109195261E12</v>
      </c>
      <c r="CS6" s="52"/>
      <c r="CT6" s="52"/>
      <c r="CU6" s="55">
        <v>44509.402083333334</v>
      </c>
      <c r="CV6" s="53" t="s">
        <v>48</v>
      </c>
      <c r="CW6" s="52"/>
      <c r="CX6" s="52"/>
      <c r="CY6" s="51">
        <v>0.0</v>
      </c>
      <c r="CZ6" s="52"/>
      <c r="DA6" s="51">
        <v>0.0</v>
      </c>
      <c r="DB6" s="52"/>
      <c r="DC6" s="50" t="s">
        <v>60</v>
      </c>
    </row>
    <row r="7" ht="15.75" customHeight="1">
      <c r="A7" s="8"/>
      <c r="B7" s="50" t="s">
        <v>29</v>
      </c>
      <c r="C7" s="50"/>
      <c r="D7" s="51"/>
      <c r="E7" s="54">
        <v>1000.0</v>
      </c>
      <c r="F7" s="50" t="s">
        <v>28</v>
      </c>
      <c r="G7" s="50" t="s">
        <v>42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50" t="s">
        <v>43</v>
      </c>
      <c r="N7" s="50"/>
      <c r="O7" s="50" t="s">
        <v>44</v>
      </c>
      <c r="P7" s="52"/>
      <c r="Q7" s="51">
        <v>3.0</v>
      </c>
      <c r="R7" s="51">
        <v>0.0</v>
      </c>
      <c r="S7" s="50" t="s">
        <v>45</v>
      </c>
      <c r="T7" s="51">
        <v>0.0</v>
      </c>
      <c r="U7" s="51">
        <v>0.0</v>
      </c>
      <c r="V7" s="50"/>
      <c r="W7" s="51">
        <v>1.0</v>
      </c>
      <c r="X7" s="51">
        <v>0.0</v>
      </c>
      <c r="Y7" s="52"/>
      <c r="Z7" s="50" t="s">
        <v>36</v>
      </c>
      <c r="AA7" s="50" t="s">
        <v>38</v>
      </c>
      <c r="AB7" s="51">
        <v>1.0</v>
      </c>
      <c r="AC7" s="50" t="s">
        <v>46</v>
      </c>
      <c r="AD7" s="50" t="s">
        <v>47</v>
      </c>
      <c r="AE7" s="54">
        <v>1000.0</v>
      </c>
      <c r="AF7" s="53">
        <v>44509.39864583333</v>
      </c>
      <c r="AG7" s="53" t="s">
        <v>48</v>
      </c>
      <c r="AH7" s="50" t="s">
        <v>49</v>
      </c>
      <c r="AI7" s="51">
        <v>1.0</v>
      </c>
      <c r="AJ7" s="50" t="s">
        <v>50</v>
      </c>
      <c r="AK7" s="52"/>
      <c r="AL7" s="52"/>
      <c r="AM7" s="50" t="s">
        <v>51</v>
      </c>
      <c r="AN7" s="50" t="b">
        <v>0</v>
      </c>
      <c r="AO7" s="52"/>
      <c r="AP7" s="50" t="b">
        <v>1</v>
      </c>
      <c r="AQ7" s="50" t="b">
        <v>0</v>
      </c>
      <c r="AR7" s="50" t="b">
        <v>0</v>
      </c>
      <c r="AS7" s="51">
        <v>0.0</v>
      </c>
      <c r="AT7" s="54">
        <v>10014.0056</v>
      </c>
      <c r="AU7" s="54">
        <v>10014.0056</v>
      </c>
      <c r="AV7" s="55">
        <v>44509.39861111111</v>
      </c>
      <c r="AW7" s="51">
        <v>0.0</v>
      </c>
      <c r="AX7" s="51">
        <v>0.0</v>
      </c>
      <c r="AY7" s="50" t="s">
        <v>52</v>
      </c>
      <c r="AZ7" s="51">
        <v>0.0</v>
      </c>
      <c r="BA7" s="55">
        <v>44509.39861111111</v>
      </c>
      <c r="BB7" s="52"/>
      <c r="BC7" s="51">
        <v>0.0</v>
      </c>
      <c r="BD7" s="50" t="s">
        <v>53</v>
      </c>
      <c r="BE7" s="54">
        <v>10000.0</v>
      </c>
      <c r="BF7" s="54">
        <v>10000.0</v>
      </c>
      <c r="BG7" s="55">
        <v>44509.39861111111</v>
      </c>
      <c r="BH7" s="52"/>
      <c r="BI7" s="52"/>
      <c r="BJ7" s="54">
        <v>1000.0</v>
      </c>
      <c r="BK7" s="51">
        <v>0.0</v>
      </c>
      <c r="BL7" s="50" t="s">
        <v>38</v>
      </c>
      <c r="BM7" s="50" t="s">
        <v>36</v>
      </c>
      <c r="BN7" s="55"/>
      <c r="BO7" s="50" t="s">
        <v>54</v>
      </c>
      <c r="BP7" s="51">
        <v>0.0</v>
      </c>
      <c r="BQ7" s="51">
        <v>0.0</v>
      </c>
      <c r="BR7" s="51">
        <v>0.0056</v>
      </c>
      <c r="BS7" s="50" t="s">
        <v>55</v>
      </c>
      <c r="BT7" s="50" t="s">
        <v>38</v>
      </c>
      <c r="BU7" s="51">
        <v>3.0</v>
      </c>
      <c r="BV7" s="51">
        <v>0.0</v>
      </c>
      <c r="BW7" s="51">
        <v>14.0056</v>
      </c>
      <c r="BX7" s="51">
        <v>0.0</v>
      </c>
      <c r="BY7" s="50" t="s">
        <v>56</v>
      </c>
      <c r="BZ7" s="51">
        <v>2.0</v>
      </c>
      <c r="CA7" s="50" t="s">
        <v>57</v>
      </c>
      <c r="CB7" s="50" t="s">
        <v>54</v>
      </c>
      <c r="CC7" s="51">
        <v>0.0</v>
      </c>
      <c r="CD7" s="50" t="s">
        <v>58</v>
      </c>
      <c r="CE7" s="51">
        <v>1.0</v>
      </c>
      <c r="CF7" s="50" t="s">
        <v>38</v>
      </c>
      <c r="CG7" s="50" t="s">
        <v>17</v>
      </c>
      <c r="CH7" s="50" t="s">
        <v>47</v>
      </c>
      <c r="CI7" s="50" t="s">
        <v>59</v>
      </c>
      <c r="CJ7" s="52"/>
      <c r="CK7" s="52"/>
      <c r="CL7" s="52"/>
      <c r="CM7" s="52"/>
      <c r="CN7" s="52"/>
      <c r="CO7" s="52"/>
      <c r="CP7" s="52"/>
      <c r="CQ7" s="52"/>
      <c r="CR7" s="51">
        <v>2.11109195255E12</v>
      </c>
      <c r="CS7" s="52"/>
      <c r="CT7" s="52"/>
      <c r="CU7" s="55">
        <v>44509.39861111111</v>
      </c>
      <c r="CV7" s="53" t="s">
        <v>48</v>
      </c>
      <c r="CW7" s="52"/>
      <c r="CX7" s="52"/>
      <c r="CY7" s="51">
        <v>0.0</v>
      </c>
      <c r="CZ7" s="52"/>
      <c r="DA7" s="51">
        <v>0.0</v>
      </c>
      <c r="DB7" s="52"/>
      <c r="DC7" s="50" t="s">
        <v>61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56"/>
      <c r="C9" s="56"/>
      <c r="D9" s="32"/>
      <c r="E9" s="57"/>
      <c r="F9" s="58"/>
      <c r="G9" s="56"/>
      <c r="H9" s="32"/>
      <c r="I9" s="32"/>
      <c r="J9" s="32"/>
      <c r="K9" s="32"/>
      <c r="L9" s="32"/>
      <c r="M9" s="56"/>
      <c r="N9" s="56"/>
      <c r="O9" s="56"/>
      <c r="P9" s="32"/>
      <c r="Q9" s="32"/>
      <c r="R9" s="32"/>
      <c r="S9" s="56"/>
      <c r="T9" s="33"/>
      <c r="U9" s="33"/>
      <c r="V9" s="59"/>
      <c r="W9" s="33"/>
      <c r="X9" s="33"/>
      <c r="Y9" s="33"/>
      <c r="Z9" s="59"/>
      <c r="AA9" s="59"/>
      <c r="AB9" s="33"/>
      <c r="AC9" s="59"/>
      <c r="AD9" s="59"/>
      <c r="AE9" s="60"/>
      <c r="AF9" s="61"/>
      <c r="AG9" s="61"/>
      <c r="AH9" s="59"/>
      <c r="AI9" s="33"/>
      <c r="AJ9" s="59"/>
      <c r="AK9" s="33"/>
      <c r="AL9" s="33"/>
      <c r="AM9" s="59"/>
      <c r="AN9" s="62"/>
      <c r="AO9" s="33"/>
      <c r="AP9" s="62"/>
      <c r="AQ9" s="62"/>
      <c r="AR9" s="62"/>
      <c r="AS9" s="33"/>
      <c r="AT9" s="60"/>
      <c r="AU9" s="60"/>
      <c r="AV9" s="63"/>
      <c r="AW9" s="33"/>
      <c r="AX9" s="33"/>
      <c r="AY9" s="59"/>
      <c r="AZ9" s="33"/>
      <c r="BA9" s="63"/>
      <c r="BB9" s="33"/>
      <c r="BC9" s="33"/>
      <c r="BD9" s="59"/>
      <c r="BE9" s="60"/>
      <c r="BF9" s="60"/>
      <c r="BG9" s="63"/>
      <c r="BH9" s="33"/>
      <c r="BI9" s="33"/>
      <c r="BJ9" s="60"/>
      <c r="BK9" s="33"/>
      <c r="BL9" s="59"/>
      <c r="BM9" s="59"/>
      <c r="BN9" s="63"/>
      <c r="BO9" s="59"/>
      <c r="BP9" s="33"/>
      <c r="BQ9" s="33"/>
      <c r="BR9" s="33"/>
      <c r="BS9" s="59"/>
      <c r="BT9" s="59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59"/>
      <c r="CG9" s="33"/>
      <c r="CH9" s="59"/>
      <c r="CI9" s="59"/>
      <c r="CJ9" s="33"/>
      <c r="CK9" s="59"/>
      <c r="CL9" s="33"/>
      <c r="CM9" s="59"/>
      <c r="CN9" s="59"/>
      <c r="CO9" s="33"/>
      <c r="CP9" s="33"/>
      <c r="CQ9" s="33"/>
      <c r="CR9" s="33"/>
      <c r="CS9" s="33"/>
      <c r="CT9" s="33"/>
      <c r="CU9" s="63"/>
      <c r="CV9" s="61"/>
      <c r="CW9" s="33"/>
      <c r="CX9" s="33"/>
      <c r="CY9" s="33"/>
      <c r="CZ9" s="33"/>
      <c r="DA9" s="33"/>
      <c r="DB9" s="33"/>
      <c r="DC9" s="59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1014.0006</v>
      </c>
      <c r="C6" s="54">
        <v>1014.0006</v>
      </c>
      <c r="D6" s="54">
        <v>1000.0</v>
      </c>
      <c r="E6" s="54">
        <v>1000.0</v>
      </c>
      <c r="F6" s="50" t="s">
        <v>49</v>
      </c>
      <c r="G6" s="51"/>
      <c r="H6" s="50" t="s">
        <v>36</v>
      </c>
      <c r="I6" s="52"/>
      <c r="J6" s="52"/>
      <c r="K6" s="52"/>
      <c r="L6" s="52"/>
      <c r="M6" s="52"/>
      <c r="N6" s="52"/>
      <c r="O6" s="50" t="s">
        <v>23</v>
      </c>
      <c r="P6" s="50" t="s">
        <v>55</v>
      </c>
      <c r="Q6" s="51">
        <v>100.0</v>
      </c>
      <c r="R6" s="51">
        <v>100.0</v>
      </c>
      <c r="S6" s="51">
        <v>0.0</v>
      </c>
      <c r="T6" s="51">
        <v>0.0</v>
      </c>
      <c r="U6" s="51">
        <v>0.0</v>
      </c>
      <c r="V6" s="51">
        <v>0.0</v>
      </c>
      <c r="W6" s="51">
        <v>6.0E-4</v>
      </c>
      <c r="X6" s="51">
        <v>2.0</v>
      </c>
      <c r="Y6" s="51">
        <v>4.0</v>
      </c>
      <c r="Z6" s="51">
        <v>3.0</v>
      </c>
      <c r="AA6" s="51">
        <v>5.0</v>
      </c>
      <c r="AB6" s="51">
        <v>0.0</v>
      </c>
      <c r="AC6" s="51">
        <v>0.0</v>
      </c>
      <c r="AD6" s="51">
        <v>0.0</v>
      </c>
      <c r="AE6" s="51">
        <v>0.0</v>
      </c>
      <c r="AF6" s="50" t="s">
        <v>45</v>
      </c>
      <c r="AG6" s="52"/>
      <c r="AH6" s="52"/>
      <c r="AI6" s="51">
        <v>10.0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54">
        <v>10014.0056</v>
      </c>
      <c r="C7" s="54">
        <v>10014.0056</v>
      </c>
      <c r="D7" s="54">
        <v>10000.0</v>
      </c>
      <c r="E7" s="54">
        <v>10000.0</v>
      </c>
      <c r="F7" s="50" t="s">
        <v>49</v>
      </c>
      <c r="G7" s="51"/>
      <c r="H7" s="50" t="s">
        <v>36</v>
      </c>
      <c r="I7" s="52"/>
      <c r="J7" s="52"/>
      <c r="K7" s="52"/>
      <c r="L7" s="52"/>
      <c r="M7" s="52"/>
      <c r="N7" s="52"/>
      <c r="O7" s="50" t="s">
        <v>29</v>
      </c>
      <c r="P7" s="50" t="s">
        <v>55</v>
      </c>
      <c r="Q7" s="51">
        <v>100.0</v>
      </c>
      <c r="R7" s="54">
        <v>1000.0</v>
      </c>
      <c r="S7" s="51">
        <v>0.0</v>
      </c>
      <c r="T7" s="51">
        <v>0.0</v>
      </c>
      <c r="U7" s="51">
        <v>0.0</v>
      </c>
      <c r="V7" s="51">
        <v>0.0</v>
      </c>
      <c r="W7" s="51">
        <v>0.0056</v>
      </c>
      <c r="X7" s="51">
        <v>2.0</v>
      </c>
      <c r="Y7" s="51">
        <v>4.0</v>
      </c>
      <c r="Z7" s="51">
        <v>3.0</v>
      </c>
      <c r="AA7" s="51">
        <v>5.0</v>
      </c>
      <c r="AB7" s="51">
        <v>0.0</v>
      </c>
      <c r="AC7" s="51">
        <v>0.0</v>
      </c>
      <c r="AD7" s="51">
        <v>0.0</v>
      </c>
      <c r="AE7" s="51">
        <v>0.0</v>
      </c>
      <c r="AF7" s="50" t="s">
        <v>45</v>
      </c>
      <c r="AG7" s="52"/>
      <c r="AH7" s="52"/>
      <c r="AI7" s="51">
        <v>10.0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</v>
      </c>
      <c r="C6" s="11" t="s">
        <v>66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11" t="s">
        <v>54</v>
      </c>
      <c r="D6" s="11">
        <v>1000.0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44</v>
      </c>
      <c r="U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IFERROR(__xludf.DUMMYFUNCTION("""COMPUTED_VALUE"""),"IsPresent")</f>
        <v>IsPresent</v>
      </c>
      <c r="D5" s="27" t="str">
        <f>IFERROR(__xludf.DUMMYFUNCTION("""COMPUTED_VALUE"""),"PreferenceType")</f>
        <v>PreferenceType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b">
        <v>0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 t="s">
        <v>38</v>
      </c>
      <c r="C6" s="32" t="s">
        <v>54</v>
      </c>
      <c r="D6" s="48">
        <v>100.0</v>
      </c>
      <c r="E6" s="32"/>
      <c r="F6" s="44" t="s">
        <v>21</v>
      </c>
      <c r="G6" s="32" t="s">
        <v>44</v>
      </c>
      <c r="H6" s="32"/>
      <c r="I6" s="32" t="s">
        <v>52</v>
      </c>
      <c r="J6" s="64">
        <v>10.0</v>
      </c>
      <c r="K6" s="32"/>
      <c r="L6" s="32"/>
      <c r="M6" s="32"/>
      <c r="N6" s="65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38</v>
      </c>
      <c r="C7" s="32" t="s">
        <v>54</v>
      </c>
      <c r="D7" s="66">
        <v>1000.0</v>
      </c>
      <c r="E7" s="32"/>
      <c r="F7" s="32" t="s">
        <v>70</v>
      </c>
      <c r="G7" s="32" t="s">
        <v>44</v>
      </c>
      <c r="H7" s="32"/>
      <c r="I7" s="32" t="s">
        <v>52</v>
      </c>
      <c r="J7" s="64">
        <v>10.0</v>
      </c>
      <c r="K7" s="32"/>
      <c r="L7" s="32"/>
      <c r="M7" s="32"/>
      <c r="N7" s="65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71</v>
      </c>
      <c r="C8" s="32" t="s">
        <v>54</v>
      </c>
      <c r="D8" s="66">
        <v>1000.0</v>
      </c>
      <c r="E8" s="32"/>
      <c r="F8" s="32" t="s">
        <v>70</v>
      </c>
      <c r="G8" s="32" t="s">
        <v>44</v>
      </c>
      <c r="H8" s="32"/>
      <c r="I8" s="32" t="s">
        <v>52</v>
      </c>
      <c r="J8" s="64">
        <v>10.0</v>
      </c>
      <c r="K8" s="32"/>
      <c r="L8" s="32"/>
      <c r="M8" s="32"/>
      <c r="N8" s="65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IFERROR(__xludf.DUMMYFUNCTION("""COMPUTED_VALUE"""),"IsPresent")</f>
        <v>IsPresent</v>
      </c>
      <c r="D5" s="27" t="str">
        <f>IFERROR(__xludf.DUMMYFUNCTION("""COMPUTED_VALUE"""),"PreferenceType")</f>
        <v>PreferenceType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b">
        <v>1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