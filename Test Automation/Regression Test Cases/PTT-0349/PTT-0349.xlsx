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DollarAmountPermission" sheetId="4" r:id="rId6"/>
    <sheet state="visible" name="SetGeneralPreferences" sheetId="5" r:id="rId7"/>
    <sheet state="visible" name="AddMFPreferences" sheetId="6" r:id="rId8"/>
    <sheet state="visible" name="SetMFPreferencesDefaultRule" sheetId="7" r:id="rId9"/>
    <sheet state="visible" name="SetMFPrefFundDistribution" sheetId="8" r:id="rId10"/>
    <sheet state="visible" name="SetMFPrefAccountValues" sheetId="9" r:id="rId11"/>
    <sheet state="visible" name="SetMFPrefFundDefaultRule" sheetId="10" r:id="rId12"/>
    <sheet state="visible" name="SetMFPrefAccountValues1" sheetId="11" r:id="rId13"/>
    <sheet state="visible" name="SetMFPrefFundDefaultRule1" sheetId="12" r:id="rId14"/>
    <sheet state="visible" name="CalculatePTT" sheetId="13" r:id="rId15"/>
    <sheet state="visible" name="VerifyPTT" sheetId="14" r:id="rId16"/>
    <sheet state="visible" name="VerifyPTTCompliance" sheetId="15" r:id="rId17"/>
    <sheet state="visible" name="CalculatePTT1" sheetId="16" r:id="rId18"/>
    <sheet state="visible" name="VerifyPTT1" sheetId="17" r:id="rId19"/>
    <sheet state="visible" name="VerifyPTTCompliance1" sheetId="18" r:id="rId20"/>
  </sheets>
  <definedNames/>
  <calcPr/>
</workbook>
</file>

<file path=xl/sharedStrings.xml><?xml version="1.0" encoding="utf-8"?>
<sst xmlns="http://schemas.openxmlformats.org/spreadsheetml/2006/main" count="471" uniqueCount="93">
  <si>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</si>
  <si>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</si>
  <si>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</si>
  <si>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</si>
  <si>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</si>
  <si>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</si>
  <si>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</si>
  <si>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</si>
  <si>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</si>
  <si>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</si>
  <si>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</si>
  <si>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</si>
  <si>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</si>
  <si>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SetDollarAmountPermission</t>
  </si>
  <si>
    <t>Data Format</t>
  </si>
  <si>
    <t>Input Format</t>
  </si>
  <si>
    <t>Allocation</t>
  </si>
  <si>
    <t>SetGeneralPreferences</t>
  </si>
  <si>
    <t>AddMFPreferences</t>
  </si>
  <si>
    <t>CurrPref</t>
  </si>
  <si>
    <t>SetMFPreferencesDefaultRule</t>
  </si>
  <si>
    <t>Current Preference</t>
  </si>
  <si>
    <t>SetMFPrefFundDistribution</t>
  </si>
  <si>
    <t>NewMF</t>
  </si>
  <si>
    <t>NewMF1</t>
  </si>
  <si>
    <t>SetMFPrefAccountValues</t>
  </si>
  <si>
    <t>Allocation1</t>
  </si>
  <si>
    <t>Allocation3</t>
  </si>
  <si>
    <t>SetMFPrefFundDefaultRule</t>
  </si>
  <si>
    <t>Fair Pricing</t>
  </si>
  <si>
    <t>Allocation2</t>
  </si>
  <si>
    <t>Allocation4</t>
  </si>
  <si>
    <t>PTT</t>
  </si>
  <si>
    <t>CalculatePTT</t>
  </si>
  <si>
    <t>IBM</t>
  </si>
  <si>
    <t>Decrease</t>
  </si>
  <si>
    <t>AMT</t>
  </si>
  <si>
    <t>Yes</t>
  </si>
  <si>
    <t>Allocation Preference</t>
  </si>
  <si>
    <t>No</t>
  </si>
  <si>
    <t>Market</t>
  </si>
  <si>
    <t>VerifyPTT</t>
  </si>
  <si>
    <t>Sell short</t>
  </si>
  <si>
    <t>VerifyPTTCompliance</t>
  </si>
  <si>
    <t>Soft Alert</t>
  </si>
  <si>
    <t>Trade_Price</t>
  </si>
  <si>
    <t>Enter Summary</t>
  </si>
  <si>
    <t>selectedFeedPrice: 10.00, Symbol: IBM</t>
  </si>
  <si>
    <t>Tradenew</t>
  </si>
  <si>
    <t>quantity: 77.00, accountLongName: Allocation2, Symbol: IBM</t>
  </si>
  <si>
    <t>TradeQuantity-123</t>
  </si>
  <si>
    <t>quantity: 77.00, Symbol: IBM</t>
  </si>
  <si>
    <t>Trade3</t>
  </si>
  <si>
    <t>Multiple</t>
  </si>
  <si>
    <t>quantity: 77.00, avgPrice: 10.00, selectedFeedPrice: 10.00, netMarketValueBase: -770.00, netExposureLocal: -770.00, Symbol: IBM</t>
  </si>
  <si>
    <t>Trade level-AJ</t>
  </si>
  <si>
    <t>quantity: 77.00, avgPrice: 10.00, selectedFeedPrice: 10.00, dayPnLBase: -0.00, dayPnLLocal: -0.00, costBasisPnLBase: 0.00, costBasisPnLLocal: 0.00, netMarketValueBase: -770.00, netMarketValueLocal: -770.00, grossExposureBase: 770.00, grossExposureLocal: 770.00, Symbol: IBM</t>
  </si>
  <si>
    <t>Quantity_Check_Rule_1000_1001</t>
  </si>
  <si>
    <t>Quantity Check Rule</t>
  </si>
  <si>
    <t>Symbol: IBM , quantity: 77.00, Symbol: IBM</t>
  </si>
  <si>
    <t>Quantity_Check_Rule_1000</t>
  </si>
  <si>
    <t>QuantityNE-123</t>
  </si>
  <si>
    <t>TradeQuantityZero</t>
  </si>
  <si>
    <t>Quantity_Check_Rule_1001</t>
  </si>
  <si>
    <t>Quantity_Check_Rule</t>
  </si>
  <si>
    <t>Notional123</t>
  </si>
  <si>
    <t>quantity: 77.00, avgPrice: 10.00, notionalBase: -770.00, notionalLocal: -770.00, selectedFeedPrice: 10.00, Symbol: IBM</t>
  </si>
  <si>
    <t>LiveStopLimit</t>
  </si>
  <si>
    <t>avgPrice: 10.00, cashImpactBase: 770.00, cashImpactLocal: 770.00, Symbol: IBM</t>
  </si>
  <si>
    <t>Demo</t>
  </si>
  <si>
    <t>avgPrice: 10.00, Symbol: IBM</t>
  </si>
  <si>
    <t>NMVGreater</t>
  </si>
  <si>
    <t>Global</t>
  </si>
  <si>
    <t>N.A.</t>
  </si>
  <si>
    <t>new_rule</t>
  </si>
  <si>
    <t>FX_RateCheck</t>
  </si>
  <si>
    <t>quantity: 137.00, accountLongName: Allocation3, Symbol: IBM</t>
  </si>
  <si>
    <t>quantity: 137.00, Symbol: IBM</t>
  </si>
  <si>
    <t>quantity: 137.00, avgPrice: 10.00, selectedFeedPrice: 10.00, netMarketValueBase: -1,370.00, netExposureLocal: -1,370.00, Symbol: IBM</t>
  </si>
  <si>
    <t>quantity: 137.00, avgPrice: 10.00, selectedFeedPrice: 10.00, dayPnLBase: -0.00, dayPnLLocal: -0.00, costBasisPnLBase: 0.00, costBasisPnLLocal: 0.00, netMarketValueBase: -1,370.00, netMarketValueLocal: -1,370.00, grossExposureBase: 1,370.00, grossExposureLocal: 1,370.00, Symbol: IBM</t>
  </si>
  <si>
    <t>Symbol: IBM , quantity: 137.00, Symbol: IBM</t>
  </si>
  <si>
    <t>TradeQuantity100</t>
  </si>
  <si>
    <t>Quantity_Check_100</t>
  </si>
  <si>
    <t>quantity: 137.00, avgPrice: 10.00, notionalBase: -1,370.00, notionalLocal: -1,370.00, selectedFeedPrice: 10.00, Symbol: IBM</t>
  </si>
  <si>
    <t>avgPrice: 10.00, cashImpactBase: 1,370.00, cashImpactLocal: 1,370.00, Symbol: IBM</t>
  </si>
  <si>
    <t>Set</t>
  </si>
  <si>
    <t>quantity: 78.00, accountLongName: Allocation2, Symbol: IBM</t>
  </si>
  <si>
    <t>quantity: 78.00, Symbol: IBM</t>
  </si>
  <si>
    <t>quantity: 78.00, avgPrice: 10.00, selectedFeedPrice: 10.00, netMarketValueBase: -780.00, netExposureLocal: -780.00, Symbol: IBM</t>
  </si>
  <si>
    <t>quantity: 78.00, avgPrice: 10.00, selectedFeedPrice: 10.00, dayPnLBase: -0.00, dayPnLLocal: -0.00, costBasisPnLBase: 0.00, costBasisPnLLocal: 0.00, netMarketValueBase: -780.00, netMarketValueLocal: -780.00, grossExposureBase: 780.00, grossExposureLocal: 780.00, Symbol: IBM</t>
  </si>
  <si>
    <t>Symbol: IBM , quantity: 78.00, Symbol: IBM</t>
  </si>
  <si>
    <t>quantity: 78.00, avgPrice: 10.00, notionalBase: -780.00, notionalLocal: -780.00, selectedFeedPrice: 10.00, Symbol: IBM</t>
  </si>
  <si>
    <t>avgPrice: 10.00, cashImpactBase: 780.00, cashImpactLocal: 780.00, Symbol: IBM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</si>
</sst>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horizontal="right" readingOrder="0"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right" vertical="bottom"/>
    </xf>
    <xf borderId="0" fillId="0" fontId="5" numFmtId="4" xfId="0" applyAlignment="1" applyFont="1" applyNumberFormat="1">
      <alignment readingOrder="0" shrinkToFit="0" wrapText="0"/>
    </xf>
    <xf borderId="0" fillId="0" fontId="2" numFmtId="4" xfId="0" applyAlignment="1" applyFont="1" applyNumberFormat="1">
      <alignment readingOrder="0"/>
    </xf>
    <xf borderId="0" fillId="0" fontId="5" numFmtId="4" xfId="0" applyAlignment="1" applyFont="1" applyNumberForma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 t="str">
        <f>IFERROR(__xludf.DUMMYFUNCTION("""COMPUTED_VALUE"""),"BasketPermission")</f>
        <v>BasketPermission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IFERROR(__xludf.DUMMYFUNCTION("""COMPUTED_VALUE"""),"TT")</f>
        <v>TT</v>
      </c>
      <c r="C5" s="27" t="str">
        <f>IFERROR(__xludf.DUMMYFUNCTION("""COMPUTED_VALUE"""),"PTT")</f>
        <v>PTT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b">
        <v>1</v>
      </c>
      <c r="C6" s="32" t="b">
        <v>1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SetDollarAmountPermission!$4:$4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IFERROR(__xludf.DUMMYFUNCTION("""COMPUTED_VALUE"""),"ValidateCheckSide")</f>
        <v>ValidateCheckSide</v>
      </c>
      <c r="C5" s="27" t="str">
        <f>IFERROR(__xludf.DUMMYFUNCTION("""COMPUTED_VALUE"""),"DisabledChecksideAssets")</f>
        <v>DisabledChecksideAssets</v>
      </c>
      <c r="D5" s="27" t="str">
        <f>IFERROR(__xludf.DUMMYFUNCTION("""COMPUTED_VALUE"""),"PrecisionValue")</f>
        <v>PrecisionValue</v>
      </c>
      <c r="E5" s="27" t="str">
        <f>IFERROR(__xludf.DUMMYFUNCTION("""COMPUTED_VALUE"""),"UseCommissionInNetAmount")</f>
        <v>UseCommissionInNetAmount</v>
      </c>
      <c r="F5" s="28" t="str">
        <f>IFERROR(__xludf.DUMMYFUNCTION("""COMPUTED_VALUE"""),"SaveWithoutState")</f>
        <v>SaveWithoutState</v>
      </c>
      <c r="G5" s="27" t="str">
        <f>IFERROR(__xludf.DUMMYFUNCTION("""COMPUTED_VALUE"""),"SaveWithState")</f>
        <v>SaveWithState</v>
      </c>
      <c r="H5" s="27" t="str">
        <f>IFERROR(__xludf.DUMMYFUNCTION("""COMPUTED_VALUE"""),"ClearQuantities")</f>
        <v>ClearQuantities</v>
      </c>
      <c r="I5" s="27" t="str">
        <f>IFERROR(__xludf.DUMMYFUNCTION("""COMPUTED_VALUE"""),"ReapplyAllocation")</f>
        <v>ReapplyAllocation</v>
      </c>
      <c r="J5" s="27" t="str">
        <f>IFERROR(__xludf.DUMMYFUNCTION("""COMPUTED_VALUE"""),"DefaultAllocation")</f>
        <v>DefaultAllocation</v>
      </c>
      <c r="K5" s="27" t="str">
        <f>IFERROR(__xludf.DUMMYFUNCTION("""COMPUTED_VALUE"""),"IsCustomPreference")</f>
        <v>IsCustomPreference</v>
      </c>
      <c r="L5" s="27" t="str">
        <f>IFERROR(__xludf.DUMMYFUNCTION("""COMPUTED_VALUE"""),"AllocationMethod")</f>
        <v>AllocationMethod</v>
      </c>
      <c r="M5" s="27" t="str">
        <f>IFERROR(__xludf.DUMMYFUNCTION("""COMPUTED_VALUE"""),"RemainderAllocationTo")</f>
        <v>RemainderAllocationTo</v>
      </c>
      <c r="N5" s="27" t="str">
        <f>IFERROR(__xludf.DUMMYFUNCTION("""COMPUTED_VALUE"""),"Target%AsOf")</f>
        <v>Target%AsOf</v>
      </c>
      <c r="O5" s="27" t="str">
        <f>IFERROR(__xludf.DUMMYFUNCTION("""COMPUTED_VALUE"""),"ProrataAccounts")</f>
        <v>ProrataAccounts</v>
      </c>
      <c r="P5" s="27" t="str">
        <f>IFERROR(__xludf.DUMMYFUNCTION("""COMPUTED_VALUE"""),"DateUptoDays")</f>
        <v>DateUptoDays</v>
      </c>
      <c r="Q5" s="27" t="str">
        <f>IFERROR(__xludf.DUMMYFUNCTION("""COMPUTED_VALUE"""),"MatchClosing")</f>
        <v>MatchClosing</v>
      </c>
      <c r="R5" s="27" t="str">
        <f>IFERROR(__xludf.DUMMYFUNCTION("""COMPUTED_VALUE"""),"CommissionAlertOnBrokerChange")</f>
        <v>CommissionAlertOnBrokerChange</v>
      </c>
      <c r="S5" s="27" t="str">
        <f>IFERROR(__xludf.DUMMYFUNCTION("""COMPUTED_VALUE"""),"RecalculateCommissionOnBrokerChange")</f>
        <v>RecalculateCommissionOnBrokerChange</v>
      </c>
      <c r="T5" s="29" t="str">
        <f>IFERROR(__xludf.DUMMYFUNCTION("""COMPUTED_VALUE"""),"CommissionAlertOnAllocation")</f>
        <v>CommissionAlertOnAllocation</v>
      </c>
      <c r="U5" s="29" t="str">
        <f>IFERROR(__xludf.DUMMYFUNCTION("""COMPUTED_VALUE"""),"RecalculateCommissionOnAllocation")</f>
        <v>RecalculateCommissionOnAllocation</v>
      </c>
      <c r="V5" s="29" t="str">
        <f>IFERROR(__xludf.DUMMYFUNCTION("""COMPUTED_VALUE"""),"EnableMasterFund")</f>
        <v>EnableMasterFund</v>
      </c>
      <c r="W5" s="29" t="str">
        <f>IFERROR(__xludf.DUMMYFUNCTION("""COMPUTED_VALUE"""),"1MasterFund/1Symbol")</f>
        <v>1MasterFund/1Symbol</v>
      </c>
      <c r="X5" s="29" t="str">
        <f>IFERROR(__xludf.DUMMYFUNCTION("""COMPUTED_VALUE"""),"ProrataSchemeName")</f>
        <v>ProrataSchemeName</v>
      </c>
      <c r="Y5" s="29" t="str">
        <f>IFERROR(__xludf.DUMMYFUNCTION("""COMPUTED_VALUE"""),"ProrataAllocationSchemeBasis")</f>
        <v>ProrataAllocationSchemeBasis</v>
      </c>
      <c r="Z5" s="29" t="str">
        <f>IFERROR(__xludf.DUMMYFUNCTION("""COMPUTED_VALUE"""),"ShowAdvancedProrataUI")</f>
        <v>ShowAdvancedProrataUI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3"/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4" t="b">
        <v>1</v>
      </c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SetGeneralPreferences!$4:$4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19</v>
      </c>
      <c r="C6" s="8"/>
      <c r="D6" s="12"/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AddMFPreferences!$4:$4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IFERROR(__xludf.DUMMYFUNCTION("""COMPUTED_VALUE"""),"RemainderAllocationTo")</f>
        <v>RemainderAllocationTo</v>
      </c>
      <c r="C5" s="27" t="str">
        <f>IFERROR(__xludf.DUMMYFUNCTION("""COMPUTED_VALUE"""),"Target%AsOf")</f>
        <v>Target%AsOf</v>
      </c>
      <c r="D5" s="27" t="str">
        <f>IFERROR(__xludf.DUMMYFUNCTION("""COMPUTED_VALUE"""),"ProrataAccounts")</f>
        <v>ProrataAccounts</v>
      </c>
      <c r="E5" s="27" t="str">
        <f>IFERROR(__xludf.DUMMYFUNCTION("""COMPUTED_VALUE"""),"DateUptoDays")</f>
        <v>DateUptoDays</v>
      </c>
      <c r="F5" s="28" t="str">
        <f>IFERROR(__xludf.DUMMYFUNCTION("""COMPUTED_VALUE"""),"PreferenceName")</f>
        <v>PreferenceName</v>
      </c>
      <c r="G5" s="27" t="str">
        <f>IFERROR(__xludf.DUMMYFUNCTION("""COMPUTED_VALUE"""),"MatchClosingTransaction")</f>
        <v>MatchClosingTransaction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6" t="s">
        <v>21</v>
      </c>
      <c r="D6" s="30"/>
      <c r="E6" s="33"/>
      <c r="F6" s="36" t="s">
        <v>19</v>
      </c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SetMFPreferencesDefaultRule!$4:$4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IFERROR(__xludf.DUMMYFUNCTION("""COMPUTED_VALUE"""),"MasterFundName")</f>
        <v>MasterFundName</v>
      </c>
      <c r="D5" s="27" t="str">
        <f>IFERROR(__xludf.DUMMYFUNCTION("""COMPUTED_VALUE"""),"TargetPercentage")</f>
        <v>TargetPercentage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7" t="s">
        <v>19</v>
      </c>
      <c r="C6" s="36" t="s">
        <v>23</v>
      </c>
      <c r="D6" s="38">
        <v>50.0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6" t="s">
        <v>19</v>
      </c>
      <c r="C7" s="36" t="s">
        <v>24</v>
      </c>
      <c r="D7" s="39">
        <v>50.0</v>
      </c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SetMFPrefFundDistribution!$4:$4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IFERROR(__xludf.DUMMYFUNCTION("""COMPUTED_VALUE"""),"MasterFund")</f>
        <v>MasterFund</v>
      </c>
      <c r="D5" s="27" t="str">
        <f>IFERROR(__xludf.DUMMYFUNCTION("""COMPUTED_VALUE"""),"AccountName")</f>
        <v>AccountName</v>
      </c>
      <c r="E5" s="27" t="str">
        <f>IFERROR(__xludf.DUMMYFUNCTION("""COMPUTED_VALUE"""),"Percentage")</f>
        <v>Percentage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7" t="s">
        <v>19</v>
      </c>
      <c r="C6" s="36" t="s">
        <v>23</v>
      </c>
      <c r="D6" s="37" t="s">
        <v>26</v>
      </c>
      <c r="E6" s="39">
        <v>50.0</v>
      </c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6" t="s">
        <v>19</v>
      </c>
      <c r="C7" s="36" t="s">
        <v>23</v>
      </c>
      <c r="D7" s="36" t="s">
        <v>27</v>
      </c>
      <c r="E7" s="39">
        <v>50.0</v>
      </c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SetMFPrefAccountValues!$4:$4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IFERROR(__xludf.DUMMYFUNCTION("""COMPUTED_VALUE"""),"MasterFund")</f>
        <v>MasterFund</v>
      </c>
      <c r="D5" s="27" t="str">
        <f>IFERROR(__xludf.DUMMYFUNCTION("""COMPUTED_VALUE"""),"AllocationMethod")</f>
        <v>AllocationMethod</v>
      </c>
      <c r="E5" s="27" t="str">
        <f>IFERROR(__xludf.DUMMYFUNCTION("""COMPUTED_VALUE"""),"RemainderAllocationTo")</f>
        <v>RemainderAllocationTo</v>
      </c>
      <c r="F5" s="28" t="str">
        <f>IFERROR(__xludf.DUMMYFUNCTION("""COMPUTED_VALUE"""),"Target%AsOf")</f>
        <v>Target%AsOf</v>
      </c>
      <c r="G5" s="27" t="str">
        <f>IFERROR(__xludf.DUMMYFUNCTION("""COMPUTED_VALUE"""),"ProrataAccounts")</f>
        <v>ProrataAccounts</v>
      </c>
      <c r="H5" s="27" t="str">
        <f>IFERROR(__xludf.DUMMYFUNCTION("""COMPUTED_VALUE"""),"DateUptoDays")</f>
        <v>DateUptoDays</v>
      </c>
      <c r="I5" s="27" t="str">
        <f>IFERROR(__xludf.DUMMYFUNCTION("""COMPUTED_VALUE"""),"MatchClosingTransactions")</f>
        <v>MatchClosingTransactions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7" t="s">
        <v>19</v>
      </c>
      <c r="C6" s="33"/>
      <c r="D6" s="37" t="s">
        <v>29</v>
      </c>
      <c r="E6" s="33"/>
      <c r="F6" s="36" t="s">
        <v>21</v>
      </c>
      <c r="G6" s="33"/>
      <c r="H6" s="33"/>
      <c r="I6" s="32" t="b">
        <v>0</v>
      </c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SetMFPrefFundDefaultRule!$4:$4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IFERROR(__xludf.DUMMYFUNCTION("""COMPUTED_VALUE"""),"MasterFund")</f>
        <v>MasterFund</v>
      </c>
      <c r="D5" s="27" t="str">
        <f>IFERROR(__xludf.DUMMYFUNCTION("""COMPUTED_VALUE"""),"AccountName")</f>
        <v>AccountName</v>
      </c>
      <c r="E5" s="27" t="str">
        <f>IFERROR(__xludf.DUMMYFUNCTION("""COMPUTED_VALUE"""),"Percentage")</f>
        <v>Percentage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7" t="s">
        <v>19</v>
      </c>
      <c r="C6" s="36" t="s">
        <v>24</v>
      </c>
      <c r="D6" s="37" t="s">
        <v>30</v>
      </c>
      <c r="E6" s="39">
        <v>50.0</v>
      </c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6" t="s">
        <v>19</v>
      </c>
      <c r="C7" s="36" t="s">
        <v>24</v>
      </c>
      <c r="D7" s="36" t="s">
        <v>31</v>
      </c>
      <c r="E7" s="39">
        <v>50.0</v>
      </c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SetMFPrefAccountValues1!$4:$4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IFERROR(__xludf.DUMMYFUNCTION("""COMPUTED_VALUE"""),"MasterFund")</f>
        <v>MasterFund</v>
      </c>
      <c r="D5" s="27" t="str">
        <f>IFERROR(__xludf.DUMMYFUNCTION("""COMPUTED_VALUE"""),"AllocationMethod")</f>
        <v>AllocationMethod</v>
      </c>
      <c r="E5" s="27" t="str">
        <f>IFERROR(__xludf.DUMMYFUNCTION("""COMPUTED_VALUE"""),"RemainderAllocationTo")</f>
        <v>RemainderAllocationTo</v>
      </c>
      <c r="F5" s="28" t="str">
        <f>IFERROR(__xludf.DUMMYFUNCTION("""COMPUTED_VALUE"""),"Target%AsOf")</f>
        <v>Target%AsOf</v>
      </c>
      <c r="G5" s="27" t="str">
        <f>IFERROR(__xludf.DUMMYFUNCTION("""COMPUTED_VALUE"""),"ProrataAccounts")</f>
        <v>ProrataAccounts</v>
      </c>
      <c r="H5" s="27" t="str">
        <f>IFERROR(__xludf.DUMMYFUNCTION("""COMPUTED_VALUE"""),"DateUptoDays")</f>
        <v>DateUptoDays</v>
      </c>
      <c r="I5" s="27" t="str">
        <f>IFERROR(__xludf.DUMMYFUNCTION("""COMPUTED_VALUE"""),"MatchClosingTransactions")</f>
        <v>MatchClosingTransactions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7" t="s">
        <v>19</v>
      </c>
      <c r="C6" s="33"/>
      <c r="D6" s="37" t="s">
        <v>29</v>
      </c>
      <c r="E6" s="33"/>
      <c r="F6" s="36" t="s">
        <v>21</v>
      </c>
      <c r="G6" s="33"/>
      <c r="H6" s="33"/>
      <c r="I6" s="32" t="b">
        <v>0</v>
      </c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SetMFPrefFundDefaultRule1!$4:$4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 t="str">
        <f>IFERROR(__xludf.DUMMYFUNCTION("""COMPUTED_VALUE"""),"VerifyTradeSummary")</f>
        <v>VerifyTradeSummary</v>
      </c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IFERROR(__xludf.DUMMYFUNCTION("""COMPUTED_VALUE"""),"Add/Set")</f>
        <v>Add/Set</v>
      </c>
      <c r="D5" s="27" t="str">
        <f>IFERROR(__xludf.DUMMYFUNCTION("""COMPUTED_VALUE"""),"Type")</f>
        <v>Type</v>
      </c>
      <c r="E5" s="27" t="str">
        <f>IFERROR(__xludf.DUMMYFUNCTION("""COMPUTED_VALUE"""),"Target")</f>
        <v>Target</v>
      </c>
      <c r="F5" s="28" t="str">
        <f>IFERROR(__xludf.DUMMYFUNCTION("""COMPUTED_VALUE"""),"Price")</f>
        <v>Price</v>
      </c>
      <c r="G5" s="27" t="str">
        <f>IFERROR(__xludf.DUMMYFUNCTION("""COMPUTED_VALUE"""),"Combined Account Total")</f>
        <v>Combined Account Total</v>
      </c>
      <c r="H5" s="27" t="str">
        <f>IFERROR(__xludf.DUMMYFUNCTION("""COMPUTED_VALUE"""),"MasterFund/Account")</f>
        <v>MasterFund/Account</v>
      </c>
      <c r="I5" s="27" t="str">
        <f>IFERROR(__xludf.DUMMYFUNCTION("""COMPUTED_VALUE"""),"Accounts")</f>
        <v>Accounts</v>
      </c>
      <c r="J5" s="27" t="str">
        <f>IFERROR(__xludf.DUMMYFUNCTION("""COMPUTED_VALUE"""),"Master Funds")</f>
        <v>Master Funds</v>
      </c>
      <c r="K5" s="27" t="str">
        <f>IFERROR(__xludf.DUMMYFUNCTION("""COMPUTED_VALUE"""),"Round Lots")</f>
        <v>Round Lots</v>
      </c>
      <c r="L5" s="27" t="str">
        <f>IFERROR(__xludf.DUMMYFUNCTION("""COMPUTED_VALUE"""),"Use Custodian Broker")</f>
        <v>Use Custodian Broker</v>
      </c>
      <c r="M5" s="27" t="str">
        <f>IFERROR(__xludf.DUMMYFUNCTION("""COMPUTED_VALUE"""),"Broker")</f>
        <v>Broker</v>
      </c>
      <c r="N5" s="27" t="str">
        <f>IFERROR(__xludf.DUMMYFUNCTION("""COMPUTED_VALUE"""),"Venue")</f>
        <v>Venue</v>
      </c>
      <c r="O5" s="27" t="str">
        <f>IFERROR(__xludf.DUMMYFUNCTION("""COMPUTED_VALUE"""),"TIF")</f>
        <v>TIF</v>
      </c>
      <c r="P5" s="27" t="str">
        <f>IFERROR(__xludf.DUMMYFUNCTION("""COMPUTED_VALUE"""),"Order Type")</f>
        <v>Order Type</v>
      </c>
      <c r="Q5" s="27" t="str">
        <f>IFERROR(__xludf.DUMMYFUNCTION("""COMPUTED_VALUE"""),"Stop")</f>
        <v>Stop</v>
      </c>
      <c r="R5" s="27" t="str">
        <f>IFERROR(__xludf.DUMMYFUNCTION("""COMPUTED_VALUE"""),"Limit")</f>
        <v>Limit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7" t="s">
        <v>34</v>
      </c>
      <c r="C6" s="40" t="s">
        <v>35</v>
      </c>
      <c r="D6" s="37" t="s">
        <v>36</v>
      </c>
      <c r="E6" s="41">
        <v>10000.0</v>
      </c>
      <c r="F6" s="39">
        <v>10.0</v>
      </c>
      <c r="G6" s="40" t="s">
        <v>37</v>
      </c>
      <c r="H6" s="36" t="s">
        <v>38</v>
      </c>
      <c r="I6" s="36" t="s">
        <v>19</v>
      </c>
      <c r="J6" s="33"/>
      <c r="K6" s="40" t="s">
        <v>39</v>
      </c>
      <c r="L6" s="33"/>
      <c r="M6" s="33"/>
      <c r="N6" s="33"/>
      <c r="O6" s="33"/>
      <c r="P6" s="33" t="s">
        <v>40</v>
      </c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CalculatePTT!$4:$4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 t="str">
        <f>IFERROR(__xludf.DUMMYFUNCTION("""COMPUTED_VALUE"""),"VerifyTradeSummary")</f>
        <v>VerifyTradeSummary</v>
      </c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IFERROR(__xludf.DUMMYFUNCTION("""COMPUTED_VALUE"""),"Account NAV")</f>
        <v>Account NAV</v>
      </c>
      <c r="D5" s="27" t="str">
        <f>IFERROR(__xludf.DUMMYFUNCTION("""COMPUTED_VALUE"""),"Starting Position")</f>
        <v>Starting Position</v>
      </c>
      <c r="E5" s="27" t="str">
        <f>IFERROR(__xludf.DUMMYFUNCTION("""COMPUTED_VALUE"""),"Starting Value")</f>
        <v>Starting Value</v>
      </c>
      <c r="F5" s="28" t="str">
        <f>IFERROR(__xludf.DUMMYFUNCTION("""COMPUTED_VALUE"""),"Starting %")</f>
        <v>Starting %</v>
      </c>
      <c r="G5" s="27" t="str">
        <f>IFERROR(__xludf.DUMMYFUNCTION("""COMPUTED_VALUE"""),"% Change")</f>
        <v>% Change</v>
      </c>
      <c r="H5" s="27" t="str">
        <f>IFERROR(__xludf.DUMMYFUNCTION("""COMPUTED_VALUE"""),"Ending %")</f>
        <v>Ending %</v>
      </c>
      <c r="I5" s="27" t="str">
        <f>IFERROR(__xludf.DUMMYFUNCTION("""COMPUTED_VALUE"""),"Trade Quantity")</f>
        <v>Trade Quantity</v>
      </c>
      <c r="J5" s="27" t="str">
        <f>IFERROR(__xludf.DUMMYFUNCTION("""COMPUTED_VALUE"""),"Ending Position")</f>
        <v>Ending Position</v>
      </c>
      <c r="K5" s="27" t="str">
        <f>IFERROR(__xludf.DUMMYFUNCTION("""COMPUTED_VALUE"""),"Ending Value")</f>
        <v>Ending Value</v>
      </c>
      <c r="L5" s="27" t="str">
        <f>IFERROR(__xludf.DUMMYFUNCTION("""COMPUTED_VALUE"""),"% Allocation")</f>
        <v>% Allocation</v>
      </c>
      <c r="M5" s="27" t="str">
        <f>IFERROR(__xludf.DUMMYFUNCTION("""COMPUTED_VALUE"""),"Fx Rate")</f>
        <v>Fx Rate</v>
      </c>
      <c r="N5" s="27" t="str">
        <f>IFERROR(__xludf.DUMMYFUNCTION("""COMPUTED_VALUE"""),"Starting BP")</f>
        <v>Starting BP</v>
      </c>
      <c r="O5" s="27" t="str">
        <f>IFERROR(__xludf.DUMMYFUNCTION("""COMPUTED_VALUE"""),"BP Change")</f>
        <v>BP Change</v>
      </c>
      <c r="P5" s="27" t="str">
        <f>IFERROR(__xludf.DUMMYFUNCTION("""COMPUTED_VALUE"""),"Ending BP")</f>
        <v>Ending BP</v>
      </c>
      <c r="Q5" s="27" t="str">
        <f>IFERROR(__xludf.DUMMYFUNCTION("""COMPUTED_VALUE"""),"MasterFund Name")</f>
        <v>MasterFund Name</v>
      </c>
      <c r="R5" s="27" t="str">
        <f>IFERROR(__xludf.DUMMYFUNCTION("""COMPUTED_VALUE"""),"Order Side")</f>
        <v>Order Side</v>
      </c>
      <c r="S5" s="27" t="str">
        <f>IFERROR(__xludf.DUMMYFUNCTION("""COMPUTED_VALUE"""),"Round Lots")</f>
        <v>Round Lots</v>
      </c>
      <c r="T5" s="29" t="str">
        <f>IFERROR(__xludf.DUMMYFUNCTION("""COMPUTED_VALUE"""),"Verify RoundLots In Input Parameters")</f>
        <v>Verify RoundLots In Input Parameters</v>
      </c>
      <c r="U5" s="29" t="str">
        <f>IFERROR(__xludf.DUMMYFUNCTION("""COMPUTED_VALUE"""),"Change Amt")</f>
        <v>Change Amt</v>
      </c>
      <c r="V5" s="29" t="str">
        <f>IFERROR(__xludf.DUMMYFUNCTION("""COMPUTED_VALUE"""),"Group")</f>
        <v>Group</v>
      </c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7" t="s">
        <v>27</v>
      </c>
      <c r="C6" s="39">
        <v>5578100.0</v>
      </c>
      <c r="D6" s="42">
        <v>0.0</v>
      </c>
      <c r="E6" s="33"/>
      <c r="F6" s="33"/>
      <c r="G6" s="33"/>
      <c r="H6" s="33"/>
      <c r="I6" s="41">
        <v>137.0</v>
      </c>
      <c r="J6" s="41">
        <v>137.0</v>
      </c>
      <c r="K6" s="41">
        <v>1370.0</v>
      </c>
      <c r="L6" s="33"/>
      <c r="M6" s="33"/>
      <c r="N6" s="33"/>
      <c r="O6" s="33"/>
      <c r="P6" s="33"/>
      <c r="Q6" s="33"/>
      <c r="R6" s="36" t="s">
        <v>42</v>
      </c>
      <c r="S6" s="4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6" t="s">
        <v>26</v>
      </c>
      <c r="C7" s="39">
        <v>4584156.9</v>
      </c>
      <c r="D7" s="42">
        <v>0.0</v>
      </c>
      <c r="E7" s="33"/>
      <c r="F7" s="33"/>
      <c r="G7" s="33"/>
      <c r="H7" s="33"/>
      <c r="I7" s="41">
        <v>112.0</v>
      </c>
      <c r="J7" s="41">
        <v>112.0</v>
      </c>
      <c r="K7" s="41">
        <v>1120.0</v>
      </c>
      <c r="L7" s="33"/>
      <c r="M7" s="33"/>
      <c r="N7" s="33"/>
      <c r="O7" s="33"/>
      <c r="P7" s="33"/>
      <c r="Q7" s="33"/>
      <c r="R7" s="36" t="s">
        <v>42</v>
      </c>
      <c r="S7" s="4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6" t="s">
        <v>30</v>
      </c>
      <c r="C8" s="39">
        <v>977150.0</v>
      </c>
      <c r="D8" s="42">
        <v>0.0</v>
      </c>
      <c r="E8" s="33"/>
      <c r="F8" s="33"/>
      <c r="G8" s="33"/>
      <c r="H8" s="33"/>
      <c r="I8" s="41">
        <v>77.0</v>
      </c>
      <c r="J8" s="41">
        <v>77.0</v>
      </c>
      <c r="K8" s="41">
        <v>770.0</v>
      </c>
      <c r="L8" s="33"/>
      <c r="M8" s="33"/>
      <c r="N8" s="33"/>
      <c r="O8" s="33"/>
      <c r="P8" s="33"/>
      <c r="Q8" s="33"/>
      <c r="R8" s="36" t="s">
        <v>42</v>
      </c>
      <c r="S8" s="4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33"/>
      <c r="B9" s="36" t="s">
        <v>31</v>
      </c>
      <c r="C9" s="39">
        <v>2160975.0</v>
      </c>
      <c r="D9" s="42">
        <v>0.0</v>
      </c>
      <c r="E9" s="33"/>
      <c r="F9" s="33"/>
      <c r="G9" s="33"/>
      <c r="H9" s="33"/>
      <c r="I9" s="41">
        <v>172.0</v>
      </c>
      <c r="J9" s="41">
        <v>172.0</v>
      </c>
      <c r="K9" s="41">
        <v>1720.0</v>
      </c>
      <c r="L9" s="33"/>
      <c r="M9" s="33"/>
      <c r="N9" s="33"/>
      <c r="O9" s="33"/>
      <c r="P9" s="33"/>
      <c r="Q9" s="33"/>
      <c r="R9" s="36" t="s">
        <v>42</v>
      </c>
      <c r="S9" s="4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43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 t="str">
        <f>IFERROR(__xludf.DUMMYFUNCTION("""COMPUTED_VALUE"""),"VerifyTradeSummary")</f>
        <v>VerifyTradeSummary</v>
      </c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IFERROR(__xludf.DUMMYFUNCTION("""COMPUTED_VALUE"""),"Alert Type")</f>
        <v>Alert Type</v>
      </c>
      <c r="C5" s="27" t="str">
        <f>IFERROR(__xludf.DUMMYFUNCTION("""COMPUTED_VALUE"""),"Rule Name")</f>
        <v>Rule Name</v>
      </c>
      <c r="D5" s="27" t="str">
        <f>IFERROR(__xludf.DUMMYFUNCTION("""COMPUTED_VALUE"""),"Description of Rule")</f>
        <v>Description of Rule</v>
      </c>
      <c r="E5" s="27" t="str">
        <f>IFERROR(__xludf.DUMMYFUNCTION("""COMPUTED_VALUE"""),"Dimensions")</f>
        <v>Dimensions</v>
      </c>
      <c r="F5" s="28" t="str">
        <f>IFERROR(__xludf.DUMMYFUNCTION("""COMPUTED_VALUE"""),"Threshold")</f>
        <v>Threshold</v>
      </c>
      <c r="G5" s="27" t="str">
        <f>IFERROR(__xludf.DUMMYFUNCTION("""COMPUTED_VALUE"""),"Actual Result")</f>
        <v>Actual Result</v>
      </c>
      <c r="H5" s="27" t="str">
        <f>IFERROR(__xludf.DUMMYFUNCTION("""COMPUTED_VALUE"""),"Comments")</f>
        <v>Comments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44</v>
      </c>
      <c r="C6" s="12" t="s">
        <v>45</v>
      </c>
      <c r="D6" s="12" t="s">
        <v>46</v>
      </c>
      <c r="E6" s="12" t="s">
        <v>34</v>
      </c>
      <c r="F6" s="44">
        <v>1234.0</v>
      </c>
      <c r="G6" s="12">
        <v>10.0</v>
      </c>
      <c r="H6" s="12" t="s">
        <v>47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44</v>
      </c>
      <c r="C7" s="12" t="s">
        <v>48</v>
      </c>
      <c r="D7" s="12" t="s">
        <v>46</v>
      </c>
      <c r="E7" s="12" t="s">
        <v>34</v>
      </c>
      <c r="F7" s="12">
        <v>0.0</v>
      </c>
      <c r="G7" s="12">
        <v>77.0</v>
      </c>
      <c r="H7" s="12" t="s">
        <v>49</v>
      </c>
      <c r="I7" s="8"/>
      <c r="J7" s="8"/>
      <c r="K7" s="8"/>
      <c r="L7" s="8"/>
      <c r="M7" s="8"/>
      <c r="N7" s="8"/>
      <c r="O7" s="8"/>
    </row>
    <row r="8" ht="15.75" customHeight="1">
      <c r="A8" s="8"/>
      <c r="B8" s="12" t="s">
        <v>44</v>
      </c>
      <c r="C8" s="12" t="s">
        <v>50</v>
      </c>
      <c r="D8" s="12" t="s">
        <v>46</v>
      </c>
      <c r="E8" s="12" t="s">
        <v>34</v>
      </c>
      <c r="F8" s="12">
        <v>-123.0</v>
      </c>
      <c r="G8" s="12">
        <v>77.0</v>
      </c>
      <c r="H8" s="12" t="s">
        <v>51</v>
      </c>
      <c r="I8" s="8"/>
      <c r="J8" s="8"/>
      <c r="K8" s="8"/>
      <c r="L8" s="8"/>
      <c r="M8" s="8"/>
      <c r="N8" s="8"/>
      <c r="O8" s="8"/>
    </row>
    <row r="9" ht="15.75" customHeight="1">
      <c r="A9" s="8"/>
      <c r="B9" s="12" t="s">
        <v>44</v>
      </c>
      <c r="C9" s="12" t="s">
        <v>52</v>
      </c>
      <c r="D9" s="12" t="s">
        <v>46</v>
      </c>
      <c r="E9" s="12" t="s">
        <v>34</v>
      </c>
      <c r="F9" s="12" t="s">
        <v>53</v>
      </c>
      <c r="G9" s="12" t="s">
        <v>53</v>
      </c>
      <c r="H9" s="12" t="s">
        <v>54</v>
      </c>
      <c r="I9" s="8"/>
      <c r="J9" s="8"/>
      <c r="K9" s="8"/>
      <c r="L9" s="8"/>
      <c r="M9" s="8"/>
      <c r="N9" s="8"/>
      <c r="O9" s="8"/>
    </row>
    <row r="10" ht="15.75" customHeight="1">
      <c r="A10" s="8"/>
      <c r="B10" s="12" t="s">
        <v>44</v>
      </c>
      <c r="C10" s="12" t="s">
        <v>55</v>
      </c>
      <c r="D10" s="12" t="s">
        <v>46</v>
      </c>
      <c r="E10" s="12" t="s">
        <v>34</v>
      </c>
      <c r="F10" s="12" t="s">
        <v>53</v>
      </c>
      <c r="G10" s="12" t="s">
        <v>53</v>
      </c>
      <c r="H10" s="12" t="s">
        <v>56</v>
      </c>
      <c r="I10" s="8"/>
      <c r="J10" s="8"/>
      <c r="K10" s="8"/>
      <c r="L10" s="8"/>
      <c r="M10" s="8"/>
      <c r="N10" s="8"/>
      <c r="O10" s="8"/>
    </row>
    <row r="11" ht="15.75" customHeight="1">
      <c r="A11" s="8"/>
      <c r="B11" s="12" t="s">
        <v>44</v>
      </c>
      <c r="C11" s="12" t="s">
        <v>57</v>
      </c>
      <c r="D11" s="12" t="s">
        <v>58</v>
      </c>
      <c r="E11" s="12" t="s">
        <v>34</v>
      </c>
      <c r="F11" s="44">
        <v>-1234.0</v>
      </c>
      <c r="G11" s="12">
        <v>77.0</v>
      </c>
      <c r="H11" s="12" t="s">
        <v>59</v>
      </c>
      <c r="I11" s="8"/>
      <c r="J11" s="8"/>
      <c r="K11" s="8"/>
      <c r="L11" s="8"/>
      <c r="M11" s="8"/>
      <c r="N11" s="8"/>
      <c r="O11" s="8"/>
    </row>
    <row r="12" ht="15.75" customHeight="1">
      <c r="A12" s="8"/>
      <c r="B12" s="12" t="s">
        <v>44</v>
      </c>
      <c r="C12" s="12" t="s">
        <v>60</v>
      </c>
      <c r="D12" s="12" t="s">
        <v>58</v>
      </c>
      <c r="E12" s="12" t="s">
        <v>34</v>
      </c>
      <c r="F12" s="44">
        <v>-1234.0</v>
      </c>
      <c r="G12" s="12">
        <v>77.0</v>
      </c>
      <c r="H12" s="12" t="s">
        <v>59</v>
      </c>
      <c r="I12" s="8"/>
      <c r="J12" s="8"/>
      <c r="K12" s="8"/>
      <c r="L12" s="8"/>
      <c r="M12" s="8"/>
      <c r="N12" s="8"/>
      <c r="O12" s="8"/>
    </row>
    <row r="13" ht="15.75" customHeight="1">
      <c r="A13" s="8"/>
      <c r="B13" s="12" t="s">
        <v>44</v>
      </c>
      <c r="C13" s="12" t="s">
        <v>61</v>
      </c>
      <c r="D13" s="12" t="s">
        <v>46</v>
      </c>
      <c r="E13" s="12" t="s">
        <v>34</v>
      </c>
      <c r="F13" s="12">
        <v>123.0</v>
      </c>
      <c r="G13" s="12">
        <v>77.0</v>
      </c>
      <c r="H13" s="12" t="s">
        <v>51</v>
      </c>
      <c r="I13" s="8"/>
      <c r="J13" s="8"/>
      <c r="K13" s="8"/>
      <c r="L13" s="8"/>
      <c r="M13" s="8"/>
      <c r="N13" s="8"/>
      <c r="O13" s="8"/>
    </row>
    <row r="14" ht="15.75" customHeight="1">
      <c r="A14" s="8"/>
      <c r="B14" s="12" t="s">
        <v>44</v>
      </c>
      <c r="C14" s="12" t="s">
        <v>62</v>
      </c>
      <c r="D14" s="12" t="s">
        <v>46</v>
      </c>
      <c r="E14" s="12" t="s">
        <v>34</v>
      </c>
      <c r="F14" s="12">
        <v>0.0</v>
      </c>
      <c r="G14" s="12">
        <v>77.0</v>
      </c>
      <c r="H14" s="12" t="s">
        <v>51</v>
      </c>
      <c r="I14" s="8"/>
      <c r="J14" s="8"/>
      <c r="K14" s="8"/>
      <c r="L14" s="8"/>
      <c r="M14" s="8"/>
      <c r="N14" s="8"/>
      <c r="O14" s="8"/>
    </row>
    <row r="15" ht="15.75" customHeight="1">
      <c r="A15" s="8"/>
      <c r="B15" s="12" t="s">
        <v>44</v>
      </c>
      <c r="C15" s="12" t="s">
        <v>63</v>
      </c>
      <c r="D15" s="12" t="s">
        <v>58</v>
      </c>
      <c r="E15" s="12" t="s">
        <v>34</v>
      </c>
      <c r="F15" s="12">
        <v>0.0</v>
      </c>
      <c r="G15" s="12">
        <v>77.0</v>
      </c>
      <c r="H15" s="12" t="s">
        <v>59</v>
      </c>
      <c r="I15" s="8"/>
      <c r="J15" s="8"/>
      <c r="K15" s="8"/>
      <c r="L15" s="8"/>
      <c r="M15" s="8"/>
      <c r="N15" s="8"/>
      <c r="O15" s="8"/>
    </row>
    <row r="16" ht="15.75" customHeight="1">
      <c r="A16" s="8"/>
      <c r="B16" s="12" t="s">
        <v>44</v>
      </c>
      <c r="C16" s="12" t="s">
        <v>64</v>
      </c>
      <c r="D16" s="12" t="s">
        <v>58</v>
      </c>
      <c r="E16" s="12" t="s">
        <v>34</v>
      </c>
      <c r="F16" s="12">
        <v>0.0</v>
      </c>
      <c r="G16" s="12">
        <v>77.0</v>
      </c>
      <c r="H16" s="12" t="s">
        <v>59</v>
      </c>
      <c r="I16" s="8"/>
      <c r="J16" s="8"/>
      <c r="K16" s="8"/>
      <c r="L16" s="8"/>
      <c r="M16" s="8"/>
      <c r="N16" s="8"/>
      <c r="O16" s="8"/>
    </row>
    <row r="17" ht="15.75" customHeight="1">
      <c r="A17" s="8"/>
      <c r="B17" s="12" t="s">
        <v>44</v>
      </c>
      <c r="C17" s="12" t="s">
        <v>65</v>
      </c>
      <c r="D17" s="12" t="s">
        <v>46</v>
      </c>
      <c r="E17" s="12" t="s">
        <v>34</v>
      </c>
      <c r="F17" s="12" t="s">
        <v>53</v>
      </c>
      <c r="G17" s="12" t="s">
        <v>53</v>
      </c>
      <c r="H17" s="12" t="s">
        <v>66</v>
      </c>
      <c r="I17" s="8"/>
      <c r="J17" s="8"/>
      <c r="K17" s="8"/>
      <c r="L17" s="8"/>
      <c r="M17" s="8"/>
      <c r="N17" s="8"/>
      <c r="O17" s="8"/>
    </row>
    <row r="18" ht="15.75" customHeight="1">
      <c r="A18" s="8"/>
      <c r="B18" s="12" t="s">
        <v>44</v>
      </c>
      <c r="C18" s="12" t="s">
        <v>67</v>
      </c>
      <c r="D18" s="12" t="s">
        <v>46</v>
      </c>
      <c r="E18" s="12" t="s">
        <v>34</v>
      </c>
      <c r="F18" s="12" t="s">
        <v>53</v>
      </c>
      <c r="G18" s="12" t="s">
        <v>53</v>
      </c>
      <c r="H18" s="12" t="s">
        <v>68</v>
      </c>
      <c r="I18" s="8"/>
      <c r="J18" s="8"/>
      <c r="K18" s="8"/>
      <c r="L18" s="8"/>
      <c r="M18" s="8"/>
      <c r="N18" s="8"/>
      <c r="O18" s="8"/>
    </row>
    <row r="19" ht="15.75" customHeight="1">
      <c r="A19" s="8"/>
      <c r="B19" s="12" t="s">
        <v>44</v>
      </c>
      <c r="C19" s="12" t="s">
        <v>69</v>
      </c>
      <c r="D19" s="12" t="s">
        <v>46</v>
      </c>
      <c r="E19" s="12" t="s">
        <v>34</v>
      </c>
      <c r="F19" s="12">
        <v>-123.0</v>
      </c>
      <c r="G19" s="12">
        <v>10.0</v>
      </c>
      <c r="H19" s="12" t="s">
        <v>70</v>
      </c>
      <c r="I19" s="8"/>
      <c r="J19" s="8"/>
      <c r="K19" s="8"/>
      <c r="L19" s="8"/>
      <c r="M19" s="8"/>
      <c r="N19" s="8"/>
      <c r="O19" s="8"/>
    </row>
    <row r="20" ht="15.75" customHeight="1">
      <c r="A20" s="8"/>
      <c r="B20" s="12" t="s">
        <v>44</v>
      </c>
      <c r="C20" s="12" t="s">
        <v>71</v>
      </c>
      <c r="D20" s="12" t="s">
        <v>46</v>
      </c>
      <c r="E20" s="12" t="s">
        <v>72</v>
      </c>
      <c r="F20" s="12" t="s">
        <v>73</v>
      </c>
      <c r="G20" s="12" t="s">
        <v>73</v>
      </c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12" t="s">
        <v>44</v>
      </c>
      <c r="C21" s="12" t="s">
        <v>74</v>
      </c>
      <c r="D21" s="12" t="s">
        <v>46</v>
      </c>
      <c r="E21" s="12" t="s">
        <v>72</v>
      </c>
      <c r="F21" s="12" t="s">
        <v>73</v>
      </c>
      <c r="G21" s="12" t="s">
        <v>73</v>
      </c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12" t="s">
        <v>44</v>
      </c>
      <c r="C22" s="12" t="s">
        <v>75</v>
      </c>
      <c r="D22" s="12" t="s">
        <v>46</v>
      </c>
      <c r="E22" s="12" t="s">
        <v>72</v>
      </c>
      <c r="F22" s="12" t="s">
        <v>73</v>
      </c>
      <c r="G22" s="12" t="s">
        <v>73</v>
      </c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12" t="s">
        <v>44</v>
      </c>
      <c r="C23" s="12" t="s">
        <v>71</v>
      </c>
      <c r="D23" s="12" t="s">
        <v>46</v>
      </c>
      <c r="E23" s="12" t="s">
        <v>72</v>
      </c>
      <c r="F23" s="12" t="s">
        <v>73</v>
      </c>
      <c r="G23" s="12" t="s">
        <v>73</v>
      </c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12" t="s">
        <v>44</v>
      </c>
      <c r="C24" s="12" t="s">
        <v>74</v>
      </c>
      <c r="D24" s="12" t="s">
        <v>46</v>
      </c>
      <c r="E24" s="12" t="s">
        <v>72</v>
      </c>
      <c r="F24" s="12" t="s">
        <v>73</v>
      </c>
      <c r="G24" s="12" t="s">
        <v>73</v>
      </c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12" t="s">
        <v>44</v>
      </c>
      <c r="C25" s="12" t="s">
        <v>75</v>
      </c>
      <c r="D25" s="12" t="s">
        <v>46</v>
      </c>
      <c r="E25" s="12" t="s">
        <v>72</v>
      </c>
      <c r="F25" s="12" t="s">
        <v>73</v>
      </c>
      <c r="G25" s="12" t="s">
        <v>73</v>
      </c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12" t="s">
        <v>44</v>
      </c>
      <c r="C26" s="12" t="s">
        <v>45</v>
      </c>
      <c r="D26" s="12" t="s">
        <v>46</v>
      </c>
      <c r="E26" s="12" t="s">
        <v>34</v>
      </c>
      <c r="F26" s="44">
        <v>1234.0</v>
      </c>
      <c r="G26" s="12">
        <v>10.0</v>
      </c>
      <c r="H26" s="12" t="s">
        <v>47</v>
      </c>
      <c r="I26" s="8"/>
      <c r="J26" s="8"/>
      <c r="K26" s="8"/>
      <c r="L26" s="8"/>
      <c r="M26" s="8"/>
      <c r="N26" s="8"/>
      <c r="O26" s="8"/>
    </row>
    <row r="27" ht="15.75" customHeight="1">
      <c r="B27" s="9" t="s">
        <v>44</v>
      </c>
      <c r="C27" s="9" t="s">
        <v>48</v>
      </c>
      <c r="D27" s="9" t="s">
        <v>46</v>
      </c>
      <c r="E27" s="9" t="s">
        <v>34</v>
      </c>
      <c r="F27" s="9">
        <v>0.0</v>
      </c>
      <c r="G27" s="9">
        <v>137.0</v>
      </c>
      <c r="H27" s="9" t="s">
        <v>76</v>
      </c>
    </row>
    <row r="28" ht="15.75" customHeight="1">
      <c r="B28" s="9" t="s">
        <v>44</v>
      </c>
      <c r="C28" s="9" t="s">
        <v>50</v>
      </c>
      <c r="D28" s="9" t="s">
        <v>46</v>
      </c>
      <c r="E28" s="9" t="s">
        <v>34</v>
      </c>
      <c r="F28" s="9">
        <v>-123.0</v>
      </c>
      <c r="G28" s="9">
        <v>137.0</v>
      </c>
      <c r="H28" s="9" t="s">
        <v>77</v>
      </c>
    </row>
    <row r="29" ht="15.75" customHeight="1">
      <c r="B29" s="9" t="s">
        <v>44</v>
      </c>
      <c r="C29" s="9" t="s">
        <v>52</v>
      </c>
      <c r="D29" s="9" t="s">
        <v>46</v>
      </c>
      <c r="E29" s="9" t="s">
        <v>34</v>
      </c>
      <c r="F29" s="9" t="s">
        <v>53</v>
      </c>
      <c r="G29" s="9" t="s">
        <v>53</v>
      </c>
      <c r="H29" s="9" t="s">
        <v>78</v>
      </c>
    </row>
    <row r="30" ht="15.75" customHeight="1">
      <c r="B30" s="9" t="s">
        <v>44</v>
      </c>
      <c r="C30" s="9" t="s">
        <v>55</v>
      </c>
      <c r="D30" s="9" t="s">
        <v>46</v>
      </c>
      <c r="E30" s="9" t="s">
        <v>34</v>
      </c>
      <c r="F30" s="9" t="s">
        <v>53</v>
      </c>
      <c r="G30" s="9" t="s">
        <v>53</v>
      </c>
      <c r="H30" s="9" t="s">
        <v>79</v>
      </c>
    </row>
    <row r="31" ht="15.75" customHeight="1">
      <c r="B31" s="9" t="s">
        <v>44</v>
      </c>
      <c r="C31" s="9" t="s">
        <v>57</v>
      </c>
      <c r="D31" s="9" t="s">
        <v>58</v>
      </c>
      <c r="E31" s="9" t="s">
        <v>34</v>
      </c>
      <c r="F31" s="45">
        <v>-1234.0</v>
      </c>
      <c r="G31" s="9">
        <v>137.0</v>
      </c>
      <c r="H31" s="9" t="s">
        <v>80</v>
      </c>
    </row>
    <row r="32" ht="15.75" customHeight="1">
      <c r="B32" s="9" t="s">
        <v>44</v>
      </c>
      <c r="C32" s="9" t="s">
        <v>60</v>
      </c>
      <c r="D32" s="9" t="s">
        <v>58</v>
      </c>
      <c r="E32" s="9" t="s">
        <v>34</v>
      </c>
      <c r="F32" s="45">
        <v>-1234.0</v>
      </c>
      <c r="G32" s="9">
        <v>137.0</v>
      </c>
      <c r="H32" s="9" t="s">
        <v>80</v>
      </c>
    </row>
    <row r="33" ht="15.75" customHeight="1">
      <c r="B33" s="9" t="s">
        <v>44</v>
      </c>
      <c r="C33" s="9" t="s">
        <v>81</v>
      </c>
      <c r="D33" s="9" t="s">
        <v>46</v>
      </c>
      <c r="E33" s="9" t="s">
        <v>34</v>
      </c>
      <c r="F33" s="9">
        <v>100.0</v>
      </c>
      <c r="G33" s="9">
        <v>137.0</v>
      </c>
      <c r="H33" s="9" t="s">
        <v>77</v>
      </c>
    </row>
    <row r="34" ht="15.75" customHeight="1">
      <c r="B34" s="9" t="s">
        <v>44</v>
      </c>
      <c r="C34" s="9" t="s">
        <v>82</v>
      </c>
      <c r="D34" s="9" t="s">
        <v>46</v>
      </c>
      <c r="E34" s="9" t="s">
        <v>34</v>
      </c>
      <c r="F34" s="9">
        <v>100.0</v>
      </c>
      <c r="G34" s="9">
        <v>137.0</v>
      </c>
      <c r="H34" s="9" t="s">
        <v>77</v>
      </c>
    </row>
    <row r="35" ht="15.75" customHeight="1">
      <c r="B35" s="9" t="s">
        <v>44</v>
      </c>
      <c r="C35" s="9" t="s">
        <v>61</v>
      </c>
      <c r="D35" s="9" t="s">
        <v>46</v>
      </c>
      <c r="E35" s="9" t="s">
        <v>34</v>
      </c>
      <c r="F35" s="9">
        <v>123.0</v>
      </c>
      <c r="G35" s="9">
        <v>137.0</v>
      </c>
      <c r="H35" s="9" t="s">
        <v>77</v>
      </c>
    </row>
    <row r="36" ht="15.75" customHeight="1">
      <c r="B36" s="9" t="s">
        <v>44</v>
      </c>
      <c r="C36" s="9" t="s">
        <v>62</v>
      </c>
      <c r="D36" s="9" t="s">
        <v>46</v>
      </c>
      <c r="E36" s="9" t="s">
        <v>34</v>
      </c>
      <c r="F36" s="9">
        <v>0.0</v>
      </c>
      <c r="G36" s="9">
        <v>137.0</v>
      </c>
      <c r="H36" s="9" t="s">
        <v>77</v>
      </c>
    </row>
    <row r="37" ht="15.75" customHeight="1">
      <c r="B37" s="9" t="s">
        <v>44</v>
      </c>
      <c r="C37" s="9" t="s">
        <v>63</v>
      </c>
      <c r="D37" s="9" t="s">
        <v>58</v>
      </c>
      <c r="E37" s="9" t="s">
        <v>34</v>
      </c>
      <c r="F37" s="9">
        <v>0.0</v>
      </c>
      <c r="G37" s="9">
        <v>137.0</v>
      </c>
      <c r="H37" s="9" t="s">
        <v>80</v>
      </c>
    </row>
    <row r="38" ht="15.75" customHeight="1">
      <c r="B38" s="9" t="s">
        <v>44</v>
      </c>
      <c r="C38" s="9" t="s">
        <v>64</v>
      </c>
      <c r="D38" s="9" t="s">
        <v>58</v>
      </c>
      <c r="E38" s="9" t="s">
        <v>34</v>
      </c>
      <c r="F38" s="9">
        <v>0.0</v>
      </c>
      <c r="G38" s="9">
        <v>137.0</v>
      </c>
      <c r="H38" s="9" t="s">
        <v>80</v>
      </c>
    </row>
    <row r="39" ht="15.75" customHeight="1">
      <c r="B39" s="9" t="s">
        <v>44</v>
      </c>
      <c r="C39" s="9" t="s">
        <v>65</v>
      </c>
      <c r="D39" s="9" t="s">
        <v>46</v>
      </c>
      <c r="E39" s="9" t="s">
        <v>34</v>
      </c>
      <c r="F39" s="9" t="s">
        <v>53</v>
      </c>
      <c r="G39" s="9" t="s">
        <v>53</v>
      </c>
      <c r="H39" s="9" t="s">
        <v>83</v>
      </c>
    </row>
    <row r="40" ht="15.75" customHeight="1">
      <c r="B40" s="9" t="s">
        <v>44</v>
      </c>
      <c r="C40" s="9" t="s">
        <v>67</v>
      </c>
      <c r="D40" s="9" t="s">
        <v>46</v>
      </c>
      <c r="E40" s="9" t="s">
        <v>34</v>
      </c>
      <c r="F40" s="9" t="s">
        <v>53</v>
      </c>
      <c r="G40" s="9" t="s">
        <v>53</v>
      </c>
      <c r="H40" s="9" t="s">
        <v>84</v>
      </c>
    </row>
    <row r="41" ht="15.75" customHeight="1">
      <c r="B41" s="9" t="s">
        <v>44</v>
      </c>
      <c r="C41" s="9" t="s">
        <v>69</v>
      </c>
      <c r="D41" s="9" t="s">
        <v>46</v>
      </c>
      <c r="E41" s="9" t="s">
        <v>34</v>
      </c>
      <c r="F41" s="9">
        <v>-123.0</v>
      </c>
      <c r="G41" s="9">
        <v>10.0</v>
      </c>
      <c r="H41" s="9" t="s">
        <v>70</v>
      </c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VerifyPTTCompliance!$4:$4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 t="str">
        <f>IFERROR(__xludf.DUMMYFUNCTION("""COMPUTED_VALUE"""),"VerifyTradeSummary")</f>
        <v>VerifyTradeSummary</v>
      </c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IFERROR(__xludf.DUMMYFUNCTION("""COMPUTED_VALUE"""),"Add/Set")</f>
        <v>Add/Set</v>
      </c>
      <c r="D5" s="27" t="str">
        <f>IFERROR(__xludf.DUMMYFUNCTION("""COMPUTED_VALUE"""),"Type")</f>
        <v>Type</v>
      </c>
      <c r="E5" s="27" t="str">
        <f>IFERROR(__xludf.DUMMYFUNCTION("""COMPUTED_VALUE"""),"Target")</f>
        <v>Target</v>
      </c>
      <c r="F5" s="28" t="str">
        <f>IFERROR(__xludf.DUMMYFUNCTION("""COMPUTED_VALUE"""),"Price")</f>
        <v>Price</v>
      </c>
      <c r="G5" s="27" t="str">
        <f>IFERROR(__xludf.DUMMYFUNCTION("""COMPUTED_VALUE"""),"Combined Account Total")</f>
        <v>Combined Account Total</v>
      </c>
      <c r="H5" s="27" t="str">
        <f>IFERROR(__xludf.DUMMYFUNCTION("""COMPUTED_VALUE"""),"MasterFund/Account")</f>
        <v>MasterFund/Account</v>
      </c>
      <c r="I5" s="27" t="str">
        <f>IFERROR(__xludf.DUMMYFUNCTION("""COMPUTED_VALUE"""),"Accounts")</f>
        <v>Accounts</v>
      </c>
      <c r="J5" s="27" t="str">
        <f>IFERROR(__xludf.DUMMYFUNCTION("""COMPUTED_VALUE"""),"Master Funds")</f>
        <v>Master Funds</v>
      </c>
      <c r="K5" s="27" t="str">
        <f>IFERROR(__xludf.DUMMYFUNCTION("""COMPUTED_VALUE"""),"Round Lots")</f>
        <v>Round Lots</v>
      </c>
      <c r="L5" s="27" t="str">
        <f>IFERROR(__xludf.DUMMYFUNCTION("""COMPUTED_VALUE"""),"Use Custodian Broker")</f>
        <v>Use Custodian Broker</v>
      </c>
      <c r="M5" s="27" t="str">
        <f>IFERROR(__xludf.DUMMYFUNCTION("""COMPUTED_VALUE"""),"Broker")</f>
        <v>Broker</v>
      </c>
      <c r="N5" s="27" t="str">
        <f>IFERROR(__xludf.DUMMYFUNCTION("""COMPUTED_VALUE"""),"Venue")</f>
        <v>Venue</v>
      </c>
      <c r="O5" s="27" t="str">
        <f>IFERROR(__xludf.DUMMYFUNCTION("""COMPUTED_VALUE"""),"TIF")</f>
        <v>TIF</v>
      </c>
      <c r="P5" s="27" t="str">
        <f>IFERROR(__xludf.DUMMYFUNCTION("""COMPUTED_VALUE"""),"Order Type")</f>
        <v>Order Type</v>
      </c>
      <c r="Q5" s="27" t="str">
        <f>IFERROR(__xludf.DUMMYFUNCTION("""COMPUTED_VALUE"""),"Stop")</f>
        <v>Stop</v>
      </c>
      <c r="R5" s="27" t="str">
        <f>IFERROR(__xludf.DUMMYFUNCTION("""COMPUTED_VALUE"""),"Limit")</f>
        <v>Limit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7" t="s">
        <v>34</v>
      </c>
      <c r="C6" s="36" t="s">
        <v>85</v>
      </c>
      <c r="D6" s="37" t="s">
        <v>36</v>
      </c>
      <c r="E6" s="39">
        <v>-10000.0</v>
      </c>
      <c r="F6" s="39">
        <v>10.0</v>
      </c>
      <c r="G6" s="36" t="s">
        <v>39</v>
      </c>
      <c r="H6" s="36" t="s">
        <v>38</v>
      </c>
      <c r="I6" s="36" t="s">
        <v>19</v>
      </c>
      <c r="J6" s="33"/>
      <c r="K6" s="36" t="s">
        <v>37</v>
      </c>
      <c r="L6" s="33"/>
      <c r="M6" s="33"/>
      <c r="N6" s="33"/>
      <c r="O6" s="33"/>
      <c r="P6" s="33" t="s">
        <v>40</v>
      </c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CalculatePTT1!$4:$4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 t="str">
        <f>IFERROR(__xludf.DUMMYFUNCTION("""COMPUTED_VALUE"""),"VerifyTradeSummary")</f>
        <v>VerifyTradeSummary</v>
      </c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IFERROR(__xludf.DUMMYFUNCTION("""COMPUTED_VALUE"""),"Account NAV")</f>
        <v>Account NAV</v>
      </c>
      <c r="D5" s="27" t="str">
        <f>IFERROR(__xludf.DUMMYFUNCTION("""COMPUTED_VALUE"""),"Starting Position")</f>
        <v>Starting Position</v>
      </c>
      <c r="E5" s="27" t="str">
        <f>IFERROR(__xludf.DUMMYFUNCTION("""COMPUTED_VALUE"""),"Starting Value")</f>
        <v>Starting Value</v>
      </c>
      <c r="F5" s="28" t="str">
        <f>IFERROR(__xludf.DUMMYFUNCTION("""COMPUTED_VALUE"""),"Starting %")</f>
        <v>Starting %</v>
      </c>
      <c r="G5" s="27" t="str">
        <f>IFERROR(__xludf.DUMMYFUNCTION("""COMPUTED_VALUE"""),"% Change")</f>
        <v>% Change</v>
      </c>
      <c r="H5" s="27" t="str">
        <f>IFERROR(__xludf.DUMMYFUNCTION("""COMPUTED_VALUE"""),"Ending %")</f>
        <v>Ending %</v>
      </c>
      <c r="I5" s="27" t="str">
        <f>IFERROR(__xludf.DUMMYFUNCTION("""COMPUTED_VALUE"""),"Trade Quantity")</f>
        <v>Trade Quantity</v>
      </c>
      <c r="J5" s="27" t="str">
        <f>IFERROR(__xludf.DUMMYFUNCTION("""COMPUTED_VALUE"""),"Ending Position")</f>
        <v>Ending Position</v>
      </c>
      <c r="K5" s="27" t="str">
        <f>IFERROR(__xludf.DUMMYFUNCTION("""COMPUTED_VALUE"""),"Ending Value")</f>
        <v>Ending Value</v>
      </c>
      <c r="L5" s="27" t="str">
        <f>IFERROR(__xludf.DUMMYFUNCTION("""COMPUTED_VALUE"""),"% Allocation")</f>
        <v>% Allocation</v>
      </c>
      <c r="M5" s="27" t="str">
        <f>IFERROR(__xludf.DUMMYFUNCTION("""COMPUTED_VALUE"""),"Fx Rate")</f>
        <v>Fx Rate</v>
      </c>
      <c r="N5" s="27" t="str">
        <f>IFERROR(__xludf.DUMMYFUNCTION("""COMPUTED_VALUE"""),"Starting BP")</f>
        <v>Starting BP</v>
      </c>
      <c r="O5" s="27" t="str">
        <f>IFERROR(__xludf.DUMMYFUNCTION("""COMPUTED_VALUE"""),"BP Change")</f>
        <v>BP Change</v>
      </c>
      <c r="P5" s="27" t="str">
        <f>IFERROR(__xludf.DUMMYFUNCTION("""COMPUTED_VALUE"""),"Ending BP")</f>
        <v>Ending BP</v>
      </c>
      <c r="Q5" s="27" t="str">
        <f>IFERROR(__xludf.DUMMYFUNCTION("""COMPUTED_VALUE"""),"MasterFund Name")</f>
        <v>MasterFund Name</v>
      </c>
      <c r="R5" s="27" t="str">
        <f>IFERROR(__xludf.DUMMYFUNCTION("""COMPUTED_VALUE"""),"Order Side")</f>
        <v>Order Side</v>
      </c>
      <c r="S5" s="27" t="str">
        <f>IFERROR(__xludf.DUMMYFUNCTION("""COMPUTED_VALUE"""),"Round Lots")</f>
        <v>Round Lots</v>
      </c>
      <c r="T5" s="29" t="str">
        <f>IFERROR(__xludf.DUMMYFUNCTION("""COMPUTED_VALUE"""),"Verify RoundLots In Input Parameters")</f>
        <v>Verify RoundLots In Input Parameters</v>
      </c>
      <c r="U5" s="29" t="str">
        <f>IFERROR(__xludf.DUMMYFUNCTION("""COMPUTED_VALUE"""),"Change Amt")</f>
        <v>Change Amt</v>
      </c>
      <c r="V5" s="29" t="str">
        <f>IFERROR(__xludf.DUMMYFUNCTION("""COMPUTED_VALUE"""),"Group")</f>
        <v>Group</v>
      </c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7" t="s">
        <v>27</v>
      </c>
      <c r="C6" s="39">
        <v>5578100.0</v>
      </c>
      <c r="D6" s="42">
        <v>0.0</v>
      </c>
      <c r="E6" s="33"/>
      <c r="F6" s="33"/>
      <c r="G6" s="33"/>
      <c r="H6" s="33"/>
      <c r="I6" s="41">
        <v>137.0</v>
      </c>
      <c r="J6" s="41">
        <v>137.0</v>
      </c>
      <c r="K6" s="41">
        <v>1370.0</v>
      </c>
      <c r="L6" s="33"/>
      <c r="M6" s="33"/>
      <c r="N6" s="33"/>
      <c r="O6" s="33"/>
      <c r="P6" s="33"/>
      <c r="Q6" s="33"/>
      <c r="R6" s="36" t="s">
        <v>42</v>
      </c>
      <c r="S6" s="4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6" t="s">
        <v>26</v>
      </c>
      <c r="C7" s="39">
        <v>4584156.9</v>
      </c>
      <c r="D7" s="42">
        <v>0.0</v>
      </c>
      <c r="E7" s="33"/>
      <c r="F7" s="33"/>
      <c r="G7" s="33"/>
      <c r="H7" s="33"/>
      <c r="I7" s="41">
        <v>112.0</v>
      </c>
      <c r="J7" s="41">
        <v>112.0</v>
      </c>
      <c r="K7" s="41">
        <v>1120.0</v>
      </c>
      <c r="L7" s="33"/>
      <c r="M7" s="33"/>
      <c r="N7" s="33"/>
      <c r="O7" s="33"/>
      <c r="P7" s="33"/>
      <c r="Q7" s="33"/>
      <c r="R7" s="36" t="s">
        <v>42</v>
      </c>
      <c r="S7" s="4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6" t="s">
        <v>30</v>
      </c>
      <c r="C8" s="39">
        <v>977150.0</v>
      </c>
      <c r="D8" s="42">
        <v>0.0</v>
      </c>
      <c r="E8" s="33"/>
      <c r="F8" s="33"/>
      <c r="G8" s="33"/>
      <c r="H8" s="33"/>
      <c r="I8" s="41">
        <v>77.0</v>
      </c>
      <c r="J8" s="41">
        <v>77.0</v>
      </c>
      <c r="K8" s="41">
        <v>770.0</v>
      </c>
      <c r="L8" s="33"/>
      <c r="M8" s="33"/>
      <c r="N8" s="33"/>
      <c r="O8" s="33"/>
      <c r="P8" s="33"/>
      <c r="Q8" s="33"/>
      <c r="R8" s="36" t="s">
        <v>42</v>
      </c>
      <c r="S8" s="4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33"/>
      <c r="B9" s="36" t="s">
        <v>31</v>
      </c>
      <c r="C9" s="39">
        <v>2160975.0</v>
      </c>
      <c r="D9" s="42">
        <v>0.0</v>
      </c>
      <c r="E9" s="33"/>
      <c r="F9" s="33"/>
      <c r="G9" s="33"/>
      <c r="H9" s="33"/>
      <c r="I9" s="41">
        <v>172.0</v>
      </c>
      <c r="J9" s="41">
        <v>172.0</v>
      </c>
      <c r="K9" s="41">
        <v>1720.0</v>
      </c>
      <c r="L9" s="33"/>
      <c r="M9" s="33"/>
      <c r="N9" s="33"/>
      <c r="O9" s="33"/>
      <c r="P9" s="33"/>
      <c r="Q9" s="33"/>
      <c r="R9" s="36" t="s">
        <v>42</v>
      </c>
      <c r="S9" s="4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VerifyPTT1!$4:$4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43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 t="str">
        <f>IFERROR(__xludf.DUMMYFUNCTION("""COMPUTED_VALUE"""),"VerifyTradeSummary")</f>
        <v>VerifyTradeSummary</v>
      </c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IFERROR(__xludf.DUMMYFUNCTION("""COMPUTED_VALUE"""),"Alert Type")</f>
        <v>Alert Type</v>
      </c>
      <c r="C5" s="27" t="str">
        <f>IFERROR(__xludf.DUMMYFUNCTION("""COMPUTED_VALUE"""),"Rule Name")</f>
        <v>Rule Name</v>
      </c>
      <c r="D5" s="27" t="str">
        <f>IFERROR(__xludf.DUMMYFUNCTION("""COMPUTED_VALUE"""),"Description of Rule")</f>
        <v>Description of Rule</v>
      </c>
      <c r="E5" s="27" t="str">
        <f>IFERROR(__xludf.DUMMYFUNCTION("""COMPUTED_VALUE"""),"Dimensions")</f>
        <v>Dimensions</v>
      </c>
      <c r="F5" s="28" t="str">
        <f>IFERROR(__xludf.DUMMYFUNCTION("""COMPUTED_VALUE"""),"Threshold")</f>
        <v>Threshold</v>
      </c>
      <c r="G5" s="27" t="str">
        <f>IFERROR(__xludf.DUMMYFUNCTION("""COMPUTED_VALUE"""),"Actual Result")</f>
        <v>Actual Result</v>
      </c>
      <c r="H5" s="27" t="str">
        <f>IFERROR(__xludf.DUMMYFUNCTION("""COMPUTED_VALUE"""),"Comments")</f>
        <v>Comments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40" t="s">
        <v>44</v>
      </c>
      <c r="C6" s="40" t="s">
        <v>71</v>
      </c>
      <c r="D6" s="40" t="s">
        <v>46</v>
      </c>
      <c r="E6" s="40" t="s">
        <v>72</v>
      </c>
      <c r="F6" s="41" t="s">
        <v>73</v>
      </c>
      <c r="G6" s="41" t="s">
        <v>73</v>
      </c>
      <c r="H6" s="36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40" t="s">
        <v>44</v>
      </c>
      <c r="C7" s="40" t="s">
        <v>74</v>
      </c>
      <c r="D7" s="40" t="s">
        <v>46</v>
      </c>
      <c r="E7" s="40" t="s">
        <v>72</v>
      </c>
      <c r="F7" s="41" t="s">
        <v>73</v>
      </c>
      <c r="G7" s="41" t="s">
        <v>73</v>
      </c>
      <c r="H7" s="36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40" t="s">
        <v>44</v>
      </c>
      <c r="C8" s="40" t="s">
        <v>75</v>
      </c>
      <c r="D8" s="40" t="s">
        <v>46</v>
      </c>
      <c r="E8" s="40" t="s">
        <v>72</v>
      </c>
      <c r="F8" s="41" t="s">
        <v>73</v>
      </c>
      <c r="G8" s="41" t="s">
        <v>73</v>
      </c>
      <c r="H8" s="36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33"/>
      <c r="B9" s="40" t="s">
        <v>44</v>
      </c>
      <c r="C9" s="40" t="s">
        <v>45</v>
      </c>
      <c r="D9" s="40" t="s">
        <v>46</v>
      </c>
      <c r="E9" s="40" t="s">
        <v>34</v>
      </c>
      <c r="F9" s="46">
        <v>1234.0</v>
      </c>
      <c r="G9" s="41">
        <v>10.0</v>
      </c>
      <c r="H9" s="40" t="s">
        <v>47</v>
      </c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</row>
    <row r="10" ht="15.75" customHeight="1">
      <c r="A10" s="8"/>
      <c r="B10" s="12" t="s">
        <v>44</v>
      </c>
      <c r="C10" s="12" t="s">
        <v>48</v>
      </c>
      <c r="D10" s="12" t="s">
        <v>46</v>
      </c>
      <c r="E10" s="12" t="s">
        <v>34</v>
      </c>
      <c r="F10" s="12">
        <v>0.0</v>
      </c>
      <c r="G10" s="12">
        <v>78.0</v>
      </c>
      <c r="H10" s="12" t="s">
        <v>86</v>
      </c>
      <c r="I10" s="8"/>
      <c r="J10" s="8"/>
      <c r="K10" s="8"/>
      <c r="L10" s="8"/>
      <c r="M10" s="8"/>
      <c r="N10" s="8"/>
      <c r="O10" s="8"/>
    </row>
    <row r="11" ht="15.75" customHeight="1">
      <c r="A11" s="8"/>
      <c r="B11" s="12" t="s">
        <v>44</v>
      </c>
      <c r="C11" s="12" t="s">
        <v>50</v>
      </c>
      <c r="D11" s="12" t="s">
        <v>46</v>
      </c>
      <c r="E11" s="12" t="s">
        <v>34</v>
      </c>
      <c r="F11" s="12">
        <v>-123.0</v>
      </c>
      <c r="G11" s="12">
        <v>78.0</v>
      </c>
      <c r="H11" s="12" t="s">
        <v>87</v>
      </c>
      <c r="I11" s="8"/>
      <c r="J11" s="8"/>
      <c r="K11" s="8"/>
      <c r="L11" s="8"/>
      <c r="M11" s="8"/>
      <c r="N11" s="8"/>
      <c r="O11" s="8"/>
    </row>
    <row r="12" ht="15.75" customHeight="1">
      <c r="A12" s="8"/>
      <c r="B12" s="12" t="s">
        <v>44</v>
      </c>
      <c r="C12" s="12" t="s">
        <v>52</v>
      </c>
      <c r="D12" s="12" t="s">
        <v>46</v>
      </c>
      <c r="E12" s="12" t="s">
        <v>34</v>
      </c>
      <c r="F12" s="12" t="s">
        <v>53</v>
      </c>
      <c r="G12" s="12" t="s">
        <v>53</v>
      </c>
      <c r="H12" s="12" t="s">
        <v>88</v>
      </c>
      <c r="I12" s="8"/>
      <c r="J12" s="8"/>
      <c r="K12" s="8"/>
      <c r="L12" s="8"/>
      <c r="M12" s="8"/>
      <c r="N12" s="8"/>
      <c r="O12" s="8"/>
    </row>
    <row r="13" ht="15.75" customHeight="1">
      <c r="A13" s="8"/>
      <c r="B13" s="12" t="s">
        <v>44</v>
      </c>
      <c r="C13" s="12" t="s">
        <v>55</v>
      </c>
      <c r="D13" s="12" t="s">
        <v>46</v>
      </c>
      <c r="E13" s="12" t="s">
        <v>34</v>
      </c>
      <c r="F13" s="12" t="s">
        <v>53</v>
      </c>
      <c r="G13" s="12" t="s">
        <v>53</v>
      </c>
      <c r="H13" s="12" t="s">
        <v>89</v>
      </c>
      <c r="I13" s="8"/>
      <c r="J13" s="8"/>
      <c r="K13" s="8"/>
      <c r="L13" s="8"/>
      <c r="M13" s="8"/>
      <c r="N13" s="8"/>
      <c r="O13" s="8"/>
    </row>
    <row r="14" ht="15.75" customHeight="1">
      <c r="A14" s="8"/>
      <c r="B14" s="12" t="s">
        <v>44</v>
      </c>
      <c r="C14" s="12" t="s">
        <v>57</v>
      </c>
      <c r="D14" s="12" t="s">
        <v>58</v>
      </c>
      <c r="E14" s="12" t="s">
        <v>34</v>
      </c>
      <c r="F14" s="44">
        <v>-1234.0</v>
      </c>
      <c r="G14" s="12">
        <v>78.0</v>
      </c>
      <c r="H14" s="12" t="s">
        <v>90</v>
      </c>
      <c r="I14" s="8"/>
      <c r="J14" s="8"/>
      <c r="K14" s="8"/>
      <c r="L14" s="8"/>
      <c r="M14" s="8"/>
      <c r="N14" s="8"/>
      <c r="O14" s="8"/>
    </row>
    <row r="15" ht="15.75" customHeight="1">
      <c r="A15" s="8"/>
      <c r="B15" s="12" t="s">
        <v>44</v>
      </c>
      <c r="C15" s="12" t="s">
        <v>60</v>
      </c>
      <c r="D15" s="12" t="s">
        <v>58</v>
      </c>
      <c r="E15" s="12" t="s">
        <v>34</v>
      </c>
      <c r="F15" s="44">
        <v>-1234.0</v>
      </c>
      <c r="G15" s="12">
        <v>78.0</v>
      </c>
      <c r="H15" s="12" t="s">
        <v>90</v>
      </c>
      <c r="I15" s="8"/>
      <c r="J15" s="8"/>
      <c r="K15" s="8"/>
      <c r="L15" s="8"/>
      <c r="M15" s="8"/>
      <c r="N15" s="8"/>
      <c r="O15" s="8"/>
    </row>
    <row r="16" ht="15.75" customHeight="1">
      <c r="A16" s="8"/>
      <c r="B16" s="12" t="s">
        <v>44</v>
      </c>
      <c r="C16" s="12" t="s">
        <v>61</v>
      </c>
      <c r="D16" s="12" t="s">
        <v>46</v>
      </c>
      <c r="E16" s="12" t="s">
        <v>34</v>
      </c>
      <c r="F16" s="12">
        <v>123.0</v>
      </c>
      <c r="G16" s="12">
        <v>78.0</v>
      </c>
      <c r="H16" s="12" t="s">
        <v>87</v>
      </c>
      <c r="I16" s="8"/>
      <c r="J16" s="8"/>
      <c r="K16" s="8"/>
      <c r="L16" s="8"/>
      <c r="M16" s="8"/>
      <c r="N16" s="8"/>
      <c r="O16" s="8"/>
    </row>
    <row r="17" ht="15.75" customHeight="1">
      <c r="A17" s="8"/>
      <c r="B17" s="12" t="s">
        <v>44</v>
      </c>
      <c r="C17" s="12" t="s">
        <v>62</v>
      </c>
      <c r="D17" s="12" t="s">
        <v>46</v>
      </c>
      <c r="E17" s="12" t="s">
        <v>34</v>
      </c>
      <c r="F17" s="12">
        <v>0.0</v>
      </c>
      <c r="G17" s="12">
        <v>78.0</v>
      </c>
      <c r="H17" s="12" t="s">
        <v>87</v>
      </c>
      <c r="I17" s="8"/>
      <c r="J17" s="8"/>
      <c r="K17" s="8"/>
      <c r="L17" s="8"/>
      <c r="M17" s="8"/>
      <c r="N17" s="8"/>
      <c r="O17" s="8"/>
    </row>
    <row r="18" ht="15.75" customHeight="1">
      <c r="A18" s="8"/>
      <c r="B18" s="12" t="s">
        <v>44</v>
      </c>
      <c r="C18" s="12" t="s">
        <v>63</v>
      </c>
      <c r="D18" s="12" t="s">
        <v>58</v>
      </c>
      <c r="E18" s="12" t="s">
        <v>34</v>
      </c>
      <c r="F18" s="12">
        <v>0.0</v>
      </c>
      <c r="G18" s="12">
        <v>78.0</v>
      </c>
      <c r="H18" s="12" t="s">
        <v>90</v>
      </c>
      <c r="I18" s="8"/>
      <c r="J18" s="8"/>
      <c r="K18" s="8"/>
      <c r="L18" s="8"/>
      <c r="M18" s="8"/>
      <c r="N18" s="8"/>
      <c r="O18" s="8"/>
    </row>
    <row r="19" ht="15.75" customHeight="1">
      <c r="A19" s="8"/>
      <c r="B19" s="12" t="s">
        <v>44</v>
      </c>
      <c r="C19" s="12" t="s">
        <v>64</v>
      </c>
      <c r="D19" s="12" t="s">
        <v>58</v>
      </c>
      <c r="E19" s="12" t="s">
        <v>34</v>
      </c>
      <c r="F19" s="12">
        <v>0.0</v>
      </c>
      <c r="G19" s="12">
        <v>78.0</v>
      </c>
      <c r="H19" s="12" t="s">
        <v>90</v>
      </c>
      <c r="I19" s="8"/>
      <c r="J19" s="8"/>
      <c r="K19" s="8"/>
      <c r="L19" s="8"/>
      <c r="M19" s="8"/>
      <c r="N19" s="8"/>
      <c r="O19" s="8"/>
    </row>
    <row r="20" ht="15.75" customHeight="1">
      <c r="A20" s="8"/>
      <c r="B20" s="12" t="s">
        <v>44</v>
      </c>
      <c r="C20" s="12" t="s">
        <v>65</v>
      </c>
      <c r="D20" s="12" t="s">
        <v>46</v>
      </c>
      <c r="E20" s="12" t="s">
        <v>34</v>
      </c>
      <c r="F20" s="12" t="s">
        <v>53</v>
      </c>
      <c r="G20" s="12" t="s">
        <v>53</v>
      </c>
      <c r="H20" s="12" t="s">
        <v>91</v>
      </c>
      <c r="I20" s="8"/>
      <c r="J20" s="8"/>
      <c r="K20" s="8"/>
      <c r="L20" s="8"/>
      <c r="M20" s="8"/>
      <c r="N20" s="8"/>
      <c r="O20" s="8"/>
    </row>
    <row r="21" ht="15.75" customHeight="1">
      <c r="A21" s="8"/>
      <c r="B21" s="12" t="s">
        <v>44</v>
      </c>
      <c r="C21" s="12" t="s">
        <v>67</v>
      </c>
      <c r="D21" s="12" t="s">
        <v>46</v>
      </c>
      <c r="E21" s="12" t="s">
        <v>34</v>
      </c>
      <c r="F21" s="12" t="s">
        <v>53</v>
      </c>
      <c r="G21" s="12" t="s">
        <v>53</v>
      </c>
      <c r="H21" s="12" t="s">
        <v>92</v>
      </c>
      <c r="I21" s="8"/>
      <c r="J21" s="8"/>
      <c r="K21" s="8"/>
      <c r="L21" s="8"/>
      <c r="M21" s="8"/>
      <c r="N21" s="8"/>
      <c r="O21" s="8"/>
    </row>
    <row r="22" ht="15.75" customHeight="1">
      <c r="A22" s="8"/>
      <c r="B22" s="12" t="s">
        <v>44</v>
      </c>
      <c r="C22" s="12" t="s">
        <v>69</v>
      </c>
      <c r="D22" s="12" t="s">
        <v>46</v>
      </c>
      <c r="E22" s="12" t="s">
        <v>34</v>
      </c>
      <c r="F22" s="12">
        <v>-123.0</v>
      </c>
      <c r="G22" s="12">
        <v>10.0</v>
      </c>
      <c r="H22" s="12" t="s">
        <v>70</v>
      </c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VerifyPTTCompliance1!$4:$4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