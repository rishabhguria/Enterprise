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FetchAccountPositions" sheetId="8" r:id="rId10"/>
    <sheet state="visible" name="AddCash" sheetId="9" r:id="rId11"/>
    <sheet state="visible" name="RebalanceAcrossSecurities" sheetId="10" r:id="rId12"/>
    <sheet state="visible" name="RunRebalance" sheetId="11" r:id="rId13"/>
    <sheet state="visible" name="VerifyGridData" sheetId="12" r:id="rId14"/>
    <sheet state="visible" name="SendtoStaging" sheetId="13" r:id="rId15"/>
    <sheet state="visible" name="VerifyOrder" sheetId="14" r:id="rId16"/>
  </sheets>
  <calcPr fullCalcOnLoad="1" fullPrecision="1"/>
</workbook>
</file>

<file path=xl/sharedStrings.xml><?xml version="1.0" encoding="utf-8"?>
<sst xmlns="http://schemas.openxmlformats.org/spreadsheetml/2006/main" count="118" uniqueCount="118">
  <si>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</si>
  <si>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</si>
  <si>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</si>
  <si>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</si>
  <si>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</si>
  <si>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</si>
  <si>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</si>
  <si>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</si>
  <si>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</si>
  <si>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</si>
  <si>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</si>
  <si>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</si>
  <si>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</si>
  <si>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</si>
  <si>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</si>
  <si>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</si>
  <si>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</si>
  <si>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</si>
  <si>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</si>
  <si>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</si>
  <si>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MSFT</t>
  </si>
  <si>
    <t>A</t>
  </si>
  <si>
    <t>Allocation2</t>
  </si>
  <si>
    <t>PricingInput</t>
  </si>
  <si>
    <t>DailyValuation</t>
  </si>
  <si>
    <t>GetDailyCash</t>
  </si>
  <si>
    <t>UpdateMultipleDailyCash</t>
  </si>
  <si>
    <t>USD</t>
  </si>
  <si>
    <t>Rebalancer</t>
  </si>
  <si>
    <t>FetchAccountPositions</t>
  </si>
  <si>
    <t>Real-Time Positions</t>
  </si>
  <si>
    <t>Account</t>
  </si>
  <si>
    <t>Positions</t>
  </si>
  <si>
    <t>AddCash</t>
  </si>
  <si>
    <t>No Impact</t>
  </si>
  <si>
    <t>None</t>
  </si>
  <si>
    <t>RebalanceAcrossSecurities</t>
  </si>
  <si>
    <t xml:space="preserve">Set </t>
  </si>
  <si>
    <t>Check</t>
  </si>
  <si>
    <t>BPS</t>
  </si>
  <si>
    <t>RunRebalance</t>
  </si>
  <si>
    <t>Nearest Round Off</t>
  </si>
  <si>
    <t>Yes</t>
  </si>
  <si>
    <t>VerifyGridData</t>
  </si>
  <si>
    <t>Equity</t>
  </si>
  <si>
    <t>Long</t>
  </si>
  <si>
    <t>Short</t>
  </si>
  <si>
    <t>Accruals</t>
  </si>
  <si>
    <t>Cash</t>
  </si>
  <si>
    <t>SendtoStaging</t>
  </si>
  <si>
    <t>Blotter</t>
  </si>
  <si>
    <t>VerifyOrder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</si>
  <si>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</si>
  <si>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</si>
  <si>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</si>
  <si>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</si>
  <si>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</si>
  <si>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</si>
  <si>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</si>
  <si>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Current 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</si>
  <si>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</si>
  <si>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</si>
  <si>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</si>
  <si>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</si>
  <si>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</si>
  <si>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</si>
  <si>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</si>
  <si>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</si>
  <si>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</si>
  <si>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</si>
  <si>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</si>
  <si>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</si>
  <si>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</si>
  <si>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</si>
  <si>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</si>
  <si>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</si>
  <si>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</si>
  <si>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</si>
  <si>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</si>
  <si>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</si>
  <si>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</si>
  <si>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</si>
  <si>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</si>
  <si>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</si>
  <si>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</si>
  <si>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Symbol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</si>
  <si>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</si>
  <si>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</si>
  <si>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</si>
  <si>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</si>
  <si>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</si>
  <si>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</si>
  <si>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</si>
  <si>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</si>
  <si>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</si>
  <si>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Broker</t>
  </si>
  <si>
    <t>Order Type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</si>
  <si>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</si>
  <si>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</si>
  <si>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</si>
  <si>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</si>
  <si>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</si>
  <si>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</si>
  <si>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</si>
  <si>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</si>
  <si>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</si>
  <si>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</si>
  <si>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</si>
  <si>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</si>
  <si>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TIF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</si>
  <si>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</si>
  <si>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</si>
  <si>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</si>
  <si>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</si>
  <si>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</si>
  <si>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</si>
  <si>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</si>
  <si>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Expiry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</si>
</sst>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auto="0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applyFont="1" fillId="0" borderId="0" applyAlignment="1"/>
  </cellStyleXfs>
  <cellXfs count="52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7" applyFont="1" fillId="0" borderId="0" xfId="0" applyAlignment="1"/>
    <xf numFmtId="0" fontId="4" applyFont="1" fillId="3" applyFill="1" borderId="4" applyBorder="1" xfId="0" applyAlignment="1"/>
    <xf numFmtId="0" fontId="5" applyFont="1" fillId="0" borderId="0" xfId="0" applyAlignment="1"/>
    <xf numFmtId="0" fontId="8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9" applyFont="1" fillId="3" applyFill="1" borderId="4" applyBorder="1" xfId="0" applyAlignment="1"/>
    <xf numFmtId="0" fontId="9" applyFont="1" fillId="3" applyFill="1" borderId="4" applyBorder="1" xfId="0" applyAlignment="1"/>
    <xf numFmtId="0" fontId="10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8" applyFont="1" fillId="0" borderId="0" xfId="0" applyAlignment="1"/>
    <xf numFmtId="0" fontId="4" applyFont="1" fillId="3" applyFill="1" borderId="0" xfId="0" applyAlignment="1"/>
    <xf numFmtId="0" fontId="8" applyFont="1" fillId="3" applyFill="1" borderId="4" applyBorder="1" xfId="0" applyAlignment="1"/>
    <xf numFmtId="0" fontId="11" applyFont="1" fillId="3" applyFill="1" borderId="0" xfId="0"/>
    <xf numFmtId="0" fontId="12" applyFont="1" fillId="4" applyFill="1" borderId="0" xfId="0" applyAlignment="1"/>
    <xf numFmtId="0" fontId="13" applyFont="1" fillId="4" applyFill="1" borderId="0" xfId="0"/>
    <xf numFmtId="0" fontId="4" applyFont="1" fillId="5" applyFill="1" borderId="0" xfId="0" applyAlignment="1"/>
    <xf numFmtId="0" fontId="4" applyFont="1" fillId="5" applyFill="1" borderId="4" applyBorder="1" xfId="0" applyAlignment="1"/>
    <xf numFmtId="0" fontId="4" applyFont="1" fillId="5" applyFill="1" borderId="4" applyBorder="1" xfId="0" applyAlignment="1"/>
    <xf numFmtId="0" fontId="11" applyFont="1" fillId="5" applyFill="1" borderId="0" xfId="0"/>
    <xf numFmtId="0" fontId="3" applyFont="1" fillId="0" borderId="0" xfId="0" applyAlignment="1"/>
    <xf numFmtId="0" fontId="3" applyFont="1" fillId="0" borderId="0" xfId="0" applyAlignment="1"/>
    <xf numFmtId="0" fontId="5" applyFont="1" fillId="0" borderId="0" xfId="0" applyAlignment="1">
      <alignment horizontal="right"/>
    </xf>
    <xf numFmtId="0" fontId="5" applyFont="1" fillId="0" borderId="0" xfId="0" applyAlignment="1">
      <alignment horizontal="right"/>
    </xf>
    <xf numFmtId="14" applyNumberFormat="1" fontId="5" applyFont="1" fillId="0" borderId="0" xfId="0" applyAlignment="1">
      <alignment horizontal="right"/>
    </xf>
    <xf numFmtId="0" fontId="5" applyFont="1" fillId="0" borderId="0" xfId="0" applyAlignment="1"/>
    <xf numFmtId="0" fontId="5" applyFont="1" fillId="0" borderId="0" xfId="0" applyAlignment="1"/>
    <xf numFmtId="0" fontId="3" applyFont="1" fillId="0" borderId="5" applyBorder="1" xfId="0" applyAlignment="1"/>
    <xf numFmtId="0" fontId="3" applyFont="1" fillId="0" borderId="6" applyBorder="1" xfId="0" applyAlignment="1"/>
    <xf numFmtId="0" fontId="3" applyFont="1" fillId="0" borderId="6" applyBorder="1" xfId="0" applyAlignment="1"/>
    <xf numFmtId="0" fontId="3" applyFont="1" fillId="0" borderId="5" applyBorder="1" xfId="0" applyAlignment="1"/>
    <xf numFmtId="0" fontId="5" applyFont="1" fillId="0" borderId="6" applyBorder="1" xfId="0" applyAlignment="1">
      <alignment horizontal="right"/>
    </xf>
    <xf numFmtId="0" fontId="3" applyFont="1" fillId="0" borderId="0" xfId="0" applyAlignment="1"/>
    <xf numFmtId="0" fontId="5" applyFont="1" fillId="0" borderId="0" xfId="0" applyAlignment="1">
      <alignment horizontal="right"/>
    </xf>
    <xf numFmtId="0" fontId="3" applyFont="1" fillId="0" borderId="0" xfId="0" applyAlignment="1">
      <alignment horizontal="right"/>
    </xf>
    <xf numFmtId="0" fontId="3" applyFont="1" fillId="0" borderId="0" xfId="0" applyAlignment="1">
      <alignment horizontal="right"/>
    </xf>
    <xf numFmtId="0" fontId="3" applyFont="1" fillId="0" borderId="0" xfId="0" applyAlignment="1"/>
    <xf numFmtId="0" fontId="14" applyFont="1" fillId="0" borderId="0" xfId="0" applyAlignment="1"/>
    <xf numFmtId="0" fontId="14" applyFont="1" fillId="0" borderId="0" xfId="0" applyAlignment="1">
      <alignment horizontal="right"/>
    </xf>
    <xf numFmtId="0" fontId="5" applyFont="1" fillId="0" borderId="6" applyBorder="1" xfId="0" applyAlignment="1">
      <alignment horizontal="right"/>
    </xf>
    <xf numFmtId="0" fontId="5" applyFont="1" fillId="0" borderId="0" xfId="0" applyAlignme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647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IFERROR(__xludf.DUMMYFUNCTION("""COMPUTED_VALUE"""),"1abQG9opjIiMJB8svr0o-Eb_RJr16g0niK_nuaKS7qpc")</f>
        <v>1abQG9opjIiMJB8svr0o-Eb_RJr16g0niK_nuaKS7qpc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IFERROR(__xludf.DUMMYFUNCTION("""COMPUTED_VALUE"""),"16vGHPpbvjKADI0ELsUMnsil9L4zXpQewyXXpGOR50e4")</f>
        <v>16vGHPpbvjKADI0ELsUMnsil9L4zXpQewyXXpGOR50e4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IFERROR(__xludf.DUMMYFUNCTION("""COMPUTED_VALUE"""),"1wm4OFdbzRVpfMu1QiZ75_PnC_AYuu9gYEOCRj5nxWrM")</f>
        <v>1wm4OFdbzRVpfMu1QiZ75_PnC_AYuu9gYEOCRj5nxWrM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IFERROR(__xludf.DUMMYFUNCTION("""COMPUTED_VALUE"""),"Closing")</f>
        <v>Closing</v>
      </c>
      <c r="B642" s="0" t="str">
        <f>IFERROR(__xludf.DUMMYFUNCTION("""COMPUTED_VALUE"""),"SelectCreateTransactions")</f>
        <v>SelectCreateTransactions</v>
      </c>
      <c r="C642" s="0" t="str">
        <f>IFERROR(__xludf.DUMMYFUNCTION("""COMPUTED_VALUE"""),"1H_lhrQblpnlyHkVDOXbhIVIhZoC9lIB9uTE29zuQhrM")</f>
        <v>1H_lhrQblpnlyHkVDOXbhIVIhZoC9lIB9uTE29zuQhrM</v>
      </c>
    </row>
    <row r="643" ht="15.75" customHeight="1">
      <c r="A643" s="0" t="str">
        <f>IFERROR(__xludf.DUMMYFUNCTION("""COMPUTED_VALUE"""),"Closing")</f>
        <v>Closing</v>
      </c>
      <c r="B643" s="0" t="str">
        <f>IFERROR(__xludf.DUMMYFUNCTION("""COMPUTED_VALUE"""),"EditClosingTransactions")</f>
        <v>EditClosingTransactions</v>
      </c>
      <c r="C643" s="0" t="str">
        <f>IFERROR(__xludf.DUMMYFUNCTION("""COMPUTED_VALUE"""),"15009hbvBY1YaqNloK72CjyPdL0kMpnEYl2EFB4TUG6g")</f>
        <v>15009hbvBY1YaqNloK72CjyPdL0kMpnEYl2EFB4TUG6g</v>
      </c>
    </row>
    <row r="644" ht="15.75" customHeight="1">
      <c r="A644" s="0" t="str">
        <f>IFERROR(__xludf.DUMMYFUNCTION("""COMPUTED_VALUE"""),"Admin")</f>
        <v>Admin</v>
      </c>
      <c r="B644" s="0" t="str">
        <f>IFERROR(__xludf.DUMMYFUNCTION("""COMPUTED_VALUE"""),"SetAllocationPreferences")</f>
        <v>SetAllocationPreferences</v>
      </c>
      <c r="C644" s="0" t="str">
        <f>IFERROR(__xludf.DUMMYFUNCTION("""COMPUTED_VALUE"""),"16PO4KGgITIDM3iQzFlyKHfXPBXba023pXOJQCBN_Elc")</f>
        <v>16PO4KGgITIDM3iQzFlyKHfXPBXba023pXOJQCBN_Elc</v>
      </c>
    </row>
    <row r="645" ht="15.75" customHeight="1">
      <c r="A645" s="0" t="str">
        <f>IFERROR(__xludf.DUMMYFUNCTION("""COMPUTED_VALUE"""),"Closing")</f>
        <v>Closing</v>
      </c>
      <c r="B645" s="0" t="str">
        <f>IFERROR(__xludf.DUMMYFUNCTION("""COMPUTED_VALUE"""),"AddDuplicateRow")</f>
        <v>AddDuplicateRow</v>
      </c>
      <c r="C645" s="0" t="str">
        <f>IFERROR(__xludf.DUMMYFUNCTION("""COMPUTED_VALUE"""),"Undefined")</f>
        <v>Undefined</v>
      </c>
    </row>
    <row r="646" ht="15.75" customHeight="1">
      <c r="A646" s="0" t="str">
        <f>IFERROR(__xludf.DUMMYFUNCTION("""COMPUTED_VALUE"""),"TradeServer")</f>
        <v>TradeServer</v>
      </c>
      <c r="B646" s="0" t="str">
        <f>IFERROR(__xludf.DUMMYFUNCTION("""COMPUTED_VALUE"""),"ConnectToSimAutoMan")</f>
        <v>ConnectToSimAutoMan</v>
      </c>
      <c r="C646" s="0" t="str">
        <f>IFERROR(__xludf.DUMMYFUNCTION("""COMPUTED_VALUE"""),"13IX3MrLRTuTJsyg3JaQ71o5MoHPrX4JeQ5EXnHjhkH8")</f>
        <v>13IX3MrLRTuTJsyg3JaQ71o5MoHPrX4JeQ5EXnHjhkH8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IFERROR(__xludf.DUMMYFUNCTION("""COMPUTED_VALUE"""),"NavImpactingComponent")</f>
        <v>NavImpactingComponent</v>
      </c>
      <c r="C647" s="0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</v>
      </c>
      <c r="E6" s="34">
        <v>100</v>
      </c>
      <c r="F6" s="32" t="s">
        <v>18</v>
      </c>
      <c r="G6" s="32" t="s">
        <v>19</v>
      </c>
      <c r="H6" s="32"/>
      <c r="I6" s="32"/>
      <c r="J6" s="34">
        <v>1</v>
      </c>
      <c r="K6" s="32"/>
      <c r="L6" s="32"/>
      <c r="M6" s="32"/>
      <c r="N6" s="35">
        <f ref="N6:N7" t="shared" si="1">today()</f>
        <v>45855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20</v>
      </c>
      <c r="C7" s="32" t="s">
        <v>17</v>
      </c>
      <c r="D7" s="34">
        <v>100</v>
      </c>
      <c r="E7" s="34">
        <v>100</v>
      </c>
      <c r="F7" s="32" t="s">
        <v>18</v>
      </c>
      <c r="G7" s="32" t="s">
        <v>19</v>
      </c>
      <c r="H7" s="32"/>
      <c r="I7" s="32"/>
      <c r="J7" s="34">
        <v>1</v>
      </c>
      <c r="K7" s="32"/>
      <c r="L7" s="32"/>
      <c r="M7" s="32"/>
      <c r="N7" s="35">
        <f t="shared" si="1"/>
        <v>45855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13" t="s">
        <v>21</v>
      </c>
      <c r="C8" s="13" t="s">
        <v>17</v>
      </c>
      <c r="D8" s="13">
        <v>100</v>
      </c>
      <c r="E8" s="8"/>
      <c r="F8" s="13" t="s">
        <v>22</v>
      </c>
      <c r="G8" s="13" t="s">
        <v>19</v>
      </c>
      <c r="H8" s="8"/>
      <c r="I8" s="8"/>
      <c r="J8" s="13">
        <v>1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EAC18EDF-545F-407F-A04A-D72BEA408C7B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859ECC39-D16D-47D4-A25E-6EB5C461FB8C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388969BC-1890-4EFC-BDB0-E90BCDFFA7D8}">
          <x14:formula1>
            <xm:f>CreateDoneAwayOrder!$4:$4</xm:f>
          </x14:formula1>
          <xm:sqref>E3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16</v>
      </c>
      <c r="C6" s="34">
        <v>1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7" t="s">
        <v>20</v>
      </c>
      <c r="C7" s="34">
        <v>1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13" t="s">
        <v>21</v>
      </c>
      <c r="C8" s="13">
        <v>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DCB881C1-5EB4-46BD-B89F-9F1DA39D1FE1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5D4A0307-D74A-424D-AE4D-314656EBFB90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39178B5B-B186-4570-B6F4-AEAC6803C5A9}">
          <x14:formula1>
            <xm:f>PricingInput!$4:$4</xm:f>
          </x14:formula1>
          <xm:sqref>E3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>today()-1</f>
        <v>45854</v>
      </c>
      <c r="C6" s="35">
        <f>today()</f>
        <v>45855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BC57515-17BB-4FB3-B3DC-49229E7A5C3F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72BD2E31-7011-4F20-8C4E-F4329B7E3A43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E98C6F65-92BA-4D5B-BDC5-A9453CE96A40}">
          <x14:formula1>
            <xm:f>GetDailyCash!$4:$4</xm:f>
          </x14:formula1>
          <xm:sqref>E3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27</v>
      </c>
      <c r="D6" s="33">
        <v>100000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DFC6966D-DFCA-470F-ADEB-3A2FDFF41EC2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6D056FD4-59FB-478F-9110-8596BC0D03FD}">
          <x14:formula1>
            <xm:f>UpdateMultipleDailyCash!$4:$4</xm:f>
          </x14:formula1>
          <xm:sqref>E3</xm:sqref>
        </x14:dataValidation>
        <x14:dataValidation type="list" allowBlank="1" showInputMessage="1" showErrorMessage="1" prompt="Choose an available module" xr:uid="{2CC8368E-F56A-4954-B25C-ADF00B8BA861}">
          <x14:formula1>
            <xm:f>'_Modules'!$A$4:$A$1000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 t="s">
        <v>18</v>
      </c>
      <c r="C6" s="40" t="s">
        <v>30</v>
      </c>
      <c r="D6" s="39" t="s">
        <v>31</v>
      </c>
      <c r="E6" s="40" t="s">
        <v>32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D5628B4E-3544-45EE-9FA6-1F7C8EFE500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75E57E03-2293-4BF4-9156-E34F312EE22D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2DED2986-A882-4E4C-99A1-EC5AE5B0563C}">
          <x14:formula1>
            <xm:f>FetchAccountPositions!$4:$4</xm:f>
          </x14:formula1>
          <xm:sqref>E3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>
      <c r="A6" s="41"/>
      <c r="B6" s="42">
        <v>1000</v>
      </c>
      <c r="C6" s="40" t="s">
        <v>34</v>
      </c>
      <c r="D6" s="40" t="s">
        <v>35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5CAFD26-B86E-43B1-A30F-993825A7E101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3D5AF29F-CBCA-4FC1-80AA-D15D7C0DB657}">
          <x14:formula1>
            <xm:f>AddCash!$4:$4</xm:f>
          </x14:formula1>
          <xm:sqref>E3</xm:sqref>
        </x14:dataValidation>
        <x14:dataValidation type="list" allowBlank="1" showInputMessage="1" showErrorMessage="1" prompt="Choose an available module" xr:uid="{58998D4F-3D6F-460A-AB76-E37262DF6D6E}">
          <x14:formula1>
            <xm:f>'_Modules'!$A$4:$A$1000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3" t="s">
        <v>21</v>
      </c>
      <c r="C6" s="43" t="s">
        <v>37</v>
      </c>
      <c r="D6" s="44">
        <v>3000</v>
      </c>
      <c r="E6" s="32"/>
      <c r="F6" s="43" t="s">
        <v>38</v>
      </c>
      <c r="G6" s="32"/>
      <c r="H6" s="32"/>
      <c r="I6" s="32"/>
      <c r="J6" s="45">
        <v>10</v>
      </c>
      <c r="K6" s="32"/>
      <c r="L6" s="43" t="s">
        <v>39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4"/>
      <c r="E7" s="32"/>
      <c r="F7" s="32"/>
      <c r="G7" s="32"/>
      <c r="H7" s="32"/>
      <c r="I7" s="32"/>
      <c r="J7" s="46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D957E726-E0DC-47DB-BC06-7B9CBC6D8B5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BFAF63ED-5B2C-4E29-89DA-AECCAE9D2859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C2EA91C6-F51F-4803-937D-8A733377108D}">
          <x14:formula1>
            <xm:f>RebalanceAcrossSecurities!$4:$4</xm:f>
          </x14:formula1>
          <xm:sqref>E3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7" t="s">
        <v>41</v>
      </c>
      <c r="C6" s="32"/>
      <c r="D6" s="31"/>
      <c r="E6" s="32"/>
      <c r="F6" s="43" t="s">
        <v>42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A646701-EE9A-419F-9FBA-CC7FA05BA0EB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FD8C1839-6F4A-4961-8029-2348A702A2F0}">
          <x14:formula1>
            <xm:f>RunRebalance!$4:$4</xm:f>
          </x14:formula1>
          <xm:sqref>E3</xm:sqref>
        </x14:dataValidation>
        <x14:dataValidation type="list" allowBlank="1" showInputMessage="1" showErrorMessage="1" prompt="Choose an available module" xr:uid="{4F88ED66-D447-4DCD-81F5-C4EEB1E831DD}">
          <x14:formula1>
            <xm:f>'_Modules'!$A$4:$A$1000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8" t="s">
        <v>18</v>
      </c>
      <c r="D6" s="48" t="s">
        <v>21</v>
      </c>
      <c r="E6" s="48" t="s">
        <v>44</v>
      </c>
      <c r="F6" s="48" t="s">
        <v>45</v>
      </c>
      <c r="G6" s="49">
        <v>10</v>
      </c>
      <c r="H6" s="8"/>
      <c r="I6" s="8"/>
      <c r="J6" s="8"/>
      <c r="K6" s="49">
        <v>0</v>
      </c>
      <c r="L6" s="49"/>
      <c r="M6" s="49"/>
      <c r="N6" s="48"/>
      <c r="O6" s="49">
        <v>303000</v>
      </c>
      <c r="P6" s="49">
        <v>3030000</v>
      </c>
      <c r="Q6" s="49">
        <v>3030000</v>
      </c>
      <c r="R6" s="49">
        <v>303000</v>
      </c>
    </row>
    <row r="7" ht="15.75" customHeight="1">
      <c r="A7" s="8"/>
      <c r="B7" s="8"/>
      <c r="C7" s="48" t="s">
        <v>18</v>
      </c>
      <c r="D7" s="48" t="s">
        <v>16</v>
      </c>
      <c r="E7" s="48" t="s">
        <v>44</v>
      </c>
      <c r="F7" s="48" t="s">
        <v>45</v>
      </c>
      <c r="G7" s="49">
        <v>1</v>
      </c>
      <c r="H7" s="8"/>
      <c r="I7" s="8"/>
      <c r="J7" s="8"/>
      <c r="K7" s="49">
        <v>100</v>
      </c>
      <c r="L7" s="49"/>
      <c r="M7" s="49"/>
      <c r="N7" s="48"/>
      <c r="O7" s="49">
        <v>0</v>
      </c>
      <c r="P7" s="49">
        <v>0</v>
      </c>
      <c r="Q7" s="49">
        <v>0</v>
      </c>
      <c r="R7" s="49">
        <v>-100</v>
      </c>
    </row>
    <row r="8" ht="15.75" customHeight="1">
      <c r="A8" s="8"/>
      <c r="B8" s="8"/>
      <c r="C8" s="48" t="s">
        <v>18</v>
      </c>
      <c r="D8" s="48" t="s">
        <v>16</v>
      </c>
      <c r="E8" s="48" t="s">
        <v>44</v>
      </c>
      <c r="F8" s="48" t="s">
        <v>46</v>
      </c>
      <c r="G8" s="49">
        <v>1</v>
      </c>
      <c r="H8" s="8"/>
      <c r="I8" s="8"/>
      <c r="J8" s="8"/>
      <c r="K8" s="49">
        <v>0</v>
      </c>
      <c r="L8" s="49"/>
      <c r="M8" s="49"/>
      <c r="N8" s="48"/>
      <c r="O8" s="49">
        <v>1464500</v>
      </c>
      <c r="P8" s="49">
        <v>-1464500</v>
      </c>
      <c r="Q8" s="49">
        <v>-1464500</v>
      </c>
      <c r="R8" s="49">
        <v>1464500</v>
      </c>
    </row>
    <row r="9" ht="15.75" customHeight="1">
      <c r="A9" s="8"/>
      <c r="B9" s="8"/>
      <c r="C9" s="48" t="s">
        <v>18</v>
      </c>
      <c r="D9" s="48" t="s">
        <v>20</v>
      </c>
      <c r="E9" s="48" t="s">
        <v>44</v>
      </c>
      <c r="F9" s="48" t="s">
        <v>45</v>
      </c>
      <c r="G9" s="49">
        <v>1</v>
      </c>
      <c r="H9" s="8"/>
      <c r="I9" s="8"/>
      <c r="J9" s="8"/>
      <c r="K9" s="49">
        <v>100</v>
      </c>
      <c r="L9" s="49"/>
      <c r="M9" s="49"/>
      <c r="N9" s="48"/>
      <c r="O9" s="49">
        <v>0</v>
      </c>
      <c r="P9" s="49">
        <v>0</v>
      </c>
      <c r="Q9" s="49">
        <v>0</v>
      </c>
      <c r="R9" s="49">
        <v>-100</v>
      </c>
    </row>
    <row r="10" ht="15.75" customHeight="1">
      <c r="A10" s="8"/>
      <c r="B10" s="8"/>
      <c r="C10" s="48" t="s">
        <v>18</v>
      </c>
      <c r="D10" s="48" t="s">
        <v>20</v>
      </c>
      <c r="E10" s="48" t="s">
        <v>44</v>
      </c>
      <c r="F10" s="48" t="s">
        <v>46</v>
      </c>
      <c r="G10" s="49">
        <v>1</v>
      </c>
      <c r="H10" s="8"/>
      <c r="I10" s="8"/>
      <c r="J10" s="8"/>
      <c r="K10" s="49">
        <v>0</v>
      </c>
      <c r="L10" s="49"/>
      <c r="M10" s="49"/>
      <c r="N10" s="48"/>
      <c r="O10" s="49">
        <v>1464500</v>
      </c>
      <c r="P10" s="49">
        <v>-1464500</v>
      </c>
      <c r="Q10" s="49">
        <v>-1464500</v>
      </c>
      <c r="R10" s="49">
        <v>1464500</v>
      </c>
    </row>
    <row r="11" ht="15.75" customHeight="1">
      <c r="A11" s="8"/>
      <c r="B11" s="8"/>
      <c r="C11" s="48" t="s">
        <v>18</v>
      </c>
      <c r="D11" s="48" t="s">
        <v>47</v>
      </c>
      <c r="E11" s="48" t="s">
        <v>47</v>
      </c>
      <c r="F11" s="48" t="s">
        <v>45</v>
      </c>
      <c r="G11" s="49">
        <v>1</v>
      </c>
      <c r="H11" s="8"/>
      <c r="I11" s="8"/>
      <c r="J11" s="8"/>
      <c r="K11" s="49">
        <v>0</v>
      </c>
      <c r="L11" s="49"/>
      <c r="M11" s="49"/>
      <c r="N11" s="48"/>
      <c r="O11" s="49">
        <v>0</v>
      </c>
      <c r="P11" s="49">
        <v>0</v>
      </c>
      <c r="Q11" s="49">
        <v>0</v>
      </c>
      <c r="R11" s="49">
        <v>0</v>
      </c>
    </row>
    <row r="12" ht="15.75" customHeight="1">
      <c r="A12" s="8"/>
      <c r="B12" s="8"/>
      <c r="C12" s="48" t="s">
        <v>18</v>
      </c>
      <c r="D12" s="48" t="s">
        <v>48</v>
      </c>
      <c r="E12" s="48" t="s">
        <v>48</v>
      </c>
      <c r="F12" s="48" t="s">
        <v>45</v>
      </c>
      <c r="G12" s="49">
        <v>1</v>
      </c>
      <c r="H12" s="8"/>
      <c r="I12" s="8"/>
      <c r="J12" s="8"/>
      <c r="K12" s="49">
        <v>99800</v>
      </c>
      <c r="L12" s="49"/>
      <c r="M12" s="49"/>
      <c r="N12" s="48"/>
      <c r="O12" s="49">
        <v>0</v>
      </c>
      <c r="P12" s="49">
        <v>0</v>
      </c>
      <c r="Q12" s="49">
        <v>0</v>
      </c>
      <c r="R12" s="49">
        <v>-99800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2FCB2AB-B61B-4550-B027-71081A7BA3EE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BB2008C2-3934-480A-98A7-F7805B5DD6C0}">
          <x14:formula1>
            <xm:f>VerifyGridData!$4:$4</xm:f>
          </x14:formula1>
          <xm:sqref>E3</xm:sqref>
        </x14:dataValidation>
        <x14:dataValidation type="list" allowBlank="1" showInputMessage="1" showErrorMessage="1" prompt="Choose an available module" xr:uid="{B5D94FF3-7206-43D9-9467-A4078C3F5FBF}">
          <x14:formula1>
            <xm:f>'_Modules'!$A$4:$A$1000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50">
        <v>100000</v>
      </c>
      <c r="C6" s="40" t="s">
        <v>34</v>
      </c>
      <c r="D6" s="39" t="s">
        <v>35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983C8C8-2A00-4D52-8DB1-B3124239875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8CB94E2F-380A-49B4-B9FC-A1E198C1C019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09D58EBC-C59F-4697-92E1-BE8715B28032}">
          <x14:formula1>
            <xm:f>SendtoStaging!$4:$4</xm:f>
          </x14:formula1>
          <xm:sqref>E3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52</v>
      </c>
      <c r="C5" s="0" t="s">
        <v>53</v>
      </c>
      <c r="D5" s="0" t="s">
        <v>54</v>
      </c>
      <c r="E5" s="0" t="s">
        <v>55</v>
      </c>
      <c r="F5" s="0" t="s">
        <v>56</v>
      </c>
      <c r="G5" s="0" t="s">
        <v>57</v>
      </c>
      <c r="H5" s="0" t="s">
        <v>58</v>
      </c>
      <c r="I5" s="0" t="s">
        <v>59</v>
      </c>
      <c r="J5" s="0" t="s">
        <v>60</v>
      </c>
      <c r="K5" s="0" t="s">
        <v>61</v>
      </c>
      <c r="L5" s="0" t="s">
        <v>62</v>
      </c>
      <c r="M5" s="0" t="s">
        <v>63</v>
      </c>
      <c r="N5" s="0" t="s">
        <v>64</v>
      </c>
      <c r="O5" s="0" t="s">
        <v>65</v>
      </c>
      <c r="P5" s="0" t="s">
        <v>66</v>
      </c>
      <c r="Q5" s="0" t="s">
        <v>67</v>
      </c>
      <c r="R5" s="0" t="s">
        <v>68</v>
      </c>
      <c r="S5" s="0" t="s">
        <v>69</v>
      </c>
      <c r="T5" s="0" t="s">
        <v>70</v>
      </c>
      <c r="U5" s="0" t="s">
        <v>71</v>
      </c>
      <c r="V5" s="0" t="s">
        <v>72</v>
      </c>
      <c r="W5" s="0" t="s">
        <v>73</v>
      </c>
      <c r="X5" s="0" t="s">
        <v>74</v>
      </c>
      <c r="Y5" s="0" t="s">
        <v>75</v>
      </c>
      <c r="Z5" s="0" t="s">
        <v>76</v>
      </c>
      <c r="AA5" s="0" t="s">
        <v>77</v>
      </c>
      <c r="AB5" s="0" t="s">
        <v>78</v>
      </c>
      <c r="AC5" s="0" t="s">
        <v>79</v>
      </c>
      <c r="AD5" s="0" t="s">
        <v>80</v>
      </c>
      <c r="AE5" s="0" t="s">
        <v>81</v>
      </c>
      <c r="AF5" s="0" t="s">
        <v>82</v>
      </c>
      <c r="AG5" s="0" t="s">
        <v>83</v>
      </c>
      <c r="AH5" s="0" t="s">
        <v>84</v>
      </c>
      <c r="AI5" s="0" t="s">
        <v>85</v>
      </c>
      <c r="AJ5" s="0" t="s">
        <v>86</v>
      </c>
      <c r="AK5" s="0" t="s">
        <v>87</v>
      </c>
      <c r="AL5" s="0" t="s">
        <v>88</v>
      </c>
      <c r="AM5" s="0" t="s">
        <v>89</v>
      </c>
      <c r="AN5" s="0" t="s">
        <v>90</v>
      </c>
      <c r="AO5" s="0" t="s">
        <v>91</v>
      </c>
      <c r="AP5" s="0" t="s">
        <v>92</v>
      </c>
      <c r="AQ5" s="0" t="s">
        <v>93</v>
      </c>
      <c r="AR5" s="0" t="s">
        <v>94</v>
      </c>
      <c r="AS5" s="0" t="s">
        <v>95</v>
      </c>
      <c r="AT5" s="0" t="s">
        <v>31</v>
      </c>
      <c r="AU5" s="0" t="s">
        <v>96</v>
      </c>
      <c r="AV5" s="0" t="s">
        <v>97</v>
      </c>
      <c r="AW5" s="0" t="s">
        <v>98</v>
      </c>
      <c r="AX5" s="0" t="s">
        <v>99</v>
      </c>
      <c r="AY5" s="0" t="s">
        <v>100</v>
      </c>
      <c r="AZ5" s="0" t="s">
        <v>101</v>
      </c>
      <c r="BA5" s="0" t="s">
        <v>102</v>
      </c>
      <c r="BB5" s="0" t="s">
        <v>103</v>
      </c>
      <c r="BC5" s="0" t="s">
        <v>104</v>
      </c>
      <c r="BD5" s="0" t="s">
        <v>105</v>
      </c>
      <c r="BE5" s="0" t="s">
        <v>106</v>
      </c>
      <c r="BF5" s="0" t="s">
        <v>107</v>
      </c>
      <c r="BG5" s="0" t="s">
        <v>108</v>
      </c>
      <c r="BH5" s="0" t="s">
        <v>109</v>
      </c>
      <c r="BI5" s="0" t="s">
        <v>110</v>
      </c>
      <c r="BJ5" s="0" t="s">
        <v>111</v>
      </c>
      <c r="BK5" s="0" t="s">
        <v>112</v>
      </c>
      <c r="BL5" s="0" t="s">
        <v>113</v>
      </c>
      <c r="BM5" s="0" t="s">
        <v>114</v>
      </c>
      <c r="BN5" s="0" t="s">
        <v>115</v>
      </c>
      <c r="BO5" s="0" t="s">
        <v>116</v>
      </c>
      <c r="BP5" s="0" t="s">
        <v>117</v>
      </c>
    </row>
    <row r="6" ht="15.75" customHeight="1">
      <c r="A6" s="13"/>
      <c r="B6" s="13"/>
      <c r="C6" s="8"/>
      <c r="D6" s="13"/>
      <c r="E6" s="5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E1C7290F-45FC-4F49-9165-D1B79C847C4F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D4029644-F7BC-4845-8428-96BC54DAF075}">
          <x14:formula1>
            <xm:f>VerifyOrder!$4:$4</xm:f>
          </x14:formula1>
          <xm:sqref>E3</xm:sqref>
        </x14:dataValidation>
        <x14:dataValidation type="list" allowBlank="1" showInputMessage="1" showErrorMessage="1" prompt="Choose an available module" xr:uid="{F5A58498-423D-4A94-B117-42B859A27425}">
          <x14:formula1>
            <xm:f>'_Modules'!$A$4:$A$1000</xm:f>
          </x14:formula1>
          <xm:sqref>C3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