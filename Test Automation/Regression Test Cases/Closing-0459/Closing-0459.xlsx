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  <sheet name="CheckAllocatedTaxlots" sheetId="15" r:id="rId17"/>
    <sheet name="EditSMGridUi" sheetId="16" r:id="rId18"/>
    <sheet name="GetDataClosing1" sheetId="17" r:id="rId19"/>
    <sheet name="SelectTradeUnexpiredUnsettled1" sheetId="18" r:id="rId20"/>
    <sheet name="ExerciseAssignment1" sheetId="19" r:id="rId21"/>
    <sheet name="GetDataClosing2" sheetId="20" r:id="rId22"/>
    <sheet name="SelectTradeUnexpiredUnsettled2" sheetId="21" r:id="rId23"/>
    <sheet name="ExerciseAssignment2" sheetId="22" r:id="rId24"/>
    <sheet name="GetDataClosing3" sheetId="23" r:id="rId25"/>
    <sheet name="SelectTradeUnexpiredUnsettled3" sheetId="24" r:id="rId26"/>
    <sheet name="ExerciseAssignment3" sheetId="25" r:id="rId27"/>
  </sheets>
  <calcPr fullCalcOnLoad="1"/>
</workbook>
</file>

<file path=xl/sharedStrings.xml><?xml version="1.0" encoding="utf-8"?>
<sst xmlns="http://schemas.openxmlformats.org/spreadsheetml/2006/main" count="78" uniqueCount="78">
  <si>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</si>
  <si>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</si>
  <si>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</si>
  <si>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</si>
  <si>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</si>
  <si>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</si>
  <si>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</si>
  <si>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</si>
  <si>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</si>
  <si>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</si>
  <si>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</si>
  <si>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</si>
  <si>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</si>
  <si>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</si>
  <si>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</si>
  <si>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</si>
  <si>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</si>
  <si>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</si>
  <si>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O:MSFT 14A35.00</t>
  </si>
  <si>
    <t>O:MSFT 12X31.00</t>
  </si>
  <si>
    <t>O:FB 13I26.00</t>
  </si>
  <si>
    <t>O:FB 13U30.00</t>
  </si>
  <si>
    <t>O:GOOG 13F700.00</t>
  </si>
  <si>
    <t>O:GOOG 13U740.00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</si>
  <si>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</si>
  <si>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</si>
  <si>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</si>
  <si>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</si>
  <si>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</si>
  <si>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</si>
  <si>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</si>
  <si>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Allocation1</t>
  </si>
  <si>
    <t>Buy to Open</t>
  </si>
  <si>
    <t>MSFT</t>
  </si>
  <si>
    <t>Allocation2</t>
  </si>
  <si>
    <t>Sell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</si>
  <si>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</si>
  <si>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</si>
  <si>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</si>
  <si>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</si>
  <si>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</si>
  <si>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</si>
  <si>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</si>
  <si>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</si>
  <si>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</si>
  <si>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</si>
  <si>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</si>
  <si>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</si>
  <si>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</si>
  <si>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</si>
  <si>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</si>
  <si>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</si>
  <si>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</si>
  <si>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Closed</t>
  </si>
  <si>
    <t>Sell to Close</t>
  </si>
  <si>
    <t>Sell</t>
  </si>
  <si>
    <t>Sell short</t>
  </si>
  <si>
    <t>Buy to Close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</si>
  <si>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</si>
  <si>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</si>
  <si>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</si>
  <si>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</si>
  <si>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</si>
  <si>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</si>
  <si>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</si>
  <si>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NASDAQ</t>
  </si>
  <si>
    <t>USD</t>
  </si>
  <si>
    <t>EquityOption</t>
  </si>
  <si>
    <t>OPTS</t>
  </si>
  <si>
    <t>NewMF1</t>
  </si>
  <si>
    <t>NewMF2</t>
  </si>
  <si>
    <t>NewMF3</t>
  </si>
  <si>
    <t>CheckAllocatedTaxlots</t>
  </si>
  <si>
    <t>M</t>
  </si>
  <si>
    <t>D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</si>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</sst>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  <xf numFmtId="4" applyNumberFormat="1"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TODAY()+4</f>
        <v>45117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f>TODAY()+5</f>
        <v>45118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>today()+10</f>
        <v>45123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>today()+11</f>
        <v>45124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f>today()+10</f>
        <v>45123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f>today()+11</f>
        <v>45124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5">
        <f>today()+10</f>
        <v>45123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23</v>
      </c>
      <c r="C13" s="35">
        <f>today()+11</f>
        <v>45124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26</v>
      </c>
      <c r="D6" s="36"/>
      <c r="E6" s="38" t="b">
        <v>1</v>
      </c>
      <c r="F6" s="34"/>
      <c r="G6" s="34"/>
      <c r="H6" s="34"/>
      <c r="I6" s="34"/>
      <c r="J6" s="38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29</v>
      </c>
      <c r="C6" s="34" t="s">
        <v>30</v>
      </c>
      <c r="D6" s="39">
        <v>100</v>
      </c>
      <c r="E6" s="34"/>
      <c r="F6" s="40" t="s">
        <v>31</v>
      </c>
      <c r="G6" s="34"/>
      <c r="H6" s="34"/>
      <c r="I6" s="34"/>
      <c r="J6" s="41">
        <v>1</v>
      </c>
      <c r="K6" s="34"/>
      <c r="L6" s="34"/>
      <c r="M6" s="34"/>
      <c r="N6" s="35">
        <f>TODAY()-8</f>
        <v>45105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16</v>
      </c>
      <c r="C7" s="13" t="s">
        <v>32</v>
      </c>
      <c r="D7" s="41">
        <v>10</v>
      </c>
      <c r="E7" s="40"/>
      <c r="F7" s="40" t="s">
        <v>31</v>
      </c>
      <c r="G7" s="40"/>
      <c r="H7" s="40"/>
      <c r="I7" s="40"/>
      <c r="J7" s="41">
        <v>10</v>
      </c>
      <c r="K7" s="8"/>
      <c r="L7" s="8"/>
      <c r="M7" s="8"/>
      <c r="N7" s="31">
        <f>TODAY()-25</f>
        <v>45088</v>
      </c>
      <c r="O7" s="8"/>
    </row>
    <row r="8" ht="15.75" customHeight="1">
      <c r="A8" s="8"/>
      <c r="B8" s="33" t="s">
        <v>17</v>
      </c>
      <c r="C8" s="13" t="s">
        <v>32</v>
      </c>
      <c r="D8" s="41">
        <v>10</v>
      </c>
      <c r="E8" s="40"/>
      <c r="F8" s="40" t="s">
        <v>31</v>
      </c>
      <c r="G8" s="40"/>
      <c r="H8" s="40"/>
      <c r="I8" s="40"/>
      <c r="J8" s="41">
        <v>10</v>
      </c>
      <c r="K8" s="8"/>
      <c r="L8" s="8"/>
      <c r="M8" s="8"/>
      <c r="N8" s="31">
        <f>TODAY()-24</f>
        <v>45089</v>
      </c>
      <c r="O8" s="8"/>
    </row>
    <row r="9" ht="15.75" customHeight="1">
      <c r="A9" s="40"/>
      <c r="B9" s="42" t="s">
        <v>33</v>
      </c>
      <c r="C9" s="40" t="s">
        <v>30</v>
      </c>
      <c r="D9" s="41">
        <v>1100</v>
      </c>
      <c r="E9" s="40"/>
      <c r="F9" s="43" t="s">
        <v>34</v>
      </c>
      <c r="G9" s="40"/>
      <c r="H9" s="40"/>
      <c r="I9" s="40"/>
      <c r="J9" s="41">
        <v>1</v>
      </c>
      <c r="K9" s="40"/>
      <c r="L9" s="40"/>
      <c r="M9" s="40"/>
      <c r="N9" s="35">
        <f ref="N9:N17" t="shared" si="1">TODAY()-8</f>
        <v>45105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4" t="s">
        <v>18</v>
      </c>
      <c r="C10" s="34" t="s">
        <v>32</v>
      </c>
      <c r="D10" s="41">
        <v>10</v>
      </c>
      <c r="E10" s="40"/>
      <c r="F10" s="43" t="s">
        <v>34</v>
      </c>
      <c r="G10" s="40"/>
      <c r="H10" s="40"/>
      <c r="I10" s="40"/>
      <c r="J10" s="41">
        <v>10</v>
      </c>
      <c r="K10" s="40"/>
      <c r="L10" s="40"/>
      <c r="M10" s="40"/>
      <c r="N10" s="35">
        <f t="shared" si="1"/>
        <v>45105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4" t="s">
        <v>19</v>
      </c>
      <c r="C11" s="34" t="s">
        <v>35</v>
      </c>
      <c r="D11" s="41">
        <v>10</v>
      </c>
      <c r="E11" s="40"/>
      <c r="F11" s="43" t="s">
        <v>34</v>
      </c>
      <c r="G11" s="40"/>
      <c r="H11" s="40"/>
      <c r="I11" s="40"/>
      <c r="J11" s="41">
        <v>10</v>
      </c>
      <c r="K11" s="40"/>
      <c r="L11" s="40"/>
      <c r="M11" s="40"/>
      <c r="N11" s="35">
        <f t="shared" si="1"/>
        <v>45105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2" t="s">
        <v>36</v>
      </c>
      <c r="C12" s="40" t="s">
        <v>30</v>
      </c>
      <c r="D12" s="41">
        <v>1100</v>
      </c>
      <c r="E12" s="40"/>
      <c r="F12" s="40" t="s">
        <v>37</v>
      </c>
      <c r="G12" s="40"/>
      <c r="H12" s="40"/>
      <c r="I12" s="40"/>
      <c r="J12" s="41">
        <v>1</v>
      </c>
      <c r="K12" s="40"/>
      <c r="L12" s="40"/>
      <c r="M12" s="40"/>
      <c r="N12" s="35">
        <f t="shared" si="1"/>
        <v>45105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4" t="s">
        <v>20</v>
      </c>
      <c r="C13" s="34" t="s">
        <v>35</v>
      </c>
      <c r="D13" s="41">
        <v>10</v>
      </c>
      <c r="E13" s="40"/>
      <c r="F13" s="40" t="s">
        <v>37</v>
      </c>
      <c r="G13" s="40"/>
      <c r="H13" s="40"/>
      <c r="I13" s="40"/>
      <c r="J13" s="41">
        <v>10</v>
      </c>
      <c r="K13" s="40"/>
      <c r="L13" s="40"/>
      <c r="M13" s="40"/>
      <c r="N13" s="35">
        <f t="shared" si="1"/>
        <v>45105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4" t="s">
        <v>21</v>
      </c>
      <c r="C14" s="34" t="s">
        <v>35</v>
      </c>
      <c r="D14" s="41">
        <v>10</v>
      </c>
      <c r="E14" s="40"/>
      <c r="F14" s="40" t="s">
        <v>37</v>
      </c>
      <c r="G14" s="40"/>
      <c r="H14" s="40"/>
      <c r="I14" s="40"/>
      <c r="J14" s="41">
        <v>10</v>
      </c>
      <c r="K14" s="40"/>
      <c r="L14" s="40"/>
      <c r="M14" s="40"/>
      <c r="N14" s="35">
        <f t="shared" si="1"/>
        <v>45105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2" t="s">
        <v>38</v>
      </c>
      <c r="C15" s="40" t="s">
        <v>30</v>
      </c>
      <c r="D15" s="41">
        <v>1100</v>
      </c>
      <c r="E15" s="40"/>
      <c r="F15" s="43" t="s">
        <v>39</v>
      </c>
      <c r="G15" s="40"/>
      <c r="H15" s="40"/>
      <c r="I15" s="40"/>
      <c r="J15" s="41">
        <v>1</v>
      </c>
      <c r="K15" s="40"/>
      <c r="L15" s="40"/>
      <c r="M15" s="40"/>
      <c r="N15" s="35">
        <f t="shared" si="1"/>
        <v>45105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4" t="s">
        <v>22</v>
      </c>
      <c r="C16" s="34" t="s">
        <v>35</v>
      </c>
      <c r="D16" s="41">
        <v>10</v>
      </c>
      <c r="E16" s="40"/>
      <c r="F16" s="43" t="s">
        <v>39</v>
      </c>
      <c r="G16" s="40"/>
      <c r="H16" s="40"/>
      <c r="I16" s="40"/>
      <c r="J16" s="41">
        <v>10</v>
      </c>
      <c r="K16" s="40"/>
      <c r="L16" s="40"/>
      <c r="M16" s="40"/>
      <c r="N16" s="35">
        <f t="shared" si="1"/>
        <v>45105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34" t="s">
        <v>23</v>
      </c>
      <c r="C17" s="34" t="s">
        <v>32</v>
      </c>
      <c r="D17" s="41">
        <v>10</v>
      </c>
      <c r="E17" s="40"/>
      <c r="F17" s="43" t="s">
        <v>39</v>
      </c>
      <c r="G17" s="40"/>
      <c r="H17" s="40"/>
      <c r="I17" s="40"/>
      <c r="J17" s="41">
        <v>10</v>
      </c>
      <c r="K17" s="40"/>
      <c r="L17" s="40"/>
      <c r="M17" s="40"/>
      <c r="N17" s="35">
        <f t="shared" si="1"/>
        <v>45105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5">
        <f>TODAY()-1</f>
        <v>45112</v>
      </c>
      <c r="C6" s="35">
        <f>TODAY()</f>
        <v>45113</v>
      </c>
      <c r="D6" s="36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29</v>
      </c>
      <c r="C6" s="41">
        <v>100</v>
      </c>
      <c r="D6" s="36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13" t="s">
        <v>33</v>
      </c>
      <c r="C7" s="13">
        <v>100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36</v>
      </c>
      <c r="C8" s="13">
        <v>100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38</v>
      </c>
      <c r="C9" s="13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44</v>
      </c>
      <c r="C6" s="44" t="s">
        <v>45</v>
      </c>
      <c r="D6" s="44">
        <f>TODAY()</f>
        <v>45113</v>
      </c>
      <c r="E6" s="42" t="s">
        <v>31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0"/>
      <c r="D6" s="36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33" t="s">
        <v>16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33" t="s">
        <v>17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44</v>
      </c>
      <c r="C6" s="44" t="s">
        <v>45</v>
      </c>
      <c r="D6" s="44">
        <f>TODAY()</f>
        <v>45113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3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6" t="s">
        <v>31</v>
      </c>
      <c r="C6" s="8"/>
      <c r="D6" s="45"/>
      <c r="E6" s="47">
        <v>100</v>
      </c>
      <c r="F6" s="8"/>
      <c r="G6" s="8"/>
      <c r="H6" s="8"/>
      <c r="I6" s="8"/>
      <c r="J6" s="8"/>
      <c r="K6" s="8"/>
      <c r="L6" s="8"/>
      <c r="M6" s="8"/>
      <c r="N6" s="8"/>
      <c r="O6" s="46" t="s">
        <v>51</v>
      </c>
      <c r="S6" s="46" t="s">
        <v>52</v>
      </c>
      <c r="AE6" s="47">
        <v>100</v>
      </c>
      <c r="BJ6" s="47">
        <v>100</v>
      </c>
      <c r="BO6" s="46" t="s">
        <v>30</v>
      </c>
      <c r="BT6" s="46" t="s">
        <v>29</v>
      </c>
    </row>
    <row r="7" ht="15.75" customHeight="1">
      <c r="A7" s="8"/>
      <c r="B7" s="46" t="s">
        <v>31</v>
      </c>
      <c r="C7" s="8"/>
      <c r="D7" s="8"/>
      <c r="E7" s="47">
        <v>10</v>
      </c>
      <c r="F7" s="8"/>
      <c r="G7" s="8"/>
      <c r="H7" s="8"/>
      <c r="I7" s="8"/>
      <c r="J7" s="8"/>
      <c r="K7" s="8"/>
      <c r="L7" s="8"/>
      <c r="M7" s="8"/>
      <c r="N7" s="8"/>
      <c r="O7" s="46" t="s">
        <v>51</v>
      </c>
      <c r="S7" s="46" t="s">
        <v>53</v>
      </c>
      <c r="AE7" s="47">
        <v>10</v>
      </c>
      <c r="BJ7" s="47">
        <v>10</v>
      </c>
      <c r="BO7" s="46" t="s">
        <v>32</v>
      </c>
      <c r="BT7" s="46" t="s">
        <v>16</v>
      </c>
    </row>
    <row r="8" ht="15.75" customHeight="1">
      <c r="A8" s="8"/>
      <c r="B8" s="46" t="s">
        <v>31</v>
      </c>
      <c r="C8" s="8"/>
      <c r="D8" s="8"/>
      <c r="E8" s="47">
        <v>10</v>
      </c>
      <c r="F8" s="8"/>
      <c r="G8" s="8"/>
      <c r="H8" s="8"/>
      <c r="I8" s="8"/>
      <c r="J8" s="8"/>
      <c r="K8" s="8"/>
      <c r="L8" s="8"/>
      <c r="M8" s="8"/>
      <c r="N8" s="8"/>
      <c r="O8" s="46" t="s">
        <v>51</v>
      </c>
      <c r="S8" s="46" t="s">
        <v>53</v>
      </c>
      <c r="AE8" s="47">
        <v>10</v>
      </c>
      <c r="BJ8" s="47">
        <v>10</v>
      </c>
      <c r="BO8" s="46" t="s">
        <v>32</v>
      </c>
      <c r="BT8" s="46" t="s">
        <v>17</v>
      </c>
    </row>
    <row r="9" ht="15.75" customHeight="1">
      <c r="A9" s="8"/>
      <c r="B9" s="46" t="s">
        <v>34</v>
      </c>
      <c r="C9" s="8"/>
      <c r="D9" s="8"/>
      <c r="E9" s="48">
        <v>1100</v>
      </c>
      <c r="F9" s="8"/>
      <c r="G9" s="8"/>
      <c r="H9" s="8"/>
      <c r="I9" s="8"/>
      <c r="J9" s="8"/>
      <c r="K9" s="8"/>
      <c r="L9" s="8"/>
      <c r="M9" s="8"/>
      <c r="N9" s="8"/>
      <c r="O9" s="46" t="s">
        <v>51</v>
      </c>
      <c r="S9" s="46" t="s">
        <v>52</v>
      </c>
      <c r="AE9" s="48">
        <v>1100</v>
      </c>
      <c r="BJ9" s="48">
        <v>1100</v>
      </c>
      <c r="BO9" s="46" t="s">
        <v>30</v>
      </c>
      <c r="BT9" s="46" t="s">
        <v>33</v>
      </c>
    </row>
    <row r="10" ht="15.75" customHeight="1">
      <c r="A10" s="8"/>
      <c r="B10" s="46" t="s">
        <v>34</v>
      </c>
      <c r="C10" s="8"/>
      <c r="D10" s="8"/>
      <c r="E10" s="47">
        <v>10</v>
      </c>
      <c r="F10" s="8"/>
      <c r="G10" s="8"/>
      <c r="H10" s="8"/>
      <c r="I10" s="8"/>
      <c r="J10" s="8"/>
      <c r="K10" s="8"/>
      <c r="L10" s="8"/>
      <c r="M10" s="8"/>
      <c r="N10" s="8"/>
      <c r="O10" s="46" t="s">
        <v>51</v>
      </c>
      <c r="S10" s="46" t="s">
        <v>53</v>
      </c>
      <c r="AE10" s="47">
        <v>10</v>
      </c>
      <c r="BJ10" s="47">
        <v>10</v>
      </c>
      <c r="BO10" s="46" t="s">
        <v>32</v>
      </c>
      <c r="BT10" s="46" t="s">
        <v>18</v>
      </c>
    </row>
    <row r="11" ht="15.75" customHeight="1">
      <c r="A11" s="8"/>
      <c r="B11" s="46" t="s">
        <v>34</v>
      </c>
      <c r="C11" s="8"/>
      <c r="D11" s="8"/>
      <c r="E11" s="47">
        <v>10</v>
      </c>
      <c r="F11" s="8"/>
      <c r="G11" s="8"/>
      <c r="H11" s="8"/>
      <c r="I11" s="8"/>
      <c r="J11" s="8"/>
      <c r="K11" s="8"/>
      <c r="L11" s="8"/>
      <c r="M11" s="8"/>
      <c r="N11" s="8"/>
      <c r="O11" s="46" t="s">
        <v>51</v>
      </c>
      <c r="S11" s="46" t="s">
        <v>53</v>
      </c>
      <c r="AE11" s="47">
        <v>10</v>
      </c>
      <c r="BJ11" s="47">
        <v>10</v>
      </c>
      <c r="BO11" s="46" t="s">
        <v>35</v>
      </c>
      <c r="BT11" s="46" t="s">
        <v>19</v>
      </c>
    </row>
    <row r="12" ht="15.75" customHeight="1">
      <c r="A12" s="8"/>
      <c r="B12" s="46" t="s">
        <v>37</v>
      </c>
      <c r="C12" s="8"/>
      <c r="D12" s="8"/>
      <c r="E12" s="48">
        <v>1100</v>
      </c>
      <c r="F12" s="8"/>
      <c r="G12" s="8"/>
      <c r="H12" s="8"/>
      <c r="I12" s="8"/>
      <c r="J12" s="8"/>
      <c r="K12" s="8"/>
      <c r="L12" s="8"/>
      <c r="M12" s="8"/>
      <c r="N12" s="8"/>
      <c r="O12" s="46" t="s">
        <v>51</v>
      </c>
      <c r="S12" s="46" t="s">
        <v>52</v>
      </c>
      <c r="AE12" s="48">
        <v>1100</v>
      </c>
      <c r="BJ12" s="48">
        <v>1100</v>
      </c>
      <c r="BO12" s="46" t="s">
        <v>30</v>
      </c>
      <c r="BT12" s="46" t="s">
        <v>36</v>
      </c>
    </row>
    <row r="13" ht="15.75" customHeight="1">
      <c r="A13" s="8"/>
      <c r="B13" s="46" t="s">
        <v>37</v>
      </c>
      <c r="C13" s="8"/>
      <c r="D13" s="8"/>
      <c r="E13" s="47">
        <v>10</v>
      </c>
      <c r="F13" s="8"/>
      <c r="G13" s="8"/>
      <c r="H13" s="8"/>
      <c r="I13" s="8"/>
      <c r="J13" s="8"/>
      <c r="K13" s="8"/>
      <c r="L13" s="8"/>
      <c r="M13" s="8"/>
      <c r="N13" s="8"/>
      <c r="O13" s="46" t="s">
        <v>51</v>
      </c>
      <c r="S13" s="46" t="s">
        <v>53</v>
      </c>
      <c r="AE13" s="47">
        <v>10</v>
      </c>
      <c r="BJ13" s="47">
        <v>10</v>
      </c>
      <c r="BO13" s="46" t="s">
        <v>35</v>
      </c>
      <c r="BT13" s="46" t="s">
        <v>20</v>
      </c>
    </row>
    <row r="14" ht="15.75" customHeight="1">
      <c r="A14" s="8"/>
      <c r="B14" s="46" t="s">
        <v>37</v>
      </c>
      <c r="C14" s="8"/>
      <c r="D14" s="8"/>
      <c r="E14" s="47">
        <v>10</v>
      </c>
      <c r="F14" s="8"/>
      <c r="G14" s="8"/>
      <c r="H14" s="8"/>
      <c r="I14" s="8"/>
      <c r="J14" s="8"/>
      <c r="K14" s="8"/>
      <c r="L14" s="8"/>
      <c r="M14" s="8"/>
      <c r="N14" s="8"/>
      <c r="O14" s="46" t="s">
        <v>51</v>
      </c>
      <c r="S14" s="46" t="s">
        <v>53</v>
      </c>
      <c r="AE14" s="47">
        <v>10</v>
      </c>
      <c r="BJ14" s="47">
        <v>10</v>
      </c>
      <c r="BO14" s="46" t="s">
        <v>35</v>
      </c>
      <c r="BT14" s="46" t="s">
        <v>21</v>
      </c>
    </row>
    <row r="15" ht="15.75" customHeight="1">
      <c r="A15" s="8"/>
      <c r="B15" s="46" t="s">
        <v>39</v>
      </c>
      <c r="C15" s="8"/>
      <c r="D15" s="8"/>
      <c r="E15" s="48">
        <v>1100</v>
      </c>
      <c r="F15" s="8"/>
      <c r="G15" s="8"/>
      <c r="H15" s="8"/>
      <c r="I15" s="8"/>
      <c r="J15" s="8"/>
      <c r="K15" s="8"/>
      <c r="L15" s="8"/>
      <c r="M15" s="8"/>
      <c r="N15" s="8"/>
      <c r="O15" s="46" t="s">
        <v>51</v>
      </c>
      <c r="S15" s="46" t="s">
        <v>52</v>
      </c>
      <c r="AE15" s="48">
        <v>1100</v>
      </c>
      <c r="BJ15" s="48">
        <v>1100</v>
      </c>
      <c r="BO15" s="46" t="s">
        <v>30</v>
      </c>
      <c r="BT15" s="46" t="s">
        <v>38</v>
      </c>
    </row>
    <row r="16" ht="15.75" customHeight="1">
      <c r="A16" s="8"/>
      <c r="B16" s="46" t="s">
        <v>31</v>
      </c>
      <c r="C16" s="8"/>
      <c r="D16" s="8"/>
      <c r="E16" s="47">
        <v>10</v>
      </c>
      <c r="F16" s="8"/>
      <c r="G16" s="8"/>
      <c r="H16" s="8"/>
      <c r="I16" s="8"/>
      <c r="J16" s="8"/>
      <c r="K16" s="8"/>
      <c r="L16" s="8"/>
      <c r="M16" s="8"/>
      <c r="N16" s="8"/>
      <c r="O16" s="46" t="s">
        <v>51</v>
      </c>
      <c r="S16" s="46" t="s">
        <v>53</v>
      </c>
      <c r="AE16" s="47">
        <v>10</v>
      </c>
      <c r="BJ16" s="47">
        <v>10</v>
      </c>
      <c r="BO16" s="46" t="s">
        <v>54</v>
      </c>
      <c r="BT16" s="46" t="s">
        <v>17</v>
      </c>
    </row>
    <row r="17" ht="15.75" customHeight="1">
      <c r="A17" s="8"/>
      <c r="B17" s="46" t="s">
        <v>39</v>
      </c>
      <c r="C17" s="8"/>
      <c r="D17" s="8"/>
      <c r="E17" s="47">
        <v>10</v>
      </c>
      <c r="F17" s="8"/>
      <c r="G17" s="8"/>
      <c r="H17" s="8"/>
      <c r="I17" s="8"/>
      <c r="J17" s="8"/>
      <c r="K17" s="8"/>
      <c r="L17" s="8"/>
      <c r="M17" s="8"/>
      <c r="N17" s="8"/>
      <c r="O17" s="46" t="s">
        <v>51</v>
      </c>
      <c r="S17" s="46" t="s">
        <v>53</v>
      </c>
      <c r="AE17" s="47">
        <v>10</v>
      </c>
      <c r="BJ17" s="47">
        <v>10</v>
      </c>
      <c r="BO17" s="46" t="s">
        <v>32</v>
      </c>
      <c r="BT17" s="46" t="s">
        <v>23</v>
      </c>
    </row>
    <row r="18" ht="15.75" customHeight="1">
      <c r="A18" s="8"/>
      <c r="B18" s="46" t="s">
        <v>39</v>
      </c>
      <c r="C18" s="8"/>
      <c r="D18" s="8"/>
      <c r="E18" s="47">
        <v>10</v>
      </c>
      <c r="F18" s="8"/>
      <c r="G18" s="8"/>
      <c r="H18" s="8"/>
      <c r="I18" s="8"/>
      <c r="J18" s="8"/>
      <c r="K18" s="8"/>
      <c r="L18" s="8"/>
      <c r="M18" s="8"/>
      <c r="N18" s="8"/>
      <c r="O18" s="46" t="s">
        <v>51</v>
      </c>
      <c r="S18" s="46" t="s">
        <v>53</v>
      </c>
      <c r="AE18" s="47">
        <v>10</v>
      </c>
      <c r="BJ18" s="47">
        <v>10</v>
      </c>
      <c r="BO18" s="46" t="s">
        <v>35</v>
      </c>
      <c r="BT18" s="46" t="s">
        <v>22</v>
      </c>
    </row>
    <row r="19" ht="15.75" customHeight="1">
      <c r="A19" s="8"/>
      <c r="B19" s="46" t="s">
        <v>31</v>
      </c>
      <c r="C19" s="8"/>
      <c r="D19" s="8"/>
      <c r="E19" s="47">
        <v>100</v>
      </c>
      <c r="F19" s="8"/>
      <c r="G19" s="8"/>
      <c r="H19" s="8"/>
      <c r="I19" s="8"/>
      <c r="J19" s="8"/>
      <c r="K19" s="8"/>
      <c r="L19" s="8"/>
      <c r="M19" s="8"/>
      <c r="N19" s="8"/>
      <c r="O19" s="46" t="s">
        <v>51</v>
      </c>
      <c r="S19" s="46" t="s">
        <v>52</v>
      </c>
      <c r="AE19" s="47">
        <v>100</v>
      </c>
      <c r="BJ19" s="47">
        <v>100</v>
      </c>
      <c r="BO19" s="46" t="s">
        <v>55</v>
      </c>
      <c r="BT19" s="46" t="s">
        <v>29</v>
      </c>
    </row>
    <row r="20" ht="15.75" customHeight="1">
      <c r="A20" s="8"/>
      <c r="B20" s="46" t="s">
        <v>31</v>
      </c>
      <c r="C20" s="8"/>
      <c r="D20" s="8"/>
      <c r="E20" s="47">
        <v>10</v>
      </c>
      <c r="F20" s="8"/>
      <c r="G20" s="8"/>
      <c r="H20" s="8"/>
      <c r="I20" s="8"/>
      <c r="J20" s="8"/>
      <c r="K20" s="8"/>
      <c r="L20" s="8"/>
      <c r="M20" s="8"/>
      <c r="N20" s="8"/>
      <c r="O20" s="46" t="s">
        <v>51</v>
      </c>
      <c r="S20" s="46" t="s">
        <v>53</v>
      </c>
      <c r="AE20" s="47">
        <v>10</v>
      </c>
      <c r="BJ20" s="47">
        <v>10</v>
      </c>
      <c r="BO20" s="46" t="s">
        <v>54</v>
      </c>
      <c r="BT20" s="46" t="s">
        <v>16</v>
      </c>
    </row>
    <row r="21" ht="15.75" customHeight="1">
      <c r="A21" s="8"/>
      <c r="B21" s="46" t="s">
        <v>31</v>
      </c>
      <c r="C21" s="8"/>
      <c r="D21" s="8"/>
      <c r="E21" s="47">
        <v>900</v>
      </c>
      <c r="F21" s="8"/>
      <c r="G21" s="8"/>
      <c r="H21" s="8"/>
      <c r="I21" s="8"/>
      <c r="J21" s="8"/>
      <c r="K21" s="8"/>
      <c r="L21" s="8"/>
      <c r="M21" s="8"/>
      <c r="N21" s="8"/>
      <c r="O21" s="46" t="s">
        <v>51</v>
      </c>
      <c r="S21" s="46" t="s">
        <v>52</v>
      </c>
      <c r="AE21" s="47">
        <v>900</v>
      </c>
      <c r="BJ21" s="47">
        <v>900</v>
      </c>
      <c r="BO21" s="46" t="s">
        <v>56</v>
      </c>
      <c r="BT21" s="46" t="s">
        <v>29</v>
      </c>
    </row>
    <row r="22" ht="15.75" customHeight="1">
      <c r="A22" s="8"/>
      <c r="B22" s="46" t="s">
        <v>34</v>
      </c>
      <c r="C22" s="8"/>
      <c r="D22" s="8"/>
      <c r="E22" s="47">
        <v>10</v>
      </c>
      <c r="F22" s="8"/>
      <c r="G22" s="8"/>
      <c r="H22" s="8"/>
      <c r="I22" s="8"/>
      <c r="J22" s="8"/>
      <c r="K22" s="8"/>
      <c r="L22" s="8"/>
      <c r="M22" s="8"/>
      <c r="N22" s="8"/>
      <c r="O22" s="46" t="s">
        <v>51</v>
      </c>
      <c r="S22" s="46" t="s">
        <v>53</v>
      </c>
      <c r="AE22" s="47">
        <v>10</v>
      </c>
      <c r="BJ22" s="47">
        <v>10</v>
      </c>
      <c r="BO22" s="46" t="s">
        <v>54</v>
      </c>
      <c r="BT22" s="46" t="s">
        <v>18</v>
      </c>
    </row>
    <row r="23" ht="15.75" customHeight="1">
      <c r="A23" s="8"/>
      <c r="B23" s="46" t="s">
        <v>34</v>
      </c>
      <c r="C23" s="8"/>
      <c r="D23" s="8"/>
      <c r="E23" s="48">
        <v>1000</v>
      </c>
      <c r="F23" s="8"/>
      <c r="G23" s="8"/>
      <c r="H23" s="8"/>
      <c r="I23" s="8"/>
      <c r="J23" s="8"/>
      <c r="K23" s="8"/>
      <c r="L23" s="8"/>
      <c r="M23" s="8"/>
      <c r="N23" s="8"/>
      <c r="O23" s="46" t="s">
        <v>51</v>
      </c>
      <c r="S23" s="46" t="s">
        <v>52</v>
      </c>
      <c r="AE23" s="48">
        <v>1000</v>
      </c>
      <c r="BJ23" s="48">
        <v>1000</v>
      </c>
      <c r="BO23" s="46" t="s">
        <v>30</v>
      </c>
      <c r="BT23" s="46" t="s">
        <v>33</v>
      </c>
    </row>
    <row r="24" ht="15.75" customHeight="1">
      <c r="A24" s="8"/>
      <c r="B24" s="46" t="s">
        <v>31</v>
      </c>
      <c r="C24" s="8"/>
      <c r="D24" s="8"/>
      <c r="E24" s="48">
        <v>1000</v>
      </c>
      <c r="F24" s="8"/>
      <c r="G24" s="8"/>
      <c r="H24" s="8"/>
      <c r="I24" s="8"/>
      <c r="J24" s="8"/>
      <c r="K24" s="8"/>
      <c r="L24" s="8"/>
      <c r="M24" s="8"/>
      <c r="N24" s="8"/>
      <c r="O24" s="46" t="s">
        <v>51</v>
      </c>
      <c r="S24" s="46" t="s">
        <v>52</v>
      </c>
      <c r="AE24" s="48">
        <v>1000</v>
      </c>
      <c r="BJ24" s="48">
        <v>1000</v>
      </c>
      <c r="BO24" s="46" t="s">
        <v>30</v>
      </c>
      <c r="BT24" s="46" t="s">
        <v>29</v>
      </c>
    </row>
    <row r="25" ht="15.75" customHeight="1">
      <c r="A25" s="8"/>
      <c r="B25" s="46" t="s">
        <v>34</v>
      </c>
      <c r="C25" s="8"/>
      <c r="D25" s="8"/>
      <c r="E25" s="47">
        <v>10</v>
      </c>
      <c r="F25" s="8"/>
      <c r="G25" s="8"/>
      <c r="H25" s="8"/>
      <c r="I25" s="8"/>
      <c r="J25" s="8"/>
      <c r="K25" s="8"/>
      <c r="L25" s="8"/>
      <c r="M25" s="8"/>
      <c r="N25" s="8"/>
      <c r="O25" s="46" t="s">
        <v>51</v>
      </c>
      <c r="S25" s="46" t="s">
        <v>53</v>
      </c>
      <c r="AE25" s="47">
        <v>10</v>
      </c>
      <c r="BJ25" s="47">
        <v>10</v>
      </c>
      <c r="BO25" s="46" t="s">
        <v>57</v>
      </c>
      <c r="BT25" s="46" t="s">
        <v>19</v>
      </c>
    </row>
    <row r="26" ht="15.75" customHeight="1">
      <c r="A26" s="8"/>
      <c r="B26" s="46" t="s">
        <v>34</v>
      </c>
      <c r="C26" s="8"/>
      <c r="D26" s="8"/>
      <c r="E26" s="48">
        <v>1000</v>
      </c>
      <c r="F26" s="8"/>
      <c r="G26" s="8"/>
      <c r="H26" s="8"/>
      <c r="I26" s="8"/>
      <c r="J26" s="8"/>
      <c r="K26" s="8"/>
      <c r="L26" s="8"/>
      <c r="M26" s="8"/>
      <c r="N26" s="8"/>
      <c r="O26" s="46" t="s">
        <v>51</v>
      </c>
      <c r="S26" s="46" t="s">
        <v>52</v>
      </c>
      <c r="AE26" s="48">
        <v>1000</v>
      </c>
      <c r="BJ26" s="48">
        <v>1000</v>
      </c>
      <c r="BO26" s="46" t="s">
        <v>30</v>
      </c>
      <c r="BT26" s="46" t="s">
        <v>33</v>
      </c>
    </row>
    <row r="27" ht="15.75" customHeight="1">
      <c r="B27" s="46" t="s">
        <v>37</v>
      </c>
      <c r="E27" s="47">
        <v>10</v>
      </c>
      <c r="O27" s="46" t="s">
        <v>51</v>
      </c>
      <c r="S27" s="46" t="s">
        <v>53</v>
      </c>
      <c r="AE27" s="47">
        <v>10</v>
      </c>
      <c r="BJ27" s="47">
        <v>10</v>
      </c>
      <c r="BO27" s="46" t="s">
        <v>57</v>
      </c>
      <c r="BT27" s="46" t="s">
        <v>20</v>
      </c>
    </row>
    <row r="28" ht="15.75" customHeight="1">
      <c r="B28" s="46" t="s">
        <v>37</v>
      </c>
      <c r="E28" s="48">
        <v>1000</v>
      </c>
      <c r="O28" s="46" t="s">
        <v>51</v>
      </c>
      <c r="S28" s="46" t="s">
        <v>52</v>
      </c>
      <c r="AE28" s="48">
        <v>1000</v>
      </c>
      <c r="BJ28" s="48">
        <v>1000</v>
      </c>
      <c r="BO28" s="46" t="s">
        <v>30</v>
      </c>
      <c r="BT28" s="46" t="s">
        <v>36</v>
      </c>
    </row>
    <row r="29" ht="15.75" customHeight="1">
      <c r="B29" s="46" t="s">
        <v>39</v>
      </c>
      <c r="E29" s="47">
        <v>10</v>
      </c>
      <c r="O29" s="46" t="s">
        <v>51</v>
      </c>
      <c r="S29" s="46" t="s">
        <v>53</v>
      </c>
      <c r="AE29" s="47">
        <v>10</v>
      </c>
      <c r="BJ29" s="47">
        <v>10</v>
      </c>
      <c r="BO29" s="46" t="s">
        <v>57</v>
      </c>
      <c r="BT29" s="46" t="s">
        <v>22</v>
      </c>
    </row>
    <row r="30" ht="15.75" customHeight="1">
      <c r="B30" s="46" t="s">
        <v>37</v>
      </c>
      <c r="E30" s="47">
        <v>10</v>
      </c>
      <c r="O30" s="46" t="s">
        <v>51</v>
      </c>
      <c r="S30" s="46" t="s">
        <v>53</v>
      </c>
      <c r="AE30" s="47">
        <v>10</v>
      </c>
      <c r="BJ30" s="47">
        <v>10</v>
      </c>
      <c r="BO30" s="46" t="s">
        <v>57</v>
      </c>
      <c r="BT30" s="46" t="s">
        <v>21</v>
      </c>
    </row>
    <row r="31" ht="15.75" customHeight="1">
      <c r="B31" s="46" t="s">
        <v>37</v>
      </c>
      <c r="E31" s="48">
        <v>1000</v>
      </c>
      <c r="O31" s="46" t="s">
        <v>51</v>
      </c>
      <c r="S31" s="46" t="s">
        <v>52</v>
      </c>
      <c r="AE31" s="48">
        <v>1000</v>
      </c>
      <c r="BJ31" s="48">
        <v>1000</v>
      </c>
      <c r="BO31" s="46" t="s">
        <v>55</v>
      </c>
      <c r="BT31" s="46" t="s">
        <v>36</v>
      </c>
    </row>
    <row r="32" ht="15.75" customHeight="1">
      <c r="B32" s="46" t="s">
        <v>39</v>
      </c>
      <c r="E32" s="47">
        <v>10</v>
      </c>
      <c r="O32" s="46" t="s">
        <v>51</v>
      </c>
      <c r="S32" s="46" t="s">
        <v>53</v>
      </c>
      <c r="AE32" s="47">
        <v>10</v>
      </c>
      <c r="BJ32" s="47">
        <v>10</v>
      </c>
      <c r="BO32" s="46" t="s">
        <v>54</v>
      </c>
      <c r="BT32" s="46" t="s">
        <v>23</v>
      </c>
    </row>
    <row r="33" ht="15.75" customHeight="1">
      <c r="B33" s="46" t="s">
        <v>39</v>
      </c>
      <c r="E33" s="47">
        <v>100</v>
      </c>
      <c r="O33" s="46" t="s">
        <v>51</v>
      </c>
      <c r="S33" s="46" t="s">
        <v>52</v>
      </c>
      <c r="AE33" s="47">
        <v>100</v>
      </c>
      <c r="BJ33" s="47">
        <v>100</v>
      </c>
      <c r="BO33" s="46" t="s">
        <v>55</v>
      </c>
      <c r="BT33" s="46" t="s">
        <v>38</v>
      </c>
    </row>
    <row r="34" ht="15.75" customHeight="1">
      <c r="B34" s="46" t="s">
        <v>39</v>
      </c>
      <c r="E34" s="47">
        <v>900</v>
      </c>
      <c r="O34" s="46" t="s">
        <v>51</v>
      </c>
      <c r="S34" s="46" t="s">
        <v>52</v>
      </c>
      <c r="AE34" s="47">
        <v>900</v>
      </c>
      <c r="BJ34" s="47">
        <v>900</v>
      </c>
      <c r="BO34" s="46" t="s">
        <v>56</v>
      </c>
      <c r="BT34" s="46" t="s">
        <v>38</v>
      </c>
    </row>
    <row r="35" ht="15.75" customHeight="1">
      <c r="B35" s="46" t="s">
        <v>39</v>
      </c>
      <c r="E35" s="48">
        <v>1000</v>
      </c>
      <c r="O35" s="46" t="s">
        <v>51</v>
      </c>
      <c r="S35" s="46" t="s">
        <v>52</v>
      </c>
      <c r="AE35" s="48">
        <v>1000</v>
      </c>
      <c r="BJ35" s="48">
        <v>1000</v>
      </c>
      <c r="BO35" s="46" t="s">
        <v>55</v>
      </c>
      <c r="BT35" s="46" t="s">
        <v>38</v>
      </c>
    </row>
    <row r="36" ht="15.75" customHeight="1">
      <c r="B36" s="49"/>
      <c r="E36" s="49"/>
      <c r="O36" s="49"/>
      <c r="S36" s="49"/>
      <c r="AE36" s="49"/>
      <c r="BJ36" s="49"/>
      <c r="BO36" s="49"/>
      <c r="BT36" s="49"/>
    </row>
    <row r="37" ht="15.75" customHeight="1">
      <c r="BT37" s="4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5"/>
      <c r="C6" s="46" t="s">
        <v>29</v>
      </c>
      <c r="D6" s="47">
        <v>100</v>
      </c>
      <c r="E6" s="46" t="s">
        <v>31</v>
      </c>
      <c r="F6" s="46" t="s">
        <v>60</v>
      </c>
      <c r="G6" s="47">
        <v>1</v>
      </c>
      <c r="H6" s="8"/>
      <c r="I6" s="8"/>
      <c r="J6" s="8"/>
      <c r="K6" s="8"/>
      <c r="L6" s="8"/>
      <c r="M6" s="8"/>
      <c r="N6" s="8"/>
      <c r="O6" s="8"/>
      <c r="R6" s="46" t="s">
        <v>61</v>
      </c>
      <c r="S6" s="46" t="s">
        <v>62</v>
      </c>
      <c r="T6" s="46" t="s">
        <v>63</v>
      </c>
      <c r="U6" s="46" t="s">
        <v>64</v>
      </c>
      <c r="V6" s="46" t="s">
        <v>65</v>
      </c>
      <c r="W6" s="46" t="s">
        <v>66</v>
      </c>
      <c r="AN6" s="46" t="s">
        <v>30</v>
      </c>
    </row>
    <row r="7" ht="15.75" customHeight="1">
      <c r="A7" s="8"/>
      <c r="B7" s="8"/>
      <c r="C7" s="46" t="s">
        <v>16</v>
      </c>
      <c r="D7" s="47">
        <v>-10</v>
      </c>
      <c r="E7" s="46" t="s">
        <v>31</v>
      </c>
      <c r="F7" s="46" t="s">
        <v>60</v>
      </c>
      <c r="G7" s="47">
        <v>0</v>
      </c>
      <c r="H7" s="8"/>
      <c r="I7" s="8"/>
      <c r="J7" s="8"/>
      <c r="K7" s="8"/>
      <c r="L7" s="8"/>
      <c r="M7" s="8"/>
      <c r="N7" s="8"/>
      <c r="O7" s="8"/>
      <c r="R7" s="46" t="s">
        <v>61</v>
      </c>
      <c r="S7" s="46" t="s">
        <v>62</v>
      </c>
      <c r="T7" s="46" t="s">
        <v>67</v>
      </c>
      <c r="U7" s="46" t="s">
        <v>64</v>
      </c>
      <c r="V7" s="46" t="s">
        <v>68</v>
      </c>
      <c r="W7" s="46" t="s">
        <v>66</v>
      </c>
      <c r="AN7" s="46" t="s">
        <v>54</v>
      </c>
    </row>
    <row r="8" ht="15.75" customHeight="1">
      <c r="A8" s="8"/>
      <c r="B8" s="8"/>
      <c r="C8" s="46" t="s">
        <v>17</v>
      </c>
      <c r="D8" s="47">
        <v>-10</v>
      </c>
      <c r="E8" s="46" t="s">
        <v>31</v>
      </c>
      <c r="F8" s="46" t="s">
        <v>60</v>
      </c>
      <c r="G8" s="47">
        <v>0</v>
      </c>
      <c r="H8" s="8"/>
      <c r="I8" s="8"/>
      <c r="J8" s="8"/>
      <c r="K8" s="8"/>
      <c r="L8" s="8"/>
      <c r="M8" s="8"/>
      <c r="N8" s="8"/>
      <c r="O8" s="8"/>
      <c r="R8" s="46" t="s">
        <v>61</v>
      </c>
      <c r="S8" s="46" t="s">
        <v>62</v>
      </c>
      <c r="T8" s="46" t="s">
        <v>67</v>
      </c>
      <c r="U8" s="46" t="s">
        <v>64</v>
      </c>
      <c r="V8" s="46" t="s">
        <v>68</v>
      </c>
      <c r="W8" s="46" t="s">
        <v>66</v>
      </c>
      <c r="AN8" s="46" t="s">
        <v>54</v>
      </c>
    </row>
    <row r="9" ht="15.75" customHeight="1">
      <c r="A9" s="8"/>
      <c r="B9" s="8"/>
      <c r="C9" s="46" t="s">
        <v>29</v>
      </c>
      <c r="D9" s="47">
        <v>-100</v>
      </c>
      <c r="E9" s="46" t="s">
        <v>31</v>
      </c>
      <c r="F9" s="46" t="s">
        <v>60</v>
      </c>
      <c r="G9" s="47">
        <v>110</v>
      </c>
      <c r="H9" s="8"/>
      <c r="I9" s="8"/>
      <c r="J9" s="8"/>
      <c r="K9" s="8"/>
      <c r="L9" s="8"/>
      <c r="M9" s="8"/>
      <c r="N9" s="8"/>
      <c r="O9" s="8"/>
      <c r="R9" s="46" t="s">
        <v>61</v>
      </c>
      <c r="S9" s="46" t="s">
        <v>62</v>
      </c>
      <c r="T9" s="46" t="s">
        <v>63</v>
      </c>
      <c r="U9" s="46" t="s">
        <v>64</v>
      </c>
      <c r="V9" s="46" t="s">
        <v>65</v>
      </c>
      <c r="W9" s="46" t="s">
        <v>66</v>
      </c>
      <c r="AN9" s="46" t="s">
        <v>55</v>
      </c>
    </row>
    <row r="10" ht="15.75" customHeight="1">
      <c r="A10" s="8"/>
      <c r="B10" s="8"/>
      <c r="C10" s="46" t="s">
        <v>29</v>
      </c>
      <c r="D10" s="47">
        <v>-900</v>
      </c>
      <c r="E10" s="46" t="s">
        <v>31</v>
      </c>
      <c r="F10" s="46" t="s">
        <v>60</v>
      </c>
      <c r="G10" s="47">
        <v>110</v>
      </c>
      <c r="H10" s="8"/>
      <c r="I10" s="8"/>
      <c r="J10" s="8"/>
      <c r="K10" s="8"/>
      <c r="L10" s="8"/>
      <c r="M10" s="8"/>
      <c r="N10" s="8"/>
      <c r="O10" s="8"/>
      <c r="R10" s="46" t="s">
        <v>61</v>
      </c>
      <c r="S10" s="46" t="s">
        <v>62</v>
      </c>
      <c r="T10" s="46" t="s">
        <v>63</v>
      </c>
      <c r="U10" s="46" t="s">
        <v>64</v>
      </c>
      <c r="V10" s="46" t="s">
        <v>65</v>
      </c>
      <c r="W10" s="46" t="s">
        <v>66</v>
      </c>
      <c r="AN10" s="46" t="s">
        <v>56</v>
      </c>
    </row>
    <row r="11" ht="15.75" customHeight="1">
      <c r="A11" s="8"/>
      <c r="B11" s="8"/>
      <c r="C11" s="46" t="s">
        <v>29</v>
      </c>
      <c r="D11" s="50">
        <v>1000</v>
      </c>
      <c r="E11" s="46" t="s">
        <v>31</v>
      </c>
      <c r="F11" s="46" t="s">
        <v>60</v>
      </c>
      <c r="G11" s="47">
        <v>90</v>
      </c>
      <c r="H11" s="8"/>
      <c r="I11" s="8"/>
      <c r="J11" s="8"/>
      <c r="K11" s="8"/>
      <c r="L11" s="8"/>
      <c r="M11" s="8"/>
      <c r="N11" s="8"/>
      <c r="O11" s="8"/>
      <c r="R11" s="46" t="s">
        <v>61</v>
      </c>
      <c r="S11" s="46" t="s">
        <v>62</v>
      </c>
      <c r="T11" s="46" t="s">
        <v>63</v>
      </c>
      <c r="U11" s="46" t="s">
        <v>64</v>
      </c>
      <c r="V11" s="46" t="s">
        <v>65</v>
      </c>
      <c r="W11" s="46" t="s">
        <v>66</v>
      </c>
      <c r="AN11" s="46" t="s">
        <v>30</v>
      </c>
    </row>
    <row r="12" ht="15.75" customHeight="1">
      <c r="A12" s="8"/>
      <c r="B12" s="8"/>
      <c r="C12" s="46" t="s">
        <v>33</v>
      </c>
      <c r="D12" s="50">
        <v>1100</v>
      </c>
      <c r="E12" s="46" t="s">
        <v>34</v>
      </c>
      <c r="F12" s="46" t="s">
        <v>69</v>
      </c>
      <c r="G12" s="47">
        <v>1</v>
      </c>
      <c r="H12" s="8"/>
      <c r="I12" s="8"/>
      <c r="J12" s="8"/>
      <c r="K12" s="8"/>
      <c r="L12" s="8"/>
      <c r="M12" s="8"/>
      <c r="N12" s="8"/>
      <c r="O12" s="8"/>
      <c r="R12" s="46" t="s">
        <v>51</v>
      </c>
      <c r="S12" s="46" t="s">
        <v>62</v>
      </c>
      <c r="T12" s="46" t="s">
        <v>63</v>
      </c>
      <c r="U12" s="46" t="s">
        <v>64</v>
      </c>
      <c r="V12" s="46" t="s">
        <v>65</v>
      </c>
      <c r="W12" s="46" t="s">
        <v>66</v>
      </c>
      <c r="AN12" s="46" t="s">
        <v>30</v>
      </c>
    </row>
    <row r="13" ht="15.75" customHeight="1">
      <c r="A13" s="8"/>
      <c r="B13" s="8"/>
      <c r="C13" s="46" t="s">
        <v>18</v>
      </c>
      <c r="D13" s="47">
        <v>-10</v>
      </c>
      <c r="E13" s="46" t="s">
        <v>34</v>
      </c>
      <c r="F13" s="46" t="s">
        <v>69</v>
      </c>
      <c r="G13" s="47">
        <v>0</v>
      </c>
      <c r="H13" s="8"/>
      <c r="I13" s="8"/>
      <c r="J13" s="8"/>
      <c r="K13" s="8"/>
      <c r="L13" s="8"/>
      <c r="M13" s="8"/>
      <c r="N13" s="8"/>
      <c r="O13" s="8"/>
      <c r="R13" s="46" t="s">
        <v>51</v>
      </c>
      <c r="S13" s="46" t="s">
        <v>62</v>
      </c>
      <c r="T13" s="46" t="s">
        <v>67</v>
      </c>
      <c r="U13" s="46" t="s">
        <v>64</v>
      </c>
      <c r="V13" s="46" t="s">
        <v>68</v>
      </c>
      <c r="W13" s="46" t="s">
        <v>66</v>
      </c>
      <c r="AN13" s="46" t="s">
        <v>54</v>
      </c>
    </row>
    <row r="14" ht="15.75" customHeight="1">
      <c r="A14" s="8"/>
      <c r="B14" s="8"/>
      <c r="C14" s="46" t="s">
        <v>19</v>
      </c>
      <c r="D14" s="47">
        <v>10</v>
      </c>
      <c r="E14" s="46" t="s">
        <v>34</v>
      </c>
      <c r="F14" s="46" t="s">
        <v>69</v>
      </c>
      <c r="G14" s="47">
        <v>0</v>
      </c>
      <c r="H14" s="8"/>
      <c r="I14" s="8"/>
      <c r="J14" s="8"/>
      <c r="K14" s="8"/>
      <c r="L14" s="8"/>
      <c r="M14" s="8"/>
      <c r="N14" s="8"/>
      <c r="O14" s="8"/>
      <c r="R14" s="46" t="s">
        <v>51</v>
      </c>
      <c r="S14" s="46" t="s">
        <v>62</v>
      </c>
      <c r="T14" s="46" t="s">
        <v>67</v>
      </c>
      <c r="U14" s="46" t="s">
        <v>64</v>
      </c>
      <c r="V14" s="46" t="s">
        <v>68</v>
      </c>
      <c r="W14" s="46" t="s">
        <v>66</v>
      </c>
      <c r="AN14" s="46" t="s">
        <v>57</v>
      </c>
    </row>
    <row r="15" ht="15.75" customHeight="1">
      <c r="A15" s="8"/>
      <c r="B15" s="8"/>
      <c r="C15" s="46" t="s">
        <v>33</v>
      </c>
      <c r="D15" s="50">
        <v>1000</v>
      </c>
      <c r="E15" s="46" t="s">
        <v>34</v>
      </c>
      <c r="F15" s="46" t="s">
        <v>69</v>
      </c>
      <c r="G15" s="47">
        <v>110</v>
      </c>
      <c r="H15" s="8"/>
      <c r="I15" s="8"/>
      <c r="J15" s="8"/>
      <c r="K15" s="8"/>
      <c r="L15" s="8"/>
      <c r="M15" s="8"/>
      <c r="N15" s="8"/>
      <c r="O15" s="8"/>
      <c r="R15" s="46" t="s">
        <v>51</v>
      </c>
      <c r="S15" s="46" t="s">
        <v>62</v>
      </c>
      <c r="T15" s="46" t="s">
        <v>63</v>
      </c>
      <c r="U15" s="46" t="s">
        <v>64</v>
      </c>
      <c r="V15" s="46" t="s">
        <v>65</v>
      </c>
      <c r="W15" s="46" t="s">
        <v>66</v>
      </c>
      <c r="AN15" s="46" t="s">
        <v>30</v>
      </c>
    </row>
    <row r="16" ht="15.75" customHeight="1">
      <c r="A16" s="8"/>
      <c r="B16" s="8"/>
      <c r="C16" s="46" t="s">
        <v>33</v>
      </c>
      <c r="D16" s="50">
        <v>1000</v>
      </c>
      <c r="E16" s="46" t="s">
        <v>34</v>
      </c>
      <c r="F16" s="46" t="s">
        <v>69</v>
      </c>
      <c r="G16" s="47">
        <v>90</v>
      </c>
      <c r="H16" s="8"/>
      <c r="I16" s="8"/>
      <c r="J16" s="8"/>
      <c r="K16" s="8"/>
      <c r="L16" s="8"/>
      <c r="M16" s="8"/>
      <c r="N16" s="8"/>
      <c r="O16" s="8"/>
      <c r="R16" s="46" t="s">
        <v>51</v>
      </c>
      <c r="S16" s="46" t="s">
        <v>62</v>
      </c>
      <c r="T16" s="46" t="s">
        <v>63</v>
      </c>
      <c r="U16" s="46" t="s">
        <v>64</v>
      </c>
      <c r="V16" s="46" t="s">
        <v>65</v>
      </c>
      <c r="W16" s="46" t="s">
        <v>66</v>
      </c>
      <c r="AN16" s="46" t="s">
        <v>30</v>
      </c>
    </row>
    <row r="17" ht="15.75" customHeight="1">
      <c r="A17" s="8"/>
      <c r="B17" s="8"/>
      <c r="C17" s="46" t="s">
        <v>36</v>
      </c>
      <c r="D17" s="50">
        <v>1100</v>
      </c>
      <c r="E17" s="46" t="s">
        <v>37</v>
      </c>
      <c r="F17" s="46" t="s">
        <v>70</v>
      </c>
      <c r="G17" s="47">
        <v>1</v>
      </c>
      <c r="H17" s="8"/>
      <c r="I17" s="8"/>
      <c r="J17" s="8"/>
      <c r="K17" s="8"/>
      <c r="L17" s="8"/>
      <c r="M17" s="8"/>
      <c r="N17" s="8"/>
      <c r="O17" s="8"/>
      <c r="R17" s="46" t="s">
        <v>51</v>
      </c>
      <c r="S17" s="46" t="s">
        <v>62</v>
      </c>
      <c r="T17" s="46" t="s">
        <v>63</v>
      </c>
      <c r="U17" s="46" t="s">
        <v>64</v>
      </c>
      <c r="V17" s="46" t="s">
        <v>65</v>
      </c>
      <c r="W17" s="46" t="s">
        <v>66</v>
      </c>
      <c r="AN17" s="46" t="s">
        <v>30</v>
      </c>
    </row>
    <row r="18" ht="15.75" customHeight="1">
      <c r="A18" s="8"/>
      <c r="B18" s="8"/>
      <c r="C18" s="46" t="s">
        <v>20</v>
      </c>
      <c r="D18" s="47">
        <v>10</v>
      </c>
      <c r="E18" s="46" t="s">
        <v>37</v>
      </c>
      <c r="F18" s="46" t="s">
        <v>70</v>
      </c>
      <c r="G18" s="47">
        <v>0</v>
      </c>
      <c r="H18" s="8"/>
      <c r="I18" s="8"/>
      <c r="J18" s="8"/>
      <c r="K18" s="8"/>
      <c r="L18" s="8"/>
      <c r="M18" s="8"/>
      <c r="N18" s="8"/>
      <c r="O18" s="8"/>
      <c r="R18" s="46" t="s">
        <v>51</v>
      </c>
      <c r="S18" s="46" t="s">
        <v>62</v>
      </c>
      <c r="T18" s="46" t="s">
        <v>67</v>
      </c>
      <c r="U18" s="46" t="s">
        <v>64</v>
      </c>
      <c r="V18" s="46" t="s">
        <v>68</v>
      </c>
      <c r="W18" s="46" t="s">
        <v>66</v>
      </c>
      <c r="AN18" s="46" t="s">
        <v>57</v>
      </c>
    </row>
    <row r="19" ht="15.75" customHeight="1">
      <c r="A19" s="8"/>
      <c r="B19" s="8"/>
      <c r="C19" s="46" t="s">
        <v>21</v>
      </c>
      <c r="D19" s="47">
        <v>10</v>
      </c>
      <c r="E19" s="46" t="s">
        <v>37</v>
      </c>
      <c r="F19" s="46" t="s">
        <v>70</v>
      </c>
      <c r="G19" s="47">
        <v>0</v>
      </c>
      <c r="H19" s="8"/>
      <c r="I19" s="8"/>
      <c r="J19" s="8"/>
      <c r="K19" s="8"/>
      <c r="L19" s="8"/>
      <c r="M19" s="8"/>
      <c r="N19" s="8"/>
      <c r="O19" s="8"/>
      <c r="R19" s="46" t="s">
        <v>51</v>
      </c>
      <c r="S19" s="46" t="s">
        <v>62</v>
      </c>
      <c r="T19" s="46" t="s">
        <v>67</v>
      </c>
      <c r="U19" s="46" t="s">
        <v>64</v>
      </c>
      <c r="V19" s="46" t="s">
        <v>68</v>
      </c>
      <c r="W19" s="46" t="s">
        <v>66</v>
      </c>
      <c r="AN19" s="46" t="s">
        <v>57</v>
      </c>
    </row>
    <row r="20" ht="15.75" customHeight="1">
      <c r="A20" s="8"/>
      <c r="B20" s="8"/>
      <c r="C20" s="46" t="s">
        <v>36</v>
      </c>
      <c r="D20" s="50">
        <v>1000</v>
      </c>
      <c r="E20" s="46" t="s">
        <v>37</v>
      </c>
      <c r="F20" s="46" t="s">
        <v>70</v>
      </c>
      <c r="G20" s="47">
        <v>110</v>
      </c>
      <c r="H20" s="8"/>
      <c r="I20" s="8"/>
      <c r="J20" s="8"/>
      <c r="K20" s="8"/>
      <c r="L20" s="8"/>
      <c r="M20" s="8"/>
      <c r="N20" s="8"/>
      <c r="O20" s="8"/>
      <c r="R20" s="46" t="s">
        <v>51</v>
      </c>
      <c r="S20" s="46" t="s">
        <v>62</v>
      </c>
      <c r="T20" s="46" t="s">
        <v>63</v>
      </c>
      <c r="U20" s="46" t="s">
        <v>64</v>
      </c>
      <c r="V20" s="46" t="s">
        <v>65</v>
      </c>
      <c r="W20" s="46" t="s">
        <v>66</v>
      </c>
      <c r="AN20" s="46" t="s">
        <v>30</v>
      </c>
    </row>
    <row r="21" ht="15.75" customHeight="1">
      <c r="A21" s="8"/>
      <c r="B21" s="8"/>
      <c r="C21" s="46" t="s">
        <v>36</v>
      </c>
      <c r="D21" s="50">
        <v>-1000</v>
      </c>
      <c r="E21" s="46" t="s">
        <v>37</v>
      </c>
      <c r="F21" s="46" t="s">
        <v>70</v>
      </c>
      <c r="G21" s="47">
        <v>90</v>
      </c>
      <c r="H21" s="8"/>
      <c r="I21" s="8"/>
      <c r="J21" s="8"/>
      <c r="K21" s="8"/>
      <c r="L21" s="8"/>
      <c r="M21" s="8"/>
      <c r="N21" s="8"/>
      <c r="O21" s="8"/>
      <c r="R21" s="46" t="s">
        <v>51</v>
      </c>
      <c r="S21" s="46" t="s">
        <v>62</v>
      </c>
      <c r="T21" s="46" t="s">
        <v>63</v>
      </c>
      <c r="U21" s="46" t="s">
        <v>64</v>
      </c>
      <c r="V21" s="46" t="s">
        <v>65</v>
      </c>
      <c r="W21" s="46" t="s">
        <v>66</v>
      </c>
      <c r="AN21" s="46" t="s">
        <v>55</v>
      </c>
    </row>
    <row r="22" ht="15.75" customHeight="1">
      <c r="A22" s="8"/>
      <c r="B22" s="8"/>
      <c r="C22" s="46" t="s">
        <v>38</v>
      </c>
      <c r="D22" s="50">
        <v>1100</v>
      </c>
      <c r="E22" s="46" t="s">
        <v>39</v>
      </c>
      <c r="F22" s="46" t="s">
        <v>71</v>
      </c>
      <c r="G22" s="47">
        <v>1</v>
      </c>
      <c r="H22" s="8"/>
      <c r="I22" s="8"/>
      <c r="J22" s="8"/>
      <c r="K22" s="8"/>
      <c r="L22" s="8"/>
      <c r="M22" s="8"/>
      <c r="N22" s="8"/>
      <c r="O22" s="8"/>
      <c r="R22" s="46" t="s">
        <v>61</v>
      </c>
      <c r="S22" s="46" t="s">
        <v>62</v>
      </c>
      <c r="T22" s="46" t="s">
        <v>63</v>
      </c>
      <c r="U22" s="46" t="s">
        <v>64</v>
      </c>
      <c r="V22" s="46" t="s">
        <v>65</v>
      </c>
      <c r="W22" s="46" t="s">
        <v>66</v>
      </c>
      <c r="AN22" s="46" t="s">
        <v>30</v>
      </c>
    </row>
    <row r="23" ht="15.75" customHeight="1">
      <c r="A23" s="8"/>
      <c r="B23" s="8"/>
      <c r="C23" s="46" t="s">
        <v>22</v>
      </c>
      <c r="D23" s="47">
        <v>10</v>
      </c>
      <c r="E23" s="46" t="s">
        <v>39</v>
      </c>
      <c r="F23" s="46" t="s">
        <v>71</v>
      </c>
      <c r="G23" s="47">
        <v>0</v>
      </c>
      <c r="H23" s="8"/>
      <c r="I23" s="8"/>
      <c r="J23" s="8"/>
      <c r="K23" s="8"/>
      <c r="L23" s="8"/>
      <c r="M23" s="8"/>
      <c r="N23" s="8"/>
      <c r="O23" s="8"/>
      <c r="R23" s="46" t="s">
        <v>61</v>
      </c>
      <c r="S23" s="46" t="s">
        <v>62</v>
      </c>
      <c r="T23" s="46" t="s">
        <v>67</v>
      </c>
      <c r="U23" s="46" t="s">
        <v>64</v>
      </c>
      <c r="V23" s="46" t="s">
        <v>68</v>
      </c>
      <c r="W23" s="46" t="s">
        <v>66</v>
      </c>
      <c r="AN23" s="46" t="s">
        <v>57</v>
      </c>
    </row>
    <row r="24" ht="15.75" customHeight="1">
      <c r="A24" s="8"/>
      <c r="B24" s="8"/>
      <c r="C24" s="46" t="s">
        <v>23</v>
      </c>
      <c r="D24" s="47">
        <v>-10</v>
      </c>
      <c r="E24" s="46" t="s">
        <v>39</v>
      </c>
      <c r="F24" s="46" t="s">
        <v>71</v>
      </c>
      <c r="G24" s="47">
        <v>0</v>
      </c>
      <c r="H24" s="8"/>
      <c r="I24" s="8"/>
      <c r="J24" s="8"/>
      <c r="K24" s="8"/>
      <c r="L24" s="8"/>
      <c r="M24" s="8"/>
      <c r="N24" s="8"/>
      <c r="O24" s="8"/>
      <c r="R24" s="46" t="s">
        <v>61</v>
      </c>
      <c r="S24" s="46" t="s">
        <v>62</v>
      </c>
      <c r="T24" s="46" t="s">
        <v>67</v>
      </c>
      <c r="U24" s="46" t="s">
        <v>64</v>
      </c>
      <c r="V24" s="46" t="s">
        <v>68</v>
      </c>
      <c r="W24" s="46" t="s">
        <v>66</v>
      </c>
      <c r="AN24" s="46" t="s">
        <v>54</v>
      </c>
    </row>
    <row r="25" ht="15.75" customHeight="1">
      <c r="A25" s="8"/>
      <c r="B25" s="8"/>
      <c r="C25" s="46" t="s">
        <v>38</v>
      </c>
      <c r="D25" s="47">
        <v>-100</v>
      </c>
      <c r="E25" s="46" t="s">
        <v>39</v>
      </c>
      <c r="F25" s="46" t="s">
        <v>71</v>
      </c>
      <c r="G25" s="47">
        <v>110</v>
      </c>
      <c r="H25" s="8"/>
      <c r="I25" s="8"/>
      <c r="J25" s="8"/>
      <c r="K25" s="8"/>
      <c r="L25" s="8"/>
      <c r="M25" s="8"/>
      <c r="N25" s="8"/>
      <c r="O25" s="8"/>
      <c r="R25" s="46" t="s">
        <v>61</v>
      </c>
      <c r="S25" s="46" t="s">
        <v>62</v>
      </c>
      <c r="T25" s="46" t="s">
        <v>63</v>
      </c>
      <c r="U25" s="46" t="s">
        <v>64</v>
      </c>
      <c r="V25" s="46" t="s">
        <v>65</v>
      </c>
      <c r="W25" s="46" t="s">
        <v>66</v>
      </c>
      <c r="AN25" s="46" t="s">
        <v>55</v>
      </c>
    </row>
    <row r="26" ht="15.75" customHeight="1">
      <c r="A26" s="8"/>
      <c r="B26" s="8"/>
      <c r="C26" s="46" t="s">
        <v>38</v>
      </c>
      <c r="D26" s="47">
        <v>-900</v>
      </c>
      <c r="E26" s="46" t="s">
        <v>39</v>
      </c>
      <c r="F26" s="46" t="s">
        <v>71</v>
      </c>
      <c r="G26" s="47">
        <v>110</v>
      </c>
      <c r="H26" s="8"/>
      <c r="I26" s="8"/>
      <c r="J26" s="8"/>
      <c r="K26" s="8"/>
      <c r="L26" s="8"/>
      <c r="M26" s="8"/>
      <c r="N26" s="8"/>
      <c r="O26" s="8"/>
      <c r="R26" s="46" t="s">
        <v>61</v>
      </c>
      <c r="S26" s="46" t="s">
        <v>62</v>
      </c>
      <c r="T26" s="46" t="s">
        <v>63</v>
      </c>
      <c r="U26" s="46" t="s">
        <v>64</v>
      </c>
      <c r="V26" s="46" t="s">
        <v>65</v>
      </c>
      <c r="W26" s="46" t="s">
        <v>66</v>
      </c>
      <c r="AN26" s="46" t="s">
        <v>56</v>
      </c>
    </row>
    <row r="27" ht="15.75" customHeight="1">
      <c r="C27" s="46" t="s">
        <v>38</v>
      </c>
      <c r="D27" s="50">
        <v>-1000</v>
      </c>
      <c r="E27" s="46" t="s">
        <v>39</v>
      </c>
      <c r="F27" s="46" t="s">
        <v>71</v>
      </c>
      <c r="G27" s="47">
        <v>90</v>
      </c>
      <c r="R27" s="46" t="s">
        <v>61</v>
      </c>
      <c r="S27" s="46" t="s">
        <v>62</v>
      </c>
      <c r="T27" s="46" t="s">
        <v>63</v>
      </c>
      <c r="U27" s="46" t="s">
        <v>64</v>
      </c>
      <c r="V27" s="46" t="s">
        <v>65</v>
      </c>
      <c r="W27" s="46" t="s">
        <v>66</v>
      </c>
      <c r="AN27" s="46" t="s">
        <v>55</v>
      </c>
    </row>
    <row r="28" ht="15.75" customHeight="1">
      <c r="C28" s="49"/>
      <c r="D28" s="49"/>
      <c r="E28" s="49"/>
      <c r="F28" s="49"/>
      <c r="G28" s="49"/>
      <c r="R28" s="49"/>
      <c r="S28" s="49"/>
      <c r="T28" s="49"/>
      <c r="U28" s="49"/>
      <c r="V28" s="49"/>
      <c r="W28" s="49"/>
      <c r="AN28" s="49"/>
    </row>
    <row r="29" ht="15.75" customHeight="1">
      <c r="R29" s="4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114.0001</v>
      </c>
      <c r="C6" s="13">
        <v>114.0001</v>
      </c>
      <c r="D6" s="13">
        <v>100</v>
      </c>
      <c r="E6" s="13">
        <v>100</v>
      </c>
      <c r="F6" s="13" t="s">
        <v>73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0</v>
      </c>
      <c r="C7" s="13">
        <v>0</v>
      </c>
      <c r="D7" s="13">
        <v>0</v>
      </c>
      <c r="E7" s="13">
        <v>0</v>
      </c>
      <c r="F7" s="13" t="s">
        <v>73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>
        <v>10000</v>
      </c>
      <c r="C8" s="51">
        <v>10000</v>
      </c>
      <c r="D8" s="51">
        <v>10000</v>
      </c>
      <c r="E8" s="51">
        <v>10000</v>
      </c>
      <c r="F8" s="13" t="s">
        <v>73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>
        <v>10000</v>
      </c>
      <c r="C9" s="51">
        <v>10000</v>
      </c>
      <c r="D9" s="51">
        <v>10000</v>
      </c>
      <c r="E9" s="51">
        <v>10000</v>
      </c>
      <c r="F9" s="13" t="s">
        <v>73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</v>
      </c>
      <c r="C10" s="13">
        <v>0</v>
      </c>
      <c r="D10" s="13">
        <v>0</v>
      </c>
      <c r="E10" s="13">
        <v>0</v>
      </c>
      <c r="F10" s="13" t="s">
        <v>73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>
        <v>11000</v>
      </c>
      <c r="C11" s="51">
        <v>11000</v>
      </c>
      <c r="D11" s="51">
        <v>11000</v>
      </c>
      <c r="E11" s="51">
        <v>11000</v>
      </c>
      <c r="F11" s="13" t="s">
        <v>74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>
        <v>99000</v>
      </c>
      <c r="C12" s="51">
        <v>99000</v>
      </c>
      <c r="D12" s="51">
        <v>99000</v>
      </c>
      <c r="E12" s="51">
        <v>99000</v>
      </c>
      <c r="F12" s="13" t="s">
        <v>73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1">
        <v>90000</v>
      </c>
      <c r="C13" s="51">
        <v>90000</v>
      </c>
      <c r="D13" s="51">
        <v>90000</v>
      </c>
      <c r="E13" s="51">
        <v>90000</v>
      </c>
      <c r="F13" s="13" t="s">
        <v>74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7" width="12.63" customWidth="1"/>
    <col min="8" max="8" width="16.1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13">
        <v>90</v>
      </c>
      <c r="G6" s="8"/>
      <c r="H6" s="13" t="s">
        <v>18</v>
      </c>
      <c r="I6" s="34" t="s">
        <v>77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110</v>
      </c>
      <c r="G7" s="8"/>
      <c r="H7" s="13" t="s">
        <v>19</v>
      </c>
      <c r="I7" s="34" t="s">
        <v>77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90</v>
      </c>
      <c r="G8" s="8"/>
      <c r="H8" s="13" t="s">
        <v>20</v>
      </c>
      <c r="I8" s="34" t="s">
        <v>77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110</v>
      </c>
      <c r="G9" s="8"/>
      <c r="H9" s="13" t="s">
        <v>21</v>
      </c>
      <c r="I9" s="34" t="s">
        <v>77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90</v>
      </c>
      <c r="G10" s="8"/>
      <c r="H10" s="13" t="s">
        <v>22</v>
      </c>
      <c r="I10" s="34" t="s">
        <v>77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110</v>
      </c>
      <c r="G11" s="8"/>
      <c r="H11" s="13" t="s">
        <v>23</v>
      </c>
      <c r="I11" s="34" t="s">
        <v>77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2" t="s">
        <v>44</v>
      </c>
      <c r="C6" s="44" t="s">
        <v>45</v>
      </c>
      <c r="D6" s="44">
        <f>TODAY()</f>
        <v>45113</v>
      </c>
      <c r="E6" s="34" t="s">
        <v>34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9.63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34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2" t="s">
        <v>44</v>
      </c>
      <c r="C6" s="44" t="s">
        <v>45</v>
      </c>
      <c r="D6" s="44">
        <f>TODAY()</f>
        <v>45113</v>
      </c>
      <c r="E6" s="34" t="s">
        <v>37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9.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34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2" t="s">
        <v>44</v>
      </c>
      <c r="C6" s="44" t="s">
        <v>45</v>
      </c>
      <c r="D6" s="44">
        <f>TODAY()</f>
        <v>45113</v>
      </c>
      <c r="E6" s="34" t="s">
        <v>39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34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