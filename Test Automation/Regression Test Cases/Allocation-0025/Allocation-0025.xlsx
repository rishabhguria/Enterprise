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SelectUnallocatedGroup" sheetId="8" r:id="rId10"/>
    <sheet state="visible" name="EnterAllocatePreference" sheetId="9" r:id="rId11"/>
    <sheet state="visible" name="VerifyOrder" sheetId="10" r:id="rId12"/>
    <sheet state="visible" name="CheckAllocatedGroups" sheetId="11" r:id="rId13"/>
    <sheet state="visible" name="GetFixedPreference" sheetId="12" r:id="rId14"/>
    <sheet state="visible" name="CheckFixedPreference" sheetId="13" r:id="rId15"/>
    <sheet state="visible" name="GetDataClosing" sheetId="14" r:id="rId16"/>
    <sheet state="visible" name="VerifyLongPositionsGrid" sheetId="15" r:id="rId17"/>
    <sheet state="visible" name="VerifyShortPositionsGrid" sheetId="16" r:id="rId18"/>
    <sheet state="visible" name="CheckPortfolioManagement" sheetId="17" r:id="rId19"/>
    <sheet state="visible" name="GetActivityData" sheetId="18" r:id="rId20"/>
    <sheet state="visible" name="VerifyActivity" sheetId="19" r:id="rId21"/>
    <sheet state="visible" name="ResetGeneralPreferences" sheetId="20" r:id="rId22"/>
    <sheet state="visible" name="GetDataAllocation" sheetId="21" r:id="rId23"/>
  </sheets>
  <definedNames/>
  <calcPr/>
</workbook>
</file>

<file path=xl/sharedStrings.xml><?xml version="1.0" encoding="utf-8"?>
<sst xmlns="http://schemas.openxmlformats.org/spreadsheetml/2006/main" count="423" uniqueCount="69">
  <si>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</si>
  <si>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</si>
  <si>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</si>
  <si>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</si>
  <si>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</si>
  <si>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</si>
  <si>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</si>
  <si>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</si>
  <si>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</si>
  <si>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</si>
  <si>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</si>
  <si>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</si>
  <si>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</si>
  <si>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CleanUp</t>
  </si>
  <si>
    <t>Data Format</t>
  </si>
  <si>
    <t>Input Format</t>
  </si>
  <si>
    <t>TradingTicket</t>
  </si>
  <si>
    <t>CreateDoneAwayOrder</t>
  </si>
  <si>
    <t>MSFT</t>
  </si>
  <si>
    <t>Sell short</t>
  </si>
  <si>
    <t>Allocation1</t>
  </si>
  <si>
    <t>AMZN</t>
  </si>
  <si>
    <t>Buy</t>
  </si>
  <si>
    <t>Allocation2,Allocation3</t>
  </si>
  <si>
    <t>50,50</t>
  </si>
  <si>
    <t>BALT</t>
  </si>
  <si>
    <t>MUSA</t>
  </si>
  <si>
    <t>70,30</t>
  </si>
  <si>
    <t>Unallocated</t>
  </si>
  <si>
    <t>Sell</t>
  </si>
  <si>
    <t>Buy to Close</t>
  </si>
  <si>
    <t xml:space="preserve"> </t>
  </si>
  <si>
    <t>SetGeneralPreferences</t>
  </si>
  <si>
    <t>PositionFile</t>
  </si>
  <si>
    <t>Symbol</t>
  </si>
  <si>
    <t>RunProrata</t>
  </si>
  <si>
    <t>SelectUnallocatedGroup</t>
  </si>
  <si>
    <t>EnterAllocatePreference</t>
  </si>
  <si>
    <t>Fixed</t>
  </si>
  <si>
    <t>Blotter</t>
  </si>
  <si>
    <t>VerifyOrder</t>
  </si>
  <si>
    <t>Filled</t>
  </si>
  <si>
    <t>CheckAllocatedGroups</t>
  </si>
  <si>
    <t>Manual</t>
  </si>
  <si>
    <t>GetFixedPreference</t>
  </si>
  <si>
    <t>CheckFixedPreference</t>
  </si>
  <si>
    <t>Allocation2</t>
  </si>
  <si>
    <t>Allocation3</t>
  </si>
  <si>
    <t>Closing</t>
  </si>
  <si>
    <t>GetDataClosing</t>
  </si>
  <si>
    <t>Historical</t>
  </si>
  <si>
    <t>VerifyLongPositionsGrid</t>
  </si>
  <si>
    <t>Long</t>
  </si>
  <si>
    <t>VerifyShortPositionsGrid</t>
  </si>
  <si>
    <t>Short</t>
  </si>
  <si>
    <t>PortfolioManagement</t>
  </si>
  <si>
    <t>CheckPortfolioManagement</t>
  </si>
  <si>
    <t>GeneralLedger</t>
  </si>
  <si>
    <t>GetActivityData</t>
  </si>
  <si>
    <t>SelectAll</t>
  </si>
  <si>
    <t>Allocation1,Allocation2,Allocation3,Allocation4</t>
  </si>
  <si>
    <t>No</t>
  </si>
  <si>
    <t>Yes</t>
  </si>
  <si>
    <t>VerifyActivity</t>
  </si>
  <si>
    <t>EquityS</t>
  </si>
  <si>
    <t>USD</t>
  </si>
  <si>
    <t>Trading</t>
  </si>
  <si>
    <t>EquityL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</si>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</sst>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6" fontId="13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14" numFmtId="0" xfId="0" applyAlignment="1" applyFont="1">
      <alignment horizontal="left" readingOrder="0"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15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5" numFmtId="3" xfId="0" applyAlignment="1" applyFont="1" applyNumberFormat="1">
      <alignment horizontal="right" readingOrder="0" vertical="bottom"/>
    </xf>
    <xf borderId="0" fillId="0" fontId="15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Date")</f>
        <v>From Date</v>
      </c>
      <c r="C5" s="27" t="str">
        <f>IFERROR(__xludf.DUMMYFUNCTION("""COMPUTED_VALUE"""),"To Date")</f>
        <v>To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>
        <f>today()</f>
        <v>45875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6" width="12.63"/>
    <col customWidth="1" min="37" max="37" width="22.63"/>
    <col customWidth="1" min="38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10000.0</v>
      </c>
      <c r="E6" s="11">
        <v>10000.0</v>
      </c>
      <c r="F6" s="11" t="s">
        <v>20</v>
      </c>
      <c r="G6" s="8"/>
      <c r="H6" s="8"/>
      <c r="I6" s="8"/>
      <c r="J6" s="11">
        <v>15.0</v>
      </c>
      <c r="K6" s="8"/>
      <c r="L6" s="8"/>
      <c r="M6" s="8"/>
      <c r="N6" s="30">
        <f t="shared" ref="N6:N9" si="1">today()-1</f>
        <v>45874</v>
      </c>
      <c r="O6" s="8"/>
    </row>
    <row r="7" ht="15.75" customHeight="1">
      <c r="A7" s="8"/>
      <c r="B7" s="11" t="s">
        <v>21</v>
      </c>
      <c r="C7" s="11" t="s">
        <v>22</v>
      </c>
      <c r="D7" s="11">
        <v>1000.0</v>
      </c>
      <c r="E7" s="11">
        <v>1000.0</v>
      </c>
      <c r="F7" s="8"/>
      <c r="G7" s="8"/>
      <c r="H7" s="8"/>
      <c r="I7" s="8"/>
      <c r="J7" s="11">
        <v>20.0</v>
      </c>
      <c r="K7" s="8"/>
      <c r="L7" s="8"/>
      <c r="M7" s="8"/>
      <c r="N7" s="30">
        <f t="shared" si="1"/>
        <v>45874</v>
      </c>
      <c r="O7" s="8"/>
      <c r="AK7" s="32" t="s">
        <v>23</v>
      </c>
      <c r="AL7" s="9" t="s">
        <v>24</v>
      </c>
    </row>
    <row r="8" ht="15.75" customHeight="1">
      <c r="A8" s="8"/>
      <c r="B8" s="11" t="s">
        <v>25</v>
      </c>
      <c r="C8" s="11" t="s">
        <v>19</v>
      </c>
      <c r="D8" s="11">
        <v>1000.0</v>
      </c>
      <c r="E8" s="11">
        <v>1000.0</v>
      </c>
      <c r="F8" s="8"/>
      <c r="G8" s="8"/>
      <c r="H8" s="8"/>
      <c r="I8" s="8"/>
      <c r="J8" s="11">
        <v>30.0</v>
      </c>
      <c r="K8" s="8"/>
      <c r="L8" s="8"/>
      <c r="M8" s="8"/>
      <c r="N8" s="30">
        <f t="shared" si="1"/>
        <v>45874</v>
      </c>
      <c r="O8" s="8"/>
      <c r="AK8" s="32" t="s">
        <v>23</v>
      </c>
      <c r="AL8" s="9" t="s">
        <v>24</v>
      </c>
    </row>
    <row r="9" ht="15.75" customHeight="1">
      <c r="A9" s="8"/>
      <c r="B9" s="11" t="s">
        <v>26</v>
      </c>
      <c r="C9" s="11" t="s">
        <v>19</v>
      </c>
      <c r="D9" s="11">
        <v>1000.0</v>
      </c>
      <c r="E9" s="11">
        <v>1000.0</v>
      </c>
      <c r="F9" s="8"/>
      <c r="G9" s="8"/>
      <c r="H9" s="8"/>
      <c r="I9" s="8"/>
      <c r="J9" s="11">
        <v>35.0</v>
      </c>
      <c r="K9" s="8"/>
      <c r="L9" s="8"/>
      <c r="M9" s="8"/>
      <c r="N9" s="30">
        <f t="shared" si="1"/>
        <v>45874</v>
      </c>
      <c r="O9" s="8"/>
      <c r="AK9" s="32" t="s">
        <v>23</v>
      </c>
      <c r="AL9" s="33" t="s">
        <v>27</v>
      </c>
    </row>
    <row r="10" ht="15.75" customHeight="1">
      <c r="A10" s="11"/>
      <c r="B10" s="11" t="s">
        <v>18</v>
      </c>
      <c r="C10" s="11" t="s">
        <v>19</v>
      </c>
      <c r="D10" s="11">
        <v>5000.0</v>
      </c>
      <c r="E10" s="11">
        <v>5000.0</v>
      </c>
      <c r="F10" s="11" t="s">
        <v>28</v>
      </c>
      <c r="G10" s="8"/>
      <c r="H10" s="8"/>
      <c r="I10" s="8"/>
      <c r="J10" s="11">
        <v>20.0</v>
      </c>
      <c r="K10" s="8"/>
      <c r="L10" s="8"/>
      <c r="M10" s="8"/>
      <c r="N10" s="30">
        <f t="shared" ref="N10:N13" si="2">today()</f>
        <v>45875</v>
      </c>
      <c r="O10" s="8"/>
    </row>
    <row r="11" ht="15.75" customHeight="1">
      <c r="A11" s="8"/>
      <c r="B11" s="11" t="s">
        <v>21</v>
      </c>
      <c r="C11" s="11" t="s">
        <v>29</v>
      </c>
      <c r="D11" s="11">
        <v>500.0</v>
      </c>
      <c r="E11" s="11">
        <v>500.0</v>
      </c>
      <c r="F11" s="11" t="s">
        <v>28</v>
      </c>
      <c r="G11" s="8"/>
      <c r="H11" s="8"/>
      <c r="I11" s="8"/>
      <c r="J11" s="11">
        <v>40.0</v>
      </c>
      <c r="K11" s="8"/>
      <c r="L11" s="8"/>
      <c r="M11" s="8"/>
      <c r="N11" s="30">
        <f t="shared" si="2"/>
        <v>45875</v>
      </c>
      <c r="O11" s="8"/>
      <c r="AK11" s="32"/>
    </row>
    <row r="12" ht="15.75" customHeight="1">
      <c r="A12" s="8"/>
      <c r="B12" s="11" t="s">
        <v>25</v>
      </c>
      <c r="C12" s="11" t="s">
        <v>30</v>
      </c>
      <c r="D12" s="11">
        <v>1100.0</v>
      </c>
      <c r="E12" s="11">
        <v>1100.0</v>
      </c>
      <c r="F12" s="11" t="s">
        <v>28</v>
      </c>
      <c r="G12" s="8"/>
      <c r="H12" s="8"/>
      <c r="I12" s="8"/>
      <c r="J12" s="11">
        <v>60.0</v>
      </c>
      <c r="K12" s="8"/>
      <c r="L12" s="8"/>
      <c r="M12" s="8"/>
      <c r="N12" s="30">
        <f t="shared" si="2"/>
        <v>45875</v>
      </c>
      <c r="O12" s="8"/>
      <c r="AK12" s="32"/>
    </row>
    <row r="13" ht="15.75" customHeight="1">
      <c r="A13" s="8"/>
      <c r="B13" s="11" t="s">
        <v>26</v>
      </c>
      <c r="C13" s="11" t="s">
        <v>22</v>
      </c>
      <c r="D13" s="11">
        <v>1100.0</v>
      </c>
      <c r="E13" s="11">
        <v>1100.0</v>
      </c>
      <c r="F13" s="11" t="s">
        <v>28</v>
      </c>
      <c r="G13" s="8"/>
      <c r="H13" s="8"/>
      <c r="I13" s="8"/>
      <c r="J13" s="11">
        <v>80.0</v>
      </c>
      <c r="K13" s="8"/>
      <c r="L13" s="8"/>
      <c r="M13" s="8"/>
      <c r="N13" s="30">
        <f t="shared" si="2"/>
        <v>45875</v>
      </c>
      <c r="O13" s="8"/>
      <c r="AK13" s="32"/>
      <c r="AL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11" t="s">
        <v>31</v>
      </c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0"/>
    <col customWidth="1" min="3" max="3" width="25.13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23" width="12.63"/>
    <col customWidth="1" min="24" max="24" width="28.25"/>
    <col customWidth="1" min="25" max="25" width="27.25"/>
    <col customWidth="1" min="26" max="26" width="23.5"/>
    <col customWidth="1" min="27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X6" s="34" t="s">
        <v>33</v>
      </c>
      <c r="Y6" s="34" t="s">
        <v>34</v>
      </c>
      <c r="Z6" s="35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f>today()</f>
        <v>45875</v>
      </c>
      <c r="C6" s="34" t="s">
        <v>33</v>
      </c>
      <c r="D6" s="11" t="s">
        <v>34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18</v>
      </c>
      <c r="C6" s="37" t="s">
        <v>19</v>
      </c>
      <c r="D6" s="38">
        <v>5000.0</v>
      </c>
      <c r="E6" s="38">
        <v>5000.0</v>
      </c>
      <c r="F6" s="8"/>
      <c r="G6" s="8"/>
      <c r="H6" s="8"/>
      <c r="I6" s="8"/>
      <c r="J6" s="8"/>
      <c r="K6" s="8"/>
      <c r="L6" s="8"/>
      <c r="M6" s="8"/>
      <c r="N6" s="39">
        <v>20.0</v>
      </c>
      <c r="O6" s="39">
        <v>20.0</v>
      </c>
    </row>
    <row r="7" ht="15.75" customHeight="1">
      <c r="A7" s="8"/>
      <c r="B7" s="37" t="s">
        <v>21</v>
      </c>
      <c r="C7" s="37" t="s">
        <v>29</v>
      </c>
      <c r="D7" s="38">
        <v>500.0</v>
      </c>
      <c r="E7" s="38">
        <v>500.0</v>
      </c>
      <c r="F7" s="8"/>
      <c r="G7" s="8"/>
      <c r="H7" s="8"/>
      <c r="I7" s="8"/>
      <c r="J7" s="8"/>
      <c r="K7" s="8"/>
      <c r="L7" s="8"/>
      <c r="M7" s="8"/>
      <c r="N7" s="39">
        <v>40.0</v>
      </c>
      <c r="O7" s="39">
        <v>40.0</v>
      </c>
    </row>
    <row r="8" ht="15.75" customHeight="1">
      <c r="A8" s="8"/>
      <c r="B8" s="37" t="s">
        <v>25</v>
      </c>
      <c r="C8" s="37" t="s">
        <v>30</v>
      </c>
      <c r="D8" s="38">
        <v>1100.0</v>
      </c>
      <c r="E8" s="38">
        <v>1100.0</v>
      </c>
      <c r="F8" s="8"/>
      <c r="G8" s="8"/>
      <c r="H8" s="8"/>
      <c r="I8" s="8"/>
      <c r="J8" s="8"/>
      <c r="K8" s="8"/>
      <c r="L8" s="8"/>
      <c r="M8" s="8"/>
      <c r="N8" s="39">
        <v>60.0</v>
      </c>
      <c r="O8" s="39">
        <v>60.0</v>
      </c>
    </row>
    <row r="9" ht="15.75" customHeight="1">
      <c r="A9" s="8"/>
      <c r="B9" s="37" t="s">
        <v>26</v>
      </c>
      <c r="C9" s="37" t="s">
        <v>22</v>
      </c>
      <c r="D9" s="38">
        <v>1100.0</v>
      </c>
      <c r="E9" s="38">
        <v>1100.0</v>
      </c>
      <c r="F9" s="8"/>
      <c r="G9" s="8"/>
      <c r="H9" s="8"/>
      <c r="I9" s="8"/>
      <c r="J9" s="8"/>
      <c r="K9" s="8"/>
      <c r="L9" s="8"/>
      <c r="M9" s="8"/>
      <c r="N9" s="39">
        <v>80.0</v>
      </c>
      <c r="O9" s="39">
        <v>80.0</v>
      </c>
    </row>
    <row r="10" ht="15.75" customHeight="1">
      <c r="A10" s="8"/>
      <c r="B10" s="37"/>
      <c r="C10" s="37"/>
      <c r="D10" s="38"/>
      <c r="E10" s="3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7"/>
      <c r="C11" s="37"/>
      <c r="D11" s="39"/>
      <c r="E11" s="39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7"/>
      <c r="C12" s="37"/>
      <c r="D12" s="38"/>
      <c r="E12" s="3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38</v>
      </c>
      <c r="C6" s="33" t="s">
        <v>33</v>
      </c>
      <c r="D6" s="41" t="b">
        <v>0</v>
      </c>
      <c r="E6" s="42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49" width="12.63"/>
    <col customWidth="1" min="50" max="50" width="19.38"/>
    <col customWidth="1" min="51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43" t="s">
        <v>18</v>
      </c>
      <c r="AJ6" s="43" t="s">
        <v>19</v>
      </c>
      <c r="AK6" s="43" t="s">
        <v>41</v>
      </c>
      <c r="AL6" s="43">
        <v>5000.0</v>
      </c>
      <c r="AM6" s="43">
        <v>5000.0</v>
      </c>
      <c r="AQ6" s="43">
        <v>20.0</v>
      </c>
      <c r="AR6" s="43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3" t="s">
        <v>21</v>
      </c>
      <c r="AJ7" s="43" t="s">
        <v>29</v>
      </c>
      <c r="AK7" s="43" t="s">
        <v>41</v>
      </c>
      <c r="AL7" s="43">
        <v>500.0</v>
      </c>
      <c r="AM7" s="43">
        <v>500.0</v>
      </c>
      <c r="AQ7" s="43">
        <v>40.0</v>
      </c>
      <c r="AR7" s="43">
        <v>40.0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3" t="s">
        <v>25</v>
      </c>
      <c r="AJ8" s="43" t="s">
        <v>30</v>
      </c>
      <c r="AK8" s="43" t="s">
        <v>41</v>
      </c>
      <c r="AL8" s="43">
        <v>1100.0</v>
      </c>
      <c r="AM8" s="43">
        <v>1100.0</v>
      </c>
      <c r="AQ8" s="43">
        <v>60.0</v>
      </c>
      <c r="AR8" s="43">
        <v>60.0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43" t="s">
        <v>26</v>
      </c>
      <c r="AJ9" s="43" t="s">
        <v>22</v>
      </c>
      <c r="AK9" s="43" t="s">
        <v>41</v>
      </c>
      <c r="AL9" s="43">
        <v>1100.0</v>
      </c>
      <c r="AM9" s="43">
        <v>1100.0</v>
      </c>
      <c r="AQ9" s="43">
        <v>80.0</v>
      </c>
      <c r="AR9" s="43">
        <v>80.0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6" width="17.75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/>
      <c r="C6" s="8"/>
      <c r="D6" s="11"/>
      <c r="E6" s="31"/>
      <c r="F6" s="37" t="s">
        <v>43</v>
      </c>
      <c r="G6" s="8"/>
      <c r="H6" s="8"/>
      <c r="I6" s="8"/>
      <c r="J6" s="8"/>
      <c r="K6" s="8"/>
      <c r="L6" s="8"/>
      <c r="M6" s="8"/>
      <c r="N6" s="8"/>
      <c r="O6" s="8"/>
      <c r="AE6" s="38">
        <v>10000.0</v>
      </c>
      <c r="BJ6" s="38">
        <v>10000.0</v>
      </c>
      <c r="BO6" s="37" t="s">
        <v>19</v>
      </c>
      <c r="BT6" s="37" t="s">
        <v>18</v>
      </c>
    </row>
    <row r="7" ht="15.75" customHeight="1">
      <c r="A7" s="8"/>
      <c r="B7" s="37"/>
      <c r="C7" s="8"/>
      <c r="D7" s="8"/>
      <c r="E7" s="8"/>
      <c r="F7" s="37"/>
      <c r="G7" s="8"/>
      <c r="H7" s="8"/>
      <c r="I7" s="8"/>
      <c r="J7" s="8"/>
      <c r="K7" s="8"/>
      <c r="L7" s="8"/>
      <c r="M7" s="8"/>
      <c r="N7" s="8"/>
      <c r="O7" s="8"/>
      <c r="AE7" s="38">
        <v>1000.0</v>
      </c>
      <c r="BJ7" s="38">
        <v>1000.0</v>
      </c>
      <c r="BO7" s="37" t="s">
        <v>22</v>
      </c>
      <c r="BT7" s="37" t="s">
        <v>21</v>
      </c>
    </row>
    <row r="8" ht="15.75" customHeight="1">
      <c r="A8" s="8"/>
      <c r="B8" s="37"/>
      <c r="C8" s="8"/>
      <c r="D8" s="8"/>
      <c r="E8" s="8"/>
      <c r="F8" s="37"/>
      <c r="G8" s="8"/>
      <c r="H8" s="8"/>
      <c r="I8" s="8"/>
      <c r="J8" s="8"/>
      <c r="K8" s="8"/>
      <c r="L8" s="8"/>
      <c r="M8" s="8"/>
      <c r="N8" s="8"/>
      <c r="O8" s="8"/>
      <c r="AE8" s="38">
        <v>1000.0</v>
      </c>
      <c r="BJ8" s="38">
        <v>1000.0</v>
      </c>
      <c r="BO8" s="37" t="s">
        <v>19</v>
      </c>
      <c r="BT8" s="37" t="s">
        <v>25</v>
      </c>
    </row>
    <row r="9" ht="15.75" customHeight="1">
      <c r="A9" s="8"/>
      <c r="B9" s="37"/>
      <c r="C9" s="8"/>
      <c r="D9" s="8"/>
      <c r="E9" s="8"/>
      <c r="F9" s="37"/>
      <c r="G9" s="8"/>
      <c r="H9" s="8"/>
      <c r="I9" s="8"/>
      <c r="J9" s="8"/>
      <c r="K9" s="8"/>
      <c r="L9" s="8"/>
      <c r="M9" s="8"/>
      <c r="N9" s="8"/>
      <c r="O9" s="8"/>
      <c r="AE9" s="38">
        <v>1000.0</v>
      </c>
      <c r="BJ9" s="38">
        <v>1000.0</v>
      </c>
      <c r="BO9" s="37" t="s">
        <v>19</v>
      </c>
      <c r="BT9" s="37" t="s">
        <v>26</v>
      </c>
    </row>
    <row r="10" ht="15.75" customHeight="1">
      <c r="A10" s="8"/>
      <c r="B10" s="37"/>
      <c r="C10" s="8"/>
      <c r="D10" s="8"/>
      <c r="E10" s="8"/>
      <c r="F10" s="37" t="s">
        <v>33</v>
      </c>
      <c r="G10" s="8"/>
      <c r="H10" s="8"/>
      <c r="I10" s="8"/>
      <c r="J10" s="8"/>
      <c r="K10" s="8"/>
      <c r="L10" s="8"/>
      <c r="M10" s="8"/>
      <c r="N10" s="8"/>
      <c r="O10" s="8"/>
      <c r="AE10" s="38">
        <v>5000.0</v>
      </c>
      <c r="BJ10" s="38">
        <v>5000.0</v>
      </c>
      <c r="BO10" s="37" t="s">
        <v>19</v>
      </c>
      <c r="BT10" s="37" t="s">
        <v>18</v>
      </c>
    </row>
    <row r="11" ht="15.75" customHeight="1">
      <c r="A11" s="8"/>
      <c r="B11" s="37"/>
      <c r="C11" s="8"/>
      <c r="D11" s="8"/>
      <c r="E11" s="8"/>
      <c r="F11" s="37" t="s">
        <v>33</v>
      </c>
      <c r="G11" s="8"/>
      <c r="H11" s="8"/>
      <c r="I11" s="8"/>
      <c r="J11" s="8"/>
      <c r="K11" s="8"/>
      <c r="L11" s="8"/>
      <c r="M11" s="8"/>
      <c r="N11" s="8"/>
      <c r="O11" s="8"/>
      <c r="AE11" s="39">
        <v>500.0</v>
      </c>
      <c r="BJ11" s="39">
        <v>500.0</v>
      </c>
      <c r="BO11" s="37" t="s">
        <v>29</v>
      </c>
      <c r="BT11" s="37" t="s">
        <v>21</v>
      </c>
    </row>
    <row r="12" ht="15.75" customHeight="1">
      <c r="A12" s="8"/>
      <c r="B12" s="37"/>
      <c r="C12" s="8"/>
      <c r="D12" s="8"/>
      <c r="E12" s="8"/>
      <c r="F12" s="37" t="s">
        <v>33</v>
      </c>
      <c r="G12" s="8"/>
      <c r="H12" s="8"/>
      <c r="I12" s="8"/>
      <c r="J12" s="8"/>
      <c r="K12" s="8"/>
      <c r="L12" s="8"/>
      <c r="M12" s="8"/>
      <c r="N12" s="8"/>
      <c r="O12" s="8"/>
      <c r="AE12" s="38">
        <v>1100.0</v>
      </c>
      <c r="BJ12" s="38">
        <v>1100.0</v>
      </c>
      <c r="BO12" s="37" t="s">
        <v>30</v>
      </c>
      <c r="BT12" s="37" t="s">
        <v>25</v>
      </c>
    </row>
    <row r="13" ht="15.75" customHeight="1">
      <c r="A13" s="8"/>
      <c r="B13" s="37"/>
      <c r="C13" s="8"/>
      <c r="D13" s="8"/>
      <c r="E13" s="8"/>
      <c r="F13" s="37" t="s">
        <v>33</v>
      </c>
      <c r="G13" s="8"/>
      <c r="H13" s="8"/>
      <c r="I13" s="8"/>
      <c r="J13" s="8"/>
      <c r="K13" s="8"/>
      <c r="L13" s="8"/>
      <c r="M13" s="8"/>
      <c r="N13" s="8"/>
      <c r="O13" s="8"/>
      <c r="AE13" s="38">
        <v>1100.0</v>
      </c>
      <c r="BJ13" s="38">
        <v>1100.0</v>
      </c>
      <c r="BO13" s="37" t="s">
        <v>22</v>
      </c>
      <c r="BT13" s="37" t="s">
        <v>26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33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GetFixedPreference!$4:$4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IFERROR(__xludf.DUMMYFUNCTION("""COMPUTED_VALUE"""),"Ticker Symbol")</f>
        <v>Ticker Symbol</v>
      </c>
      <c r="D5" s="27" t="str">
        <f>IFERROR(__xludf.DUMMYFUNCTION("""COMPUTED_VALUE"""),"Description")</f>
        <v>Description</v>
      </c>
      <c r="E5" s="27" t="str">
        <f>IFERROR(__xludf.DUMMYFUNCTION("""COMPUTED_VALUE"""),"Sedol Symbol")</f>
        <v>Sedol Symbol</v>
      </c>
      <c r="F5" s="28" t="str">
        <f>IFERROR(__xludf.DUMMYFUNCTION("""COMPUTED_VALUE"""),"Bloomberg Symbol")</f>
        <v>Bloomberg Symbol</v>
      </c>
      <c r="G5" s="27" t="str">
        <f>IFERROR(__xludf.DUMMYFUNCTION("""COMPUTED_VALUE"""),"Side")</f>
        <v>Side</v>
      </c>
      <c r="H5" s="27" t="str">
        <f>IFERROR(__xludf.DUMMYFUNCTION("""COMPUTED_VALUE"""),"Quantity")</f>
        <v>Quantity</v>
      </c>
      <c r="I5" s="27" t="str">
        <f>IFERROR(__xludf.DUMMYFUNCTION("""COMPUTED_VALUE"""),"Total Quantity")</f>
        <v>Total Quantity</v>
      </c>
      <c r="J5" s="27" t="str">
        <f>IFERROR(__xludf.DUMMYFUNCTION("""COMPUTED_VALUE"""),"Allocation %")</f>
        <v>Allocation %</v>
      </c>
      <c r="K5" s="27" t="str">
        <f>IFERROR(__xludf.DUMMYFUNCTION("""COMPUTED_VALUE"""),"RoundLots")</f>
        <v>RoundLots</v>
      </c>
      <c r="L5" s="27" t="str">
        <f>IFERROR(__xludf.DUMMYFUNCTION("""COMPUTED_VALUE"""),"Trade Type")</f>
        <v>Trade Type</v>
      </c>
      <c r="M5" s="27" t="str">
        <f>IFERROR(__xludf.DUMMYFUNCTION("""COMPUTED_VALUE"""),"Currency")</f>
        <v>Currency</v>
      </c>
      <c r="N5" s="27" t="str">
        <f>IFERROR(__xludf.DUMMYFUNCTION("""COMPUTED_VALUE"""),"PB")</f>
        <v>PB</v>
      </c>
      <c r="O5" s="27" t="str">
        <f>IFERROR(__xludf.DUMMYFUNCTION("""COMPUTED_VALUE"""),"Allocation Scheme Key")</f>
        <v>Allocation Scheme Key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46</v>
      </c>
      <c r="C6" s="37" t="s">
        <v>21</v>
      </c>
      <c r="D6" s="11"/>
      <c r="E6" s="31"/>
      <c r="F6" s="8"/>
      <c r="G6" s="8"/>
      <c r="H6" s="37">
        <v>500.0</v>
      </c>
      <c r="I6" s="37">
        <v>1000.0</v>
      </c>
      <c r="J6" s="37">
        <v>50.0</v>
      </c>
      <c r="K6" s="37">
        <v>0.0</v>
      </c>
      <c r="L6" s="8"/>
      <c r="M6" s="8"/>
      <c r="N6" s="8"/>
      <c r="O6" s="37" t="s">
        <v>34</v>
      </c>
    </row>
    <row r="7" ht="15.75" customHeight="1">
      <c r="A7" s="8"/>
      <c r="B7" s="37" t="s">
        <v>47</v>
      </c>
      <c r="C7" s="37" t="s">
        <v>21</v>
      </c>
      <c r="D7" s="8"/>
      <c r="E7" s="8"/>
      <c r="F7" s="8"/>
      <c r="G7" s="8"/>
      <c r="H7" s="37">
        <v>500.0</v>
      </c>
      <c r="I7" s="37">
        <v>1000.0</v>
      </c>
      <c r="J7" s="37">
        <v>50.0</v>
      </c>
      <c r="K7" s="37">
        <v>0.0</v>
      </c>
      <c r="L7" s="8"/>
      <c r="M7" s="8"/>
      <c r="N7" s="8"/>
      <c r="O7" s="37" t="s">
        <v>34</v>
      </c>
    </row>
    <row r="8" ht="15.75" customHeight="1">
      <c r="A8" s="8"/>
      <c r="B8" s="37" t="s">
        <v>46</v>
      </c>
      <c r="C8" s="37" t="s">
        <v>25</v>
      </c>
      <c r="D8" s="8"/>
      <c r="E8" s="8"/>
      <c r="F8" s="8"/>
      <c r="G8" s="8"/>
      <c r="H8" s="37">
        <v>500.0</v>
      </c>
      <c r="I8" s="37">
        <v>1000.0</v>
      </c>
      <c r="J8" s="37">
        <v>50.0</v>
      </c>
      <c r="K8" s="37">
        <v>0.0</v>
      </c>
      <c r="L8" s="8"/>
      <c r="M8" s="8"/>
      <c r="N8" s="8"/>
      <c r="O8" s="37" t="s">
        <v>34</v>
      </c>
    </row>
    <row r="9" ht="15.75" customHeight="1">
      <c r="A9" s="8"/>
      <c r="B9" s="37" t="s">
        <v>47</v>
      </c>
      <c r="C9" s="37" t="s">
        <v>25</v>
      </c>
      <c r="D9" s="8"/>
      <c r="E9" s="8"/>
      <c r="F9" s="8"/>
      <c r="G9" s="8"/>
      <c r="H9" s="37">
        <v>500.0</v>
      </c>
      <c r="I9" s="37">
        <v>1000.0</v>
      </c>
      <c r="J9" s="37">
        <v>50.0</v>
      </c>
      <c r="K9" s="37">
        <v>0.0</v>
      </c>
      <c r="L9" s="8"/>
      <c r="M9" s="8"/>
      <c r="N9" s="8"/>
      <c r="O9" s="37" t="s">
        <v>34</v>
      </c>
    </row>
    <row r="10" ht="15.75" customHeight="1">
      <c r="A10" s="8"/>
      <c r="B10" s="37" t="s">
        <v>20</v>
      </c>
      <c r="C10" s="37" t="s">
        <v>18</v>
      </c>
      <c r="D10" s="8"/>
      <c r="E10" s="8"/>
      <c r="F10" s="8"/>
      <c r="G10" s="8"/>
      <c r="H10" s="37">
        <v>10000.0</v>
      </c>
      <c r="I10" s="37">
        <v>10000.0</v>
      </c>
      <c r="J10" s="37">
        <v>100.0</v>
      </c>
      <c r="K10" s="37">
        <v>0.0</v>
      </c>
      <c r="L10" s="8"/>
      <c r="M10" s="8"/>
      <c r="N10" s="8"/>
      <c r="O10" s="37" t="s">
        <v>34</v>
      </c>
    </row>
    <row r="11" ht="15.75" customHeight="1">
      <c r="A11" s="8"/>
      <c r="B11" s="37" t="s">
        <v>46</v>
      </c>
      <c r="C11" s="37" t="s">
        <v>26</v>
      </c>
      <c r="D11" s="8"/>
      <c r="E11" s="8"/>
      <c r="F11" s="8"/>
      <c r="G11" s="8"/>
      <c r="H11" s="37">
        <v>700.0</v>
      </c>
      <c r="I11" s="37">
        <v>1000.0</v>
      </c>
      <c r="J11" s="37">
        <v>70.0</v>
      </c>
      <c r="K11" s="37">
        <v>0.0</v>
      </c>
      <c r="L11" s="8"/>
      <c r="M11" s="8"/>
      <c r="N11" s="8"/>
      <c r="O11" s="37" t="s">
        <v>34</v>
      </c>
    </row>
    <row r="12" ht="15.75" customHeight="1">
      <c r="A12" s="8"/>
      <c r="B12" s="37" t="s">
        <v>47</v>
      </c>
      <c r="C12" s="37" t="s">
        <v>26</v>
      </c>
      <c r="D12" s="8"/>
      <c r="E12" s="8"/>
      <c r="F12" s="8"/>
      <c r="G12" s="8"/>
      <c r="H12" s="37">
        <v>300.0</v>
      </c>
      <c r="I12" s="37">
        <v>1000.0</v>
      </c>
      <c r="J12" s="37">
        <v>30.0</v>
      </c>
      <c r="K12" s="37">
        <v>0.0</v>
      </c>
      <c r="L12" s="8"/>
      <c r="M12" s="8"/>
      <c r="N12" s="8"/>
      <c r="O12" s="37" t="s">
        <v>34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CheckFixedPreference!$4:$4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30">
        <f>today()-1</f>
        <v>45874</v>
      </c>
      <c r="D6" s="36">
        <f>today()</f>
        <v>45875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46</v>
      </c>
      <c r="C6" s="8"/>
      <c r="D6" s="11"/>
      <c r="E6" s="31"/>
      <c r="F6" s="8"/>
      <c r="G6" s="8"/>
      <c r="H6" s="8"/>
      <c r="I6" s="44">
        <v>20.0</v>
      </c>
      <c r="J6" s="8"/>
      <c r="K6" s="11" t="s">
        <v>52</v>
      </c>
      <c r="L6" s="8"/>
      <c r="M6" s="44">
        <v>500.0</v>
      </c>
      <c r="N6" s="8"/>
      <c r="O6" s="8"/>
      <c r="P6" s="44" t="s">
        <v>22</v>
      </c>
      <c r="R6" s="44" t="s">
        <v>21</v>
      </c>
    </row>
    <row r="7" ht="15.75" customHeight="1">
      <c r="A7" s="8"/>
      <c r="B7" s="44" t="s">
        <v>47</v>
      </c>
      <c r="C7" s="8"/>
      <c r="D7" s="8"/>
      <c r="E7" s="8"/>
      <c r="F7" s="8"/>
      <c r="G7" s="8"/>
      <c r="H7" s="8"/>
      <c r="I7" s="44">
        <v>20.0</v>
      </c>
      <c r="J7" s="8"/>
      <c r="K7" s="11" t="s">
        <v>52</v>
      </c>
      <c r="L7" s="8"/>
      <c r="M7" s="44">
        <v>500.0</v>
      </c>
      <c r="N7" s="8"/>
      <c r="O7" s="8"/>
      <c r="P7" s="44" t="s">
        <v>22</v>
      </c>
      <c r="R7" s="44" t="s">
        <v>21</v>
      </c>
    </row>
    <row r="8" ht="15.75" customHeight="1">
      <c r="A8" s="8"/>
      <c r="B8" s="44" t="s">
        <v>46</v>
      </c>
      <c r="C8" s="8"/>
      <c r="D8" s="8"/>
      <c r="E8" s="8"/>
      <c r="F8" s="8"/>
      <c r="G8" s="8"/>
      <c r="H8" s="8"/>
      <c r="I8" s="44">
        <v>60.0</v>
      </c>
      <c r="J8" s="8"/>
      <c r="K8" s="11" t="s">
        <v>52</v>
      </c>
      <c r="L8" s="8"/>
      <c r="M8" s="44">
        <v>550.0</v>
      </c>
      <c r="N8" s="8"/>
      <c r="O8" s="8"/>
      <c r="P8" s="44" t="s">
        <v>30</v>
      </c>
      <c r="R8" s="44" t="s">
        <v>25</v>
      </c>
    </row>
    <row r="9" ht="15.75" customHeight="1">
      <c r="A9" s="8"/>
      <c r="B9" s="44" t="s">
        <v>47</v>
      </c>
      <c r="C9" s="8"/>
      <c r="D9" s="8"/>
      <c r="E9" s="8"/>
      <c r="F9" s="8"/>
      <c r="G9" s="8"/>
      <c r="H9" s="8"/>
      <c r="I9" s="44">
        <v>60.0</v>
      </c>
      <c r="J9" s="8"/>
      <c r="K9" s="11" t="s">
        <v>52</v>
      </c>
      <c r="L9" s="8"/>
      <c r="M9" s="44">
        <v>550.0</v>
      </c>
      <c r="N9" s="8"/>
      <c r="O9" s="8"/>
      <c r="P9" s="44" t="s">
        <v>30</v>
      </c>
      <c r="R9" s="44" t="s">
        <v>25</v>
      </c>
    </row>
    <row r="10" ht="15.75" customHeight="1">
      <c r="A10" s="8"/>
      <c r="B10" s="44" t="s">
        <v>46</v>
      </c>
      <c r="C10" s="8"/>
      <c r="D10" s="8"/>
      <c r="E10" s="8"/>
      <c r="F10" s="8"/>
      <c r="G10" s="8"/>
      <c r="H10" s="8"/>
      <c r="I10" s="44">
        <v>80.0</v>
      </c>
      <c r="J10" s="8"/>
      <c r="K10" s="11" t="s">
        <v>52</v>
      </c>
      <c r="L10" s="8"/>
      <c r="M10" s="44">
        <v>770.0</v>
      </c>
      <c r="N10" s="8"/>
      <c r="O10" s="8"/>
      <c r="P10" s="44" t="s">
        <v>22</v>
      </c>
      <c r="R10" s="44" t="s">
        <v>26</v>
      </c>
    </row>
    <row r="11" ht="15.75" customHeight="1">
      <c r="A11" s="8"/>
      <c r="B11" s="44" t="s">
        <v>47</v>
      </c>
      <c r="C11" s="8"/>
      <c r="D11" s="8"/>
      <c r="E11" s="8"/>
      <c r="F11" s="8"/>
      <c r="G11" s="8"/>
      <c r="H11" s="8"/>
      <c r="I11" s="44">
        <v>80.0</v>
      </c>
      <c r="J11" s="8"/>
      <c r="K11" s="11" t="s">
        <v>52</v>
      </c>
      <c r="L11" s="8"/>
      <c r="M11" s="44">
        <v>330.0</v>
      </c>
      <c r="N11" s="8"/>
      <c r="O11" s="8"/>
      <c r="P11" s="44" t="s">
        <v>22</v>
      </c>
      <c r="R11" s="44" t="s">
        <v>26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 t="str">
        <f>IFERROR(__xludf.DUMMYFUNCTION("""COMPUTED_VALUE"""),"CreateClosingTemplate")</f>
        <v>CreateClosingTemplate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20</v>
      </c>
      <c r="C6" s="8"/>
      <c r="D6" s="11"/>
      <c r="E6" s="31"/>
      <c r="F6" s="8"/>
      <c r="G6" s="8"/>
      <c r="H6" s="8"/>
      <c r="I6" s="44">
        <v>15.0</v>
      </c>
      <c r="J6" s="8"/>
      <c r="K6" s="44" t="s">
        <v>54</v>
      </c>
      <c r="L6" s="8"/>
      <c r="M6" s="44">
        <v>10000.0</v>
      </c>
      <c r="N6" s="8"/>
      <c r="O6" s="8"/>
      <c r="P6" s="44" t="s">
        <v>19</v>
      </c>
      <c r="R6" s="44" t="s">
        <v>18</v>
      </c>
    </row>
    <row r="7" ht="15.75" customHeight="1">
      <c r="A7" s="8"/>
      <c r="B7" s="44" t="s">
        <v>46</v>
      </c>
      <c r="C7" s="8"/>
      <c r="D7" s="8"/>
      <c r="E7" s="8"/>
      <c r="F7" s="8"/>
      <c r="G7" s="8"/>
      <c r="H7" s="8"/>
      <c r="I7" s="44">
        <v>30.0</v>
      </c>
      <c r="J7" s="8"/>
      <c r="K7" s="44" t="s">
        <v>54</v>
      </c>
      <c r="L7" s="8"/>
      <c r="M7" s="44">
        <v>500.0</v>
      </c>
      <c r="N7" s="8"/>
      <c r="O7" s="8"/>
      <c r="P7" s="44" t="s">
        <v>19</v>
      </c>
      <c r="R7" s="44" t="s">
        <v>25</v>
      </c>
    </row>
    <row r="8" ht="15.75" customHeight="1">
      <c r="A8" s="8"/>
      <c r="B8" s="44" t="s">
        <v>47</v>
      </c>
      <c r="C8" s="8"/>
      <c r="D8" s="8"/>
      <c r="E8" s="8"/>
      <c r="F8" s="8"/>
      <c r="G8" s="8"/>
      <c r="H8" s="8"/>
      <c r="I8" s="44">
        <v>30.0</v>
      </c>
      <c r="J8" s="8"/>
      <c r="K8" s="44" t="s">
        <v>54</v>
      </c>
      <c r="L8" s="8"/>
      <c r="M8" s="44">
        <v>500.0</v>
      </c>
      <c r="N8" s="8"/>
      <c r="O8" s="8"/>
      <c r="P8" s="44" t="s">
        <v>19</v>
      </c>
      <c r="R8" s="44" t="s">
        <v>25</v>
      </c>
    </row>
    <row r="9" ht="15.75" customHeight="1">
      <c r="A9" s="8"/>
      <c r="B9" s="44" t="s">
        <v>46</v>
      </c>
      <c r="C9" s="8"/>
      <c r="D9" s="8"/>
      <c r="E9" s="8"/>
      <c r="F9" s="8"/>
      <c r="G9" s="8"/>
      <c r="H9" s="8"/>
      <c r="I9" s="44">
        <v>35.0</v>
      </c>
      <c r="J9" s="8"/>
      <c r="K9" s="44" t="s">
        <v>54</v>
      </c>
      <c r="L9" s="8"/>
      <c r="M9" s="44">
        <v>700.0</v>
      </c>
      <c r="N9" s="8"/>
      <c r="O9" s="8"/>
      <c r="P9" s="44" t="s">
        <v>19</v>
      </c>
      <c r="R9" s="44" t="s">
        <v>26</v>
      </c>
    </row>
    <row r="10" ht="15.75" customHeight="1">
      <c r="A10" s="8"/>
      <c r="B10" s="44" t="s">
        <v>47</v>
      </c>
      <c r="C10" s="8"/>
      <c r="D10" s="8"/>
      <c r="E10" s="8"/>
      <c r="F10" s="8"/>
      <c r="G10" s="8"/>
      <c r="H10" s="8"/>
      <c r="I10" s="44">
        <v>35.0</v>
      </c>
      <c r="J10" s="8"/>
      <c r="K10" s="44" t="s">
        <v>54</v>
      </c>
      <c r="L10" s="8"/>
      <c r="M10" s="44">
        <v>300.0</v>
      </c>
      <c r="N10" s="8"/>
      <c r="O10" s="8"/>
      <c r="P10" s="44" t="s">
        <v>19</v>
      </c>
      <c r="R10" s="44" t="s">
        <v>26</v>
      </c>
    </row>
    <row r="11" ht="15.75" customHeight="1">
      <c r="A11" s="8"/>
      <c r="B11" s="44" t="s">
        <v>20</v>
      </c>
      <c r="C11" s="8"/>
      <c r="D11" s="8"/>
      <c r="E11" s="8"/>
      <c r="F11" s="8"/>
      <c r="G11" s="8"/>
      <c r="H11" s="8"/>
      <c r="I11" s="44">
        <v>20.0</v>
      </c>
      <c r="J11" s="8"/>
      <c r="K11" s="44" t="s">
        <v>54</v>
      </c>
      <c r="L11" s="8"/>
      <c r="M11" s="44">
        <v>5000.0</v>
      </c>
      <c r="N11" s="8"/>
      <c r="O11" s="8"/>
      <c r="P11" s="44" t="s">
        <v>19</v>
      </c>
      <c r="R11" s="44" t="s">
        <v>18</v>
      </c>
    </row>
    <row r="12" ht="15.75" customHeight="1">
      <c r="A12" s="8"/>
      <c r="B12" s="44" t="s">
        <v>46</v>
      </c>
      <c r="C12" s="8"/>
      <c r="D12" s="8"/>
      <c r="E12" s="8"/>
      <c r="F12" s="8"/>
      <c r="G12" s="8"/>
      <c r="H12" s="8"/>
      <c r="I12" s="44">
        <v>40.0</v>
      </c>
      <c r="J12" s="8"/>
      <c r="K12" s="44" t="s">
        <v>54</v>
      </c>
      <c r="L12" s="8"/>
      <c r="M12" s="44">
        <v>250.0</v>
      </c>
      <c r="N12" s="8"/>
      <c r="O12" s="8"/>
      <c r="P12" s="44" t="s">
        <v>29</v>
      </c>
      <c r="R12" s="44" t="s">
        <v>21</v>
      </c>
    </row>
    <row r="13" ht="15.75" customHeight="1">
      <c r="A13" s="8"/>
      <c r="B13" s="44" t="s">
        <v>47</v>
      </c>
      <c r="C13" s="8"/>
      <c r="D13" s="8"/>
      <c r="E13" s="8"/>
      <c r="F13" s="8"/>
      <c r="G13" s="8"/>
      <c r="H13" s="8"/>
      <c r="I13" s="44">
        <v>40.0</v>
      </c>
      <c r="J13" s="8"/>
      <c r="K13" s="44" t="s">
        <v>54</v>
      </c>
      <c r="L13" s="8"/>
      <c r="M13" s="44">
        <v>250.0</v>
      </c>
      <c r="N13" s="8"/>
      <c r="O13" s="8"/>
      <c r="P13" s="44" t="s">
        <v>29</v>
      </c>
      <c r="R13" s="44" t="s">
        <v>21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</row>
    <row r="6" ht="15.75" customHeight="1">
      <c r="A6" s="11"/>
      <c r="B6" s="11"/>
      <c r="C6" s="43" t="s">
        <v>18</v>
      </c>
      <c r="D6" s="45">
        <v>-10000.0</v>
      </c>
      <c r="E6" s="43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  <c r="AN6" s="43" t="s">
        <v>19</v>
      </c>
      <c r="AP6" s="43" t="s">
        <v>54</v>
      </c>
    </row>
    <row r="7" ht="15.75" customHeight="1">
      <c r="A7" s="8"/>
      <c r="B7" s="8"/>
      <c r="C7" s="43" t="s">
        <v>18</v>
      </c>
      <c r="D7" s="45">
        <v>-5000.0</v>
      </c>
      <c r="E7" s="43" t="s">
        <v>20</v>
      </c>
      <c r="F7" s="8"/>
      <c r="G7" s="8"/>
      <c r="H7" s="8"/>
      <c r="I7" s="8"/>
      <c r="J7" s="8"/>
      <c r="K7" s="8"/>
      <c r="L7" s="8"/>
      <c r="M7" s="8"/>
      <c r="N7" s="8"/>
      <c r="O7" s="8"/>
      <c r="AN7" s="43" t="s">
        <v>19</v>
      </c>
      <c r="AP7" s="43" t="s">
        <v>54</v>
      </c>
    </row>
    <row r="8" ht="15.75" customHeight="1">
      <c r="A8" s="8"/>
      <c r="B8" s="8"/>
      <c r="C8" s="43" t="s">
        <v>21</v>
      </c>
      <c r="D8" s="46">
        <v>500.0</v>
      </c>
      <c r="E8" s="43" t="s">
        <v>46</v>
      </c>
      <c r="F8" s="8"/>
      <c r="G8" s="8"/>
      <c r="H8" s="8"/>
      <c r="I8" s="8"/>
      <c r="J8" s="8"/>
      <c r="K8" s="8"/>
      <c r="L8" s="8"/>
      <c r="M8" s="8"/>
      <c r="N8" s="8"/>
      <c r="O8" s="8"/>
      <c r="AN8" s="43" t="s">
        <v>22</v>
      </c>
      <c r="AP8" s="43" t="s">
        <v>52</v>
      </c>
    </row>
    <row r="9" ht="15.75" customHeight="1">
      <c r="A9" s="8"/>
      <c r="B9" s="8"/>
      <c r="C9" s="43" t="s">
        <v>25</v>
      </c>
      <c r="D9" s="46">
        <v>-500.0</v>
      </c>
      <c r="E9" s="43" t="s">
        <v>46</v>
      </c>
      <c r="F9" s="8"/>
      <c r="G9" s="8"/>
      <c r="H9" s="8"/>
      <c r="I9" s="8"/>
      <c r="J9" s="8"/>
      <c r="K9" s="8"/>
      <c r="L9" s="8"/>
      <c r="M9" s="8"/>
      <c r="N9" s="8"/>
      <c r="O9" s="8"/>
      <c r="AN9" s="43" t="s">
        <v>19</v>
      </c>
      <c r="AP9" s="43" t="s">
        <v>54</v>
      </c>
    </row>
    <row r="10" ht="15.75" customHeight="1">
      <c r="A10" s="8"/>
      <c r="B10" s="8"/>
      <c r="C10" s="43" t="s">
        <v>26</v>
      </c>
      <c r="D10" s="46">
        <v>-700.0</v>
      </c>
      <c r="E10" s="43" t="s">
        <v>46</v>
      </c>
      <c r="F10" s="8"/>
      <c r="G10" s="8"/>
      <c r="H10" s="8"/>
      <c r="I10" s="8"/>
      <c r="J10" s="8"/>
      <c r="K10" s="8"/>
      <c r="L10" s="8"/>
      <c r="M10" s="8"/>
      <c r="N10" s="8"/>
      <c r="O10" s="8"/>
      <c r="AN10" s="43" t="s">
        <v>19</v>
      </c>
      <c r="AP10" s="43" t="s">
        <v>54</v>
      </c>
    </row>
    <row r="11" ht="15.75" customHeight="1">
      <c r="A11" s="8"/>
      <c r="B11" s="8"/>
      <c r="C11" s="43" t="s">
        <v>21</v>
      </c>
      <c r="D11" s="46">
        <v>-250.0</v>
      </c>
      <c r="E11" s="43" t="s">
        <v>46</v>
      </c>
      <c r="F11" s="8"/>
      <c r="G11" s="8"/>
      <c r="H11" s="8"/>
      <c r="I11" s="8"/>
      <c r="J11" s="8"/>
      <c r="K11" s="8"/>
      <c r="L11" s="8"/>
      <c r="M11" s="8"/>
      <c r="N11" s="8"/>
      <c r="O11" s="8"/>
      <c r="AN11" s="43" t="s">
        <v>29</v>
      </c>
      <c r="AP11" s="43" t="s">
        <v>52</v>
      </c>
    </row>
    <row r="12" ht="15.75" customHeight="1">
      <c r="A12" s="8"/>
      <c r="B12" s="8"/>
      <c r="C12" s="43" t="s">
        <v>25</v>
      </c>
      <c r="D12" s="46">
        <v>550.0</v>
      </c>
      <c r="E12" s="43" t="s">
        <v>46</v>
      </c>
      <c r="F12" s="8"/>
      <c r="G12" s="8"/>
      <c r="H12" s="8"/>
      <c r="I12" s="8"/>
      <c r="J12" s="8"/>
      <c r="K12" s="8"/>
      <c r="L12" s="8"/>
      <c r="M12" s="8"/>
      <c r="N12" s="8"/>
      <c r="O12" s="8"/>
      <c r="AN12" s="43" t="s">
        <v>30</v>
      </c>
      <c r="AP12" s="43" t="s">
        <v>54</v>
      </c>
    </row>
    <row r="13" ht="15.75" customHeight="1">
      <c r="A13" s="8"/>
      <c r="B13" s="8"/>
      <c r="C13" s="43" t="s">
        <v>26</v>
      </c>
      <c r="D13" s="46">
        <v>770.0</v>
      </c>
      <c r="E13" s="43" t="s">
        <v>46</v>
      </c>
      <c r="F13" s="8"/>
      <c r="G13" s="8"/>
      <c r="H13" s="8"/>
      <c r="I13" s="8"/>
      <c r="J13" s="8"/>
      <c r="K13" s="8"/>
      <c r="L13" s="8"/>
      <c r="M13" s="8"/>
      <c r="N13" s="8"/>
      <c r="O13" s="8"/>
      <c r="AN13" s="43" t="s">
        <v>22</v>
      </c>
      <c r="AP13" s="43" t="s">
        <v>52</v>
      </c>
    </row>
    <row r="14" ht="15.75" customHeight="1">
      <c r="A14" s="8"/>
      <c r="B14" s="8"/>
      <c r="C14" s="43" t="s">
        <v>21</v>
      </c>
      <c r="D14" s="46">
        <v>500.0</v>
      </c>
      <c r="E14" s="43" t="s">
        <v>47</v>
      </c>
      <c r="F14" s="8"/>
      <c r="G14" s="8"/>
      <c r="H14" s="8"/>
      <c r="I14" s="8"/>
      <c r="J14" s="8"/>
      <c r="K14" s="8"/>
      <c r="L14" s="8"/>
      <c r="M14" s="8"/>
      <c r="N14" s="8"/>
      <c r="O14" s="8"/>
      <c r="AN14" s="43" t="s">
        <v>22</v>
      </c>
      <c r="AP14" s="43" t="s">
        <v>52</v>
      </c>
    </row>
    <row r="15" ht="15.75" customHeight="1">
      <c r="A15" s="8"/>
      <c r="B15" s="8"/>
      <c r="C15" s="43" t="s">
        <v>25</v>
      </c>
      <c r="D15" s="46">
        <v>-500.0</v>
      </c>
      <c r="E15" s="43" t="s">
        <v>47</v>
      </c>
      <c r="F15" s="8"/>
      <c r="G15" s="8"/>
      <c r="H15" s="8"/>
      <c r="I15" s="8"/>
      <c r="J15" s="8"/>
      <c r="K15" s="8"/>
      <c r="L15" s="8"/>
      <c r="M15" s="8"/>
      <c r="N15" s="8"/>
      <c r="O15" s="8"/>
      <c r="AN15" s="43" t="s">
        <v>19</v>
      </c>
      <c r="AP15" s="43" t="s">
        <v>54</v>
      </c>
    </row>
    <row r="16" ht="15.75" customHeight="1">
      <c r="A16" s="8"/>
      <c r="B16" s="8"/>
      <c r="C16" s="43" t="s">
        <v>26</v>
      </c>
      <c r="D16" s="46">
        <v>-300.0</v>
      </c>
      <c r="E16" s="43" t="s">
        <v>47</v>
      </c>
      <c r="F16" s="8"/>
      <c r="G16" s="8"/>
      <c r="H16" s="8"/>
      <c r="I16" s="8"/>
      <c r="J16" s="8"/>
      <c r="K16" s="8"/>
      <c r="L16" s="8"/>
      <c r="M16" s="8"/>
      <c r="N16" s="8"/>
      <c r="O16" s="8"/>
      <c r="AN16" s="43" t="s">
        <v>19</v>
      </c>
      <c r="AP16" s="43" t="s">
        <v>54</v>
      </c>
    </row>
    <row r="17" ht="15.75" customHeight="1">
      <c r="A17" s="8"/>
      <c r="B17" s="8"/>
      <c r="C17" s="43" t="s">
        <v>21</v>
      </c>
      <c r="D17" s="46">
        <v>-250.0</v>
      </c>
      <c r="E17" s="43" t="s">
        <v>47</v>
      </c>
      <c r="F17" s="8"/>
      <c r="G17" s="8"/>
      <c r="H17" s="8"/>
      <c r="I17" s="8"/>
      <c r="J17" s="8"/>
      <c r="K17" s="8"/>
      <c r="L17" s="8"/>
      <c r="M17" s="8"/>
      <c r="N17" s="8"/>
      <c r="O17" s="8"/>
      <c r="AN17" s="43" t="s">
        <v>29</v>
      </c>
      <c r="AP17" s="43" t="s">
        <v>52</v>
      </c>
    </row>
    <row r="18" ht="15.75" customHeight="1">
      <c r="A18" s="8"/>
      <c r="B18" s="8"/>
      <c r="C18" s="43" t="s">
        <v>25</v>
      </c>
      <c r="D18" s="46">
        <v>550.0</v>
      </c>
      <c r="E18" s="43" t="s">
        <v>47</v>
      </c>
      <c r="F18" s="8"/>
      <c r="G18" s="8"/>
      <c r="H18" s="8"/>
      <c r="I18" s="8"/>
      <c r="J18" s="8"/>
      <c r="K18" s="8"/>
      <c r="L18" s="8"/>
      <c r="M18" s="8"/>
      <c r="N18" s="8"/>
      <c r="O18" s="8"/>
      <c r="AN18" s="43" t="s">
        <v>30</v>
      </c>
      <c r="AP18" s="43" t="s">
        <v>54</v>
      </c>
    </row>
    <row r="19" ht="15.75" customHeight="1">
      <c r="A19" s="8"/>
      <c r="B19" s="8"/>
      <c r="C19" s="43" t="s">
        <v>26</v>
      </c>
      <c r="D19" s="46">
        <v>330.0</v>
      </c>
      <c r="E19" s="43" t="s">
        <v>47</v>
      </c>
      <c r="F19" s="8"/>
      <c r="G19" s="8"/>
      <c r="H19" s="8"/>
      <c r="I19" s="8"/>
      <c r="J19" s="8"/>
      <c r="K19" s="8"/>
      <c r="L19" s="8"/>
      <c r="M19" s="8"/>
      <c r="N19" s="8"/>
      <c r="O19" s="8"/>
      <c r="AN19" s="43" t="s">
        <v>22</v>
      </c>
      <c r="AP19" s="43" t="s">
        <v>52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59</v>
      </c>
      <c r="C6" s="47" t="s">
        <v>60</v>
      </c>
      <c r="D6" s="48">
        <f>today()-1</f>
        <v>45874</v>
      </c>
      <c r="E6" s="48">
        <f>today()</f>
        <v>45875</v>
      </c>
      <c r="F6" s="49" t="s">
        <v>61</v>
      </c>
      <c r="G6" s="49" t="s">
        <v>62</v>
      </c>
      <c r="H6" s="49" t="s">
        <v>61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2" width="12.63"/>
    <col customWidth="1" min="33" max="33" width="16.63"/>
    <col customWidth="1" min="34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IFERROR(__xludf.DUMMYFUNCTION("""COMPUTED_VALUE"""),"isRowCountCheck")</f>
        <v>isRowCountCheck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3" t="s">
        <v>20</v>
      </c>
      <c r="C6" s="8"/>
      <c r="D6" s="43" t="s">
        <v>64</v>
      </c>
      <c r="F6" s="8"/>
      <c r="G6" s="8"/>
      <c r="H6" s="8"/>
      <c r="I6" s="8"/>
      <c r="J6" s="8"/>
      <c r="K6" s="43" t="s">
        <v>65</v>
      </c>
      <c r="L6" s="8"/>
      <c r="M6" s="8"/>
      <c r="N6" s="8"/>
      <c r="O6" s="8"/>
      <c r="V6" s="43">
        <v>10000.0</v>
      </c>
      <c r="AB6" s="43" t="s">
        <v>18</v>
      </c>
      <c r="AG6" s="43" t="s">
        <v>66</v>
      </c>
    </row>
    <row r="7" ht="15.75" customHeight="1">
      <c r="A7" s="8"/>
      <c r="B7" s="43" t="s">
        <v>46</v>
      </c>
      <c r="C7" s="8"/>
      <c r="D7" s="43" t="s">
        <v>67</v>
      </c>
      <c r="F7" s="8"/>
      <c r="G7" s="8"/>
      <c r="H7" s="8"/>
      <c r="I7" s="8"/>
      <c r="J7" s="8"/>
      <c r="K7" s="43" t="s">
        <v>65</v>
      </c>
      <c r="L7" s="8"/>
      <c r="M7" s="8"/>
      <c r="N7" s="8"/>
      <c r="O7" s="8"/>
      <c r="V7" s="43">
        <v>500.0</v>
      </c>
      <c r="AB7" s="43" t="s">
        <v>21</v>
      </c>
      <c r="AG7" s="43" t="s">
        <v>66</v>
      </c>
    </row>
    <row r="8" ht="15.75" customHeight="1">
      <c r="A8" s="8"/>
      <c r="B8" s="43" t="s">
        <v>47</v>
      </c>
      <c r="C8" s="8"/>
      <c r="D8" s="43" t="s">
        <v>67</v>
      </c>
      <c r="F8" s="8"/>
      <c r="G8" s="8"/>
      <c r="H8" s="8"/>
      <c r="I8" s="8"/>
      <c r="J8" s="8"/>
      <c r="K8" s="43" t="s">
        <v>65</v>
      </c>
      <c r="L8" s="8"/>
      <c r="M8" s="8"/>
      <c r="N8" s="8"/>
      <c r="O8" s="8"/>
      <c r="V8" s="43">
        <v>500.0</v>
      </c>
      <c r="AB8" s="43" t="s">
        <v>21</v>
      </c>
      <c r="AG8" s="43" t="s">
        <v>66</v>
      </c>
    </row>
    <row r="9" ht="15.75" customHeight="1">
      <c r="A9" s="8"/>
      <c r="B9" s="43" t="s">
        <v>46</v>
      </c>
      <c r="C9" s="8"/>
      <c r="D9" s="43" t="s">
        <v>64</v>
      </c>
      <c r="F9" s="8"/>
      <c r="G9" s="8"/>
      <c r="H9" s="8"/>
      <c r="I9" s="8"/>
      <c r="J9" s="8"/>
      <c r="K9" s="43" t="s">
        <v>65</v>
      </c>
      <c r="L9" s="8"/>
      <c r="M9" s="8"/>
      <c r="N9" s="8"/>
      <c r="O9" s="8"/>
      <c r="V9" s="43">
        <v>500.0</v>
      </c>
      <c r="AB9" s="43" t="s">
        <v>25</v>
      </c>
      <c r="AG9" s="43" t="s">
        <v>66</v>
      </c>
    </row>
    <row r="10" ht="15.75" customHeight="1">
      <c r="A10" s="8"/>
      <c r="B10" s="43" t="s">
        <v>47</v>
      </c>
      <c r="C10" s="8"/>
      <c r="D10" s="43" t="s">
        <v>64</v>
      </c>
      <c r="F10" s="8"/>
      <c r="G10" s="8"/>
      <c r="H10" s="8"/>
      <c r="I10" s="8"/>
      <c r="J10" s="8"/>
      <c r="K10" s="43" t="s">
        <v>65</v>
      </c>
      <c r="L10" s="8"/>
      <c r="M10" s="8"/>
      <c r="N10" s="8"/>
      <c r="O10" s="8"/>
      <c r="V10" s="43">
        <v>500.0</v>
      </c>
      <c r="AB10" s="43" t="s">
        <v>25</v>
      </c>
      <c r="AG10" s="43" t="s">
        <v>66</v>
      </c>
    </row>
    <row r="11" ht="15.75" customHeight="1">
      <c r="A11" s="8"/>
      <c r="B11" s="43" t="s">
        <v>46</v>
      </c>
      <c r="C11" s="8"/>
      <c r="D11" s="43" t="s">
        <v>64</v>
      </c>
      <c r="F11" s="8"/>
      <c r="G11" s="8"/>
      <c r="H11" s="8"/>
      <c r="I11" s="8"/>
      <c r="J11" s="8"/>
      <c r="K11" s="43" t="s">
        <v>65</v>
      </c>
      <c r="L11" s="8"/>
      <c r="M11" s="8"/>
      <c r="N11" s="8"/>
      <c r="O11" s="8"/>
      <c r="V11" s="43">
        <v>700.0</v>
      </c>
      <c r="AB11" s="43" t="s">
        <v>26</v>
      </c>
      <c r="AG11" s="43" t="s">
        <v>66</v>
      </c>
    </row>
    <row r="12" ht="15.75" customHeight="1">
      <c r="A12" s="8"/>
      <c r="B12" s="43" t="s">
        <v>47</v>
      </c>
      <c r="C12" s="8"/>
      <c r="D12" s="43" t="s">
        <v>64</v>
      </c>
      <c r="F12" s="8"/>
      <c r="G12" s="8"/>
      <c r="H12" s="8"/>
      <c r="I12" s="8"/>
      <c r="J12" s="8"/>
      <c r="K12" s="43" t="s">
        <v>65</v>
      </c>
      <c r="L12" s="8"/>
      <c r="M12" s="8"/>
      <c r="N12" s="8"/>
      <c r="O12" s="8"/>
      <c r="V12" s="43">
        <v>300.0</v>
      </c>
      <c r="AB12" s="43" t="s">
        <v>26</v>
      </c>
      <c r="AG12" s="43" t="s">
        <v>66</v>
      </c>
    </row>
    <row r="13" ht="15.75" customHeight="1">
      <c r="A13" s="8"/>
      <c r="B13" s="43" t="s">
        <v>20</v>
      </c>
      <c r="C13" s="8"/>
      <c r="D13" s="43" t="s">
        <v>64</v>
      </c>
      <c r="F13" s="8"/>
      <c r="G13" s="8"/>
      <c r="H13" s="8"/>
      <c r="I13" s="8"/>
      <c r="J13" s="8"/>
      <c r="K13" s="43" t="s">
        <v>65</v>
      </c>
      <c r="L13" s="8"/>
      <c r="M13" s="8"/>
      <c r="N13" s="8"/>
      <c r="O13" s="8"/>
      <c r="V13" s="43">
        <v>5000.0</v>
      </c>
      <c r="AB13" s="43" t="s">
        <v>18</v>
      </c>
      <c r="AG13" s="43" t="s">
        <v>66</v>
      </c>
    </row>
    <row r="14" ht="15.75" customHeight="1">
      <c r="A14" s="8"/>
      <c r="B14" s="43" t="s">
        <v>46</v>
      </c>
      <c r="C14" s="8"/>
      <c r="D14" s="43" t="s">
        <v>67</v>
      </c>
      <c r="F14" s="8"/>
      <c r="G14" s="8"/>
      <c r="H14" s="8"/>
      <c r="I14" s="8"/>
      <c r="J14" s="8"/>
      <c r="K14" s="43" t="s">
        <v>65</v>
      </c>
      <c r="L14" s="8"/>
      <c r="M14" s="8"/>
      <c r="N14" s="8"/>
      <c r="O14" s="8"/>
      <c r="V14" s="43">
        <v>250.0</v>
      </c>
      <c r="AB14" s="43" t="s">
        <v>21</v>
      </c>
      <c r="AG14" s="43" t="s">
        <v>66</v>
      </c>
    </row>
    <row r="15" ht="15.75" customHeight="1">
      <c r="A15" s="8"/>
      <c r="B15" s="43" t="s">
        <v>47</v>
      </c>
      <c r="C15" s="8"/>
      <c r="D15" s="43" t="s">
        <v>67</v>
      </c>
      <c r="F15" s="8"/>
      <c r="G15" s="8"/>
      <c r="H15" s="8"/>
      <c r="I15" s="8"/>
      <c r="J15" s="8"/>
      <c r="K15" s="43" t="s">
        <v>65</v>
      </c>
      <c r="L15" s="8"/>
      <c r="M15" s="8"/>
      <c r="N15" s="8"/>
      <c r="O15" s="8"/>
      <c r="V15" s="43">
        <v>250.0</v>
      </c>
      <c r="AB15" s="43" t="s">
        <v>21</v>
      </c>
      <c r="AG15" s="43" t="s">
        <v>66</v>
      </c>
    </row>
    <row r="16" ht="15.75" customHeight="1">
      <c r="A16" s="8"/>
      <c r="B16" s="43" t="s">
        <v>46</v>
      </c>
      <c r="C16" s="8"/>
      <c r="D16" s="43" t="s">
        <v>64</v>
      </c>
      <c r="F16" s="8"/>
      <c r="G16" s="8"/>
      <c r="H16" s="8"/>
      <c r="I16" s="8"/>
      <c r="J16" s="8"/>
      <c r="K16" s="43" t="s">
        <v>65</v>
      </c>
      <c r="L16" s="8"/>
      <c r="M16" s="8"/>
      <c r="N16" s="8"/>
      <c r="O16" s="8"/>
      <c r="V16" s="43">
        <v>550.0</v>
      </c>
      <c r="AB16" s="43" t="s">
        <v>25</v>
      </c>
      <c r="AG16" s="43" t="s">
        <v>66</v>
      </c>
    </row>
    <row r="17" ht="15.75" customHeight="1">
      <c r="A17" s="8"/>
      <c r="B17" s="43" t="s">
        <v>47</v>
      </c>
      <c r="C17" s="8"/>
      <c r="D17" s="43" t="s">
        <v>64</v>
      </c>
      <c r="F17" s="8"/>
      <c r="G17" s="8"/>
      <c r="H17" s="8"/>
      <c r="I17" s="8"/>
      <c r="J17" s="8"/>
      <c r="K17" s="43" t="s">
        <v>65</v>
      </c>
      <c r="L17" s="8"/>
      <c r="M17" s="8"/>
      <c r="N17" s="8"/>
      <c r="O17" s="8"/>
      <c r="V17" s="43">
        <v>550.0</v>
      </c>
      <c r="AB17" s="43" t="s">
        <v>25</v>
      </c>
      <c r="AG17" s="43" t="s">
        <v>66</v>
      </c>
    </row>
    <row r="18" ht="15.75" customHeight="1">
      <c r="A18" s="8"/>
      <c r="B18" s="43" t="s">
        <v>46</v>
      </c>
      <c r="C18" s="8"/>
      <c r="D18" s="43" t="s">
        <v>67</v>
      </c>
      <c r="F18" s="8"/>
      <c r="G18" s="8"/>
      <c r="H18" s="8"/>
      <c r="I18" s="8"/>
      <c r="J18" s="8"/>
      <c r="K18" s="43" t="s">
        <v>65</v>
      </c>
      <c r="L18" s="8"/>
      <c r="M18" s="8"/>
      <c r="N18" s="8"/>
      <c r="O18" s="8"/>
      <c r="V18" s="43">
        <v>770.0</v>
      </c>
      <c r="AB18" s="43" t="s">
        <v>26</v>
      </c>
      <c r="AG18" s="43" t="s">
        <v>66</v>
      </c>
    </row>
    <row r="19" ht="15.75" customHeight="1">
      <c r="A19" s="8"/>
      <c r="B19" s="43" t="s">
        <v>47</v>
      </c>
      <c r="C19" s="8"/>
      <c r="D19" s="43" t="s">
        <v>67</v>
      </c>
      <c r="F19" s="8"/>
      <c r="G19" s="8"/>
      <c r="H19" s="8"/>
      <c r="I19" s="8"/>
      <c r="J19" s="8"/>
      <c r="K19" s="43" t="s">
        <v>65</v>
      </c>
      <c r="L19" s="8"/>
      <c r="M19" s="8"/>
      <c r="N19" s="8"/>
      <c r="O19" s="8"/>
      <c r="V19" s="43">
        <v>330.0</v>
      </c>
      <c r="AB19" s="43" t="s">
        <v>26</v>
      </c>
      <c r="AG19" s="43" t="s">
        <v>66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8.3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Z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50</v>
      </c>
      <c r="C6" s="48">
        <f>today()-1</f>
        <v>45874</v>
      </c>
      <c r="D6" s="48">
        <f>today()</f>
        <v>45875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