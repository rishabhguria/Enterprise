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calcPr fullCalcOnLoad="1" fullPrecision="1"/>
</workbook>
</file>

<file path=xl/sharedStrings.xml><?xml version="1.0" encoding="utf-8"?>
<sst xmlns="http://schemas.openxmlformats.org/spreadsheetml/2006/main" count="597" uniqueCount="597">
  <si>
    <t>Modules Info</t>
  </si>
  <si>
    <t>Modules</t>
  </si>
  <si>
    <t>Settings</t>
  </si>
  <si>
    <t>Module Step Setting File</t>
  </si>
  <si>
    <t>15DcDerDZ47KtzFeQW0I5L2mAit5o-sSg1m1xk1jb_F0</t>
  </si>
  <si>
    <t>Master Data Settings File</t>
  </si>
  <si>
    <t>1zHADfvRvWn7kKcbC_7pyccCBhH6ROCs-rYVxP4iDIuU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</si>
  <si>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</si>
  <si>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</si>
  <si>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</si>
  <si>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</si>
  <si>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</si>
  <si>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</si>
  <si>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</si>
  <si>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</si>
  <si>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</si>
  <si>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Option</t>
  </si>
  <si>
    <t>Expiration Date</t>
  </si>
  <si>
    <t>AssetClass</t>
  </si>
  <si>
    <t>O:AAPL 23D90.00D21</t>
  </si>
  <si>
    <t>O:AAPL 23P110.00D21</t>
  </si>
  <si>
    <t>Closing</t>
  </si>
  <si>
    <t>SetClosingPreference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</si>
  <si>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</si>
  <si>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</si>
  <si>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</si>
  <si>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</si>
  <si>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</si>
  <si>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</si>
  <si>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</si>
  <si>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</si>
  <si>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</si>
  <si>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</si>
  <si>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</si>
  <si>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</si>
  <si>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</si>
  <si>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</si>
  <si>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Auto Option Excercise Value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</si>
  <si>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</si>
  <si>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</si>
  <si>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</si>
  <si>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</si>
  <si>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</si>
  <si>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</si>
  <si>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</si>
  <si>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</si>
  <si>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</si>
  <si>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</si>
  <si>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</si>
  <si>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</si>
  <si>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</si>
  <si>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</si>
  <si>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</si>
  <si>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</si>
  <si>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</si>
  <si>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</si>
  <si>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</si>
  <si>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</si>
  <si>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</si>
  <si>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</si>
  <si>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</si>
  <si>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</si>
  <si>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</si>
  <si>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</si>
  <si>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</si>
  <si>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</si>
  <si>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</si>
  <si>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</si>
  <si>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</si>
  <si>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</si>
  <si>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</si>
  <si>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</si>
  <si>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</si>
  <si>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</si>
  <si>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</si>
  <si>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</si>
  <si>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</si>
  <si>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</si>
  <si>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</si>
  <si>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</si>
  <si>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</si>
  <si>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</si>
  <si>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</si>
  <si>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</si>
  <si>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</si>
  <si>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</si>
  <si>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</si>
  <si>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</si>
  <si>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</si>
  <si>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</si>
  <si>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</si>
  <si>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</si>
  <si>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</si>
  <si>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</si>
  <si>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</si>
  <si>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</si>
  <si>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</si>
  <si>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</si>
  <si>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</si>
  <si>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</si>
  <si>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</si>
  <si>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</si>
  <si>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</si>
  <si>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</si>
  <si>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Sell short</t>
  </si>
  <si>
    <t>Buy to Open</t>
  </si>
  <si>
    <t>DailyValuation</t>
  </si>
  <si>
    <t>GetMarkPriceData</t>
  </si>
  <si>
    <t>Select Date</t>
  </si>
  <si>
    <t>Copy Date</t>
  </si>
  <si>
    <t>UpdateMarkPrice</t>
  </si>
  <si>
    <t>GetDataClosing</t>
  </si>
  <si>
    <t>RangeType</t>
  </si>
  <si>
    <t>From</t>
  </si>
  <si>
    <t>To</t>
  </si>
  <si>
    <t>Account Filter</t>
  </si>
  <si>
    <t>Current</t>
  </si>
  <si>
    <t>Allocation1</t>
  </si>
  <si>
    <t>SelectTradeUnexpiredUnsettled</t>
  </si>
  <si>
    <t>AccruedInterest</t>
  </si>
  <si>
    <t>Analyst</t>
  </si>
  <si>
    <t>Asset Class</t>
  </si>
  <si>
    <t>Asset Derivative</t>
  </si>
  <si>
    <t>AUECID</t>
  </si>
  <si>
    <t>AUECModifiedDate</t>
  </si>
  <si>
    <t>Average Price</t>
  </si>
  <si>
    <t>BloombergSymbol</t>
  </si>
  <si>
    <t>CalcBasis</t>
  </si>
  <si>
    <t>CashSettledPrice</t>
  </si>
  <si>
    <t>ChangeComment</t>
  </si>
  <si>
    <t>ChangeType</t>
  </si>
  <si>
    <t>ClearingBrokerFee</t>
  </si>
  <si>
    <t>ClearingFee</t>
  </si>
  <si>
    <t>ClosedTotalCommissionandFees</t>
  </si>
  <si>
    <t>ClosingAlgo</t>
  </si>
  <si>
    <t>ClosingDate</t>
  </si>
  <si>
    <t>ClosingStatus</t>
  </si>
  <si>
    <t>Commission</t>
  </si>
  <si>
    <t>CommissionAmt</t>
  </si>
  <si>
    <t>CompanyUserName</t>
  </si>
  <si>
    <t>ContractMultiplier</t>
  </si>
  <si>
    <t>CountryName</t>
  </si>
  <si>
    <t>CountryOfRisk</t>
  </si>
  <si>
    <t>CumQty</t>
  </si>
  <si>
    <t>CurrencyID</t>
  </si>
  <si>
    <t>CurrencyName</t>
  </si>
  <si>
    <t>CusipSymbol</t>
  </si>
  <si>
    <t>CustomUDA1</t>
  </si>
  <si>
    <t>CustomUDA2</t>
  </si>
  <si>
    <t>CustomUDA3</t>
  </si>
  <si>
    <t>CustomUDA4</t>
  </si>
  <si>
    <t>CustomUDA5</t>
  </si>
  <si>
    <t>CustomUDA6</t>
  </si>
  <si>
    <t>CustomUDA7</t>
  </si>
  <si>
    <t>Delta</t>
  </si>
  <si>
    <t>Description</t>
  </si>
  <si>
    <t>ExchangeName</t>
  </si>
  <si>
    <t>ExecutedQty</t>
  </si>
  <si>
    <t>ExpirationDate</t>
  </si>
  <si>
    <t>ExternalTransID</t>
  </si>
  <si>
    <t>FXConversionMethodOperator</t>
  </si>
  <si>
    <t>FXRate</t>
  </si>
  <si>
    <t>GroupID</t>
  </si>
  <si>
    <t>IDCOSymbol</t>
  </si>
  <si>
    <t>InternalComments</t>
  </si>
  <si>
    <t>IsExerciseAtZero</t>
  </si>
  <si>
    <t>ISINSymbol</t>
  </si>
  <si>
    <t>IsNDF</t>
  </si>
  <si>
    <t>IsPosition</t>
  </si>
  <si>
    <t>IsPreAllocated</t>
  </si>
  <si>
    <t>Issuer</t>
  </si>
  <si>
    <t>IsSwapped</t>
  </si>
  <si>
    <t>LeadCurrencyID</t>
  </si>
  <si>
    <t>LiquidTag</t>
  </si>
  <si>
    <t>LongOrShort</t>
  </si>
  <si>
    <t>LotId</t>
  </si>
  <si>
    <t>M2MProfitLoss</t>
  </si>
  <si>
    <t>MarkPrice</t>
  </si>
  <si>
    <t>MasterFund</t>
  </si>
  <si>
    <t>MiscFees</t>
  </si>
  <si>
    <t>NavLockStatus</t>
  </si>
  <si>
    <t>Net Notional</t>
  </si>
  <si>
    <t>NirvanaProcessDate</t>
  </si>
  <si>
    <t>OccFee</t>
  </si>
  <si>
    <t>OptionPremiumAdjustment</t>
  </si>
  <si>
    <t>OrderSideTagValue</t>
  </si>
  <si>
    <t>OrderType</t>
  </si>
  <si>
    <t>OrfFee</t>
  </si>
  <si>
    <t>Original Side</t>
  </si>
  <si>
    <t>OriginalPurchase Date</t>
  </si>
  <si>
    <t>OSISymbol</t>
  </si>
  <si>
    <t>OtherBrokerFees</t>
  </si>
  <si>
    <t>ParentRowPK</t>
  </si>
  <si>
    <t>Percentage</t>
  </si>
  <si>
    <t>PositionTag</t>
  </si>
  <si>
    <t>PositionType</t>
  </si>
  <si>
    <t>Process Date</t>
  </si>
  <si>
    <t>ProxySymbol</t>
  </si>
  <si>
    <t>PutOrCall</t>
  </si>
  <si>
    <t>Region</t>
  </si>
  <si>
    <t>ReutersSymbol</t>
  </si>
  <si>
    <t>RiskCurrency</t>
  </si>
  <si>
    <t>SecFee</t>
  </si>
  <si>
    <t>SectorName</t>
  </si>
  <si>
    <t>Security Name</t>
  </si>
  <si>
    <t>SecurityTypeName</t>
  </si>
  <si>
    <t>SedolSymbol</t>
  </si>
  <si>
    <t>SettlCurrAmt</t>
  </si>
  <si>
    <t>SettlCurrFxRate</t>
  </si>
  <si>
    <t>SettlCurrFxRateCalc</t>
  </si>
  <si>
    <t>SettlCurrUnitCost</t>
  </si>
  <si>
    <t>Settlement Mode</t>
  </si>
  <si>
    <t>Settlement Qty</t>
  </si>
  <si>
    <t>SettlementCurrencyID</t>
  </si>
  <si>
    <t>SettlementDate</t>
  </si>
  <si>
    <t>SideMultiplier</t>
  </si>
  <si>
    <t>SoftCommission</t>
  </si>
  <si>
    <t>SoftCommissionAmt</t>
  </si>
  <si>
    <t>SoftCommissionCalcBasis</t>
  </si>
  <si>
    <t>SoftCommissionRate</t>
  </si>
  <si>
    <t>StampDuty</t>
  </si>
  <si>
    <t>Strike Price</t>
  </si>
  <si>
    <t>SubSectorName</t>
  </si>
  <si>
    <t>SwapParameters</t>
  </si>
  <si>
    <t>TaxlotClosingId</t>
  </si>
  <si>
    <t>TaxLotID</t>
  </si>
  <si>
    <t>TaxlotPk</t>
  </si>
  <si>
    <t>TaxLotQtyToClose</t>
  </si>
  <si>
    <t>TaxonCommissions</t>
  </si>
  <si>
    <t>TimeOfSaveUTC</t>
  </si>
  <si>
    <t>TotalCommission&amp;Fees</t>
  </si>
  <si>
    <t>TotalCommissionandFees</t>
  </si>
  <si>
    <t>Tradedate</t>
  </si>
  <si>
    <t>TradingAccountName</t>
  </si>
  <si>
    <t>TransactionLevy</t>
  </si>
  <si>
    <t>TransactionType</t>
  </si>
  <si>
    <t>UcitsEligibleTag</t>
  </si>
  <si>
    <t>UDAAsset</t>
  </si>
  <si>
    <t>UnderlyingDelta</t>
  </si>
  <si>
    <t>UnderlyingName</t>
  </si>
  <si>
    <t>UnderlyingSymbol</t>
  </si>
  <si>
    <t>UnitCost</t>
  </si>
  <si>
    <t>UnRealizedPNL</t>
  </si>
  <si>
    <t>VsCurrencyID</t>
  </si>
  <si>
    <t>WorkflowState</t>
  </si>
  <si>
    <t>AvgPriceBase</t>
  </si>
  <si>
    <t>MarketCap</t>
  </si>
  <si>
    <t>UnitCostBase</t>
  </si>
  <si>
    <t>ITM/OTM</t>
  </si>
  <si>
    <t>Days to Expiry</t>
  </si>
  <si>
    <t>% of Underlying Price</t>
  </si>
  <si>
    <t>Intrinsic value</t>
  </si>
  <si>
    <t>Gain/Loss if Ex./Assign</t>
  </si>
  <si>
    <t>EquityOption</t>
  </si>
  <si>
    <t>MS</t>
  </si>
  <si>
    <t>ExerciseAssignment</t>
  </si>
  <si>
    <t>AccountValue</t>
  </si>
  <si>
    <t>Asset</t>
  </si>
  <si>
    <t>AUEC Fee1</t>
  </si>
  <si>
    <t>AUCE Fee2</t>
  </si>
  <si>
    <t>AUECLocalDateToday</t>
  </si>
  <si>
    <t>AvgPriceRealizedPL</t>
  </si>
  <si>
    <t>Clearing Broker Fee</t>
  </si>
  <si>
    <t>ClosedQty</t>
  </si>
  <si>
    <t>CostBasisRealizePNL</t>
  </si>
  <si>
    <t>Currency</t>
  </si>
  <si>
    <t>EndDate</t>
  </si>
  <si>
    <t>ExchangeID</t>
  </si>
  <si>
    <t>ExpiredQty</t>
  </si>
  <si>
    <t>ExpiredTaxlotID</t>
  </si>
  <si>
    <t>FXRateoperator</t>
  </si>
  <si>
    <t>ID</t>
  </si>
  <si>
    <t>If Pay/Recevie Changes</t>
  </si>
  <si>
    <t>IntPositionType</t>
  </si>
  <si>
    <t>Leveraged Factor</t>
  </si>
  <si>
    <t>MarkPriceForMonth</t>
  </si>
  <si>
    <t>MonthToDateRealizedProfit</t>
  </si>
  <si>
    <t>Multiplier</t>
  </si>
  <si>
    <t>NotionalValue</t>
  </si>
  <si>
    <t>OCC Fee</t>
  </si>
  <si>
    <t>OpenQty</t>
  </si>
  <si>
    <t>Option Activated</t>
  </si>
  <si>
    <t>Option Type</t>
  </si>
  <si>
    <t>ORF Fee</t>
  </si>
  <si>
    <t>OriginalPurchaseDate</t>
  </si>
  <si>
    <t>Other Broker Fees</t>
  </si>
  <si>
    <t>ParentTradeDate</t>
  </si>
  <si>
    <t>Pay/Recive</t>
  </si>
  <si>
    <t>ProcessDate</t>
  </si>
  <si>
    <t>QtyCurrency</t>
  </si>
  <si>
    <t>RecordType</t>
  </si>
  <si>
    <t>SEC Fee</t>
  </si>
  <si>
    <t>Settlement Currency</t>
  </si>
  <si>
    <t>Settlement Date</t>
  </si>
  <si>
    <t>Settlement FxRate</t>
  </si>
  <si>
    <t>Settlement FxRate Operator</t>
  </si>
  <si>
    <t>Settlement Price</t>
  </si>
  <si>
    <t>Side</t>
  </si>
  <si>
    <t>Soft Commission</t>
  </si>
  <si>
    <t>Stamp Duty</t>
  </si>
  <si>
    <t>StartTaxlotID</t>
  </si>
  <si>
    <t>Status</t>
  </si>
  <si>
    <t>SymbolAveragePrice</t>
  </si>
  <si>
    <t>Tax On Commissions</t>
  </si>
  <si>
    <t>TaxLotClosingId</t>
  </si>
  <si>
    <t>Transaction Levy</t>
  </si>
  <si>
    <t>Transaction Type</t>
  </si>
  <si>
    <t>TransactionSource</t>
  </si>
  <si>
    <t>Underlying Symbol</t>
  </si>
  <si>
    <t>UnderlyingID</t>
  </si>
  <si>
    <t>VerifyExpiredSettledGrid</t>
  </si>
  <si>
    <t>checkBox</t>
  </si>
  <si>
    <t>Close Date</t>
  </si>
  <si>
    <t>ClosedAveragePrice</t>
  </si>
  <si>
    <t>Closing Method</t>
  </si>
  <si>
    <t>ClosingID</t>
  </si>
  <si>
    <t>ClosingMode</t>
  </si>
  <si>
    <t>ClosingPositionTag</t>
  </si>
  <si>
    <t>ClosingSide</t>
  </si>
  <si>
    <t>ClosingTotalCommissionandFees</t>
  </si>
  <si>
    <t>Column1</t>
  </si>
  <si>
    <t>CostBasisGrossPNL</t>
  </si>
  <si>
    <t>Exchange</t>
  </si>
  <si>
    <t>NotionalChange</t>
  </si>
  <si>
    <t>OpenAveragePrice</t>
  </si>
  <si>
    <t>Original Purchase Date</t>
  </si>
  <si>
    <t>Position Type</t>
  </si>
  <si>
    <t>PositionSide</t>
  </si>
  <si>
    <t>PositionTotalCommissionandFees</t>
  </si>
  <si>
    <t>Realized PNL(C.B.)</t>
  </si>
  <si>
    <t>Taxlot ID</t>
  </si>
  <si>
    <t>MandatoryColumn</t>
  </si>
  <si>
    <t>Exercise</t>
  </si>
  <si>
    <t>Short</t>
  </si>
  <si>
    <t>Long</t>
  </si>
  <si>
    <t>Allocation</t>
  </si>
  <si>
    <t>GetDataAllocation</t>
  </si>
  <si>
    <t>FilterTabName</t>
  </si>
  <si>
    <t>StrategyName</t>
  </si>
  <si>
    <t>Underlying</t>
  </si>
  <si>
    <t>TradingAccount</t>
  </si>
  <si>
    <t>PreAllocated</t>
  </si>
  <si>
    <t>ManualGroup</t>
  </si>
  <si>
    <t>Historical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</si>
  <si>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</si>
  <si>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</si>
  <si>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</si>
  <si>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</si>
  <si>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</si>
  <si>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</si>
  <si>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</si>
  <si>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Fee2</t>
  </si>
  <si>
    <t>Avg Price(Base)</t>
  </si>
  <si>
    <t>Avg Price(Local)</t>
  </si>
  <si>
    <t>Bloomberg</t>
  </si>
  <si>
    <t>Bond Type</t>
  </si>
  <si>
    <t>Change Comment</t>
  </si>
  <si>
    <t>Change Type</t>
  </si>
  <si>
    <t>Closing Status</t>
  </si>
  <si>
    <t>Commission Per Share</t>
  </si>
  <si>
    <t>Company</t>
  </si>
  <si>
    <t>Contract Multiplier</t>
  </si>
  <si>
    <t>Coupon Rate</t>
  </si>
  <si>
    <t>Cum Qty For Sub Order</t>
  </si>
  <si>
    <t>Cusip Symbol</t>
  </si>
  <si>
    <t>Executed Qty</t>
  </si>
  <si>
    <t>Exceution Time</t>
  </si>
  <si>
    <t>FX Conversion Operator</t>
  </si>
  <si>
    <t>FX Rate</t>
  </si>
  <si>
    <t>Group Status</t>
  </si>
  <si>
    <t>Import File Name</t>
  </si>
  <si>
    <t>Internal Comments</t>
  </si>
  <si>
    <t>IsAnotherTaxlotAttributesUpdated</t>
  </si>
  <si>
    <t>ISIN</t>
  </si>
  <si>
    <t>IsManual Group</t>
  </si>
  <si>
    <t>ISNDF</t>
  </si>
  <si>
    <t>Net Amount( Base)</t>
  </si>
  <si>
    <t>Net Amount( Local)</t>
  </si>
  <si>
    <t>Nirvana Process Date</t>
  </si>
  <si>
    <t>Option Premium Adjustment</t>
  </si>
  <si>
    <t>OSISSymbol</t>
  </si>
  <si>
    <t>Prana Msg Type</t>
  </si>
  <si>
    <t>Principal Amount( Base)</t>
  </si>
  <si>
    <t>Principal Amount( Local)</t>
  </si>
  <si>
    <t>Proxy Symbol</t>
  </si>
  <si>
    <t>Put Or Call</t>
  </si>
  <si>
    <t>Sedol Symbol</t>
  </si>
  <si>
    <t>Soft Commission Per Share</t>
  </si>
  <si>
    <t>Strategy Name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</si>
  <si>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</si>
  <si>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</si>
  <si>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</si>
  <si>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</si>
  <si>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</si>
  <si>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</si>
  <si>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</si>
  <si>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</si>
  <si>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</si>
  <si>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</si>
  <si>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Source</t>
  </si>
  <si>
    <t>UnAllocatedQty</t>
  </si>
  <si>
    <t>Underlying Delta</t>
  </si>
  <si>
    <t>User</t>
  </si>
  <si>
    <t>Closing Date</t>
  </si>
  <si>
    <t>Client</t>
  </si>
  <si>
    <t>Borrow Broker</t>
  </si>
  <si>
    <t>ACTIV Symbol</t>
  </si>
  <si>
    <t>Borrower Id</t>
  </si>
  <si>
    <t>Borrow Rate(%)</t>
  </si>
  <si>
    <t>Master Fund</t>
  </si>
  <si>
    <t>Testing Type</t>
  </si>
  <si>
    <t>Testing Column</t>
  </si>
  <si>
    <t>Testing Col Value</t>
  </si>
  <si>
    <t>DuplicateRow</t>
  </si>
  <si>
    <t>DuplicateCountOnUI</t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</si>
  <si>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</si>
  <si>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</si>
  <si>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</si>
  <si>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</si>
  <si>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</si>
  <si>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</si>
  <si>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</si>
  <si>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</si>
  <si>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</si>
  <si>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</si>
  <si>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</si>
  <si>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</si>
  <si>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</si>
  <si>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</si>
  <si>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</si>
  <si>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</si>
  <si>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</si>
  <si>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</si>
  <si>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</si>
  <si>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Closed</t>
  </si>
  <si>
    <t>OPTS</t>
  </si>
  <si>
    <t>IsExercised</t>
  </si>
  <si>
    <t>C</t>
  </si>
  <si>
    <t>BuytoOpen</t>
  </si>
  <si>
    <t>P</t>
  </si>
  <si>
    <t>Sell to Close</t>
  </si>
  <si>
    <t>D</t>
  </si>
  <si>
    <t>Exercise/Assign</t>
  </si>
  <si>
    <t>-Select-</t>
  </si>
  <si>
    <t>Buy to Close</t>
  </si>
  <si>
    <t>PortfolioManagement</t>
  </si>
  <si>
    <t>CheckPortfolioManagement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</si>
  <si>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</si>
  <si>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</si>
  <si>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</si>
  <si>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</si>
  <si>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</si>
  <si>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</si>
  <si>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</si>
  <si>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</si>
  <si>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</si>
  <si>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</si>
  <si>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</si>
  <si>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</si>
  <si>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</si>
  <si>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</si>
  <si>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</si>
  <si>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</si>
  <si>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</si>
  <si>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</si>
  <si>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</si>
  <si>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</si>
  <si>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</si>
  <si>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</si>
  <si>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</si>
  <si>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</si>
  <si>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</si>
  <si>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</si>
  <si>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</si>
  <si>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</si>
  <si>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</si>
  <si>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</si>
  <si>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</si>
  <si>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</si>
  <si>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</si>
  <si>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</si>
  <si>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</si>
  <si>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</si>
  <si>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</si>
  <si>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</si>
  <si>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</si>
  <si>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</si>
  <si>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</si>
  <si>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</si>
  <si>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</si>
  <si>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</si>
  <si>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</si>
  <si>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</si>
  <si>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</si>
  <si>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</si>
  <si>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</si>
  <si>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</si>
  <si>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</si>
  <si>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</si>
  <si>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</si>
  <si>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</si>
  <si>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</si>
  <si>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</si>
  <si>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</si>
  <si>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</si>
  <si>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</si>
  <si>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</si>
  <si>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</si>
  <si>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</si>
  <si>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</si>
  <si>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</si>
  <si>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</si>
  <si>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</si>
  <si>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</si>
  <si>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</si>
  <si>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</si>
  <si>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</si>
  <si>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</si>
  <si>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</si>
  <si>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</si>
  <si>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</si>
  <si>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</si>
  <si>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</si>
  <si>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</si>
  <si>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</si>
  <si>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</si>
  <si>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</si>
  <si>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</si>
  <si>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</si>
  <si>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</si>
  <si>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</si>
  <si>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</si>
  <si>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</si>
  <si>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</si>
  <si>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</si>
  <si>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</si>
  <si>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</si>
  <si>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</si>
  <si>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</si>
  <si>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</si>
  <si>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</si>
  <si>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</si>
  <si>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</si>
  <si>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</si>
  <si>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Liquid Tag</t>
  </si>
  <si>
    <t>Market Cap UDA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</si>
  <si>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</si>
  <si>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</si>
  <si>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</si>
  <si>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</si>
  <si>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</si>
  <si>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</si>
  <si>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</si>
  <si>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</si>
  <si>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</si>
  <si>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</si>
  <si>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</si>
  <si>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</si>
  <si>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</si>
  <si>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</si>
  <si>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</si>
  <si>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</si>
  <si>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</si>
  <si>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</si>
  <si>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</si>
  <si>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</si>
  <si>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</si>
  <si>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</si>
  <si>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</si>
  <si>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</si>
  <si>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</si>
  <si>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</si>
  <si>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</si>
  <si>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</si>
  <si>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</si>
  <si>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</si>
  <si>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</si>
  <si>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</si>
  <si>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</si>
  <si>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</si>
  <si>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</si>
  <si>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</si>
  <si>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</si>
  <si>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</si>
  <si>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</si>
  <si>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</si>
  <si>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</si>
  <si>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</si>
  <si>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</si>
  <si>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</si>
  <si>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</si>
  <si>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</si>
  <si>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Equity Call</t>
  </si>
  <si>
    <t>CALL</t>
  </si>
  <si>
    <t>unique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</si>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</sst>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"/>
    <numFmt numFmtId="166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9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3" applyFont="1" fillId="0" borderId="0" xfId="0" applyAlignment="1"/>
    <xf numFmtId="14" applyNumberFormat="1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center"/>
    </xf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164" applyNumberFormat="1" fontId="5" applyFont="1" fillId="0" borderId="0" xfId="0" applyAlignment="1">
      <alignment horizontal="right"/>
    </xf>
    <xf numFmtId="0" fontId="3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  <xf numFmtId="0" fontId="5" applyFont="1" fillId="0" borderId="0" xfId="0" applyAlignment="1"/>
    <xf numFmtId="0" fontId="3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0" fontId="14" applyFont="1" fillId="0" borderId="0" xfId="0" applyAlignment="1"/>
    <xf numFmtId="0" fontId="14" applyFont="1" fillId="0" borderId="0" xfId="0" applyAlignment="1">
      <alignment horizontal="right"/>
    </xf>
    <xf numFmtId="4" applyNumberFormat="1" fontId="14" applyFont="1" fillId="0" borderId="0" xfId="0" applyAlignment="1">
      <alignment horizontal="right"/>
    </xf>
    <xf numFmtId="0" fontId="14" applyFont="1" fillId="0" borderId="0" xfId="0" applyAlignment="1"/>
    <xf numFmtId="165" applyNumberFormat="1" fontId="14" applyFont="1" fillId="0" borderId="0" xfId="0" applyAlignment="1"/>
    <xf numFmtId="166" applyNumberFormat="1" fontId="14" applyFont="1" fillId="0" borderId="0" xfId="0" applyAlignment="1">
      <alignment horizontal="right"/>
    </xf>
    <xf numFmtId="3" applyNumberFormat="1" fontId="14" applyFont="1" fillId="0" borderId="0" xfId="0" applyAlignment="1">
      <alignment horizontal="right"/>
    </xf>
    <xf numFmtId="164" applyNumberFormat="1" fontId="14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</row>
    <row r="6" ht="15.75" customHeight="1">
      <c r="A6" s="27"/>
      <c r="B6" s="27" t="s">
        <v>19</v>
      </c>
      <c r="C6" s="28">
        <f ref="C6:C7" t="shared" si="1">today()</f>
        <v>45855</v>
      </c>
      <c r="D6" s="27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29"/>
      <c r="B7" s="29" t="s">
        <v>20</v>
      </c>
      <c r="C7" s="28">
        <f t="shared" si="1"/>
        <v>45855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C6AE4D9-027B-461A-A08D-8B7FD69E9C7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3222617-DA03-4F21-8D68-EBE6C5443C91}">
          <x14:formula1>
            <xm:f>UpdateExpirationDate!$4:$4</xm:f>
          </x14:formula1>
          <xm:sqref>E3</xm:sqref>
        </x14:dataValidation>
        <x14:dataValidation type="list" allowBlank="1" showInputMessage="1" showErrorMessage="1" prompt="Choose an available module" xr:uid="{E4213C8A-5842-4292-B34E-9DFE43ACC17A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29</v>
      </c>
      <c r="I5" s="0" t="s">
        <v>30</v>
      </c>
      <c r="J5" s="0" t="s">
        <v>31</v>
      </c>
      <c r="K5" s="0" t="s">
        <v>32</v>
      </c>
      <c r="L5" s="0" t="s">
        <v>33</v>
      </c>
      <c r="M5" s="0" t="s">
        <v>34</v>
      </c>
      <c r="N5" s="0" t="s">
        <v>35</v>
      </c>
      <c r="O5" s="0" t="s">
        <v>36</v>
      </c>
      <c r="P5" s="0" t="s">
        <v>37</v>
      </c>
    </row>
    <row r="6" ht="15.75" customHeight="1">
      <c r="A6" s="27"/>
      <c r="B6" s="27"/>
      <c r="C6" s="29"/>
      <c r="D6" s="27"/>
      <c r="E6" s="30" t="b">
        <v>1</v>
      </c>
      <c r="F6" s="29"/>
      <c r="G6" s="29"/>
      <c r="H6" s="29"/>
      <c r="I6" s="29"/>
      <c r="J6" s="30" t="b">
        <v>1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6F29A5D-D5DF-4D05-9493-93204757873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9466038-EA91-4861-B85F-2CAC9BF32911}">
          <x14:formula1>
            <xm:f>SetClosingPreference!$4:$4</xm:f>
          </x14:formula1>
          <xm:sqref>E3</xm:sqref>
        </x14:dataValidation>
        <x14:dataValidation type="list" allowBlank="1" showInputMessage="1" showErrorMessage="1" prompt="Choose an available module" xr:uid="{4318418C-2467-4E9E-AFED-6F03042F7CBB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40</v>
      </c>
      <c r="C5" s="0" t="s">
        <v>41</v>
      </c>
      <c r="D5" s="0" t="s">
        <v>42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47</v>
      </c>
      <c r="J5" s="0" t="s">
        <v>48</v>
      </c>
      <c r="K5" s="0" t="s">
        <v>49</v>
      </c>
      <c r="L5" s="0" t="s">
        <v>50</v>
      </c>
      <c r="M5" s="0" t="s">
        <v>51</v>
      </c>
      <c r="N5" s="0" t="s">
        <v>52</v>
      </c>
      <c r="O5" s="0" t="s">
        <v>53</v>
      </c>
      <c r="P5" s="0" t="s">
        <v>54</v>
      </c>
      <c r="Q5" s="0" t="s">
        <v>55</v>
      </c>
      <c r="R5" s="0" t="s">
        <v>56</v>
      </c>
      <c r="S5" s="0" t="s">
        <v>57</v>
      </c>
      <c r="T5" s="0" t="s">
        <v>58</v>
      </c>
      <c r="U5" s="0" t="s">
        <v>59</v>
      </c>
      <c r="V5" s="0" t="s">
        <v>60</v>
      </c>
      <c r="W5" s="0" t="s">
        <v>61</v>
      </c>
      <c r="X5" s="0" t="s">
        <v>62</v>
      </c>
      <c r="Y5" s="0" t="s">
        <v>63</v>
      </c>
      <c r="Z5" s="0" t="s">
        <v>64</v>
      </c>
      <c r="AA5" s="0" t="s">
        <v>65</v>
      </c>
      <c r="AB5" s="0" t="s">
        <v>66</v>
      </c>
      <c r="AC5" s="0" t="s">
        <v>67</v>
      </c>
      <c r="AD5" s="0" t="s">
        <v>68</v>
      </c>
      <c r="AE5" s="0" t="s">
        <v>69</v>
      </c>
      <c r="AF5" s="0" t="s">
        <v>70</v>
      </c>
      <c r="AG5" s="0" t="s">
        <v>71</v>
      </c>
      <c r="AH5" s="0" t="s">
        <v>72</v>
      </c>
      <c r="AI5" s="0" t="s">
        <v>73</v>
      </c>
      <c r="AJ5" s="0" t="s">
        <v>74</v>
      </c>
      <c r="AK5" s="0" t="s">
        <v>75</v>
      </c>
      <c r="AL5" s="0" t="s">
        <v>76</v>
      </c>
      <c r="AM5" s="0" t="s">
        <v>77</v>
      </c>
      <c r="AN5" s="0" t="s">
        <v>78</v>
      </c>
      <c r="AO5" s="0" t="s">
        <v>79</v>
      </c>
      <c r="AP5" s="0" t="s">
        <v>80</v>
      </c>
      <c r="AQ5" s="0" t="s">
        <v>81</v>
      </c>
      <c r="AR5" s="0" t="s">
        <v>82</v>
      </c>
      <c r="AS5" s="0" t="s">
        <v>83</v>
      </c>
      <c r="AT5" s="0" t="s">
        <v>84</v>
      </c>
      <c r="AU5" s="0" t="s">
        <v>85</v>
      </c>
      <c r="AV5" s="0" t="s">
        <v>86</v>
      </c>
      <c r="AW5" s="0" t="s">
        <v>87</v>
      </c>
      <c r="AX5" s="0" t="s">
        <v>88</v>
      </c>
      <c r="AY5" s="0" t="s">
        <v>89</v>
      </c>
      <c r="AZ5" s="0" t="s">
        <v>90</v>
      </c>
      <c r="BA5" s="0" t="s">
        <v>91</v>
      </c>
      <c r="BB5" s="0" t="s">
        <v>92</v>
      </c>
      <c r="BC5" s="0" t="s">
        <v>93</v>
      </c>
      <c r="BD5" s="0" t="s">
        <v>94</v>
      </c>
      <c r="BE5" s="0" t="s">
        <v>95</v>
      </c>
      <c r="BF5" s="0" t="s">
        <v>96</v>
      </c>
      <c r="BG5" s="0" t="s">
        <v>97</v>
      </c>
      <c r="BH5" s="0" t="s">
        <v>98</v>
      </c>
      <c r="BI5" s="0" t="s">
        <v>99</v>
      </c>
      <c r="BJ5" s="0" t="s">
        <v>100</v>
      </c>
      <c r="BK5" s="0" t="s">
        <v>101</v>
      </c>
      <c r="BL5" s="0" t="s">
        <v>102</v>
      </c>
    </row>
    <row r="6" ht="15.75" customHeight="1">
      <c r="A6" s="27"/>
      <c r="B6" s="27" t="s">
        <v>103</v>
      </c>
      <c r="C6" s="29" t="s">
        <v>104</v>
      </c>
      <c r="D6" s="31">
        <v>1100</v>
      </c>
      <c r="E6" s="29"/>
      <c r="F6" s="29"/>
      <c r="G6" s="29"/>
      <c r="H6" s="29"/>
      <c r="I6" s="29"/>
      <c r="J6" s="32">
        <v>10</v>
      </c>
      <c r="K6" s="29"/>
      <c r="L6" s="29"/>
      <c r="M6" s="29"/>
      <c r="N6" s="33">
        <f>TODAY()-10</f>
        <v>45845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29"/>
      <c r="B7" s="29" t="s">
        <v>19</v>
      </c>
      <c r="C7" s="29" t="s">
        <v>105</v>
      </c>
      <c r="D7" s="32">
        <v>10</v>
      </c>
      <c r="E7" s="29"/>
      <c r="F7" s="29"/>
      <c r="G7" s="29"/>
      <c r="H7" s="29"/>
      <c r="I7" s="29"/>
      <c r="J7" s="32">
        <v>10</v>
      </c>
      <c r="K7" s="29"/>
      <c r="L7" s="29"/>
      <c r="M7" s="29"/>
      <c r="N7" s="33">
        <f ref="N7:N8" t="shared" si="1">TODAY()-8</f>
        <v>45847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29"/>
      <c r="B8" s="29" t="s">
        <v>20</v>
      </c>
      <c r="C8" s="34" t="s">
        <v>105</v>
      </c>
      <c r="D8" s="32">
        <v>10</v>
      </c>
      <c r="E8" s="29"/>
      <c r="F8" s="29"/>
      <c r="G8" s="29"/>
      <c r="H8" s="29"/>
      <c r="I8" s="29"/>
      <c r="J8" s="32">
        <v>10</v>
      </c>
      <c r="K8" s="29"/>
      <c r="L8" s="29"/>
      <c r="M8" s="29"/>
      <c r="N8" s="33">
        <f t="shared" si="1"/>
        <v>45847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3DD4A45-1C7F-4ACE-B9DC-50220036056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ED6357F-22AE-45AA-9509-E7E8D123FD3A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D7BADA28-3BF1-4A82-91CC-6413E5E02C20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106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108</v>
      </c>
      <c r="C5" s="0" t="s">
        <v>109</v>
      </c>
    </row>
    <row r="6" ht="15.75" customHeight="1">
      <c r="A6" s="13"/>
      <c r="B6" s="35">
        <f>Today()-1</f>
        <v>45854</v>
      </c>
      <c r="C6" s="36">
        <f>Today()</f>
        <v>45855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C6AB3F2-2BDC-4BF4-A3F4-4D3EB147D7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E12C690-10A4-416F-9D2B-5F23F2700F2C}">
          <x14:formula1>
            <xm:f>GetMarkPriceData!$4:$4</xm:f>
          </x14:formula1>
          <xm:sqref>E3</xm:sqref>
        </x14:dataValidation>
        <x14:dataValidation type="list" allowBlank="1" showInputMessage="1" showErrorMessage="1" prompt="Choose an available module" xr:uid="{7CCEEB52-B6BB-4690-B3E8-54C49FA958CF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106</v>
      </c>
      <c r="D3" s="5" t="s">
        <v>9</v>
      </c>
      <c r="E3" s="23" t="s">
        <v>110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40</v>
      </c>
      <c r="C5" s="0" t="s">
        <v>48</v>
      </c>
    </row>
    <row r="6" ht="15.75" customHeight="1">
      <c r="A6" s="13"/>
      <c r="B6" s="13" t="s">
        <v>103</v>
      </c>
      <c r="C6" s="13">
        <v>120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E1B2B43-5ED0-401E-96EE-7DB33B80F94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250A5D0-81EA-4696-8A87-3F40CD8CEAD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E29CD1D-AD94-4FD8-BC6A-9E882515E515}">
          <x14:formula1>
            <xm:f>UpdateMarkPrice!$4:$4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112</v>
      </c>
      <c r="C5" s="0" t="s">
        <v>113</v>
      </c>
      <c r="D5" s="0" t="s">
        <v>114</v>
      </c>
      <c r="E5" s="0" t="s">
        <v>115</v>
      </c>
    </row>
    <row r="6" ht="15.75" customHeight="1">
      <c r="A6" s="13"/>
      <c r="B6" s="13" t="s">
        <v>116</v>
      </c>
      <c r="C6" s="8"/>
      <c r="D6" s="13"/>
      <c r="E6" s="13" t="s">
        <v>117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0EDE92C-82B2-4416-B927-3508FB7013A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D40216C-55C4-4F0B-B283-DC00AD06E3E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88271A2-7929-4DD8-A777-9C8C1A9BC966}">
          <x14:formula1>
            <xm:f>GetDataClosing!$4:$4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75</v>
      </c>
      <c r="C5" s="0" t="s">
        <v>119</v>
      </c>
      <c r="D5" s="0" t="s">
        <v>120</v>
      </c>
      <c r="E5" s="0" t="s">
        <v>121</v>
      </c>
      <c r="F5" s="0" t="s">
        <v>122</v>
      </c>
      <c r="G5" s="0" t="s">
        <v>123</v>
      </c>
      <c r="H5" s="0" t="s">
        <v>124</v>
      </c>
      <c r="I5" s="0" t="s">
        <v>125</v>
      </c>
      <c r="J5" s="0" t="s">
        <v>126</v>
      </c>
      <c r="K5" s="0" t="s">
        <v>45</v>
      </c>
      <c r="L5" s="0" t="s">
        <v>127</v>
      </c>
      <c r="M5" s="0" t="s">
        <v>128</v>
      </c>
      <c r="N5" s="0" t="s">
        <v>129</v>
      </c>
      <c r="O5" s="0" t="s">
        <v>130</v>
      </c>
      <c r="P5" s="0" t="s">
        <v>131</v>
      </c>
      <c r="Q5" s="0" t="s">
        <v>132</v>
      </c>
      <c r="R5" s="0" t="s">
        <v>133</v>
      </c>
      <c r="S5" s="0" t="s">
        <v>134</v>
      </c>
      <c r="T5" s="0" t="s">
        <v>135</v>
      </c>
      <c r="U5" s="0" t="s">
        <v>136</v>
      </c>
      <c r="V5" s="0" t="s">
        <v>137</v>
      </c>
      <c r="W5" s="0" t="s">
        <v>138</v>
      </c>
      <c r="X5" s="0" t="s">
        <v>57</v>
      </c>
      <c r="Y5" s="0" t="s">
        <v>139</v>
      </c>
      <c r="Z5" s="0" t="s">
        <v>140</v>
      </c>
      <c r="AA5" s="0" t="s">
        <v>141</v>
      </c>
      <c r="AB5" s="0" t="s">
        <v>142</v>
      </c>
      <c r="AC5" s="0" t="s">
        <v>143</v>
      </c>
      <c r="AD5" s="0" t="s">
        <v>144</v>
      </c>
      <c r="AE5" s="0" t="s">
        <v>145</v>
      </c>
      <c r="AF5" s="0" t="s">
        <v>146</v>
      </c>
      <c r="AG5" s="0" t="s">
        <v>147</v>
      </c>
      <c r="AH5" s="0" t="s">
        <v>148</v>
      </c>
      <c r="AI5" s="0" t="s">
        <v>149</v>
      </c>
      <c r="AJ5" s="0" t="s">
        <v>150</v>
      </c>
      <c r="AK5" s="0" t="s">
        <v>151</v>
      </c>
      <c r="AL5" s="0" t="s">
        <v>152</v>
      </c>
      <c r="AM5" s="0" t="s">
        <v>153</v>
      </c>
      <c r="AN5" s="0" t="s">
        <v>154</v>
      </c>
      <c r="AO5" s="0" t="s">
        <v>155</v>
      </c>
      <c r="AP5" s="0" t="s">
        <v>156</v>
      </c>
      <c r="AQ5" s="0" t="s">
        <v>157</v>
      </c>
      <c r="AR5" s="0" t="s">
        <v>158</v>
      </c>
      <c r="AS5" s="0" t="s">
        <v>159</v>
      </c>
      <c r="AT5" s="0" t="s">
        <v>160</v>
      </c>
      <c r="AU5" s="0" t="s">
        <v>161</v>
      </c>
      <c r="AV5" s="0" t="s">
        <v>162</v>
      </c>
      <c r="AW5" s="0" t="s">
        <v>163</v>
      </c>
      <c r="AX5" s="0" t="s">
        <v>164</v>
      </c>
      <c r="AY5" s="0" t="s">
        <v>165</v>
      </c>
      <c r="AZ5" s="0" t="s">
        <v>166</v>
      </c>
      <c r="BA5" s="0" t="s">
        <v>167</v>
      </c>
      <c r="BB5" s="0" t="s">
        <v>168</v>
      </c>
      <c r="BC5" s="0" t="s">
        <v>169</v>
      </c>
      <c r="BD5" s="0" t="s">
        <v>170</v>
      </c>
      <c r="BE5" s="0" t="s">
        <v>171</v>
      </c>
      <c r="BF5" s="0" t="s">
        <v>172</v>
      </c>
      <c r="BG5" s="0" t="s">
        <v>173</v>
      </c>
      <c r="BH5" s="0" t="s">
        <v>174</v>
      </c>
      <c r="BI5" s="0" t="s">
        <v>175</v>
      </c>
      <c r="BJ5" s="0" t="s">
        <v>176</v>
      </c>
      <c r="BK5" s="0" t="s">
        <v>177</v>
      </c>
      <c r="BL5" s="0" t="s">
        <v>178</v>
      </c>
      <c r="BM5" s="0" t="s">
        <v>179</v>
      </c>
      <c r="BN5" s="0" t="s">
        <v>180</v>
      </c>
      <c r="BO5" s="0" t="s">
        <v>181</v>
      </c>
      <c r="BP5" s="0" t="s">
        <v>182</v>
      </c>
      <c r="BQ5" s="0" t="s">
        <v>183</v>
      </c>
      <c r="BR5" s="0" t="s">
        <v>184</v>
      </c>
      <c r="BS5" s="0" t="s">
        <v>185</v>
      </c>
      <c r="BT5" s="0" t="s">
        <v>186</v>
      </c>
      <c r="BU5" s="0" t="s">
        <v>187</v>
      </c>
      <c r="BV5" s="0" t="s">
        <v>188</v>
      </c>
      <c r="BW5" s="0" t="s">
        <v>189</v>
      </c>
      <c r="BX5" s="0" t="s">
        <v>190</v>
      </c>
      <c r="BY5" s="0" t="s">
        <v>191</v>
      </c>
      <c r="BZ5" s="0" t="s">
        <v>192</v>
      </c>
      <c r="CA5" s="0" t="s">
        <v>193</v>
      </c>
      <c r="CB5" s="0" t="s">
        <v>194</v>
      </c>
      <c r="CC5" s="0" t="s">
        <v>195</v>
      </c>
      <c r="CD5" s="0" t="s">
        <v>196</v>
      </c>
      <c r="CE5" s="0" t="s">
        <v>197</v>
      </c>
      <c r="CF5" s="0" t="s">
        <v>198</v>
      </c>
      <c r="CG5" s="0" t="s">
        <v>42</v>
      </c>
      <c r="CH5" s="0" t="s">
        <v>199</v>
      </c>
      <c r="CI5" s="0" t="s">
        <v>200</v>
      </c>
      <c r="CJ5" s="0" t="s">
        <v>201</v>
      </c>
      <c r="CK5" s="0" t="s">
        <v>202</v>
      </c>
      <c r="CL5" s="0" t="s">
        <v>203</v>
      </c>
      <c r="CM5" s="0" t="s">
        <v>204</v>
      </c>
      <c r="CN5" s="0" t="s">
        <v>205</v>
      </c>
      <c r="CO5" s="0" t="s">
        <v>206</v>
      </c>
      <c r="CP5" s="0" t="s">
        <v>207</v>
      </c>
      <c r="CQ5" s="0" t="s">
        <v>208</v>
      </c>
      <c r="CR5" s="0" t="s">
        <v>209</v>
      </c>
      <c r="CS5" s="0" t="s">
        <v>210</v>
      </c>
      <c r="CT5" s="0" t="s">
        <v>211</v>
      </c>
      <c r="CU5" s="0" t="s">
        <v>212</v>
      </c>
      <c r="CV5" s="0" t="s">
        <v>213</v>
      </c>
      <c r="CW5" s="0" t="s">
        <v>214</v>
      </c>
      <c r="CX5" s="0" t="s">
        <v>215</v>
      </c>
      <c r="CY5" s="0" t="s">
        <v>216</v>
      </c>
      <c r="CZ5" s="0" t="s">
        <v>217</v>
      </c>
      <c r="DA5" s="0" t="s">
        <v>218</v>
      </c>
      <c r="DB5" s="0" t="s">
        <v>219</v>
      </c>
      <c r="DC5" s="0" t="s">
        <v>220</v>
      </c>
      <c r="DD5" s="0" t="s">
        <v>51</v>
      </c>
      <c r="DE5" s="0" t="s">
        <v>221</v>
      </c>
      <c r="DF5" s="0" t="s">
        <v>222</v>
      </c>
      <c r="DG5" s="0" t="s">
        <v>223</v>
      </c>
      <c r="DH5" s="0" t="s">
        <v>40</v>
      </c>
      <c r="DI5" s="0" t="s">
        <v>224</v>
      </c>
      <c r="DJ5" s="0" t="s">
        <v>225</v>
      </c>
      <c r="DK5" s="0" t="s">
        <v>226</v>
      </c>
      <c r="DL5" s="0" t="s">
        <v>227</v>
      </c>
      <c r="DM5" s="0" t="s">
        <v>228</v>
      </c>
      <c r="DN5" s="0" t="s">
        <v>229</v>
      </c>
      <c r="DO5" s="0" t="s">
        <v>230</v>
      </c>
      <c r="DP5" s="0" t="s">
        <v>231</v>
      </c>
      <c r="DQ5" s="0" t="s">
        <v>232</v>
      </c>
      <c r="DR5" s="0" t="s">
        <v>60</v>
      </c>
      <c r="DS5" s="0" t="s">
        <v>61</v>
      </c>
      <c r="DT5" s="0" t="s">
        <v>62</v>
      </c>
      <c r="DU5" s="0" t="s">
        <v>63</v>
      </c>
      <c r="DV5" s="0" t="s">
        <v>64</v>
      </c>
      <c r="DW5" s="0" t="s">
        <v>65</v>
      </c>
      <c r="DX5" s="0" t="s">
        <v>233</v>
      </c>
      <c r="DY5" s="0" t="s">
        <v>234</v>
      </c>
      <c r="DZ5" s="0" t="s">
        <v>235</v>
      </c>
      <c r="EA5" s="0" t="s">
        <v>236</v>
      </c>
      <c r="EB5" s="0" t="s">
        <v>237</v>
      </c>
      <c r="EC5" s="0" t="s">
        <v>238</v>
      </c>
      <c r="ED5" s="0" t="s">
        <v>239</v>
      </c>
      <c r="EE5" s="0" t="s">
        <v>240</v>
      </c>
      <c r="EF5" s="0" t="s">
        <v>241</v>
      </c>
      <c r="EG5" s="0" t="s">
        <v>242</v>
      </c>
      <c r="EH5" s="0" t="s">
        <v>66</v>
      </c>
      <c r="EI5" s="0" t="s">
        <v>243</v>
      </c>
      <c r="EJ5" s="0" t="s">
        <v>244</v>
      </c>
      <c r="EK5" s="0" t="s">
        <v>245</v>
      </c>
      <c r="EL5" s="0" t="s">
        <v>246</v>
      </c>
      <c r="EM5" s="0" t="s">
        <v>247</v>
      </c>
      <c r="EN5" s="0" t="s">
        <v>248</v>
      </c>
      <c r="EO5" s="0" t="s">
        <v>249</v>
      </c>
      <c r="EP5" s="0" t="s">
        <v>250</v>
      </c>
      <c r="EQ5" s="0" t="s">
        <v>251</v>
      </c>
      <c r="ER5" s="0" t="s">
        <v>252</v>
      </c>
    </row>
    <row r="6" ht="15.75" customHeight="1">
      <c r="A6" s="27"/>
      <c r="B6" s="27" t="s">
        <v>117</v>
      </c>
      <c r="C6" s="29"/>
      <c r="D6" s="27"/>
      <c r="E6" s="29" t="s">
        <v>253</v>
      </c>
      <c r="F6" s="29"/>
      <c r="G6" s="29"/>
      <c r="H6" s="29"/>
      <c r="I6" s="32">
        <v>10</v>
      </c>
      <c r="J6" s="29"/>
      <c r="K6" s="29" t="s">
        <v>254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8">
        <v>10</v>
      </c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39" t="s">
        <v>105</v>
      </c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40" t="s">
        <v>19</v>
      </c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29"/>
      <c r="B7" s="29" t="s">
        <v>117</v>
      </c>
      <c r="C7" s="29"/>
      <c r="D7" s="29"/>
      <c r="E7" s="29" t="s">
        <v>253</v>
      </c>
      <c r="F7" s="29"/>
      <c r="G7" s="29"/>
      <c r="H7" s="29"/>
      <c r="I7" s="32">
        <v>10</v>
      </c>
      <c r="J7" s="29"/>
      <c r="K7" s="29" t="s">
        <v>254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38">
        <v>10</v>
      </c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39" t="s">
        <v>105</v>
      </c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40" t="s">
        <v>20</v>
      </c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A0EB4BB-04FE-4EB6-AA8E-312A884012B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9DBE8B5-B664-485D-B3DE-DA02045231AC}">
          <x14:formula1>
            <xm:f>SelectTradeUnexpiredUnsettled!$4:$4</xm:f>
          </x14:formula1>
          <xm:sqref>E3</xm:sqref>
        </x14:dataValidation>
        <x14:dataValidation type="list" allowBlank="1" showInputMessage="1" showErrorMessage="1" prompt="Choose an available module" xr:uid="{E88C6775-8886-4DF1-8845-5A0B57FCEE11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75</v>
      </c>
      <c r="C5" s="0" t="s">
        <v>256</v>
      </c>
      <c r="D5" s="0" t="s">
        <v>119</v>
      </c>
      <c r="E5" s="0" t="s">
        <v>257</v>
      </c>
      <c r="F5" s="0" t="s">
        <v>258</v>
      </c>
      <c r="G5" s="0" t="s">
        <v>259</v>
      </c>
      <c r="H5" s="0" t="s">
        <v>123</v>
      </c>
      <c r="I5" s="0" t="s">
        <v>260</v>
      </c>
      <c r="J5" s="0" t="s">
        <v>125</v>
      </c>
      <c r="K5" s="0" t="s">
        <v>261</v>
      </c>
      <c r="L5" s="0" t="s">
        <v>45</v>
      </c>
      <c r="M5" s="0" t="s">
        <v>262</v>
      </c>
      <c r="N5" s="0" t="s">
        <v>263</v>
      </c>
      <c r="O5" s="0" t="s">
        <v>137</v>
      </c>
      <c r="P5" s="0" t="s">
        <v>264</v>
      </c>
      <c r="Q5" s="0" t="s">
        <v>265</v>
      </c>
      <c r="R5" s="0" t="s">
        <v>155</v>
      </c>
      <c r="S5" s="0" t="s">
        <v>266</v>
      </c>
      <c r="T5" s="0" t="s">
        <v>267</v>
      </c>
      <c r="U5" s="0" t="s">
        <v>17</v>
      </c>
      <c r="V5" s="0" t="s">
        <v>268</v>
      </c>
      <c r="W5" s="0" t="s">
        <v>269</v>
      </c>
      <c r="X5" s="0" t="s">
        <v>161</v>
      </c>
      <c r="Y5" s="0" t="s">
        <v>270</v>
      </c>
      <c r="Z5" s="0" t="s">
        <v>271</v>
      </c>
      <c r="AA5" s="0" t="s">
        <v>272</v>
      </c>
      <c r="AB5" s="0" t="s">
        <v>273</v>
      </c>
      <c r="AC5" s="0" t="s">
        <v>172</v>
      </c>
      <c r="AD5" s="0" t="s">
        <v>274</v>
      </c>
      <c r="AE5" s="0" t="s">
        <v>275</v>
      </c>
      <c r="AF5" s="0" t="s">
        <v>276</v>
      </c>
      <c r="AG5" s="0" t="s">
        <v>277</v>
      </c>
      <c r="AH5" s="0" t="s">
        <v>278</v>
      </c>
      <c r="AI5" s="0" t="s">
        <v>279</v>
      </c>
      <c r="AJ5" s="0" t="s">
        <v>280</v>
      </c>
      <c r="AK5" s="0" t="s">
        <v>281</v>
      </c>
      <c r="AL5" s="0" t="s">
        <v>282</v>
      </c>
      <c r="AM5" s="0" t="s">
        <v>184</v>
      </c>
      <c r="AN5" s="0" t="s">
        <v>283</v>
      </c>
      <c r="AO5" s="0" t="s">
        <v>188</v>
      </c>
      <c r="AP5" s="0" t="s">
        <v>284</v>
      </c>
      <c r="AQ5" s="0" t="s">
        <v>285</v>
      </c>
      <c r="AR5" s="0" t="s">
        <v>286</v>
      </c>
      <c r="AS5" s="0" t="s">
        <v>287</v>
      </c>
      <c r="AT5" s="0" t="s">
        <v>195</v>
      </c>
      <c r="AU5" s="0" t="s">
        <v>288</v>
      </c>
      <c r="AV5" s="0" t="s">
        <v>289</v>
      </c>
      <c r="AW5" s="0" t="s">
        <v>42</v>
      </c>
      <c r="AX5" s="0" t="s">
        <v>290</v>
      </c>
      <c r="AY5" s="0" t="s">
        <v>291</v>
      </c>
      <c r="AZ5" s="0" t="s">
        <v>292</v>
      </c>
      <c r="BA5" s="0" t="s">
        <v>293</v>
      </c>
      <c r="BB5" s="0" t="s">
        <v>294</v>
      </c>
      <c r="BC5" s="0" t="s">
        <v>295</v>
      </c>
      <c r="BD5" s="0" t="s">
        <v>296</v>
      </c>
      <c r="BE5" s="0" t="s">
        <v>297</v>
      </c>
      <c r="BF5" s="0" t="s">
        <v>298</v>
      </c>
      <c r="BG5" s="0" t="s">
        <v>299</v>
      </c>
      <c r="BH5" s="0" t="s">
        <v>300</v>
      </c>
      <c r="BI5" s="0" t="s">
        <v>301</v>
      </c>
      <c r="BJ5" s="0" t="s">
        <v>51</v>
      </c>
      <c r="BK5" s="0" t="s">
        <v>221</v>
      </c>
      <c r="BL5" s="0" t="s">
        <v>40</v>
      </c>
      <c r="BM5" s="0" t="s">
        <v>302</v>
      </c>
      <c r="BN5" s="0" t="s">
        <v>303</v>
      </c>
      <c r="BO5" s="0" t="s">
        <v>304</v>
      </c>
      <c r="BP5" s="0" t="s">
        <v>52</v>
      </c>
      <c r="BQ5" s="0" t="s">
        <v>305</v>
      </c>
      <c r="BR5" s="0" t="s">
        <v>306</v>
      </c>
      <c r="BS5" s="0" t="s">
        <v>307</v>
      </c>
      <c r="BT5" s="0" t="s">
        <v>308</v>
      </c>
      <c r="BU5" s="0" t="s">
        <v>309</v>
      </c>
      <c r="BV5" s="0" t="s">
        <v>66</v>
      </c>
      <c r="BW5" s="0" t="s">
        <v>212</v>
      </c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05C6162-2DB9-457A-9217-0DC64A3683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D8653BF-330C-422E-BA57-C3B1BB8BB648}">
          <x14:formula1>
            <xm:f>ExerciseAssignment!$4:$4</xm:f>
          </x14:formula1>
          <xm:sqref>E3</xm:sqref>
        </x14:dataValidation>
        <x14:dataValidation type="list" allowBlank="1" showInputMessage="1" showErrorMessage="1" prompt="Choose an available module" xr:uid="{71EC5C3A-75DC-4CD0-BD15-3F6A5860DD18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75</v>
      </c>
      <c r="C5" s="0" t="s">
        <v>121</v>
      </c>
      <c r="D5" s="0" t="s">
        <v>311</v>
      </c>
      <c r="E5" s="0" t="s">
        <v>312</v>
      </c>
      <c r="F5" s="0" t="s">
        <v>313</v>
      </c>
      <c r="G5" s="0" t="s">
        <v>263</v>
      </c>
      <c r="H5" s="0" t="s">
        <v>314</v>
      </c>
      <c r="I5" s="0" t="s">
        <v>315</v>
      </c>
      <c r="J5" s="0" t="s">
        <v>316</v>
      </c>
      <c r="K5" s="0" t="s">
        <v>317</v>
      </c>
      <c r="L5" s="0" t="s">
        <v>318</v>
      </c>
      <c r="M5" s="0" t="s">
        <v>319</v>
      </c>
      <c r="N5" s="0" t="s">
        <v>320</v>
      </c>
      <c r="O5" s="0" t="s">
        <v>321</v>
      </c>
      <c r="P5" s="0" t="s">
        <v>265</v>
      </c>
      <c r="Q5" s="0" t="s">
        <v>144</v>
      </c>
      <c r="R5" s="0" t="s">
        <v>322</v>
      </c>
      <c r="S5" s="0" t="s">
        <v>323</v>
      </c>
      <c r="T5" s="0" t="s">
        <v>324</v>
      </c>
      <c r="U5" s="0" t="s">
        <v>325</v>
      </c>
      <c r="V5" s="0" t="s">
        <v>326</v>
      </c>
      <c r="W5" s="0" t="s">
        <v>327</v>
      </c>
      <c r="X5" s="0" t="s">
        <v>328</v>
      </c>
      <c r="Y5" s="0" t="s">
        <v>329</v>
      </c>
      <c r="Z5" s="0" t="s">
        <v>297</v>
      </c>
      <c r="AA5" s="0" t="s">
        <v>51</v>
      </c>
      <c r="AB5" s="0" t="s">
        <v>40</v>
      </c>
      <c r="AC5" s="0" t="s">
        <v>330</v>
      </c>
      <c r="AD5" s="0" t="s">
        <v>239</v>
      </c>
      <c r="AE5" s="0" t="s">
        <v>331</v>
      </c>
    </row>
    <row r="6" ht="15.75" customHeight="1">
      <c r="A6" s="27"/>
      <c r="B6" s="27" t="s">
        <v>117</v>
      </c>
      <c r="C6" s="29" t="s">
        <v>253</v>
      </c>
      <c r="D6" s="27"/>
      <c r="E6" s="29"/>
      <c r="F6" s="29"/>
      <c r="G6" s="32">
        <v>10</v>
      </c>
      <c r="H6" s="29"/>
      <c r="I6" s="29"/>
      <c r="J6" s="29" t="s">
        <v>332</v>
      </c>
      <c r="K6" s="29" t="s">
        <v>333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 t="s">
        <v>334</v>
      </c>
      <c r="X6" s="29"/>
      <c r="Y6" s="29"/>
      <c r="Z6" s="29" t="s">
        <v>105</v>
      </c>
      <c r="AA6" s="29"/>
      <c r="AB6" s="40" t="s">
        <v>19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29"/>
      <c r="B7" s="29" t="s">
        <v>117</v>
      </c>
      <c r="C7" s="29" t="s">
        <v>253</v>
      </c>
      <c r="D7" s="29"/>
      <c r="E7" s="29"/>
      <c r="F7" s="29"/>
      <c r="G7" s="32">
        <v>10</v>
      </c>
      <c r="H7" s="29"/>
      <c r="I7" s="29"/>
      <c r="J7" s="29" t="s">
        <v>332</v>
      </c>
      <c r="K7" s="29" t="s">
        <v>333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 t="s">
        <v>334</v>
      </c>
      <c r="X7" s="29"/>
      <c r="Y7" s="29"/>
      <c r="Z7" s="29" t="s">
        <v>105</v>
      </c>
      <c r="AA7" s="29"/>
      <c r="AB7" s="40" t="s">
        <v>20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0879617-6DE5-4C6D-ADB3-0BC8009807A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E245B71-A715-4795-9AFB-2E4243432825}">
          <x14:formula1>
            <xm:f>VerifyExpiredSettledGrid!$4:$4</xm:f>
          </x14:formula1>
          <xm:sqref>E3</xm:sqref>
        </x14:dataValidation>
        <x14:dataValidation type="list" allowBlank="1" showInputMessage="1" showErrorMessage="1" prompt="Choose an available module" xr:uid="{8E00BC2D-D7F7-4EDD-9A58-B7D35E2348C2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335</v>
      </c>
      <c r="D3" s="5" t="s">
        <v>9</v>
      </c>
      <c r="E3" s="23" t="s">
        <v>336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112</v>
      </c>
      <c r="C5" s="0" t="s">
        <v>113</v>
      </c>
      <c r="D5" s="0" t="s">
        <v>114</v>
      </c>
      <c r="E5" s="0" t="s">
        <v>337</v>
      </c>
      <c r="F5" s="0" t="s">
        <v>40</v>
      </c>
      <c r="G5" s="0" t="s">
        <v>257</v>
      </c>
      <c r="H5" s="0" t="s">
        <v>297</v>
      </c>
      <c r="I5" s="0" t="s">
        <v>75</v>
      </c>
      <c r="J5" s="0" t="s">
        <v>45</v>
      </c>
      <c r="K5" s="0" t="s">
        <v>265</v>
      </c>
      <c r="L5" s="0" t="s">
        <v>322</v>
      </c>
      <c r="M5" s="0" t="s">
        <v>338</v>
      </c>
      <c r="N5" s="0" t="s">
        <v>339</v>
      </c>
      <c r="O5" s="0" t="s">
        <v>66</v>
      </c>
      <c r="P5" s="0" t="s">
        <v>340</v>
      </c>
      <c r="Q5" s="0" t="s">
        <v>341</v>
      </c>
      <c r="R5" s="0" t="s">
        <v>342</v>
      </c>
    </row>
    <row r="6" ht="15.75" customHeight="1">
      <c r="A6" s="13"/>
      <c r="B6" s="13" t="s">
        <v>343</v>
      </c>
      <c r="C6" s="36">
        <f>Today()-10</f>
        <v>45845</v>
      </c>
      <c r="D6" s="35">
        <f>Today()</f>
        <v>45855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BF711E-E0E0-4B12-83A4-F94C0A97FD7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9E470F5-F1E5-44EB-9741-14C83178410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96D73D8-2EB8-4FC9-B666-08F0FAA1DCCE}">
          <x14:formula1>
            <xm:f>GetDataAllocation!$4:$4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335</v>
      </c>
      <c r="D3" s="5" t="s">
        <v>9</v>
      </c>
      <c r="E3" s="23" t="s">
        <v>344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345</v>
      </c>
      <c r="C5" s="0" t="s">
        <v>346</v>
      </c>
      <c r="D5" s="0" t="s">
        <v>347</v>
      </c>
      <c r="E5" s="0" t="s">
        <v>348</v>
      </c>
      <c r="F5" s="0" t="s">
        <v>349</v>
      </c>
      <c r="G5" s="0" t="s">
        <v>350</v>
      </c>
      <c r="H5" s="0" t="s">
        <v>258</v>
      </c>
      <c r="I5" s="0" t="s">
        <v>351</v>
      </c>
      <c r="J5" s="0" t="s">
        <v>123</v>
      </c>
      <c r="K5" s="0" t="s">
        <v>352</v>
      </c>
      <c r="L5" s="0" t="s">
        <v>353</v>
      </c>
      <c r="M5" s="0" t="s">
        <v>354</v>
      </c>
      <c r="N5" s="0" t="s">
        <v>355</v>
      </c>
      <c r="O5" s="0" t="s">
        <v>45</v>
      </c>
      <c r="P5" s="0" t="s">
        <v>356</v>
      </c>
      <c r="Q5" s="0" t="s">
        <v>357</v>
      </c>
      <c r="R5" s="0" t="s">
        <v>262</v>
      </c>
      <c r="S5" s="0" t="s">
        <v>358</v>
      </c>
      <c r="T5" s="0" t="s">
        <v>137</v>
      </c>
      <c r="U5" s="0" t="s">
        <v>359</v>
      </c>
      <c r="V5" s="0" t="s">
        <v>360</v>
      </c>
      <c r="W5" s="0" t="s">
        <v>361</v>
      </c>
      <c r="X5" s="0" t="s">
        <v>362</v>
      </c>
      <c r="Y5" s="0" t="s">
        <v>363</v>
      </c>
      <c r="Z5" s="0" t="s">
        <v>265</v>
      </c>
      <c r="AA5" s="0" t="s">
        <v>364</v>
      </c>
      <c r="AB5" s="0" t="s">
        <v>154</v>
      </c>
      <c r="AC5" s="0" t="s">
        <v>155</v>
      </c>
      <c r="AD5" s="0" t="s">
        <v>322</v>
      </c>
      <c r="AE5" s="0" t="s">
        <v>365</v>
      </c>
      <c r="AF5" s="0" t="s">
        <v>366</v>
      </c>
      <c r="AG5" s="0" t="s">
        <v>17</v>
      </c>
      <c r="AH5" s="0" t="s">
        <v>367</v>
      </c>
      <c r="AI5" s="0" t="s">
        <v>368</v>
      </c>
      <c r="AJ5" s="0" t="s">
        <v>369</v>
      </c>
      <c r="AK5" s="0" t="s">
        <v>163</v>
      </c>
      <c r="AL5" s="0" t="s">
        <v>370</v>
      </c>
      <c r="AM5" s="0" t="s">
        <v>371</v>
      </c>
      <c r="AN5" s="0" t="s">
        <v>372</v>
      </c>
      <c r="AO5" s="0" t="s">
        <v>373</v>
      </c>
      <c r="AP5" s="0" t="s">
        <v>374</v>
      </c>
      <c r="AQ5" s="0" t="s">
        <v>375</v>
      </c>
      <c r="AR5" s="0" t="s">
        <v>169</v>
      </c>
      <c r="AS5" s="0" t="s">
        <v>176</v>
      </c>
      <c r="AT5" s="0" t="s">
        <v>376</v>
      </c>
      <c r="AU5" s="0" t="s">
        <v>377</v>
      </c>
      <c r="AV5" s="0" t="s">
        <v>378</v>
      </c>
      <c r="AW5" s="0" t="s">
        <v>279</v>
      </c>
      <c r="AX5" s="0" t="s">
        <v>379</v>
      </c>
      <c r="AY5" s="0" t="s">
        <v>47</v>
      </c>
      <c r="AZ5" s="0" t="s">
        <v>283</v>
      </c>
      <c r="BA5" s="0" t="s">
        <v>325</v>
      </c>
      <c r="BB5" s="0" t="s">
        <v>380</v>
      </c>
      <c r="BC5" s="0" t="s">
        <v>285</v>
      </c>
      <c r="BD5" s="0" t="s">
        <v>381</v>
      </c>
      <c r="BE5" s="0" t="s">
        <v>382</v>
      </c>
      <c r="BF5" s="0" t="s">
        <v>383</v>
      </c>
      <c r="BG5" s="0" t="s">
        <v>196</v>
      </c>
      <c r="BH5" s="0" t="s">
        <v>384</v>
      </c>
      <c r="BI5" s="0" t="s">
        <v>385</v>
      </c>
      <c r="BJ5" s="0" t="s">
        <v>42</v>
      </c>
      <c r="BK5" s="0" t="s">
        <v>291</v>
      </c>
      <c r="BL5" s="0" t="s">
        <v>386</v>
      </c>
      <c r="BM5" s="0" t="s">
        <v>292</v>
      </c>
      <c r="BN5" s="0" t="s">
        <v>293</v>
      </c>
      <c r="BO5" s="0" t="s">
        <v>297</v>
      </c>
      <c r="BP5" s="0" t="s">
        <v>298</v>
      </c>
      <c r="BQ5" s="0" t="s">
        <v>387</v>
      </c>
      <c r="BR5" s="0" t="s">
        <v>299</v>
      </c>
      <c r="BS5" s="0" t="s">
        <v>388</v>
      </c>
      <c r="BT5" s="0" t="s">
        <v>40</v>
      </c>
      <c r="BU5" s="0" t="s">
        <v>303</v>
      </c>
      <c r="BV5" s="0" t="s">
        <v>389</v>
      </c>
      <c r="BW5" s="0" t="s">
        <v>390</v>
      </c>
      <c r="BX5" s="0" t="s">
        <v>391</v>
      </c>
      <c r="BY5" s="0" t="s">
        <v>392</v>
      </c>
      <c r="BZ5" s="0" t="s">
        <v>393</v>
      </c>
      <c r="CA5" s="0" t="s">
        <v>394</v>
      </c>
      <c r="CB5" s="0" t="s">
        <v>395</v>
      </c>
      <c r="CC5" s="0" t="s">
        <v>396</v>
      </c>
      <c r="CD5" s="0" t="s">
        <v>397</v>
      </c>
      <c r="CE5" s="0" t="s">
        <v>52</v>
      </c>
      <c r="CF5" s="0" t="s">
        <v>398</v>
      </c>
      <c r="CG5" s="0" t="s">
        <v>305</v>
      </c>
      <c r="CH5" s="0" t="s">
        <v>399</v>
      </c>
      <c r="CI5" s="0" t="s">
        <v>306</v>
      </c>
      <c r="CJ5" s="0" t="s">
        <v>400</v>
      </c>
      <c r="CK5" s="0" t="s">
        <v>339</v>
      </c>
      <c r="CL5" s="0" t="s">
        <v>401</v>
      </c>
      <c r="CM5" s="0" t="s">
        <v>308</v>
      </c>
      <c r="CN5" s="0" t="s">
        <v>402</v>
      </c>
      <c r="CO5" s="0" t="s">
        <v>66</v>
      </c>
      <c r="CP5" s="0" t="s">
        <v>314</v>
      </c>
      <c r="CQ5" s="0" t="s">
        <v>403</v>
      </c>
      <c r="CR5" s="0" t="s">
        <v>162</v>
      </c>
      <c r="CS5" s="0" t="s">
        <v>404</v>
      </c>
      <c r="CT5" s="0" t="s">
        <v>405</v>
      </c>
      <c r="CU5" s="0" t="s">
        <v>406</v>
      </c>
      <c r="CV5" s="0" t="s">
        <v>407</v>
      </c>
      <c r="CW5" s="0" t="s">
        <v>408</v>
      </c>
      <c r="CX5" s="0" t="s">
        <v>409</v>
      </c>
      <c r="CY5" s="0" t="s">
        <v>331</v>
      </c>
      <c r="CZ5" s="0" t="s">
        <v>410</v>
      </c>
      <c r="DA5" s="0" t="s">
        <v>411</v>
      </c>
      <c r="DB5" s="0" t="s">
        <v>412</v>
      </c>
      <c r="DC5" s="0" t="s">
        <v>413</v>
      </c>
      <c r="DD5" s="0" t="s">
        <v>414</v>
      </c>
    </row>
    <row r="6" ht="15.75" customHeight="1">
      <c r="A6" s="13"/>
      <c r="B6" s="41" t="s">
        <v>117</v>
      </c>
      <c r="C6" s="41"/>
      <c r="D6" s="42">
        <v>0</v>
      </c>
      <c r="E6" s="43">
        <v>1100</v>
      </c>
      <c r="F6" s="41" t="s">
        <v>415</v>
      </c>
      <c r="G6" s="41" t="s">
        <v>416</v>
      </c>
      <c r="H6" s="42">
        <v>4</v>
      </c>
      <c r="I6" s="42">
        <v>5</v>
      </c>
      <c r="J6" s="42">
        <v>1</v>
      </c>
      <c r="K6" s="42">
        <v>10</v>
      </c>
      <c r="L6" s="42">
        <v>10</v>
      </c>
      <c r="M6" s="41" t="s">
        <v>417</v>
      </c>
      <c r="N6" s="41"/>
      <c r="O6" s="41" t="s">
        <v>254</v>
      </c>
      <c r="P6" s="44"/>
      <c r="Q6" s="42">
        <v>3</v>
      </c>
      <c r="R6" s="42">
        <v>0</v>
      </c>
      <c r="S6" s="41" t="s">
        <v>418</v>
      </c>
      <c r="T6" s="42">
        <v>0</v>
      </c>
      <c r="U6" s="42">
        <v>0</v>
      </c>
      <c r="V6" s="41" t="s">
        <v>419</v>
      </c>
      <c r="W6" s="42">
        <v>1</v>
      </c>
      <c r="X6" s="42"/>
      <c r="Y6" s="44"/>
      <c r="Z6" s="41" t="s">
        <v>420</v>
      </c>
      <c r="AA6" s="41" t="s">
        <v>103</v>
      </c>
      <c r="AB6" s="42">
        <v>1</v>
      </c>
      <c r="AC6" s="41" t="s">
        <v>421</v>
      </c>
      <c r="AD6" s="41" t="s">
        <v>422</v>
      </c>
      <c r="AE6" s="43">
        <v>1100</v>
      </c>
      <c r="AF6" s="45"/>
      <c r="AG6" s="45"/>
      <c r="AH6" s="41" t="s">
        <v>423</v>
      </c>
      <c r="AI6" s="42">
        <v>1</v>
      </c>
      <c r="AJ6" s="41" t="s">
        <v>424</v>
      </c>
      <c r="AK6" s="44"/>
      <c r="AL6" s="44"/>
      <c r="AM6" s="41" t="s">
        <v>425</v>
      </c>
      <c r="AN6" s="41" t="b">
        <v>0</v>
      </c>
      <c r="AO6" s="44"/>
      <c r="AP6" s="41" t="b">
        <v>1</v>
      </c>
      <c r="AQ6" s="41" t="b">
        <v>0</v>
      </c>
      <c r="AR6" s="41" t="b">
        <v>1</v>
      </c>
      <c r="AS6" s="42">
        <v>0</v>
      </c>
      <c r="AT6" s="43">
        <v>10985.9938</v>
      </c>
      <c r="AU6" s="43">
        <v>10985.9938</v>
      </c>
      <c r="AV6" s="46"/>
      <c r="AW6" s="42">
        <v>0</v>
      </c>
      <c r="AX6" s="42">
        <v>0</v>
      </c>
      <c r="AY6" s="41" t="s">
        <v>426</v>
      </c>
      <c r="AZ6" s="42">
        <v>0</v>
      </c>
      <c r="BA6" s="46"/>
      <c r="BB6" s="44"/>
      <c r="BC6" s="42">
        <v>0</v>
      </c>
      <c r="BD6" s="41" t="s">
        <v>427</v>
      </c>
      <c r="BE6" s="43">
        <v>11000</v>
      </c>
      <c r="BF6" s="43">
        <v>11000</v>
      </c>
      <c r="BG6" s="46"/>
      <c r="BH6" s="44"/>
      <c r="BI6" s="44"/>
      <c r="BJ6" s="43">
        <v>1100</v>
      </c>
      <c r="BK6" s="42">
        <v>0</v>
      </c>
      <c r="BL6" s="41"/>
      <c r="BM6" s="41" t="s">
        <v>420</v>
      </c>
      <c r="BN6" s="46"/>
      <c r="BO6" s="41" t="s">
        <v>104</v>
      </c>
      <c r="BP6" s="42">
        <v>0</v>
      </c>
      <c r="BQ6" s="42">
        <v>0</v>
      </c>
      <c r="BR6" s="42">
        <v>0.0062</v>
      </c>
      <c r="BS6" s="41" t="s">
        <v>428</v>
      </c>
      <c r="BT6" s="41" t="s">
        <v>103</v>
      </c>
      <c r="BU6" s="42">
        <v>3</v>
      </c>
      <c r="BV6" s="42">
        <v>0</v>
      </c>
      <c r="BW6" s="42">
        <v>14.0062</v>
      </c>
      <c r="BX6" s="42">
        <v>0</v>
      </c>
      <c r="BY6" s="44"/>
      <c r="BZ6" s="44"/>
      <c r="CA6" s="44"/>
      <c r="CB6" s="44"/>
      <c r="CC6" s="44"/>
      <c r="CD6" s="44"/>
      <c r="CE6" s="46"/>
      <c r="CF6" s="41" t="s">
        <v>429</v>
      </c>
      <c r="CG6" s="42">
        <v>2</v>
      </c>
      <c r="CH6" s="41" t="s">
        <v>38</v>
      </c>
      <c r="CI6" s="41" t="s">
        <v>430</v>
      </c>
      <c r="CJ6" s="42">
        <v>0</v>
      </c>
      <c r="CK6" s="41" t="s">
        <v>431</v>
      </c>
      <c r="CL6" s="42">
        <v>1</v>
      </c>
      <c r="CM6" s="41" t="s">
        <v>103</v>
      </c>
      <c r="CN6" s="41" t="s">
        <v>432</v>
      </c>
      <c r="CO6" s="41" t="s">
        <v>422</v>
      </c>
      <c r="CP6" s="41" t="s">
        <v>433</v>
      </c>
      <c r="CQ6" s="45"/>
      <c r="CR6" s="42"/>
      <c r="CS6" s="44"/>
      <c r="CT6" s="44"/>
      <c r="CU6" s="44"/>
    </row>
    <row r="7" ht="15.75" customHeight="1">
      <c r="A7" s="8"/>
      <c r="B7" s="41" t="s">
        <v>117</v>
      </c>
      <c r="C7" s="41"/>
      <c r="D7" s="42">
        <v>0</v>
      </c>
      <c r="E7" s="42">
        <v>10</v>
      </c>
      <c r="F7" s="41" t="s">
        <v>415</v>
      </c>
      <c r="G7" s="41" t="s">
        <v>253</v>
      </c>
      <c r="H7" s="42">
        <v>0</v>
      </c>
      <c r="I7" s="42">
        <v>0</v>
      </c>
      <c r="J7" s="42">
        <v>12</v>
      </c>
      <c r="K7" s="42">
        <v>10</v>
      </c>
      <c r="L7" s="42">
        <v>10</v>
      </c>
      <c r="M7" s="44"/>
      <c r="N7" s="41"/>
      <c r="O7" s="41" t="s">
        <v>254</v>
      </c>
      <c r="P7" s="44"/>
      <c r="Q7" s="42">
        <v>3</v>
      </c>
      <c r="R7" s="42">
        <v>0</v>
      </c>
      <c r="S7" s="41" t="s">
        <v>434</v>
      </c>
      <c r="T7" s="42">
        <v>0</v>
      </c>
      <c r="U7" s="42">
        <v>0</v>
      </c>
      <c r="V7" s="41" t="s">
        <v>19</v>
      </c>
      <c r="W7" s="42">
        <v>100</v>
      </c>
      <c r="X7" s="42"/>
      <c r="Y7" s="44"/>
      <c r="Z7" s="41" t="s">
        <v>420</v>
      </c>
      <c r="AA7" s="44"/>
      <c r="AB7" s="42">
        <v>1</v>
      </c>
      <c r="AC7" s="41" t="s">
        <v>421</v>
      </c>
      <c r="AD7" s="41" t="s">
        <v>435</v>
      </c>
      <c r="AE7" s="42">
        <v>10</v>
      </c>
      <c r="AF7" s="45"/>
      <c r="AG7" s="46"/>
      <c r="AH7" s="41" t="s">
        <v>423</v>
      </c>
      <c r="AI7" s="42">
        <v>1</v>
      </c>
      <c r="AJ7" s="41" t="s">
        <v>436</v>
      </c>
      <c r="AK7" s="44"/>
      <c r="AL7" s="44"/>
      <c r="AM7" s="41" t="s">
        <v>425</v>
      </c>
      <c r="AN7" s="41" t="b">
        <v>0</v>
      </c>
      <c r="AO7" s="44"/>
      <c r="AP7" s="41" t="b">
        <v>1</v>
      </c>
      <c r="AQ7" s="41" t="b">
        <v>0</v>
      </c>
      <c r="AR7" s="41" t="b">
        <v>1</v>
      </c>
      <c r="AS7" s="42">
        <v>0</v>
      </c>
      <c r="AT7" s="43">
        <v>10000</v>
      </c>
      <c r="AU7" s="43">
        <v>10000</v>
      </c>
      <c r="AV7" s="46"/>
      <c r="AW7" s="42">
        <v>0</v>
      </c>
      <c r="AX7" s="42">
        <v>0</v>
      </c>
      <c r="AY7" s="41" t="s">
        <v>426</v>
      </c>
      <c r="AZ7" s="42">
        <v>0</v>
      </c>
      <c r="BA7" s="46"/>
      <c r="BB7" s="44"/>
      <c r="BC7" s="42">
        <v>0</v>
      </c>
      <c r="BD7" s="41" t="s">
        <v>427</v>
      </c>
      <c r="BE7" s="43">
        <v>10000</v>
      </c>
      <c r="BF7" s="43">
        <v>10000</v>
      </c>
      <c r="BG7" s="46"/>
      <c r="BH7" s="44"/>
      <c r="BI7" s="41" t="s">
        <v>437</v>
      </c>
      <c r="BJ7" s="42">
        <v>10</v>
      </c>
      <c r="BK7" s="42">
        <v>0</v>
      </c>
      <c r="BL7" s="44"/>
      <c r="BM7" s="41" t="s">
        <v>420</v>
      </c>
      <c r="BN7" s="46"/>
      <c r="BO7" s="41" t="s">
        <v>105</v>
      </c>
      <c r="BP7" s="42">
        <v>0</v>
      </c>
      <c r="BQ7" s="42">
        <v>0</v>
      </c>
      <c r="BR7" s="42">
        <v>0</v>
      </c>
      <c r="BS7" s="41" t="s">
        <v>428</v>
      </c>
      <c r="BT7" s="41" t="s">
        <v>19</v>
      </c>
      <c r="BU7" s="42">
        <v>0</v>
      </c>
      <c r="BV7" s="42">
        <v>0</v>
      </c>
      <c r="BW7" s="42">
        <v>0</v>
      </c>
      <c r="BX7" s="42">
        <v>0</v>
      </c>
      <c r="BY7" s="44"/>
      <c r="BZ7" s="44"/>
      <c r="CA7" s="44"/>
      <c r="CB7" s="44"/>
      <c r="CC7" s="44"/>
      <c r="CD7" s="44"/>
      <c r="CE7" s="46"/>
      <c r="CF7" s="41" t="s">
        <v>429</v>
      </c>
      <c r="CG7" s="42">
        <v>0</v>
      </c>
      <c r="CH7" s="41" t="s">
        <v>38</v>
      </c>
      <c r="CI7" s="41" t="s">
        <v>438</v>
      </c>
      <c r="CJ7" s="42">
        <v>0</v>
      </c>
      <c r="CK7" s="41" t="s">
        <v>431</v>
      </c>
      <c r="CL7" s="42">
        <v>1</v>
      </c>
      <c r="CM7" s="41" t="s">
        <v>103</v>
      </c>
      <c r="CN7" s="41" t="s">
        <v>432</v>
      </c>
      <c r="CO7" s="41" t="s">
        <v>422</v>
      </c>
      <c r="CP7" s="41" t="s">
        <v>433</v>
      </c>
      <c r="CQ7" s="45"/>
      <c r="CR7" s="42"/>
      <c r="CS7" s="44"/>
      <c r="CT7" s="44"/>
      <c r="CU7" s="44"/>
    </row>
    <row r="8" ht="15.75" customHeight="1">
      <c r="A8" s="8"/>
      <c r="B8" s="41" t="s">
        <v>117</v>
      </c>
      <c r="C8" s="41"/>
      <c r="D8" s="42">
        <v>0</v>
      </c>
      <c r="E8" s="42">
        <v>10</v>
      </c>
      <c r="F8" s="41" t="s">
        <v>415</v>
      </c>
      <c r="G8" s="41" t="s">
        <v>253</v>
      </c>
      <c r="H8" s="42">
        <v>0</v>
      </c>
      <c r="I8" s="42">
        <v>0</v>
      </c>
      <c r="J8" s="42">
        <v>12</v>
      </c>
      <c r="K8" s="42">
        <v>10</v>
      </c>
      <c r="L8" s="42">
        <v>10</v>
      </c>
      <c r="M8" s="44"/>
      <c r="N8" s="41"/>
      <c r="O8" s="41" t="s">
        <v>254</v>
      </c>
      <c r="P8" s="44"/>
      <c r="Q8" s="42">
        <v>3</v>
      </c>
      <c r="R8" s="42">
        <v>0</v>
      </c>
      <c r="S8" s="41" t="s">
        <v>434</v>
      </c>
      <c r="T8" s="42">
        <v>0</v>
      </c>
      <c r="U8" s="42">
        <v>0</v>
      </c>
      <c r="V8" s="41" t="s">
        <v>20</v>
      </c>
      <c r="W8" s="42">
        <v>100</v>
      </c>
      <c r="X8" s="42"/>
      <c r="Y8" s="44"/>
      <c r="Z8" s="41" t="s">
        <v>420</v>
      </c>
      <c r="AA8" s="44"/>
      <c r="AB8" s="42">
        <v>1</v>
      </c>
      <c r="AC8" s="41" t="s">
        <v>421</v>
      </c>
      <c r="AD8" s="41" t="s">
        <v>435</v>
      </c>
      <c r="AE8" s="42">
        <v>10</v>
      </c>
      <c r="AF8" s="45"/>
      <c r="AG8" s="46"/>
      <c r="AH8" s="41" t="s">
        <v>423</v>
      </c>
      <c r="AI8" s="42">
        <v>1</v>
      </c>
      <c r="AJ8" s="41" t="s">
        <v>436</v>
      </c>
      <c r="AK8" s="44"/>
      <c r="AL8" s="44"/>
      <c r="AM8" s="41" t="s">
        <v>425</v>
      </c>
      <c r="AN8" s="41" t="b">
        <v>0</v>
      </c>
      <c r="AO8" s="44"/>
      <c r="AP8" s="41" t="b">
        <v>1</v>
      </c>
      <c r="AQ8" s="41" t="b">
        <v>0</v>
      </c>
      <c r="AR8" s="41" t="b">
        <v>1</v>
      </c>
      <c r="AS8" s="42">
        <v>0</v>
      </c>
      <c r="AT8" s="43">
        <v>10000</v>
      </c>
      <c r="AU8" s="43">
        <v>10000</v>
      </c>
      <c r="AV8" s="46"/>
      <c r="AW8" s="42">
        <v>0</v>
      </c>
      <c r="AX8" s="42">
        <v>0</v>
      </c>
      <c r="AY8" s="41" t="s">
        <v>426</v>
      </c>
      <c r="AZ8" s="42">
        <v>0</v>
      </c>
      <c r="BA8" s="46"/>
      <c r="BB8" s="44"/>
      <c r="BC8" s="42">
        <v>0</v>
      </c>
      <c r="BD8" s="41" t="s">
        <v>427</v>
      </c>
      <c r="BE8" s="43">
        <v>10000</v>
      </c>
      <c r="BF8" s="43">
        <v>10000</v>
      </c>
      <c r="BG8" s="46"/>
      <c r="BH8" s="44"/>
      <c r="BI8" s="41" t="s">
        <v>439</v>
      </c>
      <c r="BJ8" s="42">
        <v>10</v>
      </c>
      <c r="BK8" s="42">
        <v>0</v>
      </c>
      <c r="BL8" s="44"/>
      <c r="BM8" s="41" t="s">
        <v>420</v>
      </c>
      <c r="BN8" s="46"/>
      <c r="BO8" s="41" t="s">
        <v>105</v>
      </c>
      <c r="BP8" s="42">
        <v>0</v>
      </c>
      <c r="BQ8" s="42">
        <v>0</v>
      </c>
      <c r="BR8" s="42">
        <v>0</v>
      </c>
      <c r="BS8" s="41" t="s">
        <v>428</v>
      </c>
      <c r="BT8" s="41" t="s">
        <v>20</v>
      </c>
      <c r="BU8" s="42">
        <v>0</v>
      </c>
      <c r="BV8" s="42">
        <v>0</v>
      </c>
      <c r="BW8" s="42">
        <v>0</v>
      </c>
      <c r="BX8" s="42">
        <v>0</v>
      </c>
      <c r="BY8" s="44"/>
      <c r="BZ8" s="44"/>
      <c r="CA8" s="44"/>
      <c r="CB8" s="44"/>
      <c r="CC8" s="44"/>
      <c r="CD8" s="44"/>
      <c r="CE8" s="46"/>
      <c r="CF8" s="41" t="s">
        <v>429</v>
      </c>
      <c r="CG8" s="42">
        <v>0</v>
      </c>
      <c r="CH8" s="41" t="s">
        <v>38</v>
      </c>
      <c r="CI8" s="41" t="s">
        <v>438</v>
      </c>
      <c r="CJ8" s="42">
        <v>0</v>
      </c>
      <c r="CK8" s="41" t="s">
        <v>431</v>
      </c>
      <c r="CL8" s="42">
        <v>1</v>
      </c>
      <c r="CM8" s="41" t="s">
        <v>103</v>
      </c>
      <c r="CN8" s="41" t="s">
        <v>432</v>
      </c>
      <c r="CO8" s="41" t="s">
        <v>422</v>
      </c>
      <c r="CP8" s="41" t="s">
        <v>433</v>
      </c>
      <c r="CQ8" s="45"/>
      <c r="CR8" s="42"/>
      <c r="CS8" s="44"/>
      <c r="CT8" s="44"/>
      <c r="CU8" s="44"/>
    </row>
    <row r="9" ht="15.75" customHeight="1">
      <c r="A9" s="8"/>
      <c r="B9" s="41" t="s">
        <v>117</v>
      </c>
      <c r="C9" s="41"/>
      <c r="D9" s="42">
        <v>0</v>
      </c>
      <c r="E9" s="42">
        <v>10</v>
      </c>
      <c r="F9" s="41" t="s">
        <v>415</v>
      </c>
      <c r="G9" s="41" t="s">
        <v>253</v>
      </c>
      <c r="H9" s="42">
        <v>0</v>
      </c>
      <c r="I9" s="42">
        <v>0</v>
      </c>
      <c r="J9" s="42">
        <v>12</v>
      </c>
      <c r="K9" s="42">
        <v>0</v>
      </c>
      <c r="L9" s="42">
        <v>0</v>
      </c>
      <c r="M9" s="44"/>
      <c r="N9" s="41"/>
      <c r="O9" s="41" t="s">
        <v>254</v>
      </c>
      <c r="P9" s="44"/>
      <c r="Q9" s="42">
        <v>3</v>
      </c>
      <c r="R9" s="42">
        <v>0</v>
      </c>
      <c r="S9" s="41" t="s">
        <v>434</v>
      </c>
      <c r="T9" s="42">
        <v>0</v>
      </c>
      <c r="U9" s="42">
        <v>0</v>
      </c>
      <c r="V9" s="41" t="s">
        <v>19</v>
      </c>
      <c r="W9" s="42">
        <v>100</v>
      </c>
      <c r="X9" s="42"/>
      <c r="Y9" s="44"/>
      <c r="Z9" s="41" t="s">
        <v>420</v>
      </c>
      <c r="AA9" s="44"/>
      <c r="AB9" s="42">
        <v>1</v>
      </c>
      <c r="AC9" s="44"/>
      <c r="AD9" s="41" t="s">
        <v>435</v>
      </c>
      <c r="AE9" s="42">
        <v>10</v>
      </c>
      <c r="AF9" s="45"/>
      <c r="AG9" s="46"/>
      <c r="AH9" s="41" t="s">
        <v>423</v>
      </c>
      <c r="AI9" s="42">
        <v>1</v>
      </c>
      <c r="AJ9" s="41" t="s">
        <v>436</v>
      </c>
      <c r="AK9" s="44"/>
      <c r="AL9" s="44"/>
      <c r="AM9" s="44"/>
      <c r="AN9" s="41" t="b">
        <v>0</v>
      </c>
      <c r="AO9" s="44"/>
      <c r="AP9" s="41" t="b">
        <v>0</v>
      </c>
      <c r="AQ9" s="41" t="b">
        <v>0</v>
      </c>
      <c r="AR9" s="41" t="b">
        <v>1</v>
      </c>
      <c r="AS9" s="42">
        <v>0</v>
      </c>
      <c r="AT9" s="43">
        <v>10000</v>
      </c>
      <c r="AU9" s="43">
        <v>10000</v>
      </c>
      <c r="AV9" s="46"/>
      <c r="AW9" s="42">
        <v>0</v>
      </c>
      <c r="AX9" s="43">
        <v>-10000</v>
      </c>
      <c r="AY9" s="41" t="s">
        <v>426</v>
      </c>
      <c r="AZ9" s="42">
        <v>0</v>
      </c>
      <c r="BA9" s="46"/>
      <c r="BB9" s="44"/>
      <c r="BC9" s="42">
        <v>0</v>
      </c>
      <c r="BD9" s="41" t="s">
        <v>427</v>
      </c>
      <c r="BE9" s="42">
        <v>0</v>
      </c>
      <c r="BF9" s="42">
        <v>0</v>
      </c>
      <c r="BG9" s="46"/>
      <c r="BH9" s="44"/>
      <c r="BI9" s="41" t="s">
        <v>437</v>
      </c>
      <c r="BJ9" s="42">
        <v>10</v>
      </c>
      <c r="BK9" s="42">
        <v>0</v>
      </c>
      <c r="BL9" s="44"/>
      <c r="BM9" s="41" t="s">
        <v>420</v>
      </c>
      <c r="BN9" s="46"/>
      <c r="BO9" s="41" t="s">
        <v>440</v>
      </c>
      <c r="BP9" s="42">
        <v>0</v>
      </c>
      <c r="BQ9" s="42">
        <v>0</v>
      </c>
      <c r="BR9" s="42">
        <v>0</v>
      </c>
      <c r="BS9" s="41" t="s">
        <v>428</v>
      </c>
      <c r="BT9" s="41" t="s">
        <v>19</v>
      </c>
      <c r="BU9" s="42">
        <v>0</v>
      </c>
      <c r="BV9" s="42">
        <v>0</v>
      </c>
      <c r="BW9" s="43">
        <v>-10000</v>
      </c>
      <c r="BX9" s="42">
        <v>0</v>
      </c>
      <c r="BY9" s="44"/>
      <c r="BZ9" s="44"/>
      <c r="CA9" s="44"/>
      <c r="CB9" s="44"/>
      <c r="CC9" s="44"/>
      <c r="CD9" s="44"/>
      <c r="CE9" s="46"/>
      <c r="CF9" s="44"/>
      <c r="CG9" s="42">
        <v>0</v>
      </c>
      <c r="CH9" s="41" t="s">
        <v>21</v>
      </c>
      <c r="CI9" s="41" t="s">
        <v>332</v>
      </c>
      <c r="CJ9" s="42">
        <v>0</v>
      </c>
      <c r="CK9" s="41" t="s">
        <v>431</v>
      </c>
      <c r="CL9" s="42">
        <v>1</v>
      </c>
      <c r="CM9" s="41" t="s">
        <v>103</v>
      </c>
      <c r="CN9" s="44"/>
      <c r="CO9" s="41" t="s">
        <v>422</v>
      </c>
      <c r="CP9" s="41" t="s">
        <v>433</v>
      </c>
      <c r="CQ9" s="45"/>
      <c r="CR9" s="42"/>
      <c r="CS9" s="44"/>
      <c r="CT9" s="44"/>
      <c r="CU9" s="44"/>
    </row>
    <row r="10" ht="15.75" customHeight="1">
      <c r="A10" s="8"/>
      <c r="B10" s="41" t="s">
        <v>117</v>
      </c>
      <c r="C10" s="41"/>
      <c r="D10" s="42">
        <v>0</v>
      </c>
      <c r="E10" s="42">
        <v>10</v>
      </c>
      <c r="F10" s="41" t="s">
        <v>415</v>
      </c>
      <c r="G10" s="41" t="s">
        <v>253</v>
      </c>
      <c r="H10" s="42">
        <v>0</v>
      </c>
      <c r="I10" s="42">
        <v>0</v>
      </c>
      <c r="J10" s="42">
        <v>12</v>
      </c>
      <c r="K10" s="42">
        <v>0</v>
      </c>
      <c r="L10" s="42">
        <v>0</v>
      </c>
      <c r="M10" s="44"/>
      <c r="N10" s="41"/>
      <c r="O10" s="41" t="s">
        <v>254</v>
      </c>
      <c r="P10" s="44"/>
      <c r="Q10" s="42">
        <v>3</v>
      </c>
      <c r="R10" s="42">
        <v>0</v>
      </c>
      <c r="S10" s="41" t="s">
        <v>434</v>
      </c>
      <c r="T10" s="42">
        <v>0</v>
      </c>
      <c r="U10" s="42">
        <v>0</v>
      </c>
      <c r="V10" s="41" t="s">
        <v>20</v>
      </c>
      <c r="W10" s="42">
        <v>100</v>
      </c>
      <c r="X10" s="42"/>
      <c r="Y10" s="44"/>
      <c r="Z10" s="41" t="s">
        <v>420</v>
      </c>
      <c r="AA10" s="44"/>
      <c r="AB10" s="42">
        <v>1</v>
      </c>
      <c r="AC10" s="44"/>
      <c r="AD10" s="41" t="s">
        <v>435</v>
      </c>
      <c r="AE10" s="42">
        <v>10</v>
      </c>
      <c r="AF10" s="45"/>
      <c r="AG10" s="46"/>
      <c r="AH10" s="41" t="s">
        <v>423</v>
      </c>
      <c r="AI10" s="42">
        <v>1</v>
      </c>
      <c r="AJ10" s="41" t="s">
        <v>436</v>
      </c>
      <c r="AK10" s="44"/>
      <c r="AL10" s="44"/>
      <c r="AM10" s="44"/>
      <c r="AN10" s="41" t="b">
        <v>0</v>
      </c>
      <c r="AO10" s="44"/>
      <c r="AP10" s="41" t="b">
        <v>0</v>
      </c>
      <c r="AQ10" s="41" t="b">
        <v>0</v>
      </c>
      <c r="AR10" s="41" t="b">
        <v>1</v>
      </c>
      <c r="AS10" s="42">
        <v>0</v>
      </c>
      <c r="AT10" s="43">
        <v>10000</v>
      </c>
      <c r="AU10" s="43">
        <v>10000</v>
      </c>
      <c r="AV10" s="46"/>
      <c r="AW10" s="42">
        <v>0</v>
      </c>
      <c r="AX10" s="43">
        <v>-10000</v>
      </c>
      <c r="AY10" s="41" t="s">
        <v>426</v>
      </c>
      <c r="AZ10" s="42">
        <v>0</v>
      </c>
      <c r="BA10" s="46"/>
      <c r="BB10" s="44"/>
      <c r="BC10" s="42">
        <v>0</v>
      </c>
      <c r="BD10" s="41" t="s">
        <v>427</v>
      </c>
      <c r="BE10" s="42">
        <v>0</v>
      </c>
      <c r="BF10" s="42">
        <v>0</v>
      </c>
      <c r="BG10" s="46"/>
      <c r="BH10" s="44"/>
      <c r="BI10" s="41" t="s">
        <v>439</v>
      </c>
      <c r="BJ10" s="42">
        <v>10</v>
      </c>
      <c r="BK10" s="42">
        <v>0</v>
      </c>
      <c r="BL10" s="44"/>
      <c r="BM10" s="41" t="s">
        <v>420</v>
      </c>
      <c r="BN10" s="46"/>
      <c r="BO10" s="41" t="s">
        <v>440</v>
      </c>
      <c r="BP10" s="42">
        <v>0</v>
      </c>
      <c r="BQ10" s="42">
        <v>0</v>
      </c>
      <c r="BR10" s="42">
        <v>0</v>
      </c>
      <c r="BS10" s="41" t="s">
        <v>428</v>
      </c>
      <c r="BT10" s="41" t="s">
        <v>20</v>
      </c>
      <c r="BU10" s="42">
        <v>0</v>
      </c>
      <c r="BV10" s="42">
        <v>0</v>
      </c>
      <c r="BW10" s="43">
        <v>-10000</v>
      </c>
      <c r="BX10" s="42">
        <v>0</v>
      </c>
      <c r="BY10" s="44"/>
      <c r="BZ10" s="44"/>
      <c r="CA10" s="44"/>
      <c r="CB10" s="44"/>
      <c r="CC10" s="44"/>
      <c r="CD10" s="44"/>
      <c r="CE10" s="46"/>
      <c r="CF10" s="44"/>
      <c r="CG10" s="42">
        <v>0</v>
      </c>
      <c r="CH10" s="41" t="s">
        <v>21</v>
      </c>
      <c r="CI10" s="41" t="s">
        <v>332</v>
      </c>
      <c r="CJ10" s="42">
        <v>0</v>
      </c>
      <c r="CK10" s="41" t="s">
        <v>431</v>
      </c>
      <c r="CL10" s="42">
        <v>1</v>
      </c>
      <c r="CM10" s="41" t="s">
        <v>103</v>
      </c>
      <c r="CN10" s="44"/>
      <c r="CO10" s="41" t="s">
        <v>422</v>
      </c>
      <c r="CP10" s="41" t="s">
        <v>433</v>
      </c>
      <c r="CQ10" s="45"/>
      <c r="CR10" s="42"/>
      <c r="CS10" s="44"/>
      <c r="CT10" s="44"/>
      <c r="CU10" s="44"/>
    </row>
    <row r="11" ht="15.75" customHeight="1">
      <c r="A11" s="8"/>
      <c r="B11" s="41" t="s">
        <v>117</v>
      </c>
      <c r="C11" s="41"/>
      <c r="D11" s="42">
        <v>0</v>
      </c>
      <c r="E11" s="43">
        <v>1000</v>
      </c>
      <c r="F11" s="41" t="s">
        <v>415</v>
      </c>
      <c r="G11" s="41" t="s">
        <v>416</v>
      </c>
      <c r="H11" s="42">
        <v>0</v>
      </c>
      <c r="I11" s="42">
        <v>0</v>
      </c>
      <c r="J11" s="42">
        <v>1</v>
      </c>
      <c r="K11" s="42">
        <v>110</v>
      </c>
      <c r="L11" s="42">
        <v>110</v>
      </c>
      <c r="M11" s="41" t="s">
        <v>417</v>
      </c>
      <c r="N11" s="41"/>
      <c r="O11" s="41" t="s">
        <v>254</v>
      </c>
      <c r="P11" s="44"/>
      <c r="Q11" s="42">
        <v>3</v>
      </c>
      <c r="R11" s="42">
        <v>0</v>
      </c>
      <c r="S11" s="41" t="s">
        <v>418</v>
      </c>
      <c r="T11" s="42">
        <v>0</v>
      </c>
      <c r="U11" s="42">
        <v>0</v>
      </c>
      <c r="V11" s="41" t="s">
        <v>419</v>
      </c>
      <c r="W11" s="42">
        <v>1</v>
      </c>
      <c r="X11" s="42"/>
      <c r="Y11" s="44"/>
      <c r="Z11" s="41" t="s">
        <v>420</v>
      </c>
      <c r="AA11" s="41" t="s">
        <v>103</v>
      </c>
      <c r="AB11" s="42">
        <v>1</v>
      </c>
      <c r="AC11" s="44"/>
      <c r="AD11" s="41" t="s">
        <v>422</v>
      </c>
      <c r="AE11" s="43">
        <v>1000</v>
      </c>
      <c r="AF11" s="45"/>
      <c r="AG11" s="45"/>
      <c r="AH11" s="41" t="s">
        <v>441</v>
      </c>
      <c r="AI11" s="42">
        <v>1</v>
      </c>
      <c r="AJ11" s="41" t="s">
        <v>442</v>
      </c>
      <c r="AK11" s="44"/>
      <c r="AL11" s="44"/>
      <c r="AM11" s="44"/>
      <c r="AN11" s="41" t="b">
        <v>0</v>
      </c>
      <c r="AO11" s="44"/>
      <c r="AP11" s="41" t="b">
        <v>1</v>
      </c>
      <c r="AQ11" s="41" t="b">
        <v>0</v>
      </c>
      <c r="AR11" s="41" t="b">
        <v>1</v>
      </c>
      <c r="AS11" s="42">
        <v>0</v>
      </c>
      <c r="AT11" s="43">
        <v>100000</v>
      </c>
      <c r="AU11" s="43">
        <v>100000</v>
      </c>
      <c r="AV11" s="46"/>
      <c r="AW11" s="42">
        <v>0</v>
      </c>
      <c r="AX11" s="43">
        <v>10000</v>
      </c>
      <c r="AY11" s="44"/>
      <c r="AZ11" s="42">
        <v>0</v>
      </c>
      <c r="BA11" s="46"/>
      <c r="BB11" s="44"/>
      <c r="BC11" s="42">
        <v>0</v>
      </c>
      <c r="BD11" s="41" t="s">
        <v>427</v>
      </c>
      <c r="BE11" s="43">
        <v>110000</v>
      </c>
      <c r="BF11" s="43">
        <v>110000</v>
      </c>
      <c r="BG11" s="46"/>
      <c r="BH11" s="44"/>
      <c r="BI11" s="44"/>
      <c r="BJ11" s="43">
        <v>1000</v>
      </c>
      <c r="BK11" s="42">
        <v>0</v>
      </c>
      <c r="BL11" s="41"/>
      <c r="BM11" s="41" t="s">
        <v>420</v>
      </c>
      <c r="BN11" s="46"/>
      <c r="BO11" s="41" t="s">
        <v>104</v>
      </c>
      <c r="BP11" s="42">
        <v>0</v>
      </c>
      <c r="BQ11" s="42">
        <v>0</v>
      </c>
      <c r="BR11" s="42">
        <v>0</v>
      </c>
      <c r="BS11" s="41" t="s">
        <v>428</v>
      </c>
      <c r="BT11" s="41" t="s">
        <v>103</v>
      </c>
      <c r="BU11" s="42">
        <v>0</v>
      </c>
      <c r="BV11" s="42">
        <v>0</v>
      </c>
      <c r="BW11" s="43">
        <v>10000</v>
      </c>
      <c r="BX11" s="42">
        <v>0</v>
      </c>
      <c r="BY11" s="44"/>
      <c r="BZ11" s="44"/>
      <c r="CA11" s="44"/>
      <c r="CB11" s="44"/>
      <c r="CC11" s="44"/>
      <c r="CD11" s="44"/>
      <c r="CE11" s="46"/>
      <c r="CF11" s="41" t="s">
        <v>429</v>
      </c>
      <c r="CG11" s="42">
        <v>0</v>
      </c>
      <c r="CH11" s="41" t="s">
        <v>21</v>
      </c>
      <c r="CI11" s="41" t="s">
        <v>332</v>
      </c>
      <c r="CJ11" s="42">
        <v>0</v>
      </c>
      <c r="CK11" s="41" t="s">
        <v>431</v>
      </c>
      <c r="CL11" s="42">
        <v>1</v>
      </c>
      <c r="CM11" s="41" t="s">
        <v>103</v>
      </c>
      <c r="CN11" s="41" t="s">
        <v>432</v>
      </c>
      <c r="CO11" s="41" t="s">
        <v>443</v>
      </c>
      <c r="CP11" s="41" t="s">
        <v>433</v>
      </c>
      <c r="CQ11" s="45"/>
      <c r="CR11" s="42"/>
      <c r="CS11" s="44"/>
      <c r="CT11" s="44"/>
      <c r="CU11" s="44"/>
    </row>
    <row r="12" ht="15.75" customHeight="1">
      <c r="A12" s="8"/>
      <c r="B12" s="41" t="s">
        <v>117</v>
      </c>
      <c r="C12" s="41"/>
      <c r="D12" s="42">
        <v>0</v>
      </c>
      <c r="E12" s="43">
        <v>1000</v>
      </c>
      <c r="F12" s="41" t="s">
        <v>415</v>
      </c>
      <c r="G12" s="41" t="s">
        <v>416</v>
      </c>
      <c r="H12" s="42">
        <v>0</v>
      </c>
      <c r="I12" s="42">
        <v>0</v>
      </c>
      <c r="J12" s="42">
        <v>1</v>
      </c>
      <c r="K12" s="42">
        <v>90</v>
      </c>
      <c r="L12" s="42">
        <v>90</v>
      </c>
      <c r="M12" s="41" t="s">
        <v>417</v>
      </c>
      <c r="N12" s="41"/>
      <c r="O12" s="41" t="s">
        <v>254</v>
      </c>
      <c r="P12" s="44"/>
      <c r="Q12" s="42">
        <v>3</v>
      </c>
      <c r="R12" s="42">
        <v>0</v>
      </c>
      <c r="S12" s="41" t="s">
        <v>418</v>
      </c>
      <c r="T12" s="42">
        <v>0</v>
      </c>
      <c r="U12" s="42">
        <v>0</v>
      </c>
      <c r="V12" s="41" t="s">
        <v>419</v>
      </c>
      <c r="W12" s="42">
        <v>1</v>
      </c>
      <c r="X12" s="42"/>
      <c r="Y12" s="44"/>
      <c r="Z12" s="41" t="s">
        <v>420</v>
      </c>
      <c r="AA12" s="41" t="s">
        <v>103</v>
      </c>
      <c r="AB12" s="42">
        <v>1</v>
      </c>
      <c r="AC12" s="44"/>
      <c r="AD12" s="41" t="s">
        <v>422</v>
      </c>
      <c r="AE12" s="43">
        <v>1000</v>
      </c>
      <c r="AF12" s="45"/>
      <c r="AG12" s="45"/>
      <c r="AH12" s="41" t="s">
        <v>441</v>
      </c>
      <c r="AI12" s="42">
        <v>1</v>
      </c>
      <c r="AJ12" s="41" t="s">
        <v>442</v>
      </c>
      <c r="AK12" s="44"/>
      <c r="AL12" s="44"/>
      <c r="AM12" s="44"/>
      <c r="AN12" s="41" t="b">
        <v>0</v>
      </c>
      <c r="AO12" s="44"/>
      <c r="AP12" s="41" t="b">
        <v>1</v>
      </c>
      <c r="AQ12" s="41" t="b">
        <v>0</v>
      </c>
      <c r="AR12" s="41" t="b">
        <v>1</v>
      </c>
      <c r="AS12" s="42">
        <v>0</v>
      </c>
      <c r="AT12" s="43">
        <v>100000</v>
      </c>
      <c r="AU12" s="43">
        <v>100000</v>
      </c>
      <c r="AV12" s="46"/>
      <c r="AW12" s="42">
        <v>0</v>
      </c>
      <c r="AX12" s="43">
        <v>10000</v>
      </c>
      <c r="AY12" s="44"/>
      <c r="AZ12" s="42">
        <v>0</v>
      </c>
      <c r="BA12" s="46"/>
      <c r="BB12" s="44"/>
      <c r="BC12" s="42">
        <v>0</v>
      </c>
      <c r="BD12" s="41" t="s">
        <v>427</v>
      </c>
      <c r="BE12" s="43">
        <v>90000</v>
      </c>
      <c r="BF12" s="43">
        <v>90000</v>
      </c>
      <c r="BG12" s="46"/>
      <c r="BH12" s="44"/>
      <c r="BI12" s="44"/>
      <c r="BJ12" s="43">
        <v>1000</v>
      </c>
      <c r="BK12" s="42">
        <v>0</v>
      </c>
      <c r="BL12" s="41"/>
      <c r="BM12" s="41" t="s">
        <v>420</v>
      </c>
      <c r="BN12" s="46"/>
      <c r="BO12" s="41" t="s">
        <v>444</v>
      </c>
      <c r="BP12" s="42">
        <v>0</v>
      </c>
      <c r="BQ12" s="42">
        <v>0</v>
      </c>
      <c r="BR12" s="42">
        <v>0</v>
      </c>
      <c r="BS12" s="41" t="s">
        <v>428</v>
      </c>
      <c r="BT12" s="41" t="s">
        <v>103</v>
      </c>
      <c r="BU12" s="42">
        <v>0</v>
      </c>
      <c r="BV12" s="42">
        <v>0</v>
      </c>
      <c r="BW12" s="43">
        <v>10000</v>
      </c>
      <c r="BX12" s="42">
        <v>0</v>
      </c>
      <c r="BY12" s="44"/>
      <c r="BZ12" s="44"/>
      <c r="CA12" s="44"/>
      <c r="CB12" s="44"/>
      <c r="CC12" s="44"/>
      <c r="CD12" s="44"/>
      <c r="CE12" s="46"/>
      <c r="CF12" s="41" t="s">
        <v>429</v>
      </c>
      <c r="CG12" s="42">
        <v>0</v>
      </c>
      <c r="CH12" s="41" t="s">
        <v>21</v>
      </c>
      <c r="CI12" s="41" t="s">
        <v>332</v>
      </c>
      <c r="CJ12" s="42">
        <v>0</v>
      </c>
      <c r="CK12" s="41" t="s">
        <v>431</v>
      </c>
      <c r="CL12" s="42">
        <v>1</v>
      </c>
      <c r="CM12" s="41" t="s">
        <v>103</v>
      </c>
      <c r="CN12" s="41" t="s">
        <v>432</v>
      </c>
      <c r="CO12" s="41" t="s">
        <v>443</v>
      </c>
      <c r="CP12" s="41" t="s">
        <v>433</v>
      </c>
      <c r="CQ12" s="45"/>
      <c r="CR12" s="42"/>
      <c r="CS12" s="44"/>
      <c r="CT12" s="44"/>
      <c r="CU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2B1284E-0E8D-48A8-9E76-5A105B83737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5715662-911D-401C-804E-4E9A77EA1B1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94CC7A2-6277-41B4-BE04-0CE3D746467D}">
          <x14:formula1>
            <xm:f>CheckAllocatedGroups!$4:$4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445</v>
      </c>
      <c r="D3" s="5" t="s">
        <v>9</v>
      </c>
      <c r="E3" s="23" t="s">
        <v>446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B5" s="0" t="s">
        <v>52</v>
      </c>
      <c r="C5" s="0" t="s">
        <v>40</v>
      </c>
      <c r="D5" s="0" t="s">
        <v>447</v>
      </c>
      <c r="E5" s="0" t="s">
        <v>75</v>
      </c>
      <c r="F5" s="0" t="s">
        <v>178</v>
      </c>
      <c r="G5" s="0" t="s">
        <v>448</v>
      </c>
      <c r="H5" s="0" t="s">
        <v>449</v>
      </c>
      <c r="I5" s="0" t="s">
        <v>450</v>
      </c>
      <c r="J5" s="0" t="s">
        <v>451</v>
      </c>
      <c r="K5" s="0" t="s">
        <v>452</v>
      </c>
      <c r="L5" s="0" t="s">
        <v>453</v>
      </c>
      <c r="M5" s="0" t="s">
        <v>454</v>
      </c>
      <c r="N5" s="0" t="s">
        <v>455</v>
      </c>
      <c r="O5" s="0" t="s">
        <v>204</v>
      </c>
      <c r="P5" s="0" t="s">
        <v>456</v>
      </c>
      <c r="Q5" s="0" t="s">
        <v>457</v>
      </c>
      <c r="R5" s="0" t="s">
        <v>458</v>
      </c>
      <c r="S5" s="0" t="s">
        <v>51</v>
      </c>
      <c r="T5" s="0" t="s">
        <v>121</v>
      </c>
      <c r="U5" s="0" t="s">
        <v>339</v>
      </c>
      <c r="V5" s="0" t="s">
        <v>322</v>
      </c>
      <c r="W5" s="0" t="s">
        <v>459</v>
      </c>
      <c r="X5" s="0" t="s">
        <v>277</v>
      </c>
      <c r="Y5" s="0" t="s">
        <v>368</v>
      </c>
      <c r="Z5" s="0" t="s">
        <v>460</v>
      </c>
      <c r="AA5" s="0" t="s">
        <v>461</v>
      </c>
      <c r="AB5" s="0" t="s">
        <v>462</v>
      </c>
      <c r="AC5" s="0" t="s">
        <v>463</v>
      </c>
      <c r="AD5" s="0" t="s">
        <v>464</v>
      </c>
      <c r="AE5" s="0" t="s">
        <v>465</v>
      </c>
      <c r="AF5" s="0" t="s">
        <v>466</v>
      </c>
      <c r="AG5" s="0" t="s">
        <v>467</v>
      </c>
      <c r="AH5" s="0" t="s">
        <v>468</v>
      </c>
      <c r="AI5" s="0" t="s">
        <v>469</v>
      </c>
      <c r="AJ5" s="0" t="s">
        <v>470</v>
      </c>
      <c r="AK5" s="0" t="s">
        <v>471</v>
      </c>
      <c r="AL5" s="0" t="s">
        <v>154</v>
      </c>
      <c r="AM5" s="0" t="s">
        <v>274</v>
      </c>
      <c r="AN5" s="0" t="s">
        <v>41</v>
      </c>
      <c r="AO5" s="0" t="s">
        <v>472</v>
      </c>
      <c r="AP5" s="0" t="s">
        <v>473</v>
      </c>
      <c r="AQ5" s="0" t="s">
        <v>308</v>
      </c>
      <c r="AR5" s="0" t="s">
        <v>474</v>
      </c>
      <c r="AS5" s="0" t="s">
        <v>475</v>
      </c>
      <c r="AT5" s="0" t="s">
        <v>155</v>
      </c>
      <c r="AU5" s="0" t="s">
        <v>371</v>
      </c>
      <c r="AV5" s="0" t="s">
        <v>476</v>
      </c>
      <c r="AW5" s="0" t="s">
        <v>477</v>
      </c>
      <c r="AX5" s="0" t="s">
        <v>478</v>
      </c>
      <c r="AY5" s="0" t="s">
        <v>479</v>
      </c>
      <c r="AZ5" s="0" t="s">
        <v>480</v>
      </c>
      <c r="BA5" s="0" t="s">
        <v>481</v>
      </c>
      <c r="BB5" s="0" t="s">
        <v>482</v>
      </c>
      <c r="BC5" s="0" t="s">
        <v>483</v>
      </c>
      <c r="BD5" s="0" t="s">
        <v>484</v>
      </c>
      <c r="BE5" s="0" t="s">
        <v>485</v>
      </c>
      <c r="BF5" s="0" t="s">
        <v>486</v>
      </c>
      <c r="BG5" s="0" t="s">
        <v>487</v>
      </c>
      <c r="BH5" s="0" t="s">
        <v>488</v>
      </c>
      <c r="BI5" s="0" t="s">
        <v>489</v>
      </c>
      <c r="BJ5" s="0" t="s">
        <v>490</v>
      </c>
      <c r="BK5" s="0" t="s">
        <v>491</v>
      </c>
      <c r="BL5" s="0" t="s">
        <v>492</v>
      </c>
      <c r="BM5" s="0" t="s">
        <v>493</v>
      </c>
      <c r="BN5" s="0" t="s">
        <v>494</v>
      </c>
      <c r="BO5" s="0" t="s">
        <v>495</v>
      </c>
      <c r="BP5" s="0" t="s">
        <v>496</v>
      </c>
      <c r="BQ5" s="0" t="s">
        <v>402</v>
      </c>
      <c r="BR5" s="0" t="s">
        <v>45</v>
      </c>
      <c r="BS5" s="0" t="s">
        <v>497</v>
      </c>
      <c r="BT5" s="0" t="s">
        <v>498</v>
      </c>
      <c r="BU5" s="0" t="s">
        <v>499</v>
      </c>
      <c r="BV5" s="0" t="s">
        <v>17</v>
      </c>
      <c r="BW5" s="0" t="s">
        <v>221</v>
      </c>
      <c r="BX5" s="0" t="s">
        <v>500</v>
      </c>
      <c r="BY5" s="0" t="s">
        <v>501</v>
      </c>
      <c r="BZ5" s="0" t="s">
        <v>502</v>
      </c>
      <c r="CA5" s="0" t="s">
        <v>503</v>
      </c>
      <c r="CB5" s="0" t="s">
        <v>293</v>
      </c>
      <c r="CC5" s="0" t="s">
        <v>504</v>
      </c>
      <c r="CD5" s="0" t="s">
        <v>505</v>
      </c>
      <c r="CE5" s="0" t="s">
        <v>506</v>
      </c>
      <c r="CF5" s="0" t="s">
        <v>507</v>
      </c>
      <c r="CG5" s="0" t="s">
        <v>508</v>
      </c>
      <c r="CH5" s="0" t="s">
        <v>509</v>
      </c>
      <c r="CI5" s="0" t="s">
        <v>510</v>
      </c>
      <c r="CJ5" s="0" t="s">
        <v>511</v>
      </c>
      <c r="CK5" s="0" t="s">
        <v>512</v>
      </c>
      <c r="CL5" s="0" t="s">
        <v>513</v>
      </c>
      <c r="CM5" s="0" t="s">
        <v>514</v>
      </c>
      <c r="CN5" s="0" t="s">
        <v>515</v>
      </c>
      <c r="CO5" s="0" t="s">
        <v>516</v>
      </c>
      <c r="CP5" s="0" t="s">
        <v>354</v>
      </c>
      <c r="CQ5" s="0" t="s">
        <v>373</v>
      </c>
      <c r="CR5" s="0" t="s">
        <v>517</v>
      </c>
      <c r="CS5" s="0" t="s">
        <v>518</v>
      </c>
      <c r="CT5" s="0" t="s">
        <v>394</v>
      </c>
      <c r="CU5" s="0" t="s">
        <v>395</v>
      </c>
      <c r="CV5" s="0" t="s">
        <v>396</v>
      </c>
      <c r="CW5" s="0" t="s">
        <v>397</v>
      </c>
      <c r="CX5" s="0" t="s">
        <v>384</v>
      </c>
      <c r="CY5" s="0" t="s">
        <v>519</v>
      </c>
      <c r="CZ5" s="0" t="s">
        <v>520</v>
      </c>
      <c r="DA5" s="0" t="s">
        <v>521</v>
      </c>
      <c r="DB5" s="0" t="s">
        <v>522</v>
      </c>
      <c r="DC5" s="0" t="s">
        <v>523</v>
      </c>
      <c r="DD5" s="0" t="s">
        <v>524</v>
      </c>
      <c r="DE5" s="0" t="s">
        <v>525</v>
      </c>
      <c r="DF5" s="0" t="s">
        <v>526</v>
      </c>
      <c r="DG5" s="0" t="s">
        <v>527</v>
      </c>
      <c r="DH5" s="0" t="s">
        <v>528</v>
      </c>
      <c r="DI5" s="0" t="s">
        <v>529</v>
      </c>
      <c r="DJ5" s="0" t="s">
        <v>306</v>
      </c>
      <c r="DK5" s="0" t="s">
        <v>530</v>
      </c>
      <c r="DL5" s="0" t="s">
        <v>531</v>
      </c>
      <c r="DM5" s="0" t="s">
        <v>532</v>
      </c>
      <c r="DN5" s="0" t="s">
        <v>533</v>
      </c>
      <c r="DO5" s="0" t="s">
        <v>534</v>
      </c>
      <c r="DP5" s="0" t="s">
        <v>535</v>
      </c>
      <c r="DQ5" s="0" t="s">
        <v>120</v>
      </c>
      <c r="DR5" s="0" t="s">
        <v>536</v>
      </c>
      <c r="DS5" s="0" t="s">
        <v>537</v>
      </c>
      <c r="DT5" s="0" t="s">
        <v>538</v>
      </c>
      <c r="DU5" s="0" t="s">
        <v>539</v>
      </c>
      <c r="DV5" s="0" t="s">
        <v>540</v>
      </c>
      <c r="DW5" s="0" t="s">
        <v>541</v>
      </c>
      <c r="DX5" s="0" t="s">
        <v>542</v>
      </c>
      <c r="DY5" s="0" t="s">
        <v>543</v>
      </c>
      <c r="DZ5" s="0" t="s">
        <v>170</v>
      </c>
      <c r="EA5" s="0" t="s">
        <v>544</v>
      </c>
      <c r="EB5" s="0" t="s">
        <v>545</v>
      </c>
      <c r="EC5" s="0" t="s">
        <v>199</v>
      </c>
      <c r="ED5" s="0" t="s">
        <v>546</v>
      </c>
      <c r="EE5" s="0" t="s">
        <v>547</v>
      </c>
      <c r="EF5" s="0" t="s">
        <v>548</v>
      </c>
      <c r="EG5" s="0" t="s">
        <v>549</v>
      </c>
      <c r="EH5" s="0" t="s">
        <v>550</v>
      </c>
      <c r="EI5" s="0" t="s">
        <v>551</v>
      </c>
      <c r="EJ5" s="0" t="s">
        <v>552</v>
      </c>
      <c r="EK5" s="0" t="s">
        <v>553</v>
      </c>
      <c r="EL5" s="0" t="s">
        <v>554</v>
      </c>
      <c r="EM5" s="0" t="s">
        <v>555</v>
      </c>
      <c r="EN5" s="0" t="s">
        <v>556</v>
      </c>
      <c r="EO5" s="0" t="s">
        <v>557</v>
      </c>
      <c r="EP5" s="0" t="s">
        <v>558</v>
      </c>
      <c r="EQ5" s="0" t="s">
        <v>559</v>
      </c>
      <c r="ER5" s="0" t="s">
        <v>560</v>
      </c>
      <c r="ES5" s="0" t="s">
        <v>561</v>
      </c>
      <c r="ET5" s="0" t="s">
        <v>562</v>
      </c>
      <c r="EU5" s="0" t="s">
        <v>563</v>
      </c>
      <c r="EV5" s="0" t="s">
        <v>564</v>
      </c>
      <c r="EW5" s="0" t="s">
        <v>565</v>
      </c>
      <c r="EX5" s="0" t="s">
        <v>566</v>
      </c>
      <c r="EY5" s="0" t="s">
        <v>392</v>
      </c>
      <c r="EZ5" s="0" t="s">
        <v>393</v>
      </c>
      <c r="FA5" s="0" t="s">
        <v>404</v>
      </c>
      <c r="FB5" s="0" t="s">
        <v>567</v>
      </c>
      <c r="FC5" s="0" t="s">
        <v>248</v>
      </c>
      <c r="FD5" s="0" t="s">
        <v>249</v>
      </c>
      <c r="FE5" s="0" t="s">
        <v>250</v>
      </c>
      <c r="FF5" s="0" t="s">
        <v>251</v>
      </c>
      <c r="FG5" s="0" t="s">
        <v>252</v>
      </c>
      <c r="FH5" s="0" t="s">
        <v>568</v>
      </c>
      <c r="FI5" s="0" t="s">
        <v>569</v>
      </c>
      <c r="FJ5" s="0" t="s">
        <v>406</v>
      </c>
      <c r="FK5" s="0" t="s">
        <v>570</v>
      </c>
      <c r="FL5" s="0" t="s">
        <v>331</v>
      </c>
      <c r="FM5" s="0" t="s">
        <v>571</v>
      </c>
      <c r="FN5" s="0" t="s">
        <v>572</v>
      </c>
      <c r="FO5" s="0" t="s">
        <v>573</v>
      </c>
      <c r="FP5" s="0" t="s">
        <v>574</v>
      </c>
      <c r="FQ5" s="0" t="s">
        <v>575</v>
      </c>
      <c r="FR5" s="0" t="s">
        <v>576</v>
      </c>
      <c r="FS5" s="0" t="s">
        <v>577</v>
      </c>
      <c r="FT5" s="0" t="s">
        <v>578</v>
      </c>
      <c r="FU5" s="0" t="s">
        <v>579</v>
      </c>
      <c r="FV5" s="0" t="s">
        <v>580</v>
      </c>
      <c r="FW5" s="0" t="s">
        <v>581</v>
      </c>
    </row>
    <row r="6" ht="15.75" customHeight="1">
      <c r="A6" s="13"/>
      <c r="B6" s="46"/>
      <c r="C6" s="41" t="s">
        <v>103</v>
      </c>
      <c r="D6" s="47">
        <v>-1100</v>
      </c>
      <c r="E6" s="41" t="s">
        <v>117</v>
      </c>
      <c r="F6" s="41" t="s">
        <v>582</v>
      </c>
      <c r="G6" s="42">
        <v>10</v>
      </c>
      <c r="H6" s="41" t="s">
        <v>333</v>
      </c>
      <c r="I6" s="42"/>
      <c r="J6" s="42"/>
      <c r="K6" s="42"/>
      <c r="L6" s="42"/>
      <c r="M6" s="42"/>
      <c r="N6" s="42"/>
      <c r="O6" s="41" t="s">
        <v>419</v>
      </c>
      <c r="P6" s="41"/>
      <c r="Q6" s="47"/>
      <c r="R6" s="41" t="s">
        <v>583</v>
      </c>
      <c r="S6" s="41" t="s">
        <v>428</v>
      </c>
      <c r="T6" s="41" t="s">
        <v>416</v>
      </c>
      <c r="U6" s="41" t="s">
        <v>431</v>
      </c>
      <c r="V6" s="41" t="s">
        <v>422</v>
      </c>
      <c r="W6" s="41" t="s">
        <v>420</v>
      </c>
      <c r="X6" s="42">
        <v>1</v>
      </c>
      <c r="Y6" s="42">
        <v>1</v>
      </c>
      <c r="Z6" s="44"/>
      <c r="AA6" s="44"/>
      <c r="AB6" s="42"/>
      <c r="AC6" s="42"/>
      <c r="AD6" s="42"/>
      <c r="AE6" s="42"/>
      <c r="AF6" s="47"/>
      <c r="AG6" s="42"/>
      <c r="AH6" s="42"/>
      <c r="AI6" s="42"/>
      <c r="AJ6" s="42"/>
      <c r="AK6" s="42"/>
      <c r="AL6" s="42"/>
      <c r="AM6" s="42"/>
      <c r="AN6" s="41" t="s">
        <v>104</v>
      </c>
      <c r="AO6" s="44"/>
      <c r="AP6" s="41" t="s">
        <v>333</v>
      </c>
      <c r="AQ6" s="41" t="s">
        <v>103</v>
      </c>
      <c r="AR6" s="42"/>
      <c r="AS6" s="42"/>
      <c r="AT6" s="41" t="s">
        <v>421</v>
      </c>
      <c r="AU6" s="41" t="s">
        <v>425</v>
      </c>
      <c r="AV6" s="42">
        <v>1</v>
      </c>
      <c r="AW6" s="47"/>
      <c r="AX6" s="42"/>
      <c r="AY6" s="42"/>
      <c r="AZ6" s="42"/>
      <c r="BA6" s="42"/>
      <c r="BB6" s="45"/>
      <c r="BC6" s="42">
        <v>1</v>
      </c>
      <c r="BD6" s="42"/>
      <c r="BE6" s="41" t="s">
        <v>416</v>
      </c>
      <c r="BF6" s="41" t="s">
        <v>584</v>
      </c>
      <c r="BG6" s="41" t="s">
        <v>585</v>
      </c>
      <c r="BH6" s="41" t="s">
        <v>586</v>
      </c>
      <c r="BI6" s="42"/>
      <c r="BJ6" s="42"/>
      <c r="BK6" s="42"/>
      <c r="BL6" s="42"/>
      <c r="BM6" s="42"/>
      <c r="BN6" s="45"/>
      <c r="BO6" s="42"/>
      <c r="BP6" s="42"/>
      <c r="BQ6" s="41" t="s">
        <v>432</v>
      </c>
      <c r="BR6" s="41" t="s">
        <v>254</v>
      </c>
      <c r="BS6" s="42"/>
      <c r="BT6" s="42"/>
      <c r="BU6" s="41" t="s">
        <v>416</v>
      </c>
      <c r="BV6" s="42"/>
      <c r="BW6" s="42"/>
      <c r="BX6" s="42"/>
      <c r="BY6" s="42"/>
      <c r="BZ6" s="42"/>
      <c r="CA6" s="42"/>
      <c r="CB6" s="46"/>
      <c r="CC6" s="42"/>
      <c r="CD6" s="42"/>
      <c r="CE6" s="42"/>
      <c r="CF6" s="42"/>
      <c r="CG6" s="47"/>
      <c r="CH6" s="42"/>
      <c r="CI6" s="42"/>
      <c r="CJ6" s="42"/>
      <c r="CK6" s="41"/>
      <c r="CL6" s="44"/>
      <c r="CM6" s="44"/>
      <c r="CN6" s="41"/>
      <c r="CO6" s="41"/>
      <c r="CP6" s="41"/>
      <c r="CQ6" s="44"/>
      <c r="CR6" s="46"/>
      <c r="CS6" s="42"/>
      <c r="CT6" s="44"/>
      <c r="CU6" s="44"/>
      <c r="CV6" s="44"/>
      <c r="CW6" s="44"/>
      <c r="CX6" s="44"/>
      <c r="CY6" s="41" t="s">
        <v>424</v>
      </c>
      <c r="CZ6" s="41" t="s">
        <v>587</v>
      </c>
      <c r="DA6" s="42"/>
      <c r="DB6" s="42"/>
      <c r="DC6" s="45"/>
      <c r="DD6" s="47"/>
      <c r="DE6" s="42"/>
      <c r="DF6" s="42"/>
      <c r="DG6" s="42"/>
      <c r="DH6" s="41"/>
      <c r="DI6" s="42"/>
      <c r="DJ6" s="41"/>
      <c r="DK6" s="42"/>
      <c r="DL6" s="42"/>
      <c r="DM6" s="42">
        <v>1</v>
      </c>
      <c r="DN6" s="42"/>
      <c r="DO6" s="44"/>
      <c r="DP6" s="41" t="s">
        <v>333</v>
      </c>
      <c r="DQ6" s="41" t="s">
        <v>588</v>
      </c>
      <c r="DR6" s="41" t="s">
        <v>589</v>
      </c>
      <c r="DS6" s="41" t="s">
        <v>588</v>
      </c>
      <c r="DT6" s="41" t="s">
        <v>588</v>
      </c>
      <c r="DU6" s="41" t="s">
        <v>590</v>
      </c>
      <c r="DV6" s="41" t="s">
        <v>588</v>
      </c>
      <c r="DW6" s="41" t="s">
        <v>588</v>
      </c>
      <c r="DX6" s="41" t="s">
        <v>588</v>
      </c>
      <c r="DY6" s="41" t="s">
        <v>588</v>
      </c>
      <c r="DZ6" s="41" t="s">
        <v>419</v>
      </c>
      <c r="EA6" s="41" t="s">
        <v>590</v>
      </c>
      <c r="EB6" s="41" t="s">
        <v>588</v>
      </c>
      <c r="EC6" s="41" t="s">
        <v>588</v>
      </c>
      <c r="ED6" s="41" t="s">
        <v>420</v>
      </c>
      <c r="EE6" s="41" t="s">
        <v>591</v>
      </c>
      <c r="EF6" s="42"/>
      <c r="EG6" s="42"/>
      <c r="EH6" s="42"/>
      <c r="EI6" s="42"/>
      <c r="EJ6" s="42"/>
      <c r="EK6" s="42"/>
      <c r="EL6" s="41" t="s">
        <v>334</v>
      </c>
      <c r="EM6" s="42"/>
      <c r="EN6" s="42"/>
      <c r="EO6" s="42"/>
      <c r="EP6" s="42"/>
      <c r="EQ6" s="42"/>
      <c r="ER6" s="42"/>
      <c r="ES6" s="47">
        <v>20000</v>
      </c>
      <c r="ET6" s="42"/>
      <c r="EU6" s="42"/>
      <c r="EV6" s="41" t="s">
        <v>334</v>
      </c>
      <c r="EW6" s="47">
        <v>20000</v>
      </c>
      <c r="EX6" s="41"/>
      <c r="EY6" s="44"/>
      <c r="EZ6" s="44"/>
    </row>
    <row r="7" ht="15.75" customHeight="1">
      <c r="A7" s="8"/>
      <c r="B7" s="46"/>
      <c r="C7" s="41" t="s">
        <v>19</v>
      </c>
      <c r="D7" s="42">
        <v>10</v>
      </c>
      <c r="E7" s="41" t="s">
        <v>117</v>
      </c>
      <c r="F7" s="41" t="s">
        <v>582</v>
      </c>
      <c r="G7" s="42">
        <v>10</v>
      </c>
      <c r="H7" s="41" t="s">
        <v>334</v>
      </c>
      <c r="I7" s="42"/>
      <c r="J7" s="42"/>
      <c r="K7" s="42"/>
      <c r="L7" s="42"/>
      <c r="M7" s="42"/>
      <c r="N7" s="42"/>
      <c r="O7" s="41" t="s">
        <v>19</v>
      </c>
      <c r="P7" s="41"/>
      <c r="Q7" s="47"/>
      <c r="R7" s="41" t="s">
        <v>583</v>
      </c>
      <c r="S7" s="41" t="s">
        <v>428</v>
      </c>
      <c r="T7" s="41" t="s">
        <v>253</v>
      </c>
      <c r="U7" s="41" t="s">
        <v>431</v>
      </c>
      <c r="V7" s="41" t="s">
        <v>435</v>
      </c>
      <c r="W7" s="41" t="s">
        <v>420</v>
      </c>
      <c r="X7" s="42">
        <v>100</v>
      </c>
      <c r="Y7" s="42">
        <v>1</v>
      </c>
      <c r="Z7" s="44"/>
      <c r="AA7" s="44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1" t="s">
        <v>105</v>
      </c>
      <c r="AO7" s="44"/>
      <c r="AP7" s="41" t="s">
        <v>334</v>
      </c>
      <c r="AQ7" s="41" t="s">
        <v>103</v>
      </c>
      <c r="AR7" s="42"/>
      <c r="AS7" s="42"/>
      <c r="AT7" s="41" t="s">
        <v>421</v>
      </c>
      <c r="AU7" s="41" t="s">
        <v>425</v>
      </c>
      <c r="AV7" s="42">
        <v>1</v>
      </c>
      <c r="AW7" s="47"/>
      <c r="AX7" s="42"/>
      <c r="AY7" s="42"/>
      <c r="AZ7" s="42"/>
      <c r="BA7" s="42"/>
      <c r="BB7" s="42"/>
      <c r="BC7" s="42">
        <v>1</v>
      </c>
      <c r="BD7" s="42"/>
      <c r="BE7" s="41" t="s">
        <v>592</v>
      </c>
      <c r="BF7" s="41" t="s">
        <v>586</v>
      </c>
      <c r="BG7" s="41" t="s">
        <v>586</v>
      </c>
      <c r="BH7" s="41" t="s">
        <v>586</v>
      </c>
      <c r="BI7" s="41"/>
      <c r="BJ7" s="42"/>
      <c r="BK7" s="42"/>
      <c r="BL7" s="42"/>
      <c r="BM7" s="42"/>
      <c r="BN7" s="45"/>
      <c r="BO7" s="42"/>
      <c r="BP7" s="42"/>
      <c r="BQ7" s="41" t="s">
        <v>432</v>
      </c>
      <c r="BR7" s="41" t="s">
        <v>254</v>
      </c>
      <c r="BS7" s="42"/>
      <c r="BT7" s="42"/>
      <c r="BU7" s="41" t="s">
        <v>593</v>
      </c>
      <c r="BV7" s="48"/>
      <c r="BW7" s="42"/>
      <c r="BX7" s="42"/>
      <c r="BY7" s="42"/>
      <c r="BZ7" s="42"/>
      <c r="CA7" s="42"/>
      <c r="CB7" s="46"/>
      <c r="CC7" s="42"/>
      <c r="CD7" s="42"/>
      <c r="CE7" s="42"/>
      <c r="CF7" s="42"/>
      <c r="CG7" s="47"/>
      <c r="CH7" s="42"/>
      <c r="CI7" s="42"/>
      <c r="CJ7" s="42"/>
      <c r="CK7" s="41"/>
      <c r="CL7" s="44"/>
      <c r="CM7" s="44"/>
      <c r="CN7" s="44"/>
      <c r="CO7" s="44"/>
      <c r="CP7" s="44"/>
      <c r="CQ7" s="44"/>
      <c r="CR7" s="46"/>
      <c r="CS7" s="42"/>
      <c r="CT7" s="44"/>
      <c r="CU7" s="44"/>
      <c r="CV7" s="44"/>
      <c r="CW7" s="44"/>
      <c r="CX7" s="44"/>
      <c r="CY7" s="41" t="s">
        <v>424</v>
      </c>
      <c r="CZ7" s="41" t="s">
        <v>587</v>
      </c>
      <c r="DA7" s="42"/>
      <c r="DB7" s="42"/>
      <c r="DC7" s="48"/>
      <c r="DD7" s="42"/>
      <c r="DE7" s="42"/>
      <c r="DF7" s="42"/>
      <c r="DG7" s="42"/>
      <c r="DH7" s="41"/>
      <c r="DI7" s="42"/>
      <c r="DJ7" s="41"/>
      <c r="DK7" s="42"/>
      <c r="DL7" s="42"/>
      <c r="DM7" s="42">
        <v>1</v>
      </c>
      <c r="DN7" s="42"/>
      <c r="DO7" s="44"/>
      <c r="DP7" s="41" t="s">
        <v>334</v>
      </c>
      <c r="DQ7" s="41" t="s">
        <v>594</v>
      </c>
      <c r="DR7" s="41" t="s">
        <v>594</v>
      </c>
      <c r="DS7" s="41" t="s">
        <v>594</v>
      </c>
      <c r="DT7" s="41" t="s">
        <v>594</v>
      </c>
      <c r="DU7" s="41" t="s">
        <v>594</v>
      </c>
      <c r="DV7" s="41" t="s">
        <v>594</v>
      </c>
      <c r="DW7" s="41" t="s">
        <v>594</v>
      </c>
      <c r="DX7" s="41" t="s">
        <v>594</v>
      </c>
      <c r="DY7" s="41" t="s">
        <v>594</v>
      </c>
      <c r="DZ7" s="41" t="s">
        <v>419</v>
      </c>
      <c r="EA7" s="41" t="s">
        <v>594</v>
      </c>
      <c r="EB7" s="41" t="s">
        <v>594</v>
      </c>
      <c r="EC7" s="41" t="s">
        <v>594</v>
      </c>
      <c r="ED7" s="41" t="s">
        <v>420</v>
      </c>
      <c r="EE7" s="41" t="s">
        <v>594</v>
      </c>
      <c r="EF7" s="42"/>
      <c r="EG7" s="42"/>
      <c r="EH7" s="42"/>
      <c r="EI7" s="42"/>
      <c r="EJ7" s="42"/>
      <c r="EK7" s="42"/>
      <c r="EL7" s="41" t="s">
        <v>334</v>
      </c>
      <c r="EM7" s="42"/>
      <c r="EN7" s="42"/>
      <c r="EO7" s="42"/>
      <c r="EP7" s="42"/>
      <c r="EQ7" s="42"/>
      <c r="ER7" s="42"/>
      <c r="ES7" s="47">
        <v>20000</v>
      </c>
      <c r="ET7" s="42"/>
      <c r="EU7" s="42"/>
      <c r="EV7" s="41" t="s">
        <v>334</v>
      </c>
      <c r="EW7" s="47">
        <v>20000</v>
      </c>
      <c r="EX7" s="41"/>
      <c r="EY7" s="44"/>
      <c r="EZ7" s="44"/>
    </row>
    <row r="8" ht="15.75" customHeight="1">
      <c r="A8" s="8"/>
      <c r="B8" s="46"/>
      <c r="C8" s="41" t="s">
        <v>20</v>
      </c>
      <c r="D8" s="42">
        <v>10</v>
      </c>
      <c r="E8" s="41" t="s">
        <v>117</v>
      </c>
      <c r="F8" s="41" t="s">
        <v>582</v>
      </c>
      <c r="G8" s="42">
        <v>10</v>
      </c>
      <c r="H8" s="41" t="s">
        <v>334</v>
      </c>
      <c r="I8" s="42"/>
      <c r="J8" s="42"/>
      <c r="K8" s="42"/>
      <c r="L8" s="42"/>
      <c r="M8" s="42"/>
      <c r="N8" s="42"/>
      <c r="O8" s="41" t="s">
        <v>20</v>
      </c>
      <c r="P8" s="41"/>
      <c r="Q8" s="47"/>
      <c r="R8" s="41" t="s">
        <v>583</v>
      </c>
      <c r="S8" s="41" t="s">
        <v>428</v>
      </c>
      <c r="T8" s="41" t="s">
        <v>253</v>
      </c>
      <c r="U8" s="41" t="s">
        <v>431</v>
      </c>
      <c r="V8" s="41" t="s">
        <v>435</v>
      </c>
      <c r="W8" s="41" t="s">
        <v>420</v>
      </c>
      <c r="X8" s="42">
        <v>100</v>
      </c>
      <c r="Y8" s="42">
        <v>1</v>
      </c>
      <c r="Z8" s="44"/>
      <c r="AA8" s="44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1" t="s">
        <v>105</v>
      </c>
      <c r="AO8" s="44"/>
      <c r="AP8" s="41" t="s">
        <v>334</v>
      </c>
      <c r="AQ8" s="41" t="s">
        <v>103</v>
      </c>
      <c r="AR8" s="42"/>
      <c r="AS8" s="42"/>
      <c r="AT8" s="41" t="s">
        <v>421</v>
      </c>
      <c r="AU8" s="41" t="s">
        <v>425</v>
      </c>
      <c r="AV8" s="42">
        <v>1</v>
      </c>
      <c r="AW8" s="47"/>
      <c r="AX8" s="42"/>
      <c r="AY8" s="42"/>
      <c r="AZ8" s="42"/>
      <c r="BA8" s="42"/>
      <c r="BB8" s="42"/>
      <c r="BC8" s="42">
        <v>1</v>
      </c>
      <c r="BD8" s="42"/>
      <c r="BE8" s="41" t="s">
        <v>595</v>
      </c>
      <c r="BF8" s="41" t="s">
        <v>586</v>
      </c>
      <c r="BG8" s="41" t="s">
        <v>586</v>
      </c>
      <c r="BH8" s="41" t="s">
        <v>586</v>
      </c>
      <c r="BI8" s="41"/>
      <c r="BJ8" s="42"/>
      <c r="BK8" s="42"/>
      <c r="BL8" s="42"/>
      <c r="BM8" s="42"/>
      <c r="BN8" s="45"/>
      <c r="BO8" s="42"/>
      <c r="BP8" s="42"/>
      <c r="BQ8" s="41" t="s">
        <v>432</v>
      </c>
      <c r="BR8" s="41" t="s">
        <v>254</v>
      </c>
      <c r="BS8" s="42"/>
      <c r="BT8" s="42"/>
      <c r="BU8" s="41" t="s">
        <v>596</v>
      </c>
      <c r="BV8" s="48"/>
      <c r="BW8" s="42"/>
      <c r="BX8" s="42"/>
      <c r="BY8" s="42"/>
      <c r="BZ8" s="42"/>
      <c r="CA8" s="42"/>
      <c r="CB8" s="46"/>
      <c r="CC8" s="42"/>
      <c r="CD8" s="42"/>
      <c r="CE8" s="42"/>
      <c r="CF8" s="42"/>
      <c r="CG8" s="47"/>
      <c r="CH8" s="42"/>
      <c r="CI8" s="42"/>
      <c r="CJ8" s="42"/>
      <c r="CK8" s="41"/>
      <c r="CL8" s="44"/>
      <c r="CM8" s="44"/>
      <c r="CN8" s="44"/>
      <c r="CO8" s="44"/>
      <c r="CP8" s="44"/>
      <c r="CQ8" s="44"/>
      <c r="CR8" s="46"/>
      <c r="CS8" s="42"/>
      <c r="CT8" s="44"/>
      <c r="CU8" s="44"/>
      <c r="CV8" s="44"/>
      <c r="CW8" s="44"/>
      <c r="CX8" s="44"/>
      <c r="CY8" s="41" t="s">
        <v>424</v>
      </c>
      <c r="CZ8" s="41" t="s">
        <v>587</v>
      </c>
      <c r="DA8" s="42"/>
      <c r="DB8" s="42"/>
      <c r="DC8" s="48"/>
      <c r="DD8" s="42"/>
      <c r="DE8" s="42"/>
      <c r="DF8" s="47"/>
      <c r="DG8" s="42"/>
      <c r="DH8" s="41"/>
      <c r="DI8" s="42"/>
      <c r="DJ8" s="41"/>
      <c r="DK8" s="42"/>
      <c r="DL8" s="42"/>
      <c r="DM8" s="42">
        <v>1</v>
      </c>
      <c r="DN8" s="42"/>
      <c r="DO8" s="44"/>
      <c r="DP8" s="41" t="s">
        <v>333</v>
      </c>
      <c r="DQ8" s="41" t="s">
        <v>594</v>
      </c>
      <c r="DR8" s="41" t="s">
        <v>594</v>
      </c>
      <c r="DS8" s="41" t="s">
        <v>594</v>
      </c>
      <c r="DT8" s="41" t="s">
        <v>594</v>
      </c>
      <c r="DU8" s="41" t="s">
        <v>594</v>
      </c>
      <c r="DV8" s="41" t="s">
        <v>594</v>
      </c>
      <c r="DW8" s="41" t="s">
        <v>594</v>
      </c>
      <c r="DX8" s="41" t="s">
        <v>594</v>
      </c>
      <c r="DY8" s="41" t="s">
        <v>594</v>
      </c>
      <c r="DZ8" s="41" t="s">
        <v>419</v>
      </c>
      <c r="EA8" s="41" t="s">
        <v>594</v>
      </c>
      <c r="EB8" s="41" t="s">
        <v>594</v>
      </c>
      <c r="EC8" s="41" t="s">
        <v>594</v>
      </c>
      <c r="ED8" s="41" t="s">
        <v>420</v>
      </c>
      <c r="EE8" s="41" t="s">
        <v>594</v>
      </c>
      <c r="EF8" s="42"/>
      <c r="EG8" s="42"/>
      <c r="EH8" s="42"/>
      <c r="EI8" s="42"/>
      <c r="EJ8" s="42"/>
      <c r="EK8" s="42"/>
      <c r="EL8" s="41" t="s">
        <v>334</v>
      </c>
      <c r="EM8" s="42"/>
      <c r="EN8" s="42"/>
      <c r="EO8" s="42"/>
      <c r="EP8" s="42"/>
      <c r="EQ8" s="42"/>
      <c r="ER8" s="42"/>
      <c r="ES8" s="47">
        <v>20000</v>
      </c>
      <c r="ET8" s="42"/>
      <c r="EU8" s="42"/>
      <c r="EV8" s="41" t="s">
        <v>334</v>
      </c>
      <c r="EW8" s="47">
        <v>20000</v>
      </c>
      <c r="EX8" s="41"/>
      <c r="EY8" s="44"/>
      <c r="EZ8" s="44"/>
    </row>
    <row r="9" ht="15.75" customHeight="1">
      <c r="A9" s="8"/>
      <c r="B9" s="46"/>
      <c r="C9" s="41" t="s">
        <v>19</v>
      </c>
      <c r="D9" s="42">
        <v>-10</v>
      </c>
      <c r="E9" s="41" t="s">
        <v>117</v>
      </c>
      <c r="F9" s="41" t="s">
        <v>582</v>
      </c>
      <c r="G9" s="42">
        <v>0</v>
      </c>
      <c r="H9" s="41" t="s">
        <v>334</v>
      </c>
      <c r="I9" s="42"/>
      <c r="J9" s="42"/>
      <c r="K9" s="42"/>
      <c r="L9" s="42"/>
      <c r="M9" s="42"/>
      <c r="N9" s="42"/>
      <c r="O9" s="41" t="s">
        <v>19</v>
      </c>
      <c r="P9" s="41"/>
      <c r="Q9" s="42"/>
      <c r="R9" s="41" t="s">
        <v>583</v>
      </c>
      <c r="S9" s="41" t="s">
        <v>428</v>
      </c>
      <c r="T9" s="41" t="s">
        <v>253</v>
      </c>
      <c r="U9" s="41" t="s">
        <v>431</v>
      </c>
      <c r="V9" s="41" t="s">
        <v>435</v>
      </c>
      <c r="W9" s="41" t="s">
        <v>420</v>
      </c>
      <c r="X9" s="42">
        <v>100</v>
      </c>
      <c r="Y9" s="42">
        <v>1</v>
      </c>
      <c r="Z9" s="44"/>
      <c r="AA9" s="44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1" t="s">
        <v>440</v>
      </c>
      <c r="AO9" s="44"/>
      <c r="AP9" s="41" t="s">
        <v>334</v>
      </c>
      <c r="AQ9" s="41" t="s">
        <v>103</v>
      </c>
      <c r="AR9" s="42"/>
      <c r="AS9" s="42"/>
      <c r="AT9" s="44"/>
      <c r="AU9" s="44"/>
      <c r="AV9" s="42">
        <v>1</v>
      </c>
      <c r="AW9" s="42"/>
      <c r="AX9" s="42"/>
      <c r="AY9" s="42"/>
      <c r="AZ9" s="42"/>
      <c r="BA9" s="42"/>
      <c r="BB9" s="42"/>
      <c r="BC9" s="42">
        <v>1</v>
      </c>
      <c r="BD9" s="42"/>
      <c r="BE9" s="41" t="s">
        <v>592</v>
      </c>
      <c r="BF9" s="41" t="s">
        <v>586</v>
      </c>
      <c r="BG9" s="41" t="s">
        <v>586</v>
      </c>
      <c r="BH9" s="41" t="s">
        <v>586</v>
      </c>
      <c r="BI9" s="41"/>
      <c r="BJ9" s="42"/>
      <c r="BK9" s="42"/>
      <c r="BL9" s="42"/>
      <c r="BM9" s="42"/>
      <c r="BN9" s="45"/>
      <c r="BO9" s="42"/>
      <c r="BP9" s="42"/>
      <c r="BQ9" s="41" t="s">
        <v>432</v>
      </c>
      <c r="BR9" s="41" t="s">
        <v>254</v>
      </c>
      <c r="BS9" s="42"/>
      <c r="BT9" s="42"/>
      <c r="BU9" s="41" t="s">
        <v>593</v>
      </c>
      <c r="BV9" s="48"/>
      <c r="BW9" s="42"/>
      <c r="BX9" s="42"/>
      <c r="BY9" s="42"/>
      <c r="BZ9" s="42"/>
      <c r="CA9" s="42"/>
      <c r="CB9" s="46"/>
      <c r="CC9" s="42"/>
      <c r="CD9" s="42"/>
      <c r="CE9" s="42"/>
      <c r="CF9" s="42"/>
      <c r="CG9" s="42"/>
      <c r="CH9" s="42"/>
      <c r="CI9" s="42"/>
      <c r="CJ9" s="42"/>
      <c r="CK9" s="41"/>
      <c r="CL9" s="44"/>
      <c r="CM9" s="44"/>
      <c r="CN9" s="44"/>
      <c r="CO9" s="44"/>
      <c r="CP9" s="44"/>
      <c r="CQ9" s="44"/>
      <c r="CR9" s="46"/>
      <c r="CS9" s="42"/>
      <c r="CT9" s="44"/>
      <c r="CU9" s="44"/>
      <c r="CV9" s="44"/>
      <c r="CW9" s="44"/>
      <c r="CX9" s="44"/>
      <c r="CY9" s="41" t="s">
        <v>424</v>
      </c>
      <c r="CZ9" s="41" t="s">
        <v>587</v>
      </c>
      <c r="DA9" s="42"/>
      <c r="DB9" s="42"/>
      <c r="DC9" s="48"/>
      <c r="DD9" s="42"/>
      <c r="DE9" s="42"/>
      <c r="DF9" s="42"/>
      <c r="DG9" s="42"/>
      <c r="DH9" s="41"/>
      <c r="DI9" s="42"/>
      <c r="DJ9" s="41"/>
      <c r="DK9" s="42"/>
      <c r="DL9" s="42"/>
      <c r="DM9" s="42">
        <v>1</v>
      </c>
      <c r="DN9" s="42"/>
      <c r="DO9" s="44"/>
      <c r="DP9" s="41" t="s">
        <v>334</v>
      </c>
      <c r="DQ9" s="41" t="s">
        <v>594</v>
      </c>
      <c r="DR9" s="41" t="s">
        <v>594</v>
      </c>
      <c r="DS9" s="41" t="s">
        <v>594</v>
      </c>
      <c r="DT9" s="41" t="s">
        <v>594</v>
      </c>
      <c r="DU9" s="41" t="s">
        <v>594</v>
      </c>
      <c r="DV9" s="41" t="s">
        <v>594</v>
      </c>
      <c r="DW9" s="41" t="s">
        <v>594</v>
      </c>
      <c r="DX9" s="41" t="s">
        <v>594</v>
      </c>
      <c r="DY9" s="41" t="s">
        <v>594</v>
      </c>
      <c r="DZ9" s="41" t="s">
        <v>419</v>
      </c>
      <c r="EA9" s="41" t="s">
        <v>594</v>
      </c>
      <c r="EB9" s="41" t="s">
        <v>594</v>
      </c>
      <c r="EC9" s="41" t="s">
        <v>594</v>
      </c>
      <c r="ED9" s="41" t="s">
        <v>420</v>
      </c>
      <c r="EE9" s="41" t="s">
        <v>594</v>
      </c>
      <c r="EF9" s="42"/>
      <c r="EG9" s="42"/>
      <c r="EH9" s="42"/>
      <c r="EI9" s="42"/>
      <c r="EJ9" s="42"/>
      <c r="EK9" s="42"/>
      <c r="EL9" s="41" t="s">
        <v>334</v>
      </c>
      <c r="EM9" s="42"/>
      <c r="EN9" s="42"/>
      <c r="EO9" s="42"/>
      <c r="EP9" s="42"/>
      <c r="EQ9" s="42"/>
      <c r="ER9" s="42"/>
      <c r="ES9" s="47">
        <v>20000</v>
      </c>
      <c r="ET9" s="42"/>
      <c r="EU9" s="42"/>
      <c r="EV9" s="41" t="s">
        <v>334</v>
      </c>
      <c r="EW9" s="47">
        <v>20000</v>
      </c>
      <c r="EX9" s="41"/>
      <c r="EY9" s="44"/>
      <c r="EZ9" s="44"/>
    </row>
    <row r="10" ht="15.75" customHeight="1">
      <c r="A10" s="8"/>
      <c r="B10" s="46"/>
      <c r="C10" s="41" t="s">
        <v>20</v>
      </c>
      <c r="D10" s="42">
        <v>-10</v>
      </c>
      <c r="E10" s="41" t="s">
        <v>117</v>
      </c>
      <c r="F10" s="41" t="s">
        <v>582</v>
      </c>
      <c r="G10" s="42">
        <v>0</v>
      </c>
      <c r="H10" s="41" t="s">
        <v>334</v>
      </c>
      <c r="I10" s="42"/>
      <c r="J10" s="42"/>
      <c r="K10" s="42"/>
      <c r="L10" s="42"/>
      <c r="M10" s="42"/>
      <c r="N10" s="42"/>
      <c r="O10" s="41" t="s">
        <v>20</v>
      </c>
      <c r="P10" s="41"/>
      <c r="Q10" s="42"/>
      <c r="R10" s="41" t="s">
        <v>583</v>
      </c>
      <c r="S10" s="41" t="s">
        <v>428</v>
      </c>
      <c r="T10" s="41" t="s">
        <v>253</v>
      </c>
      <c r="U10" s="41" t="s">
        <v>431</v>
      </c>
      <c r="V10" s="41" t="s">
        <v>435</v>
      </c>
      <c r="W10" s="41" t="s">
        <v>420</v>
      </c>
      <c r="X10" s="42">
        <v>100</v>
      </c>
      <c r="Y10" s="42">
        <v>1</v>
      </c>
      <c r="Z10" s="44"/>
      <c r="AA10" s="4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1" t="s">
        <v>440</v>
      </c>
      <c r="AO10" s="44"/>
      <c r="AP10" s="41" t="s">
        <v>334</v>
      </c>
      <c r="AQ10" s="41" t="s">
        <v>103</v>
      </c>
      <c r="AR10" s="42"/>
      <c r="AS10" s="42"/>
      <c r="AT10" s="44"/>
      <c r="AU10" s="44"/>
      <c r="AV10" s="42">
        <v>1</v>
      </c>
      <c r="AW10" s="42"/>
      <c r="AX10" s="42"/>
      <c r="AY10" s="42"/>
      <c r="AZ10" s="42"/>
      <c r="BA10" s="42"/>
      <c r="BB10" s="42"/>
      <c r="BC10" s="42">
        <v>1</v>
      </c>
      <c r="BD10" s="42"/>
      <c r="BE10" s="41" t="s">
        <v>595</v>
      </c>
      <c r="BF10" s="41" t="s">
        <v>586</v>
      </c>
      <c r="BG10" s="41" t="s">
        <v>586</v>
      </c>
      <c r="BH10" s="41" t="s">
        <v>586</v>
      </c>
      <c r="BI10" s="41"/>
      <c r="BJ10" s="42"/>
      <c r="BK10" s="42"/>
      <c r="BL10" s="42"/>
      <c r="BM10" s="42"/>
      <c r="BN10" s="45"/>
      <c r="BO10" s="42"/>
      <c r="BP10" s="42"/>
      <c r="BQ10" s="41" t="s">
        <v>432</v>
      </c>
      <c r="BR10" s="41" t="s">
        <v>254</v>
      </c>
      <c r="BS10" s="42"/>
      <c r="BT10" s="42"/>
      <c r="BU10" s="41" t="s">
        <v>596</v>
      </c>
      <c r="BV10" s="48"/>
      <c r="BW10" s="42"/>
      <c r="BX10" s="42"/>
      <c r="BY10" s="42"/>
      <c r="BZ10" s="42"/>
      <c r="CA10" s="42"/>
      <c r="CB10" s="46"/>
      <c r="CC10" s="42"/>
      <c r="CD10" s="42"/>
      <c r="CE10" s="42"/>
      <c r="CF10" s="42"/>
      <c r="CG10" s="42"/>
      <c r="CH10" s="42"/>
      <c r="CI10" s="42"/>
      <c r="CJ10" s="42"/>
      <c r="CK10" s="41"/>
      <c r="CL10" s="44"/>
      <c r="CM10" s="44"/>
      <c r="CN10" s="44"/>
      <c r="CO10" s="44"/>
      <c r="CP10" s="44"/>
      <c r="CQ10" s="44"/>
      <c r="CR10" s="46"/>
      <c r="CS10" s="42"/>
      <c r="CT10" s="44"/>
      <c r="CU10" s="44"/>
      <c r="CV10" s="44"/>
      <c r="CW10" s="44"/>
      <c r="CX10" s="44"/>
      <c r="CY10" s="41" t="s">
        <v>424</v>
      </c>
      <c r="CZ10" s="41" t="s">
        <v>587</v>
      </c>
      <c r="DA10" s="42"/>
      <c r="DB10" s="42"/>
      <c r="DC10" s="48"/>
      <c r="DD10" s="42"/>
      <c r="DE10" s="42"/>
      <c r="DF10" s="47"/>
      <c r="DG10" s="42"/>
      <c r="DH10" s="41"/>
      <c r="DI10" s="42"/>
      <c r="DJ10" s="41"/>
      <c r="DK10" s="42"/>
      <c r="DL10" s="42"/>
      <c r="DM10" s="42">
        <v>1</v>
      </c>
      <c r="DN10" s="42"/>
      <c r="DO10" s="44"/>
      <c r="DP10" s="41" t="s">
        <v>333</v>
      </c>
      <c r="DQ10" s="41" t="s">
        <v>594</v>
      </c>
      <c r="DR10" s="41" t="s">
        <v>594</v>
      </c>
      <c r="DS10" s="41" t="s">
        <v>594</v>
      </c>
      <c r="DT10" s="41" t="s">
        <v>594</v>
      </c>
      <c r="DU10" s="41" t="s">
        <v>594</v>
      </c>
      <c r="DV10" s="41" t="s">
        <v>594</v>
      </c>
      <c r="DW10" s="41" t="s">
        <v>594</v>
      </c>
      <c r="DX10" s="41" t="s">
        <v>594</v>
      </c>
      <c r="DY10" s="41" t="s">
        <v>594</v>
      </c>
      <c r="DZ10" s="41" t="s">
        <v>419</v>
      </c>
      <c r="EA10" s="41" t="s">
        <v>594</v>
      </c>
      <c r="EB10" s="41" t="s">
        <v>594</v>
      </c>
      <c r="EC10" s="41" t="s">
        <v>594</v>
      </c>
      <c r="ED10" s="41" t="s">
        <v>420</v>
      </c>
      <c r="EE10" s="41" t="s">
        <v>594</v>
      </c>
      <c r="EF10" s="42"/>
      <c r="EG10" s="42"/>
      <c r="EH10" s="42"/>
      <c r="EI10" s="42"/>
      <c r="EJ10" s="42"/>
      <c r="EK10" s="42"/>
      <c r="EL10" s="41" t="s">
        <v>334</v>
      </c>
      <c r="EM10" s="42"/>
      <c r="EN10" s="42"/>
      <c r="EO10" s="42"/>
      <c r="EP10" s="42"/>
      <c r="EQ10" s="42"/>
      <c r="ER10" s="42"/>
      <c r="ES10" s="47">
        <v>20000</v>
      </c>
      <c r="ET10" s="42"/>
      <c r="EU10" s="42"/>
      <c r="EV10" s="41" t="s">
        <v>334</v>
      </c>
      <c r="EW10" s="47">
        <v>20000</v>
      </c>
      <c r="EX10" s="41"/>
      <c r="EY10" s="44"/>
      <c r="EZ10" s="44"/>
    </row>
    <row r="11" ht="15.75" customHeight="1">
      <c r="A11" s="8"/>
      <c r="B11" s="46"/>
      <c r="C11" s="41" t="s">
        <v>103</v>
      </c>
      <c r="D11" s="47">
        <v>-1000</v>
      </c>
      <c r="E11" s="41" t="s">
        <v>117</v>
      </c>
      <c r="F11" s="41" t="s">
        <v>582</v>
      </c>
      <c r="G11" s="42">
        <v>110</v>
      </c>
      <c r="H11" s="41" t="s">
        <v>333</v>
      </c>
      <c r="I11" s="42"/>
      <c r="J11" s="42"/>
      <c r="K11" s="42"/>
      <c r="L11" s="42"/>
      <c r="M11" s="42"/>
      <c r="N11" s="47"/>
      <c r="O11" s="41" t="s">
        <v>419</v>
      </c>
      <c r="P11" s="41"/>
      <c r="Q11" s="47"/>
      <c r="R11" s="41" t="s">
        <v>583</v>
      </c>
      <c r="S11" s="41" t="s">
        <v>428</v>
      </c>
      <c r="T11" s="41" t="s">
        <v>416</v>
      </c>
      <c r="U11" s="41" t="s">
        <v>431</v>
      </c>
      <c r="V11" s="41" t="s">
        <v>422</v>
      </c>
      <c r="W11" s="41" t="s">
        <v>420</v>
      </c>
      <c r="X11" s="42">
        <v>1</v>
      </c>
      <c r="Y11" s="42">
        <v>1</v>
      </c>
      <c r="Z11" s="44"/>
      <c r="AA11" s="44"/>
      <c r="AB11" s="42"/>
      <c r="AC11" s="42"/>
      <c r="AD11" s="42"/>
      <c r="AE11" s="42"/>
      <c r="AF11" s="47"/>
      <c r="AG11" s="42"/>
      <c r="AH11" s="42"/>
      <c r="AI11" s="42"/>
      <c r="AJ11" s="42"/>
      <c r="AK11" s="47"/>
      <c r="AL11" s="42"/>
      <c r="AM11" s="42"/>
      <c r="AN11" s="41" t="s">
        <v>104</v>
      </c>
      <c r="AO11" s="44"/>
      <c r="AP11" s="41" t="s">
        <v>333</v>
      </c>
      <c r="AQ11" s="41" t="s">
        <v>103</v>
      </c>
      <c r="AR11" s="42"/>
      <c r="AS11" s="42"/>
      <c r="AT11" s="44"/>
      <c r="AU11" s="44"/>
      <c r="AV11" s="42">
        <v>1</v>
      </c>
      <c r="AW11" s="47"/>
      <c r="AX11" s="42"/>
      <c r="AY11" s="42"/>
      <c r="AZ11" s="42"/>
      <c r="BA11" s="42"/>
      <c r="BB11" s="45"/>
      <c r="BC11" s="42">
        <v>1</v>
      </c>
      <c r="BD11" s="47"/>
      <c r="BE11" s="41" t="s">
        <v>416</v>
      </c>
      <c r="BF11" s="41" t="s">
        <v>584</v>
      </c>
      <c r="BG11" s="41" t="s">
        <v>585</v>
      </c>
      <c r="BH11" s="41" t="s">
        <v>586</v>
      </c>
      <c r="BI11" s="42"/>
      <c r="BJ11" s="42"/>
      <c r="BK11" s="42"/>
      <c r="BL11" s="42"/>
      <c r="BM11" s="42"/>
      <c r="BN11" s="45"/>
      <c r="BO11" s="47"/>
      <c r="BP11" s="42"/>
      <c r="BQ11" s="41" t="s">
        <v>432</v>
      </c>
      <c r="BR11" s="41" t="s">
        <v>254</v>
      </c>
      <c r="BS11" s="42"/>
      <c r="BT11" s="42"/>
      <c r="BU11" s="41" t="s">
        <v>416</v>
      </c>
      <c r="BV11" s="42"/>
      <c r="BW11" s="42"/>
      <c r="BX11" s="42"/>
      <c r="BY11" s="42"/>
      <c r="BZ11" s="42"/>
      <c r="CA11" s="42"/>
      <c r="CB11" s="46"/>
      <c r="CC11" s="42"/>
      <c r="CD11" s="47"/>
      <c r="CE11" s="42"/>
      <c r="CF11" s="42"/>
      <c r="CG11" s="47"/>
      <c r="CH11" s="42"/>
      <c r="CI11" s="42"/>
      <c r="CJ11" s="42"/>
      <c r="CK11" s="41"/>
      <c r="CL11" s="44"/>
      <c r="CM11" s="44"/>
      <c r="CN11" s="41"/>
      <c r="CO11" s="41"/>
      <c r="CP11" s="41"/>
      <c r="CQ11" s="44"/>
      <c r="CR11" s="46"/>
      <c r="CS11" s="42"/>
      <c r="CT11" s="44"/>
      <c r="CU11" s="44"/>
      <c r="CV11" s="44"/>
      <c r="CW11" s="44"/>
      <c r="CX11" s="44"/>
      <c r="CY11" s="41" t="s">
        <v>424</v>
      </c>
      <c r="CZ11" s="41" t="s">
        <v>587</v>
      </c>
      <c r="DA11" s="42"/>
      <c r="DB11" s="42"/>
      <c r="DC11" s="45"/>
      <c r="DD11" s="47"/>
      <c r="DE11" s="42"/>
      <c r="DF11" s="42"/>
      <c r="DG11" s="42"/>
      <c r="DH11" s="41"/>
      <c r="DI11" s="42"/>
      <c r="DJ11" s="41"/>
      <c r="DK11" s="42"/>
      <c r="DL11" s="42"/>
      <c r="DM11" s="42">
        <v>1</v>
      </c>
      <c r="DN11" s="42"/>
      <c r="DO11" s="44"/>
      <c r="DP11" s="41" t="s">
        <v>333</v>
      </c>
      <c r="DQ11" s="41" t="s">
        <v>588</v>
      </c>
      <c r="DR11" s="41" t="s">
        <v>589</v>
      </c>
      <c r="DS11" s="41" t="s">
        <v>588</v>
      </c>
      <c r="DT11" s="41" t="s">
        <v>588</v>
      </c>
      <c r="DU11" s="41" t="s">
        <v>590</v>
      </c>
      <c r="DV11" s="41" t="s">
        <v>588</v>
      </c>
      <c r="DW11" s="41" t="s">
        <v>588</v>
      </c>
      <c r="DX11" s="41" t="s">
        <v>588</v>
      </c>
      <c r="DY11" s="41" t="s">
        <v>588</v>
      </c>
      <c r="DZ11" s="41" t="s">
        <v>419</v>
      </c>
      <c r="EA11" s="41" t="s">
        <v>590</v>
      </c>
      <c r="EB11" s="41" t="s">
        <v>588</v>
      </c>
      <c r="EC11" s="41" t="s">
        <v>588</v>
      </c>
      <c r="ED11" s="41" t="s">
        <v>420</v>
      </c>
      <c r="EE11" s="41" t="s">
        <v>591</v>
      </c>
      <c r="EF11" s="42"/>
      <c r="EG11" s="42"/>
      <c r="EH11" s="42"/>
      <c r="EI11" s="42"/>
      <c r="EJ11" s="42"/>
      <c r="EK11" s="42"/>
      <c r="EL11" s="41" t="s">
        <v>334</v>
      </c>
      <c r="EM11" s="42"/>
      <c r="EN11" s="42"/>
      <c r="EO11" s="42"/>
      <c r="EP11" s="42"/>
      <c r="EQ11" s="42"/>
      <c r="ER11" s="42"/>
      <c r="ES11" s="47">
        <v>20000</v>
      </c>
      <c r="ET11" s="42"/>
      <c r="EU11" s="42"/>
      <c r="EV11" s="41" t="s">
        <v>334</v>
      </c>
      <c r="EW11" s="47">
        <v>20000</v>
      </c>
      <c r="EX11" s="41"/>
      <c r="EY11" s="44"/>
      <c r="EZ11" s="44"/>
    </row>
    <row r="12" ht="15.75" customHeight="1">
      <c r="A12" s="8"/>
      <c r="B12" s="46"/>
      <c r="C12" s="41" t="s">
        <v>103</v>
      </c>
      <c r="D12" s="47">
        <v>1000</v>
      </c>
      <c r="E12" s="41" t="s">
        <v>117</v>
      </c>
      <c r="F12" s="41" t="s">
        <v>582</v>
      </c>
      <c r="G12" s="42">
        <v>90</v>
      </c>
      <c r="H12" s="41" t="s">
        <v>333</v>
      </c>
      <c r="I12" s="42"/>
      <c r="J12" s="42"/>
      <c r="K12" s="42"/>
      <c r="L12" s="42"/>
      <c r="M12" s="42"/>
      <c r="N12" s="47"/>
      <c r="O12" s="41" t="s">
        <v>419</v>
      </c>
      <c r="P12" s="41"/>
      <c r="Q12" s="47"/>
      <c r="R12" s="41" t="s">
        <v>583</v>
      </c>
      <c r="S12" s="41" t="s">
        <v>428</v>
      </c>
      <c r="T12" s="41" t="s">
        <v>416</v>
      </c>
      <c r="U12" s="41" t="s">
        <v>431</v>
      </c>
      <c r="V12" s="41" t="s">
        <v>422</v>
      </c>
      <c r="W12" s="41" t="s">
        <v>420</v>
      </c>
      <c r="X12" s="42">
        <v>1</v>
      </c>
      <c r="Y12" s="42">
        <v>1</v>
      </c>
      <c r="Z12" s="44"/>
      <c r="AA12" s="44"/>
      <c r="AB12" s="42"/>
      <c r="AC12" s="42"/>
      <c r="AD12" s="42"/>
      <c r="AE12" s="42"/>
      <c r="AF12" s="47"/>
      <c r="AG12" s="42"/>
      <c r="AH12" s="42"/>
      <c r="AI12" s="42"/>
      <c r="AJ12" s="42"/>
      <c r="AK12" s="47"/>
      <c r="AL12" s="42"/>
      <c r="AM12" s="42"/>
      <c r="AN12" s="41" t="s">
        <v>444</v>
      </c>
      <c r="AO12" s="44"/>
      <c r="AP12" s="41" t="s">
        <v>333</v>
      </c>
      <c r="AQ12" s="41" t="s">
        <v>103</v>
      </c>
      <c r="AR12" s="42"/>
      <c r="AS12" s="42"/>
      <c r="AT12" s="44"/>
      <c r="AU12" s="44"/>
      <c r="AV12" s="42">
        <v>1</v>
      </c>
      <c r="AW12" s="47"/>
      <c r="AX12" s="42"/>
      <c r="AY12" s="42"/>
      <c r="AZ12" s="42"/>
      <c r="BA12" s="42"/>
      <c r="BB12" s="45"/>
      <c r="BC12" s="42">
        <v>1</v>
      </c>
      <c r="BD12" s="47"/>
      <c r="BE12" s="41" t="s">
        <v>416</v>
      </c>
      <c r="BF12" s="41" t="s">
        <v>584</v>
      </c>
      <c r="BG12" s="41" t="s">
        <v>585</v>
      </c>
      <c r="BH12" s="41" t="s">
        <v>586</v>
      </c>
      <c r="BI12" s="42"/>
      <c r="BJ12" s="42"/>
      <c r="BK12" s="42"/>
      <c r="BL12" s="42"/>
      <c r="BM12" s="42"/>
      <c r="BN12" s="45"/>
      <c r="BO12" s="47"/>
      <c r="BP12" s="42"/>
      <c r="BQ12" s="41" t="s">
        <v>432</v>
      </c>
      <c r="BR12" s="41" t="s">
        <v>254</v>
      </c>
      <c r="BS12" s="42"/>
      <c r="BT12" s="42"/>
      <c r="BU12" s="41" t="s">
        <v>416</v>
      </c>
      <c r="BV12" s="42"/>
      <c r="BW12" s="42"/>
      <c r="BX12" s="42"/>
      <c r="BY12" s="42"/>
      <c r="BZ12" s="42"/>
      <c r="CA12" s="42"/>
      <c r="CB12" s="46"/>
      <c r="CC12" s="42"/>
      <c r="CD12" s="47"/>
      <c r="CE12" s="42"/>
      <c r="CF12" s="42"/>
      <c r="CG12" s="47"/>
      <c r="CH12" s="42"/>
      <c r="CI12" s="42"/>
      <c r="CJ12" s="42"/>
      <c r="CK12" s="41"/>
      <c r="CL12" s="44"/>
      <c r="CM12" s="44"/>
      <c r="CN12" s="41"/>
      <c r="CO12" s="41"/>
      <c r="CP12" s="41"/>
      <c r="CQ12" s="44"/>
      <c r="CR12" s="46"/>
      <c r="CS12" s="42"/>
      <c r="CT12" s="44"/>
      <c r="CU12" s="44"/>
      <c r="CV12" s="44"/>
      <c r="CW12" s="44"/>
      <c r="CX12" s="44"/>
      <c r="CY12" s="41" t="s">
        <v>424</v>
      </c>
      <c r="CZ12" s="41" t="s">
        <v>587</v>
      </c>
      <c r="DA12" s="42"/>
      <c r="DB12" s="42"/>
      <c r="DC12" s="45"/>
      <c r="DD12" s="47"/>
      <c r="DE12" s="42"/>
      <c r="DF12" s="42"/>
      <c r="DG12" s="42"/>
      <c r="DH12" s="41"/>
      <c r="DI12" s="42"/>
      <c r="DJ12" s="41"/>
      <c r="DK12" s="42"/>
      <c r="DL12" s="42"/>
      <c r="DM12" s="42">
        <v>1</v>
      </c>
      <c r="DN12" s="42"/>
      <c r="DO12" s="44"/>
      <c r="DP12" s="41" t="s">
        <v>333</v>
      </c>
      <c r="DQ12" s="41" t="s">
        <v>588</v>
      </c>
      <c r="DR12" s="41" t="s">
        <v>589</v>
      </c>
      <c r="DS12" s="41" t="s">
        <v>588</v>
      </c>
      <c r="DT12" s="41" t="s">
        <v>588</v>
      </c>
      <c r="DU12" s="41" t="s">
        <v>590</v>
      </c>
      <c r="DV12" s="41" t="s">
        <v>588</v>
      </c>
      <c r="DW12" s="41" t="s">
        <v>588</v>
      </c>
      <c r="DX12" s="41" t="s">
        <v>588</v>
      </c>
      <c r="DY12" s="41" t="s">
        <v>588</v>
      </c>
      <c r="DZ12" s="41" t="s">
        <v>419</v>
      </c>
      <c r="EA12" s="41" t="s">
        <v>590</v>
      </c>
      <c r="EB12" s="41" t="s">
        <v>588</v>
      </c>
      <c r="EC12" s="41" t="s">
        <v>588</v>
      </c>
      <c r="ED12" s="41" t="s">
        <v>420</v>
      </c>
      <c r="EE12" s="41" t="s">
        <v>591</v>
      </c>
      <c r="EF12" s="42"/>
      <c r="EG12" s="42"/>
      <c r="EH12" s="42"/>
      <c r="EI12" s="42"/>
      <c r="EJ12" s="42"/>
      <c r="EK12" s="42"/>
      <c r="EL12" s="41" t="s">
        <v>334</v>
      </c>
      <c r="EM12" s="42"/>
      <c r="EN12" s="42"/>
      <c r="EO12" s="42"/>
      <c r="EP12" s="42"/>
      <c r="EQ12" s="42"/>
      <c r="ER12" s="42"/>
      <c r="ES12" s="47">
        <v>20000</v>
      </c>
      <c r="ET12" s="42"/>
      <c r="EU12" s="42"/>
      <c r="EV12" s="41" t="s">
        <v>334</v>
      </c>
      <c r="EW12" s="47">
        <v>20000</v>
      </c>
      <c r="EX12" s="41"/>
      <c r="EY12" s="44"/>
      <c r="EZ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7F3BC85-D789-47AB-A11A-7CF9254546D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CDD1DB0-DFF4-4D59-9FEC-FD0559149BD2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8262E824-DC10-46BD-B0A3-BB320570F51A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