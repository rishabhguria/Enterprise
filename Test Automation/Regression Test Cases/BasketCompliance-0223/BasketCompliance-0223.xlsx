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StageOrder" sheetId="5" r:id="rId7"/>
    <sheet state="visible" name="PricingInput" sheetId="6" r:id="rId8"/>
    <sheet state="visible" name="GetForexConversion" sheetId="7" r:id="rId9"/>
    <sheet state="visible" name="UpdateForexConversion" sheetId="8" r:id="rId10"/>
    <sheet state="visible" name="CreateComplianceOrder" sheetId="9" r:id="rId11"/>
    <sheet state="visible" name="VerifyComplianceOrder" sheetId="10" r:id="rId12"/>
    <sheet state="visible" name="SelectTrade" sheetId="11" r:id="rId13"/>
    <sheet state="visible" name="AcknowledgeTrade" sheetId="12" r:id="rId14"/>
    <sheet state="visible" name="ExecuteTrade" sheetId="13" r:id="rId15"/>
    <sheet state="visible" name="SelectTradeOnOrderGrid" sheetId="14" r:id="rId16"/>
    <sheet state="visible" name="ReplaceSubOrder" sheetId="15" r:id="rId17"/>
    <sheet state="visible" name="CreateReplaceLiveOrder" sheetId="16" r:id="rId18"/>
    <sheet state="visible" name="CancelSubOrder" sheetId="17" r:id="rId19"/>
    <sheet state="visible" name="VerifyComplianceOrder1" sheetId="18" r:id="rId20"/>
  </sheets>
  <definedNames/>
  <calcPr/>
</workbook>
</file>

<file path=xl/sharedStrings.xml><?xml version="1.0" encoding="utf-8"?>
<sst xmlns="http://schemas.openxmlformats.org/spreadsheetml/2006/main" count="248" uniqueCount="64">
  <si>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</si>
  <si>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</si>
  <si>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</si>
  <si>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</si>
  <si>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</si>
  <si>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</si>
  <si>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</si>
  <si>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</si>
  <si>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</si>
  <si>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</si>
  <si>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</si>
  <si>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</si>
  <si>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</si>
  <si>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</si>
  <si>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</si>
  <si>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</si>
  <si>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IBM</t>
  </si>
  <si>
    <t>Buy</t>
  </si>
  <si>
    <t>Allocation1</t>
  </si>
  <si>
    <t>Yes</t>
  </si>
  <si>
    <t>O:COP 14O62.50</t>
  </si>
  <si>
    <t>Buy to Open</t>
  </si>
  <si>
    <t>Allocation2</t>
  </si>
  <si>
    <t>ES U2</t>
  </si>
  <si>
    <t>FRU-TC</t>
  </si>
  <si>
    <t>DBLSX</t>
  </si>
  <si>
    <t>CreateStageOrder</t>
  </si>
  <si>
    <t>PricingInput</t>
  </si>
  <si>
    <t>COP</t>
  </si>
  <si>
    <t>DailyValuation</t>
  </si>
  <si>
    <t>GetForexConversion</t>
  </si>
  <si>
    <t>UpdateForexConversion</t>
  </si>
  <si>
    <t>USD</t>
  </si>
  <si>
    <t>CAD</t>
  </si>
  <si>
    <t>CAD AO-FX</t>
  </si>
  <si>
    <t>CreateComplianceOrder</t>
  </si>
  <si>
    <t>Send</t>
  </si>
  <si>
    <t>VerifyComplianceOrder</t>
  </si>
  <si>
    <t>Soft</t>
  </si>
  <si>
    <t>Global_NMV</t>
  </si>
  <si>
    <t>Enter Summary</t>
  </si>
  <si>
    <t>Global</t>
  </si>
  <si>
    <t>percentNetMarketValueGlobal: 523.6196</t>
  </si>
  <si>
    <t>Global_NEG</t>
  </si>
  <si>
    <t>percentNetExposureGlobal: 921.4343</t>
  </si>
  <si>
    <t>Global_GMV</t>
  </si>
  <si>
    <t>percentGrossMarketValueGlobal: 523.6196</t>
  </si>
  <si>
    <t>Global_GEV</t>
  </si>
  <si>
    <t>percentGrossExposureGlobal: 921.4343</t>
  </si>
  <si>
    <t>Simulator</t>
  </si>
  <si>
    <t>SelectTrade</t>
  </si>
  <si>
    <t>AcknowledgeTrade</t>
  </si>
  <si>
    <t>ExecuteTrade</t>
  </si>
  <si>
    <t>Blotter</t>
  </si>
  <si>
    <t>SelectTradeOnOrderGrid</t>
  </si>
  <si>
    <t>New</t>
  </si>
  <si>
    <t>ReplaceSubOrder</t>
  </si>
  <si>
    <t>CreateReplaceLiveOrder</t>
  </si>
  <si>
    <t>CancelSubOrder</t>
  </si>
  <si>
    <t>Replaced</t>
  </si>
  <si>
    <t>percentNetMarketValueGlobal: 845.0538</t>
  </si>
  <si>
    <t>percentNetExposureGlobal: 1,242.8685</t>
  </si>
  <si>
    <t>percentGrossMarketValueGlobal: 845.0538</t>
  </si>
  <si>
    <t>percentGrossExposureGlobal: 1,242.8685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</si>
</sst>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sz val="9.0"/>
      <color rgb="FFFFFFFF"/>
      <name val="&quot;Segoe UI&quot;"/>
    </font>
    <font>
      <sz val="9.0"/>
      <color rgb="FF000000"/>
      <name val="&quot;Segoe UI&quot;"/>
    </font>
    <font>
      <sz val="9.0"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1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535353"/>
      </right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  <border>
      <right style="thin">
        <color rgb="FF535353"/>
      </right>
      <top style="thin">
        <color rgb="FF535353"/>
      </top>
      <bottom style="thin">
        <color rgb="FF535353"/>
      </bottom>
    </border>
    <border>
      <right style="thin">
        <color rgb="FF535353"/>
      </right>
      <bottom style="thin">
        <color rgb="FF535353"/>
      </bottom>
    </border>
    <border>
      <bottom style="thin">
        <color rgb="FF535353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7" fillId="6" fontId="13" numFmtId="0" xfId="0" applyAlignment="1" applyBorder="1" applyFill="1" applyFont="1">
      <alignment vertical="bottom"/>
    </xf>
    <xf borderId="7" fillId="0" fontId="5" numFmtId="0" xfId="0" applyAlignment="1" applyBorder="1" applyFont="1">
      <alignment horizontal="right" vertical="bottom"/>
    </xf>
    <xf borderId="7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horizontal="right" vertical="bottom"/>
    </xf>
    <xf borderId="8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9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9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0" fillId="0" fontId="5" numFmtId="0" xfId="0" applyAlignment="1" applyFont="1">
      <alignment horizontal="right" readingOrder="0" vertical="bottom"/>
    </xf>
    <xf borderId="10" fillId="0" fontId="3" numFmtId="0" xfId="0" applyAlignment="1" applyBorder="1" applyFont="1">
      <alignment vertical="bottom"/>
    </xf>
    <xf borderId="11" fillId="7" fontId="14" numFmtId="0" xfId="0" applyAlignment="1" applyBorder="1" applyFill="1" applyFont="1">
      <alignment horizontal="left" readingOrder="0" shrinkToFit="0" vertical="top" wrapText="0"/>
    </xf>
    <xf borderId="11" fillId="8" fontId="15" numFmtId="0" xfId="0" applyAlignment="1" applyBorder="1" applyFill="1" applyFont="1">
      <alignment horizontal="left" readingOrder="0" shrinkToFit="0" vertical="top" wrapText="0"/>
    </xf>
    <xf borderId="11" fillId="8" fontId="16" numFmtId="0" xfId="0" applyAlignment="1" applyBorder="1" applyFont="1">
      <alignment horizontal="left" readingOrder="0" shrinkToFit="0" vertical="top" wrapText="0"/>
    </xf>
    <xf borderId="12" fillId="8" fontId="3" numFmtId="0" xfId="0" applyAlignment="1" applyBorder="1" applyFont="1">
      <alignment vertical="top"/>
    </xf>
    <xf borderId="0" fillId="0" fontId="5" numFmtId="0" xfId="0" applyAlignment="1" applyFont="1">
      <alignment readingOrder="0" vertical="bottom"/>
    </xf>
    <xf borderId="10" fillId="0" fontId="3" numFmtId="0" xfId="0" applyAlignment="1" applyBorder="1" applyFont="1">
      <alignment vertical="bottom"/>
    </xf>
    <xf borderId="11" fillId="9" fontId="15" numFmtId="0" xfId="0" applyAlignment="1" applyBorder="1" applyFill="1" applyFont="1">
      <alignment horizontal="left" readingOrder="0" shrinkToFit="0" vertical="top" wrapText="0"/>
    </xf>
    <xf borderId="11" fillId="9" fontId="16" numFmtId="0" xfId="0" applyAlignment="1" applyBorder="1" applyFont="1">
      <alignment horizontal="left" readingOrder="0" shrinkToFit="0" vertical="top" wrapText="0"/>
    </xf>
    <xf borderId="13" fillId="9" fontId="3" numFmtId="0" xfId="0" applyAlignment="1" applyBorder="1" applyFont="1">
      <alignment vertical="top"/>
    </xf>
    <xf borderId="14" fillId="8" fontId="3" numFmtId="0" xfId="0" applyAlignment="1" applyBorder="1" applyFont="1">
      <alignment vertical="top"/>
    </xf>
    <xf borderId="7" fillId="0" fontId="3" numFmtId="0" xfId="0" applyAlignment="1" applyBorder="1" applyFont="1">
      <alignment shrinkToFit="0" vertical="bottom" wrapText="0"/>
    </xf>
    <xf borderId="7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11" fillId="8" fontId="15" numFmtId="0" xfId="0" applyAlignment="1" applyBorder="1" applyFont="1">
      <alignment horizontal="left" shrinkToFit="0" vertical="top" wrapText="0"/>
    </xf>
    <xf borderId="11" fillId="9" fontId="15" numFmtId="0" xfId="0" applyAlignment="1" applyBorder="1" applyFont="1">
      <alignment horizontal="left" shrinkToFit="0" vertical="top" wrapText="0"/>
    </xf>
    <xf borderId="0" fillId="0" fontId="5" numFmtId="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1" t="s">
        <v>17</v>
      </c>
      <c r="D6" s="32">
        <v>100.0</v>
      </c>
      <c r="E6" s="31"/>
      <c r="F6" s="31" t="s">
        <v>18</v>
      </c>
      <c r="G6" s="31"/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19</v>
      </c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 t="s">
        <v>16</v>
      </c>
      <c r="C7" s="31" t="s">
        <v>17</v>
      </c>
      <c r="D7" s="33">
        <v>100.0</v>
      </c>
      <c r="E7" s="33">
        <v>0.0</v>
      </c>
      <c r="F7" s="31" t="s">
        <v>18</v>
      </c>
      <c r="G7" s="31"/>
      <c r="H7" s="31"/>
      <c r="I7" s="31"/>
      <c r="J7" s="33">
        <v>10.0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 t="s">
        <v>19</v>
      </c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4"/>
      <c r="B8" s="35" t="s">
        <v>20</v>
      </c>
      <c r="C8" s="31" t="s">
        <v>21</v>
      </c>
      <c r="D8" s="33">
        <v>10.0</v>
      </c>
      <c r="E8" s="31"/>
      <c r="F8" s="31" t="s">
        <v>22</v>
      </c>
      <c r="G8" s="31"/>
      <c r="H8" s="31"/>
      <c r="I8" s="31"/>
      <c r="J8" s="33">
        <v>10.0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 t="s">
        <v>19</v>
      </c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4"/>
      <c r="B9" s="35" t="s">
        <v>20</v>
      </c>
      <c r="C9" s="36" t="s">
        <v>21</v>
      </c>
      <c r="D9" s="37">
        <v>10.0</v>
      </c>
      <c r="E9" s="37">
        <v>0.0</v>
      </c>
      <c r="F9" s="38" t="s">
        <v>22</v>
      </c>
      <c r="G9" s="38"/>
      <c r="H9" s="38"/>
      <c r="I9" s="38"/>
      <c r="J9" s="33">
        <v>10.0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 t="s">
        <v>19</v>
      </c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4"/>
      <c r="B10" s="35" t="s">
        <v>23</v>
      </c>
      <c r="C10" s="35" t="s">
        <v>17</v>
      </c>
      <c r="D10" s="39">
        <v>100.0</v>
      </c>
      <c r="E10" s="35"/>
      <c r="F10" s="31" t="s">
        <v>22</v>
      </c>
      <c r="G10" s="35"/>
      <c r="H10" s="35"/>
      <c r="I10" s="35"/>
      <c r="J10" s="33">
        <v>10.0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 t="s">
        <v>19</v>
      </c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4"/>
      <c r="B11" s="35" t="s">
        <v>23</v>
      </c>
      <c r="C11" s="35" t="s">
        <v>17</v>
      </c>
      <c r="D11" s="39">
        <v>100.0</v>
      </c>
      <c r="E11" s="40">
        <v>0.0</v>
      </c>
      <c r="F11" s="31" t="s">
        <v>22</v>
      </c>
      <c r="G11" s="35"/>
      <c r="H11" s="35"/>
      <c r="I11" s="35"/>
      <c r="J11" s="33">
        <v>10.0</v>
      </c>
      <c r="K11" s="38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 t="s">
        <v>19</v>
      </c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5"/>
      <c r="B12" s="40">
        <v>1.23456789E8</v>
      </c>
      <c r="C12" s="35" t="s">
        <v>17</v>
      </c>
      <c r="D12" s="39">
        <v>100.0</v>
      </c>
      <c r="E12" s="35"/>
      <c r="F12" s="31" t="s">
        <v>22</v>
      </c>
      <c r="G12" s="35"/>
      <c r="H12" s="35"/>
      <c r="I12" s="35"/>
      <c r="J12" s="33">
        <v>10.0</v>
      </c>
      <c r="K12" s="35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 t="s">
        <v>19</v>
      </c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41"/>
      <c r="B13" s="40">
        <v>1.23456789E8</v>
      </c>
      <c r="C13" s="35" t="s">
        <v>17</v>
      </c>
      <c r="D13" s="39">
        <v>100.0</v>
      </c>
      <c r="E13" s="40">
        <v>0.0</v>
      </c>
      <c r="F13" s="38" t="s">
        <v>22</v>
      </c>
      <c r="G13" s="35"/>
      <c r="H13" s="35"/>
      <c r="I13" s="35"/>
      <c r="J13" s="33">
        <v>10.0</v>
      </c>
      <c r="K13" s="35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 t="s">
        <v>19</v>
      </c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4"/>
      <c r="B14" s="35" t="s">
        <v>24</v>
      </c>
      <c r="C14" s="35" t="s">
        <v>17</v>
      </c>
      <c r="D14" s="39">
        <v>100.0</v>
      </c>
      <c r="E14" s="35"/>
      <c r="F14" s="31" t="s">
        <v>18</v>
      </c>
      <c r="G14" s="35"/>
      <c r="H14" s="35"/>
      <c r="I14" s="35"/>
      <c r="J14" s="33">
        <v>10.0</v>
      </c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 t="s">
        <v>19</v>
      </c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4"/>
      <c r="B15" s="35" t="s">
        <v>24</v>
      </c>
      <c r="C15" s="35" t="s">
        <v>17</v>
      </c>
      <c r="D15" s="39">
        <v>100.0</v>
      </c>
      <c r="E15" s="40">
        <v>0.0</v>
      </c>
      <c r="F15" s="31" t="s">
        <v>18</v>
      </c>
      <c r="G15" s="35"/>
      <c r="H15" s="35"/>
      <c r="I15" s="35"/>
      <c r="J15" s="33">
        <v>10.0</v>
      </c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 t="s">
        <v>19</v>
      </c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34"/>
      <c r="B16" s="35" t="s">
        <v>25</v>
      </c>
      <c r="C16" s="35" t="s">
        <v>17</v>
      </c>
      <c r="D16" s="39">
        <v>100.0</v>
      </c>
      <c r="E16" s="35"/>
      <c r="F16" s="31" t="s">
        <v>18</v>
      </c>
      <c r="G16" s="35"/>
      <c r="H16" s="35"/>
      <c r="I16" s="35"/>
      <c r="J16" s="33">
        <v>10.0</v>
      </c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 t="s">
        <v>19</v>
      </c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  <c r="CW16" s="31"/>
      <c r="CX16" s="31"/>
      <c r="CY16" s="31"/>
      <c r="CZ16" s="31"/>
      <c r="DA16" s="31"/>
      <c r="DB16" s="31"/>
      <c r="DC16" s="31"/>
      <c r="DD16" s="31"/>
      <c r="DE16" s="31"/>
      <c r="DF16" s="31"/>
      <c r="DG16" s="31"/>
      <c r="DH16" s="31"/>
      <c r="DI16" s="31"/>
      <c r="DJ16" s="31"/>
      <c r="DK16" s="31"/>
      <c r="DL16" s="31"/>
      <c r="DM16" s="31"/>
      <c r="DN16" s="31"/>
      <c r="DO16" s="31"/>
      <c r="DP16" s="31"/>
      <c r="DQ16" s="31"/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</row>
    <row r="17" ht="15.75" customHeight="1">
      <c r="A17" s="34"/>
      <c r="B17" s="35" t="s">
        <v>25</v>
      </c>
      <c r="C17" s="35" t="s">
        <v>17</v>
      </c>
      <c r="D17" s="39">
        <v>100.0</v>
      </c>
      <c r="E17" s="40">
        <v>0.0</v>
      </c>
      <c r="F17" s="38" t="s">
        <v>18</v>
      </c>
      <c r="G17" s="35"/>
      <c r="H17" s="35"/>
      <c r="I17" s="35"/>
      <c r="J17" s="33">
        <v>10.0</v>
      </c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 t="s">
        <v>19</v>
      </c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/>
      <c r="DA17" s="31"/>
      <c r="DB17" s="31"/>
      <c r="DC17" s="31"/>
      <c r="DD17" s="31"/>
      <c r="DE17" s="31"/>
      <c r="DF17" s="31"/>
      <c r="DG17" s="31"/>
      <c r="DH17" s="31"/>
      <c r="DI17" s="31"/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1" t="s">
        <v>17</v>
      </c>
      <c r="D6" s="32">
        <v>100.0</v>
      </c>
      <c r="E6" s="31"/>
      <c r="F6" s="31" t="s">
        <v>18</v>
      </c>
      <c r="G6" s="31"/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4"/>
      <c r="B7" s="35" t="s">
        <v>20</v>
      </c>
      <c r="C7" s="31" t="s">
        <v>21</v>
      </c>
      <c r="D7" s="33">
        <v>10.0</v>
      </c>
      <c r="E7" s="31"/>
      <c r="F7" s="31" t="s">
        <v>22</v>
      </c>
      <c r="G7" s="31"/>
      <c r="H7" s="31"/>
      <c r="I7" s="31"/>
      <c r="J7" s="33">
        <v>10.0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4"/>
      <c r="B8" s="35" t="s">
        <v>23</v>
      </c>
      <c r="C8" s="35" t="s">
        <v>17</v>
      </c>
      <c r="D8" s="39">
        <v>100.0</v>
      </c>
      <c r="E8" s="35"/>
      <c r="F8" s="31" t="s">
        <v>22</v>
      </c>
      <c r="G8" s="35"/>
      <c r="H8" s="35"/>
      <c r="I8" s="35"/>
      <c r="J8" s="33">
        <v>10.0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5"/>
      <c r="B9" s="40">
        <v>1.23456789E8</v>
      </c>
      <c r="C9" s="35" t="s">
        <v>17</v>
      </c>
      <c r="D9" s="39">
        <v>100.0</v>
      </c>
      <c r="E9" s="35"/>
      <c r="F9" s="31" t="s">
        <v>22</v>
      </c>
      <c r="G9" s="35"/>
      <c r="H9" s="35"/>
      <c r="I9" s="35"/>
      <c r="J9" s="33">
        <v>10.0</v>
      </c>
      <c r="K9" s="35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4"/>
      <c r="B10" s="35" t="s">
        <v>24</v>
      </c>
      <c r="C10" s="35" t="s">
        <v>17</v>
      </c>
      <c r="D10" s="39">
        <v>100.0</v>
      </c>
      <c r="E10" s="35"/>
      <c r="F10" s="31" t="s">
        <v>18</v>
      </c>
      <c r="G10" s="35"/>
      <c r="H10" s="35"/>
      <c r="I10" s="35"/>
      <c r="J10" s="33">
        <v>10.0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4"/>
      <c r="B11" s="35" t="s">
        <v>25</v>
      </c>
      <c r="C11" s="35" t="s">
        <v>17</v>
      </c>
      <c r="D11" s="39">
        <v>100.0</v>
      </c>
      <c r="E11" s="35"/>
      <c r="F11" s="31" t="s">
        <v>18</v>
      </c>
      <c r="G11" s="35"/>
      <c r="H11" s="35"/>
      <c r="I11" s="35"/>
      <c r="J11" s="33">
        <v>10.0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2" t="s">
        <v>16</v>
      </c>
      <c r="C6" s="43">
        <v>20.0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4"/>
      <c r="B7" s="35" t="s">
        <v>24</v>
      </c>
      <c r="C7" s="33">
        <v>20.0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4"/>
      <c r="B8" s="35" t="s">
        <v>25</v>
      </c>
      <c r="C8" s="33">
        <v>20.0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4"/>
      <c r="B9" s="35" t="s">
        <v>20</v>
      </c>
      <c r="C9" s="33">
        <v>20.0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4"/>
      <c r="B10" s="35" t="s">
        <v>23</v>
      </c>
      <c r="C10" s="33">
        <v>20.0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4"/>
      <c r="B11" s="40">
        <v>1.23456789E8</v>
      </c>
      <c r="C11" s="33">
        <v>20.0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44" t="s">
        <v>28</v>
      </c>
      <c r="C12" s="33">
        <v>20.0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5">
        <f t="shared" ref="B6:C6" si="1">today()-1</f>
        <v>45881</v>
      </c>
      <c r="C6" s="46">
        <f t="shared" si="1"/>
        <v>45881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7"/>
      <c r="B6" s="48" t="s">
        <v>32</v>
      </c>
      <c r="C6" s="49" t="s">
        <v>33</v>
      </c>
      <c r="D6" s="50" t="s">
        <v>34</v>
      </c>
      <c r="E6" s="43">
        <v>1.2</v>
      </c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2" t="s">
        <v>20</v>
      </c>
      <c r="C6" s="44" t="s">
        <v>21</v>
      </c>
      <c r="D6" s="52">
        <v>101.0</v>
      </c>
      <c r="E6" s="31"/>
      <c r="F6" s="44" t="s">
        <v>18</v>
      </c>
      <c r="G6" s="31"/>
      <c r="H6" s="31"/>
      <c r="I6" s="31"/>
      <c r="J6" s="33">
        <v>20.0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19</v>
      </c>
      <c r="AR6" s="31"/>
      <c r="AS6" s="31"/>
      <c r="AT6" s="31"/>
      <c r="AU6" s="31"/>
      <c r="AV6" s="31"/>
      <c r="AW6" s="31"/>
      <c r="AX6" s="31" t="s">
        <v>36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3"/>
      <c r="B6" s="54" t="s">
        <v>38</v>
      </c>
      <c r="C6" s="55" t="s">
        <v>39</v>
      </c>
      <c r="D6" s="55" t="s">
        <v>40</v>
      </c>
      <c r="E6" s="55" t="s">
        <v>41</v>
      </c>
      <c r="F6" s="55">
        <v>-10.0</v>
      </c>
      <c r="G6" s="55">
        <v>523.62</v>
      </c>
      <c r="H6" s="56" t="s">
        <v>42</v>
      </c>
      <c r="I6" s="57"/>
      <c r="J6" s="31"/>
      <c r="K6" s="44" t="s">
        <v>19</v>
      </c>
      <c r="L6" s="31"/>
      <c r="M6" s="58" t="s">
        <v>36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59"/>
      <c r="B7" s="54" t="s">
        <v>38</v>
      </c>
      <c r="C7" s="60" t="s">
        <v>43</v>
      </c>
      <c r="D7" s="60" t="s">
        <v>40</v>
      </c>
      <c r="E7" s="60" t="s">
        <v>41</v>
      </c>
      <c r="F7" s="60">
        <v>-10.0</v>
      </c>
      <c r="G7" s="60">
        <v>921.43</v>
      </c>
      <c r="H7" s="61" t="s">
        <v>44</v>
      </c>
      <c r="I7" s="62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59"/>
      <c r="B8" s="54" t="s">
        <v>38</v>
      </c>
      <c r="C8" s="55" t="s">
        <v>45</v>
      </c>
      <c r="D8" s="55" t="s">
        <v>40</v>
      </c>
      <c r="E8" s="55" t="s">
        <v>41</v>
      </c>
      <c r="F8" s="55">
        <v>-10.0</v>
      </c>
      <c r="G8" s="55">
        <v>523.62</v>
      </c>
      <c r="H8" s="56" t="s">
        <v>46</v>
      </c>
      <c r="I8" s="63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59"/>
      <c r="B9" s="54" t="s">
        <v>38</v>
      </c>
      <c r="C9" s="60" t="s">
        <v>47</v>
      </c>
      <c r="D9" s="60" t="s">
        <v>40</v>
      </c>
      <c r="E9" s="60" t="s">
        <v>41</v>
      </c>
      <c r="F9" s="60">
        <v>-10.0</v>
      </c>
      <c r="G9" s="60">
        <v>921.43</v>
      </c>
      <c r="H9" s="61" t="s">
        <v>48</v>
      </c>
      <c r="I9" s="62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12"/>
      <c r="H11" s="12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12"/>
      <c r="H12" s="12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12"/>
      <c r="H13" s="12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12"/>
      <c r="H14" s="12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64" t="s">
        <v>20</v>
      </c>
      <c r="D6" s="30"/>
      <c r="E6" s="31"/>
      <c r="F6" s="31"/>
      <c r="G6" s="52">
        <v>101.0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64" t="s">
        <v>20</v>
      </c>
      <c r="D6" s="30"/>
      <c r="E6" s="31"/>
      <c r="F6" s="31"/>
      <c r="G6" s="52">
        <v>101.0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>
        <v>20.0</v>
      </c>
      <c r="C6" s="33">
        <v>100.0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/>
      <c r="C6" s="31"/>
      <c r="D6" s="65" t="s">
        <v>20</v>
      </c>
      <c r="E6" s="31"/>
      <c r="F6" s="44" t="s">
        <v>21</v>
      </c>
      <c r="G6" s="58" t="s">
        <v>55</v>
      </c>
      <c r="H6" s="52">
        <v>101.0</v>
      </c>
      <c r="I6" s="31"/>
      <c r="J6" s="31"/>
      <c r="K6" s="31"/>
      <c r="L6" s="31"/>
      <c r="M6" s="31"/>
      <c r="N6" s="33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5" t="s">
        <v>20</v>
      </c>
      <c r="AK6" s="44" t="s">
        <v>21</v>
      </c>
      <c r="AL6" s="31"/>
      <c r="AM6" s="66">
        <v>101.0</v>
      </c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IFERROR(__xludf.DUMMYFUNCTION("""COMPUTED_VALUE"""),"TRVAccountName")</f>
        <v>TRVAccountName</v>
      </c>
      <c r="AR5" s="29" t="str">
        <f>IFERROR(__xludf.DUMMYFUNCTION("""COMPUTED_VALUE"""),"TRVTradeQuantity")</f>
        <v>TRVTradeQuantity</v>
      </c>
      <c r="AS5" s="29" t="str">
        <f>IFERROR(__xludf.DUMMYFUNCTION("""COMPUTED_VALUE"""),"TRVCurrentPosition")</f>
        <v>TRVCurrentPosition</v>
      </c>
      <c r="AT5" s="29" t="str">
        <f>IFERROR(__xludf.DUMMYFUNCTION("""COMPUTED_VALUE"""),"TRVNav")</f>
        <v>TRVNav</v>
      </c>
      <c r="AU5" s="29" t="str">
        <f>IFERROR(__xludf.DUMMYFUNCTION("""COMPUTED_VALUE"""),"PendingApprovalPopUp")</f>
        <v>PendingApprovalPopUp</v>
      </c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>
        <v>200.0</v>
      </c>
      <c r="E6" s="31"/>
      <c r="F6" s="31"/>
      <c r="G6" s="31"/>
      <c r="H6" s="31"/>
      <c r="I6" s="31"/>
      <c r="J6" s="67">
        <v>20.0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 t="s">
        <v>19</v>
      </c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IFERROR(__xludf.DUMMYFUNCTION("""COMPUTED_VALUE"""),"CancelOrderPopup(Yes/No)")</f>
        <v>CancelOrderPopup(Yes/No)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52">
        <v>0.0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5" t="s">
        <v>20</v>
      </c>
      <c r="AJ6" s="44" t="s">
        <v>21</v>
      </c>
      <c r="AK6" s="31" t="s">
        <v>59</v>
      </c>
      <c r="AL6" s="68">
        <v>200.0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3"/>
      <c r="B6" s="54" t="s">
        <v>38</v>
      </c>
      <c r="C6" s="55" t="s">
        <v>39</v>
      </c>
      <c r="D6" s="55" t="s">
        <v>40</v>
      </c>
      <c r="E6" s="55" t="s">
        <v>41</v>
      </c>
      <c r="F6" s="55">
        <v>-10.0</v>
      </c>
      <c r="G6" s="56">
        <v>845.05</v>
      </c>
      <c r="H6" s="56" t="s">
        <v>60</v>
      </c>
      <c r="I6" s="69"/>
      <c r="J6" s="31"/>
      <c r="K6" s="44" t="s">
        <v>19</v>
      </c>
      <c r="L6" s="31"/>
      <c r="M6" s="58" t="s">
        <v>36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59"/>
      <c r="B7" s="54" t="s">
        <v>38</v>
      </c>
      <c r="C7" s="55" t="s">
        <v>43</v>
      </c>
      <c r="D7" s="55" t="s">
        <v>40</v>
      </c>
      <c r="E7" s="55" t="s">
        <v>41</v>
      </c>
      <c r="F7" s="55">
        <v>-10.0</v>
      </c>
      <c r="G7" s="55">
        <v>1242.87</v>
      </c>
      <c r="H7" s="56" t="s">
        <v>61</v>
      </c>
      <c r="I7" s="69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59"/>
      <c r="B8" s="54" t="s">
        <v>38</v>
      </c>
      <c r="C8" s="60" t="s">
        <v>45</v>
      </c>
      <c r="D8" s="60" t="s">
        <v>40</v>
      </c>
      <c r="E8" s="60" t="s">
        <v>41</v>
      </c>
      <c r="F8" s="60">
        <v>-10.0</v>
      </c>
      <c r="G8" s="60">
        <v>845.05</v>
      </c>
      <c r="H8" s="61" t="s">
        <v>62</v>
      </c>
      <c r="I8" s="70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59"/>
      <c r="B9" s="54" t="s">
        <v>38</v>
      </c>
      <c r="C9" s="55" t="s">
        <v>47</v>
      </c>
      <c r="D9" s="55" t="s">
        <v>40</v>
      </c>
      <c r="E9" s="55" t="s">
        <v>41</v>
      </c>
      <c r="F9" s="55">
        <v>-10.0</v>
      </c>
      <c r="G9" s="55">
        <v>1242.87</v>
      </c>
      <c r="H9" s="56" t="s">
        <v>63</v>
      </c>
      <c r="I9" s="69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12"/>
      <c r="H11" s="12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12"/>
      <c r="H12" s="71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12"/>
      <c r="H13" s="12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12"/>
      <c r="H14" s="71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VerifyComplianceOrder1!$4:$4</formula1>
    </dataValidation>
  </dataValidations>
  <drawing r:id="rId1"/>
</worksheet>
</file>