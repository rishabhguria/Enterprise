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20" activeTab="21"/>
  </bookViews>
  <sheets>
    <sheet name="_Modules" sheetId="1" r:id="rId1"/>
    <sheet name="_Settings" sheetId="2" r:id="rId2"/>
    <sheet name="_MasterData" sheetId="3" r:id="rId3"/>
    <sheet name="EnableDisableModule" sheetId="4" r:id="rId4"/>
    <sheet name="CreateLiveOrder" sheetId="5" r:id="rId5"/>
    <sheet name="SelectTrade" sheetId="6" r:id="rId6"/>
    <sheet name="AcknowledgeTrade" sheetId="7" r:id="rId7"/>
    <sheet name="SelectTrade2" sheetId="8" r:id="rId8"/>
    <sheet name="AcknowledgeTrade1" sheetId="9" r:id="rId9"/>
    <sheet name="SelectTrade1" sheetId="10" r:id="rId10"/>
    <sheet name="SelectTradeOnOrderGrid" sheetId="11" r:id="rId11"/>
    <sheet name="CancelSubOrder" sheetId="12" r:id="rId12"/>
    <sheet name="SelectTradeOnOrderGrid1" sheetId="13" r:id="rId13"/>
    <sheet name="ReplaceSubOrder" sheetId="14" r:id="rId14"/>
    <sheet name="CreateReplaceOrder" sheetId="15" r:id="rId15"/>
    <sheet name="RejectTrade" sheetId="16" r:id="rId16"/>
    <sheet name="VerifyTaxlotWindow" sheetId="17" r:id="rId17"/>
    <sheet name="VerifyAggAccountSymbolWithNav" sheetId="18" r:id="rId18"/>
    <sheet name="VerifySymbolDivisorWindow" sheetId="19" r:id="rId19"/>
    <sheet name="VerifyRowCalculationBaseWindow" sheetId="20" r:id="rId20"/>
    <sheet name="VerifyOrder" sheetId="21" r:id="rId21"/>
    <sheet name="CheckPortfolioManagement" sheetId="22" r:id="rId22"/>
    <sheet name="EnableDisableModule2" sheetId="23" r:id="rId23"/>
    <sheet name="VerifyWorkingSubs" sheetId="24" r:id="rId24"/>
  </sheets>
  <calcPr calcId="145621"/>
</workbook>
</file>

<file path=xl/calcChain.xml><?xml version="1.0" encoding="utf-8"?>
<calcChain xmlns="http://schemas.openxmlformats.org/spreadsheetml/2006/main">
  <c r="J2" i="24" l="1"/>
  <c r="J2" i="23"/>
  <c r="J2" i="22"/>
  <c r="J2" i="21"/>
  <c r="J2" i="20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N7" i="5"/>
  <c r="N6" i="5"/>
  <c r="J2" i="5"/>
  <c r="J2" i="4"/>
  <c r="BK5" i="22"/>
  <c r="BB5" i="24"/>
  <c r="AT5" i="24"/>
  <c r="AL5" i="24"/>
  <c r="AD5" i="24"/>
  <c r="V5" i="24"/>
  <c r="N5" i="24"/>
  <c r="F5" i="24"/>
  <c r="BB4" i="24"/>
  <c r="AT4" i="24"/>
  <c r="AL4" i="24"/>
  <c r="AD4" i="24"/>
  <c r="V4" i="24"/>
  <c r="N4" i="24"/>
  <c r="F4" i="24"/>
  <c r="A5" i="23"/>
  <c r="I4" i="23"/>
  <c r="EU5" i="22"/>
  <c r="EM5" i="22"/>
  <c r="EE5" i="22"/>
  <c r="DW5" i="22"/>
  <c r="DO5" i="22"/>
  <c r="DG5" i="22"/>
  <c r="CY5" i="22"/>
  <c r="CQ5" i="22"/>
  <c r="CI5" i="22"/>
  <c r="CA5" i="22"/>
  <c r="BS5" i="22"/>
  <c r="BC5" i="22"/>
  <c r="AU5" i="22"/>
  <c r="AM5" i="22"/>
  <c r="AE5" i="22"/>
  <c r="W5" i="22"/>
  <c r="O5" i="22"/>
  <c r="G5" i="22"/>
  <c r="Y4" i="22"/>
  <c r="Q4" i="22"/>
  <c r="I4" i="22"/>
  <c r="BA5" i="24"/>
  <c r="AS5" i="24"/>
  <c r="AK5" i="24"/>
  <c r="AC5" i="24"/>
  <c r="U5" i="24"/>
  <c r="M5" i="24"/>
  <c r="E5" i="24"/>
  <c r="BA4" i="24"/>
  <c r="AS4" i="24"/>
  <c r="AK4" i="24"/>
  <c r="AC4" i="24"/>
  <c r="U4" i="24"/>
  <c r="M4" i="24"/>
  <c r="E4" i="24"/>
  <c r="P4" i="23"/>
  <c r="H4" i="23"/>
  <c r="FB5" i="22"/>
  <c r="ET5" i="22"/>
  <c r="EL5" i="22"/>
  <c r="ED5" i="22"/>
  <c r="DV5" i="22"/>
  <c r="DN5" i="22"/>
  <c r="DF5" i="22"/>
  <c r="CX5" i="22"/>
  <c r="CP5" i="22"/>
  <c r="CH5" i="22"/>
  <c r="BZ5" i="22"/>
  <c r="BR5" i="22"/>
  <c r="BJ5" i="22"/>
  <c r="BB5" i="22"/>
  <c r="AT5" i="22"/>
  <c r="AL5" i="22"/>
  <c r="AD5" i="22"/>
  <c r="V5" i="22"/>
  <c r="N5" i="22"/>
  <c r="F5" i="22"/>
  <c r="X4" i="22"/>
  <c r="P4" i="22"/>
  <c r="H4" i="22"/>
  <c r="BA5" i="21"/>
  <c r="AS5" i="21"/>
  <c r="AK5" i="21"/>
  <c r="AC5" i="21"/>
  <c r="U5" i="21"/>
  <c r="M5" i="21"/>
  <c r="E5" i="21"/>
  <c r="BA4" i="21"/>
  <c r="AS4" i="21"/>
  <c r="AK4" i="21"/>
  <c r="AC4" i="21"/>
  <c r="U4" i="21"/>
  <c r="M4" i="21"/>
  <c r="E4" i="21"/>
  <c r="EE5" i="20"/>
  <c r="DW5" i="20"/>
  <c r="DO5" i="20"/>
  <c r="DG5" i="20"/>
  <c r="CY5" i="20"/>
  <c r="CQ5" i="20"/>
  <c r="CI5" i="20"/>
  <c r="CA5" i="20"/>
  <c r="BS5" i="20"/>
  <c r="BK5" i="20"/>
  <c r="BC5" i="20"/>
  <c r="AU5" i="20"/>
  <c r="AM5" i="20"/>
  <c r="AE5" i="20"/>
  <c r="W5" i="20"/>
  <c r="O5" i="20"/>
  <c r="G5" i="20"/>
  <c r="AJ4" i="20"/>
  <c r="AB4" i="20"/>
  <c r="T4" i="20"/>
  <c r="L4" i="20"/>
  <c r="D4" i="20"/>
  <c r="E5" i="19"/>
  <c r="AH4" i="19"/>
  <c r="Z4" i="19"/>
  <c r="R4" i="19"/>
  <c r="J4" i="19"/>
  <c r="B4" i="19"/>
  <c r="FU5" i="18"/>
  <c r="FM5" i="18"/>
  <c r="FE5" i="18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AD4" i="18"/>
  <c r="V4" i="18"/>
  <c r="N4" i="18"/>
  <c r="F4" i="18"/>
  <c r="X5" i="17"/>
  <c r="P5" i="17"/>
  <c r="H5" i="17"/>
  <c r="AK4" i="17"/>
  <c r="AC4" i="17"/>
  <c r="U4" i="17"/>
  <c r="M4" i="17"/>
  <c r="E4" i="17"/>
  <c r="D5" i="16"/>
  <c r="F4" i="16"/>
  <c r="AM5" i="15"/>
  <c r="AE5" i="15"/>
  <c r="W5" i="15"/>
  <c r="O5" i="15"/>
  <c r="G5" i="15"/>
  <c r="AA4" i="15"/>
  <c r="S4" i="15"/>
  <c r="K4" i="15"/>
  <c r="C4" i="15"/>
  <c r="AZ5" i="24"/>
  <c r="AR5" i="24"/>
  <c r="AJ5" i="24"/>
  <c r="AB5" i="24"/>
  <c r="T5" i="24"/>
  <c r="L5" i="24"/>
  <c r="D5" i="24"/>
  <c r="AZ4" i="24"/>
  <c r="AR4" i="24"/>
  <c r="AJ4" i="24"/>
  <c r="AB4" i="24"/>
  <c r="T4" i="24"/>
  <c r="L4" i="24"/>
  <c r="D4" i="24"/>
  <c r="O4" i="23"/>
  <c r="G4" i="23"/>
  <c r="FA5" i="22"/>
  <c r="ES5" i="22"/>
  <c r="EK5" i="22"/>
  <c r="EC5" i="22"/>
  <c r="DU5" i="22"/>
  <c r="DM5" i="22"/>
  <c r="DE5" i="22"/>
  <c r="CW5" i="22"/>
  <c r="CO5" i="22"/>
  <c r="CG5" i="22"/>
  <c r="BY5" i="22"/>
  <c r="BQ5" i="22"/>
  <c r="BI5" i="22"/>
  <c r="BA5" i="22"/>
  <c r="AS5" i="22"/>
  <c r="AK5" i="22"/>
  <c r="AC5" i="22"/>
  <c r="U5" i="22"/>
  <c r="M5" i="22"/>
  <c r="E5" i="22"/>
  <c r="W4" i="22"/>
  <c r="O4" i="22"/>
  <c r="G4" i="22"/>
  <c r="AZ5" i="21"/>
  <c r="AR5" i="21"/>
  <c r="AJ5" i="21"/>
  <c r="AB5" i="21"/>
  <c r="T5" i="21"/>
  <c r="L5" i="21"/>
  <c r="D5" i="21"/>
  <c r="AZ4" i="21"/>
  <c r="AR4" i="21"/>
  <c r="AJ4" i="21"/>
  <c r="AB4" i="21"/>
  <c r="T4" i="21"/>
  <c r="L4" i="21"/>
  <c r="D4" i="21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AI4" i="20"/>
  <c r="AA4" i="20"/>
  <c r="S4" i="20"/>
  <c r="K4" i="20"/>
  <c r="C4" i="20"/>
  <c r="D5" i="19"/>
  <c r="AG4" i="19"/>
  <c r="Y4" i="19"/>
  <c r="Q4" i="19"/>
  <c r="I4" i="19"/>
  <c r="AY5" i="24"/>
  <c r="AQ5" i="24"/>
  <c r="AI5" i="24"/>
  <c r="AA5" i="24"/>
  <c r="S5" i="24"/>
  <c r="K5" i="24"/>
  <c r="C5" i="24"/>
  <c r="AY4" i="24"/>
  <c r="AQ4" i="24"/>
  <c r="AI4" i="24"/>
  <c r="AA4" i="24"/>
  <c r="S4" i="24"/>
  <c r="K4" i="24"/>
  <c r="C4" i="24"/>
  <c r="N4" i="23"/>
  <c r="F4" i="23"/>
  <c r="EZ5" i="22"/>
  <c r="ER5" i="22"/>
  <c r="EJ5" i="22"/>
  <c r="EB5" i="22"/>
  <c r="DT5" i="22"/>
  <c r="DL5" i="22"/>
  <c r="DD5" i="22"/>
  <c r="CV5" i="22"/>
  <c r="CN5" i="22"/>
  <c r="CF5" i="22"/>
  <c r="BX5" i="22"/>
  <c r="BP5" i="22"/>
  <c r="BH5" i="22"/>
  <c r="AZ5" i="22"/>
  <c r="AR5" i="22"/>
  <c r="AJ5" i="22"/>
  <c r="AB5" i="22"/>
  <c r="T5" i="22"/>
  <c r="L5" i="22"/>
  <c r="D5" i="22"/>
  <c r="V4" i="22"/>
  <c r="N4" i="22"/>
  <c r="F4" i="22"/>
  <c r="AY5" i="21"/>
  <c r="AQ5" i="21"/>
  <c r="AI5" i="21"/>
  <c r="AA5" i="21"/>
  <c r="S5" i="21"/>
  <c r="K5" i="21"/>
  <c r="C5" i="21"/>
  <c r="AY4" i="21"/>
  <c r="AQ4" i="21"/>
  <c r="AI4" i="21"/>
  <c r="AA4" i="21"/>
  <c r="S4" i="21"/>
  <c r="K4" i="21"/>
  <c r="C4" i="21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AH4" i="20"/>
  <c r="Z4" i="20"/>
  <c r="R4" i="20"/>
  <c r="J4" i="20"/>
  <c r="B4" i="20"/>
  <c r="C5" i="19"/>
  <c r="AF4" i="19"/>
  <c r="X4" i="19"/>
  <c r="P4" i="19"/>
  <c r="H4" i="19"/>
  <c r="GA5" i="18"/>
  <c r="FS5" i="18"/>
  <c r="FK5" i="18"/>
  <c r="FC5" i="18"/>
  <c r="EU5" i="18"/>
  <c r="EM5" i="18"/>
  <c r="EE5" i="18"/>
  <c r="DW5" i="18"/>
  <c r="DO5" i="18"/>
  <c r="DG5" i="18"/>
  <c r="CY5" i="18"/>
  <c r="CQ5" i="18"/>
  <c r="CI5" i="18"/>
  <c r="CA5" i="18"/>
  <c r="BS5" i="18"/>
  <c r="BK5" i="18"/>
  <c r="BC5" i="18"/>
  <c r="AU5" i="18"/>
  <c r="AM5" i="18"/>
  <c r="AE5" i="18"/>
  <c r="W5" i="18"/>
  <c r="O5" i="18"/>
  <c r="G5" i="18"/>
  <c r="AJ4" i="18"/>
  <c r="AB4" i="18"/>
  <c r="T4" i="18"/>
  <c r="L4" i="18"/>
  <c r="D4" i="18"/>
  <c r="V5" i="17"/>
  <c r="N5" i="17"/>
  <c r="F5" i="17"/>
  <c r="AI4" i="17"/>
  <c r="AA4" i="17"/>
  <c r="S4" i="17"/>
  <c r="K4" i="17"/>
  <c r="C4" i="17"/>
  <c r="B5" i="16"/>
  <c r="D4" i="16"/>
  <c r="AK5" i="15"/>
  <c r="AC5" i="15"/>
  <c r="U5" i="15"/>
  <c r="M5" i="15"/>
  <c r="E5" i="15"/>
  <c r="Y4" i="15"/>
  <c r="Q4" i="15"/>
  <c r="I4" i="15"/>
  <c r="AX5" i="24"/>
  <c r="AP5" i="24"/>
  <c r="AH5" i="24"/>
  <c r="Z5" i="24"/>
  <c r="R5" i="24"/>
  <c r="J5" i="24"/>
  <c r="B5" i="24"/>
  <c r="AX4" i="24"/>
  <c r="AP4" i="24"/>
  <c r="AH4" i="24"/>
  <c r="Z4" i="24"/>
  <c r="R4" i="24"/>
  <c r="J4" i="24"/>
  <c r="B4" i="24"/>
  <c r="M4" i="23"/>
  <c r="E4" i="23"/>
  <c r="EY5" i="22"/>
  <c r="EQ5" i="22"/>
  <c r="EI5" i="22"/>
  <c r="EA5" i="22"/>
  <c r="DS5" i="22"/>
  <c r="DK5" i="22"/>
  <c r="DC5" i="22"/>
  <c r="CU5" i="22"/>
  <c r="CM5" i="22"/>
  <c r="CE5" i="22"/>
  <c r="BW5" i="22"/>
  <c r="BO5" i="22"/>
  <c r="BG5" i="22"/>
  <c r="AY5" i="22"/>
  <c r="AQ5" i="22"/>
  <c r="AI5" i="22"/>
  <c r="AA5" i="22"/>
  <c r="S5" i="22"/>
  <c r="K5" i="22"/>
  <c r="C5" i="22"/>
  <c r="U4" i="22"/>
  <c r="M4" i="22"/>
  <c r="E4" i="22"/>
  <c r="AX5" i="21"/>
  <c r="AP5" i="21"/>
  <c r="AH5" i="21"/>
  <c r="Z5" i="21"/>
  <c r="R5" i="21"/>
  <c r="J5" i="21"/>
  <c r="B5" i="21"/>
  <c r="AX4" i="21"/>
  <c r="AP4" i="21"/>
  <c r="AH4" i="21"/>
  <c r="Z4" i="21"/>
  <c r="R4" i="21"/>
  <c r="J4" i="21"/>
  <c r="B4" i="21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AG4" i="20"/>
  <c r="Y4" i="20"/>
  <c r="Q4" i="20"/>
  <c r="I4" i="20"/>
  <c r="B5" i="19"/>
  <c r="AE4" i="19"/>
  <c r="W4" i="19"/>
  <c r="O4" i="19"/>
  <c r="G4" i="19"/>
  <c r="FZ5" i="18"/>
  <c r="FR5" i="18"/>
  <c r="FJ5" i="18"/>
  <c r="FB5" i="18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W5" i="24"/>
  <c r="AO5" i="24"/>
  <c r="AG5" i="24"/>
  <c r="Y5" i="24"/>
  <c r="Q5" i="24"/>
  <c r="I5" i="24"/>
  <c r="A5" i="24"/>
  <c r="AW4" i="24"/>
  <c r="AO4" i="24"/>
  <c r="AG4" i="24"/>
  <c r="Y4" i="24"/>
  <c r="Q4" i="24"/>
  <c r="I4" i="24"/>
  <c r="L4" i="23"/>
  <c r="AV5" i="24"/>
  <c r="AN5" i="24"/>
  <c r="AF5" i="24"/>
  <c r="X5" i="24"/>
  <c r="P5" i="24"/>
  <c r="H5" i="24"/>
  <c r="BD4" i="24"/>
  <c r="AV4" i="24"/>
  <c r="AN4" i="24"/>
  <c r="AF4" i="24"/>
  <c r="X4" i="24"/>
  <c r="P4" i="24"/>
  <c r="H4" i="24"/>
  <c r="C5" i="23"/>
  <c r="K4" i="23"/>
  <c r="C4" i="23"/>
  <c r="EW5" i="22"/>
  <c r="EO5" i="22"/>
  <c r="EG5" i="22"/>
  <c r="DY5" i="22"/>
  <c r="DQ5" i="22"/>
  <c r="DI5" i="22"/>
  <c r="DA5" i="22"/>
  <c r="CS5" i="22"/>
  <c r="CK5" i="22"/>
  <c r="CC5" i="22"/>
  <c r="BU5" i="22"/>
  <c r="BM5" i="22"/>
  <c r="BE5" i="22"/>
  <c r="AW5" i="22"/>
  <c r="AO5" i="22"/>
  <c r="AG5" i="22"/>
  <c r="Y5" i="22"/>
  <c r="Q5" i="22"/>
  <c r="I5" i="22"/>
  <c r="A5" i="22"/>
  <c r="S4" i="22"/>
  <c r="K4" i="22"/>
  <c r="C4" i="22"/>
  <c r="AV5" i="21"/>
  <c r="AN5" i="21"/>
  <c r="AF5" i="21"/>
  <c r="X5" i="21"/>
  <c r="P5" i="21"/>
  <c r="H5" i="21"/>
  <c r="BD4" i="21"/>
  <c r="AV4" i="21"/>
  <c r="AN4" i="21"/>
  <c r="AF4" i="21"/>
  <c r="X4" i="21"/>
  <c r="P4" i="21"/>
  <c r="H4" i="21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AE4" i="20"/>
  <c r="W4" i="20"/>
  <c r="O4" i="20"/>
  <c r="G4" i="20"/>
  <c r="H5" i="19"/>
  <c r="AK4" i="19"/>
  <c r="AC4" i="19"/>
  <c r="U4" i="19"/>
  <c r="M4" i="19"/>
  <c r="E4" i="19"/>
  <c r="FX5" i="18"/>
  <c r="FP5" i="18"/>
  <c r="FH5" i="18"/>
  <c r="EZ5" i="18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AG4" i="18"/>
  <c r="Y4" i="18"/>
  <c r="Q4" i="18"/>
  <c r="AU5" i="24"/>
  <c r="AM5" i="24"/>
  <c r="AE5" i="24"/>
  <c r="W5" i="24"/>
  <c r="O5" i="24"/>
  <c r="G5" i="24"/>
  <c r="BC4" i="24"/>
  <c r="AU4" i="24"/>
  <c r="AM4" i="24"/>
  <c r="AE4" i="24"/>
  <c r="W4" i="24"/>
  <c r="O4" i="24"/>
  <c r="G4" i="24"/>
  <c r="B5" i="23"/>
  <c r="J4" i="23"/>
  <c r="B4" i="23"/>
  <c r="EV5" i="22"/>
  <c r="EN5" i="22"/>
  <c r="EF5" i="22"/>
  <c r="DX5" i="22"/>
  <c r="DP5" i="22"/>
  <c r="DH5" i="22"/>
  <c r="CZ5" i="22"/>
  <c r="CR5" i="22"/>
  <c r="CJ5" i="22"/>
  <c r="CB5" i="22"/>
  <c r="BT5" i="22"/>
  <c r="BL5" i="22"/>
  <c r="BD5" i="22"/>
  <c r="AV5" i="22"/>
  <c r="AN5" i="22"/>
  <c r="AF5" i="22"/>
  <c r="X5" i="22"/>
  <c r="P5" i="22"/>
  <c r="H5" i="22"/>
  <c r="Z4" i="22"/>
  <c r="R4" i="22"/>
  <c r="J4" i="22"/>
  <c r="B4" i="22"/>
  <c r="AU5" i="21"/>
  <c r="AM5" i="21"/>
  <c r="AE5" i="21"/>
  <c r="W5" i="21"/>
  <c r="O5" i="21"/>
  <c r="G5" i="21"/>
  <c r="BC4" i="21"/>
  <c r="AU4" i="21"/>
  <c r="AM4" i="21"/>
  <c r="AE4" i="21"/>
  <c r="W4" i="21"/>
  <c r="O4" i="21"/>
  <c r="G4" i="21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AD4" i="20"/>
  <c r="V4" i="20"/>
  <c r="N4" i="20"/>
  <c r="F4" i="20"/>
  <c r="G5" i="19"/>
  <c r="AJ4" i="19"/>
  <c r="AB4" i="19"/>
  <c r="T4" i="19"/>
  <c r="L4" i="19"/>
  <c r="D4" i="19"/>
  <c r="FW5" i="18"/>
  <c r="FO5" i="18"/>
  <c r="FG5" i="18"/>
  <c r="EY5" i="18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AF4" i="18"/>
  <c r="X4" i="18"/>
  <c r="P4" i="18"/>
  <c r="H4" i="18"/>
  <c r="Z5" i="17"/>
  <c r="R5" i="17"/>
  <c r="J5" i="17"/>
  <c r="B5" i="17"/>
  <c r="AE4" i="17"/>
  <c r="W4" i="17"/>
  <c r="O4" i="17"/>
  <c r="D4" i="23"/>
  <c r="DB5" i="22"/>
  <c r="AP5" i="22"/>
  <c r="D4" i="22"/>
  <c r="Y5" i="21"/>
  <c r="AW4" i="21"/>
  <c r="Q4" i="21"/>
  <c r="DS5" i="20"/>
  <c r="CM5" i="20"/>
  <c r="BG5" i="20"/>
  <c r="AA5" i="20"/>
  <c r="AF4" i="20"/>
  <c r="S4" i="19"/>
  <c r="FT5" i="18"/>
  <c r="EX5" i="18"/>
  <c r="EC5" i="18"/>
  <c r="DH5" i="18"/>
  <c r="CL5" i="18"/>
  <c r="BQ5" i="18"/>
  <c r="AV5" i="18"/>
  <c r="AD5" i="18"/>
  <c r="N5" i="18"/>
  <c r="AI4" i="18"/>
  <c r="S4" i="18"/>
  <c r="E4" i="18"/>
  <c r="S5" i="17"/>
  <c r="E5" i="17"/>
  <c r="AD4" i="17"/>
  <c r="Q4" i="17"/>
  <c r="F4" i="17"/>
  <c r="A5" i="16"/>
  <c r="AF5" i="15"/>
  <c r="T5" i="15"/>
  <c r="J5" i="15"/>
  <c r="AB4" i="15"/>
  <c r="P4" i="15"/>
  <c r="F4" i="15"/>
  <c r="AW5" i="14"/>
  <c r="AO5" i="14"/>
  <c r="AG5" i="14"/>
  <c r="Y5" i="14"/>
  <c r="Q5" i="14"/>
  <c r="I5" i="14"/>
  <c r="A5" i="14"/>
  <c r="AW4" i="14"/>
  <c r="AO4" i="14"/>
  <c r="AG4" i="14"/>
  <c r="Y4" i="14"/>
  <c r="Q4" i="14"/>
  <c r="I4" i="14"/>
  <c r="AS5" i="13"/>
  <c r="AK5" i="13"/>
  <c r="AC5" i="13"/>
  <c r="U5" i="13"/>
  <c r="M5" i="13"/>
  <c r="E5" i="13"/>
  <c r="BA4" i="13"/>
  <c r="AS4" i="13"/>
  <c r="AK4" i="13"/>
  <c r="AC4" i="13"/>
  <c r="U4" i="13"/>
  <c r="M4" i="13"/>
  <c r="E4" i="13"/>
  <c r="AX5" i="12"/>
  <c r="AP5" i="12"/>
  <c r="AH5" i="12"/>
  <c r="Z5" i="12"/>
  <c r="R5" i="12"/>
  <c r="J5" i="12"/>
  <c r="B5" i="12"/>
  <c r="AX4" i="12"/>
  <c r="AP4" i="12"/>
  <c r="AH4" i="12"/>
  <c r="Z4" i="12"/>
  <c r="R4" i="12"/>
  <c r="J4" i="12"/>
  <c r="B4" i="12"/>
  <c r="AT5" i="11"/>
  <c r="AL5" i="11"/>
  <c r="AD5" i="11"/>
  <c r="V5" i="11"/>
  <c r="N5" i="11"/>
  <c r="F5" i="11"/>
  <c r="BB4" i="11"/>
  <c r="AT4" i="11"/>
  <c r="AL4" i="11"/>
  <c r="AD4" i="11"/>
  <c r="V4" i="11"/>
  <c r="N4" i="11"/>
  <c r="F4" i="11"/>
  <c r="E5" i="10"/>
  <c r="G4" i="10"/>
  <c r="F5" i="9"/>
  <c r="H4" i="9"/>
  <c r="G5" i="8"/>
  <c r="I4" i="8"/>
  <c r="J4" i="7"/>
  <c r="B4" i="7"/>
  <c r="A5" i="6"/>
  <c r="C4" i="6"/>
  <c r="AL5" i="5"/>
  <c r="AD5" i="5"/>
  <c r="V5" i="5"/>
  <c r="N5" i="5"/>
  <c r="F5" i="5"/>
  <c r="Z4" i="5"/>
  <c r="R4" i="5"/>
  <c r="J4" i="5"/>
  <c r="B4" i="5"/>
  <c r="M4" i="4"/>
  <c r="E4" i="4"/>
  <c r="A512" i="1"/>
  <c r="B509" i="1"/>
  <c r="C506" i="1"/>
  <c r="A504" i="1"/>
  <c r="B501" i="1"/>
  <c r="C498" i="1"/>
  <c r="A496" i="1"/>
  <c r="B493" i="1"/>
  <c r="C490" i="1"/>
  <c r="A488" i="1"/>
  <c r="B485" i="1"/>
  <c r="C482" i="1"/>
  <c r="CT5" i="22"/>
  <c r="AH5" i="22"/>
  <c r="V5" i="21"/>
  <c r="AT4" i="21"/>
  <c r="N4" i="21"/>
  <c r="DP5" i="20"/>
  <c r="CJ5" i="20"/>
  <c r="BD5" i="20"/>
  <c r="X5" i="20"/>
  <c r="AC4" i="20"/>
  <c r="I5" i="19"/>
  <c r="N4" i="19"/>
  <c r="FQ5" i="18"/>
  <c r="EV5" i="18"/>
  <c r="DZ5" i="18"/>
  <c r="DE5" i="18"/>
  <c r="CJ5" i="18"/>
  <c r="BN5" i="18"/>
  <c r="AS5" i="18"/>
  <c r="AC5" i="18"/>
  <c r="M5" i="18"/>
  <c r="AH4" i="18"/>
  <c r="R4" i="18"/>
  <c r="C4" i="18"/>
  <c r="Q5" i="17"/>
  <c r="D5" i="17"/>
  <c r="AB4" i="17"/>
  <c r="P4" i="17"/>
  <c r="D4" i="17"/>
  <c r="J4" i="16"/>
  <c r="AO5" i="15"/>
  <c r="AD5" i="15"/>
  <c r="S5" i="15"/>
  <c r="I5" i="15"/>
  <c r="Z4" i="15"/>
  <c r="O4" i="15"/>
  <c r="E4" i="15"/>
  <c r="AV5" i="14"/>
  <c r="AN5" i="14"/>
  <c r="AF5" i="14"/>
  <c r="X5" i="14"/>
  <c r="P5" i="14"/>
  <c r="H5" i="14"/>
  <c r="BD4" i="14"/>
  <c r="AV4" i="14"/>
  <c r="AN4" i="14"/>
  <c r="AF4" i="14"/>
  <c r="X4" i="14"/>
  <c r="P4" i="14"/>
  <c r="H4" i="14"/>
  <c r="AZ5" i="13"/>
  <c r="AR5" i="13"/>
  <c r="AJ5" i="13"/>
  <c r="AB5" i="13"/>
  <c r="T5" i="13"/>
  <c r="L5" i="13"/>
  <c r="D5" i="13"/>
  <c r="AZ4" i="13"/>
  <c r="AR4" i="13"/>
  <c r="AJ4" i="13"/>
  <c r="AB4" i="13"/>
  <c r="T4" i="13"/>
  <c r="L4" i="13"/>
  <c r="D4" i="13"/>
  <c r="AW5" i="12"/>
  <c r="AO5" i="12"/>
  <c r="AG5" i="12"/>
  <c r="Y5" i="12"/>
  <c r="Q5" i="12"/>
  <c r="I5" i="12"/>
  <c r="A5" i="12"/>
  <c r="AW4" i="12"/>
  <c r="AO4" i="12"/>
  <c r="AG4" i="12"/>
  <c r="Y4" i="12"/>
  <c r="Q4" i="12"/>
  <c r="I4" i="12"/>
  <c r="AS5" i="11"/>
  <c r="AK5" i="11"/>
  <c r="AC5" i="11"/>
  <c r="U5" i="11"/>
  <c r="M5" i="11"/>
  <c r="E5" i="11"/>
  <c r="BA4" i="11"/>
  <c r="AS4" i="11"/>
  <c r="AK4" i="11"/>
  <c r="AC4" i="11"/>
  <c r="U4" i="11"/>
  <c r="M4" i="11"/>
  <c r="E4" i="11"/>
  <c r="D5" i="10"/>
  <c r="F4" i="10"/>
  <c r="E5" i="9"/>
  <c r="G4" i="9"/>
  <c r="F5" i="8"/>
  <c r="H4" i="8"/>
  <c r="G5" i="7"/>
  <c r="I4" i="7"/>
  <c r="J4" i="6"/>
  <c r="B4" i="6"/>
  <c r="AK5" i="5"/>
  <c r="AC5" i="5"/>
  <c r="U5" i="5"/>
  <c r="M5" i="5"/>
  <c r="E5" i="5"/>
  <c r="Y4" i="5"/>
  <c r="Q4" i="5"/>
  <c r="I4" i="5"/>
  <c r="EX5" i="22"/>
  <c r="CL5" i="22"/>
  <c r="Z5" i="22"/>
  <c r="AW5" i="21"/>
  <c r="Q5" i="21"/>
  <c r="AO4" i="21"/>
  <c r="I4" i="21"/>
  <c r="DK5" i="20"/>
  <c r="CE5" i="20"/>
  <c r="AY5" i="20"/>
  <c r="S5" i="20"/>
  <c r="X4" i="20"/>
  <c r="F5" i="19"/>
  <c r="K4" i="19"/>
  <c r="FN5" i="18"/>
  <c r="ES5" i="18"/>
  <c r="DX5" i="18"/>
  <c r="DB5" i="18"/>
  <c r="CG5" i="18"/>
  <c r="BL5" i="18"/>
  <c r="AP5" i="18"/>
  <c r="Z5" i="18"/>
  <c r="J5" i="18"/>
  <c r="AE4" i="18"/>
  <c r="O4" i="18"/>
  <c r="B4" i="18"/>
  <c r="O5" i="17"/>
  <c r="C5" i="17"/>
  <c r="Z4" i="17"/>
  <c r="N4" i="17"/>
  <c r="B4" i="17"/>
  <c r="I4" i="16"/>
  <c r="AN5" i="15"/>
  <c r="AB5" i="15"/>
  <c r="R5" i="15"/>
  <c r="H5" i="15"/>
  <c r="X4" i="15"/>
  <c r="N4" i="15"/>
  <c r="D4" i="15"/>
  <c r="AU5" i="14"/>
  <c r="AM5" i="14"/>
  <c r="AE5" i="14"/>
  <c r="W5" i="14"/>
  <c r="O5" i="14"/>
  <c r="G5" i="14"/>
  <c r="BC4" i="14"/>
  <c r="AU4" i="14"/>
  <c r="AM4" i="14"/>
  <c r="AE4" i="14"/>
  <c r="W4" i="14"/>
  <c r="O4" i="14"/>
  <c r="G4" i="14"/>
  <c r="AY5" i="13"/>
  <c r="AQ5" i="13"/>
  <c r="AI5" i="13"/>
  <c r="AA5" i="13"/>
  <c r="S5" i="13"/>
  <c r="K5" i="13"/>
  <c r="C5" i="13"/>
  <c r="AY4" i="13"/>
  <c r="AQ4" i="13"/>
  <c r="AI4" i="13"/>
  <c r="AA4" i="13"/>
  <c r="S4" i="13"/>
  <c r="K4" i="13"/>
  <c r="C4" i="13"/>
  <c r="AV5" i="12"/>
  <c r="AN5" i="12"/>
  <c r="AF5" i="12"/>
  <c r="X5" i="12"/>
  <c r="P5" i="12"/>
  <c r="H5" i="12"/>
  <c r="BD4" i="12"/>
  <c r="AV4" i="12"/>
  <c r="AN4" i="12"/>
  <c r="AF4" i="12"/>
  <c r="X4" i="12"/>
  <c r="P4" i="12"/>
  <c r="H4" i="12"/>
  <c r="AZ5" i="11"/>
  <c r="AR5" i="11"/>
  <c r="AJ5" i="11"/>
  <c r="AB5" i="11"/>
  <c r="T5" i="11"/>
  <c r="L5" i="11"/>
  <c r="D5" i="11"/>
  <c r="AZ4" i="11"/>
  <c r="AR4" i="11"/>
  <c r="AJ4" i="11"/>
  <c r="AB4" i="11"/>
  <c r="T4" i="11"/>
  <c r="L4" i="11"/>
  <c r="D4" i="11"/>
  <c r="C5" i="10"/>
  <c r="E4" i="10"/>
  <c r="D5" i="9"/>
  <c r="F4" i="9"/>
  <c r="E5" i="8"/>
  <c r="G4" i="8"/>
  <c r="F5" i="7"/>
  <c r="H4" i="7"/>
  <c r="G5" i="6"/>
  <c r="I4" i="6"/>
  <c r="AJ5" i="5"/>
  <c r="AB5" i="5"/>
  <c r="T5" i="5"/>
  <c r="L5" i="5"/>
  <c r="D5" i="5"/>
  <c r="X4" i="5"/>
  <c r="P4" i="5"/>
  <c r="H4" i="5"/>
  <c r="C5" i="4"/>
  <c r="K4" i="4"/>
  <c r="C4" i="4"/>
  <c r="B511" i="1"/>
  <c r="C508" i="1"/>
  <c r="A506" i="1"/>
  <c r="B503" i="1"/>
  <c r="C500" i="1"/>
  <c r="A498" i="1"/>
  <c r="B495" i="1"/>
  <c r="C492" i="1"/>
  <c r="A490" i="1"/>
  <c r="B487" i="1"/>
  <c r="C484" i="1"/>
  <c r="A482" i="1"/>
  <c r="B479" i="1"/>
  <c r="EP5" i="22"/>
  <c r="CD5" i="22"/>
  <c r="R5" i="22"/>
  <c r="AT5" i="21"/>
  <c r="N5" i="21"/>
  <c r="AL4" i="21"/>
  <c r="F4" i="21"/>
  <c r="DH5" i="20"/>
  <c r="CB5" i="20"/>
  <c r="AV5" i="20"/>
  <c r="P5" i="20"/>
  <c r="U4" i="20"/>
  <c r="A5" i="19"/>
  <c r="F4" i="19"/>
  <c r="FL5" i="18"/>
  <c r="EP5" i="18"/>
  <c r="DU5" i="18"/>
  <c r="CZ5" i="18"/>
  <c r="CD5" i="18"/>
  <c r="BI5" i="18"/>
  <c r="AN5" i="18"/>
  <c r="X5" i="18"/>
  <c r="H5" i="18"/>
  <c r="AC4" i="18"/>
  <c r="M4" i="18"/>
  <c r="M5" i="17"/>
  <c r="A5" i="17"/>
  <c r="Y4" i="17"/>
  <c r="L4" i="17"/>
  <c r="H4" i="16"/>
  <c r="AL5" i="15"/>
  <c r="AA5" i="15"/>
  <c r="Q5" i="15"/>
  <c r="F5" i="15"/>
  <c r="W4" i="15"/>
  <c r="M4" i="15"/>
  <c r="B4" i="15"/>
  <c r="AT5" i="14"/>
  <c r="AL5" i="14"/>
  <c r="AD5" i="14"/>
  <c r="V5" i="14"/>
  <c r="N5" i="14"/>
  <c r="F5" i="14"/>
  <c r="BB4" i="14"/>
  <c r="AT4" i="14"/>
  <c r="AL4" i="14"/>
  <c r="AD4" i="14"/>
  <c r="V4" i="14"/>
  <c r="N4" i="14"/>
  <c r="F4" i="14"/>
  <c r="AX5" i="13"/>
  <c r="AP5" i="13"/>
  <c r="AH5" i="13"/>
  <c r="Z5" i="13"/>
  <c r="R5" i="13"/>
  <c r="J5" i="13"/>
  <c r="B5" i="13"/>
  <c r="AX4" i="13"/>
  <c r="AP4" i="13"/>
  <c r="AH4" i="13"/>
  <c r="Z4" i="13"/>
  <c r="R4" i="13"/>
  <c r="J4" i="13"/>
  <c r="B4" i="13"/>
  <c r="AU5" i="12"/>
  <c r="AM5" i="12"/>
  <c r="AE5" i="12"/>
  <c r="W5" i="12"/>
  <c r="O5" i="12"/>
  <c r="G5" i="12"/>
  <c r="BC4" i="12"/>
  <c r="AU4" i="12"/>
  <c r="AM4" i="12"/>
  <c r="AE4" i="12"/>
  <c r="W4" i="12"/>
  <c r="O4" i="12"/>
  <c r="G4" i="12"/>
  <c r="AY5" i="11"/>
  <c r="AQ5" i="11"/>
  <c r="AI5" i="11"/>
  <c r="AA5" i="11"/>
  <c r="S5" i="11"/>
  <c r="K5" i="11"/>
  <c r="C5" i="11"/>
  <c r="AY4" i="11"/>
  <c r="AQ4" i="11"/>
  <c r="AI4" i="11"/>
  <c r="AA4" i="11"/>
  <c r="S4" i="11"/>
  <c r="K4" i="11"/>
  <c r="C4" i="11"/>
  <c r="B5" i="10"/>
  <c r="D4" i="10"/>
  <c r="C5" i="9"/>
  <c r="E4" i="9"/>
  <c r="D5" i="8"/>
  <c r="F4" i="8"/>
  <c r="E5" i="7"/>
  <c r="G4" i="7"/>
  <c r="F5" i="6"/>
  <c r="H4" i="6"/>
  <c r="EH5" i="22"/>
  <c r="BV5" i="22"/>
  <c r="J5" i="22"/>
  <c r="AO5" i="21"/>
  <c r="I5" i="21"/>
  <c r="AG4" i="21"/>
  <c r="DC5" i="20"/>
  <c r="BW5" i="20"/>
  <c r="AQ5" i="20"/>
  <c r="K5" i="20"/>
  <c r="P4" i="20"/>
  <c r="AI4" i="19"/>
  <c r="C4" i="19"/>
  <c r="FI5" i="18"/>
  <c r="EN5" i="18"/>
  <c r="DR5" i="18"/>
  <c r="CW5" i="18"/>
  <c r="CB5" i="18"/>
  <c r="BF5" i="18"/>
  <c r="AL5" i="18"/>
  <c r="V5" i="18"/>
  <c r="F5" i="18"/>
  <c r="AA4" i="18"/>
  <c r="K4" i="18"/>
  <c r="Y5" i="17"/>
  <c r="L5" i="17"/>
  <c r="AJ4" i="17"/>
  <c r="X4" i="17"/>
  <c r="J4" i="17"/>
  <c r="G5" i="16"/>
  <c r="G4" i="16"/>
  <c r="AJ5" i="15"/>
  <c r="Z5" i="15"/>
  <c r="P5" i="15"/>
  <c r="D5" i="15"/>
  <c r="V4" i="15"/>
  <c r="L4" i="15"/>
  <c r="AS5" i="14"/>
  <c r="AK5" i="14"/>
  <c r="AC5" i="14"/>
  <c r="U5" i="14"/>
  <c r="M5" i="14"/>
  <c r="E5" i="14"/>
  <c r="BA4" i="14"/>
  <c r="AS4" i="14"/>
  <c r="AK4" i="14"/>
  <c r="AC4" i="14"/>
  <c r="U4" i="14"/>
  <c r="M4" i="14"/>
  <c r="E4" i="14"/>
  <c r="AW5" i="13"/>
  <c r="AO5" i="13"/>
  <c r="AG5" i="13"/>
  <c r="Y5" i="13"/>
  <c r="Q5" i="13"/>
  <c r="I5" i="13"/>
  <c r="A5" i="13"/>
  <c r="AW4" i="13"/>
  <c r="AO4" i="13"/>
  <c r="AG4" i="13"/>
  <c r="Y4" i="13"/>
  <c r="Q4" i="13"/>
  <c r="I4" i="13"/>
  <c r="AT5" i="12"/>
  <c r="AL5" i="12"/>
  <c r="AD5" i="12"/>
  <c r="V5" i="12"/>
  <c r="N5" i="12"/>
  <c r="F5" i="12"/>
  <c r="BB4" i="12"/>
  <c r="AT4" i="12"/>
  <c r="AL4" i="12"/>
  <c r="AD4" i="12"/>
  <c r="V4" i="12"/>
  <c r="N4" i="12"/>
  <c r="F4" i="12"/>
  <c r="AX5" i="11"/>
  <c r="AP5" i="11"/>
  <c r="AH5" i="11"/>
  <c r="Z5" i="11"/>
  <c r="R5" i="11"/>
  <c r="J5" i="11"/>
  <c r="B5" i="11"/>
  <c r="AX4" i="11"/>
  <c r="AP4" i="11"/>
  <c r="AH4" i="11"/>
  <c r="Z4" i="11"/>
  <c r="R4" i="11"/>
  <c r="J4" i="11"/>
  <c r="B4" i="11"/>
  <c r="A5" i="10"/>
  <c r="C4" i="10"/>
  <c r="B5" i="9"/>
  <c r="D4" i="9"/>
  <c r="C5" i="8"/>
  <c r="E4" i="8"/>
  <c r="D5" i="7"/>
  <c r="F4" i="7"/>
  <c r="E5" i="6"/>
  <c r="G4" i="6"/>
  <c r="DZ5" i="22"/>
  <c r="BN5" i="22"/>
  <c r="B5" i="22"/>
  <c r="AL5" i="21"/>
  <c r="F5" i="21"/>
  <c r="AD4" i="21"/>
  <c r="EF5" i="20"/>
  <c r="CZ5" i="20"/>
  <c r="BT5" i="20"/>
  <c r="AN5" i="20"/>
  <c r="H5" i="20"/>
  <c r="M4" i="20"/>
  <c r="AD4" i="19"/>
  <c r="FF5" i="18"/>
  <c r="EK5" i="18"/>
  <c r="DP5" i="18"/>
  <c r="CT5" i="18"/>
  <c r="BY5" i="18"/>
  <c r="BD5" i="18"/>
  <c r="AK5" i="18"/>
  <c r="U5" i="18"/>
  <c r="E5" i="18"/>
  <c r="Z4" i="18"/>
  <c r="J4" i="18"/>
  <c r="W5" i="17"/>
  <c r="K5" i="17"/>
  <c r="AH4" i="17"/>
  <c r="V4" i="17"/>
  <c r="I4" i="17"/>
  <c r="F5" i="16"/>
  <c r="E4" i="16"/>
  <c r="AI5" i="15"/>
  <c r="Y5" i="15"/>
  <c r="N5" i="15"/>
  <c r="C5" i="15"/>
  <c r="U4" i="15"/>
  <c r="J4" i="15"/>
  <c r="AZ5" i="14"/>
  <c r="AR5" i="14"/>
  <c r="AJ5" i="14"/>
  <c r="AB5" i="14"/>
  <c r="T5" i="14"/>
  <c r="L5" i="14"/>
  <c r="D5" i="14"/>
  <c r="AZ4" i="14"/>
  <c r="AR4" i="14"/>
  <c r="AJ4" i="14"/>
  <c r="AB4" i="14"/>
  <c r="T4" i="14"/>
  <c r="L4" i="14"/>
  <c r="D4" i="14"/>
  <c r="AV5" i="13"/>
  <c r="AN5" i="13"/>
  <c r="AF5" i="13"/>
  <c r="X5" i="13"/>
  <c r="P5" i="13"/>
  <c r="H5" i="13"/>
  <c r="BD4" i="13"/>
  <c r="AV4" i="13"/>
  <c r="AN4" i="13"/>
  <c r="AF4" i="13"/>
  <c r="X4" i="13"/>
  <c r="P4" i="13"/>
  <c r="H4" i="13"/>
  <c r="BA5" i="12"/>
  <c r="AS5" i="12"/>
  <c r="AK5" i="12"/>
  <c r="AC5" i="12"/>
  <c r="U5" i="12"/>
  <c r="M5" i="12"/>
  <c r="E5" i="12"/>
  <c r="BA4" i="12"/>
  <c r="AS4" i="12"/>
  <c r="AK4" i="12"/>
  <c r="AC4" i="12"/>
  <c r="U4" i="12"/>
  <c r="M4" i="12"/>
  <c r="E4" i="12"/>
  <c r="AW5" i="11"/>
  <c r="AO5" i="11"/>
  <c r="AG5" i="11"/>
  <c r="Y5" i="11"/>
  <c r="Q5" i="11"/>
  <c r="I5" i="11"/>
  <c r="A5" i="11"/>
  <c r="AW4" i="11"/>
  <c r="AO4" i="11"/>
  <c r="AG4" i="11"/>
  <c r="Y4" i="11"/>
  <c r="Q4" i="11"/>
  <c r="I4" i="11"/>
  <c r="J4" i="10"/>
  <c r="B4" i="10"/>
  <c r="A5" i="9"/>
  <c r="C4" i="9"/>
  <c r="B5" i="8"/>
  <c r="D4" i="8"/>
  <c r="C5" i="7"/>
  <c r="E4" i="7"/>
  <c r="D5" i="6"/>
  <c r="F4" i="6"/>
  <c r="AO5" i="5"/>
  <c r="AG5" i="5"/>
  <c r="Y5" i="5"/>
  <c r="Q5" i="5"/>
  <c r="I5" i="5"/>
  <c r="A5" i="5"/>
  <c r="U4" i="5"/>
  <c r="M4" i="5"/>
  <c r="E4" i="5"/>
  <c r="P4" i="4"/>
  <c r="H4" i="4"/>
  <c r="A4" i="3"/>
  <c r="B510" i="1"/>
  <c r="C507" i="1"/>
  <c r="A505" i="1"/>
  <c r="B502" i="1"/>
  <c r="C499" i="1"/>
  <c r="A497" i="1"/>
  <c r="B494" i="1"/>
  <c r="C491" i="1"/>
  <c r="A489" i="1"/>
  <c r="B486" i="1"/>
  <c r="C483" i="1"/>
  <c r="A481" i="1"/>
  <c r="B478" i="1"/>
  <c r="DR5" i="22"/>
  <c r="BF5" i="22"/>
  <c r="T4" i="22"/>
  <c r="AG5" i="21"/>
  <c r="A5" i="21"/>
  <c r="Y4" i="21"/>
  <c r="EA5" i="20"/>
  <c r="CU5" i="20"/>
  <c r="BO5" i="20"/>
  <c r="AI5" i="20"/>
  <c r="C5" i="20"/>
  <c r="H4" i="20"/>
  <c r="AA4" i="19"/>
  <c r="FY5" i="18"/>
  <c r="FD5" i="18"/>
  <c r="EH5" i="18"/>
  <c r="DM5" i="18"/>
  <c r="CR5" i="18"/>
  <c r="BV5" i="18"/>
  <c r="BA5" i="18"/>
  <c r="AH5" i="18"/>
  <c r="R5" i="18"/>
  <c r="B5" i="18"/>
  <c r="W4" i="18"/>
  <c r="I4" i="18"/>
  <c r="U5" i="17"/>
  <c r="I5" i="17"/>
  <c r="AG4" i="17"/>
  <c r="T4" i="17"/>
  <c r="H4" i="17"/>
  <c r="E5" i="16"/>
  <c r="C4" i="16"/>
  <c r="AH5" i="15"/>
  <c r="X5" i="15"/>
  <c r="L5" i="15"/>
  <c r="B5" i="15"/>
  <c r="T4" i="15"/>
  <c r="H4" i="15"/>
  <c r="AY5" i="14"/>
  <c r="AQ5" i="14"/>
  <c r="AI5" i="14"/>
  <c r="AA5" i="14"/>
  <c r="S5" i="14"/>
  <c r="K5" i="14"/>
  <c r="C5" i="14"/>
  <c r="AY4" i="14"/>
  <c r="AQ4" i="14"/>
  <c r="AI4" i="14"/>
  <c r="AA4" i="14"/>
  <c r="S4" i="14"/>
  <c r="K4" i="14"/>
  <c r="C4" i="14"/>
  <c r="AU5" i="13"/>
  <c r="AM5" i="13"/>
  <c r="AE5" i="13"/>
  <c r="W5" i="13"/>
  <c r="O5" i="13"/>
  <c r="G5" i="13"/>
  <c r="BC4" i="13"/>
  <c r="AU4" i="13"/>
  <c r="AM4" i="13"/>
  <c r="AE4" i="13"/>
  <c r="W4" i="13"/>
  <c r="O4" i="13"/>
  <c r="G4" i="13"/>
  <c r="AZ5" i="12"/>
  <c r="AR5" i="12"/>
  <c r="AJ5" i="12"/>
  <c r="AB5" i="12"/>
  <c r="T5" i="12"/>
  <c r="L5" i="12"/>
  <c r="D5" i="12"/>
  <c r="AZ4" i="12"/>
  <c r="AR4" i="12"/>
  <c r="AJ4" i="12"/>
  <c r="AB4" i="12"/>
  <c r="T4" i="12"/>
  <c r="L4" i="12"/>
  <c r="D4" i="12"/>
  <c r="AV5" i="11"/>
  <c r="AN5" i="11"/>
  <c r="AF5" i="11"/>
  <c r="X5" i="11"/>
  <c r="P5" i="11"/>
  <c r="H5" i="11"/>
  <c r="BD4" i="11"/>
  <c r="AV4" i="11"/>
  <c r="AN4" i="11"/>
  <c r="AF4" i="11"/>
  <c r="X4" i="11"/>
  <c r="P4" i="11"/>
  <c r="H4" i="11"/>
  <c r="G5" i="10"/>
  <c r="I4" i="10"/>
  <c r="J4" i="9"/>
  <c r="B4" i="9"/>
  <c r="A5" i="8"/>
  <c r="C4" i="8"/>
  <c r="B5" i="7"/>
  <c r="D4" i="7"/>
  <c r="C5" i="6"/>
  <c r="E4" i="6"/>
  <c r="AN5" i="5"/>
  <c r="AF5" i="5"/>
  <c r="X5" i="5"/>
  <c r="P5" i="5"/>
  <c r="H5" i="5"/>
  <c r="AB4" i="5"/>
  <c r="T4" i="5"/>
  <c r="L4" i="5"/>
  <c r="D4" i="5"/>
  <c r="O4" i="4"/>
  <c r="G4" i="4"/>
  <c r="C512" i="1"/>
  <c r="A510" i="1"/>
  <c r="B507" i="1"/>
  <c r="C504" i="1"/>
  <c r="A502" i="1"/>
  <c r="B499" i="1"/>
  <c r="C496" i="1"/>
  <c r="A494" i="1"/>
  <c r="B491" i="1"/>
  <c r="C488" i="1"/>
  <c r="DJ5" i="22"/>
  <c r="AX5" i="22"/>
  <c r="L4" i="22"/>
  <c r="AD5" i="21"/>
  <c r="BB4" i="21"/>
  <c r="V4" i="21"/>
  <c r="DX5" i="20"/>
  <c r="CR5" i="20"/>
  <c r="BL5" i="20"/>
  <c r="AF5" i="20"/>
  <c r="AK4" i="20"/>
  <c r="E4" i="20"/>
  <c r="V4" i="19"/>
  <c r="FV5" i="18"/>
  <c r="FA5" i="18"/>
  <c r="EF5" i="18"/>
  <c r="DJ5" i="18"/>
  <c r="CO5" i="18"/>
  <c r="BT5" i="18"/>
  <c r="AX5" i="18"/>
  <c r="AF5" i="18"/>
  <c r="P5" i="18"/>
  <c r="AK4" i="18"/>
  <c r="U4" i="18"/>
  <c r="G4" i="18"/>
  <c r="T5" i="17"/>
  <c r="G5" i="17"/>
  <c r="AF4" i="17"/>
  <c r="R4" i="17"/>
  <c r="G4" i="17"/>
  <c r="C5" i="16"/>
  <c r="B4" i="16"/>
  <c r="AG5" i="15"/>
  <c r="V5" i="15"/>
  <c r="K5" i="15"/>
  <c r="A5" i="15"/>
  <c r="R4" i="15"/>
  <c r="G4" i="15"/>
  <c r="AX5" i="14"/>
  <c r="AP5" i="14"/>
  <c r="AH5" i="14"/>
  <c r="Z5" i="14"/>
  <c r="R5" i="14"/>
  <c r="J5" i="14"/>
  <c r="B5" i="14"/>
  <c r="AX4" i="14"/>
  <c r="AP4" i="14"/>
  <c r="AH4" i="14"/>
  <c r="Z4" i="14"/>
  <c r="R4" i="14"/>
  <c r="J4" i="14"/>
  <c r="B4" i="14"/>
  <c r="AT5" i="13"/>
  <c r="AL5" i="13"/>
  <c r="AD5" i="13"/>
  <c r="V5" i="13"/>
  <c r="N5" i="13"/>
  <c r="F5" i="13"/>
  <c r="BB4" i="13"/>
  <c r="AT4" i="13"/>
  <c r="AL4" i="13"/>
  <c r="AD4" i="13"/>
  <c r="V4" i="13"/>
  <c r="N4" i="13"/>
  <c r="F4" i="13"/>
  <c r="AY5" i="12"/>
  <c r="AQ5" i="12"/>
  <c r="AI5" i="12"/>
  <c r="AA5" i="12"/>
  <c r="S5" i="12"/>
  <c r="K5" i="12"/>
  <c r="C5" i="12"/>
  <c r="AY4" i="12"/>
  <c r="AQ4" i="12"/>
  <c r="AI4" i="12"/>
  <c r="AA4" i="12"/>
  <c r="S4" i="12"/>
  <c r="K4" i="12"/>
  <c r="C4" i="12"/>
  <c r="AU5" i="11"/>
  <c r="AM5" i="11"/>
  <c r="AE5" i="11"/>
  <c r="W5" i="11"/>
  <c r="O5" i="11"/>
  <c r="G5" i="11"/>
  <c r="BC4" i="11"/>
  <c r="AU4" i="11"/>
  <c r="AM4" i="11"/>
  <c r="AE4" i="11"/>
  <c r="W4" i="11"/>
  <c r="O4" i="11"/>
  <c r="G4" i="11"/>
  <c r="F5" i="10"/>
  <c r="H4" i="10"/>
  <c r="G5" i="9"/>
  <c r="I4" i="9"/>
  <c r="J4" i="8"/>
  <c r="B4" i="8"/>
  <c r="A5" i="7"/>
  <c r="C4" i="7"/>
  <c r="B5" i="6"/>
  <c r="D4" i="6"/>
  <c r="AM5" i="5"/>
  <c r="AE5" i="5"/>
  <c r="W5" i="5"/>
  <c r="O5" i="5"/>
  <c r="G5" i="5"/>
  <c r="AA4" i="5"/>
  <c r="S4" i="5"/>
  <c r="K4" i="5"/>
  <c r="C4" i="5"/>
  <c r="N4" i="4"/>
  <c r="F4" i="4"/>
  <c r="B512" i="1"/>
  <c r="C509" i="1"/>
  <c r="A507" i="1"/>
  <c r="B504" i="1"/>
  <c r="C501" i="1"/>
  <c r="A499" i="1"/>
  <c r="B496" i="1"/>
  <c r="C493" i="1"/>
  <c r="A491" i="1"/>
  <c r="B488" i="1"/>
  <c r="C485" i="1"/>
  <c r="A483" i="1"/>
  <c r="AI5" i="5"/>
  <c r="C5" i="5"/>
  <c r="C505" i="1"/>
  <c r="B498" i="1"/>
  <c r="A492" i="1"/>
  <c r="A485" i="1"/>
  <c r="B480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AH5" i="5"/>
  <c r="B5" i="5"/>
  <c r="B5" i="4"/>
  <c r="C511" i="1"/>
  <c r="B505" i="1"/>
  <c r="C497" i="1"/>
  <c r="B490" i="1"/>
  <c r="B484" i="1"/>
  <c r="A480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AA5" i="5"/>
  <c r="W4" i="5"/>
  <c r="A5" i="4"/>
  <c r="A511" i="1"/>
  <c r="C503" i="1"/>
  <c r="B497" i="1"/>
  <c r="C489" i="1"/>
  <c r="A484" i="1"/>
  <c r="C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Z5" i="5"/>
  <c r="V4" i="5"/>
  <c r="L4" i="4"/>
  <c r="C510" i="1"/>
  <c r="A503" i="1"/>
  <c r="C495" i="1"/>
  <c r="B489" i="1"/>
  <c r="B483" i="1"/>
  <c r="A479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S5" i="5"/>
  <c r="O4" i="5"/>
  <c r="J4" i="4"/>
  <c r="A509" i="1"/>
  <c r="C502" i="1"/>
  <c r="A495" i="1"/>
  <c r="C487" i="1"/>
  <c r="B482" i="1"/>
  <c r="C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R5" i="5"/>
  <c r="N4" i="5"/>
  <c r="I4" i="4"/>
  <c r="B508" i="1"/>
  <c r="A501" i="1"/>
  <c r="C494" i="1"/>
  <c r="A487" i="1"/>
  <c r="C481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K5" i="5"/>
  <c r="G4" i="5"/>
  <c r="D4" i="4"/>
  <c r="A508" i="1"/>
  <c r="B500" i="1"/>
  <c r="A493" i="1"/>
  <c r="C486" i="1"/>
  <c r="B481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J5" i="5"/>
  <c r="F4" i="5"/>
  <c r="B4" i="4"/>
  <c r="B506" i="1"/>
  <c r="A500" i="1"/>
  <c r="B492" i="1"/>
  <c r="A486" i="1"/>
  <c r="C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</calcChain>
</file>

<file path=xl/sharedStrings.xml><?xml version="1.0" encoding="utf-8"?>
<sst xmlns="http://schemas.openxmlformats.org/spreadsheetml/2006/main" count="557" uniqueCount="83">
  <si>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</si>
  <si>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</si>
  <si>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</si>
  <si>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</si>
  <si>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</si>
  <si>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</si>
  <si>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</si>
  <si>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</si>
  <si>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</si>
  <si>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</si>
  <si>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</si>
  <si>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</si>
  <si>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</si>
  <si>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</si>
  <si>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</si>
  <si>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</si>
  <si>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</si>
  <si>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</si>
  <si>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</si>
  <si>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</si>
  <si>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</si>
  <si>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</si>
  <si>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</si>
  <si>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</si>
  <si>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</si>
  <si>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</si>
  <si>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</si>
  <si>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</si>
  <si>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</si>
  <si>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</si>
  <si>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</si>
  <si>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</si>
  <si>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</si>
  <si>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</si>
  <si>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</si>
  <si>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</si>
  <si>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AAPL US EQUITY</t>
  </si>
  <si>
    <t>Equity</t>
  </si>
  <si>
    <t>US</t>
  </si>
  <si>
    <t>GCCAP1</t>
  </si>
  <si>
    <t>NASDAQ</t>
  </si>
  <si>
    <t>CancelSubOrder</t>
  </si>
  <si>
    <t>M</t>
  </si>
  <si>
    <t>MSFT US EQUITY</t>
  </si>
  <si>
    <t>ReplaceSubOrder</t>
  </si>
  <si>
    <t>CreateReplaceOrder</t>
  </si>
  <si>
    <t>RejectTrade</t>
  </si>
  <si>
    <t>Compliance</t>
  </si>
  <si>
    <t>VerifyTaxlotWindow</t>
  </si>
  <si>
    <t>InTradeMarket</t>
  </si>
  <si>
    <t>Updated</t>
  </si>
  <si>
    <t>VerifyAggAccountSymbolWithNav</t>
  </si>
  <si>
    <t>Post</t>
  </si>
  <si>
    <t>Account-Symbol</t>
  </si>
  <si>
    <t>Allocation2</t>
  </si>
  <si>
    <t>USD</t>
  </si>
  <si>
    <t>Small Cap</t>
  </si>
  <si>
    <t>Undefined</t>
  </si>
  <si>
    <t>New Hedge</t>
  </si>
  <si>
    <t>NewMF1</t>
  </si>
  <si>
    <t>APPLE</t>
  </si>
  <si>
    <t>test1</t>
  </si>
  <si>
    <t>test 1</t>
  </si>
  <si>
    <t>Allocation1</t>
  </si>
  <si>
    <t>NewMF</t>
  </si>
  <si>
    <t>Information Technology</t>
  </si>
  <si>
    <t>Copper</t>
  </si>
  <si>
    <t>Equity General</t>
  </si>
  <si>
    <t>MICROSOFT INC</t>
  </si>
  <si>
    <t>MSFT UDA1</t>
  </si>
  <si>
    <t>VerifySymbolDivisorWindow</t>
  </si>
  <si>
    <t>VerifyRowCalculationBaseWindow</t>
  </si>
  <si>
    <t>Unallocated</t>
  </si>
  <si>
    <t>USD-USD</t>
  </si>
  <si>
    <t>india</t>
  </si>
  <si>
    <t>UNITED STATES</t>
  </si>
  <si>
    <t>VerifyOrder</t>
  </si>
  <si>
    <t>jpearce</t>
  </si>
  <si>
    <t>PortfolioManagement</t>
  </si>
  <si>
    <t>CheckPortfolioManagement</t>
  </si>
  <si>
    <t>blank</t>
  </si>
  <si>
    <t>VerifyWorkingSubs</t>
  </si>
  <si>
    <t>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</si>
</sst>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Roboto"/>
    </font>
    <font>
      <sz val="9"/>
      <color rgb="FFFF8000"/>
      <name val="Arial"/>
    </font>
    <font>
      <sz val="10"/>
      <color rgb="FF000000"/>
      <name val="&quot;Times New Roman&quot;"/>
    </font>
  </fonts>
  <fills count="9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0" fontId="5" fillId="0" borderId="0" xfId="0" applyFont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14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3" fillId="6" borderId="0" xfId="0" applyFont="1" applyFill="1" applyAlignment="1"/>
    <xf numFmtId="0" fontId="14" fillId="7" borderId="0" xfId="0" applyFont="1" applyFill="1" applyAlignment="1">
      <alignment horizontal="center" vertical="top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/>
    <xf numFmtId="0" fontId="15" fillId="7" borderId="5" xfId="0" applyFont="1" applyFill="1" applyBorder="1" applyAlignment="1">
      <alignment vertical="top"/>
    </xf>
    <xf numFmtId="0" fontId="15" fillId="7" borderId="0" xfId="0" applyFont="1" applyFill="1" applyAlignment="1">
      <alignment vertical="top"/>
    </xf>
    <xf numFmtId="0" fontId="15" fillId="7" borderId="0" xfId="0" applyFont="1" applyFill="1" applyAlignment="1">
      <alignment vertical="top"/>
    </xf>
    <xf numFmtId="164" fontId="2" fillId="0" borderId="0" xfId="0" applyNumberFormat="1" applyFont="1" applyAlignment="1"/>
    <xf numFmtId="0" fontId="15" fillId="8" borderId="0" xfId="0" applyFont="1" applyFill="1" applyAlignment="1">
      <alignment vertical="top"/>
    </xf>
    <xf numFmtId="0" fontId="15" fillId="8" borderId="0" xfId="0" applyFont="1" applyFill="1" applyAlignment="1">
      <alignment vertical="top"/>
    </xf>
    <xf numFmtId="0" fontId="13" fillId="6" borderId="5" xfId="0" applyFont="1" applyFill="1" applyBorder="1" applyAlignment="1"/>
    <xf numFmtId="0" fontId="13" fillId="6" borderId="5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63" t="s">
        <v>0</v>
      </c>
      <c r="B1" s="64"/>
      <c r="C1" s="64"/>
      <c r="D1" s="64"/>
      <c r="E1" s="64"/>
      <c r="F1" s="65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6" t="s">
        <v>2</v>
      </c>
      <c r="B1" s="64"/>
      <c r="C1" s="65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3" t="s">
        <v>7</v>
      </c>
      <c r="B1" s="64"/>
      <c r="C1" s="64"/>
      <c r="D1" s="64"/>
      <c r="E1" s="64"/>
      <c r="F1" s="65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IFERROR(__xludf.DUMMYFUNCTION("""COMPUTED_VALUE"""),"isEnableModule")</f>
        <v>isEnableModule</v>
      </c>
      <c r="C5" s="22" t="str">
        <f ca="1">IFERROR(__xludf.DUMMYFUNCTION("""COMPUTED_VALUE"""),"moduleName")</f>
        <v>moduleName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 t="b">
        <v>1</v>
      </c>
      <c r="C6" s="26" t="s">
        <v>16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28" t="b">
        <v>1</v>
      </c>
      <c r="C7" s="26" t="s">
        <v>17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28" t="b">
        <v>1</v>
      </c>
      <c r="C8" s="26" t="s">
        <v>18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 t="str">
        <f ca="1">IFERROR(__xludf.DUMMYFUNCTION("""COMPUTED_VALUE"""),"AllowTrade")</f>
        <v>AllowTrade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9" t="s">
        <v>21</v>
      </c>
      <c r="C6" s="30" t="s">
        <v>22</v>
      </c>
      <c r="D6" s="31">
        <v>100</v>
      </c>
      <c r="E6" s="32">
        <v>100</v>
      </c>
      <c r="F6" s="33"/>
      <c r="G6" s="33"/>
      <c r="H6" s="33"/>
      <c r="I6" s="33"/>
      <c r="J6" s="32">
        <v>10</v>
      </c>
      <c r="K6" s="33"/>
      <c r="L6" s="33"/>
      <c r="M6" s="33"/>
      <c r="N6" s="34">
        <f t="shared" ref="N6:N7" ca="1" si="0">TODAY()</f>
        <v>44412</v>
      </c>
      <c r="O6" s="5"/>
      <c r="AK6" s="35" t="s">
        <v>23</v>
      </c>
      <c r="AL6" s="35" t="s">
        <v>24</v>
      </c>
      <c r="AO6" s="6" t="s">
        <v>25</v>
      </c>
    </row>
    <row r="7" spans="1:154" ht="15.75" customHeight="1">
      <c r="A7" s="5"/>
      <c r="B7" s="36" t="s">
        <v>26</v>
      </c>
      <c r="C7" s="36" t="s">
        <v>22</v>
      </c>
      <c r="D7" s="37">
        <v>100</v>
      </c>
      <c r="E7" s="37">
        <v>100</v>
      </c>
      <c r="F7" s="35"/>
      <c r="G7" s="35"/>
      <c r="H7" s="35"/>
      <c r="I7" s="35"/>
      <c r="J7" s="37">
        <v>10</v>
      </c>
      <c r="K7" s="35"/>
      <c r="L7" s="35"/>
      <c r="M7" s="35"/>
      <c r="N7" s="38">
        <f t="shared" ca="1" si="0"/>
        <v>44412</v>
      </c>
      <c r="O7" s="5"/>
      <c r="AK7" s="35" t="s">
        <v>23</v>
      </c>
      <c r="AL7" s="35" t="s">
        <v>24</v>
      </c>
      <c r="AO7" s="6" t="s">
        <v>25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9" t="s">
        <v>22</v>
      </c>
      <c r="C6" s="30" t="s">
        <v>21</v>
      </c>
      <c r="D6" s="39"/>
      <c r="E6" s="33"/>
      <c r="F6" s="33"/>
      <c r="G6" s="32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9" t="s">
        <v>22</v>
      </c>
      <c r="C6" s="30" t="s">
        <v>21</v>
      </c>
      <c r="D6" s="39"/>
      <c r="E6" s="33"/>
      <c r="F6" s="33"/>
      <c r="G6" s="32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9" t="s">
        <v>22</v>
      </c>
      <c r="C6" s="40" t="s">
        <v>26</v>
      </c>
      <c r="D6" s="39"/>
      <c r="E6" s="33"/>
      <c r="F6" s="33"/>
      <c r="G6" s="32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9" t="s">
        <v>22</v>
      </c>
      <c r="C6" s="40" t="s">
        <v>26</v>
      </c>
      <c r="D6" s="39"/>
      <c r="E6" s="33"/>
      <c r="F6" s="33"/>
      <c r="G6" s="32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9" t="s">
        <v>22</v>
      </c>
      <c r="C6" s="40" t="s">
        <v>26</v>
      </c>
      <c r="D6" s="39"/>
      <c r="E6" s="33"/>
      <c r="F6" s="33"/>
      <c r="G6" s="32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1"/>
      <c r="B6" s="31">
        <v>0</v>
      </c>
      <c r="C6" s="33"/>
      <c r="D6" s="42" t="s">
        <v>21</v>
      </c>
      <c r="E6" s="33"/>
      <c r="F6" s="33" t="s">
        <v>22</v>
      </c>
      <c r="G6" s="33" t="s">
        <v>32</v>
      </c>
      <c r="H6" s="32">
        <v>100</v>
      </c>
      <c r="I6" s="32"/>
      <c r="J6" s="32"/>
      <c r="K6" s="32"/>
      <c r="L6" s="32"/>
      <c r="M6" s="33"/>
      <c r="N6" s="32">
        <v>0</v>
      </c>
      <c r="O6" s="33"/>
      <c r="P6" s="43">
        <v>0</v>
      </c>
      <c r="Q6" s="33" t="s">
        <v>33</v>
      </c>
      <c r="R6" s="33" t="s">
        <v>34</v>
      </c>
      <c r="S6" s="33"/>
      <c r="T6" s="35" t="s">
        <v>35</v>
      </c>
      <c r="U6" s="44">
        <v>0</v>
      </c>
      <c r="V6" s="44">
        <v>0</v>
      </c>
      <c r="W6" s="44">
        <v>0</v>
      </c>
      <c r="X6" s="35"/>
      <c r="Y6" s="35"/>
      <c r="Z6" s="35"/>
      <c r="AA6" s="44">
        <v>100</v>
      </c>
      <c r="AB6" s="45" t="s">
        <v>36</v>
      </c>
      <c r="AC6" s="35"/>
      <c r="AD6" s="35" t="s">
        <v>34</v>
      </c>
      <c r="AE6" s="35"/>
      <c r="AF6" s="35" t="s">
        <v>37</v>
      </c>
      <c r="AG6" s="6" t="s">
        <v>38</v>
      </c>
      <c r="AH6" s="6" t="s">
        <v>39</v>
      </c>
      <c r="AJ6" s="6" t="s">
        <v>40</v>
      </c>
      <c r="AK6" s="35"/>
      <c r="AL6" s="35"/>
      <c r="AM6" s="35"/>
      <c r="AN6" s="35"/>
      <c r="AO6" s="35"/>
      <c r="AP6" s="44">
        <v>1</v>
      </c>
      <c r="AQ6" s="35"/>
      <c r="AR6" s="35"/>
      <c r="AS6" s="35"/>
      <c r="AT6" s="35"/>
      <c r="AU6" s="35"/>
      <c r="AV6" s="35"/>
      <c r="AW6" s="35"/>
      <c r="AX6" s="35"/>
      <c r="AY6" s="44">
        <v>100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AG7" s="46"/>
      <c r="AH7" s="46"/>
      <c r="AI7" s="46"/>
      <c r="AJ7" s="46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IFERROR(__xludf.DUMMYFUNCTION("""COMPUTED_VALUE"""),"Remaining Qty")</f>
        <v>Remaining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1"/>
      <c r="B6" s="39"/>
      <c r="C6" s="33"/>
      <c r="D6" s="31">
        <v>0</v>
      </c>
      <c r="E6" s="45" t="s">
        <v>36</v>
      </c>
      <c r="F6" s="32">
        <v>0</v>
      </c>
      <c r="G6" s="32">
        <v>100</v>
      </c>
      <c r="H6" s="33" t="s">
        <v>40</v>
      </c>
      <c r="I6" s="33"/>
      <c r="J6" s="33"/>
      <c r="K6" s="33" t="s">
        <v>38</v>
      </c>
      <c r="L6" s="33" t="s">
        <v>39</v>
      </c>
      <c r="M6" s="33"/>
      <c r="N6" s="33"/>
      <c r="O6" s="33"/>
      <c r="P6" s="33"/>
      <c r="Q6" s="33"/>
      <c r="R6" s="33"/>
      <c r="S6" s="33"/>
      <c r="T6" s="44">
        <v>0</v>
      </c>
      <c r="U6" s="35"/>
      <c r="V6" s="35"/>
      <c r="W6" s="35"/>
      <c r="X6" s="44">
        <v>0</v>
      </c>
      <c r="Y6" s="35"/>
      <c r="Z6" s="35"/>
      <c r="AA6" s="35" t="s">
        <v>34</v>
      </c>
      <c r="AB6" s="35"/>
      <c r="AC6" s="35"/>
      <c r="AD6" s="44">
        <v>1</v>
      </c>
      <c r="AE6" s="35"/>
      <c r="AF6" s="35" t="s">
        <v>42</v>
      </c>
      <c r="AG6" s="35"/>
      <c r="AH6" s="35"/>
      <c r="AI6" s="47" t="s">
        <v>21</v>
      </c>
      <c r="AJ6" s="35" t="s">
        <v>22</v>
      </c>
      <c r="AK6" s="35" t="s">
        <v>32</v>
      </c>
      <c r="AL6" s="44">
        <v>100</v>
      </c>
      <c r="AM6" s="44"/>
      <c r="AN6" s="44"/>
      <c r="AO6" s="44"/>
      <c r="AP6" s="35"/>
      <c r="AQ6" s="44">
        <v>0</v>
      </c>
      <c r="AR6" s="44">
        <v>0</v>
      </c>
      <c r="AS6" s="35" t="s">
        <v>33</v>
      </c>
      <c r="AT6" s="35" t="s">
        <v>34</v>
      </c>
      <c r="AU6" s="35" t="s">
        <v>35</v>
      </c>
      <c r="AV6" s="44">
        <v>0</v>
      </c>
      <c r="AW6" s="44">
        <v>0</v>
      </c>
      <c r="AX6" s="35"/>
      <c r="AY6" s="35"/>
      <c r="AZ6" s="44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1"/>
      <c r="B6" s="31">
        <v>0</v>
      </c>
      <c r="C6" s="33"/>
      <c r="D6" s="39" t="s">
        <v>26</v>
      </c>
      <c r="E6" s="33"/>
      <c r="F6" s="33" t="s">
        <v>22</v>
      </c>
      <c r="G6" s="33" t="s">
        <v>32</v>
      </c>
      <c r="H6" s="32">
        <v>100</v>
      </c>
      <c r="I6" s="32"/>
      <c r="J6" s="32"/>
      <c r="K6" s="32"/>
      <c r="L6" s="32"/>
      <c r="M6" s="33"/>
      <c r="N6" s="32">
        <v>0</v>
      </c>
      <c r="O6" s="33"/>
      <c r="P6" s="43">
        <v>0</v>
      </c>
      <c r="Q6" s="33" t="s">
        <v>33</v>
      </c>
      <c r="R6" s="33" t="s">
        <v>34</v>
      </c>
      <c r="S6" s="33"/>
      <c r="T6" s="35" t="s">
        <v>35</v>
      </c>
      <c r="U6" s="44">
        <v>0</v>
      </c>
      <c r="V6" s="44">
        <v>0</v>
      </c>
      <c r="W6" s="44">
        <v>0</v>
      </c>
      <c r="X6" s="35"/>
      <c r="Y6" s="35"/>
      <c r="Z6" s="35"/>
      <c r="AA6" s="48"/>
      <c r="AB6" s="49" t="s">
        <v>43</v>
      </c>
      <c r="AC6" s="35"/>
      <c r="AD6" s="35" t="s">
        <v>34</v>
      </c>
      <c r="AE6" s="35"/>
      <c r="AF6" s="35" t="s">
        <v>37</v>
      </c>
      <c r="AG6" s="6" t="s">
        <v>38</v>
      </c>
      <c r="AH6" s="6" t="s">
        <v>39</v>
      </c>
      <c r="AJ6" s="6" t="s">
        <v>40</v>
      </c>
      <c r="AK6" s="35"/>
      <c r="AL6" s="35"/>
      <c r="AM6" s="35"/>
      <c r="AN6" s="35"/>
      <c r="AO6" s="35"/>
      <c r="AP6" s="44">
        <v>1</v>
      </c>
      <c r="AQ6" s="35"/>
      <c r="AR6" s="35"/>
      <c r="AS6" s="35"/>
      <c r="AT6" s="35"/>
      <c r="AU6" s="35"/>
      <c r="AV6" s="35"/>
      <c r="AW6" s="35"/>
      <c r="AX6" s="35"/>
      <c r="AY6" s="44">
        <v>100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FxRate Operator")</f>
        <v>Settlement FxRate Operator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IFERROR(__xludf.DUMMYFUNCTION("""COMPUTED_VALUE"""),"Put/Call")</f>
        <v>Put/Call</v>
      </c>
      <c r="X5" s="24" t="str">
        <f ca="1">IFERROR(__xludf.DUMMYFUNCTION("""COMPUTED_VALUE"""),"Process Date")</f>
        <v>Process Date</v>
      </c>
      <c r="Y5" s="24" t="str">
        <f ca="1">IFERROR(__xludf.DUMMYFUNCTION("""COMPUTED_VALUE"""),"Peg")</f>
        <v>Peg</v>
      </c>
      <c r="Z5" s="24" t="str">
        <f ca="1">IFERROR(__xludf.DUMMYFUNCTION("""COMPUTED_VALUE"""),"ParentClOrderID")</f>
        <v>ParentClOrderID</v>
      </c>
      <c r="AA5" s="24" t="str">
        <f ca="1">IFERROR(__xludf.DUMMYFUNCTION("""COMPUTED_VALUE"""),"OrderID")</f>
        <v>OrderID</v>
      </c>
      <c r="AB5" s="24" t="str">
        <f ca="1">IFERROR(__xludf.DUMMYFUNCTION("""COMPUTED_VALUE"""),"Master Fund")</f>
        <v>Master Fund</v>
      </c>
      <c r="AC5" s="24" t="str">
        <f ca="1">IFERROR(__xludf.DUMMYFUNCTION("""COMPUTED_VALUE"""),"Last Shares")</f>
        <v>Last Shares</v>
      </c>
      <c r="AD5" s="24" t="str">
        <f ca="1">IFERROR(__xludf.DUMMYFUNCTION("""COMPUTED_VALUE"""),"Internal Comments")</f>
        <v>Internal Comments</v>
      </c>
      <c r="AE5" s="24" t="str">
        <f ca="1">IFERROR(__xludf.DUMMYFUNCTION("""COMPUTED_VALUE"""),"FX Rate")</f>
        <v>FX Rate</v>
      </c>
      <c r="AF5" s="24" t="str">
        <f ca="1">IFERROR(__xludf.DUMMYFUNCTION("""COMPUTED_VALUE"""),"Imported File Name")</f>
        <v>Imported File Name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IFERROR(__xludf.DUMMYFUNCTION("""COMPUTED_VALUE"""),"Day Average Price")</f>
        <v>Day Average Price</v>
      </c>
      <c r="AI5" s="24" t="str">
        <f ca="1">IFERROR(__xludf.DUMMYFUNCTION("""COMPUTED_VALUE"""),"Asset Class")</f>
        <v>Asset Class</v>
      </c>
      <c r="AJ5" s="24" t="str">
        <f ca="1">IFERROR(__xludf.DUMMYFUNCTION("""COMPUTED_VALUE"""),"Symbol")</f>
        <v>Symbol</v>
      </c>
      <c r="AK5" s="24" t="str">
        <f ca="1">IFERROR(__xludf.DUMMYFUNCTION("""COMPUTED_VALUE"""),"Side")</f>
        <v>Side</v>
      </c>
      <c r="AL5" s="24" t="str">
        <f ca="1">IFERROR(__xludf.DUMMYFUNCTION("""COMPUTED_VALUE"""),"Status")</f>
        <v>Status</v>
      </c>
      <c r="AM5" s="24" t="str">
        <f ca="1">IFERROR(__xludf.DUMMYFUNCTION("""COMPUTED_VALUE"""),"Quantity")</f>
        <v>Quantity</v>
      </c>
      <c r="AN5" s="24" t="str">
        <f ca="1">IFERROR(__xludf.DUMMYFUNCTION("""COMPUTED_VALUE"""),"Executed Qty")</f>
        <v>Executed Qty</v>
      </c>
      <c r="AO5" s="24" t="str">
        <f ca="1">IFERROR(__xludf.DUMMYFUNCTION("""COMPUTED_VALUE"""),"% Executed")</f>
        <v>% Executed</v>
      </c>
      <c r="AP5" s="24" t="str">
        <f ca="1">IFERROR(__xludf.DUMMYFUNCTION("""COMPUTED_VALUE"""),"Day Executed Qty")</f>
        <v>Day Executed Qty</v>
      </c>
      <c r="AQ5" s="24" t="str">
        <f ca="1">IFERROR(__xludf.DUMMYFUNCTION("""COMPUTED_VALUE"""),"Remaining Qty")</f>
        <v>Remaining Qty</v>
      </c>
      <c r="AR5" s="24" t="str">
        <f ca="1">IFERROR(__xludf.DUMMYFUNCTION("""COMPUTED_VALUE"""),"Last Fill Price (Local)")</f>
        <v>Last Fill Price (Local)</v>
      </c>
      <c r="AS5" s="24" t="str">
        <f ca="1">IFERROR(__xludf.DUMMYFUNCTION("""COMPUTED_VALUE"""),"Avg Fill Price (Local)")</f>
        <v>Avg Fill Price (Local)</v>
      </c>
      <c r="AT5" s="24" t="str">
        <f ca="1">IFERROR(__xludf.DUMMYFUNCTION("""COMPUTED_VALUE"""),"Broker")</f>
        <v>Broker</v>
      </c>
      <c r="AU5" s="24" t="str">
        <f ca="1">IFERROR(__xludf.DUMMYFUNCTION("""COMPUTED_VALUE"""),"Account")</f>
        <v>Account</v>
      </c>
      <c r="AV5" s="24" t="str">
        <f ca="1">IFERROR(__xludf.DUMMYFUNCTION("""COMPUTED_VALUE"""),"Order Type")</f>
        <v>Order Type</v>
      </c>
      <c r="AW5" s="24" t="str">
        <f ca="1">IFERROR(__xludf.DUMMYFUNCTION("""COMPUTED_VALUE"""),"Principal Amount (Local)")</f>
        <v>Principal Amount (Local)</v>
      </c>
      <c r="AX5" s="24" t="str">
        <f ca="1">IFERROR(__xludf.DUMMYFUNCTION("""COMPUTED_VALUE"""),"Principal Amount (Base)")</f>
        <v>Principal Amount (Base)</v>
      </c>
      <c r="AY5" s="24" t="str">
        <f ca="1">IFERROR(__xludf.DUMMYFUNCTION("""COMPUTED_VALUE"""),"Settlement FxRate")</f>
        <v>Settlement FxRate</v>
      </c>
      <c r="AZ5" s="24" t="str">
        <f ca="1">IFERROR(__xludf.DUMMYFUNCTION("""COMPUTED_VALUE"""),"Settlement Price")</f>
        <v>Settlement Price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1"/>
      <c r="B6" s="39"/>
      <c r="C6" s="33"/>
      <c r="D6" s="31">
        <v>0</v>
      </c>
      <c r="E6" s="33" t="s">
        <v>43</v>
      </c>
      <c r="F6" s="32">
        <v>0</v>
      </c>
      <c r="G6" s="32">
        <v>100</v>
      </c>
      <c r="H6" s="33" t="s">
        <v>40</v>
      </c>
      <c r="I6" s="33"/>
      <c r="J6" s="33"/>
      <c r="K6" s="33" t="s">
        <v>38</v>
      </c>
      <c r="L6" s="33" t="s">
        <v>39</v>
      </c>
      <c r="M6" s="33"/>
      <c r="N6" s="33"/>
      <c r="O6" s="33"/>
      <c r="P6" s="33"/>
      <c r="Q6" s="33"/>
      <c r="R6" s="33"/>
      <c r="S6" s="33"/>
      <c r="T6" s="44">
        <v>0</v>
      </c>
      <c r="U6" s="35"/>
      <c r="V6" s="35"/>
      <c r="W6" s="35"/>
      <c r="Y6" s="44">
        <v>0</v>
      </c>
      <c r="Z6" s="35"/>
      <c r="AB6" s="35" t="s">
        <v>34</v>
      </c>
      <c r="AC6" s="35"/>
      <c r="AE6" s="44">
        <v>1</v>
      </c>
      <c r="AF6" s="35"/>
      <c r="AG6" s="35" t="s">
        <v>42</v>
      </c>
      <c r="AH6" s="35"/>
      <c r="AI6" s="6" t="s">
        <v>37</v>
      </c>
      <c r="AJ6" s="35" t="s">
        <v>26</v>
      </c>
      <c r="AK6" s="35" t="s">
        <v>22</v>
      </c>
      <c r="AL6" s="35" t="s">
        <v>32</v>
      </c>
      <c r="AM6" s="44">
        <v>100</v>
      </c>
      <c r="AN6" s="44">
        <v>0</v>
      </c>
      <c r="AO6" s="44"/>
      <c r="AP6" s="44"/>
      <c r="AQ6" s="35"/>
      <c r="AR6" s="44">
        <v>0</v>
      </c>
      <c r="AS6" s="44">
        <v>0</v>
      </c>
      <c r="AT6" s="35" t="s">
        <v>33</v>
      </c>
      <c r="AU6" s="35" t="s">
        <v>34</v>
      </c>
      <c r="AV6" s="35" t="s">
        <v>35</v>
      </c>
      <c r="AW6" s="44">
        <v>0</v>
      </c>
      <c r="AX6" s="44">
        <v>0</v>
      </c>
      <c r="AY6" s="35"/>
      <c r="AZ6" s="35"/>
      <c r="BA6" s="44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 t="str">
        <f ca="1">IFERROR(__xludf.DUMMYFUNCTION("""COMPUTED_VALUE"""),"AllowTrade")</f>
        <v>AllowTrade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7" t="s">
        <v>22</v>
      </c>
      <c r="D6" s="7">
        <v>40</v>
      </c>
      <c r="E6" s="7">
        <v>40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  <c r="AO6" s="6" t="s">
        <v>25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9" t="s">
        <v>22</v>
      </c>
      <c r="C6" s="30" t="s">
        <v>21</v>
      </c>
      <c r="D6" s="39"/>
      <c r="E6" s="33"/>
      <c r="F6" s="33"/>
      <c r="G6" s="32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47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IFERROR(__xludf.DUMMYFUNCTION("IF(C3="""","""",Transpose(IMPORTRANGE('_Settings'!$B$3,C3&amp;""!A4:A1000"")))"),"CheckCompliance")</f>
        <v>CheckCompliance</v>
      </c>
      <c r="C4" s="19" t="str">
        <f ca="1">IFERROR(__xludf.DUMMYFUNCTION("""COMPUTED_VALUE"""),"VerifyAccountDivisorWindow")</f>
        <v>VerifyAccountDivisorWindow</v>
      </c>
      <c r="D4" s="19" t="str">
        <f ca="1">IFERROR(__xludf.DUMMYFUNCTION("""COMPUTED_VALUE"""),"VerifyAccountSymbolDivisorWindow")</f>
        <v>VerifyAccountSymbolDivisorWindow</v>
      </c>
      <c r="E4" s="19" t="str">
        <f ca="1">IFERROR(__xludf.DUMMYFUNCTION("""COMPUTED_VALUE"""),"VerifyAggregationAccountSymbolWithNav")</f>
        <v>VerifyAggregationAccountSymbolWithNav</v>
      </c>
      <c r="F4" s="19" t="str">
        <f ca="1">IFERROR(__xludf.DUMMYFUNCTION("""COMPUTED_VALUE"""),"VerifyAggregationAccountWithNav")</f>
        <v>VerifyAggregationAccountWithNav</v>
      </c>
      <c r="G4" s="19" t="str">
        <f ca="1">IFERROR(__xludf.DUMMYFUNCTION("""COMPUTED_VALUE"""),"VerifyAggregationMasterFundSymbolWithNav")</f>
        <v>VerifyAggregationMasterFundSymbolWithNav</v>
      </c>
      <c r="H4" s="19" t="str">
        <f ca="1">IFERROR(__xludf.DUMMYFUNCTION("""COMPUTED_VALUE"""),"VerifyAggregationMasterFundUnderlyingSymbolWithNav")</f>
        <v>VerifyAggregationMasterFundUnderlyingSymbolWithNav</v>
      </c>
      <c r="I4" s="19" t="str">
        <f ca="1">IFERROR(__xludf.DUMMYFUNCTION("""COMPUTED_VALUE"""),"VerifyAggregationMasterFundWithNav")</f>
        <v>VerifyAggregationMasterFundWithNav</v>
      </c>
      <c r="J4" s="19" t="str">
        <f ca="1">IFERROR(__xludf.DUMMYFUNCTION("""COMPUTED_VALUE"""),"VerifyAggregationSectorWithNav")</f>
        <v>VerifyAggregationSectorWithNav</v>
      </c>
      <c r="K4" s="19" t="str">
        <f ca="1">IFERROR(__xludf.DUMMYFUNCTION("""COMPUTED_VALUE"""),"VerifyAggregationUnderlyingSymbolWithNav")</f>
        <v>VerifyAggregationUnderlyingSymbolWithNav</v>
      </c>
      <c r="L4" s="19" t="str">
        <f ca="1">IFERROR(__xludf.DUMMYFUNCTION("""COMPUTED_VALUE"""),"VerifyAuecWindow")</f>
        <v>VerifyAuecWindow</v>
      </c>
      <c r="M4" s="19" t="str">
        <f ca="1">IFERROR(__xludf.DUMMYFUNCTION("""COMPUTED_VALUE"""),"VerifyBetaWindow")</f>
        <v>VerifyBetaWindow</v>
      </c>
      <c r="N4" s="19" t="str">
        <f ca="1">IFERROR(__xludf.DUMMYFUNCTION("""COMPUTED_VALUE"""),"VerifyCustomSymbolDataWindow")</f>
        <v>VerifyCustomSymbolDataWindow</v>
      </c>
      <c r="O4" s="19" t="str">
        <f ca="1">IFERROR(__xludf.DUMMYFUNCTION("""COMPUTED_VALUE"""),"VerifyDayEndCashAccountWindow")</f>
        <v>VerifyDayEndCashAccountWindow</v>
      </c>
      <c r="P4" s="20" t="str">
        <f ca="1">IFERROR(__xludf.DUMMYFUNCTION("""COMPUTED_VALUE"""),"VerifyDbNavWindow")</f>
        <v>VerifyDbNavWindow</v>
      </c>
      <c r="Q4" s="20" t="str">
        <f ca="1">IFERROR(__xludf.DUMMYFUNCTION("""COMPUTED_VALUE"""),"VerifyGlobalDivisorWindow")</f>
        <v>VerifyGlobalDivisorWindow</v>
      </c>
      <c r="R4" s="20" t="str">
        <f ca="1">IFERROR(__xludf.DUMMYFUNCTION("""COMPUTED_VALUE"""),"VerifyPmCalculationPreferenceWindow")</f>
        <v>VerifyPmCalculationPreferenceWindow</v>
      </c>
      <c r="S4" s="20" t="str">
        <f ca="1">IFERROR(__xludf.DUMMYFUNCTION("""COMPUTED_VALUE"""),"VerifyRowCalculationBaseWindow")</f>
        <v>VerifyRowCalculationBaseWindow</v>
      </c>
      <c r="T4" s="20" t="str">
        <f ca="1">IFERROR(__xludf.DUMMYFUNCTION("""COMPUTED_VALUE"""),"VerifySecurityWindow")</f>
        <v>VerifySecurityWindow</v>
      </c>
      <c r="U4" s="20" t="str">
        <f ca="1">IFERROR(__xludf.DUMMYFUNCTION("""COMPUTED_VALUE"""),"VerifySymbolDataWindow")</f>
        <v>VerifySymbolDataWindow</v>
      </c>
      <c r="V4" s="20" t="str">
        <f ca="1">IFERROR(__xludf.DUMMYFUNCTION("""COMPUTED_VALUE"""),"VerifySymbolDivisorWindow")</f>
        <v>VerifySymbolDivisorWindow</v>
      </c>
      <c r="W4" s="20" t="str">
        <f ca="1">IFERROR(__xludf.DUMMYFUNCTION("""COMPUTED_VALUE"""),"VerifyTaxlotWindow")</f>
        <v>VerifyTaxlotWindow</v>
      </c>
      <c r="X4" s="20" t="str">
        <f ca="1">IFERROR(__xludf.DUMMYFUNCTION("""COMPUTED_VALUE"""),"RestartEsper")</f>
        <v>RestartEsper</v>
      </c>
      <c r="Y4" s="20" t="str">
        <f ca="1">IFERROR(__xludf.DUMMYFUNCTION("""COMPUTED_VALUE"""),"VerifyAccountNavPreferenceWindow")</f>
        <v>VerifyAccountNavPreferenceWindow</v>
      </c>
      <c r="Z4" s="20" t="str">
        <f ca="1">IFERROR(__xludf.DUMMYFUNCTION("""COMPUTED_VALUE"""),"VerifyAggregationAccountUnderlyingSymbolWithNav")</f>
        <v>VerifyAggregationAccountUnderlyingSymbolWithNav</v>
      </c>
      <c r="AA4" s="20" t="str">
        <f ca="1">IFERROR(__xludf.DUMMYFUNCTION("""COMPUTED_VALUE"""),"VerifyAggregationAssetWithNav")</f>
        <v>VerifyAggregationAssetWithNav</v>
      </c>
      <c r="AB4" s="20" t="str">
        <f ca="1">IFERROR(__xludf.DUMMYFUNCTION("""COMPUTED_VALUE"""),"VerifyAggregationSymbolWithNav")</f>
        <v>VerifyAggregationSymbolWithNav</v>
      </c>
      <c r="AC4" s="20" t="str">
        <f ca="1">IFERROR(__xludf.DUMMYFUNCTION("""COMPUTED_VALUE"""),"VerifyAggregationSubSectorWithNav")</f>
        <v>VerifyAggregationSubSectorWithNav</v>
      </c>
      <c r="AD4" s="20" t="str">
        <f ca="1">IFERROR(__xludf.DUMMYFUNCTION("""COMPUTED_VALUE"""),"VerifyAggregationGlobalWithNav")</f>
        <v>VerifyAggregationGlobalWithNav</v>
      </c>
      <c r="AE4" s="20" t="str">
        <f ca="1">IFERROR(__xludf.DUMMYFUNCTION("""COMPUTED_VALUE"""),"VerifyAggregationGlobalWithNav")</f>
        <v>VerifyAggregationGlobalWithNav</v>
      </c>
      <c r="AF4" s="20" t="str">
        <f ca="1">IFERROR(__xludf.DUMMYFUNCTION("""COMPUTED_VALUE"""),"VerifyGlobalDivisorWindow")</f>
        <v>VerifyGlobalDivisorWindow</v>
      </c>
      <c r="AG4" s="20" t="str">
        <f ca="1">IFERROR(__xludf.DUMMYFUNCTION("""COMPUTED_VALUE"""),"VerifyAccrualForAccountWindow")</f>
        <v>VerifyAccrualForAccountWindow</v>
      </c>
      <c r="AH4" s="20" t="str">
        <f ca="1">IFERROR(__xludf.DUMMYFUNCTION("""COMPUTED_VALUE"""),"VerifyGlobalDivisorWindow")</f>
        <v>VerifyGlobalDivisorWindow</v>
      </c>
      <c r="AI4" s="20" t="str">
        <f ca="1">IFERROR(__xludf.DUMMYFUNCTION("""COMPUTED_VALUE"""),"VerifyMasterFundDivisorWindow")</f>
        <v>VerifyMasterFundDivisorWindow</v>
      </c>
      <c r="AJ4" s="20" t="str">
        <f ca="1">IFERROR(__xludf.DUMMYFUNCTION("""COMPUTED_VALUE"""),"VerifyMasterFundSymbolDivisorWindow")</f>
        <v>VerifyMasterFundSymbolDivisorWindow</v>
      </c>
      <c r="AK4" s="20" t="str">
        <f ca="1">IFERROR(__xludf.DUMMYFUNCTION("""COMPUTED_VALUE"""),"VerifyAggAccountSymbolWithNav")</f>
        <v>VerifyAggAccountSymbolWithNav</v>
      </c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IFERROR(__xludf.DUMMYFUNCTION("""COMPUTED_VALUE"""),"basketId")</f>
        <v>basketId</v>
      </c>
      <c r="C5" s="22" t="str">
        <f ca="1">IFERROR(__xludf.DUMMYFUNCTION("""COMPUTED_VALUE"""),"symbol")</f>
        <v>symbol</v>
      </c>
      <c r="D5" s="22" t="str">
        <f ca="1">IFERROR(__xludf.DUMMYFUNCTION("""COMPUTED_VALUE"""),"taxlotId")</f>
        <v>taxlotId</v>
      </c>
      <c r="E5" s="22" t="str">
        <f ca="1">IFERROR(__xludf.DUMMYFUNCTION("""COMPUTED_VALUE"""),"clOrderId")</f>
        <v>clOrderId</v>
      </c>
      <c r="F5" s="23" t="str">
        <f ca="1">IFERROR(__xludf.DUMMYFUNCTION("""COMPUTED_VALUE"""),"taxlotType")</f>
        <v>taxlotType</v>
      </c>
      <c r="G5" s="22" t="str">
        <f ca="1">IFERROR(__xludf.DUMMYFUNCTION("""COMPUTED_VALUE"""),"taxlotState")</f>
        <v>taxlotState</v>
      </c>
      <c r="H5" s="22" t="str">
        <f ca="1">IFERROR(__xludf.DUMMYFUNCTION("""COMPUTED_VALUE"""),"underlyingSymbol")</f>
        <v>underlyingSymbol</v>
      </c>
      <c r="I5" s="22" t="str">
        <f ca="1">IFERROR(__xludf.DUMMYFUNCTION("""COMPUTED_VALUE"""),"quantity")</f>
        <v>quantity</v>
      </c>
      <c r="J5" s="22" t="str">
        <f ca="1">IFERROR(__xludf.DUMMYFUNCTION("""COMPUTED_VALUE"""),"avgPrice")</f>
        <v>avgPrice</v>
      </c>
      <c r="K5" s="22" t="str">
        <f ca="1">IFERROR(__xludf.DUMMYFUNCTION("""COMPUTED_VALUE"""),"orderSideTagValue")</f>
        <v>orderSideTagValue</v>
      </c>
      <c r="L5" s="22" t="str">
        <f ca="1">IFERROR(__xludf.DUMMYFUNCTION("""COMPUTED_VALUE"""),"orderTypeTagValue")</f>
        <v>orderTypeTagValue</v>
      </c>
      <c r="M5" s="22" t="str">
        <f ca="1">IFERROR(__xludf.DUMMYFUNCTION("""COMPUTED_VALUE"""),"accountId")</f>
        <v>accountId</v>
      </c>
      <c r="N5" s="22" t="str">
        <f ca="1">IFERROR(__xludf.DUMMYFUNCTION("""COMPUTED_VALUE"""),"strategyId")</f>
        <v>strategyId</v>
      </c>
      <c r="O5" s="22" t="str">
        <f ca="1">IFERROR(__xludf.DUMMYFUNCTION("""COMPUTED_VALUE"""),"counterPartyId")</f>
        <v>counterPartyId</v>
      </c>
      <c r="P5" s="22" t="str">
        <f ca="1">IFERROR(__xludf.DUMMYFUNCTION("""COMPUTED_VALUE"""),"venueId")</f>
        <v>venueId</v>
      </c>
      <c r="Q5" s="22" t="str">
        <f ca="1">IFERROR(__xludf.DUMMYFUNCTION("""COMPUTED_VALUE"""),"auecLocalDate")</f>
        <v>auecLocalDate</v>
      </c>
      <c r="R5" s="22" t="str">
        <f ca="1">IFERROR(__xludf.DUMMYFUNCTION("""COMPUTED_VALUE"""),"settlementDate")</f>
        <v>settlementDate</v>
      </c>
      <c r="S5" s="22" t="str">
        <f ca="1">IFERROR(__xludf.DUMMYFUNCTION("""COMPUTED_VALUE"""),"userId")</f>
        <v>userId</v>
      </c>
      <c r="T5" s="24" t="str">
        <f ca="1">IFERROR(__xludf.DUMMYFUNCTION("""COMPUTED_VALUE"""),"isSwapped")</f>
        <v>isSwapped</v>
      </c>
      <c r="U5" s="24" t="str">
        <f ca="1">IFERROR(__xludf.DUMMYFUNCTION("""COMPUTED_VALUE"""),"benchMarkRate")</f>
        <v>benchMarkRate</v>
      </c>
      <c r="V5" s="24" t="str">
        <f ca="1">IFERROR(__xludf.DUMMYFUNCTION("""COMPUTED_VALUE"""),"differential")</f>
        <v>differential</v>
      </c>
      <c r="W5" s="24" t="str">
        <f ca="1">IFERROR(__xludf.DUMMYFUNCTION("""COMPUTED_VALUE"""),"swapNotional")</f>
        <v>swapNotional</v>
      </c>
      <c r="X5" s="24" t="str">
        <f ca="1">IFERROR(__xludf.DUMMYFUNCTION("""COMPUTED_VALUE"""),"dayCount")</f>
        <v>dayCount</v>
      </c>
      <c r="Y5" s="24" t="str">
        <f ca="1">IFERROR(__xludf.DUMMYFUNCTION("""COMPUTED_VALUE"""),"avgFxRateForTrade")</f>
        <v>avgFxRateForTrade</v>
      </c>
      <c r="Z5" s="24" t="str">
        <f ca="1">IFERROR(__xludf.DUMMYFUNCTION("""COMPUTED_VALUE"""),"conversionMethodOperator")</f>
        <v>conversionMethodOperator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1"/>
      <c r="B6" s="39"/>
      <c r="C6" s="30" t="s">
        <v>21</v>
      </c>
      <c r="D6" s="39"/>
      <c r="E6" s="33"/>
      <c r="F6" s="6" t="s">
        <v>49</v>
      </c>
      <c r="G6" s="30" t="s">
        <v>50</v>
      </c>
      <c r="H6" s="30" t="s">
        <v>21</v>
      </c>
      <c r="I6" s="50">
        <v>50</v>
      </c>
      <c r="J6" s="32"/>
      <c r="K6" s="33"/>
      <c r="L6" s="33"/>
      <c r="M6" s="33"/>
      <c r="N6" s="33"/>
      <c r="O6" s="33"/>
      <c r="P6" s="33"/>
      <c r="Q6" s="33"/>
      <c r="R6" s="33"/>
      <c r="S6" s="33"/>
      <c r="T6" s="51" t="b">
        <v>0</v>
      </c>
      <c r="U6" s="44">
        <v>0</v>
      </c>
      <c r="V6" s="35"/>
      <c r="W6" s="44">
        <v>0</v>
      </c>
      <c r="X6" s="44">
        <v>0</v>
      </c>
      <c r="Y6" s="44">
        <v>1</v>
      </c>
      <c r="Z6" s="35" t="s">
        <v>42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/>
      <c r="C7" s="36" t="s">
        <v>21</v>
      </c>
      <c r="D7" s="35"/>
      <c r="E7" s="35"/>
      <c r="F7" s="6" t="s">
        <v>49</v>
      </c>
      <c r="G7" s="36" t="s">
        <v>50</v>
      </c>
      <c r="H7" s="36" t="s">
        <v>21</v>
      </c>
      <c r="I7" s="52">
        <v>50</v>
      </c>
      <c r="J7" s="37"/>
      <c r="K7" s="35"/>
      <c r="L7" s="35"/>
      <c r="M7" s="35"/>
      <c r="N7" s="35"/>
      <c r="O7" s="35"/>
      <c r="P7" s="35"/>
      <c r="Q7" s="35"/>
      <c r="R7" s="35"/>
      <c r="S7" s="35"/>
      <c r="T7" s="51" t="b">
        <v>0</v>
      </c>
      <c r="U7" s="44">
        <v>0</v>
      </c>
      <c r="V7" s="35"/>
      <c r="W7" s="44">
        <v>0</v>
      </c>
      <c r="X7" s="44">
        <v>0</v>
      </c>
      <c r="Y7" s="44">
        <v>1</v>
      </c>
      <c r="Z7" s="35" t="s">
        <v>42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3"/>
      <c r="C8" s="30" t="s">
        <v>26</v>
      </c>
      <c r="D8" s="30"/>
      <c r="E8" s="33"/>
      <c r="F8" s="6" t="s">
        <v>49</v>
      </c>
      <c r="G8" s="30" t="s">
        <v>50</v>
      </c>
      <c r="H8" s="30" t="s">
        <v>26</v>
      </c>
      <c r="I8" s="50">
        <v>20</v>
      </c>
      <c r="J8" s="32"/>
      <c r="K8" s="35"/>
      <c r="L8" s="35"/>
      <c r="M8" s="35"/>
      <c r="N8" s="35"/>
      <c r="O8" s="35"/>
      <c r="P8" s="35"/>
      <c r="Q8" s="35"/>
      <c r="R8" s="35"/>
      <c r="S8" s="35"/>
      <c r="T8" s="51" t="b">
        <v>0</v>
      </c>
      <c r="U8" s="44">
        <v>0</v>
      </c>
      <c r="V8" s="35"/>
      <c r="W8" s="44">
        <v>0</v>
      </c>
      <c r="X8" s="44">
        <v>0</v>
      </c>
      <c r="Y8" s="44">
        <v>1</v>
      </c>
      <c r="Z8" s="35" t="s">
        <v>42</v>
      </c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3"/>
      <c r="C9" s="30" t="s">
        <v>26</v>
      </c>
      <c r="D9" s="35"/>
      <c r="E9" s="35"/>
      <c r="F9" s="6" t="s">
        <v>49</v>
      </c>
      <c r="G9" s="30" t="s">
        <v>50</v>
      </c>
      <c r="H9" s="30" t="s">
        <v>26</v>
      </c>
      <c r="I9" s="52">
        <v>20</v>
      </c>
      <c r="J9" s="37"/>
      <c r="K9" s="35"/>
      <c r="L9" s="35"/>
      <c r="M9" s="35"/>
      <c r="N9" s="35"/>
      <c r="O9" s="35"/>
      <c r="P9" s="35"/>
      <c r="Q9" s="35"/>
      <c r="R9" s="35"/>
      <c r="S9" s="35"/>
      <c r="T9" s="51" t="b">
        <v>0</v>
      </c>
      <c r="U9" s="44">
        <v>0</v>
      </c>
      <c r="V9" s="35"/>
      <c r="W9" s="44">
        <v>0</v>
      </c>
      <c r="X9" s="44">
        <v>0</v>
      </c>
      <c r="Y9" s="44">
        <v>1</v>
      </c>
      <c r="Z9" s="35" t="s">
        <v>42</v>
      </c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3"/>
    </row>
    <row r="13" spans="1:154" ht="15.75" customHeight="1">
      <c r="A13" s="53"/>
    </row>
    <row r="14" spans="1:154" ht="15.75" customHeight="1">
      <c r="A14" s="53"/>
    </row>
    <row r="15" spans="1:154" ht="15.75" customHeight="1">
      <c r="A15" s="53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K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93" width="14.42578125" customWidth="1"/>
  </cols>
  <sheetData>
    <row r="1" spans="1:193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spans="1:193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93" ht="15.75" customHeight="1">
      <c r="A3" s="16"/>
      <c r="B3" s="2" t="s">
        <v>8</v>
      </c>
      <c r="C3" s="17" t="s">
        <v>47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</row>
    <row r="4" spans="1:193" ht="15.75" customHeight="1">
      <c r="A4" s="19"/>
      <c r="B4" s="19" t="str">
        <f ca="1">IFERROR(__xludf.DUMMYFUNCTION("IF(C3="""","""",Transpose(IMPORTRANGE('_Settings'!$B$3,C3&amp;""!A4:A1000"")))"),"CheckCompliance")</f>
        <v>CheckCompliance</v>
      </c>
      <c r="C4" s="19" t="str">
        <f ca="1">IFERROR(__xludf.DUMMYFUNCTION("""COMPUTED_VALUE"""),"VerifyAccountDivisorWindow")</f>
        <v>VerifyAccountDivisorWindow</v>
      </c>
      <c r="D4" s="19" t="str">
        <f ca="1">IFERROR(__xludf.DUMMYFUNCTION("""COMPUTED_VALUE"""),"VerifyAccountSymbolDivisorWindow")</f>
        <v>VerifyAccountSymbolDivisorWindow</v>
      </c>
      <c r="E4" s="19" t="str">
        <f ca="1">IFERROR(__xludf.DUMMYFUNCTION("""COMPUTED_VALUE"""),"VerifyAggregationAccountSymbolWithNav")</f>
        <v>VerifyAggregationAccountSymbolWithNav</v>
      </c>
      <c r="F4" s="19" t="str">
        <f ca="1">IFERROR(__xludf.DUMMYFUNCTION("""COMPUTED_VALUE"""),"VerifyAggregationAccountWithNav")</f>
        <v>VerifyAggregationAccountWithNav</v>
      </c>
      <c r="G4" s="19" t="str">
        <f ca="1">IFERROR(__xludf.DUMMYFUNCTION("""COMPUTED_VALUE"""),"VerifyAggregationMasterFundSymbolWithNav")</f>
        <v>VerifyAggregationMasterFundSymbolWithNav</v>
      </c>
      <c r="H4" s="19" t="str">
        <f ca="1">IFERROR(__xludf.DUMMYFUNCTION("""COMPUTED_VALUE"""),"VerifyAggregationMasterFundUnderlyingSymbolWithNav")</f>
        <v>VerifyAggregationMasterFundUnderlyingSymbolWithNav</v>
      </c>
      <c r="I4" s="19" t="str">
        <f ca="1">IFERROR(__xludf.DUMMYFUNCTION("""COMPUTED_VALUE"""),"VerifyAggregationMasterFundWithNav")</f>
        <v>VerifyAggregationMasterFundWithNav</v>
      </c>
      <c r="J4" s="19" t="str">
        <f ca="1">IFERROR(__xludf.DUMMYFUNCTION("""COMPUTED_VALUE"""),"VerifyAggregationSectorWithNav")</f>
        <v>VerifyAggregationSectorWithNav</v>
      </c>
      <c r="K4" s="19" t="str">
        <f ca="1">IFERROR(__xludf.DUMMYFUNCTION("""COMPUTED_VALUE"""),"VerifyAggregationUnderlyingSymbolWithNav")</f>
        <v>VerifyAggregationUnderlyingSymbolWithNav</v>
      </c>
      <c r="L4" s="19" t="str">
        <f ca="1">IFERROR(__xludf.DUMMYFUNCTION("""COMPUTED_VALUE"""),"VerifyAuecWindow")</f>
        <v>VerifyAuecWindow</v>
      </c>
      <c r="M4" s="19" t="str">
        <f ca="1">IFERROR(__xludf.DUMMYFUNCTION("""COMPUTED_VALUE"""),"VerifyBetaWindow")</f>
        <v>VerifyBetaWindow</v>
      </c>
      <c r="N4" s="19" t="str">
        <f ca="1">IFERROR(__xludf.DUMMYFUNCTION("""COMPUTED_VALUE"""),"VerifyCustomSymbolDataWindow")</f>
        <v>VerifyCustomSymbolDataWindow</v>
      </c>
      <c r="O4" s="19" t="str">
        <f ca="1">IFERROR(__xludf.DUMMYFUNCTION("""COMPUTED_VALUE"""),"VerifyDayEndCashAccountWindow")</f>
        <v>VerifyDayEndCashAccountWindow</v>
      </c>
      <c r="P4" s="20" t="str">
        <f ca="1">IFERROR(__xludf.DUMMYFUNCTION("""COMPUTED_VALUE"""),"VerifyDbNavWindow")</f>
        <v>VerifyDbNavWindow</v>
      </c>
      <c r="Q4" s="20" t="str">
        <f ca="1">IFERROR(__xludf.DUMMYFUNCTION("""COMPUTED_VALUE"""),"VerifyGlobalDivisorWindow")</f>
        <v>VerifyGlobalDivisorWindow</v>
      </c>
      <c r="R4" s="20" t="str">
        <f ca="1">IFERROR(__xludf.DUMMYFUNCTION("""COMPUTED_VALUE"""),"VerifyPmCalculationPreferenceWindow")</f>
        <v>VerifyPmCalculationPreferenceWindow</v>
      </c>
      <c r="S4" s="20" t="str">
        <f ca="1">IFERROR(__xludf.DUMMYFUNCTION("""COMPUTED_VALUE"""),"VerifyRowCalculationBaseWindow")</f>
        <v>VerifyRowCalculationBaseWindow</v>
      </c>
      <c r="T4" s="20" t="str">
        <f ca="1">IFERROR(__xludf.DUMMYFUNCTION("""COMPUTED_VALUE"""),"VerifySecurityWindow")</f>
        <v>VerifySecurityWindow</v>
      </c>
      <c r="U4" s="20" t="str">
        <f ca="1">IFERROR(__xludf.DUMMYFUNCTION("""COMPUTED_VALUE"""),"VerifySymbolDataWindow")</f>
        <v>VerifySymbolDataWindow</v>
      </c>
      <c r="V4" s="20" t="str">
        <f ca="1">IFERROR(__xludf.DUMMYFUNCTION("""COMPUTED_VALUE"""),"VerifySymbolDivisorWindow")</f>
        <v>VerifySymbolDivisorWindow</v>
      </c>
      <c r="W4" s="20" t="str">
        <f ca="1">IFERROR(__xludf.DUMMYFUNCTION("""COMPUTED_VALUE"""),"VerifyTaxlotWindow")</f>
        <v>VerifyTaxlotWindow</v>
      </c>
      <c r="X4" s="20" t="str">
        <f ca="1">IFERROR(__xludf.DUMMYFUNCTION("""COMPUTED_VALUE"""),"RestartEsper")</f>
        <v>RestartEsper</v>
      </c>
      <c r="Y4" s="20" t="str">
        <f ca="1">IFERROR(__xludf.DUMMYFUNCTION("""COMPUTED_VALUE"""),"VerifyAccountNavPreferenceWindow")</f>
        <v>VerifyAccountNavPreferenceWindow</v>
      </c>
      <c r="Z4" s="20" t="str">
        <f ca="1">IFERROR(__xludf.DUMMYFUNCTION("""COMPUTED_VALUE"""),"VerifyAggregationAccountUnderlyingSymbolWithNav")</f>
        <v>VerifyAggregationAccountUnderlyingSymbolWithNav</v>
      </c>
      <c r="AA4" s="20" t="str">
        <f ca="1">IFERROR(__xludf.DUMMYFUNCTION("""COMPUTED_VALUE"""),"VerifyAggregationAssetWithNav")</f>
        <v>VerifyAggregationAssetWithNav</v>
      </c>
      <c r="AB4" s="20" t="str">
        <f ca="1">IFERROR(__xludf.DUMMYFUNCTION("""COMPUTED_VALUE"""),"VerifyAggregationSymbolWithNav")</f>
        <v>VerifyAggregationSymbolWithNav</v>
      </c>
      <c r="AC4" s="20" t="str">
        <f ca="1">IFERROR(__xludf.DUMMYFUNCTION("""COMPUTED_VALUE"""),"VerifyAggregationSubSectorWithNav")</f>
        <v>VerifyAggregationSubSectorWithNav</v>
      </c>
      <c r="AD4" s="20" t="str">
        <f ca="1">IFERROR(__xludf.DUMMYFUNCTION("""COMPUTED_VALUE"""),"VerifyAggregationGlobalWithNav")</f>
        <v>VerifyAggregationGlobalWithNav</v>
      </c>
      <c r="AE4" s="20" t="str">
        <f ca="1">IFERROR(__xludf.DUMMYFUNCTION("""COMPUTED_VALUE"""),"VerifyAggregationGlobalWithNav")</f>
        <v>VerifyAggregationGlobalWithNav</v>
      </c>
      <c r="AF4" s="20" t="str">
        <f ca="1">IFERROR(__xludf.DUMMYFUNCTION("""COMPUTED_VALUE"""),"VerifyGlobalDivisorWindow")</f>
        <v>VerifyGlobalDivisorWindow</v>
      </c>
      <c r="AG4" s="20" t="str">
        <f ca="1">IFERROR(__xludf.DUMMYFUNCTION("""COMPUTED_VALUE"""),"VerifyAccrualForAccountWindow")</f>
        <v>VerifyAccrualForAccountWindow</v>
      </c>
      <c r="AH4" s="20" t="str">
        <f ca="1">IFERROR(__xludf.DUMMYFUNCTION("""COMPUTED_VALUE"""),"VerifyGlobalDivisorWindow")</f>
        <v>VerifyGlobalDivisorWindow</v>
      </c>
      <c r="AI4" s="20" t="str">
        <f ca="1">IFERROR(__xludf.DUMMYFUNCTION("""COMPUTED_VALUE"""),"VerifyMasterFundDivisorWindow")</f>
        <v>VerifyMasterFundDivisorWindow</v>
      </c>
      <c r="AJ4" s="20" t="str">
        <f ca="1">IFERROR(__xludf.DUMMYFUNCTION("""COMPUTED_VALUE"""),"VerifyMasterFundSymbolDivisorWindow")</f>
        <v>VerifyMasterFundSymbolDivisorWindow</v>
      </c>
      <c r="AK4" s="20" t="str">
        <f ca="1">IFERROR(__xludf.DUMMYFUNCTION("""COMPUTED_VALUE"""),"VerifyAggAccountSymbolWithNav")</f>
        <v>VerifyAggAccountSymbolWithNav</v>
      </c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</row>
    <row r="5" spans="1:193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IFERROR(__xludf.DUMMYFUNCTION("""COMPUTED_VALUE"""),"taxlotType")</f>
        <v>taxlotType</v>
      </c>
      <c r="C5" s="22" t="str">
        <f ca="1">IFERROR(__xludf.DUMMYFUNCTION("""COMPUTED_VALUE"""),"accountId")</f>
        <v>accountId</v>
      </c>
      <c r="D5" s="22" t="str">
        <f ca="1">IFERROR(__xludf.DUMMYFUNCTION("""COMPUTED_VALUE"""),"compressionLevel")</f>
        <v>compressionLevel</v>
      </c>
      <c r="E5" s="22" t="str">
        <f ca="1">IFERROR(__xludf.DUMMYFUNCTION("""COMPUTED_VALUE"""),"accountShortName")</f>
        <v>accountShortName</v>
      </c>
      <c r="F5" s="23" t="str">
        <f ca="1">IFERROR(__xludf.DUMMYFUNCTION("""COMPUTED_VALUE"""),"accountLongName")</f>
        <v>accountLongName</v>
      </c>
      <c r="G5" s="22" t="str">
        <f ca="1">IFERROR(__xludf.DUMMYFUNCTION("""COMPUTED_VALUE"""),"symbol")</f>
        <v>symbol</v>
      </c>
      <c r="H5" s="22" t="str">
        <f ca="1">IFERROR(__xludf.DUMMYFUNCTION("""COMPUTED_VALUE"""),"underlyingSymbol")</f>
        <v>underlyingSymbol</v>
      </c>
      <c r="I5" s="22" t="str">
        <f ca="1">IFERROR(__xludf.DUMMYFUNCTION("""COMPUTED_VALUE"""),"exchange")</f>
        <v>exchange</v>
      </c>
      <c r="J5" s="22" t="str">
        <f ca="1">IFERROR(__xludf.DUMMYFUNCTION("""COMPUTED_VALUE"""),"currency")</f>
        <v>currency</v>
      </c>
      <c r="K5" s="22" t="str">
        <f ca="1">IFERROR(__xludf.DUMMYFUNCTION("""COMPUTED_VALUE"""),"sector")</f>
        <v>sector</v>
      </c>
      <c r="L5" s="22" t="str">
        <f ca="1">IFERROR(__xludf.DUMMYFUNCTION("""COMPUTED_VALUE"""),"subSector")</f>
        <v>subSector</v>
      </c>
      <c r="M5" s="22" t="str">
        <f ca="1">IFERROR(__xludf.DUMMYFUNCTION("""COMPUTED_VALUE"""),"udaAsset")</f>
        <v>udaAsset</v>
      </c>
      <c r="N5" s="22" t="str">
        <f ca="1">IFERROR(__xludf.DUMMYFUNCTION("""COMPUTED_VALUE"""),"udaSecurityType")</f>
        <v>udaSecurityType</v>
      </c>
      <c r="O5" s="22" t="str">
        <f ca="1">IFERROR(__xludf.DUMMYFUNCTION("""COMPUTED_VALUE"""),"udaCountry")</f>
        <v>udaCountry</v>
      </c>
      <c r="P5" s="22" t="str">
        <f ca="1">IFERROR(__xludf.DUMMYFUNCTION("""COMPUTED_VALUE"""),"underlyingCountry")</f>
        <v>underlyingCountry</v>
      </c>
      <c r="Q5" s="22" t="str">
        <f ca="1">IFERROR(__xludf.DUMMYFUNCTION("""COMPUTED_VALUE"""),"assetId")</f>
        <v>assetId</v>
      </c>
      <c r="R5" s="22" t="str">
        <f ca="1">IFERROR(__xludf.DUMMYFUNCTION("""COMPUTED_VALUE"""),"asset")</f>
        <v>asset</v>
      </c>
      <c r="S5" s="22" t="str">
        <f ca="1">IFERROR(__xludf.DUMMYFUNCTION("""COMPUTED_VALUE"""),"underlyingAsset")</f>
        <v>underlyingAsset</v>
      </c>
      <c r="T5" s="24" t="str">
        <f ca="1">IFERROR(__xludf.DUMMYFUNCTION("""COMPUTED_VALUE"""),"masterFundId")</f>
        <v>masterFundId</v>
      </c>
      <c r="U5" s="24" t="str">
        <f ca="1">IFERROR(__xludf.DUMMYFUNCTION("""COMPUTED_VALUE"""),"masterFundName")</f>
        <v>masterFundName</v>
      </c>
      <c r="V5" s="24" t="str">
        <f ca="1">IFERROR(__xludf.DUMMYFUNCTION("""COMPUTED_VALUE"""),"putOrCall")</f>
        <v>putOrCall</v>
      </c>
      <c r="W5" s="24" t="str">
        <f ca="1">IFERROR(__xludf.DUMMYFUNCTION("""COMPUTED_VALUE"""),"strikePrice")</f>
        <v>strikePrice</v>
      </c>
      <c r="X5" s="24" t="str">
        <f ca="1">IFERROR(__xludf.DUMMYFUNCTION("""COMPUTED_VALUE"""),"riskCurrency")</f>
        <v>riskCurrency</v>
      </c>
      <c r="Y5" s="24" t="str">
        <f ca="1">IFERROR(__xludf.DUMMYFUNCTION("""COMPUTED_VALUE"""),"issuer")</f>
        <v>issuer</v>
      </c>
      <c r="Z5" s="24" t="str">
        <f ca="1">IFERROR(__xludf.DUMMYFUNCTION("""COMPUTED_VALUE"""),"countryOfRisk")</f>
        <v>countryOfRisk</v>
      </c>
      <c r="AA5" s="24" t="str">
        <f ca="1">IFERROR(__xludf.DUMMYFUNCTION("""COMPUTED_VALUE"""),"region")</f>
        <v>region</v>
      </c>
      <c r="AB5" s="24" t="str">
        <f ca="1">IFERROR(__xludf.DUMMYFUNCTION("""COMPUTED_VALUE"""),"analyst")</f>
        <v>analyst</v>
      </c>
      <c r="AC5" s="24" t="str">
        <f ca="1">IFERROR(__xludf.DUMMYFUNCTION("""COMPUTED_VALUE"""),"ucitsEligibleTag")</f>
        <v>ucitsEligibleTag</v>
      </c>
      <c r="AD5" s="24" t="str">
        <f ca="1">IFERROR(__xludf.DUMMYFUNCTION("""COMPUTED_VALUE"""),"liquidTag")</f>
        <v>liquidTag</v>
      </c>
      <c r="AE5" s="24" t="str">
        <f ca="1">IFERROR(__xludf.DUMMYFUNCTION("""COMPUTED_VALUE"""),"marketCap")</f>
        <v>marketCap</v>
      </c>
      <c r="AF5" s="24" t="str">
        <f ca="1">IFERROR(__xludf.DUMMYFUNCTION("""COMPUTED_VALUE"""),"customUDA1")</f>
        <v>customUDA1</v>
      </c>
      <c r="AG5" s="24" t="str">
        <f ca="1">IFERROR(__xludf.DUMMYFUNCTION("""COMPUTED_VALUE"""),"customUDA2")</f>
        <v>customUDA2</v>
      </c>
      <c r="AH5" s="24" t="str">
        <f ca="1">IFERROR(__xludf.DUMMYFUNCTION("""COMPUTED_VALUE"""),"customUDA3")</f>
        <v>customUDA3</v>
      </c>
      <c r="AI5" s="24" t="str">
        <f ca="1">IFERROR(__xludf.DUMMYFUNCTION("""COMPUTED_VALUE"""),"customUDA4")</f>
        <v>customUDA4</v>
      </c>
      <c r="AJ5" s="24" t="str">
        <f ca="1">IFERROR(__xludf.DUMMYFUNCTION("""COMPUTED_VALUE"""),"customUDA5")</f>
        <v>customUDA5</v>
      </c>
      <c r="AK5" s="24" t="str">
        <f ca="1">IFERROR(__xludf.DUMMYFUNCTION("""COMPUTED_VALUE"""),"customUDA6")</f>
        <v>customUDA6</v>
      </c>
      <c r="AL5" s="24" t="str">
        <f ca="1">IFERROR(__xludf.DUMMYFUNCTION("""COMPUTED_VALUE"""),"customUDA7")</f>
        <v>customUDA7</v>
      </c>
      <c r="AM5" s="24" t="str">
        <f ca="1">IFERROR(__xludf.DUMMYFUNCTION("""COMPUTED_VALUE"""),"todayAbsTradeQuantity")</f>
        <v>todayAbsTradeQuantity</v>
      </c>
      <c r="AN5" s="24" t="str">
        <f ca="1">IFERROR(__xludf.DUMMYFUNCTION("""COMPUTED_VALUE"""),"todayLongTradeQuantity")</f>
        <v>todayLongTradeQuantity</v>
      </c>
      <c r="AO5" s="24" t="str">
        <f ca="1">IFERROR(__xludf.DUMMYFUNCTION("""COMPUTED_VALUE"""),"todayShortTradeQuantity")</f>
        <v>todayShortTradeQuantity</v>
      </c>
      <c r="AP5" s="24" t="str">
        <f ca="1">IFERROR(__xludf.DUMMYFUNCTION("""COMPUTED_VALUE"""),"todayNetNotionalBase")</f>
        <v>todayNetNotionalBase</v>
      </c>
      <c r="AQ5" s="24" t="str">
        <f ca="1">IFERROR(__xludf.DUMMYFUNCTION("""COMPUTED_VALUE"""),"todayLongNotionalBase")</f>
        <v>todayLongNotionalBase</v>
      </c>
      <c r="AR5" s="24" t="str">
        <f ca="1">IFERROR(__xludf.DUMMYFUNCTION("""COMPUTED_VALUE"""),"todayShortNotionalBase")</f>
        <v>todayShortNotionalBase</v>
      </c>
      <c r="AS5" s="24" t="str">
        <f ca="1">IFERROR(__xludf.DUMMYFUNCTION("""COMPUTED_VALUE"""),"quantity")</f>
        <v>quantity</v>
      </c>
      <c r="AT5" s="24" t="str">
        <f ca="1">IFERROR(__xludf.DUMMYFUNCTION("""COMPUTED_VALUE"""),"netMarketValueLocal")</f>
        <v>netMarketValueLocal</v>
      </c>
      <c r="AU5" s="24" t="str">
        <f ca="1">IFERROR(__xludf.DUMMYFUNCTION("""COMPUTED_VALUE"""),"yesterdayMarketValueLocal")</f>
        <v>yesterdayMarketValueLocal</v>
      </c>
      <c r="AV5" s="24" t="str">
        <f ca="1">IFERROR(__xludf.DUMMYFUNCTION("""COMPUTED_VALUE"""),"grossMarketValueLocal")</f>
        <v>grossMarketValueLocal</v>
      </c>
      <c r="AW5" s="24" t="str">
        <f ca="1">IFERROR(__xludf.DUMMYFUNCTION("""COMPUTED_VALUE"""),"notionalLocal")</f>
        <v>notionalLocal</v>
      </c>
      <c r="AX5" s="24" t="str">
        <f ca="1">IFERROR(__xludf.DUMMYFUNCTION("""COMPUTED_VALUE"""),"equityHaircutLocal")</f>
        <v>equityHaircutLocal</v>
      </c>
      <c r="AY5" s="24" t="str">
        <f ca="1">IFERROR(__xludf.DUMMYFUNCTION("""COMPUTED_VALUE"""),"indexHaircutLocal")</f>
        <v>indexHaircutLocal</v>
      </c>
      <c r="AZ5" s="24" t="str">
        <f ca="1">IFERROR(__xludf.DUMMYFUNCTION("""COMPUTED_VALUE"""),"equityHaircutBase")</f>
        <v>equityHaircutBase</v>
      </c>
      <c r="BA5" s="24" t="str">
        <f ca="1">IFERROR(__xludf.DUMMYFUNCTION("""COMPUTED_VALUE"""),"indexHaircutBase")</f>
        <v>indexHaircutBase</v>
      </c>
      <c r="BB5" s="24" t="str">
        <f ca="1">IFERROR(__xludf.DUMMYFUNCTION("""COMPUTED_VALUE"""),"cashImpactLocal")</f>
        <v>cashImpactLocal</v>
      </c>
      <c r="BC5" s="24" t="str">
        <f ca="1">IFERROR(__xludf.DUMMYFUNCTION("""COMPUTED_VALUE"""),"cashInflowLocal")</f>
        <v>cashInflowLocal</v>
      </c>
      <c r="BD5" s="24" t="str">
        <f ca="1">IFERROR(__xludf.DUMMYFUNCTION("""COMPUTED_VALUE"""),"cashOutflowLocal")</f>
        <v>cashOutflowLocal</v>
      </c>
      <c r="BE5" s="24" t="str">
        <f ca="1">IFERROR(__xludf.DUMMYFUNCTION("""COMPUTED_VALUE"""),"costBasisPnLLocal")</f>
        <v>costBasisPnLLocal</v>
      </c>
      <c r="BF5" s="24" t="str">
        <f ca="1">IFERROR(__xludf.DUMMYFUNCTION("""COMPUTED_VALUE"""),"dayPnLLocal")</f>
        <v>dayPnLLocal</v>
      </c>
      <c r="BG5" s="24" t="str">
        <f ca="1">IFERROR(__xludf.DUMMYFUNCTION("""COMPUTED_VALUE"""),"netExposureLocal")</f>
        <v>netExposureLocal</v>
      </c>
      <c r="BH5" s="24" t="str">
        <f ca="1">IFERROR(__xludf.DUMMYFUNCTION("""COMPUTED_VALUE"""),"grossExposureLocal")</f>
        <v>grossExposureLocal</v>
      </c>
      <c r="BI5" s="24" t="str">
        <f ca="1">IFERROR(__xludf.DUMMYFUNCTION("""COMPUTED_VALUE"""),"betaAdjustedExposureLocal")</f>
        <v>betaAdjustedExposureLocal</v>
      </c>
      <c r="BJ5" s="24" t="str">
        <f ca="1">IFERROR(__xludf.DUMMYFUNCTION("""COMPUTED_VALUE"""),"deltaAdjPosition")</f>
        <v>deltaAdjPosition</v>
      </c>
      <c r="BK5" s="24" t="str">
        <f ca="1">IFERROR(__xludf.DUMMYFUNCTION("""COMPUTED_VALUE"""),"liquidationPnlLocal")</f>
        <v>liquidationPnlLocal</v>
      </c>
      <c r="BL5" s="24" t="str">
        <f ca="1">IFERROR(__xludf.DUMMYFUNCTION("""COMPUTED_VALUE"""),"liquidationPnlBase")</f>
        <v>liquidationPnlBase</v>
      </c>
      <c r="BM5" s="24" t="str">
        <f ca="1">IFERROR(__xludf.DUMMYFUNCTION("""COMPUTED_VALUE"""),"underlyingValueForOptionsLocal")</f>
        <v>underlyingValueForOptionsLocal</v>
      </c>
      <c r="BN5" s="24" t="str">
        <f ca="1">IFERROR(__xludf.DUMMYFUNCTION("""COMPUTED_VALUE"""),"notionalBase")</f>
        <v>notionalBase</v>
      </c>
      <c r="BO5" s="24" t="str">
        <f ca="1">IFERROR(__xludf.DUMMYFUNCTION("""COMPUTED_VALUE"""),"cashImpactBase")</f>
        <v>cashImpactBase</v>
      </c>
      <c r="BP5" s="24" t="str">
        <f ca="1">IFERROR(__xludf.DUMMYFUNCTION("""COMPUTED_VALUE"""),"cashInflowBase")</f>
        <v>cashInflowBase</v>
      </c>
      <c r="BQ5" s="24" t="str">
        <f ca="1">IFERROR(__xludf.DUMMYFUNCTION("""COMPUTED_VALUE"""),"cashOutflowBase")</f>
        <v>cashOutflowBase</v>
      </c>
      <c r="BR5" s="24" t="str">
        <f ca="1">IFERROR(__xludf.DUMMYFUNCTION("""COMPUTED_VALUE"""),"netMarketValueBase")</f>
        <v>netMarketValueBase</v>
      </c>
      <c r="BS5" s="24" t="str">
        <f ca="1">IFERROR(__xludf.DUMMYFUNCTION("""COMPUTED_VALUE"""),"yesterdayMarketValueBase")</f>
        <v>yesterdayMarketValueBase</v>
      </c>
      <c r="BT5" s="24" t="str">
        <f ca="1">IFERROR(__xludf.DUMMYFUNCTION("""COMPUTED_VALUE"""),"grossMarketValueBase")</f>
        <v>grossMarketValueBase</v>
      </c>
      <c r="BU5" s="24" t="str">
        <f ca="1">IFERROR(__xludf.DUMMYFUNCTION("""COMPUTED_VALUE"""),"costBasisPnLBase")</f>
        <v>costBasisPnLBase</v>
      </c>
      <c r="BV5" s="24" t="str">
        <f ca="1">IFERROR(__xludf.DUMMYFUNCTION("""COMPUTED_VALUE"""),"dayPnLBase")</f>
        <v>dayPnLBase</v>
      </c>
      <c r="BW5" s="24" t="str">
        <f ca="1">IFERROR(__xludf.DUMMYFUNCTION("""COMPUTED_VALUE"""),"netExposureBase")</f>
        <v>netExposureBase</v>
      </c>
      <c r="BX5" s="24" t="str">
        <f ca="1">IFERROR(__xludf.DUMMYFUNCTION("""COMPUTED_VALUE"""),"grossExposureBase")</f>
        <v>grossExposureBase</v>
      </c>
      <c r="BY5" s="24" t="str">
        <f ca="1">IFERROR(__xludf.DUMMYFUNCTION("""COMPUTED_VALUE"""),"betaAdjustedExposureBase")</f>
        <v>betaAdjustedExposureBase</v>
      </c>
      <c r="BZ5" s="24" t="str">
        <f ca="1">IFERROR(__xludf.DUMMYFUNCTION("""COMPUTED_VALUE"""),"underlyingValueForOptionsBase")</f>
        <v>underlyingValueForOptionsBase</v>
      </c>
      <c r="CA5" s="24" t="str">
        <f ca="1">IFERROR(__xludf.DUMMYFUNCTION("""COMPUTED_VALUE"""),"currentFxRate")</f>
        <v>currentFxRate</v>
      </c>
      <c r="CB5" s="24" t="str">
        <f ca="1">IFERROR(__xludf.DUMMYFUNCTION("""COMPUTED_VALUE"""),"yesterdayFxRate")</f>
        <v>yesterdayFxRate</v>
      </c>
      <c r="CC5" s="24" t="str">
        <f ca="1">IFERROR(__xludf.DUMMYFUNCTION("""COMPUTED_VALUE"""),"fxConversionMethod")</f>
        <v>fxConversionMethod</v>
      </c>
      <c r="CD5" s="24" t="str">
        <f ca="1">IFERROR(__xludf.DUMMYFUNCTION("""COMPUTED_VALUE"""),"askPrice")</f>
        <v>askPrice</v>
      </c>
      <c r="CE5" s="24" t="str">
        <f ca="1">IFERROR(__xludf.DUMMYFUNCTION("""COMPUTED_VALUE"""),"bidPrice")</f>
        <v>bidPrice</v>
      </c>
      <c r="CF5" s="24" t="str">
        <f ca="1">IFERROR(__xludf.DUMMYFUNCTION("""COMPUTED_VALUE"""),"lowPrice")</f>
        <v>lowPrice</v>
      </c>
      <c r="CG5" s="24" t="str">
        <f ca="1">IFERROR(__xludf.DUMMYFUNCTION("""COMPUTED_VALUE"""),"highPrice")</f>
        <v>highPrice</v>
      </c>
      <c r="CH5" s="24" t="str">
        <f ca="1">IFERROR(__xludf.DUMMYFUNCTION("""COMPUTED_VALUE"""),"openPrice")</f>
        <v>openPrice</v>
      </c>
      <c r="CI5" s="24" t="str">
        <f ca="1">IFERROR(__xludf.DUMMYFUNCTION("""COMPUTED_VALUE"""),"closePrice")</f>
        <v>closePrice</v>
      </c>
      <c r="CJ5" s="24" t="str">
        <f ca="1">IFERROR(__xludf.DUMMYFUNCTION("""COMPUTED_VALUE"""),"lastPrice")</f>
        <v>lastPrice</v>
      </c>
      <c r="CK5" s="24" t="str">
        <f ca="1">IFERROR(__xludf.DUMMYFUNCTION("""COMPUTED_VALUE"""),"markPrice")</f>
        <v>markPrice</v>
      </c>
      <c r="CL5" s="24" t="str">
        <f ca="1">IFERROR(__xludf.DUMMYFUNCTION("""COMPUTED_VALUE"""),"delta")</f>
        <v>delta</v>
      </c>
      <c r="CM5" s="24" t="str">
        <f ca="1">IFERROR(__xludf.DUMMYFUNCTION("""COMPUTED_VALUE"""),"leveragedFactor")</f>
        <v>leveragedFactor</v>
      </c>
      <c r="CN5" s="24" t="str">
        <f ca="1">IFERROR(__xludf.DUMMYFUNCTION("""COMPUTED_VALUE"""),"beta5YearMonthly")</f>
        <v>beta5YearMonthly</v>
      </c>
      <c r="CO5" s="24" t="str">
        <f ca="1">IFERROR(__xludf.DUMMYFUNCTION("""COMPUTED_VALUE"""),"selectedFeedPrice")</f>
        <v>selectedFeedPrice</v>
      </c>
      <c r="CP5" s="24" t="str">
        <f ca="1">IFERROR(__xludf.DUMMYFUNCTION("""COMPUTED_VALUE"""),"openInterest")</f>
        <v>openInterest</v>
      </c>
      <c r="CQ5" s="24" t="str">
        <f ca="1">IFERROR(__xludf.DUMMYFUNCTION("""COMPUTED_VALUE"""),"underlyingPrice")</f>
        <v>underlyingPrice</v>
      </c>
      <c r="CR5" s="24" t="str">
        <f ca="1">IFERROR(__xludf.DUMMYFUNCTION("""COMPUTED_VALUE"""),"avgVolume20Days")</f>
        <v>avgVolume20Days</v>
      </c>
      <c r="CS5" s="24" t="str">
        <f ca="1">IFERROR(__xludf.DUMMYFUNCTION("""COMPUTED_VALUE"""),"percentAvgVolume")</f>
        <v>percentAvgVolume</v>
      </c>
      <c r="CT5" s="24" t="str">
        <f ca="1">IFERROR(__xludf.DUMMYFUNCTION("""COMPUTED_VALUE"""),"sharesOutstanding")</f>
        <v>sharesOutstanding</v>
      </c>
      <c r="CU5" s="24" t="str">
        <f ca="1">IFERROR(__xludf.DUMMYFUNCTION("""COMPUTED_VALUE"""),"underlyingSharesOutstanding")</f>
        <v>underlyingSharesOutstanding</v>
      </c>
      <c r="CV5" s="24" t="str">
        <f ca="1">IFERROR(__xludf.DUMMYFUNCTION("""COMPUTED_VALUE"""),"marketCapitalization")</f>
        <v>marketCapitalization</v>
      </c>
      <c r="CW5" s="24" t="str">
        <f ca="1">IFERROR(__xludf.DUMMYFUNCTION("""COMPUTED_VALUE"""),"underlyingMarketCapitalization")</f>
        <v>underlyingMarketCapitalization</v>
      </c>
      <c r="CX5" s="24" t="str">
        <f ca="1">IFERROR(__xludf.DUMMYFUNCTION("""COMPUTED_VALUE"""),"avgVolume")</f>
        <v>avgVolume</v>
      </c>
      <c r="CY5" s="24" t="str">
        <f ca="1">IFERROR(__xludf.DUMMYFUNCTION("""COMPUTED_VALUE"""),"businessDaysToExpire")</f>
        <v>businessDaysToExpire</v>
      </c>
      <c r="CZ5" s="24" t="str">
        <f ca="1">IFERROR(__xludf.DUMMYFUNCTION("""COMPUTED_VALUE"""),"actualDaysToExpire")</f>
        <v>actualDaysToExpire</v>
      </c>
      <c r="DA5" s="24" t="str">
        <f ca="1">IFERROR(__xludf.DUMMYFUNCTION("""COMPUTED_VALUE"""),"equivalent")</f>
        <v>equivalent</v>
      </c>
      <c r="DB5" s="24" t="str">
        <f ca="1">IFERROR(__xludf.DUMMYFUNCTION("""COMPUTED_VALUE"""),"multiplier")</f>
        <v>multiplier</v>
      </c>
      <c r="DC5" s="24" t="str">
        <f ca="1">IFERROR(__xludf.DUMMYFUNCTION("""COMPUTED_VALUE"""),"dayInterestBase")</f>
        <v>dayInterestBase</v>
      </c>
      <c r="DD5" s="24" t="str">
        <f ca="1">IFERROR(__xludf.DUMMYFUNCTION("""COMPUTED_VALUE"""),"totalInterestBase")</f>
        <v>totalInterestBase</v>
      </c>
      <c r="DE5" s="24" t="str">
        <f ca="1">IFERROR(__xludf.DUMMYFUNCTION("""COMPUTED_VALUE"""),"dayInterestLocal")</f>
        <v>dayInterestLocal</v>
      </c>
      <c r="DF5" s="24" t="str">
        <f ca="1">IFERROR(__xludf.DUMMYFUNCTION("""COMPUTED_VALUE"""),"totalInterestLocal")</f>
        <v>totalInterestLocal</v>
      </c>
      <c r="DG5" s="24" t="str">
        <f ca="1">IFERROR(__xludf.DUMMYFUNCTION("""COMPUTED_VALUE"""),"defaultPositionSide")</f>
        <v>defaultPositionSide</v>
      </c>
      <c r="DH5" s="24" t="str">
        <f ca="1">IFERROR(__xludf.DUMMYFUNCTION("""COMPUTED_VALUE"""),"exposurePositionSide")</f>
        <v>exposurePositionSide</v>
      </c>
      <c r="DI5" s="24" t="str">
        <f ca="1">IFERROR(__xludf.DUMMYFUNCTION("""COMPUTED_VALUE"""),"longNotionalBase")</f>
        <v>longNotionalBase</v>
      </c>
      <c r="DJ5" s="24" t="str">
        <f ca="1">IFERROR(__xludf.DUMMYFUNCTION("""COMPUTED_VALUE"""),"shortNotionalBase")</f>
        <v>shortNotionalBase</v>
      </c>
      <c r="DK5" s="24" t="str">
        <f ca="1">IFERROR(__xludf.DUMMYFUNCTION("""COMPUTED_VALUE"""),"shortMarketValueBase")</f>
        <v>shortMarketValueBase</v>
      </c>
      <c r="DL5" s="24" t="str">
        <f ca="1">IFERROR(__xludf.DUMMYFUNCTION("""COMPUTED_VALUE"""),"longMarketValueBase")</f>
        <v>longMarketValueBase</v>
      </c>
      <c r="DM5" s="24" t="str">
        <f ca="1">IFERROR(__xludf.DUMMYFUNCTION("""COMPUTED_VALUE"""),"shortExposureBase")</f>
        <v>shortExposureBase</v>
      </c>
      <c r="DN5" s="24" t="str">
        <f ca="1">IFERROR(__xludf.DUMMYFUNCTION("""COMPUTED_VALUE"""),"longExposureBase")</f>
        <v>longExposureBase</v>
      </c>
      <c r="DO5" s="24" t="str">
        <f ca="1">IFERROR(__xludf.DUMMYFUNCTION("""COMPUTED_VALUE"""),"globalNav")</f>
        <v>globalNav</v>
      </c>
      <c r="DP5" s="24" t="str">
        <f ca="1">IFERROR(__xludf.DUMMYFUNCTION("""COMPUTED_VALUE"""),"startOfDayNavGlobal")</f>
        <v>startOfDayNavGlobal</v>
      </c>
      <c r="DQ5" s="24" t="str">
        <f ca="1">IFERROR(__xludf.DUMMYFUNCTION("""COMPUTED_VALUE"""),"grossMarketValueBaseGlobal")</f>
        <v>grossMarketValueBaseGlobal</v>
      </c>
      <c r="DR5" s="24" t="str">
        <f ca="1">IFERROR(__xludf.DUMMYFUNCTION("""COMPUTED_VALUE"""),"grossExposureBaseGlobal")</f>
        <v>grossExposureBaseGlobal</v>
      </c>
      <c r="DS5" s="24" t="str">
        <f ca="1">IFERROR(__xludf.DUMMYFUNCTION("""COMPUTED_VALUE"""),"netExposureBaseGlobal")</f>
        <v>netExposureBaseGlobal</v>
      </c>
      <c r="DT5" s="24" t="str">
        <f ca="1">IFERROR(__xludf.DUMMYFUNCTION("""COMPUTED_VALUE"""),"accountNav")</f>
        <v>accountNav</v>
      </c>
      <c r="DU5" s="24" t="str">
        <f ca="1">IFERROR(__xludf.DUMMYFUNCTION("""COMPUTED_VALUE"""),"accountNRA")</f>
        <v>accountNRA</v>
      </c>
      <c r="DV5" s="24" t="str">
        <f ca="1">IFERROR(__xludf.DUMMYFUNCTION("""COMPUTED_VALUE"""),"startOfDayNavAccount")</f>
        <v>startOfDayNavAccount</v>
      </c>
      <c r="DW5" s="24" t="str">
        <f ca="1">IFERROR(__xludf.DUMMYFUNCTION("""COMPUTED_VALUE"""),"grossMarketValueBaseAccount")</f>
        <v>grossMarketValueBaseAccount</v>
      </c>
      <c r="DX5" s="24" t="str">
        <f ca="1">IFERROR(__xludf.DUMMYFUNCTION("""COMPUTED_VALUE"""),"grossExposureBaseAccount")</f>
        <v>grossExposureBaseAccount</v>
      </c>
      <c r="DY5" s="24" t="str">
        <f ca="1">IFERROR(__xludf.DUMMYFUNCTION("""COMPUTED_VALUE"""),"netExposureBaseAccount")</f>
        <v>netExposureBaseAccount</v>
      </c>
      <c r="DZ5" s="24" t="str">
        <f ca="1">IFERROR(__xludf.DUMMYFUNCTION("""COMPUTED_VALUE"""),"currentCash")</f>
        <v>currentCash</v>
      </c>
      <c r="EA5" s="24" t="str">
        <f ca="1">IFERROR(__xludf.DUMMYFUNCTION("""COMPUTED_VALUE"""),"accrual")</f>
        <v>accrual</v>
      </c>
      <c r="EB5" s="24" t="str">
        <f ca="1">IFERROR(__xludf.DUMMYFUNCTION("""COMPUTED_VALUE"""),"masterFundNav")</f>
        <v>masterFundNav</v>
      </c>
      <c r="EC5" s="24" t="str">
        <f ca="1">IFERROR(__xludf.DUMMYFUNCTION("""COMPUTED_VALUE"""),"startOfDayNavMasterFund")</f>
        <v>startOfDayNavMasterFund</v>
      </c>
      <c r="ED5" s="24" t="str">
        <f ca="1">IFERROR(__xludf.DUMMYFUNCTION("""COMPUTED_VALUE"""),"grossMarketValueBaseMasterFund")</f>
        <v>grossMarketValueBaseMasterFund</v>
      </c>
      <c r="EE5" s="24" t="str">
        <f ca="1">IFERROR(__xludf.DUMMYFUNCTION("""COMPUTED_VALUE"""),"grossExposureBaseMasterFund")</f>
        <v>grossExposureBaseMasterFund</v>
      </c>
      <c r="EF5" s="24" t="str">
        <f ca="1">IFERROR(__xludf.DUMMYFUNCTION("""COMPUTED_VALUE"""),"netExposureBaseMasterFund")</f>
        <v>netExposureBaseMasterFund</v>
      </c>
      <c r="EG5" s="24" t="str">
        <f ca="1">IFERROR(__xludf.DUMMYFUNCTION("""COMPUTED_VALUE"""),"percentNetMarketValueAccount")</f>
        <v>percentNetMarketValueAccount</v>
      </c>
      <c r="EH5" s="24" t="str">
        <f ca="1">IFERROR(__xludf.DUMMYFUNCTION("""COMPUTED_VALUE"""),"percentLongExposureAccount")</f>
        <v>percentLongExposureAccount</v>
      </c>
      <c r="EI5" s="24" t="str">
        <f ca="1">IFERROR(__xludf.DUMMYFUNCTION("""COMPUTED_VALUE"""),"percentShortExposureAccount")</f>
        <v>percentShortExposureAccount</v>
      </c>
      <c r="EJ5" s="24" t="str">
        <f ca="1">IFERROR(__xludf.DUMMYFUNCTION("""COMPUTED_VALUE"""),"percentNetExposureAccount")</f>
        <v>percentNetExposureAccount</v>
      </c>
      <c r="EK5" s="24" t="str">
        <f ca="1">IFERROR(__xludf.DUMMYFUNCTION("""COMPUTED_VALUE"""),"percentBetaAdjustedExposureAccount")</f>
        <v>percentBetaAdjustedExposureAccount</v>
      </c>
      <c r="EL5" s="24" t="str">
        <f ca="1">IFERROR(__xludf.DUMMYFUNCTION("""COMPUTED_VALUE"""),"percentGrossExposureAccount")</f>
        <v>percentGrossExposureAccount</v>
      </c>
      <c r="EM5" s="24" t="str">
        <f ca="1">IFERROR(__xludf.DUMMYFUNCTION("""COMPUTED_VALUE"""),"percentLongMarketValueAccount")</f>
        <v>percentLongMarketValueAccount</v>
      </c>
      <c r="EN5" s="24" t="str">
        <f ca="1">IFERROR(__xludf.DUMMYFUNCTION("""COMPUTED_VALUE"""),"percentShortMarketValueAccount")</f>
        <v>percentShortMarketValueAccount</v>
      </c>
      <c r="EO5" s="24" t="str">
        <f ca="1">IFERROR(__xludf.DUMMYFUNCTION("""COMPUTED_VALUE"""),"percentGrossMarketValueAccount")</f>
        <v>percentGrossMarketValueAccount</v>
      </c>
      <c r="EP5" s="24" t="str">
        <f ca="1">IFERROR(__xludf.DUMMYFUNCTION("""COMPUTED_VALUE"""),"percentLongNotionalAccount")</f>
        <v>percentLongNotionalAccount</v>
      </c>
      <c r="EQ5" s="24" t="str">
        <f ca="1">IFERROR(__xludf.DUMMYFUNCTION("""COMPUTED_VALUE"""),"percentShortNotionalAccount")</f>
        <v>percentShortNotionalAccount</v>
      </c>
      <c r="ER5" s="24" t="str">
        <f ca="1">IFERROR(__xludf.DUMMYFUNCTION("""COMPUTED_VALUE"""),"percentNetNotionalAccount")</f>
        <v>percentNetNotionalAccount</v>
      </c>
      <c r="ES5" s="24" t="str">
        <f ca="1">IFERROR(__xludf.DUMMYFUNCTION("""COMPUTED_VALUE"""),"pnlContributionAccount")</f>
        <v>pnlContributionAccount</v>
      </c>
      <c r="ET5" s="24" t="str">
        <f ca="1">IFERROR(__xludf.DUMMYFUNCTION("""COMPUTED_VALUE"""),"percentCostBasisPnlAccount")</f>
        <v>percentCostBasisPnlAccount</v>
      </c>
      <c r="EU5" s="24" t="str">
        <f ca="1">IFERROR(__xludf.DUMMYFUNCTION("""COMPUTED_VALUE"""),"dayReturnAccount")</f>
        <v>dayReturnAccount</v>
      </c>
      <c r="EV5" s="24" t="str">
        <f ca="1">IFERROR(__xludf.DUMMYFUNCTION("""COMPUTED_VALUE"""),"percentNetMarketValueMasterFund")</f>
        <v>percentNetMarketValueMasterFund</v>
      </c>
      <c r="EW5" s="24" t="str">
        <f ca="1">IFERROR(__xludf.DUMMYFUNCTION("""COMPUTED_VALUE"""),"percentLongExposureMasterFund")</f>
        <v>percentLongExposureMasterFund</v>
      </c>
      <c r="EX5" s="24" t="str">
        <f ca="1">IFERROR(__xludf.DUMMYFUNCTION("""COMPUTED_VALUE"""),"percentShortExposureMasterFund")</f>
        <v>percentShortExposureMasterFund</v>
      </c>
      <c r="EY5" s="24" t="str">
        <f ca="1">IFERROR(__xludf.DUMMYFUNCTION("""COMPUTED_VALUE"""),"percentNetExposureMasterFund")</f>
        <v>percentNetExposureMasterFund</v>
      </c>
      <c r="EZ5" s="24" t="str">
        <f ca="1">IFERROR(__xludf.DUMMYFUNCTION("""COMPUTED_VALUE"""),"percentBetaAdjustedExposureMasterFund")</f>
        <v>percentBetaAdjustedExposureMasterFund</v>
      </c>
      <c r="FA5" s="24" t="str">
        <f ca="1">IFERROR(__xludf.DUMMYFUNCTION("""COMPUTED_VALUE"""),"percentGrossExposureMasterFund")</f>
        <v>percentGrossExposureMasterFund</v>
      </c>
      <c r="FB5" s="24" t="str">
        <f ca="1">IFERROR(__xludf.DUMMYFUNCTION("""COMPUTED_VALUE"""),"percentLongMarketValueMasterFund")</f>
        <v>percentLongMarketValueMasterFund</v>
      </c>
      <c r="FC5" s="24" t="str">
        <f ca="1">IFERROR(__xludf.DUMMYFUNCTION("""COMPUTED_VALUE"""),"percentShortMarketValueMasterFund")</f>
        <v>percentShortMarketValueMasterFund</v>
      </c>
      <c r="FD5" s="24" t="str">
        <f ca="1">IFERROR(__xludf.DUMMYFUNCTION("""COMPUTED_VALUE"""),"percentGrossMarketValueMasterFund")</f>
        <v>percentGrossMarketValueMasterFund</v>
      </c>
      <c r="FE5" s="24" t="str">
        <f ca="1">IFERROR(__xludf.DUMMYFUNCTION("""COMPUTED_VALUE"""),"percentLongNotionalMasterFund")</f>
        <v>percentLongNotionalMasterFund</v>
      </c>
      <c r="FF5" s="24" t="str">
        <f ca="1">IFERROR(__xludf.DUMMYFUNCTION("""COMPUTED_VALUE"""),"percentShortNotionalMasterFund")</f>
        <v>percentShortNotionalMasterFund</v>
      </c>
      <c r="FG5" s="24" t="str">
        <f ca="1">IFERROR(__xludf.DUMMYFUNCTION("""COMPUTED_VALUE"""),"percentNetNotionalMasterFund")</f>
        <v>percentNetNotionalMasterFund</v>
      </c>
      <c r="FH5" s="24" t="str">
        <f ca="1">IFERROR(__xludf.DUMMYFUNCTION("""COMPUTED_VALUE"""),"pnlContributionMasterFund")</f>
        <v>pnlContributionMasterFund</v>
      </c>
      <c r="FI5" s="24" t="str">
        <f ca="1">IFERROR(__xludf.DUMMYFUNCTION("""COMPUTED_VALUE"""),"percentCostBasisPnlMasterFund")</f>
        <v>percentCostBasisPnlMasterFund</v>
      </c>
      <c r="FJ5" s="24" t="str">
        <f ca="1">IFERROR(__xludf.DUMMYFUNCTION("""COMPUTED_VALUE"""),"dayReturnMasterFund")</f>
        <v>dayReturnMasterFund</v>
      </c>
      <c r="FK5" s="24" t="str">
        <f ca="1">IFERROR(__xludf.DUMMYFUNCTION("""COMPUTED_VALUE"""),"percentNetMarketValueGlobal")</f>
        <v>percentNetMarketValueGlobal</v>
      </c>
      <c r="FL5" s="24" t="str">
        <f ca="1">IFERROR(__xludf.DUMMYFUNCTION("""COMPUTED_VALUE"""),"percentLongExposureGlobal")</f>
        <v>percentLongExposureGlobal</v>
      </c>
      <c r="FM5" s="24" t="str">
        <f ca="1">IFERROR(__xludf.DUMMYFUNCTION("""COMPUTED_VALUE"""),"percentShortExposureGlobal")</f>
        <v>percentShortExposureGlobal</v>
      </c>
      <c r="FN5" s="24" t="str">
        <f ca="1">IFERROR(__xludf.DUMMYFUNCTION("""COMPUTED_VALUE"""),"percentNetExposureGlobal")</f>
        <v>percentNetExposureGlobal</v>
      </c>
      <c r="FO5" s="24" t="str">
        <f ca="1">IFERROR(__xludf.DUMMYFUNCTION("""COMPUTED_VALUE"""),"percentBetaAdjustedExposureGlobal")</f>
        <v>percentBetaAdjustedExposureGlobal</v>
      </c>
      <c r="FP5" s="24" t="str">
        <f ca="1">IFERROR(__xludf.DUMMYFUNCTION("""COMPUTED_VALUE"""),"percentGrossExposureGlobal")</f>
        <v>percentGrossExposureGlobal</v>
      </c>
      <c r="FQ5" s="24" t="str">
        <f ca="1">IFERROR(__xludf.DUMMYFUNCTION("""COMPUTED_VALUE"""),"percentLongMarketValueGlobal")</f>
        <v>percentLongMarketValueGlobal</v>
      </c>
      <c r="FR5" s="24" t="str">
        <f ca="1">IFERROR(__xludf.DUMMYFUNCTION("""COMPUTED_VALUE"""),"percentShortMarketValueGlobal")</f>
        <v>percentShortMarketValueGlobal</v>
      </c>
      <c r="FS5" s="24" t="str">
        <f ca="1">IFERROR(__xludf.DUMMYFUNCTION("""COMPUTED_VALUE"""),"percentGrossMarketValueGlobal")</f>
        <v>percentGrossMarketValueGlobal</v>
      </c>
      <c r="FT5" s="24" t="str">
        <f ca="1">IFERROR(__xludf.DUMMYFUNCTION("""COMPUTED_VALUE"""),"percentLongNotionalGlobal")</f>
        <v>percentLongNotionalGlobal</v>
      </c>
      <c r="FU5" s="24" t="str">
        <f ca="1">IFERROR(__xludf.DUMMYFUNCTION("""COMPUTED_VALUE"""),"percentShortNotionalGlobal")</f>
        <v>percentShortNotionalGlobal</v>
      </c>
      <c r="FV5" s="24" t="str">
        <f ca="1">IFERROR(__xludf.DUMMYFUNCTION("""COMPUTED_VALUE"""),"percentNetNotionalGlobal")</f>
        <v>percentNetNotionalGlobal</v>
      </c>
      <c r="FW5" s="24" t="str">
        <f ca="1">IFERROR(__xludf.DUMMYFUNCTION("""COMPUTED_VALUE"""),"pnlContributionGlobal")</f>
        <v>pnlContributionGlobal</v>
      </c>
      <c r="FX5" s="24" t="str">
        <f ca="1">IFERROR(__xludf.DUMMYFUNCTION("""COMPUTED_VALUE"""),"percentCostBasisPnlGlobal")</f>
        <v>percentCostBasisPnlGlobal</v>
      </c>
      <c r="FY5" s="24" t="str">
        <f ca="1">IFERROR(__xludf.DUMMYFUNCTION("""COMPUTED_VALUE"""),"dayReturnGlobal")</f>
        <v>dayReturnGlobal</v>
      </c>
      <c r="FZ5" s="24" t="str">
        <f ca="1">IFERROR(__xludf.DUMMYFUNCTION("""COMPUTED_VALUE"""),"longDebitBalance")</f>
        <v>longDebitBalance</v>
      </c>
      <c r="GA5" s="24" t="str">
        <f ca="1">IFERROR(__xludf.DUMMYFUNCTION("""COMPUTED_VALUE"""),"shortCreditBalance")</f>
        <v>shortCreditBalance</v>
      </c>
      <c r="GB5" s="24"/>
      <c r="GC5" s="24"/>
      <c r="GD5" s="24"/>
      <c r="GE5" s="24"/>
      <c r="GF5" s="24"/>
      <c r="GG5" s="24"/>
      <c r="GH5" s="24"/>
      <c r="GI5" s="24"/>
      <c r="GJ5" s="24"/>
      <c r="GK5" s="24"/>
    </row>
    <row r="6" spans="1:193" ht="15.75" customHeight="1">
      <c r="A6" s="39"/>
      <c r="B6" s="29" t="s">
        <v>52</v>
      </c>
      <c r="C6" s="33"/>
      <c r="D6" s="29" t="s">
        <v>53</v>
      </c>
      <c r="E6" s="30" t="s">
        <v>54</v>
      </c>
      <c r="F6" s="30" t="s">
        <v>54</v>
      </c>
      <c r="G6" s="30" t="s">
        <v>21</v>
      </c>
      <c r="H6" s="30" t="s">
        <v>21</v>
      </c>
      <c r="I6" s="30" t="s">
        <v>40</v>
      </c>
      <c r="J6" s="30" t="s">
        <v>55</v>
      </c>
      <c r="K6" s="30" t="s">
        <v>56</v>
      </c>
      <c r="L6" s="30" t="s">
        <v>57</v>
      </c>
      <c r="M6" s="30" t="s">
        <v>37</v>
      </c>
      <c r="N6" s="30" t="s">
        <v>58</v>
      </c>
      <c r="O6" s="33"/>
      <c r="P6" s="33"/>
      <c r="Q6" s="33"/>
      <c r="R6" s="33" t="s">
        <v>37</v>
      </c>
      <c r="S6" s="33"/>
      <c r="T6" s="35"/>
      <c r="U6" s="35" t="s">
        <v>59</v>
      </c>
      <c r="V6" s="35"/>
      <c r="W6" s="44">
        <v>0</v>
      </c>
      <c r="X6" s="35"/>
      <c r="Y6" s="35" t="s">
        <v>60</v>
      </c>
      <c r="Z6" s="35"/>
      <c r="AA6" s="35" t="s">
        <v>61</v>
      </c>
      <c r="AB6" s="35" t="s">
        <v>61</v>
      </c>
      <c r="AC6" s="35" t="s">
        <v>25</v>
      </c>
      <c r="AD6" s="35" t="s">
        <v>62</v>
      </c>
      <c r="AE6" s="35" t="s">
        <v>61</v>
      </c>
      <c r="AF6" s="35" t="s">
        <v>61</v>
      </c>
      <c r="AG6" s="35" t="s">
        <v>61</v>
      </c>
      <c r="AH6" s="35" t="s">
        <v>62</v>
      </c>
      <c r="AI6" s="35" t="s">
        <v>61</v>
      </c>
      <c r="AJ6" s="35" t="s">
        <v>61</v>
      </c>
      <c r="AK6" s="35" t="s">
        <v>61</v>
      </c>
      <c r="AL6" s="35" t="s">
        <v>61</v>
      </c>
      <c r="AM6" s="44">
        <v>50</v>
      </c>
      <c r="AN6" s="44">
        <v>50</v>
      </c>
      <c r="AO6" s="44">
        <v>0</v>
      </c>
      <c r="AP6" s="44">
        <v>0</v>
      </c>
      <c r="AQ6" s="44">
        <v>0</v>
      </c>
      <c r="AR6" s="44">
        <v>0</v>
      </c>
      <c r="AS6" s="44">
        <v>50</v>
      </c>
      <c r="AT6" s="44">
        <v>0</v>
      </c>
      <c r="AU6" s="44">
        <v>0</v>
      </c>
      <c r="AV6" s="44">
        <v>0</v>
      </c>
      <c r="AW6" s="44">
        <v>0</v>
      </c>
      <c r="AX6" s="44">
        <v>0</v>
      </c>
      <c r="AY6" s="44">
        <v>0</v>
      </c>
      <c r="AZ6" s="44">
        <v>0</v>
      </c>
      <c r="BA6" s="44">
        <v>0</v>
      </c>
      <c r="BB6" s="44">
        <v>0</v>
      </c>
      <c r="BC6" s="44">
        <v>0</v>
      </c>
      <c r="BD6" s="44">
        <v>0</v>
      </c>
      <c r="BE6" s="44">
        <v>0</v>
      </c>
      <c r="BF6" s="44">
        <v>0</v>
      </c>
      <c r="BG6" s="44">
        <v>0</v>
      </c>
      <c r="BH6" s="44">
        <v>0</v>
      </c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spans="1:193" ht="15.75" customHeight="1">
      <c r="A7" s="35"/>
      <c r="B7" s="30" t="s">
        <v>52</v>
      </c>
      <c r="C7" s="33"/>
      <c r="D7" s="36" t="s">
        <v>53</v>
      </c>
      <c r="E7" s="30" t="s">
        <v>63</v>
      </c>
      <c r="F7" s="30" t="s">
        <v>63</v>
      </c>
      <c r="G7" s="30" t="s">
        <v>21</v>
      </c>
      <c r="H7" s="30" t="s">
        <v>21</v>
      </c>
      <c r="I7" s="30" t="s">
        <v>40</v>
      </c>
      <c r="J7" s="30" t="s">
        <v>55</v>
      </c>
      <c r="K7" s="30" t="s">
        <v>56</v>
      </c>
      <c r="L7" s="30" t="s">
        <v>57</v>
      </c>
      <c r="M7" s="30" t="s">
        <v>37</v>
      </c>
      <c r="N7" s="30" t="s">
        <v>58</v>
      </c>
      <c r="O7" s="33"/>
      <c r="P7" s="33"/>
      <c r="Q7" s="33"/>
      <c r="R7" s="33" t="s">
        <v>37</v>
      </c>
      <c r="S7" s="33"/>
      <c r="T7" s="35"/>
      <c r="U7" s="35" t="s">
        <v>64</v>
      </c>
      <c r="V7" s="35"/>
      <c r="W7" s="44">
        <v>0</v>
      </c>
      <c r="X7" s="35"/>
      <c r="Y7" s="33" t="s">
        <v>60</v>
      </c>
      <c r="Z7" s="35"/>
      <c r="AA7" s="35" t="s">
        <v>61</v>
      </c>
      <c r="AB7" s="35" t="s">
        <v>61</v>
      </c>
      <c r="AC7" s="35" t="s">
        <v>25</v>
      </c>
      <c r="AD7" s="35" t="s">
        <v>62</v>
      </c>
      <c r="AE7" s="35" t="s">
        <v>61</v>
      </c>
      <c r="AF7" s="35" t="s">
        <v>61</v>
      </c>
      <c r="AG7" s="35" t="s">
        <v>61</v>
      </c>
      <c r="AH7" s="35" t="s">
        <v>62</v>
      </c>
      <c r="AI7" s="35" t="s">
        <v>61</v>
      </c>
      <c r="AJ7" s="35" t="s">
        <v>61</v>
      </c>
      <c r="AK7" s="35" t="s">
        <v>61</v>
      </c>
      <c r="AL7" s="35" t="s">
        <v>61</v>
      </c>
      <c r="AM7" s="44">
        <v>50</v>
      </c>
      <c r="AN7" s="44">
        <v>50</v>
      </c>
      <c r="AO7" s="44">
        <v>0</v>
      </c>
      <c r="AP7" s="44">
        <v>0</v>
      </c>
      <c r="AQ7" s="44">
        <v>0</v>
      </c>
      <c r="AR7" s="44">
        <v>0</v>
      </c>
      <c r="AS7" s="44">
        <v>50</v>
      </c>
      <c r="AT7" s="44">
        <v>0</v>
      </c>
      <c r="AU7" s="44">
        <v>0</v>
      </c>
      <c r="AV7" s="44">
        <v>0</v>
      </c>
      <c r="AW7" s="44">
        <v>0</v>
      </c>
      <c r="AX7" s="44">
        <v>0</v>
      </c>
      <c r="AY7" s="44">
        <v>0</v>
      </c>
      <c r="AZ7" s="44">
        <v>0</v>
      </c>
      <c r="BA7" s="44">
        <v>0</v>
      </c>
      <c r="BB7" s="44">
        <v>0</v>
      </c>
      <c r="BC7" s="44">
        <v>0</v>
      </c>
      <c r="BD7" s="44">
        <v>0</v>
      </c>
      <c r="BE7" s="44">
        <v>0</v>
      </c>
      <c r="BF7" s="44">
        <v>0</v>
      </c>
      <c r="BG7" s="44">
        <v>0</v>
      </c>
      <c r="BH7" s="44">
        <v>0</v>
      </c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spans="1:193" ht="15.75" customHeight="1">
      <c r="A8" s="33"/>
      <c r="B8" s="30" t="s">
        <v>52</v>
      </c>
      <c r="C8" s="33"/>
      <c r="D8" s="30" t="s">
        <v>53</v>
      </c>
      <c r="E8" s="30" t="s">
        <v>54</v>
      </c>
      <c r="F8" s="30" t="s">
        <v>54</v>
      </c>
      <c r="G8" s="30" t="s">
        <v>26</v>
      </c>
      <c r="H8" s="30" t="s">
        <v>26</v>
      </c>
      <c r="I8" s="30" t="s">
        <v>40</v>
      </c>
      <c r="J8" s="30" t="s">
        <v>55</v>
      </c>
      <c r="K8" s="30" t="s">
        <v>65</v>
      </c>
      <c r="L8" s="30" t="s">
        <v>66</v>
      </c>
      <c r="M8" s="30" t="s">
        <v>37</v>
      </c>
      <c r="N8" s="30" t="s">
        <v>67</v>
      </c>
      <c r="O8" s="33"/>
      <c r="P8" s="33"/>
      <c r="Q8" s="33"/>
      <c r="R8" s="33" t="s">
        <v>37</v>
      </c>
      <c r="S8" s="33"/>
      <c r="T8" s="35"/>
      <c r="U8" s="35" t="s">
        <v>59</v>
      </c>
      <c r="V8" s="35"/>
      <c r="W8" s="44">
        <v>0</v>
      </c>
      <c r="X8" s="33"/>
      <c r="Y8" s="49" t="s">
        <v>68</v>
      </c>
      <c r="Z8" s="35"/>
      <c r="AA8" s="35" t="s">
        <v>57</v>
      </c>
      <c r="AB8" s="35" t="s">
        <v>57</v>
      </c>
      <c r="AC8" s="35" t="s">
        <v>25</v>
      </c>
      <c r="AD8" s="35" t="s">
        <v>25</v>
      </c>
      <c r="AE8" s="35" t="s">
        <v>57</v>
      </c>
      <c r="AF8" s="35" t="s">
        <v>69</v>
      </c>
      <c r="AG8" s="35" t="s">
        <v>57</v>
      </c>
      <c r="AH8" s="35" t="s">
        <v>57</v>
      </c>
      <c r="AI8" s="35" t="s">
        <v>57</v>
      </c>
      <c r="AJ8" s="54"/>
      <c r="AK8" s="35"/>
      <c r="AL8" s="35" t="s">
        <v>57</v>
      </c>
      <c r="AM8" s="48">
        <v>20</v>
      </c>
      <c r="AN8" s="48">
        <v>20</v>
      </c>
      <c r="AO8" s="44">
        <v>0</v>
      </c>
      <c r="AP8" s="44">
        <v>0</v>
      </c>
      <c r="AQ8" s="44">
        <v>0</v>
      </c>
      <c r="AR8" s="44">
        <v>0</v>
      </c>
      <c r="AS8" s="48">
        <v>20</v>
      </c>
      <c r="AT8" s="44">
        <v>0</v>
      </c>
      <c r="AU8" s="44">
        <v>0</v>
      </c>
      <c r="AV8" s="44">
        <v>0</v>
      </c>
      <c r="AW8" s="44">
        <v>0</v>
      </c>
      <c r="AX8" s="44">
        <v>0</v>
      </c>
      <c r="AY8" s="44">
        <v>0</v>
      </c>
      <c r="AZ8" s="44">
        <v>0</v>
      </c>
      <c r="BA8" s="44">
        <v>0</v>
      </c>
      <c r="BB8" s="44">
        <v>0</v>
      </c>
      <c r="BC8" s="44">
        <v>0</v>
      </c>
      <c r="BD8" s="44">
        <v>0</v>
      </c>
      <c r="BE8" s="44">
        <v>0</v>
      </c>
      <c r="BF8" s="44">
        <v>0</v>
      </c>
      <c r="BG8" s="44">
        <v>0</v>
      </c>
      <c r="BH8" s="44">
        <v>0</v>
      </c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spans="1:193" ht="15.75" customHeight="1">
      <c r="A9" s="35"/>
      <c r="B9" s="36" t="s">
        <v>52</v>
      </c>
      <c r="C9" s="35"/>
      <c r="D9" s="36" t="s">
        <v>53</v>
      </c>
      <c r="E9" s="36" t="s">
        <v>63</v>
      </c>
      <c r="F9" s="36" t="s">
        <v>63</v>
      </c>
      <c r="G9" s="36" t="s">
        <v>26</v>
      </c>
      <c r="H9" s="30" t="s">
        <v>26</v>
      </c>
      <c r="I9" s="30" t="s">
        <v>40</v>
      </c>
      <c r="J9" s="30" t="s">
        <v>55</v>
      </c>
      <c r="K9" s="36" t="s">
        <v>65</v>
      </c>
      <c r="L9" s="36" t="s">
        <v>66</v>
      </c>
      <c r="M9" s="36" t="s">
        <v>37</v>
      </c>
      <c r="N9" s="36" t="s">
        <v>67</v>
      </c>
      <c r="O9" s="35"/>
      <c r="P9" s="35"/>
      <c r="Q9" s="35"/>
      <c r="R9" s="35" t="s">
        <v>37</v>
      </c>
      <c r="S9" s="35"/>
      <c r="T9" s="35"/>
      <c r="U9" s="35" t="s">
        <v>64</v>
      </c>
      <c r="V9" s="35"/>
      <c r="W9" s="44">
        <v>0</v>
      </c>
      <c r="X9" s="33"/>
      <c r="Y9" s="49" t="s">
        <v>68</v>
      </c>
      <c r="Z9" s="35"/>
      <c r="AA9" s="35" t="s">
        <v>57</v>
      </c>
      <c r="AB9" s="35" t="s">
        <v>57</v>
      </c>
      <c r="AC9" s="35" t="s">
        <v>25</v>
      </c>
      <c r="AD9" s="35" t="s">
        <v>25</v>
      </c>
      <c r="AE9" s="35" t="s">
        <v>57</v>
      </c>
      <c r="AF9" s="35" t="s">
        <v>69</v>
      </c>
      <c r="AG9" s="35" t="s">
        <v>57</v>
      </c>
      <c r="AH9" s="35" t="s">
        <v>57</v>
      </c>
      <c r="AI9" s="35" t="s">
        <v>57</v>
      </c>
      <c r="AJ9" s="54"/>
      <c r="AK9" s="35"/>
      <c r="AL9" s="35" t="s">
        <v>57</v>
      </c>
      <c r="AM9" s="48">
        <v>20</v>
      </c>
      <c r="AN9" s="48">
        <v>20</v>
      </c>
      <c r="AO9" s="44">
        <v>0</v>
      </c>
      <c r="AP9" s="44">
        <v>0</v>
      </c>
      <c r="AQ9" s="44">
        <v>0</v>
      </c>
      <c r="AR9" s="44">
        <v>0</v>
      </c>
      <c r="AS9" s="48">
        <v>20</v>
      </c>
      <c r="AT9" s="44">
        <v>0</v>
      </c>
      <c r="AU9" s="44">
        <v>0</v>
      </c>
      <c r="AV9" s="44">
        <v>0</v>
      </c>
      <c r="AW9" s="44">
        <v>0</v>
      </c>
      <c r="AX9" s="44">
        <v>0</v>
      </c>
      <c r="AY9" s="44">
        <v>0</v>
      </c>
      <c r="AZ9" s="44">
        <v>0</v>
      </c>
      <c r="BA9" s="44">
        <v>0</v>
      </c>
      <c r="BB9" s="44">
        <v>0</v>
      </c>
      <c r="BC9" s="44">
        <v>0</v>
      </c>
      <c r="BD9" s="44">
        <v>0</v>
      </c>
      <c r="BE9" s="44">
        <v>0</v>
      </c>
      <c r="BF9" s="44">
        <v>0</v>
      </c>
      <c r="BG9" s="44">
        <v>0</v>
      </c>
      <c r="BH9" s="44">
        <v>0</v>
      </c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</row>
    <row r="10" spans="1:19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9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9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9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9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9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9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47</v>
      </c>
      <c r="D3" s="2" t="s">
        <v>9</v>
      </c>
      <c r="E3" s="17" t="s">
        <v>70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IFERROR(__xludf.DUMMYFUNCTION("IF(C3="""","""",Transpose(IMPORTRANGE('_Settings'!$B$3,C3&amp;""!A4:A1000"")))"),"CheckCompliance")</f>
        <v>CheckCompliance</v>
      </c>
      <c r="C4" s="19" t="str">
        <f ca="1">IFERROR(__xludf.DUMMYFUNCTION("""COMPUTED_VALUE"""),"VerifyAccountDivisorWindow")</f>
        <v>VerifyAccountDivisorWindow</v>
      </c>
      <c r="D4" s="19" t="str">
        <f ca="1">IFERROR(__xludf.DUMMYFUNCTION("""COMPUTED_VALUE"""),"VerifyAccountSymbolDivisorWindow")</f>
        <v>VerifyAccountSymbolDivisorWindow</v>
      </c>
      <c r="E4" s="19" t="str">
        <f ca="1">IFERROR(__xludf.DUMMYFUNCTION("""COMPUTED_VALUE"""),"VerifyAggregationAccountSymbolWithNav")</f>
        <v>VerifyAggregationAccountSymbolWithNav</v>
      </c>
      <c r="F4" s="19" t="str">
        <f ca="1">IFERROR(__xludf.DUMMYFUNCTION("""COMPUTED_VALUE"""),"VerifyAggregationAccountWithNav")</f>
        <v>VerifyAggregationAccountWithNav</v>
      </c>
      <c r="G4" s="19" t="str">
        <f ca="1">IFERROR(__xludf.DUMMYFUNCTION("""COMPUTED_VALUE"""),"VerifyAggregationMasterFundSymbolWithNav")</f>
        <v>VerifyAggregationMasterFundSymbolWithNav</v>
      </c>
      <c r="H4" s="19" t="str">
        <f ca="1">IFERROR(__xludf.DUMMYFUNCTION("""COMPUTED_VALUE"""),"VerifyAggregationMasterFundUnderlyingSymbolWithNav")</f>
        <v>VerifyAggregationMasterFundUnderlyingSymbolWithNav</v>
      </c>
      <c r="I4" s="19" t="str">
        <f ca="1">IFERROR(__xludf.DUMMYFUNCTION("""COMPUTED_VALUE"""),"VerifyAggregationMasterFundWithNav")</f>
        <v>VerifyAggregationMasterFundWithNav</v>
      </c>
      <c r="J4" s="19" t="str">
        <f ca="1">IFERROR(__xludf.DUMMYFUNCTION("""COMPUTED_VALUE"""),"VerifyAggregationSectorWithNav")</f>
        <v>VerifyAggregationSectorWithNav</v>
      </c>
      <c r="K4" s="19" t="str">
        <f ca="1">IFERROR(__xludf.DUMMYFUNCTION("""COMPUTED_VALUE"""),"VerifyAggregationUnderlyingSymbolWithNav")</f>
        <v>VerifyAggregationUnderlyingSymbolWithNav</v>
      </c>
      <c r="L4" s="19" t="str">
        <f ca="1">IFERROR(__xludf.DUMMYFUNCTION("""COMPUTED_VALUE"""),"VerifyAuecWindow")</f>
        <v>VerifyAuecWindow</v>
      </c>
      <c r="M4" s="19" t="str">
        <f ca="1">IFERROR(__xludf.DUMMYFUNCTION("""COMPUTED_VALUE"""),"VerifyBetaWindow")</f>
        <v>VerifyBetaWindow</v>
      </c>
      <c r="N4" s="19" t="str">
        <f ca="1">IFERROR(__xludf.DUMMYFUNCTION("""COMPUTED_VALUE"""),"VerifyCustomSymbolDataWindow")</f>
        <v>VerifyCustomSymbolDataWindow</v>
      </c>
      <c r="O4" s="19" t="str">
        <f ca="1">IFERROR(__xludf.DUMMYFUNCTION("""COMPUTED_VALUE"""),"VerifyDayEndCashAccountWindow")</f>
        <v>VerifyDayEndCashAccountWindow</v>
      </c>
      <c r="P4" s="20" t="str">
        <f ca="1">IFERROR(__xludf.DUMMYFUNCTION("""COMPUTED_VALUE"""),"VerifyDbNavWindow")</f>
        <v>VerifyDbNavWindow</v>
      </c>
      <c r="Q4" s="20" t="str">
        <f ca="1">IFERROR(__xludf.DUMMYFUNCTION("""COMPUTED_VALUE"""),"VerifyGlobalDivisorWindow")</f>
        <v>VerifyGlobalDivisorWindow</v>
      </c>
      <c r="R4" s="20" t="str">
        <f ca="1">IFERROR(__xludf.DUMMYFUNCTION("""COMPUTED_VALUE"""),"VerifyPmCalculationPreferenceWindow")</f>
        <v>VerifyPmCalculationPreferenceWindow</v>
      </c>
      <c r="S4" s="20" t="str">
        <f ca="1">IFERROR(__xludf.DUMMYFUNCTION("""COMPUTED_VALUE"""),"VerifyRowCalculationBaseWindow")</f>
        <v>VerifyRowCalculationBaseWindow</v>
      </c>
      <c r="T4" s="20" t="str">
        <f ca="1">IFERROR(__xludf.DUMMYFUNCTION("""COMPUTED_VALUE"""),"VerifySecurityWindow")</f>
        <v>VerifySecurityWindow</v>
      </c>
      <c r="U4" s="20" t="str">
        <f ca="1">IFERROR(__xludf.DUMMYFUNCTION("""COMPUTED_VALUE"""),"VerifySymbolDataWindow")</f>
        <v>VerifySymbolDataWindow</v>
      </c>
      <c r="V4" s="20" t="str">
        <f ca="1">IFERROR(__xludf.DUMMYFUNCTION("""COMPUTED_VALUE"""),"VerifySymbolDivisorWindow")</f>
        <v>VerifySymbolDivisorWindow</v>
      </c>
      <c r="W4" s="20" t="str">
        <f ca="1">IFERROR(__xludf.DUMMYFUNCTION("""COMPUTED_VALUE"""),"VerifyTaxlotWindow")</f>
        <v>VerifyTaxlotWindow</v>
      </c>
      <c r="X4" s="20" t="str">
        <f ca="1">IFERROR(__xludf.DUMMYFUNCTION("""COMPUTED_VALUE"""),"RestartEsper")</f>
        <v>RestartEsper</v>
      </c>
      <c r="Y4" s="20" t="str">
        <f ca="1">IFERROR(__xludf.DUMMYFUNCTION("""COMPUTED_VALUE"""),"VerifyAccountNavPreferenceWindow")</f>
        <v>VerifyAccountNavPreferenceWindow</v>
      </c>
      <c r="Z4" s="20" t="str">
        <f ca="1">IFERROR(__xludf.DUMMYFUNCTION("""COMPUTED_VALUE"""),"VerifyAggregationAccountUnderlyingSymbolWithNav")</f>
        <v>VerifyAggregationAccountUnderlyingSymbolWithNav</v>
      </c>
      <c r="AA4" s="20" t="str">
        <f ca="1">IFERROR(__xludf.DUMMYFUNCTION("""COMPUTED_VALUE"""),"VerifyAggregationAssetWithNav")</f>
        <v>VerifyAggregationAssetWithNav</v>
      </c>
      <c r="AB4" s="20" t="str">
        <f ca="1">IFERROR(__xludf.DUMMYFUNCTION("""COMPUTED_VALUE"""),"VerifyAggregationSymbolWithNav")</f>
        <v>VerifyAggregationSymbolWithNav</v>
      </c>
      <c r="AC4" s="20" t="str">
        <f ca="1">IFERROR(__xludf.DUMMYFUNCTION("""COMPUTED_VALUE"""),"VerifyAggregationSubSectorWithNav")</f>
        <v>VerifyAggregationSubSectorWithNav</v>
      </c>
      <c r="AD4" s="20" t="str">
        <f ca="1">IFERROR(__xludf.DUMMYFUNCTION("""COMPUTED_VALUE"""),"VerifyAggregationGlobalWithNav")</f>
        <v>VerifyAggregationGlobalWithNav</v>
      </c>
      <c r="AE4" s="20" t="str">
        <f ca="1">IFERROR(__xludf.DUMMYFUNCTION("""COMPUTED_VALUE"""),"VerifyAggregationGlobalWithNav")</f>
        <v>VerifyAggregationGlobalWithNav</v>
      </c>
      <c r="AF4" s="20" t="str">
        <f ca="1">IFERROR(__xludf.DUMMYFUNCTION("""COMPUTED_VALUE"""),"VerifyGlobalDivisorWindow")</f>
        <v>VerifyGlobalDivisorWindow</v>
      </c>
      <c r="AG4" s="20" t="str">
        <f ca="1">IFERROR(__xludf.DUMMYFUNCTION("""COMPUTED_VALUE"""),"VerifyAccrualForAccountWindow")</f>
        <v>VerifyAccrualForAccountWindow</v>
      </c>
      <c r="AH4" s="20" t="str">
        <f ca="1">IFERROR(__xludf.DUMMYFUNCTION("""COMPUTED_VALUE"""),"VerifyGlobalDivisorWindow")</f>
        <v>VerifyGlobalDivisorWindow</v>
      </c>
      <c r="AI4" s="20" t="str">
        <f ca="1">IFERROR(__xludf.DUMMYFUNCTION("""COMPUTED_VALUE"""),"VerifyMasterFundDivisorWindow")</f>
        <v>VerifyMasterFundDivisorWindow</v>
      </c>
      <c r="AJ4" s="20" t="str">
        <f ca="1">IFERROR(__xludf.DUMMYFUNCTION("""COMPUTED_VALUE"""),"VerifyMasterFundSymbolDivisorWindow")</f>
        <v>VerifyMasterFundSymbolDivisorWindow</v>
      </c>
      <c r="AK4" s="20" t="str">
        <f ca="1">IFERROR(__xludf.DUMMYFUNCTION("""COMPUTED_VALUE"""),"VerifyAggAccountSymbolWithNav")</f>
        <v>VerifyAggAccountSymbolWithNav</v>
      </c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IFERROR(__xludf.DUMMYFUNCTION("""COMPUTED_VALUE"""),"monthAbsQuantity")</f>
        <v>monthAbsQuantity</v>
      </c>
      <c r="D5" s="22" t="str">
        <f ca="1">IFERROR(__xludf.DUMMYFUNCTION("""COMPUTED_VALUE"""),"monthNetNotional")</f>
        <v>monthNetNotional</v>
      </c>
      <c r="E5" s="22" t="str">
        <f ca="1">IFERROR(__xludf.DUMMYFUNCTION("""COMPUTED_VALUE"""),"grossMarketValueBase")</f>
        <v>grossMarketValueBase</v>
      </c>
      <c r="F5" s="23" t="str">
        <f ca="1">IFERROR(__xludf.DUMMYFUNCTION("""COMPUTED_VALUE"""),"grossExposureBase")</f>
        <v>grossExposureBase</v>
      </c>
      <c r="G5" s="22" t="str">
        <f ca="1">IFERROR(__xludf.DUMMYFUNCTION("""COMPUTED_VALUE"""),"netExposureBase")</f>
        <v>netExposureBase</v>
      </c>
      <c r="H5" s="22" t="str">
        <f ca="1">IFERROR(__xludf.DUMMYFUNCTION("""COMPUTED_VALUE"""),"closedQty")</f>
        <v>closedQty</v>
      </c>
      <c r="I5" s="22" t="str">
        <f ca="1">IFERROR(__xludf.DUMMYFUNCTION("""COMPUTED_VALUE"""),"closedNotional")</f>
        <v>closedNotional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9"/>
      <c r="B6" s="29" t="s">
        <v>21</v>
      </c>
      <c r="C6" s="32">
        <v>100</v>
      </c>
      <c r="D6" s="50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0" t="s">
        <v>26</v>
      </c>
      <c r="C7" s="50">
        <v>40</v>
      </c>
      <c r="D7" s="50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47</v>
      </c>
      <c r="D3" s="2" t="s">
        <v>9</v>
      </c>
      <c r="E3" s="17" t="s">
        <v>71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IFERROR(__xludf.DUMMYFUNCTION("IF(C3="""","""",Transpose(IMPORTRANGE('_Settings'!$B$3,C3&amp;""!A4:A1000"")))"),"CheckCompliance")</f>
        <v>CheckCompliance</v>
      </c>
      <c r="C4" s="19" t="str">
        <f ca="1">IFERROR(__xludf.DUMMYFUNCTION("""COMPUTED_VALUE"""),"VerifyAccountDivisorWindow")</f>
        <v>VerifyAccountDivisorWindow</v>
      </c>
      <c r="D4" s="19" t="str">
        <f ca="1">IFERROR(__xludf.DUMMYFUNCTION("""COMPUTED_VALUE"""),"VerifyAccountSymbolDivisorWindow")</f>
        <v>VerifyAccountSymbolDivisorWindow</v>
      </c>
      <c r="E4" s="19" t="str">
        <f ca="1">IFERROR(__xludf.DUMMYFUNCTION("""COMPUTED_VALUE"""),"VerifyAggregationAccountSymbolWithNav")</f>
        <v>VerifyAggregationAccountSymbolWithNav</v>
      </c>
      <c r="F4" s="19" t="str">
        <f ca="1">IFERROR(__xludf.DUMMYFUNCTION("""COMPUTED_VALUE"""),"VerifyAggregationAccountWithNav")</f>
        <v>VerifyAggregationAccountWithNav</v>
      </c>
      <c r="G4" s="19" t="str">
        <f ca="1">IFERROR(__xludf.DUMMYFUNCTION("""COMPUTED_VALUE"""),"VerifyAggregationMasterFundSymbolWithNav")</f>
        <v>VerifyAggregationMasterFundSymbolWithNav</v>
      </c>
      <c r="H4" s="19" t="str">
        <f ca="1">IFERROR(__xludf.DUMMYFUNCTION("""COMPUTED_VALUE"""),"VerifyAggregationMasterFundUnderlyingSymbolWithNav")</f>
        <v>VerifyAggregationMasterFundUnderlyingSymbolWithNav</v>
      </c>
      <c r="I4" s="19" t="str">
        <f ca="1">IFERROR(__xludf.DUMMYFUNCTION("""COMPUTED_VALUE"""),"VerifyAggregationMasterFundWithNav")</f>
        <v>VerifyAggregationMasterFundWithNav</v>
      </c>
      <c r="J4" s="19" t="str">
        <f ca="1">IFERROR(__xludf.DUMMYFUNCTION("""COMPUTED_VALUE"""),"VerifyAggregationSectorWithNav")</f>
        <v>VerifyAggregationSectorWithNav</v>
      </c>
      <c r="K4" s="19" t="str">
        <f ca="1">IFERROR(__xludf.DUMMYFUNCTION("""COMPUTED_VALUE"""),"VerifyAggregationUnderlyingSymbolWithNav")</f>
        <v>VerifyAggregationUnderlyingSymbolWithNav</v>
      </c>
      <c r="L4" s="19" t="str">
        <f ca="1">IFERROR(__xludf.DUMMYFUNCTION("""COMPUTED_VALUE"""),"VerifyAuecWindow")</f>
        <v>VerifyAuecWindow</v>
      </c>
      <c r="M4" s="19" t="str">
        <f ca="1">IFERROR(__xludf.DUMMYFUNCTION("""COMPUTED_VALUE"""),"VerifyBetaWindow")</f>
        <v>VerifyBetaWindow</v>
      </c>
      <c r="N4" s="19" t="str">
        <f ca="1">IFERROR(__xludf.DUMMYFUNCTION("""COMPUTED_VALUE"""),"VerifyCustomSymbolDataWindow")</f>
        <v>VerifyCustomSymbolDataWindow</v>
      </c>
      <c r="O4" s="19" t="str">
        <f ca="1">IFERROR(__xludf.DUMMYFUNCTION("""COMPUTED_VALUE"""),"VerifyDayEndCashAccountWindow")</f>
        <v>VerifyDayEndCashAccountWindow</v>
      </c>
      <c r="P4" s="20" t="str">
        <f ca="1">IFERROR(__xludf.DUMMYFUNCTION("""COMPUTED_VALUE"""),"VerifyDbNavWindow")</f>
        <v>VerifyDbNavWindow</v>
      </c>
      <c r="Q4" s="20" t="str">
        <f ca="1">IFERROR(__xludf.DUMMYFUNCTION("""COMPUTED_VALUE"""),"VerifyGlobalDivisorWindow")</f>
        <v>VerifyGlobalDivisorWindow</v>
      </c>
      <c r="R4" s="20" t="str">
        <f ca="1">IFERROR(__xludf.DUMMYFUNCTION("""COMPUTED_VALUE"""),"VerifyPmCalculationPreferenceWindow")</f>
        <v>VerifyPmCalculationPreferenceWindow</v>
      </c>
      <c r="S4" s="20" t="str">
        <f ca="1">IFERROR(__xludf.DUMMYFUNCTION("""COMPUTED_VALUE"""),"VerifyRowCalculationBaseWindow")</f>
        <v>VerifyRowCalculationBaseWindow</v>
      </c>
      <c r="T4" s="20" t="str">
        <f ca="1">IFERROR(__xludf.DUMMYFUNCTION("""COMPUTED_VALUE"""),"VerifySecurityWindow")</f>
        <v>VerifySecurityWindow</v>
      </c>
      <c r="U4" s="20" t="str">
        <f ca="1">IFERROR(__xludf.DUMMYFUNCTION("""COMPUTED_VALUE"""),"VerifySymbolDataWindow")</f>
        <v>VerifySymbolDataWindow</v>
      </c>
      <c r="V4" s="20" t="str">
        <f ca="1">IFERROR(__xludf.DUMMYFUNCTION("""COMPUTED_VALUE"""),"VerifySymbolDivisorWindow")</f>
        <v>VerifySymbolDivisorWindow</v>
      </c>
      <c r="W4" s="20" t="str">
        <f ca="1">IFERROR(__xludf.DUMMYFUNCTION("""COMPUTED_VALUE"""),"VerifyTaxlotWindow")</f>
        <v>VerifyTaxlotWindow</v>
      </c>
      <c r="X4" s="20" t="str">
        <f ca="1">IFERROR(__xludf.DUMMYFUNCTION("""COMPUTED_VALUE"""),"RestartEsper")</f>
        <v>RestartEsper</v>
      </c>
      <c r="Y4" s="20" t="str">
        <f ca="1">IFERROR(__xludf.DUMMYFUNCTION("""COMPUTED_VALUE"""),"VerifyAccountNavPreferenceWindow")</f>
        <v>VerifyAccountNavPreferenceWindow</v>
      </c>
      <c r="Z4" s="20" t="str">
        <f ca="1">IFERROR(__xludf.DUMMYFUNCTION("""COMPUTED_VALUE"""),"VerifyAggregationAccountUnderlyingSymbolWithNav")</f>
        <v>VerifyAggregationAccountUnderlyingSymbolWithNav</v>
      </c>
      <c r="AA4" s="20" t="str">
        <f ca="1">IFERROR(__xludf.DUMMYFUNCTION("""COMPUTED_VALUE"""),"VerifyAggregationAssetWithNav")</f>
        <v>VerifyAggregationAssetWithNav</v>
      </c>
      <c r="AB4" s="20" t="str">
        <f ca="1">IFERROR(__xludf.DUMMYFUNCTION("""COMPUTED_VALUE"""),"VerifyAggregationSymbolWithNav")</f>
        <v>VerifyAggregationSymbolWithNav</v>
      </c>
      <c r="AC4" s="20" t="str">
        <f ca="1">IFERROR(__xludf.DUMMYFUNCTION("""COMPUTED_VALUE"""),"VerifyAggregationSubSectorWithNav")</f>
        <v>VerifyAggregationSubSectorWithNav</v>
      </c>
      <c r="AD4" s="20" t="str">
        <f ca="1">IFERROR(__xludf.DUMMYFUNCTION("""COMPUTED_VALUE"""),"VerifyAggregationGlobalWithNav")</f>
        <v>VerifyAggregationGlobalWithNav</v>
      </c>
      <c r="AE4" s="20" t="str">
        <f ca="1">IFERROR(__xludf.DUMMYFUNCTION("""COMPUTED_VALUE"""),"VerifyAggregationGlobalWithNav")</f>
        <v>VerifyAggregationGlobalWithNav</v>
      </c>
      <c r="AF4" s="20" t="str">
        <f ca="1">IFERROR(__xludf.DUMMYFUNCTION("""COMPUTED_VALUE"""),"VerifyGlobalDivisorWindow")</f>
        <v>VerifyGlobalDivisorWindow</v>
      </c>
      <c r="AG4" s="20" t="str">
        <f ca="1">IFERROR(__xludf.DUMMYFUNCTION("""COMPUTED_VALUE"""),"VerifyAccrualForAccountWindow")</f>
        <v>VerifyAccrualForAccountWindow</v>
      </c>
      <c r="AH4" s="20" t="str">
        <f ca="1">IFERROR(__xludf.DUMMYFUNCTION("""COMPUTED_VALUE"""),"VerifyGlobalDivisorWindow")</f>
        <v>VerifyGlobalDivisorWindow</v>
      </c>
      <c r="AI4" s="20" t="str">
        <f ca="1">IFERROR(__xludf.DUMMYFUNCTION("""COMPUTED_VALUE"""),"VerifyMasterFundDivisorWindow")</f>
        <v>VerifyMasterFundDivisorWindow</v>
      </c>
      <c r="AJ4" s="20" t="str">
        <f ca="1">IFERROR(__xludf.DUMMYFUNCTION("""COMPUTED_VALUE"""),"VerifyMasterFundSymbolDivisorWindow")</f>
        <v>VerifyMasterFundSymbolDivisorWindow</v>
      </c>
      <c r="AK4" s="20" t="str">
        <f ca="1">IFERROR(__xludf.DUMMYFUNCTION("""COMPUTED_VALUE"""),"VerifyAggAccountSymbolWithNav")</f>
        <v>VerifyAggAccountSymbolWithNav</v>
      </c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IFERROR(__xludf.DUMMYFUNCTION("""COMPUTED_VALUE"""),"basketId")</f>
        <v>basketId</v>
      </c>
      <c r="C5" s="22" t="str">
        <f ca="1">IFERROR(__xludf.DUMMYFUNCTION("""COMPUTED_VALUE"""),"tradeDate")</f>
        <v>tradeDate</v>
      </c>
      <c r="D5" s="22" t="str">
        <f ca="1">IFERROR(__xludf.DUMMYFUNCTION("""COMPUTED_VALUE"""),"taxlotState")</f>
        <v>taxlotState</v>
      </c>
      <c r="E5" s="22" t="str">
        <f ca="1">IFERROR(__xludf.DUMMYFUNCTION("""COMPUTED_VALUE"""),"taxlotId")</f>
        <v>taxlotId</v>
      </c>
      <c r="F5" s="23" t="str">
        <f ca="1">IFERROR(__xludf.DUMMYFUNCTION("""COMPUTED_VALUE"""),"userId")</f>
        <v>userId</v>
      </c>
      <c r="G5" s="22" t="str">
        <f ca="1">IFERROR(__xludf.DUMMYFUNCTION("""COMPUTED_VALUE"""),"clOrderId")</f>
        <v>clOrderId</v>
      </c>
      <c r="H5" s="22" t="str">
        <f ca="1">IFERROR(__xludf.DUMMYFUNCTION("""COMPUTED_VALUE"""),"symbol")</f>
        <v>symbol</v>
      </c>
      <c r="I5" s="22" t="str">
        <f ca="1">IFERROR(__xludf.DUMMYFUNCTION("""COMPUTED_VALUE"""),"todayShortTradeQuantity")</f>
        <v>todayShortTradeQuantity</v>
      </c>
      <c r="J5" s="22" t="str">
        <f ca="1">IFERROR(__xludf.DUMMYFUNCTION("""COMPUTED_VALUE"""),"todayLongTradeQuantity")</f>
        <v>todayLongTradeQuantity</v>
      </c>
      <c r="K5" s="22" t="str">
        <f ca="1">IFERROR(__xludf.DUMMYFUNCTION("""COMPUTED_VALUE"""),"todayAbsTradeQuantity")</f>
        <v>todayAbsTradeQuantity</v>
      </c>
      <c r="L5" s="22" t="str">
        <f ca="1">IFERROR(__xludf.DUMMYFUNCTION("""COMPUTED_VALUE"""),"quantity")</f>
        <v>quantity</v>
      </c>
      <c r="M5" s="22" t="str">
        <f ca="1">IFERROR(__xludf.DUMMYFUNCTION("""COMPUTED_VALUE"""),"taxlotType")</f>
        <v>taxlotType</v>
      </c>
      <c r="N5" s="22" t="str">
        <f ca="1">IFERROR(__xludf.DUMMYFUNCTION("""COMPUTED_VALUE"""),"accountId")</f>
        <v>accountId</v>
      </c>
      <c r="O5" s="22" t="str">
        <f ca="1">IFERROR(__xludf.DUMMYFUNCTION("""COMPUTED_VALUE"""),"orderSide")</f>
        <v>orderSide</v>
      </c>
      <c r="P5" s="22" t="str">
        <f ca="1">IFERROR(__xludf.DUMMYFUNCTION("""COMPUTED_VALUE"""),"masterFundId")</f>
        <v>masterFundId</v>
      </c>
      <c r="Q5" s="22" t="str">
        <f ca="1">IFERROR(__xludf.DUMMYFUNCTION("""COMPUTED_VALUE"""),"underlyingSymbol")</f>
        <v>underlyingSymbol</v>
      </c>
      <c r="R5" s="22" t="str">
        <f ca="1">IFERROR(__xludf.DUMMYFUNCTION("""COMPUTED_VALUE"""),"masterFundName")</f>
        <v>masterFundName</v>
      </c>
      <c r="S5" s="22" t="str">
        <f ca="1">IFERROR(__xludf.DUMMYFUNCTION("""COMPUTED_VALUE"""),"multiplier")</f>
        <v>multiplier</v>
      </c>
      <c r="T5" s="24" t="str">
        <f ca="1">IFERROR(__xludf.DUMMYFUNCTION("""COMPUTED_VALUE"""),"accountShortName")</f>
        <v>accountShortName</v>
      </c>
      <c r="U5" s="24" t="str">
        <f ca="1">IFERROR(__xludf.DUMMYFUNCTION("""COMPUTED_VALUE"""),"accountLongName")</f>
        <v>accountLongName</v>
      </c>
      <c r="V5" s="24" t="str">
        <f ca="1">IFERROR(__xludf.DUMMYFUNCTION("""COMPUTED_VALUE"""),"isSwapped")</f>
        <v>isSwapped</v>
      </c>
      <c r="W5" s="24" t="str">
        <f ca="1">IFERROR(__xludf.DUMMYFUNCTION("""COMPUTED_VALUE"""),"masterStrategyId")</f>
        <v>masterStrategyId</v>
      </c>
      <c r="X5" s="24" t="str">
        <f ca="1">IFERROR(__xludf.DUMMYFUNCTION("""COMPUTED_VALUE"""),"isTodayTrade")</f>
        <v>isTodayTrade</v>
      </c>
      <c r="Y5" s="24" t="str">
        <f ca="1">IFERROR(__xludf.DUMMYFUNCTION("""COMPUTED_VALUE"""),"masterStrategyName")</f>
        <v>masterStrategyName</v>
      </c>
      <c r="Z5" s="24" t="str">
        <f ca="1">IFERROR(__xludf.DUMMYFUNCTION("""COMPUTED_VALUE"""),"strategyId")</f>
        <v>strategyId</v>
      </c>
      <c r="AA5" s="24" t="str">
        <f ca="1">IFERROR(__xludf.DUMMYFUNCTION("""COMPUTED_VALUE"""),"strategyName")</f>
        <v>strategyName</v>
      </c>
      <c r="AB5" s="24" t="str">
        <f ca="1">IFERROR(__xludf.DUMMYFUNCTION("""COMPUTED_VALUE"""),"todayNetNotionalBase")</f>
        <v>todayNetNotionalBase</v>
      </c>
      <c r="AC5" s="24" t="str">
        <f ca="1">IFERROR(__xludf.DUMMYFUNCTION("""COMPUTED_VALUE"""),"strategyFullName")</f>
        <v>strategyFullName</v>
      </c>
      <c r="AD5" s="24" t="str">
        <f ca="1">IFERROR(__xludf.DUMMYFUNCTION("""COMPUTED_VALUE"""),"todayLongNotionalBase")</f>
        <v>todayLongNotionalBase</v>
      </c>
      <c r="AE5" s="24" t="str">
        <f ca="1">IFERROR(__xludf.DUMMYFUNCTION("""COMPUTED_VALUE"""),"todayShortNotionalBase")</f>
        <v>todayShortNotionalBase</v>
      </c>
      <c r="AF5" s="24" t="str">
        <f ca="1">IFERROR(__xludf.DUMMYFUNCTION("""COMPUTED_VALUE"""),"isMonthTrade")</f>
        <v>isMonthTrade</v>
      </c>
      <c r="AG5" s="24" t="str">
        <f ca="1">IFERROR(__xludf.DUMMYFUNCTION("""COMPUTED_VALUE"""),"monthAbsQuantity")</f>
        <v>monthAbsQuantity</v>
      </c>
      <c r="AH5" s="24" t="str">
        <f ca="1">IFERROR(__xludf.DUMMYFUNCTION("""COMPUTED_VALUE"""),"monthNetNotional")</f>
        <v>monthNetNotional</v>
      </c>
      <c r="AI5" s="24" t="str">
        <f ca="1">IFERROR(__xludf.DUMMYFUNCTION("""COMPUTED_VALUE"""),"modificationType")</f>
        <v>modificationType</v>
      </c>
      <c r="AJ5" s="24" t="str">
        <f ca="1">IFERROR(__xludf.DUMMYFUNCTION("""COMPUTED_VALUE"""),"asset")</f>
        <v>asset</v>
      </c>
      <c r="AK5" s="24" t="str">
        <f ca="1">IFERROR(__xludf.DUMMYFUNCTION("""COMPUTED_VALUE"""),"underlyingAsset")</f>
        <v>underlyingAsset</v>
      </c>
      <c r="AL5" s="24" t="str">
        <f ca="1">IFERROR(__xludf.DUMMYFUNCTION("""COMPUTED_VALUE"""),"assetId")</f>
        <v>assetId</v>
      </c>
      <c r="AM5" s="24" t="str">
        <f ca="1">IFERROR(__xludf.DUMMYFUNCTION("""COMPUTED_VALUE"""),"auecId")</f>
        <v>auecId</v>
      </c>
      <c r="AN5" s="24" t="str">
        <f ca="1">IFERROR(__xludf.DUMMYFUNCTION("""COMPUTED_VALUE"""),"fxSymbol")</f>
        <v>fxSymbol</v>
      </c>
      <c r="AO5" s="24" t="str">
        <f ca="1">IFERROR(__xludf.DUMMYFUNCTION("""COMPUTED_VALUE"""),"sector")</f>
        <v>sector</v>
      </c>
      <c r="AP5" s="24" t="str">
        <f ca="1">IFERROR(__xludf.DUMMYFUNCTION("""COMPUTED_VALUE"""),"subSector")</f>
        <v>subSector</v>
      </c>
      <c r="AQ5" s="24" t="str">
        <f ca="1">IFERROR(__xludf.DUMMYFUNCTION("""COMPUTED_VALUE"""),"udaAsset")</f>
        <v>udaAsset</v>
      </c>
      <c r="AR5" s="24" t="str">
        <f ca="1">IFERROR(__xludf.DUMMYFUNCTION("""COMPUTED_VALUE"""),"udaSecurityType")</f>
        <v>udaSecurityType</v>
      </c>
      <c r="AS5" s="24" t="str">
        <f ca="1">IFERROR(__xludf.DUMMYFUNCTION("""COMPUTED_VALUE"""),"udaCountry")</f>
        <v>udaCountry</v>
      </c>
      <c r="AT5" s="24" t="str">
        <f ca="1">IFERROR(__xludf.DUMMYFUNCTION("""COMPUTED_VALUE"""),"underlyingCountry")</f>
        <v>underlyingCountry</v>
      </c>
      <c r="AU5" s="24" t="str">
        <f ca="1">IFERROR(__xludf.DUMMYFUNCTION("""COMPUTED_VALUE"""),"exchange")</f>
        <v>exchange</v>
      </c>
      <c r="AV5" s="24" t="str">
        <f ca="1">IFERROR(__xludf.DUMMYFUNCTION("""COMPUTED_VALUE"""),"orderType")</f>
        <v>orderType</v>
      </c>
      <c r="AW5" s="24" t="str">
        <f ca="1">IFERROR(__xludf.DUMMYFUNCTION("""COMPUTED_VALUE"""),"currency")</f>
        <v>currency</v>
      </c>
      <c r="AX5" s="24" t="str">
        <f ca="1">IFERROR(__xludf.DUMMYFUNCTION("""COMPUTED_VALUE"""),"putOrCall")</f>
        <v>putOrCall</v>
      </c>
      <c r="AY5" s="24" t="str">
        <f ca="1">IFERROR(__xludf.DUMMYFUNCTION("""COMPUTED_VALUE"""),"strikePrice")</f>
        <v>strikePrice</v>
      </c>
      <c r="AZ5" s="24" t="str">
        <f ca="1">IFERROR(__xludf.DUMMYFUNCTION("""COMPUTED_VALUE"""),"venue")</f>
        <v>venue</v>
      </c>
      <c r="BA5" s="24" t="str">
        <f ca="1">IFERROR(__xludf.DUMMYFUNCTION("""COMPUTED_VALUE"""),"riskCurrency")</f>
        <v>riskCurrency</v>
      </c>
      <c r="BB5" s="24" t="str">
        <f ca="1">IFERROR(__xludf.DUMMYFUNCTION("""COMPUTED_VALUE"""),"issuer")</f>
        <v>issuer</v>
      </c>
      <c r="BC5" s="24" t="str">
        <f ca="1">IFERROR(__xludf.DUMMYFUNCTION("""COMPUTED_VALUE"""),"countryOfRisk")</f>
        <v>countryOfRisk</v>
      </c>
      <c r="BD5" s="24" t="str">
        <f ca="1">IFERROR(__xludf.DUMMYFUNCTION("""COMPUTED_VALUE"""),"region")</f>
        <v>region</v>
      </c>
      <c r="BE5" s="24" t="str">
        <f ca="1">IFERROR(__xludf.DUMMYFUNCTION("""COMPUTED_VALUE"""),"analyst")</f>
        <v>analyst</v>
      </c>
      <c r="BF5" s="24" t="str">
        <f ca="1">IFERROR(__xludf.DUMMYFUNCTION("""COMPUTED_VALUE"""),"ucitsEligibleTag")</f>
        <v>ucitsEligibleTag</v>
      </c>
      <c r="BG5" s="24" t="str">
        <f ca="1">IFERROR(__xludf.DUMMYFUNCTION("""COMPUTED_VALUE"""),"liquidTag")</f>
        <v>liquidTag</v>
      </c>
      <c r="BH5" s="24" t="str">
        <f ca="1">IFERROR(__xludf.DUMMYFUNCTION("""COMPUTED_VALUE"""),"marketCap")</f>
        <v>marketCap</v>
      </c>
      <c r="BI5" s="24" t="str">
        <f ca="1">IFERROR(__xludf.DUMMYFUNCTION("""COMPUTED_VALUE"""),"customUDA1")</f>
        <v>customUDA1</v>
      </c>
      <c r="BJ5" s="24" t="str">
        <f ca="1">IFERROR(__xludf.DUMMYFUNCTION("""COMPUTED_VALUE"""),"customUDA2")</f>
        <v>customUDA2</v>
      </c>
      <c r="BK5" s="24" t="str">
        <f ca="1">IFERROR(__xludf.DUMMYFUNCTION("""COMPUTED_VALUE"""),"customUDA3")</f>
        <v>customUDA3</v>
      </c>
      <c r="BL5" s="24" t="str">
        <f ca="1">IFERROR(__xludf.DUMMYFUNCTION("""COMPUTED_VALUE"""),"counterParty")</f>
        <v>counterParty</v>
      </c>
      <c r="BM5" s="24" t="str">
        <f ca="1">IFERROR(__xludf.DUMMYFUNCTION("""COMPUTED_VALUE"""),"customUDA4")</f>
        <v>customUDA4</v>
      </c>
      <c r="BN5" s="24" t="str">
        <f ca="1">IFERROR(__xludf.DUMMYFUNCTION("""COMPUTED_VALUE"""),"customUDA5")</f>
        <v>customUDA5</v>
      </c>
      <c r="BO5" s="24" t="str">
        <f ca="1">IFERROR(__xludf.DUMMYFUNCTION("""COMPUTED_VALUE"""),"customUDA6")</f>
        <v>customUDA6</v>
      </c>
      <c r="BP5" s="24" t="str">
        <f ca="1">IFERROR(__xludf.DUMMYFUNCTION("""COMPUTED_VALUE"""),"customUDA7")</f>
        <v>customUDA7</v>
      </c>
      <c r="BQ5" s="24" t="str">
        <f ca="1">IFERROR(__xludf.DUMMYFUNCTION("""COMPUTED_VALUE"""),"currentFxRate")</f>
        <v>currentFxRate</v>
      </c>
      <c r="BR5" s="24" t="str">
        <f ca="1">IFERROR(__xludf.DUMMYFUNCTION("""COMPUTED_VALUE"""),"yesterdayFxRate")</f>
        <v>yesterdayFxRate</v>
      </c>
      <c r="BS5" s="24" t="str">
        <f ca="1">IFERROR(__xludf.DUMMYFUNCTION("""COMPUTED_VALUE"""),"fxConversionMethod")</f>
        <v>fxConversionMethod</v>
      </c>
      <c r="BT5" s="24" t="str">
        <f ca="1">IFERROR(__xludf.DUMMYFUNCTION("""COMPUTED_VALUE"""),"taxlotFxRate")</f>
        <v>taxlotFxRate</v>
      </c>
      <c r="BU5" s="24" t="str">
        <f ca="1">IFERROR(__xludf.DUMMYFUNCTION("""COMPUTED_VALUE"""),"taxlotFxConversionMethod")</f>
        <v>taxlotFxConversionMethod</v>
      </c>
      <c r="BV5" s="24" t="str">
        <f ca="1">IFERROR(__xludf.DUMMYFUNCTION("""COMPUTED_VALUE"""),"avgPrice")</f>
        <v>avgPrice</v>
      </c>
      <c r="BW5" s="24" t="str">
        <f ca="1">IFERROR(__xludf.DUMMYFUNCTION("""COMPUTED_VALUE"""),"askPrice")</f>
        <v>askPrice</v>
      </c>
      <c r="BX5" s="24" t="str">
        <f ca="1">IFERROR(__xludf.DUMMYFUNCTION("""COMPUTED_VALUE"""),"bidPrice")</f>
        <v>bidPrice</v>
      </c>
      <c r="BY5" s="24" t="str">
        <f ca="1">IFERROR(__xludf.DUMMYFUNCTION("""COMPUTED_VALUE"""),"lowPrice")</f>
        <v>lowPrice</v>
      </c>
      <c r="BZ5" s="24" t="str">
        <f ca="1">IFERROR(__xludf.DUMMYFUNCTION("""COMPUTED_VALUE"""),"highPrice")</f>
        <v>highPrice</v>
      </c>
      <c r="CA5" s="24" t="str">
        <f ca="1">IFERROR(__xludf.DUMMYFUNCTION("""COMPUTED_VALUE"""),"openPrice")</f>
        <v>openPrice</v>
      </c>
      <c r="CB5" s="24" t="str">
        <f ca="1">IFERROR(__xludf.DUMMYFUNCTION("""COMPUTED_VALUE"""),"closePrice")</f>
        <v>closePrice</v>
      </c>
      <c r="CC5" s="24" t="str">
        <f ca="1">IFERROR(__xludf.DUMMYFUNCTION("""COMPUTED_VALUE"""),"lastPrice")</f>
        <v>lastPrice</v>
      </c>
      <c r="CD5" s="24" t="str">
        <f ca="1">IFERROR(__xludf.DUMMYFUNCTION("""COMPUTED_VALUE"""),"markPrice")</f>
        <v>markPrice</v>
      </c>
      <c r="CE5" s="24" t="str">
        <f ca="1">IFERROR(__xludf.DUMMYFUNCTION("""COMPUTED_VALUE"""),"delta")</f>
        <v>delta</v>
      </c>
      <c r="CF5" s="24" t="str">
        <f ca="1">IFERROR(__xludf.DUMMYFUNCTION("""COMPUTED_VALUE"""),"leveragedFactor")</f>
        <v>leveragedFactor</v>
      </c>
      <c r="CG5" s="24" t="str">
        <f ca="1">IFERROR(__xludf.DUMMYFUNCTION("""COMPUTED_VALUE"""),"beta5YearMonthly")</f>
        <v>beta5YearMonthly</v>
      </c>
      <c r="CH5" s="24" t="str">
        <f ca="1">IFERROR(__xludf.DUMMYFUNCTION("""COMPUTED_VALUE"""),"selectedFeedPrice")</f>
        <v>selectedFeedPrice</v>
      </c>
      <c r="CI5" s="24" t="str">
        <f ca="1">IFERROR(__xludf.DUMMYFUNCTION("""COMPUTED_VALUE"""),"openInterest")</f>
        <v>openInterest</v>
      </c>
      <c r="CJ5" s="24" t="str">
        <f ca="1">IFERROR(__xludf.DUMMYFUNCTION("""COMPUTED_VALUE"""),"underlyingPrice")</f>
        <v>underlyingPrice</v>
      </c>
      <c r="CK5" s="24" t="str">
        <f ca="1">IFERROR(__xludf.DUMMYFUNCTION("""COMPUTED_VALUE"""),"avgVolume20Days")</f>
        <v>avgVolume20Days</v>
      </c>
      <c r="CL5" s="24" t="str">
        <f ca="1">IFERROR(__xludf.DUMMYFUNCTION("""COMPUTED_VALUE"""),"sharesOutstanding")</f>
        <v>sharesOutstanding</v>
      </c>
      <c r="CM5" s="24" t="str">
        <f ca="1">IFERROR(__xludf.DUMMYFUNCTION("""COMPUTED_VALUE"""),"underlyingSharesOutstanding")</f>
        <v>underlyingSharesOutstanding</v>
      </c>
      <c r="CN5" s="24" t="str">
        <f ca="1">IFERROR(__xludf.DUMMYFUNCTION("""COMPUTED_VALUE"""),"marketCapitalization")</f>
        <v>marketCapitalization</v>
      </c>
      <c r="CO5" s="24" t="str">
        <f ca="1">IFERROR(__xludf.DUMMYFUNCTION("""COMPUTED_VALUE"""),"underlyingMarketCapitalization")</f>
        <v>underlyingMarketCapitalization</v>
      </c>
      <c r="CP5" s="24" t="str">
        <f ca="1">IFERROR(__xludf.DUMMYFUNCTION("""COMPUTED_VALUE"""),"avgVolume")</f>
        <v>avgVolume</v>
      </c>
      <c r="CQ5" s="24" t="str">
        <f ca="1">IFERROR(__xludf.DUMMYFUNCTION("""COMPUTED_VALUE"""),"netMarketValueLocal")</f>
        <v>netMarketValueLocal</v>
      </c>
      <c r="CR5" s="24" t="str">
        <f ca="1">IFERROR(__xludf.DUMMYFUNCTION("""COMPUTED_VALUE"""),"yesterdayMarketValueLocal")</f>
        <v>yesterdayMarketValueLocal</v>
      </c>
      <c r="CS5" s="24" t="str">
        <f ca="1">IFERROR(__xludf.DUMMYFUNCTION("""COMPUTED_VALUE"""),"grossMarketValueLocal")</f>
        <v>grossMarketValueLocal</v>
      </c>
      <c r="CT5" s="24" t="str">
        <f ca="1">IFERROR(__xludf.DUMMYFUNCTION("""COMPUTED_VALUE"""),"netMarketValueBase")</f>
        <v>netMarketValueBase</v>
      </c>
      <c r="CU5" s="24" t="str">
        <f ca="1">IFERROR(__xludf.DUMMYFUNCTION("""COMPUTED_VALUE"""),"yesterdayMarketValueBase")</f>
        <v>yesterdayMarketValueBase</v>
      </c>
      <c r="CV5" s="24" t="str">
        <f ca="1">IFERROR(__xludf.DUMMYFUNCTION("""COMPUTED_VALUE"""),"grossMarketValueBase")</f>
        <v>grossMarketValueBase</v>
      </c>
      <c r="CW5" s="24" t="str">
        <f ca="1">IFERROR(__xludf.DUMMYFUNCTION("""COMPUTED_VALUE"""),"notionalLocal")</f>
        <v>notionalLocal</v>
      </c>
      <c r="CX5" s="24" t="str">
        <f ca="1">IFERROR(__xludf.DUMMYFUNCTION("""COMPUTED_VALUE"""),"cashImpactLocal")</f>
        <v>cashImpactLocal</v>
      </c>
      <c r="CY5" s="24" t="str">
        <f ca="1">IFERROR(__xludf.DUMMYFUNCTION("""COMPUTED_VALUE"""),"cashInflowLocal")</f>
        <v>cashInflowLocal</v>
      </c>
      <c r="CZ5" s="24" t="str">
        <f ca="1">IFERROR(__xludf.DUMMYFUNCTION("""COMPUTED_VALUE"""),"cashOutflowLocal")</f>
        <v>cashOutflowLocal</v>
      </c>
      <c r="DA5" s="24" t="str">
        <f ca="1">IFERROR(__xludf.DUMMYFUNCTION("""COMPUTED_VALUE"""),"equityHaircutLocal")</f>
        <v>equityHaircutLocal</v>
      </c>
      <c r="DB5" s="24" t="str">
        <f ca="1">IFERROR(__xludf.DUMMYFUNCTION("""COMPUTED_VALUE"""),"indexHaircutLocal")</f>
        <v>indexHaircutLocal</v>
      </c>
      <c r="DC5" s="24" t="str">
        <f ca="1">IFERROR(__xludf.DUMMYFUNCTION("""COMPUTED_VALUE"""),"notionalBase")</f>
        <v>notionalBase</v>
      </c>
      <c r="DD5" s="24" t="str">
        <f ca="1">IFERROR(__xludf.DUMMYFUNCTION("""COMPUTED_VALUE"""),"cashImpactBase")</f>
        <v>cashImpactBase</v>
      </c>
      <c r="DE5" s="24" t="str">
        <f ca="1">IFERROR(__xludf.DUMMYFUNCTION("""COMPUTED_VALUE"""),"cashInflowBase")</f>
        <v>cashInflowBase</v>
      </c>
      <c r="DF5" s="24" t="str">
        <f ca="1">IFERROR(__xludf.DUMMYFUNCTION("""COMPUTED_VALUE"""),"cashOutflowBase")</f>
        <v>cashOutflowBase</v>
      </c>
      <c r="DG5" s="24" t="str">
        <f ca="1">IFERROR(__xludf.DUMMYFUNCTION("""COMPUTED_VALUE"""),"equityHaircutBase")</f>
        <v>equityHaircutBase</v>
      </c>
      <c r="DH5" s="24" t="str">
        <f ca="1">IFERROR(__xludf.DUMMYFUNCTION("""COMPUTED_VALUE"""),"indexHaircutBase")</f>
        <v>indexHaircutBase</v>
      </c>
      <c r="DI5" s="24" t="str">
        <f ca="1">IFERROR(__xludf.DUMMYFUNCTION("""COMPUTED_VALUE"""),"underlyingValueForOptionsLocal")</f>
        <v>underlyingValueForOptionsLocal</v>
      </c>
      <c r="DJ5" s="24" t="str">
        <f ca="1">IFERROR(__xludf.DUMMYFUNCTION("""COMPUTED_VALUE"""),"dayPnLLocal")</f>
        <v>dayPnLLocal</v>
      </c>
      <c r="DK5" s="24" t="str">
        <f ca="1">IFERROR(__xludf.DUMMYFUNCTION("""COMPUTED_VALUE"""),"costBasisPnLLocal")</f>
        <v>costBasisPnLLocal</v>
      </c>
      <c r="DL5" s="24" t="str">
        <f ca="1">IFERROR(__xludf.DUMMYFUNCTION("""COMPUTED_VALUE"""),"liquidationPnlLocal")</f>
        <v>liquidationPnlLocal</v>
      </c>
      <c r="DM5" s="24" t="str">
        <f ca="1">IFERROR(__xludf.DUMMYFUNCTION("""COMPUTED_VALUE"""),"underlyingValueForOptionsBase")</f>
        <v>underlyingValueForOptionsBase</v>
      </c>
      <c r="DN5" s="24" t="str">
        <f ca="1">IFERROR(__xludf.DUMMYFUNCTION("""COMPUTED_VALUE"""),"dayPnLBase")</f>
        <v>dayPnLBase</v>
      </c>
      <c r="DO5" s="24" t="str">
        <f ca="1">IFERROR(__xludf.DUMMYFUNCTION("""COMPUTED_VALUE"""),"costBasisPnLBase")</f>
        <v>costBasisPnLBase</v>
      </c>
      <c r="DP5" s="24" t="str">
        <f ca="1">IFERROR(__xludf.DUMMYFUNCTION("""COMPUTED_VALUE"""),"liquidationPnlBase")</f>
        <v>liquidationPnlBase</v>
      </c>
      <c r="DQ5" s="24" t="str">
        <f ca="1">IFERROR(__xludf.DUMMYFUNCTION("""COMPUTED_VALUE"""),"netExposureLocal")</f>
        <v>netExposureLocal</v>
      </c>
      <c r="DR5" s="24" t="str">
        <f ca="1">IFERROR(__xludf.DUMMYFUNCTION("""COMPUTED_VALUE"""),"grossExposureLocal")</f>
        <v>grossExposureLocal</v>
      </c>
      <c r="DS5" s="24" t="str">
        <f ca="1">IFERROR(__xludf.DUMMYFUNCTION("""COMPUTED_VALUE"""),"betaAdjustedExposureLocal")</f>
        <v>betaAdjustedExposureLocal</v>
      </c>
      <c r="DT5" s="24" t="str">
        <f ca="1">IFERROR(__xludf.DUMMYFUNCTION("""COMPUTED_VALUE"""),"netExposureBase")</f>
        <v>netExposureBase</v>
      </c>
      <c r="DU5" s="24" t="str">
        <f ca="1">IFERROR(__xludf.DUMMYFUNCTION("""COMPUTED_VALUE"""),"grossExposureBase")</f>
        <v>grossExposureBase</v>
      </c>
      <c r="DV5" s="24" t="str">
        <f ca="1">IFERROR(__xludf.DUMMYFUNCTION("""COMPUTED_VALUE"""),"betaAdjustedExposureBase")</f>
        <v>betaAdjustedExposureBase</v>
      </c>
      <c r="DW5" s="24" t="str">
        <f ca="1">IFERROR(__xludf.DUMMYFUNCTION("""COMPUTED_VALUE"""),"deltaAdjPosition")</f>
        <v>deltaAdjPosition</v>
      </c>
      <c r="DX5" s="24" t="str">
        <f ca="1">IFERROR(__xludf.DUMMYFUNCTION("""COMPUTED_VALUE"""),"dayDiff")</f>
        <v>dayDiff</v>
      </c>
      <c r="DY5" s="24" t="str">
        <f ca="1">IFERROR(__xludf.DUMMYFUNCTION("""COMPUTED_VALUE"""),"dayInterestLocal")</f>
        <v>dayInterestLocal</v>
      </c>
      <c r="DZ5" s="24" t="str">
        <f ca="1">IFERROR(__xludf.DUMMYFUNCTION("""COMPUTED_VALUE"""),"totalInterestLocal")</f>
        <v>totalInterestLocal</v>
      </c>
      <c r="EA5" s="24" t="str">
        <f ca="1">IFERROR(__xludf.DUMMYFUNCTION("""COMPUTED_VALUE"""),"dayInterestBase")</f>
        <v>dayInterestBase</v>
      </c>
      <c r="EB5" s="24" t="str">
        <f ca="1">IFERROR(__xludf.DUMMYFUNCTION("""COMPUTED_VALUE"""),"totalInterestBase")</f>
        <v>totalInterestBase</v>
      </c>
      <c r="EC5" s="24" t="str">
        <f ca="1">IFERROR(__xludf.DUMMYFUNCTION("""COMPUTED_VALUE"""),"percentAvgVolume")</f>
        <v>percentAvgVolume</v>
      </c>
      <c r="ED5" s="24" t="str">
        <f ca="1">IFERROR(__xludf.DUMMYFUNCTION("""COMPUTED_VALUE"""),"businessDaysToExpire")</f>
        <v>businessDaysToExpire</v>
      </c>
      <c r="EE5" s="24" t="str">
        <f ca="1">IFERROR(__xludf.DUMMYFUNCTION("""COMPUTED_VALUE"""),"actualDaysToExpire")</f>
        <v>actualDaysToExpire</v>
      </c>
      <c r="EF5" s="24" t="str">
        <f ca="1">IFERROR(__xludf.DUMMYFUNCTION("""COMPUTED_VALUE"""),"longDebitBalance")</f>
        <v>longDebitBalance</v>
      </c>
      <c r="EG5" s="24" t="str">
        <f ca="1">IFERROR(__xludf.DUMMYFUNCTION("""COMPUTED_VALUE"""),"shortCreditBalance")</f>
        <v>shortCreditBalance</v>
      </c>
      <c r="EH5" s="24" t="str">
        <f ca="1">IFERROR(__xludf.DUMMYFUNCTION("""COMPUTED_VALUE"""),"roundLot")</f>
        <v>roundLot</v>
      </c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1"/>
      <c r="B6" s="39"/>
      <c r="C6" s="33"/>
      <c r="D6" s="39"/>
      <c r="E6" s="33"/>
      <c r="F6" s="33"/>
      <c r="G6" s="33"/>
      <c r="H6" s="6" t="s">
        <v>21</v>
      </c>
      <c r="I6" s="55">
        <v>0</v>
      </c>
      <c r="J6" s="6">
        <v>50</v>
      </c>
      <c r="K6" s="6">
        <v>50</v>
      </c>
      <c r="L6" s="6">
        <v>50</v>
      </c>
      <c r="M6" s="6" t="s">
        <v>49</v>
      </c>
      <c r="N6" s="33"/>
      <c r="O6" s="55" t="s">
        <v>22</v>
      </c>
      <c r="P6" s="33"/>
      <c r="Q6" s="33"/>
      <c r="R6" s="6" t="s">
        <v>59</v>
      </c>
      <c r="S6" s="33"/>
      <c r="T6" s="6" t="s">
        <v>54</v>
      </c>
      <c r="U6" s="6" t="s">
        <v>54</v>
      </c>
      <c r="V6" s="56"/>
      <c r="W6" s="35"/>
      <c r="X6" s="56" t="b">
        <v>1</v>
      </c>
      <c r="Y6" s="6" t="s">
        <v>72</v>
      </c>
      <c r="Z6" s="35"/>
      <c r="AA6" s="35" t="s">
        <v>72</v>
      </c>
      <c r="AB6" s="57">
        <v>0</v>
      </c>
      <c r="AC6" s="35" t="s">
        <v>72</v>
      </c>
      <c r="AD6" s="57">
        <v>0</v>
      </c>
      <c r="AE6" s="56">
        <v>0</v>
      </c>
      <c r="AF6" s="56" t="b">
        <v>1</v>
      </c>
      <c r="AG6" s="6">
        <v>50</v>
      </c>
      <c r="AH6" s="57">
        <v>0</v>
      </c>
      <c r="AJ6" s="56" t="s">
        <v>37</v>
      </c>
      <c r="AK6" s="6" t="s">
        <v>37</v>
      </c>
      <c r="AL6" s="35"/>
      <c r="AM6" s="35"/>
      <c r="AN6" s="6" t="s">
        <v>73</v>
      </c>
      <c r="AO6" s="6" t="s">
        <v>56</v>
      </c>
      <c r="AP6" s="6" t="s">
        <v>57</v>
      </c>
      <c r="AQ6" s="6" t="s">
        <v>37</v>
      </c>
      <c r="AR6" s="6" t="s">
        <v>58</v>
      </c>
      <c r="AS6" s="35"/>
      <c r="AT6" s="35"/>
      <c r="AV6" s="6" t="s">
        <v>35</v>
      </c>
      <c r="AW6" s="56" t="s">
        <v>55</v>
      </c>
      <c r="AX6" s="35"/>
      <c r="AY6" s="56">
        <v>0</v>
      </c>
      <c r="AZ6" s="56" t="s">
        <v>40</v>
      </c>
      <c r="BA6" s="35"/>
      <c r="BB6" s="6" t="s">
        <v>60</v>
      </c>
      <c r="BC6" s="6" t="s">
        <v>74</v>
      </c>
      <c r="BD6" s="6" t="s">
        <v>61</v>
      </c>
      <c r="BE6" s="6" t="s">
        <v>61</v>
      </c>
      <c r="BF6" s="6" t="s">
        <v>25</v>
      </c>
      <c r="BG6" s="6" t="s">
        <v>62</v>
      </c>
      <c r="BH6" s="6" t="s">
        <v>61</v>
      </c>
      <c r="BI6" s="6" t="s">
        <v>61</v>
      </c>
      <c r="BJ6" s="6" t="s">
        <v>61</v>
      </c>
      <c r="BK6" s="6" t="s">
        <v>62</v>
      </c>
      <c r="BL6" s="35"/>
      <c r="BM6" s="6" t="s">
        <v>61</v>
      </c>
      <c r="BN6" s="6" t="s">
        <v>61</v>
      </c>
      <c r="BO6" s="6" t="s">
        <v>61</v>
      </c>
      <c r="BP6" s="6" t="s">
        <v>61</v>
      </c>
      <c r="BQ6" s="56">
        <v>1</v>
      </c>
      <c r="BR6" s="6">
        <v>1</v>
      </c>
      <c r="BS6" s="56" t="s">
        <v>42</v>
      </c>
      <c r="BT6" s="56">
        <v>1</v>
      </c>
      <c r="BU6" s="56" t="s">
        <v>42</v>
      </c>
      <c r="BV6" s="6">
        <v>0</v>
      </c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56"/>
      <c r="CR6" s="56"/>
      <c r="CS6" s="56"/>
      <c r="CT6" s="35"/>
      <c r="CU6" s="35"/>
      <c r="CV6" s="35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35"/>
      <c r="DJ6" s="56"/>
      <c r="DK6" s="56"/>
      <c r="DL6" s="35"/>
      <c r="DM6" s="35"/>
      <c r="DN6" s="56"/>
      <c r="DO6" s="56"/>
      <c r="DP6" s="35"/>
      <c r="DQ6" s="56"/>
      <c r="DR6" s="56"/>
      <c r="DS6" s="56"/>
      <c r="DT6" s="35"/>
      <c r="DU6" s="35"/>
      <c r="DV6" s="35"/>
      <c r="DW6" s="56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/>
      <c r="C7" s="35"/>
      <c r="D7" s="35"/>
      <c r="E7" s="35"/>
      <c r="F7" s="35"/>
      <c r="G7" s="35"/>
      <c r="H7" s="6" t="s">
        <v>26</v>
      </c>
      <c r="I7" s="56">
        <v>0</v>
      </c>
      <c r="J7" s="6">
        <v>20</v>
      </c>
      <c r="K7" s="6">
        <v>20</v>
      </c>
      <c r="L7" s="6">
        <v>20</v>
      </c>
      <c r="M7" s="6" t="s">
        <v>49</v>
      </c>
      <c r="N7" s="33"/>
      <c r="O7" s="56" t="s">
        <v>22</v>
      </c>
      <c r="P7" s="35"/>
      <c r="Q7" s="35"/>
      <c r="R7" s="6" t="s">
        <v>59</v>
      </c>
      <c r="S7" s="35"/>
      <c r="T7" s="6" t="s">
        <v>54</v>
      </c>
      <c r="U7" s="6" t="s">
        <v>54</v>
      </c>
      <c r="V7" s="56"/>
      <c r="W7" s="35"/>
      <c r="X7" s="56" t="b">
        <v>1</v>
      </c>
      <c r="Y7" s="6" t="s">
        <v>72</v>
      </c>
      <c r="Z7" s="35"/>
      <c r="AA7" s="35" t="s">
        <v>72</v>
      </c>
      <c r="AB7" s="57">
        <v>0</v>
      </c>
      <c r="AC7" s="35" t="s">
        <v>72</v>
      </c>
      <c r="AD7" s="57">
        <v>0</v>
      </c>
      <c r="AE7" s="56">
        <v>0</v>
      </c>
      <c r="AF7" s="56" t="b">
        <v>1</v>
      </c>
      <c r="AG7" s="6">
        <v>20</v>
      </c>
      <c r="AH7" s="57">
        <v>0</v>
      </c>
      <c r="AJ7" s="56" t="s">
        <v>37</v>
      </c>
      <c r="AK7" s="6" t="s">
        <v>37</v>
      </c>
      <c r="AL7" s="35"/>
      <c r="AM7" s="35"/>
      <c r="AN7" s="6" t="s">
        <v>73</v>
      </c>
      <c r="AO7" s="6" t="s">
        <v>65</v>
      </c>
      <c r="AP7" s="6" t="s">
        <v>66</v>
      </c>
      <c r="AQ7" s="6" t="s">
        <v>37</v>
      </c>
      <c r="AR7" s="6" t="s">
        <v>67</v>
      </c>
      <c r="AS7" s="35"/>
      <c r="AT7" s="35"/>
      <c r="AV7" s="6" t="s">
        <v>35</v>
      </c>
      <c r="AW7" s="56" t="s">
        <v>55</v>
      </c>
      <c r="AX7" s="35"/>
      <c r="AY7" s="56">
        <v>0</v>
      </c>
      <c r="AZ7" s="56" t="s">
        <v>40</v>
      </c>
      <c r="BA7" s="35"/>
      <c r="BB7" s="6" t="s">
        <v>68</v>
      </c>
      <c r="BC7" s="6" t="s">
        <v>75</v>
      </c>
      <c r="BD7" s="6" t="s">
        <v>57</v>
      </c>
      <c r="BE7" s="6" t="s">
        <v>57</v>
      </c>
      <c r="BF7" s="6" t="s">
        <v>25</v>
      </c>
      <c r="BG7" s="6" t="s">
        <v>25</v>
      </c>
      <c r="BH7" s="6" t="s">
        <v>57</v>
      </c>
      <c r="BI7" s="6" t="s">
        <v>69</v>
      </c>
      <c r="BJ7" s="6" t="s">
        <v>57</v>
      </c>
      <c r="BK7" s="6" t="s">
        <v>57</v>
      </c>
      <c r="BL7" s="35"/>
      <c r="BM7" s="6" t="s">
        <v>57</v>
      </c>
      <c r="BN7" s="58"/>
      <c r="BP7" s="6" t="s">
        <v>57</v>
      </c>
      <c r="BQ7" s="56">
        <v>1</v>
      </c>
      <c r="BR7" s="6">
        <v>1</v>
      </c>
      <c r="BS7" s="56" t="s">
        <v>42</v>
      </c>
      <c r="BT7" s="56">
        <v>1</v>
      </c>
      <c r="BU7" s="56" t="s">
        <v>42</v>
      </c>
      <c r="BV7" s="6">
        <v>0</v>
      </c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56"/>
      <c r="CR7" s="56"/>
      <c r="CS7" s="56"/>
      <c r="CT7" s="35"/>
      <c r="CU7" s="35"/>
      <c r="CV7" s="35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35"/>
      <c r="DJ7" s="56"/>
      <c r="DK7" s="56"/>
      <c r="DL7" s="35"/>
      <c r="DM7" s="35"/>
      <c r="DN7" s="56"/>
      <c r="DO7" s="56"/>
      <c r="DP7" s="35"/>
      <c r="DQ7" s="56"/>
      <c r="DR7" s="56"/>
      <c r="DS7" s="56"/>
      <c r="DT7" s="35"/>
      <c r="DU7" s="35"/>
      <c r="DV7" s="35"/>
      <c r="DW7" s="56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/>
      <c r="C8" s="35"/>
      <c r="D8" s="35"/>
      <c r="E8" s="35"/>
      <c r="F8" s="35"/>
      <c r="G8" s="35"/>
      <c r="H8" s="6" t="s">
        <v>21</v>
      </c>
      <c r="I8" s="59">
        <v>0</v>
      </c>
      <c r="J8" s="6">
        <v>50</v>
      </c>
      <c r="K8" s="6">
        <v>50</v>
      </c>
      <c r="L8" s="6">
        <v>50</v>
      </c>
      <c r="M8" s="6" t="s">
        <v>49</v>
      </c>
      <c r="N8" s="33"/>
      <c r="O8" s="59" t="s">
        <v>22</v>
      </c>
      <c r="P8" s="35"/>
      <c r="Q8" s="35"/>
      <c r="R8" s="6" t="s">
        <v>64</v>
      </c>
      <c r="S8" s="35"/>
      <c r="T8" s="6" t="s">
        <v>63</v>
      </c>
      <c r="U8" s="6" t="s">
        <v>63</v>
      </c>
      <c r="V8" s="59"/>
      <c r="W8" s="35"/>
      <c r="X8" s="59" t="b">
        <v>1</v>
      </c>
      <c r="Y8" s="6" t="s">
        <v>72</v>
      </c>
      <c r="Z8" s="35"/>
      <c r="AA8" s="35" t="s">
        <v>72</v>
      </c>
      <c r="AB8" s="60">
        <v>0</v>
      </c>
      <c r="AC8" s="35" t="s">
        <v>72</v>
      </c>
      <c r="AD8" s="60">
        <v>0</v>
      </c>
      <c r="AE8" s="59">
        <v>0</v>
      </c>
      <c r="AF8" s="59" t="b">
        <v>1</v>
      </c>
      <c r="AG8" s="6">
        <v>50</v>
      </c>
      <c r="AH8" s="60">
        <v>0</v>
      </c>
      <c r="AJ8" s="59" t="s">
        <v>37</v>
      </c>
      <c r="AK8" s="6" t="s">
        <v>37</v>
      </c>
      <c r="AL8" s="35"/>
      <c r="AM8" s="35"/>
      <c r="AN8" s="6" t="s">
        <v>73</v>
      </c>
      <c r="AO8" s="6" t="s">
        <v>56</v>
      </c>
      <c r="AP8" s="6" t="s">
        <v>57</v>
      </c>
      <c r="AQ8" s="6" t="s">
        <v>37</v>
      </c>
      <c r="AR8" s="6" t="s">
        <v>58</v>
      </c>
      <c r="AS8" s="35"/>
      <c r="AT8" s="35"/>
      <c r="AV8" s="6" t="s">
        <v>35</v>
      </c>
      <c r="AW8" s="59" t="s">
        <v>55</v>
      </c>
      <c r="AX8" s="35"/>
      <c r="AY8" s="59">
        <v>0</v>
      </c>
      <c r="AZ8" s="59" t="s">
        <v>40</v>
      </c>
      <c r="BA8" s="35"/>
      <c r="BB8" s="6" t="s">
        <v>60</v>
      </c>
      <c r="BC8" s="6" t="s">
        <v>74</v>
      </c>
      <c r="BD8" s="6" t="s">
        <v>61</v>
      </c>
      <c r="BE8" s="6" t="s">
        <v>61</v>
      </c>
      <c r="BF8" s="6" t="s">
        <v>25</v>
      </c>
      <c r="BG8" s="6" t="s">
        <v>62</v>
      </c>
      <c r="BH8" s="6" t="s">
        <v>61</v>
      </c>
      <c r="BI8" s="6" t="s">
        <v>61</v>
      </c>
      <c r="BJ8" s="6" t="s">
        <v>61</v>
      </c>
      <c r="BK8" s="6" t="s">
        <v>62</v>
      </c>
      <c r="BL8" s="35"/>
      <c r="BM8" s="6" t="s">
        <v>61</v>
      </c>
      <c r="BN8" s="6" t="s">
        <v>61</v>
      </c>
      <c r="BO8" s="6" t="s">
        <v>61</v>
      </c>
      <c r="BP8" s="6" t="s">
        <v>61</v>
      </c>
      <c r="BQ8" s="59">
        <v>1</v>
      </c>
      <c r="BR8" s="6">
        <v>1</v>
      </c>
      <c r="BS8" s="59" t="s">
        <v>42</v>
      </c>
      <c r="BT8" s="59">
        <v>1</v>
      </c>
      <c r="BU8" s="59" t="s">
        <v>42</v>
      </c>
      <c r="BV8" s="6">
        <v>0</v>
      </c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59"/>
      <c r="CR8" s="59"/>
      <c r="CS8" s="59"/>
      <c r="CT8" s="35"/>
      <c r="CU8" s="35"/>
      <c r="CV8" s="35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35"/>
      <c r="DJ8" s="59"/>
      <c r="DK8" s="59"/>
      <c r="DL8" s="35"/>
      <c r="DM8" s="35"/>
      <c r="DN8" s="59"/>
      <c r="DO8" s="59"/>
      <c r="DP8" s="35"/>
      <c r="DQ8" s="59"/>
      <c r="DR8" s="59"/>
      <c r="DS8" s="59"/>
      <c r="DT8" s="35"/>
      <c r="DU8" s="35"/>
      <c r="DV8" s="35"/>
      <c r="DW8" s="59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5"/>
      <c r="C9" s="35"/>
      <c r="D9" s="35"/>
      <c r="E9" s="35"/>
      <c r="F9" s="35"/>
      <c r="G9" s="35"/>
      <c r="H9" s="6" t="s">
        <v>26</v>
      </c>
      <c r="I9" s="59">
        <v>0</v>
      </c>
      <c r="J9" s="6">
        <v>20</v>
      </c>
      <c r="K9" s="6">
        <v>20</v>
      </c>
      <c r="L9" s="6">
        <v>20</v>
      </c>
      <c r="M9" s="6" t="s">
        <v>49</v>
      </c>
      <c r="N9" s="35"/>
      <c r="O9" s="59" t="s">
        <v>22</v>
      </c>
      <c r="P9" s="35"/>
      <c r="Q9" s="35"/>
      <c r="R9" s="6" t="s">
        <v>64</v>
      </c>
      <c r="S9" s="35"/>
      <c r="T9" s="6" t="s">
        <v>63</v>
      </c>
      <c r="U9" s="6" t="s">
        <v>63</v>
      </c>
      <c r="V9" s="59"/>
      <c r="W9" s="35"/>
      <c r="X9" s="59" t="b">
        <v>1</v>
      </c>
      <c r="Y9" s="6" t="s">
        <v>72</v>
      </c>
      <c r="Z9" s="35"/>
      <c r="AA9" s="35" t="s">
        <v>72</v>
      </c>
      <c r="AB9" s="60">
        <v>0</v>
      </c>
      <c r="AC9" s="35" t="s">
        <v>72</v>
      </c>
      <c r="AD9" s="60">
        <v>0</v>
      </c>
      <c r="AE9" s="59">
        <v>0</v>
      </c>
      <c r="AF9" s="59" t="b">
        <v>1</v>
      </c>
      <c r="AG9" s="6">
        <v>20</v>
      </c>
      <c r="AH9" s="60">
        <v>0</v>
      </c>
      <c r="AJ9" s="59" t="s">
        <v>37</v>
      </c>
      <c r="AK9" s="6" t="s">
        <v>37</v>
      </c>
      <c r="AL9" s="35"/>
      <c r="AM9" s="35"/>
      <c r="AN9" s="6" t="s">
        <v>73</v>
      </c>
      <c r="AO9" s="6" t="s">
        <v>65</v>
      </c>
      <c r="AP9" s="6" t="s">
        <v>66</v>
      </c>
      <c r="AQ9" s="6" t="s">
        <v>37</v>
      </c>
      <c r="AR9" s="6" t="s">
        <v>67</v>
      </c>
      <c r="AS9" s="35"/>
      <c r="AT9" s="35"/>
      <c r="AV9" s="6" t="s">
        <v>35</v>
      </c>
      <c r="AW9" s="59" t="s">
        <v>55</v>
      </c>
      <c r="AX9" s="35"/>
      <c r="AY9" s="59">
        <v>0</v>
      </c>
      <c r="AZ9" s="59" t="s">
        <v>40</v>
      </c>
      <c r="BA9" s="35"/>
      <c r="BB9" s="6" t="s">
        <v>68</v>
      </c>
      <c r="BC9" s="6" t="s">
        <v>75</v>
      </c>
      <c r="BD9" s="6" t="s">
        <v>57</v>
      </c>
      <c r="BE9" s="6" t="s">
        <v>57</v>
      </c>
      <c r="BF9" s="6" t="s">
        <v>25</v>
      </c>
      <c r="BG9" s="6" t="s">
        <v>25</v>
      </c>
      <c r="BH9" s="6" t="s">
        <v>57</v>
      </c>
      <c r="BI9" s="6" t="s">
        <v>69</v>
      </c>
      <c r="BJ9" s="6" t="s">
        <v>57</v>
      </c>
      <c r="BK9" s="6" t="s">
        <v>57</v>
      </c>
      <c r="BL9" s="35"/>
      <c r="BM9" s="6" t="s">
        <v>57</v>
      </c>
      <c r="BN9" s="58"/>
      <c r="BP9" s="6" t="s">
        <v>57</v>
      </c>
      <c r="BQ9" s="59">
        <v>1</v>
      </c>
      <c r="BR9" s="6">
        <v>1</v>
      </c>
      <c r="BS9" s="59" t="s">
        <v>42</v>
      </c>
      <c r="BT9" s="59">
        <v>1</v>
      </c>
      <c r="BU9" s="59" t="s">
        <v>42</v>
      </c>
      <c r="BV9" s="6">
        <v>0</v>
      </c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59"/>
      <c r="CR9" s="59"/>
      <c r="CS9" s="59"/>
      <c r="CT9" s="35"/>
      <c r="CU9" s="35"/>
      <c r="CV9" s="35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35"/>
      <c r="DJ9" s="59"/>
      <c r="DK9" s="59"/>
      <c r="DL9" s="35"/>
      <c r="DM9" s="35"/>
      <c r="DN9" s="59"/>
      <c r="DO9" s="59"/>
      <c r="DP9" s="35"/>
      <c r="DQ9" s="59"/>
      <c r="DR9" s="59"/>
      <c r="DS9" s="59"/>
      <c r="DT9" s="35"/>
      <c r="DU9" s="35"/>
      <c r="DV9" s="35"/>
      <c r="DW9" s="59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3"/>
    </row>
    <row r="12" spans="1:154" ht="15.75" customHeight="1">
      <c r="A12" s="53"/>
      <c r="BM12" s="58"/>
    </row>
    <row r="13" spans="1:154" ht="15.75" customHeight="1">
      <c r="A13" s="53"/>
    </row>
    <row r="14" spans="1:154" ht="15.75" customHeight="1">
      <c r="A14" s="53"/>
      <c r="BM14" s="58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/>
    <row r="20" spans="1:15" ht="15.75" customHeight="1"/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76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1"/>
      <c r="B6" s="39"/>
      <c r="C6" s="33"/>
      <c r="D6" s="50">
        <v>0</v>
      </c>
      <c r="E6" s="61" t="s">
        <v>36</v>
      </c>
      <c r="F6" s="33"/>
      <c r="G6" s="50">
        <v>100</v>
      </c>
      <c r="H6" s="33" t="s">
        <v>40</v>
      </c>
      <c r="I6" s="33" t="s">
        <v>77</v>
      </c>
      <c r="J6" s="33" t="s">
        <v>21</v>
      </c>
      <c r="K6" s="33" t="s">
        <v>38</v>
      </c>
      <c r="L6" s="33" t="s">
        <v>39</v>
      </c>
      <c r="M6" s="33"/>
      <c r="N6" s="33"/>
      <c r="O6" s="33"/>
      <c r="P6" s="33"/>
      <c r="Q6" s="33"/>
      <c r="R6" s="33"/>
      <c r="S6" s="43">
        <v>0</v>
      </c>
      <c r="T6" s="44">
        <v>0</v>
      </c>
      <c r="U6" s="35"/>
      <c r="V6" s="35"/>
      <c r="W6" s="35"/>
      <c r="X6" s="44">
        <v>0</v>
      </c>
      <c r="Y6" s="35"/>
      <c r="Z6" s="35"/>
      <c r="AA6" s="35" t="s">
        <v>34</v>
      </c>
      <c r="AB6" s="48"/>
      <c r="AC6" s="35"/>
      <c r="AD6" s="44">
        <v>1</v>
      </c>
      <c r="AE6" s="35"/>
      <c r="AF6" s="35" t="s">
        <v>42</v>
      </c>
      <c r="AG6" s="35"/>
      <c r="AH6" s="35" t="s">
        <v>37</v>
      </c>
      <c r="AI6" s="35" t="s">
        <v>21</v>
      </c>
      <c r="AJ6" s="35" t="s">
        <v>22</v>
      </c>
      <c r="AK6" s="47" t="s">
        <v>32</v>
      </c>
      <c r="AL6" s="44">
        <v>100</v>
      </c>
      <c r="AM6" s="44"/>
      <c r="AN6" s="44"/>
      <c r="AO6" s="44"/>
      <c r="AP6" s="35"/>
      <c r="AQ6" s="48">
        <v>0</v>
      </c>
      <c r="AR6" s="48">
        <v>0</v>
      </c>
      <c r="AS6" s="35" t="s">
        <v>33</v>
      </c>
      <c r="AT6" s="35" t="s">
        <v>34</v>
      </c>
      <c r="AU6" s="35" t="s">
        <v>35</v>
      </c>
      <c r="AV6" s="48">
        <v>0</v>
      </c>
      <c r="AW6" s="48">
        <v>0</v>
      </c>
      <c r="AX6" s="35"/>
      <c r="AY6" s="44">
        <v>100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/>
      <c r="C7" s="35"/>
      <c r="D7" s="37">
        <v>0</v>
      </c>
      <c r="E7" s="35" t="s">
        <v>43</v>
      </c>
      <c r="F7" s="35"/>
      <c r="G7" s="52">
        <v>40</v>
      </c>
      <c r="H7" s="35" t="s">
        <v>40</v>
      </c>
      <c r="I7" s="35" t="s">
        <v>77</v>
      </c>
      <c r="J7" s="35" t="s">
        <v>26</v>
      </c>
      <c r="K7" s="35" t="s">
        <v>38</v>
      </c>
      <c r="L7" s="35" t="s">
        <v>39</v>
      </c>
      <c r="M7" s="35"/>
      <c r="N7" s="35"/>
      <c r="O7" s="35"/>
      <c r="P7" s="35"/>
      <c r="Q7" s="35"/>
      <c r="R7" s="35"/>
      <c r="S7" s="44">
        <v>0</v>
      </c>
      <c r="T7" s="44">
        <v>0</v>
      </c>
      <c r="U7" s="35"/>
      <c r="V7" s="35"/>
      <c r="W7" s="35"/>
      <c r="X7" s="44">
        <v>0</v>
      </c>
      <c r="Y7" s="35"/>
      <c r="Z7" s="35"/>
      <c r="AA7" s="35" t="s">
        <v>34</v>
      </c>
      <c r="AB7" s="44"/>
      <c r="AC7" s="35"/>
      <c r="AD7" s="44">
        <v>1</v>
      </c>
      <c r="AE7" s="35"/>
      <c r="AF7" s="35" t="s">
        <v>42</v>
      </c>
      <c r="AG7" s="35"/>
      <c r="AH7" s="35" t="s">
        <v>37</v>
      </c>
      <c r="AI7" s="35" t="s">
        <v>26</v>
      </c>
      <c r="AJ7" s="35" t="s">
        <v>22</v>
      </c>
      <c r="AK7" s="35" t="s">
        <v>32</v>
      </c>
      <c r="AL7" s="48">
        <v>100</v>
      </c>
      <c r="AM7" s="44"/>
      <c r="AN7" s="44"/>
      <c r="AO7" s="44"/>
      <c r="AP7" s="47">
        <v>60</v>
      </c>
      <c r="AQ7" s="44">
        <v>0</v>
      </c>
      <c r="AR7" s="44">
        <v>0</v>
      </c>
      <c r="AS7" s="35" t="s">
        <v>33</v>
      </c>
      <c r="AT7" s="35" t="s">
        <v>34</v>
      </c>
      <c r="AU7" s="35" t="s">
        <v>35</v>
      </c>
      <c r="AV7" s="44">
        <v>0</v>
      </c>
      <c r="AW7" s="44">
        <v>0</v>
      </c>
      <c r="AX7" s="35"/>
      <c r="AY7" s="44">
        <v>100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N9" sqref="BN9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78</v>
      </c>
      <c r="D3" s="2" t="s">
        <v>9</v>
      </c>
      <c r="E3" s="17" t="s">
        <v>79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7" t="s">
        <v>80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68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IFERROR(__xludf.DUMMYFUNCTION("""COMPUTED_VALUE"""),"isEnableModule")</f>
        <v>isEnableModule</v>
      </c>
      <c r="C5" s="22" t="str">
        <f ca="1">IFERROR(__xludf.DUMMYFUNCTION("""COMPUTED_VALUE"""),"moduleName")</f>
        <v>moduleName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 t="b">
        <v>0</v>
      </c>
      <c r="C6" s="26" t="s">
        <v>16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28" t="b">
        <v>0</v>
      </c>
      <c r="C7" s="26" t="s">
        <v>17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28" t="b">
        <v>0</v>
      </c>
      <c r="C8" s="26" t="s">
        <v>18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63" t="s">
        <v>11</v>
      </c>
      <c r="C1" s="64"/>
      <c r="D1" s="64"/>
      <c r="E1" s="64"/>
      <c r="F1" s="64"/>
      <c r="G1" s="64"/>
      <c r="H1" s="6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81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IFERROR(__xludf.DUMMYFUNCTION("""COMPUTED_VALUE"""),"Actual User")</f>
        <v>Actual 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IFERROR(__xludf.DUMMYFUNCTION("""COMPUTED_VALUE"""),"Current User")</f>
        <v>Current User</v>
      </c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9"/>
      <c r="B6" s="39" t="s">
        <v>21</v>
      </c>
      <c r="C6" s="33" t="s">
        <v>22</v>
      </c>
      <c r="D6" s="50">
        <v>100</v>
      </c>
      <c r="E6" s="50"/>
      <c r="F6" s="50">
        <v>100</v>
      </c>
      <c r="G6" s="42" t="s">
        <v>32</v>
      </c>
      <c r="H6" s="33"/>
      <c r="I6" s="50">
        <v>0</v>
      </c>
      <c r="J6" s="50">
        <v>0</v>
      </c>
      <c r="K6" s="33" t="s">
        <v>33</v>
      </c>
      <c r="L6" s="33" t="s">
        <v>34</v>
      </c>
      <c r="M6" s="33" t="s">
        <v>35</v>
      </c>
      <c r="N6" s="33"/>
      <c r="O6" s="32">
        <v>0</v>
      </c>
      <c r="P6" s="32">
        <v>0</v>
      </c>
      <c r="Q6" s="32">
        <v>0</v>
      </c>
      <c r="R6" s="33"/>
      <c r="S6" s="62" t="s">
        <v>36</v>
      </c>
      <c r="T6" s="35"/>
      <c r="U6" s="35"/>
      <c r="V6" s="35"/>
      <c r="W6" s="35" t="s">
        <v>37</v>
      </c>
      <c r="X6" s="35" t="s">
        <v>42</v>
      </c>
      <c r="Y6" s="48">
        <v>1</v>
      </c>
      <c r="Z6" s="35"/>
      <c r="AA6" s="35"/>
      <c r="AB6" s="35"/>
      <c r="AC6" s="44">
        <v>0</v>
      </c>
      <c r="AD6" s="48">
        <v>0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3"/>
      <c r="AQ6" s="33"/>
      <c r="AR6" s="33" t="s">
        <v>39</v>
      </c>
      <c r="AS6" s="35"/>
      <c r="AT6" s="33"/>
      <c r="AU6" s="33"/>
      <c r="AV6" s="33" t="s">
        <v>40</v>
      </c>
      <c r="AW6" s="48">
        <v>100</v>
      </c>
      <c r="AX6" s="35"/>
      <c r="AY6" s="35"/>
      <c r="AZ6" s="33"/>
      <c r="BA6" s="33" t="s">
        <v>34</v>
      </c>
      <c r="BB6" s="33" t="s">
        <v>77</v>
      </c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26</v>
      </c>
      <c r="C7" s="35" t="s">
        <v>22</v>
      </c>
      <c r="D7" s="52">
        <v>40</v>
      </c>
      <c r="E7" s="52"/>
      <c r="F7" s="52">
        <v>40</v>
      </c>
      <c r="G7" s="47" t="s">
        <v>82</v>
      </c>
      <c r="H7" s="35"/>
      <c r="I7" s="37">
        <v>0</v>
      </c>
      <c r="J7" s="37">
        <v>0</v>
      </c>
      <c r="K7" s="35" t="s">
        <v>33</v>
      </c>
      <c r="L7" s="35" t="s">
        <v>34</v>
      </c>
      <c r="M7" s="35" t="s">
        <v>35</v>
      </c>
      <c r="N7" s="35"/>
      <c r="O7" s="37">
        <v>0</v>
      </c>
      <c r="P7" s="37">
        <v>0</v>
      </c>
      <c r="Q7" s="37">
        <v>0</v>
      </c>
      <c r="R7" s="33"/>
      <c r="S7" s="49" t="s">
        <v>43</v>
      </c>
      <c r="T7" s="35"/>
      <c r="U7" s="35"/>
      <c r="V7" s="35"/>
      <c r="W7" s="35" t="s">
        <v>37</v>
      </c>
      <c r="X7" s="35" t="s">
        <v>42</v>
      </c>
      <c r="Y7" s="44">
        <v>1</v>
      </c>
      <c r="Z7" s="35"/>
      <c r="AA7" s="35"/>
      <c r="AB7" s="35"/>
      <c r="AC7" s="44">
        <v>0</v>
      </c>
      <c r="AD7" s="44">
        <v>0</v>
      </c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 t="s">
        <v>39</v>
      </c>
      <c r="AS7" s="35"/>
      <c r="AT7" s="35"/>
      <c r="AU7" s="35"/>
      <c r="AV7" s="35" t="s">
        <v>40</v>
      </c>
      <c r="AW7" s="48">
        <v>40</v>
      </c>
      <c r="AX7" s="35"/>
      <c r="AY7" s="35"/>
      <c r="AZ7" s="35"/>
      <c r="BA7" s="35" t="s">
        <v>34</v>
      </c>
      <c r="BB7" s="35" t="s">
        <v>77</v>
      </c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_Modules</vt:lpstr>
      <vt:lpstr>_Settings</vt:lpstr>
      <vt:lpstr>_MasterData</vt:lpstr>
      <vt:lpstr>EnableDisableModule</vt:lpstr>
      <vt:lpstr>CreateLiveOrder</vt:lpstr>
      <vt:lpstr>SelectTrade</vt:lpstr>
      <vt:lpstr>AcknowledgeTrade</vt:lpstr>
      <vt:lpstr>SelectTrade2</vt:lpstr>
      <vt:lpstr>AcknowledgeTrade1</vt:lpstr>
      <vt:lpstr>SelectTrade1</vt:lpstr>
      <vt:lpstr>SelectTradeOnOrderGrid</vt:lpstr>
      <vt:lpstr>CancelSubOrder</vt:lpstr>
      <vt:lpstr>SelectTradeOnOrderGrid1</vt:lpstr>
      <vt:lpstr>ReplaceSubOrder</vt:lpstr>
      <vt:lpstr>CreateReplaceOrder</vt:lpstr>
      <vt:lpstr>RejectTrade</vt:lpstr>
      <vt:lpstr>VerifyTaxlotWindow</vt:lpstr>
      <vt:lpstr>VerifyAggAccountSymbolWithNav</vt:lpstr>
      <vt:lpstr>VerifySymbolDivisorWindow</vt:lpstr>
      <vt:lpstr>VerifyRowCalculationBaseWindow</vt:lpstr>
      <vt:lpstr>VerifyOrder</vt:lpstr>
      <vt:lpstr>CheckPortfolioManagement</vt:lpstr>
      <vt:lpstr>EnableDisableModule2</vt:lpstr>
      <vt:lpstr>VerifyWorkingSubs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2021-08-04T11:38:31Z</dcterms:modified>
</cp:coreProperties>
</file>