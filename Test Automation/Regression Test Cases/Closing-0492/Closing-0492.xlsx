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ClosingPreference" sheetId="4" r:id="rId6"/>
    <sheet name="CreateDoneAwayOrder" sheetId="5" r:id="rId7"/>
    <sheet name="GetDataClosing" sheetId="6" r:id="rId8"/>
    <sheet name="SelectTradeUnexpiredUnsettled" sheetId="7" r:id="rId9"/>
    <sheet name="ExerciseAssignment" sheetId="8" r:id="rId10"/>
    <sheet name="CheckAllocatedGroups" sheetId="9" r:id="rId11"/>
    <sheet name="CheckPortfolioManagement" sheetId="10" r:id="rId12"/>
  </sheets>
  <calcPr fullCalcOnLoad="1"/>
</workbook>
</file>

<file path=xl/sharedStrings.xml><?xml version="1.0" encoding="utf-8"?>
<sst xmlns="http://schemas.openxmlformats.org/spreadsheetml/2006/main" count="56" uniqueCount="56">
  <si>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</si>
  <si>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</si>
  <si>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</si>
  <si>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</si>
  <si>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</si>
  <si>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</si>
  <si>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</si>
  <si>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</si>
  <si>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</si>
  <si>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</si>
  <si>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</si>
  <si>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</si>
  <si>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</si>
  <si>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</si>
  <si>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</si>
  <si>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</si>
  <si>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FIFO</t>
  </si>
  <si>
    <t>TradingTicket</t>
  </si>
  <si>
    <t>CreateDoneAwayOrder</t>
  </si>
  <si>
    <t>AAPL</t>
  </si>
  <si>
    <t>Sell short</t>
  </si>
  <si>
    <t>O:AAPL 23D100.00D21</t>
  </si>
  <si>
    <t>Buy to Open</t>
  </si>
  <si>
    <t>GetDataClosing</t>
  </si>
  <si>
    <t>Historical</t>
  </si>
  <si>
    <t>1/1/1800</t>
  </si>
  <si>
    <t>SelectTradeUnexpiredUnsettled</t>
  </si>
  <si>
    <t>Allocation1</t>
  </si>
  <si>
    <t>ExerciseAssignment</t>
  </si>
  <si>
    <t>Buy to Close</t>
  </si>
  <si>
    <t>Buy</t>
  </si>
  <si>
    <t>Allocation</t>
  </si>
  <si>
    <t>CheckAllocatedGroups</t>
  </si>
  <si>
    <t/>
  </si>
  <si>
    <t>Equity</t>
  </si>
  <si>
    <t>AAPL US EQUITY</t>
  </si>
  <si>
    <t>MS</t>
  </si>
  <si>
    <t>APPLE</t>
  </si>
  <si>
    <t>USD</t>
  </si>
  <si>
    <t>NASDAQ</t>
  </si>
  <si>
    <t>M</t>
  </si>
  <si>
    <t>GCCAP1</t>
  </si>
  <si>
    <t>jpearce</t>
  </si>
  <si>
    <t>PortfolioManagement</t>
  </si>
  <si>
    <t>CheckPortfolioManagement</t>
  </si>
  <si>
    <t>NewMF</t>
  </si>
  <si>
    <t>Long</t>
  </si>
  <si>
    <t>FIMAT</t>
  </si>
  <si>
    <t>US</t>
  </si>
  <si>
    <t>Short</t>
  </si>
  <si>
    <t>EquityOption</t>
  </si>
  <si>
    <t>OPTS</t>
  </si>
  <si>
    <t>Equity Call</t>
  </si>
  <si>
    <t>CALL</t>
  </si>
  <si>
    <t>Sell to Close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</si>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</sst>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4"/>
      <c r="G6" s="34"/>
      <c r="H6" s="34"/>
      <c r="I6" s="34"/>
      <c r="J6" s="33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5" t="s">
        <v>20</v>
      </c>
      <c r="D6" s="36">
        <v>100</v>
      </c>
      <c r="E6" s="34"/>
      <c r="F6" s="34"/>
      <c r="G6" s="34"/>
      <c r="H6" s="34"/>
      <c r="I6" s="34"/>
      <c r="J6" s="37">
        <v>10</v>
      </c>
      <c r="K6" s="34"/>
      <c r="L6" s="34"/>
      <c r="M6" s="34"/>
      <c r="N6" s="38">
        <f>TODAY()-1</f>
        <v>45075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21</v>
      </c>
      <c r="C7" s="35" t="s">
        <v>22</v>
      </c>
      <c r="D7" s="37">
        <v>10</v>
      </c>
      <c r="E7" s="34"/>
      <c r="F7" s="34"/>
      <c r="G7" s="34"/>
      <c r="H7" s="34"/>
      <c r="I7" s="34"/>
      <c r="J7" s="37">
        <v>10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24</v>
      </c>
      <c r="C6" s="40" t="s">
        <v>25</v>
      </c>
      <c r="D6" s="40">
        <f>TODAY()</f>
        <v>45076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27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1" t="s">
        <v>21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  <c r="AW6" s="9">
        <v>0</v>
      </c>
      <c r="BE6" s="9" t="s">
        <v>29</v>
      </c>
      <c r="BL6" s="4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W7" s="9">
        <v>1000</v>
      </c>
      <c r="BE7" s="9" t="s">
        <v>30</v>
      </c>
      <c r="BL7" s="41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33</v>
      </c>
      <c r="B6" s="43" t="s">
        <v>27</v>
      </c>
      <c r="C6" s="8"/>
      <c r="D6" s="43"/>
      <c r="E6" s="8">
        <v>1000</v>
      </c>
      <c r="F6" s="8"/>
      <c r="G6" s="8" t="s">
        <v>34</v>
      </c>
      <c r="H6" s="8"/>
      <c r="I6" s="8"/>
      <c r="J6" s="8"/>
      <c r="K6" s="8">
        <v>100</v>
      </c>
      <c r="L6" s="8">
        <v>100</v>
      </c>
      <c r="M6" s="8" t="s">
        <v>35</v>
      </c>
      <c r="N6" s="8" t="s">
        <v>33</v>
      </c>
      <c r="O6" s="8" t="s">
        <v>36</v>
      </c>
      <c r="V6" s="0" t="s">
        <v>37</v>
      </c>
      <c r="W6" s="0">
        <v>1</v>
      </c>
      <c r="X6" s="0" t="s">
        <v>33</v>
      </c>
      <c r="Y6" s="0" t="s">
        <v>33</v>
      </c>
      <c r="Z6" s="0" t="s">
        <v>38</v>
      </c>
      <c r="AA6" s="0" t="s">
        <v>19</v>
      </c>
      <c r="AD6" s="0" t="s">
        <v>39</v>
      </c>
      <c r="AE6" s="0">
        <v>1000</v>
      </c>
      <c r="AF6" s="0" t="s">
        <v>33</v>
      </c>
      <c r="AH6" s="0" t="s">
        <v>40</v>
      </c>
      <c r="AI6" s="0">
        <v>1</v>
      </c>
      <c r="AT6" s="0">
        <v>110000</v>
      </c>
      <c r="AU6" s="0">
        <v>110000</v>
      </c>
      <c r="BE6" s="0">
        <v>100000</v>
      </c>
      <c r="BF6" s="0">
        <v>100000</v>
      </c>
      <c r="BJ6" s="0">
        <v>1000</v>
      </c>
      <c r="BL6" s="0" t="s">
        <v>33</v>
      </c>
      <c r="BM6" s="0" t="s">
        <v>38</v>
      </c>
      <c r="BO6" s="0" t="s">
        <v>30</v>
      </c>
      <c r="BT6" s="0" t="s">
        <v>19</v>
      </c>
      <c r="CF6" s="0" t="s">
        <v>41</v>
      </c>
      <c r="CL6" s="0">
        <v>1</v>
      </c>
      <c r="CM6" s="0" t="s">
        <v>19</v>
      </c>
      <c r="CN6" s="0" t="s">
        <v>42</v>
      </c>
      <c r="CS6" s="0" t="s">
        <v>33</v>
      </c>
      <c r="CV6" s="0" t="s">
        <v>33</v>
      </c>
      <c r="CW6" s="0" t="s">
        <v>33</v>
      </c>
      <c r="CX6" s="0" t="s">
        <v>33</v>
      </c>
      <c r="CY6" s="0" t="s">
        <v>33</v>
      </c>
      <c r="CZ6" s="0" t="s">
        <v>33</v>
      </c>
      <c r="DA6" s="0" t="s">
        <v>33</v>
      </c>
      <c r="DB6" s="0" t="s">
        <v>33</v>
      </c>
      <c r="DC6" s="0" t="s">
        <v>33</v>
      </c>
      <c r="DD6" s="0" t="s">
        <v>33</v>
      </c>
      <c r="DE6" s="0" t="s">
        <v>33</v>
      </c>
      <c r="DF6" s="0" t="s">
        <v>33</v>
      </c>
      <c r="DG6" s="0" t="s">
        <v>33</v>
      </c>
      <c r="DH6" s="0" t="s">
        <v>33</v>
      </c>
      <c r="DI6" s="0" t="s">
        <v>33</v>
      </c>
      <c r="DJ6" s="0" t="s">
        <v>33</v>
      </c>
      <c r="DK6" s="0" t="s">
        <v>33</v>
      </c>
      <c r="DL6" s="0" t="s">
        <v>33</v>
      </c>
      <c r="DM6" s="0" t="s">
        <v>33</v>
      </c>
      <c r="DN6" s="0" t="s">
        <v>33</v>
      </c>
      <c r="DO6" s="0" t="s">
        <v>33</v>
      </c>
      <c r="DP6" s="0" t="s">
        <v>33</v>
      </c>
      <c r="DQ6" s="0" t="s">
        <v>33</v>
      </c>
      <c r="DR6" s="0" t="s">
        <v>33</v>
      </c>
      <c r="DS6" s="0" t="s">
        <v>33</v>
      </c>
      <c r="DT6" s="0" t="s">
        <v>33</v>
      </c>
      <c r="DU6" s="0" t="s">
        <v>33</v>
      </c>
      <c r="DV6" s="0" t="s">
        <v>33</v>
      </c>
      <c r="DW6" s="0" t="s">
        <v>33</v>
      </c>
      <c r="DX6" s="0" t="s">
        <v>33</v>
      </c>
      <c r="DY6" s="0" t="s">
        <v>33</v>
      </c>
      <c r="DZ6" s="0" t="s">
        <v>33</v>
      </c>
      <c r="EA6" s="0" t="s">
        <v>33</v>
      </c>
      <c r="EB6" s="0" t="s">
        <v>33</v>
      </c>
      <c r="EC6" s="0" t="s">
        <v>33</v>
      </c>
      <c r="ED6" s="0" t="s">
        <v>33</v>
      </c>
      <c r="EE6" s="0" t="s">
        <v>33</v>
      </c>
      <c r="EF6" s="0" t="s">
        <v>33</v>
      </c>
      <c r="EG6" s="0" t="s">
        <v>33</v>
      </c>
      <c r="EH6" s="0" t="s">
        <v>33</v>
      </c>
      <c r="EI6" s="0" t="s">
        <v>33</v>
      </c>
      <c r="EJ6" s="0" t="s">
        <v>33</v>
      </c>
      <c r="EK6" s="0" t="s">
        <v>33</v>
      </c>
      <c r="EL6" s="0" t="s">
        <v>33</v>
      </c>
      <c r="EM6" s="0" t="s">
        <v>33</v>
      </c>
      <c r="EN6" s="0" t="s">
        <v>33</v>
      </c>
      <c r="EO6" s="0" t="s">
        <v>33</v>
      </c>
      <c r="EP6" s="0" t="s">
        <v>33</v>
      </c>
      <c r="EQ6" s="0" t="s">
        <v>33</v>
      </c>
      <c r="ER6" s="0" t="s">
        <v>33</v>
      </c>
      <c r="ES6" s="0" t="s">
        <v>33</v>
      </c>
      <c r="ET6" s="0" t="s">
        <v>33</v>
      </c>
      <c r="EU6" s="0" t="s">
        <v>33</v>
      </c>
      <c r="EV6" s="0" t="s">
        <v>33</v>
      </c>
      <c r="EW6" s="0" t="s">
        <v>33</v>
      </c>
      <c r="EX6" s="0" t="s">
        <v>33</v>
      </c>
      <c r="FA6" s="0" t="s">
        <v>33</v>
      </c>
      <c r="FB6" s="0" t="s">
        <v>33</v>
      </c>
      <c r="FC6" s="0" t="s">
        <v>33</v>
      </c>
      <c r="FD6" s="0">
        <v>0</v>
      </c>
      <c r="FE6" s="0" t="s">
        <v>33</v>
      </c>
      <c r="FF6" s="0" t="s">
        <v>33</v>
      </c>
      <c r="FG6" s="0">
        <v>0</v>
      </c>
      <c r="FH6" s="0" t="s">
        <v>33</v>
      </c>
      <c r="FI6" s="0" t="s">
        <v>33</v>
      </c>
      <c r="FK6" s="0" t="s">
        <v>33</v>
      </c>
      <c r="FL6" s="0" t="s">
        <v>33</v>
      </c>
      <c r="FM6" s="0" t="s">
        <v>33</v>
      </c>
      <c r="FN6" s="0" t="s">
        <v>33</v>
      </c>
      <c r="FO6" s="0" t="s">
        <v>33</v>
      </c>
      <c r="FP6" s="0" t="s">
        <v>33</v>
      </c>
      <c r="FQ6" s="0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33</v>
      </c>
      <c r="B6" s="43"/>
      <c r="C6" s="8" t="s">
        <v>19</v>
      </c>
      <c r="D6" s="43">
        <v>-100</v>
      </c>
      <c r="E6" s="8" t="s">
        <v>27</v>
      </c>
      <c r="F6" s="8" t="s">
        <v>45</v>
      </c>
      <c r="G6" s="8">
        <v>10</v>
      </c>
      <c r="H6" s="8" t="s">
        <v>46</v>
      </c>
      <c r="I6" s="8"/>
      <c r="J6" s="8"/>
      <c r="K6" s="8"/>
      <c r="L6" s="8"/>
      <c r="M6" s="8"/>
      <c r="N6" s="8"/>
      <c r="O6" s="8"/>
      <c r="R6" s="0" t="s">
        <v>47</v>
      </c>
      <c r="T6" s="0" t="s">
        <v>34</v>
      </c>
      <c r="U6" s="0" t="s">
        <v>48</v>
      </c>
      <c r="V6" s="0" t="s">
        <v>39</v>
      </c>
      <c r="W6" s="0" t="s">
        <v>38</v>
      </c>
      <c r="X6" s="0">
        <v>1</v>
      </c>
      <c r="Y6" s="0">
        <v>1</v>
      </c>
      <c r="AN6" s="0" t="s">
        <v>20</v>
      </c>
      <c r="AP6" s="0" t="s">
        <v>49</v>
      </c>
      <c r="AQ6" s="0" t="s">
        <v>19</v>
      </c>
      <c r="AS6" s="0">
        <v>-1</v>
      </c>
      <c r="AV6" s="0">
        <v>1</v>
      </c>
      <c r="BC6" s="0">
        <v>1</v>
      </c>
      <c r="BE6" s="0" t="s">
        <v>34</v>
      </c>
      <c r="BQ6" s="0" t="s">
        <v>42</v>
      </c>
      <c r="BR6" s="0" t="s">
        <v>36</v>
      </c>
      <c r="BU6" s="0" t="s">
        <v>34</v>
      </c>
      <c r="CN6" s="0" t="s">
        <v>19</v>
      </c>
      <c r="CO6" s="0" t="s">
        <v>19</v>
      </c>
      <c r="CP6" s="0" t="s">
        <v>35</v>
      </c>
      <c r="CS6" s="0">
        <v>10</v>
      </c>
      <c r="DJ6" s="0" t="s">
        <v>20</v>
      </c>
      <c r="DM6" s="0">
        <v>1</v>
      </c>
      <c r="DP6" s="0" t="s">
        <v>49</v>
      </c>
      <c r="DZ6" s="0" t="s">
        <v>37</v>
      </c>
      <c r="ED6" s="0" t="s">
        <v>38</v>
      </c>
      <c r="EL6" s="0" t="s">
        <v>46</v>
      </c>
      <c r="EV6" s="0" t="s">
        <v>46</v>
      </c>
      <c r="FE6" s="0" t="s">
        <v>33</v>
      </c>
      <c r="FH6" s="0" t="s">
        <v>33</v>
      </c>
      <c r="FI6" s="0" t="s">
        <v>33</v>
      </c>
      <c r="FK6" s="0" t="s">
        <v>33</v>
      </c>
      <c r="FL6" s="0" t="s">
        <v>33</v>
      </c>
      <c r="FM6" s="0" t="s">
        <v>33</v>
      </c>
      <c r="FN6" s="0" t="s">
        <v>33</v>
      </c>
      <c r="FO6" s="0" t="s">
        <v>33</v>
      </c>
      <c r="FP6" s="0" t="s">
        <v>33</v>
      </c>
      <c r="FQ6" s="0" t="s">
        <v>33</v>
      </c>
    </row>
    <row r="7" ht="15.75" customHeight="1">
      <c r="A7" s="8" t="s">
        <v>33</v>
      </c>
      <c r="B7" s="8"/>
      <c r="C7" s="8" t="s">
        <v>21</v>
      </c>
      <c r="D7" s="8">
        <v>10</v>
      </c>
      <c r="E7" s="8" t="s">
        <v>27</v>
      </c>
      <c r="F7" s="8" t="s">
        <v>45</v>
      </c>
      <c r="G7" s="8">
        <v>10</v>
      </c>
      <c r="H7" s="8" t="s">
        <v>46</v>
      </c>
      <c r="I7" s="8"/>
      <c r="J7" s="8"/>
      <c r="K7" s="8"/>
      <c r="L7" s="8"/>
      <c r="M7" s="8"/>
      <c r="N7" s="8"/>
      <c r="O7" s="8"/>
      <c r="R7" s="0" t="s">
        <v>47</v>
      </c>
      <c r="T7" s="0" t="s">
        <v>50</v>
      </c>
      <c r="U7" s="0" t="s">
        <v>48</v>
      </c>
      <c r="V7" s="0" t="s">
        <v>51</v>
      </c>
      <c r="W7" s="0" t="s">
        <v>38</v>
      </c>
      <c r="X7" s="0">
        <v>100</v>
      </c>
      <c r="Y7" s="0">
        <v>1</v>
      </c>
      <c r="AN7" s="0" t="s">
        <v>22</v>
      </c>
      <c r="AP7" s="0" t="s">
        <v>46</v>
      </c>
      <c r="AQ7" s="0" t="s">
        <v>19</v>
      </c>
      <c r="AS7" s="0">
        <v>1</v>
      </c>
      <c r="AV7" s="0">
        <v>1</v>
      </c>
      <c r="BC7" s="0">
        <v>1</v>
      </c>
      <c r="BE7" s="0" t="s">
        <v>52</v>
      </c>
      <c r="BQ7" s="0" t="s">
        <v>42</v>
      </c>
      <c r="BR7" s="0" t="s">
        <v>36</v>
      </c>
      <c r="BU7" s="0" t="s">
        <v>53</v>
      </c>
      <c r="CS7" s="0">
        <v>10</v>
      </c>
      <c r="DJ7" s="0" t="s">
        <v>22</v>
      </c>
      <c r="DM7" s="0">
        <v>1</v>
      </c>
      <c r="DP7" s="0" t="s">
        <v>46</v>
      </c>
      <c r="DZ7" s="0" t="s">
        <v>37</v>
      </c>
      <c r="ED7" s="0" t="s">
        <v>38</v>
      </c>
      <c r="EL7" s="0" t="s">
        <v>46</v>
      </c>
      <c r="EV7" s="0" t="s">
        <v>46</v>
      </c>
      <c r="FE7" s="0" t="s">
        <v>33</v>
      </c>
      <c r="FH7" s="0" t="s">
        <v>33</v>
      </c>
      <c r="FI7" s="0" t="s">
        <v>33</v>
      </c>
      <c r="FK7" s="0" t="s">
        <v>33</v>
      </c>
      <c r="FL7" s="0" t="s">
        <v>33</v>
      </c>
      <c r="FM7" s="0" t="s">
        <v>33</v>
      </c>
      <c r="FN7" s="0" t="s">
        <v>33</v>
      </c>
      <c r="FO7" s="0" t="s">
        <v>33</v>
      </c>
      <c r="FP7" s="0" t="s">
        <v>33</v>
      </c>
      <c r="FQ7" s="0" t="s">
        <v>33</v>
      </c>
    </row>
    <row r="8" ht="15.75" customHeight="1">
      <c r="A8" s="8" t="s">
        <v>33</v>
      </c>
      <c r="B8" s="8"/>
      <c r="C8" s="8" t="s">
        <v>21</v>
      </c>
      <c r="D8" s="8">
        <v>-10</v>
      </c>
      <c r="E8" s="8" t="s">
        <v>27</v>
      </c>
      <c r="F8" s="8" t="s">
        <v>45</v>
      </c>
      <c r="G8" s="8">
        <v>0</v>
      </c>
      <c r="H8" s="8" t="s">
        <v>46</v>
      </c>
      <c r="I8" s="8"/>
      <c r="J8" s="8"/>
      <c r="K8" s="8"/>
      <c r="L8" s="8"/>
      <c r="M8" s="8"/>
      <c r="N8" s="8"/>
      <c r="O8" s="8"/>
      <c r="R8" s="0" t="s">
        <v>47</v>
      </c>
      <c r="T8" s="0" t="s">
        <v>50</v>
      </c>
      <c r="U8" s="0" t="s">
        <v>48</v>
      </c>
      <c r="V8" s="0" t="s">
        <v>51</v>
      </c>
      <c r="W8" s="0" t="s">
        <v>38</v>
      </c>
      <c r="X8" s="0">
        <v>100</v>
      </c>
      <c r="Y8" s="0">
        <v>1</v>
      </c>
      <c r="AN8" s="0" t="s">
        <v>54</v>
      </c>
      <c r="AP8" s="0" t="s">
        <v>46</v>
      </c>
      <c r="AQ8" s="0" t="s">
        <v>19</v>
      </c>
      <c r="AS8" s="0">
        <v>-1</v>
      </c>
      <c r="AV8" s="0">
        <v>1</v>
      </c>
      <c r="BC8" s="0">
        <v>1</v>
      </c>
      <c r="BE8" s="0" t="s">
        <v>52</v>
      </c>
      <c r="BQ8" s="0" t="s">
        <v>42</v>
      </c>
      <c r="BR8" s="0" t="s">
        <v>36</v>
      </c>
      <c r="BU8" s="0" t="s">
        <v>53</v>
      </c>
      <c r="CS8" s="0">
        <v>0</v>
      </c>
      <c r="DJ8" s="0" t="s">
        <v>55</v>
      </c>
      <c r="DM8" s="0">
        <v>1</v>
      </c>
      <c r="DP8" s="0" t="s">
        <v>46</v>
      </c>
      <c r="DZ8" s="0" t="s">
        <v>37</v>
      </c>
      <c r="ED8" s="0" t="s">
        <v>38</v>
      </c>
      <c r="EL8" s="0" t="s">
        <v>46</v>
      </c>
      <c r="EV8" s="0" t="s">
        <v>46</v>
      </c>
      <c r="FE8" s="0" t="s">
        <v>33</v>
      </c>
      <c r="FH8" s="0" t="s">
        <v>33</v>
      </c>
      <c r="FI8" s="0" t="s">
        <v>33</v>
      </c>
      <c r="FK8" s="0" t="s">
        <v>33</v>
      </c>
      <c r="FL8" s="0" t="s">
        <v>33</v>
      </c>
      <c r="FM8" s="0" t="s">
        <v>33</v>
      </c>
      <c r="FN8" s="0" t="s">
        <v>33</v>
      </c>
      <c r="FO8" s="0" t="s">
        <v>33</v>
      </c>
      <c r="FP8" s="0" t="s">
        <v>33</v>
      </c>
      <c r="FQ8" s="0" t="s">
        <v>33</v>
      </c>
    </row>
    <row r="9" ht="15.75" customHeight="1">
      <c r="A9" s="8" t="s">
        <v>33</v>
      </c>
      <c r="B9" s="8"/>
      <c r="C9" s="8" t="s">
        <v>19</v>
      </c>
      <c r="D9" s="8">
        <v>1000</v>
      </c>
      <c r="E9" s="8" t="s">
        <v>27</v>
      </c>
      <c r="F9" s="8" t="s">
        <v>45</v>
      </c>
      <c r="G9" s="8">
        <v>100</v>
      </c>
      <c r="H9" s="8" t="s">
        <v>46</v>
      </c>
      <c r="I9" s="8"/>
      <c r="J9" s="8"/>
      <c r="K9" s="8"/>
      <c r="L9" s="8"/>
      <c r="M9" s="8"/>
      <c r="N9" s="8"/>
      <c r="O9" s="8"/>
      <c r="R9" s="0" t="s">
        <v>47</v>
      </c>
      <c r="T9" s="0" t="s">
        <v>34</v>
      </c>
      <c r="U9" s="0" t="s">
        <v>48</v>
      </c>
      <c r="V9" s="0" t="s">
        <v>39</v>
      </c>
      <c r="W9" s="0" t="s">
        <v>38</v>
      </c>
      <c r="X9" s="0">
        <v>1</v>
      </c>
      <c r="Y9" s="0">
        <v>1</v>
      </c>
      <c r="AN9" s="0" t="s">
        <v>30</v>
      </c>
      <c r="AP9" s="0" t="s">
        <v>46</v>
      </c>
      <c r="AQ9" s="0" t="s">
        <v>19</v>
      </c>
      <c r="AS9" s="0">
        <v>1</v>
      </c>
      <c r="AV9" s="0">
        <v>1</v>
      </c>
      <c r="BC9" s="0">
        <v>1</v>
      </c>
      <c r="BE9" s="0" t="s">
        <v>34</v>
      </c>
      <c r="BQ9" s="0" t="s">
        <v>42</v>
      </c>
      <c r="BR9" s="0" t="s">
        <v>36</v>
      </c>
      <c r="BU9" s="0" t="s">
        <v>34</v>
      </c>
      <c r="CN9" s="0" t="s">
        <v>19</v>
      </c>
      <c r="CO9" s="0" t="s">
        <v>19</v>
      </c>
      <c r="CP9" s="0" t="s">
        <v>35</v>
      </c>
      <c r="CS9" s="0">
        <v>100</v>
      </c>
      <c r="DJ9" s="0" t="s">
        <v>55</v>
      </c>
      <c r="DM9" s="0">
        <v>1</v>
      </c>
      <c r="DP9" s="0" t="s">
        <v>46</v>
      </c>
      <c r="DZ9" s="0" t="s">
        <v>37</v>
      </c>
      <c r="ED9" s="0" t="s">
        <v>38</v>
      </c>
      <c r="EL9" s="0" t="s">
        <v>46</v>
      </c>
      <c r="EV9" s="0" t="s">
        <v>46</v>
      </c>
      <c r="FE9" s="0" t="s">
        <v>33</v>
      </c>
      <c r="FH9" s="0" t="s">
        <v>33</v>
      </c>
      <c r="FI9" s="0" t="s">
        <v>33</v>
      </c>
      <c r="FK9" s="0" t="s">
        <v>33</v>
      </c>
      <c r="FL9" s="0" t="s">
        <v>33</v>
      </c>
      <c r="FM9" s="0" t="s">
        <v>33</v>
      </c>
      <c r="FN9" s="0" t="s">
        <v>33</v>
      </c>
      <c r="FO9" s="0" t="s">
        <v>33</v>
      </c>
      <c r="FP9" s="0" t="s">
        <v>33</v>
      </c>
      <c r="FQ9" s="0" t="s">
        <v>33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