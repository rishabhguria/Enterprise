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BulkChangeCalculatedPreferences" sheetId="6" r:id="rId8"/>
    <sheet state="visible" name="SetAccountValueCalculatedPref" sheetId="7" r:id="rId9"/>
    <sheet state="visible" name="CommissionBulkChangeOnGroups" sheetId="8" r:id="rId10"/>
    <sheet state="visible" name="SelectAllocatedGroup" sheetId="9" r:id="rId11"/>
    <sheet state="visible" name="CheckUnallocatedGroups" sheetId="10" r:id="rId12"/>
    <sheet state="visible" name="SelectUnallocatedGroup" sheetId="11" r:id="rId13"/>
    <sheet state="visible" name="SaveLayoutUnallocatedGrid" sheetId="12" r:id="rId14"/>
    <sheet state="visible" name="CheckAllocatedGroups" sheetId="13" r:id="rId15"/>
    <sheet state="visible" name="ExpandCollapseAllUnallocated" sheetId="14" r:id="rId16"/>
  </sheets>
  <definedNames/>
  <calcPr/>
</workbook>
</file>

<file path=xl/sharedStrings.xml><?xml version="1.0" encoding="utf-8"?>
<sst xmlns="http://schemas.openxmlformats.org/spreadsheetml/2006/main" count="113" uniqueCount="38">
  <si>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</si>
  <si>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</si>
  <si>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</si>
  <si>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</si>
  <si>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</si>
  <si>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</si>
  <si>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</si>
  <si>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</si>
  <si>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</si>
  <si>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</si>
  <si>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</si>
  <si>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</si>
  <si>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</si>
  <si>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</si>
  <si>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</si>
  <si>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</si>
  <si>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</si>
  <si>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</si>
  <si>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</si>
  <si>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</si>
  <si>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Unallocated</t>
  </si>
  <si>
    <t>Allocation</t>
  </si>
  <si>
    <t>AddCalculatedPreferences</t>
  </si>
  <si>
    <t>Test</t>
  </si>
  <si>
    <t>BulkChangeCalculatedPreferences</t>
  </si>
  <si>
    <t>Trade Quantity</t>
  </si>
  <si>
    <t>Current Preference</t>
  </si>
  <si>
    <t>SetAccountValueCalculatedPref</t>
  </si>
  <si>
    <t>CommissionBulkChangeOnGroups</t>
  </si>
  <si>
    <t>Specify</t>
  </si>
  <si>
    <t>FlatAmount</t>
  </si>
  <si>
    <t>SelectAllocatedGroup</t>
  </si>
  <si>
    <t>CheckUnallocatedGroups</t>
  </si>
  <si>
    <t>SelectUnallocatedGroup</t>
  </si>
  <si>
    <t>SaveLayoutUnallocatedGrid</t>
  </si>
  <si>
    <t>Symbol</t>
  </si>
  <si>
    <t>CheckAllocatedGroups</t>
  </si>
  <si>
    <t>ExpandCollapseAllUnallocated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</si>
</sst>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17</v>
      </c>
      <c r="D7" s="12">
        <v>100.0</v>
      </c>
      <c r="E7" s="8"/>
      <c r="F7" s="12" t="s">
        <v>20</v>
      </c>
      <c r="G7" s="8"/>
      <c r="H7" s="8"/>
      <c r="I7" s="8"/>
      <c r="J7" s="12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IFERROR(__xludf.DUMMYFUNCTION("""COMPUTED_VALUE"""),"ApplyOnDefaultRule")</f>
        <v>ApplyOnDefaultRule</v>
      </c>
      <c r="C5" s="27" t="str">
        <f>IFERROR(__xludf.DUMMYFUNCTION("""COMPUTED_VALUE"""),"ApplyOnSelectedPreferences")</f>
        <v>ApplyOnSelectedPreferences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IFERROR(__xludf.DUMMYFUNCTION("""COMPUTED_VALUE"""),"AccountsForProrata")</f>
        <v>AccountsForProrata</v>
      </c>
      <c r="I5" s="27" t="str">
        <f>IFERROR(__xludf.DUMMYFUNCTION("""COMPUTED_VALUE"""),"DateUpToDays")</f>
        <v>DateUpToDays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s">
        <v>23</v>
      </c>
      <c r="D6" s="12" t="s">
        <v>25</v>
      </c>
      <c r="E6" s="30"/>
      <c r="F6" s="12" t="s">
        <v>26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IFERROR(__xludf.DUMMYFUNCTION("""COMPUTED_VALUE"""),"Use/Select/Specify")</f>
        <v>Use/Select/Specify</v>
      </c>
      <c r="C5" s="27" t="str">
        <f>IFERROR(__xludf.DUMMYFUNCTION("""COMPUTED_VALUE"""),"CommissionRule")</f>
        <v>CommissionRule</v>
      </c>
      <c r="D5" s="27" t="str">
        <f>IFERROR(__xludf.DUMMYFUNCTION("""COMPUTED_VALUE"""),"Commission")</f>
        <v>Commission</v>
      </c>
      <c r="E5" s="27" t="str">
        <f>IFERROR(__xludf.DUMMYFUNCTION("""COMPUTED_VALUE"""),"CommissionValue")</f>
        <v>CommissionValue</v>
      </c>
      <c r="F5" s="28" t="str">
        <f>IFERROR(__xludf.DUMMYFUNCTION("""COMPUTED_VALUE"""),"SoftCommission")</f>
        <v>SoftCommission</v>
      </c>
      <c r="G5" s="27" t="str">
        <f>IFERROR(__xludf.DUMMYFUNCTION("""COMPUTED_VALUE"""),"SoftCommissionValue")</f>
        <v>SoftCommissionValue</v>
      </c>
      <c r="H5" s="27" t="str">
        <f>IFERROR(__xludf.DUMMYFUNCTION("""COMPUTED_VALUE"""),"OtherBrokerFees")</f>
        <v>OtherBrokerFees</v>
      </c>
      <c r="I5" s="27" t="str">
        <f>IFERROR(__xludf.DUMMYFUNCTION("""COMPUTED_VALUE"""),"OtherBrokerFeesValue")</f>
        <v>OtherBrokerFeesValue</v>
      </c>
      <c r="J5" s="27" t="str">
        <f>IFERROR(__xludf.DUMMYFUNCTION("""COMPUTED_VALUE"""),"ClearingBrokerFees")</f>
        <v>ClearingBrokerFees</v>
      </c>
      <c r="K5" s="27" t="str">
        <f>IFERROR(__xludf.DUMMYFUNCTION("""COMPUTED_VALUE"""),"ClearingBrokerFeesValue")</f>
        <v>ClearingBrokerFeesValue</v>
      </c>
      <c r="L5" s="27" t="str">
        <f>IFERROR(__xludf.DUMMYFUNCTION("""COMPUTED_VALUE"""),"TransactionLevy")</f>
        <v>TransactionLevy</v>
      </c>
      <c r="M5" s="27" t="str">
        <f>IFERROR(__xludf.DUMMYFUNCTION("""COMPUTED_VALUE"""),"TransactionLevyValue")</f>
        <v>TransactionLevyValue</v>
      </c>
      <c r="N5" s="27" t="str">
        <f>IFERROR(__xludf.DUMMYFUNCTION("""COMPUTED_VALUE"""),"TaxOnCommission")</f>
        <v>TaxOnCommission</v>
      </c>
      <c r="O5" s="27" t="str">
        <f>IFERROR(__xludf.DUMMYFUNCTION("""COMPUTED_VALUE"""),"TaxOnCommissionValue")</f>
        <v>TaxOnCommissionValue</v>
      </c>
      <c r="P5" s="27" t="str">
        <f>IFERROR(__xludf.DUMMYFUNCTION("""COMPUTED_VALUE"""),"StampDuty")</f>
        <v>StampDuty</v>
      </c>
      <c r="Q5" s="27" t="str">
        <f>IFERROR(__xludf.DUMMYFUNCTION("""COMPUTED_VALUE"""),"StampDutyValue")</f>
        <v>StampDutyValue</v>
      </c>
      <c r="R5" s="27" t="str">
        <f>IFERROR(__xludf.DUMMYFUNCTION("""COMPUTED_VALUE"""),"AUECFee1")</f>
        <v>AUECFee1</v>
      </c>
      <c r="S5" s="27" t="str">
        <f>IFERROR(__xludf.DUMMYFUNCTION("""COMPUTED_VALUE"""),"AUECFee1Value")</f>
        <v>AUECFee1Value</v>
      </c>
      <c r="T5" s="29" t="str">
        <f>IFERROR(__xludf.DUMMYFUNCTION("""COMPUTED_VALUE"""),"AUECFee2")</f>
        <v>AUECFee2</v>
      </c>
      <c r="U5" s="29" t="str">
        <f>IFERROR(__xludf.DUMMYFUNCTION("""COMPUTED_VALUE"""),"AUECFee2Value")</f>
        <v>AUECFee2Value</v>
      </c>
      <c r="V5" s="29" t="str">
        <f>IFERROR(__xludf.DUMMYFUNCTION("""COMPUTED_VALUE"""),"SECFee")</f>
        <v>SECFee</v>
      </c>
      <c r="W5" s="29" t="str">
        <f>IFERROR(__xludf.DUMMYFUNCTION("""COMPUTED_VALUE"""),"SECFeeValue")</f>
        <v>SECFeeValue</v>
      </c>
      <c r="X5" s="29" t="str">
        <f>IFERROR(__xludf.DUMMYFUNCTION("""COMPUTED_VALUE"""),"OCCFee")</f>
        <v>OCCFee</v>
      </c>
      <c r="Y5" s="29" t="str">
        <f>IFERROR(__xludf.DUMMYFUNCTION("""COMPUTED_VALUE"""),"OCCFeeValue")</f>
        <v>OCCFeeValue</v>
      </c>
      <c r="Z5" s="29" t="str">
        <f>IFERROR(__xludf.DUMMYFUNCTION("""COMPUTED_VALUE"""),"ORFFee")</f>
        <v>ORFFee</v>
      </c>
      <c r="AA5" s="29" t="str">
        <f>IFERROR(__xludf.DUMMYFUNCTION("""COMPUTED_VALUE"""),"ORFFeeValue")</f>
        <v>ORFFeeValue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 t="s">
        <v>30</v>
      </c>
      <c r="E6" s="12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CommissionBulkChangeOnGroups!$4:$4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9">
        <v>100.0</v>
      </c>
      <c r="D6" s="12"/>
      <c r="E6" s="12" t="s">
        <v>18</v>
      </c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100.0</v>
      </c>
      <c r="BE6" s="9">
        <v>100.0</v>
      </c>
      <c r="BF6" s="9">
        <v>100.0</v>
      </c>
      <c r="BJ6" s="9">
        <v>100.0</v>
      </c>
      <c r="BO6" s="9" t="s">
        <v>17</v>
      </c>
      <c r="B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17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IFERROR(__xludf.DUMMYFUNCTION("""COMPUTED_VALUE"""),"Level")</f>
        <v>Level</v>
      </c>
      <c r="C5" s="27" t="str">
        <f>IFERROR(__xludf.DUMMYFUNCTION("""COMPUTED_VALUE"""),"Column Name")</f>
        <v>Column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SaveLayoutUnallocatedGrid!$4:$4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  <c r="T6" s="9">
        <v>10.0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ExpandCollapseAllUnallocated!$4:$4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