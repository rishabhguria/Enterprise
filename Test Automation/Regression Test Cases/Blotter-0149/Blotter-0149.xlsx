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DoneAwayOrder" sheetId="6" r:id="rId8"/>
    <sheet state="visible" name="GetDataAllocation" sheetId="7" r:id="rId9"/>
    <sheet state="visible" name="SelectAllocatedGroup" sheetId="8" r:id="rId10"/>
    <sheet state="visible" name="EnterAccountValuesToAllocat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Order" sheetId="13" r:id="rId15"/>
    <sheet state="visible" name="VerifyWorkingSubs" sheetId="14" r:id="rId16"/>
    <sheet state="visible" name="GetDataAllocation1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<sst xmlns="http://schemas.openxmlformats.org/spreadsheetml/2006/main" count="186" uniqueCount="48">
  <si>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</si>
  <si>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</si>
  <si>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</si>
  <si>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</si>
  <si>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</si>
  <si>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</si>
  <si>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</si>
  <si>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</si>
  <si>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</si>
  <si>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</si>
  <si>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</si>
  <si>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</si>
  <si>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</si>
  <si>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</si>
  <si>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</si>
  <si>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</si>
  <si>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</si>
  <si>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</si>
  <si>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</si>
  <si>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</si>
  <si>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BALT</t>
  </si>
  <si>
    <t>Buy</t>
  </si>
  <si>
    <t>Allocation1</t>
  </si>
  <si>
    <t>MS</t>
  </si>
  <si>
    <t>Market</t>
  </si>
  <si>
    <t>GetDataAllocation</t>
  </si>
  <si>
    <t>Current</t>
  </si>
  <si>
    <t>SelectAllocatedGroup</t>
  </si>
  <si>
    <t>M</t>
  </si>
  <si>
    <t>Equity</t>
  </si>
  <si>
    <t>EnterAccountValuesToAllocate</t>
  </si>
  <si>
    <t>Allocation2</t>
  </si>
  <si>
    <t>Blotter</t>
  </si>
  <si>
    <t>SelectTradeOnOrderGrid</t>
  </si>
  <si>
    <t>Filled</t>
  </si>
  <si>
    <t>ReplaceSubOrder</t>
  </si>
  <si>
    <t>Multiple</t>
  </si>
  <si>
    <t>CreateReplaceOrder</t>
  </si>
  <si>
    <t>VerifyOrder</t>
  </si>
  <si>
    <t>Replaced</t>
  </si>
  <si>
    <t>VerifyWorkingSubs</t>
  </si>
  <si>
    <t>CheckAllocatedGroups</t>
  </si>
  <si>
    <t>PortfolioManagement</t>
  </si>
  <si>
    <t>CheckPortfolioManagement</t>
  </si>
  <si>
    <t>Long</t>
  </si>
  <si>
    <t>US</t>
  </si>
  <si>
    <t>NYSE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</si>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</sst>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IFERROR(__xludf.DUMMYFUNCTION("""COMPUTED_VALUE"""),"ShowMasterFundOnTT")</f>
        <v>ShowMasterFundOnTT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1000.0</v>
      </c>
      <c r="E6" s="13">
        <v>1000.0</v>
      </c>
      <c r="F6" s="13" t="s">
        <v>22</v>
      </c>
      <c r="G6" s="13" t="s">
        <v>23</v>
      </c>
      <c r="H6" s="8"/>
      <c r="I6" s="13" t="s">
        <v>24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IFERROR(__xludf.DUMMYFUNCTION("""COMPUTED_VALUE"""),"MasterFund")</f>
        <v>MasterFund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>
        <v>1000.0</v>
      </c>
      <c r="D6" s="13"/>
      <c r="E6" s="13" t="s">
        <v>22</v>
      </c>
      <c r="F6" s="13" t="s">
        <v>21</v>
      </c>
      <c r="G6" s="8"/>
      <c r="H6" s="13">
        <v>10.0</v>
      </c>
      <c r="I6" s="8"/>
      <c r="J6" s="8"/>
      <c r="K6" s="8"/>
      <c r="L6" s="8"/>
      <c r="M6" s="8"/>
      <c r="N6" s="8"/>
      <c r="O6" s="8"/>
      <c r="P6" s="9" t="s">
        <v>23</v>
      </c>
      <c r="AJ6" s="9">
        <v>1.0</v>
      </c>
      <c r="AK6" s="9" t="s">
        <v>28</v>
      </c>
      <c r="AQ6" s="9">
        <v>1000.0</v>
      </c>
      <c r="AS6" s="9">
        <v>1000.0</v>
      </c>
      <c r="BB6" s="9" t="s">
        <v>29</v>
      </c>
      <c r="BN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22</v>
      </c>
      <c r="C6" s="13">
        <v>50.0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 t="s">
        <v>20</v>
      </c>
      <c r="E6" s="32"/>
      <c r="F6" s="13" t="s">
        <v>21</v>
      </c>
      <c r="G6" s="13" t="s">
        <v>34</v>
      </c>
      <c r="H6" s="13">
        <v>1000.0</v>
      </c>
      <c r="I6" s="13">
        <v>1000.0</v>
      </c>
      <c r="J6" s="13">
        <v>100.0</v>
      </c>
      <c r="K6" s="13">
        <v>1000.0</v>
      </c>
      <c r="L6" s="8"/>
      <c r="M6" s="8"/>
      <c r="N6" s="8"/>
      <c r="O6" s="8"/>
      <c r="Q6" s="9" t="s">
        <v>23</v>
      </c>
      <c r="R6" s="9" t="s">
        <v>22</v>
      </c>
      <c r="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1")</f>
        <v>Trade Attribute 1</v>
      </c>
      <c r="N5" s="29" t="str">
        <f>IFERROR(__xludf.DUMMYFUNCTION("""COMPUTED_VALUE"""),"Trade Attribute 2")</f>
        <v>Trade Attribute 2</v>
      </c>
      <c r="O5" s="29" t="str">
        <f>IFERROR(__xludf.DUMMYFUNCTION("""COMPUTED_VALUE"""),"Trade Attribute 3")</f>
        <v>Trade Attribute 3</v>
      </c>
      <c r="P5" s="29" t="str">
        <f>IFERROR(__xludf.DUMMYFUNCTION("""COMPUTED_VALUE"""),"Trade Attribute 4")</f>
        <v>Trade Attribute 4</v>
      </c>
      <c r="Q5" s="29" t="str">
        <f>IFERROR(__xludf.DUMMYFUNCTION("""COMPUTED_VALUE"""),"Trade Attribute 5")</f>
        <v>Trade Attribute 5</v>
      </c>
      <c r="R5" s="29" t="str">
        <f>IFERROR(__xludf.DUMMYFUNCTION("""COMPUTED_VALUE"""),"Trade Attribute 6")</f>
        <v>Trade Attribute 6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FxRate Operator")</f>
        <v>Settlement FxRate Operator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IFERROR(__xludf.DUMMYFUNCTION("""COMPUTED_VALUE"""),"Put/Call")</f>
        <v>Put/Call</v>
      </c>
      <c r="X5" s="31" t="str">
        <f>IFERROR(__xludf.DUMMYFUNCTION("""COMPUTED_VALUE"""),"Process Date")</f>
        <v>Process Date</v>
      </c>
      <c r="Y5" s="31" t="str">
        <f>IFERROR(__xludf.DUMMYFUNCTION("""COMPUTED_VALUE"""),"Peg")</f>
        <v>Peg</v>
      </c>
      <c r="Z5" s="31" t="str">
        <f>IFERROR(__xludf.DUMMYFUNCTION("""COMPUTED_VALUE"""),"ParentClOrderID")</f>
        <v>ParentClOrderID</v>
      </c>
      <c r="AA5" s="31" t="str">
        <f>IFERROR(__xludf.DUMMYFUNCTION("""COMPUTED_VALUE"""),"OrderID")</f>
        <v>OrderID</v>
      </c>
      <c r="AB5" s="31" t="str">
        <f>IFERROR(__xludf.DUMMYFUNCTION("""COMPUTED_VALUE"""),"Master Fund")</f>
        <v>Master Fund</v>
      </c>
      <c r="AC5" s="31" t="str">
        <f>IFERROR(__xludf.DUMMYFUNCTION("""COMPUTED_VALUE"""),"Last Shares")</f>
        <v>Last Shares</v>
      </c>
      <c r="AD5" s="31" t="str">
        <f>IFERROR(__xludf.DUMMYFUNCTION("""COMPUTED_VALUE"""),"Internal Comments")</f>
        <v>Internal Comments</v>
      </c>
      <c r="AE5" s="31" t="str">
        <f>IFERROR(__xludf.DUMMYFUNCTION("""COMPUTED_VALUE"""),"FX Rate")</f>
        <v>FX Rate</v>
      </c>
      <c r="AF5" s="31" t="str">
        <f>IFERROR(__xludf.DUMMYFUNCTION("""COMPUTED_VALUE"""),"Imported File Name")</f>
        <v>Imported File Name</v>
      </c>
      <c r="AG5" s="31" t="str">
        <f>IFERROR(__xludf.DUMMYFUNCTION("""COMPUTED_VALUE"""),"FX Conversion Operator")</f>
        <v>FX Conversion Operator</v>
      </c>
      <c r="AH5" s="31" t="str">
        <f>IFERROR(__xludf.DUMMYFUNCTION("""COMPUTED_VALUE"""),"Day Average Price")</f>
        <v>Day Average Price</v>
      </c>
      <c r="AI5" s="31" t="str">
        <f>IFERROR(__xludf.DUMMYFUNCTION("""COMPUTED_VALUE"""),"Asset Class")</f>
        <v>Asset Class</v>
      </c>
      <c r="AJ5" s="31" t="str">
        <f>IFERROR(__xludf.DUMMYFUNCTION("""COMPUTED_VALUE"""),"Symbol")</f>
        <v>Symbol</v>
      </c>
      <c r="AK5" s="31" t="str">
        <f>IFERROR(__xludf.DUMMYFUNCTION("""COMPUTED_VALUE"""),"Side")</f>
        <v>Side</v>
      </c>
      <c r="AL5" s="31" t="str">
        <f>IFERROR(__xludf.DUMMYFUNCTION("""COMPUTED_VALUE"""),"Status")</f>
        <v>Status</v>
      </c>
      <c r="AM5" s="31" t="str">
        <f>IFERROR(__xludf.DUMMYFUNCTION("""COMPUTED_VALUE"""),"Quantity")</f>
        <v>Quantity</v>
      </c>
      <c r="AN5" s="31" t="str">
        <f>IFERROR(__xludf.DUMMYFUNCTION("""COMPUTED_VALUE"""),"Executed Qty")</f>
        <v>Executed Qty</v>
      </c>
      <c r="AO5" s="31" t="str">
        <f>IFERROR(__xludf.DUMMYFUNCTION("""COMPUTED_VALUE"""),"% Executed")</f>
        <v>% Executed</v>
      </c>
      <c r="AP5" s="31" t="str">
        <f>IFERROR(__xludf.DUMMYFUNCTION("""COMPUTED_VALUE"""),"Day Executed Qty")</f>
        <v>Day Executed Qty</v>
      </c>
      <c r="AQ5" s="31" t="str">
        <f>IFERROR(__xludf.DUMMYFUNCTION("""COMPUTED_VALUE"""),"Remaining Qty")</f>
        <v>Remaining Qty</v>
      </c>
      <c r="AR5" s="31" t="str">
        <f>IFERROR(__xludf.DUMMYFUNCTION("""COMPUTED_VALUE"""),"Last Fill Price (Local)")</f>
        <v>Last Fill Price (Local)</v>
      </c>
      <c r="AS5" s="31" t="str">
        <f>IFERROR(__xludf.DUMMYFUNCTION("""COMPUTED_VALUE"""),"Avg Fill Price (Local)")</f>
        <v>Avg Fill Price (Local)</v>
      </c>
      <c r="AT5" s="31" t="str">
        <f>IFERROR(__xludf.DUMMYFUNCTION("""COMPUTED_VALUE"""),"Broker")</f>
        <v>Broker</v>
      </c>
      <c r="AU5" s="31" t="str">
        <f>IFERROR(__xludf.DUMMYFUNCTION("""COMPUTED_VALUE"""),"Account")</f>
        <v>Account</v>
      </c>
      <c r="AV5" s="31" t="str">
        <f>IFERROR(__xludf.DUMMYFUNCTION("""COMPUTED_VALUE"""),"Order Type")</f>
        <v>Order Type</v>
      </c>
      <c r="AW5" s="31" t="str">
        <f>IFERROR(__xludf.DUMMYFUNCTION("""COMPUTED_VALUE"""),"Principal Amount (Local)")</f>
        <v>Principal Amount (Local)</v>
      </c>
      <c r="AX5" s="31" t="str">
        <f>IFERROR(__xludf.DUMMYFUNCTION("""COMPUTED_VALUE"""),"Principal Amount (Base)")</f>
        <v>Principal Amount (Base)</v>
      </c>
      <c r="AY5" s="31" t="str">
        <f>IFERROR(__xludf.DUMMYFUNCTION("""COMPUTED_VALUE"""),"Settlement FxRate")</f>
        <v>Settlement FxRate</v>
      </c>
      <c r="AZ5" s="31" t="str">
        <f>IFERROR(__xludf.DUMMYFUNCTION("""COMPUTED_VALUE"""),"Settlement Price")</f>
        <v>Settlement Price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B6" s="9" t="s">
        <v>36</v>
      </c>
      <c r="AE6" s="9">
        <v>1.0</v>
      </c>
      <c r="AG6" s="9" t="s">
        <v>28</v>
      </c>
      <c r="AI6" s="9" t="s">
        <v>29</v>
      </c>
      <c r="AJ6" s="9" t="s">
        <v>20</v>
      </c>
      <c r="AK6" s="9" t="s">
        <v>21</v>
      </c>
      <c r="AL6" s="9" t="s">
        <v>34</v>
      </c>
      <c r="AM6" s="9">
        <v>1000.0</v>
      </c>
      <c r="AN6" s="9">
        <v>1000.0</v>
      </c>
      <c r="AO6" s="9">
        <v>100.0</v>
      </c>
      <c r="AP6" s="9">
        <v>1000.0</v>
      </c>
      <c r="AS6" s="9">
        <v>10.0</v>
      </c>
      <c r="AT6" s="9" t="s">
        <v>23</v>
      </c>
      <c r="AU6" s="9" t="s">
        <v>36</v>
      </c>
      <c r="AV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IFERROR(__xludf.DUMMYFUNCTION("""COMPUTED_VALUE"""),"MasterFund")</f>
        <v>MasterFund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IFERROR(__xludf.DUMMYFUNCTION("""COMPUTED_VALUE"""),"SharesOutstandingPopUp")</f>
        <v>SharesOutstandingPopUp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2000.0</v>
      </c>
      <c r="E6" s="13">
        <v>2000.0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8"/>
      <c r="D6" s="13">
        <v>10.0</v>
      </c>
      <c r="E6" s="32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  <c r="AA6" s="9" t="s">
        <v>18</v>
      </c>
      <c r="AD6" s="9">
        <v>1.0</v>
      </c>
      <c r="AF6" s="9" t="s">
        <v>28</v>
      </c>
      <c r="AH6" s="9" t="s">
        <v>29</v>
      </c>
      <c r="AI6" s="9" t="s">
        <v>20</v>
      </c>
      <c r="AJ6" s="9" t="s">
        <v>21</v>
      </c>
      <c r="AK6" s="9" t="s">
        <v>39</v>
      </c>
      <c r="AL6" s="9">
        <v>2000.0</v>
      </c>
      <c r="AM6" s="9">
        <v>1000.0</v>
      </c>
      <c r="AN6" s="9">
        <v>50.0</v>
      </c>
      <c r="AO6" s="9">
        <v>1000.0</v>
      </c>
      <c r="AR6" s="9">
        <v>10.0</v>
      </c>
      <c r="AS6" s="9" t="s">
        <v>23</v>
      </c>
      <c r="AT6" s="9" t="s">
        <v>22</v>
      </c>
      <c r="AU6" s="9" t="s">
        <v>24</v>
      </c>
      <c r="AV6" s="9">
        <v>10000.0</v>
      </c>
      <c r="AW6" s="9">
        <v>10000.0</v>
      </c>
      <c r="AY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30" t="str">
        <f>IFERROR(__xludf.DUMMYFUNCTION("""COMPUTED_VALUE"""),"Unexecuted Qty")</f>
        <v>Unexecuted Qty</v>
      </c>
      <c r="G5" s="29" t="str">
        <f>IFERROR(__xludf.DUMMYFUNCTION("""COMPUTED_VALUE"""),"Status")</f>
        <v>Status</v>
      </c>
      <c r="H5" s="29" t="str">
        <f>IFERROR(__xludf.DUMMYFUNCTION("""COMPUTED_VALUE"""),"Last Shares")</f>
        <v>Last Shares</v>
      </c>
      <c r="I5" s="29" t="str">
        <f>IFERROR(__xludf.DUMMYFUNCTION("""COMPUTED_VALUE"""),"Last Fill Price (Local)")</f>
        <v>Last Fill Price (Local)</v>
      </c>
      <c r="J5" s="29" t="str">
        <f>IFERROR(__xludf.DUMMYFUNCTION("""COMPUTED_VALUE"""),"Avg Fill Price (Local)")</f>
        <v>Avg Fill Price (Local)</v>
      </c>
      <c r="K5" s="29" t="str">
        <f>IFERROR(__xludf.DUMMYFUNCTION("""COMPUTED_VALUE"""),"Broker")</f>
        <v>Broker</v>
      </c>
      <c r="L5" s="29" t="str">
        <f>IFERROR(__xludf.DUMMYFUNCTION("""COMPUTED_VALUE"""),"Account")</f>
        <v>Account</v>
      </c>
      <c r="M5" s="29" t="str">
        <f>IFERROR(__xludf.DUMMYFUNCTION("""COMPUTED_VALUE"""),"Order Type")</f>
        <v>Order Type</v>
      </c>
      <c r="N5" s="29" t="str">
        <f>IFERROR(__xludf.DUMMYFUNCTION("""COMPUTED_VALUE"""),"OrderStatus")</f>
        <v>OrderStatus</v>
      </c>
      <c r="O5" s="29" t="str">
        <f>IFERROR(__xludf.DUMMYFUNCTION("""COMPUTED_VALUE"""),"Avg Fill Price (Base)")</f>
        <v>Avg Fill Price (Base)</v>
      </c>
      <c r="P5" s="29" t="str">
        <f>IFERROR(__xludf.DUMMYFUNCTION("""COMPUTED_VALUE"""),"Limit Price")</f>
        <v>Limit Price</v>
      </c>
      <c r="Q5" s="29" t="str">
        <f>IFERROR(__xludf.DUMMYFUNCTION("""COMPUTED_VALUE"""),"Stop Price")</f>
        <v>Stop Price</v>
      </c>
      <c r="R5" s="29" t="str">
        <f>IFERROR(__xludf.DUMMYFUNCTION("""COMPUTED_VALUE"""),"Actual User")</f>
        <v>Actual User</v>
      </c>
      <c r="S5" s="29" t="str">
        <f>IFERROR(__xludf.DUMMYFUNCTION("""COMPUTED_VALUE"""),"Bloomberg Symbol")</f>
        <v>Bloomberg Symbol</v>
      </c>
      <c r="T5" s="31" t="str">
        <f>IFERROR(__xludf.DUMMYFUNCTION("""COMPUTED_VALUE"""),"Algo")</f>
        <v>Algo</v>
      </c>
      <c r="U5" s="31" t="str">
        <f>IFERROR(__xludf.DUMMYFUNCTION("""COMPUTED_VALUE"""),"Allocation Scheme Name")</f>
        <v>Allocation Scheme Name</v>
      </c>
      <c r="V5" s="31" t="str">
        <f>IFERROR(__xludf.DUMMYFUNCTION("""COMPUTED_VALUE"""),"Allocation Status")</f>
        <v>Allocation Status</v>
      </c>
      <c r="W5" s="31" t="str">
        <f>IFERROR(__xludf.DUMMYFUNCTION("""COMPUTED_VALUE"""),"Asset Class")</f>
        <v>Asset Class</v>
      </c>
      <c r="X5" s="31" t="str">
        <f>IFERROR(__xludf.DUMMYFUNCTION("""COMPUTED_VALUE"""),"FX Conversion Operator")</f>
        <v>FX Conversion Operator</v>
      </c>
      <c r="Y5" s="31" t="str">
        <f>IFERROR(__xludf.DUMMYFUNCTION("""COMPUTED_VALUE"""),"FX Rate")</f>
        <v>FX Rate</v>
      </c>
      <c r="Z5" s="31" t="str">
        <f>IFERROR(__xludf.DUMMYFUNCTION("""COMPUTED_VALUE"""),"Imported File Name")</f>
        <v>Imported File Name</v>
      </c>
      <c r="AA5" s="31" t="str">
        <f>IFERROR(__xludf.DUMMYFUNCTION("""COMPUTED_VALUE"""),"Internal Comments")</f>
        <v>Internal Comments</v>
      </c>
      <c r="AB5" s="31" t="str">
        <f>IFERROR(__xludf.DUMMYFUNCTION("""COMPUTED_VALUE"""),"Peg")</f>
        <v>Peg</v>
      </c>
      <c r="AC5" s="31" t="str">
        <f>IFERROR(__xludf.DUMMYFUNCTION("""COMPUTED_VALUE"""),"Principal Amount (Base)")</f>
        <v>Principal Amount (Base)</v>
      </c>
      <c r="AD5" s="31" t="str">
        <f>IFERROR(__xludf.DUMMYFUNCTION("""COMPUTED_VALUE"""),"Principal Amount (Local)")</f>
        <v>Principal Amount (Local)</v>
      </c>
      <c r="AE5" s="31" t="str">
        <f>IFERROR(__xludf.DUMMYFUNCTION("""COMPUTED_VALUE"""),"Process Date")</f>
        <v>Process Date</v>
      </c>
      <c r="AF5" s="31" t="str">
        <f>IFERROR(__xludf.DUMMYFUNCTION("""COMPUTED_VALUE"""),"Put/Call")</f>
        <v>Put/Call</v>
      </c>
      <c r="AG5" s="31" t="str">
        <f>IFERROR(__xludf.DUMMYFUNCTION("""COMPUTED_VALUE"""),"Settlement Currency")</f>
        <v>Settlement Currency</v>
      </c>
      <c r="AH5" s="31" t="str">
        <f>IFERROR(__xludf.DUMMYFUNCTION("""COMPUTED_VALUE"""),"Source")</f>
        <v>Source</v>
      </c>
      <c r="AI5" s="31" t="str">
        <f>IFERROR(__xludf.DUMMYFUNCTION("""COMPUTED_VALUE"""),"Status (With Rollover)")</f>
        <v>Status (With Rollover)</v>
      </c>
      <c r="AJ5" s="31" t="str">
        <f>IFERROR(__xludf.DUMMYFUNCTION("""COMPUTED_VALUE"""),"Strategy")</f>
        <v>Strategy</v>
      </c>
      <c r="AK5" s="31" t="str">
        <f>IFERROR(__xludf.DUMMYFUNCTION("""COMPUTED_VALUE"""),"Strike Price")</f>
        <v>Strike Price</v>
      </c>
      <c r="AL5" s="31" t="str">
        <f>IFERROR(__xludf.DUMMYFUNCTION("""COMPUTED_VALUE"""),"Trade Attribute 1")</f>
        <v>Trade Attribute 1</v>
      </c>
      <c r="AM5" s="31" t="str">
        <f>IFERROR(__xludf.DUMMYFUNCTION("""COMPUTED_VALUE"""),"Trade Attribute 2")</f>
        <v>Trade Attribute 2</v>
      </c>
      <c r="AN5" s="31" t="str">
        <f>IFERROR(__xludf.DUMMYFUNCTION("""COMPUTED_VALUE"""),"Trade Attribute 3")</f>
        <v>Trade Attribute 3</v>
      </c>
      <c r="AO5" s="31" t="str">
        <f>IFERROR(__xludf.DUMMYFUNCTION("""COMPUTED_VALUE"""),"Trade Attribute 4")</f>
        <v>Trade Attribute 4</v>
      </c>
      <c r="AP5" s="31" t="str">
        <f>IFERROR(__xludf.DUMMYFUNCTION("""COMPUTED_VALUE"""),"Trade Attribute 5")</f>
        <v>Trade Attribute 5</v>
      </c>
      <c r="AQ5" s="31" t="str">
        <f>IFERROR(__xludf.DUMMYFUNCTION("""COMPUTED_VALUE"""),"Trade Attribute 6")</f>
        <v>Trade Attribute 6</v>
      </c>
      <c r="AR5" s="31" t="str">
        <f>IFERROR(__xludf.DUMMYFUNCTION("""COMPUTED_VALUE"""),"Trader")</f>
        <v>Trader</v>
      </c>
      <c r="AS5" s="31" t="str">
        <f>IFERROR(__xludf.DUMMYFUNCTION("""COMPUTED_VALUE"""),"Transaction Time")</f>
        <v>Transaction Time</v>
      </c>
      <c r="AT5" s="31" t="str">
        <f>IFERROR(__xludf.DUMMYFUNCTION("""COMPUTED_VALUE"""),"Underlying Country")</f>
        <v>Underlying Country</v>
      </c>
      <c r="AU5" s="31" t="str">
        <f>IFERROR(__xludf.DUMMYFUNCTION("""COMPUTED_VALUE"""),"Underlying Symbol")</f>
        <v>Underlying Symbol</v>
      </c>
      <c r="AV5" s="31" t="str">
        <f>IFERROR(__xludf.DUMMYFUNCTION("""COMPUTED_VALUE"""),"Venue")</f>
        <v>Venue</v>
      </c>
      <c r="AW5" s="31" t="str">
        <f>IFERROR(__xludf.DUMMYFUNCTION("""COMPUTED_VALUE"""),"Working Qty")</f>
        <v>Working Qty</v>
      </c>
      <c r="AX5" s="31" t="str">
        <f>IFERROR(__xludf.DUMMYFUNCTION("""COMPUTED_VALUE"""),"Client")</f>
        <v>Client</v>
      </c>
      <c r="AY5" s="31" t="str">
        <f>IFERROR(__xludf.DUMMYFUNCTION("""COMPUTED_VALUE"""),"OrderID")</f>
        <v>OrderID</v>
      </c>
      <c r="AZ5" s="31" t="str">
        <f>IFERROR(__xludf.DUMMYFUNCTION("""COMPUTED_VALUE"""),"ParentClOrderID")</f>
        <v>ParentClOrderID</v>
      </c>
      <c r="BA5" s="31" t="str">
        <f>IFERROR(__xludf.DUMMYFUNCTION("""COMPUTED_VALUE"""),"Master Fund")</f>
        <v>Master Fund</v>
      </c>
      <c r="BB5" s="31" t="str">
        <f>IFERROR(__xludf.DUMMYFUNCTION("""COMPUTED_VALUE"""),"Current User")</f>
        <v>Current User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20</v>
      </c>
      <c r="C6" s="13" t="s">
        <v>21</v>
      </c>
      <c r="D6" s="13">
        <v>2000.0</v>
      </c>
      <c r="E6" s="13">
        <v>1000.0</v>
      </c>
      <c r="F6" s="13">
        <v>1000.0</v>
      </c>
      <c r="G6" s="13" t="s">
        <v>39</v>
      </c>
      <c r="H6" s="8"/>
      <c r="I6" s="8"/>
      <c r="J6" s="13">
        <v>10.0</v>
      </c>
      <c r="K6" s="13" t="s">
        <v>23</v>
      </c>
      <c r="L6" s="13" t="s">
        <v>36</v>
      </c>
      <c r="M6" s="13" t="s">
        <v>24</v>
      </c>
      <c r="N6" s="8"/>
      <c r="O6" s="13">
        <v>10.0</v>
      </c>
      <c r="W6" s="9" t="s">
        <v>29</v>
      </c>
      <c r="X6" s="9" t="s">
        <v>28</v>
      </c>
      <c r="Y6" s="9">
        <v>1.0</v>
      </c>
      <c r="AC6" s="9">
        <v>10000.0</v>
      </c>
      <c r="AD6" s="9">
        <v>10000.0</v>
      </c>
      <c r="AW6" s="9">
        <v>1000.0</v>
      </c>
      <c r="BA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36</v>
      </c>
      <c r="C6" s="8"/>
      <c r="D6" s="13"/>
      <c r="E6" s="13">
        <v>1000.0</v>
      </c>
      <c r="F6" s="8"/>
      <c r="G6" s="13" t="s">
        <v>29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23</v>
      </c>
      <c r="AE6" s="9">
        <v>1000.0</v>
      </c>
      <c r="AH6" s="9" t="s">
        <v>28</v>
      </c>
      <c r="AI6" s="9">
        <v>1.0</v>
      </c>
      <c r="AT6" s="9">
        <v>10092.75</v>
      </c>
      <c r="AU6" s="9">
        <v>10092.75</v>
      </c>
      <c r="AY6" s="9" t="s">
        <v>24</v>
      </c>
      <c r="BE6" s="9">
        <v>10000.0</v>
      </c>
      <c r="BF6" s="9">
        <v>10000.0</v>
      </c>
      <c r="BJ6" s="9">
        <v>2000.0</v>
      </c>
      <c r="BO6" s="9" t="s">
        <v>21</v>
      </c>
      <c r="B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  <c r="FR5" s="31"/>
    </row>
    <row r="6" ht="15.75" customHeight="1">
      <c r="A6" s="13"/>
      <c r="B6" s="13"/>
      <c r="C6" s="13" t="s">
        <v>20</v>
      </c>
      <c r="D6" s="13">
        <v>500.0</v>
      </c>
      <c r="E6" s="13" t="s">
        <v>22</v>
      </c>
      <c r="F6" s="13" t="s">
        <v>18</v>
      </c>
      <c r="G6" s="13">
        <v>10.0</v>
      </c>
      <c r="H6" s="13" t="s">
        <v>44</v>
      </c>
      <c r="I6" s="8"/>
      <c r="J6" s="8"/>
      <c r="K6" s="8"/>
      <c r="L6" s="8"/>
      <c r="M6" s="8"/>
      <c r="N6" s="8"/>
      <c r="O6" s="8"/>
      <c r="T6" s="9" t="s">
        <v>29</v>
      </c>
      <c r="U6" s="9" t="s">
        <v>45</v>
      </c>
      <c r="V6" s="9" t="s">
        <v>46</v>
      </c>
      <c r="Y6" s="9">
        <v>1.0</v>
      </c>
      <c r="AN6" s="9" t="s">
        <v>21</v>
      </c>
      <c r="AP6" s="9" t="s">
        <v>44</v>
      </c>
    </row>
    <row r="7" ht="15.75" customHeight="1">
      <c r="A7" s="13"/>
      <c r="B7" s="13"/>
      <c r="C7" s="13" t="s">
        <v>20</v>
      </c>
      <c r="D7" s="13">
        <v>500.0</v>
      </c>
      <c r="E7" s="13" t="s">
        <v>31</v>
      </c>
      <c r="F7" s="13" t="s">
        <v>47</v>
      </c>
      <c r="G7" s="13">
        <v>10.0</v>
      </c>
      <c r="H7" s="13" t="s">
        <v>44</v>
      </c>
      <c r="I7" s="8"/>
      <c r="J7" s="8"/>
      <c r="K7" s="8"/>
      <c r="L7" s="8"/>
      <c r="M7" s="8"/>
      <c r="N7" s="8"/>
      <c r="O7" s="8"/>
      <c r="T7" s="9" t="s">
        <v>29</v>
      </c>
      <c r="U7" s="9" t="s">
        <v>45</v>
      </c>
      <c r="V7" s="9" t="s">
        <v>46</v>
      </c>
      <c r="Y7" s="9">
        <v>1.0</v>
      </c>
      <c r="AN7" s="9" t="s">
        <v>21</v>
      </c>
      <c r="AP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