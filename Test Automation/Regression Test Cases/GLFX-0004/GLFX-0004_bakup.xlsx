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GetDataClosing" sheetId="6" r:id="rId8"/>
    <sheet state="visible" name="SelectTradeUnexpiredUnsettled" sheetId="7" r:id="rId9"/>
    <sheet state="visible" name="CashSettlementAtClosingDtSpotPx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GetTradingTransaction" sheetId="12" r:id="rId14"/>
    <sheet state="visible" name="VerifyTradingTransaction" sheetId="13" r:id="rId15"/>
    <sheet state="visible" name="RunRevaluation" sheetId="14" r:id="rId16"/>
    <sheet state="visible" name="UpdateForexConversionMonthly" sheetId="15" r:id="rId17"/>
    <sheet state="visible" name="VerifyRevaluationData" sheetId="16" r:id="rId18"/>
  </sheets>
  <definedNames/>
  <calcPr/>
</workbook>
</file>

<file path=xl/sharedStrings.xml><?xml version="1.0" encoding="utf-8"?>
<sst xmlns="http://schemas.openxmlformats.org/spreadsheetml/2006/main" count="290" uniqueCount="52">
  <si>
    <t>Modules Info</t>
  </si>
  <si>
    <t>Settings</t>
  </si>
  <si>
    <t>Master Data Info</t>
  </si>
  <si>
    <t>Modules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</si>
  <si>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</si>
  <si>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</si>
  <si>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</si>
  <si>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</si>
  <si>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</si>
  <si>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</si>
  <si>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</si>
  <si>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</si>
  <si>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Module Step Setting File</t>
  </si>
  <si>
    <t>1BICZ_GcMhh_S937ZinFvSYqvvKYtOYB2Bc4woEPpgPg</t>
  </si>
  <si>
    <t>Master Data Settings File</t>
  </si>
  <si>
    <t>1Nt_rf5DtgjbN9Ag4AMMlUkZYROxKZLH5m54YOl7tRT0</t>
  </si>
  <si>
    <t>USD/CAD</t>
  </si>
  <si>
    <t>Sell</t>
  </si>
  <si>
    <t>CAD</t>
  </si>
  <si>
    <t>Closing</t>
  </si>
  <si>
    <t>GetDataClosing</t>
  </si>
  <si>
    <t>Historical</t>
  </si>
  <si>
    <t>DailyValuation</t>
  </si>
  <si>
    <t>SelectTradeUnexpiredUnsettled</t>
  </si>
  <si>
    <t>GetForexConversion</t>
  </si>
  <si>
    <t>Allocation1</t>
  </si>
  <si>
    <t>FX</t>
  </si>
  <si>
    <t>CashSettlementAtClosingDtSpotPx</t>
  </si>
  <si>
    <t>VerifyExpiredSettledGrid</t>
  </si>
  <si>
    <t>Allocation</t>
  </si>
  <si>
    <t>GetDataAllocation</t>
  </si>
  <si>
    <t>CheckAllocatedGroups</t>
  </si>
  <si>
    <t>GeneralLedger</t>
  </si>
  <si>
    <t>GetTradingTransaction</t>
  </si>
  <si>
    <t>Buy</t>
  </si>
  <si>
    <t>NewMF</t>
  </si>
  <si>
    <t>VerifyTradingTransaction</t>
  </si>
  <si>
    <t>RunRevaluation</t>
  </si>
  <si>
    <t>DR</t>
  </si>
  <si>
    <t>Trading</t>
  </si>
  <si>
    <t>USD</t>
  </si>
  <si>
    <t>Due From Broker [Cash]</t>
  </si>
  <si>
    <t>CR</t>
  </si>
  <si>
    <t>Due To Broker [Cash]</t>
  </si>
  <si>
    <t>Cash [Cash]</t>
  </si>
  <si>
    <t>FX Profit And Loss [Income]</t>
  </si>
  <si>
    <t>UpdateForexConversionMonthly</t>
  </si>
  <si>
    <t>VerifyRevaluationData</t>
  </si>
  <si>
    <t>CAD A0-FX</t>
  </si>
  <si>
    <t>FX Short Revaluation [Asset]</t>
  </si>
  <si>
    <t>FX UnRealized Profit And Loss [Income]</t>
  </si>
  <si>
    <t>Cash UnRealized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</si>
</sst>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4.0"/>
      <color rgb="FFFFFFFF"/>
      <name val="Calibri"/>
    </font>
    <font>
      <color rgb="FF777777"/>
      <name val="Roboto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3" fontId="9" numFmtId="0" xfId="0" applyFont="1"/>
    <xf borderId="0" fillId="4" fontId="10" numFmtId="0" xfId="0" applyAlignment="1" applyFill="1" applyFont="1">
      <alignment shrinkToFit="0" wrapText="0"/>
    </xf>
    <xf borderId="0" fillId="4" fontId="11" numFmtId="0" xfId="0" applyFont="1"/>
    <xf borderId="1" fillId="2" fontId="12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9" numFmtId="0" xfId="0" applyFont="1"/>
    <xf borderId="0" fillId="0" fontId="2" numFmtId="0" xfId="0" applyAlignment="1" applyFont="1">
      <alignment readingOrder="0"/>
    </xf>
    <xf borderId="0" fillId="0" fontId="7" numFmtId="164" xfId="0" applyAlignment="1" applyFont="1" applyNumberForma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7" numFmtId="0" xfId="0" applyAlignment="1" applyFont="1">
      <alignment readingOrder="0" shrinkToFit="0" wrapText="0"/>
    </xf>
    <xf borderId="0" fillId="6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5" t="s">
        <v>3</v>
      </c>
      <c r="B3" s="22"/>
      <c r="C3" s="23"/>
      <c r="D3" s="23"/>
      <c r="E3" s="23"/>
      <c r="F3" s="23"/>
    </row>
    <row r="4" ht="15.75" customHeight="1">
      <c r="A4" s="12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1" t="s">
        <v>1</v>
      </c>
      <c r="B1" s="2"/>
      <c r="C1" s="3"/>
    </row>
    <row r="2" ht="15.75" customHeight="1">
      <c r="A2" s="12"/>
      <c r="B2" s="12"/>
      <c r="C2" s="12"/>
    </row>
    <row r="3" ht="15.75" customHeight="1">
      <c r="A3" s="15" t="s">
        <v>12</v>
      </c>
      <c r="B3" s="24" t="s">
        <v>13</v>
      </c>
      <c r="C3" s="12"/>
    </row>
    <row r="4" ht="15.75" customHeight="1">
      <c r="A4" s="6" t="s">
        <v>14</v>
      </c>
      <c r="B4" s="24" t="s">
        <v>15</v>
      </c>
      <c r="C4" s="12"/>
    </row>
    <row r="5" ht="15.75" customHeight="1">
      <c r="A5" s="17"/>
      <c r="B5" s="12"/>
      <c r="C5" s="12"/>
    </row>
    <row r="6" ht="15.75" customHeight="1">
      <c r="A6" s="17"/>
      <c r="B6" s="12"/>
      <c r="C6" s="12"/>
    </row>
    <row r="7" ht="15.75" customHeight="1">
      <c r="A7" s="17"/>
      <c r="B7" s="12"/>
      <c r="C7" s="12"/>
    </row>
    <row r="8" ht="15.75" customHeight="1">
      <c r="A8" s="17"/>
      <c r="B8" s="12"/>
      <c r="C8" s="12"/>
    </row>
    <row r="9" ht="15.75" customHeight="1">
      <c r="A9" s="17"/>
      <c r="B9" s="12"/>
      <c r="C9" s="12"/>
    </row>
    <row r="10" ht="15.75" customHeight="1">
      <c r="A10" s="17"/>
      <c r="B10" s="12"/>
      <c r="C10" s="12"/>
    </row>
    <row r="11" ht="15.75" customHeight="1">
      <c r="A11" s="17"/>
      <c r="B11" s="12"/>
      <c r="C11" s="12"/>
    </row>
    <row r="12" ht="15.75" customHeight="1">
      <c r="A12" s="17"/>
      <c r="B12" s="12"/>
      <c r="C12" s="12"/>
    </row>
    <row r="13" ht="15.75" customHeight="1">
      <c r="A13" s="17"/>
      <c r="B13" s="12"/>
      <c r="C13" s="12"/>
    </row>
    <row r="14" ht="15.75" customHeight="1">
      <c r="A14" s="17"/>
      <c r="B14" s="12"/>
      <c r="C14" s="12"/>
    </row>
    <row r="15" ht="15.75" customHeight="1">
      <c r="A15" s="17"/>
      <c r="B15" s="12"/>
      <c r="C15" s="12"/>
    </row>
    <row r="16" ht="15.75" customHeight="1">
      <c r="A16" s="17"/>
      <c r="B16" s="12"/>
      <c r="C16" s="12"/>
    </row>
    <row r="17" ht="15.75" customHeight="1">
      <c r="A17" s="17"/>
      <c r="B17" s="12"/>
      <c r="C17" s="12"/>
    </row>
    <row r="18" ht="15.75" customHeight="1">
      <c r="A18" s="17"/>
      <c r="B18" s="12"/>
      <c r="C18" s="12"/>
    </row>
    <row r="19" ht="15.75" customHeight="1">
      <c r="A19" s="17"/>
      <c r="B19" s="12"/>
      <c r="C19" s="12"/>
    </row>
    <row r="20" ht="15.75" customHeight="1">
      <c r="A20" s="17"/>
      <c r="B20" s="12"/>
      <c r="C20" s="12"/>
    </row>
    <row r="21" ht="15.75" customHeight="1">
      <c r="A21" s="17"/>
      <c r="B21" s="12"/>
      <c r="C21" s="12"/>
    </row>
    <row r="22" ht="15.75" customHeight="1">
      <c r="A22" s="17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6" t="s">
        <v>4</v>
      </c>
      <c r="B3" s="7" t="s">
        <v>5</v>
      </c>
      <c r="C3" s="7" t="s">
        <v>6</v>
      </c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8</v>
      </c>
      <c r="D3" s="15" t="s">
        <v>5</v>
      </c>
      <c r="E3" s="16" t="s">
        <v>9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IFERROR(__xludf.DUMMYFUNCTION("""COMPUTED_VALUE"""),"TradeNewSub")</f>
        <v>TradeNewSub</v>
      </c>
      <c r="I4" s="19" t="str">
        <f>IFERROR(__xludf.DUMMYFUNCTION("""COMPUTED_VALUE"""),"CreateStageOrder")</f>
        <v>CreateStageOrder</v>
      </c>
      <c r="J4" s="19" t="str">
        <f>IFERROR(__xludf.DUMMYFUNCTION("""COMPUTED_VALUE"""),"CreateReplaceOrder")</f>
        <v>CreateReplaceOrder</v>
      </c>
      <c r="K4" s="19" t="str">
        <f>IFERROR(__xludf.DUMMYFUNCTION("""COMPUTED_VALUE"""),"SetGeneralPreference")</f>
        <v>SetGeneralPreference</v>
      </c>
      <c r="L4" s="19" t="str">
        <f>IFERROR(__xludf.DUMMYFUNCTION("""COMPUTED_VALUE"""),"CreateDoneAwayOrder")</f>
        <v>CreateDoneAwayOrder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IFERROR(__xludf.DUMMYFUNCTION("""COMPUTED_VALUE"""),"ShowMasterFundOnTT")</f>
        <v>ShowMasterFundOnTT</v>
      </c>
      <c r="S4" s="20" t="str">
        <f>IFERROR(__xludf.DUMMYFUNCTION("""COMPUTED_VALUE"""),"UpdateMasterFundOnTT")</f>
        <v>UpdateMasterFundOnTT</v>
      </c>
      <c r="T4" s="20" t="str">
        <f>IFERROR(__xludf.DUMMYFUNCTION("""COMPUTED_VALUE"""),"")</f>
        <v/>
      </c>
      <c r="U4" s="20" t="str">
        <f>IFERROR(__xludf.DUMMYFUNCTION("""COMPUTED_VALUE"""),"")</f>
        <v/>
      </c>
      <c r="V4" s="20" t="str">
        <f>IFERROR(__xludf.DUMMYFUNCTION("""COMPUTED_VALUE"""),"")</f>
        <v/>
      </c>
      <c r="W4" s="20" t="str">
        <f>IFERROR(__xludf.DUMMYFUNCTION("""COMPUTED_VALUE"""),"")</f>
        <v/>
      </c>
      <c r="X4" s="20" t="str">
        <f>IFERROR(__xludf.DUMMYFUNCTION("""COMPUTED_VALUE"""),"")</f>
        <v/>
      </c>
      <c r="Y4" s="20" t="str">
        <f>IFERROR(__xludf.DUMMYFUNCTION("""COMPUTED_VALUE"""),"")</f>
        <v/>
      </c>
      <c r="Z4" s="20" t="str">
        <f>IFERROR(__xludf.DUMMYFUNCTION("""COMPUTED_VALUE"""),"")</f>
        <v/>
      </c>
      <c r="AA4" s="20" t="str">
        <f>IFERROR(__xludf.DUMMYFUNCTION("""COMPUTED_VALUE"""),"")</f>
        <v/>
      </c>
      <c r="AB4" s="20" t="str">
        <f>IFERROR(__xludf.DUMMYFUNCTION("""COMPUTED_VALUE"""),"")</f>
        <v/>
      </c>
      <c r="AC4" s="20" t="str">
        <f>IFERROR(__xludf.DUMMYFUNCTION("""COMPUTED_VALUE"""),"")</f>
        <v/>
      </c>
      <c r="AD4" s="20" t="str">
        <f>IFERROR(__xludf.DUMMYFUNCTION("""COMPUTED_VALUE"""),"")</f>
        <v/>
      </c>
      <c r="AE4" s="20" t="str">
        <f>IFERROR(__xludf.DUMMYFUNCTION("""COMPUTED_VALUE"""),"")</f>
        <v/>
      </c>
      <c r="AF4" s="20" t="str">
        <f>IFERROR(__xludf.DUMMYFUNCTION("""COMPUTED_VALUE"""),"")</f>
        <v/>
      </c>
      <c r="AG4" s="20" t="str">
        <f>IFERROR(__xludf.DUMMYFUNCTION("""COMPUTED_VALUE"""),"")</f>
        <v/>
      </c>
      <c r="AH4" s="20" t="str">
        <f>IFERROR(__xludf.DUMMYFUNCTION("""COMPUTED_VALUE"""),"")</f>
        <v/>
      </c>
      <c r="AI4" s="20" t="str">
        <f>IFERROR(__xludf.DUMMYFUNCTION("""COMPUTED_VALUE"""),"")</f>
        <v/>
      </c>
      <c r="AJ4" s="20" t="str">
        <f>IFERROR(__xludf.DUMMYFUNCTION("""COMPUTED_VALUE"""),"")</f>
        <v/>
      </c>
      <c r="AK4" s="20" t="str">
        <f>IFERROR(__xludf.DUMMYFUNCTION("""COMPUTED_VALUE"""),"")</f>
        <v/>
      </c>
      <c r="AL4" s="20" t="str">
        <f>IFERROR(__xludf.DUMMYFUNCTION("""COMPUTED_VALUE"""),"")</f>
        <v/>
      </c>
      <c r="AM4" s="20" t="str">
        <f>IFERROR(__xludf.DUMMYFUNCTION("""COMPUTED_VALUE"""),"")</f>
        <v/>
      </c>
      <c r="AN4" s="20" t="str">
        <f>IFERROR(__xludf.DUMMYFUNCTION("""COMPUTED_VALUE"""),"")</f>
        <v/>
      </c>
      <c r="AO4" s="20" t="str">
        <f>IFERROR(__xludf.DUMMYFUNCTION("""COMPUTED_VALUE"""),"")</f>
        <v/>
      </c>
      <c r="AP4" s="20" t="str">
        <f>IFERROR(__xludf.DUMMYFUNCTION("""COMPUTED_VALUE"""),"")</f>
        <v/>
      </c>
      <c r="AQ4" s="20" t="str">
        <f>IFERROR(__xludf.DUMMYFUNCTION("""COMPUTED_VALUE"""),"")</f>
        <v/>
      </c>
      <c r="AR4" s="20" t="str">
        <f>IFERROR(__xludf.DUMMYFUNCTION("""COMPUTED_VALUE"""),"")</f>
        <v/>
      </c>
      <c r="AS4" s="20" t="str">
        <f>IFERROR(__xludf.DUMMYFUNCTION("""COMPUTED_VALUE"""),"")</f>
        <v/>
      </c>
      <c r="AT4" s="20" t="str">
        <f>IFERROR(__xludf.DUMMYFUNCTION("""COMPUTED_VALUE"""),"")</f>
        <v/>
      </c>
      <c r="AU4" s="20" t="str">
        <f>IFERROR(__xludf.DUMMYFUNCTION("""COMPUTED_VALUE"""),"")</f>
        <v/>
      </c>
      <c r="AV4" s="20" t="str">
        <f>IFERROR(__xludf.DUMMYFUNCTION("""COMPUTED_VALUE"""),"")</f>
        <v/>
      </c>
      <c r="AW4" s="20" t="str">
        <f>IFERROR(__xludf.DUMMYFUNCTION("""COMPUTED_VALUE"""),"")</f>
        <v/>
      </c>
      <c r="AX4" s="20" t="str">
        <f>IFERROR(__xludf.DUMMYFUNCTION("""COMPUTED_VALUE"""),"")</f>
        <v/>
      </c>
      <c r="AY4" s="20" t="str">
        <f>IFERROR(__xludf.DUMMYFUNCTION("""COMPUTED_VALUE"""),"")</f>
        <v/>
      </c>
      <c r="AZ4" s="20" t="str">
        <f>IFERROR(__xludf.DUMMYFUNCTION("""COMPUTED_VALUE"""),"")</f>
        <v/>
      </c>
      <c r="BA4" s="20" t="str">
        <f>IFERROR(__xludf.DUMMYFUNCTION("""COMPUTED_VALUE"""),"")</f>
        <v/>
      </c>
      <c r="BB4" s="20" t="str">
        <f>IFERROR(__xludf.DUMMYFUNCTION("""COMPUTED_VALUE"""),"")</f>
        <v/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16</v>
      </c>
      <c r="C6" s="24" t="s">
        <v>17</v>
      </c>
      <c r="D6" s="24">
        <v>3532015.0</v>
      </c>
      <c r="E6" s="29">
        <v>3532015.0</v>
      </c>
      <c r="F6" s="12"/>
      <c r="G6" s="12"/>
      <c r="H6" s="12"/>
      <c r="I6" s="12"/>
      <c r="J6" s="24">
        <v>1.3</v>
      </c>
      <c r="K6" s="12"/>
      <c r="L6" s="12"/>
      <c r="M6" s="12"/>
      <c r="N6" s="30">
        <v>43490.0</v>
      </c>
      <c r="O6" s="24">
        <v>1.3</v>
      </c>
      <c r="AM6" s="29" t="s">
        <v>18</v>
      </c>
    </row>
    <row r="7" ht="15.75" customHeight="1">
      <c r="A7" s="12"/>
      <c r="B7" s="12"/>
      <c r="C7" s="12"/>
      <c r="D7" s="12"/>
      <c r="E7" s="31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22</v>
      </c>
      <c r="D3" s="15" t="s">
        <v>5</v>
      </c>
      <c r="E3" s="16" t="s">
        <v>24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tr">
        <f>IFERROR(__xludf.DUMMYFUNCTION("""COMPUTED_VALUE"""),"UpdateDailyCash")</f>
        <v>UpdateDailyCash</v>
      </c>
      <c r="D4" s="19" t="str">
        <f>IFERROR(__xludf.DUMMYFUNCTION("""COMPUTED_VALUE"""),"UpdateForexConversion")</f>
        <v>UpdateForexConversion</v>
      </c>
      <c r="E4" s="19" t="str">
        <f>IFERROR(__xludf.DUMMYFUNCTION("""COMPUTED_VALUE"""),"UpdateMarkPrice")</f>
        <v>UpdateMarkPrice</v>
      </c>
      <c r="F4" s="19" t="str">
        <f>IFERROR(__xludf.DUMMYFUNCTION("""COMPUTED_VALUE"""),"CleanUp")</f>
        <v>CleanUp</v>
      </c>
      <c r="G4" s="19" t="str">
        <f>IFERROR(__xludf.DUMMYFUNCTION("""COMPUTED_VALUE"""),"GetMarkPriceData")</f>
        <v>GetMarkPriceData</v>
      </c>
      <c r="H4" s="19" t="str">
        <f>IFERROR(__xludf.DUMMYFUNCTION("""COMPUTED_VALUE"""),"GetForwardPoints")</f>
        <v>GetForwardPoints</v>
      </c>
      <c r="I4" s="19" t="str">
        <f>IFERROR(__xludf.DUMMYFUNCTION("""COMPUTED_VALUE"""),"UpdateForwardPoints")</f>
        <v>UpdateForwardPoints</v>
      </c>
      <c r="J4" s="19" t="str">
        <f>IFERROR(__xludf.DUMMYFUNCTION("""COMPUTED_VALUE"""),"GetForexConversion")</f>
        <v>GetForexConversion</v>
      </c>
      <c r="K4" s="19" t="str">
        <f>IFERROR(__xludf.DUMMYFUNCTION("""COMPUTED_VALUE"""),"DeleteNAV")</f>
        <v>DeleteNAV</v>
      </c>
      <c r="L4" s="19" t="str">
        <f>IFERROR(__xludf.DUMMYFUNCTION("""COMPUTED_VALUE"""),"GetDailyCash")</f>
        <v>GetDailyCash</v>
      </c>
      <c r="M4" s="19" t="str">
        <f>IFERROR(__xludf.DUMMYFUNCTION("""COMPUTED_VALUE"""),"GetDailyBeta")</f>
        <v>GetDailyBeta</v>
      </c>
      <c r="N4" s="19" t="str">
        <f>IFERROR(__xludf.DUMMYFUNCTION("""COMPUTED_VALUE"""),"GetDailyVolatility")</f>
        <v>GetDailyVolatility</v>
      </c>
      <c r="O4" s="19" t="str">
        <f>IFERROR(__xludf.DUMMYFUNCTION("""COMPUTED_VALUE"""),"GetDailyDividendYield")</f>
        <v>GetDailyDividendYield</v>
      </c>
      <c r="P4" s="20" t="str">
        <f>IFERROR(__xludf.DUMMYFUNCTION("""COMPUTED_VALUE"""),"GetDailyTradingVolume")</f>
        <v>GetDailyTradingVolume</v>
      </c>
      <c r="Q4" s="20" t="str">
        <f>IFERROR(__xludf.DUMMYFUNCTION("""COMPUTED_VALUE"""),"GetDailyOutstandings")</f>
        <v>GetDailyOutstandings</v>
      </c>
      <c r="R4" s="20" t="str">
        <f>IFERROR(__xludf.DUMMYFUNCTION("""COMPUTED_VALUE"""),"GetDailyDelta")</f>
        <v>GetDailyDelta</v>
      </c>
      <c r="S4" s="20" t="str">
        <f>IFERROR(__xludf.DUMMYFUNCTION("""COMPUTED_VALUE"""),"UpdateDailyVolatility")</f>
        <v>UpdateDailyVolatility</v>
      </c>
      <c r="T4" s="20" t="str">
        <f>IFERROR(__xludf.DUMMYFUNCTION("""COMPUTED_VALUE"""),"UpdateDividendYield")</f>
        <v>UpdateDividendYield</v>
      </c>
      <c r="U4" s="20" t="str">
        <f>IFERROR(__xludf.DUMMYFUNCTION("""COMPUTED_VALUE"""),"UpdateTradingVolume")</f>
        <v>UpdateTradingVolume</v>
      </c>
      <c r="V4" s="20" t="str">
        <f>IFERROR(__xludf.DUMMYFUNCTION("""COMPUTED_VALUE"""),"UpdateDailyDelta")</f>
        <v>UpdateDailyDelta</v>
      </c>
      <c r="W4" s="20" t="str">
        <f>IFERROR(__xludf.DUMMYFUNCTION("""COMPUTED_VALUE"""),"UpdateDailyOutstandings")</f>
        <v>UpdateDailyOutstandings</v>
      </c>
      <c r="X4" s="20" t="str">
        <f>IFERROR(__xludf.DUMMYFUNCTION("""COMPUTED_VALUE"""),"UpdateBeta")</f>
        <v>UpdateBeta</v>
      </c>
      <c r="Y4" s="20" t="str">
        <f>IFERROR(__xludf.DUMMYFUNCTION("""COMPUTED_VALUE"""),"UpdateNAV")</f>
        <v>UpdateNAV</v>
      </c>
      <c r="Z4" s="20" t="str">
        <f>IFERROR(__xludf.DUMMYFUNCTION("""COMPUTED_VALUE"""),"UpdateDailyCash")</f>
        <v>UpdateDailyCash</v>
      </c>
      <c r="AA4" s="20" t="str">
        <f>IFERROR(__xludf.DUMMYFUNCTION("""COMPUTED_VALUE"""),"UpdateDailyCreditLimt")</f>
        <v>UpdateDailyCreditLimt</v>
      </c>
      <c r="AB4" s="20" t="str">
        <f>IFERROR(__xludf.DUMMYFUNCTION("""COMPUTED_VALUE"""),"RemoveDailyCreditLimit")</f>
        <v>RemoveDailyCreditLimit</v>
      </c>
      <c r="AC4" s="20" t="str">
        <f>IFERROR(__xludf.DUMMYFUNCTION("""COMPUTED_VALUE"""),"RemoveDailyCash")</f>
        <v>RemoveDailyCash</v>
      </c>
      <c r="AD4" s="20" t="str">
        <f>IFERROR(__xludf.DUMMYFUNCTION("""COMPUTED_VALUE"""),"RemoveNAV")</f>
        <v>RemoveNAV</v>
      </c>
      <c r="AE4" s="20" t="str">
        <f>IFERROR(__xludf.DUMMYFUNCTION("""COMPUTED_VALUE"""),"UpdateForexConversionMonthly")</f>
        <v>UpdateForexConversionMonthly</v>
      </c>
      <c r="AF4" s="20" t="str">
        <f>IFERROR(__xludf.DUMMYFUNCTION("""COMPUTED_VALUE"""),"UpdateMarkPriceMonthly")</f>
        <v>UpdateMarkPriceMonthly</v>
      </c>
      <c r="AG4" s="20" t="str">
        <f>IFERROR(__xludf.DUMMYFUNCTION("""COMPUTED_VALUE"""),"VerifyDailyCash")</f>
        <v>VerifyDailyCash</v>
      </c>
      <c r="AH4" s="20" t="str">
        <f>IFERROR(__xludf.DUMMYFUNCTION("""COMPUTED_VALUE"""),"")</f>
        <v/>
      </c>
      <c r="AI4" s="20" t="str">
        <f>IFERROR(__xludf.DUMMYFUNCTION("""COMPUTED_VALUE"""),"")</f>
        <v/>
      </c>
      <c r="AJ4" s="20" t="str">
        <f>IFERROR(__xludf.DUMMYFUNCTION("""COMPUTED_VALUE"""),"")</f>
        <v/>
      </c>
      <c r="AK4" s="20" t="str">
        <f>IFERROR(__xludf.DUMMYFUNCTION("""COMPUTED_VALUE"""),"")</f>
        <v/>
      </c>
      <c r="AL4" s="20" t="str">
        <f>IFERROR(__xludf.DUMMYFUNCTION("""COMPUTED_VALUE"""),"")</f>
        <v/>
      </c>
      <c r="AM4" s="20" t="str">
        <f>IFERROR(__xludf.DUMMYFUNCTION("""COMPUTED_VALUE"""),"")</f>
        <v/>
      </c>
      <c r="AN4" s="20" t="str">
        <f>IFERROR(__xludf.DUMMYFUNCTION("""COMPUTED_VALUE"""),"")</f>
        <v/>
      </c>
      <c r="AO4" s="20" t="str">
        <f>IFERROR(__xludf.DUMMYFUNCTION("""COMPUTED_VALUE"""),"")</f>
        <v/>
      </c>
      <c r="AP4" s="20" t="str">
        <f>IFERROR(__xludf.DUMMYFUNCTION("""COMPUTED_VALUE"""),"")</f>
        <v/>
      </c>
      <c r="AQ4" s="20" t="str">
        <f>IFERROR(__xludf.DUMMYFUNCTION("""COMPUTED_VALUE"""),"")</f>
        <v/>
      </c>
      <c r="AR4" s="20" t="str">
        <f>IFERROR(__xludf.DUMMYFUNCTION("""COMPUTED_VALUE"""),"")</f>
        <v/>
      </c>
      <c r="AS4" s="20" t="str">
        <f>IFERROR(__xludf.DUMMYFUNCTION("""COMPUTED_VALUE"""),"")</f>
        <v/>
      </c>
      <c r="AT4" s="20" t="str">
        <f>IFERROR(__xludf.DUMMYFUNCTION("""COMPUTED_VALUE"""),"")</f>
        <v/>
      </c>
      <c r="AU4" s="20" t="str">
        <f>IFERROR(__xludf.DUMMYFUNCTION("""COMPUTED_VALUE"""),"")</f>
        <v/>
      </c>
      <c r="AV4" s="20" t="str">
        <f>IFERROR(__xludf.DUMMYFUNCTION("""COMPUTED_VALUE"""),"")</f>
        <v/>
      </c>
      <c r="AW4" s="20" t="str">
        <f>IFERROR(__xludf.DUMMYFUNCTION("""COMPUTED_VALUE"""),"")</f>
        <v/>
      </c>
      <c r="AX4" s="20" t="str">
        <f>IFERROR(__xludf.DUMMYFUNCTION("""COMPUTED_VALUE"""),"")</f>
        <v/>
      </c>
      <c r="AY4" s="20" t="str">
        <f>IFERROR(__xludf.DUMMYFUNCTION("""COMPUTED_VALUE"""),"")</f>
        <v/>
      </c>
      <c r="AZ4" s="20" t="str">
        <f>IFERROR(__xludf.DUMMYFUNCTION("""COMPUTED_VALUE"""),"")</f>
        <v/>
      </c>
      <c r="BA4" s="20" t="str">
        <f>IFERROR(__xludf.DUMMYFUNCTION("""COMPUTED_VALUE"""),"")</f>
        <v/>
      </c>
      <c r="BB4" s="20" t="str">
        <f>IFERROR(__xludf.DUMMYFUNCTION("""COMPUTED_VALUE"""),"")</f>
        <v/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30">
        <v>43490.0</v>
      </c>
      <c r="C6" s="12"/>
      <c r="D6" s="24"/>
      <c r="E6" s="3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19</v>
      </c>
      <c r="D3" s="15" t="s">
        <v>5</v>
      </c>
      <c r="E3" s="16" t="s">
        <v>20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0" t="str">
        <f>IFERROR(__xludf.DUMMYFUNCTION("""COMPUTED_VALUE"""),"ExerciseAssignment")</f>
        <v>ExerciseAssignment</v>
      </c>
      <c r="Q4" s="20" t="str">
        <f>IFERROR(__xludf.DUMMYFUNCTION("""COMPUTED_VALUE"""),"ExerciseAssignmentAtZero")</f>
        <v>ExerciseAssignmentAtZero</v>
      </c>
      <c r="R4" s="20" t="str">
        <f>IFERROR(__xludf.DUMMYFUNCTION("""COMPUTED_VALUE"""),"SwapExpireAndRollover")</f>
        <v>SwapExpireAndRollover</v>
      </c>
      <c r="S4" s="20" t="str">
        <f>IFERROR(__xludf.DUMMYFUNCTION("""COMPUTED_VALUE"""),"SwapExpire")</f>
        <v>SwapExpire</v>
      </c>
      <c r="T4" s="20" t="str">
        <f>IFERROR(__xludf.DUMMYFUNCTION("""COMPUTED_VALUE"""),"VerifyExpiredSettledGrid")</f>
        <v>VerifyExpiredSettledGrid</v>
      </c>
      <c r="U4" s="20" t="str">
        <f>IFERROR(__xludf.DUMMYFUNCTION("""COMPUTED_VALUE"""),"VerifyUnExpiredUnSettledGrid")</f>
        <v>VerifyUnExpiredUnSettledGrid</v>
      </c>
      <c r="V4" s="20" t="str">
        <f>IFERROR(__xludf.DUMMYFUNCTION("""COMPUTED_VALUE"""),"UnWindTradeSettlement")</f>
        <v>UnWindTradeSettlement</v>
      </c>
      <c r="W4" s="20" t="str">
        <f>IFERROR(__xludf.DUMMYFUNCTION("""COMPUTED_VALUE"""),"CloseOrder")</f>
        <v>CloseOrder</v>
      </c>
      <c r="X4" s="20" t="str">
        <f>IFERROR(__xludf.DUMMYFUNCTION("""COMPUTED_VALUE"""),"VerifyCloseOrder")</f>
        <v>VerifyCloseOrder</v>
      </c>
      <c r="Y4" s="20" t="str">
        <f>IFERROR(__xludf.DUMMYFUNCTION("""COMPUTED_VALUE"""),"UnWindCloseOrder")</f>
        <v>UnWindCloseOrder</v>
      </c>
      <c r="Z4" s="20" t="str">
        <f>IFERROR(__xludf.DUMMYFUNCTION("""COMPUTED_VALUE"""),"ClosingCleanUp")</f>
        <v>ClosingCleanUp</v>
      </c>
      <c r="AA4" s="20" t="str">
        <f>IFERROR(__xludf.DUMMYFUNCTION("""COMPUTED_VALUE"""),"CloseClosingUI")</f>
        <v>CloseClosingUI</v>
      </c>
      <c r="AB4" s="20" t="str">
        <f>IFERROR(__xludf.DUMMYFUNCTION("""COMPUTED_VALUE"""),"SetClosingPreference")</f>
        <v>SetClosingPreference</v>
      </c>
      <c r="AC4" s="20" t="str">
        <f>IFERROR(__xludf.DUMMYFUNCTION("""COMPUTED_VALUE"""),"EditTradeUnexpiredUnsettled")</f>
        <v>EditTradeUnexpiredUnsettled</v>
      </c>
      <c r="AD4" s="20" t="str">
        <f>IFERROR(__xludf.DUMMYFUNCTION("""COMPUTED_VALUE"""),"")</f>
        <v/>
      </c>
      <c r="AE4" s="20" t="str">
        <f>IFERROR(__xludf.DUMMYFUNCTION("""COMPUTED_VALUE"""),"")</f>
        <v/>
      </c>
      <c r="AF4" s="20" t="str">
        <f>IFERROR(__xludf.DUMMYFUNCTION("""COMPUTED_VALUE"""),"")</f>
        <v/>
      </c>
      <c r="AG4" s="20" t="str">
        <f>IFERROR(__xludf.DUMMYFUNCTION("""COMPUTED_VALUE"""),"")</f>
        <v/>
      </c>
      <c r="AH4" s="20" t="str">
        <f>IFERROR(__xludf.DUMMYFUNCTION("""COMPUTED_VALUE"""),"")</f>
        <v/>
      </c>
      <c r="AI4" s="20" t="str">
        <f>IFERROR(__xludf.DUMMYFUNCTION("""COMPUTED_VALUE"""),"")</f>
        <v/>
      </c>
      <c r="AJ4" s="20" t="str">
        <f>IFERROR(__xludf.DUMMYFUNCTION("""COMPUTED_VALUE"""),"")</f>
        <v/>
      </c>
      <c r="AK4" s="20" t="str">
        <f>IFERROR(__xludf.DUMMYFUNCTION("""COMPUTED_VALUE"""),"")</f>
        <v/>
      </c>
      <c r="AL4" s="20" t="str">
        <f>IFERROR(__xludf.DUMMYFUNCTION("""COMPUTED_VALUE"""),"")</f>
        <v/>
      </c>
      <c r="AM4" s="20" t="str">
        <f>IFERROR(__xludf.DUMMYFUNCTION("""COMPUTED_VALUE"""),"")</f>
        <v/>
      </c>
      <c r="AN4" s="20" t="str">
        <f>IFERROR(__xludf.DUMMYFUNCTION("""COMPUTED_VALUE"""),"")</f>
        <v/>
      </c>
      <c r="AO4" s="20" t="str">
        <f>IFERROR(__xludf.DUMMYFUNCTION("""COMPUTED_VALUE"""),"")</f>
        <v/>
      </c>
      <c r="AP4" s="20" t="str">
        <f>IFERROR(__xludf.DUMMYFUNCTION("""COMPUTED_VALUE"""),"")</f>
        <v/>
      </c>
      <c r="AQ4" s="20" t="str">
        <f>IFERROR(__xludf.DUMMYFUNCTION("""COMPUTED_VALUE"""),"")</f>
        <v/>
      </c>
      <c r="AR4" s="20" t="str">
        <f>IFERROR(__xludf.DUMMYFUNCTION("""COMPUTED_VALUE"""),"")</f>
        <v/>
      </c>
      <c r="AS4" s="20" t="str">
        <f>IFERROR(__xludf.DUMMYFUNCTION("""COMPUTED_VALUE"""),"")</f>
        <v/>
      </c>
      <c r="AT4" s="20" t="str">
        <f>IFERROR(__xludf.DUMMYFUNCTION("""COMPUTED_VALUE"""),"")</f>
        <v/>
      </c>
      <c r="AU4" s="20" t="str">
        <f>IFERROR(__xludf.DUMMYFUNCTION("""COMPUTED_VALUE"""),"")</f>
        <v/>
      </c>
      <c r="AV4" s="20" t="str">
        <f>IFERROR(__xludf.DUMMYFUNCTION("""COMPUTED_VALUE"""),"")</f>
        <v/>
      </c>
      <c r="AW4" s="20" t="str">
        <f>IFERROR(__xludf.DUMMYFUNCTION("""COMPUTED_VALUE"""),"")</f>
        <v/>
      </c>
      <c r="AX4" s="20" t="str">
        <f>IFERROR(__xludf.DUMMYFUNCTION("""COMPUTED_VALUE"""),"")</f>
        <v/>
      </c>
      <c r="AY4" s="20" t="str">
        <f>IFERROR(__xludf.DUMMYFUNCTION("""COMPUTED_VALUE"""),"")</f>
        <v/>
      </c>
      <c r="AZ4" s="20" t="str">
        <f>IFERROR(__xludf.DUMMYFUNCTION("""COMPUTED_VALUE"""),"")</f>
        <v/>
      </c>
      <c r="BA4" s="20" t="str">
        <f>IFERROR(__xludf.DUMMYFUNCTION("""COMPUTED_VALUE"""),"")</f>
        <v/>
      </c>
      <c r="BB4" s="20" t="str">
        <f>IFERROR(__xludf.DUMMYFUNCTION("""COMPUTED_VALUE"""),"")</f>
        <v/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21</v>
      </c>
      <c r="C6" s="30">
        <v>43490.0</v>
      </c>
      <c r="D6" s="30">
        <v>43491.0</v>
      </c>
      <c r="E6" s="3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19</v>
      </c>
      <c r="D3" s="15" t="s">
        <v>5</v>
      </c>
      <c r="E3" s="16" t="s">
        <v>23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0" t="str">
        <f>IFERROR(__xludf.DUMMYFUNCTION("""COMPUTED_VALUE"""),"ExerciseAssignment")</f>
        <v>ExerciseAssignment</v>
      </c>
      <c r="Q4" s="20" t="str">
        <f>IFERROR(__xludf.DUMMYFUNCTION("""COMPUTED_VALUE"""),"ExerciseAssignmentAtZero")</f>
        <v>ExerciseAssignmentAtZero</v>
      </c>
      <c r="R4" s="20" t="str">
        <f>IFERROR(__xludf.DUMMYFUNCTION("""COMPUTED_VALUE"""),"SwapExpireAndRollover")</f>
        <v>SwapExpireAndRollover</v>
      </c>
      <c r="S4" s="20" t="str">
        <f>IFERROR(__xludf.DUMMYFUNCTION("""COMPUTED_VALUE"""),"SwapExpire")</f>
        <v>SwapExpire</v>
      </c>
      <c r="T4" s="20" t="str">
        <f>IFERROR(__xludf.DUMMYFUNCTION("""COMPUTED_VALUE"""),"VerifyExpiredSettledGrid")</f>
        <v>VerifyExpiredSettledGrid</v>
      </c>
      <c r="U4" s="20" t="str">
        <f>IFERROR(__xludf.DUMMYFUNCTION("""COMPUTED_VALUE"""),"VerifyUnExpiredUnSettledGrid")</f>
        <v>VerifyUnExpiredUnSettledGrid</v>
      </c>
      <c r="V4" s="20" t="str">
        <f>IFERROR(__xludf.DUMMYFUNCTION("""COMPUTED_VALUE"""),"UnWindTradeSettlement")</f>
        <v>UnWindTradeSettlement</v>
      </c>
      <c r="W4" s="20" t="str">
        <f>IFERROR(__xludf.DUMMYFUNCTION("""COMPUTED_VALUE"""),"CloseOrder")</f>
        <v>CloseOrder</v>
      </c>
      <c r="X4" s="20" t="str">
        <f>IFERROR(__xludf.DUMMYFUNCTION("""COMPUTED_VALUE"""),"VerifyCloseOrder")</f>
        <v>VerifyCloseOrder</v>
      </c>
      <c r="Y4" s="20" t="str">
        <f>IFERROR(__xludf.DUMMYFUNCTION("""COMPUTED_VALUE"""),"UnWindCloseOrder")</f>
        <v>UnWindCloseOrder</v>
      </c>
      <c r="Z4" s="20" t="str">
        <f>IFERROR(__xludf.DUMMYFUNCTION("""COMPUTED_VALUE"""),"ClosingCleanUp")</f>
        <v>ClosingCleanUp</v>
      </c>
      <c r="AA4" s="20" t="str">
        <f>IFERROR(__xludf.DUMMYFUNCTION("""COMPUTED_VALUE"""),"CloseClosingUI")</f>
        <v>CloseClosingUI</v>
      </c>
      <c r="AB4" s="20" t="str">
        <f>IFERROR(__xludf.DUMMYFUNCTION("""COMPUTED_VALUE"""),"SetClosingPreference")</f>
        <v>SetClosingPreference</v>
      </c>
      <c r="AC4" s="20" t="str">
        <f>IFERROR(__xludf.DUMMYFUNCTION("""COMPUTED_VALUE"""),"EditTradeUnexpiredUnsettled")</f>
        <v>EditTradeUnexpiredUnsettled</v>
      </c>
      <c r="AD4" s="20" t="str">
        <f>IFERROR(__xludf.DUMMYFUNCTION("""COMPUTED_VALUE"""),"")</f>
        <v/>
      </c>
      <c r="AE4" s="20" t="str">
        <f>IFERROR(__xludf.DUMMYFUNCTION("""COMPUTED_VALUE"""),"")</f>
        <v/>
      </c>
      <c r="AF4" s="20" t="str">
        <f>IFERROR(__xludf.DUMMYFUNCTION("""COMPUTED_VALUE"""),"")</f>
        <v/>
      </c>
      <c r="AG4" s="20" t="str">
        <f>IFERROR(__xludf.DUMMYFUNCTION("""COMPUTED_VALUE"""),"")</f>
        <v/>
      </c>
      <c r="AH4" s="20" t="str">
        <f>IFERROR(__xludf.DUMMYFUNCTION("""COMPUTED_VALUE"""),"")</f>
        <v/>
      </c>
      <c r="AI4" s="20" t="str">
        <f>IFERROR(__xludf.DUMMYFUNCTION("""COMPUTED_VALUE"""),"")</f>
        <v/>
      </c>
      <c r="AJ4" s="20" t="str">
        <f>IFERROR(__xludf.DUMMYFUNCTION("""COMPUTED_VALUE"""),"")</f>
        <v/>
      </c>
      <c r="AK4" s="20" t="str">
        <f>IFERROR(__xludf.DUMMYFUNCTION("""COMPUTED_VALUE"""),"")</f>
        <v/>
      </c>
      <c r="AL4" s="20" t="str">
        <f>IFERROR(__xludf.DUMMYFUNCTION("""COMPUTED_VALUE"""),"")</f>
        <v/>
      </c>
      <c r="AM4" s="20" t="str">
        <f>IFERROR(__xludf.DUMMYFUNCTION("""COMPUTED_VALUE"""),"")</f>
        <v/>
      </c>
      <c r="AN4" s="20" t="str">
        <f>IFERROR(__xludf.DUMMYFUNCTION("""COMPUTED_VALUE"""),"")</f>
        <v/>
      </c>
      <c r="AO4" s="20" t="str">
        <f>IFERROR(__xludf.DUMMYFUNCTION("""COMPUTED_VALUE"""),"")</f>
        <v/>
      </c>
      <c r="AP4" s="20" t="str">
        <f>IFERROR(__xludf.DUMMYFUNCTION("""COMPUTED_VALUE"""),"")</f>
        <v/>
      </c>
      <c r="AQ4" s="20" t="str">
        <f>IFERROR(__xludf.DUMMYFUNCTION("""COMPUTED_VALUE"""),"")</f>
        <v/>
      </c>
      <c r="AR4" s="20" t="str">
        <f>IFERROR(__xludf.DUMMYFUNCTION("""COMPUTED_VALUE"""),"")</f>
        <v/>
      </c>
      <c r="AS4" s="20" t="str">
        <f>IFERROR(__xludf.DUMMYFUNCTION("""COMPUTED_VALUE"""),"")</f>
        <v/>
      </c>
      <c r="AT4" s="20" t="str">
        <f>IFERROR(__xludf.DUMMYFUNCTION("""COMPUTED_VALUE"""),"")</f>
        <v/>
      </c>
      <c r="AU4" s="20" t="str">
        <f>IFERROR(__xludf.DUMMYFUNCTION("""COMPUTED_VALUE"""),"")</f>
        <v/>
      </c>
      <c r="AV4" s="20" t="str">
        <f>IFERROR(__xludf.DUMMYFUNCTION("""COMPUTED_VALUE"""),"")</f>
        <v/>
      </c>
      <c r="AW4" s="20" t="str">
        <f>IFERROR(__xludf.DUMMYFUNCTION("""COMPUTED_VALUE"""),"")</f>
        <v/>
      </c>
      <c r="AX4" s="20" t="str">
        <f>IFERROR(__xludf.DUMMYFUNCTION("""COMPUTED_VALUE"""),"")</f>
        <v/>
      </c>
      <c r="AY4" s="20" t="str">
        <f>IFERROR(__xludf.DUMMYFUNCTION("""COMPUTED_VALUE"""),"")</f>
        <v/>
      </c>
      <c r="AZ4" s="20" t="str">
        <f>IFERROR(__xludf.DUMMYFUNCTION("""COMPUTED_VALUE"""),"")</f>
        <v/>
      </c>
      <c r="BA4" s="20" t="str">
        <f>IFERROR(__xludf.DUMMYFUNCTION("""COMPUTED_VALUE"""),"")</f>
        <v/>
      </c>
      <c r="BB4" s="20" t="str">
        <f>IFERROR(__xludf.DUMMYFUNCTION("""COMPUTED_VALUE"""),"")</f>
        <v/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25</v>
      </c>
      <c r="C6" s="12"/>
      <c r="D6" s="24"/>
      <c r="E6" s="24" t="s">
        <v>26</v>
      </c>
      <c r="F6" s="12"/>
      <c r="G6" s="12"/>
      <c r="H6" s="12"/>
      <c r="I6" s="24">
        <v>1.3</v>
      </c>
      <c r="J6" s="12"/>
      <c r="K6" s="12"/>
      <c r="L6" s="12"/>
      <c r="M6" s="12"/>
      <c r="N6" s="12"/>
      <c r="O6" s="12"/>
      <c r="BV6" s="29" t="s">
        <v>17</v>
      </c>
      <c r="CG6" s="29">
        <v>3532015.0</v>
      </c>
      <c r="DH6" s="29" t="s">
        <v>16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19</v>
      </c>
      <c r="D3" s="15" t="s">
        <v>5</v>
      </c>
      <c r="E3" s="16" t="s">
        <v>27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0" t="str">
        <f>IFERROR(__xludf.DUMMYFUNCTION("""COMPUTED_VALUE"""),"ExerciseAssignment")</f>
        <v>ExerciseAssignment</v>
      </c>
      <c r="Q4" s="20" t="str">
        <f>IFERROR(__xludf.DUMMYFUNCTION("""COMPUTED_VALUE"""),"ExerciseAssignmentAtZero")</f>
        <v>ExerciseAssignmentAtZero</v>
      </c>
      <c r="R4" s="20" t="str">
        <f>IFERROR(__xludf.DUMMYFUNCTION("""COMPUTED_VALUE"""),"SwapExpireAndRollover")</f>
        <v>SwapExpireAndRollover</v>
      </c>
      <c r="S4" s="20" t="str">
        <f>IFERROR(__xludf.DUMMYFUNCTION("""COMPUTED_VALUE"""),"SwapExpire")</f>
        <v>SwapExpire</v>
      </c>
      <c r="T4" s="20" t="str">
        <f>IFERROR(__xludf.DUMMYFUNCTION("""COMPUTED_VALUE"""),"VerifyExpiredSettledGrid")</f>
        <v>VerifyExpiredSettledGrid</v>
      </c>
      <c r="U4" s="20" t="str">
        <f>IFERROR(__xludf.DUMMYFUNCTION("""COMPUTED_VALUE"""),"VerifyUnExpiredUnSettledGrid")</f>
        <v>VerifyUnExpiredUnSettledGrid</v>
      </c>
      <c r="V4" s="20" t="str">
        <f>IFERROR(__xludf.DUMMYFUNCTION("""COMPUTED_VALUE"""),"UnWindTradeSettlement")</f>
        <v>UnWindTradeSettlement</v>
      </c>
      <c r="W4" s="20" t="str">
        <f>IFERROR(__xludf.DUMMYFUNCTION("""COMPUTED_VALUE"""),"CloseOrder")</f>
        <v>CloseOrder</v>
      </c>
      <c r="X4" s="20" t="str">
        <f>IFERROR(__xludf.DUMMYFUNCTION("""COMPUTED_VALUE"""),"VerifyCloseOrder")</f>
        <v>VerifyCloseOrder</v>
      </c>
      <c r="Y4" s="20" t="str">
        <f>IFERROR(__xludf.DUMMYFUNCTION("""COMPUTED_VALUE"""),"UnWindCloseOrder")</f>
        <v>UnWindCloseOrder</v>
      </c>
      <c r="Z4" s="20" t="str">
        <f>IFERROR(__xludf.DUMMYFUNCTION("""COMPUTED_VALUE"""),"ClosingCleanUp")</f>
        <v>ClosingCleanUp</v>
      </c>
      <c r="AA4" s="20" t="str">
        <f>IFERROR(__xludf.DUMMYFUNCTION("""COMPUTED_VALUE"""),"CloseClosingUI")</f>
        <v>CloseClosingUI</v>
      </c>
      <c r="AB4" s="20" t="str">
        <f>IFERROR(__xludf.DUMMYFUNCTION("""COMPUTED_VALUE"""),"SetClosingPreference")</f>
        <v>SetClosingPreference</v>
      </c>
      <c r="AC4" s="20" t="str">
        <f>IFERROR(__xludf.DUMMYFUNCTION("""COMPUTED_VALUE"""),"EditTradeUnexpiredUnsettled")</f>
        <v>EditTradeUnexpiredUnsettled</v>
      </c>
      <c r="AD4" s="20" t="str">
        <f>IFERROR(__xludf.DUMMYFUNCTION("""COMPUTED_VALUE"""),"")</f>
        <v/>
      </c>
      <c r="AE4" s="20" t="str">
        <f>IFERROR(__xludf.DUMMYFUNCTION("""COMPUTED_VALUE"""),"")</f>
        <v/>
      </c>
      <c r="AF4" s="20" t="str">
        <f>IFERROR(__xludf.DUMMYFUNCTION("""COMPUTED_VALUE"""),"")</f>
        <v/>
      </c>
      <c r="AG4" s="20" t="str">
        <f>IFERROR(__xludf.DUMMYFUNCTION("""COMPUTED_VALUE"""),"")</f>
        <v/>
      </c>
      <c r="AH4" s="20" t="str">
        <f>IFERROR(__xludf.DUMMYFUNCTION("""COMPUTED_VALUE"""),"")</f>
        <v/>
      </c>
      <c r="AI4" s="20" t="str">
        <f>IFERROR(__xludf.DUMMYFUNCTION("""COMPUTED_VALUE"""),"")</f>
        <v/>
      </c>
      <c r="AJ4" s="20" t="str">
        <f>IFERROR(__xludf.DUMMYFUNCTION("""COMPUTED_VALUE"""),"")</f>
        <v/>
      </c>
      <c r="AK4" s="20" t="str">
        <f>IFERROR(__xludf.DUMMYFUNCTION("""COMPUTED_VALUE"""),"")</f>
        <v/>
      </c>
      <c r="AL4" s="20" t="str">
        <f>IFERROR(__xludf.DUMMYFUNCTION("""COMPUTED_VALUE"""),"")</f>
        <v/>
      </c>
      <c r="AM4" s="20" t="str">
        <f>IFERROR(__xludf.DUMMYFUNCTION("""COMPUTED_VALUE"""),"")</f>
        <v/>
      </c>
      <c r="AN4" s="20" t="str">
        <f>IFERROR(__xludf.DUMMYFUNCTION("""COMPUTED_VALUE"""),"")</f>
        <v/>
      </c>
      <c r="AO4" s="20" t="str">
        <f>IFERROR(__xludf.DUMMYFUNCTION("""COMPUTED_VALUE"""),"")</f>
        <v/>
      </c>
      <c r="AP4" s="20" t="str">
        <f>IFERROR(__xludf.DUMMYFUNCTION("""COMPUTED_VALUE"""),"")</f>
        <v/>
      </c>
      <c r="AQ4" s="20" t="str">
        <f>IFERROR(__xludf.DUMMYFUNCTION("""COMPUTED_VALUE"""),"")</f>
        <v/>
      </c>
      <c r="AR4" s="20" t="str">
        <f>IFERROR(__xludf.DUMMYFUNCTION("""COMPUTED_VALUE"""),"")</f>
        <v/>
      </c>
      <c r="AS4" s="20" t="str">
        <f>IFERROR(__xludf.DUMMYFUNCTION("""COMPUTED_VALUE"""),"")</f>
        <v/>
      </c>
      <c r="AT4" s="20" t="str">
        <f>IFERROR(__xludf.DUMMYFUNCTION("""COMPUTED_VALUE"""),"")</f>
        <v/>
      </c>
      <c r="AU4" s="20" t="str">
        <f>IFERROR(__xludf.DUMMYFUNCTION("""COMPUTED_VALUE"""),"")</f>
        <v/>
      </c>
      <c r="AV4" s="20" t="str">
        <f>IFERROR(__xludf.DUMMYFUNCTION("""COMPUTED_VALUE"""),"")</f>
        <v/>
      </c>
      <c r="AW4" s="20" t="str">
        <f>IFERROR(__xludf.DUMMYFUNCTION("""COMPUTED_VALUE"""),"")</f>
        <v/>
      </c>
      <c r="AX4" s="20" t="str">
        <f>IFERROR(__xludf.DUMMYFUNCTION("""COMPUTED_VALUE"""),"")</f>
        <v/>
      </c>
      <c r="AY4" s="20" t="str">
        <f>IFERROR(__xludf.DUMMYFUNCTION("""COMPUTED_VALUE"""),"")</f>
        <v/>
      </c>
      <c r="AZ4" s="20" t="str">
        <f>IFERROR(__xludf.DUMMYFUNCTION("""COMPUTED_VALUE"""),"")</f>
        <v/>
      </c>
      <c r="BA4" s="20" t="str">
        <f>IFERROR(__xludf.DUMMYFUNCTION("""COMPUTED_VALUE"""),"")</f>
        <v/>
      </c>
      <c r="BB4" s="20" t="str">
        <f>IFERROR(__xludf.DUMMYFUNCTION("""COMPUTED_VALUE"""),"")</f>
        <v/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/>
      <c r="C6" s="12"/>
      <c r="D6" s="24"/>
      <c r="E6" s="32"/>
      <c r="F6" s="12"/>
      <c r="G6" s="12"/>
      <c r="H6" s="12"/>
      <c r="I6" s="12"/>
      <c r="J6" s="12"/>
      <c r="K6" s="12"/>
      <c r="L6" s="12"/>
      <c r="M6" s="12"/>
      <c r="N6" s="12"/>
      <c r="O6" s="30">
        <v>43494.0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19</v>
      </c>
      <c r="D3" s="15" t="s">
        <v>5</v>
      </c>
      <c r="E3" s="16" t="s">
        <v>28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IFERROR(__xludf.DUMMYFUNCTION("IF(C3="""","""",Transpose(IMPORTRANGE('_Settings'!$B$3,C3&amp;""!A4:A1000"")))"),"SwapExpire")</f>
        <v>SwapExpire</v>
      </c>
      <c r="C4" s="19" t="str">
        <f>IFERROR(__xludf.DUMMYFUNCTION("""COMPUTED_VALUE"""),"GetDataClosing")</f>
        <v>GetDataClosing</v>
      </c>
      <c r="D4" s="19" t="str">
        <f>IFERROR(__xludf.DUMMYFUNCTION("""COMPUTED_VALUE"""),"ManualClosing")</f>
        <v>ManualClosing</v>
      </c>
      <c r="E4" s="19" t="str">
        <f>IFERROR(__xludf.DUMMYFUNCTION("""COMPUTED_VALUE"""),"AutomaticClosing")</f>
        <v>AutomaticClosing</v>
      </c>
      <c r="F4" s="19" t="str">
        <f>IFERROR(__xludf.DUMMYFUNCTION("""COMPUTED_VALUE"""),"UnwindClosing")</f>
        <v>UnwindClosing</v>
      </c>
      <c r="G4" s="19" t="str">
        <f>IFERROR(__xludf.DUMMYFUNCTION("""COMPUTED_VALUE"""),"VerifyClosedTrades")</f>
        <v>VerifyClosedTrades</v>
      </c>
      <c r="H4" s="19" t="str">
        <f>IFERROR(__xludf.DUMMYFUNCTION("""COMPUTED_VALUE"""),"VerifyLongPositionsGrid")</f>
        <v>VerifyLongPositionsGrid</v>
      </c>
      <c r="I4" s="19" t="str">
        <f>IFERROR(__xludf.DUMMYFUNCTION("""COMPUTED_VALUE"""),"VerifyShortPositionsGrid")</f>
        <v>VerifyShortPositionsGrid</v>
      </c>
      <c r="J4" s="19" t="str">
        <f>IFERROR(__xludf.DUMMYFUNCTION("""COMPUTED_VALUE"""),"SelectTradeUnexpiredUnsettled")</f>
        <v>SelectTradeUnexpiredUnsettled</v>
      </c>
      <c r="K4" s="19" t="str">
        <f>IFERROR(__xludf.DUMMYFUNCTION("""COMPUTED_VALUE"""),"CashSettlementAtCost")</f>
        <v>CashSettlementAtCost</v>
      </c>
      <c r="L4" s="19" t="str">
        <f>IFERROR(__xludf.DUMMYFUNCTION("""COMPUTED_VALUE"""),"CashSettlementAtZeroPrice")</f>
        <v>CashSettlementAtZeroPrice</v>
      </c>
      <c r="M4" s="19" t="str">
        <f>IFERROR(__xludf.DUMMYFUNCTION("""COMPUTED_VALUE"""),"CashSettlementAtClosingDtSpotPx")</f>
        <v>CashSettlementAtClosingDtSpotPx</v>
      </c>
      <c r="N4" s="19" t="str">
        <f>IFERROR(__xludf.DUMMYFUNCTION("""COMPUTED_VALUE"""),"PhysicalSettlement")</f>
        <v>PhysicalSettlement</v>
      </c>
      <c r="O4" s="19" t="str">
        <f>IFERROR(__xludf.DUMMYFUNCTION("""COMPUTED_VALUE"""),"Expire")</f>
        <v>Expire</v>
      </c>
      <c r="P4" s="20" t="str">
        <f>IFERROR(__xludf.DUMMYFUNCTION("""COMPUTED_VALUE"""),"ExerciseAssignment")</f>
        <v>ExerciseAssignment</v>
      </c>
      <c r="Q4" s="20" t="str">
        <f>IFERROR(__xludf.DUMMYFUNCTION("""COMPUTED_VALUE"""),"ExerciseAssignmentAtZero")</f>
        <v>ExerciseAssignmentAtZero</v>
      </c>
      <c r="R4" s="20" t="str">
        <f>IFERROR(__xludf.DUMMYFUNCTION("""COMPUTED_VALUE"""),"SwapExpireAndRollover")</f>
        <v>SwapExpireAndRollover</v>
      </c>
      <c r="S4" s="20" t="str">
        <f>IFERROR(__xludf.DUMMYFUNCTION("""COMPUTED_VALUE"""),"SwapExpire")</f>
        <v>SwapExpire</v>
      </c>
      <c r="T4" s="20" t="str">
        <f>IFERROR(__xludf.DUMMYFUNCTION("""COMPUTED_VALUE"""),"VerifyExpiredSettledGrid")</f>
        <v>VerifyExpiredSettledGrid</v>
      </c>
      <c r="U4" s="20" t="str">
        <f>IFERROR(__xludf.DUMMYFUNCTION("""COMPUTED_VALUE"""),"VerifyUnExpiredUnSettledGrid")</f>
        <v>VerifyUnExpiredUnSettledGrid</v>
      </c>
      <c r="V4" s="20" t="str">
        <f>IFERROR(__xludf.DUMMYFUNCTION("""COMPUTED_VALUE"""),"UnWindTradeSettlement")</f>
        <v>UnWindTradeSettlement</v>
      </c>
      <c r="W4" s="20" t="str">
        <f>IFERROR(__xludf.DUMMYFUNCTION("""COMPUTED_VALUE"""),"CloseOrder")</f>
        <v>CloseOrder</v>
      </c>
      <c r="X4" s="20" t="str">
        <f>IFERROR(__xludf.DUMMYFUNCTION("""COMPUTED_VALUE"""),"VerifyCloseOrder")</f>
        <v>VerifyCloseOrder</v>
      </c>
      <c r="Y4" s="20" t="str">
        <f>IFERROR(__xludf.DUMMYFUNCTION("""COMPUTED_VALUE"""),"UnWindCloseOrder")</f>
        <v>UnWindCloseOrder</v>
      </c>
      <c r="Z4" s="20" t="str">
        <f>IFERROR(__xludf.DUMMYFUNCTION("""COMPUTED_VALUE"""),"ClosingCleanUp")</f>
        <v>ClosingCleanUp</v>
      </c>
      <c r="AA4" s="20" t="str">
        <f>IFERROR(__xludf.DUMMYFUNCTION("""COMPUTED_VALUE"""),"CloseClosingUI")</f>
        <v>CloseClosingUI</v>
      </c>
      <c r="AB4" s="20" t="str">
        <f>IFERROR(__xludf.DUMMYFUNCTION("""COMPUTED_VALUE"""),"SetClosingPreference")</f>
        <v>SetClosingPreference</v>
      </c>
      <c r="AC4" s="20" t="str">
        <f>IFERROR(__xludf.DUMMYFUNCTION("""COMPUTED_VALUE"""),"EditTradeUnexpiredUnsettled")</f>
        <v>EditTradeUnexpiredUnsettled</v>
      </c>
      <c r="AD4" s="20" t="str">
        <f>IFERROR(__xludf.DUMMYFUNCTION("""COMPUTED_VALUE"""),"")</f>
        <v/>
      </c>
      <c r="AE4" s="20" t="str">
        <f>IFERROR(__xludf.DUMMYFUNCTION("""COMPUTED_VALUE"""),"")</f>
        <v/>
      </c>
      <c r="AF4" s="20" t="str">
        <f>IFERROR(__xludf.DUMMYFUNCTION("""COMPUTED_VALUE"""),"")</f>
        <v/>
      </c>
      <c r="AG4" s="20" t="str">
        <f>IFERROR(__xludf.DUMMYFUNCTION("""COMPUTED_VALUE"""),"")</f>
        <v/>
      </c>
      <c r="AH4" s="20" t="str">
        <f>IFERROR(__xludf.DUMMYFUNCTION("""COMPUTED_VALUE"""),"")</f>
        <v/>
      </c>
      <c r="AI4" s="20" t="str">
        <f>IFERROR(__xludf.DUMMYFUNCTION("""COMPUTED_VALUE"""),"")</f>
        <v/>
      </c>
      <c r="AJ4" s="20" t="str">
        <f>IFERROR(__xludf.DUMMYFUNCTION("""COMPUTED_VALUE"""),"")</f>
        <v/>
      </c>
      <c r="AK4" s="20" t="str">
        <f>IFERROR(__xludf.DUMMYFUNCTION("""COMPUTED_VALUE"""),"")</f>
        <v/>
      </c>
      <c r="AL4" s="20" t="str">
        <f>IFERROR(__xludf.DUMMYFUNCTION("""COMPUTED_VALUE"""),"")</f>
        <v/>
      </c>
      <c r="AM4" s="20" t="str">
        <f>IFERROR(__xludf.DUMMYFUNCTION("""COMPUTED_VALUE"""),"")</f>
        <v/>
      </c>
      <c r="AN4" s="20" t="str">
        <f>IFERROR(__xludf.DUMMYFUNCTION("""COMPUTED_VALUE"""),"")</f>
        <v/>
      </c>
      <c r="AO4" s="20" t="str">
        <f>IFERROR(__xludf.DUMMYFUNCTION("""COMPUTED_VALUE"""),"")</f>
        <v/>
      </c>
      <c r="AP4" s="20" t="str">
        <f>IFERROR(__xludf.DUMMYFUNCTION("""COMPUTED_VALUE"""),"")</f>
        <v/>
      </c>
      <c r="AQ4" s="20" t="str">
        <f>IFERROR(__xludf.DUMMYFUNCTION("""COMPUTED_VALUE"""),"")</f>
        <v/>
      </c>
      <c r="AR4" s="20" t="str">
        <f>IFERROR(__xludf.DUMMYFUNCTION("""COMPUTED_VALUE"""),"")</f>
        <v/>
      </c>
      <c r="AS4" s="20" t="str">
        <f>IFERROR(__xludf.DUMMYFUNCTION("""COMPUTED_VALUE"""),"")</f>
        <v/>
      </c>
      <c r="AT4" s="20" t="str">
        <f>IFERROR(__xludf.DUMMYFUNCTION("""COMPUTED_VALUE"""),"")</f>
        <v/>
      </c>
      <c r="AU4" s="20" t="str">
        <f>IFERROR(__xludf.DUMMYFUNCTION("""COMPUTED_VALUE"""),"")</f>
        <v/>
      </c>
      <c r="AV4" s="20" t="str">
        <f>IFERROR(__xludf.DUMMYFUNCTION("""COMPUTED_VALUE"""),"")</f>
        <v/>
      </c>
      <c r="AW4" s="20" t="str">
        <f>IFERROR(__xludf.DUMMYFUNCTION("""COMPUTED_VALUE"""),"")</f>
        <v/>
      </c>
      <c r="AX4" s="20" t="str">
        <f>IFERROR(__xludf.DUMMYFUNCTION("""COMPUTED_VALUE"""),"")</f>
        <v/>
      </c>
      <c r="AY4" s="20" t="str">
        <f>IFERROR(__xludf.DUMMYFUNCTION("""COMPUTED_VALUE"""),"")</f>
        <v/>
      </c>
      <c r="AZ4" s="20" t="str">
        <f>IFERROR(__xludf.DUMMYFUNCTION("""COMPUTED_VALUE"""),"")</f>
        <v/>
      </c>
      <c r="BA4" s="20" t="str">
        <f>IFERROR(__xludf.DUMMYFUNCTION("""COMPUTED_VALUE"""),"")</f>
        <v/>
      </c>
      <c r="BB4" s="20" t="str">
        <f>IFERROR(__xludf.DUMMYFUNCTION("""COMPUTED_VALUE"""),"")</f>
        <v/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25</v>
      </c>
      <c r="C6" s="24" t="s">
        <v>26</v>
      </c>
      <c r="D6" s="24"/>
      <c r="E6" s="32"/>
      <c r="F6" s="12"/>
      <c r="G6" s="12"/>
      <c r="H6" s="12"/>
      <c r="I6" s="12"/>
      <c r="J6" s="12"/>
      <c r="K6" s="12"/>
      <c r="L6" s="12"/>
      <c r="M6" s="12"/>
      <c r="N6" s="12"/>
      <c r="O6" s="12"/>
      <c r="Y6" s="29">
        <v>51262.9173</v>
      </c>
      <c r="Z6" s="29" t="s">
        <v>17</v>
      </c>
      <c r="AB6" s="29" t="s">
        <v>16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29</v>
      </c>
      <c r="D3" s="15" t="s">
        <v>5</v>
      </c>
      <c r="E3" s="16" t="s">
        <v>30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IFERROR(__xludf.DUMMYFUNCTION("""COMPUTED_VALUE"""),"Unallocate")</f>
        <v>Unallocate</v>
      </c>
      <c r="E4" s="19" t="str">
        <f>IFERROR(__xludf.DUMMYFUNCTION("""COMPUTED_VALUE"""),"GetDataAllocation")</f>
        <v>GetDataAllocation</v>
      </c>
      <c r="F4" s="19" t="str">
        <f>IFERROR(__xludf.DUMMYFUNCTION("""COMPUTED_VALUE"""),"SelectAllocatedGroup")</f>
        <v>SelectAllocatedGroup</v>
      </c>
      <c r="G4" s="19" t="str">
        <f>IFERROR(__xludf.DUMMYFUNCTION("""COMPUTED_VALUE"""),"EditTradesAllocated")</f>
        <v>EditTradesAllocated</v>
      </c>
      <c r="H4" s="19" t="str">
        <f>IFERROR(__xludf.DUMMYFUNCTION("""COMPUTED_VALUE"""),"EditTradesUnallocated")</f>
        <v>EditTradesUnallocated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IFERROR(__xludf.DUMMYFUNCTION("""COMPUTED_VALUE"""),"CopyCalculatedPreferenceToolbar")</f>
        <v>CopyCalculatedPreferenceToolbar</v>
      </c>
      <c r="CX4" s="20" t="str">
        <f>IFERROR(__xludf.DUMMYFUNCTION("""COMPUTED_VALUE"""),"CloseOrder")</f>
        <v>CloseOrder</v>
      </c>
      <c r="CY4" s="20" t="str">
        <f>IFERROR(__xludf.DUMMYFUNCTION("""COMPUTED_VALUE"""),"DisableChecksideForAsset")</f>
        <v>DisableChecksideForAsset</v>
      </c>
      <c r="CZ4" s="20" t="str">
        <f>IFERROR(__xludf.DUMMYFUNCTION("""COMPUTED_VALUE"""),"DisableChecksideForAccount")</f>
        <v>DisableChecksideForAccount</v>
      </c>
      <c r="DA4" s="20" t="str">
        <f>IFERROR(__xludf.DUMMYFUNCTION("""COMPUTED_VALUE"""),"DisableChecksideForCounterParty")</f>
        <v>DisableChecksideForCounterParty</v>
      </c>
      <c r="DB4" s="20" t="str">
        <f>IFERROR(__xludf.DUMMYFUNCTION("""COMPUTED_VALUE"""),"DisableCheckside")</f>
        <v>DisableCheckside</v>
      </c>
      <c r="DC4" s="20" t="str">
        <f>IFERROR(__xludf.DUMMYFUNCTION("""COMPUTED_VALUE"""),"ApplyMasterFundFilter")</f>
        <v>ApplyMasterFundFilter</v>
      </c>
      <c r="DD4" s="20" t="str">
        <f>IFERROR(__xludf.DUMMYFUNCTION("""COMPUTED_VALUE"""),"ShowMasterFundOnTT")</f>
        <v>ShowMasterFundOnTT</v>
      </c>
      <c r="DE4" s="20" t="str">
        <f>IFERROR(__xludf.DUMMYFUNCTION("""COMPUTED_VALUE"""),"ShowMasterFundAsClient")</f>
        <v>ShowMasterFundAsClient</v>
      </c>
      <c r="DF4" s="20" t="str">
        <f>IFERROR(__xludf.DUMMYFUNCTION("""COMPUTED_VALUE"""),"SetBrokerAccountMapping")</f>
        <v>SetBrokerAccountMapping</v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21</v>
      </c>
      <c r="C6" s="30">
        <v>43490.0</v>
      </c>
      <c r="D6" s="30">
        <v>43494.0</v>
      </c>
      <c r="E6" s="3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9.0"/>
    <col customWidth="1" min="47" max="47" width="21.71"/>
    <col customWidth="1" min="48" max="56" width="14.43"/>
    <col customWidth="1" min="57" max="57" width="23.0"/>
    <col customWidth="1" min="58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29</v>
      </c>
      <c r="D3" s="15" t="s">
        <v>5</v>
      </c>
      <c r="E3" s="16" t="s">
        <v>31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IFERROR(__xludf.DUMMYFUNCTION("""COMPUTED_VALUE"""),"Unallocate")</f>
        <v>Unallocate</v>
      </c>
      <c r="E4" s="19" t="str">
        <f>IFERROR(__xludf.DUMMYFUNCTION("""COMPUTED_VALUE"""),"GetDataAllocation")</f>
        <v>GetDataAllocation</v>
      </c>
      <c r="F4" s="19" t="str">
        <f>IFERROR(__xludf.DUMMYFUNCTION("""COMPUTED_VALUE"""),"SelectAllocatedGroup")</f>
        <v>SelectAllocatedGroup</v>
      </c>
      <c r="G4" s="19" t="str">
        <f>IFERROR(__xludf.DUMMYFUNCTION("""COMPUTED_VALUE"""),"EditTradesAllocated")</f>
        <v>EditTradesAllocated</v>
      </c>
      <c r="H4" s="19" t="str">
        <f>IFERROR(__xludf.DUMMYFUNCTION("""COMPUTED_VALUE"""),"EditTradesUnallocated")</f>
        <v>EditTradesUnallocated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IFERROR(__xludf.DUMMYFUNCTION("""COMPUTED_VALUE"""),"CopyCalculatedPreferenceToolbar")</f>
        <v>CopyCalculatedPreferenceToolbar</v>
      </c>
      <c r="CX4" s="20" t="str">
        <f>IFERROR(__xludf.DUMMYFUNCTION("""COMPUTED_VALUE"""),"CloseOrder")</f>
        <v>CloseOrder</v>
      </c>
      <c r="CY4" s="20" t="str">
        <f>IFERROR(__xludf.DUMMYFUNCTION("""COMPUTED_VALUE"""),"DisableChecksideForAsset")</f>
        <v>DisableChecksideForAsset</v>
      </c>
      <c r="CZ4" s="20" t="str">
        <f>IFERROR(__xludf.DUMMYFUNCTION("""COMPUTED_VALUE"""),"DisableChecksideForAccount")</f>
        <v>DisableChecksideForAccount</v>
      </c>
      <c r="DA4" s="20" t="str">
        <f>IFERROR(__xludf.DUMMYFUNCTION("""COMPUTED_VALUE"""),"DisableChecksideForCounterParty")</f>
        <v>DisableChecksideForCounterParty</v>
      </c>
      <c r="DB4" s="20" t="str">
        <f>IFERROR(__xludf.DUMMYFUNCTION("""COMPUTED_VALUE"""),"DisableCheckside")</f>
        <v>DisableCheckside</v>
      </c>
      <c r="DC4" s="20" t="str">
        <f>IFERROR(__xludf.DUMMYFUNCTION("""COMPUTED_VALUE"""),"ApplyMasterFundFilter")</f>
        <v>ApplyMasterFundFilter</v>
      </c>
      <c r="DD4" s="20" t="str">
        <f>IFERROR(__xludf.DUMMYFUNCTION("""COMPUTED_VALUE"""),"ShowMasterFundOnTT")</f>
        <v>ShowMasterFundOnTT</v>
      </c>
      <c r="DE4" s="20" t="str">
        <f>IFERROR(__xludf.DUMMYFUNCTION("""COMPUTED_VALUE"""),"ShowMasterFundAsClient")</f>
        <v>ShowMasterFundAsClient</v>
      </c>
      <c r="DF4" s="20" t="str">
        <f>IFERROR(__xludf.DUMMYFUNCTION("""COMPUTED_VALUE"""),"SetBrokerAccountMapping")</f>
        <v>SetBrokerAccountMapping</v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25</v>
      </c>
      <c r="C6" s="12"/>
      <c r="D6" s="24"/>
      <c r="E6" s="24">
        <v>3532015.0</v>
      </c>
      <c r="F6" s="12"/>
      <c r="G6" s="24" t="s">
        <v>26</v>
      </c>
      <c r="H6" s="12"/>
      <c r="I6" s="12"/>
      <c r="J6" s="12"/>
      <c r="K6" s="24">
        <v>0.76923076923077</v>
      </c>
      <c r="L6" s="24">
        <v>1.3</v>
      </c>
      <c r="M6" s="12"/>
      <c r="N6" s="12"/>
      <c r="O6" s="12"/>
      <c r="AI6" s="29">
        <v>0.7692</v>
      </c>
      <c r="AT6" s="29">
        <v>2716934.61538462</v>
      </c>
      <c r="AU6" s="29">
        <v>3532015.0</v>
      </c>
      <c r="BE6" s="33">
        <v>2716934.61538462</v>
      </c>
      <c r="BF6" s="29">
        <v>3532015.0</v>
      </c>
      <c r="BJ6" s="29">
        <v>3532015.0</v>
      </c>
      <c r="BO6" s="29" t="s">
        <v>17</v>
      </c>
      <c r="BT6" s="29" t="s">
        <v>16</v>
      </c>
    </row>
    <row r="7" ht="15.75" customHeight="1">
      <c r="A7" s="12"/>
      <c r="B7" s="24" t="s">
        <v>25</v>
      </c>
      <c r="C7" s="12"/>
      <c r="D7" s="12"/>
      <c r="E7" s="24">
        <v>3532015.0</v>
      </c>
      <c r="F7" s="12"/>
      <c r="G7" s="24" t="s">
        <v>26</v>
      </c>
      <c r="H7" s="12"/>
      <c r="I7" s="12"/>
      <c r="J7" s="12"/>
      <c r="K7" s="33">
        <v>0.76923076923077</v>
      </c>
      <c r="L7" s="24">
        <v>1.3</v>
      </c>
      <c r="M7" s="12"/>
      <c r="N7" s="12"/>
      <c r="O7" s="12"/>
      <c r="AI7" s="29">
        <v>1.325</v>
      </c>
      <c r="AT7" s="29">
        <v>2716934.61538462</v>
      </c>
      <c r="AU7" s="29">
        <v>3532015.0</v>
      </c>
      <c r="BE7" s="33">
        <v>2716934.61538462</v>
      </c>
      <c r="BF7" s="29">
        <v>3532015.0</v>
      </c>
      <c r="BJ7" s="29">
        <v>3532015.0</v>
      </c>
      <c r="BO7" s="29" t="s">
        <v>34</v>
      </c>
      <c r="BT7" s="29" t="s">
        <v>16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32</v>
      </c>
      <c r="D3" s="15" t="s">
        <v>5</v>
      </c>
      <c r="E3" s="16" t="s">
        <v>33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IFERROR(__xludf.DUMMYFUNCTION("IF(C3="""","""",Transpose(IMPORTRANGE('_Settings'!$B$3,C3&amp;""!A4:A1000"")))"),"GetDataCash")</f>
        <v>GetDataCash</v>
      </c>
      <c r="C4" s="19" t="str">
        <f>IFERROR(__xludf.DUMMYFUNCTION("""COMPUTED_VALUE"""),"EnterCashDividends")</f>
        <v>EnterCashDividends</v>
      </c>
      <c r="D4" s="19" t="str">
        <f>IFERROR(__xludf.DUMMYFUNCTION("""COMPUTED_VALUE"""),"EnterNonTradingTransaction")</f>
        <v>EnterNonTradingTransaction</v>
      </c>
      <c r="E4" s="19" t="str">
        <f>IFERROR(__xludf.DUMMYFUNCTION("""COMPUTED_VALUE"""),"VerifyCash")</f>
        <v>VerifyCash</v>
      </c>
      <c r="F4" s="19" t="str">
        <f>IFERROR(__xludf.DUMMYFUNCTION("""COMPUTED_VALUE"""),"VerifyActivity")</f>
        <v>VerifyActivity</v>
      </c>
      <c r="G4" s="19" t="str">
        <f>IFERROR(__xludf.DUMMYFUNCTION("""COMPUTED_VALUE"""),"VerifyTradingTransaction")</f>
        <v>VerifyTradingTransaction</v>
      </c>
      <c r="H4" s="19" t="str">
        <f>IFERROR(__xludf.DUMMYFUNCTION("""COMPUTED_VALUE"""),"VerifyRevaluationData")</f>
        <v>VerifyRevaluationData</v>
      </c>
      <c r="I4" s="19" t="str">
        <f>IFERROR(__xludf.DUMMYFUNCTION("""COMPUTED_VALUE"""),"GetTradingTransaction")</f>
        <v>GetTradingTransaction</v>
      </c>
      <c r="J4" s="19" t="str">
        <f>IFERROR(__xludf.DUMMYFUNCTION("""COMPUTED_VALUE"""),"GetActivityData")</f>
        <v>GetActivityData</v>
      </c>
      <c r="K4" s="19" t="str">
        <f>IFERROR(__xludf.DUMMYFUNCTION("""COMPUTED_VALUE"""),"GetRevaluationData")</f>
        <v>GetRevaluationData</v>
      </c>
      <c r="L4" s="19" t="str">
        <f>IFERROR(__xludf.DUMMYFUNCTION("""COMPUTED_VALUE"""),"GetAccountDetails")</f>
        <v>GetAccountDetails</v>
      </c>
      <c r="M4" s="19" t="str">
        <f>IFERROR(__xludf.DUMMYFUNCTION("""COMPUTED_VALUE"""),"GetNonTradingTransaction")</f>
        <v>GetNonTradingTransaction</v>
      </c>
      <c r="N4" s="19" t="str">
        <f>IFERROR(__xludf.DUMMYFUNCTION("""COMPUTED_VALUE"""),"GetDividendData")</f>
        <v>GetDividendData</v>
      </c>
      <c r="O4" s="19" t="str">
        <f>IFERROR(__xludf.DUMMYFUNCTION("""COMPUTED_VALUE"""),"VerifyNonTradingTransaction")</f>
        <v>VerifyNonTradingTransaction</v>
      </c>
      <c r="P4" s="20" t="str">
        <f>IFERROR(__xludf.DUMMYFUNCTION("""COMPUTED_VALUE"""),"VerifyDividend")</f>
        <v>VerifyDividend</v>
      </c>
      <c r="Q4" s="20" t="str">
        <f>IFERROR(__xludf.DUMMYFUNCTION("""COMPUTED_VALUE"""),"GetOpeningBalanceData")</f>
        <v>GetOpeningBalanceData</v>
      </c>
      <c r="R4" s="20" t="str">
        <f>IFERROR(__xludf.DUMMYFUNCTION("""COMPUTED_VALUE"""),"GetAccountBalance")</f>
        <v>GetAccountBalance</v>
      </c>
      <c r="S4" s="20" t="str">
        <f>IFERROR(__xludf.DUMMYFUNCTION("""COMPUTED_VALUE"""),"SelectNonTradingTransaction")</f>
        <v>SelectNonTradingTransaction</v>
      </c>
      <c r="T4" s="20" t="str">
        <f>IFERROR(__xludf.DUMMYFUNCTION("""COMPUTED_VALUE"""),"SelectNonTradingTranItem")</f>
        <v>SelectNonTradingTranItem</v>
      </c>
      <c r="U4" s="20" t="str">
        <f>IFERROR(__xludf.DUMMYFUNCTION("""COMPUTED_VALUE"""),"DeleteNonTradingTransaction")</f>
        <v>DeleteNonTradingTransaction</v>
      </c>
      <c r="V4" s="20" t="str">
        <f>IFERROR(__xludf.DUMMYFUNCTION("""COMPUTED_VALUE"""),"DeleteNonTradingTranItem")</f>
        <v>DeleteNonTradingTranItem</v>
      </c>
      <c r="W4" s="20" t="str">
        <f>IFERROR(__xludf.DUMMYFUNCTION("""COMPUTED_VALUE"""),"AddNonTradingTransaction")</f>
        <v>AddNonTradingTransaction</v>
      </c>
      <c r="X4" s="20" t="str">
        <f>IFERROR(__xludf.DUMMYFUNCTION("""COMPUTED_VALUE"""),"AddNonTradingTranItem")</f>
        <v>AddNonTradingTranItem</v>
      </c>
      <c r="Y4" s="20" t="str">
        <f>IFERROR(__xludf.DUMMYFUNCTION("""COMPUTED_VALUE"""),"VerifyOpeningBalanceData")</f>
        <v>VerifyOpeningBalanceData</v>
      </c>
      <c r="Z4" s="20" t="str">
        <f>IFERROR(__xludf.DUMMYFUNCTION("""COMPUTED_VALUE"""),"SelectOpeningBalanceTransaction")</f>
        <v>SelectOpeningBalanceTransaction</v>
      </c>
      <c r="AA4" s="20" t="str">
        <f>IFERROR(__xludf.DUMMYFUNCTION("""COMPUTED_VALUE"""),"SelectOpeningBalanceTranItem")</f>
        <v>SelectOpeningBalanceTranItem</v>
      </c>
      <c r="AB4" s="20" t="str">
        <f>IFERROR(__xludf.DUMMYFUNCTION("""COMPUTED_VALUE"""),"EditNonTradingTransaction")</f>
        <v>EditNonTradingTransaction</v>
      </c>
      <c r="AC4" s="20" t="str">
        <f>IFERROR(__xludf.DUMMYFUNCTION("""COMPUTED_VALUE"""),"EditNonTradingTranItem")</f>
        <v>EditNonTradingTranItem</v>
      </c>
      <c r="AD4" s="20" t="str">
        <f>IFERROR(__xludf.DUMMYFUNCTION("""COMPUTED_VALUE"""),"DeleteOpeningBalanceTransaction")</f>
        <v>DeleteOpeningBalanceTransaction</v>
      </c>
      <c r="AE4" s="20" t="str">
        <f>IFERROR(__xludf.DUMMYFUNCTION("""COMPUTED_VALUE"""),"DeleteOpeningBalanceTranItem")</f>
        <v>DeleteOpeningBalanceTranItem</v>
      </c>
      <c r="AF4" s="20" t="str">
        <f>IFERROR(__xludf.DUMMYFUNCTION("""COMPUTED_VALUE"""),"GetDayEndCash")</f>
        <v>GetDayEndCash</v>
      </c>
      <c r="AG4" s="20" t="str">
        <f>IFERROR(__xludf.DUMMYFUNCTION("""COMPUTED_VALUE"""),"VerifyDayEndCash")</f>
        <v>VerifyDayEndCash</v>
      </c>
      <c r="AH4" s="20" t="str">
        <f>IFERROR(__xludf.DUMMYFUNCTION("""COMPUTED_VALUE"""),"RunRevaluation")</f>
        <v>RunRevaluation</v>
      </c>
      <c r="AI4" s="20" t="str">
        <f>IFERROR(__xludf.DUMMYFUNCTION("""COMPUTED_VALUE"""),"CalculateDayEndCash")</f>
        <v>CalculateDayEndCash</v>
      </c>
      <c r="AJ4" s="20" t="str">
        <f>IFERROR(__xludf.DUMMYFUNCTION("""COMPUTED_VALUE"""),"GetCashTransaction")</f>
        <v>GetCashTransaction</v>
      </c>
      <c r="AK4" s="20" t="str">
        <f>IFERROR(__xludf.DUMMYFUNCTION("""COMPUTED_VALUE"""),"SelectCashTransaction")</f>
        <v>SelectCashTransaction</v>
      </c>
      <c r="AL4" s="20" t="str">
        <f>IFERROR(__xludf.DUMMYFUNCTION("""COMPUTED_VALUE"""),"DeleteCashTransaction")</f>
        <v>DeleteCashTransaction</v>
      </c>
      <c r="AM4" s="20" t="str">
        <f>IFERROR(__xludf.DUMMYFUNCTION("""COMPUTED_VALUE"""),"EditCashTransaction")</f>
        <v>EditCashTransaction</v>
      </c>
      <c r="AN4" s="20" t="str">
        <f>IFERROR(__xludf.DUMMYFUNCTION("""COMPUTED_VALUE"""),"AddCashTransaction")</f>
        <v>AddCashTransaction</v>
      </c>
      <c r="AO4" s="20" t="str">
        <f>IFERROR(__xludf.DUMMYFUNCTION("""COMPUTED_VALUE"""),"AddOpeningBalanceTransaction")</f>
        <v>AddOpeningBalanceTransaction</v>
      </c>
      <c r="AP4" s="20" t="str">
        <f>IFERROR(__xludf.DUMMYFUNCTION("""COMPUTED_VALUE"""),"AddOpeningBalanceTranItem")</f>
        <v>AddOpeningBalanceTranItem</v>
      </c>
      <c r="AQ4" s="20" t="str">
        <f>IFERROR(__xludf.DUMMYFUNCTION("""COMPUTED_VALUE"""),"GetDailyCalculationsData")</f>
        <v>GetDailyCalculationsData</v>
      </c>
      <c r="AR4" s="20" t="str">
        <f>IFERROR(__xludf.DUMMYFUNCTION("""COMPUTED_VALUE"""),"CalculateDailyCalculations")</f>
        <v>CalculateDailyCalculations</v>
      </c>
      <c r="AS4" s="20" t="str">
        <f>IFERROR(__xludf.DUMMYFUNCTION("""COMPUTED_VALUE"""),"EditOpeningBalanceTransaction")</f>
        <v>EditOpeningBalanceTransaction</v>
      </c>
      <c r="AT4" s="20" t="str">
        <f>IFERROR(__xludf.DUMMYFUNCTION("""COMPUTED_VALUE"""),"EditOpeningBalanceTranItem")</f>
        <v>EditOpeningBalanceTranItem</v>
      </c>
      <c r="AU4" s="20" t="str">
        <f>IFERROR(__xludf.DUMMYFUNCTION("""COMPUTED_VALUE"""),"VerifyDailyCalTransactions")</f>
        <v>VerifyDailyCalTransactions</v>
      </c>
      <c r="AV4" s="20" t="str">
        <f>IFERROR(__xludf.DUMMYFUNCTION("""COMPUTED_VALUE"""),"CloseGeneralLedger")</f>
        <v>CloseGeneralLedger</v>
      </c>
      <c r="AW4" s="20" t="str">
        <f>IFERROR(__xludf.DUMMYFUNCTION("""COMPUTED_VALUE"""),"VerifyAccountDetails")</f>
        <v>VerifyAccountDetails</v>
      </c>
      <c r="AX4" s="20" t="str">
        <f>IFERROR(__xludf.DUMMYFUNCTION("""COMPUTED_VALUE"""),"SaveTransaction")</f>
        <v>SaveTransaction</v>
      </c>
      <c r="AY4" s="20" t="str">
        <f>IFERROR(__xludf.DUMMYFUNCTION("""COMPUTED_VALUE"""),"VerifyCashTransaction")</f>
        <v>VerifyCashTransaction</v>
      </c>
      <c r="AZ4" s="20" t="str">
        <f>IFERROR(__xludf.DUMMYFUNCTION("""COMPUTED_VALUE"""),"CalculateDayEndCash")</f>
        <v>CalculateDayEndCash</v>
      </c>
      <c r="BA4" s="20" t="str">
        <f>IFERROR(__xludf.DUMMYFUNCTION("""COMPUTED_VALUE"""),"CalculateDayEndCash")</f>
        <v>CalculateDayEndCash</v>
      </c>
      <c r="BB4" s="20" t="str">
        <f>IFERROR(__xludf.DUMMYFUNCTION("""COMPUTED_VALUE"""),"VerifyOpeningBalanceData")</f>
        <v>VerifyOpeningBalanceData</v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35</v>
      </c>
      <c r="C6" s="24" t="s">
        <v>25</v>
      </c>
      <c r="D6" s="30">
        <v>43490.0</v>
      </c>
      <c r="E6" s="30">
        <v>43494.0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4.43"/>
    <col customWidth="1" min="18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32</v>
      </c>
      <c r="D3" s="15" t="s">
        <v>5</v>
      </c>
      <c r="E3" s="16" t="s">
        <v>36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IFERROR(__xludf.DUMMYFUNCTION("IF(C3="""","""",Transpose(IMPORTRANGE('_Settings'!$B$3,C3&amp;""!A4:A1000"")))"),"GetDataCash")</f>
        <v>GetDataCash</v>
      </c>
      <c r="C4" s="19" t="str">
        <f>IFERROR(__xludf.DUMMYFUNCTION("""COMPUTED_VALUE"""),"EnterCashDividends")</f>
        <v>EnterCashDividends</v>
      </c>
      <c r="D4" s="19" t="str">
        <f>IFERROR(__xludf.DUMMYFUNCTION("""COMPUTED_VALUE"""),"EnterNonTradingTransaction")</f>
        <v>EnterNonTradingTransaction</v>
      </c>
      <c r="E4" s="19" t="str">
        <f>IFERROR(__xludf.DUMMYFUNCTION("""COMPUTED_VALUE"""),"VerifyCash")</f>
        <v>VerifyCash</v>
      </c>
      <c r="F4" s="19" t="str">
        <f>IFERROR(__xludf.DUMMYFUNCTION("""COMPUTED_VALUE"""),"VerifyActivity")</f>
        <v>VerifyActivity</v>
      </c>
      <c r="G4" s="19" t="str">
        <f>IFERROR(__xludf.DUMMYFUNCTION("""COMPUTED_VALUE"""),"VerifyTradingTransaction")</f>
        <v>VerifyTradingTransaction</v>
      </c>
      <c r="H4" s="19" t="str">
        <f>IFERROR(__xludf.DUMMYFUNCTION("""COMPUTED_VALUE"""),"VerifyRevaluationData")</f>
        <v>VerifyRevaluationData</v>
      </c>
      <c r="I4" s="19" t="str">
        <f>IFERROR(__xludf.DUMMYFUNCTION("""COMPUTED_VALUE"""),"GetTradingTransaction")</f>
        <v>GetTradingTransaction</v>
      </c>
      <c r="J4" s="19" t="str">
        <f>IFERROR(__xludf.DUMMYFUNCTION("""COMPUTED_VALUE"""),"GetActivityData")</f>
        <v>GetActivityData</v>
      </c>
      <c r="K4" s="19" t="str">
        <f>IFERROR(__xludf.DUMMYFUNCTION("""COMPUTED_VALUE"""),"GetRevaluationData")</f>
        <v>GetRevaluationData</v>
      </c>
      <c r="L4" s="19" t="str">
        <f>IFERROR(__xludf.DUMMYFUNCTION("""COMPUTED_VALUE"""),"GetAccountDetails")</f>
        <v>GetAccountDetails</v>
      </c>
      <c r="M4" s="19" t="str">
        <f>IFERROR(__xludf.DUMMYFUNCTION("""COMPUTED_VALUE"""),"GetNonTradingTransaction")</f>
        <v>GetNonTradingTransaction</v>
      </c>
      <c r="N4" s="19" t="str">
        <f>IFERROR(__xludf.DUMMYFUNCTION("""COMPUTED_VALUE"""),"GetDividendData")</f>
        <v>GetDividendData</v>
      </c>
      <c r="O4" s="19" t="str">
        <f>IFERROR(__xludf.DUMMYFUNCTION("""COMPUTED_VALUE"""),"VerifyNonTradingTransaction")</f>
        <v>VerifyNonTradingTransaction</v>
      </c>
      <c r="P4" s="20" t="str">
        <f>IFERROR(__xludf.DUMMYFUNCTION("""COMPUTED_VALUE"""),"VerifyDividend")</f>
        <v>VerifyDividend</v>
      </c>
      <c r="Q4" s="20" t="str">
        <f>IFERROR(__xludf.DUMMYFUNCTION("""COMPUTED_VALUE"""),"GetOpeningBalanceData")</f>
        <v>GetOpeningBalanceData</v>
      </c>
      <c r="R4" s="20" t="str">
        <f>IFERROR(__xludf.DUMMYFUNCTION("""COMPUTED_VALUE"""),"GetAccountBalance")</f>
        <v>GetAccountBalance</v>
      </c>
      <c r="S4" s="20" t="str">
        <f>IFERROR(__xludf.DUMMYFUNCTION("""COMPUTED_VALUE"""),"SelectNonTradingTransaction")</f>
        <v>SelectNonTradingTransaction</v>
      </c>
      <c r="T4" s="20" t="str">
        <f>IFERROR(__xludf.DUMMYFUNCTION("""COMPUTED_VALUE"""),"SelectNonTradingTranItem")</f>
        <v>SelectNonTradingTranItem</v>
      </c>
      <c r="U4" s="20" t="str">
        <f>IFERROR(__xludf.DUMMYFUNCTION("""COMPUTED_VALUE"""),"DeleteNonTradingTransaction")</f>
        <v>DeleteNonTradingTransaction</v>
      </c>
      <c r="V4" s="20" t="str">
        <f>IFERROR(__xludf.DUMMYFUNCTION("""COMPUTED_VALUE"""),"DeleteNonTradingTranItem")</f>
        <v>DeleteNonTradingTranItem</v>
      </c>
      <c r="W4" s="20" t="str">
        <f>IFERROR(__xludf.DUMMYFUNCTION("""COMPUTED_VALUE"""),"AddNonTradingTransaction")</f>
        <v>AddNonTradingTransaction</v>
      </c>
      <c r="X4" s="20" t="str">
        <f>IFERROR(__xludf.DUMMYFUNCTION("""COMPUTED_VALUE"""),"AddNonTradingTranItem")</f>
        <v>AddNonTradingTranItem</v>
      </c>
      <c r="Y4" s="20" t="str">
        <f>IFERROR(__xludf.DUMMYFUNCTION("""COMPUTED_VALUE"""),"VerifyOpeningBalanceData")</f>
        <v>VerifyOpeningBalanceData</v>
      </c>
      <c r="Z4" s="20" t="str">
        <f>IFERROR(__xludf.DUMMYFUNCTION("""COMPUTED_VALUE"""),"SelectOpeningBalanceTransaction")</f>
        <v>SelectOpeningBalanceTransaction</v>
      </c>
      <c r="AA4" s="20" t="str">
        <f>IFERROR(__xludf.DUMMYFUNCTION("""COMPUTED_VALUE"""),"SelectOpeningBalanceTranItem")</f>
        <v>SelectOpeningBalanceTranItem</v>
      </c>
      <c r="AB4" s="20" t="str">
        <f>IFERROR(__xludf.DUMMYFUNCTION("""COMPUTED_VALUE"""),"EditNonTradingTransaction")</f>
        <v>EditNonTradingTransaction</v>
      </c>
      <c r="AC4" s="20" t="str">
        <f>IFERROR(__xludf.DUMMYFUNCTION("""COMPUTED_VALUE"""),"EditNonTradingTranItem")</f>
        <v>EditNonTradingTranItem</v>
      </c>
      <c r="AD4" s="20" t="str">
        <f>IFERROR(__xludf.DUMMYFUNCTION("""COMPUTED_VALUE"""),"DeleteOpeningBalanceTransaction")</f>
        <v>DeleteOpeningBalanceTransaction</v>
      </c>
      <c r="AE4" s="20" t="str">
        <f>IFERROR(__xludf.DUMMYFUNCTION("""COMPUTED_VALUE"""),"DeleteOpeningBalanceTranItem")</f>
        <v>DeleteOpeningBalanceTranItem</v>
      </c>
      <c r="AF4" s="20" t="str">
        <f>IFERROR(__xludf.DUMMYFUNCTION("""COMPUTED_VALUE"""),"GetDayEndCash")</f>
        <v>GetDayEndCash</v>
      </c>
      <c r="AG4" s="20" t="str">
        <f>IFERROR(__xludf.DUMMYFUNCTION("""COMPUTED_VALUE"""),"VerifyDayEndCash")</f>
        <v>VerifyDayEndCash</v>
      </c>
      <c r="AH4" s="20" t="str">
        <f>IFERROR(__xludf.DUMMYFUNCTION("""COMPUTED_VALUE"""),"RunRevaluation")</f>
        <v>RunRevaluation</v>
      </c>
      <c r="AI4" s="20" t="str">
        <f>IFERROR(__xludf.DUMMYFUNCTION("""COMPUTED_VALUE"""),"CalculateDayEndCash")</f>
        <v>CalculateDayEndCash</v>
      </c>
      <c r="AJ4" s="20" t="str">
        <f>IFERROR(__xludf.DUMMYFUNCTION("""COMPUTED_VALUE"""),"GetCashTransaction")</f>
        <v>GetCashTransaction</v>
      </c>
      <c r="AK4" s="20" t="str">
        <f>IFERROR(__xludf.DUMMYFUNCTION("""COMPUTED_VALUE"""),"SelectCashTransaction")</f>
        <v>SelectCashTransaction</v>
      </c>
      <c r="AL4" s="20" t="str">
        <f>IFERROR(__xludf.DUMMYFUNCTION("""COMPUTED_VALUE"""),"DeleteCashTransaction")</f>
        <v>DeleteCashTransaction</v>
      </c>
      <c r="AM4" s="20" t="str">
        <f>IFERROR(__xludf.DUMMYFUNCTION("""COMPUTED_VALUE"""),"EditCashTransaction")</f>
        <v>EditCashTransaction</v>
      </c>
      <c r="AN4" s="20" t="str">
        <f>IFERROR(__xludf.DUMMYFUNCTION("""COMPUTED_VALUE"""),"AddCashTransaction")</f>
        <v>AddCashTransaction</v>
      </c>
      <c r="AO4" s="20" t="str">
        <f>IFERROR(__xludf.DUMMYFUNCTION("""COMPUTED_VALUE"""),"AddOpeningBalanceTransaction")</f>
        <v>AddOpeningBalanceTransaction</v>
      </c>
      <c r="AP4" s="20" t="str">
        <f>IFERROR(__xludf.DUMMYFUNCTION("""COMPUTED_VALUE"""),"AddOpeningBalanceTranItem")</f>
        <v>AddOpeningBalanceTranItem</v>
      </c>
      <c r="AQ4" s="20" t="str">
        <f>IFERROR(__xludf.DUMMYFUNCTION("""COMPUTED_VALUE"""),"GetDailyCalculationsData")</f>
        <v>GetDailyCalculationsData</v>
      </c>
      <c r="AR4" s="20" t="str">
        <f>IFERROR(__xludf.DUMMYFUNCTION("""COMPUTED_VALUE"""),"CalculateDailyCalculations")</f>
        <v>CalculateDailyCalculations</v>
      </c>
      <c r="AS4" s="20" t="str">
        <f>IFERROR(__xludf.DUMMYFUNCTION("""COMPUTED_VALUE"""),"EditOpeningBalanceTransaction")</f>
        <v>EditOpeningBalanceTransaction</v>
      </c>
      <c r="AT4" s="20" t="str">
        <f>IFERROR(__xludf.DUMMYFUNCTION("""COMPUTED_VALUE"""),"EditOpeningBalanceTranItem")</f>
        <v>EditOpeningBalanceTranItem</v>
      </c>
      <c r="AU4" s="20" t="str">
        <f>IFERROR(__xludf.DUMMYFUNCTION("""COMPUTED_VALUE"""),"VerifyDailyCalTransactions")</f>
        <v>VerifyDailyCalTransactions</v>
      </c>
      <c r="AV4" s="20" t="str">
        <f>IFERROR(__xludf.DUMMYFUNCTION("""COMPUTED_VALUE"""),"CloseGeneralLedger")</f>
        <v>CloseGeneralLedger</v>
      </c>
      <c r="AW4" s="20" t="str">
        <f>IFERROR(__xludf.DUMMYFUNCTION("""COMPUTED_VALUE"""),"VerifyAccountDetails")</f>
        <v>VerifyAccountDetails</v>
      </c>
      <c r="AX4" s="20" t="str">
        <f>IFERROR(__xludf.DUMMYFUNCTION("""COMPUTED_VALUE"""),"SaveTransaction")</f>
        <v>SaveTransaction</v>
      </c>
      <c r="AY4" s="20" t="str">
        <f>IFERROR(__xludf.DUMMYFUNCTION("""COMPUTED_VALUE"""),"VerifyCashTransaction")</f>
        <v>VerifyCashTransaction</v>
      </c>
      <c r="AZ4" s="20" t="str">
        <f>IFERROR(__xludf.DUMMYFUNCTION("""COMPUTED_VALUE"""),"CalculateDayEndCash")</f>
        <v>CalculateDayEndCash</v>
      </c>
      <c r="BA4" s="20" t="str">
        <f>IFERROR(__xludf.DUMMYFUNCTION("""COMPUTED_VALUE"""),"CalculateDayEndCash")</f>
        <v>CalculateDayEndCash</v>
      </c>
      <c r="BB4" s="20" t="str">
        <f>IFERROR(__xludf.DUMMYFUNCTION("""COMPUTED_VALUE"""),"VerifyOpeningBalanceData")</f>
        <v>VerifyOpeningBalanceData</v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30">
        <v>43490.0</v>
      </c>
      <c r="C6" s="12"/>
      <c r="D6" s="24"/>
      <c r="E6" s="24">
        <v>2716934.62</v>
      </c>
      <c r="F6" s="12"/>
      <c r="G6" s="24">
        <v>1.0</v>
      </c>
      <c r="H6" s="12"/>
      <c r="I6" s="24" t="s">
        <v>38</v>
      </c>
      <c r="J6" s="24" t="s">
        <v>39</v>
      </c>
      <c r="K6" s="24" t="s">
        <v>40</v>
      </c>
      <c r="L6" s="12"/>
      <c r="M6" s="24" t="s">
        <v>16</v>
      </c>
      <c r="N6" s="12"/>
      <c r="O6" s="24">
        <v>2716934.62</v>
      </c>
      <c r="Q6" s="29" t="s">
        <v>41</v>
      </c>
      <c r="R6" s="29" t="s">
        <v>25</v>
      </c>
    </row>
    <row r="7" ht="15.75" customHeight="1">
      <c r="A7" s="12"/>
      <c r="B7" s="30">
        <v>43490.0</v>
      </c>
      <c r="C7" s="12"/>
      <c r="D7" s="12"/>
      <c r="E7" s="12"/>
      <c r="F7" s="24">
        <v>3532015.0</v>
      </c>
      <c r="G7" s="24">
        <v>0.7692307692308</v>
      </c>
      <c r="H7" s="12"/>
      <c r="I7" s="24" t="s">
        <v>42</v>
      </c>
      <c r="J7" s="24" t="s">
        <v>39</v>
      </c>
      <c r="K7" s="24" t="s">
        <v>18</v>
      </c>
      <c r="L7" s="12"/>
      <c r="M7" s="24" t="s">
        <v>16</v>
      </c>
      <c r="N7" s="12"/>
      <c r="O7" s="12"/>
      <c r="P7" s="29">
        <v>2716934.62</v>
      </c>
      <c r="Q7" s="29" t="s">
        <v>43</v>
      </c>
      <c r="R7" s="29" t="s">
        <v>25</v>
      </c>
    </row>
    <row r="8" ht="15.75" customHeight="1">
      <c r="A8" s="12"/>
      <c r="B8" s="30">
        <v>43494.0</v>
      </c>
      <c r="C8" s="12"/>
      <c r="D8" s="12"/>
      <c r="E8" s="24">
        <v>3532015.0</v>
      </c>
      <c r="F8" s="12"/>
      <c r="G8" s="24">
        <v>0.7692307692308</v>
      </c>
      <c r="H8" s="12"/>
      <c r="I8" s="24" t="s">
        <v>38</v>
      </c>
      <c r="J8" s="24" t="s">
        <v>19</v>
      </c>
      <c r="K8" s="24" t="s">
        <v>18</v>
      </c>
      <c r="L8" s="12"/>
      <c r="M8" s="24" t="s">
        <v>16</v>
      </c>
      <c r="N8" s="12"/>
      <c r="O8" s="24">
        <v>2716934.62</v>
      </c>
      <c r="Q8" s="29" t="s">
        <v>43</v>
      </c>
      <c r="R8" s="29" t="s">
        <v>25</v>
      </c>
    </row>
    <row r="9" ht="15.75" customHeight="1">
      <c r="A9" s="12"/>
      <c r="B9" s="30">
        <v>43494.0</v>
      </c>
      <c r="C9" s="12"/>
      <c r="D9" s="12"/>
      <c r="E9" s="12"/>
      <c r="F9" s="24">
        <v>2716934.62</v>
      </c>
      <c r="G9" s="24">
        <v>1.0</v>
      </c>
      <c r="H9" s="12"/>
      <c r="I9" s="24" t="s">
        <v>42</v>
      </c>
      <c r="J9" s="24" t="s">
        <v>19</v>
      </c>
      <c r="K9" s="24" t="s">
        <v>40</v>
      </c>
      <c r="L9" s="12"/>
      <c r="M9" s="24" t="s">
        <v>16</v>
      </c>
      <c r="N9" s="12"/>
      <c r="O9" s="12"/>
      <c r="P9" s="29">
        <v>2716934.62</v>
      </c>
      <c r="Q9" s="29" t="s">
        <v>41</v>
      </c>
      <c r="R9" s="29" t="s">
        <v>25</v>
      </c>
    </row>
    <row r="10" ht="15.75" customHeight="1">
      <c r="A10" s="12"/>
      <c r="B10" s="30">
        <v>43494.0</v>
      </c>
      <c r="C10" s="12"/>
      <c r="D10" s="12"/>
      <c r="E10" s="24">
        <v>2716934.62</v>
      </c>
      <c r="F10" s="12"/>
      <c r="G10" s="24">
        <v>1.0</v>
      </c>
      <c r="H10" s="12"/>
      <c r="I10" s="24" t="s">
        <v>38</v>
      </c>
      <c r="J10" s="24" t="s">
        <v>19</v>
      </c>
      <c r="K10" s="24" t="s">
        <v>40</v>
      </c>
      <c r="L10" s="12"/>
      <c r="M10" s="24" t="s">
        <v>16</v>
      </c>
      <c r="N10" s="12"/>
      <c r="O10" s="24">
        <v>2716934.62</v>
      </c>
      <c r="Q10" s="29" t="s">
        <v>44</v>
      </c>
      <c r="R10" s="29" t="s">
        <v>25</v>
      </c>
    </row>
    <row r="11" ht="15.75" customHeight="1">
      <c r="A11" s="12"/>
      <c r="B11" s="30">
        <v>43494.0</v>
      </c>
      <c r="C11" s="12"/>
      <c r="D11" s="12"/>
      <c r="E11" s="12"/>
      <c r="F11" s="24">
        <v>3532015.0</v>
      </c>
      <c r="G11" s="24">
        <v>0.7547169811321</v>
      </c>
      <c r="H11" s="12"/>
      <c r="I11" s="24" t="s">
        <v>42</v>
      </c>
      <c r="J11" s="24" t="s">
        <v>19</v>
      </c>
      <c r="K11" s="24" t="s">
        <v>18</v>
      </c>
      <c r="L11" s="12"/>
      <c r="M11" s="24" t="s">
        <v>16</v>
      </c>
      <c r="N11" s="12"/>
      <c r="O11" s="12"/>
      <c r="P11" s="29">
        <v>2665671.7</v>
      </c>
      <c r="Q11" s="29" t="s">
        <v>44</v>
      </c>
      <c r="R11" s="29" t="s">
        <v>25</v>
      </c>
    </row>
    <row r="12" ht="15.75" customHeight="1">
      <c r="A12" s="12"/>
      <c r="B12" s="30">
        <v>43494.0</v>
      </c>
      <c r="C12" s="12"/>
      <c r="D12" s="12"/>
      <c r="E12" s="12"/>
      <c r="F12" s="24">
        <v>51262.92</v>
      </c>
      <c r="G12" s="24">
        <v>1.0</v>
      </c>
      <c r="H12" s="12"/>
      <c r="I12" s="24" t="s">
        <v>42</v>
      </c>
      <c r="J12" s="24" t="s">
        <v>19</v>
      </c>
      <c r="K12" s="24" t="s">
        <v>40</v>
      </c>
      <c r="L12" s="12"/>
      <c r="M12" s="24" t="s">
        <v>16</v>
      </c>
      <c r="N12" s="12"/>
      <c r="O12" s="12"/>
      <c r="P12" s="29">
        <v>51262.92</v>
      </c>
      <c r="Q12" s="29" t="s">
        <v>45</v>
      </c>
      <c r="R12" s="29" t="s">
        <v>25</v>
      </c>
    </row>
    <row r="13" ht="15.75" customHeight="1">
      <c r="A13" s="12"/>
      <c r="B13" s="3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3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32</v>
      </c>
      <c r="D3" s="15" t="s">
        <v>5</v>
      </c>
      <c r="E3" s="16" t="s">
        <v>37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IFERROR(__xludf.DUMMYFUNCTION("IF(C3="""","""",Transpose(IMPORTRANGE('_Settings'!$B$3,C3&amp;""!A4:A1000"")))"),"GetDataCash")</f>
        <v>GetDataCash</v>
      </c>
      <c r="C4" s="19" t="str">
        <f>IFERROR(__xludf.DUMMYFUNCTION("""COMPUTED_VALUE"""),"EnterCashDividends")</f>
        <v>EnterCashDividends</v>
      </c>
      <c r="D4" s="19" t="str">
        <f>IFERROR(__xludf.DUMMYFUNCTION("""COMPUTED_VALUE"""),"EnterNonTradingTransaction")</f>
        <v>EnterNonTradingTransaction</v>
      </c>
      <c r="E4" s="19" t="str">
        <f>IFERROR(__xludf.DUMMYFUNCTION("""COMPUTED_VALUE"""),"VerifyCash")</f>
        <v>VerifyCash</v>
      </c>
      <c r="F4" s="19" t="str">
        <f>IFERROR(__xludf.DUMMYFUNCTION("""COMPUTED_VALUE"""),"VerifyActivity")</f>
        <v>VerifyActivity</v>
      </c>
      <c r="G4" s="19" t="str">
        <f>IFERROR(__xludf.DUMMYFUNCTION("""COMPUTED_VALUE"""),"VerifyTradingTransaction")</f>
        <v>VerifyTradingTransaction</v>
      </c>
      <c r="H4" s="19" t="str">
        <f>IFERROR(__xludf.DUMMYFUNCTION("""COMPUTED_VALUE"""),"VerifyRevaluationData")</f>
        <v>VerifyRevaluationData</v>
      </c>
      <c r="I4" s="19" t="str">
        <f>IFERROR(__xludf.DUMMYFUNCTION("""COMPUTED_VALUE"""),"GetTradingTransaction")</f>
        <v>GetTradingTransaction</v>
      </c>
      <c r="J4" s="19" t="str">
        <f>IFERROR(__xludf.DUMMYFUNCTION("""COMPUTED_VALUE"""),"GetActivityData")</f>
        <v>GetActivityData</v>
      </c>
      <c r="K4" s="19" t="str">
        <f>IFERROR(__xludf.DUMMYFUNCTION("""COMPUTED_VALUE"""),"GetRevaluationData")</f>
        <v>GetRevaluationData</v>
      </c>
      <c r="L4" s="19" t="str">
        <f>IFERROR(__xludf.DUMMYFUNCTION("""COMPUTED_VALUE"""),"GetAccountDetails")</f>
        <v>GetAccountDetails</v>
      </c>
      <c r="M4" s="19" t="str">
        <f>IFERROR(__xludf.DUMMYFUNCTION("""COMPUTED_VALUE"""),"GetNonTradingTransaction")</f>
        <v>GetNonTradingTransaction</v>
      </c>
      <c r="N4" s="19" t="str">
        <f>IFERROR(__xludf.DUMMYFUNCTION("""COMPUTED_VALUE"""),"GetDividendData")</f>
        <v>GetDividendData</v>
      </c>
      <c r="O4" s="19" t="str">
        <f>IFERROR(__xludf.DUMMYFUNCTION("""COMPUTED_VALUE"""),"VerifyNonTradingTransaction")</f>
        <v>VerifyNonTradingTransaction</v>
      </c>
      <c r="P4" s="20" t="str">
        <f>IFERROR(__xludf.DUMMYFUNCTION("""COMPUTED_VALUE"""),"VerifyDividend")</f>
        <v>VerifyDividend</v>
      </c>
      <c r="Q4" s="20" t="str">
        <f>IFERROR(__xludf.DUMMYFUNCTION("""COMPUTED_VALUE"""),"GetOpeningBalanceData")</f>
        <v>GetOpeningBalanceData</v>
      </c>
      <c r="R4" s="20" t="str">
        <f>IFERROR(__xludf.DUMMYFUNCTION("""COMPUTED_VALUE"""),"GetAccountBalance")</f>
        <v>GetAccountBalance</v>
      </c>
      <c r="S4" s="20" t="str">
        <f>IFERROR(__xludf.DUMMYFUNCTION("""COMPUTED_VALUE"""),"SelectNonTradingTransaction")</f>
        <v>SelectNonTradingTransaction</v>
      </c>
      <c r="T4" s="20" t="str">
        <f>IFERROR(__xludf.DUMMYFUNCTION("""COMPUTED_VALUE"""),"SelectNonTradingTranItem")</f>
        <v>SelectNonTradingTranItem</v>
      </c>
      <c r="U4" s="20" t="str">
        <f>IFERROR(__xludf.DUMMYFUNCTION("""COMPUTED_VALUE"""),"DeleteNonTradingTransaction")</f>
        <v>DeleteNonTradingTransaction</v>
      </c>
      <c r="V4" s="20" t="str">
        <f>IFERROR(__xludf.DUMMYFUNCTION("""COMPUTED_VALUE"""),"DeleteNonTradingTranItem")</f>
        <v>DeleteNonTradingTranItem</v>
      </c>
      <c r="W4" s="20" t="str">
        <f>IFERROR(__xludf.DUMMYFUNCTION("""COMPUTED_VALUE"""),"AddNonTradingTransaction")</f>
        <v>AddNonTradingTransaction</v>
      </c>
      <c r="X4" s="20" t="str">
        <f>IFERROR(__xludf.DUMMYFUNCTION("""COMPUTED_VALUE"""),"AddNonTradingTranItem")</f>
        <v>AddNonTradingTranItem</v>
      </c>
      <c r="Y4" s="20" t="str">
        <f>IFERROR(__xludf.DUMMYFUNCTION("""COMPUTED_VALUE"""),"VerifyOpeningBalanceData")</f>
        <v>VerifyOpeningBalanceData</v>
      </c>
      <c r="Z4" s="20" t="str">
        <f>IFERROR(__xludf.DUMMYFUNCTION("""COMPUTED_VALUE"""),"SelectOpeningBalanceTransaction")</f>
        <v>SelectOpeningBalanceTransaction</v>
      </c>
      <c r="AA4" s="20" t="str">
        <f>IFERROR(__xludf.DUMMYFUNCTION("""COMPUTED_VALUE"""),"SelectOpeningBalanceTranItem")</f>
        <v>SelectOpeningBalanceTranItem</v>
      </c>
      <c r="AB4" s="20" t="str">
        <f>IFERROR(__xludf.DUMMYFUNCTION("""COMPUTED_VALUE"""),"EditNonTradingTransaction")</f>
        <v>EditNonTradingTransaction</v>
      </c>
      <c r="AC4" s="20" t="str">
        <f>IFERROR(__xludf.DUMMYFUNCTION("""COMPUTED_VALUE"""),"EditNonTradingTranItem")</f>
        <v>EditNonTradingTranItem</v>
      </c>
      <c r="AD4" s="20" t="str">
        <f>IFERROR(__xludf.DUMMYFUNCTION("""COMPUTED_VALUE"""),"DeleteOpeningBalanceTransaction")</f>
        <v>DeleteOpeningBalanceTransaction</v>
      </c>
      <c r="AE4" s="20" t="str">
        <f>IFERROR(__xludf.DUMMYFUNCTION("""COMPUTED_VALUE"""),"DeleteOpeningBalanceTranItem")</f>
        <v>DeleteOpeningBalanceTranItem</v>
      </c>
      <c r="AF4" s="20" t="str">
        <f>IFERROR(__xludf.DUMMYFUNCTION("""COMPUTED_VALUE"""),"GetDayEndCash")</f>
        <v>GetDayEndCash</v>
      </c>
      <c r="AG4" s="20" t="str">
        <f>IFERROR(__xludf.DUMMYFUNCTION("""COMPUTED_VALUE"""),"VerifyDayEndCash")</f>
        <v>VerifyDayEndCash</v>
      </c>
      <c r="AH4" s="20" t="str">
        <f>IFERROR(__xludf.DUMMYFUNCTION("""COMPUTED_VALUE"""),"RunRevaluation")</f>
        <v>RunRevaluation</v>
      </c>
      <c r="AI4" s="20" t="str">
        <f>IFERROR(__xludf.DUMMYFUNCTION("""COMPUTED_VALUE"""),"CalculateDayEndCash")</f>
        <v>CalculateDayEndCash</v>
      </c>
      <c r="AJ4" s="20" t="str">
        <f>IFERROR(__xludf.DUMMYFUNCTION("""COMPUTED_VALUE"""),"GetCashTransaction")</f>
        <v>GetCashTransaction</v>
      </c>
      <c r="AK4" s="20" t="str">
        <f>IFERROR(__xludf.DUMMYFUNCTION("""COMPUTED_VALUE"""),"SelectCashTransaction")</f>
        <v>SelectCashTransaction</v>
      </c>
      <c r="AL4" s="20" t="str">
        <f>IFERROR(__xludf.DUMMYFUNCTION("""COMPUTED_VALUE"""),"DeleteCashTransaction")</f>
        <v>DeleteCashTransaction</v>
      </c>
      <c r="AM4" s="20" t="str">
        <f>IFERROR(__xludf.DUMMYFUNCTION("""COMPUTED_VALUE"""),"EditCashTransaction")</f>
        <v>EditCashTransaction</v>
      </c>
      <c r="AN4" s="20" t="str">
        <f>IFERROR(__xludf.DUMMYFUNCTION("""COMPUTED_VALUE"""),"AddCashTransaction")</f>
        <v>AddCashTransaction</v>
      </c>
      <c r="AO4" s="20" t="str">
        <f>IFERROR(__xludf.DUMMYFUNCTION("""COMPUTED_VALUE"""),"AddOpeningBalanceTransaction")</f>
        <v>AddOpeningBalanceTransaction</v>
      </c>
      <c r="AP4" s="20" t="str">
        <f>IFERROR(__xludf.DUMMYFUNCTION("""COMPUTED_VALUE"""),"AddOpeningBalanceTranItem")</f>
        <v>AddOpeningBalanceTranItem</v>
      </c>
      <c r="AQ4" s="20" t="str">
        <f>IFERROR(__xludf.DUMMYFUNCTION("""COMPUTED_VALUE"""),"GetDailyCalculationsData")</f>
        <v>GetDailyCalculationsData</v>
      </c>
      <c r="AR4" s="20" t="str">
        <f>IFERROR(__xludf.DUMMYFUNCTION("""COMPUTED_VALUE"""),"CalculateDailyCalculations")</f>
        <v>CalculateDailyCalculations</v>
      </c>
      <c r="AS4" s="20" t="str">
        <f>IFERROR(__xludf.DUMMYFUNCTION("""COMPUTED_VALUE"""),"EditOpeningBalanceTransaction")</f>
        <v>EditOpeningBalanceTransaction</v>
      </c>
      <c r="AT4" s="20" t="str">
        <f>IFERROR(__xludf.DUMMYFUNCTION("""COMPUTED_VALUE"""),"EditOpeningBalanceTranItem")</f>
        <v>EditOpeningBalanceTranItem</v>
      </c>
      <c r="AU4" s="20" t="str">
        <f>IFERROR(__xludf.DUMMYFUNCTION("""COMPUTED_VALUE"""),"VerifyDailyCalTransactions")</f>
        <v>VerifyDailyCalTransactions</v>
      </c>
      <c r="AV4" s="20" t="str">
        <f>IFERROR(__xludf.DUMMYFUNCTION("""COMPUTED_VALUE"""),"CloseGeneralLedger")</f>
        <v>CloseGeneralLedger</v>
      </c>
      <c r="AW4" s="20" t="str">
        <f>IFERROR(__xludf.DUMMYFUNCTION("""COMPUTED_VALUE"""),"VerifyAccountDetails")</f>
        <v>VerifyAccountDetails</v>
      </c>
      <c r="AX4" s="20" t="str">
        <f>IFERROR(__xludf.DUMMYFUNCTION("""COMPUTED_VALUE"""),"SaveTransaction")</f>
        <v>SaveTransaction</v>
      </c>
      <c r="AY4" s="20" t="str">
        <f>IFERROR(__xludf.DUMMYFUNCTION("""COMPUTED_VALUE"""),"VerifyCashTransaction")</f>
        <v>VerifyCashTransaction</v>
      </c>
      <c r="AZ4" s="20" t="str">
        <f>IFERROR(__xludf.DUMMYFUNCTION("""COMPUTED_VALUE"""),"CalculateDayEndCash")</f>
        <v>CalculateDayEndCash</v>
      </c>
      <c r="BA4" s="20" t="str">
        <f>IFERROR(__xludf.DUMMYFUNCTION("""COMPUTED_VALUE"""),"CalculateDayEndCash")</f>
        <v>CalculateDayEndCash</v>
      </c>
      <c r="BB4" s="20" t="str">
        <f>IFERROR(__xludf.DUMMYFUNCTION("""COMPUTED_VALUE"""),"VerifyOpeningBalanceData")</f>
        <v>VerifyOpeningBalanceData</v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35</v>
      </c>
      <c r="C6" s="24" t="s">
        <v>25</v>
      </c>
      <c r="D6" s="30">
        <v>43496.0</v>
      </c>
      <c r="E6" s="3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22</v>
      </c>
      <c r="D3" s="15" t="s">
        <v>5</v>
      </c>
      <c r="E3" s="16" t="s">
        <v>46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tr">
        <f>IFERROR(__xludf.DUMMYFUNCTION("""COMPUTED_VALUE"""),"UpdateDailyCash")</f>
        <v>UpdateDailyCash</v>
      </c>
      <c r="D4" s="19" t="str">
        <f>IFERROR(__xludf.DUMMYFUNCTION("""COMPUTED_VALUE"""),"UpdateForexConversion")</f>
        <v>UpdateForexConversion</v>
      </c>
      <c r="E4" s="19" t="str">
        <f>IFERROR(__xludf.DUMMYFUNCTION("""COMPUTED_VALUE"""),"UpdateMarkPrice")</f>
        <v>UpdateMarkPrice</v>
      </c>
      <c r="F4" s="19" t="str">
        <f>IFERROR(__xludf.DUMMYFUNCTION("""COMPUTED_VALUE"""),"CleanUp")</f>
        <v>CleanUp</v>
      </c>
      <c r="G4" s="19" t="str">
        <f>IFERROR(__xludf.DUMMYFUNCTION("""COMPUTED_VALUE"""),"GetMarkPriceData")</f>
        <v>GetMarkPriceData</v>
      </c>
      <c r="H4" s="19" t="str">
        <f>IFERROR(__xludf.DUMMYFUNCTION("""COMPUTED_VALUE"""),"GetForwardPoints")</f>
        <v>GetForwardPoints</v>
      </c>
      <c r="I4" s="19" t="str">
        <f>IFERROR(__xludf.DUMMYFUNCTION("""COMPUTED_VALUE"""),"UpdateForwardPoints")</f>
        <v>UpdateForwardPoints</v>
      </c>
      <c r="J4" s="19" t="str">
        <f>IFERROR(__xludf.DUMMYFUNCTION("""COMPUTED_VALUE"""),"GetForexConversion")</f>
        <v>GetForexConversion</v>
      </c>
      <c r="K4" s="19" t="str">
        <f>IFERROR(__xludf.DUMMYFUNCTION("""COMPUTED_VALUE"""),"DeleteNAV")</f>
        <v>DeleteNAV</v>
      </c>
      <c r="L4" s="19" t="str">
        <f>IFERROR(__xludf.DUMMYFUNCTION("""COMPUTED_VALUE"""),"GetDailyCash")</f>
        <v>GetDailyCash</v>
      </c>
      <c r="M4" s="19" t="str">
        <f>IFERROR(__xludf.DUMMYFUNCTION("""COMPUTED_VALUE"""),"GetDailyBeta")</f>
        <v>GetDailyBeta</v>
      </c>
      <c r="N4" s="19" t="str">
        <f>IFERROR(__xludf.DUMMYFUNCTION("""COMPUTED_VALUE"""),"GetDailyVolatility")</f>
        <v>GetDailyVolatility</v>
      </c>
      <c r="O4" s="19" t="str">
        <f>IFERROR(__xludf.DUMMYFUNCTION("""COMPUTED_VALUE"""),"GetDailyDividendYield")</f>
        <v>GetDailyDividendYield</v>
      </c>
      <c r="P4" s="20" t="str">
        <f>IFERROR(__xludf.DUMMYFUNCTION("""COMPUTED_VALUE"""),"GetDailyTradingVolume")</f>
        <v>GetDailyTradingVolume</v>
      </c>
      <c r="Q4" s="20" t="str">
        <f>IFERROR(__xludf.DUMMYFUNCTION("""COMPUTED_VALUE"""),"GetDailyOutstandings")</f>
        <v>GetDailyOutstandings</v>
      </c>
      <c r="R4" s="20" t="str">
        <f>IFERROR(__xludf.DUMMYFUNCTION("""COMPUTED_VALUE"""),"GetDailyDelta")</f>
        <v>GetDailyDelta</v>
      </c>
      <c r="S4" s="20" t="str">
        <f>IFERROR(__xludf.DUMMYFUNCTION("""COMPUTED_VALUE"""),"UpdateDailyVolatility")</f>
        <v>UpdateDailyVolatility</v>
      </c>
      <c r="T4" s="20" t="str">
        <f>IFERROR(__xludf.DUMMYFUNCTION("""COMPUTED_VALUE"""),"UpdateDividendYield")</f>
        <v>UpdateDividendYield</v>
      </c>
      <c r="U4" s="20" t="str">
        <f>IFERROR(__xludf.DUMMYFUNCTION("""COMPUTED_VALUE"""),"UpdateTradingVolume")</f>
        <v>UpdateTradingVolume</v>
      </c>
      <c r="V4" s="20" t="str">
        <f>IFERROR(__xludf.DUMMYFUNCTION("""COMPUTED_VALUE"""),"UpdateDailyDelta")</f>
        <v>UpdateDailyDelta</v>
      </c>
      <c r="W4" s="20" t="str">
        <f>IFERROR(__xludf.DUMMYFUNCTION("""COMPUTED_VALUE"""),"UpdateDailyOutstandings")</f>
        <v>UpdateDailyOutstandings</v>
      </c>
      <c r="X4" s="20" t="str">
        <f>IFERROR(__xludf.DUMMYFUNCTION("""COMPUTED_VALUE"""),"UpdateBeta")</f>
        <v>UpdateBeta</v>
      </c>
      <c r="Y4" s="20" t="str">
        <f>IFERROR(__xludf.DUMMYFUNCTION("""COMPUTED_VALUE"""),"UpdateNAV")</f>
        <v>UpdateNAV</v>
      </c>
      <c r="Z4" s="20" t="str">
        <f>IFERROR(__xludf.DUMMYFUNCTION("""COMPUTED_VALUE"""),"UpdateDailyCash")</f>
        <v>UpdateDailyCash</v>
      </c>
      <c r="AA4" s="20" t="str">
        <f>IFERROR(__xludf.DUMMYFUNCTION("""COMPUTED_VALUE"""),"UpdateDailyCreditLimt")</f>
        <v>UpdateDailyCreditLimt</v>
      </c>
      <c r="AB4" s="20" t="str">
        <f>IFERROR(__xludf.DUMMYFUNCTION("""COMPUTED_VALUE"""),"RemoveDailyCreditLimit")</f>
        <v>RemoveDailyCreditLimit</v>
      </c>
      <c r="AC4" s="20" t="str">
        <f>IFERROR(__xludf.DUMMYFUNCTION("""COMPUTED_VALUE"""),"RemoveDailyCash")</f>
        <v>RemoveDailyCash</v>
      </c>
      <c r="AD4" s="20" t="str">
        <f>IFERROR(__xludf.DUMMYFUNCTION("""COMPUTED_VALUE"""),"RemoveNAV")</f>
        <v>RemoveNAV</v>
      </c>
      <c r="AE4" s="20" t="str">
        <f>IFERROR(__xludf.DUMMYFUNCTION("""COMPUTED_VALUE"""),"UpdateForexConversionMonthly")</f>
        <v>UpdateForexConversionMonthly</v>
      </c>
      <c r="AF4" s="20" t="str">
        <f>IFERROR(__xludf.DUMMYFUNCTION("""COMPUTED_VALUE"""),"UpdateMarkPriceMonthly")</f>
        <v>UpdateMarkPriceMonthly</v>
      </c>
      <c r="AG4" s="20" t="str">
        <f>IFERROR(__xludf.DUMMYFUNCTION("""COMPUTED_VALUE"""),"VerifyDailyCash")</f>
        <v>VerifyDailyCash</v>
      </c>
      <c r="AH4" s="20" t="str">
        <f>IFERROR(__xludf.DUMMYFUNCTION("""COMPUTED_VALUE"""),"")</f>
        <v/>
      </c>
      <c r="AI4" s="20" t="str">
        <f>IFERROR(__xludf.DUMMYFUNCTION("""COMPUTED_VALUE"""),"")</f>
        <v/>
      </c>
      <c r="AJ4" s="20" t="str">
        <f>IFERROR(__xludf.DUMMYFUNCTION("""COMPUTED_VALUE"""),"")</f>
        <v/>
      </c>
      <c r="AK4" s="20" t="str">
        <f>IFERROR(__xludf.DUMMYFUNCTION("""COMPUTED_VALUE"""),"")</f>
        <v/>
      </c>
      <c r="AL4" s="20" t="str">
        <f>IFERROR(__xludf.DUMMYFUNCTION("""COMPUTED_VALUE"""),"")</f>
        <v/>
      </c>
      <c r="AM4" s="20" t="str">
        <f>IFERROR(__xludf.DUMMYFUNCTION("""COMPUTED_VALUE"""),"")</f>
        <v/>
      </c>
      <c r="AN4" s="20" t="str">
        <f>IFERROR(__xludf.DUMMYFUNCTION("""COMPUTED_VALUE"""),"")</f>
        <v/>
      </c>
      <c r="AO4" s="20" t="str">
        <f>IFERROR(__xludf.DUMMYFUNCTION("""COMPUTED_VALUE"""),"")</f>
        <v/>
      </c>
      <c r="AP4" s="20" t="str">
        <f>IFERROR(__xludf.DUMMYFUNCTION("""COMPUTED_VALUE"""),"")</f>
        <v/>
      </c>
      <c r="AQ4" s="20" t="str">
        <f>IFERROR(__xludf.DUMMYFUNCTION("""COMPUTED_VALUE"""),"")</f>
        <v/>
      </c>
      <c r="AR4" s="20" t="str">
        <f>IFERROR(__xludf.DUMMYFUNCTION("""COMPUTED_VALUE"""),"")</f>
        <v/>
      </c>
      <c r="AS4" s="20" t="str">
        <f>IFERROR(__xludf.DUMMYFUNCTION("""COMPUTED_VALUE"""),"")</f>
        <v/>
      </c>
      <c r="AT4" s="20" t="str">
        <f>IFERROR(__xludf.DUMMYFUNCTION("""COMPUTED_VALUE"""),"")</f>
        <v/>
      </c>
      <c r="AU4" s="20" t="str">
        <f>IFERROR(__xludf.DUMMYFUNCTION("""COMPUTED_VALUE"""),"")</f>
        <v/>
      </c>
      <c r="AV4" s="20" t="str">
        <f>IFERROR(__xludf.DUMMYFUNCTION("""COMPUTED_VALUE"""),"")</f>
        <v/>
      </c>
      <c r="AW4" s="20" t="str">
        <f>IFERROR(__xludf.DUMMYFUNCTION("""COMPUTED_VALUE"""),"")</f>
        <v/>
      </c>
      <c r="AX4" s="20" t="str">
        <f>IFERROR(__xludf.DUMMYFUNCTION("""COMPUTED_VALUE"""),"")</f>
        <v/>
      </c>
      <c r="AY4" s="20" t="str">
        <f>IFERROR(__xludf.DUMMYFUNCTION("""COMPUTED_VALUE"""),"")</f>
        <v/>
      </c>
      <c r="AZ4" s="20" t="str">
        <f>IFERROR(__xludf.DUMMYFUNCTION("""COMPUTED_VALUE"""),"")</f>
        <v/>
      </c>
      <c r="BA4" s="20" t="str">
        <f>IFERROR(__xludf.DUMMYFUNCTION("""COMPUTED_VALUE"""),"")</f>
        <v/>
      </c>
      <c r="BB4" s="20" t="str">
        <f>IFERROR(__xludf.DUMMYFUNCTION("""COMPUTED_VALUE"""),"")</f>
        <v/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40</v>
      </c>
      <c r="C6" s="24" t="s">
        <v>18</v>
      </c>
      <c r="D6" s="24" t="s">
        <v>48</v>
      </c>
      <c r="E6" s="30">
        <v>43490.0</v>
      </c>
      <c r="F6" s="24">
        <v>1.31</v>
      </c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24" t="s">
        <v>40</v>
      </c>
      <c r="C7" s="24" t="s">
        <v>18</v>
      </c>
      <c r="D7" s="24" t="s">
        <v>48</v>
      </c>
      <c r="E7" s="30">
        <v>43491.0</v>
      </c>
      <c r="F7" s="24">
        <v>1.31</v>
      </c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24" t="s">
        <v>40</v>
      </c>
      <c r="C8" s="24" t="s">
        <v>18</v>
      </c>
      <c r="D8" s="24" t="s">
        <v>48</v>
      </c>
      <c r="E8" s="30">
        <v>43492.0</v>
      </c>
      <c r="F8" s="24">
        <v>1.31</v>
      </c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24" t="s">
        <v>40</v>
      </c>
      <c r="C9" s="24" t="s">
        <v>18</v>
      </c>
      <c r="D9" s="24" t="s">
        <v>48</v>
      </c>
      <c r="E9" s="30">
        <v>43493.0</v>
      </c>
      <c r="F9" s="24">
        <v>1.325</v>
      </c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24" t="s">
        <v>40</v>
      </c>
      <c r="C10" s="24" t="s">
        <v>18</v>
      </c>
      <c r="D10" s="24" t="s">
        <v>48</v>
      </c>
      <c r="E10" s="30">
        <v>43494.0</v>
      </c>
      <c r="F10" s="24">
        <v>1.33</v>
      </c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24" t="s">
        <v>40</v>
      </c>
      <c r="C11" s="24" t="s">
        <v>18</v>
      </c>
      <c r="D11" s="24" t="s">
        <v>48</v>
      </c>
      <c r="E11" s="30">
        <v>43495.0</v>
      </c>
      <c r="F11" s="24">
        <v>1.34</v>
      </c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24" t="s">
        <v>40</v>
      </c>
      <c r="C12" s="24" t="s">
        <v>18</v>
      </c>
      <c r="D12" s="24" t="s">
        <v>48</v>
      </c>
      <c r="E12" s="30">
        <v>43496.0</v>
      </c>
      <c r="F12" s="24">
        <v>1.344</v>
      </c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2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1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0"/>
      <c r="B1" s="1" t="s">
        <v>7</v>
      </c>
      <c r="C1" s="2"/>
      <c r="D1" s="2"/>
      <c r="E1" s="2"/>
      <c r="F1" s="2"/>
      <c r="G1" s="2"/>
      <c r="H1" s="3"/>
      <c r="I1" s="10"/>
      <c r="J1" s="10"/>
      <c r="K1" s="10"/>
      <c r="L1" s="10"/>
      <c r="M1" s="10"/>
      <c r="N1" s="10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3" t="str">
        <f> VLOOKUP($E$3,'_MasterData'!B4:D1000,3,FALSE)</f>
        <v>#N/A</v>
      </c>
      <c r="K2" s="13"/>
      <c r="L2" s="12"/>
      <c r="M2" s="12"/>
      <c r="N2" s="12"/>
      <c r="O2" s="12"/>
    </row>
    <row r="3" ht="15.75" customHeight="1">
      <c r="A3" s="14"/>
      <c r="B3" s="15" t="s">
        <v>4</v>
      </c>
      <c r="C3" s="16" t="s">
        <v>32</v>
      </c>
      <c r="D3" s="15" t="s">
        <v>5</v>
      </c>
      <c r="E3" s="16" t="s">
        <v>47</v>
      </c>
      <c r="F3" s="15" t="s">
        <v>10</v>
      </c>
      <c r="G3" s="17" t="s">
        <v>11</v>
      </c>
      <c r="H3" s="15"/>
      <c r="I3" s="14"/>
      <c r="J3" s="14"/>
      <c r="K3" s="14"/>
      <c r="L3" s="14"/>
      <c r="M3" s="14"/>
      <c r="N3" s="14"/>
      <c r="O3" s="1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IFERROR(__xludf.DUMMYFUNCTION("IF(C3="""","""",Transpose(IMPORTRANGE('_Settings'!$B$3,C3&amp;""!A4:A1000"")))"),"GetDataCash")</f>
        <v>GetDataCash</v>
      </c>
      <c r="C4" s="19" t="str">
        <f>IFERROR(__xludf.DUMMYFUNCTION("""COMPUTED_VALUE"""),"EnterCashDividends")</f>
        <v>EnterCashDividends</v>
      </c>
      <c r="D4" s="19" t="str">
        <f>IFERROR(__xludf.DUMMYFUNCTION("""COMPUTED_VALUE"""),"EnterNonTradingTransaction")</f>
        <v>EnterNonTradingTransaction</v>
      </c>
      <c r="E4" s="19" t="str">
        <f>IFERROR(__xludf.DUMMYFUNCTION("""COMPUTED_VALUE"""),"VerifyCash")</f>
        <v>VerifyCash</v>
      </c>
      <c r="F4" s="19" t="str">
        <f>IFERROR(__xludf.DUMMYFUNCTION("""COMPUTED_VALUE"""),"VerifyActivity")</f>
        <v>VerifyActivity</v>
      </c>
      <c r="G4" s="19" t="str">
        <f>IFERROR(__xludf.DUMMYFUNCTION("""COMPUTED_VALUE"""),"VerifyTradingTransaction")</f>
        <v>VerifyTradingTransaction</v>
      </c>
      <c r="H4" s="19" t="str">
        <f>IFERROR(__xludf.DUMMYFUNCTION("""COMPUTED_VALUE"""),"VerifyRevaluationData")</f>
        <v>VerifyRevaluationData</v>
      </c>
      <c r="I4" s="19" t="str">
        <f>IFERROR(__xludf.DUMMYFUNCTION("""COMPUTED_VALUE"""),"GetTradingTransaction")</f>
        <v>GetTradingTransaction</v>
      </c>
      <c r="J4" s="19" t="str">
        <f>IFERROR(__xludf.DUMMYFUNCTION("""COMPUTED_VALUE"""),"GetActivityData")</f>
        <v>GetActivityData</v>
      </c>
      <c r="K4" s="19" t="str">
        <f>IFERROR(__xludf.DUMMYFUNCTION("""COMPUTED_VALUE"""),"GetRevaluationData")</f>
        <v>GetRevaluationData</v>
      </c>
      <c r="L4" s="19" t="str">
        <f>IFERROR(__xludf.DUMMYFUNCTION("""COMPUTED_VALUE"""),"GetAccountDetails")</f>
        <v>GetAccountDetails</v>
      </c>
      <c r="M4" s="19" t="str">
        <f>IFERROR(__xludf.DUMMYFUNCTION("""COMPUTED_VALUE"""),"GetNonTradingTransaction")</f>
        <v>GetNonTradingTransaction</v>
      </c>
      <c r="N4" s="19" t="str">
        <f>IFERROR(__xludf.DUMMYFUNCTION("""COMPUTED_VALUE"""),"GetDividendData")</f>
        <v>GetDividendData</v>
      </c>
      <c r="O4" s="19" t="str">
        <f>IFERROR(__xludf.DUMMYFUNCTION("""COMPUTED_VALUE"""),"VerifyNonTradingTransaction")</f>
        <v>VerifyNonTradingTransaction</v>
      </c>
      <c r="P4" s="20" t="str">
        <f>IFERROR(__xludf.DUMMYFUNCTION("""COMPUTED_VALUE"""),"VerifyDividend")</f>
        <v>VerifyDividend</v>
      </c>
      <c r="Q4" s="20" t="str">
        <f>IFERROR(__xludf.DUMMYFUNCTION("""COMPUTED_VALUE"""),"GetOpeningBalanceData")</f>
        <v>GetOpeningBalanceData</v>
      </c>
      <c r="R4" s="20" t="str">
        <f>IFERROR(__xludf.DUMMYFUNCTION("""COMPUTED_VALUE"""),"GetAccountBalance")</f>
        <v>GetAccountBalance</v>
      </c>
      <c r="S4" s="20" t="str">
        <f>IFERROR(__xludf.DUMMYFUNCTION("""COMPUTED_VALUE"""),"SelectNonTradingTransaction")</f>
        <v>SelectNonTradingTransaction</v>
      </c>
      <c r="T4" s="20" t="str">
        <f>IFERROR(__xludf.DUMMYFUNCTION("""COMPUTED_VALUE"""),"SelectNonTradingTranItem")</f>
        <v>SelectNonTradingTranItem</v>
      </c>
      <c r="U4" s="20" t="str">
        <f>IFERROR(__xludf.DUMMYFUNCTION("""COMPUTED_VALUE"""),"DeleteNonTradingTransaction")</f>
        <v>DeleteNonTradingTransaction</v>
      </c>
      <c r="V4" s="20" t="str">
        <f>IFERROR(__xludf.DUMMYFUNCTION("""COMPUTED_VALUE"""),"DeleteNonTradingTranItem")</f>
        <v>DeleteNonTradingTranItem</v>
      </c>
      <c r="W4" s="20" t="str">
        <f>IFERROR(__xludf.DUMMYFUNCTION("""COMPUTED_VALUE"""),"AddNonTradingTransaction")</f>
        <v>AddNonTradingTransaction</v>
      </c>
      <c r="X4" s="20" t="str">
        <f>IFERROR(__xludf.DUMMYFUNCTION("""COMPUTED_VALUE"""),"AddNonTradingTranItem")</f>
        <v>AddNonTradingTranItem</v>
      </c>
      <c r="Y4" s="20" t="str">
        <f>IFERROR(__xludf.DUMMYFUNCTION("""COMPUTED_VALUE"""),"VerifyOpeningBalanceData")</f>
        <v>VerifyOpeningBalanceData</v>
      </c>
      <c r="Z4" s="20" t="str">
        <f>IFERROR(__xludf.DUMMYFUNCTION("""COMPUTED_VALUE"""),"SelectOpeningBalanceTransaction")</f>
        <v>SelectOpeningBalanceTransaction</v>
      </c>
      <c r="AA4" s="20" t="str">
        <f>IFERROR(__xludf.DUMMYFUNCTION("""COMPUTED_VALUE"""),"SelectOpeningBalanceTranItem")</f>
        <v>SelectOpeningBalanceTranItem</v>
      </c>
      <c r="AB4" s="20" t="str">
        <f>IFERROR(__xludf.DUMMYFUNCTION("""COMPUTED_VALUE"""),"EditNonTradingTransaction")</f>
        <v>EditNonTradingTransaction</v>
      </c>
      <c r="AC4" s="20" t="str">
        <f>IFERROR(__xludf.DUMMYFUNCTION("""COMPUTED_VALUE"""),"EditNonTradingTranItem")</f>
        <v>EditNonTradingTranItem</v>
      </c>
      <c r="AD4" s="20" t="str">
        <f>IFERROR(__xludf.DUMMYFUNCTION("""COMPUTED_VALUE"""),"DeleteOpeningBalanceTransaction")</f>
        <v>DeleteOpeningBalanceTransaction</v>
      </c>
      <c r="AE4" s="20" t="str">
        <f>IFERROR(__xludf.DUMMYFUNCTION("""COMPUTED_VALUE"""),"DeleteOpeningBalanceTranItem")</f>
        <v>DeleteOpeningBalanceTranItem</v>
      </c>
      <c r="AF4" s="20" t="str">
        <f>IFERROR(__xludf.DUMMYFUNCTION("""COMPUTED_VALUE"""),"GetDayEndCash")</f>
        <v>GetDayEndCash</v>
      </c>
      <c r="AG4" s="20" t="str">
        <f>IFERROR(__xludf.DUMMYFUNCTION("""COMPUTED_VALUE"""),"VerifyDayEndCash")</f>
        <v>VerifyDayEndCash</v>
      </c>
      <c r="AH4" s="20" t="str">
        <f>IFERROR(__xludf.DUMMYFUNCTION("""COMPUTED_VALUE"""),"RunRevaluation")</f>
        <v>RunRevaluation</v>
      </c>
      <c r="AI4" s="20" t="str">
        <f>IFERROR(__xludf.DUMMYFUNCTION("""COMPUTED_VALUE"""),"CalculateDayEndCash")</f>
        <v>CalculateDayEndCash</v>
      </c>
      <c r="AJ4" s="20" t="str">
        <f>IFERROR(__xludf.DUMMYFUNCTION("""COMPUTED_VALUE"""),"GetCashTransaction")</f>
        <v>GetCashTransaction</v>
      </c>
      <c r="AK4" s="20" t="str">
        <f>IFERROR(__xludf.DUMMYFUNCTION("""COMPUTED_VALUE"""),"SelectCashTransaction")</f>
        <v>SelectCashTransaction</v>
      </c>
      <c r="AL4" s="20" t="str">
        <f>IFERROR(__xludf.DUMMYFUNCTION("""COMPUTED_VALUE"""),"DeleteCashTransaction")</f>
        <v>DeleteCashTransaction</v>
      </c>
      <c r="AM4" s="20" t="str">
        <f>IFERROR(__xludf.DUMMYFUNCTION("""COMPUTED_VALUE"""),"EditCashTransaction")</f>
        <v>EditCashTransaction</v>
      </c>
      <c r="AN4" s="20" t="str">
        <f>IFERROR(__xludf.DUMMYFUNCTION("""COMPUTED_VALUE"""),"AddCashTransaction")</f>
        <v>AddCashTransaction</v>
      </c>
      <c r="AO4" s="20" t="str">
        <f>IFERROR(__xludf.DUMMYFUNCTION("""COMPUTED_VALUE"""),"AddOpeningBalanceTransaction")</f>
        <v>AddOpeningBalanceTransaction</v>
      </c>
      <c r="AP4" s="20" t="str">
        <f>IFERROR(__xludf.DUMMYFUNCTION("""COMPUTED_VALUE"""),"AddOpeningBalanceTranItem")</f>
        <v>AddOpeningBalanceTranItem</v>
      </c>
      <c r="AQ4" s="20" t="str">
        <f>IFERROR(__xludf.DUMMYFUNCTION("""COMPUTED_VALUE"""),"GetDailyCalculationsData")</f>
        <v>GetDailyCalculationsData</v>
      </c>
      <c r="AR4" s="20" t="str">
        <f>IFERROR(__xludf.DUMMYFUNCTION("""COMPUTED_VALUE"""),"CalculateDailyCalculations")</f>
        <v>CalculateDailyCalculations</v>
      </c>
      <c r="AS4" s="20" t="str">
        <f>IFERROR(__xludf.DUMMYFUNCTION("""COMPUTED_VALUE"""),"EditOpeningBalanceTransaction")</f>
        <v>EditOpeningBalanceTransaction</v>
      </c>
      <c r="AT4" s="20" t="str">
        <f>IFERROR(__xludf.DUMMYFUNCTION("""COMPUTED_VALUE"""),"EditOpeningBalanceTranItem")</f>
        <v>EditOpeningBalanceTranItem</v>
      </c>
      <c r="AU4" s="20" t="str">
        <f>IFERROR(__xludf.DUMMYFUNCTION("""COMPUTED_VALUE"""),"VerifyDailyCalTransactions")</f>
        <v>VerifyDailyCalTransactions</v>
      </c>
      <c r="AV4" s="20" t="str">
        <f>IFERROR(__xludf.DUMMYFUNCTION("""COMPUTED_VALUE"""),"CloseGeneralLedger")</f>
        <v>CloseGeneralLedger</v>
      </c>
      <c r="AW4" s="20" t="str">
        <f>IFERROR(__xludf.DUMMYFUNCTION("""COMPUTED_VALUE"""),"VerifyAccountDetails")</f>
        <v>VerifyAccountDetails</v>
      </c>
      <c r="AX4" s="20" t="str">
        <f>IFERROR(__xludf.DUMMYFUNCTION("""COMPUTED_VALUE"""),"SaveTransaction")</f>
        <v>SaveTransaction</v>
      </c>
      <c r="AY4" s="20" t="str">
        <f>IFERROR(__xludf.DUMMYFUNCTION("""COMPUTED_VALUE"""),"VerifyCashTransaction")</f>
        <v>VerifyCashTransaction</v>
      </c>
      <c r="AZ4" s="20" t="str">
        <f>IFERROR(__xludf.DUMMYFUNCTION("""COMPUTED_VALUE"""),"CalculateDayEndCash")</f>
        <v>CalculateDayEndCash</v>
      </c>
      <c r="BA4" s="20" t="str">
        <f>IFERROR(__xludf.DUMMYFUNCTION("""COMPUTED_VALUE"""),"CalculateDayEndCash")</f>
        <v>CalculateDayEndCash</v>
      </c>
      <c r="BB4" s="20" t="str">
        <f>IFERROR(__xludf.DUMMYFUNCTION("""COMPUTED_VALUE"""),"VerifyOpeningBalanceData")</f>
        <v>VerifyOpeningBalanceData</v>
      </c>
      <c r="BC4" s="20" t="str">
        <f>IFERROR(__xludf.DUMMYFUNCTION("""COMPUTED_VALUE"""),"")</f>
        <v/>
      </c>
      <c r="BD4" s="20" t="str">
        <f>IFERROR(__xludf.DUMMYFUNCTION("""COMPUTED_VALUE"""),"")</f>
        <v/>
      </c>
      <c r="BE4" s="20" t="str">
        <f>IFERROR(__xludf.DUMMYFUNCTION("""COMPUTED_VALUE"""),"")</f>
        <v/>
      </c>
      <c r="BF4" s="20" t="str">
        <f>IFERROR(__xludf.DUMMYFUNCTION("""COMPUTED_VALUE"""),"")</f>
        <v/>
      </c>
      <c r="BG4" s="20" t="str">
        <f>IFERROR(__xludf.DUMMYFUNCTION("""COMPUTED_VALUE"""),"")</f>
        <v/>
      </c>
      <c r="BH4" s="20" t="str">
        <f>IFERROR(__xludf.DUMMYFUNCTION("""COMPUTED_VALUE"""),"")</f>
        <v/>
      </c>
      <c r="BI4" s="20" t="str">
        <f>IFERROR(__xludf.DUMMYFUNCTION("""COMPUTED_VALUE"""),"")</f>
        <v/>
      </c>
      <c r="BJ4" s="20" t="str">
        <f>IFERROR(__xludf.DUMMYFUNCTION("""COMPUTED_VALUE"""),"")</f>
        <v/>
      </c>
      <c r="BK4" s="20" t="str">
        <f>IFERROR(__xludf.DUMMYFUNCTION("""COMPUTED_VALUE"""),"")</f>
        <v/>
      </c>
      <c r="BL4" s="20" t="str">
        <f>IFERROR(__xludf.DUMMYFUNCTION("""COMPUTED_VALUE"""),"")</f>
        <v/>
      </c>
      <c r="BM4" s="20" t="str">
        <f>IFERROR(__xludf.DUMMYFUNCTION("""COMPUTED_VALUE"""),"")</f>
        <v/>
      </c>
      <c r="BN4" s="20" t="str">
        <f>IFERROR(__xludf.DUMMYFUNCTION("""COMPUTED_VALUE"""),"")</f>
        <v/>
      </c>
      <c r="BO4" s="20" t="str">
        <f>IFERROR(__xludf.DUMMYFUNCTION("""COMPUTED_VALUE"""),"")</f>
        <v/>
      </c>
      <c r="BP4" s="20" t="str">
        <f>IFERROR(__xludf.DUMMYFUNCTION("""COMPUTED_VALUE"""),"")</f>
        <v/>
      </c>
      <c r="BQ4" s="20" t="str">
        <f>IFERROR(__xludf.DUMMYFUNCTION("""COMPUTED_VALUE"""),"")</f>
        <v/>
      </c>
      <c r="BR4" s="20" t="str">
        <f>IFERROR(__xludf.DUMMYFUNCTION("""COMPUTED_VALUE"""),"")</f>
        <v/>
      </c>
      <c r="BS4" s="20" t="str">
        <f>IFERROR(__xludf.DUMMYFUNCTION("""COMPUTED_VALUE"""),"")</f>
        <v/>
      </c>
      <c r="BT4" s="20" t="str">
        <f>IFERROR(__xludf.DUMMYFUNCTION("""COMPUTED_VALUE"""),"")</f>
        <v/>
      </c>
      <c r="BU4" s="20" t="str">
        <f>IFERROR(__xludf.DUMMYFUNCTION("""COMPUTED_VALUE"""),"")</f>
        <v/>
      </c>
      <c r="BV4" s="20" t="str">
        <f>IFERROR(__xludf.DUMMYFUNCTION("""COMPUTED_VALUE"""),"")</f>
        <v/>
      </c>
      <c r="BW4" s="20" t="str">
        <f>IFERROR(__xludf.DUMMYFUNCTION("""COMPUTED_VALUE"""),"")</f>
        <v/>
      </c>
      <c r="BX4" s="20" t="str">
        <f>IFERROR(__xludf.DUMMYFUNCTION("""COMPUTED_VALUE"""),"")</f>
        <v/>
      </c>
      <c r="BY4" s="20" t="str">
        <f>IFERROR(__xludf.DUMMYFUNCTION("""COMPUTED_VALUE"""),"")</f>
        <v/>
      </c>
      <c r="BZ4" s="20" t="str">
        <f>IFERROR(__xludf.DUMMYFUNCTION("""COMPUTED_VALUE"""),"")</f>
        <v/>
      </c>
      <c r="CA4" s="20" t="str">
        <f>IFERROR(__xludf.DUMMYFUNCTION("""COMPUTED_VALUE"""),"")</f>
        <v/>
      </c>
      <c r="CB4" s="20" t="str">
        <f>IFERROR(__xludf.DUMMYFUNCTION("""COMPUTED_VALUE"""),"")</f>
        <v/>
      </c>
      <c r="CC4" s="20" t="str">
        <f>IFERROR(__xludf.DUMMYFUNCTION("""COMPUTED_VALUE"""),"")</f>
        <v/>
      </c>
      <c r="CD4" s="20" t="str">
        <f>IFERROR(__xludf.DUMMYFUNCTION("""COMPUTED_VALUE"""),"")</f>
        <v/>
      </c>
      <c r="CE4" s="20" t="str">
        <f>IFERROR(__xludf.DUMMYFUNCTION("""COMPUTED_VALUE"""),"")</f>
        <v/>
      </c>
      <c r="CF4" s="20" t="str">
        <f>IFERROR(__xludf.DUMMYFUNCTION("""COMPUTED_VALUE"""),"")</f>
        <v/>
      </c>
      <c r="CG4" s="20" t="str">
        <f>IFERROR(__xludf.DUMMYFUNCTION("""COMPUTED_VALUE"""),"")</f>
        <v/>
      </c>
      <c r="CH4" s="20" t="str">
        <f>IFERROR(__xludf.DUMMYFUNCTION("""COMPUTED_VALUE"""),"")</f>
        <v/>
      </c>
      <c r="CI4" s="20" t="str">
        <f>IFERROR(__xludf.DUMMYFUNCTION("""COMPUTED_VALUE"""),"")</f>
        <v/>
      </c>
      <c r="CJ4" s="20" t="str">
        <f>IFERROR(__xludf.DUMMYFUNCTION("""COMPUTED_VALUE"""),"")</f>
        <v/>
      </c>
      <c r="CK4" s="20" t="str">
        <f>IFERROR(__xludf.DUMMYFUNCTION("""COMPUTED_VALUE"""),"")</f>
        <v/>
      </c>
      <c r="CL4" s="20" t="str">
        <f>IFERROR(__xludf.DUMMYFUNCTION("""COMPUTED_VALUE"""),"")</f>
        <v/>
      </c>
      <c r="CM4" s="20" t="str">
        <f>IFERROR(__xludf.DUMMYFUNCTION("""COMPUTED_VALUE"""),"")</f>
        <v/>
      </c>
      <c r="CN4" s="20" t="str">
        <f>IFERROR(__xludf.DUMMYFUNCTION("""COMPUTED_VALUE"""),"")</f>
        <v/>
      </c>
      <c r="CO4" s="20" t="str">
        <f>IFERROR(__xludf.DUMMYFUNCTION("""COMPUTED_VALUE"""),"")</f>
        <v/>
      </c>
      <c r="CP4" s="20" t="str">
        <f>IFERROR(__xludf.DUMMYFUNCTION("""COMPUTED_VALUE"""),"")</f>
        <v/>
      </c>
      <c r="CQ4" s="20" t="str">
        <f>IFERROR(__xludf.DUMMYFUNCTION("""COMPUTED_VALUE"""),"")</f>
        <v/>
      </c>
      <c r="CR4" s="20" t="str">
        <f>IFERROR(__xludf.DUMMYFUNCTION("""COMPUTED_VALUE"""),"")</f>
        <v/>
      </c>
      <c r="CS4" s="20" t="str">
        <f>IFERROR(__xludf.DUMMYFUNCTION("""COMPUTED_VALUE"""),"")</f>
        <v/>
      </c>
      <c r="CT4" s="20" t="str">
        <f>IFERROR(__xludf.DUMMYFUNCTION("""COMPUTED_VALUE"""),"")</f>
        <v/>
      </c>
      <c r="CU4" s="20" t="str">
        <f>IFERROR(__xludf.DUMMYFUNCTION("""COMPUTED_VALUE"""),"")</f>
        <v/>
      </c>
      <c r="CV4" s="20" t="str">
        <f>IFERROR(__xludf.DUMMYFUNCTION("""COMPUTED_VALUE"""),"")</f>
        <v/>
      </c>
      <c r="CW4" s="20" t="str">
        <f>IFERROR(__xludf.DUMMYFUNCTION("""COMPUTED_VALUE"""),"")</f>
        <v/>
      </c>
      <c r="CX4" s="20" t="str">
        <f>IFERROR(__xludf.DUMMYFUNCTION("""COMPUTED_VALUE"""),"")</f>
        <v/>
      </c>
      <c r="CY4" s="20" t="str">
        <f>IFERROR(__xludf.DUMMYFUNCTION("""COMPUTED_VALUE"""),"")</f>
        <v/>
      </c>
      <c r="CZ4" s="20" t="str">
        <f>IFERROR(__xludf.DUMMYFUNCTION("""COMPUTED_VALUE"""),"")</f>
        <v/>
      </c>
      <c r="DA4" s="20" t="str">
        <f>IFERROR(__xludf.DUMMYFUNCTION("""COMPUTED_VALUE"""),"")</f>
        <v/>
      </c>
      <c r="DB4" s="20" t="str">
        <f>IFERROR(__xludf.DUMMYFUNCTION("""COMPUTED_VALUE"""),"")</f>
        <v/>
      </c>
      <c r="DC4" s="20" t="str">
        <f>IFERROR(__xludf.DUMMYFUNCTION("""COMPUTED_VALUE"""),"")</f>
        <v/>
      </c>
      <c r="DD4" s="20" t="str">
        <f>IFERROR(__xludf.DUMMYFUNCTION("""COMPUTED_VALUE"""),"")</f>
        <v/>
      </c>
      <c r="DE4" s="20" t="str">
        <f>IFERROR(__xludf.DUMMYFUNCTION("""COMPUTED_VALUE"""),"")</f>
        <v/>
      </c>
      <c r="DF4" s="20" t="str">
        <f>IFERROR(__xludf.DUMMYFUNCTION("""COMPUTED_VALUE"""),"")</f>
        <v/>
      </c>
      <c r="DG4" s="20" t="str">
        <f>IFERROR(__xludf.DUMMYFUNCTION("""COMPUTED_VALUE"""),"")</f>
        <v/>
      </c>
      <c r="DH4" s="20" t="str">
        <f>IFERROR(__xludf.DUMMYFUNCTION("""COMPUTED_VALUE"""),"")</f>
        <v/>
      </c>
      <c r="DI4" s="20" t="str">
        <f>IFERROR(__xludf.DUMMYFUNCTION("""COMPUTED_VALUE"""),"")</f>
        <v/>
      </c>
      <c r="DJ4" s="20" t="str">
        <f>IFERROR(__xludf.DUMMYFUNCTION("""COMPUTED_VALUE"""),"")</f>
        <v/>
      </c>
      <c r="DK4" s="20" t="str">
        <f>IFERROR(__xludf.DUMMYFUNCTION("""COMPUTED_VALUE"""),"")</f>
        <v/>
      </c>
      <c r="DL4" s="20" t="str">
        <f>IFERROR(__xludf.DUMMYFUNCTION("""COMPUTED_VALUE"""),"")</f>
        <v/>
      </c>
      <c r="DM4" s="20" t="str">
        <f>IFERROR(__xludf.DUMMYFUNCTION("""COMPUTED_VALUE"""),"")</f>
        <v/>
      </c>
      <c r="DN4" s="20" t="str">
        <f>IFERROR(__xludf.DUMMYFUNCTION("""COMPUTED_VALUE"""),"")</f>
        <v/>
      </c>
      <c r="DO4" s="20" t="str">
        <f>IFERROR(__xludf.DUMMYFUNCTION("""COMPUTED_VALUE"""),"")</f>
        <v/>
      </c>
      <c r="DP4" s="20" t="str">
        <f>IFERROR(__xludf.DUMMYFUNCTION("""COMPUTED_VALUE"""),"")</f>
        <v/>
      </c>
      <c r="DQ4" s="20" t="str">
        <f>IFERROR(__xludf.DUMMYFUNCTION("""COMPUTED_VALUE"""),"")</f>
        <v/>
      </c>
      <c r="DR4" s="20" t="str">
        <f>IFERROR(__xludf.DUMMYFUNCTION("""COMPUTED_VALUE"""),"")</f>
        <v/>
      </c>
      <c r="DS4" s="20" t="str">
        <f>IFERROR(__xludf.DUMMYFUNCTION("""COMPUTED_VALUE"""),"")</f>
        <v/>
      </c>
      <c r="DT4" s="20" t="str">
        <f>IFERROR(__xludf.DUMMYFUNCTION("""COMPUTED_VALUE"""),"")</f>
        <v/>
      </c>
      <c r="DU4" s="20" t="str">
        <f>IFERROR(__xludf.DUMMYFUNCTION("""COMPUTED_VALUE"""),"")</f>
        <v/>
      </c>
      <c r="DV4" s="20" t="str">
        <f>IFERROR(__xludf.DUMMYFUNCTION("""COMPUTED_VALUE"""),"")</f>
        <v/>
      </c>
      <c r="DW4" s="20" t="str">
        <f>IFERROR(__xludf.DUMMYFUNCTION("""COMPUTED_VALUE"""),"")</f>
        <v/>
      </c>
      <c r="DX4" s="20" t="str">
        <f>IFERROR(__xludf.DUMMYFUNCTION("""COMPUTED_VALUE"""),"")</f>
        <v/>
      </c>
      <c r="DY4" s="20" t="str">
        <f>IFERROR(__xludf.DUMMYFUNCTION("""COMPUTED_VALUE"""),"")</f>
        <v/>
      </c>
      <c r="DZ4" s="20" t="str">
        <f>IFERROR(__xludf.DUMMYFUNCTION("""COMPUTED_VALUE"""),"")</f>
        <v/>
      </c>
      <c r="EA4" s="20" t="str">
        <f>IFERROR(__xludf.DUMMYFUNCTION("""COMPUTED_VALUE"""),"")</f>
        <v/>
      </c>
      <c r="EB4" s="20" t="str">
        <f>IFERROR(__xludf.DUMMYFUNCTION("""COMPUTED_VALUE"""),"")</f>
        <v/>
      </c>
      <c r="EC4" s="20" t="str">
        <f>IFERROR(__xludf.DUMMYFUNCTION("""COMPUTED_VALUE"""),"")</f>
        <v/>
      </c>
      <c r="ED4" s="20" t="str">
        <f>IFERROR(__xludf.DUMMYFUNCTION("""COMPUTED_VALUE"""),"")</f>
        <v/>
      </c>
      <c r="EE4" s="20" t="str">
        <f>IFERROR(__xludf.DUMMYFUNCTION("""COMPUTED_VALUE"""),"")</f>
        <v/>
      </c>
      <c r="EF4" s="20" t="str">
        <f>IFERROR(__xludf.DUMMYFUNCTION("""COMPUTED_VALUE"""),"")</f>
        <v/>
      </c>
      <c r="EG4" s="20" t="str">
        <f>IFERROR(__xludf.DUMMYFUNCTION("""COMPUTED_VALUE"""),"")</f>
        <v/>
      </c>
      <c r="EH4" s="20" t="str">
        <f>IFERROR(__xludf.DUMMYFUNCTION("""COMPUTED_VALUE"""),"")</f>
        <v/>
      </c>
      <c r="EI4" s="20" t="str">
        <f>IFERROR(__xludf.DUMMYFUNCTION("""COMPUTED_VALUE"""),"")</f>
        <v/>
      </c>
      <c r="EJ4" s="20" t="str">
        <f>IFERROR(__xludf.DUMMYFUNCTION("""COMPUTED_VALUE"""),"")</f>
        <v/>
      </c>
      <c r="EK4" s="20" t="str">
        <f>IFERROR(__xludf.DUMMYFUNCTION("""COMPUTED_VALUE"""),"")</f>
        <v/>
      </c>
      <c r="EL4" s="20" t="str">
        <f>IFERROR(__xludf.DUMMYFUNCTION("""COMPUTED_VALUE"""),"")</f>
        <v/>
      </c>
      <c r="EM4" s="20" t="str">
        <f>IFERROR(__xludf.DUMMYFUNCTION("""COMPUTED_VALUE"""),"")</f>
        <v/>
      </c>
      <c r="EN4" s="20" t="str">
        <f>IFERROR(__xludf.DUMMYFUNCTION("""COMPUTED_VALUE"""),"")</f>
        <v/>
      </c>
      <c r="EO4" s="20" t="str">
        <f>IFERROR(__xludf.DUMMYFUNCTION("""COMPUTED_VALUE"""),"")</f>
        <v/>
      </c>
      <c r="EP4" s="20" t="str">
        <f>IFERROR(__xludf.DUMMYFUNCTION("""COMPUTED_VALUE"""),"")</f>
        <v/>
      </c>
      <c r="EQ4" s="20" t="str">
        <f>IFERROR(__xludf.DUMMYFUNCTION("""COMPUTED_VALUE"""),"")</f>
        <v/>
      </c>
      <c r="ER4" s="20" t="str">
        <f>IFERROR(__xludf.DUMMYFUNCTION("""COMPUTED_VALUE"""),"")</f>
        <v/>
      </c>
      <c r="ES4" s="20" t="str">
        <f>IFERROR(__xludf.DUMMYFUNCTION("""COMPUTED_VALUE"""),"")</f>
        <v/>
      </c>
      <c r="ET4" s="20" t="str">
        <f>IFERROR(__xludf.DUMMYFUNCTION("""COMPUTED_VALUE"""),"")</f>
        <v/>
      </c>
      <c r="EU4" s="20" t="str">
        <f>IFERROR(__xludf.DUMMYFUNCTION("""COMPUTED_VALUE"""),"")</f>
        <v/>
      </c>
      <c r="EV4" s="20" t="str">
        <f>IFERROR(__xludf.DUMMYFUNCTION("""COMPUTED_VALUE"""),"")</f>
        <v/>
      </c>
      <c r="EW4" s="20" t="str">
        <f>IFERROR(__xludf.DUMMYFUNCTION("""COMPUTED_VALUE"""),"")</f>
        <v/>
      </c>
      <c r="EX4" s="20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30">
        <v>43490.0</v>
      </c>
      <c r="C6" s="24" t="s">
        <v>25</v>
      </c>
      <c r="D6" s="24" t="s">
        <v>16</v>
      </c>
      <c r="E6" s="24" t="s">
        <v>40</v>
      </c>
      <c r="F6" s="24" t="s">
        <v>49</v>
      </c>
      <c r="G6" s="24">
        <v>20739.96</v>
      </c>
      <c r="H6" s="12"/>
      <c r="I6" s="12"/>
      <c r="J6" s="12"/>
      <c r="K6" s="12"/>
      <c r="L6" s="24">
        <v>1.0</v>
      </c>
      <c r="M6" s="12"/>
      <c r="N6" s="24" t="s">
        <v>38</v>
      </c>
      <c r="O6" s="12"/>
      <c r="R6" s="29">
        <v>20739.96</v>
      </c>
    </row>
    <row r="7" ht="15.75" customHeight="1">
      <c r="A7" s="12"/>
      <c r="B7" s="30">
        <v>43490.0</v>
      </c>
      <c r="C7" s="24" t="s">
        <v>25</v>
      </c>
      <c r="D7" s="24" t="s">
        <v>16</v>
      </c>
      <c r="E7" s="24" t="s">
        <v>40</v>
      </c>
      <c r="F7" s="24" t="s">
        <v>50</v>
      </c>
      <c r="G7" s="12"/>
      <c r="H7" s="24">
        <v>20739.96</v>
      </c>
      <c r="I7" s="12"/>
      <c r="J7" s="12"/>
      <c r="K7" s="12"/>
      <c r="L7" s="24">
        <v>1.0</v>
      </c>
      <c r="M7" s="12"/>
      <c r="N7" s="24" t="s">
        <v>42</v>
      </c>
      <c r="O7" s="12"/>
      <c r="S7" s="29">
        <v>20739.96</v>
      </c>
    </row>
    <row r="8" ht="15.75" customHeight="1">
      <c r="A8" s="12"/>
      <c r="B8" s="30">
        <v>43491.0</v>
      </c>
      <c r="C8" s="24" t="s">
        <v>25</v>
      </c>
      <c r="D8" s="24" t="s">
        <v>16</v>
      </c>
      <c r="E8" s="24" t="s">
        <v>40</v>
      </c>
      <c r="F8" s="24" t="s">
        <v>50</v>
      </c>
      <c r="G8" s="24">
        <v>20739.96</v>
      </c>
      <c r="H8" s="12"/>
      <c r="I8" s="12"/>
      <c r="J8" s="12"/>
      <c r="K8" s="12"/>
      <c r="L8" s="24">
        <v>1.0</v>
      </c>
      <c r="M8" s="12"/>
      <c r="N8" s="24" t="s">
        <v>38</v>
      </c>
      <c r="O8" s="12"/>
      <c r="R8" s="29">
        <v>20739.96</v>
      </c>
    </row>
    <row r="9" ht="15.75" customHeight="1">
      <c r="A9" s="12"/>
      <c r="B9" s="30">
        <v>43491.0</v>
      </c>
      <c r="C9" s="24" t="s">
        <v>25</v>
      </c>
      <c r="D9" s="24" t="s">
        <v>16</v>
      </c>
      <c r="E9" s="24" t="s">
        <v>40</v>
      </c>
      <c r="F9" s="24" t="s">
        <v>49</v>
      </c>
      <c r="G9" s="12"/>
      <c r="H9" s="24">
        <v>20739.96</v>
      </c>
      <c r="I9" s="12"/>
      <c r="J9" s="12"/>
      <c r="K9" s="12"/>
      <c r="L9" s="24">
        <v>1.0</v>
      </c>
      <c r="M9" s="12"/>
      <c r="N9" s="24" t="s">
        <v>42</v>
      </c>
      <c r="O9" s="12"/>
      <c r="S9" s="29">
        <v>20739.96</v>
      </c>
    </row>
    <row r="10" ht="15.75" customHeight="1">
      <c r="A10" s="12"/>
      <c r="B10" s="30">
        <v>43491.0</v>
      </c>
      <c r="C10" s="24" t="s">
        <v>25</v>
      </c>
      <c r="D10" s="24" t="s">
        <v>16</v>
      </c>
      <c r="E10" s="24" t="s">
        <v>40</v>
      </c>
      <c r="F10" s="24" t="s">
        <v>49</v>
      </c>
      <c r="G10" s="24">
        <v>20739.96</v>
      </c>
      <c r="H10" s="12"/>
      <c r="I10" s="12"/>
      <c r="J10" s="12"/>
      <c r="K10" s="12"/>
      <c r="L10" s="24">
        <v>1.0</v>
      </c>
      <c r="M10" s="12"/>
      <c r="N10" s="24" t="s">
        <v>38</v>
      </c>
      <c r="O10" s="12"/>
      <c r="R10" s="29">
        <v>20739.96</v>
      </c>
    </row>
    <row r="11" ht="15.75" customHeight="1">
      <c r="A11" s="12"/>
      <c r="B11" s="30">
        <v>43491.0</v>
      </c>
      <c r="C11" s="24" t="s">
        <v>25</v>
      </c>
      <c r="D11" s="24" t="s">
        <v>16</v>
      </c>
      <c r="E11" s="24" t="s">
        <v>40</v>
      </c>
      <c r="F11" s="24" t="s">
        <v>50</v>
      </c>
      <c r="G11" s="12"/>
      <c r="H11" s="24">
        <v>20739.96</v>
      </c>
      <c r="I11" s="12"/>
      <c r="J11" s="12"/>
      <c r="K11" s="12"/>
      <c r="L11" s="24">
        <v>1.0</v>
      </c>
      <c r="M11" s="12"/>
      <c r="N11" s="24" t="s">
        <v>42</v>
      </c>
      <c r="O11" s="12"/>
      <c r="S11" s="29">
        <v>20739.96</v>
      </c>
    </row>
    <row r="12" ht="15.75" customHeight="1">
      <c r="A12" s="12"/>
      <c r="B12" s="30">
        <v>43492.0</v>
      </c>
      <c r="C12" s="24" t="s">
        <v>25</v>
      </c>
      <c r="D12" s="24" t="s">
        <v>16</v>
      </c>
      <c r="E12" s="24" t="s">
        <v>40</v>
      </c>
      <c r="F12" s="24" t="s">
        <v>50</v>
      </c>
      <c r="G12" s="24">
        <v>20739.96</v>
      </c>
      <c r="H12" s="12"/>
      <c r="I12" s="12"/>
      <c r="J12" s="12"/>
      <c r="K12" s="12"/>
      <c r="L12" s="24">
        <v>1.0</v>
      </c>
      <c r="M12" s="12"/>
      <c r="N12" s="24" t="s">
        <v>38</v>
      </c>
      <c r="O12" s="12"/>
      <c r="R12" s="29">
        <v>20739.96</v>
      </c>
    </row>
    <row r="13" ht="15.75" customHeight="1">
      <c r="A13" s="12"/>
      <c r="B13" s="30">
        <v>43492.0</v>
      </c>
      <c r="C13" s="24" t="s">
        <v>25</v>
      </c>
      <c r="D13" s="24" t="s">
        <v>16</v>
      </c>
      <c r="E13" s="24" t="s">
        <v>40</v>
      </c>
      <c r="F13" s="24" t="s">
        <v>49</v>
      </c>
      <c r="G13" s="12"/>
      <c r="H13" s="24">
        <v>20739.96</v>
      </c>
      <c r="I13" s="12"/>
      <c r="J13" s="12"/>
      <c r="K13" s="12"/>
      <c r="L13" s="24">
        <v>1.0</v>
      </c>
      <c r="M13" s="12"/>
      <c r="N13" s="24" t="s">
        <v>42</v>
      </c>
      <c r="O13" s="12"/>
      <c r="S13" s="29">
        <v>20739.96</v>
      </c>
    </row>
    <row r="14" ht="15.75" customHeight="1">
      <c r="A14" s="12"/>
      <c r="B14" s="30">
        <v>43492.0</v>
      </c>
      <c r="C14" s="24" t="s">
        <v>25</v>
      </c>
      <c r="D14" s="24" t="s">
        <v>16</v>
      </c>
      <c r="E14" s="24" t="s">
        <v>40</v>
      </c>
      <c r="F14" s="24" t="s">
        <v>49</v>
      </c>
      <c r="G14" s="24">
        <v>20739.96</v>
      </c>
      <c r="H14" s="12"/>
      <c r="I14" s="12"/>
      <c r="J14" s="12"/>
      <c r="K14" s="12"/>
      <c r="L14" s="24">
        <v>1.0</v>
      </c>
      <c r="M14" s="12"/>
      <c r="N14" s="24" t="s">
        <v>38</v>
      </c>
      <c r="O14" s="12"/>
      <c r="R14" s="29">
        <v>20739.96</v>
      </c>
    </row>
    <row r="15" ht="15.75" customHeight="1">
      <c r="A15" s="12"/>
      <c r="B15" s="30">
        <v>43492.0</v>
      </c>
      <c r="C15" s="24" t="s">
        <v>25</v>
      </c>
      <c r="D15" s="24" t="s">
        <v>16</v>
      </c>
      <c r="E15" s="24" t="s">
        <v>40</v>
      </c>
      <c r="F15" s="24" t="s">
        <v>50</v>
      </c>
      <c r="G15" s="12"/>
      <c r="H15" s="24">
        <v>20739.96</v>
      </c>
      <c r="I15" s="12"/>
      <c r="J15" s="12"/>
      <c r="K15" s="12"/>
      <c r="L15" s="24">
        <v>1.0</v>
      </c>
      <c r="M15" s="12"/>
      <c r="N15" s="24" t="s">
        <v>42</v>
      </c>
      <c r="O15" s="12"/>
      <c r="S15" s="29">
        <v>20739.96</v>
      </c>
    </row>
    <row r="16" ht="15.75" customHeight="1">
      <c r="A16" s="12"/>
      <c r="B16" s="30">
        <v>43493.0</v>
      </c>
      <c r="C16" s="24" t="s">
        <v>25</v>
      </c>
      <c r="D16" s="24" t="s">
        <v>16</v>
      </c>
      <c r="E16" s="24" t="s">
        <v>40</v>
      </c>
      <c r="F16" s="24" t="s">
        <v>50</v>
      </c>
      <c r="G16" s="24">
        <v>20739.96</v>
      </c>
      <c r="H16" s="12"/>
      <c r="I16" s="12"/>
      <c r="J16" s="12"/>
      <c r="K16" s="12"/>
      <c r="L16" s="24">
        <v>1.0</v>
      </c>
      <c r="M16" s="12"/>
      <c r="N16" s="24" t="s">
        <v>38</v>
      </c>
      <c r="O16" s="12"/>
      <c r="R16" s="29">
        <v>20739.96</v>
      </c>
    </row>
    <row r="17" ht="15.75" customHeight="1">
      <c r="A17" s="12"/>
      <c r="B17" s="30">
        <v>43493.0</v>
      </c>
      <c r="C17" s="24" t="s">
        <v>25</v>
      </c>
      <c r="D17" s="24" t="s">
        <v>16</v>
      </c>
      <c r="E17" s="24" t="s">
        <v>40</v>
      </c>
      <c r="F17" s="24" t="s">
        <v>49</v>
      </c>
      <c r="G17" s="12"/>
      <c r="H17" s="24">
        <v>20739.96</v>
      </c>
      <c r="I17" s="12"/>
      <c r="J17" s="12"/>
      <c r="K17" s="12"/>
      <c r="L17" s="24">
        <v>1.0</v>
      </c>
      <c r="M17" s="12"/>
      <c r="N17" s="24" t="s">
        <v>42</v>
      </c>
      <c r="O17" s="12"/>
      <c r="S17" s="29">
        <v>20739.96</v>
      </c>
    </row>
    <row r="18" ht="15.75" customHeight="1">
      <c r="A18" s="12"/>
      <c r="B18" s="30">
        <v>43493.0</v>
      </c>
      <c r="C18" s="24" t="s">
        <v>25</v>
      </c>
      <c r="D18" s="24" t="s">
        <v>16</v>
      </c>
      <c r="E18" s="24" t="s">
        <v>40</v>
      </c>
      <c r="F18" s="24" t="s">
        <v>49</v>
      </c>
      <c r="G18" s="24">
        <v>51262.92</v>
      </c>
      <c r="H18" s="12"/>
      <c r="I18" s="12"/>
      <c r="J18" s="12"/>
      <c r="K18" s="12"/>
      <c r="L18" s="24">
        <v>1.0</v>
      </c>
      <c r="M18" s="12"/>
      <c r="N18" s="24" t="s">
        <v>38</v>
      </c>
      <c r="O18" s="12"/>
      <c r="R18" s="29">
        <v>51262.92</v>
      </c>
    </row>
    <row r="19" ht="15.75" customHeight="1">
      <c r="A19" s="12"/>
      <c r="B19" s="30">
        <v>43493.0</v>
      </c>
      <c r="C19" s="24" t="s">
        <v>25</v>
      </c>
      <c r="D19" s="24" t="s">
        <v>16</v>
      </c>
      <c r="E19" s="24" t="s">
        <v>40</v>
      </c>
      <c r="F19" s="24" t="s">
        <v>50</v>
      </c>
      <c r="G19" s="12"/>
      <c r="H19" s="24">
        <v>51262.92</v>
      </c>
      <c r="I19" s="12"/>
      <c r="J19" s="12"/>
      <c r="K19" s="12"/>
      <c r="L19" s="24">
        <v>1.0</v>
      </c>
      <c r="M19" s="12"/>
      <c r="N19" s="24" t="s">
        <v>42</v>
      </c>
      <c r="O19" s="12"/>
      <c r="S19" s="29">
        <v>51262.92</v>
      </c>
    </row>
    <row r="20" ht="15.75" customHeight="1">
      <c r="A20" s="12"/>
      <c r="B20" s="30">
        <v>43494.0</v>
      </c>
      <c r="C20" s="24" t="s">
        <v>25</v>
      </c>
      <c r="D20" s="24" t="s">
        <v>18</v>
      </c>
      <c r="E20" s="24" t="s">
        <v>18</v>
      </c>
      <c r="F20" s="24" t="s">
        <v>44</v>
      </c>
      <c r="G20" s="24">
        <v>3532015.0</v>
      </c>
      <c r="H20" s="12"/>
      <c r="I20" s="12"/>
      <c r="J20" s="12"/>
      <c r="K20" s="12"/>
      <c r="L20" s="24">
        <v>0.75471701</v>
      </c>
      <c r="M20" s="12"/>
      <c r="N20" s="24" t="s">
        <v>38</v>
      </c>
      <c r="O20" s="12"/>
      <c r="R20" s="29">
        <v>2665671.7</v>
      </c>
    </row>
    <row r="21" ht="15.75" customHeight="1">
      <c r="A21" s="12"/>
      <c r="B21" s="30">
        <v>43494.0</v>
      </c>
      <c r="C21" s="24" t="s">
        <v>25</v>
      </c>
      <c r="D21" s="24" t="s">
        <v>18</v>
      </c>
      <c r="E21" s="24" t="s">
        <v>18</v>
      </c>
      <c r="F21" s="33" t="s">
        <v>51</v>
      </c>
      <c r="G21" s="12"/>
      <c r="H21" s="24">
        <v>3532015.0</v>
      </c>
      <c r="I21" s="12"/>
      <c r="J21" s="12"/>
      <c r="K21" s="12"/>
      <c r="L21" s="24">
        <v>0.75471701</v>
      </c>
      <c r="M21" s="12"/>
      <c r="N21" s="24" t="s">
        <v>42</v>
      </c>
      <c r="O21" s="12"/>
      <c r="S21" s="29">
        <v>2665671.7</v>
      </c>
    </row>
    <row r="22" ht="15.75" customHeight="1">
      <c r="A22" s="12"/>
      <c r="B22" s="30">
        <v>43494.0</v>
      </c>
      <c r="C22" s="24" t="s">
        <v>25</v>
      </c>
      <c r="D22" s="24" t="s">
        <v>18</v>
      </c>
      <c r="E22" s="24" t="s">
        <v>18</v>
      </c>
      <c r="F22" s="33" t="s">
        <v>51</v>
      </c>
      <c r="G22" s="24">
        <v>3532015.0</v>
      </c>
      <c r="H22" s="12"/>
      <c r="I22" s="12"/>
      <c r="J22" s="12"/>
      <c r="K22" s="12"/>
      <c r="L22" s="24">
        <v>0.7518797</v>
      </c>
      <c r="M22" s="12"/>
      <c r="N22" s="24" t="s">
        <v>38</v>
      </c>
      <c r="O22" s="12"/>
      <c r="R22" s="29">
        <v>2655650.38</v>
      </c>
    </row>
    <row r="23" ht="15.75" customHeight="1">
      <c r="A23" s="12"/>
      <c r="B23" s="30">
        <v>43494.0</v>
      </c>
      <c r="C23" s="24" t="s">
        <v>25</v>
      </c>
      <c r="D23" s="24" t="s">
        <v>18</v>
      </c>
      <c r="E23" s="24" t="s">
        <v>18</v>
      </c>
      <c r="F23" s="24" t="s">
        <v>44</v>
      </c>
      <c r="G23" s="12"/>
      <c r="H23" s="24">
        <v>3532015.0</v>
      </c>
      <c r="I23" s="12"/>
      <c r="J23" s="12"/>
      <c r="K23" s="12"/>
      <c r="L23" s="24">
        <v>0.7518797</v>
      </c>
      <c r="M23" s="12"/>
      <c r="N23" s="24" t="s">
        <v>42</v>
      </c>
      <c r="O23" s="12"/>
      <c r="S23" s="29">
        <v>2655650.38</v>
      </c>
    </row>
    <row r="24" ht="15.75" customHeight="1">
      <c r="A24" s="12"/>
      <c r="B24" s="30">
        <v>43494.0</v>
      </c>
      <c r="C24" s="24" t="s">
        <v>25</v>
      </c>
      <c r="D24" s="24" t="s">
        <v>16</v>
      </c>
      <c r="E24" s="24" t="s">
        <v>40</v>
      </c>
      <c r="F24" s="24" t="s">
        <v>50</v>
      </c>
      <c r="G24" s="24">
        <v>51262.92</v>
      </c>
      <c r="H24" s="12"/>
      <c r="I24" s="12"/>
      <c r="J24" s="12"/>
      <c r="K24" s="12"/>
      <c r="L24" s="24">
        <v>1.0</v>
      </c>
      <c r="M24" s="12"/>
      <c r="N24" s="24" t="s">
        <v>38</v>
      </c>
      <c r="O24" s="12"/>
      <c r="R24" s="29">
        <v>51262.92</v>
      </c>
    </row>
    <row r="25" ht="15.75" customHeight="1">
      <c r="A25" s="12"/>
      <c r="B25" s="30">
        <v>43494.0</v>
      </c>
      <c r="C25" s="24" t="s">
        <v>25</v>
      </c>
      <c r="D25" s="24" t="s">
        <v>16</v>
      </c>
      <c r="E25" s="24" t="s">
        <v>40</v>
      </c>
      <c r="F25" s="24" t="s">
        <v>49</v>
      </c>
      <c r="G25" s="12"/>
      <c r="H25" s="24">
        <v>51262.92</v>
      </c>
      <c r="I25" s="12"/>
      <c r="J25" s="12"/>
      <c r="K25" s="12"/>
      <c r="L25" s="24">
        <v>1.0</v>
      </c>
      <c r="M25" s="12"/>
      <c r="N25" s="24" t="s">
        <v>42</v>
      </c>
      <c r="O25" s="12"/>
      <c r="S25" s="29">
        <v>51262.92</v>
      </c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24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