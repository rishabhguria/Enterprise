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Allocation" sheetId="7" r:id="rId9"/>
    <sheet state="visible" name="SetGeneralPreferences" sheetId="8" r:id="rId10"/>
    <sheet state="visible" name="SelectUnallocatedGroup" sheetId="9" r:id="rId11"/>
    <sheet state="visible" name="EnterAllocatePreference" sheetId="10" r:id="rId12"/>
    <sheet state="visible" name="EnterAccountValuesToAllocate" sheetId="11" r:id="rId13"/>
    <sheet state="visible" name="SelectAllocatedGroup" sheetId="12" r:id="rId14"/>
    <sheet state="visible" name="CommissionBulkChangeOnGroups" sheetId="13" r:id="rId15"/>
    <sheet state="visible" name="CheckAllocatedGroups" sheetId="14" r:id="rId16"/>
    <sheet state="visible" name="GetDataClosing" sheetId="15" r:id="rId17"/>
    <sheet state="visible" name="AutomaticClosing" sheetId="16" r:id="rId18"/>
    <sheet state="visible" name="VerifyClosedTrades" sheetId="17" r:id="rId19"/>
    <sheet state="visible" name="GetActivityData" sheetId="18" r:id="rId20"/>
    <sheet state="visible" name="VerifyActivity" sheetId="19" r:id="rId21"/>
    <sheet state="visible" name="GetTradingTransaction" sheetId="20" r:id="rId22"/>
    <sheet state="visible" name="VerifyTradingTransaction" sheetId="21" r:id="rId23"/>
    <sheet state="visible" name="GetDailyCalculationsData" sheetId="22" r:id="rId24"/>
    <sheet state="visible" name="VerifyDailyCalTransactions" sheetId="23" r:id="rId25"/>
    <sheet state="visible" name="GetDayEndCash" sheetId="24" r:id="rId26"/>
    <sheet state="visible" name="VerifyDayEndCash" sheetId="25" r:id="rId27"/>
    <sheet state="visible" name="GetAccountBalance" sheetId="26" r:id="rId28"/>
    <sheet state="visible" name="GetActivityData1" sheetId="27" r:id="rId29"/>
    <sheet state="visible" name="VerifyActivity1" sheetId="28" r:id="rId30"/>
    <sheet state="visible" name="GetRevaluationData" sheetId="29" r:id="rId31"/>
    <sheet state="visible" name="VerifyRevaluationData" sheetId="30" r:id="rId32"/>
  </sheets>
  <definedNames/>
  <calcPr/>
</workbook>
</file>

<file path=xl/sharedStrings.xml><?xml version="1.0" encoding="utf-8"?>
<sst xmlns="http://schemas.openxmlformats.org/spreadsheetml/2006/main" count="521" uniqueCount="78">
  <si>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</si>
  <si>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</si>
  <si>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</si>
  <si>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</si>
  <si>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</si>
  <si>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</si>
  <si>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</si>
  <si>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</si>
  <si>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</si>
  <si>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</si>
  <si>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</si>
  <si>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</si>
  <si>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</si>
  <si>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</si>
  <si>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</si>
  <si>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</si>
  <si>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H9C670</t>
  </si>
  <si>
    <t>Buy to Close</t>
  </si>
  <si>
    <t>Unallocated</t>
  </si>
  <si>
    <t xml:space="preserve">Sell to Open </t>
  </si>
  <si>
    <t>Buy to Open</t>
  </si>
  <si>
    <t>Sell to Close</t>
  </si>
  <si>
    <t>DailyValuation</t>
  </si>
  <si>
    <t>GetMarkPriceData</t>
  </si>
  <si>
    <t>UpdateMarkPrice</t>
  </si>
  <si>
    <t>Allocation</t>
  </si>
  <si>
    <t>GetDataAllocation</t>
  </si>
  <si>
    <t>Historical</t>
  </si>
  <si>
    <t>SetGeneralPreferences</t>
  </si>
  <si>
    <t>SelectUnallocatedGroup</t>
  </si>
  <si>
    <t>EnterAllocatePreference</t>
  </si>
  <si>
    <t>EnterAccountValuesToAllocate</t>
  </si>
  <si>
    <t>Allocation2</t>
  </si>
  <si>
    <t>SelectAllocatedGroup</t>
  </si>
  <si>
    <t>CommissionBulkChangeOnGroups</t>
  </si>
  <si>
    <t>Specify</t>
  </si>
  <si>
    <t>Shares</t>
  </si>
  <si>
    <t xml:space="preserve">Shares </t>
  </si>
  <si>
    <t>FlatAmount</t>
  </si>
  <si>
    <t>CheckAllocatedGroups</t>
  </si>
  <si>
    <t>FutureOption</t>
  </si>
  <si>
    <t>C</t>
  </si>
  <si>
    <t>Closing</t>
  </si>
  <si>
    <t>GetDataClosing</t>
  </si>
  <si>
    <t>AutomaticClosing</t>
  </si>
  <si>
    <t>FIFO</t>
  </si>
  <si>
    <t>None</t>
  </si>
  <si>
    <t>Default</t>
  </si>
  <si>
    <t>VerifyClosedTrades</t>
  </si>
  <si>
    <t>GeneralLedger</t>
  </si>
  <si>
    <t>GetActivityData</t>
  </si>
  <si>
    <t>Yes</t>
  </si>
  <si>
    <t>VerifyActivity</t>
  </si>
  <si>
    <t>FutureOptionL</t>
  </si>
  <si>
    <t>USD</t>
  </si>
  <si>
    <t>Trading</t>
  </si>
  <si>
    <t>FutureOptionS</t>
  </si>
  <si>
    <t>GetTradingTransaction</t>
  </si>
  <si>
    <t>VerifyTradingTransaction</t>
  </si>
  <si>
    <t>DR</t>
  </si>
  <si>
    <t>Investment - Long Future Option [Asset]</t>
  </si>
  <si>
    <t>CR</t>
  </si>
  <si>
    <t>Cash [Cash]</t>
  </si>
  <si>
    <t>Investment - Short Future Option [Liability]</t>
  </si>
  <si>
    <t>GetDailyCalculationsData</t>
  </si>
  <si>
    <t>VerifyDailyCalTransactions</t>
  </si>
  <si>
    <t>GetDayEndCash</t>
  </si>
  <si>
    <t>VerifyDayEndCash</t>
  </si>
  <si>
    <t>GetAccountBalance</t>
  </si>
  <si>
    <t>FutureOptionLongUnRealizedPNL</t>
  </si>
  <si>
    <t>Revaluation</t>
  </si>
  <si>
    <t>FutureOptionLongRealizedPNL</t>
  </si>
  <si>
    <t>GetRevaluationData</t>
  </si>
  <si>
    <t>VerifyRevaluationData</t>
  </si>
  <si>
    <t>Future Option UnRealized Profit And Loss [Income]</t>
  </si>
  <si>
    <t>Future Option Long Revaluation [Asset]</t>
  </si>
  <si>
    <t>Future Option Realized Profit And Loss [Income]</t>
  </si>
  <si>
    <t>Future Option Short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</si>
</sst>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6" fontId="13" numFmtId="0" xfId="0" applyAlignment="1" applyFill="1" applyFont="1">
      <alignment horizontal="center" readingOrder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  <c r="C493" t="str">
        <f>IFERROR(__xludf.DUMMYFUNCTION("""COMPUTED_VALUE"""),"1TNk3Ts3tA51Oj9qjpTVY3IDwk0Ro78g-6ZmRMY4-lHk")</f>
        <v>1TNk3Ts3tA51Oj9qjpTVY3IDwk0Ro78g-6ZmRMY4-lHk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30">
        <v>43042.0</v>
      </c>
      <c r="O6" s="8"/>
    </row>
    <row r="7" ht="15.75" customHeight="1">
      <c r="A7" s="8"/>
      <c r="B7" s="11" t="s">
        <v>16</v>
      </c>
      <c r="C7" s="31" t="s">
        <v>19</v>
      </c>
      <c r="D7" s="11">
        <v>100.0</v>
      </c>
      <c r="E7" s="11">
        <v>100.0</v>
      </c>
      <c r="F7" s="11" t="s">
        <v>18</v>
      </c>
      <c r="G7" s="8"/>
      <c r="H7" s="8"/>
      <c r="I7" s="8"/>
      <c r="J7" s="11">
        <v>12.0</v>
      </c>
      <c r="K7" s="8"/>
      <c r="L7" s="8"/>
      <c r="M7" s="8"/>
      <c r="N7" s="30">
        <v>43043.0</v>
      </c>
      <c r="O7" s="8"/>
    </row>
    <row r="8" ht="15.75" customHeight="1">
      <c r="A8" s="8"/>
      <c r="B8" s="11" t="s">
        <v>16</v>
      </c>
      <c r="C8" s="11" t="s">
        <v>20</v>
      </c>
      <c r="D8" s="11">
        <v>100.0</v>
      </c>
      <c r="E8" s="11">
        <v>100.0</v>
      </c>
      <c r="F8" s="11" t="s">
        <v>18</v>
      </c>
      <c r="G8" s="8"/>
      <c r="H8" s="8"/>
      <c r="I8" s="8"/>
      <c r="J8" s="11">
        <v>15.0</v>
      </c>
      <c r="K8" s="8"/>
      <c r="L8" s="8"/>
      <c r="M8" s="8"/>
      <c r="N8" s="30">
        <v>43042.0</v>
      </c>
      <c r="O8" s="8"/>
    </row>
    <row r="9" ht="15.75" customHeight="1">
      <c r="A9" s="8"/>
      <c r="B9" s="11" t="s">
        <v>16</v>
      </c>
      <c r="C9" s="11" t="s">
        <v>21</v>
      </c>
      <c r="D9" s="11">
        <v>50.0</v>
      </c>
      <c r="E9" s="11">
        <v>50.0</v>
      </c>
      <c r="F9" s="11" t="s">
        <v>18</v>
      </c>
      <c r="G9" s="8"/>
      <c r="H9" s="8"/>
      <c r="I9" s="8"/>
      <c r="J9" s="11">
        <v>13.0</v>
      </c>
      <c r="K9" s="8"/>
      <c r="L9" s="8"/>
      <c r="M9" s="8"/>
      <c r="N9" s="30">
        <v>43043.0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43042.0</v>
      </c>
      <c r="C6" s="30">
        <v>43042.0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30">
        <v>43042.0</v>
      </c>
      <c r="D6" s="30">
        <v>43043.0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0</v>
      </c>
      <c r="T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16</v>
      </c>
      <c r="C7" s="31" t="s">
        <v>19</v>
      </c>
      <c r="D7" s="11">
        <v>100.0</v>
      </c>
      <c r="E7" s="11">
        <v>100.0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16</v>
      </c>
      <c r="C8" s="11" t="s">
        <v>20</v>
      </c>
      <c r="D8" s="11">
        <v>100.0</v>
      </c>
      <c r="E8" s="11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16</v>
      </c>
      <c r="C9" s="11" t="s">
        <v>21</v>
      </c>
      <c r="D9" s="11">
        <v>50.0</v>
      </c>
      <c r="E9" s="11">
        <v>50.0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100.0</v>
      </c>
      <c r="E6" s="11" t="s">
        <v>32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>
        <v>100.0</v>
      </c>
      <c r="E7" s="11" t="s">
        <v>32</v>
      </c>
      <c r="F7" s="31" t="s">
        <v>19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16</v>
      </c>
      <c r="C8" s="11">
        <v>100.0</v>
      </c>
      <c r="E8" s="11" t="s">
        <v>32</v>
      </c>
      <c r="F8" s="11" t="s">
        <v>20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16</v>
      </c>
      <c r="C9" s="11">
        <v>50.0</v>
      </c>
      <c r="E9" s="11" t="s">
        <v>32</v>
      </c>
      <c r="F9" s="11" t="s">
        <v>21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IFERROR(__xludf.DUMMYFUNCTION("""COMPUTED_VALUE"""),"Use/Select/Specify")</f>
        <v>Use/Select/Specify</v>
      </c>
      <c r="C5" s="27" t="str">
        <f>IFERROR(__xludf.DUMMYFUNCTION("""COMPUTED_VALUE"""),"CommissionRule")</f>
        <v>CommissionRule</v>
      </c>
      <c r="D5" s="27" t="str">
        <f>IFERROR(__xludf.DUMMYFUNCTION("""COMPUTED_VALUE"""),"Commission")</f>
        <v>Commission</v>
      </c>
      <c r="E5" s="27" t="str">
        <f>IFERROR(__xludf.DUMMYFUNCTION("""COMPUTED_VALUE"""),"CommissionValue")</f>
        <v>CommissionValue</v>
      </c>
      <c r="F5" s="28" t="str">
        <f>IFERROR(__xludf.DUMMYFUNCTION("""COMPUTED_VALUE"""),"SoftCommission")</f>
        <v>SoftCommission</v>
      </c>
      <c r="G5" s="27" t="str">
        <f>IFERROR(__xludf.DUMMYFUNCTION("""COMPUTED_VALUE"""),"SoftCommissionValue")</f>
        <v>SoftCommissionValue</v>
      </c>
      <c r="H5" s="27" t="str">
        <f>IFERROR(__xludf.DUMMYFUNCTION("""COMPUTED_VALUE"""),"OtherBrokerFees")</f>
        <v>OtherBrokerFees</v>
      </c>
      <c r="I5" s="27" t="str">
        <f>IFERROR(__xludf.DUMMYFUNCTION("""COMPUTED_VALUE"""),"OtherBrokerFeesValue")</f>
        <v>OtherBrokerFeesValue</v>
      </c>
      <c r="J5" s="27" t="str">
        <f>IFERROR(__xludf.DUMMYFUNCTION("""COMPUTED_VALUE"""),"ClearingBrokerFees")</f>
        <v>ClearingBrokerFees</v>
      </c>
      <c r="K5" s="27" t="str">
        <f>IFERROR(__xludf.DUMMYFUNCTION("""COMPUTED_VALUE"""),"ClearingBrokerFeesValue")</f>
        <v>ClearingBrokerFeesValue</v>
      </c>
      <c r="L5" s="27" t="str">
        <f>IFERROR(__xludf.DUMMYFUNCTION("""COMPUTED_VALUE"""),"TransactionLevy")</f>
        <v>TransactionLevy</v>
      </c>
      <c r="M5" s="27" t="str">
        <f>IFERROR(__xludf.DUMMYFUNCTION("""COMPUTED_VALUE"""),"TransactionLevyValue")</f>
        <v>TransactionLevyValue</v>
      </c>
      <c r="N5" s="27" t="str">
        <f>IFERROR(__xludf.DUMMYFUNCTION("""COMPUTED_VALUE"""),"TaxOnCommission")</f>
        <v>TaxOnCommission</v>
      </c>
      <c r="O5" s="27" t="str">
        <f>IFERROR(__xludf.DUMMYFUNCTION("""COMPUTED_VALUE"""),"TaxOnCommissionValue")</f>
        <v>TaxOnCommissionValue</v>
      </c>
      <c r="P5" s="27" t="str">
        <f>IFERROR(__xludf.DUMMYFUNCTION("""COMPUTED_VALUE"""),"StampDuty")</f>
        <v>StampDuty</v>
      </c>
      <c r="Q5" s="27" t="str">
        <f>IFERROR(__xludf.DUMMYFUNCTION("""COMPUTED_VALUE"""),"StampDutyValue")</f>
        <v>StampDutyValue</v>
      </c>
      <c r="R5" s="27" t="str">
        <f>IFERROR(__xludf.DUMMYFUNCTION("""COMPUTED_VALUE"""),"AUECFee1")</f>
        <v>AUECFee1</v>
      </c>
      <c r="S5" s="27" t="str">
        <f>IFERROR(__xludf.DUMMYFUNCTION("""COMPUTED_VALUE"""),"AUECFee1Value")</f>
        <v>AUECFee1Value</v>
      </c>
      <c r="T5" s="29" t="str">
        <f>IFERROR(__xludf.DUMMYFUNCTION("""COMPUTED_VALUE"""),"AUECFee2")</f>
        <v>AUECFee2</v>
      </c>
      <c r="U5" s="29" t="str">
        <f>IFERROR(__xludf.DUMMYFUNCTION("""COMPUTED_VALUE"""),"AUECFee2Value")</f>
        <v>AUECFee2Value</v>
      </c>
      <c r="V5" s="29" t="str">
        <f>IFERROR(__xludf.DUMMYFUNCTION("""COMPUTED_VALUE"""),"SECFee")</f>
        <v>SECFee</v>
      </c>
      <c r="W5" s="29" t="str">
        <f>IFERROR(__xludf.DUMMYFUNCTION("""COMPUTED_VALUE"""),"SECFeeValue")</f>
        <v>SECFeeValue</v>
      </c>
      <c r="X5" s="29" t="str">
        <f>IFERROR(__xludf.DUMMYFUNCTION("""COMPUTED_VALUE"""),"OCCFee")</f>
        <v>OCCFee</v>
      </c>
      <c r="Y5" s="29" t="str">
        <f>IFERROR(__xludf.DUMMYFUNCTION("""COMPUTED_VALUE"""),"OCCFeeValue")</f>
        <v>OCCFeeValue</v>
      </c>
      <c r="Z5" s="29" t="str">
        <f>IFERROR(__xludf.DUMMYFUNCTION("""COMPUTED_VALUE"""),"ORFFee")</f>
        <v>ORFFee</v>
      </c>
      <c r="AA5" s="29" t="str">
        <f>IFERROR(__xludf.DUMMYFUNCTION("""COMPUTED_VALUE"""),"ORFFeeValue")</f>
        <v>ORFFeeValue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35</v>
      </c>
      <c r="C6" s="34"/>
      <c r="D6" s="33" t="s">
        <v>36</v>
      </c>
      <c r="E6" s="35">
        <v>0.2</v>
      </c>
      <c r="F6" s="34" t="s">
        <v>37</v>
      </c>
      <c r="G6" s="35">
        <v>0.2</v>
      </c>
      <c r="H6" s="34" t="s">
        <v>38</v>
      </c>
      <c r="I6" s="35">
        <v>10.0</v>
      </c>
      <c r="J6" s="34" t="s">
        <v>38</v>
      </c>
      <c r="K6" s="35">
        <v>15.0</v>
      </c>
      <c r="L6" s="34" t="s">
        <v>38</v>
      </c>
      <c r="M6" s="35">
        <v>20.0</v>
      </c>
      <c r="N6" s="34" t="s">
        <v>38</v>
      </c>
      <c r="O6" s="35">
        <v>25.0</v>
      </c>
      <c r="P6" s="34" t="s">
        <v>38</v>
      </c>
      <c r="Q6" s="35">
        <v>30.0</v>
      </c>
      <c r="R6" s="34" t="s">
        <v>38</v>
      </c>
      <c r="S6" s="35">
        <v>35.0</v>
      </c>
      <c r="T6" s="36" t="s">
        <v>38</v>
      </c>
      <c r="U6" s="37">
        <v>40.0</v>
      </c>
      <c r="V6" s="36" t="s">
        <v>38</v>
      </c>
      <c r="W6" s="37">
        <v>45.0</v>
      </c>
      <c r="X6" s="36" t="s">
        <v>38</v>
      </c>
      <c r="Y6" s="37">
        <v>50.0</v>
      </c>
      <c r="Z6" s="36" t="s">
        <v>38</v>
      </c>
      <c r="AA6" s="37">
        <v>55.0</v>
      </c>
      <c r="AB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CommissionBulkChangeOnGroups!$4:$4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E6" s="11">
        <v>100.0</v>
      </c>
      <c r="F6" s="11"/>
      <c r="G6" s="11" t="s">
        <v>40</v>
      </c>
      <c r="H6" s="8"/>
      <c r="I6" s="8"/>
      <c r="J6" s="8"/>
      <c r="K6" s="11">
        <v>15.0</v>
      </c>
      <c r="L6" s="11">
        <v>15.0</v>
      </c>
      <c r="M6" s="8"/>
      <c r="N6" s="8"/>
      <c r="O6" s="8"/>
      <c r="AE6" s="9">
        <v>100.0</v>
      </c>
      <c r="AT6" s="9">
        <v>75365.0</v>
      </c>
      <c r="AU6" s="9">
        <v>75365.0</v>
      </c>
      <c r="BE6" s="9">
        <v>75000.0</v>
      </c>
      <c r="BF6" s="9">
        <v>75000.0</v>
      </c>
      <c r="BI6" s="9" t="s">
        <v>41</v>
      </c>
      <c r="BJ6" s="9">
        <v>100.0</v>
      </c>
      <c r="BO6" s="11" t="s">
        <v>17</v>
      </c>
      <c r="BT6" s="11" t="s">
        <v>16</v>
      </c>
    </row>
    <row r="7" ht="15.75" customHeight="1">
      <c r="A7" s="8"/>
      <c r="B7" s="11" t="s">
        <v>32</v>
      </c>
      <c r="E7" s="11">
        <v>100.0</v>
      </c>
      <c r="F7" s="11"/>
      <c r="G7" s="11" t="s">
        <v>40</v>
      </c>
      <c r="H7" s="8"/>
      <c r="I7" s="8"/>
      <c r="J7" s="8"/>
      <c r="K7" s="11">
        <v>12.0</v>
      </c>
      <c r="L7" s="11">
        <v>12.0</v>
      </c>
      <c r="M7" s="8"/>
      <c r="N7" s="8"/>
      <c r="O7" s="8"/>
      <c r="AE7" s="9">
        <v>100.0</v>
      </c>
      <c r="AT7" s="9">
        <v>59635.0</v>
      </c>
      <c r="AU7" s="9">
        <v>59635.0</v>
      </c>
      <c r="BE7" s="9">
        <v>60000.0</v>
      </c>
      <c r="BF7" s="9">
        <v>60000.0</v>
      </c>
      <c r="BI7" s="9" t="s">
        <v>41</v>
      </c>
      <c r="BJ7" s="9">
        <v>100.0</v>
      </c>
      <c r="BO7" s="31" t="s">
        <v>19</v>
      </c>
      <c r="BT7" s="11" t="s">
        <v>16</v>
      </c>
    </row>
    <row r="8" ht="15.75" customHeight="1">
      <c r="A8" s="8"/>
      <c r="B8" s="11" t="s">
        <v>32</v>
      </c>
      <c r="E8" s="11">
        <v>100.0</v>
      </c>
      <c r="F8" s="11"/>
      <c r="G8" s="11" t="s">
        <v>40</v>
      </c>
      <c r="H8" s="8"/>
      <c r="I8" s="8"/>
      <c r="J8" s="8"/>
      <c r="K8" s="11">
        <v>15.0</v>
      </c>
      <c r="L8" s="11">
        <v>15.0</v>
      </c>
      <c r="M8" s="8"/>
      <c r="N8" s="8"/>
      <c r="O8" s="8"/>
      <c r="AE8" s="9">
        <v>100.0</v>
      </c>
      <c r="AT8" s="9">
        <v>75365.0</v>
      </c>
      <c r="AU8" s="9">
        <v>75365.0</v>
      </c>
      <c r="BE8" s="9">
        <v>75000.0</v>
      </c>
      <c r="BF8" s="9">
        <v>75000.0</v>
      </c>
      <c r="BI8" s="9" t="s">
        <v>41</v>
      </c>
      <c r="BJ8" s="9">
        <v>100.0</v>
      </c>
      <c r="BO8" s="11" t="s">
        <v>20</v>
      </c>
      <c r="BT8" s="11" t="s">
        <v>16</v>
      </c>
    </row>
    <row r="9" ht="15.75" customHeight="1">
      <c r="A9" s="8"/>
      <c r="B9" s="11" t="s">
        <v>32</v>
      </c>
      <c r="E9" s="11">
        <v>50.0</v>
      </c>
      <c r="F9" s="11"/>
      <c r="G9" s="11" t="s">
        <v>40</v>
      </c>
      <c r="H9" s="8"/>
      <c r="I9" s="8"/>
      <c r="J9" s="8"/>
      <c r="K9" s="11">
        <v>13.0</v>
      </c>
      <c r="L9" s="11">
        <v>13.0</v>
      </c>
      <c r="M9" s="8"/>
      <c r="N9" s="8"/>
      <c r="O9" s="8"/>
      <c r="AE9" s="9">
        <v>50.0</v>
      </c>
      <c r="AT9" s="9">
        <v>32155.0</v>
      </c>
      <c r="AU9" s="9">
        <v>32155.0</v>
      </c>
      <c r="BE9" s="9">
        <v>32500.0</v>
      </c>
      <c r="BF9" s="9">
        <v>32500.0</v>
      </c>
      <c r="BI9" s="9" t="s">
        <v>41</v>
      </c>
      <c r="BJ9" s="9">
        <v>50.0</v>
      </c>
      <c r="BO9" s="11" t="s">
        <v>21</v>
      </c>
      <c r="BT9" s="11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30">
        <v>43042.0</v>
      </c>
      <c r="D6" s="30">
        <v>43043.0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b">
        <v>1</v>
      </c>
      <c r="C6" s="39" t="b">
        <v>1</v>
      </c>
      <c r="D6" s="33" t="s">
        <v>45</v>
      </c>
      <c r="E6" s="34" t="s">
        <v>46</v>
      </c>
      <c r="F6" s="34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32</v>
      </c>
      <c r="E6" s="32"/>
      <c r="F6" s="8"/>
      <c r="G6" s="11" t="s">
        <v>40</v>
      </c>
      <c r="H6" s="11" t="s">
        <v>16</v>
      </c>
      <c r="I6" s="11">
        <v>100.0</v>
      </c>
      <c r="J6" s="9">
        <v>15.0</v>
      </c>
      <c r="K6" s="11">
        <v>12.0</v>
      </c>
      <c r="L6" s="11"/>
      <c r="M6" s="11">
        <v>-15730.0</v>
      </c>
      <c r="N6" s="8"/>
      <c r="O6" s="11"/>
    </row>
    <row r="7" ht="15.75" customHeight="1">
      <c r="A7" s="8"/>
      <c r="B7" s="8"/>
      <c r="C7" s="8"/>
      <c r="D7" s="11" t="s">
        <v>32</v>
      </c>
      <c r="E7" s="8"/>
      <c r="F7" s="8"/>
      <c r="G7" s="11" t="s">
        <v>40</v>
      </c>
      <c r="H7" s="11" t="s">
        <v>16</v>
      </c>
      <c r="I7" s="11">
        <v>50.0</v>
      </c>
      <c r="J7" s="9">
        <v>15.0</v>
      </c>
      <c r="K7" s="11">
        <v>13.0</v>
      </c>
      <c r="L7" s="11"/>
      <c r="M7" s="11">
        <v>-5527.5</v>
      </c>
      <c r="N7" s="8"/>
      <c r="O7" s="11"/>
    </row>
    <row r="8" ht="15.75" customHeight="1">
      <c r="A8" s="8"/>
      <c r="B8" s="8"/>
      <c r="C8" s="8"/>
      <c r="D8" s="8"/>
      <c r="E8" s="8"/>
      <c r="F8" s="8"/>
      <c r="G8" s="8"/>
      <c r="H8" s="11"/>
      <c r="I8" s="11"/>
      <c r="K8" s="11"/>
      <c r="L8" s="11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11"/>
      <c r="I9" s="11"/>
      <c r="K9" s="11"/>
      <c r="L9" s="11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11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 t="s">
        <v>53</v>
      </c>
      <c r="E6" s="11">
        <v>-75365.0</v>
      </c>
      <c r="F6" s="8"/>
      <c r="G6" s="8"/>
      <c r="H6" s="8"/>
      <c r="I6" s="8"/>
      <c r="J6" s="8"/>
      <c r="K6" s="11" t="s">
        <v>54</v>
      </c>
      <c r="L6" s="8"/>
      <c r="M6" s="8"/>
      <c r="N6" s="8"/>
      <c r="O6" s="8"/>
      <c r="AB6" s="11" t="s">
        <v>16</v>
      </c>
      <c r="AG6" s="9" t="s">
        <v>55</v>
      </c>
    </row>
    <row r="7" ht="15.75" customHeight="1">
      <c r="A7" s="8"/>
      <c r="B7" s="11" t="s">
        <v>32</v>
      </c>
      <c r="C7" s="8"/>
      <c r="D7" s="40" t="s">
        <v>56</v>
      </c>
      <c r="E7" s="11">
        <v>-75365.0</v>
      </c>
      <c r="F7" s="8"/>
      <c r="G7" s="8"/>
      <c r="H7" s="8"/>
      <c r="I7" s="8"/>
      <c r="J7" s="8"/>
      <c r="K7" s="11" t="s">
        <v>54</v>
      </c>
      <c r="L7" s="8"/>
      <c r="M7" s="8"/>
      <c r="N7" s="8"/>
      <c r="O7" s="8"/>
      <c r="AB7" s="11" t="s">
        <v>16</v>
      </c>
      <c r="AG7" s="9" t="s">
        <v>55</v>
      </c>
    </row>
    <row r="8" ht="15.75" customHeight="1">
      <c r="A8" s="8"/>
      <c r="B8" s="11" t="s">
        <v>32</v>
      </c>
      <c r="C8" s="8"/>
      <c r="D8" s="11" t="s">
        <v>53</v>
      </c>
      <c r="E8" s="11">
        <v>32155.0</v>
      </c>
      <c r="F8" s="8"/>
      <c r="G8" s="8"/>
      <c r="H8" s="8"/>
      <c r="I8" s="8"/>
      <c r="J8" s="8"/>
      <c r="K8" s="11" t="s">
        <v>54</v>
      </c>
      <c r="L8" s="8"/>
      <c r="M8" s="8"/>
      <c r="N8" s="8"/>
      <c r="O8" s="8"/>
      <c r="AB8" s="11" t="s">
        <v>16</v>
      </c>
      <c r="AG8" s="9" t="s">
        <v>55</v>
      </c>
    </row>
    <row r="9" ht="15.75" customHeight="1">
      <c r="A9" s="8"/>
      <c r="B9" s="11" t="s">
        <v>32</v>
      </c>
      <c r="C9" s="8"/>
      <c r="D9" s="40" t="s">
        <v>56</v>
      </c>
      <c r="E9" s="11">
        <v>59635.0</v>
      </c>
      <c r="F9" s="8"/>
      <c r="G9" s="8"/>
      <c r="H9" s="8"/>
      <c r="I9" s="8"/>
      <c r="J9" s="8"/>
      <c r="K9" s="11" t="s">
        <v>54</v>
      </c>
      <c r="L9" s="8"/>
      <c r="M9" s="8"/>
      <c r="N9" s="8"/>
      <c r="O9" s="8"/>
      <c r="AB9" s="11" t="s">
        <v>16</v>
      </c>
      <c r="AG9" s="9" t="s">
        <v>55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8.43"/>
    <col customWidth="1" min="18" max="18" width="25.86"/>
    <col customWidth="1" min="1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43042.0</v>
      </c>
      <c r="C6" s="8"/>
      <c r="D6" s="11"/>
      <c r="E6" s="11">
        <v>75365.0</v>
      </c>
      <c r="F6" s="8"/>
      <c r="G6" s="8"/>
      <c r="H6" s="8"/>
      <c r="I6" s="11" t="s">
        <v>59</v>
      </c>
      <c r="J6" s="8"/>
      <c r="K6" s="11" t="s">
        <v>54</v>
      </c>
      <c r="L6" s="11" t="s">
        <v>54</v>
      </c>
      <c r="M6" s="11" t="s">
        <v>16</v>
      </c>
      <c r="N6" s="8"/>
      <c r="O6" s="11">
        <v>75365.0</v>
      </c>
      <c r="P6" s="8"/>
      <c r="Q6" s="9" t="s">
        <v>60</v>
      </c>
      <c r="R6" s="9" t="s">
        <v>32</v>
      </c>
    </row>
    <row r="7" ht="15.75" customHeight="1">
      <c r="A7" s="8"/>
      <c r="B7" s="30">
        <v>43042.0</v>
      </c>
      <c r="C7" s="8"/>
      <c r="D7" s="8"/>
      <c r="E7" s="8"/>
      <c r="F7" s="11">
        <v>75365.0</v>
      </c>
      <c r="G7" s="8"/>
      <c r="H7" s="8"/>
      <c r="I7" s="11" t="s">
        <v>61</v>
      </c>
      <c r="J7" s="8"/>
      <c r="K7" s="11" t="s">
        <v>54</v>
      </c>
      <c r="L7" s="11" t="s">
        <v>54</v>
      </c>
      <c r="M7" s="11" t="s">
        <v>16</v>
      </c>
      <c r="N7" s="8"/>
      <c r="O7" s="8"/>
      <c r="P7" s="11">
        <v>75365.0</v>
      </c>
      <c r="Q7" s="9" t="s">
        <v>62</v>
      </c>
      <c r="R7" s="9" t="s">
        <v>32</v>
      </c>
    </row>
    <row r="8" ht="15.75" customHeight="1">
      <c r="A8" s="8"/>
      <c r="B8" s="30">
        <v>43042.0</v>
      </c>
      <c r="C8" s="8"/>
      <c r="D8" s="8"/>
      <c r="E8" s="11">
        <v>75365.0</v>
      </c>
      <c r="F8" s="8"/>
      <c r="G8" s="8"/>
      <c r="H8" s="8"/>
      <c r="I8" s="11" t="s">
        <v>59</v>
      </c>
      <c r="J8" s="8"/>
      <c r="K8" s="11" t="s">
        <v>54</v>
      </c>
      <c r="L8" s="11" t="s">
        <v>54</v>
      </c>
      <c r="M8" s="11" t="s">
        <v>16</v>
      </c>
      <c r="N8" s="8"/>
      <c r="O8" s="11">
        <v>75365.0</v>
      </c>
      <c r="P8" s="8"/>
      <c r="Q8" s="41" t="s">
        <v>63</v>
      </c>
      <c r="R8" s="9" t="s">
        <v>32</v>
      </c>
    </row>
    <row r="9" ht="15.75" customHeight="1">
      <c r="A9" s="8"/>
      <c r="B9" s="30">
        <v>43042.0</v>
      </c>
      <c r="C9" s="8"/>
      <c r="D9" s="8"/>
      <c r="E9" s="8"/>
      <c r="F9" s="11">
        <v>75365.0</v>
      </c>
      <c r="G9" s="8"/>
      <c r="H9" s="8"/>
      <c r="I9" s="11" t="s">
        <v>61</v>
      </c>
      <c r="J9" s="8"/>
      <c r="K9" s="11" t="s">
        <v>54</v>
      </c>
      <c r="L9" s="11" t="s">
        <v>54</v>
      </c>
      <c r="M9" s="11" t="s">
        <v>16</v>
      </c>
      <c r="N9" s="8"/>
      <c r="O9" s="8"/>
      <c r="P9" s="11">
        <v>75365.0</v>
      </c>
      <c r="Q9" s="9" t="s">
        <v>62</v>
      </c>
      <c r="R9" s="9" t="s">
        <v>32</v>
      </c>
    </row>
    <row r="10" ht="15.75" customHeight="1">
      <c r="A10" s="8"/>
      <c r="B10" s="30">
        <v>43043.0</v>
      </c>
      <c r="C10" s="8"/>
      <c r="D10" s="8"/>
      <c r="E10" s="11">
        <v>365.0</v>
      </c>
      <c r="F10" s="8"/>
      <c r="G10" s="8"/>
      <c r="H10" s="8"/>
      <c r="I10" s="11" t="s">
        <v>59</v>
      </c>
      <c r="J10" s="8"/>
      <c r="K10" s="11" t="s">
        <v>54</v>
      </c>
      <c r="L10" s="11" t="s">
        <v>54</v>
      </c>
      <c r="M10" s="11" t="s">
        <v>16</v>
      </c>
      <c r="N10" s="8"/>
      <c r="O10" s="11">
        <v>365.0</v>
      </c>
      <c r="P10" s="8"/>
      <c r="Q10" s="41" t="s">
        <v>63</v>
      </c>
      <c r="R10" s="9" t="s">
        <v>32</v>
      </c>
    </row>
    <row r="11" ht="15.75" customHeight="1">
      <c r="A11" s="8"/>
      <c r="B11" s="30">
        <v>43043.0</v>
      </c>
      <c r="C11" s="8"/>
      <c r="D11" s="8"/>
      <c r="E11" s="8"/>
      <c r="F11" s="11">
        <v>365.0</v>
      </c>
      <c r="G11" s="8"/>
      <c r="H11" s="8"/>
      <c r="I11" s="11" t="s">
        <v>61</v>
      </c>
      <c r="J11" s="8"/>
      <c r="K11" s="11" t="s">
        <v>54</v>
      </c>
      <c r="L11" s="11" t="s">
        <v>54</v>
      </c>
      <c r="M11" s="11" t="s">
        <v>16</v>
      </c>
      <c r="N11" s="8"/>
      <c r="O11" s="8"/>
      <c r="P11" s="11">
        <v>365.0</v>
      </c>
      <c r="Q11" s="9" t="s">
        <v>62</v>
      </c>
      <c r="R11" s="9" t="s">
        <v>32</v>
      </c>
    </row>
    <row r="12" ht="15.75" customHeight="1">
      <c r="A12" s="8"/>
      <c r="B12" s="30">
        <v>43043.0</v>
      </c>
      <c r="C12" s="8"/>
      <c r="D12" s="8"/>
      <c r="E12" s="11">
        <v>60000.0</v>
      </c>
      <c r="F12" s="8"/>
      <c r="G12" s="8"/>
      <c r="H12" s="8"/>
      <c r="I12" s="11" t="s">
        <v>59</v>
      </c>
      <c r="J12" s="8"/>
      <c r="K12" s="11" t="s">
        <v>54</v>
      </c>
      <c r="L12" s="11" t="s">
        <v>54</v>
      </c>
      <c r="M12" s="11" t="s">
        <v>16</v>
      </c>
      <c r="N12" s="8"/>
      <c r="O12" s="11">
        <v>60000.0</v>
      </c>
      <c r="P12" s="8"/>
      <c r="Q12" s="9" t="s">
        <v>62</v>
      </c>
      <c r="R12" s="9" t="s">
        <v>32</v>
      </c>
    </row>
    <row r="13" ht="15.75" customHeight="1">
      <c r="A13" s="8"/>
      <c r="B13" s="30">
        <v>43043.0</v>
      </c>
      <c r="C13" s="8"/>
      <c r="D13" s="8"/>
      <c r="E13" s="8"/>
      <c r="F13" s="11">
        <v>60000.0</v>
      </c>
      <c r="G13" s="8"/>
      <c r="H13" s="8"/>
      <c r="I13" s="11" t="s">
        <v>61</v>
      </c>
      <c r="J13" s="8"/>
      <c r="K13" s="11" t="s">
        <v>54</v>
      </c>
      <c r="L13" s="11" t="s">
        <v>54</v>
      </c>
      <c r="M13" s="11" t="s">
        <v>16</v>
      </c>
      <c r="N13" s="8"/>
      <c r="O13" s="8"/>
      <c r="P13" s="11">
        <v>60000.0</v>
      </c>
      <c r="Q13" s="41" t="s">
        <v>63</v>
      </c>
      <c r="R13" s="9" t="s">
        <v>32</v>
      </c>
    </row>
    <row r="14" ht="15.75" customHeight="1">
      <c r="A14" s="8"/>
      <c r="B14" s="30">
        <v>43043.0</v>
      </c>
      <c r="C14" s="8"/>
      <c r="D14" s="8"/>
      <c r="E14" s="11">
        <v>345.0</v>
      </c>
      <c r="F14" s="8"/>
      <c r="G14" s="8"/>
      <c r="H14" s="8"/>
      <c r="I14" s="11" t="s">
        <v>59</v>
      </c>
      <c r="J14" s="8"/>
      <c r="K14" s="11" t="s">
        <v>54</v>
      </c>
      <c r="L14" s="11" t="s">
        <v>54</v>
      </c>
      <c r="M14" s="11" t="s">
        <v>16</v>
      </c>
      <c r="N14" s="8"/>
      <c r="O14" s="11">
        <v>345.0</v>
      </c>
      <c r="P14" s="8"/>
      <c r="Q14" s="9" t="s">
        <v>60</v>
      </c>
      <c r="R14" s="9" t="s">
        <v>32</v>
      </c>
    </row>
    <row r="15" ht="15.75" customHeight="1">
      <c r="A15" s="8"/>
      <c r="B15" s="30">
        <v>43043.0</v>
      </c>
      <c r="C15" s="8"/>
      <c r="D15" s="8"/>
      <c r="E15" s="8"/>
      <c r="F15" s="11">
        <v>345.0</v>
      </c>
      <c r="G15" s="8"/>
      <c r="H15" s="8"/>
      <c r="I15" s="11" t="s">
        <v>61</v>
      </c>
      <c r="J15" s="8"/>
      <c r="K15" s="11" t="s">
        <v>54</v>
      </c>
      <c r="L15" s="11" t="s">
        <v>54</v>
      </c>
      <c r="M15" s="11" t="s">
        <v>16</v>
      </c>
      <c r="N15" s="8"/>
      <c r="O15" s="8"/>
      <c r="P15" s="11">
        <v>345.0</v>
      </c>
      <c r="Q15" s="9" t="s">
        <v>62</v>
      </c>
      <c r="R15" s="9" t="s">
        <v>32</v>
      </c>
    </row>
    <row r="16" ht="15.75" customHeight="1">
      <c r="A16" s="8"/>
      <c r="B16" s="30">
        <v>43043.0</v>
      </c>
      <c r="C16" s="8"/>
      <c r="D16" s="8"/>
      <c r="E16" s="11">
        <v>32500.0</v>
      </c>
      <c r="F16" s="8"/>
      <c r="G16" s="8"/>
      <c r="H16" s="8"/>
      <c r="I16" s="11" t="s">
        <v>59</v>
      </c>
      <c r="J16" s="8"/>
      <c r="K16" s="11" t="s">
        <v>54</v>
      </c>
      <c r="L16" s="11" t="s">
        <v>54</v>
      </c>
      <c r="M16" s="11" t="s">
        <v>16</v>
      </c>
      <c r="N16" s="8"/>
      <c r="O16" s="11">
        <v>32500.0</v>
      </c>
      <c r="P16" s="8"/>
      <c r="Q16" s="9" t="s">
        <v>62</v>
      </c>
      <c r="R16" s="9" t="s">
        <v>32</v>
      </c>
    </row>
    <row r="17" ht="15.75" customHeight="1">
      <c r="A17" s="8"/>
      <c r="B17" s="30">
        <v>43043.0</v>
      </c>
      <c r="C17" s="8"/>
      <c r="D17" s="8"/>
      <c r="E17" s="8"/>
      <c r="F17" s="11">
        <v>32500.0</v>
      </c>
      <c r="G17" s="8"/>
      <c r="H17" s="8"/>
      <c r="I17" s="11" t="s">
        <v>61</v>
      </c>
      <c r="J17" s="8"/>
      <c r="K17" s="11" t="s">
        <v>54</v>
      </c>
      <c r="L17" s="11" t="s">
        <v>54</v>
      </c>
      <c r="M17" s="11" t="s">
        <v>16</v>
      </c>
      <c r="N17" s="8"/>
      <c r="O17" s="8"/>
      <c r="P17" s="11">
        <v>32500.0</v>
      </c>
      <c r="Q17" s="9" t="s">
        <v>60</v>
      </c>
      <c r="R17" s="9" t="s">
        <v>32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IFERROR(__xludf.DUMMYFUNCTION("""COMPUTED_VALUE"""),"Net Amount(Local)")</f>
        <v>Net Amount(Local)</v>
      </c>
      <c r="G5" s="27" t="str">
        <f>IFERROR(__xludf.DUMMYFUNCTION("""COMPUTED_VALUE"""),"ActivityType")</f>
        <v>ActivityType</v>
      </c>
      <c r="H5" s="27" t="str">
        <f>IFERROR(__xludf.DUMMYFUNCTION("""COMPUTED_VALUE"""),"Transaction Source")</f>
        <v>Transaction Source</v>
      </c>
      <c r="I5" s="27" t="str">
        <f>IFERROR(__xludf.DUMMYFUNCTION("""COMPUTED_VALUE"""),"Total Commissions")</f>
        <v>Total Commissions</v>
      </c>
      <c r="J5" s="27" t="str">
        <f>IFERROR(__xludf.DUMMYFUNCTION("""COMPUTED_VALUE"""),"Balance Type")</f>
        <v>Balance Type</v>
      </c>
      <c r="K5" s="27" t="str">
        <f>IFERROR(__xludf.DUMMYFUNCTION("""COMPUTED_VALUE"""),"Settlement Date")</f>
        <v>Settlement Date</v>
      </c>
      <c r="L5" s="27" t="str">
        <f>IFERROR(__xludf.DUMMYFUNCTION("""COMPUTED_VALUE"""),"Lead Currency")</f>
        <v>Lead Currency</v>
      </c>
      <c r="M5" s="27" t="str">
        <f>IFERROR(__xludf.DUMMYFUNCTION("""COMPUTED_VALUE"""),"Vs Currency")</f>
        <v>Vs Currency</v>
      </c>
      <c r="N5" s="27" t="str">
        <f>IFERROR(__xludf.DUMMYFUNCTION("""COMPUTED_VALUE"""),"Quantity")</f>
        <v>Quantity</v>
      </c>
      <c r="O5" s="27" t="str">
        <f>IFERROR(__xludf.DUMMYFUNCTION("""COMPUTED_VALUE"""),"Commission")</f>
        <v>Commission</v>
      </c>
      <c r="P5" s="27" t="str">
        <f>IFERROR(__xludf.DUMMYFUNCTION("""COMPUTED_VALUE"""),"Soft Commission")</f>
        <v>Soft Commission</v>
      </c>
      <c r="Q5" s="27" t="str">
        <f>IFERROR(__xludf.DUMMYFUNCTION("""COMPUTED_VALUE"""),"Other Broker Fees")</f>
        <v>Other Broker Fees</v>
      </c>
      <c r="R5" s="27" t="str">
        <f>IFERROR(__xludf.DUMMYFUNCTION("""COMPUTED_VALUE"""),"Clearing Broker Fees")</f>
        <v>Clearing Broker Fees</v>
      </c>
      <c r="S5" s="27" t="str">
        <f>IFERROR(__xludf.DUMMYFUNCTION("""COMPUTED_VALUE"""),"Stamp Duty")</f>
        <v>Stamp Duty</v>
      </c>
      <c r="T5" s="29" t="str">
        <f>IFERROR(__xludf.DUMMYFUNCTION("""COMPUTED_VALUE"""),"Transaction Levy")</f>
        <v>Transaction Levy</v>
      </c>
      <c r="U5" s="29" t="str">
        <f>IFERROR(__xludf.DUMMYFUNCTION("""COMPUTED_VALUE"""),"AUEC Fee1")</f>
        <v>AUEC Fee1</v>
      </c>
      <c r="V5" s="29" t="str">
        <f>IFERROR(__xludf.DUMMYFUNCTION("""COMPUTED_VALUE"""),"Tax On Commissions")</f>
        <v>Tax On Commissions</v>
      </c>
      <c r="W5" s="29" t="str">
        <f>IFERROR(__xludf.DUMMYFUNCTION("""COMPUTED_VALUE"""),"AUEC Fee2")</f>
        <v>AUEC Fee2</v>
      </c>
      <c r="X5" s="29" t="str">
        <f>IFERROR(__xludf.DUMMYFUNCTION("""COMPUTED_VALUE"""),"SEC Fee")</f>
        <v>SEC Fee</v>
      </c>
      <c r="Y5" s="29" t="str">
        <f>IFERROR(__xludf.DUMMYFUNCTION("""COMPUTED_VALUE"""),"OCC Fee")</f>
        <v>OCC Fee</v>
      </c>
      <c r="Z5" s="29" t="str">
        <f>IFERROR(__xludf.DUMMYFUNCTION("""COMPUTED_VALUE"""),"ORF Fee")</f>
        <v>ORF Fee</v>
      </c>
      <c r="AA5" s="29" t="str">
        <f>IFERROR(__xludf.DUMMYFUNCTION("""COMPUTED_VALUE"""),"Fx Rate")</f>
        <v>Fx Rate</v>
      </c>
      <c r="AB5" s="29" t="str">
        <f>IFERROR(__xludf.DUMMYFUNCTION("""COMPUTED_VALUE"""),"Modify Date")</f>
        <v>Modify Date</v>
      </c>
      <c r="AC5" s="29" t="str">
        <f>IFERROR(__xludf.DUMMYFUNCTION("""COMPUTED_VALUE"""),"Entry Date")</f>
        <v>Entry Date</v>
      </c>
      <c r="AD5" s="29" t="str">
        <f>IFERROR(__xludf.DUMMYFUNCTION("""COMPUTED_VALUE"""),"User")</f>
        <v>User</v>
      </c>
      <c r="AE5" s="29" t="str">
        <f>IFERROR(__xludf.DUMMYFUNCTION("""COMPUTED_VALUE"""),"FX Conversion Method Operator")</f>
        <v>FX Conversion Method Operator</v>
      </c>
      <c r="AF5" s="29" t="str">
        <f>IFERROR(__xludf.DUMMYFUNCTION("""COMPUTED_VALUE"""),"Description")</f>
        <v>Description</v>
      </c>
      <c r="AG5" s="29" t="str">
        <f>IFERROR(__xludf.DUMMYFUNCTION("""COMPUTED_VALUE"""),"Activity Source")</f>
        <v>Activity Source</v>
      </c>
      <c r="AH5" s="29" t="str">
        <f>IFERROR(__xludf.DUMMYFUNCTION("""COMPUTED_VALUE"""),"OptionPremiumAdjustment")</f>
        <v>OptionPremiumAdjustment</v>
      </c>
      <c r="AI5" s="29" t="str">
        <f>IFERROR(__xludf.DUMMYFUNCTION("""COMPUTED_VALUE"""),"Settlement Currency")</f>
        <v>Settlement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30">
        <v>43042.0</v>
      </c>
      <c r="D6" s="11" t="s">
        <v>54</v>
      </c>
      <c r="E6" s="11">
        <v>-150730.0</v>
      </c>
      <c r="F6" s="11" t="s">
        <v>54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43043.0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11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6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 t="s">
        <v>69</v>
      </c>
      <c r="E6" s="11">
        <v>124635.0</v>
      </c>
      <c r="F6" s="8"/>
      <c r="G6" s="8"/>
      <c r="H6" s="8"/>
      <c r="I6" s="8"/>
      <c r="J6" s="8"/>
      <c r="K6" s="11" t="s">
        <v>54</v>
      </c>
      <c r="L6" s="8"/>
      <c r="M6" s="8"/>
      <c r="N6" s="8"/>
      <c r="O6" s="8"/>
      <c r="AB6" s="11" t="s">
        <v>16</v>
      </c>
      <c r="AG6" s="9" t="s">
        <v>70</v>
      </c>
    </row>
    <row r="7" ht="15.75" customHeight="1">
      <c r="A7" s="8"/>
      <c r="B7" s="11" t="s">
        <v>32</v>
      </c>
      <c r="C7" s="8"/>
      <c r="D7" s="11" t="s">
        <v>69</v>
      </c>
      <c r="E7" s="11">
        <v>124635.0</v>
      </c>
      <c r="F7" s="8"/>
      <c r="G7" s="8"/>
      <c r="H7" s="8"/>
      <c r="I7" s="8"/>
      <c r="J7" s="8"/>
      <c r="K7" s="11" t="s">
        <v>54</v>
      </c>
      <c r="L7" s="8"/>
      <c r="M7" s="8"/>
      <c r="N7" s="8"/>
      <c r="O7" s="8"/>
      <c r="AB7" s="11" t="s">
        <v>16</v>
      </c>
      <c r="AG7" s="9" t="s">
        <v>70</v>
      </c>
    </row>
    <row r="8" ht="15.75" customHeight="1">
      <c r="A8" s="8"/>
      <c r="B8" s="11" t="s">
        <v>32</v>
      </c>
      <c r="C8" s="8"/>
      <c r="D8" s="11" t="s">
        <v>53</v>
      </c>
      <c r="E8" s="11">
        <v>-75365.0</v>
      </c>
      <c r="F8" s="8"/>
      <c r="G8" s="8"/>
      <c r="H8" s="8"/>
      <c r="I8" s="8"/>
      <c r="J8" s="8"/>
      <c r="K8" s="11" t="s">
        <v>54</v>
      </c>
      <c r="L8" s="8"/>
      <c r="M8" s="8"/>
      <c r="N8" s="8"/>
      <c r="O8" s="8"/>
      <c r="AB8" s="11" t="s">
        <v>16</v>
      </c>
      <c r="AG8" s="9" t="s">
        <v>55</v>
      </c>
    </row>
    <row r="9" ht="15.75" customHeight="1">
      <c r="A9" s="8"/>
      <c r="B9" s="11" t="s">
        <v>32</v>
      </c>
      <c r="C9" s="8"/>
      <c r="D9" s="40" t="s">
        <v>56</v>
      </c>
      <c r="E9" s="11">
        <v>-75365.0</v>
      </c>
      <c r="F9" s="8"/>
      <c r="G9" s="8"/>
      <c r="H9" s="8"/>
      <c r="I9" s="8"/>
      <c r="J9" s="8"/>
      <c r="K9" s="11" t="s">
        <v>54</v>
      </c>
      <c r="L9" s="8"/>
      <c r="M9" s="8"/>
      <c r="N9" s="8"/>
      <c r="O9" s="8"/>
      <c r="AB9" s="11" t="s">
        <v>16</v>
      </c>
      <c r="AG9" s="9" t="s">
        <v>55</v>
      </c>
    </row>
    <row r="10" ht="15.75" customHeight="1">
      <c r="A10" s="8"/>
      <c r="B10" s="11" t="s">
        <v>32</v>
      </c>
      <c r="C10" s="8"/>
      <c r="D10" s="11" t="s">
        <v>71</v>
      </c>
      <c r="E10" s="11">
        <v>-15730.0</v>
      </c>
      <c r="F10" s="8"/>
      <c r="G10" s="8"/>
      <c r="H10" s="8"/>
      <c r="I10" s="8"/>
      <c r="J10" s="8"/>
      <c r="K10" s="11" t="s">
        <v>54</v>
      </c>
      <c r="L10" s="8"/>
      <c r="M10" s="8"/>
      <c r="N10" s="8"/>
      <c r="O10" s="8"/>
      <c r="AB10" s="11" t="s">
        <v>16</v>
      </c>
      <c r="AG10" s="9" t="s">
        <v>70</v>
      </c>
    </row>
    <row r="11" ht="15.75" customHeight="1">
      <c r="A11" s="8"/>
      <c r="B11" s="11" t="s">
        <v>32</v>
      </c>
      <c r="C11" s="8"/>
      <c r="D11" s="11" t="s">
        <v>71</v>
      </c>
      <c r="E11" s="11">
        <v>-5527.5</v>
      </c>
      <c r="F11" s="8"/>
      <c r="G11" s="8"/>
      <c r="H11" s="8"/>
      <c r="I11" s="8"/>
      <c r="J11" s="8"/>
      <c r="K11" s="11" t="s">
        <v>54</v>
      </c>
      <c r="L11" s="8"/>
      <c r="M11" s="8"/>
      <c r="N11" s="8"/>
      <c r="O11" s="8"/>
      <c r="AB11" s="11" t="s">
        <v>16</v>
      </c>
      <c r="AG11" s="9" t="s">
        <v>70</v>
      </c>
    </row>
    <row r="12" ht="15.75" customHeight="1">
      <c r="A12" s="8"/>
      <c r="B12" s="11" t="s">
        <v>32</v>
      </c>
      <c r="C12" s="8"/>
      <c r="D12" s="11" t="s">
        <v>69</v>
      </c>
      <c r="E12" s="11">
        <v>-37682.5</v>
      </c>
      <c r="F12" s="8"/>
      <c r="G12" s="8"/>
      <c r="H12" s="8"/>
      <c r="I12" s="8"/>
      <c r="J12" s="8"/>
      <c r="K12" s="11" t="s">
        <v>54</v>
      </c>
      <c r="L12" s="8"/>
      <c r="M12" s="8"/>
      <c r="N12" s="8"/>
      <c r="O12" s="8"/>
      <c r="AB12" s="11" t="s">
        <v>16</v>
      </c>
      <c r="AG12" s="9" t="s">
        <v>70</v>
      </c>
    </row>
    <row r="13" ht="15.75" customHeight="1">
      <c r="A13" s="8"/>
      <c r="B13" s="11" t="s">
        <v>32</v>
      </c>
      <c r="C13" s="8"/>
      <c r="D13" s="11" t="s">
        <v>69</v>
      </c>
      <c r="E13" s="11">
        <v>-124635.0</v>
      </c>
      <c r="F13" s="8"/>
      <c r="G13" s="8"/>
      <c r="H13" s="8"/>
      <c r="I13" s="8"/>
      <c r="J13" s="8"/>
      <c r="K13" s="11" t="s">
        <v>54</v>
      </c>
      <c r="L13" s="8"/>
      <c r="M13" s="8"/>
      <c r="N13" s="8"/>
      <c r="O13" s="8"/>
      <c r="AB13" s="11" t="s">
        <v>16</v>
      </c>
      <c r="AG13" s="9" t="s">
        <v>70</v>
      </c>
    </row>
    <row r="14" ht="15.75" customHeight="1">
      <c r="A14" s="8"/>
      <c r="B14" s="11" t="s">
        <v>32</v>
      </c>
      <c r="C14" s="8"/>
      <c r="D14" s="11" t="s">
        <v>69</v>
      </c>
      <c r="E14" s="11">
        <v>-124635.0</v>
      </c>
      <c r="F14" s="8"/>
      <c r="G14" s="8"/>
      <c r="H14" s="8"/>
      <c r="I14" s="8"/>
      <c r="J14" s="8"/>
      <c r="K14" s="11" t="s">
        <v>54</v>
      </c>
      <c r="L14" s="8"/>
      <c r="M14" s="8"/>
      <c r="N14" s="8"/>
      <c r="O14" s="8"/>
      <c r="AB14" s="11" t="s">
        <v>16</v>
      </c>
      <c r="AG14" s="9" t="s">
        <v>70</v>
      </c>
    </row>
    <row r="15" ht="15.75" customHeight="1">
      <c r="A15" s="8"/>
      <c r="B15" s="11" t="s">
        <v>32</v>
      </c>
      <c r="C15" s="8"/>
      <c r="D15" s="11" t="s">
        <v>53</v>
      </c>
      <c r="E15" s="11">
        <v>32155.0</v>
      </c>
      <c r="F15" s="8"/>
      <c r="G15" s="8"/>
      <c r="H15" s="8"/>
      <c r="I15" s="8"/>
      <c r="J15" s="8"/>
      <c r="K15" s="11" t="s">
        <v>54</v>
      </c>
      <c r="L15" s="8"/>
      <c r="M15" s="8"/>
      <c r="N15" s="8"/>
      <c r="O15" s="8"/>
      <c r="AB15" s="11" t="s">
        <v>16</v>
      </c>
      <c r="AG15" s="9" t="s">
        <v>55</v>
      </c>
    </row>
    <row r="16" ht="15.75" customHeight="1">
      <c r="A16" s="8"/>
      <c r="B16" s="11" t="s">
        <v>32</v>
      </c>
      <c r="C16" s="8"/>
      <c r="D16" s="40" t="s">
        <v>56</v>
      </c>
      <c r="E16" s="11">
        <v>59635.0</v>
      </c>
      <c r="F16" s="8"/>
      <c r="G16" s="8"/>
      <c r="H16" s="8"/>
      <c r="I16" s="8"/>
      <c r="J16" s="8"/>
      <c r="K16" s="11" t="s">
        <v>54</v>
      </c>
      <c r="L16" s="8"/>
      <c r="M16" s="8"/>
      <c r="N16" s="8"/>
      <c r="O16" s="8"/>
      <c r="AB16" s="11" t="s">
        <v>16</v>
      </c>
      <c r="AG16" s="9" t="s">
        <v>55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B17" s="1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8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43043.0</v>
      </c>
      <c r="C6" s="11" t="s">
        <v>32</v>
      </c>
      <c r="D6" s="11" t="s">
        <v>16</v>
      </c>
      <c r="E6" s="11" t="s">
        <v>54</v>
      </c>
      <c r="F6" s="11" t="s">
        <v>74</v>
      </c>
      <c r="G6" s="11">
        <v>124635.0</v>
      </c>
      <c r="H6" s="8"/>
      <c r="I6" s="8"/>
      <c r="J6" s="8"/>
      <c r="K6" s="8"/>
      <c r="L6" s="8"/>
      <c r="M6" s="8"/>
      <c r="N6" s="11" t="s">
        <v>59</v>
      </c>
      <c r="O6" s="8"/>
      <c r="P6" s="9" t="s">
        <v>54</v>
      </c>
      <c r="R6" s="11">
        <v>124635.0</v>
      </c>
      <c r="S6" s="8"/>
    </row>
    <row r="7" ht="15.75" customHeight="1">
      <c r="A7" s="8"/>
      <c r="B7" s="30">
        <v>43043.0</v>
      </c>
      <c r="C7" s="11" t="s">
        <v>32</v>
      </c>
      <c r="D7" s="11" t="s">
        <v>16</v>
      </c>
      <c r="E7" s="11" t="s">
        <v>54</v>
      </c>
      <c r="F7" s="11" t="s">
        <v>75</v>
      </c>
      <c r="G7" s="8"/>
      <c r="H7" s="11">
        <v>124635.0</v>
      </c>
      <c r="I7" s="8"/>
      <c r="J7" s="8"/>
      <c r="K7" s="8"/>
      <c r="L7" s="8"/>
      <c r="M7" s="8"/>
      <c r="N7" s="11" t="s">
        <v>61</v>
      </c>
      <c r="O7" s="8"/>
      <c r="P7" s="9" t="s">
        <v>54</v>
      </c>
      <c r="R7" s="8"/>
      <c r="S7" s="11">
        <v>124635.0</v>
      </c>
    </row>
    <row r="8" ht="15.75" customHeight="1">
      <c r="A8" s="8"/>
      <c r="B8" s="30">
        <v>43043.0</v>
      </c>
      <c r="C8" s="11" t="s">
        <v>32</v>
      </c>
      <c r="D8" s="11" t="s">
        <v>16</v>
      </c>
      <c r="E8" s="11" t="s">
        <v>54</v>
      </c>
      <c r="F8" s="11" t="s">
        <v>74</v>
      </c>
      <c r="G8" s="11">
        <v>124635.0</v>
      </c>
      <c r="H8" s="8"/>
      <c r="I8" s="8"/>
      <c r="J8" s="8"/>
      <c r="K8" s="8"/>
      <c r="L8" s="8"/>
      <c r="M8" s="8"/>
      <c r="N8" s="11" t="s">
        <v>59</v>
      </c>
      <c r="O8" s="8"/>
      <c r="P8" s="9" t="s">
        <v>54</v>
      </c>
      <c r="R8" s="11">
        <v>124635.0</v>
      </c>
      <c r="S8" s="8"/>
    </row>
    <row r="9" ht="15.75" customHeight="1">
      <c r="A9" s="8"/>
      <c r="B9" s="30">
        <v>43043.0</v>
      </c>
      <c r="C9" s="11" t="s">
        <v>32</v>
      </c>
      <c r="D9" s="11" t="s">
        <v>16</v>
      </c>
      <c r="E9" s="11" t="s">
        <v>54</v>
      </c>
      <c r="F9" s="11" t="s">
        <v>75</v>
      </c>
      <c r="G9" s="8"/>
      <c r="H9" s="11">
        <v>124635.0</v>
      </c>
      <c r="I9" s="8"/>
      <c r="J9" s="8"/>
      <c r="K9" s="8"/>
      <c r="L9" s="8"/>
      <c r="M9" s="8"/>
      <c r="N9" s="11" t="s">
        <v>61</v>
      </c>
      <c r="O9" s="8"/>
      <c r="P9" s="9" t="s">
        <v>54</v>
      </c>
      <c r="R9" s="8"/>
      <c r="S9" s="11">
        <v>124635.0</v>
      </c>
    </row>
    <row r="10" ht="15.75" customHeight="1">
      <c r="A10" s="8"/>
      <c r="B10" s="30">
        <v>43043.0</v>
      </c>
      <c r="C10" s="11" t="s">
        <v>32</v>
      </c>
      <c r="D10" s="11" t="s">
        <v>16</v>
      </c>
      <c r="E10" s="11" t="s">
        <v>54</v>
      </c>
      <c r="F10" s="11" t="s">
        <v>74</v>
      </c>
      <c r="G10" s="11">
        <v>37682.5</v>
      </c>
      <c r="H10" s="8"/>
      <c r="I10" s="8"/>
      <c r="J10" s="8"/>
      <c r="K10" s="8"/>
      <c r="L10" s="8"/>
      <c r="M10" s="8"/>
      <c r="N10" s="11" t="s">
        <v>59</v>
      </c>
      <c r="O10" s="8"/>
      <c r="P10" s="9" t="s">
        <v>54</v>
      </c>
      <c r="R10" s="11">
        <v>37682.5</v>
      </c>
      <c r="S10" s="8"/>
    </row>
    <row r="11" ht="15.75" customHeight="1">
      <c r="A11" s="8"/>
      <c r="B11" s="30">
        <v>43043.0</v>
      </c>
      <c r="C11" s="11" t="s">
        <v>32</v>
      </c>
      <c r="D11" s="11" t="s">
        <v>16</v>
      </c>
      <c r="E11" s="11" t="s">
        <v>54</v>
      </c>
      <c r="F11" s="11" t="s">
        <v>75</v>
      </c>
      <c r="G11" s="8"/>
      <c r="H11" s="11">
        <v>37682.5</v>
      </c>
      <c r="I11" s="8"/>
      <c r="J11" s="8"/>
      <c r="K11" s="8"/>
      <c r="L11" s="8"/>
      <c r="M11" s="8"/>
      <c r="N11" s="11" t="s">
        <v>61</v>
      </c>
      <c r="O11" s="8"/>
      <c r="P11" s="9" t="s">
        <v>54</v>
      </c>
      <c r="R11" s="8"/>
      <c r="S11" s="11">
        <v>37682.5</v>
      </c>
    </row>
    <row r="12" ht="15.75" customHeight="1">
      <c r="A12" s="8"/>
      <c r="B12" s="30">
        <v>43043.0</v>
      </c>
      <c r="C12" s="11" t="s">
        <v>32</v>
      </c>
      <c r="D12" s="11" t="s">
        <v>16</v>
      </c>
      <c r="E12" s="11" t="s">
        <v>54</v>
      </c>
      <c r="F12" s="11" t="s">
        <v>76</v>
      </c>
      <c r="G12" s="11">
        <v>5527.5</v>
      </c>
      <c r="H12" s="8"/>
      <c r="I12" s="8"/>
      <c r="J12" s="8"/>
      <c r="K12" s="8"/>
      <c r="L12" s="8"/>
      <c r="M12" s="8"/>
      <c r="N12" s="11" t="s">
        <v>59</v>
      </c>
      <c r="O12" s="8"/>
      <c r="P12" s="9" t="s">
        <v>54</v>
      </c>
      <c r="R12" s="11">
        <v>5527.5</v>
      </c>
      <c r="S12" s="8"/>
    </row>
    <row r="13" ht="15.75" customHeight="1">
      <c r="A13" s="8"/>
      <c r="B13" s="30">
        <v>43043.0</v>
      </c>
      <c r="C13" s="11" t="s">
        <v>32</v>
      </c>
      <c r="D13" s="11" t="s">
        <v>16</v>
      </c>
      <c r="E13" s="11" t="s">
        <v>54</v>
      </c>
      <c r="F13" s="11" t="s">
        <v>60</v>
      </c>
      <c r="G13" s="8"/>
      <c r="H13" s="11">
        <v>5527.5</v>
      </c>
      <c r="I13" s="8"/>
      <c r="J13" s="8"/>
      <c r="K13" s="8"/>
      <c r="L13" s="8"/>
      <c r="M13" s="8"/>
      <c r="N13" s="11" t="s">
        <v>61</v>
      </c>
      <c r="O13" s="8"/>
      <c r="P13" s="9" t="s">
        <v>54</v>
      </c>
      <c r="R13" s="8"/>
      <c r="S13" s="11">
        <v>5527.5</v>
      </c>
    </row>
    <row r="14" ht="15.75" customHeight="1">
      <c r="A14" s="8"/>
      <c r="B14" s="30">
        <v>43043.0</v>
      </c>
      <c r="C14" s="11" t="s">
        <v>32</v>
      </c>
      <c r="D14" s="11" t="s">
        <v>16</v>
      </c>
      <c r="E14" s="11" t="s">
        <v>54</v>
      </c>
      <c r="F14" s="11" t="s">
        <v>76</v>
      </c>
      <c r="G14" s="11">
        <v>15730.0</v>
      </c>
      <c r="H14" s="8"/>
      <c r="I14" s="8"/>
      <c r="J14" s="8"/>
      <c r="K14" s="8"/>
      <c r="L14" s="8"/>
      <c r="M14" s="8"/>
      <c r="N14" s="11" t="s">
        <v>59</v>
      </c>
      <c r="O14" s="8"/>
      <c r="P14" s="9" t="s">
        <v>54</v>
      </c>
      <c r="R14" s="11">
        <v>15730.0</v>
      </c>
      <c r="S14" s="8"/>
    </row>
    <row r="15" ht="15.75" customHeight="1">
      <c r="A15" s="8"/>
      <c r="B15" s="30">
        <v>43043.0</v>
      </c>
      <c r="C15" s="11" t="s">
        <v>32</v>
      </c>
      <c r="D15" s="11" t="s">
        <v>16</v>
      </c>
      <c r="E15" s="11" t="s">
        <v>54</v>
      </c>
      <c r="F15" s="11" t="s">
        <v>60</v>
      </c>
      <c r="G15" s="8"/>
      <c r="H15" s="11">
        <v>15730.0</v>
      </c>
      <c r="I15" s="8"/>
      <c r="J15" s="8"/>
      <c r="K15" s="8"/>
      <c r="L15" s="8"/>
      <c r="M15" s="8"/>
      <c r="N15" s="11" t="s">
        <v>61</v>
      </c>
      <c r="O15" s="8"/>
      <c r="P15" s="9" t="s">
        <v>54</v>
      </c>
      <c r="R15" s="8"/>
      <c r="S15" s="11">
        <v>15730.0</v>
      </c>
    </row>
    <row r="16" ht="15.75" customHeight="1">
      <c r="A16" s="8"/>
      <c r="B16" s="30">
        <v>43042.0</v>
      </c>
      <c r="C16" s="11" t="s">
        <v>32</v>
      </c>
      <c r="D16" s="11" t="s">
        <v>16</v>
      </c>
      <c r="E16" s="11" t="s">
        <v>54</v>
      </c>
      <c r="F16" s="40" t="s">
        <v>77</v>
      </c>
      <c r="G16" s="11">
        <v>124635.0</v>
      </c>
      <c r="H16" s="8"/>
      <c r="I16" s="8"/>
      <c r="J16" s="8"/>
      <c r="K16" s="8"/>
      <c r="L16" s="8"/>
      <c r="M16" s="8"/>
      <c r="N16" s="11" t="s">
        <v>59</v>
      </c>
      <c r="O16" s="8"/>
      <c r="P16" s="9" t="s">
        <v>54</v>
      </c>
      <c r="R16" s="11">
        <v>124635.0</v>
      </c>
      <c r="S16" s="8"/>
    </row>
    <row r="17" ht="15.75" customHeight="1">
      <c r="A17" s="8"/>
      <c r="B17" s="30">
        <v>43042.0</v>
      </c>
      <c r="C17" s="11" t="s">
        <v>32</v>
      </c>
      <c r="D17" s="11" t="s">
        <v>16</v>
      </c>
      <c r="E17" s="11" t="s">
        <v>54</v>
      </c>
      <c r="F17" s="11" t="s">
        <v>74</v>
      </c>
      <c r="G17" s="8"/>
      <c r="H17" s="11">
        <v>124635.0</v>
      </c>
      <c r="I17" s="8"/>
      <c r="J17" s="8"/>
      <c r="K17" s="8"/>
      <c r="L17" s="8"/>
      <c r="M17" s="8"/>
      <c r="N17" s="11" t="s">
        <v>61</v>
      </c>
      <c r="O17" s="8"/>
      <c r="P17" s="9" t="s">
        <v>54</v>
      </c>
      <c r="R17" s="8"/>
      <c r="S17" s="11">
        <v>124635.0</v>
      </c>
    </row>
    <row r="18" ht="15.75" customHeight="1">
      <c r="A18" s="8"/>
      <c r="B18" s="30">
        <v>43042.0</v>
      </c>
      <c r="C18" s="11" t="s">
        <v>32</v>
      </c>
      <c r="D18" s="11" t="s">
        <v>16</v>
      </c>
      <c r="E18" s="11" t="s">
        <v>54</v>
      </c>
      <c r="F18" s="11" t="s">
        <v>75</v>
      </c>
      <c r="G18" s="11">
        <v>124635.0</v>
      </c>
      <c r="H18" s="8"/>
      <c r="I18" s="8"/>
      <c r="J18" s="8"/>
      <c r="K18" s="8"/>
      <c r="L18" s="8"/>
      <c r="M18" s="8"/>
      <c r="N18" s="11" t="s">
        <v>59</v>
      </c>
      <c r="O18" s="8"/>
      <c r="P18" s="9" t="s">
        <v>54</v>
      </c>
      <c r="R18" s="11">
        <v>124635.0</v>
      </c>
      <c r="S18" s="8"/>
    </row>
    <row r="19" ht="15.75" customHeight="1">
      <c r="A19" s="8"/>
      <c r="B19" s="30">
        <v>43042.0</v>
      </c>
      <c r="C19" s="11" t="s">
        <v>32</v>
      </c>
      <c r="D19" s="11" t="s">
        <v>16</v>
      </c>
      <c r="E19" s="11" t="s">
        <v>54</v>
      </c>
      <c r="F19" s="11" t="s">
        <v>74</v>
      </c>
      <c r="G19" s="8"/>
      <c r="H19" s="11">
        <v>124635.0</v>
      </c>
      <c r="I19" s="8"/>
      <c r="J19" s="8"/>
      <c r="K19" s="8"/>
      <c r="L19" s="8"/>
      <c r="M19" s="8"/>
      <c r="N19" s="11" t="s">
        <v>61</v>
      </c>
      <c r="O19" s="8"/>
      <c r="P19" s="9" t="s">
        <v>54</v>
      </c>
      <c r="R19" s="8"/>
      <c r="S19" s="11">
        <v>124635.0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