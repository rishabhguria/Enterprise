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SetTTCompliancePreference" sheetId="5" r:id="rId7"/>
    <sheet state="visible" name="CustomOrderTT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VerifyOrder" sheetId="10" r:id="rId12"/>
    <sheet state="visible" name="SelectTradeOnOrderGrid" sheetId="11" r:id="rId13"/>
    <sheet state="visible" name="VerifySubOrder" sheetId="12" r:id="rId14"/>
    <sheet state="visible" name="ChangeDate" sheetId="13" r:id="rId15"/>
    <sheet state="visible" name="CustomOrderTT1" sheetId="14" r:id="rId16"/>
    <sheet state="visible" name="VerifyWorkingSubs" sheetId="15" r:id="rId17"/>
    <sheet state="visible" name="ChangeDate1" sheetId="16" r:id="rId18"/>
  </sheets>
  <definedNames/>
  <calcPr/>
</workbook>
</file>

<file path=xl/sharedStrings.xml><?xml version="1.0" encoding="utf-8"?>
<sst xmlns="http://schemas.openxmlformats.org/spreadsheetml/2006/main" count="437" uniqueCount="60">
  <si>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</si>
  <si>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</si>
  <si>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</si>
  <si>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</si>
  <si>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</si>
  <si>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</si>
  <si>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</si>
  <si>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</si>
  <si>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</si>
  <si>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</si>
  <si>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</si>
  <si>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</si>
  <si>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</si>
  <si>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</si>
  <si>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</si>
  <si>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</si>
  <si>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</si>
  <si>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</si>
  <si>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SetTTCompliancePreference</t>
  </si>
  <si>
    <t>CustomOrderTT</t>
  </si>
  <si>
    <t>IBM</t>
  </si>
  <si>
    <t>Send</t>
  </si>
  <si>
    <t>Buy</t>
  </si>
  <si>
    <t>Good Till Date</t>
  </si>
  <si>
    <t>Limit</t>
  </si>
  <si>
    <t>Simulator</t>
  </si>
  <si>
    <t>SelectTrade</t>
  </si>
  <si>
    <t>AcknowledgeTrade</t>
  </si>
  <si>
    <t>ExecuteTrade</t>
  </si>
  <si>
    <t>Blotter</t>
  </si>
  <si>
    <t>VerifyOrder</t>
  </si>
  <si>
    <t/>
  </si>
  <si>
    <t>IBM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</si>
  <si>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</si>
  <si>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</si>
  <si>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</si>
  <si>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</si>
  <si>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</si>
  <si>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</si>
  <si>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</si>
  <si>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</si>
  <si>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</si>
  <si>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</si>
  <si>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Filled</t>
  </si>
  <si>
    <t>MS</t>
  </si>
  <si>
    <t>Allocation1</t>
  </si>
  <si>
    <t>Manual</t>
  </si>
  <si>
    <t>SelectTradeOnOrderGrid</t>
  </si>
  <si>
    <t>VerifySubOrder</t>
  </si>
  <si>
    <t>Admin</t>
  </si>
  <si>
    <t>ChangeDate</t>
  </si>
  <si>
    <t>today()+1</t>
  </si>
  <si>
    <t>LSCC</t>
  </si>
  <si>
    <t>DoneAway</t>
  </si>
  <si>
    <t>VerifyWorkingSubs</t>
  </si>
  <si>
    <t>Market</t>
  </si>
  <si>
    <t>LSCC US EQUITY</t>
  </si>
  <si>
    <t>ALLOCATED</t>
  </si>
  <si>
    <t>Strategy Unallocated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</si>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</sst>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6" fontId="14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IFERROR(__xludf.DUMMYFUNCTION("IF(C3="""","""",Transpose(IMPORTRANGE('_Settings'!$B$3,C3&amp;""!A4:A1000"")))"),"RestartServer")</f>
        <v>RestartServer</v>
      </c>
      <c r="C4" s="25" t="str">
        <f>IFERROR(__xludf.DUMMYFUNCTION("""COMPUTED_VALUE"""),"UpdateServerConfig")</f>
        <v>UpdateServerConfig</v>
      </c>
      <c r="D4" s="25" t="str">
        <f>IFERROR(__xludf.DUMMYFUNCTION("""COMPUTED_VALUE"""),"StartTradeServer")</f>
        <v>StartTradeServer</v>
      </c>
      <c r="E4" s="25" t="str">
        <f>IFERROR(__xludf.DUMMYFUNCTION("""COMPUTED_VALUE"""),"CloseTradeServer")</f>
        <v>CloseTradeServer</v>
      </c>
      <c r="F4" s="25" t="str">
        <f>IFERROR(__xludf.DUMMYFUNCTION("""COMPUTED_VALUE"""),"ConnectToSimAutoMan")</f>
        <v>ConnectToSimAutoMan</v>
      </c>
      <c r="G4" s="25" t="str">
        <f>IFERROR(__xludf.DUMMYFUNCTION("""COMPUTED_VALUE"""),"BrokerConnectionThroughTUI")</f>
        <v>BrokerConnectionThroughTUI</v>
      </c>
      <c r="H4" s="25" t="str">
        <f>IFERROR(__xludf.DUMMYFUNCTION("""COMPUTED_VALUE"""),"RestartServerOnly")</f>
        <v>RestartServerOnly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6.0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20</v>
      </c>
      <c r="C6" s="32">
        <v>100.0</v>
      </c>
      <c r="D6" s="36">
        <v>100.0</v>
      </c>
      <c r="E6" s="37" t="s">
        <v>21</v>
      </c>
      <c r="F6" s="38" t="b">
        <v>1</v>
      </c>
      <c r="G6" s="39"/>
      <c r="H6" s="39"/>
      <c r="I6" s="39"/>
      <c r="J6" s="37" t="s">
        <v>22</v>
      </c>
      <c r="K6" s="39"/>
      <c r="L6" s="39"/>
      <c r="M6" s="39"/>
      <c r="N6" s="39"/>
      <c r="O6" s="39"/>
      <c r="P6" s="39"/>
      <c r="Q6" s="39"/>
      <c r="R6" s="39"/>
      <c r="S6" s="39"/>
      <c r="T6" s="39"/>
      <c r="U6" s="39" t="s">
        <v>23</v>
      </c>
      <c r="V6" s="40" t="s">
        <v>24</v>
      </c>
      <c r="W6" s="39"/>
      <c r="X6" s="40">
        <v>100.0</v>
      </c>
      <c r="Y6" s="41">
        <f>today()+1</f>
        <v>45827</v>
      </c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50.0</v>
      </c>
      <c r="C6" s="13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42" t="s">
        <v>31</v>
      </c>
      <c r="B6" s="42"/>
      <c r="C6" s="8"/>
      <c r="D6" s="42">
        <v>50.0</v>
      </c>
      <c r="E6" s="8" t="s">
        <v>32</v>
      </c>
      <c r="F6" s="8">
        <v>100.0</v>
      </c>
      <c r="G6" s="8"/>
      <c r="H6" s="8" t="s">
        <v>33</v>
      </c>
      <c r="I6" s="8" t="s">
        <v>34</v>
      </c>
      <c r="J6" s="8" t="s">
        <v>20</v>
      </c>
      <c r="K6" s="8" t="s">
        <v>35</v>
      </c>
      <c r="L6" s="8" t="s">
        <v>36</v>
      </c>
      <c r="M6" s="8" t="s">
        <v>31</v>
      </c>
      <c r="N6" s="8" t="s">
        <v>31</v>
      </c>
      <c r="O6" s="8" t="s">
        <v>31</v>
      </c>
      <c r="P6" t="s">
        <v>31</v>
      </c>
      <c r="Q6" t="s">
        <v>31</v>
      </c>
      <c r="R6" t="s">
        <v>31</v>
      </c>
      <c r="U6" t="s">
        <v>37</v>
      </c>
      <c r="V6" t="s">
        <v>38</v>
      </c>
      <c r="AA6" t="s">
        <v>39</v>
      </c>
      <c r="AB6">
        <v>100.0</v>
      </c>
      <c r="AC6" t="s">
        <v>40</v>
      </c>
      <c r="AD6">
        <v>1.0</v>
      </c>
      <c r="AF6" t="s">
        <v>41</v>
      </c>
      <c r="AH6" t="s">
        <v>42</v>
      </c>
      <c r="AI6" t="s">
        <v>20</v>
      </c>
      <c r="AJ6" t="s">
        <v>22</v>
      </c>
      <c r="AK6" t="s">
        <v>43</v>
      </c>
      <c r="AL6">
        <v>100.0</v>
      </c>
      <c r="AM6">
        <v>100.0</v>
      </c>
      <c r="AN6">
        <v>100.0</v>
      </c>
      <c r="AQ6">
        <v>50.0</v>
      </c>
      <c r="AR6">
        <v>50.0</v>
      </c>
      <c r="AS6" t="s">
        <v>44</v>
      </c>
      <c r="AT6" t="s">
        <v>45</v>
      </c>
      <c r="AU6" t="s">
        <v>24</v>
      </c>
      <c r="AV6">
        <v>5000.0</v>
      </c>
      <c r="AW6">
        <v>5000.0</v>
      </c>
      <c r="AX6" t="s">
        <v>46</v>
      </c>
      <c r="AY6" t="s">
        <v>31</v>
      </c>
      <c r="BA6" t="s">
        <v>34</v>
      </c>
      <c r="BB6" t="s">
        <v>31</v>
      </c>
      <c r="BC6" t="s">
        <v>31</v>
      </c>
      <c r="BD6" t="s">
        <v>31</v>
      </c>
      <c r="BE6" t="s">
        <v>31</v>
      </c>
      <c r="BF6" t="s">
        <v>31</v>
      </c>
      <c r="BG6" t="s">
        <v>17</v>
      </c>
      <c r="BH6" t="s">
        <v>23</v>
      </c>
      <c r="BK6" t="s">
        <v>31</v>
      </c>
      <c r="BQ6" t="s">
        <v>31</v>
      </c>
      <c r="BR6" t="s">
        <v>31</v>
      </c>
      <c r="BS6" t="s">
        <v>31</v>
      </c>
      <c r="BT6" t="s">
        <v>31</v>
      </c>
      <c r="BU6" t="s">
        <v>31</v>
      </c>
      <c r="BV6" t="s">
        <v>31</v>
      </c>
      <c r="BW6" t="s">
        <v>31</v>
      </c>
      <c r="BX6" t="s">
        <v>31</v>
      </c>
      <c r="BY6" t="s">
        <v>31</v>
      </c>
      <c r="BZ6" t="s">
        <v>31</v>
      </c>
      <c r="CA6" t="s">
        <v>31</v>
      </c>
      <c r="CB6" t="s">
        <v>31</v>
      </c>
      <c r="CC6" t="s">
        <v>31</v>
      </c>
      <c r="CD6" t="s">
        <v>31</v>
      </c>
      <c r="CE6" t="s">
        <v>31</v>
      </c>
      <c r="CF6" t="s">
        <v>31</v>
      </c>
      <c r="CG6" t="s">
        <v>31</v>
      </c>
      <c r="CH6" t="s">
        <v>31</v>
      </c>
      <c r="CI6" t="s">
        <v>31</v>
      </c>
      <c r="CJ6" t="s">
        <v>31</v>
      </c>
      <c r="CK6" t="s">
        <v>31</v>
      </c>
      <c r="CL6" t="s">
        <v>31</v>
      </c>
      <c r="CM6" t="s">
        <v>31</v>
      </c>
      <c r="CN6" t="s">
        <v>31</v>
      </c>
      <c r="CO6" t="s">
        <v>31</v>
      </c>
      <c r="CP6" t="s">
        <v>31</v>
      </c>
      <c r="CQ6" t="s">
        <v>31</v>
      </c>
      <c r="CR6" t="s">
        <v>31</v>
      </c>
      <c r="CS6" t="s">
        <v>31</v>
      </c>
      <c r="CT6" t="s">
        <v>31</v>
      </c>
      <c r="CU6" t="s">
        <v>31</v>
      </c>
      <c r="CV6" t="s">
        <v>31</v>
      </c>
      <c r="CW6" t="s">
        <v>31</v>
      </c>
      <c r="CX6" t="s">
        <v>31</v>
      </c>
      <c r="CY6" t="s">
        <v>31</v>
      </c>
      <c r="CZ6" t="s">
        <v>31</v>
      </c>
      <c r="DA6" t="s">
        <v>31</v>
      </c>
      <c r="DB6" t="s">
        <v>31</v>
      </c>
      <c r="DC6" t="s">
        <v>31</v>
      </c>
      <c r="DD6" t="s">
        <v>31</v>
      </c>
      <c r="DE6" t="s">
        <v>31</v>
      </c>
      <c r="DF6" t="s">
        <v>31</v>
      </c>
      <c r="DG6" t="s">
        <v>31</v>
      </c>
      <c r="DH6" t="s">
        <v>31</v>
      </c>
      <c r="DI6" t="s">
        <v>31</v>
      </c>
      <c r="DJ6" t="s">
        <v>31</v>
      </c>
      <c r="DK6" t="s">
        <v>31</v>
      </c>
      <c r="DL6" t="s">
        <v>31</v>
      </c>
      <c r="DM6" t="s">
        <v>31</v>
      </c>
      <c r="DN6" t="s">
        <v>31</v>
      </c>
      <c r="DO6" t="s">
        <v>31</v>
      </c>
      <c r="DP6" t="s">
        <v>31</v>
      </c>
      <c r="DQ6" t="s">
        <v>31</v>
      </c>
      <c r="DR6" t="s">
        <v>31</v>
      </c>
      <c r="DS6" t="s">
        <v>31</v>
      </c>
      <c r="DT6" t="s">
        <v>31</v>
      </c>
      <c r="DU6" t="s">
        <v>31</v>
      </c>
      <c r="DV6" t="s">
        <v>31</v>
      </c>
      <c r="DW6" t="s">
        <v>31</v>
      </c>
      <c r="DX6" t="s">
        <v>31</v>
      </c>
      <c r="DY6" t="s">
        <v>31</v>
      </c>
      <c r="DZ6" t="s">
        <v>31</v>
      </c>
      <c r="EA6" t="s">
        <v>31</v>
      </c>
      <c r="EB6" t="s">
        <v>31</v>
      </c>
      <c r="EC6" t="s">
        <v>31</v>
      </c>
      <c r="ED6" t="s">
        <v>31</v>
      </c>
      <c r="EE6" t="s">
        <v>31</v>
      </c>
      <c r="EF6" t="s">
        <v>31</v>
      </c>
      <c r="EG6" t="s">
        <v>31</v>
      </c>
      <c r="EH6" t="s">
        <v>31</v>
      </c>
      <c r="EI6" t="s">
        <v>31</v>
      </c>
      <c r="EJ6" t="s">
        <v>31</v>
      </c>
      <c r="EK6" t="s">
        <v>31</v>
      </c>
      <c r="EL6" t="s">
        <v>31</v>
      </c>
      <c r="EM6" t="s">
        <v>31</v>
      </c>
      <c r="EN6" t="s">
        <v>31</v>
      </c>
      <c r="EO6" t="s">
        <v>31</v>
      </c>
      <c r="EP6" t="s">
        <v>31</v>
      </c>
      <c r="EQ6" t="s">
        <v>31</v>
      </c>
      <c r="ER6" t="s">
        <v>31</v>
      </c>
      <c r="ES6" t="s">
        <v>31</v>
      </c>
      <c r="ET6" t="s">
        <v>31</v>
      </c>
      <c r="EU6" t="s">
        <v>31</v>
      </c>
      <c r="EV6" t="s">
        <v>31</v>
      </c>
      <c r="EW6" t="s">
        <v>31</v>
      </c>
      <c r="EX6" t="s">
        <v>31</v>
      </c>
      <c r="EY6" t="s">
        <v>31</v>
      </c>
      <c r="EZ6" t="s">
        <v>31</v>
      </c>
      <c r="FA6" t="s">
        <v>31</v>
      </c>
      <c r="FB6" t="s">
        <v>31</v>
      </c>
      <c r="FC6" t="s">
        <v>31</v>
      </c>
      <c r="FD6" t="s">
        <v>31</v>
      </c>
      <c r="FE6" t="s">
        <v>31</v>
      </c>
      <c r="FF6" t="s">
        <v>31</v>
      </c>
      <c r="FG6" t="s">
        <v>31</v>
      </c>
      <c r="FH6" t="s">
        <v>31</v>
      </c>
      <c r="FI6" t="s">
        <v>31</v>
      </c>
      <c r="FJ6" t="s">
        <v>31</v>
      </c>
      <c r="FK6" t="s">
        <v>31</v>
      </c>
      <c r="FL6" t="s">
        <v>31</v>
      </c>
      <c r="FM6" t="s">
        <v>31</v>
      </c>
      <c r="FN6" t="s">
        <v>31</v>
      </c>
      <c r="FO6" t="s">
        <v>31</v>
      </c>
      <c r="FP6" t="s">
        <v>31</v>
      </c>
      <c r="FQ6" t="s">
        <v>31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  <c r="AMM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33"/>
      <c r="F6" s="13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42" t="s">
        <v>31</v>
      </c>
      <c r="B6" s="42"/>
      <c r="C6" s="8" t="s">
        <v>31</v>
      </c>
      <c r="D6" s="42">
        <v>50.0</v>
      </c>
      <c r="E6" s="8" t="s">
        <v>31</v>
      </c>
      <c r="F6" s="8" t="s">
        <v>31</v>
      </c>
      <c r="G6" s="8"/>
      <c r="H6" s="8" t="s">
        <v>33</v>
      </c>
      <c r="I6" s="8" t="s">
        <v>34</v>
      </c>
      <c r="J6" s="8" t="s">
        <v>20</v>
      </c>
      <c r="K6" s="8" t="s">
        <v>35</v>
      </c>
      <c r="L6" s="8" t="s">
        <v>36</v>
      </c>
      <c r="M6" s="8" t="s">
        <v>31</v>
      </c>
      <c r="N6" s="8" t="s">
        <v>31</v>
      </c>
      <c r="O6" s="8" t="s">
        <v>31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  <c r="U6" t="s">
        <v>37</v>
      </c>
      <c r="V6" t="s">
        <v>38</v>
      </c>
      <c r="X6" t="s">
        <v>31</v>
      </c>
      <c r="Y6" t="s">
        <v>31</v>
      </c>
      <c r="Z6" t="s">
        <v>31</v>
      </c>
      <c r="AA6" t="s">
        <v>39</v>
      </c>
      <c r="AB6" t="s">
        <v>31</v>
      </c>
      <c r="AC6" t="s">
        <v>40</v>
      </c>
      <c r="AD6">
        <v>1.0</v>
      </c>
      <c r="AE6" t="s">
        <v>31</v>
      </c>
      <c r="AF6" t="s">
        <v>41</v>
      </c>
      <c r="AG6">
        <v>50.0</v>
      </c>
      <c r="AH6" t="s">
        <v>42</v>
      </c>
      <c r="AI6" t="s">
        <v>20</v>
      </c>
      <c r="AJ6" t="s">
        <v>22</v>
      </c>
      <c r="AK6" t="s">
        <v>43</v>
      </c>
      <c r="AL6">
        <v>100.0</v>
      </c>
      <c r="AM6">
        <v>100.0</v>
      </c>
      <c r="AN6">
        <v>100.0</v>
      </c>
      <c r="AO6">
        <v>50.0</v>
      </c>
      <c r="AP6">
        <v>50.0</v>
      </c>
      <c r="AQ6" t="s">
        <v>44</v>
      </c>
      <c r="AR6" t="s">
        <v>45</v>
      </c>
      <c r="AS6" t="s">
        <v>24</v>
      </c>
      <c r="AT6">
        <v>5000.0</v>
      </c>
      <c r="AU6">
        <v>5000.0</v>
      </c>
      <c r="AV6" t="s">
        <v>46</v>
      </c>
      <c r="AW6" t="s">
        <v>31</v>
      </c>
      <c r="AX6" t="s">
        <v>31</v>
      </c>
      <c r="AY6" t="s">
        <v>31</v>
      </c>
      <c r="AZ6" t="s">
        <v>34</v>
      </c>
      <c r="BA6">
        <v>100.0</v>
      </c>
      <c r="BB6" t="s">
        <v>31</v>
      </c>
      <c r="BD6" t="s">
        <v>31</v>
      </c>
      <c r="BE6" t="s">
        <v>31</v>
      </c>
      <c r="BF6" t="s">
        <v>31</v>
      </c>
      <c r="BG6" t="s">
        <v>31</v>
      </c>
      <c r="BH6" t="s">
        <v>31</v>
      </c>
      <c r="BI6" t="s">
        <v>31</v>
      </c>
      <c r="BJ6" t="s">
        <v>31</v>
      </c>
      <c r="BK6" t="s">
        <v>31</v>
      </c>
      <c r="BL6" t="s">
        <v>31</v>
      </c>
      <c r="BM6" t="s">
        <v>31</v>
      </c>
      <c r="BN6" t="s">
        <v>31</v>
      </c>
      <c r="BO6" t="s">
        <v>31</v>
      </c>
      <c r="BP6" t="s">
        <v>31</v>
      </c>
      <c r="BQ6" t="s">
        <v>31</v>
      </c>
      <c r="BR6" t="s">
        <v>31</v>
      </c>
      <c r="BS6" t="s">
        <v>31</v>
      </c>
      <c r="BT6" t="s">
        <v>31</v>
      </c>
      <c r="BU6" t="s">
        <v>31</v>
      </c>
      <c r="BV6" t="s">
        <v>31</v>
      </c>
      <c r="BW6" t="s">
        <v>31</v>
      </c>
      <c r="BX6" t="s">
        <v>31</v>
      </c>
      <c r="BY6" t="s">
        <v>31</v>
      </c>
      <c r="BZ6" t="s">
        <v>31</v>
      </c>
      <c r="CA6" t="s">
        <v>31</v>
      </c>
      <c r="CB6" t="s">
        <v>31</v>
      </c>
      <c r="CC6" t="s">
        <v>31</v>
      </c>
      <c r="CD6" t="s">
        <v>31</v>
      </c>
      <c r="CE6" t="s">
        <v>31</v>
      </c>
      <c r="CF6" t="s">
        <v>31</v>
      </c>
      <c r="CG6" t="s">
        <v>31</v>
      </c>
      <c r="CH6" t="s">
        <v>31</v>
      </c>
      <c r="CI6" t="s">
        <v>31</v>
      </c>
      <c r="CJ6" t="s">
        <v>31</v>
      </c>
      <c r="CK6" t="s">
        <v>31</v>
      </c>
      <c r="CL6" t="s">
        <v>31</v>
      </c>
      <c r="CM6" t="s">
        <v>31</v>
      </c>
      <c r="CN6" t="s">
        <v>31</v>
      </c>
      <c r="CO6" t="s">
        <v>31</v>
      </c>
      <c r="CP6" t="s">
        <v>31</v>
      </c>
      <c r="CQ6" t="s">
        <v>31</v>
      </c>
      <c r="CR6" t="s">
        <v>31</v>
      </c>
      <c r="CS6" t="s">
        <v>31</v>
      </c>
      <c r="CT6" t="s">
        <v>31</v>
      </c>
      <c r="CU6" t="s">
        <v>31</v>
      </c>
      <c r="CV6" t="s">
        <v>31</v>
      </c>
      <c r="CW6" t="s">
        <v>31</v>
      </c>
      <c r="CX6" t="s">
        <v>31</v>
      </c>
      <c r="CY6" t="s">
        <v>31</v>
      </c>
      <c r="CZ6" t="s">
        <v>31</v>
      </c>
      <c r="DA6" t="s">
        <v>31</v>
      </c>
      <c r="DB6" t="s">
        <v>31</v>
      </c>
      <c r="DC6" t="s">
        <v>31</v>
      </c>
      <c r="DD6" t="s">
        <v>31</v>
      </c>
      <c r="DE6" t="s">
        <v>31</v>
      </c>
      <c r="DF6" t="s">
        <v>31</v>
      </c>
      <c r="DG6" t="s">
        <v>31</v>
      </c>
      <c r="DH6" t="s">
        <v>31</v>
      </c>
      <c r="DI6" t="s">
        <v>31</v>
      </c>
      <c r="DJ6" t="s">
        <v>31</v>
      </c>
      <c r="DK6" t="s">
        <v>31</v>
      </c>
      <c r="DL6" t="s">
        <v>31</v>
      </c>
      <c r="DM6" t="s">
        <v>31</v>
      </c>
      <c r="DN6" t="s">
        <v>31</v>
      </c>
      <c r="DO6" t="s">
        <v>31</v>
      </c>
      <c r="DP6" t="s">
        <v>31</v>
      </c>
      <c r="DQ6" t="s">
        <v>31</v>
      </c>
      <c r="DR6" t="s">
        <v>31</v>
      </c>
      <c r="DS6" t="s">
        <v>31</v>
      </c>
      <c r="DT6" t="s">
        <v>31</v>
      </c>
      <c r="DU6" t="s">
        <v>31</v>
      </c>
      <c r="DV6" t="s">
        <v>31</v>
      </c>
      <c r="DW6" t="s">
        <v>31</v>
      </c>
      <c r="DX6" t="s">
        <v>31</v>
      </c>
      <c r="DY6" t="s">
        <v>31</v>
      </c>
      <c r="DZ6" t="s">
        <v>31</v>
      </c>
      <c r="EA6" t="s">
        <v>31</v>
      </c>
      <c r="EB6" t="s">
        <v>31</v>
      </c>
      <c r="EC6" t="s">
        <v>31</v>
      </c>
      <c r="ED6" t="s">
        <v>31</v>
      </c>
      <c r="EE6" t="s">
        <v>31</v>
      </c>
      <c r="EF6" t="s">
        <v>31</v>
      </c>
      <c r="EG6" t="s">
        <v>31</v>
      </c>
      <c r="EH6" t="s">
        <v>31</v>
      </c>
      <c r="EI6" t="s">
        <v>31</v>
      </c>
      <c r="EJ6" t="s">
        <v>31</v>
      </c>
      <c r="EK6" t="s">
        <v>31</v>
      </c>
      <c r="EL6" t="s">
        <v>31</v>
      </c>
      <c r="EM6" t="s">
        <v>31</v>
      </c>
      <c r="EN6" t="s">
        <v>31</v>
      </c>
      <c r="EO6" t="s">
        <v>31</v>
      </c>
      <c r="EP6" t="s">
        <v>31</v>
      </c>
      <c r="EQ6" t="s">
        <v>31</v>
      </c>
      <c r="ER6" t="s">
        <v>31</v>
      </c>
      <c r="ES6" t="s">
        <v>31</v>
      </c>
      <c r="ET6" t="s">
        <v>31</v>
      </c>
      <c r="EU6" t="s">
        <v>31</v>
      </c>
      <c r="EV6" t="s">
        <v>31</v>
      </c>
      <c r="EW6" t="s">
        <v>31</v>
      </c>
      <c r="EX6" t="s">
        <v>31</v>
      </c>
      <c r="EY6" t="s">
        <v>31</v>
      </c>
      <c r="EZ6" t="s">
        <v>31</v>
      </c>
      <c r="FA6" t="s">
        <v>31</v>
      </c>
      <c r="FB6" t="s">
        <v>31</v>
      </c>
      <c r="FC6" t="s">
        <v>31</v>
      </c>
      <c r="FD6" t="s">
        <v>31</v>
      </c>
      <c r="FE6" t="s">
        <v>31</v>
      </c>
      <c r="FF6" t="s">
        <v>31</v>
      </c>
      <c r="FG6" t="s">
        <v>31</v>
      </c>
      <c r="FH6" t="s">
        <v>31</v>
      </c>
      <c r="FI6" t="s">
        <v>31</v>
      </c>
      <c r="FJ6" t="s">
        <v>31</v>
      </c>
      <c r="FK6" t="s">
        <v>31</v>
      </c>
      <c r="FL6" t="s">
        <v>31</v>
      </c>
      <c r="FM6" t="s">
        <v>31</v>
      </c>
      <c r="FN6" t="s">
        <v>31</v>
      </c>
      <c r="FO6" t="s">
        <v>31</v>
      </c>
      <c r="FP6" t="s">
        <v>31</v>
      </c>
      <c r="FQ6" t="s">
        <v>31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  <c r="AMM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IFERROR(__xludf.DUMMYFUNCTION("""COMPUTED_VALUE"""),"DateOrReset")</f>
        <v>DateOrReset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51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4" t="s">
        <v>52</v>
      </c>
      <c r="C6" s="32">
        <v>100.0</v>
      </c>
      <c r="D6" s="45">
        <v>2.0</v>
      </c>
      <c r="E6" s="44" t="s">
        <v>53</v>
      </c>
      <c r="F6" s="38" t="b">
        <v>1</v>
      </c>
      <c r="G6" s="39"/>
      <c r="H6" s="39"/>
      <c r="I6" s="39"/>
      <c r="J6" s="37" t="s">
        <v>22</v>
      </c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41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 t="str">
        <f>IFERROR(__xludf.DUMMYFUNCTION("""COMPUTED_VALUE"""),"Testing Type")</f>
        <v>Testing Type</v>
      </c>
      <c r="BG5" s="30" t="str">
        <f>IFERROR(__xludf.DUMMYFUNCTION("""COMPUTED_VALUE"""),"Testing Column")</f>
        <v>Testing Column</v>
      </c>
      <c r="BH5" s="30" t="str">
        <f>IFERROR(__xludf.DUMMYFUNCTION("""COMPUTED_VALUE"""),"Testing Col Value")</f>
        <v>Testing Col Value</v>
      </c>
      <c r="BI5" s="30" t="str">
        <f>IFERROR(__xludf.DUMMYFUNCTION("""COMPUTED_VALUE"""),"DuplicateRow")</f>
        <v>DuplicateRow</v>
      </c>
      <c r="BJ5" s="30" t="str">
        <f>IFERROR(__xludf.DUMMYFUNCTION("""COMPUTED_VALUE"""),"DuplicateCountOnUI")</f>
        <v>DuplicateCountOnUI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42"/>
      <c r="B6" s="13" t="s">
        <v>52</v>
      </c>
      <c r="C6" s="13" t="s">
        <v>22</v>
      </c>
      <c r="D6" s="13">
        <v>100.0</v>
      </c>
      <c r="E6" s="13">
        <v>100.0</v>
      </c>
      <c r="F6" s="13"/>
      <c r="G6" s="13" t="s">
        <v>43</v>
      </c>
      <c r="H6" s="13">
        <v>100.0</v>
      </c>
      <c r="I6" s="13">
        <v>2.0</v>
      </c>
      <c r="J6" s="13">
        <v>2.0</v>
      </c>
      <c r="K6" s="13" t="s">
        <v>44</v>
      </c>
      <c r="L6" s="13" t="s">
        <v>45</v>
      </c>
      <c r="M6" s="13" t="s">
        <v>55</v>
      </c>
      <c r="N6" s="8"/>
      <c r="O6" s="13">
        <v>2.0</v>
      </c>
      <c r="R6" s="9" t="s">
        <v>34</v>
      </c>
      <c r="S6" s="9" t="s">
        <v>56</v>
      </c>
      <c r="U6" s="9" t="s">
        <v>46</v>
      </c>
      <c r="V6" s="9" t="s">
        <v>57</v>
      </c>
      <c r="W6" s="9" t="s">
        <v>42</v>
      </c>
      <c r="X6" s="9" t="s">
        <v>41</v>
      </c>
      <c r="Y6" s="9">
        <v>1.0</v>
      </c>
      <c r="AA6" s="9" t="s">
        <v>40</v>
      </c>
      <c r="AC6" s="9">
        <v>200.0</v>
      </c>
      <c r="AD6" s="9">
        <v>200.0</v>
      </c>
      <c r="AF6" s="9" t="s">
        <v>38</v>
      </c>
      <c r="AG6" s="9" t="s">
        <v>37</v>
      </c>
      <c r="AI6" s="9" t="s">
        <v>43</v>
      </c>
      <c r="AJ6" s="9" t="s">
        <v>58</v>
      </c>
      <c r="AR6" s="9" t="s">
        <v>36</v>
      </c>
      <c r="AU6" s="9" t="s">
        <v>52</v>
      </c>
      <c r="AV6" s="9" t="s">
        <v>33</v>
      </c>
      <c r="BB6" s="9" t="s">
        <v>34</v>
      </c>
      <c r="BC6" s="9">
        <v>100.0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  <c r="AMM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IFERROR(__xludf.DUMMYFUNCTION("""COMPUTED_VALUE"""),"DateOrReset")</f>
        <v>DateOrReset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