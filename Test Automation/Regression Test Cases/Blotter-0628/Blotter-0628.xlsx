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taAllocation" sheetId="6" r:id="rId8"/>
    <sheet state="visible" name="SelectAllocatedGroup" sheetId="7" r:id="rId9"/>
    <sheet state="visible" name="EditAllocatedGroupSidePanel" sheetId="8" r:id="rId10"/>
    <sheet state="visible" name="SelectTradeOnOrderGrid" sheetId="9" r:id="rId11"/>
    <sheet state="visible" name="VerifyAllocationWindow" sheetId="10" r:id="rId12"/>
    <sheet state="visible" name="CreateDoneAwayOrder" sheetId="11" r:id="rId13"/>
    <sheet state="visible" name="SelectTradeOnOrderGrid1" sheetId="12" r:id="rId14"/>
    <sheet state="visible" name="VerifyAllocationWindow1" sheetId="13" r:id="rId15"/>
  </sheets>
  <definedNames/>
  <calcPr/>
</workbook>
</file>

<file path=xl/sharedStrings.xml><?xml version="1.0" encoding="utf-8"?>
<sst xmlns="http://schemas.openxmlformats.org/spreadsheetml/2006/main" count="98" uniqueCount="31">
  <si>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</si>
  <si>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</si>
  <si>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</si>
  <si>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</si>
  <si>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</si>
  <si>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</si>
  <si>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</si>
  <si>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</si>
  <si>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</si>
  <si>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</si>
  <si>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</si>
  <si>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</si>
  <si>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</si>
  <si>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</si>
  <si>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</si>
  <si>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</si>
  <si>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FRU-TC</t>
  </si>
  <si>
    <t>DoneAway</t>
  </si>
  <si>
    <t>Buy</t>
  </si>
  <si>
    <t>PricingInput</t>
  </si>
  <si>
    <t>Allocation</t>
  </si>
  <si>
    <t>GetDataAllocation</t>
  </si>
  <si>
    <t>Current</t>
  </si>
  <si>
    <t>SelectAllocatedGroup</t>
  </si>
  <si>
    <t>EditAllocatedGroupSidePanel</t>
  </si>
  <si>
    <t>Blotter</t>
  </si>
  <si>
    <t>SelectTradeOnOrderGrid</t>
  </si>
  <si>
    <t>VerifyAllocationWindow</t>
  </si>
  <si>
    <t>MS</t>
  </si>
  <si>
    <t>CreateDoneAwayOrder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</si>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</sst>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5.0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IFERROR(__xludf.DUMMYFUNCTION("""COMPUTED_VALUE"""),"AvgPrice")</f>
        <v>AvgPrice</v>
      </c>
      <c r="C5" s="27" t="str">
        <f>IFERROR(__xludf.DUMMYFUNCTION("""COMPUTED_VALUE"""),"Commission")</f>
        <v>Commission</v>
      </c>
      <c r="D5" s="27" t="str">
        <f>IFERROR(__xludf.DUMMYFUNCTION("""COMPUTED_VALUE"""),"SoftCommission")</f>
        <v>SoftCommission</v>
      </c>
      <c r="E5" s="27" t="str">
        <f>IFERROR(__xludf.DUMMYFUNCTION("""COMPUTED_VALUE"""),"OtherBrokerFees")</f>
        <v>OtherBrokerFees</v>
      </c>
      <c r="F5" s="28" t="str">
        <f>IFERROR(__xludf.DUMMYFUNCTION("""COMPUTED_VALUE"""),"ClearingBrokerFees")</f>
        <v>ClearingBrokerFees</v>
      </c>
      <c r="G5" s="27" t="str">
        <f>IFERROR(__xludf.DUMMYFUNCTION("""COMPUTED_VALUE"""),"StampDuty")</f>
        <v>StampDuty</v>
      </c>
      <c r="H5" s="27" t="str">
        <f>IFERROR(__xludf.DUMMYFUNCTION("""COMPUTED_VALUE"""),"TransactionLevy")</f>
        <v>TransactionLevy</v>
      </c>
      <c r="I5" s="27" t="str">
        <f>IFERROR(__xludf.DUMMYFUNCTION("""COMPUTED_VALUE"""),"AUECFee1")</f>
        <v>AUECFee1</v>
      </c>
      <c r="J5" s="27" t="str">
        <f>IFERROR(__xludf.DUMMYFUNCTION("""COMPUTED_VALUE"""),"TaxOnCommissions")</f>
        <v>TaxOnCommissions</v>
      </c>
      <c r="K5" s="27" t="str">
        <f>IFERROR(__xludf.DUMMYFUNCTION("""COMPUTED_VALUE"""),"AUECFee2")</f>
        <v>AUECFee2</v>
      </c>
      <c r="L5" s="27" t="str">
        <f>IFERROR(__xludf.DUMMYFUNCTION("""COMPUTED_VALUE"""),"SecFee")</f>
        <v>SecFee</v>
      </c>
      <c r="M5" s="27" t="str">
        <f>IFERROR(__xludf.DUMMYFUNCTION("""COMPUTED_VALUE"""),"OccFee")</f>
        <v>OccFee</v>
      </c>
      <c r="N5" s="27" t="str">
        <f>IFERROR(__xludf.DUMMYFUNCTION("""COMPUTED_VALUE"""),"OrfFee")</f>
        <v>OrfFee</v>
      </c>
      <c r="O5" s="27" t="str">
        <f>IFERROR(__xludf.DUMMYFUNCTION("""COMPUTED_VALUE"""),"Broker")</f>
        <v>Broker</v>
      </c>
      <c r="P5" s="27" t="str">
        <f>IFERROR(__xludf.DUMMYFUNCTION("""COMPUTED_VALUE"""),"Venue")</f>
        <v>Venue</v>
      </c>
      <c r="Q5" s="27" t="str">
        <f>IFERROR(__xludf.DUMMYFUNCTION("""COMPUTED_VALUE"""),"Description")</f>
        <v>Description</v>
      </c>
      <c r="R5" s="27" t="str">
        <f>IFERROR(__xludf.DUMMYFUNCTION("""COMPUTED_VALUE"""),"InternalComments")</f>
        <v>InternalComments</v>
      </c>
      <c r="S5" s="27" t="str">
        <f>IFERROR(__xludf.DUMMYFUNCTION("""COMPUTED_VALUE"""),"FXRate")</f>
        <v>FXRate</v>
      </c>
      <c r="T5" s="29" t="str">
        <f>IFERROR(__xludf.DUMMYFUNCTION("""COMPUTED_VALUE"""),"FxConvOperator")</f>
        <v>FxConvOperator</v>
      </c>
      <c r="U5" s="29" t="str">
        <f>IFERROR(__xludf.DUMMYFUNCTION("""COMPUTED_VALUE"""),"AccruedInterest")</f>
        <v>AccruedInterest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IFERROR(__xludf.DUMMYFUNCTION("""COMPUTED_VALUE"""),"SettlementCurrency")</f>
        <v>SettlementCurrency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9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 t="s">
        <v>28</v>
      </c>
      <c r="E6" s="12">
        <v>100.0</v>
      </c>
      <c r="F6" s="12">
        <v>8.0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VerifyAllocationWindow!$4:$4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16</v>
      </c>
      <c r="C6" s="12" t="s">
        <v>18</v>
      </c>
      <c r="D6" s="12">
        <v>50.0</v>
      </c>
      <c r="E6" s="30"/>
      <c r="F6" s="12" t="s">
        <v>30</v>
      </c>
      <c r="G6" s="8"/>
      <c r="H6" s="8"/>
      <c r="I6" s="8"/>
      <c r="J6" s="12">
        <v>5.0</v>
      </c>
      <c r="K6" s="8"/>
      <c r="L6" s="8"/>
      <c r="M6" s="8"/>
      <c r="N6" s="8"/>
      <c r="O6" s="12">
        <v>1.25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 t="s">
        <v>16</v>
      </c>
      <c r="E6" s="30"/>
      <c r="F6" s="8"/>
      <c r="G6" s="8"/>
      <c r="H6" s="12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 t="s">
        <v>28</v>
      </c>
      <c r="E6" s="12">
        <v>50.0</v>
      </c>
      <c r="F6" s="12">
        <v>4.0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