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9" activeTab="10"/>
  </bookViews>
  <sheets>
    <sheet name="_Modules" sheetId="1" r:id="rId1"/>
    <sheet name="_Settings" sheetId="2" r:id="rId2"/>
    <sheet name="_MasterData" sheetId="3" r:id="rId3"/>
    <sheet name="CreateDoneAwayOrder" sheetId="4" r:id="rId4"/>
    <sheet name="GetDataClosing" sheetId="5" r:id="rId5"/>
    <sheet name="AutomaticClosing" sheetId="6" r:id="rId6"/>
    <sheet name="VerifyClosedTrades" sheetId="7" r:id="rId7"/>
    <sheet name="UnwindClosing" sheetId="8" r:id="rId8"/>
    <sheet name="GetDataAllocation" sheetId="9" r:id="rId9"/>
    <sheet name="CheckAllocatedGroups" sheetId="10" r:id="rId10"/>
    <sheet name="CheckPortfolioManagement" sheetId="11" r:id="rId11"/>
    <sheet name="VerifyLongPositionsGrid" sheetId="12" r:id="rId12"/>
    <sheet name="VerifyShortPositionsGrid" sheetId="13" r:id="rId13"/>
  </sheets>
  <calcPr calcId="145621"/>
</workbook>
</file>

<file path=xl/calcChain.xml><?xml version="1.0" encoding="utf-8"?>
<calcChain xmlns="http://schemas.openxmlformats.org/spreadsheetml/2006/main">
  <c r="BK5" i="11" l="1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FL5" i="11"/>
  <c r="FD5" i="11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FM4" i="11"/>
  <c r="FE4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FJ5" i="11"/>
  <c r="FB5" i="11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FK4" i="11"/>
  <c r="FC4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FI5" i="11"/>
  <c r="FA5" i="11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FJ4" i="11"/>
  <c r="FB4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ES5" i="13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FG5" i="11"/>
  <c r="EY5" i="11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FH4" i="11"/>
  <c r="EZ4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FF5" i="11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K5" i="13"/>
  <c r="BY5" i="13"/>
  <c r="M5" i="13"/>
  <c r="CY4" i="13"/>
  <c r="AM4" i="13"/>
  <c r="DY5" i="12"/>
  <c r="BM5" i="12"/>
  <c r="I5" i="12"/>
  <c r="EA4" i="12"/>
  <c r="CU4" i="12"/>
  <c r="BR4" i="12"/>
  <c r="AV4" i="12"/>
  <c r="AA4" i="12"/>
  <c r="F4" i="12"/>
  <c r="EW5" i="11"/>
  <c r="EB5" i="11"/>
  <c r="DG5" i="11"/>
  <c r="CK5" i="11"/>
  <c r="BP5" i="11"/>
  <c r="AU5" i="11"/>
  <c r="Y5" i="11"/>
  <c r="D5" i="11"/>
  <c r="EY4" i="11"/>
  <c r="EI4" i="11"/>
  <c r="DS4" i="11"/>
  <c r="DC4" i="11"/>
  <c r="CM4" i="11"/>
  <c r="BW4" i="11"/>
  <c r="BG4" i="11"/>
  <c r="AQ4" i="11"/>
  <c r="AA4" i="11"/>
  <c r="O4" i="11"/>
  <c r="B4" i="11"/>
  <c r="EO5" i="10"/>
  <c r="EC5" i="10"/>
  <c r="DS5" i="10"/>
  <c r="DI5" i="10"/>
  <c r="CW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C5" i="13"/>
  <c r="BQ5" i="13"/>
  <c r="E5" i="13"/>
  <c r="CQ4" i="13"/>
  <c r="AE4" i="13"/>
  <c r="DQ5" i="12"/>
  <c r="BE5" i="12"/>
  <c r="F5" i="12"/>
  <c r="DX4" i="12"/>
  <c r="CR4" i="12"/>
  <c r="BO4" i="12"/>
  <c r="AT4" i="12"/>
  <c r="X4" i="12"/>
  <c r="C4" i="12"/>
  <c r="EU5" i="11"/>
  <c r="DY5" i="11"/>
  <c r="DD5" i="11"/>
  <c r="CI5" i="11"/>
  <c r="BM5" i="11"/>
  <c r="AR5" i="11"/>
  <c r="W5" i="11"/>
  <c r="A5" i="11"/>
  <c r="EX4" i="11"/>
  <c r="EH4" i="11"/>
  <c r="DR4" i="11"/>
  <c r="DB4" i="11"/>
  <c r="CL4" i="11"/>
  <c r="BV4" i="11"/>
  <c r="BF4" i="11"/>
  <c r="AP4" i="11"/>
  <c r="Z4" i="11"/>
  <c r="M4" i="11"/>
  <c r="EX5" i="10"/>
  <c r="EM5" i="10"/>
  <c r="EB5" i="10"/>
  <c r="DR5" i="10"/>
  <c r="DG5" i="10"/>
  <c r="CV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DU5" i="13"/>
  <c r="BI5" i="13"/>
  <c r="EU4" i="13"/>
  <c r="CI4" i="13"/>
  <c r="W4" i="13"/>
  <c r="DI5" i="12"/>
  <c r="AW5" i="12"/>
  <c r="A5" i="12"/>
  <c r="DS4" i="12"/>
  <c r="CM4" i="12"/>
  <c r="BL4" i="12"/>
  <c r="AQ4" i="12"/>
  <c r="V4" i="12"/>
  <c r="FM5" i="11"/>
  <c r="ER5" i="11"/>
  <c r="DW5" i="11"/>
  <c r="DA5" i="11"/>
  <c r="CF5" i="11"/>
  <c r="AO5" i="11"/>
  <c r="T5" i="11"/>
  <c r="FL4" i="11"/>
  <c r="EV4" i="11"/>
  <c r="EF4" i="11"/>
  <c r="DP4" i="11"/>
  <c r="CZ4" i="11"/>
  <c r="CJ4" i="11"/>
  <c r="BT4" i="11"/>
  <c r="BD4" i="11"/>
  <c r="AN4" i="11"/>
  <c r="X4" i="11"/>
  <c r="K4" i="11"/>
  <c r="EW5" i="10"/>
  <c r="EK5" i="10"/>
  <c r="EA5" i="10"/>
  <c r="DQ5" i="10"/>
  <c r="DE5" i="10"/>
  <c r="CU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DM5" i="13"/>
  <c r="BA5" i="13"/>
  <c r="EM4" i="13"/>
  <c r="CA4" i="13"/>
  <c r="O4" i="13"/>
  <c r="DA5" i="12"/>
  <c r="AO5" i="12"/>
  <c r="EV4" i="12"/>
  <c r="DP4" i="12"/>
  <c r="CJ4" i="12"/>
  <c r="BJ4" i="12"/>
  <c r="AN4" i="12"/>
  <c r="S4" i="12"/>
  <c r="FK5" i="11"/>
  <c r="EO5" i="11"/>
  <c r="DT5" i="11"/>
  <c r="CY5" i="11"/>
  <c r="CC5" i="11"/>
  <c r="BH5" i="11"/>
  <c r="AM5" i="11"/>
  <c r="Q5" i="11"/>
  <c r="FI4" i="11"/>
  <c r="ES4" i="11"/>
  <c r="EC4" i="11"/>
  <c r="DM4" i="11"/>
  <c r="CW4" i="11"/>
  <c r="CG4" i="11"/>
  <c r="BQ4" i="11"/>
  <c r="BA4" i="11"/>
  <c r="AK4" i="11"/>
  <c r="W4" i="11"/>
  <c r="J4" i="11"/>
  <c r="EU5" i="10"/>
  <c r="EJ5" i="10"/>
  <c r="DZ5" i="10"/>
  <c r="DO5" i="10"/>
  <c r="DD5" i="10"/>
  <c r="CT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DE5" i="13"/>
  <c r="AS5" i="13"/>
  <c r="EE4" i="13"/>
  <c r="BS4" i="13"/>
  <c r="G4" i="13"/>
  <c r="CS5" i="12"/>
  <c r="AG5" i="12"/>
  <c r="EQ4" i="12"/>
  <c r="DK4" i="12"/>
  <c r="CE4" i="12"/>
  <c r="BG4" i="12"/>
  <c r="AL4" i="12"/>
  <c r="P4" i="12"/>
  <c r="FH5" i="11"/>
  <c r="EM5" i="11"/>
  <c r="DQ5" i="11"/>
  <c r="CV5" i="11"/>
  <c r="CA5" i="11"/>
  <c r="BE5" i="11"/>
  <c r="AJ5" i="11"/>
  <c r="O5" i="11"/>
  <c r="FG4" i="11"/>
  <c r="EQ4" i="11"/>
  <c r="EA4" i="11"/>
  <c r="DK4" i="11"/>
  <c r="CU4" i="11"/>
  <c r="CE4" i="11"/>
  <c r="BO4" i="11"/>
  <c r="AY4" i="11"/>
  <c r="AI4" i="11"/>
  <c r="U4" i="11"/>
  <c r="H4" i="11"/>
  <c r="ES5" i="10"/>
  <c r="EI5" i="10"/>
  <c r="DY5" i="10"/>
  <c r="DM5" i="10"/>
  <c r="DC5" i="10"/>
  <c r="CS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CW5" i="13"/>
  <c r="AK5" i="13"/>
  <c r="DW4" i="13"/>
  <c r="BK4" i="13"/>
  <c r="EW5" i="12"/>
  <c r="CK5" i="12"/>
  <c r="Y5" i="12"/>
  <c r="EN4" i="12"/>
  <c r="DH4" i="12"/>
  <c r="CB4" i="12"/>
  <c r="BD4" i="12"/>
  <c r="AI4" i="12"/>
  <c r="N4" i="12"/>
  <c r="FE5" i="11"/>
  <c r="EJ5" i="11"/>
  <c r="DO5" i="11"/>
  <c r="CS5" i="11"/>
  <c r="BX5" i="11"/>
  <c r="BC5" i="11"/>
  <c r="AG5" i="11"/>
  <c r="L5" i="11"/>
  <c r="FF4" i="11"/>
  <c r="EP4" i="11"/>
  <c r="DZ4" i="11"/>
  <c r="DJ4" i="11"/>
  <c r="CT4" i="11"/>
  <c r="CD4" i="11"/>
  <c r="BN4" i="11"/>
  <c r="AX4" i="11"/>
  <c r="AH4" i="11"/>
  <c r="S4" i="11"/>
  <c r="G4" i="11"/>
  <c r="ER5" i="10"/>
  <c r="EH5" i="10"/>
  <c r="DW5" i="10"/>
  <c r="DL5" i="10"/>
  <c r="DB5" i="10"/>
  <c r="CQ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CO5" i="13"/>
  <c r="AC5" i="13"/>
  <c r="DO4" i="13"/>
  <c r="BC4" i="13"/>
  <c r="EO5" i="12"/>
  <c r="CC5" i="12"/>
  <c r="Q5" i="12"/>
  <c r="EI4" i="12"/>
  <c r="DC4" i="12"/>
  <c r="BW4" i="12"/>
  <c r="BB4" i="12"/>
  <c r="AF4" i="12"/>
  <c r="K4" i="12"/>
  <c r="FC5" i="11"/>
  <c r="EG5" i="11"/>
  <c r="DL5" i="11"/>
  <c r="CQ5" i="11"/>
  <c r="BU5" i="11"/>
  <c r="AZ5" i="11"/>
  <c r="AE5" i="11"/>
  <c r="I5" i="11"/>
  <c r="FD4" i="11"/>
  <c r="EN4" i="11"/>
  <c r="DX4" i="11"/>
  <c r="DH4" i="11"/>
  <c r="CR4" i="11"/>
  <c r="CB4" i="11"/>
  <c r="BL4" i="11"/>
  <c r="AV4" i="11"/>
  <c r="AF4" i="11"/>
  <c r="R4" i="11"/>
  <c r="E4" i="11"/>
  <c r="EQ5" i="10"/>
  <c r="EG5" i="10"/>
  <c r="DU5" i="10"/>
  <c r="DK5" i="10"/>
  <c r="DA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CG5" i="13"/>
  <c r="CZ4" i="12"/>
  <c r="CN5" i="11"/>
  <c r="DE4" i="11"/>
  <c r="EP5" i="10"/>
  <c r="BP5" i="10"/>
  <c r="D5" i="10"/>
  <c r="CP4" i="10"/>
  <c r="AD4" i="10"/>
  <c r="DP5" i="9"/>
  <c r="BD5" i="9"/>
  <c r="EP4" i="9"/>
  <c r="CD4" i="9"/>
  <c r="R4" i="9"/>
  <c r="EA5" i="8"/>
  <c r="CU5" i="8"/>
  <c r="BO5" i="8"/>
  <c r="AI5" i="8"/>
  <c r="L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U5" i="13"/>
  <c r="BT4" i="12"/>
  <c r="BS5" i="11"/>
  <c r="CO4" i="11"/>
  <c r="EE5" i="10"/>
  <c r="BH5" i="10"/>
  <c r="ET4" i="10"/>
  <c r="CH4" i="10"/>
  <c r="V4" i="10"/>
  <c r="DH5" i="9"/>
  <c r="AV5" i="9"/>
  <c r="EH4" i="9"/>
  <c r="BV4" i="9"/>
  <c r="J4" i="9"/>
  <c r="DT5" i="8"/>
  <c r="CN5" i="8"/>
  <c r="BH5" i="8"/>
  <c r="AE5" i="8"/>
  <c r="K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DG4" i="13"/>
  <c r="AY4" i="12"/>
  <c r="AW5" i="11"/>
  <c r="BY4" i="11"/>
  <c r="DT5" i="10"/>
  <c r="AZ5" i="10"/>
  <c r="EL4" i="10"/>
  <c r="BZ4" i="10"/>
  <c r="N4" i="10"/>
  <c r="CZ5" i="9"/>
  <c r="AN5" i="9"/>
  <c r="DZ4" i="9"/>
  <c r="BN4" i="9"/>
  <c r="B4" i="9"/>
  <c r="DS5" i="8"/>
  <c r="CM5" i="8"/>
  <c r="BG5" i="8"/>
  <c r="AB5" i="8"/>
  <c r="G5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U4" i="13"/>
  <c r="AD4" i="12"/>
  <c r="AB5" i="11"/>
  <c r="BI4" i="11"/>
  <c r="DJ5" i="10"/>
  <c r="AR5" i="10"/>
  <c r="ED4" i="10"/>
  <c r="BR4" i="10"/>
  <c r="F4" i="10"/>
  <c r="CR5" i="9"/>
  <c r="AF5" i="9"/>
  <c r="DR4" i="9"/>
  <c r="BF4" i="9"/>
  <c r="ER5" i="8"/>
  <c r="DL5" i="8"/>
  <c r="CF5" i="8"/>
  <c r="AZ5" i="8"/>
  <c r="AA5" i="8"/>
  <c r="D5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G5" i="12"/>
  <c r="H4" i="12"/>
  <c r="G5" i="11"/>
  <c r="AS4" i="11"/>
  <c r="CY5" i="10"/>
  <c r="AJ5" i="10"/>
  <c r="DV4" i="10"/>
  <c r="BJ4" i="10"/>
  <c r="EV5" i="9"/>
  <c r="CJ5" i="9"/>
  <c r="X5" i="9"/>
  <c r="DJ4" i="9"/>
  <c r="AX4" i="9"/>
  <c r="EQ5" i="8"/>
  <c r="DK5" i="8"/>
  <c r="CE5" i="8"/>
  <c r="AY5" i="8"/>
  <c r="W5" i="8"/>
  <c r="C5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BU5" i="12"/>
  <c r="EZ5" i="11"/>
  <c r="FA4" i="11"/>
  <c r="AC4" i="11"/>
  <c r="CN5" i="10"/>
  <c r="AB5" i="10"/>
  <c r="DN4" i="10"/>
  <c r="BB4" i="10"/>
  <c r="EN5" i="9"/>
  <c r="CB5" i="9"/>
  <c r="P5" i="9"/>
  <c r="DB4" i="9"/>
  <c r="AP4" i="9"/>
  <c r="EJ5" i="8"/>
  <c r="DD5" i="8"/>
  <c r="BX5" i="8"/>
  <c r="AR5" i="8"/>
  <c r="T5" i="8"/>
  <c r="EW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N5" i="12"/>
  <c r="EE5" i="11"/>
  <c r="EK4" i="11"/>
  <c r="P4" i="11"/>
  <c r="CF5" i="10"/>
  <c r="T5" i="10"/>
  <c r="DF4" i="10"/>
  <c r="AT4" i="10"/>
  <c r="EF5" i="9"/>
  <c r="BT5" i="9"/>
  <c r="H5" i="9"/>
  <c r="CT4" i="9"/>
  <c r="AH4" i="9"/>
  <c r="EI5" i="8"/>
  <c r="DC5" i="8"/>
  <c r="BW5" i="8"/>
  <c r="AQ5" i="8"/>
  <c r="S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EF4" i="12"/>
  <c r="DX5" i="9"/>
  <c r="AJ5" i="8"/>
  <c r="CW4" i="8"/>
  <c r="AK4" i="8"/>
  <c r="DW5" i="7"/>
  <c r="BK5" i="7"/>
  <c r="EW4" i="7"/>
  <c r="CL4" i="7"/>
  <c r="BF4" i="7"/>
  <c r="Z4" i="7"/>
  <c r="ER5" i="6"/>
  <c r="DL5" i="6"/>
  <c r="CF5" i="6"/>
  <c r="BG5" i="6"/>
  <c r="AJ5" i="6"/>
  <c r="R5" i="6"/>
  <c r="ES4" i="6"/>
  <c r="DV4" i="6"/>
  <c r="DD4" i="6"/>
  <c r="CG4" i="6"/>
  <c r="BJ4" i="6"/>
  <c r="AR4" i="6"/>
  <c r="U4" i="6"/>
  <c r="EV5" i="5"/>
  <c r="EK5" i="5"/>
  <c r="EA5" i="5"/>
  <c r="DR5" i="5"/>
  <c r="DI5" i="5"/>
  <c r="CZ5" i="5"/>
  <c r="CQ5" i="5"/>
  <c r="CH5" i="5"/>
  <c r="BY5" i="5"/>
  <c r="BO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I5" i="11"/>
  <c r="BL5" i="9"/>
  <c r="O5" i="8"/>
  <c r="CO4" i="8"/>
  <c r="AC4" i="8"/>
  <c r="DO5" i="7"/>
  <c r="BC5" i="7"/>
  <c r="EO4" i="7"/>
  <c r="CK4" i="7"/>
  <c r="BE4" i="7"/>
  <c r="Y4" i="7"/>
  <c r="EQ5" i="6"/>
  <c r="DK5" i="6"/>
  <c r="CE5" i="6"/>
  <c r="BF5" i="6"/>
  <c r="AI5" i="6"/>
  <c r="L5" i="6"/>
  <c r="ER4" i="6"/>
  <c r="DU4" i="6"/>
  <c r="CX4" i="6"/>
  <c r="CF4" i="6"/>
  <c r="BI4" i="6"/>
  <c r="AL4" i="6"/>
  <c r="T4" i="6"/>
  <c r="EU5" i="5"/>
  <c r="EI5" i="5"/>
  <c r="DZ5" i="5"/>
  <c r="DQ5" i="5"/>
  <c r="DH5" i="5"/>
  <c r="CY5" i="5"/>
  <c r="CP5" i="5"/>
  <c r="CG5" i="5"/>
  <c r="BW5" i="5"/>
  <c r="BN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DU4" i="11"/>
  <c r="EX4" i="9"/>
  <c r="ES4" i="8"/>
  <c r="CG4" i="8"/>
  <c r="U4" i="8"/>
  <c r="DG5" i="7"/>
  <c r="AU5" i="7"/>
  <c r="EG4" i="7"/>
  <c r="CD4" i="7"/>
  <c r="AX4" i="7"/>
  <c r="R4" i="7"/>
  <c r="EJ5" i="6"/>
  <c r="DD5" i="6"/>
  <c r="BX5" i="6"/>
  <c r="AZ5" i="6"/>
  <c r="AH5" i="6"/>
  <c r="K5" i="6"/>
  <c r="EL4" i="6"/>
  <c r="DT4" i="6"/>
  <c r="CW4" i="6"/>
  <c r="BZ4" i="6"/>
  <c r="BH4" i="6"/>
  <c r="AK4" i="6"/>
  <c r="N4" i="6"/>
  <c r="ET5" i="5"/>
  <c r="EH5" i="5"/>
  <c r="DY5" i="5"/>
  <c r="DP5" i="5"/>
  <c r="DG5" i="5"/>
  <c r="CX5" i="5"/>
  <c r="CO5" i="5"/>
  <c r="CE5" i="5"/>
  <c r="BV5" i="5"/>
  <c r="BM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C4" i="11"/>
  <c r="CL4" i="9"/>
  <c r="EK4" i="8"/>
  <c r="BY4" i="8"/>
  <c r="M4" i="8"/>
  <c r="CY5" i="7"/>
  <c r="AM5" i="7"/>
  <c r="DY4" i="7"/>
  <c r="CC4" i="7"/>
  <c r="AW4" i="7"/>
  <c r="Q4" i="7"/>
  <c r="EI5" i="6"/>
  <c r="DC5" i="6"/>
  <c r="BW5" i="6"/>
  <c r="AY5" i="6"/>
  <c r="AB5" i="6"/>
  <c r="J5" i="6"/>
  <c r="EK4" i="6"/>
  <c r="DN4" i="6"/>
  <c r="CV4" i="6"/>
  <c r="BY4" i="6"/>
  <c r="BB4" i="6"/>
  <c r="AJ4" i="6"/>
  <c r="M4" i="6"/>
  <c r="EQ5" i="5"/>
  <c r="EG5" i="5"/>
  <c r="DX5" i="5"/>
  <c r="DO5" i="5"/>
  <c r="DF5" i="5"/>
  <c r="CW5" i="5"/>
  <c r="CM5" i="5"/>
  <c r="CD5" i="5"/>
  <c r="BU5" i="5"/>
  <c r="BL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BX5" i="10"/>
  <c r="Z4" i="9"/>
  <c r="EC4" i="8"/>
  <c r="BQ4" i="8"/>
  <c r="E4" i="8"/>
  <c r="CQ5" i="7"/>
  <c r="AE5" i="7"/>
  <c r="DQ4" i="7"/>
  <c r="BV4" i="7"/>
  <c r="AP4" i="7"/>
  <c r="J4" i="7"/>
  <c r="EB5" i="6"/>
  <c r="CV5" i="6"/>
  <c r="BP5" i="6"/>
  <c r="AX5" i="6"/>
  <c r="AA5" i="6"/>
  <c r="D5" i="6"/>
  <c r="EJ4" i="6"/>
  <c r="DM4" i="6"/>
  <c r="CP4" i="6"/>
  <c r="BX4" i="6"/>
  <c r="BA4" i="6"/>
  <c r="AD4" i="6"/>
  <c r="L4" i="6"/>
  <c r="EP5" i="5"/>
  <c r="EF5" i="5"/>
  <c r="DW5" i="5"/>
  <c r="DN5" i="5"/>
  <c r="DE5" i="5"/>
  <c r="CU5" i="5"/>
  <c r="CL5" i="5"/>
  <c r="CC5" i="5"/>
  <c r="BT5" i="5"/>
  <c r="BK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L5" i="10"/>
  <c r="EB5" i="8"/>
  <c r="DU4" i="8"/>
  <c r="BI4" i="8"/>
  <c r="EU5" i="7"/>
  <c r="CI5" i="7"/>
  <c r="W5" i="7"/>
  <c r="DI4" i="7"/>
  <c r="BU4" i="7"/>
  <c r="AO4" i="7"/>
  <c r="I4" i="7"/>
  <c r="EA5" i="6"/>
  <c r="CU5" i="6"/>
  <c r="BO5" i="6"/>
  <c r="AR5" i="6"/>
  <c r="Z5" i="6"/>
  <c r="C5" i="6"/>
  <c r="ED4" i="6"/>
  <c r="DL4" i="6"/>
  <c r="CO4" i="6"/>
  <c r="BR4" i="6"/>
  <c r="AZ4" i="6"/>
  <c r="AC4" i="6"/>
  <c r="F4" i="6"/>
  <c r="EN5" i="5"/>
  <c r="EE5" i="5"/>
  <c r="DV5" i="5"/>
  <c r="DM5" i="5"/>
  <c r="DC5" i="5"/>
  <c r="CT5" i="5"/>
  <c r="CK5" i="5"/>
  <c r="CB5" i="5"/>
  <c r="BS5" i="5"/>
  <c r="BJ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CX4" i="10"/>
  <c r="CV5" i="8"/>
  <c r="DM4" i="8"/>
  <c r="BA4" i="8"/>
  <c r="EM5" i="7"/>
  <c r="CA5" i="7"/>
  <c r="O5" i="7"/>
  <c r="DA4" i="7"/>
  <c r="BN4" i="7"/>
  <c r="AH4" i="7"/>
  <c r="B4" i="7"/>
  <c r="DT5" i="6"/>
  <c r="CN5" i="6"/>
  <c r="BN5" i="6"/>
  <c r="AQ5" i="6"/>
  <c r="T5" i="6"/>
  <c r="B5" i="6"/>
  <c r="EC4" i="6"/>
  <c r="DF4" i="6"/>
  <c r="CN4" i="6"/>
  <c r="BQ4" i="6"/>
  <c r="AT4" i="6"/>
  <c r="AB4" i="6"/>
  <c r="E4" i="6"/>
  <c r="EM5" i="5"/>
  <c r="ED5" i="5"/>
  <c r="DU5" i="5"/>
  <c r="DK5" i="5"/>
  <c r="DB5" i="5"/>
  <c r="CS5" i="5"/>
  <c r="CJ5" i="5"/>
  <c r="CA5" i="5"/>
  <c r="BR5" i="5"/>
  <c r="BI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AL4" i="10"/>
  <c r="BM4" i="7"/>
  <c r="ET4" i="6"/>
  <c r="EL5" i="5"/>
  <c r="BQ5" i="5"/>
  <c r="C5" i="5"/>
  <c r="CO4" i="5"/>
  <c r="AC4" i="5"/>
  <c r="DO5" i="4"/>
  <c r="BC5" i="4"/>
  <c r="EO4" i="4"/>
  <c r="CC4" i="4"/>
  <c r="Q4" i="4"/>
  <c r="A997" i="3"/>
  <c r="I991" i="3"/>
  <c r="E986" i="3"/>
  <c r="G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BP5" i="8"/>
  <c r="AG4" i="7"/>
  <c r="EB4" i="6"/>
  <c r="EC5" i="5"/>
  <c r="BG5" i="5"/>
  <c r="ES4" i="5"/>
  <c r="CG4" i="5"/>
  <c r="U4" i="5"/>
  <c r="DG5" i="4"/>
  <c r="AU5" i="4"/>
  <c r="EG4" i="4"/>
  <c r="BU4" i="4"/>
  <c r="I4" i="4"/>
  <c r="E996" i="3"/>
  <c r="A991" i="3"/>
  <c r="I985" i="3"/>
  <c r="E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DE4" i="8"/>
  <c r="DE4" i="6"/>
  <c r="DS5" i="5"/>
  <c r="AY5" i="5"/>
  <c r="EK4" i="5"/>
  <c r="BY4" i="5"/>
  <c r="M4" i="5"/>
  <c r="CY5" i="4"/>
  <c r="AM5" i="4"/>
  <c r="DY4" i="4"/>
  <c r="BM4" i="4"/>
  <c r="I995" i="3"/>
  <c r="E990" i="3"/>
  <c r="A985" i="3"/>
  <c r="D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AS4" i="8"/>
  <c r="DS5" i="6"/>
  <c r="CH4" i="6"/>
  <c r="DJ5" i="5"/>
  <c r="AQ5" i="5"/>
  <c r="EC4" i="5"/>
  <c r="BQ4" i="5"/>
  <c r="E4" i="5"/>
  <c r="CQ5" i="4"/>
  <c r="AE5" i="4"/>
  <c r="DQ4" i="4"/>
  <c r="BE4" i="4"/>
  <c r="E1000" i="3"/>
  <c r="A995" i="3"/>
  <c r="I989" i="3"/>
  <c r="E984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EE5" i="7"/>
  <c r="CM5" i="6"/>
  <c r="BP4" i="6"/>
  <c r="DA5" i="5"/>
  <c r="AI5" i="5"/>
  <c r="DU4" i="5"/>
  <c r="BI4" i="5"/>
  <c r="EU5" i="4"/>
  <c r="CI5" i="4"/>
  <c r="W5" i="4"/>
  <c r="DI4" i="4"/>
  <c r="AW4" i="4"/>
  <c r="I999" i="3"/>
  <c r="E994" i="3"/>
  <c r="A989" i="3"/>
  <c r="I983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BS5" i="7"/>
  <c r="BH5" i="6"/>
  <c r="AS4" i="6"/>
  <c r="CR5" i="5"/>
  <c r="AA5" i="5"/>
  <c r="DM4" i="5"/>
  <c r="BA4" i="5"/>
  <c r="EM5" i="4"/>
  <c r="CA5" i="4"/>
  <c r="O5" i="4"/>
  <c r="DA4" i="4"/>
  <c r="AO4" i="4"/>
  <c r="A999" i="3"/>
  <c r="I993" i="3"/>
  <c r="E988" i="3"/>
  <c r="A983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G5" i="7"/>
  <c r="AP5" i="6"/>
  <c r="V4" i="6"/>
  <c r="CI5" i="5"/>
  <c r="S5" i="5"/>
  <c r="DE4" i="5"/>
  <c r="AS4" i="5"/>
  <c r="EE5" i="4"/>
  <c r="BS5" i="4"/>
  <c r="G5" i="4"/>
  <c r="CS4" i="4"/>
  <c r="AG4" i="4"/>
  <c r="E998" i="3"/>
  <c r="A993" i="3"/>
  <c r="I987" i="3"/>
  <c r="I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CS4" i="7"/>
  <c r="BK5" i="4"/>
  <c r="J981" i="3"/>
  <c r="F976" i="3"/>
  <c r="B971" i="3"/>
  <c r="J965" i="3"/>
  <c r="F960" i="3"/>
  <c r="B955" i="3"/>
  <c r="J949" i="3"/>
  <c r="F944" i="3"/>
  <c r="B939" i="3"/>
  <c r="J933" i="3"/>
  <c r="F928" i="3"/>
  <c r="B923" i="3"/>
  <c r="J917" i="3"/>
  <c r="F912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S5" i="6"/>
  <c r="EW4" i="4"/>
  <c r="B981" i="3"/>
  <c r="J975" i="3"/>
  <c r="F970" i="3"/>
  <c r="B965" i="3"/>
  <c r="J959" i="3"/>
  <c r="F954" i="3"/>
  <c r="B949" i="3"/>
  <c r="J943" i="3"/>
  <c r="F938" i="3"/>
  <c r="B933" i="3"/>
  <c r="J927" i="3"/>
  <c r="F922" i="3"/>
  <c r="B917" i="3"/>
  <c r="J911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4" i="6"/>
  <c r="CK4" i="4"/>
  <c r="F980" i="3"/>
  <c r="B975" i="3"/>
  <c r="J969" i="3"/>
  <c r="F964" i="3"/>
  <c r="B959" i="3"/>
  <c r="J953" i="3"/>
  <c r="F948" i="3"/>
  <c r="B943" i="3"/>
  <c r="J937" i="3"/>
  <c r="F932" i="3"/>
  <c r="B927" i="3"/>
  <c r="J921" i="3"/>
  <c r="F916" i="3"/>
  <c r="B911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BZ5" i="5"/>
  <c r="Y4" i="4"/>
  <c r="J979" i="3"/>
  <c r="F974" i="3"/>
  <c r="B969" i="3"/>
  <c r="J963" i="3"/>
  <c r="F958" i="3"/>
  <c r="B953" i="3"/>
  <c r="J947" i="3"/>
  <c r="F942" i="3"/>
  <c r="B937" i="3"/>
  <c r="J931" i="3"/>
  <c r="F926" i="3"/>
  <c r="B921" i="3"/>
  <c r="J915" i="3"/>
  <c r="F910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K5" i="5"/>
  <c r="I997" i="3"/>
  <c r="B979" i="3"/>
  <c r="J973" i="3"/>
  <c r="F968" i="3"/>
  <c r="B963" i="3"/>
  <c r="J957" i="3"/>
  <c r="F952" i="3"/>
  <c r="B947" i="3"/>
  <c r="J941" i="3"/>
  <c r="F936" i="3"/>
  <c r="B931" i="3"/>
  <c r="J925" i="3"/>
  <c r="F920" i="3"/>
  <c r="B915" i="3"/>
  <c r="J909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CW4" i="5"/>
  <c r="E992" i="3"/>
  <c r="F978" i="3"/>
  <c r="B973" i="3"/>
  <c r="J967" i="3"/>
  <c r="F962" i="3"/>
  <c r="B957" i="3"/>
  <c r="J951" i="3"/>
  <c r="F946" i="3"/>
  <c r="B941" i="3"/>
  <c r="J935" i="3"/>
  <c r="F930" i="3"/>
  <c r="B925" i="3"/>
  <c r="J919" i="3"/>
  <c r="F914" i="3"/>
  <c r="B909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AK4" i="5"/>
  <c r="A987" i="3"/>
  <c r="J977" i="3"/>
  <c r="F972" i="3"/>
  <c r="B967" i="3"/>
  <c r="J961" i="3"/>
  <c r="F956" i="3"/>
  <c r="B951" i="3"/>
  <c r="J945" i="3"/>
  <c r="F940" i="3"/>
  <c r="B935" i="3"/>
  <c r="J929" i="3"/>
  <c r="F924" i="3"/>
  <c r="B919" i="3"/>
  <c r="J913" i="3"/>
  <c r="F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DW5" i="4"/>
  <c r="B945" i="3"/>
  <c r="F907" i="3"/>
  <c r="B902" i="3"/>
  <c r="J896" i="3"/>
  <c r="F891" i="3"/>
  <c r="B886" i="3"/>
  <c r="J880" i="3"/>
  <c r="F875" i="3"/>
  <c r="B870" i="3"/>
  <c r="J864" i="3"/>
  <c r="F859" i="3"/>
  <c r="B854" i="3"/>
  <c r="J848" i="3"/>
  <c r="F843" i="3"/>
  <c r="B838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H982" i="3"/>
  <c r="J939" i="3"/>
  <c r="J906" i="3"/>
  <c r="F901" i="3"/>
  <c r="B896" i="3"/>
  <c r="J890" i="3"/>
  <c r="F885" i="3"/>
  <c r="B880" i="3"/>
  <c r="J874" i="3"/>
  <c r="F869" i="3"/>
  <c r="B864" i="3"/>
  <c r="J858" i="3"/>
  <c r="F853" i="3"/>
  <c r="B848" i="3"/>
  <c r="J842" i="3"/>
  <c r="F837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B977" i="3"/>
  <c r="F934" i="3"/>
  <c r="B906" i="3"/>
  <c r="J900" i="3"/>
  <c r="F895" i="3"/>
  <c r="B890" i="3"/>
  <c r="J884" i="3"/>
  <c r="F879" i="3"/>
  <c r="B874" i="3"/>
  <c r="J868" i="3"/>
  <c r="F863" i="3"/>
  <c r="B858" i="3"/>
  <c r="J852" i="3"/>
  <c r="F847" i="3"/>
  <c r="B842" i="3"/>
  <c r="J836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J971" i="3"/>
  <c r="B929" i="3"/>
  <c r="F905" i="3"/>
  <c r="B900" i="3"/>
  <c r="J894" i="3"/>
  <c r="F889" i="3"/>
  <c r="B884" i="3"/>
  <c r="J878" i="3"/>
  <c r="F873" i="3"/>
  <c r="B868" i="3"/>
  <c r="J862" i="3"/>
  <c r="F857" i="3"/>
  <c r="B852" i="3"/>
  <c r="J846" i="3"/>
  <c r="F841" i="3"/>
  <c r="B836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966" i="3"/>
  <c r="J923" i="3"/>
  <c r="J904" i="3"/>
  <c r="F899" i="3"/>
  <c r="B894" i="3"/>
  <c r="J888" i="3"/>
  <c r="F883" i="3"/>
  <c r="B878" i="3"/>
  <c r="J872" i="3"/>
  <c r="F867" i="3"/>
  <c r="B862" i="3"/>
  <c r="J856" i="3"/>
  <c r="F851" i="3"/>
  <c r="B846" i="3"/>
  <c r="J840" i="3"/>
  <c r="F835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B961" i="3"/>
  <c r="F918" i="3"/>
  <c r="B904" i="3"/>
  <c r="J898" i="3"/>
  <c r="F893" i="3"/>
  <c r="B888" i="3"/>
  <c r="J882" i="3"/>
  <c r="F877" i="3"/>
  <c r="B872" i="3"/>
  <c r="J866" i="3"/>
  <c r="F861" i="3"/>
  <c r="B856" i="3"/>
  <c r="J850" i="3"/>
  <c r="F845" i="3"/>
  <c r="B840" i="3"/>
  <c r="J834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J955" i="3"/>
  <c r="B913" i="3"/>
  <c r="F903" i="3"/>
  <c r="B898" i="3"/>
  <c r="J892" i="3"/>
  <c r="F887" i="3"/>
  <c r="B882" i="3"/>
  <c r="J876" i="3"/>
  <c r="F871" i="3"/>
  <c r="B866" i="3"/>
  <c r="J860" i="3"/>
  <c r="F855" i="3"/>
  <c r="B850" i="3"/>
  <c r="J844" i="3"/>
  <c r="F839" i="3"/>
  <c r="B834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F950" i="3"/>
  <c r="J870" i="3"/>
  <c r="B833" i="3"/>
  <c r="J827" i="3"/>
  <c r="F822" i="3"/>
  <c r="B817" i="3"/>
  <c r="J811" i="3"/>
  <c r="F806" i="3"/>
  <c r="B801" i="3"/>
  <c r="J795" i="3"/>
  <c r="F790" i="3"/>
  <c r="B785" i="3"/>
  <c r="J779" i="3"/>
  <c r="F774" i="3"/>
  <c r="B769" i="3"/>
  <c r="J763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908" i="3"/>
  <c r="F865" i="3"/>
  <c r="F832" i="3"/>
  <c r="B827" i="3"/>
  <c r="J821" i="3"/>
  <c r="F816" i="3"/>
  <c r="B811" i="3"/>
  <c r="J805" i="3"/>
  <c r="F800" i="3"/>
  <c r="B795" i="3"/>
  <c r="J789" i="3"/>
  <c r="F784" i="3"/>
  <c r="B779" i="3"/>
  <c r="J773" i="3"/>
  <c r="F768" i="3"/>
  <c r="B763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J902" i="3"/>
  <c r="B860" i="3"/>
  <c r="J831" i="3"/>
  <c r="F826" i="3"/>
  <c r="B821" i="3"/>
  <c r="J815" i="3"/>
  <c r="F810" i="3"/>
  <c r="B805" i="3"/>
  <c r="J799" i="3"/>
  <c r="F794" i="3"/>
  <c r="B789" i="3"/>
  <c r="J783" i="3"/>
  <c r="F778" i="3"/>
  <c r="B773" i="3"/>
  <c r="J767" i="3"/>
  <c r="F762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F897" i="3"/>
  <c r="J854" i="3"/>
  <c r="B831" i="3"/>
  <c r="J825" i="3"/>
  <c r="F820" i="3"/>
  <c r="B815" i="3"/>
  <c r="J809" i="3"/>
  <c r="F804" i="3"/>
  <c r="B799" i="3"/>
  <c r="J793" i="3"/>
  <c r="F788" i="3"/>
  <c r="B783" i="3"/>
  <c r="J777" i="3"/>
  <c r="F772" i="3"/>
  <c r="B767" i="3"/>
  <c r="J761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B892" i="3"/>
  <c r="F849" i="3"/>
  <c r="F830" i="3"/>
  <c r="B825" i="3"/>
  <c r="J819" i="3"/>
  <c r="F814" i="3"/>
  <c r="B809" i="3"/>
  <c r="J803" i="3"/>
  <c r="F798" i="3"/>
  <c r="B793" i="3"/>
  <c r="J787" i="3"/>
  <c r="F782" i="3"/>
  <c r="B777" i="3"/>
  <c r="J771" i="3"/>
  <c r="F766" i="3"/>
  <c r="B761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886" i="3"/>
  <c r="B844" i="3"/>
  <c r="J829" i="3"/>
  <c r="F824" i="3"/>
  <c r="B819" i="3"/>
  <c r="J813" i="3"/>
  <c r="F808" i="3"/>
  <c r="B803" i="3"/>
  <c r="J797" i="3"/>
  <c r="F792" i="3"/>
  <c r="B787" i="3"/>
  <c r="J781" i="3"/>
  <c r="F776" i="3"/>
  <c r="B771" i="3"/>
  <c r="J765" i="3"/>
  <c r="F760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F881" i="3"/>
  <c r="J838" i="3"/>
  <c r="B829" i="3"/>
  <c r="J823" i="3"/>
  <c r="F818" i="3"/>
  <c r="B813" i="3"/>
  <c r="J807" i="3"/>
  <c r="F802" i="3"/>
  <c r="B797" i="3"/>
  <c r="J791" i="3"/>
  <c r="F786" i="3"/>
  <c r="B781" i="3"/>
  <c r="J775" i="3"/>
  <c r="F770" i="3"/>
  <c r="B765" i="3"/>
  <c r="J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B876" i="3"/>
  <c r="F796" i="3"/>
  <c r="K758" i="3"/>
  <c r="G753" i="3"/>
  <c r="C748" i="3"/>
  <c r="K742" i="3"/>
  <c r="G737" i="3"/>
  <c r="C732" i="3"/>
  <c r="K726" i="3"/>
  <c r="G721" i="3"/>
  <c r="C716" i="3"/>
  <c r="K710" i="3"/>
  <c r="G705" i="3"/>
  <c r="C700" i="3"/>
  <c r="K694" i="3"/>
  <c r="G689" i="3"/>
  <c r="C684" i="3"/>
  <c r="K678" i="3"/>
  <c r="G673" i="3"/>
  <c r="C668" i="3"/>
  <c r="K662" i="3"/>
  <c r="G657" i="3"/>
  <c r="C652" i="3"/>
  <c r="K646" i="3"/>
  <c r="G641" i="3"/>
  <c r="C636" i="3"/>
  <c r="K630" i="3"/>
  <c r="G625" i="3"/>
  <c r="C620" i="3"/>
  <c r="K614" i="3"/>
  <c r="G609" i="3"/>
  <c r="C604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J833" i="3"/>
  <c r="B791" i="3"/>
  <c r="C758" i="3"/>
  <c r="K752" i="3"/>
  <c r="G747" i="3"/>
  <c r="C742" i="3"/>
  <c r="K736" i="3"/>
  <c r="G731" i="3"/>
  <c r="C726" i="3"/>
  <c r="K720" i="3"/>
  <c r="G715" i="3"/>
  <c r="C710" i="3"/>
  <c r="K704" i="3"/>
  <c r="G699" i="3"/>
  <c r="C694" i="3"/>
  <c r="K688" i="3"/>
  <c r="G683" i="3"/>
  <c r="C678" i="3"/>
  <c r="K672" i="3"/>
  <c r="G667" i="3"/>
  <c r="C662" i="3"/>
  <c r="K656" i="3"/>
  <c r="G651" i="3"/>
  <c r="C646" i="3"/>
  <c r="K640" i="3"/>
  <c r="G635" i="3"/>
  <c r="C630" i="3"/>
  <c r="K624" i="3"/>
  <c r="G619" i="3"/>
  <c r="C614" i="3"/>
  <c r="K608" i="3"/>
  <c r="G603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F828" i="3"/>
  <c r="J785" i="3"/>
  <c r="G757" i="3"/>
  <c r="C752" i="3"/>
  <c r="K746" i="3"/>
  <c r="G741" i="3"/>
  <c r="C736" i="3"/>
  <c r="K730" i="3"/>
  <c r="G725" i="3"/>
  <c r="C720" i="3"/>
  <c r="K714" i="3"/>
  <c r="G709" i="3"/>
  <c r="C704" i="3"/>
  <c r="K698" i="3"/>
  <c r="G693" i="3"/>
  <c r="C688" i="3"/>
  <c r="K682" i="3"/>
  <c r="G677" i="3"/>
  <c r="C672" i="3"/>
  <c r="K666" i="3"/>
  <c r="G661" i="3"/>
  <c r="C656" i="3"/>
  <c r="K650" i="3"/>
  <c r="G645" i="3"/>
  <c r="C640" i="3"/>
  <c r="K634" i="3"/>
  <c r="G629" i="3"/>
  <c r="C624" i="3"/>
  <c r="K618" i="3"/>
  <c r="G613" i="3"/>
  <c r="C608" i="3"/>
  <c r="K602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B823" i="3"/>
  <c r="F780" i="3"/>
  <c r="K756" i="3"/>
  <c r="G751" i="3"/>
  <c r="C746" i="3"/>
  <c r="K740" i="3"/>
  <c r="G735" i="3"/>
  <c r="C730" i="3"/>
  <c r="K724" i="3"/>
  <c r="G719" i="3"/>
  <c r="C714" i="3"/>
  <c r="K708" i="3"/>
  <c r="G703" i="3"/>
  <c r="C698" i="3"/>
  <c r="K692" i="3"/>
  <c r="G687" i="3"/>
  <c r="C682" i="3"/>
  <c r="K676" i="3"/>
  <c r="G671" i="3"/>
  <c r="C666" i="3"/>
  <c r="K660" i="3"/>
  <c r="G655" i="3"/>
  <c r="C650" i="3"/>
  <c r="K644" i="3"/>
  <c r="G639" i="3"/>
  <c r="C634" i="3"/>
  <c r="K628" i="3"/>
  <c r="G623" i="3"/>
  <c r="C618" i="3"/>
  <c r="K612" i="3"/>
  <c r="G607" i="3"/>
  <c r="C602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817" i="3"/>
  <c r="B775" i="3"/>
  <c r="C756" i="3"/>
  <c r="K750" i="3"/>
  <c r="G745" i="3"/>
  <c r="C740" i="3"/>
  <c r="K734" i="3"/>
  <c r="G729" i="3"/>
  <c r="C724" i="3"/>
  <c r="K718" i="3"/>
  <c r="G713" i="3"/>
  <c r="C708" i="3"/>
  <c r="K702" i="3"/>
  <c r="G697" i="3"/>
  <c r="C692" i="3"/>
  <c r="K686" i="3"/>
  <c r="G681" i="3"/>
  <c r="C676" i="3"/>
  <c r="K670" i="3"/>
  <c r="G665" i="3"/>
  <c r="C660" i="3"/>
  <c r="K654" i="3"/>
  <c r="G649" i="3"/>
  <c r="C644" i="3"/>
  <c r="K638" i="3"/>
  <c r="G633" i="3"/>
  <c r="C628" i="3"/>
  <c r="K622" i="3"/>
  <c r="G617" i="3"/>
  <c r="C612" i="3"/>
  <c r="K606" i="3"/>
  <c r="G601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F812" i="3"/>
  <c r="J769" i="3"/>
  <c r="G755" i="3"/>
  <c r="C750" i="3"/>
  <c r="K744" i="3"/>
  <c r="G739" i="3"/>
  <c r="C734" i="3"/>
  <c r="K728" i="3"/>
  <c r="G723" i="3"/>
  <c r="C718" i="3"/>
  <c r="K712" i="3"/>
  <c r="G707" i="3"/>
  <c r="C702" i="3"/>
  <c r="K696" i="3"/>
  <c r="G691" i="3"/>
  <c r="C686" i="3"/>
  <c r="K680" i="3"/>
  <c r="G675" i="3"/>
  <c r="C670" i="3"/>
  <c r="K664" i="3"/>
  <c r="G659" i="3"/>
  <c r="C654" i="3"/>
  <c r="K648" i="3"/>
  <c r="G643" i="3"/>
  <c r="C638" i="3"/>
  <c r="K632" i="3"/>
  <c r="G627" i="3"/>
  <c r="C622" i="3"/>
  <c r="K616" i="3"/>
  <c r="G611" i="3"/>
  <c r="C606" i="3"/>
  <c r="K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B807" i="3"/>
  <c r="F764" i="3"/>
  <c r="K754" i="3"/>
  <c r="G749" i="3"/>
  <c r="C744" i="3"/>
  <c r="K738" i="3"/>
  <c r="G733" i="3"/>
  <c r="C728" i="3"/>
  <c r="K722" i="3"/>
  <c r="G717" i="3"/>
  <c r="C712" i="3"/>
  <c r="K706" i="3"/>
  <c r="G701" i="3"/>
  <c r="C696" i="3"/>
  <c r="K690" i="3"/>
  <c r="G685" i="3"/>
  <c r="C680" i="3"/>
  <c r="K674" i="3"/>
  <c r="G669" i="3"/>
  <c r="C664" i="3"/>
  <c r="K658" i="3"/>
  <c r="G653" i="3"/>
  <c r="C648" i="3"/>
  <c r="K642" i="3"/>
  <c r="G637" i="3"/>
  <c r="C632" i="3"/>
  <c r="K626" i="3"/>
  <c r="G621" i="3"/>
  <c r="C616" i="3"/>
  <c r="K610" i="3"/>
  <c r="G605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J801" i="3"/>
  <c r="C722" i="3"/>
  <c r="G679" i="3"/>
  <c r="K636" i="3"/>
  <c r="F599" i="3"/>
  <c r="B594" i="3"/>
  <c r="J588" i="3"/>
  <c r="F583" i="3"/>
  <c r="B578" i="3"/>
  <c r="J572" i="3"/>
  <c r="F567" i="3"/>
  <c r="B562" i="3"/>
  <c r="J556" i="3"/>
  <c r="F551" i="3"/>
  <c r="B546" i="3"/>
  <c r="J540" i="3"/>
  <c r="F535" i="3"/>
  <c r="B530" i="3"/>
  <c r="J524" i="3"/>
  <c r="F519" i="3"/>
  <c r="B514" i="3"/>
  <c r="J508" i="3"/>
  <c r="F503" i="3"/>
  <c r="B498" i="3"/>
  <c r="J492" i="3"/>
  <c r="F487" i="3"/>
  <c r="B482" i="3"/>
  <c r="J476" i="3"/>
  <c r="F471" i="3"/>
  <c r="B466" i="3"/>
  <c r="J460" i="3"/>
  <c r="F455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G759" i="3"/>
  <c r="K716" i="3"/>
  <c r="C674" i="3"/>
  <c r="G631" i="3"/>
  <c r="J598" i="3"/>
  <c r="F593" i="3"/>
  <c r="B588" i="3"/>
  <c r="J582" i="3"/>
  <c r="F577" i="3"/>
  <c r="B572" i="3"/>
  <c r="J566" i="3"/>
  <c r="F561" i="3"/>
  <c r="B556" i="3"/>
  <c r="J550" i="3"/>
  <c r="F545" i="3"/>
  <c r="B540" i="3"/>
  <c r="J534" i="3"/>
  <c r="F529" i="3"/>
  <c r="B524" i="3"/>
  <c r="J518" i="3"/>
  <c r="F513" i="3"/>
  <c r="B508" i="3"/>
  <c r="J502" i="3"/>
  <c r="F497" i="3"/>
  <c r="B492" i="3"/>
  <c r="J486" i="3"/>
  <c r="F481" i="3"/>
  <c r="B476" i="3"/>
  <c r="J470" i="3"/>
  <c r="F465" i="3"/>
  <c r="B460" i="3"/>
  <c r="J454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C754" i="3"/>
  <c r="G711" i="3"/>
  <c r="K668" i="3"/>
  <c r="C626" i="3"/>
  <c r="B598" i="3"/>
  <c r="J592" i="3"/>
  <c r="F587" i="3"/>
  <c r="B582" i="3"/>
  <c r="J576" i="3"/>
  <c r="F571" i="3"/>
  <c r="B566" i="3"/>
  <c r="J560" i="3"/>
  <c r="F555" i="3"/>
  <c r="B550" i="3"/>
  <c r="J544" i="3"/>
  <c r="F539" i="3"/>
  <c r="B534" i="3"/>
  <c r="J528" i="3"/>
  <c r="F523" i="3"/>
  <c r="B518" i="3"/>
  <c r="J512" i="3"/>
  <c r="F507" i="3"/>
  <c r="B502" i="3"/>
  <c r="J496" i="3"/>
  <c r="F491" i="3"/>
  <c r="B486" i="3"/>
  <c r="J480" i="3"/>
  <c r="F475" i="3"/>
  <c r="B470" i="3"/>
  <c r="J464" i="3"/>
  <c r="F459" i="3"/>
  <c r="B454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K748" i="3"/>
  <c r="C706" i="3"/>
  <c r="G663" i="3"/>
  <c r="K620" i="3"/>
  <c r="F597" i="3"/>
  <c r="B592" i="3"/>
  <c r="J586" i="3"/>
  <c r="F581" i="3"/>
  <c r="B576" i="3"/>
  <c r="J570" i="3"/>
  <c r="F565" i="3"/>
  <c r="B560" i="3"/>
  <c r="J554" i="3"/>
  <c r="F549" i="3"/>
  <c r="B544" i="3"/>
  <c r="J538" i="3"/>
  <c r="F533" i="3"/>
  <c r="B528" i="3"/>
  <c r="J522" i="3"/>
  <c r="F517" i="3"/>
  <c r="B512" i="3"/>
  <c r="J506" i="3"/>
  <c r="F501" i="3"/>
  <c r="B496" i="3"/>
  <c r="J490" i="3"/>
  <c r="F485" i="3"/>
  <c r="B480" i="3"/>
  <c r="J474" i="3"/>
  <c r="F469" i="3"/>
  <c r="B464" i="3"/>
  <c r="J458" i="3"/>
  <c r="F453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G743" i="3"/>
  <c r="K700" i="3"/>
  <c r="C658" i="3"/>
  <c r="G615" i="3"/>
  <c r="J596" i="3"/>
  <c r="F591" i="3"/>
  <c r="B586" i="3"/>
  <c r="J580" i="3"/>
  <c r="F575" i="3"/>
  <c r="B570" i="3"/>
  <c r="J564" i="3"/>
  <c r="F559" i="3"/>
  <c r="B554" i="3"/>
  <c r="J548" i="3"/>
  <c r="F543" i="3"/>
  <c r="B538" i="3"/>
  <c r="J532" i="3"/>
  <c r="F527" i="3"/>
  <c r="B522" i="3"/>
  <c r="J516" i="3"/>
  <c r="F511" i="3"/>
  <c r="B506" i="3"/>
  <c r="J500" i="3"/>
  <c r="F495" i="3"/>
  <c r="B490" i="3"/>
  <c r="J484" i="3"/>
  <c r="F479" i="3"/>
  <c r="B474" i="3"/>
  <c r="J468" i="3"/>
  <c r="F463" i="3"/>
  <c r="B458" i="3"/>
  <c r="J452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C738" i="3"/>
  <c r="G695" i="3"/>
  <c r="K652" i="3"/>
  <c r="C610" i="3"/>
  <c r="B596" i="3"/>
  <c r="J590" i="3"/>
  <c r="F585" i="3"/>
  <c r="B580" i="3"/>
  <c r="J574" i="3"/>
  <c r="F569" i="3"/>
  <c r="B564" i="3"/>
  <c r="J558" i="3"/>
  <c r="F553" i="3"/>
  <c r="B548" i="3"/>
  <c r="J542" i="3"/>
  <c r="F537" i="3"/>
  <c r="B532" i="3"/>
  <c r="J526" i="3"/>
  <c r="F521" i="3"/>
  <c r="B516" i="3"/>
  <c r="J510" i="3"/>
  <c r="F505" i="3"/>
  <c r="B500" i="3"/>
  <c r="J494" i="3"/>
  <c r="F489" i="3"/>
  <c r="B484" i="3"/>
  <c r="J478" i="3"/>
  <c r="F473" i="3"/>
  <c r="B468" i="3"/>
  <c r="J462" i="3"/>
  <c r="F457" i="3"/>
  <c r="B452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K732" i="3"/>
  <c r="C690" i="3"/>
  <c r="G647" i="3"/>
  <c r="K604" i="3"/>
  <c r="F595" i="3"/>
  <c r="B590" i="3"/>
  <c r="J584" i="3"/>
  <c r="F579" i="3"/>
  <c r="B574" i="3"/>
  <c r="J568" i="3"/>
  <c r="F563" i="3"/>
  <c r="B558" i="3"/>
  <c r="J552" i="3"/>
  <c r="F547" i="3"/>
  <c r="B542" i="3"/>
  <c r="J536" i="3"/>
  <c r="F531" i="3"/>
  <c r="B526" i="3"/>
  <c r="J520" i="3"/>
  <c r="F515" i="3"/>
  <c r="B510" i="3"/>
  <c r="J504" i="3"/>
  <c r="F499" i="3"/>
  <c r="B494" i="3"/>
  <c r="J488" i="3"/>
  <c r="F483" i="3"/>
  <c r="B478" i="3"/>
  <c r="J472" i="3"/>
  <c r="F467" i="3"/>
  <c r="B462" i="3"/>
  <c r="J456" i="3"/>
  <c r="J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G727" i="3"/>
  <c r="K684" i="3"/>
  <c r="C642" i="3"/>
  <c r="B600" i="3"/>
  <c r="J594" i="3"/>
  <c r="F589" i="3"/>
  <c r="B584" i="3"/>
  <c r="J578" i="3"/>
  <c r="F573" i="3"/>
  <c r="B568" i="3"/>
  <c r="J562" i="3"/>
  <c r="F557" i="3"/>
  <c r="B552" i="3"/>
  <c r="J546" i="3"/>
  <c r="F541" i="3"/>
  <c r="B536" i="3"/>
  <c r="J530" i="3"/>
  <c r="F525" i="3"/>
  <c r="B520" i="3"/>
  <c r="J514" i="3"/>
  <c r="F509" i="3"/>
  <c r="B504" i="3"/>
  <c r="J498" i="3"/>
  <c r="F493" i="3"/>
  <c r="B488" i="3"/>
  <c r="J482" i="3"/>
  <c r="F477" i="3"/>
  <c r="B472" i="3"/>
  <c r="J466" i="3"/>
  <c r="F461" i="3"/>
  <c r="B456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L404" i="3"/>
  <c r="H399" i="3"/>
  <c r="D394" i="3"/>
  <c r="L388" i="3"/>
  <c r="H383" i="3"/>
  <c r="D378" i="3"/>
  <c r="L372" i="3"/>
  <c r="H367" i="3"/>
  <c r="D362" i="3"/>
  <c r="L356" i="3"/>
  <c r="H351" i="3"/>
  <c r="D346" i="3"/>
  <c r="L340" i="3"/>
  <c r="H335" i="3"/>
  <c r="D330" i="3"/>
  <c r="L324" i="3"/>
  <c r="H319" i="3"/>
  <c r="D314" i="3"/>
  <c r="L308" i="3"/>
  <c r="H303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H409" i="3"/>
  <c r="D404" i="3"/>
  <c r="L398" i="3"/>
  <c r="H393" i="3"/>
  <c r="D388" i="3"/>
  <c r="L382" i="3"/>
  <c r="H377" i="3"/>
  <c r="D372" i="3"/>
  <c r="L366" i="3"/>
  <c r="H361" i="3"/>
  <c r="D356" i="3"/>
  <c r="L350" i="3"/>
  <c r="H345" i="3"/>
  <c r="D340" i="3"/>
  <c r="L334" i="3"/>
  <c r="H329" i="3"/>
  <c r="D324" i="3"/>
  <c r="L318" i="3"/>
  <c r="H313" i="3"/>
  <c r="D308" i="3"/>
  <c r="D303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L408" i="3"/>
  <c r="H403" i="3"/>
  <c r="D398" i="3"/>
  <c r="L392" i="3"/>
  <c r="H387" i="3"/>
  <c r="D382" i="3"/>
  <c r="L376" i="3"/>
  <c r="H371" i="3"/>
  <c r="D366" i="3"/>
  <c r="L360" i="3"/>
  <c r="H355" i="3"/>
  <c r="D350" i="3"/>
  <c r="L344" i="3"/>
  <c r="H339" i="3"/>
  <c r="D334" i="3"/>
  <c r="L328" i="3"/>
  <c r="H323" i="3"/>
  <c r="D318" i="3"/>
  <c r="L312" i="3"/>
  <c r="H307" i="3"/>
  <c r="L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D408" i="3"/>
  <c r="L402" i="3"/>
  <c r="H397" i="3"/>
  <c r="D392" i="3"/>
  <c r="L386" i="3"/>
  <c r="H381" i="3"/>
  <c r="D376" i="3"/>
  <c r="L370" i="3"/>
  <c r="H365" i="3"/>
  <c r="D360" i="3"/>
  <c r="L354" i="3"/>
  <c r="H349" i="3"/>
  <c r="D344" i="3"/>
  <c r="L338" i="3"/>
  <c r="H333" i="3"/>
  <c r="D328" i="3"/>
  <c r="L322" i="3"/>
  <c r="H317" i="3"/>
  <c r="D312" i="3"/>
  <c r="L306" i="3"/>
  <c r="J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H407" i="3"/>
  <c r="D402" i="3"/>
  <c r="L396" i="3"/>
  <c r="H391" i="3"/>
  <c r="D386" i="3"/>
  <c r="L380" i="3"/>
  <c r="H375" i="3"/>
  <c r="D370" i="3"/>
  <c r="L364" i="3"/>
  <c r="H359" i="3"/>
  <c r="D354" i="3"/>
  <c r="L348" i="3"/>
  <c r="H343" i="3"/>
  <c r="D338" i="3"/>
  <c r="L332" i="3"/>
  <c r="H327" i="3"/>
  <c r="D322" i="3"/>
  <c r="L316" i="3"/>
  <c r="H311" i="3"/>
  <c r="D306" i="3"/>
  <c r="I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L406" i="3"/>
  <c r="H401" i="3"/>
  <c r="D396" i="3"/>
  <c r="L390" i="3"/>
  <c r="H385" i="3"/>
  <c r="D380" i="3"/>
  <c r="L374" i="3"/>
  <c r="H369" i="3"/>
  <c r="D364" i="3"/>
  <c r="L358" i="3"/>
  <c r="H353" i="3"/>
  <c r="D348" i="3"/>
  <c r="L342" i="3"/>
  <c r="H337" i="3"/>
  <c r="D332" i="3"/>
  <c r="L326" i="3"/>
  <c r="H321" i="3"/>
  <c r="D316" i="3"/>
  <c r="L310" i="3"/>
  <c r="H305" i="3"/>
  <c r="H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D406" i="3"/>
  <c r="L400" i="3"/>
  <c r="H395" i="3"/>
  <c r="D390" i="3"/>
  <c r="L384" i="3"/>
  <c r="H379" i="3"/>
  <c r="D374" i="3"/>
  <c r="L368" i="3"/>
  <c r="H363" i="3"/>
  <c r="D358" i="3"/>
  <c r="L352" i="3"/>
  <c r="H347" i="3"/>
  <c r="D342" i="3"/>
  <c r="L336" i="3"/>
  <c r="H331" i="3"/>
  <c r="D326" i="3"/>
  <c r="L320" i="3"/>
  <c r="H315" i="3"/>
  <c r="D310" i="3"/>
  <c r="L304" i="3"/>
  <c r="G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H405" i="3"/>
  <c r="D400" i="3"/>
  <c r="L394" i="3"/>
  <c r="H389" i="3"/>
  <c r="D384" i="3"/>
  <c r="L378" i="3"/>
  <c r="H373" i="3"/>
  <c r="D368" i="3"/>
  <c r="L362" i="3"/>
  <c r="H357" i="3"/>
  <c r="D352" i="3"/>
  <c r="L346" i="3"/>
  <c r="H341" i="3"/>
  <c r="D336" i="3"/>
  <c r="L330" i="3"/>
  <c r="H325" i="3"/>
  <c r="D320" i="3"/>
  <c r="L314" i="3"/>
  <c r="H309" i="3"/>
  <c r="D304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C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A231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L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I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H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C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K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G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E810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C810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C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H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G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D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C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C298" i="1"/>
  <c r="E297" i="1"/>
  <c r="F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A299" i="1"/>
  <c r="B298" i="1"/>
  <c r="C297" i="1"/>
  <c r="E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K298" i="1"/>
  <c r="A298" i="1"/>
  <c r="B297" i="1"/>
  <c r="C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J298" i="1"/>
  <c r="K297" i="1"/>
  <c r="A297" i="1"/>
  <c r="B296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I298" i="1"/>
  <c r="J297" i="1"/>
  <c r="K296" i="1"/>
  <c r="A296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G298" i="1"/>
  <c r="I297" i="1"/>
  <c r="J296" i="1"/>
  <c r="K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F298" i="1"/>
  <c r="G297" i="1"/>
  <c r="I296" i="1"/>
  <c r="J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B4" i="1"/>
  <c r="E298" i="1"/>
  <c r="F297" i="1"/>
  <c r="G296" i="1"/>
  <c r="I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J2" i="11" l="1"/>
  <c r="J2" i="13"/>
  <c r="J2" i="12"/>
  <c r="J2" i="9"/>
  <c r="J2" i="10"/>
  <c r="J2" i="8"/>
  <c r="J2" i="6"/>
  <c r="J2" i="5"/>
  <c r="J2" i="7"/>
  <c r="J2" i="4"/>
</calcChain>
</file>

<file path=xl/sharedStrings.xml><?xml version="1.0" encoding="utf-8"?>
<sst xmlns="http://schemas.openxmlformats.org/spreadsheetml/2006/main" count="261" uniqueCount="39">
  <si>
    <t>Settings</t>
  </si>
  <si>
    <t>Module Step Setting File</t>
  </si>
  <si>
    <t>1bjzFzn7sq_aNk1B-5bCREqf7Fqdi4GeZC91op3sddBc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</si>
  <si>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</si>
  <si>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</si>
  <si>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</si>
  <si>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</si>
  <si>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</si>
  <si>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</si>
  <si>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</si>
  <si>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</si>
  <si>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</si>
  <si>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</si>
  <si>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</si>
  <si>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Modules Info</t>
  </si>
  <si>
    <t>Modules</t>
  </si>
  <si>
    <t>DELL</t>
  </si>
  <si>
    <t>Buy</t>
  </si>
  <si>
    <t>Allocation1</t>
  </si>
  <si>
    <t>Sell</t>
  </si>
  <si>
    <t>Closing</t>
  </si>
  <si>
    <t>GetDataClosing</t>
  </si>
  <si>
    <t>Historical</t>
  </si>
  <si>
    <t>AutomaticClosing</t>
  </si>
  <si>
    <t>ETM</t>
  </si>
  <si>
    <t>None</t>
  </si>
  <si>
    <t>Default</t>
  </si>
  <si>
    <t>VerifyClosedTrades</t>
  </si>
  <si>
    <t>UnwindClosing</t>
  </si>
  <si>
    <t>Long</t>
  </si>
  <si>
    <t>Allocation</t>
  </si>
  <si>
    <t>GetDataAllocation</t>
  </si>
  <si>
    <t>CheckAllocatedGroups</t>
  </si>
  <si>
    <t>Closed</t>
  </si>
  <si>
    <t xml:space="preserve">Buy </t>
  </si>
  <si>
    <t>PortfolioManagement</t>
  </si>
  <si>
    <t>CheckPortfolioManagement</t>
  </si>
  <si>
    <t>VerifyLongPositionsGrid</t>
  </si>
  <si>
    <t>VerifyShortPositionsGrid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</si>
</sst>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4"/>
      <color rgb="FFFFFFFF"/>
      <name val="Calibri"/>
    </font>
    <font>
      <sz val="10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5" fillId="3" borderId="4" xfId="0" applyFont="1" applyFill="1" applyBorder="1" applyAlignment="1"/>
    <xf numFmtId="0" fontId="7" fillId="0" borderId="0" xfId="0" applyFont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6" fillId="2" borderId="0" xfId="0" applyFont="1" applyFill="1" applyAlignment="1">
      <alignment horizontal="center"/>
    </xf>
    <xf numFmtId="0" fontId="2" fillId="2" borderId="0" xfId="0" applyFont="1" applyFill="1"/>
    <xf numFmtId="0" fontId="5" fillId="0" borderId="0" xfId="0" applyFont="1" applyAlignment="1"/>
    <xf numFmtId="0" fontId="4" fillId="3" borderId="0" xfId="0" applyFont="1" applyFill="1" applyAlignment="1"/>
    <xf numFmtId="0" fontId="5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7" fillId="3" borderId="4" xfId="0" applyFont="1" applyFill="1" applyBorder="1" applyAlignment="1"/>
    <xf numFmtId="0" fontId="7" fillId="3" borderId="4" xfId="0" applyFont="1" applyFill="1" applyBorder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14" fontId="3" fillId="0" borderId="0" xfId="0" applyNumberFormat="1" applyFont="1" applyAlignment="1"/>
    <xf numFmtId="14" fontId="3" fillId="0" borderId="0" xfId="0" applyNumberFormat="1" applyFont="1" applyAlignment="1"/>
    <xf numFmtId="0" fontId="2" fillId="0" borderId="0" xfId="0" applyFont="1" applyAlignment="1"/>
    <xf numFmtId="14" fontId="2" fillId="0" borderId="0" xfId="0" applyNumberFormat="1" applyFont="1" applyAlignment="1"/>
    <xf numFmtId="0" fontId="3" fillId="0" borderId="0" xfId="0" applyFont="1" applyAlignment="1"/>
    <xf numFmtId="14" fontId="3" fillId="0" borderId="0" xfId="0" applyNumberFormat="1" applyFont="1" applyAlignment="1">
      <alignment horizontal="right"/>
    </xf>
    <xf numFmtId="0" fontId="7" fillId="0" borderId="0" xfId="0" applyFont="1" applyAlignment="1"/>
    <xf numFmtId="0" fontId="7" fillId="0" borderId="0" xfId="0" applyFont="1" applyAlignment="1"/>
    <xf numFmtId="0" fontId="3" fillId="0" borderId="0" xfId="0" applyFont="1" applyAlignment="1">
      <alignment horizontal="right"/>
    </xf>
    <xf numFmtId="14" fontId="7" fillId="0" borderId="0" xfId="0" applyNumberFormat="1" applyFont="1" applyAlignment="1"/>
    <xf numFmtId="0" fontId="7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6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43" t="s">
        <v>14</v>
      </c>
      <c r="B1" s="44"/>
      <c r="C1" s="44"/>
      <c r="D1" s="44"/>
      <c r="E1" s="44"/>
      <c r="F1" s="45"/>
    </row>
    <row r="2" spans="1:12" ht="15.75" customHeight="1" x14ac:dyDescent="0.2">
      <c r="A2" s="6"/>
      <c r="B2" s="6"/>
      <c r="C2" s="6"/>
      <c r="D2" s="6"/>
      <c r="E2" s="6"/>
      <c r="F2" s="6"/>
    </row>
    <row r="3" spans="1:12" ht="15.75" customHeight="1" x14ac:dyDescent="0.2">
      <c r="A3" s="2" t="s">
        <v>15</v>
      </c>
      <c r="B3" s="17"/>
      <c r="C3" s="18"/>
      <c r="D3" s="18"/>
      <c r="E3" s="18"/>
      <c r="F3" s="18"/>
    </row>
    <row r="4" spans="1:12" ht="15.75" customHeight="1" x14ac:dyDescent="0.2">
      <c r="A4" s="1" t="str">
        <f ca="1">IFERROR(__xludf.DUMMYFUNCTION("IMPORTRANGE('_Settings'!B3,""Modules!A4:L1000"")"),"Allocation")</f>
        <v>Allocation</v>
      </c>
      <c r="B4" s="6" t="str">
        <f ca="1">IFERROR(__xludf.DUMMYFUNCTION("""COMPUTED_VALUE"""),"Allocate")</f>
        <v>Allocate</v>
      </c>
      <c r="C4" s="6" t="str">
        <f ca="1">IFERROR(__xludf.DUMMYFUNCTION("""COMPUTED_VALUE"""),"1g8wLprruaWRC_5pQcovqkv8ZCiMt5fspCOACibdkz7g")</f>
        <v>1g8wLprruaWRC_5pQcovqkv8ZCiMt5fspCOACibdkz7g</v>
      </c>
      <c r="D4" s="6" t="str">
        <f ca="1">IFERROR(__xludf.DUMMYFUNCTION("""COMPUTED_VALUE"""),"")</f>
        <v/>
      </c>
      <c r="E4" s="6" t="str">
        <f ca="1">IFERROR(__xludf.DUMMYFUNCTION("""COMPUTED_VALUE"""),"")</f>
        <v/>
      </c>
      <c r="F4" s="6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1" t="str">
        <f ca="1">IFERROR(__xludf.DUMMYFUNCTION("""COMPUTED_VALUE"""),"Allocation")</f>
        <v>Allocation</v>
      </c>
      <c r="B5" s="6" t="str">
        <f ca="1">IFERROR(__xludf.DUMMYFUNCTION("""COMPUTED_VALUE"""),"CheckAllocatedGroups")</f>
        <v>CheckAllocatedGroups</v>
      </c>
      <c r="C5" s="6" t="str">
        <f ca="1">IFERROR(__xludf.DUMMYFUNCTION("""COMPUTED_VALUE"""),"1aecq-HMDoDkIInONjPC11z5TBFHyJhv4ro66e2ZOphg")</f>
        <v>1aecq-HMDoDkIInONjPC11z5TBFHyJhv4ro66e2ZOphg</v>
      </c>
      <c r="D5" s="6" t="str">
        <f ca="1">IFERROR(__xludf.DUMMYFUNCTION("""COMPUTED_VALUE"""),"")</f>
        <v/>
      </c>
      <c r="E5" s="6" t="str">
        <f ca="1">IFERROR(__xludf.DUMMYFUNCTION("""COMPUTED_VALUE"""),"")</f>
        <v/>
      </c>
      <c r="F5" s="6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6" t="str">
        <f ca="1">IFERROR(__xludf.DUMMYFUNCTION("""COMPUTED_VALUE"""),"Allocation")</f>
        <v>Allocation</v>
      </c>
      <c r="B6" s="6" t="str">
        <f ca="1">IFERROR(__xludf.DUMMYFUNCTION("""COMPUTED_VALUE"""),"Unallocate")</f>
        <v>Unallocate</v>
      </c>
      <c r="C6" s="6" t="str">
        <f ca="1">IFERROR(__xludf.DUMMYFUNCTION("""COMPUTED_VALUE"""),"1eDZq-_vllq4jwvwpk9qGnwQUhlb-sFvyFKPBriT2dA0")</f>
        <v>1eDZq-_vllq4jwvwpk9qGnwQUhlb-sFvyFKPBriT2dA0</v>
      </c>
      <c r="D6" s="6" t="str">
        <f ca="1">IFERROR(__xludf.DUMMYFUNCTION("""COMPUTED_VALUE"""),"")</f>
        <v/>
      </c>
      <c r="E6" s="6" t="str">
        <f ca="1">IFERROR(__xludf.DUMMYFUNCTION("""COMPUTED_VALUE"""),"")</f>
        <v/>
      </c>
      <c r="F6" s="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6" t="str">
        <f ca="1">IFERROR(__xludf.DUMMYFUNCTION("""COMPUTED_VALUE"""),"Allocation")</f>
        <v>Allocation</v>
      </c>
      <c r="B7" s="6" t="str">
        <f ca="1">IFERROR(__xludf.DUMMYFUNCTION("""COMPUTED_VALUE"""),"GetDataAllocation")</f>
        <v>GetDataAllocation</v>
      </c>
      <c r="C7" s="6" t="str">
        <f ca="1">IFERROR(__xludf.DUMMYFUNCTION("""COMPUTED_VALUE"""),"1FBTO3wCB7odq-jpQMbYHgSrAL5-rFO2_kp9Kr2iXqXE")</f>
        <v>1FBTO3wCB7odq-jpQMbYHgSrAL5-rFO2_kp9Kr2iXqXE</v>
      </c>
      <c r="D7" s="6" t="str">
        <f ca="1">IFERROR(__xludf.DUMMYFUNCTION("""COMPUTED_VALUE"""),"")</f>
        <v/>
      </c>
      <c r="E7" s="6" t="str">
        <f ca="1">IFERROR(__xludf.DUMMYFUNCTION("""COMPUTED_VALUE"""),"")</f>
        <v/>
      </c>
      <c r="F7" s="6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6" t="str">
        <f ca="1">IFERROR(__xludf.DUMMYFUNCTION("""COMPUTED_VALUE"""),"Allocation")</f>
        <v>Allocation</v>
      </c>
      <c r="B8" s="6" t="str">
        <f ca="1">IFERROR(__xludf.DUMMYFUNCTION("""COMPUTED_VALUE"""),"SelectAllocatedGroup")</f>
        <v>SelectAllocatedGroup</v>
      </c>
      <c r="C8" s="6" t="str">
        <f ca="1">IFERROR(__xludf.DUMMYFUNCTION("""COMPUTED_VALUE"""),"1G0ZkXDrIDX_loGmAyLs_Shy8hExtTELtFXERbX-HdPo")</f>
        <v>1G0ZkXDrIDX_loGmAyLs_Shy8hExtTELtFXERbX-HdPo</v>
      </c>
      <c r="D8" s="6" t="str">
        <f ca="1">IFERROR(__xludf.DUMMYFUNCTION("""COMPUTED_VALUE"""),"")</f>
        <v/>
      </c>
      <c r="E8" s="6" t="str">
        <f ca="1">IFERROR(__xludf.DUMMYFUNCTION("""COMPUTED_VALUE"""),"")</f>
        <v/>
      </c>
      <c r="F8" s="6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6" t="str">
        <f ca="1">IFERROR(__xludf.DUMMYFUNCTION("""COMPUTED_VALUE"""),"Allocation")</f>
        <v>Allocation</v>
      </c>
      <c r="B9" s="6" t="str">
        <f ca="1">IFERROR(__xludf.DUMMYFUNCTION("""COMPUTED_VALUE"""),"EditTradesAllocated")</f>
        <v>EditTradesAllocated</v>
      </c>
      <c r="C9" s="6" t="str">
        <f ca="1">IFERROR(__xludf.DUMMYFUNCTION("""COMPUTED_VALUE"""),"1YgVZ1jEVgjUF1Dp8FAj_W_zLEZCyqvNMlWJIg0Tmkq4")</f>
        <v>1YgVZ1jEVgjUF1Dp8FAj_W_zLEZCyqvNMlWJIg0Tmkq4</v>
      </c>
      <c r="D9" s="6" t="str">
        <f ca="1">IFERROR(__xludf.DUMMYFUNCTION("""COMPUTED_VALUE"""),"")</f>
        <v/>
      </c>
      <c r="E9" s="6" t="str">
        <f ca="1">IFERROR(__xludf.DUMMYFUNCTION("""COMPUTED_VALUE"""),"")</f>
        <v/>
      </c>
      <c r="F9" s="6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6" t="str">
        <f ca="1">IFERROR(__xludf.DUMMYFUNCTION("""COMPUTED_VALUE"""),"Allocation")</f>
        <v>Allocation</v>
      </c>
      <c r="B10" s="6" t="str">
        <f ca="1">IFERROR(__xludf.DUMMYFUNCTION("""COMPUTED_VALUE"""),"EditTradesUnallocated")</f>
        <v>EditTradesUnallocated</v>
      </c>
      <c r="C10" s="6" t="str">
        <f ca="1">IFERROR(__xludf.DUMMYFUNCTION("""COMPUTED_VALUE"""),"1MyB61T39MDAUyQqCUJLATzUT2f5UlE8nFq4ltWy_DJ4")</f>
        <v>1MyB61T39MDAUyQqCUJLATzUT2f5UlE8nFq4ltWy_DJ4</v>
      </c>
      <c r="D10" s="6" t="str">
        <f ca="1">IFERROR(__xludf.DUMMYFUNCTION("""COMPUTED_VALUE"""),"")</f>
        <v/>
      </c>
      <c r="E10" s="6" t="str">
        <f ca="1">IFERROR(__xludf.DUMMYFUNCTION("""COMPUTED_VALUE"""),"")</f>
        <v/>
      </c>
      <c r="F10" s="6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6" t="str">
        <f ca="1">IFERROR(__xludf.DUMMYFUNCTION("""COMPUTED_VALUE"""),"Allocation")</f>
        <v>Allocation</v>
      </c>
      <c r="B11" s="6" t="str">
        <f ca="1">IFERROR(__xludf.DUMMYFUNCTION("""COMPUTED_VALUE"""),"Reallocate")</f>
        <v>Reallocate</v>
      </c>
      <c r="C11" s="6" t="str">
        <f ca="1">IFERROR(__xludf.DUMMYFUNCTION("""COMPUTED_VALUE"""),"undefined")</f>
        <v>undefined</v>
      </c>
      <c r="D11" s="6" t="str">
        <f ca="1">IFERROR(__xludf.DUMMYFUNCTION("""COMPUTED_VALUE"""),"")</f>
        <v/>
      </c>
      <c r="E11" s="6" t="str">
        <f ca="1">IFERROR(__xludf.DUMMYFUNCTION("""COMPUTED_VALUE"""),"")</f>
        <v/>
      </c>
      <c r="F11" s="6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6" t="str">
        <f ca="1">IFERROR(__xludf.DUMMYFUNCTION("""COMPUTED_VALUE"""),"Blotter")</f>
        <v>Blotter</v>
      </c>
      <c r="B12" s="6" t="str">
        <f ca="1">IFERROR(__xludf.DUMMYFUNCTION("""COMPUTED_VALUE"""),"ReplaceFillsOnBlotter")</f>
        <v>ReplaceFillsOnBlotter</v>
      </c>
      <c r="C12" s="6" t="str">
        <f ca="1">IFERROR(__xludf.DUMMYFUNCTION("""COMPUTED_VALUE"""),"undefined")</f>
        <v>undefined</v>
      </c>
      <c r="D12" s="6" t="str">
        <f ca="1">IFERROR(__xludf.DUMMYFUNCTION("""COMPUTED_VALUE"""),"")</f>
        <v/>
      </c>
      <c r="E12" s="6" t="str">
        <f ca="1">IFERROR(__xludf.DUMMYFUNCTION("""COMPUTED_VALUE"""),"")</f>
        <v/>
      </c>
      <c r="F12" s="6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6" t="str">
        <f ca="1">IFERROR(__xludf.DUMMYFUNCTION("""COMPUTED_VALUE"""),"Blotter")</f>
        <v>Blotter</v>
      </c>
      <c r="B13" s="6" t="str">
        <f ca="1">IFERROR(__xludf.DUMMYFUNCTION("""COMPUTED_VALUE"""),"CheckBlotter")</f>
        <v>CheckBlotter</v>
      </c>
      <c r="C13" s="6" t="str">
        <f ca="1">IFERROR(__xludf.DUMMYFUNCTION("""COMPUTED_VALUE"""),"16qheLbvgC92hKxalWDlpWfHBMyDDVqHERUCc7bQiO2A")</f>
        <v>16qheLbvgC92hKxalWDlpWfHBMyDDVqHERUCc7bQiO2A</v>
      </c>
      <c r="D13" s="6" t="str">
        <f ca="1">IFERROR(__xludf.DUMMYFUNCTION("""COMPUTED_VALUE"""),"")</f>
        <v/>
      </c>
      <c r="E13" s="6" t="str">
        <f ca="1">IFERROR(__xludf.DUMMYFUNCTION("""COMPUTED_VALUE"""),"")</f>
        <v/>
      </c>
      <c r="F13" s="6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6" t="str">
        <f ca="1">IFERROR(__xludf.DUMMYFUNCTION("""COMPUTED_VALUE"""),"GeneralLedger")</f>
        <v>GeneralLedger</v>
      </c>
      <c r="B14" s="6" t="str">
        <f ca="1">IFERROR(__xludf.DUMMYFUNCTION("""COMPUTED_VALUE"""),"GetDataCash")</f>
        <v>GetDataCash</v>
      </c>
      <c r="C14" s="6" t="str">
        <f ca="1">IFERROR(__xludf.DUMMYFUNCTION("""COMPUTED_VALUE"""),"1zLd3ju-mV8f6PZiQUYLU-cAgAUwLwyoIAKuu0WgG2zI")</f>
        <v>1zLd3ju-mV8f6PZiQUYLU-cAgAUwLwyoIAKuu0WgG2zI</v>
      </c>
      <c r="D14" s="6" t="str">
        <f ca="1">IFERROR(__xludf.DUMMYFUNCTION("""COMPUTED_VALUE"""),"")</f>
        <v/>
      </c>
      <c r="E14" s="6" t="str">
        <f ca="1">IFERROR(__xludf.DUMMYFUNCTION("""COMPUTED_VALUE"""),"")</f>
        <v/>
      </c>
      <c r="F14" s="6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6" t="str">
        <f ca="1">IFERROR(__xludf.DUMMYFUNCTION("""COMPUTED_VALUE"""),"GeneralLedger")</f>
        <v>GeneralLedger</v>
      </c>
      <c r="B15" s="6" t="str">
        <f ca="1">IFERROR(__xludf.DUMMYFUNCTION("""COMPUTED_VALUE"""),"EnterCashDividends")</f>
        <v>EnterCashDividends</v>
      </c>
      <c r="C15" s="6" t="str">
        <f ca="1">IFERROR(__xludf.DUMMYFUNCTION("""COMPUTED_VALUE"""),"1sjDsI5FIL_l_G6osMJQ7e8auBgYd3R3JDaKWKV_8Og0")</f>
        <v>1sjDsI5FIL_l_G6osMJQ7e8auBgYd3R3JDaKWKV_8Og0</v>
      </c>
      <c r="D15" s="6" t="str">
        <f ca="1">IFERROR(__xludf.DUMMYFUNCTION("""COMPUTED_VALUE"""),"")</f>
        <v/>
      </c>
      <c r="E15" s="6" t="str">
        <f ca="1">IFERROR(__xludf.DUMMYFUNCTION("""COMPUTED_VALUE"""),"")</f>
        <v/>
      </c>
      <c r="F15" s="6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6" t="str">
        <f ca="1">IFERROR(__xludf.DUMMYFUNCTION("""COMPUTED_VALUE"""),"GeneralLedger")</f>
        <v>GeneralLedger</v>
      </c>
      <c r="B16" s="6" t="str">
        <f ca="1">IFERROR(__xludf.DUMMYFUNCTION("""COMPUTED_VALUE"""),"EnterNonTradingTransaction")</f>
        <v>EnterNonTradingTransaction</v>
      </c>
      <c r="C16" s="6" t="str">
        <f ca="1">IFERROR(__xludf.DUMMYFUNCTION("""COMPUTED_VALUE"""),"1xn1P_Z-3N4d2BC1SUPly2HiVZazly5ZQcS18BfaTyho")</f>
        <v>1xn1P_Z-3N4d2BC1SUPly2HiVZazly5ZQcS18BfaTyho</v>
      </c>
      <c r="D16" s="6" t="str">
        <f ca="1">IFERROR(__xludf.DUMMYFUNCTION("""COMPUTED_VALUE"""),"")</f>
        <v/>
      </c>
      <c r="E16" s="6" t="str">
        <f ca="1">IFERROR(__xludf.DUMMYFUNCTION("""COMPUTED_VALUE"""),"")</f>
        <v/>
      </c>
      <c r="F16" s="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6" t="str">
        <f ca="1">IFERROR(__xludf.DUMMYFUNCTION("""COMPUTED_VALUE"""),"GeneralLedger")</f>
        <v>GeneralLedger</v>
      </c>
      <c r="B17" s="6" t="str">
        <f ca="1">IFERROR(__xludf.DUMMYFUNCTION("""COMPUTED_VALUE"""),"VerifyCash")</f>
        <v>VerifyCash</v>
      </c>
      <c r="C17" s="6" t="str">
        <f ca="1">IFERROR(__xludf.DUMMYFUNCTION("""COMPUTED_VALUE"""),"1vlvYPsiFAWjsnFrbkGn_fAvkwF00V3e7htalalU6QN4")</f>
        <v>1vlvYPsiFAWjsnFrbkGn_fAvkwF00V3e7htalalU6QN4</v>
      </c>
      <c r="D17" s="6" t="str">
        <f ca="1">IFERROR(__xludf.DUMMYFUNCTION("""COMPUTED_VALUE"""),"")</f>
        <v/>
      </c>
      <c r="E17" s="6" t="str">
        <f ca="1">IFERROR(__xludf.DUMMYFUNCTION("""COMPUTED_VALUE"""),"")</f>
        <v/>
      </c>
      <c r="F17" s="6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6" t="str">
        <f ca="1">IFERROR(__xludf.DUMMYFUNCTION("""COMPUTED_VALUE"""),"GeneralLedger")</f>
        <v>GeneralLedger</v>
      </c>
      <c r="B18" s="6" t="str">
        <f ca="1">IFERROR(__xludf.DUMMYFUNCTION("""COMPUTED_VALUE"""),"VerifyActivity")</f>
        <v>VerifyActivity</v>
      </c>
      <c r="C18" s="6" t="str">
        <f ca="1">IFERROR(__xludf.DUMMYFUNCTION("""COMPUTED_VALUE"""),"1o2rCg2FuoAOT5Pl8i4iFP_TwpPm0UB1dd49GbpkytfM")</f>
        <v>1o2rCg2FuoAOT5Pl8i4iFP_TwpPm0UB1dd49GbpkytfM</v>
      </c>
      <c r="D18" s="6" t="str">
        <f ca="1">IFERROR(__xludf.DUMMYFUNCTION("""COMPUTED_VALUE"""),"")</f>
        <v/>
      </c>
      <c r="E18" s="6" t="str">
        <f ca="1">IFERROR(__xludf.DUMMYFUNCTION("""COMPUTED_VALUE"""),"")</f>
        <v/>
      </c>
      <c r="F18" s="6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6" t="str">
        <f ca="1">IFERROR(__xludf.DUMMYFUNCTION("""COMPUTED_VALUE"""),"GeneralLedger")</f>
        <v>GeneralLedger</v>
      </c>
      <c r="B19" s="6" t="str">
        <f ca="1">IFERROR(__xludf.DUMMYFUNCTION("""COMPUTED_VALUE"""),"VerifyTradingTransaction")</f>
        <v>VerifyTradingTransaction</v>
      </c>
      <c r="C19" s="6" t="str">
        <f ca="1">IFERROR(__xludf.DUMMYFUNCTION("""COMPUTED_VALUE"""),"1_v2niCJ9VGNvgEBpvz030BFqEISSUhYRHyWcAJAn_Eg")</f>
        <v>1_v2niCJ9VGNvgEBpvz030BFqEISSUhYRHyWcAJAn_Eg</v>
      </c>
      <c r="D19" s="6" t="str">
        <f ca="1">IFERROR(__xludf.DUMMYFUNCTION("""COMPUTED_VALUE"""),"")</f>
        <v/>
      </c>
      <c r="E19" s="6" t="str">
        <f ca="1">IFERROR(__xludf.DUMMYFUNCTION("""COMPUTED_VALUE"""),"")</f>
        <v/>
      </c>
      <c r="F19" s="6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6" t="str">
        <f ca="1">IFERROR(__xludf.DUMMYFUNCTION("""COMPUTED_VALUE"""),"GeneralLedger")</f>
        <v>GeneralLedger</v>
      </c>
      <c r="B20" s="6" t="str">
        <f ca="1">IFERROR(__xludf.DUMMYFUNCTION("""COMPUTED_VALUE"""),"VerifyRevaluationData")</f>
        <v>VerifyRevaluationData</v>
      </c>
      <c r="C20" s="6" t="str">
        <f ca="1">IFERROR(__xludf.DUMMYFUNCTION("""COMPUTED_VALUE"""),"1hsRs1-LY0akTrMe91ArnbLtk6GUy_bKxVwMYCaiMs-8")</f>
        <v>1hsRs1-LY0akTrMe91ArnbLtk6GUy_bKxVwMYCaiMs-8</v>
      </c>
      <c r="D20" s="6" t="str">
        <f ca="1">IFERROR(__xludf.DUMMYFUNCTION("""COMPUTED_VALUE"""),"")</f>
        <v/>
      </c>
      <c r="E20" s="6" t="str">
        <f ca="1">IFERROR(__xludf.DUMMYFUNCTION("""COMPUTED_VALUE"""),"")</f>
        <v/>
      </c>
      <c r="F20" s="6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6" t="str">
        <f ca="1">IFERROR(__xludf.DUMMYFUNCTION("""COMPUTED_VALUE"""),"CorporateAction")</f>
        <v>CorporateAction</v>
      </c>
      <c r="B21" s="6" t="str">
        <f ca="1">IFERROR(__xludf.DUMMYFUNCTION("""COMPUTED_VALUE"""),"CorporateAction")</f>
        <v>CorporateAction</v>
      </c>
      <c r="C21" s="6" t="str">
        <f ca="1">IFERROR(__xludf.DUMMYFUNCTION("""COMPUTED_VALUE"""),"14rwUHTx4auE_hf60WN-tNOx3atNg7QGvErWNwVQIRqE")</f>
        <v>14rwUHTx4auE_hf60WN-tNOx3atNg7QGvErWNwVQIRqE</v>
      </c>
      <c r="D21" s="6" t="str">
        <f ca="1">IFERROR(__xludf.DUMMYFUNCTION("""COMPUTED_VALUE"""),"")</f>
        <v/>
      </c>
      <c r="E21" s="6" t="str">
        <f ca="1">IFERROR(__xludf.DUMMYFUNCTION("""COMPUTED_VALUE"""),"")</f>
        <v/>
      </c>
      <c r="F21" s="6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6" t="str">
        <f ca="1">IFERROR(__xludf.DUMMYFUNCTION("""COMPUTED_VALUE"""),"CreateTransaction")</f>
        <v>CreateTransaction</v>
      </c>
      <c r="B22" s="6" t="str">
        <f ca="1">IFERROR(__xludf.DUMMYFUNCTION("""COMPUTED_VALUE"""),"CreateTransaction")</f>
        <v>CreateTransaction</v>
      </c>
      <c r="C22" s="6" t="str">
        <f ca="1">IFERROR(__xludf.DUMMYFUNCTION("""COMPUTED_VALUE"""),"1amshi8Ns36lsDpccBK0y_9bL_pQ2rHdGNYypcgzceUg")</f>
        <v>1amshi8Ns36lsDpccBK0y_9bL_pQ2rHdGNYypcgzceUg</v>
      </c>
      <c r="D22" s="6" t="str">
        <f ca="1">IFERROR(__xludf.DUMMYFUNCTION("""COMPUTED_VALUE"""),"")</f>
        <v/>
      </c>
      <c r="E22" s="6" t="str">
        <f ca="1">IFERROR(__xludf.DUMMYFUNCTION("""COMPUTED_VALUE"""),"")</f>
        <v/>
      </c>
      <c r="F22" s="6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6" t="str">
        <f ca="1">IFERROR(__xludf.DUMMYFUNCTION("""COMPUTED_VALUE"""),"DailyValuation")</f>
        <v>DailyValuation</v>
      </c>
      <c r="B23" s="6" t="str">
        <f ca="1">IFERROR(__xludf.DUMMYFUNCTION("""COMPUTED_VALUE"""),"UpdateBeta")</f>
        <v>UpdateBeta</v>
      </c>
      <c r="C23" s="6" t="str">
        <f ca="1">IFERROR(__xludf.DUMMYFUNCTION("""COMPUTED_VALUE"""),"1YKttwHsdIskNDoo0Sl7HF2DWikROW-KA05qfT3GLIyI")</f>
        <v>1YKttwHsdIskNDoo0Sl7HF2DWikROW-KA05qfT3GLIyI</v>
      </c>
      <c r="D23" s="6" t="str">
        <f ca="1">IFERROR(__xludf.DUMMYFUNCTION("""COMPUTED_VALUE"""),"")</f>
        <v/>
      </c>
      <c r="E23" s="6" t="str">
        <f ca="1">IFERROR(__xludf.DUMMYFUNCTION("""COMPUTED_VALUE"""),"")</f>
        <v/>
      </c>
      <c r="F23" s="6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6" t="str">
        <f ca="1">IFERROR(__xludf.DUMMYFUNCTION("""COMPUTED_VALUE"""),"DailyValuation")</f>
        <v>DailyValuation</v>
      </c>
      <c r="B24" s="6" t="str">
        <f ca="1">IFERROR(__xludf.DUMMYFUNCTION("""COMPUTED_VALUE"""),"UpdateDailyCash")</f>
        <v>UpdateDailyCash</v>
      </c>
      <c r="C24" s="6" t="str">
        <f ca="1">IFERROR(__xludf.DUMMYFUNCTION("""COMPUTED_VALUE"""),"1YJ2rTp-OqQTGjubvs_cBC6fl0l94pyHI2eaLJzbddS4")</f>
        <v>1YJ2rTp-OqQTGjubvs_cBC6fl0l94pyHI2eaLJzbddS4</v>
      </c>
      <c r="D24" s="6" t="str">
        <f ca="1">IFERROR(__xludf.DUMMYFUNCTION("""COMPUTED_VALUE"""),"")</f>
        <v/>
      </c>
      <c r="E24" s="6" t="str">
        <f ca="1">IFERROR(__xludf.DUMMYFUNCTION("""COMPUTED_VALUE"""),"")</f>
        <v/>
      </c>
      <c r="F24" s="6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6" t="str">
        <f ca="1">IFERROR(__xludf.DUMMYFUNCTION("""COMPUTED_VALUE"""),"DailyValuation")</f>
        <v>DailyValuation</v>
      </c>
      <c r="B25" s="6" t="str">
        <f ca="1">IFERROR(__xludf.DUMMYFUNCTION("""COMPUTED_VALUE"""),"UpdateForexConversion")</f>
        <v>UpdateForexConversion</v>
      </c>
      <c r="C25" s="6" t="str">
        <f ca="1">IFERROR(__xludf.DUMMYFUNCTION("""COMPUTED_VALUE"""),"1mLyEfNTVFd65cnE6GfgCRD6TdpKg1BgqNIDjHCFzyO4")</f>
        <v>1mLyEfNTVFd65cnE6GfgCRD6TdpKg1BgqNIDjHCFzyO4</v>
      </c>
      <c r="D25" s="6" t="str">
        <f ca="1">IFERROR(__xludf.DUMMYFUNCTION("""COMPUTED_VALUE"""),"")</f>
        <v/>
      </c>
      <c r="E25" s="6" t="str">
        <f ca="1">IFERROR(__xludf.DUMMYFUNCTION("""COMPUTED_VALUE"""),"")</f>
        <v/>
      </c>
      <c r="F25" s="6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6" t="str">
        <f ca="1">IFERROR(__xludf.DUMMYFUNCTION("""COMPUTED_VALUE"""),"DailyValuation")</f>
        <v>DailyValuation</v>
      </c>
      <c r="B26" s="6" t="str">
        <f ca="1">IFERROR(__xludf.DUMMYFUNCTION("""COMPUTED_VALUE"""),"UpdateMarkPrice")</f>
        <v>UpdateMarkPrice</v>
      </c>
      <c r="C26" s="6" t="str">
        <f ca="1">IFERROR(__xludf.DUMMYFUNCTION("""COMPUTED_VALUE"""),"1M8d9TyOhMnA65NSIYvS6dR68SH5RL6oKahd6uz7yp6c")</f>
        <v>1M8d9TyOhMnA65NSIYvS6dR68SH5RL6oKahd6uz7yp6c</v>
      </c>
      <c r="D26" s="6" t="str">
        <f ca="1">IFERROR(__xludf.DUMMYFUNCTION("""COMPUTED_VALUE"""),"")</f>
        <v/>
      </c>
      <c r="E26" s="6" t="str">
        <f ca="1">IFERROR(__xludf.DUMMYFUNCTION("""COMPUTED_VALUE"""),"")</f>
        <v/>
      </c>
      <c r="F26" s="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6" t="str">
        <f ca="1">IFERROR(__xludf.DUMMYFUNCTION("""COMPUTED_VALUE"""),"Import")</f>
        <v>Import</v>
      </c>
      <c r="B27" s="6" t="str">
        <f ca="1">IFERROR(__xludf.DUMMYFUNCTION("""COMPUTED_VALUE"""),"Import")</f>
        <v>Import</v>
      </c>
      <c r="C27" s="6" t="str">
        <f ca="1">IFERROR(__xludf.DUMMYFUNCTION("""COMPUTED_VALUE"""),"1Q5uOVYo1NMRks6hQRJuV8XWMPb6VFEAbSzpgP1dot1I")</f>
        <v>1Q5uOVYo1NMRks6hQRJuV8XWMPb6VFEAbSzpgP1dot1I</v>
      </c>
      <c r="D27" s="6" t="str">
        <f ca="1">IFERROR(__xludf.DUMMYFUNCTION("""COMPUTED_VALUE"""),"")</f>
        <v/>
      </c>
      <c r="E27" s="6" t="str">
        <f ca="1">IFERROR(__xludf.DUMMYFUNCTION("""COMPUTED_VALUE"""),"")</f>
        <v/>
      </c>
      <c r="F27" s="6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6" t="str">
        <f ca="1">IFERROR(__xludf.DUMMYFUNCTION("""COMPUTED_VALUE"""),"PortfolioManagement")</f>
        <v>PortfolioManagement</v>
      </c>
      <c r="B28" s="6" t="str">
        <f ca="1">IFERROR(__xludf.DUMMYFUNCTION("""COMPUTED_VALUE"""),"CheckDashboardPM")</f>
        <v>CheckDashboardPM</v>
      </c>
      <c r="C28" s="6" t="str">
        <f ca="1">IFERROR(__xludf.DUMMYFUNCTION("""COMPUTED_VALUE"""),"1iqfUyYqyebXIeNBGljH7-T8whBcywTlkBBU3dBZV06s")</f>
        <v>1iqfUyYqyebXIeNBGljH7-T8whBcywTlkBBU3dBZV06s</v>
      </c>
      <c r="D28" s="6" t="str">
        <f ca="1">IFERROR(__xludf.DUMMYFUNCTION("""COMPUTED_VALUE"""),"")</f>
        <v/>
      </c>
      <c r="E28" s="6" t="str">
        <f ca="1">IFERROR(__xludf.DUMMYFUNCTION("""COMPUTED_VALUE"""),"")</f>
        <v/>
      </c>
      <c r="F28" s="6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6" t="str">
        <f ca="1">IFERROR(__xludf.DUMMYFUNCTION("""COMPUTED_VALUE"""),"PortfolioManagement")</f>
        <v>PortfolioManagement</v>
      </c>
      <c r="B29" s="6" t="str">
        <f ca="1">IFERROR(__xludf.DUMMYFUNCTION("""COMPUTED_VALUE"""),"CheckPortfolioManagement")</f>
        <v>CheckPortfolioManagement</v>
      </c>
      <c r="C29" s="6" t="str">
        <f ca="1">IFERROR(__xludf.DUMMYFUNCTION("""COMPUTED_VALUE"""),"1u0XMlZJy_Slp7uXMwirinW7StOOdTcWD-D8V07sO0VA")</f>
        <v>1u0XMlZJy_Slp7uXMwirinW7StOOdTcWD-D8V07sO0VA</v>
      </c>
      <c r="D29" s="6" t="str">
        <f ca="1">IFERROR(__xludf.DUMMYFUNCTION("""COMPUTED_VALUE"""),"")</f>
        <v/>
      </c>
      <c r="E29" s="6" t="str">
        <f ca="1">IFERROR(__xludf.DUMMYFUNCTION("""COMPUTED_VALUE"""),"")</f>
        <v/>
      </c>
      <c r="F29" s="6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6" t="str">
        <f ca="1">IFERROR(__xludf.DUMMYFUNCTION("""COMPUTED_VALUE"""),"PricingInput")</f>
        <v>PricingInput</v>
      </c>
      <c r="B30" s="6" t="str">
        <f ca="1">IFERROR(__xludf.DUMMYFUNCTION("""COMPUTED_VALUE"""),"PricingInput")</f>
        <v>PricingInput</v>
      </c>
      <c r="C30" s="6" t="str">
        <f ca="1">IFERROR(__xludf.DUMMYFUNCTION("""COMPUTED_VALUE"""),"1mh3Z5PifhJ3yzX8TPeoc3H3nteNiA0V2tWFse0rVChE")</f>
        <v>1mh3Z5PifhJ3yzX8TPeoc3H3nteNiA0V2tWFse0rVChE</v>
      </c>
      <c r="D30" s="6" t="str">
        <f ca="1">IFERROR(__xludf.DUMMYFUNCTION("""COMPUTED_VALUE"""),"")</f>
        <v/>
      </c>
      <c r="E30" s="6" t="str">
        <f ca="1">IFERROR(__xludf.DUMMYFUNCTION("""COMPUTED_VALUE"""),"")</f>
        <v/>
      </c>
      <c r="F30" s="6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6" t="str">
        <f ca="1">IFERROR(__xludf.DUMMYFUNCTION("""COMPUTED_VALUE"""),"PricingInput")</f>
        <v>PricingInput</v>
      </c>
      <c r="B31" s="6" t="str">
        <f ca="1">IFERROR(__xludf.DUMMYFUNCTION("""COMPUTED_VALUE"""),"UpdateSharesOutstanding")</f>
        <v>UpdateSharesOutstanding</v>
      </c>
      <c r="C31" s="6" t="str">
        <f ca="1">IFERROR(__xludf.DUMMYFUNCTION("""COMPUTED_VALUE"""),"1vmZ6v1OyZ8SSi8bqqjK3ap3KtM_yPA_SEcIQgYiRInY")</f>
        <v>1vmZ6v1OyZ8SSi8bqqjK3ap3KtM_yPA_SEcIQgYiRInY</v>
      </c>
      <c r="D31" s="6" t="str">
        <f ca="1">IFERROR(__xludf.DUMMYFUNCTION("""COMPUTED_VALUE"""),"")</f>
        <v/>
      </c>
      <c r="E31" s="6" t="str">
        <f ca="1">IFERROR(__xludf.DUMMYFUNCTION("""COMPUTED_VALUE"""),"")</f>
        <v/>
      </c>
      <c r="F31" s="6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6" t="str">
        <f ca="1">IFERROR(__xludf.DUMMYFUNCTION("""COMPUTED_VALUE"""),"SymbolLookup")</f>
        <v>SymbolLookup</v>
      </c>
      <c r="B32" s="6" t="str">
        <f ca="1">IFERROR(__xludf.DUMMYFUNCTION("""COMPUTED_VALUE"""),"VerifySymbolLookUp")</f>
        <v>VerifySymbolLookUp</v>
      </c>
      <c r="C32" s="6" t="str">
        <f ca="1">IFERROR(__xludf.DUMMYFUNCTION("""COMPUTED_VALUE"""),"1OiI1Pi_JAFOFi8ByMaD3_qqEXSv6yQMo_u6aGTozbl8")</f>
        <v>1OiI1Pi_JAFOFi8ByMaD3_qqEXSv6yQMo_u6aGTozbl8</v>
      </c>
      <c r="D32" s="6" t="str">
        <f ca="1">IFERROR(__xludf.DUMMYFUNCTION("""COMPUTED_VALUE"""),"")</f>
        <v/>
      </c>
      <c r="E32" s="6" t="str">
        <f ca="1">IFERROR(__xludf.DUMMYFUNCTION("""COMPUTED_VALUE"""),"")</f>
        <v/>
      </c>
      <c r="F32" s="6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6" t="str">
        <f ca="1">IFERROR(__xludf.DUMMYFUNCTION("""COMPUTED_VALUE"""),"SymbolLookup")</f>
        <v>SymbolLookup</v>
      </c>
      <c r="B33" s="6" t="str">
        <f ca="1">IFERROR(__xludf.DUMMYFUNCTION("""COMPUTED_VALUE"""),"SymbolLookupFromTT")</f>
        <v>SymbolLookupFromTT</v>
      </c>
      <c r="C33" s="6" t="str">
        <f ca="1">IFERROR(__xludf.DUMMYFUNCTION("""COMPUTED_VALUE"""),"1ubfvE9sHq5KpJ9NazeH96CrVMJqAuol5Ya9GPjxWrgI")</f>
        <v>1ubfvE9sHq5KpJ9NazeH96CrVMJqAuol5Ya9GPjxWrgI</v>
      </c>
      <c r="D33" s="6" t="str">
        <f ca="1">IFERROR(__xludf.DUMMYFUNCTION("""COMPUTED_VALUE"""),"")</f>
        <v/>
      </c>
      <c r="E33" s="6" t="str">
        <f ca="1">IFERROR(__xludf.DUMMYFUNCTION("""COMPUTED_VALUE"""),"")</f>
        <v/>
      </c>
      <c r="F33" s="6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27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IFERROR(__xludf.DUMMYFUNCTION("""COMPUTED_VALUE"""),"1y3edACvUtHcrCyn7bfzWXET_VAfASVChWeHuDnd6534")</f>
        <v>1y3edACvUtHcrCyn7bfzWXET_VAfASVChWeHuDnd6534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IFERROR(__xludf.DUMMYFUNCTION("""COMPUTED_VALUE"""),"ThirdPartyWork")</f>
        <v>ThirdPartyWork</v>
      </c>
      <c r="C351" t="str">
        <f ca="1">IFERROR(__xludf.DUMMYFUNCTION("""COMPUTED_VALUE"""),"undefined")</f>
        <v>undefined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IFERROR(__xludf.DUMMYFUNCTION("""COMPUTED_VALUE"""),"ThirdParty")</f>
        <v>ThirdParty</v>
      </c>
      <c r="B352" t="str">
        <f ca="1">IFERROR(__xludf.DUMMYFUNCTION("""COMPUTED_VALUE"""),"Automation")</f>
        <v>Automation</v>
      </c>
      <c r="C352" t="str">
        <f ca="1">IFERROR(__xludf.DUMMYFUNCTION("""COMPUTED_VALUE"""),"undefined")</f>
        <v>undefined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IFERROR(__xludf.DUMMYFUNCTION("""COMPUTED_VALUE"""),"ThirdParty")</f>
        <v>ThirdParty</v>
      </c>
      <c r="B353" t="str">
        <f ca="1">IFERROR(__xludf.DUMMYFUNCTION("""COMPUTED_VALUE"""),"ThirdPartyManagerFunction")</f>
        <v>ThirdPartyManagerFunction</v>
      </c>
      <c r="C353" t="str">
        <f ca="1">IFERROR(__xludf.DUMMYFUNCTION("""COMPUTED_VALUE"""),"undefined")</f>
        <v>undefined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IFERROR(__xludf.DUMMYFUNCTION("""COMPUTED_VALUE"""),"ThirdParty")</f>
        <v>ThirdParty</v>
      </c>
      <c r="B354" t="str">
        <f ca="1">IFERROR(__xludf.DUMMYFUNCTION("""COMPUTED_VALUE"""),"OpeningManager")</f>
        <v>OpeningManager</v>
      </c>
      <c r="C354" t="str">
        <f ca="1">IFERROR(__xludf.DUMMYFUNCTION("""COMPUTED_VALUE"""),"1F3VrDP9gZVgnN47cnexOSvCPCOWrB5TnPdoVFblX-Hs")</f>
        <v>1F3VrDP9gZVgnN47cnexOSvCPCOWrB5TnPdoVFblX-Hs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IFERROR(__xludf.DUMMYFUNCTION("""COMPUTED_VALUE"""),"ThirdParty")</f>
        <v>ThirdParty</v>
      </c>
      <c r="B355" t="str">
        <f ca="1">IFERROR(__xludf.DUMMYFUNCTION("""COMPUTED_VALUE"""),"SelectFromThirdPartyGrid")</f>
        <v>SelectFromThirdPartyGrid</v>
      </c>
      <c r="C355" t="str">
        <f ca="1">IFERROR(__xludf.DUMMYFUNCTION("""COMPUTED_VALUE"""),"1_LSKrymEkIuBeyHqfZI1upyAoiYQgw0S0J0RO7IgiBw")</f>
        <v>1_LSKrymEkIuBeyHqfZI1upyAoiYQgw0S0J0RO7IgiBw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IFERROR(__xludf.DUMMYFUNCTION("""COMPUTED_VALUE"""),"ThirdParty")</f>
        <v>ThirdParty</v>
      </c>
      <c r="B356" t="str">
        <f ca="1">IFERROR(__xludf.DUMMYFUNCTION("""COMPUTED_VALUE"""),"SelectThirdPartyJob")</f>
        <v>SelectThirdPartyJob</v>
      </c>
      <c r="C356" t="str">
        <f ca="1">IFERROR(__xludf.DUMMYFUNCTION("""COMPUTED_VALUE"""),"1Q9anI2VDWuslEj_JKPuWlj_ER5paw0uxtF2p1N3mqOA")</f>
        <v>1Q9anI2VDWuslEj_JKPuWlj_ER5paw0uxtF2p1N3mqOA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IFERROR(__xludf.DUMMYFUNCTION("""COMPUTED_VALUE"""),"ThirdParty")</f>
        <v>ThirdParty</v>
      </c>
      <c r="B357" t="str">
        <f ca="1">IFERROR(__xludf.DUMMYFUNCTION("""COMPUTED_VALUE"""),"GenerateAllThirdPartyData")</f>
        <v>GenerateAllThirdPartyData</v>
      </c>
      <c r="C357" t="str">
        <f ca="1">IFERROR(__xludf.DUMMYFUNCTION("""COMPUTED_VALUE"""),"1N_tr8KIMlLRSTf8xjI6E_DCsfagISlV95aJSkQKRavk")</f>
        <v>1N_tr8KIMlLRSTf8xjI6E_DCsfagISlV95aJSkQKRavk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IFERROR(__xludf.DUMMYFUNCTION("""COMPUTED_VALUE"""),"ThirdParty")</f>
        <v>ThirdParty</v>
      </c>
      <c r="B358" t="str">
        <f ca="1">IFERROR(__xludf.DUMMYFUNCTION("""COMPUTED_VALUE"""),"SendAllThirdPartyData")</f>
        <v>SendAllThirdPartyData</v>
      </c>
      <c r="C358" t="str">
        <f ca="1">IFERROR(__xludf.DUMMYFUNCTION("""COMPUTED_VALUE"""),"1JLfoMbfAcKX8sKuY5GBrk9VURM7QOEybGoh99ESKb-4")</f>
        <v>1JLfoMbfAcKX8sKuY5GBrk9VURM7QOEybGoh99ESKb-4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IFERROR(__xludf.DUMMYFUNCTION("""COMPUTED_VALUE"""),"ThirdParty")</f>
        <v>ThirdParty</v>
      </c>
      <c r="B359" t="str">
        <f ca="1">IFERROR(__xludf.DUMMYFUNCTION("""COMPUTED_VALUE"""),"VerifyThirdPartyView")</f>
        <v>VerifyThirdPartyView</v>
      </c>
      <c r="C359" t="str">
        <f ca="1">IFERROR(__xludf.DUMMYFUNCTION("""COMPUTED_VALUE"""),"1OPgUZqNYhV3KEPmPCahj5p6WvTvcu6yt-IilVEoYdck")</f>
        <v>1OPgUZqNYhV3KEPmPCahj5p6WvTvcu6yt-IilVEoYdck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IFERROR(__xludf.DUMMYFUNCTION("""COMPUTED_VALUE"""),"CheckCompliance")</f>
        <v>CheckCompliance</v>
      </c>
      <c r="C360" t="str">
        <f ca="1">IFERROR(__xludf.DUMMYFUNCTION("""COMPUTED_VALUE"""),"1rHjLXpZjBLQM6QWnpXPgAllc-YEEgN3ft01yzOc3Z_k")</f>
        <v>1rHjLXpZjBLQM6QWnpXPgAllc-YEEgN3ft01yzOc3Z_k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IFERROR(__xludf.DUMMYFUNCTION("""COMPUTED_VALUE"""),"1o2I6wY7Q2ZhQmtkXdRpqlxQVJ8IApk0IcIxM0anIe4E")</f>
        <v>1o2I6wY7Q2ZhQmtkXdRpqlxQVJ8IApk0IcIxM0anIe4E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IFERROR(__xludf.DUMMYFUNCTION("""COMPUTED_VALUE"""),"VerifyAccountSymbolDivisorWindow")</f>
        <v>VerifyAccountSymbolDivisorWindow</v>
      </c>
      <c r="C362" t="str">
        <f ca="1">IFERROR(__xludf.DUMMYFUNCTION("""COMPUTED_VALUE"""),"1ADKVvtlUcDE2a_GFsrcnF3qLRtLLDQ1rEJbzQws78i8")</f>
        <v>1ADKVvtlUcDE2a_GFsrcnF3qLRtLLDQ1rEJbzQws78i8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IFERROR(__xludf.DUMMYFUNCTION("""COMPUTED_VALUE"""),"VerifyAggregationAccountSymbolWithNav")</f>
        <v>VerifyAggregationAccountSymbolWithNav</v>
      </c>
      <c r="C363" t="str">
        <f ca="1">IFERROR(__xludf.DUMMYFUNCTION("""COMPUTED_VALUE"""),"1lnfZcSlUOa9o7gHKbVZNk25z7jkFzrWO3HCg1iRDEhg")</f>
        <v>1lnfZcSlUOa9o7gHKbVZNk25z7jkFzrWO3HCg1iRDEhg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IFERROR(__xludf.DUMMYFUNCTION("""COMPUTED_VALUE"""),"VerifyAggregationAccountWithNav")</f>
        <v>VerifyAggregationAccountWithNav</v>
      </c>
      <c r="C364" t="str">
        <f ca="1">IFERROR(__xludf.DUMMYFUNCTION("""COMPUTED_VALUE"""),"1bVQ8hXYcI8QA4dwbvx9VW307agnDiO6msA8_55Z9Ho4")</f>
        <v>1bVQ8hXYcI8QA4dwbvx9VW307agnDiO6msA8_55Z9Ho4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IFERROR(__xludf.DUMMYFUNCTION("""COMPUTED_VALUE"""),"VerifyAggregationMasterFundSymbolWithNav")</f>
        <v>VerifyAggregationMasterFundSymbolWithNav</v>
      </c>
      <c r="C365" t="str">
        <f ca="1">IFERROR(__xludf.DUMMYFUNCTION("""COMPUTED_VALUE"""),"149nnw4Cwl1HHouYCXdqP9R7Mx98I_xiisiVCYk7UJkk")</f>
        <v>149nnw4Cwl1HHouYCXdqP9R7Mx98I_xiisiVCYk7UJkk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IFERROR(__xludf.DUMMYFUNCTION("""COMPUTED_VALUE"""),"VerifyAggregationMasterFundUnderlyingSymbolWithNav")</f>
        <v>VerifyAggregationMasterFundUnderlyingSymbolWithNav</v>
      </c>
      <c r="C366" t="str">
        <f ca="1">IFERROR(__xludf.DUMMYFUNCTION("""COMPUTED_VALUE"""),"14DzH-ZDYwWbCfXuBzG8v04Qb1mQp1of2O6GLQXcWMsQ")</f>
        <v>14DzH-ZDYwWbCfXuBzG8v04Qb1mQp1of2O6GLQXcWMsQ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IFERROR(__xludf.DUMMYFUNCTION("""COMPUTED_VALUE"""),"VerifyAggregationMasterFundWithNav")</f>
        <v>VerifyAggregationMasterFundWithNav</v>
      </c>
      <c r="C367" t="str">
        <f ca="1">IFERROR(__xludf.DUMMYFUNCTION("""COMPUTED_VALUE"""),"1zsjoqOkIN3nYkIIxRHJMhmyX6J_C62DE3Oo2y7BGdVs")</f>
        <v>1zsjoqOkIN3nYkIIxRHJMhmyX6J_C62DE3Oo2y7BGdVs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IFERROR(__xludf.DUMMYFUNCTION("""COMPUTED_VALUE"""),"VerifyAggregationSectorWithNav")</f>
        <v>VerifyAggregationSectorWithNav</v>
      </c>
      <c r="C368" t="str">
        <f ca="1">IFERROR(__xludf.DUMMYFUNCTION("""COMPUTED_VALUE"""),"1PwtsUw7M1uKb7OUFflhtzsANVeSCTOQuOmvDpORnIho")</f>
        <v>1PwtsUw7M1uKb7OUFflhtzsANVeSCTOQuOmvDpORnIho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IFERROR(__xludf.DUMMYFUNCTION("""COMPUTED_VALUE"""),"VerifyAggregationUnderlyingSymbolWithNav")</f>
        <v>VerifyAggregationUnderlyingSymbolWithNav</v>
      </c>
      <c r="C369" t="str">
        <f ca="1">IFERROR(__xludf.DUMMYFUNCTION("""COMPUTED_VALUE"""),"176-KXks3ZB5ZHuKBMwUMw29_Cv2044sZyo8Km9DSXhY")</f>
        <v>176-KXks3ZB5ZHuKBMwUMw29_Cv2044sZyo8Km9DSXhY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IFERROR(__xludf.DUMMYFUNCTION("""COMPUTED_VALUE"""),"VerifyAuecWindow")</f>
        <v>VerifyAuecWindow</v>
      </c>
      <c r="C370" t="str">
        <f ca="1">IFERROR(__xludf.DUMMYFUNCTION("""COMPUTED_VALUE"""),"16b_2-FgoStwuBkNr_JjCAyklRXIuqbbe3yokDxprokc")</f>
        <v>16b_2-FgoStwuBkNr_JjCAyklRXIuqbbe3yokDxprokc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IFERROR(__xludf.DUMMYFUNCTION("""COMPUTED_VALUE"""),"VerifyBetaWindow")</f>
        <v>VerifyBetaWindow</v>
      </c>
      <c r="C371" t="str">
        <f ca="1">IFERROR(__xludf.DUMMYFUNCTION("""COMPUTED_VALUE"""),"1fbKcjC8gLwYcrNAXPL4_1obtoTCCX0MmPEKkR5s582U")</f>
        <v>1fbKcjC8gLwYcrNAXPL4_1obtoTCCX0MmPEKkR5s582U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IFERROR(__xludf.DUMMYFUNCTION("""COMPUTED_VALUE"""),"VerifyCustomSymbolDataWindow")</f>
        <v>VerifyCustomSymbolDataWindow</v>
      </c>
      <c r="C372" t="str">
        <f ca="1">IFERROR(__xludf.DUMMYFUNCTION("""COMPUTED_VALUE"""),"1-ro_FbZAIVOSxzuukFA-JqauiFzAp2zzPW1nR5HDbNQ")</f>
        <v>1-ro_FbZAIVOSxzuukFA-JqauiFzAp2zzPW1nR5HDbNQ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IFERROR(__xludf.DUMMYFUNCTION("""COMPUTED_VALUE"""),"VerifyDayEndCashAccountWindow")</f>
        <v>VerifyDayEndCashAccountWindow</v>
      </c>
      <c r="C373" t="str">
        <f ca="1">IFERROR(__xludf.DUMMYFUNCTION("""COMPUTED_VALUE"""),"14hibcKhSsVy9-wON6kpUuT3WpnX2wo9pBQzmPi8qLL0")</f>
        <v>14hibcKhSsVy9-wON6kpUuT3WpnX2wo9pBQzmPi8qLL0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IFERROR(__xludf.DUMMYFUNCTION("""COMPUTED_VALUE"""),"VerifyDbNavWindow")</f>
        <v>VerifyDbNavWindow</v>
      </c>
      <c r="C374" t="str">
        <f ca="1">IFERROR(__xludf.DUMMYFUNCTION("""COMPUTED_VALUE"""),"18-WlIts2DAJ-WJbsdY1Rpj5dOSmW5uYCwetKlx26fnQ")</f>
        <v>18-WlIts2DAJ-WJbsdY1Rpj5dOSmW5uYCwetKlx26fnQ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IFERROR(__xludf.DUMMYFUNCTION("""COMPUTED_VALUE"""),"VerifyGlobalDivisorWindow")</f>
        <v>VerifyGlobalDivisorWindow</v>
      </c>
      <c r="C375" t="str">
        <f ca="1">IFERROR(__xludf.DUMMYFUNCTION("""COMPUTED_VALUE"""),"1z5ONnrNdd3WVB7RZIGa-yHhn0U7mw19K0moh5ObmK-I")</f>
        <v>1z5ONnrNdd3WVB7RZIGa-yHhn0U7mw19K0moh5ObmK-I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IFERROR(__xludf.DUMMYFUNCTION("""COMPUTED_VALUE"""),"VerifyPmCalculationPreferenceWindow")</f>
        <v>VerifyPmCalculationPreferenceWindow</v>
      </c>
      <c r="C376" t="str">
        <f ca="1">IFERROR(__xludf.DUMMYFUNCTION("""COMPUTED_VALUE"""),"1yse7cNfakHdRjfRrq1SQW0Yxxopg67W_juGAkOyqHPk")</f>
        <v>1yse7cNfakHdRjfRrq1SQW0Yxxopg67W_juGAkOyqHPk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IFERROR(__xludf.DUMMYFUNCTION("""COMPUTED_VALUE"""),"VerifyRowCalculationBaseWindow")</f>
        <v>VerifyRowCalculationBaseWindow</v>
      </c>
      <c r="C377" t="str">
        <f ca="1">IFERROR(__xludf.DUMMYFUNCTION("""COMPUTED_VALUE"""),"16bZAwMHOfN8bD2TadtVor3HvDM0dtF51XYU1iRUEXpQ")</f>
        <v>16bZAwMHOfN8bD2TadtVor3HvDM0dtF51XYU1iRUEXpQ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IFERROR(__xludf.DUMMYFUNCTION("""COMPUTED_VALUE"""),"VerifySecurityWindow")</f>
        <v>VerifySecurityWindow</v>
      </c>
      <c r="C378" t="str">
        <f ca="1">IFERROR(__xludf.DUMMYFUNCTION("""COMPUTED_VALUE"""),"1xeK-JWq8oHwAbmnGt_N4qn9Nt8F9XHo5-Mtr0t_7pRw")</f>
        <v>1xeK-JWq8oHwAbmnGt_N4qn9Nt8F9XHo5-Mtr0t_7pRw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IFERROR(__xludf.DUMMYFUNCTION("""COMPUTED_VALUE"""),"VerifySymbolDataWindow")</f>
        <v>VerifySymbolDataWindow</v>
      </c>
      <c r="C379" t="str">
        <f ca="1">IFERROR(__xludf.DUMMYFUNCTION("""COMPUTED_VALUE"""),"13iKSNjdwzv3DKe_1fcHZJ8GUk5s-HKAGG5PE6MY-smA")</f>
        <v>13iKSNjdwzv3DKe_1fcHZJ8GUk5s-HKAGG5PE6MY-smA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IFERROR(__xludf.DUMMYFUNCTION("""COMPUTED_VALUE"""),"VerifySymbolDivisorWindow")</f>
        <v>VerifySymbolDivisorWindow</v>
      </c>
      <c r="C380" t="str">
        <f ca="1">IFERROR(__xludf.DUMMYFUNCTION("""COMPUTED_VALUE"""),"1uyHz1cQUHCK-GcBufMehtS9i6BspKa5HVCLnf4pfGuk")</f>
        <v>1uyHz1cQUHCK-GcBufMehtS9i6BspKa5HVCLnf4pfGuk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IFERROR(__xludf.DUMMYFUNCTION("""COMPUTED_VALUE"""),"VerifyTaxlotWindow")</f>
        <v>VerifyTaxlotWindow</v>
      </c>
      <c r="C381" t="str">
        <f ca="1">IFERROR(__xludf.DUMMYFUNCTION("""COMPUTED_VALUE"""),"1LmfcHeXwbnPa-An0b_OD4pDLm7pUlzSX41G5QZ2Uons")</f>
        <v>1LmfcHeXwbnPa-An0b_OD4pDLm7pUlzSX41G5QZ2Uons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IFERROR(__xludf.DUMMYFUNCTION("""COMPUTED_VALUE"""),"RestartEsper")</f>
        <v>RestartEsper</v>
      </c>
      <c r="C382" t="str">
        <f ca="1">IFERROR(__xludf.DUMMYFUNCTION("""COMPUTED_VALUE"""),"undefined")</f>
        <v>undefined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IFERROR(__xludf.DUMMYFUNCTION("""COMPUTED_VALUE"""),"VerifyAccountNavPreferenceWindow")</f>
        <v>VerifyAccountNavPreferenceWindow</v>
      </c>
      <c r="C383" t="str">
        <f ca="1">IFERROR(__xludf.DUMMYFUNCTION("""COMPUTED_VALUE"""),"1PbpS5QGNvwJE_YSvMrjHxbUPPQhcUDrQHC4N9KHYjWY")</f>
        <v>1PbpS5QGNvwJE_YSvMrjHxbUPPQhcUDrQHC4N9KHYjWY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 VerifyAggregationAccountUnderlyingSymbolWithNav")</f>
        <v xml:space="preserve"> VerifyAggregationAccountUnderlyingSymbolWithNav</v>
      </c>
      <c r="C384" t="str">
        <f ca="1">IFERROR(__xludf.DUMMYFUNCTION("""COMPUTED_VALUE"""),"1e43aiziZ9lVzR6j8eABeYJVnCkgU34OcPRcWujsT2Sk")</f>
        <v>1e43aiziZ9lVzR6j8eABeYJVnCkgU34OcPRcWujsT2Sk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IFERROR(__xludf.DUMMYFUNCTION("""COMPUTED_VALUE"""),"VerifyAggregationAssetWithNav")</f>
        <v>VerifyAggregationAssetWithNav</v>
      </c>
      <c r="C385" t="str">
        <f ca="1">IFERROR(__xludf.DUMMYFUNCTION("""COMPUTED_VALUE"""),"1etvN2Ze8TA6NI_8xSaOdqLwhWnk9NXKUUDhi-_NctcY")</f>
        <v>1etvN2Ze8TA6NI_8xSaOdqLwhWnk9NXKUUDhi-_NctcY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IFERROR(__xludf.DUMMYFUNCTION("""COMPUTED_VALUE"""),"VerifyAggregationSymbolWithNav")</f>
        <v>VerifyAggregationSymbolWithNav</v>
      </c>
      <c r="C386" t="str">
        <f ca="1">IFERROR(__xludf.DUMMYFUNCTION("""COMPUTED_VALUE"""),"13XyCHzB6LhftZ5UNht5K7e3dan_fGbii_TnOOGLwDg0")</f>
        <v>13XyCHzB6LhftZ5UNht5K7e3dan_fGbii_TnOOGLwDg0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IFERROR(__xludf.DUMMYFUNCTION("""COMPUTED_VALUE"""),"Compliance")</f>
        <v>Compliance</v>
      </c>
      <c r="B387" t="str">
        <f ca="1">IFERROR(__xludf.DUMMYFUNCTION("""COMPUTED_VALUE"""),"VerifyAggregationSubSectorWithNav")</f>
        <v>VerifyAggregationSubSectorWithNav</v>
      </c>
      <c r="C387" t="str">
        <f ca="1">IFERROR(__xludf.DUMMYFUNCTION("""COMPUTED_VALUE"""),"1DBHQwTuKH0lzdeBCel_4raYQn6PkkFTYydpCHbsB4Qk")</f>
        <v>1DBHQwTuKH0lzdeBCel_4raYQn6PkkFTYydpCHbsB4Qk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IFERROR(__xludf.DUMMYFUNCTION("""COMPUTED_VALUE"""),"Compliance")</f>
        <v>Compliance</v>
      </c>
      <c r="B388" t="str">
        <f ca="1">IFERROR(__xludf.DUMMYFUNCTION("""COMPUTED_VALUE"""),"VerifyAggregationGlobalWithNav")</f>
        <v>VerifyAggregationGlobalWithNav</v>
      </c>
      <c r="C388" t="str">
        <f ca="1">IFERROR(__xludf.DUMMYFUNCTION("""COMPUTED_VALUE"""),"1XVSAkmIoWI-AC0BHXwWO3TqCkz2uOlJFE5eM6W0_Cew")</f>
        <v>1XVSAkmIoWI-AC0BHXwWO3TqCkz2uOlJFE5eM6W0_Cew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IFERROR(__xludf.DUMMYFUNCTION("""COMPUTED_VALUE"""),"Compliance")</f>
        <v>Compliance</v>
      </c>
      <c r="B389" t="str">
        <f ca="1">IFERROR(__xludf.DUMMYFUNCTION("""COMPUTED_VALUE""")," VerifyAggregationGlobalWithNav")</f>
        <v xml:space="preserve"> VerifyAggregationGlobalWithNav</v>
      </c>
      <c r="C389" t="str">
        <f ca="1">IFERROR(__xludf.DUMMYFUNCTION("""COMPUTED_VALUE"""),"1XVSAkmIoWI-AC0BHXwWO3TqCkz2uOlJFE5eM6W0_Cew")</f>
        <v>1XVSAkmIoWI-AC0BHXwWO3TqCkz2uOlJFE5eM6W0_Cew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IFERROR(__xludf.DUMMYFUNCTION("""COMPUTED_VALUE"""),"Compliance")</f>
        <v>Compliance</v>
      </c>
      <c r="B390" t="str">
        <f ca="1">IFERROR(__xludf.DUMMYFUNCTION("""COMPUTED_VALUE"""),"VerifyGlobalDivisorWindow")</f>
        <v>VerifyGlobalDivisorWindow</v>
      </c>
      <c r="C390" t="str">
        <f ca="1">IFERROR(__xludf.DUMMYFUNCTION("""COMPUTED_VALUE"""),"1z5ONnrNdd3WVB7RZIGa-yHhn0U7mw19K0moh5ObmK-I")</f>
        <v>1z5ONnrNdd3WVB7RZIGa-yHhn0U7mw19K0moh5ObmK-I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IFERROR(__xludf.DUMMYFUNCTION("""COMPUTED_VALUE"""),"Compliance")</f>
        <v>Compliance</v>
      </c>
      <c r="B391" t="str">
        <f ca="1">IFERROR(__xludf.DUMMYFUNCTION("""COMPUTED_VALUE""")," VerifyAccrualForAccountWindow")</f>
        <v xml:space="preserve"> VerifyAccrualForAccountWindow</v>
      </c>
      <c r="C391" t="str">
        <f ca="1">IFERROR(__xludf.DUMMYFUNCTION("""COMPUTED_VALUE"""),"1zKkT3mW6MMJ2tPzzT2fHVQT6vyc0mePzllndBlUl5IM")</f>
        <v>1zKkT3mW6MMJ2tPzzT2fHVQT6vyc0mePzllndBlUl5IM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IFERROR(__xludf.DUMMYFUNCTION("""COMPUTED_VALUE"""),"Compliance")</f>
        <v>Compliance</v>
      </c>
      <c r="B392" t="str">
        <f ca="1">IFERROR(__xludf.DUMMYFUNCTION("""COMPUTED_VALUE"""),"VerifyGlobalDivisorWindow")</f>
        <v>VerifyGlobalDivisorWindow</v>
      </c>
      <c r="C392" t="str">
        <f ca="1">IFERROR(__xludf.DUMMYFUNCTION("""COMPUTED_VALUE"""),"1z5ONnrNdd3WVB7RZIGa-yHhn0U7mw19K0moh5ObmK-I")</f>
        <v>1z5ONnrNdd3WVB7RZIGa-yHhn0U7mw19K0moh5ObmK-I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IFERROR(__xludf.DUMMYFUNCTION("""COMPUTED_VALUE"""),"Compliance")</f>
        <v>Compliance</v>
      </c>
      <c r="B393" t="str">
        <f ca="1">IFERROR(__xludf.DUMMYFUNCTION("""COMPUTED_VALUE"""),"VerifyMasterFundDivisorWindow")</f>
        <v>VerifyMasterFundDivisorWindow</v>
      </c>
      <c r="C393" t="str">
        <f ca="1">IFERROR(__xludf.DUMMYFUNCTION("""COMPUTED_VALUE"""),"13rWeedH_MlhhxYACJeLeckVtBWejh246MGPN4QQpmMM")</f>
        <v>13rWeedH_MlhhxYACJeLeckVtBWejh246MGPN4QQpmMM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IFERROR(__xludf.DUMMYFUNCTION("""COMPUTED_VALUE"""),"Compliance")</f>
        <v>Compliance</v>
      </c>
      <c r="B394" t="str">
        <f ca="1">IFERROR(__xludf.DUMMYFUNCTION("""COMPUTED_VALUE"""),"VerifyMasterFundSymbolDivisorWindow")</f>
        <v>VerifyMasterFundSymbolDivisorWindow</v>
      </c>
      <c r="C394" t="str">
        <f ca="1">IFERROR(__xludf.DUMMYFUNCTION("""COMPUTED_VALUE"""),"1YPctyrs3yMgf0X1_jVz3LRORCo4B4cNqbyc_K0FujO0")</f>
        <v>1YPctyrs3yMgf0X1_jVz3LRORCo4B4cNqbyc_K0FujO0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IFERROR(__xludf.DUMMYFUNCTION("""COMPUTED_VALUE"""),"Rebalancer")</f>
        <v>Rebalancer</v>
      </c>
      <c r="B395" t="str">
        <f ca="1">IFERROR(__xludf.DUMMYFUNCTION("""COMPUTED_VALUE"""),"FetchAccountPositions")</f>
        <v>FetchAccountPositions</v>
      </c>
      <c r="C395" t="str">
        <f ca="1">IFERROR(__xludf.DUMMYFUNCTION("""COMPUTED_VALUE"""),"1BeNn_44h4ClIE46em_ho4qgzGnXy_GxtYTH3cBmtKPk")</f>
        <v>1BeNn_44h4ClIE46em_ho4qgzGnXy_GxtYTH3cBmtKPk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IFERROR(__xludf.DUMMYFUNCTION("""COMPUTED_VALUE"""),"Rebalancer")</f>
        <v>Rebalancer</v>
      </c>
      <c r="B396" t="str">
        <f ca="1">IFERROR(__xludf.DUMMYFUNCTION("""COMPUTED_VALUE"""),"AddCash")</f>
        <v>AddCash</v>
      </c>
      <c r="C396" t="str">
        <f ca="1">IFERROR(__xludf.DUMMYFUNCTION("""COMPUTED_VALUE"""),"1jkLpZFgLuRokIigwbjW9_Z47rlvj-YDlRcP_c4XkP_k")</f>
        <v>1jkLpZFgLuRokIigwbjW9_Z47rlvj-YDlRcP_c4XkP_k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IFERROR(__xludf.DUMMYFUNCTION("""COMPUTED_VALUE"""),"Rebalancer")</f>
        <v>Rebalancer</v>
      </c>
      <c r="B397" t="str">
        <f ca="1">IFERROR(__xludf.DUMMYFUNCTION("""COMPUTED_VALUE"""),"VerifyGridData")</f>
        <v>VerifyGridData</v>
      </c>
      <c r="C397" t="str">
        <f ca="1">IFERROR(__xludf.DUMMYFUNCTION("""COMPUTED_VALUE"""),"1mspGsgTjI-yT8NsZKZn8moOE-Vp0hoNdUziI1pFBq0I")</f>
        <v>1mspGsgTjI-yT8NsZKZn8moOE-Vp0hoNdUziI1pFBq0I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IFERROR(__xludf.DUMMYFUNCTION("""COMPUTED_VALUE"""),"Rebalancer")</f>
        <v>Rebalancer</v>
      </c>
      <c r="B398" t="str">
        <f ca="1">IFERROR(__xludf.DUMMYFUNCTION("""COMPUTED_VALUE"""),"RunRebalance")</f>
        <v>RunRebalance</v>
      </c>
      <c r="C398" t="str">
        <f ca="1">IFERROR(__xludf.DUMMYFUNCTION("""COMPUTED_VALUE"""),"1B2L3J6YUrDWz8rRtdvv0lYDQvnH8nYkmqQm12ZwK7jc")</f>
        <v>1B2L3J6YUrDWz8rRtdvv0lYDQvnH8nYkmqQm12ZwK7jc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6" t="s">
        <v>0</v>
      </c>
      <c r="B1" s="44"/>
      <c r="C1" s="45"/>
    </row>
    <row r="2" spans="1:3" ht="15.75" customHeight="1" x14ac:dyDescent="0.2">
      <c r="A2" s="1"/>
      <c r="B2" s="1"/>
      <c r="C2" s="1"/>
    </row>
    <row r="3" spans="1:3" ht="15.75" customHeight="1" x14ac:dyDescent="0.2">
      <c r="A3" s="2" t="s">
        <v>1</v>
      </c>
      <c r="B3" s="3" t="s">
        <v>2</v>
      </c>
      <c r="C3" s="1"/>
    </row>
    <row r="4" spans="1:3" ht="15.75" customHeight="1" x14ac:dyDescent="0.2">
      <c r="A4" s="4" t="s">
        <v>3</v>
      </c>
      <c r="B4" s="3" t="s">
        <v>4</v>
      </c>
      <c r="C4" s="1"/>
    </row>
    <row r="5" spans="1:3" ht="15.75" customHeight="1" x14ac:dyDescent="0.2">
      <c r="A5" s="5"/>
      <c r="B5" s="1"/>
      <c r="C5" s="1"/>
    </row>
    <row r="6" spans="1:3" ht="15.75" customHeight="1" x14ac:dyDescent="0.2">
      <c r="A6" s="5"/>
      <c r="B6" s="1"/>
      <c r="C6" s="1"/>
    </row>
    <row r="7" spans="1:3" ht="15.75" customHeight="1" x14ac:dyDescent="0.2">
      <c r="A7" s="5"/>
      <c r="B7" s="1"/>
      <c r="C7" s="1"/>
    </row>
    <row r="8" spans="1:3" ht="15.75" customHeight="1" x14ac:dyDescent="0.2">
      <c r="A8" s="5"/>
      <c r="B8" s="1"/>
      <c r="C8" s="1"/>
    </row>
    <row r="9" spans="1:3" ht="15.75" customHeight="1" x14ac:dyDescent="0.2">
      <c r="A9" s="5"/>
      <c r="B9" s="1"/>
      <c r="C9" s="1"/>
    </row>
    <row r="10" spans="1:3" ht="15.75" customHeight="1" x14ac:dyDescent="0.2">
      <c r="A10" s="5"/>
      <c r="B10" s="1"/>
      <c r="C10" s="1"/>
    </row>
    <row r="11" spans="1:3" ht="15.75" customHeight="1" x14ac:dyDescent="0.2">
      <c r="A11" s="5"/>
      <c r="B11" s="1"/>
      <c r="C11" s="1"/>
    </row>
    <row r="12" spans="1:3" ht="15.75" customHeight="1" x14ac:dyDescent="0.2">
      <c r="A12" s="5"/>
      <c r="B12" s="1"/>
      <c r="C12" s="1"/>
    </row>
    <row r="13" spans="1:3" ht="15.75" customHeight="1" x14ac:dyDescent="0.2">
      <c r="A13" s="5"/>
      <c r="B13" s="1"/>
      <c r="C13" s="1"/>
    </row>
    <row r="14" spans="1:3" ht="15.75" customHeight="1" x14ac:dyDescent="0.2">
      <c r="A14" s="5"/>
      <c r="B14" s="1"/>
      <c r="C14" s="1"/>
    </row>
    <row r="15" spans="1:3" ht="15.75" customHeight="1" x14ac:dyDescent="0.2">
      <c r="A15" s="5"/>
      <c r="B15" s="1"/>
      <c r="C15" s="1"/>
    </row>
    <row r="16" spans="1:3" ht="15.75" customHeight="1" x14ac:dyDescent="0.2">
      <c r="A16" s="5"/>
      <c r="B16" s="1"/>
      <c r="C16" s="1"/>
    </row>
    <row r="17" spans="1:3" ht="15.75" customHeight="1" x14ac:dyDescent="0.2">
      <c r="A17" s="5"/>
      <c r="B17" s="1"/>
      <c r="C17" s="1"/>
    </row>
    <row r="18" spans="1:3" ht="15.75" customHeight="1" x14ac:dyDescent="0.2">
      <c r="A18" s="5"/>
      <c r="B18" s="1"/>
      <c r="C18" s="1"/>
    </row>
    <row r="19" spans="1:3" ht="15.75" customHeight="1" x14ac:dyDescent="0.2">
      <c r="A19" s="5"/>
      <c r="B19" s="1"/>
      <c r="C19" s="1"/>
    </row>
    <row r="20" spans="1:3" ht="15.75" customHeight="1" x14ac:dyDescent="0.2">
      <c r="A20" s="5"/>
      <c r="B20" s="1"/>
      <c r="C20" s="1"/>
    </row>
    <row r="21" spans="1:3" ht="15.75" customHeight="1" x14ac:dyDescent="0.2">
      <c r="A21" s="5"/>
      <c r="B21" s="1"/>
      <c r="C21" s="1"/>
    </row>
    <row r="22" spans="1:3" ht="15.75" customHeight="1" x14ac:dyDescent="0.2">
      <c r="A22" s="5"/>
      <c r="B22" s="1"/>
      <c r="C22" s="1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3" t="s">
        <v>5</v>
      </c>
      <c r="B1" s="44"/>
      <c r="C1" s="44"/>
      <c r="D1" s="44"/>
      <c r="E1" s="44"/>
      <c r="F1" s="45"/>
    </row>
    <row r="2" spans="1:26" ht="15" customHeight="1" x14ac:dyDescent="0.2">
      <c r="A2" s="6"/>
      <c r="B2" s="6"/>
      <c r="C2" s="6"/>
      <c r="D2" s="6"/>
      <c r="E2" s="6"/>
      <c r="F2" s="6"/>
    </row>
    <row r="3" spans="1:26" ht="15" customHeight="1" x14ac:dyDescent="0.2">
      <c r="A3" s="4" t="s">
        <v>6</v>
      </c>
      <c r="B3" s="7" t="s">
        <v>7</v>
      </c>
      <c r="C3" s="7" t="s">
        <v>8</v>
      </c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0"/>
      <c r="B1" s="43" t="s">
        <v>9</v>
      </c>
      <c r="C1" s="44"/>
      <c r="D1" s="44"/>
      <c r="E1" s="44"/>
      <c r="F1" s="44"/>
      <c r="G1" s="44"/>
      <c r="H1" s="45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2" t="str">
        <f ca="1">VLOOKUP($E$3,_MasterData!B4:D1000,3,FALSE)</f>
        <v>1b5S4Xpp4fgZ1ez6cK92QFnVBylqz8jhwxdAyEvwDqUI</v>
      </c>
      <c r="K2" s="12"/>
      <c r="L2" s="1"/>
      <c r="M2" s="1"/>
      <c r="N2" s="1"/>
      <c r="O2" s="1"/>
    </row>
    <row r="3" spans="1:154" ht="15.75" customHeight="1" x14ac:dyDescent="0.2">
      <c r="A3" s="13"/>
      <c r="B3" s="2" t="s">
        <v>6</v>
      </c>
      <c r="C3" s="14" t="s">
        <v>10</v>
      </c>
      <c r="D3" s="2" t="s">
        <v>7</v>
      </c>
      <c r="E3" s="14" t="s">
        <v>11</v>
      </c>
      <c r="F3" s="2" t="s">
        <v>12</v>
      </c>
      <c r="G3" s="5" t="s">
        <v>13</v>
      </c>
      <c r="H3" s="2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spans="1:154" ht="15.75" customHeight="1" x14ac:dyDescent="0.2">
      <c r="A4" s="16"/>
      <c r="B4" s="16" t="str">
        <f ca="1">IFERROR(__xludf.DUMMYFUNCTION("IF(C3="""","""",Transpose(IMPORTRANGE('_Settings'!$B$3,C3&amp;""!A4:A1000"")))"),"OpenTTFromPST")</f>
        <v>OpenTTFromPST</v>
      </c>
      <c r="C4" s="16" t="str">
        <f ca="1">IFERROR(__xludf.DUMMYFUNCTION("""COMPUTED_VALUE"""),"EnterDetailsOnTT")</f>
        <v>EnterDetailsOnTT</v>
      </c>
      <c r="D4" s="16" t="str">
        <f ca="1">IFERROR(__xludf.DUMMYFUNCTION("""COMPUTED_VALUE"""),"ValidateSymbolTT")</f>
        <v>ValidateSymbolTT</v>
      </c>
      <c r="E4" s="16" t="str">
        <f ca="1">IFERROR(__xludf.DUMMYFUNCTION("""COMPUTED_VALUE"""),"VerifyDataTT")</f>
        <v>VerifyDataTT</v>
      </c>
      <c r="F4" s="16" t="str">
        <f ca="1">IFERROR(__xludf.DUMMYFUNCTION("""COMPUTED_VALUE"""),"SetUIPreferencesTT")</f>
        <v>SetUIPreferencesTT</v>
      </c>
      <c r="G4" s="16" t="str">
        <f ca="1">IFERROR(__xludf.DUMMYFUNCTION("""COMPUTED_VALUE"""),"SetBrokerWisePreferencesTT")</f>
        <v>SetBrokerWisePreferencesTT</v>
      </c>
      <c r="H4" s="16" t="str">
        <f ca="1">IFERROR(__xludf.DUMMYFUNCTION("""COMPUTED_VALUE"""),"TradeNewSub")</f>
        <v>TradeNewSub</v>
      </c>
      <c r="I4" s="16" t="str">
        <f ca="1">IFERROR(__xludf.DUMMYFUNCTION("""COMPUTED_VALUE"""),"CreateStageOrder")</f>
        <v>CreateStageOrder</v>
      </c>
      <c r="J4" s="16" t="str">
        <f ca="1">IFERROR(__xludf.DUMMYFUNCTION("""COMPUTED_VALUE"""),"CreateReplaceOrder")</f>
        <v>CreateReplaceOrder</v>
      </c>
      <c r="K4" s="16" t="str">
        <f ca="1">IFERROR(__xludf.DUMMYFUNCTION("""COMPUTED_VALUE"""),"SetGeneralPreference")</f>
        <v>SetGeneralPreference</v>
      </c>
      <c r="L4" s="16" t="str">
        <f ca="1">IFERROR(__xludf.DUMMYFUNCTION("""COMPUTED_VALUE"""),"CreateDoneAwayOrder")</f>
        <v>CreateDoneAwayOrder</v>
      </c>
      <c r="M4" s="16" t="str">
        <f ca="1">IFERROR(__xludf.DUMMYFUNCTION("""COMPUTED_VALUE"""),"CreateNewSubOrder")</f>
        <v>CreateNewSubOrder</v>
      </c>
      <c r="N4" s="16" t="str">
        <f ca="1">IFERROR(__xludf.DUMMYFUNCTION("""COMPUTED_VALUE"""),"TradeBloomberg")</f>
        <v>TradeBloomberg</v>
      </c>
      <c r="O4" s="16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3"/>
      <c r="B6" s="3" t="s">
        <v>16</v>
      </c>
      <c r="C6" s="3" t="s">
        <v>17</v>
      </c>
      <c r="D6" s="3">
        <v>100</v>
      </c>
      <c r="E6" s="24"/>
      <c r="F6" s="3" t="s">
        <v>18</v>
      </c>
      <c r="G6" s="1"/>
      <c r="H6" s="1"/>
      <c r="I6" s="1"/>
      <c r="J6" s="3">
        <v>20</v>
      </c>
      <c r="K6" s="1"/>
      <c r="L6" s="1"/>
      <c r="M6" s="1"/>
      <c r="N6" s="25">
        <v>40920</v>
      </c>
      <c r="O6" s="1"/>
    </row>
    <row r="7" spans="1:154" ht="15.75" customHeight="1" x14ac:dyDescent="0.2">
      <c r="A7" s="1"/>
      <c r="B7" s="3" t="s">
        <v>16</v>
      </c>
      <c r="C7" s="3" t="s">
        <v>17</v>
      </c>
      <c r="D7" s="3">
        <v>100</v>
      </c>
      <c r="E7" s="1"/>
      <c r="F7" s="3" t="s">
        <v>18</v>
      </c>
      <c r="G7" s="1"/>
      <c r="H7" s="1"/>
      <c r="I7" s="1"/>
      <c r="J7" s="3">
        <v>35</v>
      </c>
      <c r="K7" s="1"/>
      <c r="L7" s="1"/>
      <c r="M7" s="1"/>
      <c r="N7" s="25">
        <v>40921</v>
      </c>
      <c r="O7" s="1"/>
    </row>
    <row r="8" spans="1:154" ht="15.75" customHeight="1" x14ac:dyDescent="0.2">
      <c r="A8" s="1"/>
      <c r="B8" s="3" t="s">
        <v>16</v>
      </c>
      <c r="C8" s="3" t="s">
        <v>17</v>
      </c>
      <c r="D8" s="3">
        <v>100</v>
      </c>
      <c r="E8" s="1"/>
      <c r="F8" s="3" t="s">
        <v>18</v>
      </c>
      <c r="G8" s="1"/>
      <c r="H8" s="1"/>
      <c r="I8" s="1"/>
      <c r="J8" s="3">
        <v>41</v>
      </c>
      <c r="K8" s="1"/>
      <c r="L8" s="1"/>
      <c r="M8" s="1"/>
      <c r="N8" s="25">
        <v>40922</v>
      </c>
      <c r="O8" s="1"/>
    </row>
    <row r="9" spans="1:154" ht="15.75" customHeight="1" x14ac:dyDescent="0.2">
      <c r="A9" s="1"/>
      <c r="B9" s="3" t="s">
        <v>16</v>
      </c>
      <c r="C9" s="3" t="s">
        <v>17</v>
      </c>
      <c r="D9" s="3">
        <v>100</v>
      </c>
      <c r="E9" s="1"/>
      <c r="F9" s="3" t="s">
        <v>18</v>
      </c>
      <c r="G9" s="1"/>
      <c r="H9" s="1"/>
      <c r="I9" s="1"/>
      <c r="J9" s="3">
        <v>40</v>
      </c>
      <c r="K9" s="1"/>
      <c r="L9" s="1"/>
      <c r="M9" s="1"/>
      <c r="N9" s="25">
        <v>40929</v>
      </c>
      <c r="O9" s="1"/>
    </row>
    <row r="10" spans="1:154" ht="15.75" customHeight="1" x14ac:dyDescent="0.2">
      <c r="A10" s="1"/>
      <c r="B10" s="3" t="s">
        <v>16</v>
      </c>
      <c r="C10" s="3" t="s">
        <v>17</v>
      </c>
      <c r="D10" s="3">
        <v>100</v>
      </c>
      <c r="E10" s="1"/>
      <c r="F10" s="3" t="s">
        <v>18</v>
      </c>
      <c r="G10" s="1"/>
      <c r="H10" s="1"/>
      <c r="I10" s="1"/>
      <c r="J10" s="3">
        <v>40</v>
      </c>
      <c r="K10" s="1"/>
      <c r="L10" s="1"/>
      <c r="M10" s="1"/>
      <c r="N10" s="25">
        <v>41289</v>
      </c>
      <c r="O10" s="1"/>
    </row>
    <row r="11" spans="1:154" ht="15.75" customHeight="1" x14ac:dyDescent="0.2">
      <c r="A11" s="1"/>
      <c r="B11" s="3" t="s">
        <v>16</v>
      </c>
      <c r="C11" s="3" t="s">
        <v>17</v>
      </c>
      <c r="D11" s="3">
        <v>100</v>
      </c>
      <c r="E11" s="1"/>
      <c r="F11" s="3" t="s">
        <v>18</v>
      </c>
      <c r="G11" s="1"/>
      <c r="H11" s="1"/>
      <c r="I11" s="1"/>
      <c r="J11" s="3">
        <v>25</v>
      </c>
      <c r="K11" s="1"/>
      <c r="L11" s="1"/>
      <c r="M11" s="1"/>
      <c r="N11" s="25">
        <v>41289</v>
      </c>
      <c r="O11" s="1"/>
    </row>
    <row r="12" spans="1:154" ht="15.75" customHeight="1" x14ac:dyDescent="0.2">
      <c r="A12" s="1"/>
      <c r="B12" s="3" t="s">
        <v>16</v>
      </c>
      <c r="C12" s="3" t="s">
        <v>17</v>
      </c>
      <c r="D12" s="3">
        <v>100</v>
      </c>
      <c r="E12" s="1"/>
      <c r="F12" s="3" t="s">
        <v>18</v>
      </c>
      <c r="G12" s="1"/>
      <c r="H12" s="1"/>
      <c r="I12" s="1"/>
      <c r="J12" s="3">
        <v>50</v>
      </c>
      <c r="K12" s="1"/>
      <c r="L12" s="1"/>
      <c r="M12" s="1"/>
      <c r="N12" s="25">
        <v>41290</v>
      </c>
      <c r="O12" s="1"/>
    </row>
    <row r="13" spans="1:154" ht="15.75" customHeight="1" x14ac:dyDescent="0.2">
      <c r="A13" s="1"/>
      <c r="B13" s="3" t="s">
        <v>16</v>
      </c>
      <c r="C13" s="3" t="s">
        <v>17</v>
      </c>
      <c r="D13" s="3">
        <v>100</v>
      </c>
      <c r="E13" s="1"/>
      <c r="F13" s="3" t="s">
        <v>18</v>
      </c>
      <c r="G13" s="1"/>
      <c r="H13" s="1"/>
      <c r="I13" s="1"/>
      <c r="J13" s="3">
        <v>40</v>
      </c>
      <c r="K13" s="1"/>
      <c r="L13" s="1"/>
      <c r="M13" s="1"/>
      <c r="N13" s="25">
        <v>41295</v>
      </c>
      <c r="O13" s="1"/>
    </row>
    <row r="14" spans="1:154" ht="15.75" customHeight="1" x14ac:dyDescent="0.2">
      <c r="A14" s="1"/>
      <c r="B14" s="3" t="s">
        <v>16</v>
      </c>
      <c r="C14" s="3" t="s">
        <v>19</v>
      </c>
      <c r="D14" s="3">
        <v>200</v>
      </c>
      <c r="E14" s="1"/>
      <c r="F14" s="3" t="s">
        <v>18</v>
      </c>
      <c r="G14" s="1"/>
      <c r="H14" s="1"/>
      <c r="I14" s="1"/>
      <c r="J14" s="3">
        <v>40</v>
      </c>
      <c r="K14" s="1"/>
      <c r="L14" s="1"/>
      <c r="M14" s="1"/>
      <c r="N14" s="25">
        <v>41354</v>
      </c>
      <c r="O14" s="1"/>
    </row>
    <row r="15" spans="1:154" ht="15.75" customHeight="1" x14ac:dyDescent="0.2">
      <c r="A15" s="1"/>
      <c r="B15" s="3" t="s">
        <v>16</v>
      </c>
      <c r="C15" s="3" t="s">
        <v>19</v>
      </c>
      <c r="D15" s="3">
        <v>200</v>
      </c>
      <c r="E15" s="1"/>
      <c r="F15" s="3" t="s">
        <v>18</v>
      </c>
      <c r="G15" s="1"/>
      <c r="H15" s="1"/>
      <c r="I15" s="1"/>
      <c r="J15" s="3">
        <v>30</v>
      </c>
      <c r="K15" s="1"/>
      <c r="L15" s="1"/>
      <c r="M15" s="1"/>
      <c r="N15" s="25">
        <v>41424</v>
      </c>
      <c r="O15" s="1"/>
    </row>
    <row r="16" spans="1:154" ht="15.75" customHeight="1" x14ac:dyDescent="0.2">
      <c r="A16" s="1"/>
      <c r="B16" s="3" t="s">
        <v>16</v>
      </c>
      <c r="C16" s="3" t="s">
        <v>19</v>
      </c>
      <c r="D16" s="3">
        <v>400</v>
      </c>
      <c r="E16" s="1"/>
      <c r="F16" s="3" t="s">
        <v>18</v>
      </c>
      <c r="G16" s="1"/>
      <c r="H16" s="1"/>
      <c r="I16" s="1"/>
      <c r="J16" s="3">
        <v>40</v>
      </c>
      <c r="K16" s="1"/>
      <c r="L16" s="1"/>
      <c r="M16" s="1"/>
      <c r="N16" s="25">
        <v>41425</v>
      </c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6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0"/>
      <c r="B1" s="43" t="s">
        <v>9</v>
      </c>
      <c r="C1" s="44"/>
      <c r="D1" s="44"/>
      <c r="E1" s="44"/>
      <c r="F1" s="44"/>
      <c r="G1" s="44"/>
      <c r="H1" s="45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2" t="e">
        <f ca="1">VLOOKUP($E$3,_MasterData!B4:D1000,3,FALSE)</f>
        <v>#N/A</v>
      </c>
      <c r="K2" s="12"/>
      <c r="L2" s="1"/>
      <c r="M2" s="1"/>
      <c r="N2" s="1"/>
      <c r="O2" s="1"/>
    </row>
    <row r="3" spans="1:154" ht="15.75" customHeight="1" x14ac:dyDescent="0.2">
      <c r="A3" s="13"/>
      <c r="B3" s="2" t="s">
        <v>6</v>
      </c>
      <c r="C3" s="14" t="s">
        <v>20</v>
      </c>
      <c r="D3" s="2" t="s">
        <v>7</v>
      </c>
      <c r="E3" s="14" t="s">
        <v>21</v>
      </c>
      <c r="F3" s="2" t="s">
        <v>12</v>
      </c>
      <c r="G3" s="5" t="s">
        <v>13</v>
      </c>
      <c r="H3" s="2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spans="1:154" ht="15.75" customHeight="1" x14ac:dyDescent="0.2">
      <c r="A4" s="16"/>
      <c r="B4" s="16" t="str">
        <f ca="1">IFERROR(__xludf.DUMMYFUNCTION("IF(C3="""","""",Transpose(IMPORTRANGE('_Settings'!$B$3,C3&amp;""!A4:A1000"")))"),"SwapExpire")</f>
        <v>SwapExpire</v>
      </c>
      <c r="C4" s="16" t="str">
        <f ca="1">IFERROR(__xludf.DUMMYFUNCTION("""COMPUTED_VALUE"""),"GetDataClosing")</f>
        <v>GetDataClosing</v>
      </c>
      <c r="D4" s="16" t="str">
        <f ca="1">IFERROR(__xludf.DUMMYFUNCTION("""COMPUTED_VALUE"""),"ManualClosing")</f>
        <v>ManualClosing</v>
      </c>
      <c r="E4" s="16" t="str">
        <f ca="1">IFERROR(__xludf.DUMMYFUNCTION("""COMPUTED_VALUE"""),"AutomaticClosing")</f>
        <v>AutomaticClosing</v>
      </c>
      <c r="F4" s="16" t="str">
        <f ca="1">IFERROR(__xludf.DUMMYFUNCTION("""COMPUTED_VALUE"""),"UnwindClosing")</f>
        <v>UnwindClosing</v>
      </c>
      <c r="G4" s="16" t="str">
        <f ca="1">IFERROR(__xludf.DUMMYFUNCTION("""COMPUTED_VALUE"""),"VerifyClosedTrades")</f>
        <v>VerifyClosedTrades</v>
      </c>
      <c r="H4" s="16" t="str">
        <f ca="1">IFERROR(__xludf.DUMMYFUNCTION("""COMPUTED_VALUE"""),"VerifyLongPositionsGrid")</f>
        <v>VerifyLongPositionsGrid</v>
      </c>
      <c r="I4" s="16" t="str">
        <f ca="1">IFERROR(__xludf.DUMMYFUNCTION("""COMPUTED_VALUE"""),"VerifyShortPositionsGrid")</f>
        <v>VerifyShortPositionsGrid</v>
      </c>
      <c r="J4" s="16" t="str">
        <f ca="1">IFERROR(__xludf.DUMMYFUNCTION("""COMPUTED_VALUE"""),"SelectTradeUnexpiredUnsettled")</f>
        <v>SelectTradeUnexpiredUnsettled</v>
      </c>
      <c r="K4" s="16" t="str">
        <f ca="1">IFERROR(__xludf.DUMMYFUNCTION("""COMPUTED_VALUE"""),"CashSettlementAtCost")</f>
        <v>CashSettlementAtCost</v>
      </c>
      <c r="L4" s="16" t="str">
        <f ca="1">IFERROR(__xludf.DUMMYFUNCTION("""COMPUTED_VALUE"""),"CashSettlementAtZeroPrice")</f>
        <v>CashSettlementAtZeroPrice</v>
      </c>
      <c r="M4" s="16" t="str">
        <f ca="1">IFERROR(__xludf.DUMMYFUNCTION("""COMPUTED_VALUE"""),"CashSettlementAtClosingDtSpotPx")</f>
        <v>CashSettlementAtClosingDtSpotPx</v>
      </c>
      <c r="N4" s="16" t="str">
        <f ca="1">IFERROR(__xludf.DUMMYFUNCTION("""COMPUTED_VALUE"""),"PhysicalSettlement")</f>
        <v>PhysicalSettlement</v>
      </c>
      <c r="O4" s="16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3"/>
      <c r="B6" s="3" t="s">
        <v>22</v>
      </c>
      <c r="C6" s="25">
        <v>40920</v>
      </c>
      <c r="D6" s="25">
        <v>42788</v>
      </c>
      <c r="E6" s="3" t="s">
        <v>18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0"/>
      <c r="B1" s="43" t="s">
        <v>9</v>
      </c>
      <c r="C1" s="44"/>
      <c r="D1" s="44"/>
      <c r="E1" s="44"/>
      <c r="F1" s="44"/>
      <c r="G1" s="44"/>
      <c r="H1" s="45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2" t="str">
        <f ca="1">VLOOKUP($E$3,_MasterData!B4:D1000,3,FALSE)</f>
        <v>1zwv-aZp-DRCpq8bqLR0XRiyt0av-GAm0ORqbhnV-FKI</v>
      </c>
      <c r="K2" s="12"/>
      <c r="L2" s="1"/>
      <c r="M2" s="1"/>
      <c r="N2" s="1"/>
      <c r="O2" s="1"/>
    </row>
    <row r="3" spans="1:154" ht="15.75" customHeight="1" x14ac:dyDescent="0.2">
      <c r="A3" s="13"/>
      <c r="B3" s="2" t="s">
        <v>6</v>
      </c>
      <c r="C3" s="14" t="s">
        <v>20</v>
      </c>
      <c r="D3" s="2" t="s">
        <v>7</v>
      </c>
      <c r="E3" s="14" t="s">
        <v>23</v>
      </c>
      <c r="F3" s="2" t="s">
        <v>12</v>
      </c>
      <c r="G3" s="5" t="s">
        <v>13</v>
      </c>
      <c r="H3" s="2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spans="1:154" ht="15.75" customHeight="1" x14ac:dyDescent="0.2">
      <c r="A4" s="16"/>
      <c r="B4" s="16" t="str">
        <f ca="1">IFERROR(__xludf.DUMMYFUNCTION("IF(C3="""","""",Transpose(IMPORTRANGE('_Settings'!$B$3,C3&amp;""!A4:A1000"")))"),"SwapExpire")</f>
        <v>SwapExpire</v>
      </c>
      <c r="C4" s="16" t="str">
        <f ca="1">IFERROR(__xludf.DUMMYFUNCTION("""COMPUTED_VALUE"""),"GetDataClosing")</f>
        <v>GetDataClosing</v>
      </c>
      <c r="D4" s="16" t="str">
        <f ca="1">IFERROR(__xludf.DUMMYFUNCTION("""COMPUTED_VALUE"""),"ManualClosing")</f>
        <v>ManualClosing</v>
      </c>
      <c r="E4" s="16" t="str">
        <f ca="1">IFERROR(__xludf.DUMMYFUNCTION("""COMPUTED_VALUE"""),"AutomaticClosing")</f>
        <v>AutomaticClosing</v>
      </c>
      <c r="F4" s="16" t="str">
        <f ca="1">IFERROR(__xludf.DUMMYFUNCTION("""COMPUTED_VALUE"""),"UnwindClosing")</f>
        <v>UnwindClosing</v>
      </c>
      <c r="G4" s="16" t="str">
        <f ca="1">IFERROR(__xludf.DUMMYFUNCTION("""COMPUTED_VALUE"""),"VerifyClosedTrades")</f>
        <v>VerifyClosedTrades</v>
      </c>
      <c r="H4" s="16" t="str">
        <f ca="1">IFERROR(__xludf.DUMMYFUNCTION("""COMPUTED_VALUE"""),"VerifyLongPositionsGrid")</f>
        <v>VerifyLongPositionsGrid</v>
      </c>
      <c r="I4" s="16" t="str">
        <f ca="1">IFERROR(__xludf.DUMMYFUNCTION("""COMPUTED_VALUE"""),"VerifyShortPositionsGrid")</f>
        <v>VerifyShortPositionsGrid</v>
      </c>
      <c r="J4" s="16" t="str">
        <f ca="1">IFERROR(__xludf.DUMMYFUNCTION("""COMPUTED_VALUE"""),"SelectTradeUnexpiredUnsettled")</f>
        <v>SelectTradeUnexpiredUnsettled</v>
      </c>
      <c r="K4" s="16" t="str">
        <f ca="1">IFERROR(__xludf.DUMMYFUNCTION("""COMPUTED_VALUE"""),"CashSettlementAtCost")</f>
        <v>CashSettlementAtCost</v>
      </c>
      <c r="L4" s="16" t="str">
        <f ca="1">IFERROR(__xludf.DUMMYFUNCTION("""COMPUTED_VALUE"""),"CashSettlementAtZeroPrice")</f>
        <v>CashSettlementAtZeroPrice</v>
      </c>
      <c r="M4" s="16" t="str">
        <f ca="1">IFERROR(__xludf.DUMMYFUNCTION("""COMPUTED_VALUE"""),"CashSettlementAtClosingDtSpotPx")</f>
        <v>CashSettlementAtClosingDtSpotPx</v>
      </c>
      <c r="N4" s="16" t="str">
        <f ca="1">IFERROR(__xludf.DUMMYFUNCTION("""COMPUTED_VALUE"""),"PhysicalSettlement")</f>
        <v>PhysicalSettlement</v>
      </c>
      <c r="O4" s="16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3"/>
      <c r="B6" s="3" t="b">
        <v>0</v>
      </c>
      <c r="C6" s="3" t="b">
        <v>0</v>
      </c>
      <c r="D6" s="3" t="s">
        <v>24</v>
      </c>
      <c r="E6" s="3" t="s">
        <v>25</v>
      </c>
      <c r="F6" s="3" t="s">
        <v>26</v>
      </c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0"/>
      <c r="B1" s="43" t="s">
        <v>9</v>
      </c>
      <c r="C1" s="44"/>
      <c r="D1" s="44"/>
      <c r="E1" s="44"/>
      <c r="F1" s="44"/>
      <c r="G1" s="44"/>
      <c r="H1" s="45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2" t="e">
        <f ca="1">VLOOKUP($E$3,_MasterData!B4:D1000,3,FALSE)</f>
        <v>#N/A</v>
      </c>
      <c r="K2" s="12"/>
      <c r="L2" s="1"/>
      <c r="M2" s="1"/>
      <c r="N2" s="1"/>
      <c r="O2" s="1"/>
    </row>
    <row r="3" spans="1:154" ht="15.75" customHeight="1" x14ac:dyDescent="0.2">
      <c r="A3" s="13"/>
      <c r="B3" s="2" t="s">
        <v>6</v>
      </c>
      <c r="C3" s="14" t="s">
        <v>20</v>
      </c>
      <c r="D3" s="2" t="s">
        <v>7</v>
      </c>
      <c r="E3" s="14" t="s">
        <v>27</v>
      </c>
      <c r="F3" s="2" t="s">
        <v>12</v>
      </c>
      <c r="G3" s="5" t="s">
        <v>13</v>
      </c>
      <c r="H3" s="2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spans="1:154" ht="15.75" customHeight="1" x14ac:dyDescent="0.2">
      <c r="A4" s="16"/>
      <c r="B4" s="16" t="str">
        <f ca="1">IFERROR(__xludf.DUMMYFUNCTION("IF(C3="""","""",Transpose(IMPORTRANGE('_Settings'!$B$3,C3&amp;""!A4:A1000"")))"),"SwapExpire")</f>
        <v>SwapExpire</v>
      </c>
      <c r="C4" s="16" t="str">
        <f ca="1">IFERROR(__xludf.DUMMYFUNCTION("""COMPUTED_VALUE"""),"GetDataClosing")</f>
        <v>GetDataClosing</v>
      </c>
      <c r="D4" s="16" t="str">
        <f ca="1">IFERROR(__xludf.DUMMYFUNCTION("""COMPUTED_VALUE"""),"ManualClosing")</f>
        <v>ManualClosing</v>
      </c>
      <c r="E4" s="16" t="str">
        <f ca="1">IFERROR(__xludf.DUMMYFUNCTION("""COMPUTED_VALUE"""),"AutomaticClosing")</f>
        <v>AutomaticClosing</v>
      </c>
      <c r="F4" s="16" t="str">
        <f ca="1">IFERROR(__xludf.DUMMYFUNCTION("""COMPUTED_VALUE"""),"UnwindClosing")</f>
        <v>UnwindClosing</v>
      </c>
      <c r="G4" s="16" t="str">
        <f ca="1">IFERROR(__xludf.DUMMYFUNCTION("""COMPUTED_VALUE"""),"VerifyClosedTrades")</f>
        <v>VerifyClosedTrades</v>
      </c>
      <c r="H4" s="16" t="str">
        <f ca="1">IFERROR(__xludf.DUMMYFUNCTION("""COMPUTED_VALUE"""),"VerifyLongPositionsGrid")</f>
        <v>VerifyLongPositionsGrid</v>
      </c>
      <c r="I4" s="16" t="str">
        <f ca="1">IFERROR(__xludf.DUMMYFUNCTION("""COMPUTED_VALUE"""),"VerifyShortPositionsGrid")</f>
        <v>VerifyShortPositionsGrid</v>
      </c>
      <c r="J4" s="16" t="str">
        <f ca="1">IFERROR(__xludf.DUMMYFUNCTION("""COMPUTED_VALUE"""),"SelectTradeUnexpiredUnsettled")</f>
        <v>SelectTradeUnexpiredUnsettled</v>
      </c>
      <c r="K4" s="16" t="str">
        <f ca="1">IFERROR(__xludf.DUMMYFUNCTION("""COMPUTED_VALUE"""),"CashSettlementAtCost")</f>
        <v>CashSettlementAtCost</v>
      </c>
      <c r="L4" s="16" t="str">
        <f ca="1">IFERROR(__xludf.DUMMYFUNCTION("""COMPUTED_VALUE"""),"CashSettlementAtZeroPrice")</f>
        <v>CashSettlementAtZeroPrice</v>
      </c>
      <c r="M4" s="16" t="str">
        <f ca="1">IFERROR(__xludf.DUMMYFUNCTION("""COMPUTED_VALUE"""),"CashSettlementAtClosingDtSpotPx")</f>
        <v>CashSettlementAtClosingDtSpotPx</v>
      </c>
      <c r="N4" s="16" t="str">
        <f ca="1">IFERROR(__xludf.DUMMYFUNCTION("""COMPUTED_VALUE"""),"PhysicalSettlement")</f>
        <v>PhysicalSettlement</v>
      </c>
      <c r="O4" s="16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IFERROR(__xludf.DUMMYFUNCTION("""COMPUTED_VALUE"""),"Taxlot ID")</f>
        <v>Taxlot ID</v>
      </c>
      <c r="C5" s="21" t="str">
        <f ca="1">IFERROR(__xludf.DUMMYFUNCTION("""COMPUTED_VALUE"""),"Closing Date")</f>
        <v>Closing Date</v>
      </c>
      <c r="D5" s="21" t="str">
        <f ca="1">IFERROR(__xludf.DUMMYFUNCTION("""COMPUTED_VALUE"""),"Account")</f>
        <v>Account</v>
      </c>
      <c r="E5" s="21" t="str">
        <f ca="1">IFERROR(__xludf.DUMMYFUNCTION("""COMPUTED_VALUE"""),"Strategy")</f>
        <v>Strategy</v>
      </c>
      <c r="F5" s="22" t="str">
        <f ca="1">IFERROR(__xludf.DUMMYFUNCTION("""COMPUTED_VALUE"""),"Position Type")</f>
        <v>Position Type</v>
      </c>
      <c r="G5" s="21" t="str">
        <f ca="1">IFERROR(__xludf.DUMMYFUNCTION("""COMPUTED_VALUE"""),"Asset Class")</f>
        <v>Asset Class</v>
      </c>
      <c r="H5" s="21" t="str">
        <f ca="1">IFERROR(__xludf.DUMMYFUNCTION("""COMPUTED_VALUE"""),"Symbol")</f>
        <v>Symbol</v>
      </c>
      <c r="I5" s="21" t="str">
        <f ca="1">IFERROR(__xludf.DUMMYFUNCTION("""COMPUTED_VALUE"""),"Qty Closed")</f>
        <v>Qty Closed</v>
      </c>
      <c r="J5" s="21" t="str">
        <f ca="1">IFERROR(__xludf.DUMMYFUNCTION("""COMPUTED_VALUE"""),"Opening Price")</f>
        <v>Opening Price</v>
      </c>
      <c r="K5" s="21" t="str">
        <f ca="1">IFERROR(__xludf.DUMMYFUNCTION("""COMPUTED_VALUE"""),"Closing Price")</f>
        <v>Closing Price</v>
      </c>
      <c r="L5" s="21" t="str">
        <f ca="1">IFERROR(__xludf.DUMMYFUNCTION("""COMPUTED_VALUE"""),"ClosingTotalCommissionandFees")</f>
        <v>ClosingTotalCommissionandFees</v>
      </c>
      <c r="M5" s="21" t="str">
        <f ca="1">IFERROR(__xludf.DUMMYFUNCTION("""COMPUTED_VALUE"""),"Realized PNL(C.B.)")</f>
        <v>Realized PNL(C.B.)</v>
      </c>
      <c r="N5" s="21" t="str">
        <f ca="1">IFERROR(__xludf.DUMMYFUNCTION("""COMPUTED_VALUE"""),"Exchange")</f>
        <v>Exchange</v>
      </c>
      <c r="O5" s="21" t="str">
        <f ca="1">IFERROR(__xludf.DUMMYFUNCTION("""COMPUTED_VALUE"""),"Opening Side")</f>
        <v>Opening Side</v>
      </c>
      <c r="P5" s="21" t="str">
        <f ca="1">IFERROR(__xludf.DUMMYFUNCTION("""COMPUTED_VALUE"""),"Opening Fees &amp; Commission")</f>
        <v>Opening Fees &amp; Commission</v>
      </c>
      <c r="Q5" s="21" t="str">
        <f ca="1">IFERROR(__xludf.DUMMYFUNCTION("""COMPUTED_VALUE"""),"Closing Side")</f>
        <v>Closing Side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IFERROR(__xludf.DUMMYFUNCTION("""COMPUTED_VALUE"""),"ClosingID")</f>
        <v>ClosingID</v>
      </c>
      <c r="T5" s="23" t="str">
        <f ca="1">IFERROR(__xludf.DUMMYFUNCTION("""COMPUTED_VALUE"""),"Original Purchase Date")</f>
        <v>Original Purchase Date</v>
      </c>
      <c r="U5" s="23" t="str">
        <f ca="1">IFERROR(__xludf.DUMMYFUNCTION("""COMPUTED_VALUE"""),"Description")</f>
        <v>Description</v>
      </c>
      <c r="V5" s="23" t="str">
        <f ca="1">IFERROR(__xludf.DUMMYFUNCTION("""COMPUTED_VALUE"""),"AccountID")</f>
        <v>AccountID</v>
      </c>
      <c r="W5" s="23" t="str">
        <f ca="1">IFERROR(__xludf.DUMMYFUNCTION("""COMPUTED_VALUE"""),"IsExpired_Settled")</f>
        <v>IsExpired_Settled</v>
      </c>
      <c r="X5" s="23" t="str">
        <f ca="1">IFERROR(__xludf.DUMMYFUNCTION("""COMPUTED_VALUE"""),"Underlying")</f>
        <v>Underlying</v>
      </c>
      <c r="Y5" s="23" t="str">
        <f ca="1">IFERROR(__xludf.DUMMYFUNCTION("""COMPUTED_VALUE"""),"CurrencyID")</f>
        <v>CurrencyID</v>
      </c>
      <c r="Z5" s="23" t="str">
        <f ca="1">IFERROR(__xludf.DUMMYFUNCTION("""COMPUTED_VALUE"""),"Currency")</f>
        <v>Currency</v>
      </c>
      <c r="AA5" s="23" t="str">
        <f ca="1">IFERROR(__xludf.DUMMYFUNCTION("""COMPUTED_VALUE"""),"AUECID")</f>
        <v>AUECID</v>
      </c>
      <c r="AB5" s="23" t="str">
        <f ca="1">IFERROR(__xludf.DUMMYFUNCTION("""COMPUTED_VALUE"""),"NotionalValue")</f>
        <v>NotionalValue</v>
      </c>
      <c r="AC5" s="23" t="str">
        <f ca="1">IFERROR(__xludf.DUMMYFUNCTION("""COMPUTED_VALUE"""),"Multiplier")</f>
        <v>Multiplier</v>
      </c>
      <c r="AD5" s="23" t="str">
        <f ca="1">IFERROR(__xludf.DUMMYFUNCTION("""COMPUTED_VALUE"""),"TimeOfSaveUTC")</f>
        <v>TimeOfSaveUTC</v>
      </c>
      <c r="AE5" s="23" t="str">
        <f ca="1">IFERROR(__xludf.DUMMYFUNCTION("""COMPUTED_VALUE"""),"Closing Position Type")</f>
        <v>Closing Position Type</v>
      </c>
      <c r="AF5" s="23" t="str">
        <f ca="1">IFERROR(__xludf.DUMMYFUNCTION("""COMPUTED_VALUE"""),"Closing Mode")</f>
        <v>Closing Mode</v>
      </c>
      <c r="AG5" s="23" t="str">
        <f ca="1">IFERROR(__xludf.DUMMYFUNCTION("""COMPUTED_VALUE"""),"StrategyID")</f>
        <v>StrategyID</v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3"/>
      <c r="B6" s="3"/>
      <c r="C6" s="25">
        <v>41354</v>
      </c>
      <c r="D6" s="3" t="s">
        <v>18</v>
      </c>
      <c r="E6" s="24"/>
      <c r="F6" s="1"/>
      <c r="G6" s="1"/>
      <c r="H6" s="3" t="s">
        <v>16</v>
      </c>
      <c r="I6" s="3">
        <v>100</v>
      </c>
      <c r="J6" s="3">
        <v>41</v>
      </c>
      <c r="K6" s="3">
        <v>40</v>
      </c>
      <c r="L6" s="1"/>
      <c r="M6" s="1"/>
      <c r="N6" s="1"/>
      <c r="O6" s="1"/>
      <c r="R6" s="27" t="s">
        <v>24</v>
      </c>
    </row>
    <row r="7" spans="1:154" ht="15.75" customHeight="1" x14ac:dyDescent="0.2">
      <c r="A7" s="1"/>
      <c r="B7" s="1"/>
      <c r="C7" s="25">
        <v>41354</v>
      </c>
      <c r="D7" s="3" t="s">
        <v>18</v>
      </c>
      <c r="E7" s="1"/>
      <c r="F7" s="1"/>
      <c r="G7" s="1"/>
      <c r="H7" s="3" t="s">
        <v>16</v>
      </c>
      <c r="I7" s="3">
        <v>100</v>
      </c>
      <c r="J7" s="3">
        <v>40</v>
      </c>
      <c r="K7" s="3">
        <v>40</v>
      </c>
      <c r="L7" s="1"/>
      <c r="M7" s="1"/>
      <c r="N7" s="1"/>
      <c r="O7" s="1"/>
      <c r="R7" s="27" t="s">
        <v>24</v>
      </c>
    </row>
    <row r="8" spans="1:154" ht="15.75" customHeight="1" x14ac:dyDescent="0.2">
      <c r="A8" s="1"/>
      <c r="B8" s="1"/>
      <c r="C8" s="25">
        <v>41424</v>
      </c>
      <c r="D8" s="3" t="s">
        <v>18</v>
      </c>
      <c r="E8" s="1"/>
      <c r="F8" s="1"/>
      <c r="G8" s="1"/>
      <c r="H8" s="3" t="s">
        <v>16</v>
      </c>
      <c r="I8" s="3">
        <v>100</v>
      </c>
      <c r="J8" s="3">
        <v>35</v>
      </c>
      <c r="K8" s="3">
        <v>30</v>
      </c>
      <c r="L8" s="1"/>
      <c r="M8" s="1"/>
      <c r="N8" s="1"/>
      <c r="O8" s="1"/>
      <c r="R8" s="27" t="s">
        <v>24</v>
      </c>
    </row>
    <row r="9" spans="1:154" ht="15.75" customHeight="1" x14ac:dyDescent="0.2">
      <c r="A9" s="1"/>
      <c r="B9" s="1"/>
      <c r="C9" s="25">
        <v>41424</v>
      </c>
      <c r="D9" s="3" t="s">
        <v>18</v>
      </c>
      <c r="E9" s="1"/>
      <c r="F9" s="1"/>
      <c r="G9" s="1"/>
      <c r="H9" s="3" t="s">
        <v>16</v>
      </c>
      <c r="I9" s="3">
        <v>100</v>
      </c>
      <c r="J9" s="3">
        <v>20</v>
      </c>
      <c r="K9" s="3">
        <v>30</v>
      </c>
      <c r="L9" s="1"/>
      <c r="M9" s="1"/>
      <c r="N9" s="1"/>
      <c r="O9" s="1"/>
      <c r="R9" s="27" t="s">
        <v>24</v>
      </c>
    </row>
    <row r="10" spans="1:154" ht="15.75" customHeight="1" x14ac:dyDescent="0.2">
      <c r="A10" s="1"/>
      <c r="B10" s="1"/>
      <c r="C10" s="25">
        <v>41425</v>
      </c>
      <c r="D10" s="3" t="s">
        <v>18</v>
      </c>
      <c r="E10" s="1"/>
      <c r="F10" s="1"/>
      <c r="G10" s="1"/>
      <c r="H10" s="3" t="s">
        <v>16</v>
      </c>
      <c r="I10" s="3">
        <v>100</v>
      </c>
      <c r="J10" s="3">
        <v>50</v>
      </c>
      <c r="K10" s="3">
        <v>40</v>
      </c>
      <c r="L10" s="1"/>
      <c r="M10" s="1"/>
      <c r="N10" s="1"/>
      <c r="O10" s="1"/>
      <c r="R10" s="27" t="s">
        <v>24</v>
      </c>
    </row>
    <row r="11" spans="1:154" ht="15.75" customHeight="1" x14ac:dyDescent="0.2">
      <c r="A11" s="1"/>
      <c r="B11" s="1"/>
      <c r="C11" s="25">
        <v>41425</v>
      </c>
      <c r="D11" s="3" t="s">
        <v>18</v>
      </c>
      <c r="E11" s="1"/>
      <c r="F11" s="1"/>
      <c r="G11" s="1"/>
      <c r="H11" s="3" t="s">
        <v>16</v>
      </c>
      <c r="I11" s="3">
        <v>100</v>
      </c>
      <c r="J11" s="3">
        <v>40</v>
      </c>
      <c r="K11" s="3">
        <v>40</v>
      </c>
      <c r="L11" s="1"/>
      <c r="M11" s="1"/>
      <c r="N11" s="1"/>
      <c r="O11" s="1"/>
      <c r="R11" s="27" t="s">
        <v>24</v>
      </c>
    </row>
    <row r="12" spans="1:154" ht="15.75" customHeight="1" x14ac:dyDescent="0.2">
      <c r="A12" s="1"/>
      <c r="B12" s="1"/>
      <c r="C12" s="25">
        <v>41425</v>
      </c>
      <c r="D12" s="3" t="s">
        <v>18</v>
      </c>
      <c r="E12" s="1"/>
      <c r="F12" s="1"/>
      <c r="G12" s="1"/>
      <c r="H12" s="3" t="s">
        <v>16</v>
      </c>
      <c r="I12" s="3">
        <v>100</v>
      </c>
      <c r="J12" s="3">
        <v>40</v>
      </c>
      <c r="K12" s="3">
        <v>40</v>
      </c>
      <c r="L12" s="1"/>
      <c r="M12" s="1"/>
      <c r="N12" s="1"/>
      <c r="O12" s="1"/>
      <c r="R12" s="27" t="s">
        <v>24</v>
      </c>
    </row>
    <row r="13" spans="1:154" ht="15.75" customHeight="1" x14ac:dyDescent="0.2">
      <c r="A13" s="1"/>
      <c r="B13" s="1"/>
      <c r="C13" s="25">
        <v>41425</v>
      </c>
      <c r="D13" s="3" t="s">
        <v>18</v>
      </c>
      <c r="E13" s="1"/>
      <c r="F13" s="1"/>
      <c r="G13" s="1"/>
      <c r="H13" s="3" t="s">
        <v>16</v>
      </c>
      <c r="I13" s="3">
        <v>100</v>
      </c>
      <c r="J13" s="3">
        <v>25</v>
      </c>
      <c r="K13" s="3">
        <v>40</v>
      </c>
      <c r="L13" s="1"/>
      <c r="M13" s="1"/>
      <c r="N13" s="1"/>
      <c r="O13" s="1"/>
      <c r="R13" s="27" t="s">
        <v>24</v>
      </c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0"/>
      <c r="B1" s="43" t="s">
        <v>9</v>
      </c>
      <c r="C1" s="44"/>
      <c r="D1" s="44"/>
      <c r="E1" s="44"/>
      <c r="F1" s="44"/>
      <c r="G1" s="44"/>
      <c r="H1" s="45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2" t="e">
        <f ca="1">VLOOKUP($E$3,_MasterData!B4:D1000,3,FALSE)</f>
        <v>#N/A</v>
      </c>
      <c r="K2" s="12"/>
      <c r="L2" s="1"/>
      <c r="M2" s="1"/>
      <c r="N2" s="1"/>
      <c r="O2" s="1"/>
    </row>
    <row r="3" spans="1:154" ht="15.75" customHeight="1" x14ac:dyDescent="0.2">
      <c r="A3" s="13"/>
      <c r="B3" s="2" t="s">
        <v>6</v>
      </c>
      <c r="C3" s="14" t="s">
        <v>20</v>
      </c>
      <c r="D3" s="2" t="s">
        <v>7</v>
      </c>
      <c r="E3" s="14" t="s">
        <v>28</v>
      </c>
      <c r="F3" s="2" t="s">
        <v>12</v>
      </c>
      <c r="G3" s="5" t="s">
        <v>13</v>
      </c>
      <c r="H3" s="2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spans="1:154" ht="15.75" customHeight="1" x14ac:dyDescent="0.2">
      <c r="A4" s="16"/>
      <c r="B4" s="16" t="str">
        <f ca="1">IFERROR(__xludf.DUMMYFUNCTION("IF(C3="""","""",Transpose(IMPORTRANGE('_Settings'!$B$3,C3&amp;""!A4:A1000"")))"),"SwapExpire")</f>
        <v>SwapExpire</v>
      </c>
      <c r="C4" s="16" t="str">
        <f ca="1">IFERROR(__xludf.DUMMYFUNCTION("""COMPUTED_VALUE"""),"GetDataClosing")</f>
        <v>GetDataClosing</v>
      </c>
      <c r="D4" s="16" t="str">
        <f ca="1">IFERROR(__xludf.DUMMYFUNCTION("""COMPUTED_VALUE"""),"ManualClosing")</f>
        <v>ManualClosing</v>
      </c>
      <c r="E4" s="16" t="str">
        <f ca="1">IFERROR(__xludf.DUMMYFUNCTION("""COMPUTED_VALUE"""),"AutomaticClosing")</f>
        <v>AutomaticClosing</v>
      </c>
      <c r="F4" s="16" t="str">
        <f ca="1">IFERROR(__xludf.DUMMYFUNCTION("""COMPUTED_VALUE"""),"UnwindClosing")</f>
        <v>UnwindClosing</v>
      </c>
      <c r="G4" s="16" t="str">
        <f ca="1">IFERROR(__xludf.DUMMYFUNCTION("""COMPUTED_VALUE"""),"VerifyClosedTrades")</f>
        <v>VerifyClosedTrades</v>
      </c>
      <c r="H4" s="16" t="str">
        <f ca="1">IFERROR(__xludf.DUMMYFUNCTION("""COMPUTED_VALUE"""),"VerifyLongPositionsGrid")</f>
        <v>VerifyLongPositionsGrid</v>
      </c>
      <c r="I4" s="16" t="str">
        <f ca="1">IFERROR(__xludf.DUMMYFUNCTION("""COMPUTED_VALUE"""),"VerifyShortPositionsGrid")</f>
        <v>VerifyShortPositionsGrid</v>
      </c>
      <c r="J4" s="16" t="str">
        <f ca="1">IFERROR(__xludf.DUMMYFUNCTION("""COMPUTED_VALUE"""),"SelectTradeUnexpiredUnsettled")</f>
        <v>SelectTradeUnexpiredUnsettled</v>
      </c>
      <c r="K4" s="16" t="str">
        <f ca="1">IFERROR(__xludf.DUMMYFUNCTION("""COMPUTED_VALUE"""),"CashSettlementAtCost")</f>
        <v>CashSettlementAtCost</v>
      </c>
      <c r="L4" s="16" t="str">
        <f ca="1">IFERROR(__xludf.DUMMYFUNCTION("""COMPUTED_VALUE"""),"CashSettlementAtZeroPrice")</f>
        <v>CashSettlementAtZeroPrice</v>
      </c>
      <c r="M4" s="16" t="str">
        <f ca="1">IFERROR(__xludf.DUMMYFUNCTION("""COMPUTED_VALUE"""),"CashSettlementAtClosingDtSpotPx")</f>
        <v>CashSettlementAtClosingDtSpotPx</v>
      </c>
      <c r="N4" s="16" t="str">
        <f ca="1">IFERROR(__xludf.DUMMYFUNCTION("""COMPUTED_VALUE"""),"PhysicalSettlement")</f>
        <v>PhysicalSettlement</v>
      </c>
      <c r="O4" s="16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IFERROR(__xludf.DUMMYFUNCTION("""COMPUTED_VALUE"""),"Taxlot ID")</f>
        <v>Taxlot ID</v>
      </c>
      <c r="C5" s="21" t="str">
        <f ca="1">IFERROR(__xludf.DUMMYFUNCTION("""COMPUTED_VALUE"""),"Closing Date")</f>
        <v>Closing Date</v>
      </c>
      <c r="D5" s="21" t="str">
        <f ca="1">IFERROR(__xludf.DUMMYFUNCTION("""COMPUTED_VALUE"""),"Account")</f>
        <v>Account</v>
      </c>
      <c r="E5" s="21" t="str">
        <f ca="1">IFERROR(__xludf.DUMMYFUNCTION("""COMPUTED_VALUE"""),"Strategy")</f>
        <v>Strategy</v>
      </c>
      <c r="F5" s="22" t="str">
        <f ca="1">IFERROR(__xludf.DUMMYFUNCTION("""COMPUTED_VALUE"""),"Position Type")</f>
        <v>Position Type</v>
      </c>
      <c r="G5" s="21" t="str">
        <f ca="1">IFERROR(__xludf.DUMMYFUNCTION("""COMPUTED_VALUE"""),"Asset Class")</f>
        <v>Asset Class</v>
      </c>
      <c r="H5" s="21" t="str">
        <f ca="1">IFERROR(__xludf.DUMMYFUNCTION("""COMPUTED_VALUE"""),"Symbol")</f>
        <v>Symbol</v>
      </c>
      <c r="I5" s="21" t="str">
        <f ca="1">IFERROR(__xludf.DUMMYFUNCTION("""COMPUTED_VALUE"""),"Qty Closed")</f>
        <v>Qty Closed</v>
      </c>
      <c r="J5" s="21" t="str">
        <f ca="1">IFERROR(__xludf.DUMMYFUNCTION("""COMPUTED_VALUE"""),"Opening Price")</f>
        <v>Opening Price</v>
      </c>
      <c r="K5" s="21" t="str">
        <f ca="1">IFERROR(__xludf.DUMMYFUNCTION("""COMPUTED_VALUE"""),"Closing Price")</f>
        <v>Closing Price</v>
      </c>
      <c r="L5" s="21" t="str">
        <f ca="1">IFERROR(__xludf.DUMMYFUNCTION("""COMPUTED_VALUE"""),"ClosingTotalCommissionandFees")</f>
        <v>ClosingTotalCommissionandFees</v>
      </c>
      <c r="M5" s="21" t="str">
        <f ca="1">IFERROR(__xludf.DUMMYFUNCTION("""COMPUTED_VALUE"""),"Realized PNL(C.B.)")</f>
        <v>Realized PNL(C.B.)</v>
      </c>
      <c r="N5" s="21" t="str">
        <f ca="1">IFERROR(__xludf.DUMMYFUNCTION("""COMPUTED_VALUE"""),"Exchange")</f>
        <v>Exchange</v>
      </c>
      <c r="O5" s="21" t="str">
        <f ca="1">IFERROR(__xludf.DUMMYFUNCTION("""COMPUTED_VALUE"""),"Opening Side")</f>
        <v>Opening Side</v>
      </c>
      <c r="P5" s="21" t="str">
        <f ca="1">IFERROR(__xludf.DUMMYFUNCTION("""COMPUTED_VALUE"""),"Opening Fees &amp; Commission")</f>
        <v>Opening Fees &amp; Commission</v>
      </c>
      <c r="Q5" s="21" t="str">
        <f ca="1">IFERROR(__xludf.DUMMYFUNCTION("""COMPUTED_VALUE"""),"Closing Side")</f>
        <v>Closing Side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IFERROR(__xludf.DUMMYFUNCTION("""COMPUTED_VALUE"""),"ClosingID")</f>
        <v>ClosingID</v>
      </c>
      <c r="T5" s="23" t="str">
        <f ca="1">IFERROR(__xludf.DUMMYFUNCTION("""COMPUTED_VALUE"""),"Original Purchase Date")</f>
        <v>Original Purchase Date</v>
      </c>
      <c r="U5" s="23" t="str">
        <f ca="1">IFERROR(__xludf.DUMMYFUNCTION("""COMPUTED_VALUE"""),"Description")</f>
        <v>Description</v>
      </c>
      <c r="V5" s="23" t="str">
        <f ca="1">IFERROR(__xludf.DUMMYFUNCTION("""COMPUTED_VALUE"""),"AccountID")</f>
        <v>AccountID</v>
      </c>
      <c r="W5" s="23" t="str">
        <f ca="1">IFERROR(__xludf.DUMMYFUNCTION("""COMPUTED_VALUE"""),"IsExpired_Settled")</f>
        <v>IsExpired_Settled</v>
      </c>
      <c r="X5" s="23" t="str">
        <f ca="1">IFERROR(__xludf.DUMMYFUNCTION("""COMPUTED_VALUE"""),"Underlying")</f>
        <v>Underlying</v>
      </c>
      <c r="Y5" s="23" t="str">
        <f ca="1">IFERROR(__xludf.DUMMYFUNCTION("""COMPUTED_VALUE"""),"CurrencyID")</f>
        <v>CurrencyID</v>
      </c>
      <c r="Z5" s="23" t="str">
        <f ca="1">IFERROR(__xludf.DUMMYFUNCTION("""COMPUTED_VALUE"""),"Currency")</f>
        <v>Currency</v>
      </c>
      <c r="AA5" s="23" t="str">
        <f ca="1">IFERROR(__xludf.DUMMYFUNCTION("""COMPUTED_VALUE"""),"AUECID")</f>
        <v>AUECID</v>
      </c>
      <c r="AB5" s="23" t="str">
        <f ca="1">IFERROR(__xludf.DUMMYFUNCTION("""COMPUTED_VALUE"""),"NotionalValue")</f>
        <v>NotionalValue</v>
      </c>
      <c r="AC5" s="23" t="str">
        <f ca="1">IFERROR(__xludf.DUMMYFUNCTION("""COMPUTED_VALUE"""),"Multiplier")</f>
        <v>Multiplier</v>
      </c>
      <c r="AD5" s="23" t="str">
        <f ca="1">IFERROR(__xludf.DUMMYFUNCTION("""COMPUTED_VALUE"""),"TimeOfSaveUTC")</f>
        <v>TimeOfSaveUTC</v>
      </c>
      <c r="AE5" s="23" t="str">
        <f ca="1">IFERROR(__xludf.DUMMYFUNCTION("""COMPUTED_VALUE"""),"Closing Position Type")</f>
        <v>Closing Position Type</v>
      </c>
      <c r="AF5" s="23" t="str">
        <f ca="1">IFERROR(__xludf.DUMMYFUNCTION("""COMPUTED_VALUE"""),"Closing Mode")</f>
        <v>Closing Mode</v>
      </c>
      <c r="AG5" s="23" t="str">
        <f ca="1">IFERROR(__xludf.DUMMYFUNCTION("""COMPUTED_VALUE"""),"StrategyID")</f>
        <v>StrategyID</v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3"/>
      <c r="B6" s="3"/>
      <c r="C6" s="25">
        <v>41354</v>
      </c>
      <c r="D6" s="3" t="s">
        <v>18</v>
      </c>
      <c r="E6" s="24"/>
      <c r="F6" s="1"/>
      <c r="G6" s="1"/>
      <c r="H6" s="3" t="s">
        <v>16</v>
      </c>
      <c r="I6" s="3">
        <v>100</v>
      </c>
      <c r="J6" s="3">
        <v>41</v>
      </c>
      <c r="K6" s="3">
        <v>40</v>
      </c>
      <c r="L6" s="1"/>
      <c r="M6" s="1"/>
      <c r="N6" s="1"/>
      <c r="O6" s="3" t="s">
        <v>29</v>
      </c>
      <c r="Q6" s="27" t="s">
        <v>19</v>
      </c>
      <c r="R6" s="27" t="s">
        <v>24</v>
      </c>
      <c r="T6" s="28">
        <v>40922</v>
      </c>
    </row>
    <row r="7" spans="1:154" ht="15.75" customHeight="1" x14ac:dyDescent="0.2">
      <c r="A7" s="1"/>
      <c r="B7" s="1"/>
      <c r="C7" s="25">
        <v>41354</v>
      </c>
      <c r="D7" s="3" t="s">
        <v>18</v>
      </c>
      <c r="E7" s="1"/>
      <c r="F7" s="1"/>
      <c r="G7" s="1"/>
      <c r="H7" s="3" t="s">
        <v>16</v>
      </c>
      <c r="I7" s="3">
        <v>100</v>
      </c>
      <c r="J7" s="3">
        <v>40</v>
      </c>
      <c r="K7" s="3">
        <v>40</v>
      </c>
      <c r="L7" s="1"/>
      <c r="M7" s="1"/>
      <c r="N7" s="1"/>
      <c r="O7" s="3" t="s">
        <v>29</v>
      </c>
      <c r="Q7" s="27" t="s">
        <v>19</v>
      </c>
      <c r="R7" s="27" t="s">
        <v>24</v>
      </c>
      <c r="T7" s="28">
        <v>40929</v>
      </c>
    </row>
    <row r="8" spans="1:154" ht="15.75" customHeight="1" x14ac:dyDescent="0.2">
      <c r="A8" s="1"/>
      <c r="B8" s="1"/>
      <c r="C8" s="25">
        <v>41424</v>
      </c>
      <c r="D8" s="3" t="s">
        <v>18</v>
      </c>
      <c r="E8" s="1"/>
      <c r="F8" s="1"/>
      <c r="G8" s="1"/>
      <c r="H8" s="3" t="s">
        <v>16</v>
      </c>
      <c r="I8" s="3">
        <v>100</v>
      </c>
      <c r="J8" s="3">
        <v>35</v>
      </c>
      <c r="K8" s="3">
        <v>30</v>
      </c>
      <c r="L8" s="1"/>
      <c r="M8" s="1"/>
      <c r="N8" s="1"/>
      <c r="O8" s="3" t="s">
        <v>29</v>
      </c>
      <c r="Q8" s="27" t="s">
        <v>19</v>
      </c>
      <c r="R8" s="27" t="s">
        <v>24</v>
      </c>
      <c r="T8" s="28">
        <v>40921</v>
      </c>
    </row>
    <row r="9" spans="1:154" ht="15.75" customHeight="1" x14ac:dyDescent="0.2">
      <c r="A9" s="1"/>
      <c r="B9" s="1"/>
      <c r="C9" s="25">
        <v>41424</v>
      </c>
      <c r="D9" s="3" t="s">
        <v>18</v>
      </c>
      <c r="E9" s="1"/>
      <c r="F9" s="1"/>
      <c r="G9" s="1"/>
      <c r="H9" s="3" t="s">
        <v>16</v>
      </c>
      <c r="I9" s="3">
        <v>100</v>
      </c>
      <c r="J9" s="3">
        <v>20</v>
      </c>
      <c r="K9" s="3">
        <v>30</v>
      </c>
      <c r="L9" s="1"/>
      <c r="M9" s="1"/>
      <c r="N9" s="1"/>
      <c r="O9" s="3" t="s">
        <v>29</v>
      </c>
      <c r="Q9" s="27" t="s">
        <v>19</v>
      </c>
      <c r="R9" s="27" t="s">
        <v>24</v>
      </c>
      <c r="T9" s="28">
        <v>40920</v>
      </c>
    </row>
    <row r="10" spans="1:154" ht="15.75" customHeight="1" x14ac:dyDescent="0.2">
      <c r="A10" s="1"/>
      <c r="B10" s="1"/>
      <c r="C10" s="25">
        <v>41425</v>
      </c>
      <c r="D10" s="3" t="s">
        <v>18</v>
      </c>
      <c r="E10" s="1"/>
      <c r="F10" s="1"/>
      <c r="G10" s="1"/>
      <c r="H10" s="3" t="s">
        <v>16</v>
      </c>
      <c r="I10" s="3">
        <v>100</v>
      </c>
      <c r="J10" s="3">
        <v>50</v>
      </c>
      <c r="K10" s="3">
        <v>40</v>
      </c>
      <c r="L10" s="1"/>
      <c r="M10" s="1"/>
      <c r="N10" s="1"/>
      <c r="O10" s="3" t="s">
        <v>29</v>
      </c>
      <c r="Q10" s="27" t="s">
        <v>19</v>
      </c>
      <c r="R10" s="27" t="s">
        <v>24</v>
      </c>
      <c r="T10" s="28">
        <v>41290</v>
      </c>
    </row>
    <row r="11" spans="1:154" ht="15.75" customHeight="1" x14ac:dyDescent="0.2">
      <c r="A11" s="1"/>
      <c r="B11" s="1"/>
      <c r="C11" s="25">
        <v>41425</v>
      </c>
      <c r="D11" s="3" t="s">
        <v>18</v>
      </c>
      <c r="E11" s="1"/>
      <c r="F11" s="1"/>
      <c r="G11" s="1"/>
      <c r="H11" s="3" t="s">
        <v>16</v>
      </c>
      <c r="I11" s="3">
        <v>100</v>
      </c>
      <c r="J11" s="3">
        <v>40</v>
      </c>
      <c r="K11" s="3">
        <v>40</v>
      </c>
      <c r="L11" s="1"/>
      <c r="M11" s="1"/>
      <c r="N11" s="1"/>
      <c r="O11" s="3" t="s">
        <v>29</v>
      </c>
      <c r="Q11" s="27" t="s">
        <v>19</v>
      </c>
      <c r="R11" s="27" t="s">
        <v>24</v>
      </c>
      <c r="T11" s="28">
        <v>41289</v>
      </c>
    </row>
    <row r="12" spans="1:154" ht="15.75" customHeight="1" x14ac:dyDescent="0.2">
      <c r="A12" s="1"/>
      <c r="B12" s="1"/>
      <c r="C12" s="25">
        <v>41425</v>
      </c>
      <c r="D12" s="3" t="s">
        <v>18</v>
      </c>
      <c r="E12" s="1"/>
      <c r="F12" s="1"/>
      <c r="G12" s="1"/>
      <c r="H12" s="3" t="s">
        <v>16</v>
      </c>
      <c r="I12" s="3">
        <v>100</v>
      </c>
      <c r="J12" s="3">
        <v>40</v>
      </c>
      <c r="K12" s="3">
        <v>40</v>
      </c>
      <c r="L12" s="1"/>
      <c r="M12" s="1"/>
      <c r="N12" s="1"/>
      <c r="O12" s="3" t="s">
        <v>29</v>
      </c>
      <c r="Q12" s="27" t="s">
        <v>19</v>
      </c>
      <c r="R12" s="27" t="s">
        <v>24</v>
      </c>
      <c r="T12" s="28">
        <v>41295</v>
      </c>
    </row>
    <row r="13" spans="1:154" ht="15.75" customHeight="1" x14ac:dyDescent="0.2">
      <c r="A13" s="1"/>
      <c r="B13" s="1"/>
      <c r="C13" s="25">
        <v>41425</v>
      </c>
      <c r="D13" s="3" t="s">
        <v>18</v>
      </c>
      <c r="E13" s="1"/>
      <c r="F13" s="1"/>
      <c r="G13" s="1"/>
      <c r="H13" s="3" t="s">
        <v>16</v>
      </c>
      <c r="I13" s="3">
        <v>100</v>
      </c>
      <c r="J13" s="3">
        <v>25</v>
      </c>
      <c r="K13" s="3">
        <v>40</v>
      </c>
      <c r="L13" s="1"/>
      <c r="M13" s="1"/>
      <c r="N13" s="1"/>
      <c r="O13" s="3" t="s">
        <v>29</v>
      </c>
      <c r="Q13" s="27" t="s">
        <v>19</v>
      </c>
      <c r="R13" s="27" t="s">
        <v>24</v>
      </c>
      <c r="T13" s="28">
        <v>41289</v>
      </c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3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0"/>
      <c r="B1" s="43" t="s">
        <v>9</v>
      </c>
      <c r="C1" s="44"/>
      <c r="D1" s="44"/>
      <c r="E1" s="44"/>
      <c r="F1" s="44"/>
      <c r="G1" s="44"/>
      <c r="H1" s="45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2" t="e">
        <f ca="1">VLOOKUP($E$3,_MasterData!B4:D1000,3,FALSE)</f>
        <v>#N/A</v>
      </c>
      <c r="K2" s="12"/>
      <c r="L2" s="1"/>
      <c r="M2" s="1"/>
      <c r="N2" s="1"/>
      <c r="O2" s="1"/>
    </row>
    <row r="3" spans="1:154" ht="15.75" customHeight="1" x14ac:dyDescent="0.2">
      <c r="A3" s="13"/>
      <c r="B3" s="2" t="s">
        <v>6</v>
      </c>
      <c r="C3" s="14" t="s">
        <v>30</v>
      </c>
      <c r="D3" s="2" t="s">
        <v>7</v>
      </c>
      <c r="E3" s="14" t="s">
        <v>31</v>
      </c>
      <c r="F3" s="2" t="s">
        <v>12</v>
      </c>
      <c r="G3" s="5" t="s">
        <v>13</v>
      </c>
      <c r="H3" s="2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spans="1:154" ht="15.75" customHeight="1" x14ac:dyDescent="0.2">
      <c r="A4" s="16"/>
      <c r="B4" s="16" t="str">
        <f ca="1">IFERROR(__xludf.DUMMYFUNCTION("IF(C3="""","""",Transpose(IMPORTRANGE('_Settings'!$B$3,C3&amp;""!A4:A1000"")))"),"Allocate")</f>
        <v>Allocate</v>
      </c>
      <c r="C4" s="16" t="str">
        <f ca="1">IFERROR(__xludf.DUMMYFUNCTION("""COMPUTED_VALUE"""),"CheckAllocatedGroups")</f>
        <v>CheckAllocatedGroups</v>
      </c>
      <c r="D4" s="16" t="str">
        <f ca="1">IFERROR(__xludf.DUMMYFUNCTION("""COMPUTED_VALUE"""),"Unallocate")</f>
        <v>Unallocate</v>
      </c>
      <c r="E4" s="16" t="str">
        <f ca="1">IFERROR(__xludf.DUMMYFUNCTION("""COMPUTED_VALUE"""),"GetDataAllocation")</f>
        <v>GetDataAllocation</v>
      </c>
      <c r="F4" s="16" t="str">
        <f ca="1">IFERROR(__xludf.DUMMYFUNCTION("""COMPUTED_VALUE"""),"SelectAllocatedGroup")</f>
        <v>SelectAllocatedGroup</v>
      </c>
      <c r="G4" s="16" t="str">
        <f ca="1">IFERROR(__xludf.DUMMYFUNCTION("""COMPUTED_VALUE"""),"EditTradesAllocated")</f>
        <v>EditTradesAllocated</v>
      </c>
      <c r="H4" s="16" t="str">
        <f ca="1">IFERROR(__xludf.DUMMYFUNCTION("""COMPUTED_VALUE"""),"EditTradesUnallocated")</f>
        <v>EditTradesUnallocated</v>
      </c>
      <c r="I4" s="16" t="str">
        <f ca="1">IFERROR(__xludf.DUMMYFUNCTION("""COMPUTED_VALUE"""),"Reallocate")</f>
        <v>Reallocate</v>
      </c>
      <c r="J4" s="16" t="str">
        <f ca="1">IFERROR(__xludf.DUMMYFUNCTION("""COMPUTED_VALUE"""),"EditUnallocatedGroupSidePanel")</f>
        <v>EditUnallocatedGroupSidePanel</v>
      </c>
      <c r="K4" s="16" t="str">
        <f ca="1">IFERROR(__xludf.DUMMYFUNCTION("""COMPUTED_VALUE"""),"TradeAttributeBulkChange")</f>
        <v>TradeAttributeBulkChange</v>
      </c>
      <c r="L4" s="16" t="str">
        <f ca="1">IFERROR(__xludf.DUMMYFUNCTION("""COMPUTED_VALUE"""),"ApplyBulkUpdateOnGroups")</f>
        <v>ApplyBulkUpdateOnGroups</v>
      </c>
      <c r="M4" s="16" t="str">
        <f ca="1">IFERROR(__xludf.DUMMYFUNCTION("""COMPUTED_VALUE"""),"ApplyPrefetchFilters")</f>
        <v>ApplyPrefetchFilters</v>
      </c>
      <c r="N4" s="16" t="str">
        <f ca="1">IFERROR(__xludf.DUMMYFUNCTION("""COMPUTED_VALUE"""),"GeneralPreferencesDefaultRule")</f>
        <v>GeneralPreferencesDefaultRule</v>
      </c>
      <c r="O4" s="16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3"/>
      <c r="B6" s="29" t="s">
        <v>22</v>
      </c>
      <c r="C6" s="30">
        <v>40909</v>
      </c>
      <c r="D6" s="30">
        <v>41640</v>
      </c>
      <c r="E6" s="24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0"/>
      <c r="B1" s="43" t="s">
        <v>9</v>
      </c>
      <c r="C1" s="44"/>
      <c r="D1" s="44"/>
      <c r="E1" s="44"/>
      <c r="F1" s="44"/>
      <c r="G1" s="44"/>
      <c r="H1" s="45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2" t="e">
        <f ca="1">VLOOKUP($E$3,_MasterData!B4:D1000,3,FALSE)</f>
        <v>#N/A</v>
      </c>
      <c r="K2" s="12"/>
      <c r="L2" s="1"/>
      <c r="M2" s="1"/>
      <c r="N2" s="1"/>
      <c r="O2" s="1"/>
    </row>
    <row r="3" spans="1:154" ht="15.75" customHeight="1" x14ac:dyDescent="0.2">
      <c r="A3" s="13"/>
      <c r="B3" s="2" t="s">
        <v>6</v>
      </c>
      <c r="C3" s="14" t="s">
        <v>30</v>
      </c>
      <c r="D3" s="2" t="s">
        <v>7</v>
      </c>
      <c r="E3" s="14" t="s">
        <v>32</v>
      </c>
      <c r="F3" s="2" t="s">
        <v>12</v>
      </c>
      <c r="G3" s="5" t="s">
        <v>13</v>
      </c>
      <c r="H3" s="2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spans="1:154" ht="15.75" customHeight="1" x14ac:dyDescent="0.2">
      <c r="A4" s="16"/>
      <c r="B4" s="16" t="str">
        <f ca="1">IFERROR(__xludf.DUMMYFUNCTION("IF(C3="""","""",Transpose(IMPORTRANGE('_Settings'!$B$3,C3&amp;""!A4:A1000"")))"),"Allocate")</f>
        <v>Allocate</v>
      </c>
      <c r="C4" s="16" t="str">
        <f ca="1">IFERROR(__xludf.DUMMYFUNCTION("""COMPUTED_VALUE"""),"CheckAllocatedGroups")</f>
        <v>CheckAllocatedGroups</v>
      </c>
      <c r="D4" s="16" t="str">
        <f ca="1">IFERROR(__xludf.DUMMYFUNCTION("""COMPUTED_VALUE"""),"Unallocate")</f>
        <v>Unallocate</v>
      </c>
      <c r="E4" s="16" t="str">
        <f ca="1">IFERROR(__xludf.DUMMYFUNCTION("""COMPUTED_VALUE"""),"GetDataAllocation")</f>
        <v>GetDataAllocation</v>
      </c>
      <c r="F4" s="16" t="str">
        <f ca="1">IFERROR(__xludf.DUMMYFUNCTION("""COMPUTED_VALUE"""),"SelectAllocatedGroup")</f>
        <v>SelectAllocatedGroup</v>
      </c>
      <c r="G4" s="16" t="str">
        <f ca="1">IFERROR(__xludf.DUMMYFUNCTION("""COMPUTED_VALUE"""),"EditTradesAllocated")</f>
        <v>EditTradesAllocated</v>
      </c>
      <c r="H4" s="16" t="str">
        <f ca="1">IFERROR(__xludf.DUMMYFUNCTION("""COMPUTED_VALUE"""),"EditTradesUnallocated")</f>
        <v>EditTradesUnallocated</v>
      </c>
      <c r="I4" s="16" t="str">
        <f ca="1">IFERROR(__xludf.DUMMYFUNCTION("""COMPUTED_VALUE"""),"Reallocate")</f>
        <v>Reallocate</v>
      </c>
      <c r="J4" s="16" t="str">
        <f ca="1">IFERROR(__xludf.DUMMYFUNCTION("""COMPUTED_VALUE"""),"EditUnallocatedGroupSidePanel")</f>
        <v>EditUnallocatedGroupSidePanel</v>
      </c>
      <c r="K4" s="16" t="str">
        <f ca="1">IFERROR(__xludf.DUMMYFUNCTION("""COMPUTED_VALUE"""),"TradeAttributeBulkChange")</f>
        <v>TradeAttributeBulkChange</v>
      </c>
      <c r="L4" s="16" t="str">
        <f ca="1">IFERROR(__xludf.DUMMYFUNCTION("""COMPUTED_VALUE"""),"ApplyBulkUpdateOnGroups")</f>
        <v>ApplyBulkUpdateOnGroups</v>
      </c>
      <c r="M4" s="16" t="str">
        <f ca="1">IFERROR(__xludf.DUMMYFUNCTION("""COMPUTED_VALUE"""),"ApplyPrefetchFilters")</f>
        <v>ApplyPrefetchFilters</v>
      </c>
      <c r="N4" s="16" t="str">
        <f ca="1">IFERROR(__xludf.DUMMYFUNCTION("""COMPUTED_VALUE"""),"GeneralPreferencesDefaultRule")</f>
        <v>GeneralPreferencesDefaultRule</v>
      </c>
      <c r="O4" s="16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IFERROR(__xludf.DUMMYFUNCTION("""COMPUTED_VALUE"""),"Accrual Basis")</f>
        <v>Accrual Basis</v>
      </c>
      <c r="D5" s="21" t="str">
        <f ca="1">IFERROR(__xludf.DUMMYFUNCTION("""COMPUTED_VALUE"""),"Accrued Interest")</f>
        <v>Accrued Interest</v>
      </c>
      <c r="E5" s="21" t="str">
        <f ca="1">IFERROR(__xludf.DUMMYFUNCTION("""COMPUTED_VALUE"""),"Allocated Qty")</f>
        <v>Allocated Qty</v>
      </c>
      <c r="F5" s="22" t="str">
        <f ca="1">IFERROR(__xludf.DUMMYFUNCTION("""COMPUTED_VALUE"""),"Allocation Scheme Name")</f>
        <v>Allocation Scheme Name</v>
      </c>
      <c r="G5" s="21" t="str">
        <f ca="1">IFERROR(__xludf.DUMMYFUNCTION("""COMPUTED_VALUE"""),"Asset Category")</f>
        <v>Asset Category</v>
      </c>
      <c r="H5" s="21" t="str">
        <f ca="1">IFERROR(__xludf.DUMMYFUNCTION("""COMPUTED_VALUE"""),"AUEC Fee1")</f>
        <v>AUEC Fee1</v>
      </c>
      <c r="I5" s="21" t="str">
        <f ca="1">IFERROR(__xludf.DUMMYFUNCTION("""COMPUTED_VALUE"""),"AUEC Fee2")</f>
        <v>AUEC Fee2</v>
      </c>
      <c r="J5" s="21" t="str">
        <f ca="1">IFERROR(__xludf.DUMMYFUNCTION("""COMPUTED_VALUE"""),"AUECID")</f>
        <v>AUECID</v>
      </c>
      <c r="K5" s="21" t="str">
        <f ca="1">IFERROR(__xludf.DUMMYFUNCTION("""COMPUTED_VALUE"""),"Avg Price(Base)")</f>
        <v>Avg Price(Base)</v>
      </c>
      <c r="L5" s="21" t="str">
        <f ca="1">IFERROR(__xludf.DUMMYFUNCTION("""COMPUTED_VALUE"""),"Avg Price(Local)")</f>
        <v>Avg Price(Local)</v>
      </c>
      <c r="M5" s="21" t="str">
        <f ca="1">IFERROR(__xludf.DUMMYFUNCTION("""COMPUTED_VALUE"""),"Bloomberg")</f>
        <v>Bloomberg</v>
      </c>
      <c r="N5" s="21" t="str">
        <f ca="1">IFERROR(__xludf.DUMMYFUNCTION("""COMPUTED_VALUE"""),"Bond Type")</f>
        <v>Bond Type</v>
      </c>
      <c r="O5" s="21" t="str">
        <f ca="1">IFERROR(__xludf.DUMMYFUNCTION("""COMPUTED_VALUE"""),"Broker")</f>
        <v>Broker</v>
      </c>
      <c r="P5" s="21" t="str">
        <f ca="1">IFERROR(__xludf.DUMMYFUNCTION("""COMPUTED_VALUE"""),"Change Comment")</f>
        <v>Change Comment</v>
      </c>
      <c r="Q5" s="21" t="str">
        <f ca="1">IFERROR(__xludf.DUMMYFUNCTION("""COMPUTED_VALUE"""),"Change Type")</f>
        <v>Change Type</v>
      </c>
      <c r="R5" s="21" t="str">
        <f ca="1">IFERROR(__xludf.DUMMYFUNCTION("""COMPUTED_VALUE"""),"Clearing Broker Fee")</f>
        <v>Clearing Broker Fee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IFERROR(__xludf.DUMMYFUNCTION("""COMPUTED_VALUE"""),"Exceution Time")</f>
        <v>Exceution Time</v>
      </c>
      <c r="AG5" s="23" t="str">
        <f ca="1">IFERROR(__xludf.DUMMYFUNCTION("""COMPUTED_VALUE"""),"Expiration Date")</f>
        <v>Expiration Date</v>
      </c>
      <c r="AH5" s="23" t="str">
        <f ca="1">IFERROR(__xludf.DUMMYFUNCTION("""COMPUTED_VALUE"""),"FX Conversion Operator")</f>
        <v>FX Conversion Operator</v>
      </c>
      <c r="AI5" s="23" t="str">
        <f ca="1">IFERROR(__xludf.DUMMYFUNCTION("""COMPUTED_VALUE"""),"FX Rate")</f>
        <v>FX Rate</v>
      </c>
      <c r="AJ5" s="23" t="str">
        <f ca="1">IFERROR(__xludf.DUMMYFUNCTION("""COMPUTED_VALUE"""),"Group Status")</f>
        <v>Group Status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IFERROR(__xludf.DUMMYFUNCTION("""COMPUTED_VALUE"""),"IsManualGroup")</f>
        <v>IsManualGroup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IFERROR(__xludf.DUMMYFUNCTION("""COMPUTED_VALUE"""),"Strategy Name")</f>
        <v>Strategy Name</v>
      </c>
      <c r="BT5" s="23" t="str">
        <f ca="1">IFERROR(__xludf.DUMMYFUNCTION("""COMPUTED_VALUE"""),"Symbol")</f>
        <v>Symbol</v>
      </c>
      <c r="BU5" s="23" t="str">
        <f ca="1">IFERROR(__xludf.DUMMYFUNCTION("""COMPUTED_VALUE"""),"Tax On Commissions")</f>
        <v>Tax On Commissions</v>
      </c>
      <c r="BV5" s="23" t="str">
        <f ca="1">IFERROR(__xludf.DUMMYFUNCTION("""COMPUTED_VALUE"""),"Total Commission")</f>
        <v>Total Commission</v>
      </c>
      <c r="BW5" s="23" t="str">
        <f ca="1">IFERROR(__xludf.DUMMYFUNCTION("""COMPUTED_VALUE"""),"Total Commission And Fee")</f>
        <v>Total Commission And Fee</v>
      </c>
      <c r="BX5" s="23" t="str">
        <f ca="1">IFERROR(__xludf.DUMMYFUNCTION("""COMPUTED_VALUE"""),"Total Commission Per Share")</f>
        <v>Total Commission Per Share</v>
      </c>
      <c r="BY5" s="23" t="str">
        <f ca="1">IFERROR(__xludf.DUMMYFUNCTION("""COMPUTED_VALUE"""),"Trade Attribute 1")</f>
        <v>Trade Attribute 1</v>
      </c>
      <c r="BZ5" s="23" t="str">
        <f ca="1">IFERROR(__xludf.DUMMYFUNCTION("""COMPUTED_VALUE"""),"Trade Attribute 2")</f>
        <v>Trade Attribute 2</v>
      </c>
      <c r="CA5" s="23" t="str">
        <f ca="1">IFERROR(__xludf.DUMMYFUNCTION("""COMPUTED_VALUE"""),"Trade Attribute 3")</f>
        <v>Trade Attribute 3</v>
      </c>
      <c r="CB5" s="23" t="str">
        <f ca="1">IFERROR(__xludf.DUMMYFUNCTION("""COMPUTED_VALUE"""),"Trade Attribute 4")</f>
        <v>Trade Attribute 4</v>
      </c>
      <c r="CC5" s="23" t="str">
        <f ca="1">IFERROR(__xludf.DUMMYFUNCTION("""COMPUTED_VALUE"""),"Trade Attribute 5")</f>
        <v>Trade Attribute 5</v>
      </c>
      <c r="CD5" s="23" t="str">
        <f ca="1">IFERROR(__xludf.DUMMYFUNCTION("""COMPUTED_VALUE"""),"Trade Attribute 6")</f>
        <v>Trade Attribute 6</v>
      </c>
      <c r="CE5" s="23" t="str">
        <f ca="1">IFERROR(__xludf.DUMMYFUNCTION("""COMPUTED_VALUE"""),"Trade Date")</f>
        <v>Trade Date</v>
      </c>
      <c r="CF5" s="23" t="str">
        <f ca="1">IFERROR(__xludf.DUMMYFUNCTION("""COMPUTED_VALUE"""),"Trading Account")</f>
        <v>Trading Account</v>
      </c>
      <c r="CG5" s="23" t="str">
        <f ca="1">IFERROR(__xludf.DUMMYFUNCTION("""COMPUTED_VALUE"""),"Transaction Levy")</f>
        <v>Transaction Levy</v>
      </c>
      <c r="CH5" s="23" t="str">
        <f ca="1">IFERROR(__xludf.DUMMYFUNCTION("""COMPUTED_VALUE"""),"Transaction Source")</f>
        <v>Transaction Source</v>
      </c>
      <c r="CI5" s="23" t="str">
        <f ca="1">IFERROR(__xludf.DUMMYFUNCTION("""COMPUTED_VALUE"""),"Transaction Type")</f>
        <v>Transaction Type</v>
      </c>
      <c r="CJ5" s="23" t="str">
        <f ca="1">IFERROR(__xludf.DUMMYFUNCTION("""COMPUTED_VALUE"""),"UnAllocatedQty")</f>
        <v>UnAllocatedQty</v>
      </c>
      <c r="CK5" s="23" t="str">
        <f ca="1">IFERROR(__xludf.DUMMYFUNCTION("""COMPUTED_VALUE"""),"Underlying")</f>
        <v>Underlying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IFERROR(__xludf.DUMMYFUNCTION("""COMPUTED_VALUE"""),"Underlying Symbol")</f>
        <v>Underlying Symbol</v>
      </c>
      <c r="CN5" s="23" t="str">
        <f ca="1">IFERROR(__xludf.DUMMYFUNCTION("""COMPUTED_VALUE"""),"User")</f>
        <v>User</v>
      </c>
      <c r="CO5" s="23" t="str">
        <f ca="1">IFERROR(__xludf.DUMMYFUNCTION("""COMPUTED_VALUE"""),"Venue")</f>
        <v>Venue</v>
      </c>
      <c r="CP5" s="23" t="str">
        <f ca="1">IFERROR(__xludf.DUMMYFUNCTION("""COMPUTED_VALUE"""),"Closing Method")</f>
        <v>Closing Method</v>
      </c>
      <c r="CQ5" s="23" t="str">
        <f ca="1">IFERROR(__xludf.DUMMYFUNCTION("""COMPUTED_VALUE"""),"Closing Date")</f>
        <v>Closing Date</v>
      </c>
      <c r="CR5" s="23" t="str">
        <f ca="1">IFERROR(__xludf.DUMMYFUNCTION("""COMPUTED_VALUE"""),"GroupID")</f>
        <v>GroupID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3"/>
      <c r="B6" s="29" t="s">
        <v>18</v>
      </c>
      <c r="C6" s="31"/>
      <c r="D6" s="32"/>
      <c r="E6" s="33">
        <v>100</v>
      </c>
      <c r="F6" s="31"/>
      <c r="G6" s="31"/>
      <c r="H6" s="31"/>
      <c r="I6" s="34"/>
      <c r="J6" s="31"/>
      <c r="K6" s="31"/>
      <c r="L6" s="27">
        <v>20</v>
      </c>
      <c r="M6" s="31"/>
      <c r="N6" s="31"/>
      <c r="O6" s="31"/>
      <c r="P6" s="31"/>
      <c r="Q6" s="31"/>
      <c r="R6" s="31"/>
      <c r="S6" s="31" t="s">
        <v>33</v>
      </c>
      <c r="T6" s="31"/>
      <c r="V6" s="31"/>
      <c r="W6" s="31"/>
      <c r="X6" s="31"/>
      <c r="Y6" s="31"/>
      <c r="Z6" s="31"/>
      <c r="AA6" s="31"/>
      <c r="AB6" s="31"/>
      <c r="AC6" s="31"/>
      <c r="AD6" s="31"/>
      <c r="AE6" s="33">
        <v>100</v>
      </c>
      <c r="AF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3">
        <v>100</v>
      </c>
      <c r="BK6" s="31"/>
      <c r="BL6" s="31"/>
      <c r="BN6" s="31"/>
      <c r="BO6" s="31" t="s">
        <v>34</v>
      </c>
      <c r="BP6" s="31"/>
      <c r="BQ6" s="31"/>
      <c r="BR6" s="31"/>
      <c r="BS6" s="31"/>
      <c r="BT6" s="35" t="s">
        <v>16</v>
      </c>
      <c r="BV6" s="31"/>
      <c r="BW6" s="31"/>
      <c r="BX6" s="31"/>
      <c r="BY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</row>
    <row r="7" spans="1:154" ht="15.75" customHeight="1" x14ac:dyDescent="0.2">
      <c r="A7" s="1"/>
      <c r="B7" s="36" t="s">
        <v>18</v>
      </c>
      <c r="C7" s="31"/>
      <c r="D7" s="31"/>
      <c r="E7" s="33">
        <v>100</v>
      </c>
      <c r="F7" s="31"/>
      <c r="G7" s="31"/>
      <c r="H7" s="31"/>
      <c r="I7" s="34"/>
      <c r="J7" s="31"/>
      <c r="K7" s="31"/>
      <c r="L7" s="27">
        <v>35</v>
      </c>
      <c r="M7" s="31"/>
      <c r="N7" s="31"/>
      <c r="O7" s="31"/>
      <c r="P7" s="31"/>
      <c r="Q7" s="31"/>
      <c r="R7" s="31"/>
      <c r="S7" s="31" t="s">
        <v>33</v>
      </c>
      <c r="T7" s="31"/>
      <c r="V7" s="31"/>
      <c r="W7" s="31"/>
      <c r="X7" s="31"/>
      <c r="Y7" s="31"/>
      <c r="Z7" s="31"/>
      <c r="AA7" s="31"/>
      <c r="AB7" s="31"/>
      <c r="AC7" s="31"/>
      <c r="AD7" s="31"/>
      <c r="AE7" s="33">
        <v>100</v>
      </c>
      <c r="AF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3">
        <v>100</v>
      </c>
      <c r="BK7" s="31"/>
      <c r="BL7" s="31"/>
      <c r="BN7" s="31"/>
      <c r="BO7" s="31" t="s">
        <v>34</v>
      </c>
      <c r="BP7" s="31"/>
      <c r="BQ7" s="31"/>
      <c r="BR7" s="31"/>
      <c r="BS7" s="31"/>
      <c r="BT7" s="35" t="s">
        <v>16</v>
      </c>
      <c r="BV7" s="31"/>
      <c r="BW7" s="31"/>
      <c r="BX7" s="31"/>
      <c r="BY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</row>
    <row r="8" spans="1:154" ht="15.75" customHeight="1" x14ac:dyDescent="0.2">
      <c r="A8" s="1"/>
      <c r="B8" s="29" t="s">
        <v>18</v>
      </c>
      <c r="C8" s="1"/>
      <c r="D8" s="1"/>
      <c r="E8" s="3">
        <v>100</v>
      </c>
      <c r="F8" s="1"/>
      <c r="G8" s="1"/>
      <c r="H8" s="1"/>
      <c r="I8" s="1"/>
      <c r="J8" s="1"/>
      <c r="K8" s="1"/>
      <c r="L8" s="27">
        <v>41</v>
      </c>
      <c r="M8" s="1"/>
      <c r="N8" s="1"/>
      <c r="O8" s="1"/>
      <c r="S8" s="27" t="s">
        <v>33</v>
      </c>
      <c r="AE8" s="3">
        <v>100</v>
      </c>
      <c r="BJ8" s="3">
        <v>100</v>
      </c>
      <c r="BO8" s="31" t="s">
        <v>34</v>
      </c>
      <c r="BT8" s="35" t="s">
        <v>16</v>
      </c>
    </row>
    <row r="9" spans="1:154" ht="15.75" customHeight="1" x14ac:dyDescent="0.2">
      <c r="A9" s="1"/>
      <c r="B9" s="29" t="s">
        <v>18</v>
      </c>
      <c r="C9" s="1"/>
      <c r="D9" s="1"/>
      <c r="E9" s="3">
        <v>100</v>
      </c>
      <c r="F9" s="1"/>
      <c r="G9" s="1"/>
      <c r="H9" s="1"/>
      <c r="I9" s="1"/>
      <c r="J9" s="1"/>
      <c r="K9" s="1"/>
      <c r="L9" s="33">
        <v>40</v>
      </c>
      <c r="M9" s="1"/>
      <c r="N9" s="1"/>
      <c r="O9" s="1"/>
      <c r="S9" s="27" t="s">
        <v>33</v>
      </c>
      <c r="AE9" s="3">
        <v>100</v>
      </c>
      <c r="BJ9" s="3">
        <v>100</v>
      </c>
      <c r="BO9" s="31" t="s">
        <v>34</v>
      </c>
      <c r="BT9" s="35" t="s">
        <v>16</v>
      </c>
    </row>
    <row r="10" spans="1:154" ht="15.75" customHeight="1" x14ac:dyDescent="0.2">
      <c r="A10" s="1"/>
      <c r="B10" s="29" t="s">
        <v>18</v>
      </c>
      <c r="C10" s="1"/>
      <c r="D10" s="1"/>
      <c r="E10" s="33">
        <v>100</v>
      </c>
      <c r="F10" s="1"/>
      <c r="G10" s="1"/>
      <c r="H10" s="1"/>
      <c r="I10" s="1"/>
      <c r="J10" s="1"/>
      <c r="K10" s="1"/>
      <c r="L10" s="33">
        <v>40</v>
      </c>
      <c r="M10" s="1"/>
      <c r="N10" s="1"/>
      <c r="O10" s="1"/>
      <c r="S10" s="27" t="s">
        <v>33</v>
      </c>
      <c r="AE10" s="33">
        <v>100</v>
      </c>
      <c r="BJ10" s="33">
        <v>100</v>
      </c>
      <c r="BO10" s="31" t="s">
        <v>34</v>
      </c>
      <c r="BT10" s="35" t="s">
        <v>16</v>
      </c>
    </row>
    <row r="11" spans="1:154" ht="15.75" customHeight="1" x14ac:dyDescent="0.2">
      <c r="A11" s="1"/>
      <c r="B11" s="29" t="s">
        <v>18</v>
      </c>
      <c r="C11" s="1"/>
      <c r="D11" s="1"/>
      <c r="E11" s="33">
        <v>100</v>
      </c>
      <c r="F11" s="1"/>
      <c r="G11" s="1"/>
      <c r="H11" s="1"/>
      <c r="I11" s="1"/>
      <c r="J11" s="1"/>
      <c r="K11" s="1"/>
      <c r="L11" s="3">
        <v>25</v>
      </c>
      <c r="M11" s="1"/>
      <c r="N11" s="1"/>
      <c r="O11" s="1"/>
      <c r="S11" s="31" t="s">
        <v>33</v>
      </c>
      <c r="AE11" s="33">
        <v>100</v>
      </c>
      <c r="BJ11" s="33">
        <v>100</v>
      </c>
      <c r="BO11" s="31" t="s">
        <v>34</v>
      </c>
      <c r="BT11" s="35" t="s">
        <v>16</v>
      </c>
    </row>
    <row r="12" spans="1:154" ht="15.75" customHeight="1" x14ac:dyDescent="0.2">
      <c r="A12" s="1"/>
      <c r="B12" s="29" t="s">
        <v>18</v>
      </c>
      <c r="C12" s="1"/>
      <c r="D12" s="1"/>
      <c r="E12" s="3">
        <v>100</v>
      </c>
      <c r="F12" s="1"/>
      <c r="G12" s="1"/>
      <c r="H12" s="1"/>
      <c r="I12" s="1"/>
      <c r="J12" s="1"/>
      <c r="K12" s="1"/>
      <c r="L12" s="3">
        <v>50</v>
      </c>
      <c r="M12" s="1"/>
      <c r="N12" s="1"/>
      <c r="O12" s="1"/>
      <c r="S12" s="31" t="s">
        <v>33</v>
      </c>
      <c r="AE12" s="3">
        <v>100</v>
      </c>
      <c r="BJ12" s="3">
        <v>100</v>
      </c>
      <c r="BO12" s="31" t="s">
        <v>34</v>
      </c>
      <c r="BT12" s="35" t="s">
        <v>16</v>
      </c>
    </row>
    <row r="13" spans="1:154" ht="15.75" customHeight="1" x14ac:dyDescent="0.2">
      <c r="A13" s="1"/>
      <c r="B13" s="29" t="s">
        <v>18</v>
      </c>
      <c r="C13" s="1"/>
      <c r="D13" s="1"/>
      <c r="E13" s="3">
        <v>100</v>
      </c>
      <c r="F13" s="1"/>
      <c r="G13" s="1"/>
      <c r="H13" s="1"/>
      <c r="I13" s="1"/>
      <c r="J13" s="1"/>
      <c r="K13" s="1"/>
      <c r="L13" s="3">
        <v>40</v>
      </c>
      <c r="M13" s="1"/>
      <c r="N13" s="1"/>
      <c r="O13" s="1"/>
      <c r="S13" s="27" t="s">
        <v>33</v>
      </c>
      <c r="AE13" s="3">
        <v>100</v>
      </c>
      <c r="BJ13" s="3">
        <v>100</v>
      </c>
      <c r="BO13" s="31" t="s">
        <v>34</v>
      </c>
      <c r="BT13" s="35" t="s">
        <v>16</v>
      </c>
    </row>
    <row r="14" spans="1:154" ht="15.75" customHeight="1" x14ac:dyDescent="0.2">
      <c r="A14" s="1"/>
      <c r="B14" s="29" t="s">
        <v>18</v>
      </c>
      <c r="C14" s="1"/>
      <c r="D14" s="1"/>
      <c r="E14" s="3">
        <v>200</v>
      </c>
      <c r="F14" s="1"/>
      <c r="G14" s="1"/>
      <c r="H14" s="1"/>
      <c r="I14" s="1"/>
      <c r="J14" s="1"/>
      <c r="K14" s="1"/>
      <c r="L14" s="3">
        <v>40</v>
      </c>
      <c r="M14" s="1"/>
      <c r="N14" s="1"/>
      <c r="O14" s="1"/>
      <c r="S14" s="27" t="s">
        <v>33</v>
      </c>
      <c r="AE14" s="3">
        <v>200</v>
      </c>
      <c r="BJ14" s="3">
        <v>200</v>
      </c>
      <c r="BO14" s="27" t="s">
        <v>19</v>
      </c>
      <c r="BT14" s="35" t="s">
        <v>16</v>
      </c>
    </row>
    <row r="15" spans="1:154" ht="15.75" customHeight="1" x14ac:dyDescent="0.2">
      <c r="A15" s="1"/>
      <c r="B15" s="29" t="s">
        <v>18</v>
      </c>
      <c r="C15" s="1"/>
      <c r="D15" s="1"/>
      <c r="E15" s="3">
        <v>200</v>
      </c>
      <c r="F15" s="1"/>
      <c r="G15" s="1"/>
      <c r="H15" s="1"/>
      <c r="I15" s="1"/>
      <c r="J15" s="1"/>
      <c r="K15" s="1"/>
      <c r="L15" s="3">
        <v>30</v>
      </c>
      <c r="M15" s="1"/>
      <c r="N15" s="1"/>
      <c r="O15" s="1"/>
      <c r="S15" s="27" t="s">
        <v>33</v>
      </c>
      <c r="AE15" s="3">
        <v>200</v>
      </c>
      <c r="BJ15" s="3">
        <v>200</v>
      </c>
      <c r="BO15" s="27" t="s">
        <v>19</v>
      </c>
      <c r="BT15" s="35" t="s">
        <v>16</v>
      </c>
    </row>
    <row r="16" spans="1:154" ht="15.75" customHeight="1" x14ac:dyDescent="0.2">
      <c r="A16" s="1"/>
      <c r="B16" s="29" t="s">
        <v>18</v>
      </c>
      <c r="C16" s="1"/>
      <c r="D16" s="1"/>
      <c r="E16" s="3">
        <v>400</v>
      </c>
      <c r="F16" s="1"/>
      <c r="G16" s="1"/>
      <c r="H16" s="1"/>
      <c r="I16" s="1"/>
      <c r="J16" s="1"/>
      <c r="K16" s="1"/>
      <c r="L16" s="3">
        <v>40</v>
      </c>
      <c r="M16" s="1"/>
      <c r="N16" s="1"/>
      <c r="O16" s="1"/>
      <c r="S16" s="27" t="s">
        <v>33</v>
      </c>
      <c r="AE16" s="3">
        <v>400</v>
      </c>
      <c r="BJ16" s="3">
        <v>400</v>
      </c>
      <c r="BO16" s="27" t="s">
        <v>19</v>
      </c>
      <c r="BT16" s="35" t="s">
        <v>16</v>
      </c>
    </row>
    <row r="17" spans="1:15" ht="15.75" customHeight="1" x14ac:dyDescent="0.2">
      <c r="A17" s="1"/>
      <c r="B17" s="2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"/>
  <sheetViews>
    <sheetView tabSelected="1" topLeftCell="BE1" workbookViewId="0">
      <selection activeCell="BN8" sqref="BN8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 x14ac:dyDescent="0.3">
      <c r="A1" s="10"/>
      <c r="B1" s="43" t="s">
        <v>9</v>
      </c>
      <c r="C1" s="44"/>
      <c r="D1" s="44"/>
      <c r="E1" s="44"/>
      <c r="F1" s="44"/>
      <c r="G1" s="44"/>
      <c r="H1" s="45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</row>
    <row r="2" spans="1:169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2" t="e">
        <f ca="1">VLOOKUP($E$3,_MasterData!B4:D1000,3,FALSE)</f>
        <v>#N/A</v>
      </c>
      <c r="K2" s="12"/>
      <c r="L2" s="1"/>
      <c r="M2" s="1"/>
      <c r="N2" s="1"/>
      <c r="O2" s="1"/>
    </row>
    <row r="3" spans="1:169" ht="15.75" customHeight="1" x14ac:dyDescent="0.2">
      <c r="A3" s="13"/>
      <c r="B3" s="2" t="s">
        <v>6</v>
      </c>
      <c r="C3" s="14" t="s">
        <v>35</v>
      </c>
      <c r="D3" s="2" t="s">
        <v>7</v>
      </c>
      <c r="E3" s="14" t="s">
        <v>36</v>
      </c>
      <c r="F3" s="2" t="s">
        <v>12</v>
      </c>
      <c r="G3" s="5" t="s">
        <v>13</v>
      </c>
      <c r="H3" s="2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</row>
    <row r="4" spans="1:169" ht="15.75" customHeight="1" x14ac:dyDescent="0.2">
      <c r="A4" s="16"/>
      <c r="B4" s="16" t="str">
        <f ca="1">IFERROR(__xludf.DUMMYFUNCTION("IF(C3="""","""",Transpose(IMPORTRANGE('_Settings'!$B$3,C3&amp;""!A4:A1000"")))"),"CheckDashboardPM")</f>
        <v>CheckDashboardPM</v>
      </c>
      <c r="C4" s="16" t="str">
        <f ca="1">IFERROR(__xludf.DUMMYFUNCTION("""COMPUTED_VALUE"""),"CheckPortfolioManagement")</f>
        <v>CheckPortfolioManagement</v>
      </c>
      <c r="D4" s="16" t="str">
        <f ca="1">IFERROR(__xludf.DUMMYFUNCTION("""COMPUTED_VALUE"""),"OpenPSTFromPM")</f>
        <v>OpenPSTFromPM</v>
      </c>
      <c r="E4" s="16" t="str">
        <f ca="1">IFERROR(__xludf.DUMMYFUNCTION("""COMPUTED_VALUE"""),"ClosePM")</f>
        <v>ClosePM</v>
      </c>
      <c r="F4" s="16" t="str">
        <f ca="1">IFERROR(__xludf.DUMMYFUNCTION("""COMPUTED_VALUE"""),"FilterPM")</f>
        <v>FilterPM</v>
      </c>
      <c r="G4" s="16" t="str">
        <f ca="1">IFERROR(__xludf.DUMMYFUNCTION("""COMPUTED_VALUE"""),"GroupRowPM")</f>
        <v>GroupRowPM</v>
      </c>
      <c r="H4" s="16" t="str">
        <f ca="1">IFERROR(__xludf.DUMMYFUNCTION("""COMPUTED_VALUE"""),"CheckDashboardWithPM")</f>
        <v>CheckDashboardWithPM</v>
      </c>
      <c r="I4" s="16" t="str">
        <f ca="1">IFERROR(__xludf.DUMMYFUNCTION("""COMPUTED_VALUE"""),"RemoveFilterPM")</f>
        <v>RemoveFilterPM</v>
      </c>
      <c r="J4" s="16" t="str">
        <f ca="1">IFERROR(__xludf.DUMMYFUNCTION("""COMPUTED_VALUE"""),"CheckSummaryRowsPM")</f>
        <v>CheckSummaryRowsPM</v>
      </c>
      <c r="K4" s="16" t="str">
        <f ca="1">IFERROR(__xludf.DUMMYFUNCTION("""COMPUTED_VALUE"""),"OpenPTTFromPM")</f>
        <v>OpenPTTFromPM</v>
      </c>
      <c r="L4" s="16" t="str">
        <f ca="1">IFERROR(__xludf.DUMMYFUNCTION("""COMPUTED_VALUE"""),"OpenCreateTransactionFromPM")</f>
        <v>OpenCreateTransactionFromPM</v>
      </c>
      <c r="M4" s="16" t="str">
        <f ca="1">IFERROR(__xludf.DUMMYFUNCTION("""COMPUTED_VALUE"""),"OpenClosingFromPM")</f>
        <v>OpenClosingFromPM</v>
      </c>
      <c r="N4" s="16" t="str">
        <f ca="1">IFERROR(__xludf.DUMMYFUNCTION("""COMPUTED_VALUE"""),"OpenCorporateActionFromPM")</f>
        <v>OpenCorporateActionFromPM</v>
      </c>
      <c r="O4" s="16" t="str">
        <f ca="1">IFERROR(__xludf.DUMMYFUNCTION("""COMPUTED_VALUE"""),"OpenDailyValuationFromPM")</f>
        <v>OpenDailyValuationFromPM</v>
      </c>
      <c r="P4" s="19" t="str">
        <f ca="1">IFERROR(__xludf.DUMMYFUNCTION("""COMPUTED_VALUE"""),"ClosePositionFromPM")</f>
        <v>ClosePositionFromPM</v>
      </c>
      <c r="Q4" s="19" t="str">
        <f ca="1">IFERROR(__xludf.DUMMYFUNCTION("""COMPUTED_VALUE"""),"ShowSummaryToolFromPM")</f>
        <v>ShowSummaryToolFromPM</v>
      </c>
      <c r="R4" s="19" t="str">
        <f ca="1">IFERROR(__xludf.DUMMYFUNCTION("""COMPUTED_VALUE"""),"HideSummaryToolFromPM")</f>
        <v>HideSummaryToolFromPM</v>
      </c>
      <c r="S4" s="19" t="str">
        <f ca="1">IFERROR(__xludf.DUMMYFUNCTION("""COMPUTED_VALUE"""),"CloseAccountPositionFromPM")</f>
        <v>CloseAccountPositionFromPM</v>
      </c>
      <c r="T4" s="19" t="str">
        <f ca="1">IFERROR(__xludf.DUMMYFUNCTION("""COMPUTED_VALUE"""),"CloseSelectedTaxlotsFromPM")</f>
        <v>CloseSelectedTaxlotsFromPM</v>
      </c>
      <c r="U4" s="19" t="str">
        <f ca="1">IFERROR(__xludf.DUMMYFUNCTION("""COMPUTED_VALUE"""),"ExpandCollapsePM")</f>
        <v>ExpandCollapsePM</v>
      </c>
      <c r="V4" s="19" t="str">
        <f ca="1">IFERROR(__xludf.DUMMYFUNCTION("""COMPUTED_VALUE"""),"AddCustomViewPM")</f>
        <v>AddCustomViewPM</v>
      </c>
      <c r="W4" s="19" t="str">
        <f ca="1">IFERROR(__xludf.DUMMYFUNCTION("""COMPUTED_VALUE"""),"AddCustomViewRightClickPM")</f>
        <v>AddCustomViewRightClickPM</v>
      </c>
      <c r="X4" s="19" t="str">
        <f ca="1">IFERROR(__xludf.DUMMYFUNCTION("""COMPUTED_VALUE"""),"RenameCustomViewPM")</f>
        <v>RenameCustomViewPM</v>
      </c>
      <c r="Y4" s="19" t="str">
        <f ca="1">IFERROR(__xludf.DUMMYFUNCTION("""COMPUTED_VALUE"""),"DeleteCustomViewPM")</f>
        <v>DeleteCustomViewPM</v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  <c r="FK4" s="19" t="str">
        <f ca="1">IFERROR(__xludf.DUMMYFUNCTION("""COMPUTED_VALUE"""),"")</f>
        <v/>
      </c>
      <c r="FL4" s="19" t="str">
        <f ca="1">IFERROR(__xludf.DUMMYFUNCTION("""COMPUTED_VALUE"""),"")</f>
        <v/>
      </c>
      <c r="FM4" s="19" t="str">
        <f ca="1">IFERROR(__xludf.DUMMYFUNCTION("""COMPUTED_VALUE"""),"")</f>
        <v/>
      </c>
    </row>
    <row r="5" spans="1:169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tr">
        <f ca="1">IFERROR(__xludf.DUMMYFUNCTION("""COMPUTED_VALUE"""),"Shares Outstanding (MM)")</f>
        <v>Shares Outstanding (MM)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IFERROR(__xludf.DUMMYFUNCTION("""COMPUTED_VALUE"""),"Trade Attribute 3")</f>
        <v>Trade Attribute 3</v>
      </c>
      <c r="CU5" s="23" t="str">
        <f ca="1">IFERROR(__xludf.DUMMYFUNCTION("""COMPUTED_VALUE"""),"Trade Attribute 4")</f>
        <v>Trade Attribute 4</v>
      </c>
      <c r="CV5" s="23" t="str">
        <f ca="1">IFERROR(__xludf.DUMMYFUNCTION("""COMPUTED_VALUE"""),"Trade Attribute 5")</f>
        <v>Trade Attribute 5</v>
      </c>
      <c r="CW5" s="23" t="str">
        <f ca="1">IFERROR(__xludf.DUMMYFUNCTION("""COMPUTED_VALUE"""),"Trade Attribute 6")</f>
        <v>Trade Attribute 6</v>
      </c>
      <c r="CX5" s="23" t="str">
        <f ca="1">IFERROR(__xludf.DUMMYFUNCTION("""COMPUTED_VALUE"""),"Proxy Symbol")</f>
        <v>Proxy Symbol</v>
      </c>
      <c r="CY5" s="23" t="str">
        <f ca="1">IFERROR(__xludf.DUMMYFUNCTION("""COMPUTED_VALUE"""),"Pricing Source")</f>
        <v>Pricing Source</v>
      </c>
      <c r="CZ5" s="23" t="str">
        <f ca="1">IFERROR(__xludf.DUMMYFUNCTION("""COMPUTED_VALUE"""),"Delta Source")</f>
        <v>Delta Source</v>
      </c>
      <c r="DA5" s="23" t="str">
        <f ca="1">IFERROR(__xludf.DUMMYFUNCTION("""COMPUTED_VALUE"""),"Gross Exposure (Local)")</f>
        <v>Gross Exposure (Local)</v>
      </c>
      <c r="DB5" s="23" t="str">
        <f ca="1">IFERROR(__xludf.DUMMYFUNCTION("""COMPUTED_VALUE"""),"% Day P&amp;L (Net MV)")</f>
        <v>% Day P&amp;L (Net MV)</v>
      </c>
      <c r="DC5" s="23" t="str">
        <f ca="1">IFERROR(__xludf.DUMMYFUNCTION("""COMPUTED_VALUE"""),"Expiration Month")</f>
        <v>Expiration Month</v>
      </c>
      <c r="DD5" s="23" t="str">
        <f ca="1">IFERROR(__xludf.DUMMYFUNCTION("""COMPUTED_VALUE"""),"Delta Adj. Position (LME)")</f>
        <v>Delta Adj. Position (LME)</v>
      </c>
      <c r="DE5" s="23" t="str">
        <f ca="1">IFERROR(__xludf.DUMMYFUNCTION("""COMPUTED_VALUE"""),"Premium")</f>
        <v>Premium</v>
      </c>
      <c r="DF5" s="23" t="str">
        <f ca="1">IFERROR(__xludf.DUMMYFUNCTION("""COMPUTED_VALUE"""),"Premium $")</f>
        <v>Premium $</v>
      </c>
      <c r="DG5" s="23" t="str">
        <f ca="1">IFERROR(__xludf.DUMMYFUNCTION("""COMPUTED_VALUE"""),"Forward Points")</f>
        <v>Forward Points</v>
      </c>
      <c r="DH5" s="23" t="str">
        <f ca="1">IFERROR(__xludf.DUMMYFUNCTION("""COMPUTED_VALUE"""),"Closing Mark (Underlying)")</f>
        <v>Closing Mark (Underlying)</v>
      </c>
      <c r="DI5" s="23" t="str">
        <f ca="1">IFERROR(__xludf.DUMMYFUNCTION("""COMPUTED_VALUE"""),"% Change (Underlying Price)")</f>
        <v>% Change (Underlying Price)</v>
      </c>
      <c r="DJ5" s="23" t="str">
        <f ca="1">IFERROR(__xludf.DUMMYFUNCTION("""COMPUTED_VALUE"""),"Transaction Type")</f>
        <v>Transaction Type</v>
      </c>
      <c r="DK5" s="23" t="str">
        <f ca="1">IFERROR(__xludf.DUMMYFUNCTION("""COMPUTED_VALUE"""),"Closing Market Value (Local)")</f>
        <v>Closing Market Value (Local)</v>
      </c>
      <c r="DL5" s="23" t="str">
        <f ca="1">IFERROR(__xludf.DUMMYFUNCTION("""COMPUTED_VALUE"""),"Closing Market Value (Base)")</f>
        <v>Closing Market Value (Base)</v>
      </c>
      <c r="DM5" s="23" t="str">
        <f ca="1">IFERROR(__xludf.DUMMYFUNCTION("""COMPUTED_VALUE"""),"Closing FX Rate")</f>
        <v>Closing FX Rate</v>
      </c>
      <c r="DN5" s="23" t="str">
        <f ca="1">IFERROR(__xludf.DUMMYFUNCTION("""COMPUTED_VALUE"""),"Change In Underlying Price")</f>
        <v>Change In Underlying Price</v>
      </c>
      <c r="DO5" s="23" t="str">
        <f ca="1">IFERROR(__xludf.DUMMYFUNCTION("""COMPUTED_VALUE"""),"RIC")</f>
        <v>RIC</v>
      </c>
      <c r="DP5" s="23" t="str">
        <f ca="1">IFERROR(__xludf.DUMMYFUNCTION("""COMPUTED_VALUE"""),"Position Side Exposure (Boxed)")</f>
        <v>Position Side Exposure (Boxed)</v>
      </c>
      <c r="DQ5" s="23" t="str">
        <f ca="1">IFERROR(__xludf.DUMMYFUNCTION("""COMPUTED_VALUE"""),"Analyst")</f>
        <v>Analyst</v>
      </c>
      <c r="DR5" s="23" t="str">
        <f ca="1">IFERROR(__xludf.DUMMYFUNCTION("""COMPUTED_VALUE"""),"Country Of Risk")</f>
        <v>Country Of Risk</v>
      </c>
      <c r="DS5" s="23" t="str">
        <f ca="1">IFERROR(__xludf.DUMMYFUNCTION("""COMPUTED_VALUE"""),"Custom UDA1")</f>
        <v>Custom UDA1</v>
      </c>
      <c r="DT5" s="23" t="str">
        <f ca="1">IFERROR(__xludf.DUMMYFUNCTION("""COMPUTED_VALUE"""),"Custom UDA2")</f>
        <v>Custom UDA2</v>
      </c>
      <c r="DU5" s="23" t="str">
        <f ca="1">IFERROR(__xludf.DUMMYFUNCTION("""COMPUTED_VALUE"""),"Custom UDA3")</f>
        <v>Custom UDA3</v>
      </c>
      <c r="DV5" s="23" t="str">
        <f ca="1">IFERROR(__xludf.DUMMYFUNCTION("""COMPUTED_VALUE"""),"Custom UDA4")</f>
        <v>Custom UDA4</v>
      </c>
      <c r="DW5" s="23" t="str">
        <f ca="1">IFERROR(__xludf.DUMMYFUNCTION("""COMPUTED_VALUE"""),"Custom UDA5")</f>
        <v>Custom UDA5</v>
      </c>
      <c r="DX5" s="23" t="str">
        <f ca="1">IFERROR(__xludf.DUMMYFUNCTION("""COMPUTED_VALUE"""),"Custom UDA6")</f>
        <v>Custom UDA6</v>
      </c>
      <c r="DY5" s="23" t="str">
        <f ca="1">IFERROR(__xludf.DUMMYFUNCTION("""COMPUTED_VALUE"""),"Custom UDA7")</f>
        <v>Custom UDA7</v>
      </c>
      <c r="DZ5" s="23" t="str">
        <f ca="1">IFERROR(__xludf.DUMMYFUNCTION("""COMPUTED_VALUE"""),"Issuer")</f>
        <v>Issuer</v>
      </c>
      <c r="EA5" s="23" t="str">
        <f ca="1">IFERROR(__xludf.DUMMYFUNCTION("""COMPUTED_VALUE"""),"Liquid Tag")</f>
        <v>Liquid Tag</v>
      </c>
      <c r="EB5" s="23" t="str">
        <f ca="1">IFERROR(__xludf.DUMMYFUNCTION("""COMPUTED_VALUE"""),"Market Cap UDA")</f>
        <v>Market Cap UDA</v>
      </c>
      <c r="EC5" s="23" t="str">
        <f ca="1">IFERROR(__xludf.DUMMYFUNCTION("""COMPUTED_VALUE"""),"Region")</f>
        <v>Region</v>
      </c>
      <c r="ED5" s="23" t="str">
        <f ca="1">IFERROR(__xludf.DUMMYFUNCTION("""COMPUTED_VALUE"""),"Risk Currency")</f>
        <v>Risk Currency</v>
      </c>
      <c r="EE5" s="23" t="str">
        <f ca="1">IFERROR(__xludf.DUMMYFUNCTION("""COMPUTED_VALUE"""),"UCITS Eligible Tag")</f>
        <v>UCITS Eligible Tag</v>
      </c>
      <c r="EF5" s="23" t="str">
        <f ca="1">IFERROR(__xludf.DUMMYFUNCTION("""COMPUTED_VALUE"""),"FX Rate (Display)")</f>
        <v>FX Rate (Display)</v>
      </c>
      <c r="EG5" s="23" t="str">
        <f ca="1">IFERROR(__xludf.DUMMYFUNCTION("""COMPUTED_VALUE"""),"% Net Exposure (Base)")</f>
        <v>% Net Exposure (Base)</v>
      </c>
      <c r="EH5" s="23" t="str">
        <f ca="1">IFERROR(__xludf.DUMMYFUNCTION("""COMPUTED_VALUE"""),"% Gross Exposure (Base)")</f>
        <v>% Gross Exposure (Base)</v>
      </c>
      <c r="EI5" s="23" t="str">
        <f ca="1">IFERROR(__xludf.DUMMYFUNCTION("""COMPUTED_VALUE"""),"% Exposure (Base)")</f>
        <v>% Exposure (Base)</v>
      </c>
      <c r="EJ5" s="23" t="str">
        <f ca="1">IFERROR(__xludf.DUMMYFUNCTION("""COMPUTED_VALUE"""),"% Gross Exposure (Underlying) (Base)")</f>
        <v>% Gross Exposure (Underlying) (Base)</v>
      </c>
      <c r="EK5" s="23" t="str">
        <f ca="1">IFERROR(__xludf.DUMMYFUNCTION("""COMPUTED_VALUE"""),"% Beta Adj. Gross Exposure (Base)")</f>
        <v>% Beta Adj. Gross Exposure (Base)</v>
      </c>
      <c r="EL5" s="23" t="str">
        <f ca="1">IFERROR(__xludf.DUMMYFUNCTION("""COMPUTED_VALUE"""),"Position Side Exposure (Underlying)")</f>
        <v>Position Side Exposure (Underlying)</v>
      </c>
      <c r="EM5" s="23" t="str">
        <f ca="1">IFERROR(__xludf.DUMMYFUNCTION("""COMPUTED_VALUE"""),"Gross Exposure (Underlying) (Base)")</f>
        <v>Gross Exposure (Underlying) (Base)</v>
      </c>
      <c r="EN5" s="23" t="str">
        <f ca="1">IFERROR(__xludf.DUMMYFUNCTION("""COMPUTED_VALUE"""),"Gross Exposure (Underlying)")</f>
        <v>Gross Exposure (Underlying)</v>
      </c>
      <c r="EO5" s="23" t="str">
        <f ca="1">IFERROR(__xludf.DUMMYFUNCTION("""COMPUTED_VALUE"""),"Day Return")</f>
        <v>Day Return</v>
      </c>
      <c r="EP5" s="23" t="str">
        <f ca="1">IFERROR(__xludf.DUMMYFUNCTION("""COMPUTED_VALUE"""),"Start of Day NAV")</f>
        <v>Start of Day NAV</v>
      </c>
      <c r="EQ5" s="23" t="str">
        <f ca="1">IFERROR(__xludf.DUMMYFUNCTION("""COMPUTED_VALUE"""),"% Gross Market Value (Base)")</f>
        <v>% Gross Market Value (Base)</v>
      </c>
      <c r="ER5" s="23" t="str">
        <f ca="1">IFERROR(__xludf.DUMMYFUNCTION("""COMPUTED_VALUE"""),"Beta Adj. Gross Exposure (Underlying) (Local)")</f>
        <v>Beta Adj. Gross Exposure (Underlying) (Local)</v>
      </c>
      <c r="ES5" s="23" t="str">
        <f ca="1">IFERROR(__xludf.DUMMYFUNCTION("""COMPUTED_VALUE"""),"NAV")</f>
        <v>NAV</v>
      </c>
      <c r="ET5" s="23" t="str">
        <f ca="1">IFERROR(__xludf.DUMMYFUNCTION("""COMPUTED_VALUE"""),"% P&amp;L Contribution")</f>
        <v>% P&amp;L Contribution</v>
      </c>
      <c r="EU5" s="23" t="str">
        <f ca="1">IFERROR(__xludf.DUMMYFUNCTION("""COMPUTED_VALUE"""),"% Net Market Value (Base)")</f>
        <v>% Net Market Value (Base)</v>
      </c>
      <c r="EV5" s="23" t="str">
        <f ca="1">IFERROR(__xludf.DUMMYFUNCTION("""COMPUTED_VALUE"""),"Position Side Exposure")</f>
        <v>Position Side Exposure</v>
      </c>
      <c r="EW5" s="23" t="str">
        <f ca="1">IFERROR(__xludf.DUMMYFUNCTION("""COMPUTED_VALUE"""),"NAV (Touch)")</f>
        <v>NAV (Touch)</v>
      </c>
      <c r="EX5" s="23" t="str">
        <f ca="1">IFERROR(__xludf.DUMMYFUNCTION("""COMPUTED_VALUE"""),"IgnorePropertyChangeEvents")</f>
        <v>IgnorePropertyChangeEvents</v>
      </c>
      <c r="EY5" s="23" t="str">
        <f ca="1">IFERROR(__xludf.DUMMYFUNCTION("""COMPUTED_VALUE"""),"Trade Attribute 1")</f>
        <v>Trade Attribute 1</v>
      </c>
      <c r="EZ5" s="23" t="str">
        <f ca="1">IFERROR(__xludf.DUMMYFUNCTION("""COMPUTED_VALUE"""),"Trade Attribute 2")</f>
        <v>Trade Attribute 2</v>
      </c>
      <c r="FA5" s="23" t="str">
        <f ca="1">IFERROR(__xludf.DUMMYFUNCTION("""COMPUTED_VALUE"""),"")</f>
        <v/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  <c r="FK5" s="23" t="str">
        <f ca="1">IFERROR(__xludf.DUMMYFUNCTION("""COMPUTED_VALUE"""),"")</f>
        <v/>
      </c>
      <c r="FL5" s="23" t="str">
        <f ca="1">IFERROR(__xludf.DUMMYFUNCTION("""COMPUTED_VALUE"""),"")</f>
        <v/>
      </c>
      <c r="FM5" s="23" t="str">
        <f ca="1">IFERROR(__xludf.DUMMYFUNCTION("""COMPUTED_VALUE"""),"")</f>
        <v/>
      </c>
    </row>
    <row r="6" spans="1:169" ht="15.75" customHeight="1" x14ac:dyDescent="0.2">
      <c r="A6" s="3"/>
      <c r="B6" s="3"/>
      <c r="C6" s="1"/>
      <c r="D6" s="3"/>
      <c r="E6" s="24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69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9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69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9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69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9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9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69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9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9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0"/>
      <c r="B1" s="43" t="s">
        <v>9</v>
      </c>
      <c r="C1" s="44"/>
      <c r="D1" s="44"/>
      <c r="E1" s="44"/>
      <c r="F1" s="44"/>
      <c r="G1" s="44"/>
      <c r="H1" s="45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2" t="e">
        <f ca="1">VLOOKUP($E$3,_MasterData!B4:D1000,3,FALSE)</f>
        <v>#N/A</v>
      </c>
      <c r="K2" s="12"/>
      <c r="L2" s="1"/>
      <c r="M2" s="1"/>
      <c r="N2" s="1"/>
      <c r="O2" s="1"/>
    </row>
    <row r="3" spans="1:154" ht="15.75" customHeight="1" x14ac:dyDescent="0.2">
      <c r="A3" s="13"/>
      <c r="B3" s="2" t="s">
        <v>6</v>
      </c>
      <c r="C3" s="14" t="s">
        <v>20</v>
      </c>
      <c r="D3" s="2" t="s">
        <v>7</v>
      </c>
      <c r="E3" s="14" t="s">
        <v>37</v>
      </c>
      <c r="F3" s="2" t="s">
        <v>12</v>
      </c>
      <c r="G3" s="5" t="s">
        <v>13</v>
      </c>
      <c r="H3" s="2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spans="1:154" ht="15.75" customHeight="1" x14ac:dyDescent="0.2">
      <c r="A4" s="16"/>
      <c r="B4" s="16" t="str">
        <f ca="1">IFERROR(__xludf.DUMMYFUNCTION("IF(C3="""","""",Transpose(IMPORTRANGE('_Settings'!$B$3,C3&amp;""!A4:A1000"")))"),"SwapExpire")</f>
        <v>SwapExpire</v>
      </c>
      <c r="C4" s="16" t="str">
        <f ca="1">IFERROR(__xludf.DUMMYFUNCTION("""COMPUTED_VALUE"""),"GetDataClosing")</f>
        <v>GetDataClosing</v>
      </c>
      <c r="D4" s="16" t="str">
        <f ca="1">IFERROR(__xludf.DUMMYFUNCTION("""COMPUTED_VALUE"""),"ManualClosing")</f>
        <v>ManualClosing</v>
      </c>
      <c r="E4" s="16" t="str">
        <f ca="1">IFERROR(__xludf.DUMMYFUNCTION("""COMPUTED_VALUE"""),"AutomaticClosing")</f>
        <v>AutomaticClosing</v>
      </c>
      <c r="F4" s="16" t="str">
        <f ca="1">IFERROR(__xludf.DUMMYFUNCTION("""COMPUTED_VALUE"""),"UnwindClosing")</f>
        <v>UnwindClosing</v>
      </c>
      <c r="G4" s="16" t="str">
        <f ca="1">IFERROR(__xludf.DUMMYFUNCTION("""COMPUTED_VALUE"""),"VerifyClosedTrades")</f>
        <v>VerifyClosedTrades</v>
      </c>
      <c r="H4" s="16" t="str">
        <f ca="1">IFERROR(__xludf.DUMMYFUNCTION("""COMPUTED_VALUE"""),"VerifyLongPositionsGrid")</f>
        <v>VerifyLongPositionsGrid</v>
      </c>
      <c r="I4" s="16" t="str">
        <f ca="1">IFERROR(__xludf.DUMMYFUNCTION("""COMPUTED_VALUE"""),"VerifyShortPositionsGrid")</f>
        <v>VerifyShortPositionsGrid</v>
      </c>
      <c r="J4" s="16" t="str">
        <f ca="1">IFERROR(__xludf.DUMMYFUNCTION("""COMPUTED_VALUE"""),"SelectTradeUnexpiredUnsettled")</f>
        <v>SelectTradeUnexpiredUnsettled</v>
      </c>
      <c r="K4" s="16" t="str">
        <f ca="1">IFERROR(__xludf.DUMMYFUNCTION("""COMPUTED_VALUE"""),"CashSettlementAtCost")</f>
        <v>CashSettlementAtCost</v>
      </c>
      <c r="L4" s="16" t="str">
        <f ca="1">IFERROR(__xludf.DUMMYFUNCTION("""COMPUTED_VALUE"""),"CashSettlementAtZeroPrice")</f>
        <v>CashSettlementAtZeroPrice</v>
      </c>
      <c r="M4" s="16" t="str">
        <f ca="1">IFERROR(__xludf.DUMMYFUNCTION("""COMPUTED_VALUE"""),"CashSettlementAtClosingDtSpotPx")</f>
        <v>CashSettlementAtClosingDtSpotPx</v>
      </c>
      <c r="N4" s="16" t="str">
        <f ca="1">IFERROR(__xludf.DUMMYFUNCTION("""COMPUTED_VALUE"""),"PhysicalSettlement")</f>
        <v>PhysicalSettlement</v>
      </c>
      <c r="O4" s="16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3"/>
      <c r="B6" s="37" t="s">
        <v>18</v>
      </c>
      <c r="C6" s="1"/>
      <c r="D6" s="3"/>
      <c r="E6" s="24"/>
      <c r="F6" s="1"/>
      <c r="G6" s="1"/>
      <c r="H6" s="1"/>
      <c r="I6" s="38">
        <v>20</v>
      </c>
      <c r="J6" s="1"/>
      <c r="K6" s="1"/>
      <c r="L6" s="1"/>
      <c r="M6" s="38">
        <v>100</v>
      </c>
      <c r="N6" s="1"/>
      <c r="O6" s="1"/>
      <c r="P6" s="39" t="s">
        <v>17</v>
      </c>
      <c r="R6" s="39" t="s">
        <v>16</v>
      </c>
    </row>
    <row r="7" spans="1:154" ht="15.75" customHeight="1" x14ac:dyDescent="0.2">
      <c r="A7" s="1"/>
      <c r="B7" s="40" t="s">
        <v>18</v>
      </c>
      <c r="C7" s="1"/>
      <c r="D7" s="1"/>
      <c r="E7" s="1"/>
      <c r="F7" s="1"/>
      <c r="G7" s="1"/>
      <c r="H7" s="1"/>
      <c r="I7" s="41">
        <v>35</v>
      </c>
      <c r="J7" s="1"/>
      <c r="K7" s="1"/>
      <c r="L7" s="1"/>
      <c r="M7" s="41">
        <v>100</v>
      </c>
      <c r="N7" s="1"/>
      <c r="O7" s="1"/>
      <c r="P7" s="40" t="s">
        <v>17</v>
      </c>
      <c r="R7" s="40" t="s">
        <v>16</v>
      </c>
    </row>
    <row r="8" spans="1:154" ht="15.75" customHeight="1" x14ac:dyDescent="0.2">
      <c r="A8" s="1"/>
      <c r="B8" s="40" t="s">
        <v>18</v>
      </c>
      <c r="C8" s="1"/>
      <c r="D8" s="1"/>
      <c r="E8" s="1"/>
      <c r="F8" s="1"/>
      <c r="G8" s="1"/>
      <c r="H8" s="1"/>
      <c r="I8" s="41">
        <v>41</v>
      </c>
      <c r="J8" s="1"/>
      <c r="K8" s="1"/>
      <c r="L8" s="1"/>
      <c r="M8" s="41">
        <v>100</v>
      </c>
      <c r="N8" s="1"/>
      <c r="O8" s="1"/>
      <c r="P8" s="40" t="s">
        <v>17</v>
      </c>
      <c r="R8" s="40" t="s">
        <v>16</v>
      </c>
    </row>
    <row r="9" spans="1:154" ht="15.75" customHeight="1" x14ac:dyDescent="0.2">
      <c r="A9" s="1"/>
      <c r="B9" s="40" t="s">
        <v>18</v>
      </c>
      <c r="C9" s="1"/>
      <c r="D9" s="1"/>
      <c r="E9" s="1"/>
      <c r="F9" s="1"/>
      <c r="G9" s="1"/>
      <c r="H9" s="1"/>
      <c r="I9" s="41">
        <v>40</v>
      </c>
      <c r="J9" s="1"/>
      <c r="K9" s="1"/>
      <c r="L9" s="1"/>
      <c r="M9" s="41">
        <v>100</v>
      </c>
      <c r="N9" s="1"/>
      <c r="O9" s="1"/>
      <c r="P9" s="40" t="s">
        <v>17</v>
      </c>
      <c r="R9" s="40" t="s">
        <v>16</v>
      </c>
    </row>
    <row r="10" spans="1:154" ht="15.75" customHeight="1" x14ac:dyDescent="0.2">
      <c r="A10" s="1"/>
      <c r="B10" s="40" t="s">
        <v>18</v>
      </c>
      <c r="C10" s="1"/>
      <c r="D10" s="1"/>
      <c r="E10" s="1"/>
      <c r="F10" s="1"/>
      <c r="G10" s="1"/>
      <c r="H10" s="1"/>
      <c r="I10" s="41">
        <v>40</v>
      </c>
      <c r="J10" s="1"/>
      <c r="K10" s="1"/>
      <c r="L10" s="1"/>
      <c r="M10" s="41">
        <v>100</v>
      </c>
      <c r="N10" s="1"/>
      <c r="O10" s="1"/>
      <c r="P10" s="40" t="s">
        <v>17</v>
      </c>
      <c r="R10" s="40" t="s">
        <v>16</v>
      </c>
    </row>
    <row r="11" spans="1:154" ht="15.75" customHeight="1" x14ac:dyDescent="0.2">
      <c r="A11" s="1"/>
      <c r="B11" s="40" t="s">
        <v>18</v>
      </c>
      <c r="C11" s="1"/>
      <c r="D11" s="1"/>
      <c r="E11" s="1"/>
      <c r="F11" s="1"/>
      <c r="G11" s="1"/>
      <c r="H11" s="1"/>
      <c r="I11" s="41">
        <v>25</v>
      </c>
      <c r="J11" s="1"/>
      <c r="K11" s="1"/>
      <c r="L11" s="1"/>
      <c r="M11" s="41">
        <v>100</v>
      </c>
      <c r="N11" s="1"/>
      <c r="O11" s="1"/>
      <c r="P11" s="40" t="s">
        <v>17</v>
      </c>
      <c r="R11" s="40" t="s">
        <v>16</v>
      </c>
    </row>
    <row r="12" spans="1:154" ht="15.75" customHeight="1" x14ac:dyDescent="0.2">
      <c r="A12" s="1"/>
      <c r="B12" s="40" t="s">
        <v>18</v>
      </c>
      <c r="C12" s="1"/>
      <c r="D12" s="1"/>
      <c r="E12" s="1"/>
      <c r="F12" s="1"/>
      <c r="G12" s="1"/>
      <c r="H12" s="1"/>
      <c r="I12" s="41">
        <v>50</v>
      </c>
      <c r="J12" s="1"/>
      <c r="K12" s="1"/>
      <c r="L12" s="1"/>
      <c r="M12" s="41">
        <v>100</v>
      </c>
      <c r="N12" s="1"/>
      <c r="O12" s="1"/>
      <c r="P12" s="40" t="s">
        <v>17</v>
      </c>
      <c r="R12" s="40" t="s">
        <v>16</v>
      </c>
    </row>
    <row r="13" spans="1:154" ht="15.75" customHeight="1" x14ac:dyDescent="0.2">
      <c r="A13" s="1"/>
      <c r="B13" s="40" t="s">
        <v>18</v>
      </c>
      <c r="C13" s="1"/>
      <c r="D13" s="1"/>
      <c r="E13" s="1"/>
      <c r="F13" s="1"/>
      <c r="G13" s="1"/>
      <c r="H13" s="1"/>
      <c r="I13" s="41">
        <v>40</v>
      </c>
      <c r="J13" s="1"/>
      <c r="K13" s="1"/>
      <c r="L13" s="1"/>
      <c r="M13" s="41">
        <v>100</v>
      </c>
      <c r="N13" s="1"/>
      <c r="O13" s="1"/>
      <c r="P13" s="40" t="s">
        <v>17</v>
      </c>
      <c r="R13" s="40" t="s">
        <v>16</v>
      </c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0"/>
      <c r="B1" s="43" t="s">
        <v>9</v>
      </c>
      <c r="C1" s="44"/>
      <c r="D1" s="44"/>
      <c r="E1" s="44"/>
      <c r="F1" s="44"/>
      <c r="G1" s="44"/>
      <c r="H1" s="45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2" t="e">
        <f ca="1">VLOOKUP($E$3,_MasterData!B4:D1000,3,FALSE)</f>
        <v>#N/A</v>
      </c>
      <c r="K2" s="12"/>
      <c r="L2" s="1"/>
      <c r="M2" s="1"/>
      <c r="N2" s="1"/>
      <c r="O2" s="1"/>
    </row>
    <row r="3" spans="1:154" ht="15.75" customHeight="1" x14ac:dyDescent="0.2">
      <c r="A3" s="13"/>
      <c r="B3" s="2" t="s">
        <v>6</v>
      </c>
      <c r="C3" s="14" t="s">
        <v>20</v>
      </c>
      <c r="D3" s="2" t="s">
        <v>7</v>
      </c>
      <c r="E3" s="14" t="s">
        <v>38</v>
      </c>
      <c r="F3" s="2" t="s">
        <v>12</v>
      </c>
      <c r="G3" s="5" t="s">
        <v>13</v>
      </c>
      <c r="H3" s="2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spans="1:154" ht="15.75" customHeight="1" x14ac:dyDescent="0.2">
      <c r="A4" s="16"/>
      <c r="B4" s="16" t="str">
        <f ca="1">IFERROR(__xludf.DUMMYFUNCTION("IF(C3="""","""",Transpose(IMPORTRANGE('_Settings'!$B$3,C3&amp;""!A4:A1000"")))"),"SwapExpire")</f>
        <v>SwapExpire</v>
      </c>
      <c r="C4" s="16" t="str">
        <f ca="1">IFERROR(__xludf.DUMMYFUNCTION("""COMPUTED_VALUE"""),"GetDataClosing")</f>
        <v>GetDataClosing</v>
      </c>
      <c r="D4" s="16" t="str">
        <f ca="1">IFERROR(__xludf.DUMMYFUNCTION("""COMPUTED_VALUE"""),"ManualClosing")</f>
        <v>ManualClosing</v>
      </c>
      <c r="E4" s="16" t="str">
        <f ca="1">IFERROR(__xludf.DUMMYFUNCTION("""COMPUTED_VALUE"""),"AutomaticClosing")</f>
        <v>AutomaticClosing</v>
      </c>
      <c r="F4" s="16" t="str">
        <f ca="1">IFERROR(__xludf.DUMMYFUNCTION("""COMPUTED_VALUE"""),"UnwindClosing")</f>
        <v>UnwindClosing</v>
      </c>
      <c r="G4" s="16" t="str">
        <f ca="1">IFERROR(__xludf.DUMMYFUNCTION("""COMPUTED_VALUE"""),"VerifyClosedTrades")</f>
        <v>VerifyClosedTrades</v>
      </c>
      <c r="H4" s="16" t="str">
        <f ca="1">IFERROR(__xludf.DUMMYFUNCTION("""COMPUTED_VALUE"""),"VerifyLongPositionsGrid")</f>
        <v>VerifyLongPositionsGrid</v>
      </c>
      <c r="I4" s="16" t="str">
        <f ca="1">IFERROR(__xludf.DUMMYFUNCTION("""COMPUTED_VALUE"""),"VerifyShortPositionsGrid")</f>
        <v>VerifyShortPositionsGrid</v>
      </c>
      <c r="J4" s="16" t="str">
        <f ca="1">IFERROR(__xludf.DUMMYFUNCTION("""COMPUTED_VALUE"""),"SelectTradeUnexpiredUnsettled")</f>
        <v>SelectTradeUnexpiredUnsettled</v>
      </c>
      <c r="K4" s="16" t="str">
        <f ca="1">IFERROR(__xludf.DUMMYFUNCTION("""COMPUTED_VALUE"""),"CashSettlementAtCost")</f>
        <v>CashSettlementAtCost</v>
      </c>
      <c r="L4" s="16" t="str">
        <f ca="1">IFERROR(__xludf.DUMMYFUNCTION("""COMPUTED_VALUE"""),"CashSettlementAtZeroPrice")</f>
        <v>CashSettlementAtZeroPrice</v>
      </c>
      <c r="M4" s="16" t="str">
        <f ca="1">IFERROR(__xludf.DUMMYFUNCTION("""COMPUTED_VALUE"""),"CashSettlementAtClosingDtSpotPx")</f>
        <v>CashSettlementAtClosingDtSpotPx</v>
      </c>
      <c r="N4" s="16" t="str">
        <f ca="1">IFERROR(__xludf.DUMMYFUNCTION("""COMPUTED_VALUE"""),"PhysicalSettlement")</f>
        <v>PhysicalSettlement</v>
      </c>
      <c r="O4" s="16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3"/>
      <c r="B6" s="42" t="s">
        <v>18</v>
      </c>
      <c r="C6" s="1"/>
      <c r="D6" s="3"/>
      <c r="E6" s="24"/>
      <c r="F6" s="1"/>
      <c r="G6" s="1"/>
      <c r="H6" s="1"/>
      <c r="I6" s="3">
        <v>40</v>
      </c>
      <c r="J6" s="1"/>
      <c r="K6" s="1"/>
      <c r="L6" s="1"/>
      <c r="M6" s="41">
        <v>200</v>
      </c>
      <c r="N6" s="1"/>
      <c r="O6" s="1"/>
      <c r="P6" s="40" t="s">
        <v>19</v>
      </c>
      <c r="R6" s="40" t="s">
        <v>16</v>
      </c>
    </row>
    <row r="7" spans="1:154" ht="15.75" customHeight="1" x14ac:dyDescent="0.2">
      <c r="A7" s="1"/>
      <c r="B7" s="40" t="s">
        <v>18</v>
      </c>
      <c r="C7" s="1"/>
      <c r="D7" s="1"/>
      <c r="E7" s="1"/>
      <c r="F7" s="1"/>
      <c r="G7" s="1"/>
      <c r="H7" s="1"/>
      <c r="I7" s="3">
        <v>30</v>
      </c>
      <c r="J7" s="1"/>
      <c r="K7" s="1"/>
      <c r="L7" s="1"/>
      <c r="M7" s="41">
        <v>200</v>
      </c>
      <c r="N7" s="1"/>
      <c r="O7" s="1"/>
      <c r="P7" s="40" t="s">
        <v>19</v>
      </c>
      <c r="R7" s="40" t="s">
        <v>16</v>
      </c>
    </row>
    <row r="8" spans="1:154" ht="15.75" customHeight="1" x14ac:dyDescent="0.2">
      <c r="A8" s="1"/>
      <c r="B8" s="40" t="s">
        <v>18</v>
      </c>
      <c r="C8" s="1"/>
      <c r="D8" s="1"/>
      <c r="E8" s="1"/>
      <c r="F8" s="1"/>
      <c r="G8" s="1"/>
      <c r="H8" s="1"/>
      <c r="I8" s="3">
        <v>40</v>
      </c>
      <c r="J8" s="1"/>
      <c r="K8" s="1"/>
      <c r="L8" s="1"/>
      <c r="M8" s="41">
        <v>400</v>
      </c>
      <c r="N8" s="1"/>
      <c r="O8" s="1"/>
      <c r="P8" s="40" t="s">
        <v>19</v>
      </c>
      <c r="R8" s="40" t="s">
        <v>16</v>
      </c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CreateDoneAwayOrder</vt:lpstr>
      <vt:lpstr>GetDataClosing</vt:lpstr>
      <vt:lpstr>AutomaticClosing</vt:lpstr>
      <vt:lpstr>VerifyClosedTrades</vt:lpstr>
      <vt:lpstr>UnwindClosing</vt:lpstr>
      <vt:lpstr>GetDataAllocation</vt:lpstr>
      <vt:lpstr>CheckAllocatedGroups</vt:lpstr>
      <vt:lpstr>CheckPortfolioManagement</vt:lpstr>
      <vt:lpstr>VerifyLongPositionsGrid</vt:lpstr>
      <vt:lpstr>VerifyShortPositionsGrid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2021-08-04T09:34:49Z</dcterms:modified>
</cp:coreProperties>
</file>