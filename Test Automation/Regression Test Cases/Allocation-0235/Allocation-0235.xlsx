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VerifyOrder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<sst xmlns="http://schemas.openxmlformats.org/spreadsheetml/2006/main" count="151" uniqueCount="60">
  <si>
    <t>Modules Info</t>
  </si>
  <si>
    <t>Modules</t>
  </si>
  <si>
    <t>Settings</t>
  </si>
  <si>
    <t>Module Step Setting File</t>
  </si>
  <si>
    <t>1v7W0iGGi5m5VOiPrbR2W0KiP7R-hGTA2jA1XBhM61pw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</si>
  <si>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</si>
  <si>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</si>
  <si>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</si>
  <si>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</si>
  <si>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</si>
  <si>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</si>
  <si>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</si>
  <si>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</si>
  <si>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</si>
  <si>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</si>
  <si>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</si>
  <si>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</t>
  </si>
  <si>
    <t>TradingTicket</t>
  </si>
  <si>
    <t>CreateDoneAwayOrder</t>
  </si>
  <si>
    <t>AAPL</t>
  </si>
  <si>
    <t>Buy</t>
  </si>
  <si>
    <t>Allocation1</t>
  </si>
  <si>
    <t>NASDAQ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</si>
  <si>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</si>
  <si>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</si>
  <si>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</si>
  <si>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</si>
  <si>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</si>
  <si>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</si>
  <si>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</si>
  <si>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</si>
  <si>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</si>
  <si>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</si>
  <si>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</si>
  <si>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</si>
  <si>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</si>
  <si>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</si>
  <si>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</si>
  <si>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</si>
  <si>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</si>
  <si>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</si>
  <si>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</si>
  <si>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</si>
  <si>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</si>
  <si>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VerifyOrder</t>
  </si>
  <si>
    <t>NewMF</t>
  </si>
  <si>
    <t>Filled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</si>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</sst>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17" numFmtId="0" xfId="0" applyAlignment="1" applyFont="1">
      <alignment horizontal="right" readingOrder="0" vertical="top"/>
    </xf>
    <xf borderId="0" fillId="6" fontId="3" numFmtId="0" xfId="0" applyAlignment="1" applyFont="1">
      <alignment vertical="top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IFERROR(__xludf.DUMMYFUNCTION("IF(C3="""","""",Transpose(IMPORTRANGE('_Settings'!$B$3,C3&amp;""!A4:A1000"")))"),"SetCompliancePermission")</f>
        <v>SetCompliancePermission</v>
      </c>
      <c r="C4" s="24" t="str">
        <f>IFERROR(__xludf.DUMMYFUNCTION("""COMPUTED_VALUE"""),"DeleteSymbolFromSM")</f>
        <v>DeleteSymbolFromSM</v>
      </c>
      <c r="D4" s="24" t="str">
        <f>IFERROR(__xludf.DUMMYFUNCTION("""COMPUTED_VALUE"""),"TradeAuditCleanUp")</f>
        <v>TradeAuditCleanUp</v>
      </c>
      <c r="E4" s="24" t="str">
        <f>IFERROR(__xludf.DUMMYFUNCTION("""COMPUTED_VALUE"""),"RestartSQL")</f>
        <v>RestartSQL</v>
      </c>
      <c r="F4" s="24" t="str">
        <f>IFERROR(__xludf.DUMMYFUNCTION("""COMPUTED_VALUE"""),"RevertingSMSharesOutValue")</f>
        <v>RevertingSMSharesOutValue</v>
      </c>
      <c r="G4" s="24" t="str">
        <f>IFERROR(__xludf.DUMMYFUNCTION("""COMPUTED_VALUE"""),"UpdateFee")</f>
        <v>UpdateFee</v>
      </c>
      <c r="H4" s="24" t="str">
        <f>IFERROR(__xludf.DUMMYFUNCTION("""COMPUTED_VALUE"""),"UpdateSecFee")</f>
        <v>UpdateSecFee</v>
      </c>
      <c r="I4" s="24" t="str">
        <f>IFERROR(__xludf.DUMMYFUNCTION("""COMPUTED_VALUE"""),"SetTTUIPreferences")</f>
        <v>SetTTUIPreferences</v>
      </c>
      <c r="J4" s="24" t="str">
        <f>IFERROR(__xludf.DUMMYFUNCTION("""COMPUTED_VALUE"""),"SetTTUIAdminPreferences")</f>
        <v>SetTTUIAdminPreferences</v>
      </c>
      <c r="K4" s="24" t="str">
        <f>IFERROR(__xludf.DUMMYFUNCTION("""COMPUTED_VALUE"""),"TTPermissionLevel")</f>
        <v>TTPermissionLevel</v>
      </c>
      <c r="L4" s="24" t="str">
        <f>IFERROR(__xludf.DUMMYFUNCTION("""COMPUTED_VALUE"""),"RenameMasterStrategy")</f>
        <v>RenameMasterStrategy</v>
      </c>
      <c r="M4" s="24" t="str">
        <f>IFERROR(__xludf.DUMMYFUNCTION("""COMPUTED_VALUE"""),"UpdateExpirationDate")</f>
        <v>UpdateExpirationDate</v>
      </c>
      <c r="N4" s="24" t="str">
        <f>IFERROR(__xludf.DUMMYFUNCTION("""COMPUTED_VALUE"""),"SetComplianceAlert")</f>
        <v>SetComplianceAlert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IFERROR(__xludf.DUMMYFUNCTION("""COMPUTED_VALUE"""),"IsImportOverrideOnShortLocate")</f>
        <v>IsImportOverrideOnShortLocate</v>
      </c>
      <c r="Q4" s="25" t="str">
        <f>IFERROR(__xludf.DUMMYFUNCTION("""COMPUTED_VALUE"""),"EnableDisableModule")</f>
        <v>EnableDisableModule</v>
      </c>
      <c r="R4" s="25" t="str">
        <f>IFERROR(__xludf.DUMMYFUNCTION("""COMPUTED_VALUE"""),"SetDollarAmountPermission")</f>
        <v>SetDollarAmountPermission</v>
      </c>
      <c r="S4" s="25" t="str">
        <f>IFERROR(__xludf.DUMMYFUNCTION("""COMPUTED_VALUE"""),"SetTTGeneralPreferences")</f>
        <v>SetTTGeneralPreferences</v>
      </c>
      <c r="T4" s="25" t="str">
        <f>IFERROR(__xludf.DUMMYFUNCTION("""COMPUTED_VALUE"""),"EnableBreakdownRealizedPNL")</f>
        <v>EnableBreakdownRealizedPNL</v>
      </c>
      <c r="U4" s="25" t="str">
        <f>IFERROR(__xludf.DUMMYFUNCTION("""COMPUTED_VALUE"""),"SetTradingComplianceRules")</f>
        <v>SetTradingComplianceRules</v>
      </c>
      <c r="V4" s="25" t="str">
        <f>IFERROR(__xludf.DUMMYFUNCTION("""COMPUTED_VALUE"""),"UpdateRoundLot")</f>
        <v>UpdateRoundLot</v>
      </c>
      <c r="W4" s="25" t="str">
        <f>IFERROR(__xludf.DUMMYFUNCTION("""COMPUTED_VALUE"""),"SetThirdPartyFormat")</f>
        <v>SetThirdPartyFormat</v>
      </c>
      <c r="X4" s="25" t="str">
        <f>IFERROR(__xludf.DUMMYFUNCTION("""COMPUTED_VALUE"""),"SetActive")</f>
        <v>SetActive</v>
      </c>
      <c r="Y4" s="25" t="str">
        <f>IFERROR(__xludf.DUMMYFUNCTION("""COMPUTED_VALUE"""),"SetRollover")</f>
        <v>SetRollover</v>
      </c>
      <c r="Z4" s="25" t="str">
        <f>IFERROR(__xludf.DUMMYFUNCTION("""COMPUTED_VALUE"""),"SetCheckSide")</f>
        <v>SetCheckSide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100.0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7" t="s">
        <v>22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21</v>
      </c>
      <c r="C6" s="39"/>
      <c r="D6" s="32"/>
      <c r="E6" s="33">
        <v>100.0</v>
      </c>
      <c r="F6" s="39" t="s">
        <v>27</v>
      </c>
      <c r="G6" s="39" t="s">
        <v>28</v>
      </c>
      <c r="H6" s="33">
        <v>4.0</v>
      </c>
      <c r="I6" s="33">
        <v>5.0</v>
      </c>
      <c r="J6" s="33">
        <v>1.0</v>
      </c>
      <c r="K6" s="33">
        <v>10.0</v>
      </c>
      <c r="L6" s="33">
        <v>10.0</v>
      </c>
      <c r="M6" s="39" t="s">
        <v>29</v>
      </c>
      <c r="N6" s="39"/>
      <c r="O6" s="40" t="s">
        <v>16</v>
      </c>
      <c r="P6" s="33"/>
      <c r="Q6" s="33">
        <v>3.0</v>
      </c>
      <c r="R6" s="33">
        <v>0.0</v>
      </c>
      <c r="S6" s="39" t="s">
        <v>30</v>
      </c>
      <c r="T6" s="36">
        <v>0.0</v>
      </c>
      <c r="U6" s="36">
        <v>0.0</v>
      </c>
      <c r="V6" s="41"/>
      <c r="W6" s="36">
        <v>1.0</v>
      </c>
      <c r="X6" s="36"/>
      <c r="Y6" s="36"/>
      <c r="Z6" s="41" t="s">
        <v>31</v>
      </c>
      <c r="AA6" s="41"/>
      <c r="AB6" s="36">
        <v>1.0</v>
      </c>
      <c r="AC6" s="41" t="s">
        <v>32</v>
      </c>
      <c r="AD6" s="42"/>
      <c r="AE6" s="36">
        <v>100.0</v>
      </c>
      <c r="AF6" s="43"/>
      <c r="AG6" s="43"/>
      <c r="AH6" s="41" t="s">
        <v>33</v>
      </c>
      <c r="AI6" s="36">
        <v>1.0</v>
      </c>
      <c r="AJ6" s="41" t="s">
        <v>34</v>
      </c>
      <c r="AK6" s="36"/>
      <c r="AL6" s="36"/>
      <c r="AM6" s="41" t="s">
        <v>35</v>
      </c>
      <c r="AN6" s="44"/>
      <c r="AO6" s="36"/>
      <c r="AP6" s="44" t="b">
        <v>1</v>
      </c>
      <c r="AQ6" s="44" t="b">
        <v>0</v>
      </c>
      <c r="AR6" s="44" t="b">
        <v>1</v>
      </c>
      <c r="AS6" s="36"/>
      <c r="AT6" s="45">
        <v>1014.0006</v>
      </c>
      <c r="AU6" s="45">
        <v>1014.0006</v>
      </c>
      <c r="AV6" s="46"/>
      <c r="AW6" s="36">
        <v>0.0</v>
      </c>
      <c r="AX6" s="36">
        <v>0.0</v>
      </c>
      <c r="AY6" s="41" t="s">
        <v>36</v>
      </c>
      <c r="AZ6" s="36">
        <v>0.0</v>
      </c>
      <c r="BA6" s="46"/>
      <c r="BB6" s="36"/>
      <c r="BC6" s="36">
        <v>0.0</v>
      </c>
      <c r="BD6" s="41" t="s">
        <v>37</v>
      </c>
      <c r="BE6" s="45">
        <v>1000.0</v>
      </c>
      <c r="BF6" s="45">
        <v>1000.0</v>
      </c>
      <c r="BG6" s="46"/>
      <c r="BH6" s="36"/>
      <c r="BI6" s="36"/>
      <c r="BJ6" s="36">
        <v>100.0</v>
      </c>
      <c r="BK6" s="36">
        <v>0.0</v>
      </c>
      <c r="BL6" s="41"/>
      <c r="BM6" s="41" t="s">
        <v>31</v>
      </c>
      <c r="BN6" s="46"/>
      <c r="BO6" s="41" t="s">
        <v>20</v>
      </c>
      <c r="BP6" s="36">
        <v>0.0</v>
      </c>
      <c r="BQ6" s="36">
        <v>0.0</v>
      </c>
      <c r="BR6" s="36">
        <v>6.0E-4</v>
      </c>
      <c r="BS6" s="41" t="s">
        <v>38</v>
      </c>
      <c r="BT6" s="41" t="s">
        <v>19</v>
      </c>
      <c r="BU6" s="36">
        <v>3.0</v>
      </c>
      <c r="BV6" s="36">
        <v>0.0</v>
      </c>
      <c r="BW6" s="36">
        <v>14.0006</v>
      </c>
      <c r="BX6" s="36">
        <v>0.0</v>
      </c>
      <c r="BY6" s="36"/>
      <c r="BZ6" s="36"/>
      <c r="CA6" s="36"/>
      <c r="CB6" s="36"/>
      <c r="CC6" s="36"/>
      <c r="CD6" s="36"/>
      <c r="CE6" s="36"/>
      <c r="CF6" s="41" t="s">
        <v>39</v>
      </c>
      <c r="CG6" s="36">
        <v>2.0</v>
      </c>
      <c r="CH6" s="41" t="s">
        <v>17</v>
      </c>
      <c r="CI6" s="41" t="s">
        <v>20</v>
      </c>
      <c r="CJ6" s="36">
        <v>0.0</v>
      </c>
      <c r="CK6" s="41" t="s">
        <v>40</v>
      </c>
      <c r="CL6" s="36">
        <v>1.0</v>
      </c>
      <c r="CM6" s="41" t="s">
        <v>19</v>
      </c>
      <c r="CN6" s="41" t="s">
        <v>41</v>
      </c>
      <c r="CO6" s="37" t="s">
        <v>22</v>
      </c>
      <c r="CP6" s="41" t="s">
        <v>42</v>
      </c>
      <c r="CQ6" s="36"/>
      <c r="CR6" s="36"/>
      <c r="CS6" s="36"/>
      <c r="CT6" s="36"/>
      <c r="CU6" s="36"/>
      <c r="CV6" s="46"/>
      <c r="CW6" s="43"/>
      <c r="CX6" s="36"/>
      <c r="CY6" s="36"/>
      <c r="CZ6" s="36"/>
      <c r="DA6" s="36"/>
      <c r="DB6" s="36"/>
      <c r="DC6" s="36"/>
      <c r="DD6" s="41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47">
        <v>10.0</v>
      </c>
      <c r="E6" s="48" t="s">
        <v>29</v>
      </c>
      <c r="F6" s="48">
        <v>0.0</v>
      </c>
      <c r="G6" s="48"/>
      <c r="H6" s="37" t="s">
        <v>22</v>
      </c>
      <c r="I6" s="48" t="s">
        <v>41</v>
      </c>
      <c r="J6" s="48" t="s">
        <v>19</v>
      </c>
      <c r="K6" s="48" t="s">
        <v>40</v>
      </c>
      <c r="L6" s="48" t="s">
        <v>39</v>
      </c>
      <c r="M6" s="33"/>
      <c r="N6" s="33"/>
      <c r="O6" s="33"/>
      <c r="P6" s="33"/>
      <c r="Q6" s="33"/>
      <c r="R6" s="33"/>
      <c r="S6" s="48">
        <v>0.0</v>
      </c>
      <c r="T6" s="49">
        <v>0.0</v>
      </c>
      <c r="U6" s="50" t="s">
        <v>31</v>
      </c>
      <c r="V6" s="51" t="s">
        <v>42</v>
      </c>
      <c r="W6" s="49"/>
      <c r="X6" s="49">
        <v>0.0</v>
      </c>
      <c r="Y6" s="49"/>
      <c r="Z6" s="49"/>
      <c r="AA6" s="49" t="s">
        <v>45</v>
      </c>
      <c r="AB6" s="49">
        <v>100.0</v>
      </c>
      <c r="AC6" s="49"/>
      <c r="AD6" s="49">
        <v>1.0</v>
      </c>
      <c r="AE6" s="52"/>
      <c r="AF6" s="49" t="s">
        <v>33</v>
      </c>
      <c r="AG6" s="49"/>
      <c r="AH6" s="49" t="s">
        <v>28</v>
      </c>
      <c r="AI6" s="49" t="s">
        <v>19</v>
      </c>
      <c r="AJ6" s="49" t="s">
        <v>20</v>
      </c>
      <c r="AK6" s="49" t="s">
        <v>46</v>
      </c>
      <c r="AL6" s="49">
        <v>100.0</v>
      </c>
      <c r="AM6" s="49">
        <v>100.0</v>
      </c>
      <c r="AN6" s="49">
        <v>100.0</v>
      </c>
      <c r="AO6" s="49">
        <v>100.0</v>
      </c>
      <c r="AP6" s="36"/>
      <c r="AQ6" s="49">
        <v>10.0</v>
      </c>
      <c r="AR6" s="49">
        <v>10.0</v>
      </c>
      <c r="AS6" s="53" t="s">
        <v>16</v>
      </c>
      <c r="AT6" s="49" t="s">
        <v>21</v>
      </c>
      <c r="AU6" s="49" t="s">
        <v>36</v>
      </c>
      <c r="AV6" s="49">
        <v>1000.0</v>
      </c>
      <c r="AW6" s="49">
        <v>1000.0</v>
      </c>
      <c r="AX6" s="49" t="s">
        <v>27</v>
      </c>
      <c r="AY6" s="49">
        <v>100.0</v>
      </c>
      <c r="AZ6" s="52"/>
      <c r="BA6" s="54"/>
      <c r="BB6" s="54"/>
      <c r="BC6" s="49"/>
      <c r="BD6" s="54"/>
      <c r="BE6" s="54"/>
      <c r="BF6" s="49"/>
      <c r="BG6" s="54"/>
      <c r="BH6" s="49"/>
      <c r="BI6" s="49"/>
      <c r="BJ6" s="54"/>
      <c r="BK6" s="54"/>
      <c r="BL6" s="54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IFERROR(__xludf.DUMMYFUNCTION("""COMPUTED_VALUE"""),"IncreasePositionFromPM")</f>
        <v>IncreasePositionFromPM</v>
      </c>
      <c r="G4" s="24" t="str">
        <f>IFERROR(__xludf.DUMMYFUNCTION("""COMPUTED_VALUE"""),"ClosePM")</f>
        <v>ClosePM</v>
      </c>
      <c r="H4" s="24" t="str">
        <f>IFERROR(__xludf.DUMMYFUNCTION("""COMPUTED_VALUE"""),"RemoveGroupingFromPM")</f>
        <v>RemoveGroupingFromPM</v>
      </c>
      <c r="I4" s="24" t="str">
        <f>IFERROR(__xludf.DUMMYFUNCTION("""COMPUTED_VALUE"""),"OpenCreateTransactionFromPM")</f>
        <v>OpenCreateTransactionFromPM</v>
      </c>
      <c r="J4" s="24" t="str">
        <f>IFERROR(__xludf.DUMMYFUNCTION("""COMPUTED_VALUE"""),"FilterPM")</f>
        <v>FilterPM</v>
      </c>
      <c r="K4" s="24" t="str">
        <f>IFERROR(__xludf.DUMMYFUNCTION("""COMPUTED_VALUE"""),"GroupRowPM")</f>
        <v>GroupRowPM</v>
      </c>
      <c r="L4" s="24" t="str">
        <f>IFERROR(__xludf.DUMMYFUNCTION("""COMPUTED_VALUE"""),"CheckDashboardWithPM")</f>
        <v>CheckDashboardWithPM</v>
      </c>
      <c r="M4" s="24" t="str">
        <f>IFERROR(__xludf.DUMMYFUNCTION("""COMPUTED_VALUE"""),"RemoveFilterPM")</f>
        <v>RemoveFilterPM</v>
      </c>
      <c r="N4" s="24" t="str">
        <f>IFERROR(__xludf.DUMMYFUNCTION("""COMPUTED_VALUE"""),"CheckSummaryRowsPM")</f>
        <v>CheckSummaryRowsPM</v>
      </c>
      <c r="O4" s="24" t="str">
        <f>IFERROR(__xludf.DUMMYFUNCTION("""COMPUTED_VALUE"""),"OpenPTTFromPM")</f>
        <v>OpenPTTFromPM</v>
      </c>
      <c r="P4" s="25" t="str">
        <f>IFERROR(__xludf.DUMMYFUNCTION("""COMPUTED_VALUE"""),"DeleteCustomViewPM")</f>
        <v>DeleteCustomViewPM</v>
      </c>
      <c r="Q4" s="25" t="str">
        <f>IFERROR(__xludf.DUMMYFUNCTION("""COMPUTED_VALUE"""),"RenameCustomViewPM")</f>
        <v>RenameCustomViewPM</v>
      </c>
      <c r="R4" s="25" t="str">
        <f>IFERROR(__xludf.DUMMYFUNCTION("""COMPUTED_VALUE"""),"AddCustomViewRightClickPM")</f>
        <v>AddCustomViewRightClickPM</v>
      </c>
      <c r="S4" s="25" t="str">
        <f>IFERROR(__xludf.DUMMYFUNCTION("""COMPUTED_VALUE"""),"AddCustomViewPM")</f>
        <v>AddCustomViewPM</v>
      </c>
      <c r="T4" s="25" t="str">
        <f>IFERROR(__xludf.DUMMYFUNCTION("""COMPUTED_VALUE"""),"ExpandCollapsePM")</f>
        <v>ExpandCollapsePM</v>
      </c>
      <c r="U4" s="25" t="str">
        <f>IFERROR(__xludf.DUMMYFUNCTION("""COMPUTED_VALUE"""),"CloseSelectedTaxlotsFromPM")</f>
        <v>CloseSelectedTaxlotsFromPM</v>
      </c>
      <c r="V4" s="25" t="str">
        <f>IFERROR(__xludf.DUMMYFUNCTION("""COMPUTED_VALUE"""),"CloseAccountPositionFromPM")</f>
        <v>CloseAccountPositionFromPM</v>
      </c>
      <c r="W4" s="25" t="str">
        <f>IFERROR(__xludf.DUMMYFUNCTION("""COMPUTED_VALUE"""),"HideSummaryToolFromPM")</f>
        <v>HideSummaryToolFromPM</v>
      </c>
      <c r="X4" s="25" t="str">
        <f>IFERROR(__xludf.DUMMYFUNCTION("""COMPUTED_VALUE"""),"ShowSummaryToolFromPM")</f>
        <v>ShowSummaryToolFromPM</v>
      </c>
      <c r="Y4" s="25" t="str">
        <f>IFERROR(__xludf.DUMMYFUNCTION("""COMPUTED_VALUE"""),"ClosePositionFromPM")</f>
        <v>ClosePositionFromPM</v>
      </c>
      <c r="Z4" s="25" t="str">
        <f>IFERROR(__xludf.DUMMYFUNCTION("""COMPUTED_VALUE"""),"OpenDailyValuationFromPM")</f>
        <v>OpenDailyValuationFromPM</v>
      </c>
      <c r="AA4" s="25" t="str">
        <f>IFERROR(__xludf.DUMMYFUNCTION("""COMPUTED_VALUE"""),"OpenCorporateActionFromPM")</f>
        <v>OpenCorporateActionFromPM</v>
      </c>
      <c r="AB4" s="25" t="str">
        <f>IFERROR(__xludf.DUMMYFUNCTION("""COMPUTED_VALUE"""),"OpenClosingFromPM")</f>
        <v>OpenClosingFromPM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55"/>
      <c r="C6" s="39" t="s">
        <v>19</v>
      </c>
      <c r="D6" s="56">
        <v>100.0</v>
      </c>
      <c r="E6" s="39" t="s">
        <v>21</v>
      </c>
      <c r="F6" s="39" t="s">
        <v>45</v>
      </c>
      <c r="G6" s="57">
        <v>10.0</v>
      </c>
      <c r="H6" s="39" t="s">
        <v>49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58">
        <v>-1000.0</v>
      </c>
      <c r="O6" s="39" t="s">
        <v>50</v>
      </c>
      <c r="P6" s="39" t="s">
        <v>51</v>
      </c>
      <c r="Q6" s="58">
        <v>-1000.0</v>
      </c>
      <c r="R6" s="40" t="s">
        <v>52</v>
      </c>
      <c r="S6" s="39" t="s">
        <v>38</v>
      </c>
      <c r="T6" s="41" t="s">
        <v>28</v>
      </c>
      <c r="U6" s="41" t="s">
        <v>40</v>
      </c>
      <c r="V6" s="41" t="s">
        <v>22</v>
      </c>
      <c r="W6" s="41" t="s">
        <v>31</v>
      </c>
      <c r="X6" s="59">
        <v>1.0</v>
      </c>
      <c r="Y6" s="59">
        <v>1.0</v>
      </c>
      <c r="Z6" s="36"/>
      <c r="AA6" s="36"/>
      <c r="AB6" s="59">
        <v>0.0</v>
      </c>
      <c r="AC6" s="59">
        <v>0.0</v>
      </c>
      <c r="AD6" s="59">
        <v>0.0</v>
      </c>
      <c r="AE6" s="59">
        <v>0.0</v>
      </c>
      <c r="AF6" s="59">
        <v>100.0</v>
      </c>
      <c r="AG6" s="59">
        <v>0.0</v>
      </c>
      <c r="AH6" s="59">
        <v>0.0</v>
      </c>
      <c r="AI6" s="59">
        <v>0.0</v>
      </c>
      <c r="AJ6" s="59">
        <v>0.0</v>
      </c>
      <c r="AK6" s="60">
        <v>-1000.0</v>
      </c>
      <c r="AL6" s="59">
        <v>1.0</v>
      </c>
      <c r="AM6" s="59">
        <v>1.0</v>
      </c>
      <c r="AN6" s="41" t="s">
        <v>20</v>
      </c>
      <c r="AO6" s="36"/>
      <c r="AP6" s="41" t="s">
        <v>49</v>
      </c>
      <c r="AQ6" s="41" t="s">
        <v>19</v>
      </c>
      <c r="AR6" s="59">
        <v>0.0</v>
      </c>
      <c r="AS6" s="59">
        <v>1.0</v>
      </c>
      <c r="AT6" s="41" t="s">
        <v>32</v>
      </c>
      <c r="AU6" s="41" t="s">
        <v>35</v>
      </c>
      <c r="AV6" s="59">
        <v>1.0</v>
      </c>
      <c r="AW6" s="60">
        <v>-1000.0</v>
      </c>
      <c r="AX6" s="59">
        <v>0.0</v>
      </c>
      <c r="AY6" s="59">
        <v>0.0</v>
      </c>
      <c r="AZ6" s="59">
        <v>0.0</v>
      </c>
      <c r="BA6" s="59">
        <v>-100.0</v>
      </c>
      <c r="BB6" s="43"/>
      <c r="BC6" s="59">
        <v>1.0</v>
      </c>
      <c r="BD6" s="60">
        <v>-1000.0</v>
      </c>
      <c r="BE6" s="41" t="s">
        <v>28</v>
      </c>
      <c r="BF6" s="41" t="s">
        <v>53</v>
      </c>
      <c r="BG6" s="41" t="s">
        <v>54</v>
      </c>
      <c r="BH6" s="41" t="s">
        <v>51</v>
      </c>
      <c r="BI6" s="59">
        <v>5.0</v>
      </c>
      <c r="BJ6" s="59">
        <v>0.0</v>
      </c>
      <c r="BK6" s="59">
        <v>0.0</v>
      </c>
      <c r="BL6" s="59">
        <v>0.0</v>
      </c>
      <c r="BM6" s="59">
        <v>0.0</v>
      </c>
      <c r="BN6" s="43"/>
      <c r="BO6" s="60">
        <v>-1000.0</v>
      </c>
      <c r="BP6" s="59">
        <v>0.0</v>
      </c>
      <c r="BQ6" s="41" t="s">
        <v>41</v>
      </c>
      <c r="BR6" s="42" t="s">
        <v>16</v>
      </c>
      <c r="BS6" s="59">
        <v>0.0</v>
      </c>
      <c r="BT6" s="59">
        <v>0.0</v>
      </c>
      <c r="BU6" s="41" t="s">
        <v>28</v>
      </c>
      <c r="BV6" s="59"/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B6" s="46"/>
      <c r="CC6" s="59">
        <v>0.0</v>
      </c>
      <c r="CD6" s="60">
        <v>-1000.0</v>
      </c>
      <c r="CE6" s="59">
        <v>0.0</v>
      </c>
      <c r="CF6" s="59">
        <v>0.0</v>
      </c>
      <c r="CG6" s="60">
        <v>-1000.0</v>
      </c>
      <c r="CH6" s="59">
        <v>-100.0</v>
      </c>
      <c r="CI6" s="59">
        <v>0.0</v>
      </c>
      <c r="CJ6" s="59">
        <v>0.0</v>
      </c>
      <c r="CK6" s="44" t="b">
        <v>0</v>
      </c>
      <c r="CL6" s="36"/>
      <c r="CM6" s="36"/>
      <c r="CN6" s="41" t="s">
        <v>19</v>
      </c>
      <c r="CO6" s="41" t="s">
        <v>19</v>
      </c>
      <c r="CP6" s="41" t="s">
        <v>29</v>
      </c>
      <c r="CQ6" s="36"/>
      <c r="CR6" s="46"/>
      <c r="CS6" s="59">
        <v>10.0</v>
      </c>
      <c r="CT6" s="36"/>
      <c r="CU6" s="36"/>
      <c r="CV6" s="36"/>
      <c r="CW6" s="36"/>
      <c r="CX6" s="36"/>
      <c r="CY6" s="41" t="s">
        <v>34</v>
      </c>
      <c r="CZ6" s="41" t="s">
        <v>55</v>
      </c>
      <c r="DA6" s="59">
        <v>0.0</v>
      </c>
      <c r="DB6" s="59">
        <v>0.0</v>
      </c>
      <c r="DC6" s="43"/>
      <c r="DD6" s="59">
        <v>100.0</v>
      </c>
      <c r="DE6" s="59">
        <v>0.0</v>
      </c>
      <c r="DF6" s="59">
        <v>0.0</v>
      </c>
      <c r="DG6" s="59">
        <v>0.0</v>
      </c>
      <c r="DH6" s="41" t="s">
        <v>51</v>
      </c>
      <c r="DI6" s="59">
        <v>0.0</v>
      </c>
      <c r="DJ6" s="41" t="s">
        <v>20</v>
      </c>
      <c r="DK6" s="59">
        <v>0.0</v>
      </c>
      <c r="DL6" s="59">
        <v>0.0</v>
      </c>
      <c r="DM6" s="59">
        <v>1.0</v>
      </c>
      <c r="DN6" s="59">
        <v>0.0</v>
      </c>
      <c r="DO6" s="36"/>
      <c r="DP6" s="41" t="s">
        <v>49</v>
      </c>
      <c r="DQ6" s="41" t="s">
        <v>56</v>
      </c>
      <c r="DR6" s="41" t="s">
        <v>57</v>
      </c>
      <c r="DS6" s="41" t="s">
        <v>56</v>
      </c>
      <c r="DT6" s="41" t="s">
        <v>56</v>
      </c>
      <c r="DU6" s="41" t="s">
        <v>58</v>
      </c>
      <c r="DV6" s="41" t="s">
        <v>56</v>
      </c>
      <c r="DW6" s="41" t="s">
        <v>56</v>
      </c>
      <c r="DX6" s="41" t="s">
        <v>56</v>
      </c>
      <c r="DY6" s="41" t="s">
        <v>56</v>
      </c>
      <c r="DZ6" s="41" t="s">
        <v>50</v>
      </c>
      <c r="EA6" s="41" t="s">
        <v>58</v>
      </c>
      <c r="EB6" s="41" t="s">
        <v>56</v>
      </c>
      <c r="EC6" s="41" t="s">
        <v>56</v>
      </c>
      <c r="ED6" s="41" t="s">
        <v>31</v>
      </c>
      <c r="EE6" s="41" t="s">
        <v>59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41" t="s">
        <v>49</v>
      </c>
      <c r="EM6" s="59">
        <v>0.0</v>
      </c>
      <c r="EN6" s="59">
        <v>0.0</v>
      </c>
      <c r="EO6" s="59">
        <v>0.0</v>
      </c>
      <c r="EP6" s="59">
        <v>0.0</v>
      </c>
      <c r="EQ6" s="59">
        <v>0.0</v>
      </c>
      <c r="ER6" s="59">
        <v>0.0</v>
      </c>
      <c r="ES6" s="60">
        <v>-1000.0</v>
      </c>
      <c r="ET6" s="59">
        <v>0.0</v>
      </c>
      <c r="EU6" s="59">
        <v>0.0</v>
      </c>
      <c r="EV6" s="41" t="s">
        <v>49</v>
      </c>
      <c r="EW6" s="60">
        <v>-1000.0</v>
      </c>
      <c r="EX6" s="44" t="b">
        <v>0</v>
      </c>
      <c r="EY6" s="41"/>
      <c r="EZ6" s="59"/>
      <c r="FA6" s="59"/>
      <c r="FB6" s="59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