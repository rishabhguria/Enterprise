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8" activeTab="12"/>
  </bookViews>
  <sheets>
    <sheet name="_Modules" sheetId="1" r:id="rId1"/>
    <sheet name="_Settings" sheetId="2" r:id="rId2"/>
    <sheet name="_MasterData" sheetId="3" r:id="rId3"/>
    <sheet name="CreateDoneAwayOrder" sheetId="4" r:id="rId4"/>
    <sheet name="GetMarkPriceData" sheetId="5" r:id="rId5"/>
    <sheet name="UpdateMarkPrice" sheetId="6" r:id="rId6"/>
    <sheet name="GetForexConversion" sheetId="7" r:id="rId7"/>
    <sheet name="UpdateForexConversion" sheetId="8" r:id="rId8"/>
    <sheet name="PricingInput" sheetId="9" r:id="rId9"/>
    <sheet name="GetDataClosing" sheetId="10" r:id="rId10"/>
    <sheet name="AutomaticClosing" sheetId="11" r:id="rId11"/>
    <sheet name="GetDayEndCash" sheetId="12" r:id="rId12"/>
    <sheet name="CheckPortfolioManagement" sheetId="13" r:id="rId13"/>
  </sheets>
  <calcPr calcId="145621"/>
</workbook>
</file>

<file path=xl/calcChain.xml><?xml version="1.0" encoding="utf-8"?>
<calcChain xmlns="http://schemas.openxmlformats.org/spreadsheetml/2006/main">
  <c r="J2" i="13" l="1"/>
  <c r="E6" i="12"/>
  <c r="D6" i="12"/>
  <c r="J2" i="12"/>
  <c r="J2" i="11"/>
  <c r="D6" i="10"/>
  <c r="C6" i="10"/>
  <c r="J2" i="10"/>
  <c r="J2" i="9"/>
  <c r="J2" i="8"/>
  <c r="C6" i="7"/>
  <c r="B6" i="7"/>
  <c r="J2" i="7"/>
  <c r="J2" i="6"/>
  <c r="C6" i="5"/>
  <c r="B6" i="5"/>
  <c r="J2" i="5"/>
  <c r="N9" i="4"/>
  <c r="N8" i="4"/>
  <c r="N7" i="4"/>
  <c r="N6" i="4"/>
  <c r="J2" i="4"/>
  <c r="BK5" i="13"/>
  <c r="FJ5" i="13"/>
  <c r="FB5" i="13"/>
  <c r="ET5" i="13"/>
  <c r="EL5" i="13"/>
  <c r="ED5" i="13"/>
  <c r="DV5" i="13"/>
  <c r="DN5" i="13"/>
  <c r="DF5" i="13"/>
  <c r="CX5" i="13"/>
  <c r="CP5" i="13"/>
  <c r="CH5" i="13"/>
  <c r="BZ5" i="13"/>
  <c r="BR5" i="13"/>
  <c r="BJ5" i="13"/>
  <c r="BB5" i="13"/>
  <c r="AT5" i="13"/>
  <c r="AL5" i="13"/>
  <c r="AD5" i="13"/>
  <c r="V5" i="13"/>
  <c r="N5" i="13"/>
  <c r="F5" i="13"/>
  <c r="FH4" i="13"/>
  <c r="EZ4" i="13"/>
  <c r="ER4" i="13"/>
  <c r="EJ4" i="13"/>
  <c r="EB4" i="13"/>
  <c r="DT4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4" i="13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EX4" i="12"/>
  <c r="EP4" i="12"/>
  <c r="EH4" i="12"/>
  <c r="DZ4" i="12"/>
  <c r="DR4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ER5" i="11"/>
  <c r="EJ5" i="11"/>
  <c r="EB5" i="11"/>
  <c r="DT5" i="11"/>
  <c r="DL5" i="11"/>
  <c r="DD5" i="11"/>
  <c r="CV5" i="11"/>
  <c r="CN5" i="11"/>
  <c r="CF5" i="11"/>
  <c r="BX5" i="11"/>
  <c r="BP5" i="11"/>
  <c r="FI5" i="13"/>
  <c r="FA5" i="13"/>
  <c r="ES5" i="13"/>
  <c r="EK5" i="13"/>
  <c r="EC5" i="13"/>
  <c r="DU5" i="13"/>
  <c r="DM5" i="13"/>
  <c r="DE5" i="13"/>
  <c r="CW5" i="13"/>
  <c r="CO5" i="13"/>
  <c r="CG5" i="13"/>
  <c r="BY5" i="13"/>
  <c r="BQ5" i="13"/>
  <c r="BI5" i="13"/>
  <c r="BA5" i="13"/>
  <c r="AS5" i="13"/>
  <c r="AK5" i="13"/>
  <c r="AC5" i="13"/>
  <c r="U5" i="13"/>
  <c r="M5" i="13"/>
  <c r="E5" i="13"/>
  <c r="FG4" i="13"/>
  <c r="EY4" i="13"/>
  <c r="EQ4" i="13"/>
  <c r="EI4" i="13"/>
  <c r="EA4" i="13"/>
  <c r="DS4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EU5" i="12"/>
  <c r="EM5" i="12"/>
  <c r="EE5" i="12"/>
  <c r="DW5" i="12"/>
  <c r="DO5" i="12"/>
  <c r="DG5" i="12"/>
  <c r="CY5" i="12"/>
  <c r="CQ5" i="12"/>
  <c r="CI5" i="12"/>
  <c r="CA5" i="12"/>
  <c r="BS5" i="12"/>
  <c r="BK5" i="12"/>
  <c r="BC5" i="12"/>
  <c r="AU5" i="12"/>
  <c r="AM5" i="12"/>
  <c r="AE5" i="12"/>
  <c r="W5" i="12"/>
  <c r="O5" i="12"/>
  <c r="G5" i="12"/>
  <c r="EW4" i="12"/>
  <c r="EO4" i="12"/>
  <c r="EG4" i="12"/>
  <c r="DY4" i="12"/>
  <c r="DQ4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FH5" i="13"/>
  <c r="EZ5" i="13"/>
  <c r="ER5" i="13"/>
  <c r="EJ5" i="13"/>
  <c r="EB5" i="13"/>
  <c r="DT5" i="13"/>
  <c r="DL5" i="13"/>
  <c r="DD5" i="13"/>
  <c r="CV5" i="13"/>
  <c r="CN5" i="13"/>
  <c r="CF5" i="13"/>
  <c r="BX5" i="13"/>
  <c r="BP5" i="13"/>
  <c r="BH5" i="13"/>
  <c r="AZ5" i="13"/>
  <c r="AR5" i="13"/>
  <c r="AJ5" i="13"/>
  <c r="AB5" i="13"/>
  <c r="T5" i="13"/>
  <c r="L5" i="13"/>
  <c r="D5" i="13"/>
  <c r="FF4" i="13"/>
  <c r="EX4" i="13"/>
  <c r="EP4" i="13"/>
  <c r="EH4" i="13"/>
  <c r="DZ4" i="13"/>
  <c r="DR4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ET5" i="12"/>
  <c r="EL5" i="12"/>
  <c r="ED5" i="12"/>
  <c r="DV5" i="12"/>
  <c r="DN5" i="12"/>
  <c r="DF5" i="12"/>
  <c r="CX5" i="12"/>
  <c r="CP5" i="12"/>
  <c r="CH5" i="12"/>
  <c r="BZ5" i="12"/>
  <c r="BR5" i="12"/>
  <c r="BJ5" i="12"/>
  <c r="BB5" i="12"/>
  <c r="AT5" i="12"/>
  <c r="AL5" i="12"/>
  <c r="AD5" i="12"/>
  <c r="V5" i="12"/>
  <c r="N5" i="12"/>
  <c r="F5" i="12"/>
  <c r="EV4" i="12"/>
  <c r="EN4" i="12"/>
  <c r="EF4" i="12"/>
  <c r="DX4" i="12"/>
  <c r="DP4" i="12"/>
  <c r="DH4" i="12"/>
  <c r="CZ4" i="12"/>
  <c r="CR4" i="12"/>
  <c r="CJ4" i="12"/>
  <c r="CB4" i="12"/>
  <c r="BT4" i="12"/>
  <c r="BL4" i="12"/>
  <c r="BD4" i="12"/>
  <c r="AV4" i="12"/>
  <c r="AN4" i="12"/>
  <c r="AF4" i="12"/>
  <c r="X4" i="12"/>
  <c r="P4" i="12"/>
  <c r="H4" i="12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EV5" i="10"/>
  <c r="EN5" i="10"/>
  <c r="EF5" i="10"/>
  <c r="DX5" i="10"/>
  <c r="DP5" i="10"/>
  <c r="DH5" i="10"/>
  <c r="CZ5" i="10"/>
  <c r="CR5" i="10"/>
  <c r="FG5" i="13"/>
  <c r="EY5" i="13"/>
  <c r="EQ5" i="13"/>
  <c r="EI5" i="13"/>
  <c r="EA5" i="13"/>
  <c r="DS5" i="13"/>
  <c r="DK5" i="13"/>
  <c r="DC5" i="13"/>
  <c r="CU5" i="13"/>
  <c r="CM5" i="13"/>
  <c r="CE5" i="13"/>
  <c r="BW5" i="13"/>
  <c r="BO5" i="13"/>
  <c r="BG5" i="13"/>
  <c r="AY5" i="13"/>
  <c r="AQ5" i="13"/>
  <c r="AI5" i="13"/>
  <c r="AA5" i="13"/>
  <c r="S5" i="13"/>
  <c r="K5" i="13"/>
  <c r="C5" i="13"/>
  <c r="FE4" i="13"/>
  <c r="EW4" i="13"/>
  <c r="EO4" i="13"/>
  <c r="EG4" i="13"/>
  <c r="DY4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FF5" i="13"/>
  <c r="EX5" i="13"/>
  <c r="EP5" i="13"/>
  <c r="EH5" i="13"/>
  <c r="DZ5" i="13"/>
  <c r="DR5" i="13"/>
  <c r="DJ5" i="13"/>
  <c r="DB5" i="13"/>
  <c r="CT5" i="13"/>
  <c r="CL5" i="13"/>
  <c r="CD5" i="13"/>
  <c r="BV5" i="13"/>
  <c r="BN5" i="13"/>
  <c r="BF5" i="13"/>
  <c r="AX5" i="13"/>
  <c r="AP5" i="13"/>
  <c r="AH5" i="13"/>
  <c r="Z5" i="13"/>
  <c r="R5" i="13"/>
  <c r="J5" i="13"/>
  <c r="B5" i="13"/>
  <c r="FD4" i="13"/>
  <c r="EV4" i="13"/>
  <c r="EN4" i="13"/>
  <c r="EF4" i="13"/>
  <c r="DX4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ET4" i="12"/>
  <c r="EL4" i="12"/>
  <c r="ED4" i="12"/>
  <c r="DV4" i="12"/>
  <c r="DN4" i="12"/>
  <c r="DF4" i="12"/>
  <c r="CX4" i="12"/>
  <c r="CP4" i="12"/>
  <c r="CH4" i="12"/>
  <c r="BZ4" i="12"/>
  <c r="BR4" i="12"/>
  <c r="BJ4" i="12"/>
  <c r="BB4" i="12"/>
  <c r="AT4" i="12"/>
  <c r="FE5" i="13"/>
  <c r="EW5" i="13"/>
  <c r="EO5" i="13"/>
  <c r="EG5" i="13"/>
  <c r="DY5" i="13"/>
  <c r="DQ5" i="13"/>
  <c r="DI5" i="13"/>
  <c r="DA5" i="13"/>
  <c r="CS5" i="13"/>
  <c r="FD5" i="13"/>
  <c r="EV5" i="13"/>
  <c r="EN5" i="13"/>
  <c r="EF5" i="13"/>
  <c r="DX5" i="13"/>
  <c r="DP5" i="13"/>
  <c r="DH5" i="13"/>
  <c r="CZ5" i="13"/>
  <c r="CR5" i="13"/>
  <c r="CJ5" i="13"/>
  <c r="CB5" i="13"/>
  <c r="BT5" i="13"/>
  <c r="BL5" i="13"/>
  <c r="BD5" i="13"/>
  <c r="AV5" i="13"/>
  <c r="AN5" i="13"/>
  <c r="AF5" i="13"/>
  <c r="X5" i="13"/>
  <c r="P5" i="13"/>
  <c r="H5" i="13"/>
  <c r="FJ4" i="13"/>
  <c r="FB4" i="13"/>
  <c r="ET4" i="13"/>
  <c r="EL4" i="13"/>
  <c r="ED4" i="13"/>
  <c r="DV4" i="13"/>
  <c r="DN4" i="13"/>
  <c r="DF4" i="13"/>
  <c r="CX4" i="13"/>
  <c r="CP4" i="13"/>
  <c r="CH4" i="13"/>
  <c r="BZ4" i="13"/>
  <c r="BR4" i="13"/>
  <c r="BJ4" i="13"/>
  <c r="BB4" i="13"/>
  <c r="AT4" i="13"/>
  <c r="AL4" i="13"/>
  <c r="AD4" i="13"/>
  <c r="V4" i="13"/>
  <c r="N4" i="13"/>
  <c r="F4" i="13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ER4" i="12"/>
  <c r="EJ4" i="12"/>
  <c r="EB4" i="12"/>
  <c r="DT4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D4" i="12"/>
  <c r="ET5" i="11"/>
  <c r="EL5" i="11"/>
  <c r="ED5" i="11"/>
  <c r="DV5" i="11"/>
  <c r="DN5" i="11"/>
  <c r="DF5" i="11"/>
  <c r="CX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FC5" i="13"/>
  <c r="EU5" i="13"/>
  <c r="EM5" i="13"/>
  <c r="EE5" i="13"/>
  <c r="DW5" i="13"/>
  <c r="DO5" i="13"/>
  <c r="DG5" i="13"/>
  <c r="CY5" i="13"/>
  <c r="CQ5" i="13"/>
  <c r="CI5" i="13"/>
  <c r="CA5" i="13"/>
  <c r="BS5" i="13"/>
  <c r="BC5" i="13"/>
  <c r="AU5" i="13"/>
  <c r="AM5" i="13"/>
  <c r="AE5" i="13"/>
  <c r="W5" i="13"/>
  <c r="O5" i="13"/>
  <c r="G5" i="13"/>
  <c r="FI4" i="13"/>
  <c r="FA4" i="13"/>
  <c r="ES4" i="13"/>
  <c r="EK4" i="13"/>
  <c r="EC4" i="13"/>
  <c r="DU4" i="13"/>
  <c r="DM4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EW5" i="12"/>
  <c r="EO5" i="12"/>
  <c r="EG5" i="12"/>
  <c r="DY5" i="12"/>
  <c r="DQ5" i="12"/>
  <c r="DI5" i="12"/>
  <c r="DA5" i="12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EQ4" i="12"/>
  <c r="EI4" i="12"/>
  <c r="EA4" i="12"/>
  <c r="DS4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ES5" i="11"/>
  <c r="EK5" i="11"/>
  <c r="CK5" i="13"/>
  <c r="Y5" i="13"/>
  <c r="DW4" i="13"/>
  <c r="BK4" i="13"/>
  <c r="EA5" i="12"/>
  <c r="CU5" i="12"/>
  <c r="BO5" i="12"/>
  <c r="AI5" i="12"/>
  <c r="C5" i="12"/>
  <c r="DU4" i="12"/>
  <c r="CO4" i="12"/>
  <c r="BI4" i="12"/>
  <c r="AE4" i="12"/>
  <c r="M4" i="12"/>
  <c r="EQ5" i="11"/>
  <c r="EC5" i="11"/>
  <c r="DP5" i="11"/>
  <c r="DC5" i="11"/>
  <c r="CQ5" i="11"/>
  <c r="CC5" i="11"/>
  <c r="BQ5" i="11"/>
  <c r="BE5" i="11"/>
  <c r="AU5" i="11"/>
  <c r="AJ5" i="11"/>
  <c r="Y5" i="11"/>
  <c r="O5" i="11"/>
  <c r="D5" i="11"/>
  <c r="EQ4" i="11"/>
  <c r="EG4" i="11"/>
  <c r="DV4" i="11"/>
  <c r="DK4" i="11"/>
  <c r="DA4" i="11"/>
  <c r="CP4" i="11"/>
  <c r="CE4" i="11"/>
  <c r="BU4" i="11"/>
  <c r="BJ4" i="11"/>
  <c r="BA4" i="11"/>
  <c r="AQ4" i="11"/>
  <c r="AH4" i="11"/>
  <c r="Y4" i="11"/>
  <c r="P4" i="11"/>
  <c r="G4" i="11"/>
  <c r="EX5" i="10"/>
  <c r="EO5" i="10"/>
  <c r="EE5" i="10"/>
  <c r="DV5" i="10"/>
  <c r="DM5" i="10"/>
  <c r="DD5" i="10"/>
  <c r="CU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CL5" i="8"/>
  <c r="CC5" i="13"/>
  <c r="Q5" i="13"/>
  <c r="DO4" i="13"/>
  <c r="BC4" i="13"/>
  <c r="DU5" i="12"/>
  <c r="CO5" i="12"/>
  <c r="BI5" i="12"/>
  <c r="AC5" i="12"/>
  <c r="EU4" i="12"/>
  <c r="DO4" i="12"/>
  <c r="CI4" i="12"/>
  <c r="BC4" i="12"/>
  <c r="AD4" i="12"/>
  <c r="G4" i="12"/>
  <c r="EO5" i="11"/>
  <c r="EA5" i="11"/>
  <c r="DO5" i="11"/>
  <c r="DA5" i="11"/>
  <c r="CO5" i="11"/>
  <c r="CB5" i="11"/>
  <c r="BO5" i="11"/>
  <c r="BD5" i="11"/>
  <c r="AS5" i="11"/>
  <c r="AI5" i="11"/>
  <c r="X5" i="11"/>
  <c r="M5" i="11"/>
  <c r="C5" i="11"/>
  <c r="EP4" i="11"/>
  <c r="EE4" i="11"/>
  <c r="DU4" i="11"/>
  <c r="DJ4" i="11"/>
  <c r="CY4" i="11"/>
  <c r="CO4" i="11"/>
  <c r="CD4" i="11"/>
  <c r="BS4" i="11"/>
  <c r="BI4" i="11"/>
  <c r="AY4" i="11"/>
  <c r="AP4" i="11"/>
  <c r="AG4" i="11"/>
  <c r="X4" i="11"/>
  <c r="O4" i="11"/>
  <c r="F4" i="11"/>
  <c r="EW5" i="10"/>
  <c r="EM5" i="10"/>
  <c r="ED5" i="10"/>
  <c r="DU5" i="10"/>
  <c r="DL5" i="10"/>
  <c r="DC5" i="10"/>
  <c r="CT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BU5" i="13"/>
  <c r="I5" i="13"/>
  <c r="DG4" i="13"/>
  <c r="AU4" i="13"/>
  <c r="DS5" i="12"/>
  <c r="CM5" i="12"/>
  <c r="BG5" i="12"/>
  <c r="AA5" i="12"/>
  <c r="ES4" i="12"/>
  <c r="DM4" i="12"/>
  <c r="CG4" i="12"/>
  <c r="BA4" i="12"/>
  <c r="AC4" i="12"/>
  <c r="F4" i="12"/>
  <c r="EN5" i="11"/>
  <c r="DY5" i="11"/>
  <c r="DM5" i="11"/>
  <c r="CZ5" i="11"/>
  <c r="CM5" i="11"/>
  <c r="CA5" i="11"/>
  <c r="BM5" i="11"/>
  <c r="BC5" i="11"/>
  <c r="AR5" i="11"/>
  <c r="AG5" i="11"/>
  <c r="W5" i="11"/>
  <c r="L5" i="11"/>
  <c r="A5" i="11"/>
  <c r="EO4" i="11"/>
  <c r="ED4" i="11"/>
  <c r="DS4" i="11"/>
  <c r="DI4" i="11"/>
  <c r="CX4" i="11"/>
  <c r="CM4" i="11"/>
  <c r="CC4" i="11"/>
  <c r="BR4" i="11"/>
  <c r="BG4" i="11"/>
  <c r="AX4" i="11"/>
  <c r="AO4" i="11"/>
  <c r="AF4" i="11"/>
  <c r="W4" i="11"/>
  <c r="N4" i="11"/>
  <c r="E4" i="11"/>
  <c r="EU5" i="10"/>
  <c r="EL5" i="10"/>
  <c r="EC5" i="10"/>
  <c r="DT5" i="10"/>
  <c r="DK5" i="10"/>
  <c r="DB5" i="10"/>
  <c r="CS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BM5" i="13"/>
  <c r="A5" i="13"/>
  <c r="CY4" i="13"/>
  <c r="AM4" i="13"/>
  <c r="ES5" i="12"/>
  <c r="DM5" i="12"/>
  <c r="CG5" i="12"/>
  <c r="BA5" i="12"/>
  <c r="U5" i="12"/>
  <c r="EM4" i="12"/>
  <c r="DG4" i="12"/>
  <c r="CA4" i="12"/>
  <c r="AU4" i="12"/>
  <c r="W4" i="12"/>
  <c r="E4" i="12"/>
  <c r="EM5" i="11"/>
  <c r="DX5" i="11"/>
  <c r="DK5" i="11"/>
  <c r="CY5" i="11"/>
  <c r="CK5" i="11"/>
  <c r="BY5" i="11"/>
  <c r="BL5" i="11"/>
  <c r="BA5" i="11"/>
  <c r="AQ5" i="11"/>
  <c r="AF5" i="11"/>
  <c r="U5" i="11"/>
  <c r="K5" i="11"/>
  <c r="EX4" i="11"/>
  <c r="EM4" i="11"/>
  <c r="EC4" i="11"/>
  <c r="DR4" i="11"/>
  <c r="DG4" i="11"/>
  <c r="CW4" i="11"/>
  <c r="CL4" i="11"/>
  <c r="CA4" i="11"/>
  <c r="BQ4" i="11"/>
  <c r="BF4" i="11"/>
  <c r="AW4" i="11"/>
  <c r="AN4" i="11"/>
  <c r="AE4" i="11"/>
  <c r="V4" i="11"/>
  <c r="M4" i="11"/>
  <c r="C4" i="11"/>
  <c r="ET5" i="10"/>
  <c r="EK5" i="10"/>
  <c r="EB5" i="10"/>
  <c r="DS5" i="10"/>
  <c r="DJ5" i="10"/>
  <c r="DA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BE5" i="13"/>
  <c r="FC4" i="13"/>
  <c r="CQ4" i="13"/>
  <c r="AE4" i="13"/>
  <c r="EQ5" i="12"/>
  <c r="DK5" i="12"/>
  <c r="CE5" i="12"/>
  <c r="AY5" i="12"/>
  <c r="S5" i="12"/>
  <c r="EK4" i="12"/>
  <c r="DE4" i="12"/>
  <c r="BY4" i="12"/>
  <c r="AS4" i="12"/>
  <c r="V4" i="12"/>
  <c r="EI5" i="11"/>
  <c r="DW5" i="11"/>
  <c r="DI5" i="11"/>
  <c r="CW5" i="11"/>
  <c r="CJ5" i="11"/>
  <c r="BW5" i="11"/>
  <c r="BK5" i="11"/>
  <c r="AZ5" i="11"/>
  <c r="AO5" i="11"/>
  <c r="AE5" i="11"/>
  <c r="T5" i="11"/>
  <c r="I5" i="11"/>
  <c r="EW4" i="11"/>
  <c r="EL4" i="11"/>
  <c r="EA4" i="11"/>
  <c r="DQ4" i="11"/>
  <c r="DF4" i="11"/>
  <c r="CU4" i="11"/>
  <c r="CK4" i="11"/>
  <c r="BZ4" i="11"/>
  <c r="BO4" i="11"/>
  <c r="BE4" i="11"/>
  <c r="AV4" i="11"/>
  <c r="AM4" i="11"/>
  <c r="AD4" i="11"/>
  <c r="U4" i="11"/>
  <c r="K4" i="11"/>
  <c r="B4" i="11"/>
  <c r="ES5" i="10"/>
  <c r="EJ5" i="10"/>
  <c r="EA5" i="10"/>
  <c r="DR5" i="10"/>
  <c r="DI5" i="10"/>
  <c r="CY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CP5" i="8"/>
  <c r="CH5" i="8"/>
  <c r="AW5" i="13"/>
  <c r="EU4" i="13"/>
  <c r="CI4" i="13"/>
  <c r="W4" i="13"/>
  <c r="EK5" i="12"/>
  <c r="DE5" i="12"/>
  <c r="BY5" i="12"/>
  <c r="AS5" i="12"/>
  <c r="M5" i="12"/>
  <c r="EE4" i="12"/>
  <c r="CY4" i="12"/>
  <c r="BS4" i="12"/>
  <c r="AM4" i="12"/>
  <c r="U4" i="12"/>
  <c r="EW5" i="11"/>
  <c r="EG5" i="11"/>
  <c r="DU5" i="11"/>
  <c r="DH5" i="11"/>
  <c r="CU5" i="11"/>
  <c r="CI5" i="11"/>
  <c r="BU5" i="11"/>
  <c r="BI5" i="11"/>
  <c r="AY5" i="11"/>
  <c r="AN5" i="11"/>
  <c r="AC5" i="11"/>
  <c r="S5" i="11"/>
  <c r="H5" i="11"/>
  <c r="EU4" i="11"/>
  <c r="EK4" i="11"/>
  <c r="DZ4" i="11"/>
  <c r="DO4" i="11"/>
  <c r="DE4" i="11"/>
  <c r="CT4" i="11"/>
  <c r="CI4" i="11"/>
  <c r="BY4" i="11"/>
  <c r="BN4" i="11"/>
  <c r="BD4" i="11"/>
  <c r="AU4" i="11"/>
  <c r="AL4" i="11"/>
  <c r="AC4" i="11"/>
  <c r="S4" i="11"/>
  <c r="J4" i="11"/>
  <c r="ER5" i="10"/>
  <c r="EI5" i="10"/>
  <c r="DZ5" i="10"/>
  <c r="DQ5" i="10"/>
  <c r="DG5" i="10"/>
  <c r="CX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O5" i="13"/>
  <c r="EM4" i="13"/>
  <c r="CA4" i="13"/>
  <c r="O4" i="13"/>
  <c r="EI5" i="12"/>
  <c r="DC5" i="12"/>
  <c r="BW5" i="12"/>
  <c r="AQ5" i="12"/>
  <c r="K5" i="12"/>
  <c r="EC4" i="12"/>
  <c r="CW4" i="12"/>
  <c r="BQ4" i="12"/>
  <c r="AL4" i="12"/>
  <c r="O4" i="12"/>
  <c r="EV5" i="11"/>
  <c r="EF5" i="11"/>
  <c r="DS5" i="11"/>
  <c r="DG5" i="11"/>
  <c r="CS5" i="11"/>
  <c r="CG5" i="11"/>
  <c r="BT5" i="11"/>
  <c r="BH5" i="11"/>
  <c r="AW5" i="11"/>
  <c r="AM5" i="11"/>
  <c r="AB5" i="11"/>
  <c r="Q5" i="11"/>
  <c r="G5" i="11"/>
  <c r="ET4" i="11"/>
  <c r="EI4" i="11"/>
  <c r="DY4" i="11"/>
  <c r="DN4" i="11"/>
  <c r="DC4" i="11"/>
  <c r="CS4" i="11"/>
  <c r="CH4" i="11"/>
  <c r="BW4" i="11"/>
  <c r="BM4" i="11"/>
  <c r="BC4" i="11"/>
  <c r="AT4" i="11"/>
  <c r="AK4" i="11"/>
  <c r="AA4" i="11"/>
  <c r="R4" i="11"/>
  <c r="I4" i="11"/>
  <c r="EQ5" i="10"/>
  <c r="EH5" i="10"/>
  <c r="DY5" i="10"/>
  <c r="DO5" i="10"/>
  <c r="DF5" i="10"/>
  <c r="CW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AG5" i="13"/>
  <c r="EE4" i="13"/>
  <c r="BS4" i="13"/>
  <c r="G4" i="13"/>
  <c r="EC5" i="12"/>
  <c r="CW5" i="12"/>
  <c r="BQ5" i="12"/>
  <c r="AK5" i="12"/>
  <c r="E5" i="12"/>
  <c r="DW4" i="12"/>
  <c r="CQ4" i="12"/>
  <c r="BK4" i="12"/>
  <c r="AK4" i="12"/>
  <c r="N4" i="12"/>
  <c r="EU5" i="11"/>
  <c r="EE5" i="11"/>
  <c r="DQ5" i="11"/>
  <c r="DE5" i="11"/>
  <c r="CR5" i="11"/>
  <c r="CE5" i="11"/>
  <c r="BS5" i="11"/>
  <c r="BG5" i="11"/>
  <c r="AV5" i="11"/>
  <c r="AK5" i="11"/>
  <c r="AA5" i="11"/>
  <c r="P5" i="11"/>
  <c r="E5" i="11"/>
  <c r="ES4" i="11"/>
  <c r="EH4" i="11"/>
  <c r="DW4" i="11"/>
  <c r="DM4" i="11"/>
  <c r="DB4" i="11"/>
  <c r="CQ4" i="11"/>
  <c r="CG4" i="11"/>
  <c r="BV4" i="11"/>
  <c r="BK4" i="11"/>
  <c r="BB4" i="11"/>
  <c r="AS4" i="11"/>
  <c r="AI4" i="11"/>
  <c r="Z4" i="11"/>
  <c r="Q4" i="11"/>
  <c r="H4" i="11"/>
  <c r="EP5" i="10"/>
  <c r="EG5" i="10"/>
  <c r="DW5" i="10"/>
  <c r="DN5" i="10"/>
  <c r="DE5" i="10"/>
  <c r="CV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EU5" i="9"/>
  <c r="EM5" i="9"/>
  <c r="EE5" i="9"/>
  <c r="DW5" i="9"/>
  <c r="DO5" i="9"/>
  <c r="DG5" i="9"/>
  <c r="CY5" i="9"/>
  <c r="CQ5" i="9"/>
  <c r="CI5" i="9"/>
  <c r="CA5" i="9"/>
  <c r="BS5" i="9"/>
  <c r="BK5" i="9"/>
  <c r="BC5" i="9"/>
  <c r="AU5" i="9"/>
  <c r="AM5" i="9"/>
  <c r="AE5" i="9"/>
  <c r="W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AC4" i="9"/>
  <c r="C4" i="9"/>
  <c r="EE5" i="8"/>
  <c r="DQ5" i="8"/>
  <c r="DE5" i="8"/>
  <c r="CU5" i="8"/>
  <c r="CJ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A4" i="9"/>
  <c r="EC5" i="8"/>
  <c r="DO5" i="8"/>
  <c r="DD5" i="8"/>
  <c r="CS5" i="8"/>
  <c r="CI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U4" i="9"/>
  <c r="EU5" i="8"/>
  <c r="EB5" i="8"/>
  <c r="DM5" i="8"/>
  <c r="DC5" i="8"/>
  <c r="CR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S4" i="9"/>
  <c r="ES5" i="8"/>
  <c r="EA5" i="8"/>
  <c r="DL5" i="8"/>
  <c r="DA5" i="8"/>
  <c r="CQ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R5" i="5"/>
  <c r="EJ5" i="5"/>
  <c r="EB5" i="5"/>
  <c r="DT5" i="5"/>
  <c r="DL5" i="5"/>
  <c r="DD5" i="5"/>
  <c r="CV5" i="5"/>
  <c r="CN5" i="5"/>
  <c r="CF5" i="5"/>
  <c r="BX5" i="5"/>
  <c r="BP5" i="5"/>
  <c r="M4" i="9"/>
  <c r="EQ5" i="8"/>
  <c r="DW5" i="8"/>
  <c r="DK5" i="8"/>
  <c r="CZ5" i="8"/>
  <c r="CO5" i="8"/>
  <c r="CE5" i="8"/>
  <c r="BW5" i="8"/>
  <c r="BO5" i="8"/>
  <c r="BG5" i="8"/>
  <c r="AY5" i="8"/>
  <c r="AQ5" i="8"/>
  <c r="AI5" i="8"/>
  <c r="AA5" i="8"/>
  <c r="S5" i="8"/>
  <c r="K5" i="8"/>
  <c r="C5" i="8"/>
  <c r="ES4" i="8"/>
  <c r="EK4" i="8"/>
  <c r="EC4" i="8"/>
  <c r="DU4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Q5" i="5"/>
  <c r="EI5" i="5"/>
  <c r="EA5" i="5"/>
  <c r="DS5" i="5"/>
  <c r="DK5" i="5"/>
  <c r="DC5" i="5"/>
  <c r="CU5" i="5"/>
  <c r="CM5" i="5"/>
  <c r="CE5" i="5"/>
  <c r="BW5" i="5"/>
  <c r="K4" i="9"/>
  <c r="EM5" i="8"/>
  <c r="DU5" i="8"/>
  <c r="DI5" i="8"/>
  <c r="CY5" i="8"/>
  <c r="CN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I4" i="9"/>
  <c r="EK5" i="8"/>
  <c r="DT5" i="8"/>
  <c r="DH5" i="8"/>
  <c r="CW5" i="8"/>
  <c r="CM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U5" i="7"/>
  <c r="EM5" i="7"/>
  <c r="EE5" i="7"/>
  <c r="DW5" i="7"/>
  <c r="DO5" i="7"/>
  <c r="DG5" i="7"/>
  <c r="CY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E4" i="9"/>
  <c r="EI5" i="8"/>
  <c r="DS5" i="8"/>
  <c r="DG5" i="8"/>
  <c r="CV5" i="8"/>
  <c r="CK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I4" i="6"/>
  <c r="C4" i="6"/>
  <c r="EM5" i="5"/>
  <c r="DQ5" i="5"/>
  <c r="CW5" i="5"/>
  <c r="CA5" i="5"/>
  <c r="BI5" i="5"/>
  <c r="AW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AC4" i="6"/>
  <c r="EK5" i="5"/>
  <c r="DO5" i="5"/>
  <c r="CS5" i="5"/>
  <c r="BY5" i="5"/>
  <c r="BH5" i="5"/>
  <c r="AU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A4" i="3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A4" i="6"/>
  <c r="EG5" i="5"/>
  <c r="DM5" i="5"/>
  <c r="CQ5" i="5"/>
  <c r="BU5" i="5"/>
  <c r="BG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U4" i="6"/>
  <c r="EE5" i="5"/>
  <c r="DI5" i="5"/>
  <c r="CO5" i="5"/>
  <c r="BS5" i="5"/>
  <c r="BE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S4" i="6"/>
  <c r="EW5" i="5"/>
  <c r="EC5" i="5"/>
  <c r="DG5" i="5"/>
  <c r="CK5" i="5"/>
  <c r="BQ5" i="5"/>
  <c r="BC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M4" i="6"/>
  <c r="EU5" i="5"/>
  <c r="DY5" i="5"/>
  <c r="DE5" i="5"/>
  <c r="CI5" i="5"/>
  <c r="BO5" i="5"/>
  <c r="BA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K4" i="6"/>
  <c r="ES5" i="5"/>
  <c r="DW5" i="5"/>
  <c r="DA5" i="5"/>
  <c r="CG5" i="5"/>
  <c r="BM5" i="5"/>
  <c r="AZ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E4" i="6"/>
  <c r="EO5" i="5"/>
  <c r="DU5" i="5"/>
  <c r="CY5" i="5"/>
  <c r="CC5" i="5"/>
  <c r="BK5" i="5"/>
  <c r="AY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D832" i="1"/>
  <c r="G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C832" i="1"/>
  <c r="F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B832" i="1"/>
  <c r="E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A832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K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J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I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H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E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C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B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A747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B666" i="1"/>
  <c r="J664" i="1"/>
  <c r="F663" i="1"/>
  <c r="B662" i="1"/>
  <c r="D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A666" i="1"/>
  <c r="I664" i="1"/>
  <c r="E663" i="1"/>
  <c r="A662" i="1"/>
  <c r="B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H665" i="1"/>
  <c r="D664" i="1"/>
  <c r="L662" i="1"/>
  <c r="L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G665" i="1"/>
  <c r="C664" i="1"/>
  <c r="K662" i="1"/>
  <c r="J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F665" i="1"/>
  <c r="B664" i="1"/>
  <c r="J662" i="1"/>
  <c r="H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E665" i="1"/>
  <c r="A664" i="1"/>
  <c r="I662" i="1"/>
  <c r="G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L664" i="1"/>
  <c r="H663" i="1"/>
  <c r="D662" i="1"/>
  <c r="F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K664" i="1"/>
  <c r="G663" i="1"/>
  <c r="C662" i="1"/>
  <c r="E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K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I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J493" i="1"/>
  <c r="I491" i="1"/>
  <c r="K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B493" i="1"/>
  <c r="H491" i="1"/>
  <c r="J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A493" i="1"/>
  <c r="B491" i="1"/>
  <c r="I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L492" i="1"/>
  <c r="A491" i="1"/>
  <c r="H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492" i="1"/>
  <c r="L490" i="1"/>
  <c r="G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492" i="1"/>
  <c r="F490" i="1"/>
  <c r="E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D492" i="1"/>
  <c r="E490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J491" i="1"/>
  <c r="D490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K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J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G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E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A162" i="1"/>
  <c r="G160" i="1"/>
  <c r="I159" i="1"/>
  <c r="J158" i="1"/>
  <c r="K157" i="1"/>
  <c r="A157" i="1"/>
  <c r="B156" i="1"/>
  <c r="C155" i="1"/>
  <c r="E154" i="1"/>
  <c r="F153" i="1"/>
  <c r="G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I161" i="1"/>
  <c r="F160" i="1"/>
  <c r="G159" i="1"/>
  <c r="I158" i="1"/>
  <c r="J157" i="1"/>
  <c r="K156" i="1"/>
  <c r="A156" i="1"/>
  <c r="B155" i="1"/>
  <c r="C154" i="1"/>
  <c r="E153" i="1"/>
  <c r="F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F161" i="1"/>
  <c r="E160" i="1"/>
  <c r="F159" i="1"/>
  <c r="G158" i="1"/>
  <c r="I157" i="1"/>
  <c r="J156" i="1"/>
  <c r="K155" i="1"/>
  <c r="A155" i="1"/>
  <c r="B154" i="1"/>
  <c r="C153" i="1"/>
  <c r="E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C4" i="1"/>
  <c r="E161" i="1"/>
  <c r="C160" i="1"/>
  <c r="E159" i="1"/>
  <c r="F158" i="1"/>
  <c r="G157" i="1"/>
  <c r="I156" i="1"/>
  <c r="J155" i="1"/>
  <c r="K154" i="1"/>
  <c r="A154" i="1"/>
  <c r="B153" i="1"/>
  <c r="C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B4" i="1"/>
  <c r="B161" i="1"/>
  <c r="B160" i="1"/>
  <c r="C159" i="1"/>
  <c r="E158" i="1"/>
  <c r="F157" i="1"/>
  <c r="G156" i="1"/>
  <c r="I155" i="1"/>
  <c r="J154" i="1"/>
  <c r="K153" i="1"/>
  <c r="A153" i="1"/>
  <c r="B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A161" i="1"/>
  <c r="A160" i="1"/>
  <c r="B159" i="1"/>
  <c r="C158" i="1"/>
  <c r="E157" i="1"/>
  <c r="F156" i="1"/>
  <c r="G155" i="1"/>
  <c r="I154" i="1"/>
  <c r="J153" i="1"/>
  <c r="K152" i="1"/>
  <c r="A152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J160" i="1"/>
  <c r="K159" i="1"/>
  <c r="A159" i="1"/>
  <c r="B158" i="1"/>
  <c r="C157" i="1"/>
  <c r="E156" i="1"/>
  <c r="F155" i="1"/>
  <c r="G154" i="1"/>
  <c r="I153" i="1"/>
  <c r="J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4" i="1"/>
  <c r="I160" i="1"/>
  <c r="J159" i="1"/>
  <c r="K158" i="1"/>
  <c r="A158" i="1"/>
  <c r="B157" i="1"/>
  <c r="C156" i="1"/>
  <c r="E155" i="1"/>
  <c r="F154" i="1"/>
  <c r="G153" i="1"/>
  <c r="I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</calcChain>
</file>

<file path=xl/sharedStrings.xml><?xml version="1.0" encoding="utf-8"?>
<sst xmlns="http://schemas.openxmlformats.org/spreadsheetml/2006/main" count="235" uniqueCount="67">
  <si>
    <t>Settings</t>
  </si>
  <si>
    <t>Master Data Info</t>
  </si>
  <si>
    <t>Modules Info</t>
  </si>
  <si>
    <t>Module Step Setting File</t>
  </si>
  <si>
    <t>Modules</t>
  </si>
  <si>
    <t>1sG6uB28jAaiyaldDeMtbboQN41jJ2tAmE2rg6U9qH5o</t>
  </si>
  <si>
    <t>Master Data Settings File</t>
  </si>
  <si>
    <t>1hEhI9rg16D4Xvfk19pDaFUFF78jjfIG29BBaNg8kT0A</t>
  </si>
  <si>
    <t>Module</t>
  </si>
  <si>
    <t>Step</t>
  </si>
  <si>
    <t>Master Data Sheet</t>
  </si>
  <si>
    <t>Data</t>
  </si>
  <si>
    <t>TradingTicket</t>
  </si>
  <si>
    <t>DailyValuation</t>
  </si>
  <si>
    <t>GetMarkPriceData</t>
  </si>
  <si>
    <t>CreateDoneAwayOrder</t>
  </si>
  <si>
    <t>Data Format</t>
  </si>
  <si>
    <t>Input Format</t>
  </si>
  <si>
    <t>KGDFUT</t>
  </si>
  <si>
    <t>Buy</t>
  </si>
  <si>
    <t>Allocation2</t>
  </si>
  <si>
    <t xml:space="preserve">Flat Amount </t>
  </si>
  <si>
    <t>Sell</t>
  </si>
  <si>
    <t>NQ Z7</t>
  </si>
  <si>
    <t xml:space="preserve">Buy </t>
  </si>
  <si>
    <t>Allocation1</t>
  </si>
  <si>
    <t>GetForexConversion</t>
  </si>
  <si>
    <t>UpdateMarkPrice</t>
  </si>
  <si>
    <t>PricingInput</t>
  </si>
  <si>
    <t>UpdateForexConversion</t>
  </si>
  <si>
    <t>TRY</t>
  </si>
  <si>
    <t>USD</t>
  </si>
  <si>
    <t>USD AO-FX</t>
  </si>
  <si>
    <t>Closing</t>
  </si>
  <si>
    <t>GetDataClosing</t>
  </si>
  <si>
    <t>AutomaticClosing</t>
  </si>
  <si>
    <t>Historical</t>
  </si>
  <si>
    <t>Allocation1,Allocation2</t>
  </si>
  <si>
    <t>FIFO</t>
  </si>
  <si>
    <t>None</t>
  </si>
  <si>
    <t>Default</t>
  </si>
  <si>
    <t>GeneralLedger</t>
  </si>
  <si>
    <t>GetDayEndCash</t>
  </si>
  <si>
    <t>PortfolioManagement</t>
  </si>
  <si>
    <t>CheckPortfolioManagement</t>
  </si>
  <si>
    <t>NewMF,NewMF1</t>
  </si>
  <si>
    <t>NewMF1</t>
  </si>
  <si>
    <t>Long</t>
  </si>
  <si>
    <t>MS</t>
  </si>
  <si>
    <t>Strategy Unallocated</t>
  </si>
  <si>
    <t>Future</t>
  </si>
  <si>
    <t>AsiaXJapan</t>
  </si>
  <si>
    <t>HKG</t>
  </si>
  <si>
    <t>HKD</t>
  </si>
  <si>
    <t/>
  </si>
  <si>
    <t>BrokerNotes</t>
  </si>
  <si>
    <t>DefaultNotes</t>
  </si>
  <si>
    <t>Undefined</t>
  </si>
  <si>
    <t>jpearce</t>
  </si>
  <si>
    <t>User Defined</t>
  </si>
  <si>
    <t>UK</t>
  </si>
  <si>
    <t>Yes</t>
  </si>
  <si>
    <t>NewMF</t>
  </si>
  <si>
    <t>FIMAT</t>
  </si>
  <si>
    <t>US</t>
  </si>
  <si>
    <t>CMEE</t>
  </si>
  <si>
    <t>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</si>
</sst>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4"/>
      <color rgb="FFFFFFFF"/>
      <name val="Calibri"/>
    </font>
    <font>
      <sz val="10"/>
      <name val="Calibri"/>
    </font>
    <font>
      <sz val="10"/>
      <name val="Arial"/>
    </font>
    <font>
      <b/>
      <sz val="10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Inconsolata"/>
    </font>
    <font>
      <sz val="10"/>
      <color rgb="FF000000"/>
      <name val="Arial"/>
    </font>
    <font>
      <sz val="11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3" borderId="4" xfId="0" applyFont="1" applyFill="1" applyBorder="1" applyAlignment="1"/>
    <xf numFmtId="0" fontId="4" fillId="0" borderId="0" xfId="0" applyFont="1" applyAlignment="1"/>
    <xf numFmtId="0" fontId="6" fillId="3" borderId="4" xfId="0" applyFont="1" applyFill="1" applyBorder="1" applyAlignment="1"/>
    <xf numFmtId="0" fontId="5" fillId="3" borderId="4" xfId="0" applyFont="1" applyFill="1" applyBorder="1" applyAlignment="1"/>
    <xf numFmtId="0" fontId="7" fillId="3" borderId="4" xfId="0" applyFont="1" applyFill="1" applyBorder="1" applyAlignment="1"/>
    <xf numFmtId="0" fontId="5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6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6" fillId="5" borderId="0" xfId="0" applyFont="1" applyFill="1" applyAlignment="1"/>
    <xf numFmtId="0" fontId="6" fillId="5" borderId="4" xfId="0" applyFont="1" applyFill="1" applyBorder="1" applyAlignment="1"/>
    <xf numFmtId="0" fontId="6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14" fontId="4" fillId="0" borderId="0" xfId="0" applyNumberFormat="1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4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14" fontId="4" fillId="0" borderId="0" xfId="0" applyNumberFormat="1" applyFont="1" applyAlignment="1"/>
    <xf numFmtId="0" fontId="2" fillId="0" borderId="0" xfId="0" applyFont="1" applyAlignment="1"/>
    <xf numFmtId="14" fontId="13" fillId="6" borderId="0" xfId="0" applyNumberFormat="1" applyFont="1" applyFill="1"/>
    <xf numFmtId="0" fontId="14" fillId="6" borderId="0" xfId="0" applyFont="1" applyFill="1" applyAlignment="1"/>
    <xf numFmtId="0" fontId="14" fillId="6" borderId="0" xfId="0" applyFont="1" applyFill="1" applyAlignment="1"/>
    <xf numFmtId="0" fontId="5" fillId="0" borderId="0" xfId="0" applyFont="1" applyAlignment="1"/>
    <xf numFmtId="0" fontId="5" fillId="0" borderId="5" xfId="0" applyFont="1" applyBorder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5" fillId="0" borderId="0" xfId="0" applyFont="1" applyAlignment="1"/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/>
    <xf numFmtId="0" fontId="4" fillId="0" borderId="5" xfId="0" applyFont="1" applyBorder="1" applyAlignment="1"/>
    <xf numFmtId="4" fontId="1" fillId="2" borderId="0" xfId="0" applyNumberFormat="1" applyFont="1" applyFill="1" applyAlignment="1">
      <alignment horizontal="center"/>
    </xf>
    <xf numFmtId="4" fontId="2" fillId="2" borderId="0" xfId="0" applyNumberFormat="1" applyFont="1" applyFill="1"/>
    <xf numFmtId="4" fontId="4" fillId="0" borderId="0" xfId="0" applyNumberFormat="1" applyFont="1" applyAlignment="1"/>
    <xf numFmtId="4" fontId="7" fillId="0" borderId="0" xfId="0" applyNumberFormat="1" applyFont="1" applyAlignment="1"/>
    <xf numFmtId="4" fontId="2" fillId="0" borderId="0" xfId="0" applyNumberFormat="1" applyFont="1"/>
    <xf numFmtId="4" fontId="6" fillId="3" borderId="0" xfId="0" applyNumberFormat="1" applyFont="1" applyFill="1" applyAlignment="1"/>
    <xf numFmtId="4" fontId="6" fillId="3" borderId="4" xfId="0" applyNumberFormat="1" applyFont="1" applyFill="1" applyBorder="1" applyAlignment="1"/>
    <xf numFmtId="4" fontId="7" fillId="3" borderId="4" xfId="0" applyNumberFormat="1" applyFont="1" applyFill="1" applyBorder="1" applyAlignment="1"/>
    <xf numFmtId="4" fontId="7" fillId="3" borderId="4" xfId="0" applyNumberFormat="1" applyFont="1" applyFill="1" applyBorder="1" applyAlignment="1"/>
    <xf numFmtId="4" fontId="10" fillId="3" borderId="0" xfId="0" applyNumberFormat="1" applyFont="1" applyFill="1"/>
    <xf numFmtId="4" fontId="11" fillId="4" borderId="0" xfId="0" applyNumberFormat="1" applyFont="1" applyFill="1" applyAlignment="1"/>
    <xf numFmtId="4" fontId="12" fillId="4" borderId="0" xfId="0" applyNumberFormat="1" applyFont="1" applyFill="1"/>
    <xf numFmtId="4" fontId="6" fillId="5" borderId="0" xfId="0" applyNumberFormat="1" applyFont="1" applyFill="1" applyAlignment="1"/>
    <xf numFmtId="4" fontId="6" fillId="5" borderId="4" xfId="0" applyNumberFormat="1" applyFont="1" applyFill="1" applyBorder="1" applyAlignment="1"/>
    <xf numFmtId="4" fontId="6" fillId="5" borderId="4" xfId="0" applyNumberFormat="1" applyFont="1" applyFill="1" applyBorder="1" applyAlignment="1"/>
    <xf numFmtId="4" fontId="10" fillId="5" borderId="0" xfId="0" applyNumberFormat="1" applyFont="1" applyFill="1"/>
    <xf numFmtId="4" fontId="4" fillId="0" borderId="0" xfId="0" applyNumberFormat="1" applyFont="1" applyAlignment="1"/>
    <xf numFmtId="4" fontId="15" fillId="0" borderId="0" xfId="0" applyNumberFormat="1" applyFont="1" applyAlignment="1"/>
    <xf numFmtId="4" fontId="16" fillId="0" borderId="0" xfId="0" applyNumberFormat="1" applyFont="1" applyAlignment="1">
      <alignment horizontal="right"/>
    </xf>
    <xf numFmtId="4" fontId="16" fillId="0" borderId="0" xfId="0" applyNumberFormat="1" applyFont="1" applyAlignment="1">
      <alignment horizontal="right"/>
    </xf>
    <xf numFmtId="4" fontId="15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67" t="s">
        <v>2</v>
      </c>
      <c r="B1" s="68"/>
      <c r="C1" s="68"/>
      <c r="D1" s="68"/>
      <c r="E1" s="68"/>
      <c r="F1" s="69"/>
    </row>
    <row r="2" spans="1:12" ht="15.75" customHeight="1">
      <c r="A2" s="2"/>
      <c r="B2" s="2"/>
      <c r="C2" s="2"/>
      <c r="D2" s="2"/>
      <c r="E2" s="2"/>
      <c r="F2" s="2"/>
    </row>
    <row r="3" spans="1:12" ht="15.75" customHeight="1">
      <c r="A3" s="3" t="s">
        <v>4</v>
      </c>
      <c r="B3" s="6"/>
      <c r="C3" s="8"/>
      <c r="D3" s="8"/>
      <c r="E3" s="8"/>
      <c r="F3" s="8"/>
    </row>
    <row r="4" spans="1:12" ht="15.75" customHeight="1">
      <c r="A4" s="1" t="str">
        <f ca="1">IFERROR(__xludf.DUMMYFUNCTION("IMPORTRANGE('_Settings'!B3,""Modules!A4:L1000"")"),"Allocation")</f>
        <v>Allocation</v>
      </c>
      <c r="B4" s="2" t="str">
        <f ca="1">IFERROR(__xludf.DUMMYFUNCTION("""COMPUTED_VALUE"""),"Allocate")</f>
        <v>Allocate</v>
      </c>
      <c r="C4" s="2" t="str">
        <f ca="1">IFERROR(__xludf.DUMMYFUNCTION("""COMPUTED_VALUE"""),"Undefined")</f>
        <v>Undefined</v>
      </c>
      <c r="D4" s="2" t="str">
        <f ca="1">IFERROR(__xludf.DUMMYFUNCTION("""COMPUTED_VALUE"""),"")</f>
        <v/>
      </c>
      <c r="E4" s="2" t="str">
        <f ca="1">IFERROR(__xludf.DUMMYFUNCTION("""COMPUTED_VALUE"""),"")</f>
        <v/>
      </c>
      <c r="F4" s="2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1" t="str">
        <f ca="1">IFERROR(__xludf.DUMMYFUNCTION("""COMPUTED_VALUE"""),"Allocation")</f>
        <v>Allocation</v>
      </c>
      <c r="B5" s="2" t="str">
        <f ca="1">IFERROR(__xludf.DUMMYFUNCTION("""COMPUTED_VALUE"""),"CheckAllocatedGroups")</f>
        <v>CheckAllocatedGroups</v>
      </c>
      <c r="C5" s="2" t="str">
        <f ca="1">IFERROR(__xludf.DUMMYFUNCTION("""COMPUTED_VALUE"""),"1ASulLlGAl--JRs7NVIiQ-6Q2Y2P3o7Y40cokKmMg-UA")</f>
        <v>1ASulLlGAl--JRs7NVIiQ-6Q2Y2P3o7Y40cokKmMg-UA</v>
      </c>
      <c r="D5" s="2" t="str">
        <f ca="1">IFERROR(__xludf.DUMMYFUNCTION("""COMPUTED_VALUE"""),"")</f>
        <v/>
      </c>
      <c r="E5" s="2" t="str">
        <f ca="1">IFERROR(__xludf.DUMMYFUNCTION("""COMPUTED_VALUE"""),"")</f>
        <v/>
      </c>
      <c r="F5" s="2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2" t="str">
        <f ca="1">IFERROR(__xludf.DUMMYFUNCTION("""COMPUTED_VALUE"""),"Allocation")</f>
        <v>Allocation</v>
      </c>
      <c r="B6" s="2" t="str">
        <f ca="1">IFERROR(__xludf.DUMMYFUNCTION("""COMPUTED_VALUE"""),"Unallocate")</f>
        <v>Unallocate</v>
      </c>
      <c r="C6" s="2" t="str">
        <f ca="1">IFERROR(__xludf.DUMMYFUNCTION("""COMPUTED_VALUE"""),"153rAtnJuNh4UK26GjSOxUSjAHcOxzWv7CRGvmhrIJRs")</f>
        <v>153rAtnJuNh4UK26GjSOxUSjAHcOxzWv7CRGvmhrIJRs</v>
      </c>
      <c r="D6" s="2" t="str">
        <f ca="1">IFERROR(__xludf.DUMMYFUNCTION("""COMPUTED_VALUE"""),"")</f>
        <v/>
      </c>
      <c r="E6" s="2" t="str">
        <f ca="1">IFERROR(__xludf.DUMMYFUNCTION("""COMPUTED_VALUE"""),"")</f>
        <v/>
      </c>
      <c r="F6" s="2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2" t="str">
        <f ca="1">IFERROR(__xludf.DUMMYFUNCTION("""COMPUTED_VALUE"""),"Allocation")</f>
        <v>Allocation</v>
      </c>
      <c r="B7" s="2" t="str">
        <f ca="1">IFERROR(__xludf.DUMMYFUNCTION("""COMPUTED_VALUE"""),"GetDataAllocation")</f>
        <v>GetDataAllocation</v>
      </c>
      <c r="C7" s="2" t="str">
        <f ca="1">IFERROR(__xludf.DUMMYFUNCTION("""COMPUTED_VALUE"""),"14c4GsPTH5D3eyeeKaMiqJQXOT6OiyIKnC2Ey2f-mzXU")</f>
        <v>14c4GsPTH5D3eyeeKaMiqJQXOT6OiyIKnC2Ey2f-mzXU</v>
      </c>
      <c r="D7" s="2" t="str">
        <f ca="1">IFERROR(__xludf.DUMMYFUNCTION("""COMPUTED_VALUE"""),"")</f>
        <v/>
      </c>
      <c r="E7" s="2" t="str">
        <f ca="1">IFERROR(__xludf.DUMMYFUNCTION("""COMPUTED_VALUE"""),"")</f>
        <v/>
      </c>
      <c r="F7" s="2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2" t="str">
        <f ca="1">IFERROR(__xludf.DUMMYFUNCTION("""COMPUTED_VALUE"""),"Allocation")</f>
        <v>Allocation</v>
      </c>
      <c r="B8" s="2" t="str">
        <f ca="1">IFERROR(__xludf.DUMMYFUNCTION("""COMPUTED_VALUE"""),"SelectAllocatedGroup")</f>
        <v>SelectAllocatedGroup</v>
      </c>
      <c r="C8" s="2" t="str">
        <f ca="1">IFERROR(__xludf.DUMMYFUNCTION("""COMPUTED_VALUE"""),"1FoqTScZHaIaLmwoImnVY7WWuCKEwJNYw8_jsXiT_wz4")</f>
        <v>1FoqTScZHaIaLmwoImnVY7WWuCKEwJNYw8_jsXiT_wz4</v>
      </c>
      <c r="D8" s="2" t="str">
        <f ca="1">IFERROR(__xludf.DUMMYFUNCTION("""COMPUTED_VALUE"""),"")</f>
        <v/>
      </c>
      <c r="E8" s="2" t="str">
        <f ca="1">IFERROR(__xludf.DUMMYFUNCTION("""COMPUTED_VALUE"""),"")</f>
        <v/>
      </c>
      <c r="F8" s="2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2" t="str">
        <f ca="1">IFERROR(__xludf.DUMMYFUNCTION("""COMPUTED_VALUE"""),"Allocation")</f>
        <v>Allocation</v>
      </c>
      <c r="B9" s="2" t="str">
        <f ca="1">IFERROR(__xludf.DUMMYFUNCTION("""COMPUTED_VALUE"""),"EditTradesAllocated")</f>
        <v>EditTradesAllocated</v>
      </c>
      <c r="C9" s="2" t="str">
        <f ca="1">IFERROR(__xludf.DUMMYFUNCTION("""COMPUTED_VALUE"""),"1nx-Ntcckcf-w1Yr5yyOw4Vmcr4UsalakHe-CHaRihg0")</f>
        <v>1nx-Ntcckcf-w1Yr5yyOw4Vmcr4UsalakHe-CHaRihg0</v>
      </c>
      <c r="D9" s="2" t="str">
        <f ca="1">IFERROR(__xludf.DUMMYFUNCTION("""COMPUTED_VALUE"""),"")</f>
        <v/>
      </c>
      <c r="E9" s="2" t="str">
        <f ca="1">IFERROR(__xludf.DUMMYFUNCTION("""COMPUTED_VALUE"""),"")</f>
        <v/>
      </c>
      <c r="F9" s="2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2" t="str">
        <f ca="1">IFERROR(__xludf.DUMMYFUNCTION("""COMPUTED_VALUE"""),"Allocation")</f>
        <v>Allocation</v>
      </c>
      <c r="B10" s="2" t="str">
        <f ca="1">IFERROR(__xludf.DUMMYFUNCTION("""COMPUTED_VALUE"""),"EditTradesUnallocated")</f>
        <v>EditTradesUnallocated</v>
      </c>
      <c r="C10" s="2" t="str">
        <f ca="1">IFERROR(__xludf.DUMMYFUNCTION("""COMPUTED_VALUE"""),"1aOr-_cYT21IfJctqcBB50iQOXfB0qUo9bBesL3tt_2o")</f>
        <v>1aOr-_cYT21IfJctqcBB50iQOXfB0qUo9bBesL3tt_2o</v>
      </c>
      <c r="D10" s="2" t="str">
        <f ca="1">IFERROR(__xludf.DUMMYFUNCTION("""COMPUTED_VALUE"""),"")</f>
        <v/>
      </c>
      <c r="E10" s="2" t="str">
        <f ca="1">IFERROR(__xludf.DUMMYFUNCTION("""COMPUTED_VALUE"""),"")</f>
        <v/>
      </c>
      <c r="F10" s="2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2" t="str">
        <f ca="1">IFERROR(__xludf.DUMMYFUNCTION("""COMPUTED_VALUE"""),"Allocation")</f>
        <v>Allocation</v>
      </c>
      <c r="B11" s="2" t="str">
        <f ca="1">IFERROR(__xludf.DUMMYFUNCTION("""COMPUTED_VALUE"""),"Reallocate")</f>
        <v>Reallocate</v>
      </c>
      <c r="C11" s="2" t="str">
        <f ca="1">IFERROR(__xludf.DUMMYFUNCTION("""COMPUTED_VALUE"""),"Undefined")</f>
        <v>Undefined</v>
      </c>
      <c r="D11" s="2" t="str">
        <f ca="1">IFERROR(__xludf.DUMMYFUNCTION("""COMPUTED_VALUE"""),"")</f>
        <v/>
      </c>
      <c r="E11" s="2" t="str">
        <f ca="1">IFERROR(__xludf.DUMMYFUNCTION("""COMPUTED_VALUE"""),"")</f>
        <v/>
      </c>
      <c r="F11" s="2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2" t="str">
        <f ca="1">IFERROR(__xludf.DUMMYFUNCTION("""COMPUTED_VALUE"""),"Blotter")</f>
        <v>Blotter</v>
      </c>
      <c r="B12" s="2" t="str">
        <f ca="1">IFERROR(__xludf.DUMMYFUNCTION("""COMPUTED_VALUE"""),"ReplaceFillsOnBlotter")</f>
        <v>ReplaceFillsOnBlotter</v>
      </c>
      <c r="C12" s="2" t="str">
        <f ca="1">IFERROR(__xludf.DUMMYFUNCTION("""COMPUTED_VALUE"""),"Undefined")</f>
        <v>Undefined</v>
      </c>
      <c r="D12" s="2" t="str">
        <f ca="1">IFERROR(__xludf.DUMMYFUNCTION("""COMPUTED_VALUE"""),"")</f>
        <v/>
      </c>
      <c r="E12" s="2" t="str">
        <f ca="1">IFERROR(__xludf.DUMMYFUNCTION("""COMPUTED_VALUE"""),"")</f>
        <v/>
      </c>
      <c r="F12" s="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2" t="str">
        <f ca="1">IFERROR(__xludf.DUMMYFUNCTION("""COMPUTED_VALUE"""),"Blotter")</f>
        <v>Blotter</v>
      </c>
      <c r="B13" s="2" t="str">
        <f ca="1">IFERROR(__xludf.DUMMYFUNCTION("""COMPUTED_VALUE"""),"CheckBlotter")</f>
        <v>CheckBlotter</v>
      </c>
      <c r="C13" s="2" t="str">
        <f ca="1">IFERROR(__xludf.DUMMYFUNCTION("""COMPUTED_VALUE"""),"1NSNUZ7aVjKq-fJWvjMKU9f1Hhbf0UmIY3RQLFu0_U94")</f>
        <v>1NSNUZ7aVjKq-fJWvjMKU9f1Hhbf0UmIY3RQLFu0_U94</v>
      </c>
      <c r="D13" s="2" t="str">
        <f ca="1">IFERROR(__xludf.DUMMYFUNCTION("""COMPUTED_VALUE"""),"")</f>
        <v/>
      </c>
      <c r="E13" s="2" t="str">
        <f ca="1">IFERROR(__xludf.DUMMYFUNCTION("""COMPUTED_VALUE"""),"")</f>
        <v/>
      </c>
      <c r="F13" s="2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2" t="str">
        <f ca="1">IFERROR(__xludf.DUMMYFUNCTION("""COMPUTED_VALUE"""),"GeneralLedger")</f>
        <v>GeneralLedger</v>
      </c>
      <c r="B14" s="2" t="str">
        <f ca="1">IFERROR(__xludf.DUMMYFUNCTION("""COMPUTED_VALUE"""),"GetDataCash")</f>
        <v>GetDataCash</v>
      </c>
      <c r="C14" s="2" t="str">
        <f ca="1">IFERROR(__xludf.DUMMYFUNCTION("""COMPUTED_VALUE"""),"1qcpgHRQFZbpv-NnW8K-CvX_auKXD5UD0KzrBvuBL6yQ")</f>
        <v>1qcpgHRQFZbpv-NnW8K-CvX_auKXD5UD0KzrBvuBL6yQ</v>
      </c>
      <c r="D14" s="2" t="str">
        <f ca="1">IFERROR(__xludf.DUMMYFUNCTION("""COMPUTED_VALUE"""),"")</f>
        <v/>
      </c>
      <c r="E14" s="2" t="str">
        <f ca="1">IFERROR(__xludf.DUMMYFUNCTION("""COMPUTED_VALUE"""),"")</f>
        <v/>
      </c>
      <c r="F14" s="2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2" t="str">
        <f ca="1">IFERROR(__xludf.DUMMYFUNCTION("""COMPUTED_VALUE"""),"GeneralLedger")</f>
        <v>GeneralLedger</v>
      </c>
      <c r="B15" s="2" t="str">
        <f ca="1">IFERROR(__xludf.DUMMYFUNCTION("""COMPUTED_VALUE"""),"EnterCashDividends")</f>
        <v>EnterCashDividends</v>
      </c>
      <c r="C15" s="2" t="str">
        <f ca="1">IFERROR(__xludf.DUMMYFUNCTION("""COMPUTED_VALUE"""),"1AcxAZQwu6HAEJMCMK3bk08quIeXstZWKnCNeDGuqkgc")</f>
        <v>1AcxAZQwu6HAEJMCMK3bk08quIeXstZWKnCNeDGuqkgc</v>
      </c>
      <c r="D15" s="2" t="str">
        <f ca="1">IFERROR(__xludf.DUMMYFUNCTION("""COMPUTED_VALUE"""),"")</f>
        <v/>
      </c>
      <c r="E15" s="2" t="str">
        <f ca="1">IFERROR(__xludf.DUMMYFUNCTION("""COMPUTED_VALUE"""),"")</f>
        <v/>
      </c>
      <c r="F15" s="2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2" t="str">
        <f ca="1">IFERROR(__xludf.DUMMYFUNCTION("""COMPUTED_VALUE"""),"GeneralLedger")</f>
        <v>GeneralLedger</v>
      </c>
      <c r="B16" s="2" t="str">
        <f ca="1">IFERROR(__xludf.DUMMYFUNCTION("""COMPUTED_VALUE"""),"EnterNonTradingTransaction")</f>
        <v>EnterNonTradingTransaction</v>
      </c>
      <c r="C16" s="2" t="str">
        <f ca="1">IFERROR(__xludf.DUMMYFUNCTION("""COMPUTED_VALUE"""),"1VLF0uNJJlumCyBscfuDhTN1tOv-0IRCkYlwfDU8GczQ")</f>
        <v>1VLF0uNJJlumCyBscfuDhTN1tOv-0IRCkYlwfDU8GczQ</v>
      </c>
      <c r="D16" s="2" t="str">
        <f ca="1">IFERROR(__xludf.DUMMYFUNCTION("""COMPUTED_VALUE"""),"")</f>
        <v/>
      </c>
      <c r="E16" s="2" t="str">
        <f ca="1">IFERROR(__xludf.DUMMYFUNCTION("""COMPUTED_VALUE"""),"")</f>
        <v/>
      </c>
      <c r="F16" s="2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2" t="str">
        <f ca="1">IFERROR(__xludf.DUMMYFUNCTION("""COMPUTED_VALUE"""),"GeneralLedger")</f>
        <v>GeneralLedger</v>
      </c>
      <c r="B17" s="2" t="str">
        <f ca="1">IFERROR(__xludf.DUMMYFUNCTION("""COMPUTED_VALUE"""),"VerifyCash")</f>
        <v>VerifyCash</v>
      </c>
      <c r="C17" s="2" t="str">
        <f ca="1">IFERROR(__xludf.DUMMYFUNCTION("""COMPUTED_VALUE"""),"1_8MIcc2OK_ojl_V4NIwMLs9H7qkQkwyq9sDf1PpIqc8")</f>
        <v>1_8MIcc2OK_ojl_V4NIwMLs9H7qkQkwyq9sDf1PpIqc8</v>
      </c>
      <c r="D17" s="2" t="str">
        <f ca="1">IFERROR(__xludf.DUMMYFUNCTION("""COMPUTED_VALUE"""),"")</f>
        <v/>
      </c>
      <c r="E17" s="2" t="str">
        <f ca="1">IFERROR(__xludf.DUMMYFUNCTION("""COMPUTED_VALUE"""),"")</f>
        <v/>
      </c>
      <c r="F17" s="2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2" t="str">
        <f ca="1">IFERROR(__xludf.DUMMYFUNCTION("""COMPUTED_VALUE"""),"GeneralLedger")</f>
        <v>GeneralLedger</v>
      </c>
      <c r="B18" s="2" t="str">
        <f ca="1">IFERROR(__xludf.DUMMYFUNCTION("""COMPUTED_VALUE"""),"VerifyActivity")</f>
        <v>VerifyActivity</v>
      </c>
      <c r="C18" s="2" t="str">
        <f ca="1">IFERROR(__xludf.DUMMYFUNCTION("""COMPUTED_VALUE"""),"1tN1tbsnXiVRytGN-WCzTnGTmfRxY2nBklQk3AQSJo2c")</f>
        <v>1tN1tbsnXiVRytGN-WCzTnGTmfRxY2nBklQk3AQSJo2c</v>
      </c>
      <c r="D18" s="2" t="str">
        <f ca="1">IFERROR(__xludf.DUMMYFUNCTION("""COMPUTED_VALUE"""),"")</f>
        <v/>
      </c>
      <c r="E18" s="2" t="str">
        <f ca="1">IFERROR(__xludf.DUMMYFUNCTION("""COMPUTED_VALUE"""),"")</f>
        <v/>
      </c>
      <c r="F18" s="2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2" t="str">
        <f ca="1">IFERROR(__xludf.DUMMYFUNCTION("""COMPUTED_VALUE"""),"GeneralLedger")</f>
        <v>GeneralLedger</v>
      </c>
      <c r="B19" s="2" t="str">
        <f ca="1">IFERROR(__xludf.DUMMYFUNCTION("""COMPUTED_VALUE"""),"VerifyTradingTransaction")</f>
        <v>VerifyTradingTransaction</v>
      </c>
      <c r="C19" s="2" t="str">
        <f ca="1">IFERROR(__xludf.DUMMYFUNCTION("""COMPUTED_VALUE"""),"1VRRuQCPazoSKAv27NBzQzv_Yw_Kgakw-yyKn6w1zhKU")</f>
        <v>1VRRuQCPazoSKAv27NBzQzv_Yw_Kgakw-yyKn6w1zhKU</v>
      </c>
      <c r="D19" s="2" t="str">
        <f ca="1">IFERROR(__xludf.DUMMYFUNCTION("""COMPUTED_VALUE"""),"")</f>
        <v/>
      </c>
      <c r="E19" s="2" t="str">
        <f ca="1">IFERROR(__xludf.DUMMYFUNCTION("""COMPUTED_VALUE"""),"")</f>
        <v/>
      </c>
      <c r="F19" s="2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2" t="str">
        <f ca="1">IFERROR(__xludf.DUMMYFUNCTION("""COMPUTED_VALUE"""),"GeneralLedger")</f>
        <v>GeneralLedger</v>
      </c>
      <c r="B20" s="2" t="str">
        <f ca="1">IFERROR(__xludf.DUMMYFUNCTION("""COMPUTED_VALUE"""),"VerifyRevaluationData")</f>
        <v>VerifyRevaluationData</v>
      </c>
      <c r="C20" s="2" t="str">
        <f ca="1">IFERROR(__xludf.DUMMYFUNCTION("""COMPUTED_VALUE"""),"1fGo94nf55bWXddEMlTwX902cb1V6cWr9GHWYy_sZ8IU")</f>
        <v>1fGo94nf55bWXddEMlTwX902cb1V6cWr9GHWYy_sZ8IU</v>
      </c>
      <c r="D20" s="2" t="str">
        <f ca="1">IFERROR(__xludf.DUMMYFUNCTION("""COMPUTED_VALUE"""),"")</f>
        <v/>
      </c>
      <c r="E20" s="2" t="str">
        <f ca="1">IFERROR(__xludf.DUMMYFUNCTION("""COMPUTED_VALUE"""),"")</f>
        <v/>
      </c>
      <c r="F20" s="2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2" t="str">
        <f ca="1">IFERROR(__xludf.DUMMYFUNCTION("""COMPUTED_VALUE"""),"CorporateAction")</f>
        <v>CorporateAction</v>
      </c>
      <c r="B21" s="2" t="str">
        <f ca="1">IFERROR(__xludf.DUMMYFUNCTION("""COMPUTED_VALUE"""),"CorporateAction")</f>
        <v>CorporateAction</v>
      </c>
      <c r="C21" s="2" t="str">
        <f ca="1">IFERROR(__xludf.DUMMYFUNCTION("""COMPUTED_VALUE"""),"1rOMKu0Ez7NdxjtZC05lRrPUSa0tkOQSvbOhxjuijMsU")</f>
        <v>1rOMKu0Ez7NdxjtZC05lRrPUSa0tkOQSvbOhxjuijMsU</v>
      </c>
      <c r="D21" s="2" t="str">
        <f ca="1">IFERROR(__xludf.DUMMYFUNCTION("""COMPUTED_VALUE"""),"")</f>
        <v/>
      </c>
      <c r="E21" s="2" t="str">
        <f ca="1">IFERROR(__xludf.DUMMYFUNCTION("""COMPUTED_VALUE"""),"")</f>
        <v/>
      </c>
      <c r="F21" s="2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2" t="str">
        <f ca="1">IFERROR(__xludf.DUMMYFUNCTION("""COMPUTED_VALUE"""),"CreateTransaction")</f>
        <v>CreateTransaction</v>
      </c>
      <c r="B22" s="2" t="str">
        <f ca="1">IFERROR(__xludf.DUMMYFUNCTION("""COMPUTED_VALUE"""),"CreateTransaction")</f>
        <v>CreateTransaction</v>
      </c>
      <c r="C22" s="2" t="str">
        <f ca="1">IFERROR(__xludf.DUMMYFUNCTION("""COMPUTED_VALUE"""),"1yBi-hp0jcYIFB6ymnlQIlx-pUUkfcjJU7Ap0azBbNcE")</f>
        <v>1yBi-hp0jcYIFB6ymnlQIlx-pUUkfcjJU7Ap0azBbNcE</v>
      </c>
      <c r="D22" s="2" t="str">
        <f ca="1">IFERROR(__xludf.DUMMYFUNCTION("""COMPUTED_VALUE"""),"")</f>
        <v/>
      </c>
      <c r="E22" s="2" t="str">
        <f ca="1">IFERROR(__xludf.DUMMYFUNCTION("""COMPUTED_VALUE"""),"")</f>
        <v/>
      </c>
      <c r="F22" s="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2" t="str">
        <f ca="1">IFERROR(__xludf.DUMMYFUNCTION("""COMPUTED_VALUE"""),"DailyValuation")</f>
        <v>DailyValuation</v>
      </c>
      <c r="B23" s="2" t="str">
        <f ca="1">IFERROR(__xludf.DUMMYFUNCTION("""COMPUTED_VALUE"""),"UpdateBeta")</f>
        <v>UpdateBeta</v>
      </c>
      <c r="C23" s="2" t="str">
        <f ca="1">IFERROR(__xludf.DUMMYFUNCTION("""COMPUTED_VALUE"""),"1x5iUjYB72ZJ35IOvQ_JQkWHV-d1FlgKY3bIxxTpk-f0")</f>
        <v>1x5iUjYB72ZJ35IOvQ_JQkWHV-d1FlgKY3bIxxTpk-f0</v>
      </c>
      <c r="D23" s="2" t="str">
        <f ca="1">IFERROR(__xludf.DUMMYFUNCTION("""COMPUTED_VALUE"""),"")</f>
        <v/>
      </c>
      <c r="E23" s="2" t="str">
        <f ca="1">IFERROR(__xludf.DUMMYFUNCTION("""COMPUTED_VALUE"""),"")</f>
        <v/>
      </c>
      <c r="F23" s="2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2" t="str">
        <f ca="1">IFERROR(__xludf.DUMMYFUNCTION("""COMPUTED_VALUE"""),"DailyValuation")</f>
        <v>DailyValuation</v>
      </c>
      <c r="B24" s="2" t="str">
        <f ca="1">IFERROR(__xludf.DUMMYFUNCTION("""COMPUTED_VALUE"""),"UpdateDailyCash")</f>
        <v>UpdateDailyCash</v>
      </c>
      <c r="C24" s="2" t="str">
        <f ca="1">IFERROR(__xludf.DUMMYFUNCTION("""COMPUTED_VALUE"""),"1Li5RKULV7Lc2MLczTkVbzq0oDYcFGfTlBUO9__NoODc")</f>
        <v>1Li5RKULV7Lc2MLczTkVbzq0oDYcFGfTlBUO9__NoODc</v>
      </c>
      <c r="D24" s="2" t="str">
        <f ca="1">IFERROR(__xludf.DUMMYFUNCTION("""COMPUTED_VALUE"""),"")</f>
        <v/>
      </c>
      <c r="E24" s="2" t="str">
        <f ca="1">IFERROR(__xludf.DUMMYFUNCTION("""COMPUTED_VALUE"""),"")</f>
        <v/>
      </c>
      <c r="F24" s="2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2" t="str">
        <f ca="1">IFERROR(__xludf.DUMMYFUNCTION("""COMPUTED_VALUE"""),"DailyValuation")</f>
        <v>DailyValuation</v>
      </c>
      <c r="B25" s="2" t="str">
        <f ca="1">IFERROR(__xludf.DUMMYFUNCTION("""COMPUTED_VALUE"""),"UpdateForexConversion")</f>
        <v>UpdateForexConversion</v>
      </c>
      <c r="C25" s="2" t="str">
        <f ca="1">IFERROR(__xludf.DUMMYFUNCTION("""COMPUTED_VALUE"""),"1vnIE6mL0eHSchRF1qTlJ2JL_Ylu6hiC6uOXpzq7M0BQ")</f>
        <v>1vnIE6mL0eHSchRF1qTlJ2JL_Ylu6hiC6uOXpzq7M0BQ</v>
      </c>
      <c r="D25" s="2" t="str">
        <f ca="1">IFERROR(__xludf.DUMMYFUNCTION("""COMPUTED_VALUE"""),"")</f>
        <v/>
      </c>
      <c r="E25" s="2" t="str">
        <f ca="1">IFERROR(__xludf.DUMMYFUNCTION("""COMPUTED_VALUE"""),"")</f>
        <v/>
      </c>
      <c r="F25" s="2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2" t="str">
        <f ca="1">IFERROR(__xludf.DUMMYFUNCTION("""COMPUTED_VALUE"""),"DailyValuation")</f>
        <v>DailyValuation</v>
      </c>
      <c r="B26" s="2" t="str">
        <f ca="1">IFERROR(__xludf.DUMMYFUNCTION("""COMPUTED_VALUE"""),"UpdateMarkPrice")</f>
        <v>UpdateMarkPrice</v>
      </c>
      <c r="C26" s="2" t="str">
        <f ca="1">IFERROR(__xludf.DUMMYFUNCTION("""COMPUTED_VALUE"""),"1KCMHfIqMprTfc21JY7-_BuJZCbNmjdI-pAMs1UtHRgM")</f>
        <v>1KCMHfIqMprTfc21JY7-_BuJZCbNmjdI-pAMs1UtHRgM</v>
      </c>
      <c r="D26" s="2" t="str">
        <f ca="1">IFERROR(__xludf.DUMMYFUNCTION("""COMPUTED_VALUE"""),"")</f>
        <v/>
      </c>
      <c r="E26" s="2" t="str">
        <f ca="1">IFERROR(__xludf.DUMMYFUNCTION("""COMPUTED_VALUE"""),"")</f>
        <v/>
      </c>
      <c r="F26" s="2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2" t="str">
        <f ca="1">IFERROR(__xludf.DUMMYFUNCTION("""COMPUTED_VALUE"""),"Import")</f>
        <v>Import</v>
      </c>
      <c r="B27" s="2" t="str">
        <f ca="1">IFERROR(__xludf.DUMMYFUNCTION("""COMPUTED_VALUE"""),"Import")</f>
        <v>Import</v>
      </c>
      <c r="C27" s="2" t="str">
        <f ca="1">IFERROR(__xludf.DUMMYFUNCTION("""COMPUTED_VALUE"""),"1tRgcAtzRVDm6tX53uSpBOxZNBYm4sTcJiDaR4fxdfwY")</f>
        <v>1tRgcAtzRVDm6tX53uSpBOxZNBYm4sTcJiDaR4fxdfwY</v>
      </c>
      <c r="D27" s="2" t="str">
        <f ca="1">IFERROR(__xludf.DUMMYFUNCTION("""COMPUTED_VALUE"""),"")</f>
        <v/>
      </c>
      <c r="E27" s="2" t="str">
        <f ca="1">IFERROR(__xludf.DUMMYFUNCTION("""COMPUTED_VALUE"""),"")</f>
        <v/>
      </c>
      <c r="F27" s="2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2" t="str">
        <f ca="1">IFERROR(__xludf.DUMMYFUNCTION("""COMPUTED_VALUE"""),"PortfolioManagement")</f>
        <v>PortfolioManagement</v>
      </c>
      <c r="B28" s="2" t="str">
        <f ca="1">IFERROR(__xludf.DUMMYFUNCTION("""COMPUTED_VALUE"""),"CheckDashboardPM")</f>
        <v>CheckDashboardPM</v>
      </c>
      <c r="C28" s="2" t="str">
        <f ca="1">IFERROR(__xludf.DUMMYFUNCTION("""COMPUTED_VALUE"""),"12DQ8VFmnoIi6USj-pAupggGf1Uakm-iIEO9IboOJPds")</f>
        <v>12DQ8VFmnoIi6USj-pAupggGf1Uakm-iIEO9IboOJPds</v>
      </c>
      <c r="D28" s="2" t="str">
        <f ca="1">IFERROR(__xludf.DUMMYFUNCTION("""COMPUTED_VALUE"""),"")</f>
        <v/>
      </c>
      <c r="E28" s="2" t="str">
        <f ca="1">IFERROR(__xludf.DUMMYFUNCTION("""COMPUTED_VALUE"""),"")</f>
        <v/>
      </c>
      <c r="F28" s="2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2" t="str">
        <f ca="1">IFERROR(__xludf.DUMMYFUNCTION("""COMPUTED_VALUE"""),"PortfolioManagement")</f>
        <v>PortfolioManagement</v>
      </c>
      <c r="B29" s="2" t="str">
        <f ca="1">IFERROR(__xludf.DUMMYFUNCTION("""COMPUTED_VALUE"""),"CheckPortfolioManagement")</f>
        <v>CheckPortfolioManagement</v>
      </c>
      <c r="C29" s="2" t="str">
        <f ca="1">IFERROR(__xludf.DUMMYFUNCTION("""COMPUTED_VALUE"""),"1EinrxkfbLK2Tdj1nGXu4y1H2zmS6g6G85Hm0vYSOHlA")</f>
        <v>1EinrxkfbLK2Tdj1nGXu4y1H2zmS6g6G85Hm0vYSOHlA</v>
      </c>
      <c r="D29" s="2" t="str">
        <f ca="1">IFERROR(__xludf.DUMMYFUNCTION("""COMPUTED_VALUE"""),"")</f>
        <v/>
      </c>
      <c r="E29" s="2" t="str">
        <f ca="1">IFERROR(__xludf.DUMMYFUNCTION("""COMPUTED_VALUE"""),"")</f>
        <v/>
      </c>
      <c r="F29" s="2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2" t="str">
        <f ca="1">IFERROR(__xludf.DUMMYFUNCTION("""COMPUTED_VALUE"""),"PricingInput")</f>
        <v>PricingInput</v>
      </c>
      <c r="B30" s="2" t="str">
        <f ca="1">IFERROR(__xludf.DUMMYFUNCTION("""COMPUTED_VALUE"""),"PricingInput")</f>
        <v>PricingInput</v>
      </c>
      <c r="C30" s="2" t="str">
        <f ca="1">IFERROR(__xludf.DUMMYFUNCTION("""COMPUTED_VALUE"""),"1qeUVChEAj0eKA7tNZsUWM4FcqW347Jcsk_tvw1-FP3s")</f>
        <v>1qeUVChEAj0eKA7tNZsUWM4FcqW347Jcsk_tvw1-FP3s</v>
      </c>
      <c r="D30" s="2" t="str">
        <f ca="1">IFERROR(__xludf.DUMMYFUNCTION("""COMPUTED_VALUE"""),"")</f>
        <v/>
      </c>
      <c r="E30" s="2" t="str">
        <f ca="1">IFERROR(__xludf.DUMMYFUNCTION("""COMPUTED_VALUE"""),"")</f>
        <v/>
      </c>
      <c r="F30" s="2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2" t="str">
        <f ca="1">IFERROR(__xludf.DUMMYFUNCTION("""COMPUTED_VALUE"""),"PricingInput")</f>
        <v>PricingInput</v>
      </c>
      <c r="B31" s="2" t="str">
        <f ca="1">IFERROR(__xludf.DUMMYFUNCTION("""COMPUTED_VALUE"""),"UpdateSharesOutstanding")</f>
        <v>UpdateSharesOutstanding</v>
      </c>
      <c r="C31" s="2" t="str">
        <f ca="1">IFERROR(__xludf.DUMMYFUNCTION("""COMPUTED_VALUE"""),"1aVxYFzFjJM4FVvXjfioQc67hI5XgzzCTHLg8f7lbJhU")</f>
        <v>1aVxYFzFjJM4FVvXjfioQc67hI5XgzzCTHLg8f7lbJhU</v>
      </c>
      <c r="D31" s="2" t="str">
        <f ca="1">IFERROR(__xludf.DUMMYFUNCTION("""COMPUTED_VALUE"""),"")</f>
        <v/>
      </c>
      <c r="E31" s="2" t="str">
        <f ca="1">IFERROR(__xludf.DUMMYFUNCTION("""COMPUTED_VALUE"""),"")</f>
        <v/>
      </c>
      <c r="F31" s="2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2" t="str">
        <f ca="1">IFERROR(__xludf.DUMMYFUNCTION("""COMPUTED_VALUE"""),"SymbolLookup")</f>
        <v>SymbolLookup</v>
      </c>
      <c r="B32" s="2" t="str">
        <f ca="1">IFERROR(__xludf.DUMMYFUNCTION("""COMPUTED_VALUE"""),"VerifySymbolLookUp")</f>
        <v>VerifySymbolLookUp</v>
      </c>
      <c r="C32" s="2" t="str">
        <f ca="1">IFERROR(__xludf.DUMMYFUNCTION("""COMPUTED_VALUE"""),"1Fe8M8KnrsIcnAobjXa43I9IzXKCnB39xCSYterKkeEc")</f>
        <v>1Fe8M8KnrsIcnAobjXa43I9IzXKCnB39xCSYterKkeEc</v>
      </c>
      <c r="D32" s="2" t="str">
        <f ca="1">IFERROR(__xludf.DUMMYFUNCTION("""COMPUTED_VALUE"""),"")</f>
        <v/>
      </c>
      <c r="E32" s="2" t="str">
        <f ca="1">IFERROR(__xludf.DUMMYFUNCTION("""COMPUTED_VALUE"""),"")</f>
        <v/>
      </c>
      <c r="F32" s="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2" t="str">
        <f ca="1">IFERROR(__xludf.DUMMYFUNCTION("""COMPUTED_VALUE"""),"SymbolLookup")</f>
        <v>SymbolLookup</v>
      </c>
      <c r="B33" s="2" t="str">
        <f ca="1">IFERROR(__xludf.DUMMYFUNCTION("""COMPUTED_VALUE"""),"SymbolLookupFromTT")</f>
        <v>SymbolLookupFromTT</v>
      </c>
      <c r="C33" s="2" t="str">
        <f ca="1">IFERROR(__xludf.DUMMYFUNCTION("""COMPUTED_VALUE"""),"1qJHd_QH5ht3ZzeFZbKiVeEOBmlpAshwV72N701B28uk")</f>
        <v>1qJHd_QH5ht3ZzeFZbKiVeEOBmlpAshwV72N701B28uk</v>
      </c>
      <c r="D33" s="2" t="str">
        <f ca="1">IFERROR(__xludf.DUMMYFUNCTION("""COMPUTED_VALUE"""),"")</f>
        <v/>
      </c>
      <c r="E33" s="2" t="str">
        <f ca="1">IFERROR(__xludf.DUMMYFUNCTION("""COMPUTED_VALUE"""),"")</f>
        <v/>
      </c>
      <c r="F33" s="2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IFERROR(__xludf.DUMMYFUNCTION("""COMPUTED_VALUE"""),"15oRO_LPvC6rypZrsVSsxZ-4GAvCsN-AMXec_SMX1zsQ")</f>
        <v>15oRO_LPvC6rypZrsVSsxZ-4GAvCsN-AMXec_SMX1zsQ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IFERROR(__xludf.DUMMYFUNCTION("""COMPUTED_VALUE"""),"1x31soGgAIzQ8ewrat6Uw5zrZIzPOYIL8ZYN_OzrxiqU")</f>
        <v>1x31soGgAIzQ8ewrat6Uw5zrZIzPOYIL8ZYN_OzrxiqU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IFERROR(__xludf.DUMMYFUNCTION("""COMPUTED_VALUE"""),"1e0trYHQukhb0WQXpsxD5RhQ_bYwjB2sFNrgs2uaqNvg")</f>
        <v>1e0trYHQukhb0WQXpsxD5RhQ_bYwjB2sFNrgs2uaqNvg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IFERROR(__xludf.DUMMYFUNCTION("""COMPUTED_VALUE"""),"ViewThirdParty")</f>
        <v>ViewThirdParty</v>
      </c>
      <c r="C37" t="str">
        <f ca="1">IFERROR(__xludf.DUMMYFUNCTION("""COMPUTED_VALUE"""),"1F_BXcQL-UOYNmtCgE2FRSzTxqoMMKNIV-clJRsPLe1s")</f>
        <v>1F_BXcQL-UOYNmtCgE2FRSzTxqoMMKNIV-clJRsPLe1s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IFERROR(__xludf.DUMMYFUNCTION("""COMPUTED_VALUE"""),"SelectThirdPartyName")</f>
        <v>SelectThirdPartyName</v>
      </c>
      <c r="C38" t="str">
        <f ca="1">IFERROR(__xludf.DUMMYFUNCTION("""COMPUTED_VALUE"""),"1Seece-QvbnxJPXb_gnGofgxvFKlLukvDW2KqTZLtK98")</f>
        <v>1Seece-QvbnxJPXb_gnGofgxvFKlLukvDW2KqTZLtK98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IFERROR(__xludf.DUMMYFUNCTION("""COMPUTED_VALUE"""),"VerifyThirdPartyData")</f>
        <v>VerifyThirdPartyData</v>
      </c>
      <c r="C39" t="str">
        <f ca="1">IFERROR(__xludf.DUMMYFUNCTION("""COMPUTED_VALUE"""),"1u7KqMwMvVlHd9mcfrPLUbFG22gfYSWpnZJvdzoK1ZYA")</f>
        <v>1u7KqMwMvVlHd9mcfrPLUbFG22gfYSWpnZJvdzoK1ZYA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IFERROR(__xludf.DUMMYFUNCTION("""COMPUTED_VALUE"""),"CorporateAction")</f>
        <v>CorporateAction</v>
      </c>
      <c r="B40" t="str">
        <f ca="1">IFERROR(__xludf.DUMMYFUNCTION("""COMPUTED_VALUE"""),"CleanUp")</f>
        <v>CleanUp</v>
      </c>
      <c r="C40" t="str">
        <f ca="1">IFERROR(__xludf.DUMMYFUNCTION("""COMPUTED_VALUE"""),"19OUC-KFPJBCD5XEanC8Js6T4MSPKjYN8wC24gzOEVFk")</f>
        <v>19OUC-KFPJBCD5XEanC8Js6T4MSPKjYN8wC24gzOEVFk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IFERROR(__xludf.DUMMYFUNCTION("""COMPUTED_VALUE"""),"PST")</f>
        <v>PST</v>
      </c>
      <c r="B41" t="str">
        <f ca="1">IFERROR(__xludf.DUMMYFUNCTION("""COMPUTED_VALUE"""),"RunPST")</f>
        <v>RunPST</v>
      </c>
      <c r="C41" t="str">
        <f ca="1">IFERROR(__xludf.DUMMYFUNCTION("""COMPUTED_VALUE"""),"13u7vqO7dHa-QnQluOEUR6rpZXp__Iv3tfm7aMG4omnc")</f>
        <v>13u7vqO7dHa-QnQluOEUR6rpZXp__Iv3tfm7aMG4omnc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IFERROR(__xludf.DUMMYFUNCTION("""COMPUTED_VALUE"""),"PST")</f>
        <v>PST</v>
      </c>
      <c r="B42" t="str">
        <f ca="1">IFERROR(__xludf.DUMMYFUNCTION("""COMPUTED_VALUE"""),"PSTInputData")</f>
        <v>PSTInputData</v>
      </c>
      <c r="C42" t="str">
        <f ca="1">IFERROR(__xludf.DUMMYFUNCTION("""COMPUTED_VALUE"""),"1B7NnkALzxy07DJM7saVZv1o5ZltnXFqFqsxqWW8kqA0")</f>
        <v>1B7NnkALzxy07DJM7saVZv1o5ZltnXFqFqsxqWW8kqA0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IFERROR(__xludf.DUMMYFUNCTION("""COMPUTED_VALUE"""),"PSTVerifyData")</f>
        <v>PSTVerifyData</v>
      </c>
      <c r="C43" t="str">
        <f ca="1">IFERROR(__xludf.DUMMYFUNCTION("""COMPUTED_VALUE"""),"1FXo2WcGDASn25PGZWTFfkBEPCkvTAGauIbof2MOtRxE")</f>
        <v>1FXo2WcGDASn25PGZWTFfkBEPCkvTAGauIbof2MOtRxE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IFERROR(__xludf.DUMMYFUNCTION("""COMPUTED_VALUE"""),"PSTFunctionalities")</f>
        <v>PSTFunctionalities</v>
      </c>
      <c r="C44" t="str">
        <f ca="1">IFERROR(__xludf.DUMMYFUNCTION("""COMPUTED_VALUE"""),"1uwp5EUk7yLKid2SqDjwj0_GiGO9VhpJzYIcxQylCTwo")</f>
        <v>1uwp5EUk7yLKid2SqDjwj0_GiGO9VhpJzYIcxQylCTwo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IFERROR(__xludf.DUMMYFUNCTION("""COMPUTED_VALUE"""),"PortfolioManagement")</f>
        <v>PortfolioManagement</v>
      </c>
      <c r="B45" t="str">
        <f ca="1">IFERROR(__xludf.DUMMYFUNCTION("""COMPUTED_VALUE"""),"OpenPSTFromPM")</f>
        <v>OpenPSTFromPM</v>
      </c>
      <c r="C45" t="str">
        <f ca="1">IFERROR(__xludf.DUMMYFUNCTION("""COMPUTED_VALUE"""),"1Hh6nJVl05fGFGgAzhC0v2n-p_CU9Jd0uFqdHlnWwJTg")</f>
        <v>1Hh6nJVl05fGFGgAzhC0v2n-p_CU9Jd0uFqdHlnWwJTg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IFERROR(__xludf.DUMMYFUNCTION("""COMPUTED_VALUE"""),"TradingTicket")</f>
        <v>TradingTicket</v>
      </c>
      <c r="B46" t="str">
        <f ca="1">IFERROR(__xludf.DUMMYFUNCTION("""COMPUTED_VALUE"""),"OpenTTFromPST")</f>
        <v>OpenTTFromPST</v>
      </c>
      <c r="C46" t="str">
        <f ca="1">IFERROR(__xludf.DUMMYFUNCTION("""COMPUTED_VALUE"""),"1O7edVbfzplQ-O-6CEJxzgq38bKuzQqrZMi1hvHduoxM")</f>
        <v>1O7edVbfzplQ-O-6CEJxzgq38bKuzQqrZMi1hvHduoxM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IFERROR(__xludf.DUMMYFUNCTION("""COMPUTED_VALUE"""),"CorporateAction")</f>
        <v>CorporateAction</v>
      </c>
      <c r="B47" t="str">
        <f ca="1">IFERROR(__xludf.DUMMYFUNCTION("""COMPUTED_VALUE"""),"CashDividend")</f>
        <v>CashDividend</v>
      </c>
      <c r="C47" t="str">
        <f ca="1">IFERROR(__xludf.DUMMYFUNCTION("""COMPUTED_VALUE"""),"1l95qunFGTeiKLwSKZHVbWlTE0cznZgjCRpuiltJ4gtg")</f>
        <v>1l95qunFGTeiKLwSKZHVbWlTE0cznZgjCRpuiltJ4gtg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IFERROR(__xludf.DUMMYFUNCTION("""COMPUTED_VALUE"""),"CorporateAction")</f>
        <v>CorporateAction</v>
      </c>
      <c r="B48" t="str">
        <f ca="1">IFERROR(__xludf.DUMMYFUNCTION("""COMPUTED_VALUE"""),"Exchange")</f>
        <v>Exchange</v>
      </c>
      <c r="C48" t="str">
        <f ca="1">IFERROR(__xludf.DUMMYFUNCTION("""COMPUTED_VALUE"""),"12KLRQucApo6IRtAzVp-za62nqiIuztr1Mj52yRvvqOY")</f>
        <v>12KLRQucApo6IRtAzVp-za62nqiIuztr1Mj52yRvvqOY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IFERROR(__xludf.DUMMYFUNCTION("""COMPUTED_VALUE"""),"Merger")</f>
        <v>Merger</v>
      </c>
      <c r="C49" t="str">
        <f ca="1">IFERROR(__xludf.DUMMYFUNCTION("""COMPUTED_VALUE"""),"1qgEiuLYXaLVPJOINdfkRr7c9lyRRS_xBSe6SPkp8K-o")</f>
        <v>1qgEiuLYXaLVPJOINdfkRr7c9lyRRS_xBSe6SPkp8K-o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IFERROR(__xludf.DUMMYFUNCTION("""COMPUTED_VALUE"""),"NameChange")</f>
        <v>NameChange</v>
      </c>
      <c r="C50" t="str">
        <f ca="1">IFERROR(__xludf.DUMMYFUNCTION("""COMPUTED_VALUE"""),"1VuAexgshIic71eEvB5mnvl0UMXMV0P8jozCsUHV30FM")</f>
        <v>1VuAexgshIic71eEvB5mnvl0UMXMV0P8jozCsUHV30FM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IFERROR(__xludf.DUMMYFUNCTION("""COMPUTED_VALUE"""),"SpinOff")</f>
        <v>SpinOff</v>
      </c>
      <c r="C51" t="str">
        <f ca="1">IFERROR(__xludf.DUMMYFUNCTION("""COMPUTED_VALUE"""),"14CbrcCPYaI4Gqde6ADz6rnkGV-C_I_sBUHhcLeGClx8")</f>
        <v>14CbrcCPYaI4Gqde6ADz6rnkGV-C_I_sBUHhcLeGClx8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IFERROR(__xludf.DUMMYFUNCTION("""COMPUTED_VALUE"""),"Split")</f>
        <v>Split</v>
      </c>
      <c r="C52" t="str">
        <f ca="1">IFERROR(__xludf.DUMMYFUNCTION("""COMPUTED_VALUE"""),"1QDL5sjj6u7bA-8ZBdirMnBaDWycVY_NycJVU4obVZW4")</f>
        <v>1QDL5sjj6u7bA-8ZBdirMnBaDWycVY_NycJVU4obVZW4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IFERROR(__xludf.DUMMYFUNCTION("""COMPUTED_VALUE"""),"StockDividend")</f>
        <v>StockDividend</v>
      </c>
      <c r="C53" t="str">
        <f ca="1">IFERROR(__xludf.DUMMYFUNCTION("""COMPUTED_VALUE"""),"16X2GOg0YhlSXphoVEDqum-MD5qeGqs4ri9q1t365RBM")</f>
        <v>16X2GOg0YhlSXphoVEDqum-MD5qeGqs4ri9q1t365RBM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IFERROR(__xludf.DUMMYFUNCTION("""COMPUTED_VALUE"""),"TradingTicket")</f>
        <v>TradingTicket</v>
      </c>
      <c r="B54" t="str">
        <f ca="1">IFERROR(__xludf.DUMMYFUNCTION("""COMPUTED_VALUE"""),"EnterDetailsOnTT")</f>
        <v>EnterDetailsOnTT</v>
      </c>
      <c r="C54" t="str">
        <f ca="1">IFERROR(__xludf.DUMMYFUNCTION("""COMPUTED_VALUE"""),"Undefined")</f>
        <v>Undefined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IFERROR(__xludf.DUMMYFUNCTION("""COMPUTED_VALUE"""),"DailyValuation")</f>
        <v>DailyValuation</v>
      </c>
      <c r="B55" t="str">
        <f ca="1">IFERROR(__xludf.DUMMYFUNCTION("""COMPUTED_VALUE"""),"CleanUp")</f>
        <v>CleanUp</v>
      </c>
      <c r="C55" t="str">
        <f ca="1">IFERROR(__xludf.DUMMYFUNCTION("""COMPUTED_VALUE"""),"Undefined")</f>
        <v>Undefined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IFERROR(__xludf.DUMMYFUNCTION("""COMPUTED_VALUE"""),"Allocation")</f>
        <v>Allocation</v>
      </c>
      <c r="B56" t="str">
        <f ca="1">IFERROR(__xludf.DUMMYFUNCTION("""COMPUTED_VALUE"""),"EditUnallocatedGroupSidePanel")</f>
        <v>EditUnallocatedGroupSidePanel</v>
      </c>
      <c r="C56" t="str">
        <f ca="1">IFERROR(__xludf.DUMMYFUNCTION("""COMPUTED_VALUE"""),"1obz67sla1dkodV-Q4D2wwh5s-e3HmC4hlGqolpOQUV8")</f>
        <v>1obz67sla1dkodV-Q4D2wwh5s-e3HmC4hlGqolpOQUV8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IFERROR(__xludf.DUMMYFUNCTION("""COMPUTED_VALUE"""),"Allocation")</f>
        <v>Allocation</v>
      </c>
      <c r="B57" t="str">
        <f ca="1">IFERROR(__xludf.DUMMYFUNCTION("""COMPUTED_VALUE"""),"TradeAttributeBulkChange")</f>
        <v>TradeAttributeBulkChange</v>
      </c>
      <c r="C57" t="str">
        <f ca="1">IFERROR(__xludf.DUMMYFUNCTION("""COMPUTED_VALUE"""),"125zeq5tUeqMKMM-UIYzLLNOo2jnWtqyUOTnd8xgkM2U")</f>
        <v>125zeq5tUeqMKMM-UIYzLLNOo2jnWtqyUOTnd8xgkM2U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IFERROR(__xludf.DUMMYFUNCTION("""COMPUTED_VALUE"""),"ApplyBulkUpdateOnGroups")</f>
        <v>ApplyBulkUpdateOnGroups</v>
      </c>
      <c r="C58" t="str">
        <f ca="1">IFERROR(__xludf.DUMMYFUNCTION("""COMPUTED_VALUE"""),"1fmnAQFt-_YGqWUkuKgjzxtlh-aixWAcNa1UIwdqtUaQ")</f>
        <v>1fmnAQFt-_YGqWUkuKgjzxtlh-aixWAcNa1UIwdqtUaQ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IFERROR(__xludf.DUMMYFUNCTION("""COMPUTED_VALUE"""),"ApplyPrefetchFilters")</f>
        <v>ApplyPrefetchFilters</v>
      </c>
      <c r="C59" t="str">
        <f ca="1">IFERROR(__xludf.DUMMYFUNCTION("""COMPUTED_VALUE"""),"1RpXT-dPg6X5MwsysSjIzJgVZ1LmQ-pZTaN1xAyetv9k")</f>
        <v>1RpXT-dPg6X5MwsysSjIzJgVZ1LmQ-pZTaN1xAyetv9k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IFERROR(__xludf.DUMMYFUNCTION("""COMPUTED_VALUE"""),"GeneralPreferencesDefaultRule")</f>
        <v>GeneralPreferencesDefaultRule</v>
      </c>
      <c r="C60" t="str">
        <f ca="1">IFERROR(__xludf.DUMMYFUNCTION("""COMPUTED_VALUE"""),"1CV6mfDD8X54LhJ8arf__OEfIfLNrn71OAu-q5NtWkTI")</f>
        <v>1CV6mfDD8X54LhJ8arf__OEfIfLNrn71OAu-q5NtWkTI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IFERROR(__xludf.DUMMYFUNCTION("""COMPUTED_VALUE"""),"GeneralPrefCompanyUserWise")</f>
        <v>GeneralPrefCompanyUserWise</v>
      </c>
      <c r="C61" t="str">
        <f ca="1">IFERROR(__xludf.DUMMYFUNCTION("""COMPUTED_VALUE"""),"1bTLj8UBbX8x8Nh9oZ3dmg11pxddYuwGh_Km5LJlEK6c")</f>
        <v>1bTLj8UBbX8x8Nh9oZ3dmg11pxddYuwGh_Km5LJlEK6c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IFERROR(__xludf.DUMMYFUNCTION("""COMPUTED_VALUE"""),"RenameTradeAttributes")</f>
        <v>RenameTradeAttributes</v>
      </c>
      <c r="C62" t="str">
        <f ca="1">IFERROR(__xludf.DUMMYFUNCTION("""COMPUTED_VALUE"""),"13LBQhnI0n0hlW6NV8EeRAzwHEza7O_fshrZJkCE660w")</f>
        <v>13LBQhnI0n0hlW6NV8EeRAzwHEza7O_fshrZJkCE660w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IFERROR(__xludf.DUMMYFUNCTION("""COMPUTED_VALUE"""),"SetGroupingRules")</f>
        <v>SetGroupingRules</v>
      </c>
      <c r="C63" t="str">
        <f ca="1">IFERROR(__xludf.DUMMYFUNCTION("""COMPUTED_VALUE"""),"1ZI2MUcaIdICaC-BRH8bwfpVUeS1ug7gXksmgYXABZ3g")</f>
        <v>1ZI2MUcaIdICaC-BRH8bwfpVUeS1ug7gXksmgYXABZ3g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IFERROR(__xludf.DUMMYFUNCTION("""COMPUTED_VALUE"""),"SetMasterFundRatio")</f>
        <v>SetMasterFundRatio</v>
      </c>
      <c r="C64" t="str">
        <f ca="1">IFERROR(__xludf.DUMMYFUNCTION("""COMPUTED_VALUE"""),"1HnUnCvn0omZQKeWh9DMLKrx03H2nG8a-KamHRLb2vko")</f>
        <v>1HnUnCvn0omZQKeWh9DMLKrx03H2nG8a-KamHRLb2vko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IFERROR(__xludf.DUMMYFUNCTION("""COMPUTED_VALUE"""),"CheckFixedPreference")</f>
        <v>CheckFixedPreference</v>
      </c>
      <c r="C65" t="str">
        <f ca="1">IFERROR(__xludf.DUMMYFUNCTION("""COMPUTED_VALUE"""),"1MxG9l1lQczLE5PdZzV-QjYVONc9z69XTu2wBiJDoklc")</f>
        <v>1MxG9l1lQczLE5PdZzV-QjYVONc9z69XTu2wBiJDoklc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IFERROR(__xludf.DUMMYFUNCTION("""COMPUTED_VALUE"""),"GetFixedPreference")</f>
        <v>GetFixedPreference</v>
      </c>
      <c r="C66" t="str">
        <f ca="1">IFERROR(__xludf.DUMMYFUNCTION("""COMPUTED_VALUE"""),"1BWEkQ0CkSiYeosqmxnRUzSfMXn7hwmMwFcWaGNhN0a0")</f>
        <v>1BWEkQ0CkSiYeosqmxnRUzSfMXn7hwmMwFcWaGNhN0a0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IFERROR(__xludf.DUMMYFUNCTION("""COMPUTED_VALUE"""),"AddCalculatedPreferences")</f>
        <v>AddCalculatedPreferences</v>
      </c>
      <c r="C67" t="str">
        <f ca="1">IFERROR(__xludf.DUMMYFUNCTION("""COMPUTED_VALUE"""),"1WsIU2FuWyqdJMtcmyw_BHMx4U8XVLpWl8JJrotx6ePI")</f>
        <v>1WsIU2FuWyqdJMtcmyw_BHMx4U8XVLpWl8JJrotx6ePI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IFERROR(__xludf.DUMMYFUNCTION("""COMPUTED_VALUE"""),"BulkChangeCalculatedPreferences")</f>
        <v>BulkChangeCalculatedPreferences</v>
      </c>
      <c r="C68" t="str">
        <f ca="1">IFERROR(__xludf.DUMMYFUNCTION("""COMPUTED_VALUE"""),"1NrLLc572hKpMzauSyaNtwhhiCBy61tlfp6nv6OL_CO0")</f>
        <v>1NrLLc572hKpMzauSyaNtwhhiCBy61tlfp6nv6OL_CO0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IFERROR(__xludf.DUMMYFUNCTION("""COMPUTED_VALUE"""),"DeleteCalculatedPreferences")</f>
        <v>DeleteCalculatedPreferences</v>
      </c>
      <c r="C69" t="str">
        <f ca="1">IFERROR(__xludf.DUMMYFUNCTION("""COMPUTED_VALUE"""),"1dd5N2CaOrQMCwOyMYcpk77icRYAOAWq2Q-iM6d30aaU")</f>
        <v>1dd5N2CaOrQMCwOyMYcpk77icRYAOAWq2Q-iM6d30aaU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IFERROR(__xludf.DUMMYFUNCTION("""COMPUTED_VALUE"""),"RenameCalculatedPreferences")</f>
        <v>RenameCalculatedPreferences</v>
      </c>
      <c r="C70" t="str">
        <f ca="1">IFERROR(__xludf.DUMMYFUNCTION("""COMPUTED_VALUE"""),"16YoKlUkbZBaPrggQKTzQkMlizINp1_oSx9jYRzNx_o4")</f>
        <v>16YoKlUkbZBaPrggQKTzQkMlizINp1_oSx9jYRzNx_o4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IFERROR(__xludf.DUMMYFUNCTION("""COMPUTED_VALUE"""),"CopyCalculatedPreferences")</f>
        <v>CopyCalculatedPreferences</v>
      </c>
      <c r="C71" t="str">
        <f ca="1">IFERROR(__xludf.DUMMYFUNCTION("""COMPUTED_VALUE"""),"1Vh7puU6V8sdg79BDEHjKR85NL7-Acme-qT6OtJYS8jU")</f>
        <v>1Vh7puU6V8sdg79BDEHjKR85NL7-Acme-qT6OtJYS8jU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IFERROR(__xludf.DUMMYFUNCTION("""COMPUTED_VALUE"""),"RunAutoGroup")</f>
        <v>RunAutoGroup</v>
      </c>
      <c r="C72" t="str">
        <f ca="1">IFERROR(__xludf.DUMMYFUNCTION("""COMPUTED_VALUE"""),"158eTu4y7Mzj5QKawI53nzZDBNrOyPWeB41H0X9otKtU")</f>
        <v>158eTu4y7Mzj5QKawI53nzZDBNrOyPWeB41H0X9otKtU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IFERROR(__xludf.DUMMYFUNCTION("""COMPUTED_VALUE"""),"BookOrUpdateSwap")</f>
        <v>BookOrUpdateSwap</v>
      </c>
      <c r="C73" t="str">
        <f ca="1">IFERROR(__xludf.DUMMYFUNCTION("""COMPUTED_VALUE"""),"1WP_KP7BGdetzKFFV_YXmrIpjZ117e0TQy6He8Pjsbn8")</f>
        <v>1WP_KP7BGdetzKFFV_YXmrIpjZ117e0TQy6He8Pjsbn8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IFERROR(__xludf.DUMMYFUNCTION("""COMPUTED_VALUE"""),"RunProrata")</f>
        <v>RunProrata</v>
      </c>
      <c r="C74" t="str">
        <f ca="1">IFERROR(__xludf.DUMMYFUNCTION("""COMPUTED_VALUE"""),"1HJLHDE5oGtsHlvN-IJtqA0k9UCPTKPg__dJ6Xmc6wfs")</f>
        <v>1HJLHDE5oGtsHlvN-IJtqA0k9UCPTKPg__dJ6Xmc6wfs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IFERROR(__xludf.DUMMYFUNCTION("""COMPUTED_VALUE"""),"SetDefaultRuleCalculatedPref")</f>
        <v>SetDefaultRuleCalculatedPref</v>
      </c>
      <c r="C75" t="str">
        <f ca="1">IFERROR(__xludf.DUMMYFUNCTION("""COMPUTED_VALUE"""),"19y7JJUjHv2co1ySpXKhNftDtMRpP9bKtqpUANMv9Aqk")</f>
        <v>19y7JJUjHv2co1ySpXKhNftDtMRpP9bKtqpUANMv9Aqk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IFERROR(__xludf.DUMMYFUNCTION("""COMPUTED_VALUE"""),"Admin")</f>
        <v>Admin</v>
      </c>
      <c r="B76" t="str">
        <f ca="1">IFERROR(__xludf.DUMMYFUNCTION("""COMPUTED_VALUE"""),"SetTTUIPreferences")</f>
        <v>SetTTUIPreferences</v>
      </c>
      <c r="C76" t="str">
        <f ca="1">IFERROR(__xludf.DUMMYFUNCTION("""COMPUTED_VALUE"""),"1vJDk7umktKM6xIYCDQtaPORMsI7Lqo0JwhEQIZcbcWA")</f>
        <v>1vJDk7umktKM6xIYCDQtaPORMsI7Lqo0JwhEQIZcbcWA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IFERROR(__xludf.DUMMYFUNCTION("""COMPUTED_VALUE"""),"Admin")</f>
        <v>Admin</v>
      </c>
      <c r="B77" t="str">
        <f ca="1">IFERROR(__xludf.DUMMYFUNCTION("""COMPUTED_VALUE"""),"TTPermissionLevel")</f>
        <v>TTPermissionLevel</v>
      </c>
      <c r="C77" t="str">
        <f ca="1">IFERROR(__xludf.DUMMYFUNCTION("""COMPUTED_VALUE"""),"14IVRT0g-2GNeaAMS9iaPvdKHXE7L-uF6tlIX39pwa6A")</f>
        <v>14IVRT0g-2GNeaAMS9iaPvdKHXE7L-uF6tlIX39pwa6A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IFERROR(__xludf.DUMMYFUNCTION("""COMPUTED_VALUE"""),"TradingTicket")</f>
        <v>TradingTicket</v>
      </c>
      <c r="B78" t="str">
        <f ca="1">IFERROR(__xludf.DUMMYFUNCTION("""COMPUTED_VALUE"""),"ValidateSymbolTT")</f>
        <v>ValidateSymbolTT</v>
      </c>
      <c r="C78" t="str">
        <f ca="1">IFERROR(__xludf.DUMMYFUNCTION("""COMPUTED_VALUE"""),"10G_Y6isKleDKBUw0uti8mqMOHAiZoyxYlUXPuI0cp84")</f>
        <v>10G_Y6isKleDKBUw0uti8mqMOHAiZoyxYlUXPuI0cp84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IFERROR(__xludf.DUMMYFUNCTION("""COMPUTED_VALUE"""),"TradingTicket")</f>
        <v>TradingTicket</v>
      </c>
      <c r="B79" t="str">
        <f ca="1">IFERROR(__xludf.DUMMYFUNCTION("""COMPUTED_VALUE"""),"VerifyDataTT")</f>
        <v>VerifyDataTT</v>
      </c>
      <c r="C79" t="str">
        <f ca="1">IFERROR(__xludf.DUMMYFUNCTION("""COMPUTED_VALUE"""),"Undefined")</f>
        <v>Undefined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IFERROR(__xludf.DUMMYFUNCTION("""COMPUTED_VALUE"""),"SetUIPreferencesTT")</f>
        <v>SetUIPreferencesTT</v>
      </c>
      <c r="C80" t="str">
        <f ca="1">IFERROR(__xludf.DUMMYFUNCTION("""COMPUTED_VALUE"""),"1mKK2qOB9c77LvJRMd9V1haRgnEbKEvJHAGMul7LU9r8")</f>
        <v>1mKK2qOB9c77LvJRMd9V1haRgnEbKEvJHAGMul7LU9r8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IFERROR(__xludf.DUMMYFUNCTION("""COMPUTED_VALUE"""),"SetBrokerWisePreferencesTT")</f>
        <v>SetBrokerWisePreferencesTT</v>
      </c>
      <c r="C81" t="str">
        <f ca="1">IFERROR(__xludf.DUMMYFUNCTION("""COMPUTED_VALUE"""),"1IGQeYHwZ1PTtDZ5J3pngQh2CiTe0eztPtkirV05Yfn0")</f>
        <v>1IGQeYHwZ1PTtDZ5J3pngQh2CiTe0eztPtkirV05Yfn0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IFERROR(__xludf.DUMMYFUNCTION("""COMPUTED_VALUE"""),"Blotter")</f>
        <v>Blotter</v>
      </c>
      <c r="B82" t="str">
        <f ca="1">IFERROR(__xludf.DUMMYFUNCTION("""COMPUTED_VALUE"""),"BlotterFunctionalities")</f>
        <v>BlotterFunctionalities</v>
      </c>
      <c r="C82" t="str">
        <f ca="1">IFERROR(__xludf.DUMMYFUNCTION("""COMPUTED_VALUE"""),"186JjG_Ko2ioSSokldVvYGEzowliqTGKmrzVD57ebYO0")</f>
        <v>186JjG_Ko2ioSSokldVvYGEzowliqTGKmrzVD57ebYO0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IFERROR(__xludf.DUMMYFUNCTION("""COMPUTED_VALUE"""),"TradeNewSub")</f>
        <v>TradeNewSub</v>
      </c>
      <c r="C83" t="str">
        <f ca="1">IFERROR(__xludf.DUMMYFUNCTION("""COMPUTED_VALUE"""),"1Muxt3XVeal8ijJZ9PFOV7BjtWOkZwktKh2hr7eyisr8")</f>
        <v>1Muxt3XVeal8ijJZ9PFOV7BjtWOkZwktKh2hr7eyisr8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IFERROR(__xludf.DUMMYFUNCTION("""COMPUTED_VALUE"""),"GeneralLedger")</f>
        <v>GeneralLedger</v>
      </c>
      <c r="B84" t="str">
        <f ca="1">IFERROR(__xludf.DUMMYFUNCTION("""COMPUTED_VALUE"""),"GetTradingTransaction")</f>
        <v>GetTradingTransaction</v>
      </c>
      <c r="C84" t="str">
        <f ca="1">IFERROR(__xludf.DUMMYFUNCTION("""COMPUTED_VALUE"""),"1VMYHglP2fkjYnP4JAs8baMjTLBOQq4G2nCZZHofxJ_E")</f>
        <v>1VMYHglP2fkjYnP4JAs8baMjTLBOQq4G2nCZZHofxJ_E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IFERROR(__xludf.DUMMYFUNCTION("""COMPUTED_VALUE"""),"GeneralLedger")</f>
        <v>GeneralLedger</v>
      </c>
      <c r="B85" t="str">
        <f ca="1">IFERROR(__xludf.DUMMYFUNCTION("""COMPUTED_VALUE"""),"GetActivityData")</f>
        <v>GetActivityData</v>
      </c>
      <c r="C85" t="str">
        <f ca="1">IFERROR(__xludf.DUMMYFUNCTION("""COMPUTED_VALUE"""),"1cgB7L-hmW69lXXu8-acayYl62KglwsTMNmc71UN0igs")</f>
        <v>1cgB7L-hmW69lXXu8-acayYl62KglwsTMNmc71UN0igs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IFERROR(__xludf.DUMMYFUNCTION("""COMPUTED_VALUE"""),"Allocation")</f>
        <v>Allocation</v>
      </c>
      <c r="B86" t="str">
        <f ca="1">IFERROR(__xludf.DUMMYFUNCTION("""COMPUTED_VALUE"""),"SetAccountValueCalculatedPref")</f>
        <v>SetAccountValueCalculatedPref</v>
      </c>
      <c r="C86" t="str">
        <f ca="1">IFERROR(__xludf.DUMMYFUNCTION("""COMPUTED_VALUE"""),"1iW8f0wobJi3n6fY9ZFF2ESnVsRhxf3kblT2TOsYbNlY")</f>
        <v>1iW8f0wobJi3n6fY9ZFF2ESnVsRhxf3kblT2TOsYbNlY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IFERROR(__xludf.DUMMYFUNCTION("""COMPUTED_VALUE"""),"Allocation")</f>
        <v>Allocation</v>
      </c>
      <c r="B87" t="str">
        <f ca="1">IFERROR(__xludf.DUMMYFUNCTION("""COMPUTED_VALUE"""),"TradeAttributeBulkChangeGroups")</f>
        <v>TradeAttributeBulkChangeGroups</v>
      </c>
      <c r="C87" t="str">
        <f ca="1">IFERROR(__xludf.DUMMYFUNCTION("""COMPUTED_VALUE"""),"1G53tsyKDmEFnrtosRZ96Q4iATP0dLrOdTyyxLeC6_d4")</f>
        <v>1G53tsyKDmEFnrtosRZ96Q4iATP0dLrOdTyyxLeC6_d4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IFERROR(__xludf.DUMMYFUNCTION("""COMPUTED_VALUE"""),"TradeAttributeBulkChangeTaxlots")</f>
        <v>TradeAttributeBulkChangeTaxlots</v>
      </c>
      <c r="C88" t="str">
        <f ca="1">IFERROR(__xludf.DUMMYFUNCTION("""COMPUTED_VALUE"""),"11X0wsOdGxXWCkqhBueMs8fsJ6tZSOyCBY_nreYhelGE")</f>
        <v>11X0wsOdGxXWCkqhBueMs8fsJ6tZSOyCBY_nreYhelGE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IFERROR(__xludf.DUMMYFUNCTION("""COMPUTED_VALUE"""),"AddCalculatedPreferenceToolbar")</f>
        <v>AddCalculatedPreferenceToolbar</v>
      </c>
      <c r="C89" t="str">
        <f ca="1">IFERROR(__xludf.DUMMYFUNCTION("""COMPUTED_VALUE"""),"1f8LdPG_fu813MWdc5LZ_f3a6pNZvy-agc1gnR2D2d1I")</f>
        <v>1f8LdPG_fu813MWdc5LZ_f3a6pNZvy-agc1gnR2D2d1I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IFERROR(__xludf.DUMMYFUNCTION("""COMPUTED_VALUE"""),"GeneralLedger")</f>
        <v>GeneralLedger</v>
      </c>
      <c r="B90" t="str">
        <f ca="1">IFERROR(__xludf.DUMMYFUNCTION("""COMPUTED_VALUE"""),"GetRevaluationData")</f>
        <v>GetRevaluationData</v>
      </c>
      <c r="C90" t="str">
        <f ca="1">IFERROR(__xludf.DUMMYFUNCTION("""COMPUTED_VALUE"""),"1V-6AQFpzaZJ8xmybbF01Wuug9O7LKL6RW8hnIFpfg0A")</f>
        <v>1V-6AQFpzaZJ8xmybbF01Wuug9O7LKL6RW8hnIFpfg0A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IFERROR(__xludf.DUMMYFUNCTION("""COMPUTED_VALUE"""),"SetStrategyValueCalculatedPref")</f>
        <v>SetStrategyValueCalculatedPref</v>
      </c>
      <c r="C91" t="str">
        <f ca="1">IFERROR(__xludf.DUMMYFUNCTION("""COMPUTED_VALUE"""),"1VB617Gzkn_UV5GDWBAYHZGgHKMLrMfaWHKFGFe9z8G8")</f>
        <v>1VB617Gzkn_UV5GDWBAYHZGgHKMLrMfaWHKFGFe9z8G8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IFERROR(__xludf.DUMMYFUNCTION("""COMPUTED_VALUE"""),"GetAccountDetails")</f>
        <v>GetAccountDetails</v>
      </c>
      <c r="C92" t="str">
        <f ca="1">IFERROR(__xludf.DUMMYFUNCTION("""COMPUTED_VALUE"""),"1k1Ie1c24aNxpOs6nYHOYfGQGN9W0vjGnF9yUwonVFeA")</f>
        <v>1k1Ie1c24aNxpOs6nYHOYfGQGN9W0vjGnF9yUwonVFeA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IFERROR(__xludf.DUMMYFUNCTION("""COMPUTED_VALUE"""),"ApplyBulkUpdateOnTaxlots")</f>
        <v>ApplyBulkUpdateOnTaxlots</v>
      </c>
      <c r="C93" t="str">
        <f ca="1">IFERROR(__xludf.DUMMYFUNCTION("""COMPUTED_VALUE"""),"1Xwbnmdxg6m-npWyZ5Gi23GfKz3X3tz-XezmOEO3vNfE")</f>
        <v>1Xwbnmdxg6m-npWyZ5Gi23GfKz3X3tz-XezmOEO3vNfE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IFERROR(__xludf.DUMMYFUNCTION("""COMPUTED_VALUE"""),"GetNonTradingTransaction")</f>
        <v>GetNonTradingTransaction</v>
      </c>
      <c r="C94" t="str">
        <f ca="1">IFERROR(__xludf.DUMMYFUNCTION("""COMPUTED_VALUE"""),"1XtTY96kO-E7pz5Jz6qiZoyQVS43HJTN-piH7D1rkU78")</f>
        <v>1XtTY96kO-E7pz5Jz6qiZoyQVS43HJTN-piH7D1rkU78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IFERROR(__xludf.DUMMYFUNCTION("""COMPUTED_VALUE"""),"CommissionBulkChangeOnGroups")</f>
        <v>CommissionBulkChangeOnGroups</v>
      </c>
      <c r="C95" t="str">
        <f ca="1">IFERROR(__xludf.DUMMYFUNCTION("""COMPUTED_VALUE"""),"1H67FQNHuP6xak7FlkxXewU5WTmrQHbta2nU0qPmskvU")</f>
        <v>1H67FQNHuP6xak7FlkxXewU5WTmrQHbta2nU0qPmskvU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IFERROR(__xludf.DUMMYFUNCTION("""COMPUTED_VALUE"""),"GetDividendData")</f>
        <v>GetDividendData</v>
      </c>
      <c r="C96" t="str">
        <f ca="1">IFERROR(__xludf.DUMMYFUNCTION("""COMPUTED_VALUE"""),"12a6kTgyTXVCSfnBgbAKqfG0SPlGmevXkjlXLI_wZUw4")</f>
        <v>12a6kTgyTXVCSfnBgbAKqfG0SPlGmevXkjlXLI_wZUw4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IFERROR(__xludf.DUMMYFUNCTION("""COMPUTED_VALUE"""),"CommissionBulkChangeOnTaxlots")</f>
        <v>CommissionBulkChangeOnTaxlots</v>
      </c>
      <c r="C97" t="str">
        <f ca="1">IFERROR(__xludf.DUMMYFUNCTION("""COMPUTED_VALUE"""),"1CoWI-gfDdRPBJ2e4daoGlDb8cG4zbzkObTfK5Aapr84")</f>
        <v>1CoWI-gfDdRPBJ2e4daoGlDb8cG4zbzkObTfK5Aapr84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IFERROR(__xludf.DUMMYFUNCTION("""COMPUTED_VALUE"""),"VerifyNonTradingTransaction")</f>
        <v>VerifyNonTradingTransaction</v>
      </c>
      <c r="C98" t="str">
        <f ca="1">IFERROR(__xludf.DUMMYFUNCTION("""COMPUTED_VALUE"""),"11r_KFt7jpx8JH9Q62IwhpJdz6uoTKEVt4skafwybhVk")</f>
        <v>11r_KFt7jpx8JH9Q62IwhpJdz6uoTKEVt4skafwybhVk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IFERROR(__xludf.DUMMYFUNCTION("""COMPUTED_VALUE"""),"SelectUnallocatedGroup")</f>
        <v>SelectUnallocatedGroup</v>
      </c>
      <c r="C99" t="str">
        <f ca="1">IFERROR(__xludf.DUMMYFUNCTION("""COMPUTED_VALUE"""),"1ILMSh2S7GBvsNEtiq4zqVqc5DztzmPTMHAtdTK4dnqk")</f>
        <v>1ILMSh2S7GBvsNEtiq4zqVqc5DztzmPTMHAtdTK4dnqk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IFERROR(__xludf.DUMMYFUNCTION("""COMPUTED_VALUE"""),"VerifyDividend")</f>
        <v>VerifyDividend</v>
      </c>
      <c r="C100" t="str">
        <f ca="1">IFERROR(__xludf.DUMMYFUNCTION("""COMPUTED_VALUE"""),"1heg65kitbQtwmRNUE0JsrxnOUfxvBMG9YTkDxdPt7PU")</f>
        <v>1heg65kitbQtwmRNUE0JsrxnOUfxvBMG9YTkDxdPt7PU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IFERROR(__xludf.DUMMYFUNCTION("""COMPUTED_VALUE"""),"EnterAccountValuesToAllocate")</f>
        <v>EnterAccountValuesToAllocate</v>
      </c>
      <c r="C101" t="str">
        <f ca="1">IFERROR(__xludf.DUMMYFUNCTION("""COMPUTED_VALUE"""),"1vlh5Xnse_6x32XgA3u-nJLmDSCp9gMOm-ONvzNJmenM")</f>
        <v>1vlh5Xnse_6x32XgA3u-nJLmDSCp9gMOm-ONvzNJmenM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IFERROR(__xludf.DUMMYFUNCTION("""COMPUTED_VALUE"""),"GetOpeningBalanceData")</f>
        <v>GetOpeningBalanceData</v>
      </c>
      <c r="C102" t="str">
        <f ca="1">IFERROR(__xludf.DUMMYFUNCTION("""COMPUTED_VALUE"""),"18FNVFHi4tmvLoVUEYW8OIBj34BJjSE4UfP22Low0lrQ")</f>
        <v>18FNVFHi4tmvLoVUEYW8OIBj34BJjSE4UfP22Low0lrQ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IFERROR(__xludf.DUMMYFUNCTION("""COMPUTED_VALUE"""),"EnterAllocatePreference")</f>
        <v>EnterAllocatePreference</v>
      </c>
      <c r="C103" t="str">
        <f ca="1">IFERROR(__xludf.DUMMYFUNCTION("""COMPUTED_VALUE"""),"1yu6800I5KuQnhcJ2fJ9MayJrB8hJgR22dDd3yAfoqrs")</f>
        <v>1yu6800I5KuQnhcJ2fJ9MayJrB8hJgR22dDd3yAfoqrs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IFERROR(__xludf.DUMMYFUNCTION("""COMPUTED_VALUE"""),"GetAccountBalance")</f>
        <v>GetAccountBalance</v>
      </c>
      <c r="C104" t="str">
        <f ca="1">IFERROR(__xludf.DUMMYFUNCTION("""COMPUTED_VALUE"""),"1LzTW5QCOg1n53cS_dRea7BFsZ_MH6SlpDslAW5yWH5M")</f>
        <v>1LzTW5QCOg1n53cS_dRea7BFsZ_MH6SlpDslAW5yWH5M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IFERROR(__xludf.DUMMYFUNCTION("""COMPUTED_VALUE"""),"Expnl")</f>
        <v>Expnl</v>
      </c>
      <c r="B105" t="str">
        <f ca="1">IFERROR(__xludf.DUMMYFUNCTION("""COMPUTED_VALUE"""),"RestartExpnl")</f>
        <v>RestartExpnl</v>
      </c>
      <c r="C105" t="str">
        <f ca="1">IFERROR(__xludf.DUMMYFUNCTION("""COMPUTED_VALUE"""),"1hp2_ancBTw_O56iD2xHFcUmnctCT6XmJGLoL9Zewic0")</f>
        <v>1hp2_ancBTw_O56iD2xHFcUmnctCT6XmJGLoL9Zewic0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IFERROR(__xludf.DUMMYFUNCTION("""COMPUTED_VALUE"""),"PortfolioManagement")</f>
        <v>PortfolioManagement</v>
      </c>
      <c r="B106" t="str">
        <f ca="1">IFERROR(__xludf.DUMMYFUNCTION("""COMPUTED_VALUE"""),"ClosePM")</f>
        <v>ClosePM</v>
      </c>
      <c r="C106" t="str">
        <f ca="1">IFERROR(__xludf.DUMMYFUNCTION("""COMPUTED_VALUE"""),"Undefined")</f>
        <v>Undefined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IFERROR(__xludf.DUMMYFUNCTION("""COMPUTED_VALUE"""),"Allocation")</f>
        <v>Allocation</v>
      </c>
      <c r="B107" t="str">
        <f ca="1">IFERROR(__xludf.DUMMYFUNCTION("""COMPUTED_VALUE"""),"EnterStrategyValuesToAllocate")</f>
        <v>EnterStrategyValuesToAllocate</v>
      </c>
      <c r="C107" t="str">
        <f ca="1">IFERROR(__xludf.DUMMYFUNCTION("""COMPUTED_VALUE"""),"1QiWbie1a2ZDKoeS6hogrVj4Gx1vXnqJjYt0otMhw4rQ")</f>
        <v>1QiWbie1a2ZDKoeS6hogrVj4Gx1vXnqJjYt0otMhw4rQ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IFERROR(__xludf.DUMMYFUNCTION("""COMPUTED_VALUE"""),"GeneralLedger")</f>
        <v>GeneralLedger</v>
      </c>
      <c r="B108" t="str">
        <f ca="1">IFERROR(__xludf.DUMMYFUNCTION("""COMPUTED_VALUE"""),"SelectNonTradingTransaction")</f>
        <v>SelectNonTradingTransaction</v>
      </c>
      <c r="C108" t="str">
        <f ca="1">IFERROR(__xludf.DUMMYFUNCTION("""COMPUTED_VALUE"""),"1-3zFbypNTYN7mseJg5VwjLJF0364sdxy5fm_i_dO6qk")</f>
        <v>1-3zFbypNTYN7mseJg5VwjLJF0364sdxy5fm_i_dO6qk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IFERROR(__xludf.DUMMYFUNCTION("""COMPUTED_VALUE"""),"GeneralLedger")</f>
        <v>GeneralLedger</v>
      </c>
      <c r="B109" t="str">
        <f ca="1">IFERROR(__xludf.DUMMYFUNCTION("""COMPUTED_VALUE"""),"SelectNonTradingTranItem")</f>
        <v>SelectNonTradingTranItem</v>
      </c>
      <c r="C109" t="str">
        <f ca="1">IFERROR(__xludf.DUMMYFUNCTION("""COMPUTED_VALUE"""),"1c3Ferc-qWUMc6sFnFHepxgiRH529ndWvHz_y9tP3QiQ")</f>
        <v>1c3Ferc-qWUMc6sFnFHepxgiRH529ndWvHz_y9tP3QiQ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IFERROR(__xludf.DUMMYFUNCTION("""COMPUTED_VALUE"""),"Allocation")</f>
        <v>Allocation</v>
      </c>
      <c r="B110" t="str">
        <f ca="1">IFERROR(__xludf.DUMMYFUNCTION("""COMPUTED_VALUE"""),"CopyCalculatedPreferenceToolbar")</f>
        <v>CopyCalculatedPreferenceToolbar</v>
      </c>
      <c r="C110" t="str">
        <f ca="1">IFERROR(__xludf.DUMMYFUNCTION("""COMPUTED_VALUE"""),"1Ie_ryJDtUyC5cY8EqwiXzEX5JRMGBxh8DhjtPOq2qH0")</f>
        <v>1Ie_ryJDtUyC5cY8EqwiXzEX5JRMGBxh8DhjtPOq2qH0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IFERROR(__xludf.DUMMYFUNCTION("""COMPUTED_VALUE"""),"Allocation")</f>
        <v>Allocation</v>
      </c>
      <c r="B111" t="str">
        <f ca="1">IFERROR(__xludf.DUMMYFUNCTION("""COMPUTED_VALUE"""),"SetGeneralRuleCalculatedPref")</f>
        <v>SetGeneralRuleCalculatedPref</v>
      </c>
      <c r="C111" t="str">
        <f ca="1">IFERROR(__xludf.DUMMYFUNCTION("""COMPUTED_VALUE"""),"1P6hfPLfTjAL9WDojfEMZZ12TRNV1fKQm6BoqOKyc3S4")</f>
        <v>1P6hfPLfTjAL9WDojfEMZZ12TRNV1fKQm6BoqOKyc3S4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IFERROR(__xludf.DUMMYFUNCTION("""COMPUTED_VALUE"""),"GeneralLedger")</f>
        <v>GeneralLedger</v>
      </c>
      <c r="B112" t="str">
        <f ca="1">IFERROR(__xludf.DUMMYFUNCTION("""COMPUTED_VALUE"""),"DeleteNonTradingTransaction")</f>
        <v>DeleteNonTradingTransaction</v>
      </c>
      <c r="C112" t="str">
        <f ca="1">IFERROR(__xludf.DUMMYFUNCTION("""COMPUTED_VALUE"""),"16lp7AjDIz-d1LMzx7DbYtSt-dT5ISvHEBpLY97GMi5c")</f>
        <v>16lp7AjDIz-d1LMzx7DbYtSt-dT5ISvHEBpLY97GMi5c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IFERROR(__xludf.DUMMYFUNCTION("""COMPUTED_VALUE"""),"GeneralLedger")</f>
        <v>GeneralLedger</v>
      </c>
      <c r="B113" t="str">
        <f ca="1">IFERROR(__xludf.DUMMYFUNCTION("""COMPUTED_VALUE"""),"DeleteNonTradingTranItem")</f>
        <v>DeleteNonTradingTranItem</v>
      </c>
      <c r="C113" t="str">
        <f ca="1">IFERROR(__xludf.DUMMYFUNCTION("""COMPUTED_VALUE"""),"1gcOSfV9GRfC4KYtkqfy-GZrjcJw1ZFzufEIqYnIRXAI")</f>
        <v>1gcOSfV9GRfC4KYtkqfy-GZrjcJw1ZFzufEIqYnIRXAI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IFERROR(__xludf.DUMMYFUNCTION("""COMPUTED_VALUE"""),"Allocation")</f>
        <v>Allocation</v>
      </c>
      <c r="B114" t="str">
        <f ca="1">IFERROR(__xludf.DUMMYFUNCTION("""COMPUTED_VALUE"""),"ExportAllCalculatedPreferences")</f>
        <v>ExportAllCalculatedPreferences</v>
      </c>
      <c r="C114" t="str">
        <f ca="1">IFERROR(__xludf.DUMMYFUNCTION("""COMPUTED_VALUE"""),"1sVDSPYZ4mdi-3PXni9I35_O4hc6X1H3U6gsgeGfmvZw")</f>
        <v>1sVDSPYZ4mdi-3PXni9I35_O4hc6X1H3U6gsgeGfmvZw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IFERROR(__xludf.DUMMYFUNCTION("""COMPUTED_VALUE"""),"AddNonTradingTransaction")</f>
        <v>AddNonTradingTransaction</v>
      </c>
      <c r="C115" t="str">
        <f ca="1">IFERROR(__xludf.DUMMYFUNCTION("""COMPUTED_VALUE"""),"1mp1XFP7835KF_T7MiX_Bq2nNPhyoxoF43xXV_hzO_Zw")</f>
        <v>1mp1XFP7835KF_T7MiX_Bq2nNPhyoxoF43xXV_hzO_Zw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IFERROR(__xludf.DUMMYFUNCTION("""COMPUTED_VALUE"""),"GeneralLedger")</f>
        <v>GeneralLedger</v>
      </c>
      <c r="B116" t="str">
        <f ca="1">IFERROR(__xludf.DUMMYFUNCTION("""COMPUTED_VALUE"""),"AddNonTradingTranItem")</f>
        <v>AddNonTradingTranItem</v>
      </c>
      <c r="C116" t="str">
        <f ca="1">IFERROR(__xludf.DUMMYFUNCTION("""COMPUTED_VALUE"""),"1VJ6kSBsB1sCLHWYTcE-jCL1JFseRHXx_eUPn7cMrsC4")</f>
        <v>1VJ6kSBsB1sCLHWYTcE-jCL1JFseRHXx_eUPn7cMrsC4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IFERROR(__xludf.DUMMYFUNCTION("""COMPUTED_VALUE"""),"Allocation")</f>
        <v>Allocation</v>
      </c>
      <c r="B117" t="str">
        <f ca="1">IFERROR(__xludf.DUMMYFUNCTION("""COMPUTED_VALUE"""),"SaveCalculatedPreferences")</f>
        <v>SaveCalculatedPreferences</v>
      </c>
      <c r="C117" t="str">
        <f ca="1">IFERROR(__xludf.DUMMYFUNCTION("""COMPUTED_VALUE"""),"Undefined")</f>
        <v>Undefined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32" t="str">
        <f ca="1">IFERROR(__xludf.DUMMYFUNCTION("""COMPUTED_VALUE"""),"GeneralLedger")</f>
        <v>GeneralLedger</v>
      </c>
      <c r="B118" t="str">
        <f ca="1">IFERROR(__xludf.DUMMYFUNCTION("""COMPUTED_VALUE"""),"VerifyOpeningBalanceData")</f>
        <v>VerifyOpeningBalanceData</v>
      </c>
      <c r="C118" t="str">
        <f ca="1">IFERROR(__xludf.DUMMYFUNCTION("""COMPUTED_VALUE"""),"1cbgDUL82g9J-kIeKIRSbR3N23KhZT2PrbfbfNmiHy4g")</f>
        <v>1cbgDUL82g9J-kIeKIRSbR3N23KhZT2PrbfbfNmiHy4g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IFERROR(__xludf.DUMMYFUNCTION("""COMPUTED_VALUE"""),"GeneralLedger")</f>
        <v>GeneralLedger</v>
      </c>
      <c r="B119" t="str">
        <f ca="1">IFERROR(__xludf.DUMMYFUNCTION("""COMPUTED_VALUE"""),"SelectOpeningBalanceTransaction")</f>
        <v>SelectOpeningBalanceTransaction</v>
      </c>
      <c r="C119" t="str">
        <f ca="1">IFERROR(__xludf.DUMMYFUNCTION("""COMPUTED_VALUE"""),"16buMqjm-t8DWdN0KXsbYQ_lEbfhNYAAjpimZL4zGss4")</f>
        <v>16buMqjm-t8DWdN0KXsbYQ_lEbfhNYAAjpimZL4zGss4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IFERROR(__xludf.DUMMYFUNCTION("""COMPUTED_VALUE"""),"TradingTicket")</f>
        <v>TradingTicket</v>
      </c>
      <c r="B120" t="str">
        <f ca="1">IFERROR(__xludf.DUMMYFUNCTION("""COMPUTED_VALUE"""),"CreateStageOrder ")</f>
        <v xml:space="preserve">CreateStageOrder </v>
      </c>
      <c r="C120" t="str">
        <f ca="1">IFERROR(__xludf.DUMMYFUNCTION("""COMPUTED_VALUE"""),"1cTGXGtKQnVf_iYDZ14Z7WLr9Idi4Fv7ecBnDagaEoxc")</f>
        <v>1cTGXGtKQnVf_iYDZ14Z7WLr9Idi4Fv7ecBnDagaEoxc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IFERROR(__xludf.DUMMYFUNCTION("""COMPUTED_VALUE"""),"Blotter")</f>
        <v>Blotter</v>
      </c>
      <c r="B121" t="str">
        <f ca="1">IFERROR(__xludf.DUMMYFUNCTION("""COMPUTED_VALUE"""),"TransferToUserWorkingSubs")</f>
        <v>TransferToUserWorkingSubs</v>
      </c>
      <c r="C121" t="str">
        <f ca="1">IFERROR(__xludf.DUMMYFUNCTION("""COMPUTED_VALUE"""),"1rjH_mAlI-kiVGhxIxfiFp3qZK1WQe6BRlh4DIAucqp8")</f>
        <v>1rjH_mAlI-kiVGhxIxfiFp3qZK1WQe6BRlh4DIAucqp8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IFERROR(__xludf.DUMMYFUNCTION("""COMPUTED_VALUE"""),"Blotter")</f>
        <v>Blotter</v>
      </c>
      <c r="B122" t="str">
        <f ca="1">IFERROR(__xludf.DUMMYFUNCTION("""COMPUTED_VALUE"""),"CancelWorkingSubs")</f>
        <v>CancelWorkingSubs</v>
      </c>
      <c r="C122" t="str">
        <f ca="1">IFERROR(__xludf.DUMMYFUNCTION("""COMPUTED_VALUE"""),"1f4UZSvqnSA0-TMEsWanXPqPh8ArCbNzI-iVrxMqdPxI")</f>
        <v>1f4UZSvqnSA0-TMEsWanXPqPh8ArCbNzI-iVrxMqdPxI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IFERROR(__xludf.DUMMYFUNCTION("""COMPUTED_VALUE"""),"ReplaceWorkingSubs")</f>
        <v>ReplaceWorkingSubs</v>
      </c>
      <c r="C123" t="str">
        <f ca="1">IFERROR(__xludf.DUMMYFUNCTION("""COMPUTED_VALUE"""),"1N0y4hQ6-0O4QG9Lw-HRxuoqx62IGJgkW3FYbgGjNsEo")</f>
        <v>1N0y4hQ6-0O4QG9Lw-HRxuoqx62IGJgkW3FYbgGjNsEo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IFERROR(__xludf.DUMMYFUNCTION("""COMPUTED_VALUE"""),"ViewAllocationDetailsWorkingSub")</f>
        <v>ViewAllocationDetailsWorkingSub</v>
      </c>
      <c r="C124" t="str">
        <f ca="1">IFERROR(__xludf.DUMMYFUNCTION("""COMPUTED_VALUE"""),"1-uClOKqZLyl7y2gkvrmPsLuujEeaQk89MlmJI-seKDQ")</f>
        <v>1-uClOKqZLyl7y2gkvrmPsLuujEeaQk89MlmJI-seKDQ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IFERROR(__xludf.DUMMYFUNCTION("""COMPUTED_VALUE"""),"SelectTradeOnOrderGrid")</f>
        <v>SelectTradeOnOrderGrid</v>
      </c>
      <c r="C125" t="str">
        <f ca="1">IFERROR(__xludf.DUMMYFUNCTION("""COMPUTED_VALUE"""),"1ZeUzy4DVw1BRVaSZ9Gc4b0AxaQ3gmozmUvzNq8PNrSc")</f>
        <v>1ZeUzy4DVw1BRVaSZ9Gc4b0AxaQ3gmozmUvzNq8PNrSc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IFERROR(__xludf.DUMMYFUNCTION("""COMPUTED_VALUE"""),"ShowDetailsForAlgoTradeSubOrder")</f>
        <v>ShowDetailsForAlgoTradeSubOrder</v>
      </c>
      <c r="C126" t="str">
        <f ca="1">IFERROR(__xludf.DUMMYFUNCTION("""COMPUTED_VALUE"""),"1w85dUCDeKl2Qn0Srhw7tlKfWNcL7qOffjvVB5Aeacqw")</f>
        <v>1w85dUCDeKl2Qn0Srhw7tlKfWNcL7qOffjvVB5Aeacqw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IFERROR(__xludf.DUMMYFUNCTION("""COMPUTED_VALUE"""),"SelectTradeOrderBlotter")</f>
        <v>SelectTradeOrderBlotter</v>
      </c>
      <c r="C127" t="str">
        <f ca="1">IFERROR(__xludf.DUMMYFUNCTION("""COMPUTED_VALUE"""),"1bHMGFLukgIQvokymSozfHITL14P-6BmJD1fulShe_nE")</f>
        <v>1bHMGFLukgIQvokymSozfHITL14P-6BmJD1fulShe_nE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IFERROR(__xludf.DUMMYFUNCTION("""COMPUTED_VALUE"""),"AddFillsWorkingSubs")</f>
        <v>AddFillsWorkingSubs</v>
      </c>
      <c r="C128" t="str">
        <f ca="1">IFERROR(__xludf.DUMMYFUNCTION("""COMPUTED_VALUE"""),"1AMIiTOdlTgw9P8zc6L0r7j_BnZ_3MiAz7TO8GcTfNlc")</f>
        <v>1AMIiTOdlTgw9P8zc6L0r7j_BnZ_3MiAz7TO8GcTfNlc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IFERROR(__xludf.DUMMYFUNCTION("""COMPUTED_VALUE"""),"EditAddFillsDetails")</f>
        <v>EditAddFillsDetails</v>
      </c>
      <c r="C129" t="str">
        <f ca="1">IFERROR(__xludf.DUMMYFUNCTION("""COMPUTED_VALUE"""),"1o5hoU4jKWkNAyzCxyVxXl0pXQTW1E66hZri02EXVnLA")</f>
        <v>1o5hoU4jKWkNAyzCxyVxXl0pXQTW1E66hZri02EXVnLA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IFERROR(__xludf.DUMMYFUNCTION("""COMPUTED_VALUE"""),"ShowDetailsForAlgoTradeWorkingSubs")</f>
        <v>ShowDetailsForAlgoTradeWorkingSubs</v>
      </c>
      <c r="C130" t="str">
        <f ca="1">IFERROR(__xludf.DUMMYFUNCTION("""COMPUTED_VALUE"""),"1S5h4QaGRhGMlPa2ZRFO9TCNd2bWorBHznLf2u_4jHi8")</f>
        <v>1S5h4QaGRhGMlPa2ZRFO9TCNd2bWorBHznLf2u_4jHi8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IFERROR(__xludf.DUMMYFUNCTION("""COMPUTED_VALUE"""),"Closing")</f>
        <v>Closing</v>
      </c>
      <c r="B131" t="str">
        <f ca="1">IFERROR(__xludf.DUMMYFUNCTION("""COMPUTED_VALUE"""),"SwapExpire")</f>
        <v>SwapExpire</v>
      </c>
      <c r="C131" t="str">
        <f ca="1">IFERROR(__xludf.DUMMYFUNCTION("""COMPUTED_VALUE"""),"1jUV7qVgqGBaaceWSNh0-cSAYDYEL78u2ObuRdiWFjFM")</f>
        <v>1jUV7qVgqGBaaceWSNh0-cSAYDYEL78u2ObuRdiWFjFM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IFERROR(__xludf.DUMMYFUNCTION("""COMPUTED_VALUE"""),"VerifyWorkingSubs")</f>
        <v>VerifyWorkingSubs</v>
      </c>
      <c r="C132" t="str">
        <f ca="1">IFERROR(__xludf.DUMMYFUNCTION("""COMPUTED_VALUE"""),"1gnwVxErkX0O8iYhIQrs9DWwoaWkHaW13GCTqGHY6k_w")</f>
        <v>1gnwVxErkX0O8iYhIQrs9DWwoaWkHaW13GCTqGHY6k_w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IFERROR(__xludf.DUMMYFUNCTION("""COMPUTED_VALUE"""),"Blotter")</f>
        <v>Blotter</v>
      </c>
      <c r="B133" t="str">
        <f ca="1">IFERROR(__xludf.DUMMYFUNCTION("""COMPUTED_VALUE"""),"TransferToUserOrder")</f>
        <v>TransferToUserOrder</v>
      </c>
      <c r="C133" t="str">
        <f ca="1">IFERROR(__xludf.DUMMYFUNCTION("""COMPUTED_VALUE"""),"1Vo4cA56jwD3rxlaJNNHMgg8RQplZa0kTei6Nnq-HRXM")</f>
        <v>1Vo4cA56jwD3rxlaJNNHMgg8RQplZa0kTei6Nnq-HRXM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IFERROR(__xludf.DUMMYFUNCTION("""COMPUTED_VALUE"""),"Allocation")</f>
        <v>Allocation</v>
      </c>
      <c r="B134" t="str">
        <f ca="1">IFERROR(__xludf.DUMMYFUNCTION("""COMPUTED_VALUE"""),"CloseCalculatedPreferences")</f>
        <v>CloseCalculatedPreferences</v>
      </c>
      <c r="C134" t="str">
        <f ca="1">IFERROR(__xludf.DUMMYFUNCTION("""COMPUTED_VALUE"""),"Undefined")</f>
        <v>Undefined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IFERROR(__xludf.DUMMYFUNCTION("""COMPUTED_VALUE"""),"TradingTicket")</f>
        <v>TradingTicket</v>
      </c>
      <c r="B135" t="str">
        <f ca="1">IFERROR(__xludf.DUMMYFUNCTION("""COMPUTED_VALUE"""),"CreateReplaceOrder")</f>
        <v>CreateReplaceOrder</v>
      </c>
      <c r="C135" t="str">
        <f ca="1">IFERROR(__xludf.DUMMYFUNCTION("""COMPUTED_VALUE"""),"1M0Fl98LaCTHV2pr19gvtA9fIIfql3PLfeq1ULjK7UzA")</f>
        <v>1M0Fl98LaCTHV2pr19gvtA9fIIfql3PLfeq1ULjK7UzA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IFERROR(__xludf.DUMMYFUNCTION("""COMPUTED_VALUE"""),"Blotter")</f>
        <v>Blotter</v>
      </c>
      <c r="B136" t="str">
        <f ca="1">IFERROR(__xludf.DUMMYFUNCTION("""COMPUTED_VALUE"""),"EditOrder")</f>
        <v>EditOrder</v>
      </c>
      <c r="C136" t="str">
        <f ca="1">IFERROR(__xludf.DUMMYFUNCTION("""COMPUTED_VALUE"""),"1daa0SyOv50AAAdPGI6HsPWh5ZYvQ4SIcLdCEVWzrPQc")</f>
        <v>1daa0SyOv50AAAdPGI6HsPWh5ZYvQ4SIcLdCEVWzrPQc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IFERROR(__xludf.DUMMYFUNCTION("""COMPUTED_VALUE"""),"Blotter")</f>
        <v>Blotter</v>
      </c>
      <c r="B137" t="str">
        <f ca="1">IFERROR(__xludf.DUMMYFUNCTION("""COMPUTED_VALUE"""),"SelectTradeSubOrderBlotter")</f>
        <v>SelectTradeSubOrderBlotter</v>
      </c>
      <c r="C137" t="str">
        <f ca="1">IFERROR(__xludf.DUMMYFUNCTION("""COMPUTED_VALUE"""),"1siJRAcBcVXgBpK4E1BntQGR7VQIVib_eeve0MvaoRqs")</f>
        <v>1siJRAcBcVXgBpK4E1BntQGR7VQIVib_eeve0MvaoRqs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IFERROR(__xludf.DUMMYFUNCTION("""COMPUTED_VALUE"""),"VerifyOrder")</f>
        <v>VerifyOrder</v>
      </c>
      <c r="C138" t="str">
        <f ca="1">IFERROR(__xludf.DUMMYFUNCTION("""COMPUTED_VALUE"""),"1mdVvccZ_TGkK59RrMH3Cylr7jydt-mutfHV_wv0d4V4")</f>
        <v>1mdVvccZ_TGkK59RrMH3Cylr7jydt-mutfHV_wv0d4V4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IFERROR(__xludf.DUMMYFUNCTION("""COMPUTED_VALUE"""),"VerifySubOrder")</f>
        <v>VerifySubOrder</v>
      </c>
      <c r="C139" t="str">
        <f ca="1">IFERROR(__xludf.DUMMYFUNCTION("""COMPUTED_VALUE"""),"1b4Exp8SZBnmCRcnj8jug_2EDRsh1qKZFqZZ-Kww6ZoU")</f>
        <v>1b4Exp8SZBnmCRcnj8jug_2EDRsh1qKZFqZZ-Kww6ZoU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IFERROR(__xludf.DUMMYFUNCTION("""COMPUTED_VALUE"""),"RemoveSelectedOrders")</f>
        <v>RemoveSelectedOrders</v>
      </c>
      <c r="C140" t="str">
        <f ca="1">IFERROR(__xludf.DUMMYFUNCTION("""COMPUTED_VALUE"""),"1su4_C2jiNjIuylQbjXmPiFUtxQLa_obyl9U5T-xhfiY")</f>
        <v>1su4_C2jiNjIuylQbjXmPiFUtxQLa_obyl9U5T-xhfiY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IFERROR(__xludf.DUMMYFUNCTION("""COMPUTED_VALUE"""),"CancelAllSelectedSubs")</f>
        <v>CancelAllSelectedSubs</v>
      </c>
      <c r="C141" t="str">
        <f ca="1">IFERROR(__xludf.DUMMYFUNCTION("""COMPUTED_VALUE"""),"1yqxUE-GcHgNzogkK8Uhq1_S16WkZxmiCHXGj_lFRoMs")</f>
        <v>1yqxUE-GcHgNzogkK8Uhq1_S16WkZxmiCHXGj_lFRoMs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IFERROR(__xludf.DUMMYFUNCTION("""COMPUTED_VALUE"""),"MultiTradingTicket")</f>
        <v>MultiTradingTicket</v>
      </c>
      <c r="C142" t="str">
        <f ca="1">IFERROR(__xludf.DUMMYFUNCTION("""COMPUTED_VALUE"""),"11AaapLB727DIqrzOYaH29ZrZ50I2xzlLgLt7DGwyF-E")</f>
        <v>11AaapLB727DIqrzOYaH29ZrZ50I2xzlLgLt7DGwyF-E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IFERROR(__xludf.DUMMYFUNCTION("""COMPUTED_VALUE"""),"AuditTrailOrderBlotter")</f>
        <v>AuditTrailOrderBlotter</v>
      </c>
      <c r="C143" t="str">
        <f ca="1">IFERROR(__xludf.DUMMYFUNCTION("""COMPUTED_VALUE"""),"12bKbqZT4x0Zjg9oaFZq47_AyumIAto7nkCK1BpvRO0A")</f>
        <v>12bKbqZT4x0Zjg9oaFZq47_AyumIAto7nkCK1BpvRO0A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IFERROR(__xludf.DUMMYFUNCTION("""COMPUTED_VALUE"""),"TradeNewSubOrder")</f>
        <v>TradeNewSubOrder</v>
      </c>
      <c r="C144" t="str">
        <f ca="1">IFERROR(__xludf.DUMMYFUNCTION("""COMPUTED_VALUE"""),"1Kt5xAewSpVD6SPB-RgFrUBRQ1H7yWyRBFxZL3Ohrj6M")</f>
        <v>1Kt5xAewSpVD6SPB-RgFrUBRQ1H7yWyRBFxZL3Ohrj6M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IFERROR(__xludf.DUMMYFUNCTION("""COMPUTED_VALUE"""),"RemoveStageOrder")</f>
        <v>RemoveStageOrder</v>
      </c>
      <c r="C145" t="str">
        <f ca="1">IFERROR(__xludf.DUMMYFUNCTION("""COMPUTED_VALUE"""),"1Fluz_DWk_nKXjQBIVwWoOReF4d54NLihSDlBEeir8y8")</f>
        <v>1Fluz_DWk_nKXjQBIVwWoOReF4d54NLihSDlBEeir8y8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IFERROR(__xludf.DUMMYFUNCTION("""COMPUTED_VALUE"""),"TradingTicket")</f>
        <v>TradingTicket</v>
      </c>
      <c r="B146" t="str">
        <f ca="1">IFERROR(__xludf.DUMMYFUNCTION("""COMPUTED_VALUE"""),"SetGeneralPreference")</f>
        <v>SetGeneralPreference</v>
      </c>
      <c r="C146" t="str">
        <f ca="1">IFERROR(__xludf.DUMMYFUNCTION("""COMPUTED_VALUE"""),"1gReRtAWcOTHjowBeRYx4USBTkci2cVwEhCptDhFftUQ")</f>
        <v>1gReRtAWcOTHjowBeRYx4USBTkci2cVwEhCptDhFftUQ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IFERROR(__xludf.DUMMYFUNCTION("""COMPUTED_VALUE"""),"TradingTicket")</f>
        <v>TradingTicket</v>
      </c>
      <c r="B147" t="str">
        <f ca="1">IFERROR(__xludf.DUMMYFUNCTION("""COMPUTED_VALUE"""),"CreateDoneAwayOrder")</f>
        <v>CreateDoneAwayOrder</v>
      </c>
      <c r="C147" t="str">
        <f ca="1">IFERROR(__xludf.DUMMYFUNCTION("""COMPUTED_VALUE"""),"1uA0GOXh4wiGEFn1HBTpQeqSmerQ8wIisPCpc8Ty-HDI")</f>
        <v>1uA0GOXh4wiGEFn1HBTpQeqSmerQ8wIisPCpc8Ty-HDI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IFERROR(__xludf.DUMMYFUNCTION("""COMPUTED_VALUE"""),"Allocation")</f>
        <v>Allocation</v>
      </c>
      <c r="B148" t="str">
        <f ca="1">IFERROR(__xludf.DUMMYFUNCTION("""COMPUTED_VALUE"""),"ExportCalculatedPreference")</f>
        <v>ExportCalculatedPreference</v>
      </c>
      <c r="C148" t="str">
        <f ca="1">IFERROR(__xludf.DUMMYFUNCTION("""COMPUTED_VALUE"""),"1MQEZ1xJtb0wAcffKS4AHWZ6J2wU2x64PFmJubSuC1hU")</f>
        <v>1MQEZ1xJtb0wAcffKS4AHWZ6J2wU2x64PFmJubSuC1hU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IFERROR(__xludf.DUMMYFUNCTION("""COMPUTED_VALUE"""),"GeneralLedger")</f>
        <v>GeneralLedger</v>
      </c>
      <c r="B149" t="str">
        <f ca="1">IFERROR(__xludf.DUMMYFUNCTION("""COMPUTED_VALUE"""),"SelectOpeningBalanceTranItem")</f>
        <v>SelectOpeningBalanceTranItem</v>
      </c>
      <c r="C149" t="str">
        <f ca="1">IFERROR(__xludf.DUMMYFUNCTION("""COMPUTED_VALUE"""),"1HZK84R5oOOKqObvq4IWVEjFPVr_lAIiOQu5XaQ46GfQ")</f>
        <v>1HZK84R5oOOKqObvq4IWVEjFPVr_lAIiOQu5XaQ46GfQ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IFERROR(__xludf.DUMMYFUNCTION("""COMPUTED_VALUE"""),"PricingInput")</f>
        <v>PricingInput</v>
      </c>
      <c r="B150" t="str">
        <f ca="1">IFERROR(__xludf.DUMMYFUNCTION("""COMPUTED_VALUE"""),"EODTPreferences")</f>
        <v>EODTPreferences</v>
      </c>
      <c r="C150" t="str">
        <f ca="1">IFERROR(__xludf.DUMMYFUNCTION("""COMPUTED_VALUE"""),"1Yuzf3ad1vdeo7Vyxz1jY_tuk18-fmEfJxX0Cl8wtq5o")</f>
        <v>1Yuzf3ad1vdeo7Vyxz1jY_tuk18-fmEfJxX0Cl8wtq5o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IFERROR(__xludf.DUMMYFUNCTION("""COMPUTED_VALUE"""),"LiveData")</f>
        <v>LiveData</v>
      </c>
      <c r="C151" t="str">
        <f ca="1">IFERROR(__xludf.DUMMYFUNCTION("""COMPUTED_VALUE"""),"1Av2XxI5bNhCFlkv2kfzo6ujcIvVox_ZypslZ1RfvU1Y")</f>
        <v>1Av2XxI5bNhCFlkv2kfzo6ujcIvVox_ZypslZ1RfvU1Y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IFERROR(__xludf.DUMMYFUNCTION("""COMPUTED_VALUE"""),"GeneralLedger")</f>
        <v>GeneralLedger</v>
      </c>
      <c r="B152" t="str">
        <f ca="1">IFERROR(__xludf.DUMMYFUNCTION("""COMPUTED_VALUE"""),"EditNonTradingTransaction")</f>
        <v>EditNonTradingTransaction</v>
      </c>
      <c r="C152" t="str">
        <f ca="1">IFERROR(__xludf.DUMMYFUNCTION("""COMPUTED_VALUE"""),"1CTOcFQrIfmr9l7YbxfJ04bIDqO3dJEewsOBhR4HI24I")</f>
        <v>1CTOcFQrIfmr9l7YbxfJ04bIDqO3dJEewsOBhR4HI24I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IFERROR(__xludf.DUMMYFUNCTION("""COMPUTED_VALUE"""),"EditNonTradingTranItem")</f>
        <v>EditNonTradingTranItem</v>
      </c>
      <c r="C153" t="str">
        <f ca="1">IFERROR(__xludf.DUMMYFUNCTION("""COMPUTED_VALUE"""),"1iejPBQBT4ogIeeSTEsofxnnTPt0mnB-izN_DPqUhDu0")</f>
        <v>1iejPBQBT4ogIeeSTEsofxnnTPt0mnB-izN_DPqUhDu0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IFERROR(__xludf.DUMMYFUNCTION("""COMPUTED_VALUE"""),"DeleteOpeningBalanceTransaction")</f>
        <v>DeleteOpeningBalanceTransaction</v>
      </c>
      <c r="C154" t="str">
        <f ca="1">IFERROR(__xludf.DUMMYFUNCTION("""COMPUTED_VALUE"""),"1_wXfIf5DqAoY91Jb9aEQtyw84UyQs70uAByhfJLqFRY")</f>
        <v>1_wXfIf5DqAoY91Jb9aEQtyw84UyQs70uAByhfJLqFRY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IFERROR(__xludf.DUMMYFUNCTION("""COMPUTED_VALUE"""),"DeleteOpeningBalanceTranItem")</f>
        <v>DeleteOpeningBalanceTranItem</v>
      </c>
      <c r="C155" t="str">
        <f ca="1">IFERROR(__xludf.DUMMYFUNCTION("""COMPUTED_VALUE"""),"1EpsNt91ChcN8HQWEW-lErl4uX4OltaGCgs2tKp-kj4A")</f>
        <v>1EpsNt91ChcN8HQWEW-lErl4uX4OltaGCgs2tKp-kj4A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IFERROR(__xludf.DUMMYFUNCTION("""COMPUTED_VALUE"""),"Allocation")</f>
        <v>Allocation</v>
      </c>
      <c r="B156" t="str">
        <f ca="1">IFERROR(__xludf.DUMMYFUNCTION("""COMPUTED_VALUE"""),"ImportCalculatedPreferences")</f>
        <v>ImportCalculatedPreferences</v>
      </c>
      <c r="C156" t="str">
        <f ca="1">IFERROR(__xludf.DUMMYFUNCTION("""COMPUTED_VALUE"""),"18vhnd5xj3NAYjC-yFO1oyOPDOLkT2MS9D6zP1VcOkuU")</f>
        <v>18vhnd5xj3NAYjC-yFO1oyOPDOLkT2MS9D6zP1VcOkuU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IFERROR(__xludf.DUMMYFUNCTION("""COMPUTED_VALUE"""),"GetDayEndCash")</f>
        <v>GetDayEndCash</v>
      </c>
      <c r="C157" t="str">
        <f ca="1">IFERROR(__xludf.DUMMYFUNCTION("""COMPUTED_VALUE"""),"1jqS9oQPmnlJep9od8joR9qslA_C25MlFI6PrAbWqhmg")</f>
        <v>1jqS9oQPmnlJep9od8joR9qslA_C25MlFI6PrAbWqhmg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IFERROR(__xludf.DUMMYFUNCTION("""COMPUTED_VALUE"""),"VerifyDayEndCash")</f>
        <v>VerifyDayEndCash</v>
      </c>
      <c r="C158" t="str">
        <f ca="1">IFERROR(__xludf.DUMMYFUNCTION("""COMPUTED_VALUE"""),"1GW6vFeVwfYm2wcsBKLqW5b_IfQ0IXb-d4lE8S_dCos8")</f>
        <v>1GW6vFeVwfYm2wcsBKLqW5b_IfQ0IXb-d4lE8S_dCos8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IFERROR(__xludf.DUMMYFUNCTION("""COMPUTED_VALUE"""),"Allocation")</f>
        <v>Allocation</v>
      </c>
      <c r="B159" t="str">
        <f ca="1">IFERROR(__xludf.DUMMYFUNCTION("""COMPUTED_VALUE"""),"OpenAuditTrailUnallocatedGroup")</f>
        <v>OpenAuditTrailUnallocatedGroup</v>
      </c>
      <c r="C159" t="str">
        <f ca="1">IFERROR(__xludf.DUMMYFUNCTION("""COMPUTED_VALUE"""),"13bCdgscSA2xV2a8RyAti9ATAuGCeMp-bGJx93KoFRmI")</f>
        <v>13bCdgscSA2xV2a8RyAti9ATAuGCeMp-bGJx93KoFRmI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IFERROR(__xludf.DUMMYFUNCTION("""COMPUTED_VALUE"""),"DeleteCalculatedPreferencesTool")</f>
        <v>DeleteCalculatedPreferencesTool</v>
      </c>
      <c r="C160" t="str">
        <f ca="1">IFERROR(__xludf.DUMMYFUNCTION("""COMPUTED_VALUE"""),"1QzNsvV6HianBKTbpA7sMTjHgSpkga9jGXA3zKqeeWm8")</f>
        <v>1QzNsvV6HianBKTbpA7sMTjHgSpkga9jGXA3zKqeeWm8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IFERROR(__xludf.DUMMYFUNCTION("""COMPUTED_VALUE"""),"ImportCalculatedPreferencesTool")</f>
        <v>ImportCalculatedPreferencesTool</v>
      </c>
      <c r="C161" t="str">
        <f ca="1">IFERROR(__xludf.DUMMYFUNCTION("""COMPUTED_VALUE"""),"1rTwy8eQq8KSAOAj5Y93-37Y2MFOELhZnj-9vrSgpRZ0")</f>
        <v>1rTwy8eQq8KSAOAj5Y93-37Y2MFOELhZnj-9vrSgpRZ0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IFERROR(__xludf.DUMMYFUNCTION("""COMPUTED_VALUE"""),"GeneralLedger")</f>
        <v>GeneralLedger</v>
      </c>
      <c r="B162" t="str">
        <f ca="1">IFERROR(__xludf.DUMMYFUNCTION("""COMPUTED_VALUE"""),"RunRevaluation")</f>
        <v>RunRevaluation</v>
      </c>
      <c r="C162" t="str">
        <f ca="1">IFERROR(__xludf.DUMMYFUNCTION("""COMPUTED_VALUE"""),"12nLfwKuC1FOVktAPKiL0Y4Nl3H4mPS6B3Sphgv9TeP0")</f>
        <v>12nLfwKuC1FOVktAPKiL0Y4Nl3H4mPS6B3Sphgv9TeP0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IFERROR(__xludf.DUMMYFUNCTION("""COMPUTED_VALUE"""),"CalculateDayEndCash")</f>
        <v>CalculateDayEndCash</v>
      </c>
      <c r="C163" t="str">
        <f ca="1">IFERROR(__xludf.DUMMYFUNCTION("""COMPUTED_VALUE"""),"Undefined")</f>
        <v>Undefined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IFERROR(__xludf.DUMMYFUNCTION("""COMPUTED_VALUE"""),"Allocation")</f>
        <v>Allocation</v>
      </c>
      <c r="B164" t="str">
        <f ca="1">IFERROR(__xludf.DUMMYFUNCTION("""COMPUTED_VALUE"""),"ExportAllCalculatedPreferTool")</f>
        <v>ExportAllCalculatedPreferTool</v>
      </c>
      <c r="C164" t="str">
        <f ca="1">IFERROR(__xludf.DUMMYFUNCTION("""COMPUTED_VALUE"""),"1-hvKWsnsvP4bPLjKqz0fU1wSX-sKEKyp38DokUd9uZE")</f>
        <v>1-hvKWsnsvP4bPLjKqz0fU1wSX-sKEKyp38DokUd9uZE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IFERROR(__xludf.DUMMYFUNCTION("""COMPUTED_VALUE"""),"OpenAuditTrailAllocatedGroup")</f>
        <v>OpenAuditTrailAllocatedGroup</v>
      </c>
      <c r="C165" t="str">
        <f ca="1">IFERROR(__xludf.DUMMYFUNCTION("""COMPUTED_VALUE"""),"1rXWSc2w5tQgt_ZYA4eliVWt2qdn7dc0mZkX-DLF0YC0")</f>
        <v>1rXWSc2w5tQgt_ZYA4eliVWt2qdn7dc0mZkX-DLF0YC0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IFERROR(__xludf.DUMMYFUNCTION("""COMPUTED_VALUE"""),"OpenSymbolLookupUnallocateGroup")</f>
        <v>OpenSymbolLookupUnallocateGroup</v>
      </c>
      <c r="C166" t="str">
        <f ca="1">IFERROR(__xludf.DUMMYFUNCTION("""COMPUTED_VALUE"""),"18yoHsWAvFJtns5Vgsd3TC9waLg0jy_z8-Ov5sl1j0nE")</f>
        <v>18yoHsWAvFJtns5Vgsd3TC9waLg0jy_z8-Ov5sl1j0nE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IFERROR(__xludf.DUMMYFUNCTION("""COMPUTED_VALUE"""),"OpenSymbolLookupAllocatedGroup")</f>
        <v>OpenSymbolLookupAllocatedGroup</v>
      </c>
      <c r="C167" t="str">
        <f ca="1">IFERROR(__xludf.DUMMYFUNCTION("""COMPUTED_VALUE"""),"135eoaoRkLuLxBtrORiQ-ppYB7kxLijQFuqQ-OkQwsS0")</f>
        <v>135eoaoRkLuLxBtrORiQ-ppYB7kxLijQFuqQ-OkQwsS0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IFERROR(__xludf.DUMMYFUNCTION("""COMPUTED_VALUE"""),"DeleteFixedPreference")</f>
        <v>DeleteFixedPreference</v>
      </c>
      <c r="C168" t="str">
        <f ca="1">IFERROR(__xludf.DUMMYFUNCTION("""COMPUTED_VALUE"""),"1CSubToCak00thNXt6dtgCyBu3YVpO6DoKpBFQn2tb8k")</f>
        <v>1CSubToCak00thNXt6dtgCyBu3YVpO6DoKpBFQn2tb8k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IFERROR(__xludf.DUMMYFUNCTION("""COMPUTED_VALUE"""),"Blotter")</f>
        <v>Blotter</v>
      </c>
      <c r="B169" t="str">
        <f ca="1">IFERROR(__xludf.DUMMYFUNCTION("""COMPUTED_VALUE"""),"TransferToUserSubOrder")</f>
        <v>TransferToUserSubOrder</v>
      </c>
      <c r="C169" t="str">
        <f ca="1">IFERROR(__xludf.DUMMYFUNCTION("""COMPUTED_VALUE"""),"1qmP1zA3NwJXtfrBkoOmDjhF_cNSgtaOLfuoYqzGc8R0")</f>
        <v>1qmP1zA3NwJXtfrBkoOmDjhF_cNSgtaOLfuoYqzGc8R0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IFERROR(__xludf.DUMMYFUNCTION("""COMPUTED_VALUE"""),"Blotter")</f>
        <v>Blotter</v>
      </c>
      <c r="B170" t="str">
        <f ca="1">IFERROR(__xludf.DUMMYFUNCTION("""COMPUTED_VALUE"""),"DetailsForAlgoTradeOrder")</f>
        <v>DetailsForAlgoTradeOrder</v>
      </c>
      <c r="C170" t="str">
        <f ca="1">IFERROR(__xludf.DUMMYFUNCTION("""COMPUTED_VALUE"""),"1va5hZGEz8VAzZA8aF0bZ9yh24u7m6qpwPBq2w5yQk10")</f>
        <v>1va5hZGEz8VAzZA8aF0bZ9yh24u7m6qpwPBq2w5yQk10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IFERROR(__xludf.DUMMYFUNCTION("""COMPUTED_VALUE"""),"AddFillsSubOrder")</f>
        <v>AddFillsSubOrder</v>
      </c>
      <c r="C171" t="str">
        <f ca="1">IFERROR(__xludf.DUMMYFUNCTION("""COMPUTED_VALUE"""),"1L7WsHnZcDFzKmLPyelSR2n6F9BZz95HHlTa512p2S3c")</f>
        <v>1L7WsHnZcDFzKmLPyelSR2n6F9BZz95HHlTa512p2S3c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IFERROR(__xludf.DUMMYFUNCTION("""COMPUTED_VALUE"""),"ViewAllocationDetailsSubOrder")</f>
        <v>ViewAllocationDetailsSubOrder</v>
      </c>
      <c r="C172" t="str">
        <f ca="1">IFERROR(__xludf.DUMMYFUNCTION("""COMPUTED_VALUE"""),"1XA81-82HUa-cDA4PoYbJLTzM5_StfOfHam4UgnOt59E")</f>
        <v>1XA81-82HUa-cDA4PoYbJLTzM5_StfOfHam4UgnOt59E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IFERROR(__xludf.DUMMYFUNCTION("""COMPUTED_VALUE"""),"GeneralLedger")</f>
        <v>GeneralLedger</v>
      </c>
      <c r="B173" t="str">
        <f ca="1">IFERROR(__xludf.DUMMYFUNCTION("""COMPUTED_VALUE"""),"GetCashTransaction")</f>
        <v>GetCashTransaction</v>
      </c>
      <c r="C173" t="str">
        <f ca="1">IFERROR(__xludf.DUMMYFUNCTION("""COMPUTED_VALUE"""),"1X0pX_-x5vAH2oEKcaX2e6hOSBrvXzqnQAiN-Xns9A4M")</f>
        <v>1X0pX_-x5vAH2oEKcaX2e6hOSBrvXzqnQAiN-Xns9A4M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IFERROR(__xludf.DUMMYFUNCTION("""COMPUTED_VALUE"""),"SelectCashTransaction")</f>
        <v>SelectCashTransaction</v>
      </c>
      <c r="C174" t="str">
        <f ca="1">IFERROR(__xludf.DUMMYFUNCTION("""COMPUTED_VALUE"""),"1qTLVP_ce37jUncyDHY-5RHgrhpMowqKs8GPqX5Nux3g")</f>
        <v>1qTLVP_ce37jUncyDHY-5RHgrhpMowqKs8GPqX5Nux3g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IFERROR(__xludf.DUMMYFUNCTION("""COMPUTED_VALUE"""),"DeleteCashTransaction")</f>
        <v>DeleteCashTransaction</v>
      </c>
      <c r="C175" t="str">
        <f ca="1">IFERROR(__xludf.DUMMYFUNCTION("""COMPUTED_VALUE"""),"16uXj0rM-TvT9Xs9p8FMjMICfXtauwu5kNy0aNXH7pLQ")</f>
        <v>16uXj0rM-TvT9Xs9p8FMjMICfXtauwu5kNy0aNXH7pLQ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IFERROR(__xludf.DUMMYFUNCTION("""COMPUTED_VALUE"""),"EditCashTransaction")</f>
        <v>EditCashTransaction</v>
      </c>
      <c r="C176" t="str">
        <f ca="1">IFERROR(__xludf.DUMMYFUNCTION("""COMPUTED_VALUE"""),"1SL0UOLEyeTKN5t8dANjKQtXJvpkgBYY94wYFU1dJ0nY")</f>
        <v>1SL0UOLEyeTKN5t8dANjKQtXJvpkgBYY94wYFU1dJ0nY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IFERROR(__xludf.DUMMYFUNCTION("""COMPUTED_VALUE"""),"AddCashTransaction")</f>
        <v>AddCashTransaction</v>
      </c>
      <c r="C177" t="str">
        <f ca="1">IFERROR(__xludf.DUMMYFUNCTION("""COMPUTED_VALUE"""),"1juNE2nr1TxtNCKBuQfkWvVylAAmwXNLSW_76uowDwa4")</f>
        <v>1juNE2nr1TxtNCKBuQfkWvVylAAmwXNLSW_76uowDwa4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IFERROR(__xludf.DUMMYFUNCTION("""COMPUTED_VALUE"""),"Allocation")</f>
        <v>Allocation</v>
      </c>
      <c r="B178" t="str">
        <f ca="1">IFERROR(__xludf.DUMMYFUNCTION("""COMPUTED_VALUE"""),"EditAllocatedGroupSidePanel")</f>
        <v>EditAllocatedGroupSidePanel</v>
      </c>
      <c r="C178" t="str">
        <f ca="1">IFERROR(__xludf.DUMMYFUNCTION("""COMPUTED_VALUE"""),"1CYaZFNpRJb9tk_I1DjPVmUH7-bb4mrZAzwUG6v_kppo")</f>
        <v>1CYaZFNpRJb9tk_I1DjPVmUH7-bb4mrZAzwUG6v_kppo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IFERROR(__xludf.DUMMYFUNCTION("""COMPUTED_VALUE"""),"DailyValuation")</f>
        <v>DailyValuation</v>
      </c>
      <c r="B179" t="str">
        <f ca="1">IFERROR(__xludf.DUMMYFUNCTION("""COMPUTED_VALUE"""),"GetMarkPriceData")</f>
        <v>GetMarkPriceData</v>
      </c>
      <c r="C179" t="str">
        <f ca="1">IFERROR(__xludf.DUMMYFUNCTION("""COMPUTED_VALUE"""),"1NIxqFRW6hO3o7gkug_W-ZRDHlkaA6snAgVdpd8K2xA4")</f>
        <v>1NIxqFRW6hO3o7gkug_W-ZRDHlkaA6snAgVdpd8K2xA4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IFERROR(__xludf.DUMMYFUNCTION("""COMPUTED_VALUE"""),"GetForwardPoints")</f>
        <v>GetForwardPoints</v>
      </c>
      <c r="C180" t="str">
        <f ca="1">IFERROR(__xludf.DUMMYFUNCTION("""COMPUTED_VALUE"""),"11hX4oOfIZKxEBvdLS83-6pQVKc4swlGBapLI49USjho")</f>
        <v>11hX4oOfIZKxEBvdLS83-6pQVKc4swlGBapLI49USjho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IFERROR(__xludf.DUMMYFUNCTION("""COMPUTED_VALUE"""),"UpdateForwardPoints")</f>
        <v>UpdateForwardPoints</v>
      </c>
      <c r="C181" t="str">
        <f ca="1">IFERROR(__xludf.DUMMYFUNCTION("""COMPUTED_VALUE"""),"1lDeEb2buBvWgu1OSCJh6NnjKUxlKprChfx4D9ZCsKwk")</f>
        <v>1lDeEb2buBvWgu1OSCJh6NnjKUxlKprChfx4D9ZCsKwk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IFERROR(__xludf.DUMMYFUNCTION("""COMPUTED_VALUE"""),"GetForexConversion")</f>
        <v>GetForexConversion</v>
      </c>
      <c r="C182" t="str">
        <f ca="1">IFERROR(__xludf.DUMMYFUNCTION("""COMPUTED_VALUE"""),"15Ez0MbQhn35K7KDtdMPxBfexxg6QOLfyORrrD3R7qI8")</f>
        <v>15Ez0MbQhn35K7KDtdMPxBfexxg6QOLfyORrrD3R7qI8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IFERROR(__xludf.DUMMYFUNCTION("""COMPUTED_VALUE"""),"DeleteNAV")</f>
        <v>DeleteNAV</v>
      </c>
      <c r="C183" t="str">
        <f ca="1">IFERROR(__xludf.DUMMYFUNCTION("""COMPUTED_VALUE"""),"1JF6fLvYrKC9Sn5-TyS3-I2R7LfC9n72HPAI8VLWJr_g")</f>
        <v>1JF6fLvYrKC9Sn5-TyS3-I2R7LfC9n72HPAI8VLWJr_g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IFERROR(__xludf.DUMMYFUNCTION("""COMPUTED_VALUE"""),"Allocation")</f>
        <v>Allocation</v>
      </c>
      <c r="B184" t="str">
        <f ca="1">IFERROR(__xludf.DUMMYFUNCTION("""COMPUTED_VALUE"""),"CheckUnallocatedGroups")</f>
        <v>CheckUnallocatedGroups</v>
      </c>
      <c r="C184" t="str">
        <f ca="1">IFERROR(__xludf.DUMMYFUNCTION("""COMPUTED_VALUE"""),"1uDsVwLW9b8TEVShY-j_ut_kq18E4Re5weYncy-uH1tE")</f>
        <v>1uDsVwLW9b8TEVShY-j_ut_kq18E4Re5weYncy-uH1tE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IFERROR(__xludf.DUMMYFUNCTION("""COMPUTED_VALUE"""),"GetDailyCash")</f>
        <v>GetDailyCash</v>
      </c>
      <c r="C185" t="str">
        <f ca="1">IFERROR(__xludf.DUMMYFUNCTION("""COMPUTED_VALUE"""),"12I6Q5d2VpAvDFSyHcGNJGG_m8QPY_Gf0bbMoiA8GE_0")</f>
        <v>12I6Q5d2VpAvDFSyHcGNJGG_m8QPY_Gf0bbMoiA8GE_0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IFERROR(__xludf.DUMMYFUNCTION("""COMPUTED_VALUE"""),"SetGeneralPreferences")</f>
        <v>SetGeneralPreferences</v>
      </c>
      <c r="C186" t="str">
        <f ca="1">IFERROR(__xludf.DUMMYFUNCTION("""COMPUTED_VALUE"""),"1jAzFL5XZAAfLw8yxhch5Uylta8SX4hiHfWzCcMWtmN0")</f>
        <v>1jAzFL5XZAAfLw8yxhch5Uylta8SX4hiHfWzCcMWtmN0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IFERROR(__xludf.DUMMYFUNCTION("""COMPUTED_VALUE"""),"GetDailyBeta")</f>
        <v>GetDailyBeta</v>
      </c>
      <c r="C187" t="str">
        <f ca="1">IFERROR(__xludf.DUMMYFUNCTION("""COMPUTED_VALUE"""),"1gG0uUz-Upr6j_nNv7o9ydqTkxVdr514WUQfLPd41Ha4")</f>
        <v>1gG0uUz-Upr6j_nNv7o9ydqTkxVdr514WUQfLPd41Ha4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IFERROR(__xludf.DUMMYFUNCTION("""COMPUTED_VALUE"""),"GetDailyVolatility")</f>
        <v>GetDailyVolatility</v>
      </c>
      <c r="C188" t="str">
        <f ca="1">IFERROR(__xludf.DUMMYFUNCTION("""COMPUTED_VALUE"""),"1vI4jNAUSGdUG6xvjysTCvc6awnnEgXiNdfWdNpVkdIE")</f>
        <v>1vI4jNAUSGdUG6xvjysTCvc6awnnEgXiNdfWdNpVkdIE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IFERROR(__xludf.DUMMYFUNCTION("""COMPUTED_VALUE"""),"GetDailyDividendYield")</f>
        <v>GetDailyDividendYield</v>
      </c>
      <c r="C189" t="str">
        <f ca="1">IFERROR(__xludf.DUMMYFUNCTION("""COMPUTED_VALUE"""),"1hEt6xnVuw25cLBsI-Ve9ddGC7eYgEF6P8njkDhI_xsQ")</f>
        <v>1hEt6xnVuw25cLBsI-Ve9ddGC7eYgEF6P8njkDhI_xsQ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IFERROR(__xludf.DUMMYFUNCTION("""COMPUTED_VALUE"""),"GetDailyTradingVolume")</f>
        <v>GetDailyTradingVolume</v>
      </c>
      <c r="C190" t="str">
        <f ca="1">IFERROR(__xludf.DUMMYFUNCTION("""COMPUTED_VALUE"""),"1l3UMevp9h45oN8SOXDCJMeQ1dHDluUropGW6rCZ1Ja0")</f>
        <v>1l3UMevp9h45oN8SOXDCJMeQ1dHDluUropGW6rCZ1Ja0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IFERROR(__xludf.DUMMYFUNCTION("""COMPUTED_VALUE"""),"GetDailyOutstandings")</f>
        <v>GetDailyOutstandings</v>
      </c>
      <c r="C191" t="str">
        <f ca="1">IFERROR(__xludf.DUMMYFUNCTION("""COMPUTED_VALUE"""),"1qMvNw9pd6SImE9vO8N9MXt8z4nrtH_Fd-BraVePtfFY")</f>
        <v>1qMvNw9pd6SImE9vO8N9MXt8z4nrtH_Fd-BraVePtfFY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IFERROR(__xludf.DUMMYFUNCTION("""COMPUTED_VALUE"""),"Allocation")</f>
        <v>Allocation</v>
      </c>
      <c r="B192" t="str">
        <f ca="1">IFERROR(__xludf.DUMMYFUNCTION("""COMPUTED_VALUE"""),"GroupTrades")</f>
        <v>GroupTrades</v>
      </c>
      <c r="C192" t="str">
        <f ca="1">IFERROR(__xludf.DUMMYFUNCTION("""COMPUTED_VALUE"""),"1jfUJOmRerGO0dVQ4dI89-flzuofAROPMO6VcDQbXwDU")</f>
        <v>1jfUJOmRerGO0dVQ4dI89-flzuofAROPMO6VcDQbXwDU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IFERROR(__xludf.DUMMYFUNCTION("""COMPUTED_VALUE"""),"UngroupTrades")</f>
        <v>UngroupTrades</v>
      </c>
      <c r="C193" t="str">
        <f ca="1">IFERROR(__xludf.DUMMYFUNCTION("""COMPUTED_VALUE"""),"18HP9fc6jV5UlsSwvfXYnWOMHexpMe80JdMrYKFZYaDs")</f>
        <v>18HP9fc6jV5UlsSwvfXYnWOMHexpMe80JdMrYKFZYaDs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IFERROR(__xludf.DUMMYFUNCTION("""COMPUTED_VALUE"""),"DeleteGroup")</f>
        <v>DeleteGroup</v>
      </c>
      <c r="C194" t="str">
        <f ca="1">IFERROR(__xludf.DUMMYFUNCTION("""COMPUTED_VALUE"""),"1g15gYgbNgiqhhlIWBSRtatFTjPRMBBC6SrmmBNM1Pkc")</f>
        <v>1g15gYgbNgiqhhlIWBSRtatFTjPRMBBC6SrmmBNM1Pkc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IFERROR(__xludf.DUMMYFUNCTION("""COMPUTED_VALUE"""),"CloseOrder")</f>
        <v>CloseOrder</v>
      </c>
      <c r="C195" t="str">
        <f ca="1">IFERROR(__xludf.DUMMYFUNCTION("""COMPUTED_VALUE"""),"1PjPKM0VaZH7pOb0yKIqHZbera4HKMSx4-yaxj2MfMqM")</f>
        <v>1PjPKM0VaZH7pOb0yKIqHZbera4HKMSx4-yaxj2MfMqM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IFERROR(__xludf.DUMMYFUNCTION("""COMPUTED_VALUE"""),"Unallocate")</f>
        <v>Unallocate</v>
      </c>
      <c r="C196" t="str">
        <f ca="1">IFERROR(__xludf.DUMMYFUNCTION("""COMPUTED_VALUE"""),"153rAtnJuNh4UK26GjSOxUSjAHcOxzWv7CRGvmhrIJRs")</f>
        <v>153rAtnJuNh4UK26GjSOxUSjAHcOxzWv7CRGvmhrIJRs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IFERROR(__xludf.DUMMYFUNCTION("""COMPUTED_VALUE"""),"DailyValuation")</f>
        <v>DailyValuation</v>
      </c>
      <c r="B197" t="str">
        <f ca="1">IFERROR(__xludf.DUMMYFUNCTION("""COMPUTED_VALUE"""),"GetDailyDelta")</f>
        <v>GetDailyDelta</v>
      </c>
      <c r="C197" t="str">
        <f ca="1">IFERROR(__xludf.DUMMYFUNCTION("""COMPUTED_VALUE"""),"1QtaQDH7V1c0A0yDQl2SL67HhtdpeojzJDU2qg7qKQY8")</f>
        <v>1QtaQDH7V1c0A0yDQl2SL67HhtdpeojzJDU2qg7qKQY8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IFERROR(__xludf.DUMMYFUNCTION("""COMPUTED_VALUE"""),"UpdateDailyVolatility")</f>
        <v>UpdateDailyVolatility</v>
      </c>
      <c r="C198" t="str">
        <f ca="1">IFERROR(__xludf.DUMMYFUNCTION("""COMPUTED_VALUE"""),"1qsRn4zz2i07D4vPzDnBLUzrnXu2IpG24XdBPkRDRrZI")</f>
        <v>1qsRn4zz2i07D4vPzDnBLUzrnXu2IpG24XdBPkRDRrZI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IFERROR(__xludf.DUMMYFUNCTION("""COMPUTED_VALUE"""),"GeneralLedger")</f>
        <v>GeneralLedger</v>
      </c>
      <c r="B199" t="str">
        <f ca="1">IFERROR(__xludf.DUMMYFUNCTION("""COMPUTED_VALUE"""),"AddOpeningBalanceTransaction")</f>
        <v>AddOpeningBalanceTransaction</v>
      </c>
      <c r="C199" t="str">
        <f ca="1">IFERROR(__xludf.DUMMYFUNCTION("""COMPUTED_VALUE"""),"1y0ieooAoYit1YHy7MDlHCV6ujc-NITlV_gw1AK9Hnho")</f>
        <v>1y0ieooAoYit1YHy7MDlHCV6ujc-NITlV_gw1AK9Hnho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IFERROR(__xludf.DUMMYFUNCTION("""COMPUTED_VALUE"""),"AddOpeningBalanceTranItem")</f>
        <v>AddOpeningBalanceTranItem</v>
      </c>
      <c r="C200" t="str">
        <f ca="1">IFERROR(__xludf.DUMMYFUNCTION("""COMPUTED_VALUE"""),"1x47skVggGiWEn0Ej2HvW5XTsrFsGYBWpjn6bJabdm_k")</f>
        <v>1x47skVggGiWEn0Ej2HvW5XTsrFsGYBWpjn6bJabdm_k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IFERROR(__xludf.DUMMYFUNCTION("""COMPUTED_VALUE"""),"Blotter")</f>
        <v>Blotter</v>
      </c>
      <c r="B201" t="str">
        <f ca="1">IFERROR(__xludf.DUMMYFUNCTION("""COMPUTED_VALUE"""),"CancelAllSubs")</f>
        <v>CancelAllSubs</v>
      </c>
      <c r="C201" t="str">
        <f ca="1">IFERROR(__xludf.DUMMYFUNCTION("""COMPUTED_VALUE"""),"1P_HAvqQfrY1Kj7nUD4l96kTKHqe0nICLlE1H8EpReTo")</f>
        <v>1P_HAvqQfrY1Kj7nUD4l96kTKHqe0nICLlE1H8EpReTo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IFERROR(__xludf.DUMMYFUNCTION("""COMPUTED_VALUE"""),"CancelSubOrder")</f>
        <v>CancelSubOrder</v>
      </c>
      <c r="C202" t="str">
        <f ca="1">IFERROR(__xludf.DUMMYFUNCTION("""COMPUTED_VALUE"""),"1ttxKH48_5usZGjc6vBfBVpbTCg7pDZ3FvWN6Dd43Fh4")</f>
        <v>1ttxKH48_5usZGjc6vBfBVpbTCg7pDZ3FvWN6Dd43Fh4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IFERROR(__xludf.DUMMYFUNCTION("""COMPUTED_VALUE"""),"EditStageOrder")</f>
        <v>EditStageOrder</v>
      </c>
      <c r="C203" t="str">
        <f ca="1">IFERROR(__xludf.DUMMYFUNCTION("""COMPUTED_VALUE"""),"16ygoYxfK_5kj8wWwCsAwyneuMnBr5H-DDZv1wWSe5ug")</f>
        <v>16ygoYxfK_5kj8wWwCsAwyneuMnBr5H-DDZv1wWSe5ug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IFERROR(__xludf.DUMMYFUNCTION("""COMPUTED_VALUE"""),"ReplaceSubOrder")</f>
        <v>ReplaceSubOrder</v>
      </c>
      <c r="C204" t="str">
        <f ca="1">IFERROR(__xludf.DUMMYFUNCTION("""COMPUTED_VALUE"""),"1E8BvTzoXMl0QoiRs2x6Gz61Ynt6Y4ijLw19dlE3IbWg")</f>
        <v>1E8BvTzoXMl0QoiRs2x6Gz61Ynt6Y4ijLw19dlE3IbWg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IFERROR(__xludf.DUMMYFUNCTION("""COMPUTED_VALUE"""),"SelectTradeWorkingSubsBlotter")</f>
        <v>SelectTradeWorkingSubsBlotter</v>
      </c>
      <c r="C205" t="str">
        <f ca="1">IFERROR(__xludf.DUMMYFUNCTION("""COMPUTED_VALUE"""),"1fim-H9q-wv0Hni06pvPKZap2wNcdOz7Hs9EN4cYHWwM")</f>
        <v>1fim-H9q-wv0Hni06pvPKZap2wNcdOz7Hs9EN4cYHWwM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IFERROR(__xludf.DUMMYFUNCTION("""COMPUTED_VALUE"""),"VerifyAlgoDetails")</f>
        <v>VerifyAlgoDetails</v>
      </c>
      <c r="C206" t="str">
        <f ca="1">IFERROR(__xludf.DUMMYFUNCTION("""COMPUTED_VALUE"""),"1j2eu6YCZ2WOBVwUMcD_7yyVlu9KxfaD0WhOfCo1ndAY")</f>
        <v>1j2eu6YCZ2WOBVwUMcD_7yyVlu9KxfaD0WhOfCo1ndAY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IFERROR(__xludf.DUMMYFUNCTION("""COMPUTED_VALUE"""),"VerifyTransferToUserOrder")</f>
        <v>VerifyTransferToUserOrder</v>
      </c>
      <c r="C207" t="str">
        <f ca="1">IFERROR(__xludf.DUMMYFUNCTION("""COMPUTED_VALUE"""),"1YBOZeqciRB-s8sGsmX1jzi4T2plSgOckQ1QnndFu_rg")</f>
        <v>1YBOZeqciRB-s8sGsmX1jzi4T2plSgOckQ1QnndFu_rg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IFERROR(__xludf.DUMMYFUNCTION("""COMPUTED_VALUE"""),"VerifyTransferToUserSubOdr")</f>
        <v>VerifyTransferToUserSubOdr</v>
      </c>
      <c r="C208" t="str">
        <f ca="1">IFERROR(__xludf.DUMMYFUNCTION("""COMPUTED_VALUE"""),"1VSjObHwe6mgJ3zELOc8KCLuelTWUdoRO9KGqeIZZgOw")</f>
        <v>1VSjObHwe6mgJ3zELOc8KCLuelTWUdoRO9KGqeIZZgOw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IFERROR(__xludf.DUMMYFUNCTION("""COMPUTED_VALUE"""),"VerifyTransferToUserWorkSub")</f>
        <v>VerifyTransferToUserWorkSub</v>
      </c>
      <c r="C209" t="str">
        <f ca="1">IFERROR(__xludf.DUMMYFUNCTION("""COMPUTED_VALUE"""),"13yqh3ZoHWLFsBRwQRuMCxyOHJa_oZY6nfTgr6vbII_Y")</f>
        <v>13yqh3ZoHWLFsBRwQRuMCxyOHJa_oZY6nfTgr6vbII_Y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IFERROR(__xludf.DUMMYFUNCTION("""COMPUTED_VALUE"""),"SaveLayoutOrderGrid")</f>
        <v>SaveLayoutOrderGrid</v>
      </c>
      <c r="C210" t="str">
        <f ca="1">IFERROR(__xludf.DUMMYFUNCTION("""COMPUTED_VALUE"""),"1CPi0o2X-sAUdoxlDON_2KUNJKoQm5pGF1uDEwVBvNXE")</f>
        <v>1CPi0o2X-sAUdoxlDON_2KUNJKoQm5pGF1uDEwVBvNXE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IFERROR(__xludf.DUMMYFUNCTION("""COMPUTED_VALUE"""),"DailyValuation")</f>
        <v>DailyValuation</v>
      </c>
      <c r="B211" t="str">
        <f ca="1">IFERROR(__xludf.DUMMYFUNCTION("""COMPUTED_VALUE"""),"UpdateDividendYield")</f>
        <v>UpdateDividendYield</v>
      </c>
      <c r="C211" t="str">
        <f ca="1">IFERROR(__xludf.DUMMYFUNCTION("""COMPUTED_VALUE"""),"1dbzZB_M22nY4Q6uxT_PTlyy6HTeUDBHiE60g8TkZxVw")</f>
        <v>1dbzZB_M22nY4Q6uxT_PTlyy6HTeUDBHiE60g8TkZxVw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IFERROR(__xludf.DUMMYFUNCTION("""COMPUTED_VALUE"""),"UpdateTradingVolume")</f>
        <v>UpdateTradingVolume</v>
      </c>
      <c r="C212" t="str">
        <f ca="1">IFERROR(__xludf.DUMMYFUNCTION("""COMPUTED_VALUE"""),"1w4D3GtBtxTz5FW7dP-vBOd6eYGFVsOKKKXxwOjyKpug")</f>
        <v>1w4D3GtBtxTz5FW7dP-vBOd6eYGFVsOKKKXxwOjyKpug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IFERROR(__xludf.DUMMYFUNCTION("""COMPUTED_VALUE"""),"UpdateDailyDelta")</f>
        <v>UpdateDailyDelta</v>
      </c>
      <c r="C213" t="str">
        <f ca="1">IFERROR(__xludf.DUMMYFUNCTION("""COMPUTED_VALUE"""),"1sA8b75vpmPdPw2bPLjZruUUSBlMVYpJOjVu5SY3E7tg")</f>
        <v>1sA8b75vpmPdPw2bPLjZruUUSBlMVYpJOjVu5SY3E7tg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IFERROR(__xludf.DUMMYFUNCTION("""COMPUTED_VALUE"""),"UpdateDailyOutstandings")</f>
        <v>UpdateDailyOutstandings</v>
      </c>
      <c r="C214" t="str">
        <f ca="1">IFERROR(__xludf.DUMMYFUNCTION("""COMPUTED_VALUE"""),"1S3CAftFFzsr3ACCdLXl02NTqNvu6g598xECpXbVEv94")</f>
        <v>1S3CAftFFzsr3ACCdLXl02NTqNvu6g598xECpXbVEv94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IFERROR(__xludf.DUMMYFUNCTION("""COMPUTED_VALUE"""),"Closing")</f>
        <v>Closing</v>
      </c>
      <c r="B215" t="str">
        <f ca="1">IFERROR(__xludf.DUMMYFUNCTION("""COMPUTED_VALUE"""),"GetDataClosing")</f>
        <v>GetDataClosing</v>
      </c>
      <c r="C215" t="str">
        <f ca="1">IFERROR(__xludf.DUMMYFUNCTION("""COMPUTED_VALUE"""),"13nVXBpc9DMalp1qBDH8UYT5HdbFAJyU5j_aDzs3JK7M")</f>
        <v>13nVXBpc9DMalp1qBDH8UYT5HdbFAJyU5j_aDzs3JK7M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IFERROR(__xludf.DUMMYFUNCTION("""COMPUTED_VALUE"""),"Closing")</f>
        <v>Closing</v>
      </c>
      <c r="B216" t="str">
        <f ca="1">IFERROR(__xludf.DUMMYFUNCTION("""COMPUTED_VALUE"""),"ManualClosing")</f>
        <v>ManualClosing</v>
      </c>
      <c r="C216" t="str">
        <f ca="1">IFERROR(__xludf.DUMMYFUNCTION("""COMPUTED_VALUE"""),"1Qe8hBDL_TdcyzXT9vcPE3yUA7h1pLlvAdzJdX6CRE98")</f>
        <v>1Qe8hBDL_TdcyzXT9vcPE3yUA7h1pLlvAdzJdX6CRE98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IFERROR(__xludf.DUMMYFUNCTION("""COMPUTED_VALUE"""),"AutomaticClosing")</f>
        <v>AutomaticClosing</v>
      </c>
      <c r="C217" t="str">
        <f ca="1">IFERROR(__xludf.DUMMYFUNCTION("""COMPUTED_VALUE"""),"1FhF1znnJ_1uUh3yd5Xs8Tk6jb04yOpcBvnaS4YnDeJg")</f>
        <v>1FhF1znnJ_1uUh3yd5Xs8Tk6jb04yOpcBvnaS4YnDeJg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IFERROR(__xludf.DUMMYFUNCTION("""COMPUTED_VALUE"""),"UnwindClosing")</f>
        <v>UnwindClosing</v>
      </c>
      <c r="C218" t="str">
        <f ca="1">IFERROR(__xludf.DUMMYFUNCTION("""COMPUTED_VALUE"""),"1CsC40UOdI8I-E666zLwCVq5rtrH4HNQYTZPq01A3DVc")</f>
        <v>1CsC40UOdI8I-E666zLwCVq5rtrH4HNQYTZPq01A3DVc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IFERROR(__xludf.DUMMYFUNCTION("""COMPUTED_VALUE"""),"VerifyClosedTrades")</f>
        <v>VerifyClosedTrades</v>
      </c>
      <c r="C219" t="str">
        <f ca="1">IFERROR(__xludf.DUMMYFUNCTION("""COMPUTED_VALUE"""),"1Pu_mcZRAmT4Bb3jPpD1pwwWTEA3wf1lc9SGqgzy200I")</f>
        <v>1Pu_mcZRAmT4Bb3jPpD1pwwWTEA3wf1lc9SGqgzy200I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IFERROR(__xludf.DUMMYFUNCTION("""COMPUTED_VALUE"""),"VerifyLongPositionsGrid")</f>
        <v>VerifyLongPositionsGrid</v>
      </c>
      <c r="C220" t="str">
        <f ca="1">IFERROR(__xludf.DUMMYFUNCTION("""COMPUTED_VALUE"""),"1yLdJG1OS5ujReV9E5G-DEulfc2VNjGyDyb9HltPKoWs")</f>
        <v>1yLdJG1OS5ujReV9E5G-DEulfc2VNjGyDyb9HltPKoWs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IFERROR(__xludf.DUMMYFUNCTION("""COMPUTED_VALUE"""),"VerifyShortPositionsGrid")</f>
        <v>VerifyShortPositionsGrid</v>
      </c>
      <c r="C221" t="str">
        <f ca="1">IFERROR(__xludf.DUMMYFUNCTION("""COMPUTED_VALUE"""),"1_G71Dy-pXPO-6F-oumOUwExAhdly4GU5sJ16gp2yCpU")</f>
        <v>1_G71Dy-pXPO-6F-oumOUwExAhdly4GU5sJ16gp2yCpU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IFERROR(__xludf.DUMMYFUNCTION("""COMPUTED_VALUE"""),"SelectTradeUnexpiredUnsettled")</f>
        <v>SelectTradeUnexpiredUnsettled</v>
      </c>
      <c r="C222" t="str">
        <f ca="1">IFERROR(__xludf.DUMMYFUNCTION("""COMPUTED_VALUE"""),"1UXf78dHpFfYsQr7rlXLtuA2F2RFUrDn0dJBxlZ3I5nM")</f>
        <v>1UXf78dHpFfYsQr7rlXLtuA2F2RFUrDn0dJBxlZ3I5nM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IFERROR(__xludf.DUMMYFUNCTION("""COMPUTED_VALUE"""),"CashSettlementAtCost")</f>
        <v>CashSettlementAtCost</v>
      </c>
      <c r="C223" t="str">
        <f ca="1">IFERROR(__xludf.DUMMYFUNCTION("""COMPUTED_VALUE"""),"1tsACmLQx1Qq98vNFJPUJgY8srkxz2bj4Mmz5EV3xZZA")</f>
        <v>1tsACmLQx1Qq98vNFJPUJgY8srkxz2bj4Mmz5EV3xZZA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IFERROR(__xludf.DUMMYFUNCTION("""COMPUTED_VALUE"""),"CashSettlementAtZeroPrice")</f>
        <v>CashSettlementAtZeroPrice</v>
      </c>
      <c r="C224" t="str">
        <f ca="1">IFERROR(__xludf.DUMMYFUNCTION("""COMPUTED_VALUE"""),"1UxO9-Nc4VoA-xQC2zVS-zQzPcb6Y5e5ttyYuOlVizvQ")</f>
        <v>1UxO9-Nc4VoA-xQC2zVS-zQzPcb6Y5e5ttyYuOlVizvQ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IFERROR(__xludf.DUMMYFUNCTION("""COMPUTED_VALUE"""),"CashSettlementAtClosingDtSpotPx")</f>
        <v>CashSettlementAtClosingDtSpotPx</v>
      </c>
      <c r="C225" t="str">
        <f ca="1">IFERROR(__xludf.DUMMYFUNCTION("""COMPUTED_VALUE"""),"1T0TxnlQEM8i13IlSzu5RudR8jwYo2Ae0qGYjWTB63QA")</f>
        <v>1T0TxnlQEM8i13IlSzu5RudR8jwYo2Ae0qGYjWTB63QA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IFERROR(__xludf.DUMMYFUNCTION("""COMPUTED_VALUE"""),"PhysicalSettlement")</f>
        <v>PhysicalSettlement</v>
      </c>
      <c r="C226" t="str">
        <f ca="1">IFERROR(__xludf.DUMMYFUNCTION("""COMPUTED_VALUE"""),"1GWFw2LTCW-0KTvHPqk-SAKaGDGCWMshMmobGnhoD2IM")</f>
        <v>1GWFw2LTCW-0KTvHPqk-SAKaGDGCWMshMmobGnhoD2IM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IFERROR(__xludf.DUMMYFUNCTION("""COMPUTED_VALUE"""),"Expire")</f>
        <v>Expire</v>
      </c>
      <c r="C227" t="str">
        <f ca="1">IFERROR(__xludf.DUMMYFUNCTION("""COMPUTED_VALUE"""),"1QbdwdFznukIx11sIy-9N7A1fl9nhXKIB31gJR7mmKd4")</f>
        <v>1QbdwdFznukIx11sIy-9N7A1fl9nhXKIB31gJR7mmKd4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IFERROR(__xludf.DUMMYFUNCTION("""COMPUTED_VALUE"""),"ExerciseAssignment")</f>
        <v>ExerciseAssignment</v>
      </c>
      <c r="C228" t="str">
        <f ca="1">IFERROR(__xludf.DUMMYFUNCTION("""COMPUTED_VALUE"""),"1dZTZT5QW_lQQAeKE30XPkTaaKYBdbBURgIShMzGMLyY")</f>
        <v>1dZTZT5QW_lQQAeKE30XPkTaaKYBdbBURgIShMzGMLyY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IFERROR(__xludf.DUMMYFUNCTION("""COMPUTED_VALUE"""),"ExerciseAssignmentAtZero")</f>
        <v>ExerciseAssignmentAtZero</v>
      </c>
      <c r="C229" t="str">
        <f ca="1">IFERROR(__xludf.DUMMYFUNCTION("""COMPUTED_VALUE"""),"15MGMFMBhtgI1KWFEwdBBX7GuLF102gf47roRKsHL6H4")</f>
        <v>15MGMFMBhtgI1KWFEwdBBX7GuLF102gf47roRKsHL6H4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IFERROR(__xludf.DUMMYFUNCTION("""COMPUTED_VALUE"""),"SwapExpireAndRollover")</f>
        <v>SwapExpireAndRollover</v>
      </c>
      <c r="C230" t="str">
        <f ca="1">IFERROR(__xludf.DUMMYFUNCTION("""COMPUTED_VALUE"""),"1L-87XqJTaTF45GScp5sjdRWHx58ypZKZQMDK8AEsSm8")</f>
        <v>1L-87XqJTaTF45GScp5sjdRWHx58ypZKZQMDK8AEsSm8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IFERROR(__xludf.DUMMYFUNCTION("""COMPUTED_VALUE"""),"SwapExpire")</f>
        <v>SwapExpire</v>
      </c>
      <c r="C231" t="str">
        <f ca="1">IFERROR(__xludf.DUMMYFUNCTION("""COMPUTED_VALUE"""),"1jUV7qVgqGBaaceWSNh0-cSAYDYEL78u2ObuRdiWFjFM")</f>
        <v>1jUV7qVgqGBaaceWSNh0-cSAYDYEL78u2ObuRdiWFjFM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IFERROR(__xludf.DUMMYFUNCTION("""COMPUTED_VALUE"""),"VerifyExpiredSettledGrid")</f>
        <v>VerifyExpiredSettledGrid</v>
      </c>
      <c r="C232" t="str">
        <f ca="1">IFERROR(__xludf.DUMMYFUNCTION("""COMPUTED_VALUE"""),"14S9-0WztJC4brFwd_sntJdqg7oYUAd1uHpvzCdasPbo")</f>
        <v>14S9-0WztJC4brFwd_sntJdqg7oYUAd1uHpvzCdasPbo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IFERROR(__xludf.DUMMYFUNCTION("""COMPUTED_VALUE"""),"VerifyUnExpiredUnSettledGrid")</f>
        <v>VerifyUnExpiredUnSettledGrid</v>
      </c>
      <c r="C233" t="str">
        <f ca="1">IFERROR(__xludf.DUMMYFUNCTION("""COMPUTED_VALUE"""),"1de4udoQU07lam9vm95A4d1A6RqvJbiE5i2kofHeQU1k")</f>
        <v>1de4udoQU07lam9vm95A4d1A6RqvJbiE5i2kofHeQU1k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IFERROR(__xludf.DUMMYFUNCTION("""COMPUTED_VALUE"""),"UnWindTradeSettlement")</f>
        <v>UnWindTradeSettlement</v>
      </c>
      <c r="C234" t="str">
        <f ca="1">IFERROR(__xludf.DUMMYFUNCTION("""COMPUTED_VALUE"""),"1jnqQvqsYi6sMHiXLJ5WkhQHKVqji9WtS9IX5IquumYc")</f>
        <v>1jnqQvqsYi6sMHiXLJ5WkhQHKVqji9WtS9IX5IquumYc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IFERROR(__xludf.DUMMYFUNCTION("""COMPUTED_VALUE"""),"CloseOrder")</f>
        <v>CloseOrder</v>
      </c>
      <c r="C235" t="str">
        <f ca="1">IFERROR(__xludf.DUMMYFUNCTION("""COMPUTED_VALUE"""),"1bj4LymBZ8XfE61pCMOJflz-ChaAoZMZ8KHMwAXy6xKs")</f>
        <v>1bj4LymBZ8XfE61pCMOJflz-ChaAoZMZ8KHMwAXy6xKs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IFERROR(__xludf.DUMMYFUNCTION("""COMPUTED_VALUE"""),"VerifyCloseOrder")</f>
        <v>VerifyCloseOrder</v>
      </c>
      <c r="C236" t="str">
        <f ca="1">IFERROR(__xludf.DUMMYFUNCTION("""COMPUTED_VALUE"""),"10U7ywXXW22666-yhPjmEDMvmcIq-s1Gx2M4WuGeY2F8")</f>
        <v>10U7ywXXW22666-yhPjmEDMvmcIq-s1Gx2M4WuGeY2F8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IFERROR(__xludf.DUMMYFUNCTION("""COMPUTED_VALUE"""),"UnWindCloseOrder")</f>
        <v>UnWindCloseOrder</v>
      </c>
      <c r="C237" t="str">
        <f ca="1">IFERROR(__xludf.DUMMYFUNCTION("""COMPUTED_VALUE"""),"1ndiYwjgnh7VPji0iUN6yLkOVL80yi26iaXjkHTLPTjQ")</f>
        <v>1ndiYwjgnh7VPji0iUN6yLkOVL80yi26iaXjkHTLPTjQ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IFERROR(__xludf.DUMMYFUNCTION("""COMPUTED_VALUE"""),"ClosingCleanUp")</f>
        <v>ClosingCleanUp</v>
      </c>
      <c r="C238" t="str">
        <f ca="1">IFERROR(__xludf.DUMMYFUNCTION("""COMPUTED_VALUE"""),"1CBMTDHHaM3Vrk9VBgqqO929riAtN9XT67VXMtLxCZdY")</f>
        <v>1CBMTDHHaM3Vrk9VBgqqO929riAtN9XT67VXMtLxCZdY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IFERROR(__xludf.DUMMYFUNCTION("""COMPUTED_VALUE"""),"CloseClosingUI")</f>
        <v>CloseClosingUI</v>
      </c>
      <c r="C239" t="str">
        <f ca="1">IFERROR(__xludf.DUMMYFUNCTION("""COMPUTED_VALUE"""),"15BORdA3XCoeP0mqq47_6CZChNlRCEaFkcjD-78tQaYI")</f>
        <v>15BORdA3XCoeP0mqq47_6CZChNlRCEaFkcjD-78tQaYI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IFERROR(__xludf.DUMMYFUNCTION("""COMPUTED_VALUE"""),"GeneralLedger")</f>
        <v>GeneralLedger</v>
      </c>
      <c r="B240" t="str">
        <f ca="1">IFERROR(__xludf.DUMMYFUNCTION("""COMPUTED_VALUE"""),"GetDailyCalculationsData")</f>
        <v>GetDailyCalculationsData</v>
      </c>
      <c r="C240" t="str">
        <f ca="1">IFERROR(__xludf.DUMMYFUNCTION("""COMPUTED_VALUE"""),"1_CaVb4-xzusJdLbMAV8WXTZnHlyEkOh01iD5JBLlYgM")</f>
        <v>1_CaVb4-xzusJdLbMAV8WXTZnHlyEkOh01iD5JBLlYgM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IFERROR(__xludf.DUMMYFUNCTION("""COMPUTED_VALUE"""),"CalculateDailyCalculations")</f>
        <v>CalculateDailyCalculations</v>
      </c>
      <c r="C241" t="str">
        <f ca="1">IFERROR(__xludf.DUMMYFUNCTION("""COMPUTED_VALUE"""),"Undefined")</f>
        <v>Undefined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IFERROR(__xludf.DUMMYFUNCTION("""COMPUTED_VALUE"""),"EditOpeningBalanceTransaction")</f>
        <v>EditOpeningBalanceTransaction</v>
      </c>
      <c r="C242" t="str">
        <f ca="1">IFERROR(__xludf.DUMMYFUNCTION("""COMPUTED_VALUE"""),"1reG3EA1CyAISEzdlLJ5ERpoY_I-JZ0KuTqR0-GzNP7c")</f>
        <v>1reG3EA1CyAISEzdlLJ5ERpoY_I-JZ0KuTqR0-GzNP7c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IFERROR(__xludf.DUMMYFUNCTION("""COMPUTED_VALUE"""),"EditOpeningBalanceTranItem")</f>
        <v>EditOpeningBalanceTranItem</v>
      </c>
      <c r="C243" t="str">
        <f ca="1">IFERROR(__xludf.DUMMYFUNCTION("""COMPUTED_VALUE"""),"1njeJPFKEjXjWbNPXNBWuLdM4A4Hrt1xzLevPTOnFd48")</f>
        <v>1njeJPFKEjXjWbNPXNBWuLdM4A4Hrt1xzLevPTOnFd48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IFERROR(__xludf.DUMMYFUNCTION("""COMPUTED_VALUE"""),"DailyValuation")</f>
        <v>DailyValuation</v>
      </c>
      <c r="B244" t="str">
        <f ca="1">IFERROR(__xludf.DUMMYFUNCTION("""COMPUTED_VALUE"""),"UpdateBeta")</f>
        <v>UpdateBeta</v>
      </c>
      <c r="C244" t="str">
        <f ca="1">IFERROR(__xludf.DUMMYFUNCTION("""COMPUTED_VALUE"""),"1x5iUjYB72ZJ35IOvQ_JQkWHV-d1FlgKY3bIxxTpk-f0")</f>
        <v>1x5iUjYB72ZJ35IOvQ_JQkWHV-d1FlgKY3bIxxTpk-f0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IFERROR(__xludf.DUMMYFUNCTION("""COMPUTED_VALUE"""),"UpdateNAV")</f>
        <v>UpdateNAV</v>
      </c>
      <c r="C245" t="str">
        <f ca="1">IFERROR(__xludf.DUMMYFUNCTION("""COMPUTED_VALUE"""),"176KL7gj6FjCSMsvH7P2baGR-AF725MRypsOXPr43n0g")</f>
        <v>176KL7gj6FjCSMsvH7P2baGR-AF725MRypsOXPr43n0g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IFERROR(__xludf.DUMMYFUNCTION("""COMPUTED_VALUE"""),"UpdateDailyCash")</f>
        <v>UpdateDailyCash</v>
      </c>
      <c r="C246" t="str">
        <f ca="1">IFERROR(__xludf.DUMMYFUNCTION("""COMPUTED_VALUE"""),"1Li5RKULV7Lc2MLczTkVbzq0oDYcFGfTlBUO9__NoODc")</f>
        <v>1Li5RKULV7Lc2MLczTkVbzq0oDYcFGfTlBUO9__NoODc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IFERROR(__xludf.DUMMYFUNCTION("""COMPUTED_VALUE"""),"GeneralLedger")</f>
        <v>GeneralLedger</v>
      </c>
      <c r="B247" t="str">
        <f ca="1">IFERROR(__xludf.DUMMYFUNCTION("""COMPUTED_VALUE"""),"VerifyDailyCalTransactions")</f>
        <v>VerifyDailyCalTransactions</v>
      </c>
      <c r="C247" t="str">
        <f ca="1">IFERROR(__xludf.DUMMYFUNCTION("""COMPUTED_VALUE"""),"1Hggu8OCyZ4MPErwQA19VtwwJflpzOtAaPAe9t3cT6pk")</f>
        <v>1Hggu8OCyZ4MPErwQA19VtwwJflpzOtAaPAe9t3cT6pk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IFERROR(__xludf.DUMMYFUNCTION("""COMPUTED_VALUE"""),"UpdateDailyCreditLimt")</f>
        <v>UpdateDailyCreditLimt</v>
      </c>
      <c r="C248" t="str">
        <f ca="1">IFERROR(__xludf.DUMMYFUNCTION("""COMPUTED_VALUE"""),"1LRmptpZEe1O6Iz3Ffw8MBJYO5YL7PyDMHChcY1EdCZw")</f>
        <v>1LRmptpZEe1O6Iz3Ffw8MBJYO5YL7PyDMHChcY1EdCZw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IFERROR(__xludf.DUMMYFUNCTION("""COMPUTED_VALUE"""),"RemoveDailyCreditLimit")</f>
        <v>RemoveDailyCreditLimit</v>
      </c>
      <c r="C249" t="str">
        <f ca="1">IFERROR(__xludf.DUMMYFUNCTION("""COMPUTED_VALUE"""),"1ULQHy38ZnYFvbEI9sm_tNzDsMUyBXbiKYdpGxChGiPs")</f>
        <v>1ULQHy38ZnYFvbEI9sm_tNzDsMUyBXbiKYdpGxChGiPs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IFERROR(__xludf.DUMMYFUNCTION("""COMPUTED_VALUE"""),"RemoveDailyCash")</f>
        <v>RemoveDailyCash</v>
      </c>
      <c r="C250" t="str">
        <f ca="1">IFERROR(__xludf.DUMMYFUNCTION("""COMPUTED_VALUE"""),"1gHuqOKbEFaF-FX6M9JRGAEvCfjDZityjkbkB-2tDTN8")</f>
        <v>1gHuqOKbEFaF-FX6M9JRGAEvCfjDZityjkbkB-2tDTN8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IFERROR(__xludf.DUMMYFUNCTION("""COMPUTED_VALUE"""),"RemoveNAV")</f>
        <v>RemoveNAV</v>
      </c>
      <c r="C251" t="str">
        <f ca="1">IFERROR(__xludf.DUMMYFUNCTION("""COMPUTED_VALUE"""),"1-90taYQR0ReB1LeWlhD8eXqV-TAgtuWRoC_rfmSUR0E")</f>
        <v>1-90taYQR0ReB1LeWlhD8eXqV-TAgtuWRoC_rfmSUR0E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IFERROR(__xludf.DUMMYFUNCTION("""COMPUTED_VALUE"""),"PortfolioManagement")</f>
        <v>PortfolioManagement</v>
      </c>
      <c r="B252" t="str">
        <f ca="1">IFERROR(__xludf.DUMMYFUNCTION("""COMPUTED_VALUE"""),"FilterPM")</f>
        <v>FilterPM</v>
      </c>
      <c r="C252" t="str">
        <f ca="1">IFERROR(__xludf.DUMMYFUNCTION("""COMPUTED_VALUE"""),"1Yyicgon40_tYgdmKCkOwwU3pK7CjbU1YFofcQWMeUzY")</f>
        <v>1Yyicgon40_tYgdmKCkOwwU3pK7CjbU1YFofcQWMeUzY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IFERROR(__xludf.DUMMYFUNCTION("""COMPUTED_VALUE"""),"GroupRowPM")</f>
        <v>GroupRowPM</v>
      </c>
      <c r="C253" t="str">
        <f ca="1">IFERROR(__xludf.DUMMYFUNCTION("""COMPUTED_VALUE"""),"1f9-1p-_wPNSAH6MBN_WolwNrBbcb5vGR4maJeT6ASzk")</f>
        <v>1f9-1p-_wPNSAH6MBN_WolwNrBbcb5vGR4maJeT6ASzk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IFERROR(__xludf.DUMMYFUNCTION("""COMPUTED_VALUE"""),"Allocation")</f>
        <v>Allocation</v>
      </c>
      <c r="B254" t="str">
        <f ca="1">IFERROR(__xludf.DUMMYFUNCTION("""COMPUTED_VALUE"""),"CloseAllocation")</f>
        <v>CloseAllocation</v>
      </c>
      <c r="C254" t="str">
        <f ca="1">IFERROR(__xludf.DUMMYFUNCTION("""COMPUTED_VALUE"""),"Undefined")</f>
        <v>Undefined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IFERROR(__xludf.DUMMYFUNCTION("""COMPUTED_VALUE"""),"CheckDashboardWithPM")</f>
        <v>CheckDashboardWithPM</v>
      </c>
      <c r="C255" t="str">
        <f ca="1">IFERROR(__xludf.DUMMYFUNCTION("""COMPUTED_VALUE"""),"Undefined")</f>
        <v>Undefined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IFERROR(__xludf.DUMMYFUNCTION("""COMPUTED_VALUE"""),"RemoveFilterPM")</f>
        <v>RemoveFilterPM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IFERROR(__xludf.DUMMYFUNCTION("""COMPUTED_VALUE"""),"CheckSummaryRowsPM")</f>
        <v>CheckSummaryRowsPM</v>
      </c>
      <c r="C257" t="str">
        <f ca="1">IFERROR(__xludf.DUMMYFUNCTION("""COMPUTED_VALUE"""),"1FWp2_v19fmVoPIsw_BJhrsAqUEhebfJYo5T1vCK-yMQ")</f>
        <v>1FWp2_v19fmVoPIsw_BJhrsAqUEhebfJYo5T1vCK-yMQ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IFERROR(__xludf.DUMMYFUNCTION("""COMPUTED_VALUE"""),"GeneralLedger")</f>
        <v>GeneralLedger</v>
      </c>
      <c r="B258" t="str">
        <f ca="1">IFERROR(__xludf.DUMMYFUNCTION("""COMPUTED_VALUE"""),"CloseGeneralLedger")</f>
        <v>CloseGeneralLedger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IFERROR(__xludf.DUMMYFUNCTION("""COMPUTED_VALUE"""),"Blotter")</f>
        <v>Blotter</v>
      </c>
      <c r="B259" t="str">
        <f ca="1">IFERROR(__xludf.DUMMYFUNCTION("""COMPUTED_VALUE"""),"ReplaceStageOrder")</f>
        <v>ReplaceStageOrder</v>
      </c>
      <c r="C259" t="str">
        <f ca="1">IFERROR(__xludf.DUMMYFUNCTION("""COMPUTED_VALUE"""),"1chm8mWXPg3RUjpQhkqqLfInlWIGOSnhfKIzNfBTnK_o")</f>
        <v>1chm8mWXPg3RUjpQhkqqLfInlWIGOSnhfKIzNfBTnK_o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IFERROR(__xludf.DUMMYFUNCTION("""COMPUTED_VALUE"""),"VerifyAccountDetails")</f>
        <v>VerifyAccountDetails</v>
      </c>
      <c r="C260" t="str">
        <f ca="1">IFERROR(__xludf.DUMMYFUNCTION("""COMPUTED_VALUE"""),"18wq9EBdTjVM_o2NWnHC8C4fw2rRgWfb_MPvfaAm-mJ8")</f>
        <v>18wq9EBdTjVM_o2NWnHC8C4fw2rRgWfb_MPvfaAm-mJ8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IFERROR(__xludf.DUMMYFUNCTION("""COMPUTED_VALUE"""),"TradingTicket")</f>
        <v>TradingTicket</v>
      </c>
      <c r="B261" t="str">
        <f ca="1">IFERROR(__xludf.DUMMYFUNCTION("""COMPUTED_VALUE"""),"CreateNewSubOrder")</f>
        <v>CreateNewSubOrder</v>
      </c>
      <c r="C261" t="str">
        <f ca="1">IFERROR(__xludf.DUMMYFUNCTION("""COMPUTED_VALUE"""),"1h3kE6mxfRt8AAMF3tzHC-scSdChXooOOld42-4Gv8HA")</f>
        <v>1h3kE6mxfRt8AAMF3tzHC-scSdChXooOOld42-4Gv8HA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IFERROR(__xludf.DUMMYFUNCTION("""COMPUTED_VALUE"""),"CreateTransaction")</f>
        <v>CreateTransaction</v>
      </c>
      <c r="B262" t="str">
        <f ca="1">IFERROR(__xludf.DUMMYFUNCTION("""COMPUTED_VALUE"""),"AddNewTransaction")</f>
        <v>AddNewTransaction</v>
      </c>
      <c r="C262" t="str">
        <f ca="1">IFERROR(__xludf.DUMMYFUNCTION("""COMPUTED_VALUE"""),"1qGWLtOINiaVtZohaEupJcqLbeUhwVu1Neg32z7LzAwE")</f>
        <v>1qGWLtOINiaVtZohaEupJcqLbeUhwVu1Neg32z7LzAwE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IFERROR(__xludf.DUMMYFUNCTION("""COMPUTED_VALUE"""),"TradeBloomberg")</f>
        <v>TradeBloomberg</v>
      </c>
      <c r="C263" t="str">
        <f ca="1">IFERROR(__xludf.DUMMYFUNCTION("""COMPUTED_VALUE"""),"1ggc3C-AgCuq5bg0nI16D-lmZU--83aV_rjtKKrb-K7g")</f>
        <v>1ggc3C-AgCuq5bg0nI16D-lmZU--83aV_rjtKKrb-K7g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IFERROR(__xludf.DUMMYFUNCTION("""COMPUTED_VALUE"""),"ClickSymbolLookup")</f>
        <v>ClickSymbolLookup</v>
      </c>
      <c r="C264" t="str">
        <f ca="1">IFERROR(__xludf.DUMMYFUNCTION("""COMPUTED_VALUE"""),"10yCku8yOnXCUARqi5iHNxNAMwOoAgJ1OX-mHsxrlJxc")</f>
        <v>10yCku8yOnXCUARqi5iHNxNAMwOoAgJ1OX-mHsxrlJxc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IFERROR(__xludf.DUMMYFUNCTION("""COMPUTED_VALUE"""),"PricingServer")</f>
        <v>PricingServer</v>
      </c>
      <c r="B265" t="str">
        <f ca="1">IFERROR(__xludf.DUMMYFUNCTION("""COMPUTED_VALUE"""),"RestartPricingServer")</f>
        <v>RestartPricingServer</v>
      </c>
      <c r="C265" t="str">
        <f ca="1">IFERROR(__xludf.DUMMYFUNCTION("""COMPUTED_VALUE"""),"14XPNoKflHWgrJhazDvDpyN_v9J_0zTxyB_0TyM3b104")</f>
        <v>14XPNoKflHWgrJhazDvDpyN_v9J_0zTxyB_0TyM3b104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IFERROR(__xludf.DUMMYFUNCTION("""COMPUTED_VALUE"""),"TradeServer")</f>
        <v>TradeServer</v>
      </c>
      <c r="B266" t="str">
        <f ca="1">IFERROR(__xludf.DUMMYFUNCTION("""COMPUTED_VALUE"""),"RestartServer")</f>
        <v>RestartServer</v>
      </c>
      <c r="C266" t="str">
        <f ca="1">IFERROR(__xludf.DUMMYFUNCTION("""COMPUTED_VALUE"""),"16l6QdcvhT88EvBSovIsD4-TLFFSBt3xR3q6U11f9nZw")</f>
        <v>16l6QdcvhT88EvBSovIsD4-TLFFSBt3xR3q6U11f9nZw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IFERROR(__xludf.DUMMYFUNCTION("""COMPUTED_VALUE"""),"PTT")</f>
        <v>PTT</v>
      </c>
      <c r="B267" t="str">
        <f ca="1">IFERROR(__xludf.DUMMYFUNCTION("""COMPUTED_VALUE"""),"CalculatePTT")</f>
        <v>CalculatePTT</v>
      </c>
      <c r="C267" t="str">
        <f ca="1">IFERROR(__xludf.DUMMYFUNCTION("""COMPUTED_VALUE"""),"1lKTIY25KFKUdpe6XoZciVb0-8L9erXZZRMEZ8RqdFuk")</f>
        <v>1lKTIY25KFKUdpe6XoZciVb0-8L9erXZZRMEZ8RqdFuk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IFERROR(__xludf.DUMMYFUNCTION("""COMPUTED_VALUE"""),"PTT")</f>
        <v>PTT</v>
      </c>
      <c r="B268" t="str">
        <f ca="1">IFERROR(__xludf.DUMMYFUNCTION("""COMPUTED_VALUE"""),"TradeUsingPTT")</f>
        <v>TradeUsingPTT</v>
      </c>
      <c r="C268" t="str">
        <f ca="1">IFERROR(__xludf.DUMMYFUNCTION("""COMPUTED_VALUE"""),"1Y_osOCfGaPjTXREAr1CRTQXuy2-Bq6Aj1Wq4Vr7xLB0")</f>
        <v>1Y_osOCfGaPjTXREAr1CRTQXuy2-Bq6Aj1Wq4Vr7xLB0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IFERROR(__xludf.DUMMYFUNCTION("""COMPUTED_VALUE"""),"PTT")</f>
        <v>PTT</v>
      </c>
      <c r="B269" t="str">
        <f ca="1">IFERROR(__xludf.DUMMYFUNCTION("""COMPUTED_VALUE"""),"StageOrderUsingPTT")</f>
        <v>StageOrderUsingPTT</v>
      </c>
      <c r="C269" t="str">
        <f ca="1">IFERROR(__xludf.DUMMYFUNCTION("""COMPUTED_VALUE"""),"1KJoqGwoGAbW-k0cws1grduypgTSNep_spZkLm2mnXIY")</f>
        <v>1KJoqGwoGAbW-k0cws1grduypgTSNep_spZkLm2mnXIY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IFERROR(__xludf.DUMMYFUNCTION("""COMPUTED_VALUE"""),"CreateOrderPTT")</f>
        <v>CreateOrderPTT</v>
      </c>
      <c r="C270" t="str">
        <f ca="1">IFERROR(__xludf.DUMMYFUNCTION("""COMPUTED_VALUE"""),"1rKKuHwia87Iph96Yr0B2xwHIwU4r2nE-kwzrWqfsFO0")</f>
        <v>1rKKuHwia87Iph96Yr0B2xwHIwU4r2nE-kwzrWqfsFO0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IFERROR(__xludf.DUMMYFUNCTION("""COMPUTED_VALUE"""),"TradePTT")</f>
        <v>TradePTT</v>
      </c>
      <c r="C271" t="str">
        <f ca="1">IFERROR(__xludf.DUMMYFUNCTION("""COMPUTED_VALUE"""),"1kvM2eaDgA1XPZr4DgAR7VdeO81ykGM2ClEe0AueBLtI")</f>
        <v>1kvM2eaDgA1XPZr4DgAR7VdeO81ykGM2ClEe0AueBLtI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IFERROR(__xludf.DUMMYFUNCTION("""COMPUTED_VALUE"""),"VerifyPTT")</f>
        <v>VerifyPTT</v>
      </c>
      <c r="C272" t="str">
        <f ca="1">IFERROR(__xludf.DUMMYFUNCTION("""COMPUTED_VALUE"""),"1zobR6S1l9oHcDvoWFwMx7noG6NNOhCMh6AHfjyl5ouM")</f>
        <v>1zobR6S1l9oHcDvoWFwMx7noG6NNOhCMh6AHfjyl5ouM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IFERROR(__xludf.DUMMYFUNCTION("""COMPUTED_VALUE"""),"PortfolioManagement")</f>
        <v>PortfolioManagement</v>
      </c>
      <c r="B273" t="str">
        <f ca="1">IFERROR(__xludf.DUMMYFUNCTION("""COMPUTED_VALUE"""),"OpenPTTFromPM")</f>
        <v>OpenPTTFromPM</v>
      </c>
      <c r="C273" t="str">
        <f ca="1">IFERROR(__xludf.DUMMYFUNCTION("""COMPUTED_VALUE"""),"1lroslTGp1-X34JkAjgjr_qgu9aTB7y01mA3IPcyUxe8")</f>
        <v>1lroslTGp1-X34JkAjgjr_qgu9aTB7y01mA3IPcyUxe8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IFERROR(__xludf.DUMMYFUNCTION("""COMPUTED_VALUE"""),"OpenMultiTTFromPTT")</f>
        <v>OpenMultiTTFromPTT</v>
      </c>
      <c r="C274" t="str">
        <f ca="1">IFERROR(__xludf.DUMMYFUNCTION("""COMPUTED_VALUE"""),"18n9jM99QvAs2Zd7W22CLAHTJnjnP7zY9Zd3jkfNyBdA")</f>
        <v>18n9jM99QvAs2Zd7W22CLAHTJnjnP7zY9Zd3jkfNyBdA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IFERROR(__xludf.DUMMYFUNCTION("""COMPUTED_VALUE"""),"SelectMultiTT")</f>
        <v>SelectMultiTT</v>
      </c>
      <c r="C275" t="str">
        <f ca="1">IFERROR(__xludf.DUMMYFUNCTION("""COMPUTED_VALUE"""),"1KePLyYIHyMPa4vAGK8j2lktW3nYqSRgJoBOwwl8Mrcg")</f>
        <v>1KePLyYIHyMPa4vAGK8j2lktW3nYqSRgJoBOwwl8Mrcg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IFERROR(__xludf.DUMMYFUNCTION("""COMPUTED_VALUE"""),"PTT")</f>
        <v>PTT</v>
      </c>
      <c r="B276" t="str">
        <f ca="1">IFERROR(__xludf.DUMMYFUNCTION("""COMPUTED_VALUE"""),"EditMultiTT")</f>
        <v>EditMultiTT</v>
      </c>
      <c r="C276" t="str">
        <f ca="1">IFERROR(__xludf.DUMMYFUNCTION("""COMPUTED_VALUE"""),"1ylEeWzbM5-H-f9HQ0hqVcYZETYY7A6yTazfTtjL4Hbg")</f>
        <v>1ylEeWzbM5-H-f9HQ0hqVcYZETYY7A6yTazfTtjL4Hbg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IFERROR(__xludf.DUMMYFUNCTION("""COMPUTED_VALUE"""),"MultiTradingTicket")</f>
        <v>MultiTradingTicket</v>
      </c>
      <c r="B277" t="str">
        <f ca="1">IFERROR(__xludf.DUMMYFUNCTION("""COMPUTED_VALUE"""),"EditTradeUsingMTT")</f>
        <v>EditTradeUsingMTT</v>
      </c>
      <c r="C277" t="str">
        <f ca="1">IFERROR(__xludf.DUMMYFUNCTION("""COMPUTED_VALUE"""),"1oclpANwYA5vyF0G5v4OwaiuA7mu0oFb6MtNLmKeJRxg")</f>
        <v>1oclpANwYA5vyF0G5v4OwaiuA7mu0oFb6MtNLmKeJRxg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IFERROR(__xludf.DUMMYFUNCTION("""COMPUTED_VALUE"""),"MultiTradingTicket")</f>
        <v>MultiTradingTicket</v>
      </c>
      <c r="B278" t="str">
        <f ca="1">IFERROR(__xludf.DUMMYFUNCTION("""COMPUTED_VALUE"""),"SelectTradeUsingMTT")</f>
        <v>SelectTradeUsingMTT</v>
      </c>
      <c r="C278" t="str">
        <f ca="1">IFERROR(__xludf.DUMMYFUNCTION("""COMPUTED_VALUE"""),"1KP7yPihDZOgWG3Z2G-4AYFr4Zz7JxlZq-euRNvEeEBo")</f>
        <v>1KP7yPihDZOgWG3Z2G-4AYFr4Zz7JxlZq-euRNvEeEBo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IFERROR(__xludf.DUMMYFUNCTION("""COMPUTED_VALUE"""),"GetPriceUsingMTT")</f>
        <v>GetPriceUsingMTT</v>
      </c>
      <c r="C279" t="str">
        <f ca="1">IFERROR(__xludf.DUMMYFUNCTION("""COMPUTED_VALUE"""),"1w1_t3dujSKMzyrGYdqX8iDQHLU7PoIaB1FNC_R3c5lE")</f>
        <v>1w1_t3dujSKMzyrGYdqX8iDQHLU7PoIaB1FNC_R3c5lE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IFERROR(__xludf.DUMMYFUNCTION("""COMPUTED_VALUE"""),"DoneAwayUsingMTT")</f>
        <v>DoneAwayUsingMTT</v>
      </c>
      <c r="C280" t="str">
        <f ca="1">IFERROR(__xludf.DUMMYFUNCTION("""COMPUTED_VALUE"""),"1_ufv_nXKd3ZNaDbziIFtTWVO12weR3P5utLmJsphE1Q")</f>
        <v>1_ufv_nXKd3ZNaDbziIFtTWVO12weR3P5utLmJsphE1Q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IFERROR(__xludf.DUMMYFUNCTION("""COMPUTED_VALUE"""),"SendOrderUsingMTT")</f>
        <v>SendOrderUsingMTT</v>
      </c>
      <c r="C281" t="str">
        <f ca="1">IFERROR(__xludf.DUMMYFUNCTION("""COMPUTED_VALUE"""),"1gjYHBk2Re526Plkd-9T2Fcp82W2M_xS30ry2LdO1Mak")</f>
        <v>1gjYHBk2Re526Plkd-9T2Fcp82W2M_xS30ry2LdO1Mak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IFERROR(__xludf.DUMMYFUNCTION("""COMPUTED_VALUE"""),"Allocation")</f>
        <v>Allocation</v>
      </c>
      <c r="B282" t="str">
        <f ca="1">IFERROR(__xludf.DUMMYFUNCTION("""COMPUTED_VALUE"""),"UpdateGRAccountValue")</f>
        <v>UpdateGRAccountValue</v>
      </c>
      <c r="C282" t="str">
        <f ca="1">IFERROR(__xludf.DUMMYFUNCTION("""COMPUTED_VALUE"""),"1IYiRc1wyd9LDqwhFYa5t6wU_7GkLccIcXcey1uFWQcs")</f>
        <v>1IYiRc1wyd9LDqwhFYa5t6wU_7GkLccIcXcey1uFWQcs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IFERROR(__xludf.DUMMYFUNCTION("""COMPUTED_VALUE"""),"BulkChangeTradeDoneAway")</f>
        <v>BulkChangeTradeDoneAway</v>
      </c>
      <c r="C283" t="str">
        <f ca="1">IFERROR(__xludf.DUMMYFUNCTION("""COMPUTED_VALUE"""),"1URgx1zFx0u42-s4fzLq7KJ4ZFAiaLFy6--zd2Ixf-3I")</f>
        <v>1URgx1zFx0u42-s4fzLq7KJ4ZFAiaLFy6--zd2Ixf-3I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IFERROR(__xludf.DUMMYFUNCTION("""COMPUTED_VALUE"""),"UpdateGRStrategyValue")</f>
        <v>UpdateGRStrategyValue</v>
      </c>
      <c r="C284" t="str">
        <f ca="1">IFERROR(__xludf.DUMMYFUNCTION("""COMPUTED_VALUE"""),"1cB211gXXr66rCjnYXDxwr00xlzTWQnE6ktfSHSP3imU")</f>
        <v>1cB211gXXr66rCjnYXDxwr00xlzTWQnE6ktfSHSP3imU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IFERROR(__xludf.DUMMYFUNCTION("""COMPUTED_VALUE"""),"UpdateGRDefaultRule")</f>
        <v>UpdateGRDefaultRule</v>
      </c>
      <c r="C285" t="str">
        <f ca="1">IFERROR(__xludf.DUMMYFUNCTION("""COMPUTED_VALUE"""),"1Z2A-X9HWO-7HYvpOHR7lr-bHADqfo3GllKZXWPHIYYE")</f>
        <v>1Z2A-X9HWO-7HYvpOHR7lr-bHADqfo3GllKZXWPHIYYE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IFERROR(__xludf.DUMMYFUNCTION("""COMPUTED_VALUE"""),"UpdateGeneralRulePref")</f>
        <v>UpdateGeneralRulePref</v>
      </c>
      <c r="C286" t="str">
        <f ca="1">IFERROR(__xludf.DUMMYFUNCTION("""COMPUTED_VALUE"""),"Undefined")</f>
        <v>Undefined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IFERROR(__xludf.DUMMYFUNCTION("""COMPUTED_VALUE"""),"Blotter")</f>
        <v>Blotter</v>
      </c>
      <c r="B287" t="str">
        <f ca="1">IFERROR(__xludf.DUMMYFUNCTION("""COMPUTED_VALUE"""),"MultiTradingTicketFromBlotter")</f>
        <v>MultiTradingTicketFromBlotter</v>
      </c>
      <c r="C287" t="str">
        <f ca="1">IFERROR(__xludf.DUMMYFUNCTION("""COMPUTED_VALUE"""),"1NHtfDRa6f4QyIWIBvHICcov2a9oblvqOkKtUi021afg")</f>
        <v>1NHtfDRa6f4QyIWIBvHICcov2a9oblvqOkKtUi021afg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IFERROR(__xludf.DUMMYFUNCTION("""COMPUTED_VALUE"""),"CleanUp")</f>
        <v>CleanUp</v>
      </c>
      <c r="B288" t="str">
        <f ca="1">IFERROR(__xludf.DUMMYFUNCTION("""COMPUTED_VALUE"""),"DeleteClientData")</f>
        <v>DeleteClientData</v>
      </c>
      <c r="C288" t="str">
        <f ca="1">IFERROR(__xludf.DUMMYFUNCTION("""COMPUTED_VALUE"""),"18NzJZgPH05B2t6ue8bOkcdhhyiudlegCZmkV-VWizvk")</f>
        <v>18NzJZgPH05B2t6ue8bOkcdhhyiudlegCZmkV-VWizvk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IFERROR(__xludf.DUMMYFUNCTION("""COMPUTED_VALUE"""),"ModifyGRPreferenceValues")</f>
        <v>ModifyGRPreferenceValues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IFERROR(__xludf.DUMMYFUNCTION("""COMPUTED_VALUE"""),"Allocation")</f>
        <v>Allocation</v>
      </c>
      <c r="B290" t="str">
        <f ca="1">IFERROR(__xludf.DUMMYFUNCTION("""COMPUTED_VALUE"""),"AddMFPreferences")</f>
        <v>AddMFPreferences</v>
      </c>
      <c r="C290" t="str">
        <f ca="1">IFERROR(__xludf.DUMMYFUNCTION("""COMPUTED_VALUE"""),"1va6752DENAYeVhS50lUAkhwGSYev0Xktjtar45RqPkk")</f>
        <v>1va6752DENAYeVhS50lUAkhwGSYev0Xktjtar45RqPkk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IFERROR(__xludf.DUMMYFUNCTION("""COMPUTED_VALUE"""),"AddMFPreferenceToolbar")</f>
        <v>AddMFPreferenceToolbar</v>
      </c>
      <c r="C291" t="str">
        <f ca="1">IFERROR(__xludf.DUMMYFUNCTION("""COMPUTED_VALUE"""),"1Ry0ZELbqu1Mwmjv4apaY0huRg4RzMnHcrAL-FcEW65w")</f>
        <v>1Ry0ZELbqu1Mwmjv4apaY0huRg4RzMnHcrAL-FcEW65w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IFERROR(__xludf.DUMMYFUNCTION("""COMPUTED_VALUE"""),"DeleteMFPreferences")</f>
        <v>DeleteMFPreferences</v>
      </c>
      <c r="C292" t="str">
        <f ca="1">IFERROR(__xludf.DUMMYFUNCTION("""COMPUTED_VALUE"""),"1mCRD3EmDUNhyzjpvHK_KjUJHB78N4X4a3VHjm7KfAxk")</f>
        <v>1mCRD3EmDUNhyzjpvHK_KjUJHB78N4X4a3VHjm7KfAxk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IFERROR(__xludf.DUMMYFUNCTION("""COMPUTED_VALUE"""),"DeleteMFPreferenceToolbar")</f>
        <v>DeleteMFPreferenceToolbar</v>
      </c>
      <c r="C293" t="str">
        <f ca="1">IFERROR(__xludf.DUMMYFUNCTION("""COMPUTED_VALUE"""),"1bQnvNaxzPwb6m0rx94FNm85vCLF4YgQkqftXa453b-w")</f>
        <v>1bQnvNaxzPwb6m0rx94FNm85vCLF4YgQkqftXa453b-w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IFERROR(__xludf.DUMMYFUNCTION("""COMPUTED_VALUE"""),"RenameMFPreferences")</f>
        <v>RenameMFPreferences</v>
      </c>
      <c r="C294" t="str">
        <f ca="1">IFERROR(__xludf.DUMMYFUNCTION("""COMPUTED_VALUE"""),"1qEjbJ2hmw-Bv7YoPCV0P4aY4X_s5Rd9B3cJaWt50vOc")</f>
        <v>1qEjbJ2hmw-Bv7YoPCV0P4aY4X_s5Rd9B3cJaWt50vOc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IFERROR(__xludf.DUMMYFUNCTION("""COMPUTED_VALUE"""),"SaveCloseMFPreference")</f>
        <v>SaveCloseMFPreference</v>
      </c>
      <c r="C295" t="str">
        <f ca="1">IFERROR(__xludf.DUMMYFUNCTION("""COMPUTED_VALUE"""),"Undefined")</f>
        <v>Undefined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IFERROR(__xludf.DUMMYFUNCTION("""COMPUTED_VALUE"""),"SetMFPrefAccountValues")</f>
        <v>SetMFPrefAccountValues</v>
      </c>
      <c r="C296" t="str">
        <f ca="1">IFERROR(__xludf.DUMMYFUNCTION("""COMPUTED_VALUE"""),"14arkgkANgSlPx3msdbjJS_BCNAV0D0bj0ilVQGyyV48")</f>
        <v>14arkgkANgSlPx3msdbjJS_BCNAV0D0bj0ilVQGyyV48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IFERROR(__xludf.DUMMYFUNCTION("""COMPUTED_VALUE"""),"ModifyMFPrefGeneralRuleValues")</f>
        <v>ModifyMFPrefGeneralRuleValues</v>
      </c>
      <c r="C297" t="str">
        <f ca="1">IFERROR(__xludf.DUMMYFUNCTION("""COMPUTED_VALUE"""),"Undefined")</f>
        <v>Undefined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IFERROR(__xludf.DUMMYFUNCTION("""COMPUTED_VALUE"""),"SetMFPrefStrategyValues")</f>
        <v>SetMFPrefStrategyValues</v>
      </c>
      <c r="C298" t="str">
        <f ca="1">IFERROR(__xludf.DUMMYFUNCTION("""COMPUTED_VALUE"""),"1yFCtsHtjse7L-TUP_xVh4TQ6B7h2cpfVQedPGV6Hltk")</f>
        <v>1yFCtsHtjse7L-TUP_xVh4TQ6B7h2cpfVQedPGV6Hltk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IFERROR(__xludf.DUMMYFUNCTION("""COMPUTED_VALUE"""),"SetMFPrefGeneralRule")</f>
        <v>SetMFPrefGeneralRule</v>
      </c>
      <c r="C299" t="str">
        <f ca="1">IFERROR(__xludf.DUMMYFUNCTION("""COMPUTED_VALUE"""),"1fQ4P6Q-mjxDj3SOLhADw90TKMmoQO5xAkvHFQA50RWM")</f>
        <v>1fQ4P6Q-mjxDj3SOLhADw90TKMmoQO5xAkvHFQA50RWM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IFERROR(__xludf.DUMMYFUNCTION("""COMPUTED_VALUE"""),"SetMFPrefFundDistribution")</f>
        <v>SetMFPrefFundDistribution</v>
      </c>
      <c r="C300" t="str">
        <f ca="1">IFERROR(__xludf.DUMMYFUNCTION("""COMPUTED_VALUE"""),"1FxEmWS_WxFMiePuiEZ3_Fkd4eRckfCHzv-PzlXxgFEA")</f>
        <v>1FxEmWS_WxFMiePuiEZ3_Fkd4eRckfCHzv-PzlXxgFEA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IFERROR(__xludf.DUMMYFUNCTION("""COMPUTED_VALUE"""),"SetMFPreferencesDefaultRule")</f>
        <v>SetMFPreferencesDefaultRule</v>
      </c>
      <c r="C301" t="str">
        <f ca="1">IFERROR(__xludf.DUMMYFUNCTION("""COMPUTED_VALUE"""),"10NYzauTdFcKUdkzKWlheqOMWeWEnOr2oMx2iDpeXXTg")</f>
        <v>10NYzauTdFcKUdkzKWlheqOMWeWEnOr2oMx2iDpeXXTg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IFERROR(__xludf.DUMMYFUNCTION("""COMPUTED_VALUE"""),"SetMFPrefFundDefaultRule")</f>
        <v>SetMFPrefFundDefaultRule</v>
      </c>
      <c r="C302" t="str">
        <f ca="1">IFERROR(__xludf.DUMMYFUNCTION("""COMPUTED_VALUE"""),"1tqkyJbl0bkgE0Xw_h7KPwQVanQUCDA6ZpILYHOywock")</f>
        <v>1tqkyJbl0bkgE0Xw_h7KPwQVanQUCDA6ZpILYHOywock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IFERROR(__xludf.DUMMYFUNCTION("""COMPUTED_VALUE"""),"PTT")</f>
        <v>PTT</v>
      </c>
      <c r="B303" t="str">
        <f ca="1">IFERROR(__xludf.DUMMYFUNCTION("""COMPUTED_VALUE"""),"SetAccountFactor")</f>
        <v>SetAccountFactor</v>
      </c>
      <c r="C303" t="str">
        <f ca="1">IFERROR(__xludf.DUMMYFUNCTION("""COMPUTED_VALUE"""),"1cODN6ucPYWbxoLsX1rQvJGCGAV6TOEenIeykDlOND3A")</f>
        <v>1cODN6ucPYWbxoLsX1rQvJGCGAV6TOEenIeykDlOND3A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IFERROR(__xludf.DUMMYFUNCTION("""COMPUTED_VALUE"""),"ClearPrefetchFilters")</f>
        <v>ClearPrefetchFilters</v>
      </c>
      <c r="C304" t="str">
        <f ca="1">IFERROR(__xludf.DUMMYFUNCTION("""COMPUTED_VALUE"""),"Undefined")</f>
        <v>Undefined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IFERROR(__xludf.DUMMYFUNCTION("""COMPUTED_VALUE"""),"ExpandCollapseAllUnallocated")</f>
        <v>ExpandCollapseAllUnallocated</v>
      </c>
      <c r="C305" t="str">
        <f ca="1">IFERROR(__xludf.DUMMYFUNCTION("""COMPUTED_VALUE"""),"13vYOn1vp7ZLlp6ZEZA8Kn_yTUR7Q5ZSQfYP4k2NK3Mc")</f>
        <v>13vYOn1vp7ZLlp6ZEZA8Kn_yTUR7Q5ZSQfYP4k2NK3Mc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IFERROR(__xludf.DUMMYFUNCTION("""COMPUTED_VALUE"""),"ExpandCollapseAllAllocated")</f>
        <v>ExpandCollapseAllAllocated</v>
      </c>
      <c r="C306" t="str">
        <f ca="1">IFERROR(__xludf.DUMMYFUNCTION("""COMPUTED_VALUE"""),"1Yf-1PQsF8BXP-8l51qBj-t3VUktFVDtpeBc9m2usM_0")</f>
        <v>1Yf-1PQsF8BXP-8l51qBj-t3VUktFVDtpeBc9m2usM_0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IFERROR(__xludf.DUMMYFUNCTION("""COMPUTED_VALUE"""),"GenerateCashTransaction")</f>
        <v>GenerateCashTransaction</v>
      </c>
      <c r="C307" t="str">
        <f ca="1">IFERROR(__xludf.DUMMYFUNCTION("""COMPUTED_VALUE"""),"1KOvj3Mc_p9Dobx8L9x1S-2V0RfTN9eoQyG_29ny5eMA")</f>
        <v>1KOvj3Mc_p9Dobx8L9x1S-2V0RfTN9eoQyG_29ny5eMA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IFERROR(__xludf.DUMMYFUNCTION("""COMPUTED_VALUE"""),"SaveAllocation")</f>
        <v>SaveAllocation</v>
      </c>
      <c r="C308" t="str">
        <f ca="1">IFERROR(__xludf.DUMMYFUNCTION("""COMPUTED_VALUE"""),"Undefined")</f>
        <v>Undefined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IFERROR(__xludf.DUMMYFUNCTION("""COMPUTED_VALUE"""),"UnallocateWithOutSave")</f>
        <v>UnallocateWithOutSave</v>
      </c>
      <c r="C309" t="str">
        <f ca="1">IFERROR(__xludf.DUMMYFUNCTION("""COMPUTED_VALUE"""),"19cVarbOuQNlg9tbxHuhn3wzrl0Dl0aQ74q1jmyomP4g")</f>
        <v>19cVarbOuQNlg9tbxHuhn3wzrl0Dl0aQ74q1jmyomP4g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IFERROR(__xludf.DUMMYFUNCTION("""COMPUTED_VALUE"""),"TradeServer")</f>
        <v>TradeServer</v>
      </c>
      <c r="B310" t="str">
        <f ca="1">IFERROR(__xludf.DUMMYFUNCTION("""COMPUTED_VALUE"""),"UpdateServerConfig")</f>
        <v>UpdateServerConfig</v>
      </c>
      <c r="C310" t="str">
        <f ca="1">IFERROR(__xludf.DUMMYFUNCTION("""COMPUTED_VALUE"""),"1ntguYqi1K2vWfsTRW2CtSm4KINPmjFS_eOvtKxY85ZQ")</f>
        <v>1ntguYqi1K2vWfsTRW2CtSm4KINPmjFS_eOvtKxY85ZQ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IFERROR(__xludf.DUMMYFUNCTION("""COMPUTED_VALUE"""),"PricingServer")</f>
        <v>PricingServer</v>
      </c>
      <c r="B311" t="str">
        <f ca="1">IFERROR(__xludf.DUMMYFUNCTION("""COMPUTED_VALUE"""),"UpdatePricingConfig")</f>
        <v>UpdatePricingConfig</v>
      </c>
      <c r="C311" t="str">
        <f ca="1">IFERROR(__xludf.DUMMYFUNCTION("""COMPUTED_VALUE"""),"1-2O1thHoOe8Jm1Wv3Fb4tCm4pWcUbZihcfSvem_Boyg")</f>
        <v>1-2O1thHoOe8Jm1Wv3Fb4tCm4pWcUbZihcfSvem_Boyg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IFERROR(__xludf.DUMMYFUNCTION("""COMPUTED_VALUE"""),"Expnl")</f>
        <v>Expnl</v>
      </c>
      <c r="B312" t="str">
        <f ca="1">IFERROR(__xludf.DUMMYFUNCTION("""COMPUTED_VALUE"""),"UpdateExpnlConfig")</f>
        <v>UpdateExpnlConfig</v>
      </c>
      <c r="C312" t="str">
        <f ca="1">IFERROR(__xludf.DUMMYFUNCTION("""COMPUTED_VALUE"""),"1ZV-NcVGXqPhAJDn1HEBrg0nS-ePPBIhT2PqF_bzjjbI")</f>
        <v>1ZV-NcVGXqPhAJDn1HEBrg0nS-ePPBIhT2PqF_bzjjbI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IFERROR(__xludf.DUMMYFUNCTION("""COMPUTED_VALUE"""),"PranaClient")</f>
        <v>PranaClient</v>
      </c>
      <c r="B313" t="str">
        <f ca="1">IFERROR(__xludf.DUMMYFUNCTION("""COMPUTED_VALUE"""),"UpdateClientConfig")</f>
        <v>UpdateClientConfig</v>
      </c>
      <c r="C313" t="str">
        <f ca="1">IFERROR(__xludf.DUMMYFUNCTION("""COMPUTED_VALUE"""),"1frY1LhLHMBPkCYhsVVAsBHFT2rlJyiEXFkSkzxH1Gds")</f>
        <v>1frY1LhLHMBPkCYhsVVAsBHFT2rlJyiEXFkSkzxH1Gds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IFERROR(__xludf.DUMMYFUNCTION("""COMPUTED_VALUE"""),"PortfolioManagement")</f>
        <v>PortfolioManagement</v>
      </c>
      <c r="B314" t="str">
        <f ca="1">IFERROR(__xludf.DUMMYFUNCTION("""COMPUTED_VALUE"""),"OpenCreateTransactionFromPM")</f>
        <v>OpenCreateTransactionFromPM</v>
      </c>
      <c r="C314" t="str">
        <f ca="1">IFERROR(__xludf.DUMMYFUNCTION("""COMPUTED_VALUE"""),"Undefined")</f>
        <v>Undefined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IFERROR(__xludf.DUMMYFUNCTION("""COMPUTED_VALUE"""),"PortfolioManagement")</f>
        <v>PortfolioManagement</v>
      </c>
      <c r="B315" t="str">
        <f ca="1">IFERROR(__xludf.DUMMYFUNCTION("""COMPUTED_VALUE"""),"OpenClosingFromPM")</f>
        <v>OpenClosingFromPM</v>
      </c>
      <c r="C315" t="str">
        <f ca="1">IFERROR(__xludf.DUMMYFUNCTION("""COMPUTED_VALUE"""),"Undefined")</f>
        <v>Undefined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IFERROR(__xludf.DUMMYFUNCTION("""COMPUTED_VALUE"""),"OpenCorporateActionFromPM")</f>
        <v>OpenCorporateActionFromPM</v>
      </c>
      <c r="C316" t="str">
        <f ca="1">IFERROR(__xludf.DUMMYFUNCTION("""COMPUTED_VALUE"""),"Undefined")</f>
        <v>Undefined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IFERROR(__xludf.DUMMYFUNCTION("""COMPUTED_VALUE"""),"OpenDailyValuationFromPM")</f>
        <v>OpenDailyValuationFromPM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IFERROR(__xludf.DUMMYFUNCTION("""COMPUTED_VALUE"""),"ClosePositionFromPM")</f>
        <v>ClosePositionFromPM</v>
      </c>
      <c r="C318" t="str">
        <f ca="1">IFERROR(__xludf.DUMMYFUNCTION("""COMPUTED_VALUE"""),"1hwn8YF0CJ2vMWiEWuMugnRzYhgCmVscoVCcOJ02qeec")</f>
        <v>1hwn8YF0CJ2vMWiEWuMugnRzYhgCmVscoVCcOJ02qeec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IFERROR(__xludf.DUMMYFUNCTION("""COMPUTED_VALUE"""),"ShowSummaryToolFromPM")</f>
        <v>ShowSummaryToolFromPM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IFERROR(__xludf.DUMMYFUNCTION("""COMPUTED_VALUE"""),"HideSummaryToolFromPM")</f>
        <v>HideSummaryToolFromPM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IFERROR(__xludf.DUMMYFUNCTION("""COMPUTED_VALUE"""),"CloseAccountPositionFromPM")</f>
        <v>CloseAccountPositionFromPM</v>
      </c>
      <c r="C321" t="str">
        <f ca="1">IFERROR(__xludf.DUMMYFUNCTION("""COMPUTED_VALUE"""),"16e4g-RAoYjoWitnDJ9y3fFYf3SAe4_CsF6ky1sSABkc")</f>
        <v>16e4g-RAoYjoWitnDJ9y3fFYf3SAe4_CsF6ky1sSABkc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IFERROR(__xludf.DUMMYFUNCTION("""COMPUTED_VALUE"""),"CloseSelectedTaxlotsFromPM")</f>
        <v>CloseSelectedTaxlotsFromPM</v>
      </c>
      <c r="C322" t="str">
        <f ca="1">IFERROR(__xludf.DUMMYFUNCTION("""COMPUTED_VALUE"""),"1hAoKGRhAfXB8jHJT_UcDFw8-xg_dAOnRuzX6lewOyc4")</f>
        <v>1hAoKGRhAfXB8jHJT_UcDFw8-xg_dAOnRuzX6lewOyc4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IFERROR(__xludf.DUMMYFUNCTION("""COMPUTED_VALUE"""),"ExpandCollapsePM")</f>
        <v>ExpandCollapsePM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IFERROR(__xludf.DUMMYFUNCTION("""COMPUTED_VALUE"""),"AddCustomViewPM")</f>
        <v>AddCustomViewPM</v>
      </c>
      <c r="C324" t="str">
        <f ca="1">IFERROR(__xludf.DUMMYFUNCTION("""COMPUTED_VALUE"""),"1gSE_3bNggHmnsbG6fS9t4pXwl5etTuSELL1JWFBMCMo")</f>
        <v>1gSE_3bNggHmnsbG6fS9t4pXwl5etTuSELL1JWFBMCMo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IFERROR(__xludf.DUMMYFUNCTION("""COMPUTED_VALUE"""),"AddCustomViewRightClickPM")</f>
        <v>AddCustomViewRightClickPM</v>
      </c>
      <c r="C325" t="str">
        <f ca="1">IFERROR(__xludf.DUMMYFUNCTION("""COMPUTED_VALUE"""),"1mVIjr7WiCUI_8T1Nu9kLLd9RyRky8B0dpiVPi39wPsQ")</f>
        <v>1mVIjr7WiCUI_8T1Nu9kLLd9RyRky8B0dpiVPi39wPsQ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IFERROR(__xludf.DUMMYFUNCTION("""COMPUTED_VALUE"""),"RenameCustomViewPM")</f>
        <v>RenameCustomViewPM</v>
      </c>
      <c r="C326" t="str">
        <f ca="1">IFERROR(__xludf.DUMMYFUNCTION("""COMPUTED_VALUE"""),"1SPVn3fs4LD-sB1fNGx0hjylZj_EPXAuPw12tQSsykLE")</f>
        <v>1SPVn3fs4LD-sB1fNGx0hjylZj_EPXAuPw12tQSsykLE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IFERROR(__xludf.DUMMYFUNCTION("""COMPUTED_VALUE"""),"DeleteCustomViewPM")</f>
        <v>DeleteCustomViewPM</v>
      </c>
      <c r="C327" t="str">
        <f ca="1">IFERROR(__xludf.DUMMYFUNCTION("""COMPUTED_VALUE"""),"1EvRy_aXh9WrXyZvrkdk38cDpdJw5quK_eZf3ga9Uq-0")</f>
        <v>1EvRy_aXh9WrXyZvrkdk38cDpdJw5quK_eZf3ga9Uq-0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IFERROR(__xludf.DUMMYFUNCTION("""COMPUTED_VALUE"""),"Closing")</f>
        <v>Closing</v>
      </c>
      <c r="B328" t="str">
        <f ca="1">IFERROR(__xludf.DUMMYFUNCTION("""COMPUTED_VALUE"""),"SetClosingPreference")</f>
        <v>SetClosingPreference</v>
      </c>
      <c r="C328" t="str">
        <f ca="1">IFERROR(__xludf.DUMMYFUNCTION("""COMPUTED_VALUE"""),"1pC4k61XEpSu9UFhSg1vDsoE5sNKd6oFM8IQAnmCT3IA")</f>
        <v>1pC4k61XEpSu9UFhSg1vDsoE5sNKd6oFM8IQAnmCT3IA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IFERROR(__xludf.DUMMYFUNCTION("""COMPUTED_VALUE"""),"CreateTransaction")</f>
        <v>CreateTransaction</v>
      </c>
      <c r="B329" t="str">
        <f ca="1">IFERROR(__xludf.DUMMYFUNCTION("""COMPUTED_VALUE"""),"SaveTransaction")</f>
        <v>SaveTransaction</v>
      </c>
      <c r="C329" t="str">
        <f ca="1">IFERROR(__xludf.DUMMYFUNCTION("""COMPUTED_VALUE"""),"Undefined")</f>
        <v>Undefined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IFERROR(__xludf.DUMMYFUNCTION("""COMPUTED_VALUE"""),"Allocation")</f>
        <v>Allocation</v>
      </c>
      <c r="B330" t="str">
        <f ca="1">IFERROR(__xludf.DUMMYFUNCTION("""COMPUTED_VALUE"""),"EditUnallocatedGrid")</f>
        <v>EditUnallocatedGrid</v>
      </c>
      <c r="C330" t="str">
        <f ca="1">IFERROR(__xludf.DUMMYFUNCTION("""COMPUTED_VALUE"""),"1r-jMuudozlz8r2zrwJ2PjOPCk616iGWZcBg4_ad6oSg")</f>
        <v>1r-jMuudozlz8r2zrwJ2PjOPCk616iGWZcBg4_ad6oSg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IFERROR(__xludf.DUMMYFUNCTION("""COMPUTED_VALUE"""),"EditAllocatedGrid")</f>
        <v>EditAllocatedGrid</v>
      </c>
      <c r="C331" t="str">
        <f ca="1">IFERROR(__xludf.DUMMYFUNCTION("""COMPUTED_VALUE"""),"1jrQw598shWWXw6ZjU8Px2JuS2qONwaexZdAGHbU5sdM")</f>
        <v>1jrQw598shWWXw6ZjU8Px2JuS2qONwaexZdAGHbU5sdM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IFERROR(__xludf.DUMMYFUNCTION("""COMPUTED_VALUE"""),"PTT")</f>
        <v>PTT</v>
      </c>
      <c r="B332" t="str">
        <f ca="1">IFERROR(__xludf.DUMMYFUNCTION("""COMPUTED_VALUE"""),"SetPTTPreference")</f>
        <v>SetPTTPreference</v>
      </c>
      <c r="C332" t="str">
        <f ca="1">IFERROR(__xludf.DUMMYFUNCTION("""COMPUTED_VALUE"""),"1EDJvzKHMHo1Dv3IYf4bbQ2XiEIL8o1Wsf4PwuQirIEM")</f>
        <v>1EDJvzKHMHo1Dv3IYf4bbQ2XiEIL8o1Wsf4PwuQirIEM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IFERROR(__xludf.DUMMYFUNCTION("""COMPUTED_VALUE"""),"PTT")</f>
        <v>PTT</v>
      </c>
      <c r="B333" t="str">
        <f ca="1">IFERROR(__xludf.DUMMYFUNCTION("""COMPUTED_VALUE"""),"SetLongShortPTTPreference")</f>
        <v>SetLongShortPTTPreference</v>
      </c>
      <c r="C333" t="str">
        <f ca="1">IFERROR(__xludf.DUMMYFUNCTION("""COMPUTED_VALUE"""),"1VRK3w9-AlLx6tene3e2MfXjazMUBDHk-xx5pfFTsprs")</f>
        <v>1VRK3w9-AlLx6tene3e2MfXjazMUBDHk-xx5pfFTsprs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IFERROR(__xludf.DUMMYFUNCTION("""COMPUTED_VALUE"""),"TradingTicket")</f>
        <v>TradingTicket</v>
      </c>
      <c r="B334" t="str">
        <f ca="1">IFERROR(__xludf.DUMMYFUNCTION("""COMPUTED_VALUE"""),"VerifyTT")</f>
        <v>VerifyTT</v>
      </c>
      <c r="C334" t="str">
        <f ca="1">IFERROR(__xludf.DUMMYFUNCTION("""COMPUTED_VALUE"""),"1Y-B9aR4y4vzlZUqWLoxW-jKdnha_AYEBG-4WGQ_19hk")</f>
        <v>1Y-B9aR4y4vzlZUqWLoxW-jKdnha_AYEBG-4WGQ_19hk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IFERROR(__xludf.DUMMYFUNCTION("""COMPUTED_VALUE"""),"Allocation")</f>
        <v>Allocation</v>
      </c>
      <c r="B335" t="str">
        <f ca="1">IFERROR(__xludf.DUMMYFUNCTION("""COMPUTED_VALUE"""),"SaveLayoutAllocatedGrid")</f>
        <v>SaveLayoutAllocatedGrid</v>
      </c>
      <c r="C335" t="str">
        <f ca="1">IFERROR(__xludf.DUMMYFUNCTION("""COMPUTED_VALUE"""),"1Kwn0Qzs9hDRfphqulV-JqNQiiCzjrOEwF0oAX3LbYDc")</f>
        <v>1Kwn0Qzs9hDRfphqulV-JqNQiiCzjrOEwF0oAX3LbYDc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IFERROR(__xludf.DUMMYFUNCTION("""COMPUTED_VALUE"""),"SaveLayoutUnallocatedGrid")</f>
        <v>SaveLayoutUnallocatedGrid</v>
      </c>
      <c r="C336" t="str">
        <f ca="1">IFERROR(__xludf.DUMMYFUNCTION("""COMPUTED_VALUE"""),"1tRj8lXNex06fWnQVGrX5I5OPI78adr3XFcJK1h8rIHg")</f>
        <v>1tRj8lXNex06fWnQVGrX5I5OPI78adr3XFcJK1h8rIHg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IFERROR(__xludf.DUMMYFUNCTION("""COMPUTED_VALUE"""),"SaveLayoutAllocationUI")</f>
        <v>SaveLayoutAllocationUI</v>
      </c>
      <c r="C337" t="str">
        <f ca="1">IFERROR(__xludf.DUMMYFUNCTION("""COMPUTED_VALUE"""),"1-HJfPPk4JKRUN4RTdsb-f3wQPOfEmuaW1ze0BpTGTUo")</f>
        <v>1-HJfPPk4JKRUN4RTdsb-f3wQPOfEmuaW1ze0BpTGTUo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IFERROR(__xludf.DUMMYFUNCTION("""COMPUTED_VALUE"""),"ClearFiltersAllocatedGrid")</f>
        <v>ClearFiltersAllocatedGrid</v>
      </c>
      <c r="C338" t="str">
        <f ca="1">IFERROR(__xludf.DUMMYFUNCTION("""COMPUTED_VALUE"""),"Undefined")</f>
        <v>Undefined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IFERROR(__xludf.DUMMYFUNCTION("""COMPUTED_VALUE"""),"ClearFiltersUnallocatedGrid")</f>
        <v>ClearFiltersUnallocatedGrid</v>
      </c>
      <c r="C339" t="str">
        <f ca="1">IFERROR(__xludf.DUMMYFUNCTION("""COMPUTED_VALUE"""),"Undefined")</f>
        <v>Undefined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IFERROR(__xludf.DUMMYFUNCTION("""COMPUTED_VALUE"""),"VerifyLayoutAllocatedGrid")</f>
        <v>VerifyLayoutAllocatedGrid</v>
      </c>
      <c r="C340" t="str">
        <f ca="1">IFERROR(__xludf.DUMMYFUNCTION("""COMPUTED_VALUE"""),"14Tygy0EYVLe0QC_N08Tfbzy9GPatKGdeJDzdn55gASw")</f>
        <v>14Tygy0EYVLe0QC_N08Tfbzy9GPatKGdeJDzdn55gASw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IFERROR(__xludf.DUMMYFUNCTION("""COMPUTED_VALUE"""),"VerifyLayoutUnallocatedGrid")</f>
        <v>VerifyLayoutUnallocatedGrid</v>
      </c>
      <c r="C341" t="str">
        <f ca="1">IFERROR(__xludf.DUMMYFUNCTION("""COMPUTED_VALUE"""),"1pycFZUjkr7vdJD6eubKHogcFpDbgMUN3smIZ8Rm_yco")</f>
        <v>1pycFZUjkr7vdJD6eubKHogcFpDbgMUN3smIZ8Rm_yco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IFERROR(__xludf.DUMMYFUNCTION("""COMPUTED_VALUE"""),"DailyValuation")</f>
        <v>DailyValuation</v>
      </c>
      <c r="B342" t="str">
        <f ca="1">IFERROR(__xludf.DUMMYFUNCTION("""COMPUTED_VALUE"""),"UpdateForexConversionMonthly")</f>
        <v>UpdateForexConversionMonthly</v>
      </c>
      <c r="C342" t="str">
        <f ca="1">IFERROR(__xludf.DUMMYFUNCTION("""COMPUTED_VALUE"""),"1HpQVbf8W4GajTSIC8kGF1tH3WnFo6pK6B7uke36ir2A")</f>
        <v>1HpQVbf8W4GajTSIC8kGF1tH3WnFo6pK6B7uke36ir2A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IFERROR(__xludf.DUMMYFUNCTION("""COMPUTED_VALUE"""),"GeneralLedger")</f>
        <v>GeneralLedger</v>
      </c>
      <c r="B343" t="str">
        <f ca="1">IFERROR(__xludf.DUMMYFUNCTION("""COMPUTED_VALUE"""),"SaveTransaction")</f>
        <v>SaveTransaction</v>
      </c>
      <c r="C343" t="str">
        <f ca="1">IFERROR(__xludf.DUMMYFUNCTION("""COMPUTED_VALUE"""),"Undefined")</f>
        <v>Undefined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IFERROR(__xludf.DUMMYFUNCTION("""COMPUTED_VALUE"""),"UpdateMarkPriceMonthly")</f>
        <v>UpdateMarkPriceMonthly</v>
      </c>
      <c r="C344" t="str">
        <f ca="1">IFERROR(__xludf.DUMMYFUNCTION("""COMPUTED_VALUE"""),"1LZNbFC1PnuaPrnBTiS7cPn77JWS5KamtO5NC0K2w_4U")</f>
        <v>1LZNbFC1PnuaPrnBTiS7cPn77JWS5KamtO5NC0K2w_4U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IFERROR(__xludf.DUMMYFUNCTION("""COMPUTED_VALUE"""),"Allocation")</f>
        <v>Allocation</v>
      </c>
      <c r="B345" t="str">
        <f ca="1">IFERROR(__xludf.DUMMYFUNCTION("""COMPUTED_VALUE"""),"CleanUp")</f>
        <v>CleanUp</v>
      </c>
      <c r="C345" t="str">
        <f ca="1">IFERROR(__xludf.DUMMYFUNCTION("""COMPUTED_VALUE"""),"1AhEe6J2rslqa3BzEP_7UvQ7jPy4A-eMiqZrnKYFwzsA")</f>
        <v>1AhEe6J2rslqa3BzEP_7UvQ7jPy4A-eMiqZrnKYFwzsA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IFERROR(__xludf.DUMMYFUNCTION("""COMPUTED_VALUE"""),"CheckAllocatedTaxlots")</f>
        <v>CheckAllocatedTaxlots</v>
      </c>
      <c r="C346" t="str">
        <f ca="1">IFERROR(__xludf.DUMMYFUNCTION("""COMPUTED_VALUE"""),"10sowRLCM7YJ-Xy92okzSPlfXQ3p_gxUmmlK1pmugO1w")</f>
        <v>10sowRLCM7YJ-Xy92okzSPlfXQ3p_gxUmmlK1pmugO1w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IFERROR(__xludf.DUMMYFUNCTION("""COMPUTED_VALUE"""),"Closing")</f>
        <v>Closing</v>
      </c>
      <c r="B347" t="str">
        <f ca="1">IFERROR(__xludf.DUMMYFUNCTION("""COMPUTED_VALUE"""),"EditTradeUnexpiredUnsettled")</f>
        <v>EditTradeUnexpiredUnsettled</v>
      </c>
      <c r="C347" t="str">
        <f ca="1">IFERROR(__xludf.DUMMYFUNCTION("""COMPUTED_VALUE"""),"1LTux-Q7oooaqTo92O02j7zzAAWt68sxzlbqHEjlsOHQ")</f>
        <v>1LTux-Q7oooaqTo92O02j7zzAAWt68sxzlbqHEjlsOHQ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IFERROR(__xludf.DUMMYFUNCTION("""COMPUTED_VALUE"""),"ThirdParty")</f>
        <v>ThirdParty</v>
      </c>
      <c r="B348" t="str">
        <f ca="1">IFERROR(__xludf.DUMMYFUNCTION("""COMPUTED_VALUE"""),"ThirdPartyWork")</f>
        <v>ThirdPartyWork</v>
      </c>
      <c r="C348" t="str">
        <f ca="1">IFERROR(__xludf.DUMMYFUNCTION("""COMPUTED_VALUE"""),"Undefined")</f>
        <v>Undefined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IFERROR(__xludf.DUMMYFUNCTION("""COMPUTED_VALUE"""),"Automation")</f>
        <v>Automation</v>
      </c>
      <c r="C349" t="str">
        <f ca="1">IFERROR(__xludf.DUMMYFUNCTION("""COMPUTED_VALUE"""),"Undefined")</f>
        <v>Undefined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IFERROR(__xludf.DUMMYFUNCTION("""COMPUTED_VALUE"""),"ThirdPartyManagerFunction")</f>
        <v>ThirdPartyManagerFunction</v>
      </c>
      <c r="C350" t="str">
        <f ca="1">IFERROR(__xludf.DUMMYFUNCTION("""COMPUTED_VALUE"""),"undefined")</f>
        <v>undefined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IFERROR(__xludf.DUMMYFUNCTION("""COMPUTED_VALUE"""),"OpeningManager")</f>
        <v>OpeningManager</v>
      </c>
      <c r="C351" t="str">
        <f ca="1">IFERROR(__xludf.DUMMYFUNCTION("""COMPUTED_VALUE"""),"1YCm89wwcph1NRIicF83TaZHNjokNj6631tskVX_-Uqc")</f>
        <v>1YCm89wwcph1NRIicF83TaZHNjokNj6631tskVX_-Uqc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IFERROR(__xludf.DUMMYFUNCTION("""COMPUTED_VALUE"""),"ThirdParty")</f>
        <v>ThirdParty</v>
      </c>
      <c r="B352" t="str">
        <f ca="1">IFERROR(__xludf.DUMMYFUNCTION("""COMPUTED_VALUE"""),"SelectFromThirdPartyGrid")</f>
        <v>SelectFromThirdPartyGrid</v>
      </c>
      <c r="C352" t="str">
        <f ca="1">IFERROR(__xludf.DUMMYFUNCTION("""COMPUTED_VALUE"""),"1WwDby9zimBWnZSEvIx2bNZ44YUQXeG_P96xFNYays6c")</f>
        <v>1WwDby9zimBWnZSEvIx2bNZ44YUQXeG_P96xFNYays6c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IFERROR(__xludf.DUMMYFUNCTION("""COMPUTED_VALUE"""),"ThirdParty")</f>
        <v>ThirdParty</v>
      </c>
      <c r="B353" t="str">
        <f ca="1">IFERROR(__xludf.DUMMYFUNCTION("""COMPUTED_VALUE"""),"SendThirdPartyData")</f>
        <v>SendThirdPartyData</v>
      </c>
      <c r="C353" t="str">
        <f ca="1">IFERROR(__xludf.DUMMYFUNCTION("""COMPUTED_VALUE"""),"1CkawRz9O3eZDLTDD3IFjm-mQsQDTWspGsHAzTCZZmj4")</f>
        <v>1CkawRz9O3eZDLTDD3IFjm-mQsQDTWspGsHAzTCZZmj4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IFERROR(__xludf.DUMMYFUNCTION("""COMPUTED_VALUE"""),"ThirdParty")</f>
        <v>ThirdParty</v>
      </c>
      <c r="B354" t="str">
        <f ca="1">IFERROR(__xludf.DUMMYFUNCTION("""COMPUTED_VALUE"""),"VerifyThirdPartyView")</f>
        <v>VerifyThirdPartyView</v>
      </c>
      <c r="C354" t="str">
        <f ca="1">IFERROR(__xludf.DUMMYFUNCTION("""COMPUTED_VALUE"""),"1528uWSs4BLAXxKK6sUCy-XWIPP8V8Ki2KRvJs0jv9s8")</f>
        <v>1528uWSs4BLAXxKK6sUCy-XWIPP8V8Ki2KRvJs0jv9s8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IFERROR(__xludf.DUMMYFUNCTION("""COMPUTED_VALUE"""),"ThirdParty")</f>
        <v>ThirdParty</v>
      </c>
      <c r="B355" t="str">
        <f ca="1">IFERROR(__xludf.DUMMYFUNCTION("""COMPUTED_VALUE"""),"ViewAllThirdParty")</f>
        <v>ViewAllThirdParty</v>
      </c>
      <c r="C355" t="str">
        <f ca="1">IFERROR(__xludf.DUMMYFUNCTION("""COMPUTED_VALUE"""),"1DWiVq0oEQcBMo9BlB0eNB2gGWybIs_aBbbplwi52XD0")</f>
        <v>1DWiVq0oEQcBMo9BlB0eNB2gGWybIs_aBbbplwi52XD0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IFERROR(__xludf.DUMMYFUNCTION("""COMPUTED_VALUE"""),"ThirdParty")</f>
        <v>ThirdParty</v>
      </c>
      <c r="B356" t="str">
        <f ca="1">IFERROR(__xludf.DUMMYFUNCTION("""COMPUTED_VALUE"""),"VerifyThirdPartyGenerate")</f>
        <v>VerifyThirdPartyGenerate</v>
      </c>
      <c r="C356" t="str">
        <f ca="1">IFERROR(__xludf.DUMMYFUNCTION("""COMPUTED_VALUE"""),"1dtpOLGKF_e9DirGphaW178YiwcZeN2gJLTC8SOTHt_s")</f>
        <v>1dtpOLGKF_e9DirGphaW178YiwcZeN2gJLTC8SOTHt_s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IFERROR(__xludf.DUMMYFUNCTION("""COMPUTED_VALUE"""),"ThirdParty")</f>
        <v>ThirdParty</v>
      </c>
      <c r="B357" t="str">
        <f ca="1">IFERROR(__xludf.DUMMYFUNCTION("""COMPUTED_VALUE"""),"VerifyThirdPartySend")</f>
        <v>VerifyThirdPartySend</v>
      </c>
      <c r="C357" t="str">
        <f ca="1">IFERROR(__xludf.DUMMYFUNCTION("""COMPUTED_VALUE"""),"1oDj2kdyhy-C3O23_V41d-eRnBw9HwgfQ6oFUoabzrmo")</f>
        <v>1oDj2kdyhy-C3O23_V41d-eRnBw9HwgfQ6oFUoabzrmo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IFERROR(__xludf.DUMMYFUNCTION("""COMPUTED_VALUE"""),"ThirdParty")</f>
        <v>ThirdParty</v>
      </c>
      <c r="B358" t="str">
        <f ca="1">IFERROR(__xludf.DUMMYFUNCTION("""COMPUTED_VALUE"""),"SelectThirdPartyData")</f>
        <v>SelectThirdPartyData</v>
      </c>
      <c r="C358" t="str">
        <f ca="1">IFERROR(__xludf.DUMMYFUNCTION("""COMPUTED_VALUE"""),"10-k4rDTB5lEHUF88IcYPoyEagaa6DTnjiba3Tn00stU")</f>
        <v>10-k4rDTB5lEHUF88IcYPoyEagaa6DTnjiba3Tn00stU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IFERROR(__xludf.DUMMYFUNCTION("""COMPUTED_VALUE"""),"VerifyAccountDivisorWindow")</f>
        <v>VerifyAccountDivisorWindow</v>
      </c>
      <c r="C359" t="str">
        <f ca="1">IFERROR(__xludf.DUMMYFUNCTION("""COMPUTED_VALUE"""),"1SmEw6tAQywBZwVKCZlLwdMyj2schxBA_5VA05LxEkoM")</f>
        <v>1SmEw6tAQywBZwVKCZlLwdMyj2schxBA_5VA05LxEkoM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IFERROR(__xludf.DUMMYFUNCTION("""COMPUTED_VALUE"""),"VerifyAccountNavPreferenceWindow")</f>
        <v>VerifyAccountNavPreferenceWindow</v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IFERROR(__xludf.DUMMYFUNCTION("""COMPUTED_VALUE"""),"VerifyAccountDivisorWindow")</f>
        <v>VerifyAccountDivisorWindow</v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IFERROR(__xludf.DUMMYFUNCTION("""COMPUTED_VALUE"""),"ThirdParty")</f>
        <v>ThirdParty</v>
      </c>
      <c r="B362" t="str">
        <f ca="1">IFERROR(__xludf.DUMMYFUNCTION("""COMPUTED_VALUE"""),"SelectThirdParty")</f>
        <v>SelectThirdParty</v>
      </c>
      <c r="C362" t="str">
        <f ca="1">IFERROR(__xludf.DUMMYFUNCTION("""COMPUTED_VALUE"""),"1k4lHaJJ_9NsJZ0FSNDDU_6f4jnaGdFRgIJnbFwRLohU")</f>
        <v>1k4lHaJJ_9NsJZ0FSNDDU_6f4jnaGdFRgIJnbFwRLohU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IFERROR(__xludf.DUMMYFUNCTION("""COMPUTED_VALUE"""),"ThirdParty")</f>
        <v>ThirdParty</v>
      </c>
      <c r="B363" t="str">
        <f ca="1">IFERROR(__xludf.DUMMYFUNCTION("""COMPUTED_VALUE"""),"ViewThirdParty")</f>
        <v>ViewThirdParty</v>
      </c>
      <c r="C363" t="str">
        <f ca="1">IFERROR(__xludf.DUMMYFUNCTION("""COMPUTED_VALUE"""),"1F_BXcQL-UOYNmtCgE2FRSzTxqoMMKNIV-clJRsPLe1s")</f>
        <v>1F_BXcQL-UOYNmtCgE2FRSzTxqoMMKNIV-clJRsPLe1s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IFERROR(__xludf.DUMMYFUNCTION("""COMPUTED_VALUE"""),"ThirdParty")</f>
        <v>ThirdParty</v>
      </c>
      <c r="B364" t="str">
        <f ca="1">IFERROR(__xludf.DUMMYFUNCTION("""COMPUTED_VALUE"""),"GenerateThirdPartyData")</f>
        <v>GenerateThirdPartyData</v>
      </c>
      <c r="C364" t="str">
        <f ca="1">IFERROR(__xludf.DUMMYFUNCTION("""COMPUTED_VALUE"""),"1jO2sEi9fgfj6h9R95yhsETkryLMSfEkw-vbND7WNKY8")</f>
        <v>1jO2sEi9fgfj6h9R95yhsETkryLMSfEkw-vbND7WNKY8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IFERROR(__xludf.DUMMYFUNCTION("""COMPUTED_VALUE"""),"ThirdParty")</f>
        <v>ThirdParty</v>
      </c>
      <c r="B365" t="str">
        <f ca="1">IFERROR(__xludf.DUMMYFUNCTION("""COMPUTED_VALUE"""),"ThirdPartyGenerate")</f>
        <v>ThirdPartyGenerate</v>
      </c>
      <c r="C365" t="str">
        <f ca="1">IFERROR(__xludf.DUMMYFUNCTION("""COMPUTED_VALUE"""),"1puok3lGCTJkc7JrWkRgGfOSPIdh4ZDhQ6wjL8ymHgHE")</f>
        <v>1puok3lGCTJkc7JrWkRgGfOSPIdh4ZDhQ6wjL8ymHgHE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IFERROR(__xludf.DUMMYFUNCTION("""COMPUTED_VALUE"""),"Admin")</f>
        <v>Admin</v>
      </c>
      <c r="B366" t="str">
        <f ca="1">IFERROR(__xludf.DUMMYFUNCTION("""COMPUTED_VALUE"""),"SetRollover")</f>
        <v>SetRollover</v>
      </c>
      <c r="C366" t="str">
        <f ca="1">IFERROR(__xludf.DUMMYFUNCTION("""COMPUTED_VALUE"""),"1enrqJSoARlmScHFR8FFzCMjK0eft-_xCn0wQRtC5ZQ8")</f>
        <v>1enrqJSoARlmScHFR8FFzCMjK0eft-_xCn0wQRtC5ZQ8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IFERROR(__xludf.DUMMYFUNCTION("""COMPUTED_VALUE"""),"Blotter")</f>
        <v>Blotter</v>
      </c>
      <c r="B367" t="str">
        <f ca="1">IFERROR(__xludf.DUMMYFUNCTION("""COMPUTED_VALUE"""),"VerifyRollover")</f>
        <v>VerifyRollover</v>
      </c>
      <c r="C367" t="str">
        <f ca="1">IFERROR(__xludf.DUMMYFUNCTION("""COMPUTED_VALUE"""),"1tJyh5JL-64iQ-bl-RuMJOMs882_Zoag9NMKD3Z9YksY")</f>
        <v>1tJyh5JL-64iQ-bl-RuMJOMs882_Zoag9NMKD3Z9YksY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IFERROR(__xludf.DUMMYFUNCTION("""COMPUTED_VALUE"""),"PranaClient")</f>
        <v>PranaClient</v>
      </c>
      <c r="B368" t="str">
        <f ca="1">IFERROR(__xludf.DUMMYFUNCTION("""COMPUTED_VALUE"""),"RestartClient")</f>
        <v>RestartClient</v>
      </c>
      <c r="C368" t="str">
        <f ca="1">IFERROR(__xludf.DUMMYFUNCTION("""COMPUTED_VALUE"""),"1Bz82rxtbsfQ4tpuZ9syMjXr63Q8bfX_f24L8wLWkI_E")</f>
        <v>1Bz82rxtbsfQ4tpuZ9syMjXr63Q8bfX_f24L8wLWkI_E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/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70" t="s">
        <v>0</v>
      </c>
      <c r="B1" s="68"/>
      <c r="C1" s="69"/>
    </row>
    <row r="2" spans="1:3" ht="15.75" customHeight="1">
      <c r="A2" s="1"/>
      <c r="B2" s="1"/>
      <c r="C2" s="1"/>
    </row>
    <row r="3" spans="1:3" ht="15.75" customHeight="1">
      <c r="A3" s="3" t="s">
        <v>3</v>
      </c>
      <c r="B3" s="4" t="s">
        <v>5</v>
      </c>
      <c r="C3" s="1"/>
    </row>
    <row r="4" spans="1:3" ht="15.75" customHeight="1">
      <c r="A4" s="5" t="s">
        <v>6</v>
      </c>
      <c r="B4" s="4" t="s">
        <v>7</v>
      </c>
      <c r="C4" s="1"/>
    </row>
    <row r="5" spans="1:3" ht="15.75" customHeight="1">
      <c r="A5" s="7"/>
      <c r="B5" s="1"/>
      <c r="C5" s="1"/>
    </row>
    <row r="6" spans="1:3" ht="15.75" customHeight="1">
      <c r="A6" s="7"/>
      <c r="B6" s="1"/>
      <c r="C6" s="1"/>
    </row>
    <row r="7" spans="1:3" ht="15.75" customHeight="1">
      <c r="A7" s="7"/>
      <c r="B7" s="1"/>
      <c r="C7" s="1"/>
    </row>
    <row r="8" spans="1:3" ht="15.75" customHeight="1">
      <c r="A8" s="7"/>
      <c r="B8" s="1"/>
      <c r="C8" s="1"/>
    </row>
    <row r="9" spans="1:3" ht="15.75" customHeight="1">
      <c r="A9" s="7"/>
      <c r="B9" s="1"/>
      <c r="C9" s="1"/>
    </row>
    <row r="10" spans="1:3" ht="15.75" customHeight="1">
      <c r="A10" s="7"/>
      <c r="B10" s="1"/>
      <c r="C10" s="1"/>
    </row>
    <row r="11" spans="1:3" ht="15.75" customHeight="1">
      <c r="A11" s="7"/>
      <c r="B11" s="1"/>
      <c r="C11" s="1"/>
    </row>
    <row r="12" spans="1:3" ht="15.75" customHeight="1">
      <c r="A12" s="7"/>
      <c r="B12" s="1"/>
      <c r="C12" s="1"/>
    </row>
    <row r="13" spans="1:3" ht="15.75" customHeight="1">
      <c r="A13" s="7"/>
      <c r="B13" s="1"/>
      <c r="C13" s="1"/>
    </row>
    <row r="14" spans="1:3" ht="15.75" customHeight="1">
      <c r="A14" s="7"/>
      <c r="B14" s="1"/>
      <c r="C14" s="1"/>
    </row>
    <row r="15" spans="1:3" ht="15.75" customHeight="1">
      <c r="A15" s="7"/>
      <c r="B15" s="1"/>
      <c r="C15" s="1"/>
    </row>
    <row r="16" spans="1:3" ht="15.75" customHeight="1">
      <c r="A16" s="7"/>
      <c r="B16" s="1"/>
      <c r="C16" s="1"/>
    </row>
    <row r="17" spans="1:3" ht="15.75" customHeight="1">
      <c r="A17" s="7"/>
      <c r="B17" s="1"/>
      <c r="C17" s="1"/>
    </row>
    <row r="18" spans="1:3" ht="15.75" customHeight="1">
      <c r="A18" s="7"/>
      <c r="B18" s="1"/>
      <c r="C18" s="1"/>
    </row>
    <row r="19" spans="1:3" ht="15.75" customHeight="1">
      <c r="A19" s="7"/>
      <c r="B19" s="1"/>
      <c r="C19" s="1"/>
    </row>
    <row r="20" spans="1:3" ht="15.75" customHeight="1">
      <c r="A20" s="7"/>
      <c r="B20" s="1"/>
      <c r="C20" s="1"/>
    </row>
    <row r="21" spans="1:3" ht="15.75" customHeight="1">
      <c r="A21" s="7"/>
      <c r="B21" s="1"/>
      <c r="C21" s="1"/>
    </row>
    <row r="22" spans="1:3" ht="15.75" customHeight="1">
      <c r="A22" s="7"/>
      <c r="B22" s="1"/>
      <c r="C22" s="1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67" t="s">
        <v>1</v>
      </c>
      <c r="B1" s="68"/>
      <c r="C1" s="68"/>
      <c r="D1" s="68"/>
      <c r="E1" s="68"/>
      <c r="F1" s="69"/>
    </row>
    <row r="2" spans="1:26" ht="15" customHeight="1">
      <c r="A2" s="2"/>
      <c r="B2" s="2"/>
      <c r="C2" s="2"/>
      <c r="D2" s="2"/>
      <c r="E2" s="2"/>
      <c r="F2" s="2"/>
    </row>
    <row r="3" spans="1:26" ht="15" customHeight="1">
      <c r="A3" s="5" t="s">
        <v>8</v>
      </c>
      <c r="B3" s="9" t="s">
        <v>9</v>
      </c>
      <c r="C3" s="9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8</v>
      </c>
      <c r="C3" s="16" t="s">
        <v>12</v>
      </c>
      <c r="D3" s="3" t="s">
        <v>9</v>
      </c>
      <c r="E3" s="16" t="s">
        <v>15</v>
      </c>
      <c r="F3" s="3" t="s">
        <v>16</v>
      </c>
      <c r="G3" s="7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24" t="s">
        <v>18</v>
      </c>
      <c r="C6" s="26" t="s">
        <v>19</v>
      </c>
      <c r="D6" s="27">
        <v>100</v>
      </c>
      <c r="E6" s="28"/>
      <c r="F6" s="29" t="s">
        <v>20</v>
      </c>
      <c r="G6" s="1"/>
      <c r="H6" s="1"/>
      <c r="I6" s="1"/>
      <c r="J6" s="30">
        <v>6</v>
      </c>
      <c r="K6" s="1"/>
      <c r="L6" s="1"/>
      <c r="M6" s="1"/>
      <c r="N6" s="31">
        <f t="shared" ref="N6:N9" ca="1" si="0">TODAY()-1</f>
        <v>44411</v>
      </c>
      <c r="O6" s="30">
        <v>7.85</v>
      </c>
      <c r="R6" s="32" t="s">
        <v>21</v>
      </c>
      <c r="S6" s="30">
        <v>12</v>
      </c>
    </row>
    <row r="7" spans="1:154" ht="15.75" customHeight="1">
      <c r="A7" s="1"/>
      <c r="B7" s="26" t="s">
        <v>18</v>
      </c>
      <c r="C7" s="26" t="s">
        <v>22</v>
      </c>
      <c r="D7" s="30">
        <v>50</v>
      </c>
      <c r="E7" s="1"/>
      <c r="F7" s="29" t="s">
        <v>20</v>
      </c>
      <c r="G7" s="1"/>
      <c r="H7" s="1"/>
      <c r="I7" s="1"/>
      <c r="J7" s="30">
        <v>7</v>
      </c>
      <c r="K7" s="1"/>
      <c r="L7" s="1"/>
      <c r="M7" s="1"/>
      <c r="N7" s="33">
        <f t="shared" ca="1" si="0"/>
        <v>44411</v>
      </c>
      <c r="O7" s="30">
        <v>7.85</v>
      </c>
      <c r="R7" s="32" t="s">
        <v>21</v>
      </c>
      <c r="S7" s="30">
        <v>23</v>
      </c>
    </row>
    <row r="8" spans="1:154" ht="15.75" customHeight="1">
      <c r="A8" s="1"/>
      <c r="B8" s="26" t="s">
        <v>23</v>
      </c>
      <c r="C8" s="26" t="s">
        <v>24</v>
      </c>
      <c r="D8" s="30">
        <v>100</v>
      </c>
      <c r="E8" s="1"/>
      <c r="F8" s="29" t="s">
        <v>25</v>
      </c>
      <c r="G8" s="1"/>
      <c r="H8" s="1"/>
      <c r="I8" s="1"/>
      <c r="J8" s="30">
        <v>30</v>
      </c>
      <c r="K8" s="1"/>
      <c r="L8" s="1"/>
      <c r="M8" s="1"/>
      <c r="N8" s="33">
        <f t="shared" ca="1" si="0"/>
        <v>44411</v>
      </c>
      <c r="O8" s="1"/>
      <c r="R8" s="32" t="s">
        <v>21</v>
      </c>
      <c r="S8" s="30">
        <v>50</v>
      </c>
    </row>
    <row r="9" spans="1:154" ht="15.75" customHeight="1">
      <c r="A9" s="1"/>
      <c r="B9" s="26" t="s">
        <v>23</v>
      </c>
      <c r="C9" s="26" t="s">
        <v>22</v>
      </c>
      <c r="D9" s="30">
        <v>70</v>
      </c>
      <c r="E9" s="1"/>
      <c r="F9" s="34" t="s">
        <v>25</v>
      </c>
      <c r="G9" s="1"/>
      <c r="H9" s="1"/>
      <c r="I9" s="1"/>
      <c r="J9" s="30">
        <v>31</v>
      </c>
      <c r="K9" s="1"/>
      <c r="L9" s="1"/>
      <c r="M9" s="1"/>
      <c r="N9" s="33">
        <f t="shared" ca="1" si="0"/>
        <v>44411</v>
      </c>
      <c r="O9" s="1"/>
      <c r="R9" s="32" t="s">
        <v>21</v>
      </c>
      <c r="S9" s="30">
        <v>15</v>
      </c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8</v>
      </c>
      <c r="C3" s="16" t="s">
        <v>13</v>
      </c>
      <c r="D3" s="3" t="s">
        <v>9</v>
      </c>
      <c r="E3" s="16" t="s">
        <v>14</v>
      </c>
      <c r="F3" s="3" t="s">
        <v>16</v>
      </c>
      <c r="G3" s="7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 ")</f>
        <v xml:space="preserve">Copy Date 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25">
        <f ca="1">TODAY()-1</f>
        <v>44411</v>
      </c>
      <c r="C6" s="25">
        <f ca="1">TODAY()</f>
        <v>44412</v>
      </c>
      <c r="D6" s="4"/>
      <c r="E6" s="28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8</v>
      </c>
      <c r="C3" s="16" t="s">
        <v>13</v>
      </c>
      <c r="D3" s="3" t="s">
        <v>9</v>
      </c>
      <c r="E3" s="16" t="s">
        <v>27</v>
      </c>
      <c r="F3" s="3" t="s">
        <v>16</v>
      </c>
      <c r="G3" s="7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IFERROR(__xludf.DUMMYFUNCTION("""COMPUTED_VALUE"""),"Price")</f>
        <v>Price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35" t="s">
        <v>18</v>
      </c>
      <c r="C6" s="30">
        <v>6</v>
      </c>
      <c r="D6" s="4"/>
      <c r="E6" s="28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26" t="s">
        <v>23</v>
      </c>
      <c r="C7" s="30">
        <v>30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8</v>
      </c>
      <c r="C3" s="16" t="s">
        <v>13</v>
      </c>
      <c r="D3" s="3" t="s">
        <v>9</v>
      </c>
      <c r="E3" s="16" t="s">
        <v>26</v>
      </c>
      <c r="F3" s="3" t="s">
        <v>16</v>
      </c>
      <c r="G3" s="7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Date")</f>
        <v>Copy Date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25">
        <f t="shared" ref="B6:C6" ca="1" si="0">TODAY()-1</f>
        <v>44411</v>
      </c>
      <c r="C6" s="31">
        <f t="shared" ca="1" si="0"/>
        <v>44411</v>
      </c>
      <c r="D6" s="4"/>
      <c r="E6" s="28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8</v>
      </c>
      <c r="C3" s="16" t="s">
        <v>13</v>
      </c>
      <c r="D3" s="3" t="s">
        <v>9</v>
      </c>
      <c r="E3" s="16" t="s">
        <v>29</v>
      </c>
      <c r="F3" s="3" t="s">
        <v>16</v>
      </c>
      <c r="G3" s="7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IFERROR(__xludf.DUMMYFUNCTION("""COMPUTED_VALUE"""),"From Currency")</f>
        <v>From Currency</v>
      </c>
      <c r="C5" s="21" t="str">
        <f ca="1">IFERROR(__xludf.DUMMYFUNCTION("""COMPUTED_VALUE"""),"To Currency")</f>
        <v>To Currency</v>
      </c>
      <c r="D5" s="21" t="str">
        <f ca="1">IFERROR(__xludf.DUMMYFUNCTION("""COMPUTED_VALUE"""),"Symbol")</f>
        <v>Symbol</v>
      </c>
      <c r="E5" s="21" t="str">
        <f ca="1">IFERROR(__xludf.DUMMYFUNCTION("""COMPUTED_VALUE"""),"Price")</f>
        <v>Price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6"/>
      <c r="B6" s="37" t="s">
        <v>30</v>
      </c>
      <c r="C6" s="38" t="s">
        <v>31</v>
      </c>
      <c r="D6" s="39" t="s">
        <v>32</v>
      </c>
      <c r="E6" s="40">
        <v>0.76600000000000001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8</v>
      </c>
      <c r="C3" s="16" t="s">
        <v>28</v>
      </c>
      <c r="D3" s="3" t="s">
        <v>9</v>
      </c>
      <c r="E3" s="16" t="s">
        <v>28</v>
      </c>
      <c r="F3" s="3" t="s">
        <v>16</v>
      </c>
      <c r="G3" s="7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IFERROR(__xludf.DUMMYFUNCTION("IF(C3="""","""",Transpose(IMPORTRANGE('_Settings'!$B$3,C3&amp;""!A4:A1000"")))"),"PricingInput")</f>
        <v>PricingInput</v>
      </c>
      <c r="C4" s="18" t="str">
        <f ca="1">IFERROR(__xludf.DUMMYFUNCTION("""COMPUTED_VALUE"""),"UpdateSharesOutstanding")</f>
        <v>UpdateSharesOutstanding</v>
      </c>
      <c r="D4" s="18" t="str">
        <f ca="1">IFERROR(__xludf.DUMMYFUNCTION("""COMPUTED_VALUE"""),"EODTPreferences")</f>
        <v>EODTPreferences</v>
      </c>
      <c r="E4" s="18" t="str">
        <f ca="1">IFERROR(__xludf.DUMMYFUNCTION("""COMPUTED_VALUE"""),"LiveData")</f>
        <v>LiveData</v>
      </c>
      <c r="F4" s="18" t="str">
        <f ca="1">IFERROR(__xludf.DUMMYFUNCTION("""COMPUTED_VALUE"""),"")</f>
        <v/>
      </c>
      <c r="G4" s="18" t="str">
        <f ca="1">IFERROR(__xludf.DUMMYFUNCTION("""COMPUTED_VALUE"""),"")</f>
        <v/>
      </c>
      <c r="H4" s="18" t="str">
        <f ca="1">IFERROR(__xludf.DUMMYFUNCTION("""COMPUTED_VALUE"""),"")</f>
        <v/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IFERROR(__xludf.DUMMYFUNCTION("""COMPUTED_VALUE"""),"User Px")</f>
        <v>User Px</v>
      </c>
      <c r="D5" s="21" t="str">
        <f ca="1">IFERROR(__xludf.DUMMYFUNCTION("""COMPUTED_VALUE"""),"Asset Class")</f>
        <v>Asset Class</v>
      </c>
      <c r="E5" s="21" t="str">
        <f ca="1">IFERROR(__xludf.DUMMYFUNCTION("""COMPUTED_VALUE"""),"Volatility(%)")</f>
        <v>Volatility(%)</v>
      </c>
      <c r="F5" s="22" t="str">
        <f ca="1">IFERROR(__xludf.DUMMYFUNCTION("""COMPUTED_VALUE"""),"Historical Volatility")</f>
        <v>Historical Volatility</v>
      </c>
      <c r="G5" s="21" t="str">
        <f ca="1">IFERROR(__xludf.DUMMYFUNCTION("""COMPUTED_VALUE"""),"User Volatility")</f>
        <v>User Volatility</v>
      </c>
      <c r="H5" s="21" t="str">
        <f ca="1">IFERROR(__xludf.DUMMYFUNCTION("""COMPUTED_VALUE"""),"Interest Rate")</f>
        <v>Interest Rate</v>
      </c>
      <c r="I5" s="21" t="str">
        <f ca="1">IFERROR(__xludf.DUMMYFUNCTION("""COMPUTED_VALUE"""),"User Interest Rate")</f>
        <v>User Interest Rate</v>
      </c>
      <c r="J5" s="21" t="str">
        <f ca="1">IFERROR(__xludf.DUMMYFUNCTION("""COMPUTED_VALUE"""),"Dividend Yield")</f>
        <v>Dividend Yield</v>
      </c>
      <c r="K5" s="21" t="str">
        <f ca="1">IFERROR(__xludf.DUMMYFUNCTION("""COMPUTED_VALUE"""),"User Dividend Yield")</f>
        <v>User Dividend Yield</v>
      </c>
      <c r="L5" s="21" t="str">
        <f ca="1">IFERROR(__xludf.DUMMYFUNCTION("""COMPUTED_VALUE"""),"Actual Delta")</f>
        <v>Actual Delta</v>
      </c>
      <c r="M5" s="21" t="str">
        <f ca="1">IFERROR(__xludf.DUMMYFUNCTION("""COMPUTED_VALUE"""),"User Delta")</f>
        <v>User Delta</v>
      </c>
      <c r="N5" s="21" t="str">
        <f ca="1">IFERROR(__xludf.DUMMYFUNCTION("""COMPUTED_VALUE"""),"Selected Px")</f>
        <v>Selected Px</v>
      </c>
      <c r="O5" s="21" t="str">
        <f ca="1">IFERROR(__xludf.DUMMYFUNCTION("""COMPUTED_VALUE"""),"Forward Points")</f>
        <v>Forward Points</v>
      </c>
      <c r="P5" s="21" t="str">
        <f ca="1">IFERROR(__xludf.DUMMYFUNCTION("""COMPUTED_VALUE"""),"Shares Outstanding")</f>
        <v>Shares Outstanding</v>
      </c>
      <c r="Q5" s="21" t="str">
        <f ca="1">IFERROR(__xludf.DUMMYFUNCTION("""COMPUTED_VALUE"""),"User Shares Outstanding")</f>
        <v>User Shares Outstanding</v>
      </c>
      <c r="R5" s="21" t="str">
        <f ca="1">IFERROR(__xludf.DUMMYFUNCTION("""COMPUTED_VALUE"""),"LastPriceUsed")</f>
        <v>LastPriceUsed</v>
      </c>
      <c r="S5" s="21" t="str">
        <f ca="1">IFERROR(__xludf.DUMMYFUNCTION("""COMPUTED_VALUE"""),"VolatilityUsed")</f>
        <v>VolatilityUsed</v>
      </c>
      <c r="T5" s="23" t="str">
        <f ca="1">IFERROR(__xludf.DUMMYFUNCTION("""COMPUTED_VALUE"""),"IntRateUsed")</f>
        <v>IntRateUsed</v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35" t="s">
        <v>18</v>
      </c>
      <c r="C6" s="30">
        <v>8</v>
      </c>
      <c r="D6" s="4"/>
      <c r="E6" s="28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26" t="s">
        <v>23</v>
      </c>
      <c r="C7" s="30">
        <v>31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26"/>
      <c r="C8" s="2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8</v>
      </c>
      <c r="C3" s="16" t="s">
        <v>33</v>
      </c>
      <c r="D3" s="3" t="s">
        <v>9</v>
      </c>
      <c r="E3" s="16" t="s">
        <v>34</v>
      </c>
      <c r="F3" s="3" t="s">
        <v>16</v>
      </c>
      <c r="G3" s="7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IFERROR(__xludf.DUMMYFUNCTION("""COMPUTED_VALUE"""),"Account Filter")</f>
        <v>Account Filter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4" t="s">
        <v>36</v>
      </c>
      <c r="C6" s="31">
        <f ca="1">TODAY()-1</f>
        <v>44411</v>
      </c>
      <c r="D6" s="25">
        <f ca="1">TODAY()</f>
        <v>44412</v>
      </c>
      <c r="E6" s="4" t="s">
        <v>37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8</v>
      </c>
      <c r="C3" s="16" t="s">
        <v>33</v>
      </c>
      <c r="D3" s="3" t="s">
        <v>9</v>
      </c>
      <c r="E3" s="16" t="s">
        <v>35</v>
      </c>
      <c r="F3" s="3" t="s">
        <v>16</v>
      </c>
      <c r="G3" s="7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IFERROR(__xludf.DUMMYFUNCTION("""COMPUTED_VALUE"""),"CloseSSw/BuyBTO ")</f>
        <v xml:space="preserve">CloseSSw/BuyBTO </v>
      </c>
      <c r="C5" s="21" t="str">
        <f ca="1">IFERROR(__xludf.DUMMYFUNCTION("""COMPUTED_VALUE"""),"AutoCloseStrategy")</f>
        <v>AutoCloseStrategy</v>
      </c>
      <c r="D5" s="21" t="str">
        <f ca="1">IFERROR(__xludf.DUMMYFUNCTION("""COMPUTED_VALUE"""),"Algorithm")</f>
        <v>Algorithm</v>
      </c>
      <c r="E5" s="21" t="str">
        <f ca="1">IFERROR(__xludf.DUMMYFUNCTION("""COMPUTED_VALUE"""),"SecondarySortCriteria")</f>
        <v>SecondarySortCriteria</v>
      </c>
      <c r="F5" s="22" t="str">
        <f ca="1">IFERROR(__xludf.DUMMYFUNCTION("""COMPUTED_VALUE"""),"ClosingField")</f>
        <v>ClosingField</v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42" t="b">
        <v>1</v>
      </c>
      <c r="C6" s="43" t="b">
        <v>0</v>
      </c>
      <c r="D6" s="44" t="s">
        <v>38</v>
      </c>
      <c r="E6" s="45" t="s">
        <v>39</v>
      </c>
      <c r="F6" s="45" t="s">
        <v>40</v>
      </c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2" width="14.42578125" customWidth="1"/>
    <col min="3" max="3" width="24.7109375" customWidth="1"/>
    <col min="4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7" t="s">
        <v>11</v>
      </c>
      <c r="C1" s="68"/>
      <c r="D1" s="68"/>
      <c r="E1" s="68"/>
      <c r="F1" s="68"/>
      <c r="G1" s="68"/>
      <c r="H1" s="69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3" t="s">
        <v>8</v>
      </c>
      <c r="C3" s="16" t="s">
        <v>41</v>
      </c>
      <c r="D3" s="3" t="s">
        <v>9</v>
      </c>
      <c r="E3" s="16" t="s">
        <v>42</v>
      </c>
      <c r="F3" s="3" t="s">
        <v>16</v>
      </c>
      <c r="G3" s="7" t="s">
        <v>17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IFERROR(__xludf.DUMMYFUNCTION("""COMPUTED_VALUE"""),"From Date")</f>
        <v>From Date</v>
      </c>
      <c r="E5" s="21" t="str">
        <f ca="1">IFERROR(__xludf.DUMMYFUNCTION("""COMPUTED_VALUE"""),"To Date")</f>
        <v>To Date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4" t="s">
        <v>45</v>
      </c>
      <c r="C6" s="4" t="s">
        <v>37</v>
      </c>
      <c r="D6" s="25">
        <f t="shared" ref="D6:E6" ca="1" si="0">TODAY()-1</f>
        <v>44411</v>
      </c>
      <c r="E6" s="25">
        <f t="shared" ca="1" si="0"/>
        <v>44411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J100"/>
  <sheetViews>
    <sheetView tabSelected="1" topLeftCell="BB1" workbookViewId="0">
      <selection activeCell="BJ16" sqref="BJ16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2.85546875" customWidth="1"/>
    <col min="64" max="166" width="14.42578125" customWidth="1"/>
  </cols>
  <sheetData>
    <row r="1" spans="1:166" ht="15.75" customHeight="1">
      <c r="A1" s="46"/>
      <c r="B1" s="71" t="s">
        <v>11</v>
      </c>
      <c r="C1" s="68"/>
      <c r="D1" s="68"/>
      <c r="E1" s="68"/>
      <c r="F1" s="68"/>
      <c r="G1" s="68"/>
      <c r="H1" s="69"/>
      <c r="I1" s="46"/>
      <c r="J1" s="46"/>
      <c r="K1" s="46"/>
      <c r="L1" s="46"/>
      <c r="M1" s="46"/>
      <c r="N1" s="46"/>
      <c r="O1" s="46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7"/>
      <c r="DA1" s="47"/>
      <c r="DB1" s="47"/>
      <c r="DC1" s="47"/>
      <c r="DD1" s="47"/>
      <c r="DE1" s="47"/>
      <c r="DF1" s="47"/>
      <c r="DG1" s="47"/>
      <c r="DH1" s="47"/>
      <c r="DI1" s="47"/>
      <c r="DJ1" s="47"/>
      <c r="DK1" s="47"/>
      <c r="DL1" s="47"/>
      <c r="DM1" s="47"/>
      <c r="DN1" s="47"/>
      <c r="DO1" s="47"/>
      <c r="DP1" s="47"/>
      <c r="DQ1" s="47"/>
      <c r="DR1" s="47"/>
      <c r="DS1" s="47"/>
      <c r="DT1" s="47"/>
      <c r="DU1" s="47"/>
      <c r="DV1" s="47"/>
      <c r="DW1" s="47"/>
      <c r="DX1" s="47"/>
      <c r="DY1" s="47"/>
      <c r="DZ1" s="47"/>
      <c r="EA1" s="47"/>
      <c r="EB1" s="47"/>
      <c r="EC1" s="47"/>
      <c r="ED1" s="47"/>
      <c r="EE1" s="47"/>
      <c r="EF1" s="47"/>
      <c r="EG1" s="47"/>
      <c r="EH1" s="47"/>
      <c r="EI1" s="47"/>
      <c r="EJ1" s="47"/>
      <c r="EK1" s="47"/>
      <c r="EL1" s="47"/>
      <c r="EM1" s="47"/>
      <c r="EN1" s="47"/>
      <c r="EO1" s="47"/>
      <c r="EP1" s="47"/>
      <c r="EQ1" s="47"/>
      <c r="ER1" s="47"/>
      <c r="ES1" s="47"/>
      <c r="ET1" s="47"/>
      <c r="EU1" s="47"/>
      <c r="EV1" s="47"/>
      <c r="EW1" s="47"/>
      <c r="EX1" s="47"/>
      <c r="EY1" s="47"/>
      <c r="EZ1" s="47"/>
      <c r="FA1" s="47"/>
      <c r="FB1" s="47"/>
      <c r="FC1" s="47"/>
      <c r="FD1" s="47"/>
      <c r="FE1" s="47"/>
      <c r="FF1" s="47"/>
      <c r="FG1" s="47"/>
      <c r="FH1" s="47"/>
      <c r="FI1" s="47"/>
      <c r="FJ1" s="47"/>
    </row>
    <row r="2" spans="1:166" ht="15.75" customHeight="1">
      <c r="A2" s="48"/>
      <c r="B2" s="48"/>
      <c r="C2" s="48"/>
      <c r="D2" s="48"/>
      <c r="E2" s="48"/>
      <c r="F2" s="48"/>
      <c r="G2" s="48"/>
      <c r="H2" s="48"/>
      <c r="I2" s="48"/>
      <c r="J2" s="49" t="e">
        <f>VLOOKUP($E$3,_MasterData!B4:D1000,3,FALSE)</f>
        <v>#N/A</v>
      </c>
      <c r="K2" s="49"/>
      <c r="L2" s="48"/>
      <c r="M2" s="48"/>
      <c r="N2" s="48"/>
      <c r="O2" s="48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/>
      <c r="FF2" s="50"/>
      <c r="FG2" s="50"/>
      <c r="FH2" s="50"/>
      <c r="FI2" s="50"/>
      <c r="FJ2" s="50"/>
    </row>
    <row r="3" spans="1:166" ht="15.75" customHeight="1">
      <c r="A3" s="51"/>
      <c r="B3" s="52" t="s">
        <v>8</v>
      </c>
      <c r="C3" s="53" t="s">
        <v>43</v>
      </c>
      <c r="D3" s="52" t="s">
        <v>9</v>
      </c>
      <c r="E3" s="53" t="s">
        <v>44</v>
      </c>
      <c r="F3" s="52" t="s">
        <v>16</v>
      </c>
      <c r="G3" s="54" t="s">
        <v>17</v>
      </c>
      <c r="H3" s="52"/>
      <c r="I3" s="51"/>
      <c r="J3" s="51"/>
      <c r="K3" s="51"/>
      <c r="L3" s="51"/>
      <c r="M3" s="51"/>
      <c r="N3" s="51"/>
      <c r="O3" s="51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55"/>
      <c r="BS3" s="55"/>
      <c r="BT3" s="55"/>
      <c r="BU3" s="55"/>
      <c r="BV3" s="55"/>
      <c r="BW3" s="55"/>
      <c r="BX3" s="55"/>
      <c r="BY3" s="55"/>
      <c r="BZ3" s="55"/>
      <c r="CA3" s="55"/>
      <c r="CB3" s="55"/>
      <c r="CC3" s="55"/>
      <c r="CD3" s="55"/>
      <c r="CE3" s="55"/>
      <c r="CF3" s="55"/>
      <c r="CG3" s="55"/>
      <c r="CH3" s="55"/>
      <c r="CI3" s="55"/>
      <c r="CJ3" s="55"/>
      <c r="CK3" s="55"/>
      <c r="CL3" s="55"/>
      <c r="CM3" s="55"/>
      <c r="CN3" s="55"/>
      <c r="CO3" s="55"/>
      <c r="CP3" s="55"/>
      <c r="CQ3" s="55"/>
      <c r="CR3" s="55"/>
      <c r="CS3" s="55"/>
      <c r="CT3" s="55"/>
      <c r="CU3" s="55"/>
      <c r="CV3" s="55"/>
      <c r="CW3" s="55"/>
      <c r="CX3" s="55"/>
      <c r="CY3" s="55"/>
      <c r="CZ3" s="55"/>
      <c r="DA3" s="55"/>
      <c r="DB3" s="55"/>
      <c r="DC3" s="55"/>
      <c r="DD3" s="55"/>
      <c r="DE3" s="55"/>
      <c r="DF3" s="55"/>
      <c r="DG3" s="55"/>
      <c r="DH3" s="55"/>
      <c r="DI3" s="55"/>
      <c r="DJ3" s="55"/>
      <c r="DK3" s="55"/>
      <c r="DL3" s="55"/>
      <c r="DM3" s="55"/>
      <c r="DN3" s="55"/>
      <c r="DO3" s="55"/>
      <c r="DP3" s="55"/>
      <c r="DQ3" s="55"/>
      <c r="DR3" s="55"/>
      <c r="DS3" s="55"/>
      <c r="DT3" s="55"/>
      <c r="DU3" s="55"/>
      <c r="DV3" s="55"/>
      <c r="DW3" s="55"/>
      <c r="DX3" s="55"/>
      <c r="DY3" s="55"/>
      <c r="DZ3" s="55"/>
      <c r="EA3" s="55"/>
      <c r="EB3" s="55"/>
      <c r="EC3" s="55"/>
      <c r="ED3" s="55"/>
      <c r="EE3" s="55"/>
      <c r="EF3" s="55"/>
      <c r="EG3" s="55"/>
      <c r="EH3" s="55"/>
      <c r="EI3" s="55"/>
      <c r="EJ3" s="55"/>
      <c r="EK3" s="55"/>
      <c r="EL3" s="55"/>
      <c r="EM3" s="55"/>
      <c r="EN3" s="55"/>
      <c r="EO3" s="55"/>
      <c r="EP3" s="55"/>
      <c r="EQ3" s="55"/>
      <c r="ER3" s="55"/>
      <c r="ES3" s="55"/>
      <c r="ET3" s="55"/>
      <c r="EU3" s="55"/>
      <c r="EV3" s="55"/>
      <c r="EW3" s="55"/>
      <c r="EX3" s="55"/>
      <c r="EY3" s="55"/>
      <c r="EZ3" s="55"/>
      <c r="FA3" s="55"/>
      <c r="FB3" s="55"/>
      <c r="FC3" s="55"/>
      <c r="FD3" s="55"/>
      <c r="FE3" s="55"/>
      <c r="FF3" s="55"/>
      <c r="FG3" s="55"/>
      <c r="FH3" s="55"/>
      <c r="FI3" s="55"/>
      <c r="FJ3" s="55"/>
    </row>
    <row r="4" spans="1:166" ht="15.75" customHeight="1">
      <c r="A4" s="56"/>
      <c r="B4" s="56" t="str">
        <f ca="1">IFERROR(__xludf.DUMMYFUNCTION("IF(C3="""","""",Transpose(IMPORTRANGE('_Settings'!$B$3,C3&amp;""!A4:A1000"")))"),"CheckDashboardPM")</f>
        <v>CheckDashboardPM</v>
      </c>
      <c r="C4" s="56" t="str">
        <f ca="1">IFERROR(__xludf.DUMMYFUNCTION("""COMPUTED_VALUE"""),"CheckPortfolioManagement")</f>
        <v>CheckPortfolioManagement</v>
      </c>
      <c r="D4" s="56" t="str">
        <f ca="1">IFERROR(__xludf.DUMMYFUNCTION("""COMPUTED_VALUE"""),"OpenPSTFromPM")</f>
        <v>OpenPSTFromPM</v>
      </c>
      <c r="E4" s="56" t="str">
        <f ca="1">IFERROR(__xludf.DUMMYFUNCTION("""COMPUTED_VALUE"""),"ClosePM")</f>
        <v>ClosePM</v>
      </c>
      <c r="F4" s="56" t="str">
        <f ca="1">IFERROR(__xludf.DUMMYFUNCTION("""COMPUTED_VALUE"""),"FilterPM")</f>
        <v>FilterPM</v>
      </c>
      <c r="G4" s="56" t="str">
        <f ca="1">IFERROR(__xludf.DUMMYFUNCTION("""COMPUTED_VALUE"""),"GroupRowPM")</f>
        <v>GroupRowPM</v>
      </c>
      <c r="H4" s="56" t="str">
        <f ca="1">IFERROR(__xludf.DUMMYFUNCTION("""COMPUTED_VALUE"""),"CheckDashboardWithPM")</f>
        <v>CheckDashboardWithPM</v>
      </c>
      <c r="I4" s="56" t="str">
        <f ca="1">IFERROR(__xludf.DUMMYFUNCTION("""COMPUTED_VALUE"""),"RemoveFilterPM")</f>
        <v>RemoveFilterPM</v>
      </c>
      <c r="J4" s="56" t="str">
        <f ca="1">IFERROR(__xludf.DUMMYFUNCTION("""COMPUTED_VALUE"""),"CheckSummaryRowsPM")</f>
        <v>CheckSummaryRowsPM</v>
      </c>
      <c r="K4" s="56" t="str">
        <f ca="1">IFERROR(__xludf.DUMMYFUNCTION("""COMPUTED_VALUE"""),"OpenPTTFromPM")</f>
        <v>OpenPTTFromPM</v>
      </c>
      <c r="L4" s="56" t="str">
        <f ca="1">IFERROR(__xludf.DUMMYFUNCTION("""COMPUTED_VALUE"""),"OpenCreateTransactionFromPM")</f>
        <v>OpenCreateTransactionFromPM</v>
      </c>
      <c r="M4" s="56" t="str">
        <f ca="1">IFERROR(__xludf.DUMMYFUNCTION("""COMPUTED_VALUE"""),"OpenClosingFromPM")</f>
        <v>OpenClosingFromPM</v>
      </c>
      <c r="N4" s="56" t="str">
        <f ca="1">IFERROR(__xludf.DUMMYFUNCTION("""COMPUTED_VALUE"""),"OpenCorporateActionFromPM")</f>
        <v>OpenCorporateActionFromPM</v>
      </c>
      <c r="O4" s="56" t="str">
        <f ca="1">IFERROR(__xludf.DUMMYFUNCTION("""COMPUTED_VALUE"""),"OpenDailyValuationFromPM")</f>
        <v>OpenDailyValuationFromPM</v>
      </c>
      <c r="P4" s="57" t="str">
        <f ca="1">IFERROR(__xludf.DUMMYFUNCTION("""COMPUTED_VALUE"""),"ClosePositionFromPM")</f>
        <v>ClosePositionFromPM</v>
      </c>
      <c r="Q4" s="57" t="str">
        <f ca="1">IFERROR(__xludf.DUMMYFUNCTION("""COMPUTED_VALUE"""),"ShowSummaryToolFromPM")</f>
        <v>ShowSummaryToolFromPM</v>
      </c>
      <c r="R4" s="57" t="str">
        <f ca="1">IFERROR(__xludf.DUMMYFUNCTION("""COMPUTED_VALUE"""),"HideSummaryToolFromPM")</f>
        <v>HideSummaryToolFromPM</v>
      </c>
      <c r="S4" s="57" t="str">
        <f ca="1">IFERROR(__xludf.DUMMYFUNCTION("""COMPUTED_VALUE"""),"CloseAccountPositionFromPM")</f>
        <v>CloseAccountPositionFromPM</v>
      </c>
      <c r="T4" s="57" t="str">
        <f ca="1">IFERROR(__xludf.DUMMYFUNCTION("""COMPUTED_VALUE"""),"CloseSelectedTaxlotsFromPM")</f>
        <v>CloseSelectedTaxlotsFromPM</v>
      </c>
      <c r="U4" s="57" t="str">
        <f ca="1">IFERROR(__xludf.DUMMYFUNCTION("""COMPUTED_VALUE"""),"ExpandCollapsePM")</f>
        <v>ExpandCollapsePM</v>
      </c>
      <c r="V4" s="57" t="str">
        <f ca="1">IFERROR(__xludf.DUMMYFUNCTION("""COMPUTED_VALUE"""),"AddCustomViewPM")</f>
        <v>AddCustomViewPM</v>
      </c>
      <c r="W4" s="57" t="str">
        <f ca="1">IFERROR(__xludf.DUMMYFUNCTION("""COMPUTED_VALUE"""),"AddCustomViewRightClickPM")</f>
        <v>AddCustomViewRightClickPM</v>
      </c>
      <c r="X4" s="57" t="str">
        <f ca="1">IFERROR(__xludf.DUMMYFUNCTION("""COMPUTED_VALUE"""),"RenameCustomViewPM")</f>
        <v>RenameCustomViewPM</v>
      </c>
      <c r="Y4" s="57" t="str">
        <f ca="1">IFERROR(__xludf.DUMMYFUNCTION("""COMPUTED_VALUE"""),"DeleteCustomViewPM")</f>
        <v>DeleteCustomViewPM</v>
      </c>
      <c r="Z4" s="57" t="str">
        <f ca="1">IFERROR(__xludf.DUMMYFUNCTION("""COMPUTED_VALUE"""),"")</f>
        <v/>
      </c>
      <c r="AA4" s="57" t="str">
        <f ca="1">IFERROR(__xludf.DUMMYFUNCTION("""COMPUTED_VALUE"""),"")</f>
        <v/>
      </c>
      <c r="AB4" s="57" t="str">
        <f ca="1">IFERROR(__xludf.DUMMYFUNCTION("""COMPUTED_VALUE"""),"")</f>
        <v/>
      </c>
      <c r="AC4" s="57" t="str">
        <f ca="1">IFERROR(__xludf.DUMMYFUNCTION("""COMPUTED_VALUE"""),"")</f>
        <v/>
      </c>
      <c r="AD4" s="57" t="str">
        <f ca="1">IFERROR(__xludf.DUMMYFUNCTION("""COMPUTED_VALUE"""),"")</f>
        <v/>
      </c>
      <c r="AE4" s="57" t="str">
        <f ca="1">IFERROR(__xludf.DUMMYFUNCTION("""COMPUTED_VALUE"""),"")</f>
        <v/>
      </c>
      <c r="AF4" s="57" t="str">
        <f ca="1">IFERROR(__xludf.DUMMYFUNCTION("""COMPUTED_VALUE"""),"")</f>
        <v/>
      </c>
      <c r="AG4" s="57" t="str">
        <f ca="1">IFERROR(__xludf.DUMMYFUNCTION("""COMPUTED_VALUE"""),"")</f>
        <v/>
      </c>
      <c r="AH4" s="57" t="str">
        <f ca="1">IFERROR(__xludf.DUMMYFUNCTION("""COMPUTED_VALUE"""),"")</f>
        <v/>
      </c>
      <c r="AI4" s="57" t="str">
        <f ca="1">IFERROR(__xludf.DUMMYFUNCTION("""COMPUTED_VALUE"""),"")</f>
        <v/>
      </c>
      <c r="AJ4" s="57" t="str">
        <f ca="1">IFERROR(__xludf.DUMMYFUNCTION("""COMPUTED_VALUE"""),"")</f>
        <v/>
      </c>
      <c r="AK4" s="57" t="str">
        <f ca="1">IFERROR(__xludf.DUMMYFUNCTION("""COMPUTED_VALUE"""),"")</f>
        <v/>
      </c>
      <c r="AL4" s="57" t="str">
        <f ca="1">IFERROR(__xludf.DUMMYFUNCTION("""COMPUTED_VALUE"""),"")</f>
        <v/>
      </c>
      <c r="AM4" s="57" t="str">
        <f ca="1">IFERROR(__xludf.DUMMYFUNCTION("""COMPUTED_VALUE"""),"")</f>
        <v/>
      </c>
      <c r="AN4" s="57" t="str">
        <f ca="1">IFERROR(__xludf.DUMMYFUNCTION("""COMPUTED_VALUE"""),"")</f>
        <v/>
      </c>
      <c r="AO4" s="57" t="str">
        <f ca="1">IFERROR(__xludf.DUMMYFUNCTION("""COMPUTED_VALUE"""),"")</f>
        <v/>
      </c>
      <c r="AP4" s="57" t="str">
        <f ca="1">IFERROR(__xludf.DUMMYFUNCTION("""COMPUTED_VALUE"""),"")</f>
        <v/>
      </c>
      <c r="AQ4" s="57" t="str">
        <f ca="1">IFERROR(__xludf.DUMMYFUNCTION("""COMPUTED_VALUE"""),"")</f>
        <v/>
      </c>
      <c r="AR4" s="57" t="str">
        <f ca="1">IFERROR(__xludf.DUMMYFUNCTION("""COMPUTED_VALUE"""),"")</f>
        <v/>
      </c>
      <c r="AS4" s="57" t="str">
        <f ca="1">IFERROR(__xludf.DUMMYFUNCTION("""COMPUTED_VALUE"""),"")</f>
        <v/>
      </c>
      <c r="AT4" s="57" t="str">
        <f ca="1">IFERROR(__xludf.DUMMYFUNCTION("""COMPUTED_VALUE"""),"")</f>
        <v/>
      </c>
      <c r="AU4" s="57" t="str">
        <f ca="1">IFERROR(__xludf.DUMMYFUNCTION("""COMPUTED_VALUE"""),"")</f>
        <v/>
      </c>
      <c r="AV4" s="57" t="str">
        <f ca="1">IFERROR(__xludf.DUMMYFUNCTION("""COMPUTED_VALUE"""),"")</f>
        <v/>
      </c>
      <c r="AW4" s="57" t="str">
        <f ca="1">IFERROR(__xludf.DUMMYFUNCTION("""COMPUTED_VALUE"""),"")</f>
        <v/>
      </c>
      <c r="AX4" s="57" t="str">
        <f ca="1">IFERROR(__xludf.DUMMYFUNCTION("""COMPUTED_VALUE"""),"")</f>
        <v/>
      </c>
      <c r="AY4" s="57" t="str">
        <f ca="1">IFERROR(__xludf.DUMMYFUNCTION("""COMPUTED_VALUE"""),"")</f>
        <v/>
      </c>
      <c r="AZ4" s="57" t="str">
        <f ca="1">IFERROR(__xludf.DUMMYFUNCTION("""COMPUTED_VALUE"""),"")</f>
        <v/>
      </c>
      <c r="BA4" s="57" t="str">
        <f ca="1">IFERROR(__xludf.DUMMYFUNCTION("""COMPUTED_VALUE"""),"")</f>
        <v/>
      </c>
      <c r="BB4" s="57" t="str">
        <f ca="1">IFERROR(__xludf.DUMMYFUNCTION("""COMPUTED_VALUE"""),"")</f>
        <v/>
      </c>
      <c r="BC4" s="57" t="str">
        <f ca="1">IFERROR(__xludf.DUMMYFUNCTION("""COMPUTED_VALUE"""),"")</f>
        <v/>
      </c>
      <c r="BD4" s="57" t="str">
        <f ca="1">IFERROR(__xludf.DUMMYFUNCTION("""COMPUTED_VALUE"""),"")</f>
        <v/>
      </c>
      <c r="BE4" s="57" t="str">
        <f ca="1">IFERROR(__xludf.DUMMYFUNCTION("""COMPUTED_VALUE"""),"")</f>
        <v/>
      </c>
      <c r="BF4" s="57" t="str">
        <f ca="1">IFERROR(__xludf.DUMMYFUNCTION("""COMPUTED_VALUE"""),"")</f>
        <v/>
      </c>
      <c r="BG4" s="57" t="str">
        <f ca="1">IFERROR(__xludf.DUMMYFUNCTION("""COMPUTED_VALUE"""),"")</f>
        <v/>
      </c>
      <c r="BH4" s="57" t="str">
        <f ca="1">IFERROR(__xludf.DUMMYFUNCTION("""COMPUTED_VALUE"""),"")</f>
        <v/>
      </c>
      <c r="BI4" s="57" t="str">
        <f ca="1">IFERROR(__xludf.DUMMYFUNCTION("""COMPUTED_VALUE"""),"")</f>
        <v/>
      </c>
      <c r="BJ4" s="57" t="str">
        <f ca="1">IFERROR(__xludf.DUMMYFUNCTION("""COMPUTED_VALUE"""),"")</f>
        <v/>
      </c>
      <c r="BK4" s="57" t="str">
        <f ca="1">IFERROR(__xludf.DUMMYFUNCTION("""COMPUTED_VALUE"""),"")</f>
        <v/>
      </c>
      <c r="BL4" s="57" t="str">
        <f ca="1">IFERROR(__xludf.DUMMYFUNCTION("""COMPUTED_VALUE"""),"")</f>
        <v/>
      </c>
      <c r="BM4" s="57" t="str">
        <f ca="1">IFERROR(__xludf.DUMMYFUNCTION("""COMPUTED_VALUE"""),"")</f>
        <v/>
      </c>
      <c r="BN4" s="57" t="str">
        <f ca="1">IFERROR(__xludf.DUMMYFUNCTION("""COMPUTED_VALUE"""),"")</f>
        <v/>
      </c>
      <c r="BO4" s="57" t="str">
        <f ca="1">IFERROR(__xludf.DUMMYFUNCTION("""COMPUTED_VALUE"""),"")</f>
        <v/>
      </c>
      <c r="BP4" s="57" t="str">
        <f ca="1">IFERROR(__xludf.DUMMYFUNCTION("""COMPUTED_VALUE"""),"")</f>
        <v/>
      </c>
      <c r="BQ4" s="57" t="str">
        <f ca="1">IFERROR(__xludf.DUMMYFUNCTION("""COMPUTED_VALUE"""),"")</f>
        <v/>
      </c>
      <c r="BR4" s="57" t="str">
        <f ca="1">IFERROR(__xludf.DUMMYFUNCTION("""COMPUTED_VALUE"""),"")</f>
        <v/>
      </c>
      <c r="BS4" s="57" t="str">
        <f ca="1">IFERROR(__xludf.DUMMYFUNCTION("""COMPUTED_VALUE"""),"")</f>
        <v/>
      </c>
      <c r="BT4" s="57" t="str">
        <f ca="1">IFERROR(__xludf.DUMMYFUNCTION("""COMPUTED_VALUE"""),"")</f>
        <v/>
      </c>
      <c r="BU4" s="57" t="str">
        <f ca="1">IFERROR(__xludf.DUMMYFUNCTION("""COMPUTED_VALUE"""),"")</f>
        <v/>
      </c>
      <c r="BV4" s="57" t="str">
        <f ca="1">IFERROR(__xludf.DUMMYFUNCTION("""COMPUTED_VALUE"""),"")</f>
        <v/>
      </c>
      <c r="BW4" s="57" t="str">
        <f ca="1">IFERROR(__xludf.DUMMYFUNCTION("""COMPUTED_VALUE"""),"")</f>
        <v/>
      </c>
      <c r="BX4" s="57" t="str">
        <f ca="1">IFERROR(__xludf.DUMMYFUNCTION("""COMPUTED_VALUE"""),"")</f>
        <v/>
      </c>
      <c r="BY4" s="57" t="str">
        <f ca="1">IFERROR(__xludf.DUMMYFUNCTION("""COMPUTED_VALUE"""),"")</f>
        <v/>
      </c>
      <c r="BZ4" s="57" t="str">
        <f ca="1">IFERROR(__xludf.DUMMYFUNCTION("""COMPUTED_VALUE"""),"")</f>
        <v/>
      </c>
      <c r="CA4" s="57" t="str">
        <f ca="1">IFERROR(__xludf.DUMMYFUNCTION("""COMPUTED_VALUE"""),"")</f>
        <v/>
      </c>
      <c r="CB4" s="57" t="str">
        <f ca="1">IFERROR(__xludf.DUMMYFUNCTION("""COMPUTED_VALUE"""),"")</f>
        <v/>
      </c>
      <c r="CC4" s="57" t="str">
        <f ca="1">IFERROR(__xludf.DUMMYFUNCTION("""COMPUTED_VALUE"""),"")</f>
        <v/>
      </c>
      <c r="CD4" s="57" t="str">
        <f ca="1">IFERROR(__xludf.DUMMYFUNCTION("""COMPUTED_VALUE"""),"")</f>
        <v/>
      </c>
      <c r="CE4" s="57" t="str">
        <f ca="1">IFERROR(__xludf.DUMMYFUNCTION("""COMPUTED_VALUE"""),"")</f>
        <v/>
      </c>
      <c r="CF4" s="57" t="str">
        <f ca="1">IFERROR(__xludf.DUMMYFUNCTION("""COMPUTED_VALUE"""),"")</f>
        <v/>
      </c>
      <c r="CG4" s="57" t="str">
        <f ca="1">IFERROR(__xludf.DUMMYFUNCTION("""COMPUTED_VALUE"""),"")</f>
        <v/>
      </c>
      <c r="CH4" s="57" t="str">
        <f ca="1">IFERROR(__xludf.DUMMYFUNCTION("""COMPUTED_VALUE"""),"")</f>
        <v/>
      </c>
      <c r="CI4" s="57" t="str">
        <f ca="1">IFERROR(__xludf.DUMMYFUNCTION("""COMPUTED_VALUE"""),"")</f>
        <v/>
      </c>
      <c r="CJ4" s="57" t="str">
        <f ca="1">IFERROR(__xludf.DUMMYFUNCTION("""COMPUTED_VALUE"""),"")</f>
        <v/>
      </c>
      <c r="CK4" s="57" t="str">
        <f ca="1">IFERROR(__xludf.DUMMYFUNCTION("""COMPUTED_VALUE"""),"")</f>
        <v/>
      </c>
      <c r="CL4" s="57" t="str">
        <f ca="1">IFERROR(__xludf.DUMMYFUNCTION("""COMPUTED_VALUE"""),"")</f>
        <v/>
      </c>
      <c r="CM4" s="57" t="str">
        <f ca="1">IFERROR(__xludf.DUMMYFUNCTION("""COMPUTED_VALUE"""),"")</f>
        <v/>
      </c>
      <c r="CN4" s="57" t="str">
        <f ca="1">IFERROR(__xludf.DUMMYFUNCTION("""COMPUTED_VALUE"""),"")</f>
        <v/>
      </c>
      <c r="CO4" s="57" t="str">
        <f ca="1">IFERROR(__xludf.DUMMYFUNCTION("""COMPUTED_VALUE"""),"")</f>
        <v/>
      </c>
      <c r="CP4" s="57" t="str">
        <f ca="1">IFERROR(__xludf.DUMMYFUNCTION("""COMPUTED_VALUE"""),"")</f>
        <v/>
      </c>
      <c r="CQ4" s="57" t="str">
        <f ca="1">IFERROR(__xludf.DUMMYFUNCTION("""COMPUTED_VALUE"""),"")</f>
        <v/>
      </c>
      <c r="CR4" s="57" t="str">
        <f ca="1">IFERROR(__xludf.DUMMYFUNCTION("""COMPUTED_VALUE"""),"")</f>
        <v/>
      </c>
      <c r="CS4" s="57" t="str">
        <f ca="1">IFERROR(__xludf.DUMMYFUNCTION("""COMPUTED_VALUE"""),"")</f>
        <v/>
      </c>
      <c r="CT4" s="57" t="str">
        <f ca="1">IFERROR(__xludf.DUMMYFUNCTION("""COMPUTED_VALUE"""),"")</f>
        <v/>
      </c>
      <c r="CU4" s="57" t="str">
        <f ca="1">IFERROR(__xludf.DUMMYFUNCTION("""COMPUTED_VALUE"""),"")</f>
        <v/>
      </c>
      <c r="CV4" s="57" t="str">
        <f ca="1">IFERROR(__xludf.DUMMYFUNCTION("""COMPUTED_VALUE"""),"")</f>
        <v/>
      </c>
      <c r="CW4" s="57" t="str">
        <f ca="1">IFERROR(__xludf.DUMMYFUNCTION("""COMPUTED_VALUE"""),"")</f>
        <v/>
      </c>
      <c r="CX4" s="57" t="str">
        <f ca="1">IFERROR(__xludf.DUMMYFUNCTION("""COMPUTED_VALUE"""),"")</f>
        <v/>
      </c>
      <c r="CY4" s="57" t="str">
        <f ca="1">IFERROR(__xludf.DUMMYFUNCTION("""COMPUTED_VALUE"""),"")</f>
        <v/>
      </c>
      <c r="CZ4" s="57" t="str">
        <f ca="1">IFERROR(__xludf.DUMMYFUNCTION("""COMPUTED_VALUE"""),"")</f>
        <v/>
      </c>
      <c r="DA4" s="57" t="str">
        <f ca="1">IFERROR(__xludf.DUMMYFUNCTION("""COMPUTED_VALUE"""),"")</f>
        <v/>
      </c>
      <c r="DB4" s="57" t="str">
        <f ca="1">IFERROR(__xludf.DUMMYFUNCTION("""COMPUTED_VALUE"""),"")</f>
        <v/>
      </c>
      <c r="DC4" s="57" t="str">
        <f ca="1">IFERROR(__xludf.DUMMYFUNCTION("""COMPUTED_VALUE"""),"")</f>
        <v/>
      </c>
      <c r="DD4" s="57" t="str">
        <f ca="1">IFERROR(__xludf.DUMMYFUNCTION("""COMPUTED_VALUE"""),"")</f>
        <v/>
      </c>
      <c r="DE4" s="57" t="str">
        <f ca="1">IFERROR(__xludf.DUMMYFUNCTION("""COMPUTED_VALUE"""),"")</f>
        <v/>
      </c>
      <c r="DF4" s="57" t="str">
        <f ca="1">IFERROR(__xludf.DUMMYFUNCTION("""COMPUTED_VALUE"""),"")</f>
        <v/>
      </c>
      <c r="DG4" s="57" t="str">
        <f ca="1">IFERROR(__xludf.DUMMYFUNCTION("""COMPUTED_VALUE"""),"")</f>
        <v/>
      </c>
      <c r="DH4" s="57" t="str">
        <f ca="1">IFERROR(__xludf.DUMMYFUNCTION("""COMPUTED_VALUE"""),"")</f>
        <v/>
      </c>
      <c r="DI4" s="57" t="str">
        <f ca="1">IFERROR(__xludf.DUMMYFUNCTION("""COMPUTED_VALUE"""),"")</f>
        <v/>
      </c>
      <c r="DJ4" s="57" t="str">
        <f ca="1">IFERROR(__xludf.DUMMYFUNCTION("""COMPUTED_VALUE"""),"")</f>
        <v/>
      </c>
      <c r="DK4" s="57" t="str">
        <f ca="1">IFERROR(__xludf.DUMMYFUNCTION("""COMPUTED_VALUE"""),"")</f>
        <v/>
      </c>
      <c r="DL4" s="57" t="str">
        <f ca="1">IFERROR(__xludf.DUMMYFUNCTION("""COMPUTED_VALUE"""),"")</f>
        <v/>
      </c>
      <c r="DM4" s="57" t="str">
        <f ca="1">IFERROR(__xludf.DUMMYFUNCTION("""COMPUTED_VALUE"""),"")</f>
        <v/>
      </c>
      <c r="DN4" s="57" t="str">
        <f ca="1">IFERROR(__xludf.DUMMYFUNCTION("""COMPUTED_VALUE"""),"")</f>
        <v/>
      </c>
      <c r="DO4" s="57" t="str">
        <f ca="1">IFERROR(__xludf.DUMMYFUNCTION("""COMPUTED_VALUE"""),"")</f>
        <v/>
      </c>
      <c r="DP4" s="57" t="str">
        <f ca="1">IFERROR(__xludf.DUMMYFUNCTION("""COMPUTED_VALUE"""),"")</f>
        <v/>
      </c>
      <c r="DQ4" s="57" t="str">
        <f ca="1">IFERROR(__xludf.DUMMYFUNCTION("""COMPUTED_VALUE"""),"")</f>
        <v/>
      </c>
      <c r="DR4" s="57" t="str">
        <f ca="1">IFERROR(__xludf.DUMMYFUNCTION("""COMPUTED_VALUE"""),"")</f>
        <v/>
      </c>
      <c r="DS4" s="57" t="str">
        <f ca="1">IFERROR(__xludf.DUMMYFUNCTION("""COMPUTED_VALUE"""),"")</f>
        <v/>
      </c>
      <c r="DT4" s="57" t="str">
        <f ca="1">IFERROR(__xludf.DUMMYFUNCTION("""COMPUTED_VALUE"""),"")</f>
        <v/>
      </c>
      <c r="DU4" s="57" t="str">
        <f ca="1">IFERROR(__xludf.DUMMYFUNCTION("""COMPUTED_VALUE"""),"")</f>
        <v/>
      </c>
      <c r="DV4" s="57" t="str">
        <f ca="1">IFERROR(__xludf.DUMMYFUNCTION("""COMPUTED_VALUE"""),"")</f>
        <v/>
      </c>
      <c r="DW4" s="57" t="str">
        <f ca="1">IFERROR(__xludf.DUMMYFUNCTION("""COMPUTED_VALUE"""),"")</f>
        <v/>
      </c>
      <c r="DX4" s="57" t="str">
        <f ca="1">IFERROR(__xludf.DUMMYFUNCTION("""COMPUTED_VALUE"""),"")</f>
        <v/>
      </c>
      <c r="DY4" s="57" t="str">
        <f ca="1">IFERROR(__xludf.DUMMYFUNCTION("""COMPUTED_VALUE"""),"")</f>
        <v/>
      </c>
      <c r="DZ4" s="57" t="str">
        <f ca="1">IFERROR(__xludf.DUMMYFUNCTION("""COMPUTED_VALUE"""),"")</f>
        <v/>
      </c>
      <c r="EA4" s="57" t="str">
        <f ca="1">IFERROR(__xludf.DUMMYFUNCTION("""COMPUTED_VALUE"""),"")</f>
        <v/>
      </c>
      <c r="EB4" s="57" t="str">
        <f ca="1">IFERROR(__xludf.DUMMYFUNCTION("""COMPUTED_VALUE"""),"")</f>
        <v/>
      </c>
      <c r="EC4" s="57" t="str">
        <f ca="1">IFERROR(__xludf.DUMMYFUNCTION("""COMPUTED_VALUE"""),"")</f>
        <v/>
      </c>
      <c r="ED4" s="57" t="str">
        <f ca="1">IFERROR(__xludf.DUMMYFUNCTION("""COMPUTED_VALUE"""),"")</f>
        <v/>
      </c>
      <c r="EE4" s="57" t="str">
        <f ca="1">IFERROR(__xludf.DUMMYFUNCTION("""COMPUTED_VALUE"""),"")</f>
        <v/>
      </c>
      <c r="EF4" s="57" t="str">
        <f ca="1">IFERROR(__xludf.DUMMYFUNCTION("""COMPUTED_VALUE"""),"")</f>
        <v/>
      </c>
      <c r="EG4" s="57" t="str">
        <f ca="1">IFERROR(__xludf.DUMMYFUNCTION("""COMPUTED_VALUE"""),"")</f>
        <v/>
      </c>
      <c r="EH4" s="57" t="str">
        <f ca="1">IFERROR(__xludf.DUMMYFUNCTION("""COMPUTED_VALUE"""),"")</f>
        <v/>
      </c>
      <c r="EI4" s="57" t="str">
        <f ca="1">IFERROR(__xludf.DUMMYFUNCTION("""COMPUTED_VALUE"""),"")</f>
        <v/>
      </c>
      <c r="EJ4" s="57" t="str">
        <f ca="1">IFERROR(__xludf.DUMMYFUNCTION("""COMPUTED_VALUE"""),"")</f>
        <v/>
      </c>
      <c r="EK4" s="57" t="str">
        <f ca="1">IFERROR(__xludf.DUMMYFUNCTION("""COMPUTED_VALUE"""),"")</f>
        <v/>
      </c>
      <c r="EL4" s="57" t="str">
        <f ca="1">IFERROR(__xludf.DUMMYFUNCTION("""COMPUTED_VALUE"""),"")</f>
        <v/>
      </c>
      <c r="EM4" s="57" t="str">
        <f ca="1">IFERROR(__xludf.DUMMYFUNCTION("""COMPUTED_VALUE"""),"")</f>
        <v/>
      </c>
      <c r="EN4" s="57" t="str">
        <f ca="1">IFERROR(__xludf.DUMMYFUNCTION("""COMPUTED_VALUE"""),"")</f>
        <v/>
      </c>
      <c r="EO4" s="57" t="str">
        <f ca="1">IFERROR(__xludf.DUMMYFUNCTION("""COMPUTED_VALUE"""),"")</f>
        <v/>
      </c>
      <c r="EP4" s="57" t="str">
        <f ca="1">IFERROR(__xludf.DUMMYFUNCTION("""COMPUTED_VALUE"""),"")</f>
        <v/>
      </c>
      <c r="EQ4" s="57" t="str">
        <f ca="1">IFERROR(__xludf.DUMMYFUNCTION("""COMPUTED_VALUE"""),"")</f>
        <v/>
      </c>
      <c r="ER4" s="57" t="str">
        <f ca="1">IFERROR(__xludf.DUMMYFUNCTION("""COMPUTED_VALUE"""),"")</f>
        <v/>
      </c>
      <c r="ES4" s="57" t="str">
        <f ca="1">IFERROR(__xludf.DUMMYFUNCTION("""COMPUTED_VALUE"""),"")</f>
        <v/>
      </c>
      <c r="ET4" s="57" t="str">
        <f ca="1">IFERROR(__xludf.DUMMYFUNCTION("""COMPUTED_VALUE"""),"")</f>
        <v/>
      </c>
      <c r="EU4" s="57" t="str">
        <f ca="1">IFERROR(__xludf.DUMMYFUNCTION("""COMPUTED_VALUE"""),"")</f>
        <v/>
      </c>
      <c r="EV4" s="57" t="str">
        <f ca="1">IFERROR(__xludf.DUMMYFUNCTION("""COMPUTED_VALUE"""),"")</f>
        <v/>
      </c>
      <c r="EW4" s="57" t="str">
        <f ca="1">IFERROR(__xludf.DUMMYFUNCTION("""COMPUTED_VALUE"""),"")</f>
        <v/>
      </c>
      <c r="EX4" s="57" t="str">
        <f ca="1">IFERROR(__xludf.DUMMYFUNCTION("""COMPUTED_VALUE"""),"")</f>
        <v/>
      </c>
      <c r="EY4" s="57" t="str">
        <f ca="1">IFERROR(__xludf.DUMMYFUNCTION("""COMPUTED_VALUE"""),"")</f>
        <v/>
      </c>
      <c r="EZ4" s="57" t="str">
        <f ca="1">IFERROR(__xludf.DUMMYFUNCTION("""COMPUTED_VALUE"""),"")</f>
        <v/>
      </c>
      <c r="FA4" s="57" t="str">
        <f ca="1">IFERROR(__xludf.DUMMYFUNCTION("""COMPUTED_VALUE"""),"")</f>
        <v/>
      </c>
      <c r="FB4" s="57" t="str">
        <f ca="1">IFERROR(__xludf.DUMMYFUNCTION("""COMPUTED_VALUE"""),"")</f>
        <v/>
      </c>
      <c r="FC4" s="57" t="str">
        <f ca="1">IFERROR(__xludf.DUMMYFUNCTION("""COMPUTED_VALUE"""),"")</f>
        <v/>
      </c>
      <c r="FD4" s="57" t="str">
        <f ca="1">IFERROR(__xludf.DUMMYFUNCTION("""COMPUTED_VALUE"""),"")</f>
        <v/>
      </c>
      <c r="FE4" s="57" t="str">
        <f ca="1">IFERROR(__xludf.DUMMYFUNCTION("""COMPUTED_VALUE"""),"")</f>
        <v/>
      </c>
      <c r="FF4" s="57" t="str">
        <f ca="1">IFERROR(__xludf.DUMMYFUNCTION("""COMPUTED_VALUE"""),"")</f>
        <v/>
      </c>
      <c r="FG4" s="57" t="str">
        <f ca="1">IFERROR(__xludf.DUMMYFUNCTION("""COMPUTED_VALUE"""),"")</f>
        <v/>
      </c>
      <c r="FH4" s="57" t="str">
        <f ca="1">IFERROR(__xludf.DUMMYFUNCTION("""COMPUTED_VALUE"""),"")</f>
        <v/>
      </c>
      <c r="FI4" s="57" t="str">
        <f ca="1">IFERROR(__xludf.DUMMYFUNCTION("""COMPUTED_VALUE"""),"")</f>
        <v/>
      </c>
      <c r="FJ4" s="57" t="str">
        <f ca="1">IFERROR(__xludf.DUMMYFUNCTION("""COMPUTED_VALUE"""),"")</f>
        <v/>
      </c>
    </row>
    <row r="5" spans="1:166" ht="15.75" customHeight="1">
      <c r="A5" s="58" t="str">
        <f ca="1">IFERROR(__xludf.DUMMYFUNCTION("TRANSPOSE(IMPORTRANGE(VLOOKUP($E$3,IMPORTRANGE('_Settings'!$B$3,$C$3&amp;""!A4:B1000""),2,FALSE),$G$3&amp;""!A4:A1000""))"),"")</f>
        <v/>
      </c>
      <c r="B5" s="59" t="str">
        <f ca="1">IFERROR(__xludf.DUMMYFUNCTION("""COMPUTED_VALUE"""),"Trade Date")</f>
        <v>Trade Date</v>
      </c>
      <c r="C5" s="59" t="str">
        <f ca="1">IFERROR(__xludf.DUMMYFUNCTION("""COMPUTED_VALUE"""),"Symbol")</f>
        <v>Symbol</v>
      </c>
      <c r="D5" s="59" t="str">
        <f ca="1">IFERROR(__xludf.DUMMYFUNCTION("""COMPUTED_VALUE"""),"Position")</f>
        <v>Position</v>
      </c>
      <c r="E5" s="59" t="str">
        <f ca="1">IFERROR(__xludf.DUMMYFUNCTION("""COMPUTED_VALUE"""),"Account")</f>
        <v>Account</v>
      </c>
      <c r="F5" s="60" t="str">
        <f ca="1">IFERROR(__xludf.DUMMYFUNCTION("""COMPUTED_VALUE"""),"MasterFund")</f>
        <v>MasterFund</v>
      </c>
      <c r="G5" s="59" t="str">
        <f ca="1">IFERROR(__xludf.DUMMYFUNCTION("""COMPUTED_VALUE"""),"Cost Basis")</f>
        <v>Cost Basis</v>
      </c>
      <c r="H5" s="59" t="str">
        <f ca="1">IFERROR(__xludf.DUMMYFUNCTION("""COMPUTED_VALUE"""),"Position Side")</f>
        <v>Position Side</v>
      </c>
      <c r="I5" s="59" t="str">
        <f ca="1">IFERROR(__xludf.DUMMYFUNCTION("""COMPUTED_VALUE"""),"Market Value (Base)")</f>
        <v>Market Value (Base)</v>
      </c>
      <c r="J5" s="59" t="str">
        <f ca="1">IFERROR(__xludf.DUMMYFUNCTION("""COMPUTED_VALUE"""),"% Day P&amp;L (Gross MV)")</f>
        <v>% Day P&amp;L (Gross MV)</v>
      </c>
      <c r="K5" s="59" t="str">
        <f ca="1">IFERROR(__xludf.DUMMYFUNCTION("""COMPUTED_VALUE"""),"Net Exposure (Base)")</f>
        <v>Net Exposure (Base)</v>
      </c>
      <c r="L5" s="59" t="str">
        <f ca="1">IFERROR(__xludf.DUMMYFUNCTION("""COMPUTED_VALUE"""),"Beta Adj. Gross Exposure (Base)")</f>
        <v>Beta Adj. Gross Exposure (Base)</v>
      </c>
      <c r="M5" s="59" t="str">
        <f ca="1">IFERROR(__xludf.DUMMYFUNCTION("""COMPUTED_VALUE"""),"Beta Adj. Gross Exposure (Underlying) (Base)")</f>
        <v>Beta Adj. Gross Exposure (Underlying) (Base)</v>
      </c>
      <c r="N5" s="59" t="str">
        <f ca="1">IFERROR(__xludf.DUMMYFUNCTION("""COMPUTED_VALUE"""),"Day P&amp;L (Base)")</f>
        <v>Day P&amp;L (Base)</v>
      </c>
      <c r="O5" s="59" t="str">
        <f ca="1">IFERROR(__xludf.DUMMYFUNCTION("""COMPUTED_VALUE"""),"Security Name")</f>
        <v>Security Name</v>
      </c>
      <c r="P5" s="59" t="str">
        <f ca="1">IFERROR(__xludf.DUMMYFUNCTION("""COMPUTED_VALUE"""),"Closing Mark")</f>
        <v>Closing Mark</v>
      </c>
      <c r="Q5" s="59" t="str">
        <f ca="1">IFERROR(__xludf.DUMMYFUNCTION("""COMPUTED_VALUE"""),"Cost Basis P&amp;L (Base)")</f>
        <v>Cost Basis P&amp;L (Base)</v>
      </c>
      <c r="R5" s="59" t="str">
        <f ca="1">IFERROR(__xludf.DUMMYFUNCTION("""COMPUTED_VALUE"""),"Prime Broker")</f>
        <v>Prime Broker</v>
      </c>
      <c r="S5" s="59" t="str">
        <f ca="1">IFERROR(__xludf.DUMMYFUNCTION("""COMPUTED_VALUE"""),"Strategy")</f>
        <v>Strategy</v>
      </c>
      <c r="T5" s="61" t="str">
        <f ca="1">IFERROR(__xludf.DUMMYFUNCTION("""COMPUTED_VALUE"""),"Asset Class")</f>
        <v>Asset Class</v>
      </c>
      <c r="U5" s="61" t="str">
        <f ca="1">IFERROR(__xludf.DUMMYFUNCTION("""COMPUTED_VALUE"""),"Underlying")</f>
        <v>Underlying</v>
      </c>
      <c r="V5" s="61" t="str">
        <f ca="1">IFERROR(__xludf.DUMMYFUNCTION("""COMPUTED_VALUE"""),"Exchange")</f>
        <v>Exchange</v>
      </c>
      <c r="W5" s="61" t="str">
        <f ca="1">IFERROR(__xludf.DUMMYFUNCTION("""COMPUTED_VALUE"""),"Trade Currency")</f>
        <v>Trade Currency</v>
      </c>
      <c r="X5" s="61" t="str">
        <f ca="1">IFERROR(__xludf.DUMMYFUNCTION("""COMPUTED_VALUE"""),"Multiplier")</f>
        <v>Multiplier</v>
      </c>
      <c r="Y5" s="61" t="str">
        <f ca="1">IFERROR(__xludf.DUMMYFUNCTION("""COMPUTED_VALUE"""),"FX Rate")</f>
        <v>FX Rate</v>
      </c>
      <c r="Z5" s="61" t="str">
        <f ca="1">IFERROR(__xludf.DUMMYFUNCTION("""COMPUTED_VALUE"""),"Vs Currency")</f>
        <v>Vs Currency</v>
      </c>
      <c r="AA5" s="61" t="str">
        <f ca="1">IFERROR(__xludf.DUMMYFUNCTION("""COMPUTED_VALUE"""),"Lead Currency")</f>
        <v>Lead Currency</v>
      </c>
      <c r="AB5" s="61" t="str">
        <f ca="1">IFERROR(__xludf.DUMMYFUNCTION("""COMPUTED_VALUE"""),"Dividend Yield (%)")</f>
        <v>Dividend Yield (%)</v>
      </c>
      <c r="AC5" s="61" t="str">
        <f ca="1">IFERROR(__xludf.DUMMYFUNCTION("""COMPUTED_VALUE"""),"% Change")</f>
        <v>% Change</v>
      </c>
      <c r="AD5" s="61" t="str">
        <f ca="1">IFERROR(__xludf.DUMMYFUNCTION("""COMPUTED_VALUE"""),"Net Exposure (Local)")</f>
        <v>Net Exposure (Local)</v>
      </c>
      <c r="AE5" s="61" t="str">
        <f ca="1">IFERROR(__xludf.DUMMYFUNCTION("""COMPUTED_VALUE"""),"Exposure (Local)")</f>
        <v>Exposure (Local)</v>
      </c>
      <c r="AF5" s="61" t="str">
        <f ca="1">IFERROR(__xludf.DUMMYFUNCTION("""COMPUTED_VALUE"""),"Delta Adj. Position")</f>
        <v>Delta Adj. Position</v>
      </c>
      <c r="AG5" s="61" t="str">
        <f ca="1">IFERROR(__xludf.DUMMYFUNCTION("""COMPUTED_VALUE"""),"Exposure (Base)")</f>
        <v>Exposure (Base)</v>
      </c>
      <c r="AH5" s="61" t="str">
        <f ca="1">IFERROR(__xludf.DUMMYFUNCTION("""COMPUTED_VALUE"""),"Beta Adj. Exposure (Local)")</f>
        <v>Beta Adj. Exposure (Local)</v>
      </c>
      <c r="AI5" s="61" t="str">
        <f ca="1">IFERROR(__xludf.DUMMYFUNCTION("""COMPUTED_VALUE"""),"Beta Adj. Exposure (Base)")</f>
        <v>Beta Adj. Exposure (Base)</v>
      </c>
      <c r="AJ5" s="61" t="str">
        <f ca="1">IFERROR(__xludf.DUMMYFUNCTION("""COMPUTED_VALUE"""),"Exposure (BP)(Base)")</f>
        <v>Exposure (BP)(Base)</v>
      </c>
      <c r="AK5" s="61" t="str">
        <f ca="1">IFERROR(__xludf.DUMMYFUNCTION("""COMPUTED_VALUE"""),"Day P&amp;L (Local)")</f>
        <v>Day P&amp;L (Local)</v>
      </c>
      <c r="AL5" s="61" t="str">
        <f ca="1">IFERROR(__xludf.DUMMYFUNCTION("""COMPUTED_VALUE"""),"Delta")</f>
        <v>Delta</v>
      </c>
      <c r="AM5" s="61" t="str">
        <f ca="1">IFERROR(__xludf.DUMMYFUNCTION("""COMPUTED_VALUE"""),"Leveraged Factor")</f>
        <v>Leveraged Factor</v>
      </c>
      <c r="AN5" s="61" t="str">
        <f ca="1">IFERROR(__xludf.DUMMYFUNCTION("""COMPUTED_VALUE"""),"Order Side")</f>
        <v>Order Side</v>
      </c>
      <c r="AO5" s="61" t="str">
        <f ca="1">IFERROR(__xludf.DUMMYFUNCTION("""COMPUTED_VALUE"""),"Master Strategy")</f>
        <v>Master Strategy</v>
      </c>
      <c r="AP5" s="61" t="str">
        <f ca="1">IFERROR(__xludf.DUMMYFUNCTION("""COMPUTED_VALUE"""),"Transaction Side")</f>
        <v>Transaction Side</v>
      </c>
      <c r="AQ5" s="61" t="str">
        <f ca="1">IFERROR(__xludf.DUMMYFUNCTION("""COMPUTED_VALUE"""),"Underlying Symbol")</f>
        <v>Underlying Symbol</v>
      </c>
      <c r="AR5" s="61" t="str">
        <f ca="1">IFERROR(__xludf.DUMMYFUNCTION("""COMPUTED_VALUE"""),"Underlying Price")</f>
        <v>Underlying Price</v>
      </c>
      <c r="AS5" s="61" t="str">
        <f ca="1">IFERROR(__xludf.DUMMYFUNCTION("""COMPUTED_VALUE"""),"Side Multiplier")</f>
        <v>Side Multiplier</v>
      </c>
      <c r="AT5" s="61" t="str">
        <f ca="1">IFERROR(__xludf.DUMMYFUNCTION("""COMPUTED_VALUE"""),"Description")</f>
        <v>Description</v>
      </c>
      <c r="AU5" s="61" t="str">
        <f ca="1">IFERROR(__xludf.DUMMYFUNCTION("""COMPUTED_VALUE"""),"Internal Comments")</f>
        <v>Internal Comments</v>
      </c>
      <c r="AV5" s="61" t="str">
        <f ca="1">IFERROR(__xludf.DUMMYFUNCTION("""COMPUTED_VALUE"""),"FX Rate On Trade Date")</f>
        <v>FX Rate On Trade Date</v>
      </c>
      <c r="AW5" s="61" t="str">
        <f ca="1">IFERROR(__xludf.DUMMYFUNCTION("""COMPUTED_VALUE"""),"Cost Basis P&amp;L (Local)")</f>
        <v>Cost Basis P&amp;L (Local)</v>
      </c>
      <c r="AX5" s="61" t="str">
        <f ca="1">IFERROR(__xludf.DUMMYFUNCTION("""COMPUTED_VALUE"""),"Day Interest")</f>
        <v>Day Interest</v>
      </c>
      <c r="AY5" s="61" t="str">
        <f ca="1">IFERROR(__xludf.DUMMYFUNCTION("""COMPUTED_VALUE"""),"Total Interest")</f>
        <v>Total Interest</v>
      </c>
      <c r="AZ5" s="61" t="str">
        <f ca="1">IFERROR(__xludf.DUMMYFUNCTION("""COMPUTED_VALUE"""),"Market Value (Local)")</f>
        <v>Market Value (Local)</v>
      </c>
      <c r="BA5" s="61" t="str">
        <f ca="1">IFERROR(__xludf.DUMMYFUNCTION("""COMPUTED_VALUE"""),"% Gain/Loss Day")</f>
        <v>% Gain/Loss Day</v>
      </c>
      <c r="BB5" s="61" t="str">
        <f ca="1">IFERROR(__xludf.DUMMYFUNCTION("""COMPUTED_VALUE"""),"Update Time (Last Price)")</f>
        <v>Update Time (Last Price)</v>
      </c>
      <c r="BC5" s="61" t="str">
        <f ca="1">IFERROR(__xludf.DUMMYFUNCTION("""COMPUTED_VALUE"""),"Beta")</f>
        <v>Beta</v>
      </c>
      <c r="BD5" s="61" t="str">
        <f ca="1">IFERROR(__xludf.DUMMYFUNCTION("""COMPUTED_VALUE"""),"Cash Impact (Local)")</f>
        <v>Cash Impact (Local)</v>
      </c>
      <c r="BE5" s="61" t="str">
        <f ca="1">IFERROR(__xludf.DUMMYFUNCTION("""COMPUTED_VALUE"""),"User Asset")</f>
        <v>User Asset</v>
      </c>
      <c r="BF5" s="61" t="str">
        <f ca="1">IFERROR(__xludf.DUMMYFUNCTION("""COMPUTED_VALUE"""),"Security Type")</f>
        <v>Security Type</v>
      </c>
      <c r="BG5" s="61" t="str">
        <f ca="1">IFERROR(__xludf.DUMMYFUNCTION("""COMPUTED_VALUE"""),"Sector")</f>
        <v>Sector</v>
      </c>
      <c r="BH5" s="61" t="str">
        <f ca="1">IFERROR(__xludf.DUMMYFUNCTION("""COMPUTED_VALUE"""),"Sub Sector")</f>
        <v>Sub Sector</v>
      </c>
      <c r="BI5" s="61" t="str">
        <f ca="1">IFERROR(__xludf.DUMMYFUNCTION("""COMPUTED_VALUE"""),"Country")</f>
        <v>Country</v>
      </c>
      <c r="BJ5" s="61" t="str">
        <f ca="1">IFERROR(__xludf.DUMMYFUNCTION("""COMPUTED_VALUE"""),"Market Cap")</f>
        <v>Market Cap</v>
      </c>
      <c r="BK5" s="61" t="str">
        <f ca="1">IFERROR(__xludf.DUMMYFUNCTION("""COMPUTED_VALUE"""),"Shares Outstanding (MM)")</f>
        <v>Shares Outstanding (MM)</v>
      </c>
      <c r="BL5" s="61" t="str">
        <f ca="1">IFERROR(__xludf.DUMMYFUNCTION("""COMPUTED_VALUE"""),"Avg Volume 20 Day")</f>
        <v>Avg Volume 20 Day</v>
      </c>
      <c r="BM5" s="61" t="str">
        <f ca="1">IFERROR(__xludf.DUMMYFUNCTION("""COMPUTED_VALUE"""),"% Avg Volume (Delta Adj.)")</f>
        <v>% Avg Volume (Delta Adj.)</v>
      </c>
      <c r="BN5" s="61" t="str">
        <f ca="1">IFERROR(__xludf.DUMMYFUNCTION("""COMPUTED_VALUE"""),"Ex Dividend Date")</f>
        <v>Ex Dividend Date</v>
      </c>
      <c r="BO5" s="61" t="str">
        <f ca="1">IFERROR(__xludf.DUMMYFUNCTION("""COMPUTED_VALUE"""),"Cash Impact (Base)")</f>
        <v>Cash Impact (Base)</v>
      </c>
      <c r="BP5" s="61" t="str">
        <f ca="1">IFERROR(__xludf.DUMMYFUNCTION("""COMPUTED_VALUE"""),"Volatility (%)")</f>
        <v>Volatility (%)</v>
      </c>
      <c r="BQ5" s="61" t="str">
        <f ca="1">IFERROR(__xludf.DUMMYFUNCTION("""COMPUTED_VALUE"""),"User")</f>
        <v>User</v>
      </c>
      <c r="BR5" s="61" t="str">
        <f ca="1">IFERROR(__xludf.DUMMYFUNCTION("""COMPUTED_VALUE"""),"Broker")</f>
        <v>Broker</v>
      </c>
      <c r="BS5" s="61" t="str">
        <f ca="1">IFERROR(__xludf.DUMMYFUNCTION("""COMPUTED_VALUE"""),"Earned Dividend (Local)")</f>
        <v>Earned Dividend (Local)</v>
      </c>
      <c r="BT5" s="61" t="str">
        <f ca="1">IFERROR(__xludf.DUMMYFUNCTION("""COMPUTED_VALUE"""),"Earned Dividend (Base)")</f>
        <v>Earned Dividend (Base)</v>
      </c>
      <c r="BU5" s="61" t="str">
        <f ca="1">IFERROR(__xludf.DUMMYFUNCTION("""COMPUTED_VALUE"""),"Put/Call")</f>
        <v>Put/Call</v>
      </c>
      <c r="BV5" s="61" t="str">
        <f ca="1">IFERROR(__xludf.DUMMYFUNCTION("""COMPUTED_VALUE"""),"Expiration Date")</f>
        <v>Expiration Date</v>
      </c>
      <c r="BW5" s="61" t="str">
        <f ca="1">IFERROR(__xludf.DUMMYFUNCTION("""COMPUTED_VALUE"""),"Strike Price")</f>
        <v>Strike Price</v>
      </c>
      <c r="BX5" s="61" t="str">
        <f ca="1">IFERROR(__xludf.DUMMYFUNCTION("""COMPUTED_VALUE"""),"Gross Exposure (Base)")</f>
        <v>Gross Exposure (Base)</v>
      </c>
      <c r="BY5" s="61" t="str">
        <f ca="1">IFERROR(__xludf.DUMMYFUNCTION("""COMPUTED_VALUE"""),"Gross Market Value (Base)")</f>
        <v>Gross Market Value (Base)</v>
      </c>
      <c r="BZ5" s="61" t="str">
        <f ca="1">IFERROR(__xludf.DUMMYFUNCTION("""COMPUTED_VALUE"""),"Px Selected Feed (Local)")</f>
        <v>Px Selected Feed (Local)</v>
      </c>
      <c r="CA5" s="61" t="str">
        <f ca="1">IFERROR(__xludf.DUMMYFUNCTION("""COMPUTED_VALUE"""),"Px Selected Feed (Base)")</f>
        <v>Px Selected Feed (Base)</v>
      </c>
      <c r="CB5" s="61" t="str">
        <f ca="1">IFERROR(__xludf.DUMMYFUNCTION("""COMPUTED_VALUE"""),"Settlement Date")</f>
        <v>Settlement Date</v>
      </c>
      <c r="CC5" s="61" t="str">
        <f ca="1">IFERROR(__xludf.DUMMYFUNCTION("""COMPUTED_VALUE"""),"% Avg Volume")</f>
        <v>% Avg Volume</v>
      </c>
      <c r="CD5" s="61" t="str">
        <f ca="1">IFERROR(__xludf.DUMMYFUNCTION("""COMPUTED_VALUE"""),"Day P&amp;L (Base)(Price Gain)")</f>
        <v>Day P&amp;L (Base)(Price Gain)</v>
      </c>
      <c r="CE5" s="61" t="str">
        <f ca="1">IFERROR(__xludf.DUMMYFUNCTION("""COMPUTED_VALUE"""),"Day P&amp;L (Base)(FX Gain)")</f>
        <v>Day P&amp;L (Base)(FX Gain)</v>
      </c>
      <c r="CF5" s="61" t="str">
        <f ca="1">IFERROR(__xludf.DUMMYFUNCTION("""COMPUTED_VALUE"""),"Cost Basis P&amp;L (Base)(FX Gain)")</f>
        <v>Cost Basis P&amp;L (Base)(FX Gain)</v>
      </c>
      <c r="CG5" s="61" t="str">
        <f ca="1">IFERROR(__xludf.DUMMYFUNCTION("""COMPUTED_VALUE"""),"Cost Basis P&amp;L (Base)(Price Gain)")</f>
        <v>Cost Basis P&amp;L (Base)(Price Gain)</v>
      </c>
      <c r="CH5" s="61" t="str">
        <f ca="1">IFERROR(__xludf.DUMMYFUNCTION("""COMPUTED_VALUE"""),"% Gain/Loss Cost")</f>
        <v>% Gain/Loss Cost</v>
      </c>
      <c r="CI5" s="61" t="str">
        <f ca="1">IFERROR(__xludf.DUMMYFUNCTION("""COMPUTED_VALUE"""),"Underlying Value (Options)")</f>
        <v>Underlying Value (Options)</v>
      </c>
      <c r="CJ5" s="61" t="str">
        <f ca="1">IFERROR(__xludf.DUMMYFUNCTION("""COMPUTED_VALUE"""),"Avg Volume 20 Day (Underlying Symbol)")</f>
        <v>Avg Volume 20 Day (Underlying Symbol)</v>
      </c>
      <c r="CK5" s="61" t="str">
        <f ca="1">IFERROR(__xludf.DUMMYFUNCTION("""COMPUTED_VALUE"""),"IsStaleData")</f>
        <v>IsStaleData</v>
      </c>
      <c r="CL5" s="61" t="str">
        <f ca="1">IFERROR(__xludf.DUMMYFUNCTION("""COMPUTED_VALUE"""),"IDCO")</f>
        <v>IDCO</v>
      </c>
      <c r="CM5" s="61" t="str">
        <f ca="1">IFERROR(__xludf.DUMMYFUNCTION("""COMPUTED_VALUE"""),"OSI")</f>
        <v>OSI</v>
      </c>
      <c r="CN5" s="61" t="str">
        <f ca="1">IFERROR(__xludf.DUMMYFUNCTION("""COMPUTED_VALUE"""),"SEDOL")</f>
        <v>SEDOL</v>
      </c>
      <c r="CO5" s="61" t="str">
        <f ca="1">IFERROR(__xludf.DUMMYFUNCTION("""COMPUTED_VALUE"""),"CUSIP")</f>
        <v>CUSIP</v>
      </c>
      <c r="CP5" s="61" t="str">
        <f ca="1">IFERROR(__xludf.DUMMYFUNCTION("""COMPUTED_VALUE"""),"Bloomberg")</f>
        <v>Bloomberg</v>
      </c>
      <c r="CQ5" s="61" t="str">
        <f ca="1">IFERROR(__xludf.DUMMYFUNCTION("""COMPUTED_VALUE"""),"ISIN")</f>
        <v>ISIN</v>
      </c>
      <c r="CR5" s="61" t="str">
        <f ca="1">IFERROR(__xludf.DUMMYFUNCTION("""COMPUTED_VALUE"""),"Start Trade Date")</f>
        <v>Start Trade Date</v>
      </c>
      <c r="CS5" s="61" t="str">
        <f ca="1">IFERROR(__xludf.DUMMYFUNCTION("""COMPUTED_VALUE"""),"Cost Basis (Break Even)")</f>
        <v>Cost Basis (Break Even)</v>
      </c>
      <c r="CT5" s="61" t="str">
        <f ca="1">IFERROR(__xludf.DUMMYFUNCTION("""COMPUTED_VALUE"""),"Trade Attribute 3")</f>
        <v>Trade Attribute 3</v>
      </c>
      <c r="CU5" s="61" t="str">
        <f ca="1">IFERROR(__xludf.DUMMYFUNCTION("""COMPUTED_VALUE"""),"Trade Attribute 4")</f>
        <v>Trade Attribute 4</v>
      </c>
      <c r="CV5" s="61" t="str">
        <f ca="1">IFERROR(__xludf.DUMMYFUNCTION("""COMPUTED_VALUE"""),"Trade Attribute 5")</f>
        <v>Trade Attribute 5</v>
      </c>
      <c r="CW5" s="61" t="str">
        <f ca="1">IFERROR(__xludf.DUMMYFUNCTION("""COMPUTED_VALUE"""),"Trade Attribute 6")</f>
        <v>Trade Attribute 6</v>
      </c>
      <c r="CX5" s="61" t="str">
        <f ca="1">IFERROR(__xludf.DUMMYFUNCTION("""COMPUTED_VALUE"""),"Proxy Symbol")</f>
        <v>Proxy Symbol</v>
      </c>
      <c r="CY5" s="61" t="str">
        <f ca="1">IFERROR(__xludf.DUMMYFUNCTION("""COMPUTED_VALUE"""),"Pricing Source")</f>
        <v>Pricing Source</v>
      </c>
      <c r="CZ5" s="61" t="str">
        <f ca="1">IFERROR(__xludf.DUMMYFUNCTION("""COMPUTED_VALUE"""),"Delta Source")</f>
        <v>Delta Source</v>
      </c>
      <c r="DA5" s="61" t="str">
        <f ca="1">IFERROR(__xludf.DUMMYFUNCTION("""COMPUTED_VALUE"""),"Gross Exposure (Local)")</f>
        <v>Gross Exposure (Local)</v>
      </c>
      <c r="DB5" s="61" t="str">
        <f ca="1">IFERROR(__xludf.DUMMYFUNCTION("""COMPUTED_VALUE"""),"% Day P&amp;L (Net MV)")</f>
        <v>% Day P&amp;L (Net MV)</v>
      </c>
      <c r="DC5" s="61" t="str">
        <f ca="1">IFERROR(__xludf.DUMMYFUNCTION("""COMPUTED_VALUE"""),"Expiration Month")</f>
        <v>Expiration Month</v>
      </c>
      <c r="DD5" s="61" t="str">
        <f ca="1">IFERROR(__xludf.DUMMYFUNCTION("""COMPUTED_VALUE"""),"Delta Adj. Position (LME)")</f>
        <v>Delta Adj. Position (LME)</v>
      </c>
      <c r="DE5" s="61" t="str">
        <f ca="1">IFERROR(__xludf.DUMMYFUNCTION("""COMPUTED_VALUE"""),"Premium")</f>
        <v>Premium</v>
      </c>
      <c r="DF5" s="61" t="str">
        <f ca="1">IFERROR(__xludf.DUMMYFUNCTION("""COMPUTED_VALUE"""),"Premium $")</f>
        <v>Premium $</v>
      </c>
      <c r="DG5" s="61" t="str">
        <f ca="1">IFERROR(__xludf.DUMMYFUNCTION("""COMPUTED_VALUE"""),"Forward Points")</f>
        <v>Forward Points</v>
      </c>
      <c r="DH5" s="61" t="str">
        <f ca="1">IFERROR(__xludf.DUMMYFUNCTION("""COMPUTED_VALUE"""),"Closing Mark (Underlying)")</f>
        <v>Closing Mark (Underlying)</v>
      </c>
      <c r="DI5" s="61" t="str">
        <f ca="1">IFERROR(__xludf.DUMMYFUNCTION("""COMPUTED_VALUE"""),"% Change (Underlying Price)")</f>
        <v>% Change (Underlying Price)</v>
      </c>
      <c r="DJ5" s="61" t="str">
        <f ca="1">IFERROR(__xludf.DUMMYFUNCTION("""COMPUTED_VALUE"""),"Transaction Type")</f>
        <v>Transaction Type</v>
      </c>
      <c r="DK5" s="61" t="str">
        <f ca="1">IFERROR(__xludf.DUMMYFUNCTION("""COMPUTED_VALUE"""),"Closing Market Value (Local)")</f>
        <v>Closing Market Value (Local)</v>
      </c>
      <c r="DL5" s="61" t="str">
        <f ca="1">IFERROR(__xludf.DUMMYFUNCTION("""COMPUTED_VALUE"""),"Closing Market Value (Base)")</f>
        <v>Closing Market Value (Base)</v>
      </c>
      <c r="DM5" s="61" t="str">
        <f ca="1">IFERROR(__xludf.DUMMYFUNCTION("""COMPUTED_VALUE"""),"Closing FX Rate")</f>
        <v>Closing FX Rate</v>
      </c>
      <c r="DN5" s="61" t="str">
        <f ca="1">IFERROR(__xludf.DUMMYFUNCTION("""COMPUTED_VALUE"""),"Change In Underlying Price")</f>
        <v>Change In Underlying Price</v>
      </c>
      <c r="DO5" s="61" t="str">
        <f ca="1">IFERROR(__xludf.DUMMYFUNCTION("""COMPUTED_VALUE"""),"RIC")</f>
        <v>RIC</v>
      </c>
      <c r="DP5" s="61" t="str">
        <f ca="1">IFERROR(__xludf.DUMMYFUNCTION("""COMPUTED_VALUE"""),"Position Side Exposure (Boxed)")</f>
        <v>Position Side Exposure (Boxed)</v>
      </c>
      <c r="DQ5" s="61" t="str">
        <f ca="1">IFERROR(__xludf.DUMMYFUNCTION("""COMPUTED_VALUE"""),"Analyst")</f>
        <v>Analyst</v>
      </c>
      <c r="DR5" s="61" t="str">
        <f ca="1">IFERROR(__xludf.DUMMYFUNCTION("""COMPUTED_VALUE"""),"Country Of Risk")</f>
        <v>Country Of Risk</v>
      </c>
      <c r="DS5" s="61" t="str">
        <f ca="1">IFERROR(__xludf.DUMMYFUNCTION("""COMPUTED_VALUE"""),"Custom UDA1")</f>
        <v>Custom UDA1</v>
      </c>
      <c r="DT5" s="61" t="str">
        <f ca="1">IFERROR(__xludf.DUMMYFUNCTION("""COMPUTED_VALUE"""),"Custom UDA2")</f>
        <v>Custom UDA2</v>
      </c>
      <c r="DU5" s="61" t="str">
        <f ca="1">IFERROR(__xludf.DUMMYFUNCTION("""COMPUTED_VALUE"""),"Custom UDA3")</f>
        <v>Custom UDA3</v>
      </c>
      <c r="DV5" s="61" t="str">
        <f ca="1">IFERROR(__xludf.DUMMYFUNCTION("""COMPUTED_VALUE"""),"Custom UDA4")</f>
        <v>Custom UDA4</v>
      </c>
      <c r="DW5" s="61" t="str">
        <f ca="1">IFERROR(__xludf.DUMMYFUNCTION("""COMPUTED_VALUE"""),"Custom UDA5")</f>
        <v>Custom UDA5</v>
      </c>
      <c r="DX5" s="61" t="str">
        <f ca="1">IFERROR(__xludf.DUMMYFUNCTION("""COMPUTED_VALUE"""),"Custom UDA6")</f>
        <v>Custom UDA6</v>
      </c>
      <c r="DY5" s="61" t="str">
        <f ca="1">IFERROR(__xludf.DUMMYFUNCTION("""COMPUTED_VALUE"""),"Custom UDA7")</f>
        <v>Custom UDA7</v>
      </c>
      <c r="DZ5" s="61" t="str">
        <f ca="1">IFERROR(__xludf.DUMMYFUNCTION("""COMPUTED_VALUE"""),"Issuer")</f>
        <v>Issuer</v>
      </c>
      <c r="EA5" s="61" t="str">
        <f ca="1">IFERROR(__xludf.DUMMYFUNCTION("""COMPUTED_VALUE"""),"Liquid Tag")</f>
        <v>Liquid Tag</v>
      </c>
      <c r="EB5" s="61" t="str">
        <f ca="1">IFERROR(__xludf.DUMMYFUNCTION("""COMPUTED_VALUE"""),"Market Cap UDA")</f>
        <v>Market Cap UDA</v>
      </c>
      <c r="EC5" s="61" t="str">
        <f ca="1">IFERROR(__xludf.DUMMYFUNCTION("""COMPUTED_VALUE"""),"Region")</f>
        <v>Region</v>
      </c>
      <c r="ED5" s="61" t="str">
        <f ca="1">IFERROR(__xludf.DUMMYFUNCTION("""COMPUTED_VALUE"""),"Risk Currency")</f>
        <v>Risk Currency</v>
      </c>
      <c r="EE5" s="61" t="str">
        <f ca="1">IFERROR(__xludf.DUMMYFUNCTION("""COMPUTED_VALUE"""),"UCITS Eligible Tag")</f>
        <v>UCITS Eligible Tag</v>
      </c>
      <c r="EF5" s="61" t="str">
        <f ca="1">IFERROR(__xludf.DUMMYFUNCTION("""COMPUTED_VALUE"""),"FX Rate (Display)")</f>
        <v>FX Rate (Display)</v>
      </c>
      <c r="EG5" s="61" t="str">
        <f ca="1">IFERROR(__xludf.DUMMYFUNCTION("""COMPUTED_VALUE"""),"% Net Exposure (Base)")</f>
        <v>% Net Exposure (Base)</v>
      </c>
      <c r="EH5" s="61" t="str">
        <f ca="1">IFERROR(__xludf.DUMMYFUNCTION("""COMPUTED_VALUE"""),"% Gross Exposure (Base)")</f>
        <v>% Gross Exposure (Base)</v>
      </c>
      <c r="EI5" s="61" t="str">
        <f ca="1">IFERROR(__xludf.DUMMYFUNCTION("""COMPUTED_VALUE"""),"% Exposure (Base)")</f>
        <v>% Exposure (Base)</v>
      </c>
      <c r="EJ5" s="61" t="str">
        <f ca="1">IFERROR(__xludf.DUMMYFUNCTION("""COMPUTED_VALUE"""),"% Gross Exposure (Underlying) (Base)")</f>
        <v>% Gross Exposure (Underlying) (Base)</v>
      </c>
      <c r="EK5" s="61" t="str">
        <f ca="1">IFERROR(__xludf.DUMMYFUNCTION("""COMPUTED_VALUE"""),"% Beta Adj. Gross Exposure (Base)")</f>
        <v>% Beta Adj. Gross Exposure (Base)</v>
      </c>
      <c r="EL5" s="61" t="str">
        <f ca="1">IFERROR(__xludf.DUMMYFUNCTION("""COMPUTED_VALUE"""),"Position Side Exposure (Underlying)")</f>
        <v>Position Side Exposure (Underlying)</v>
      </c>
      <c r="EM5" s="61" t="str">
        <f ca="1">IFERROR(__xludf.DUMMYFUNCTION("""COMPUTED_VALUE"""),"Gross Exposure (Underlying) (Base)")</f>
        <v>Gross Exposure (Underlying) (Base)</v>
      </c>
      <c r="EN5" s="61" t="str">
        <f ca="1">IFERROR(__xludf.DUMMYFUNCTION("""COMPUTED_VALUE"""),"Gross Exposure (Underlying)")</f>
        <v>Gross Exposure (Underlying)</v>
      </c>
      <c r="EO5" s="61" t="str">
        <f ca="1">IFERROR(__xludf.DUMMYFUNCTION("""COMPUTED_VALUE"""),"Day Return")</f>
        <v>Day Return</v>
      </c>
      <c r="EP5" s="61" t="str">
        <f ca="1">IFERROR(__xludf.DUMMYFUNCTION("""COMPUTED_VALUE"""),"Start of Day NAV")</f>
        <v>Start of Day NAV</v>
      </c>
      <c r="EQ5" s="61" t="str">
        <f ca="1">IFERROR(__xludf.DUMMYFUNCTION("""COMPUTED_VALUE"""),"% Gross Market Value (Base)")</f>
        <v>% Gross Market Value (Base)</v>
      </c>
      <c r="ER5" s="61" t="str">
        <f ca="1">IFERROR(__xludf.DUMMYFUNCTION("""COMPUTED_VALUE"""),"Beta Adj. Gross Exposure (Underlying) (Local)")</f>
        <v>Beta Adj. Gross Exposure (Underlying) (Local)</v>
      </c>
      <c r="ES5" s="61" t="str">
        <f ca="1">IFERROR(__xludf.DUMMYFUNCTION("""COMPUTED_VALUE"""),"NAV")</f>
        <v>NAV</v>
      </c>
      <c r="ET5" s="61" t="str">
        <f ca="1">IFERROR(__xludf.DUMMYFUNCTION("""COMPUTED_VALUE"""),"% P&amp;L Contribution")</f>
        <v>% P&amp;L Contribution</v>
      </c>
      <c r="EU5" s="61" t="str">
        <f ca="1">IFERROR(__xludf.DUMMYFUNCTION("""COMPUTED_VALUE"""),"% Net Market Value (Base)")</f>
        <v>% Net Market Value (Base)</v>
      </c>
      <c r="EV5" s="61" t="str">
        <f ca="1">IFERROR(__xludf.DUMMYFUNCTION("""COMPUTED_VALUE"""),"Position Side Exposure")</f>
        <v>Position Side Exposure</v>
      </c>
      <c r="EW5" s="61" t="str">
        <f ca="1">IFERROR(__xludf.DUMMYFUNCTION("""COMPUTED_VALUE"""),"NAV (Touch)")</f>
        <v>NAV (Touch)</v>
      </c>
      <c r="EX5" s="61" t="str">
        <f ca="1">IFERROR(__xludf.DUMMYFUNCTION("""COMPUTED_VALUE"""),"IgnorePropertyChangeEvents")</f>
        <v>IgnorePropertyChangeEvents</v>
      </c>
      <c r="EY5" s="61" t="str">
        <f ca="1">IFERROR(__xludf.DUMMYFUNCTION("""COMPUTED_VALUE"""),"Trade Attribute 1")</f>
        <v>Trade Attribute 1</v>
      </c>
      <c r="EZ5" s="61" t="str">
        <f ca="1">IFERROR(__xludf.DUMMYFUNCTION("""COMPUTED_VALUE"""),"Trade Attribute 2")</f>
        <v>Trade Attribute 2</v>
      </c>
      <c r="FA5" s="61" t="str">
        <f ca="1">IFERROR(__xludf.DUMMYFUNCTION("""COMPUTED_VALUE"""),"")</f>
        <v/>
      </c>
      <c r="FB5" s="61" t="str">
        <f ca="1">IFERROR(__xludf.DUMMYFUNCTION("""COMPUTED_VALUE"""),"")</f>
        <v/>
      </c>
      <c r="FC5" s="61" t="str">
        <f ca="1">IFERROR(__xludf.DUMMYFUNCTION("""COMPUTED_VALUE"""),"")</f>
        <v/>
      </c>
      <c r="FD5" s="61" t="str">
        <f ca="1">IFERROR(__xludf.DUMMYFUNCTION("""COMPUTED_VALUE"""),"")</f>
        <v/>
      </c>
      <c r="FE5" s="61" t="str">
        <f ca="1">IFERROR(__xludf.DUMMYFUNCTION("""COMPUTED_VALUE"""),"")</f>
        <v/>
      </c>
      <c r="FF5" s="61" t="str">
        <f ca="1">IFERROR(__xludf.DUMMYFUNCTION("""COMPUTED_VALUE"""),"")</f>
        <v/>
      </c>
      <c r="FG5" s="61" t="str">
        <f ca="1">IFERROR(__xludf.DUMMYFUNCTION("""COMPUTED_VALUE"""),"")</f>
        <v/>
      </c>
      <c r="FH5" s="61" t="str">
        <f ca="1">IFERROR(__xludf.DUMMYFUNCTION("""COMPUTED_VALUE"""),"")</f>
        <v/>
      </c>
      <c r="FI5" s="61" t="str">
        <f ca="1">IFERROR(__xludf.DUMMYFUNCTION("""COMPUTED_VALUE"""),"")</f>
        <v/>
      </c>
      <c r="FJ5" s="61" t="str">
        <f ca="1">IFERROR(__xludf.DUMMYFUNCTION("""COMPUTED_VALUE"""),"")</f>
        <v/>
      </c>
    </row>
    <row r="6" spans="1:166" ht="15.75" customHeight="1">
      <c r="A6" s="62"/>
      <c r="B6" s="62"/>
      <c r="C6" s="63" t="s">
        <v>18</v>
      </c>
      <c r="D6" s="64">
        <v>50</v>
      </c>
      <c r="E6" s="63" t="s">
        <v>20</v>
      </c>
      <c r="F6" s="63" t="s">
        <v>46</v>
      </c>
      <c r="G6" s="64">
        <v>6</v>
      </c>
      <c r="H6" s="63" t="s">
        <v>47</v>
      </c>
      <c r="I6" s="65">
        <v>509.55</v>
      </c>
      <c r="J6" s="64">
        <v>100</v>
      </c>
      <c r="K6" s="65">
        <v>509.55</v>
      </c>
      <c r="L6" s="65">
        <v>509.55</v>
      </c>
      <c r="M6" s="65">
        <v>509.55</v>
      </c>
      <c r="N6" s="65">
        <v>509.55</v>
      </c>
      <c r="O6" s="63" t="s">
        <v>18</v>
      </c>
      <c r="P6" s="64">
        <v>6</v>
      </c>
      <c r="Q6" s="65">
        <v>127.39</v>
      </c>
      <c r="R6" s="63" t="s">
        <v>48</v>
      </c>
      <c r="S6" s="63" t="s">
        <v>49</v>
      </c>
      <c r="T6" s="63" t="s">
        <v>50</v>
      </c>
      <c r="U6" s="63" t="s">
        <v>51</v>
      </c>
      <c r="V6" s="63" t="s">
        <v>52</v>
      </c>
      <c r="W6" s="63" t="s">
        <v>53</v>
      </c>
      <c r="X6" s="64">
        <v>10</v>
      </c>
      <c r="Y6" s="65">
        <v>0.13</v>
      </c>
      <c r="Z6" s="63" t="s">
        <v>54</v>
      </c>
      <c r="AA6" s="63" t="s">
        <v>54</v>
      </c>
      <c r="AB6" s="64">
        <v>0</v>
      </c>
      <c r="AC6" s="65">
        <v>33.33</v>
      </c>
      <c r="AD6" s="64">
        <v>4000</v>
      </c>
      <c r="AE6" s="64">
        <v>4000</v>
      </c>
      <c r="AF6" s="64">
        <v>50</v>
      </c>
      <c r="AG6" s="65">
        <v>509.55</v>
      </c>
      <c r="AH6" s="64">
        <v>4000</v>
      </c>
      <c r="AI6" s="65">
        <v>509.55</v>
      </c>
      <c r="AJ6" s="65">
        <v>4878.2</v>
      </c>
      <c r="AK6" s="64">
        <v>1000</v>
      </c>
      <c r="AL6" s="64">
        <v>1</v>
      </c>
      <c r="AM6" s="64">
        <v>1</v>
      </c>
      <c r="AN6" s="63" t="s">
        <v>19</v>
      </c>
      <c r="AO6" s="63" t="s">
        <v>54</v>
      </c>
      <c r="AP6" s="63" t="s">
        <v>47</v>
      </c>
      <c r="AQ6" s="63" t="s">
        <v>18</v>
      </c>
      <c r="AR6" s="64">
        <v>8</v>
      </c>
      <c r="AS6" s="64">
        <v>1</v>
      </c>
      <c r="AT6" s="63" t="s">
        <v>55</v>
      </c>
      <c r="AU6" s="63" t="s">
        <v>56</v>
      </c>
      <c r="AV6" s="64"/>
      <c r="AW6" s="64">
        <v>1000</v>
      </c>
      <c r="AX6" s="64">
        <v>0</v>
      </c>
      <c r="AY6" s="64">
        <v>0</v>
      </c>
      <c r="AZ6" s="64">
        <v>1000</v>
      </c>
      <c r="BA6" s="65">
        <v>133.33000000000001</v>
      </c>
      <c r="BB6" s="63"/>
      <c r="BC6" s="64">
        <v>1</v>
      </c>
      <c r="BD6" s="64">
        <v>0</v>
      </c>
      <c r="BE6" s="63" t="s">
        <v>50</v>
      </c>
      <c r="BF6" s="63" t="s">
        <v>57</v>
      </c>
      <c r="BG6" s="63" t="s">
        <v>57</v>
      </c>
      <c r="BH6" s="63" t="s">
        <v>57</v>
      </c>
      <c r="BI6" s="63" t="s">
        <v>57</v>
      </c>
      <c r="BJ6" s="64">
        <v>0</v>
      </c>
      <c r="BK6" s="64">
        <v>0</v>
      </c>
      <c r="BL6" s="64">
        <v>0</v>
      </c>
      <c r="BM6" s="64">
        <v>0</v>
      </c>
      <c r="BN6" s="63"/>
      <c r="BO6" s="64">
        <v>0</v>
      </c>
      <c r="BP6" s="64">
        <v>0</v>
      </c>
      <c r="BQ6" s="63" t="s">
        <v>58</v>
      </c>
      <c r="BR6" s="63" t="s">
        <v>48</v>
      </c>
      <c r="BS6" s="64">
        <v>0</v>
      </c>
      <c r="BT6" s="64">
        <v>0</v>
      </c>
      <c r="BU6" s="63" t="s">
        <v>50</v>
      </c>
      <c r="BV6" s="63"/>
      <c r="BW6" s="64">
        <v>0</v>
      </c>
      <c r="BX6" s="65">
        <v>509.55</v>
      </c>
      <c r="BY6" s="65">
        <v>509.55</v>
      </c>
      <c r="BZ6" s="64">
        <v>8</v>
      </c>
      <c r="CA6" s="65">
        <v>1.02</v>
      </c>
      <c r="CB6" s="63"/>
      <c r="CC6" s="64">
        <v>0</v>
      </c>
      <c r="CD6" s="65">
        <v>127.39</v>
      </c>
      <c r="CE6" s="65">
        <v>382.17</v>
      </c>
      <c r="CF6" s="64">
        <v>0</v>
      </c>
      <c r="CG6" s="65">
        <v>127.39</v>
      </c>
      <c r="CH6" s="65">
        <v>33.33</v>
      </c>
      <c r="CI6" s="64">
        <v>0</v>
      </c>
      <c r="CJ6" s="64">
        <v>0</v>
      </c>
      <c r="CK6" s="66" t="b">
        <v>0</v>
      </c>
      <c r="CL6" s="63" t="s">
        <v>54</v>
      </c>
      <c r="CM6" s="63" t="s">
        <v>54</v>
      </c>
      <c r="CN6" s="63" t="s">
        <v>54</v>
      </c>
      <c r="CO6" s="63" t="s">
        <v>54</v>
      </c>
      <c r="CP6" s="63" t="s">
        <v>54</v>
      </c>
      <c r="CQ6" s="63" t="s">
        <v>54</v>
      </c>
      <c r="CR6" s="64"/>
      <c r="CS6" s="64">
        <v>6</v>
      </c>
      <c r="CT6" s="63" t="s">
        <v>54</v>
      </c>
      <c r="CU6" s="63" t="s">
        <v>54</v>
      </c>
      <c r="CV6" s="63" t="s">
        <v>54</v>
      </c>
      <c r="CW6" s="63" t="s">
        <v>54</v>
      </c>
      <c r="CX6" s="63" t="s">
        <v>54</v>
      </c>
      <c r="CY6" s="63" t="s">
        <v>59</v>
      </c>
      <c r="CZ6" s="63" t="s">
        <v>40</v>
      </c>
      <c r="DA6" s="64">
        <v>4000</v>
      </c>
      <c r="DB6" s="64">
        <v>100</v>
      </c>
      <c r="DC6" s="64"/>
      <c r="DD6" s="64">
        <v>50</v>
      </c>
      <c r="DE6" s="64">
        <v>0</v>
      </c>
      <c r="DF6" s="64">
        <v>0</v>
      </c>
      <c r="DG6" s="64">
        <v>0</v>
      </c>
      <c r="DH6" s="64">
        <v>6</v>
      </c>
      <c r="DI6" s="65">
        <v>33.33</v>
      </c>
      <c r="DJ6" s="63" t="s">
        <v>19</v>
      </c>
      <c r="DK6" s="64">
        <v>0</v>
      </c>
      <c r="DL6" s="64">
        <v>0</v>
      </c>
      <c r="DM6" s="64">
        <v>0</v>
      </c>
      <c r="DN6" s="64">
        <v>2</v>
      </c>
      <c r="DO6" s="63" t="s">
        <v>54</v>
      </c>
      <c r="DP6" s="63" t="s">
        <v>47</v>
      </c>
      <c r="DQ6" s="63" t="s">
        <v>57</v>
      </c>
      <c r="DR6" s="63" t="s">
        <v>60</v>
      </c>
      <c r="DS6" s="63" t="s">
        <v>57</v>
      </c>
      <c r="DT6" s="63" t="s">
        <v>57</v>
      </c>
      <c r="DU6" s="63" t="s">
        <v>57</v>
      </c>
      <c r="DV6" s="63" t="s">
        <v>57</v>
      </c>
      <c r="DW6" s="63" t="s">
        <v>57</v>
      </c>
      <c r="DX6" s="63" t="s">
        <v>57</v>
      </c>
      <c r="DY6" s="63" t="s">
        <v>57</v>
      </c>
      <c r="DZ6" s="63" t="s">
        <v>18</v>
      </c>
      <c r="EA6" s="63" t="s">
        <v>61</v>
      </c>
      <c r="EB6" s="63" t="s">
        <v>57</v>
      </c>
      <c r="EC6" s="63" t="s">
        <v>57</v>
      </c>
      <c r="ED6" s="63" t="s">
        <v>53</v>
      </c>
      <c r="EE6" s="63" t="s">
        <v>61</v>
      </c>
      <c r="EF6" s="64">
        <v>7.85</v>
      </c>
      <c r="EG6" s="65">
        <v>48.78</v>
      </c>
      <c r="EH6" s="65">
        <v>48.78</v>
      </c>
      <c r="EI6" s="65">
        <v>48.78</v>
      </c>
      <c r="EJ6" s="65">
        <v>48.78</v>
      </c>
      <c r="EK6" s="65">
        <v>48.78</v>
      </c>
      <c r="EL6" s="63" t="s">
        <v>47</v>
      </c>
      <c r="EM6" s="65">
        <v>509.55</v>
      </c>
      <c r="EN6" s="64">
        <v>4000</v>
      </c>
      <c r="EO6" s="64">
        <v>0</v>
      </c>
      <c r="EP6" s="64">
        <v>-65</v>
      </c>
      <c r="EQ6" s="65">
        <v>48.78</v>
      </c>
      <c r="ER6" s="64">
        <v>4000</v>
      </c>
      <c r="ES6" s="65">
        <v>1044.55</v>
      </c>
      <c r="ET6" s="65">
        <v>48.78</v>
      </c>
      <c r="EU6" s="65">
        <v>48.78</v>
      </c>
      <c r="EV6" s="63" t="s">
        <v>47</v>
      </c>
      <c r="EW6" s="65">
        <v>509.55</v>
      </c>
      <c r="EX6" s="66" t="b">
        <v>0</v>
      </c>
      <c r="EY6" s="63" t="s">
        <v>54</v>
      </c>
      <c r="EZ6" s="63" t="s">
        <v>54</v>
      </c>
      <c r="FA6" s="50"/>
      <c r="FB6" s="50"/>
      <c r="FC6" s="50"/>
      <c r="FD6" s="50"/>
      <c r="FE6" s="50"/>
      <c r="FF6" s="50"/>
      <c r="FG6" s="50"/>
      <c r="FH6" s="50"/>
      <c r="FI6" s="50"/>
      <c r="FJ6" s="50"/>
    </row>
    <row r="7" spans="1:166" ht="15.75" customHeight="1">
      <c r="A7" s="48"/>
      <c r="B7" s="48"/>
      <c r="C7" s="63" t="s">
        <v>23</v>
      </c>
      <c r="D7" s="64">
        <v>30</v>
      </c>
      <c r="E7" s="63" t="s">
        <v>25</v>
      </c>
      <c r="F7" s="63" t="s">
        <v>62</v>
      </c>
      <c r="G7" s="64">
        <v>30</v>
      </c>
      <c r="H7" s="63" t="s">
        <v>47</v>
      </c>
      <c r="I7" s="64">
        <v>600</v>
      </c>
      <c r="J7" s="64">
        <v>100</v>
      </c>
      <c r="K7" s="64">
        <v>18600</v>
      </c>
      <c r="L7" s="64">
        <v>18600</v>
      </c>
      <c r="M7" s="64">
        <v>18600</v>
      </c>
      <c r="N7" s="64">
        <v>600</v>
      </c>
      <c r="O7" s="63" t="s">
        <v>23</v>
      </c>
      <c r="P7" s="64">
        <v>30</v>
      </c>
      <c r="Q7" s="64">
        <v>600</v>
      </c>
      <c r="R7" s="63" t="s">
        <v>63</v>
      </c>
      <c r="S7" s="63" t="s">
        <v>49</v>
      </c>
      <c r="T7" s="63" t="s">
        <v>50</v>
      </c>
      <c r="U7" s="63" t="s">
        <v>64</v>
      </c>
      <c r="V7" s="63" t="s">
        <v>65</v>
      </c>
      <c r="W7" s="63" t="s">
        <v>31</v>
      </c>
      <c r="X7" s="64">
        <v>20</v>
      </c>
      <c r="Y7" s="64">
        <v>1</v>
      </c>
      <c r="Z7" s="63" t="s">
        <v>54</v>
      </c>
      <c r="AA7" s="63" t="s">
        <v>54</v>
      </c>
      <c r="AB7" s="64">
        <v>0</v>
      </c>
      <c r="AC7" s="65">
        <v>3.33</v>
      </c>
      <c r="AD7" s="64">
        <v>18600</v>
      </c>
      <c r="AE7" s="64">
        <v>18600</v>
      </c>
      <c r="AF7" s="64">
        <v>30</v>
      </c>
      <c r="AG7" s="64">
        <v>18600</v>
      </c>
      <c r="AH7" s="64">
        <v>18600</v>
      </c>
      <c r="AI7" s="64">
        <v>18600</v>
      </c>
      <c r="AJ7" s="65">
        <v>178066.4</v>
      </c>
      <c r="AK7" s="64">
        <v>600</v>
      </c>
      <c r="AL7" s="64">
        <v>1</v>
      </c>
      <c r="AM7" s="64">
        <v>1</v>
      </c>
      <c r="AN7" s="63" t="s">
        <v>19</v>
      </c>
      <c r="AO7" s="63" t="s">
        <v>54</v>
      </c>
      <c r="AP7" s="63" t="s">
        <v>47</v>
      </c>
      <c r="AQ7" s="63" t="s">
        <v>23</v>
      </c>
      <c r="AR7" s="64">
        <v>31</v>
      </c>
      <c r="AS7" s="64">
        <v>1</v>
      </c>
      <c r="AT7" s="63" t="s">
        <v>55</v>
      </c>
      <c r="AU7" s="63" t="s">
        <v>56</v>
      </c>
      <c r="AV7" s="64"/>
      <c r="AW7" s="64">
        <v>600</v>
      </c>
      <c r="AX7" s="64">
        <v>0</v>
      </c>
      <c r="AY7" s="64">
        <v>0</v>
      </c>
      <c r="AZ7" s="64">
        <v>600</v>
      </c>
      <c r="BA7" s="65">
        <v>3.33</v>
      </c>
      <c r="BB7" s="63"/>
      <c r="BC7" s="64">
        <v>1</v>
      </c>
      <c r="BD7" s="64">
        <v>0</v>
      </c>
      <c r="BE7" s="63" t="s">
        <v>50</v>
      </c>
      <c r="BF7" s="63" t="s">
        <v>57</v>
      </c>
      <c r="BG7" s="63" t="s">
        <v>57</v>
      </c>
      <c r="BH7" s="63" t="s">
        <v>57</v>
      </c>
      <c r="BI7" s="63" t="s">
        <v>57</v>
      </c>
      <c r="BJ7" s="64">
        <v>0</v>
      </c>
      <c r="BK7" s="64">
        <v>0</v>
      </c>
      <c r="BL7" s="64">
        <v>0</v>
      </c>
      <c r="BM7" s="64">
        <v>0</v>
      </c>
      <c r="BN7" s="63"/>
      <c r="BO7" s="64">
        <v>0</v>
      </c>
      <c r="BP7" s="64">
        <v>0</v>
      </c>
      <c r="BQ7" s="63" t="s">
        <v>58</v>
      </c>
      <c r="BR7" s="63" t="s">
        <v>48</v>
      </c>
      <c r="BS7" s="64">
        <v>0</v>
      </c>
      <c r="BT7" s="64">
        <v>0</v>
      </c>
      <c r="BU7" s="63" t="s">
        <v>50</v>
      </c>
      <c r="BV7" s="63"/>
      <c r="BW7" s="64">
        <v>0</v>
      </c>
      <c r="BX7" s="64">
        <v>18600</v>
      </c>
      <c r="BY7" s="64">
        <v>600</v>
      </c>
      <c r="BZ7" s="64">
        <v>31</v>
      </c>
      <c r="CA7" s="64">
        <v>31</v>
      </c>
      <c r="CB7" s="63"/>
      <c r="CC7" s="64">
        <v>0</v>
      </c>
      <c r="CD7" s="64">
        <v>600</v>
      </c>
      <c r="CE7" s="64">
        <v>0</v>
      </c>
      <c r="CF7" s="64">
        <v>0</v>
      </c>
      <c r="CG7" s="64">
        <v>600</v>
      </c>
      <c r="CH7" s="65">
        <v>3.33</v>
      </c>
      <c r="CI7" s="64">
        <v>0</v>
      </c>
      <c r="CJ7" s="64">
        <v>0</v>
      </c>
      <c r="CK7" s="66" t="b">
        <v>0</v>
      </c>
      <c r="CL7" s="63" t="s">
        <v>54</v>
      </c>
      <c r="CM7" s="63" t="s">
        <v>54</v>
      </c>
      <c r="CN7" s="63" t="s">
        <v>54</v>
      </c>
      <c r="CO7" s="63" t="s">
        <v>54</v>
      </c>
      <c r="CP7" s="63" t="s">
        <v>54</v>
      </c>
      <c r="CQ7" s="63" t="s">
        <v>54</v>
      </c>
      <c r="CR7" s="64"/>
      <c r="CS7" s="64">
        <v>30</v>
      </c>
      <c r="CT7" s="63" t="s">
        <v>54</v>
      </c>
      <c r="CU7" s="63" t="s">
        <v>54</v>
      </c>
      <c r="CV7" s="63" t="s">
        <v>54</v>
      </c>
      <c r="CW7" s="63" t="s">
        <v>54</v>
      </c>
      <c r="CX7" s="63" t="s">
        <v>54</v>
      </c>
      <c r="CY7" s="63" t="s">
        <v>59</v>
      </c>
      <c r="CZ7" s="63" t="s">
        <v>40</v>
      </c>
      <c r="DA7" s="64">
        <v>18600</v>
      </c>
      <c r="DB7" s="64">
        <v>100</v>
      </c>
      <c r="DC7" s="64"/>
      <c r="DD7" s="64">
        <v>30</v>
      </c>
      <c r="DE7" s="64">
        <v>0</v>
      </c>
      <c r="DF7" s="64">
        <v>0</v>
      </c>
      <c r="DG7" s="64">
        <v>0</v>
      </c>
      <c r="DH7" s="64">
        <v>30</v>
      </c>
      <c r="DI7" s="65">
        <v>3.33</v>
      </c>
      <c r="DJ7" s="63" t="s">
        <v>19</v>
      </c>
      <c r="DK7" s="64">
        <v>0</v>
      </c>
      <c r="DL7" s="64">
        <v>0</v>
      </c>
      <c r="DM7" s="64">
        <v>1</v>
      </c>
      <c r="DN7" s="64">
        <v>1</v>
      </c>
      <c r="DO7" s="63" t="s">
        <v>54</v>
      </c>
      <c r="DP7" s="63" t="s">
        <v>47</v>
      </c>
      <c r="DQ7" s="63" t="s">
        <v>66</v>
      </c>
      <c r="DR7" s="63" t="s">
        <v>66</v>
      </c>
      <c r="DS7" s="63" t="s">
        <v>66</v>
      </c>
      <c r="DT7" s="63" t="s">
        <v>66</v>
      </c>
      <c r="DU7" s="63" t="s">
        <v>66</v>
      </c>
      <c r="DV7" s="63" t="s">
        <v>66</v>
      </c>
      <c r="DW7" s="63" t="s">
        <v>66</v>
      </c>
      <c r="DX7" s="63" t="s">
        <v>66</v>
      </c>
      <c r="DY7" s="63" t="s">
        <v>66</v>
      </c>
      <c r="DZ7" s="63" t="s">
        <v>23</v>
      </c>
      <c r="EA7" s="63" t="s">
        <v>66</v>
      </c>
      <c r="EB7" s="63" t="s">
        <v>66</v>
      </c>
      <c r="EC7" s="63" t="s">
        <v>66</v>
      </c>
      <c r="ED7" s="63" t="s">
        <v>31</v>
      </c>
      <c r="EE7" s="63" t="s">
        <v>66</v>
      </c>
      <c r="EF7" s="64">
        <v>0</v>
      </c>
      <c r="EG7" s="65">
        <v>1780.66</v>
      </c>
      <c r="EH7" s="65">
        <v>1780.66</v>
      </c>
      <c r="EI7" s="65">
        <v>1780.66</v>
      </c>
      <c r="EJ7" s="65">
        <v>1780.66</v>
      </c>
      <c r="EK7" s="65">
        <v>1780.66</v>
      </c>
      <c r="EL7" s="63" t="s">
        <v>47</v>
      </c>
      <c r="EM7" s="64">
        <v>18600</v>
      </c>
      <c r="EN7" s="64">
        <v>18600</v>
      </c>
      <c r="EO7" s="64">
        <v>0</v>
      </c>
      <c r="EP7" s="64">
        <v>-65</v>
      </c>
      <c r="EQ7" s="65">
        <v>57.44</v>
      </c>
      <c r="ER7" s="64">
        <v>18600</v>
      </c>
      <c r="ES7" s="65">
        <v>1044.55</v>
      </c>
      <c r="ET7" s="65">
        <v>57.44</v>
      </c>
      <c r="EU7" s="65">
        <v>57.44</v>
      </c>
      <c r="EV7" s="63" t="s">
        <v>47</v>
      </c>
      <c r="EW7" s="64">
        <v>535</v>
      </c>
      <c r="EX7" s="66" t="b">
        <v>0</v>
      </c>
      <c r="EY7" s="63" t="s">
        <v>54</v>
      </c>
      <c r="EZ7" s="63" t="s">
        <v>54</v>
      </c>
      <c r="FA7" s="50"/>
      <c r="FB7" s="50"/>
      <c r="FC7" s="50"/>
      <c r="FD7" s="50"/>
      <c r="FE7" s="50"/>
      <c r="FF7" s="50"/>
      <c r="FG7" s="50"/>
      <c r="FH7" s="50"/>
      <c r="FI7" s="50"/>
      <c r="FJ7" s="50"/>
    </row>
    <row r="8" spans="1:166" ht="15.75" customHeight="1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</row>
    <row r="9" spans="1:166" ht="15.75" customHeight="1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</row>
    <row r="10" spans="1:166" ht="15.75" customHeight="1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</row>
    <row r="11" spans="1:166" ht="15.75" customHeight="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</row>
    <row r="12" spans="1:166" ht="15.75" customHeight="1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</row>
    <row r="13" spans="1:166" ht="15.75" customHeight="1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</row>
    <row r="14" spans="1:166" ht="15.75" customHeight="1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</row>
    <row r="15" spans="1:166" ht="15.75" customHeight="1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</row>
    <row r="16" spans="1:166" ht="15.75" customHeight="1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</row>
    <row r="17" spans="1:166" ht="15.75" customHeight="1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</row>
    <row r="18" spans="1:166" ht="15.75" customHeight="1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</row>
    <row r="19" spans="1:166" ht="15.75" customHeight="1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</row>
    <row r="20" spans="1:166" ht="15.75" customHeight="1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</row>
    <row r="21" spans="1:166" ht="15.75" customHeight="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</row>
    <row r="22" spans="1:166" ht="15.75" customHeight="1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</row>
    <row r="23" spans="1:166" ht="15.75" customHeight="1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</row>
    <row r="24" spans="1:166" ht="15.75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</row>
    <row r="25" spans="1:166" ht="15.75" customHeight="1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</row>
    <row r="26" spans="1:166" ht="15.75" customHeight="1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</row>
    <row r="27" spans="1:166" ht="15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</row>
    <row r="28" spans="1:166" ht="15.75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</row>
    <row r="29" spans="1:166" ht="15.75" customHeight="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</row>
    <row r="30" spans="1:166" ht="15.75" customHeight="1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</row>
    <row r="31" spans="1:166" ht="15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</row>
    <row r="32" spans="1:166" ht="15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</row>
    <row r="33" spans="1:166" ht="15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</row>
    <row r="34" spans="1:166" ht="15.7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</row>
    <row r="35" spans="1:166" ht="15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</row>
    <row r="36" spans="1:166" ht="15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</row>
    <row r="37" spans="1:166" ht="15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</row>
    <row r="38" spans="1:166" ht="15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</row>
    <row r="39" spans="1:166" ht="15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</row>
    <row r="40" spans="1:166" ht="15.7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  <c r="FJ40" s="50"/>
    </row>
    <row r="41" spans="1:166" ht="15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  <c r="FJ41" s="50"/>
    </row>
    <row r="42" spans="1:166" ht="15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  <c r="EY42" s="50"/>
      <c r="EZ42" s="50"/>
      <c r="FA42" s="50"/>
      <c r="FB42" s="50"/>
      <c r="FC42" s="50"/>
      <c r="FD42" s="50"/>
      <c r="FE42" s="50"/>
      <c r="FF42" s="50"/>
      <c r="FG42" s="50"/>
      <c r="FH42" s="50"/>
      <c r="FI42" s="50"/>
      <c r="FJ42" s="50"/>
    </row>
    <row r="43" spans="1:166" ht="15.7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  <c r="EY43" s="50"/>
      <c r="EZ43" s="50"/>
      <c r="FA43" s="50"/>
      <c r="FB43" s="50"/>
      <c r="FC43" s="50"/>
      <c r="FD43" s="50"/>
      <c r="FE43" s="50"/>
      <c r="FF43" s="50"/>
      <c r="FG43" s="50"/>
      <c r="FH43" s="50"/>
      <c r="FI43" s="50"/>
      <c r="FJ43" s="50"/>
    </row>
    <row r="44" spans="1:166" ht="15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  <c r="EY44" s="50"/>
      <c r="EZ44" s="50"/>
      <c r="FA44" s="50"/>
      <c r="FB44" s="50"/>
      <c r="FC44" s="50"/>
      <c r="FD44" s="50"/>
      <c r="FE44" s="50"/>
      <c r="FF44" s="50"/>
      <c r="FG44" s="50"/>
      <c r="FH44" s="50"/>
      <c r="FI44" s="50"/>
      <c r="FJ44" s="50"/>
    </row>
    <row r="45" spans="1:166" ht="15.7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  <c r="EY45" s="50"/>
      <c r="EZ45" s="50"/>
      <c r="FA45" s="50"/>
      <c r="FB45" s="50"/>
      <c r="FC45" s="50"/>
      <c r="FD45" s="50"/>
      <c r="FE45" s="50"/>
      <c r="FF45" s="50"/>
      <c r="FG45" s="50"/>
      <c r="FH45" s="50"/>
      <c r="FI45" s="50"/>
      <c r="FJ45" s="50"/>
    </row>
    <row r="46" spans="1:166" ht="15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  <c r="EY46" s="50"/>
      <c r="EZ46" s="50"/>
      <c r="FA46" s="50"/>
      <c r="FB46" s="50"/>
      <c r="FC46" s="50"/>
      <c r="FD46" s="50"/>
      <c r="FE46" s="50"/>
      <c r="FF46" s="50"/>
      <c r="FG46" s="50"/>
      <c r="FH46" s="50"/>
      <c r="FI46" s="50"/>
      <c r="FJ46" s="50"/>
    </row>
    <row r="47" spans="1:166" ht="15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  <c r="EY47" s="50"/>
      <c r="EZ47" s="50"/>
      <c r="FA47" s="50"/>
      <c r="FB47" s="50"/>
      <c r="FC47" s="50"/>
      <c r="FD47" s="50"/>
      <c r="FE47" s="50"/>
      <c r="FF47" s="50"/>
      <c r="FG47" s="50"/>
      <c r="FH47" s="50"/>
      <c r="FI47" s="50"/>
      <c r="FJ47" s="50"/>
    </row>
    <row r="48" spans="1:166" ht="15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  <c r="EY48" s="50"/>
      <c r="EZ48" s="50"/>
      <c r="FA48" s="50"/>
      <c r="FB48" s="50"/>
      <c r="FC48" s="50"/>
      <c r="FD48" s="50"/>
      <c r="FE48" s="50"/>
      <c r="FF48" s="50"/>
      <c r="FG48" s="50"/>
      <c r="FH48" s="50"/>
      <c r="FI48" s="50"/>
      <c r="FJ48" s="50"/>
    </row>
    <row r="49" spans="1:166" ht="15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  <c r="EY49" s="50"/>
      <c r="EZ49" s="50"/>
      <c r="FA49" s="50"/>
      <c r="FB49" s="50"/>
      <c r="FC49" s="50"/>
      <c r="FD49" s="50"/>
      <c r="FE49" s="50"/>
      <c r="FF49" s="50"/>
      <c r="FG49" s="50"/>
      <c r="FH49" s="50"/>
      <c r="FI49" s="50"/>
      <c r="FJ49" s="50"/>
    </row>
    <row r="50" spans="1:166" ht="15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/>
      <c r="DS50" s="50"/>
      <c r="DT50" s="50"/>
      <c r="DU50" s="50"/>
      <c r="DV50" s="50"/>
      <c r="DW50" s="50"/>
      <c r="DX50" s="50"/>
      <c r="DY50" s="50"/>
      <c r="DZ50" s="50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50"/>
      <c r="ER50" s="50"/>
      <c r="ES50" s="50"/>
      <c r="ET50" s="50"/>
      <c r="EU50" s="50"/>
      <c r="EV50" s="50"/>
      <c r="EW50" s="50"/>
      <c r="EX50" s="50"/>
      <c r="EY50" s="50"/>
      <c r="EZ50" s="50"/>
      <c r="FA50" s="50"/>
      <c r="FB50" s="50"/>
      <c r="FC50" s="50"/>
      <c r="FD50" s="50"/>
      <c r="FE50" s="50"/>
      <c r="FF50" s="50"/>
      <c r="FG50" s="50"/>
      <c r="FH50" s="50"/>
      <c r="FI50" s="50"/>
      <c r="FJ50" s="50"/>
    </row>
    <row r="51" spans="1:166" ht="15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0"/>
      <c r="DH51" s="50"/>
      <c r="DI51" s="50"/>
      <c r="DJ51" s="50"/>
      <c r="DK51" s="50"/>
      <c r="DL51" s="50"/>
      <c r="DM51" s="50"/>
      <c r="DN51" s="50"/>
      <c r="DO51" s="50"/>
      <c r="DP51" s="50"/>
      <c r="DQ51" s="50"/>
      <c r="DR51" s="50"/>
      <c r="DS51" s="50"/>
      <c r="DT51" s="50"/>
      <c r="DU51" s="50"/>
      <c r="DV51" s="50"/>
      <c r="DW51" s="50"/>
      <c r="DX51" s="50"/>
      <c r="DY51" s="50"/>
      <c r="DZ51" s="50"/>
      <c r="EA51" s="50"/>
      <c r="EB51" s="50"/>
      <c r="EC51" s="50"/>
      <c r="ED51" s="50"/>
      <c r="EE51" s="50"/>
      <c r="EF51" s="50"/>
      <c r="EG51" s="50"/>
      <c r="EH51" s="50"/>
      <c r="EI51" s="50"/>
      <c r="EJ51" s="50"/>
      <c r="EK51" s="50"/>
      <c r="EL51" s="50"/>
      <c r="EM51" s="50"/>
      <c r="EN51" s="50"/>
      <c r="EO51" s="50"/>
      <c r="EP51" s="50"/>
      <c r="EQ51" s="50"/>
      <c r="ER51" s="50"/>
      <c r="ES51" s="50"/>
      <c r="ET51" s="50"/>
      <c r="EU51" s="50"/>
      <c r="EV51" s="50"/>
      <c r="EW51" s="50"/>
      <c r="EX51" s="50"/>
      <c r="EY51" s="50"/>
      <c r="EZ51" s="50"/>
      <c r="FA51" s="50"/>
      <c r="FB51" s="50"/>
      <c r="FC51" s="50"/>
      <c r="FD51" s="50"/>
      <c r="FE51" s="50"/>
      <c r="FF51" s="50"/>
      <c r="FG51" s="50"/>
      <c r="FH51" s="50"/>
      <c r="FI51" s="50"/>
      <c r="FJ51" s="50"/>
    </row>
    <row r="52" spans="1:166" ht="15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0"/>
      <c r="DD52" s="50"/>
      <c r="DE52" s="50"/>
      <c r="DF52" s="50"/>
      <c r="DG52" s="50"/>
      <c r="DH52" s="50"/>
      <c r="DI52" s="50"/>
      <c r="DJ52" s="50"/>
      <c r="DK52" s="50"/>
      <c r="DL52" s="50"/>
      <c r="DM52" s="50"/>
      <c r="DN52" s="50"/>
      <c r="DO52" s="50"/>
      <c r="DP52" s="50"/>
      <c r="DQ52" s="50"/>
      <c r="DR52" s="50"/>
      <c r="DS52" s="50"/>
      <c r="DT52" s="50"/>
      <c r="DU52" s="50"/>
      <c r="DV52" s="50"/>
      <c r="DW52" s="50"/>
      <c r="DX52" s="50"/>
      <c r="DY52" s="50"/>
      <c r="DZ52" s="50"/>
      <c r="EA52" s="50"/>
      <c r="EB52" s="50"/>
      <c r="EC52" s="50"/>
      <c r="ED52" s="50"/>
      <c r="EE52" s="50"/>
      <c r="EF52" s="50"/>
      <c r="EG52" s="50"/>
      <c r="EH52" s="50"/>
      <c r="EI52" s="50"/>
      <c r="EJ52" s="50"/>
      <c r="EK52" s="50"/>
      <c r="EL52" s="50"/>
      <c r="EM52" s="50"/>
      <c r="EN52" s="50"/>
      <c r="EO52" s="50"/>
      <c r="EP52" s="50"/>
      <c r="EQ52" s="50"/>
      <c r="ER52" s="50"/>
      <c r="ES52" s="50"/>
      <c r="ET52" s="50"/>
      <c r="EU52" s="50"/>
      <c r="EV52" s="50"/>
      <c r="EW52" s="50"/>
      <c r="EX52" s="50"/>
      <c r="EY52" s="50"/>
      <c r="EZ52" s="50"/>
      <c r="FA52" s="50"/>
      <c r="FB52" s="50"/>
      <c r="FC52" s="50"/>
      <c r="FD52" s="50"/>
      <c r="FE52" s="50"/>
      <c r="FF52" s="50"/>
      <c r="FG52" s="50"/>
      <c r="FH52" s="50"/>
      <c r="FI52" s="50"/>
      <c r="FJ52" s="50"/>
    </row>
    <row r="53" spans="1:166" ht="15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50"/>
      <c r="DC53" s="50"/>
      <c r="DD53" s="50"/>
      <c r="DE53" s="50"/>
      <c r="DF53" s="50"/>
      <c r="DG53" s="50"/>
      <c r="DH53" s="50"/>
      <c r="DI53" s="50"/>
      <c r="DJ53" s="50"/>
      <c r="DK53" s="50"/>
      <c r="DL53" s="50"/>
      <c r="DM53" s="50"/>
      <c r="DN53" s="50"/>
      <c r="DO53" s="50"/>
      <c r="DP53" s="50"/>
      <c r="DQ53" s="50"/>
      <c r="DR53" s="50"/>
      <c r="DS53" s="50"/>
      <c r="DT53" s="50"/>
      <c r="DU53" s="50"/>
      <c r="DV53" s="50"/>
      <c r="DW53" s="50"/>
      <c r="DX53" s="50"/>
      <c r="DY53" s="50"/>
      <c r="DZ53" s="50"/>
      <c r="EA53" s="50"/>
      <c r="EB53" s="50"/>
      <c r="EC53" s="50"/>
      <c r="ED53" s="50"/>
      <c r="EE53" s="50"/>
      <c r="EF53" s="50"/>
      <c r="EG53" s="50"/>
      <c r="EH53" s="50"/>
      <c r="EI53" s="50"/>
      <c r="EJ53" s="50"/>
      <c r="EK53" s="50"/>
      <c r="EL53" s="50"/>
      <c r="EM53" s="50"/>
      <c r="EN53" s="50"/>
      <c r="EO53" s="50"/>
      <c r="EP53" s="50"/>
      <c r="EQ53" s="50"/>
      <c r="ER53" s="50"/>
      <c r="ES53" s="50"/>
      <c r="ET53" s="50"/>
      <c r="EU53" s="50"/>
      <c r="EV53" s="50"/>
      <c r="EW53" s="50"/>
      <c r="EX53" s="50"/>
      <c r="EY53" s="50"/>
      <c r="EZ53" s="50"/>
      <c r="FA53" s="50"/>
      <c r="FB53" s="50"/>
      <c r="FC53" s="50"/>
      <c r="FD53" s="50"/>
      <c r="FE53" s="50"/>
      <c r="FF53" s="50"/>
      <c r="FG53" s="50"/>
      <c r="FH53" s="50"/>
      <c r="FI53" s="50"/>
      <c r="FJ53" s="50"/>
    </row>
    <row r="54" spans="1:166" ht="15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0"/>
      <c r="DD54" s="50"/>
      <c r="DE54" s="50"/>
      <c r="DF54" s="50"/>
      <c r="DG54" s="50"/>
      <c r="DH54" s="50"/>
      <c r="DI54" s="50"/>
      <c r="DJ54" s="50"/>
      <c r="DK54" s="50"/>
      <c r="DL54" s="50"/>
      <c r="DM54" s="50"/>
      <c r="DN54" s="50"/>
      <c r="DO54" s="50"/>
      <c r="DP54" s="50"/>
      <c r="DQ54" s="50"/>
      <c r="DR54" s="50"/>
      <c r="DS54" s="50"/>
      <c r="DT54" s="50"/>
      <c r="DU54" s="50"/>
      <c r="DV54" s="50"/>
      <c r="DW54" s="50"/>
      <c r="DX54" s="50"/>
      <c r="DY54" s="50"/>
      <c r="DZ54" s="50"/>
      <c r="EA54" s="50"/>
      <c r="EB54" s="50"/>
      <c r="EC54" s="50"/>
      <c r="ED54" s="50"/>
      <c r="EE54" s="50"/>
      <c r="EF54" s="50"/>
      <c r="EG54" s="50"/>
      <c r="EH54" s="50"/>
      <c r="EI54" s="50"/>
      <c r="EJ54" s="50"/>
      <c r="EK54" s="50"/>
      <c r="EL54" s="50"/>
      <c r="EM54" s="50"/>
      <c r="EN54" s="50"/>
      <c r="EO54" s="50"/>
      <c r="EP54" s="50"/>
      <c r="EQ54" s="50"/>
      <c r="ER54" s="50"/>
      <c r="ES54" s="50"/>
      <c r="ET54" s="50"/>
      <c r="EU54" s="50"/>
      <c r="EV54" s="50"/>
      <c r="EW54" s="50"/>
      <c r="EX54" s="50"/>
      <c r="EY54" s="50"/>
      <c r="EZ54" s="50"/>
      <c r="FA54" s="50"/>
      <c r="FB54" s="50"/>
      <c r="FC54" s="50"/>
      <c r="FD54" s="50"/>
      <c r="FE54" s="50"/>
      <c r="FF54" s="50"/>
      <c r="FG54" s="50"/>
      <c r="FH54" s="50"/>
      <c r="FI54" s="50"/>
      <c r="FJ54" s="50"/>
    </row>
    <row r="55" spans="1:166" ht="15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0"/>
      <c r="DD55" s="50"/>
      <c r="DE55" s="50"/>
      <c r="DF55" s="50"/>
      <c r="DG55" s="50"/>
      <c r="DH55" s="50"/>
      <c r="DI55" s="50"/>
      <c r="DJ55" s="50"/>
      <c r="DK55" s="50"/>
      <c r="DL55" s="50"/>
      <c r="DM55" s="50"/>
      <c r="DN55" s="50"/>
      <c r="DO55" s="50"/>
      <c r="DP55" s="50"/>
      <c r="DQ55" s="50"/>
      <c r="DR55" s="50"/>
      <c r="DS55" s="50"/>
      <c r="DT55" s="50"/>
      <c r="DU55" s="50"/>
      <c r="DV55" s="50"/>
      <c r="DW55" s="50"/>
      <c r="DX55" s="50"/>
      <c r="DY55" s="50"/>
      <c r="DZ55" s="50"/>
      <c r="EA55" s="50"/>
      <c r="EB55" s="50"/>
      <c r="EC55" s="50"/>
      <c r="ED55" s="50"/>
      <c r="EE55" s="50"/>
      <c r="EF55" s="50"/>
      <c r="EG55" s="50"/>
      <c r="EH55" s="50"/>
      <c r="EI55" s="50"/>
      <c r="EJ55" s="50"/>
      <c r="EK55" s="50"/>
      <c r="EL55" s="50"/>
      <c r="EM55" s="50"/>
      <c r="EN55" s="50"/>
      <c r="EO55" s="50"/>
      <c r="EP55" s="50"/>
      <c r="EQ55" s="50"/>
      <c r="ER55" s="50"/>
      <c r="ES55" s="50"/>
      <c r="ET55" s="50"/>
      <c r="EU55" s="50"/>
      <c r="EV55" s="50"/>
      <c r="EW55" s="50"/>
      <c r="EX55" s="50"/>
      <c r="EY55" s="50"/>
      <c r="EZ55" s="50"/>
      <c r="FA55" s="50"/>
      <c r="FB55" s="50"/>
      <c r="FC55" s="50"/>
      <c r="FD55" s="50"/>
      <c r="FE55" s="50"/>
      <c r="FF55" s="50"/>
      <c r="FG55" s="50"/>
      <c r="FH55" s="50"/>
      <c r="FI55" s="50"/>
      <c r="FJ55" s="50"/>
    </row>
    <row r="56" spans="1:166" ht="15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  <c r="CQ56" s="50"/>
      <c r="CR56" s="50"/>
      <c r="CS56" s="50"/>
      <c r="CT56" s="50"/>
      <c r="CU56" s="50"/>
      <c r="CV56" s="50"/>
      <c r="CW56" s="50"/>
      <c r="CX56" s="50"/>
      <c r="CY56" s="50"/>
      <c r="CZ56" s="50"/>
      <c r="DA56" s="50"/>
      <c r="DB56" s="50"/>
      <c r="DC56" s="50"/>
      <c r="DD56" s="50"/>
      <c r="DE56" s="50"/>
      <c r="DF56" s="50"/>
      <c r="DG56" s="50"/>
      <c r="DH56" s="50"/>
      <c r="DI56" s="50"/>
      <c r="DJ56" s="50"/>
      <c r="DK56" s="50"/>
      <c r="DL56" s="50"/>
      <c r="DM56" s="50"/>
      <c r="DN56" s="50"/>
      <c r="DO56" s="50"/>
      <c r="DP56" s="50"/>
      <c r="DQ56" s="50"/>
      <c r="DR56" s="50"/>
      <c r="DS56" s="50"/>
      <c r="DT56" s="50"/>
      <c r="DU56" s="50"/>
      <c r="DV56" s="50"/>
      <c r="DW56" s="50"/>
      <c r="DX56" s="50"/>
      <c r="DY56" s="50"/>
      <c r="DZ56" s="50"/>
      <c r="EA56" s="50"/>
      <c r="EB56" s="50"/>
      <c r="EC56" s="50"/>
      <c r="ED56" s="50"/>
      <c r="EE56" s="50"/>
      <c r="EF56" s="50"/>
      <c r="EG56" s="50"/>
      <c r="EH56" s="50"/>
      <c r="EI56" s="50"/>
      <c r="EJ56" s="50"/>
      <c r="EK56" s="50"/>
      <c r="EL56" s="50"/>
      <c r="EM56" s="50"/>
      <c r="EN56" s="50"/>
      <c r="EO56" s="50"/>
      <c r="EP56" s="50"/>
      <c r="EQ56" s="50"/>
      <c r="ER56" s="50"/>
      <c r="ES56" s="50"/>
      <c r="ET56" s="50"/>
      <c r="EU56" s="50"/>
      <c r="EV56" s="50"/>
      <c r="EW56" s="50"/>
      <c r="EX56" s="50"/>
      <c r="EY56" s="50"/>
      <c r="EZ56" s="50"/>
      <c r="FA56" s="50"/>
      <c r="FB56" s="50"/>
      <c r="FC56" s="50"/>
      <c r="FD56" s="50"/>
      <c r="FE56" s="50"/>
      <c r="FF56" s="50"/>
      <c r="FG56" s="50"/>
      <c r="FH56" s="50"/>
      <c r="FI56" s="50"/>
      <c r="FJ56" s="50"/>
    </row>
    <row r="57" spans="1:166" ht="15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50"/>
      <c r="CS57" s="50"/>
      <c r="CT57" s="50"/>
      <c r="CU57" s="50"/>
      <c r="CV57" s="50"/>
      <c r="CW57" s="50"/>
      <c r="CX57" s="50"/>
      <c r="CY57" s="50"/>
      <c r="CZ57" s="50"/>
      <c r="DA57" s="50"/>
      <c r="DB57" s="50"/>
      <c r="DC57" s="50"/>
      <c r="DD57" s="50"/>
      <c r="DE57" s="50"/>
      <c r="DF57" s="50"/>
      <c r="DG57" s="50"/>
      <c r="DH57" s="50"/>
      <c r="DI57" s="50"/>
      <c r="DJ57" s="50"/>
      <c r="DK57" s="50"/>
      <c r="DL57" s="50"/>
      <c r="DM57" s="50"/>
      <c r="DN57" s="50"/>
      <c r="DO57" s="50"/>
      <c r="DP57" s="50"/>
      <c r="DQ57" s="50"/>
      <c r="DR57" s="50"/>
      <c r="DS57" s="50"/>
      <c r="DT57" s="50"/>
      <c r="DU57" s="50"/>
      <c r="DV57" s="50"/>
      <c r="DW57" s="50"/>
      <c r="DX57" s="50"/>
      <c r="DY57" s="50"/>
      <c r="DZ57" s="50"/>
      <c r="EA57" s="50"/>
      <c r="EB57" s="50"/>
      <c r="EC57" s="50"/>
      <c r="ED57" s="50"/>
      <c r="EE57" s="50"/>
      <c r="EF57" s="50"/>
      <c r="EG57" s="50"/>
      <c r="EH57" s="50"/>
      <c r="EI57" s="50"/>
      <c r="EJ57" s="50"/>
      <c r="EK57" s="50"/>
      <c r="EL57" s="50"/>
      <c r="EM57" s="50"/>
      <c r="EN57" s="50"/>
      <c r="EO57" s="50"/>
      <c r="EP57" s="50"/>
      <c r="EQ57" s="50"/>
      <c r="ER57" s="50"/>
      <c r="ES57" s="50"/>
      <c r="ET57" s="50"/>
      <c r="EU57" s="50"/>
      <c r="EV57" s="50"/>
      <c r="EW57" s="50"/>
      <c r="EX57" s="50"/>
      <c r="EY57" s="50"/>
      <c r="EZ57" s="50"/>
      <c r="FA57" s="50"/>
      <c r="FB57" s="50"/>
      <c r="FC57" s="50"/>
      <c r="FD57" s="50"/>
      <c r="FE57" s="50"/>
      <c r="FF57" s="50"/>
      <c r="FG57" s="50"/>
      <c r="FH57" s="50"/>
      <c r="FI57" s="50"/>
      <c r="FJ57" s="50"/>
    </row>
    <row r="58" spans="1:166" ht="15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  <c r="DA58" s="50"/>
      <c r="DB58" s="50"/>
      <c r="DC58" s="50"/>
      <c r="DD58" s="50"/>
      <c r="DE58" s="50"/>
      <c r="DF58" s="50"/>
      <c r="DG58" s="50"/>
      <c r="DH58" s="50"/>
      <c r="DI58" s="50"/>
      <c r="DJ58" s="50"/>
      <c r="DK58" s="50"/>
      <c r="DL58" s="50"/>
      <c r="DM58" s="50"/>
      <c r="DN58" s="50"/>
      <c r="DO58" s="50"/>
      <c r="DP58" s="50"/>
      <c r="DQ58" s="50"/>
      <c r="DR58" s="50"/>
      <c r="DS58" s="50"/>
      <c r="DT58" s="50"/>
      <c r="DU58" s="50"/>
      <c r="DV58" s="50"/>
      <c r="DW58" s="50"/>
      <c r="DX58" s="50"/>
      <c r="DY58" s="50"/>
      <c r="DZ58" s="50"/>
      <c r="EA58" s="50"/>
      <c r="EB58" s="50"/>
      <c r="EC58" s="50"/>
      <c r="ED58" s="50"/>
      <c r="EE58" s="50"/>
      <c r="EF58" s="50"/>
      <c r="EG58" s="50"/>
      <c r="EH58" s="50"/>
      <c r="EI58" s="50"/>
      <c r="EJ58" s="50"/>
      <c r="EK58" s="50"/>
      <c r="EL58" s="50"/>
      <c r="EM58" s="50"/>
      <c r="EN58" s="50"/>
      <c r="EO58" s="50"/>
      <c r="EP58" s="50"/>
      <c r="EQ58" s="50"/>
      <c r="ER58" s="50"/>
      <c r="ES58" s="50"/>
      <c r="ET58" s="50"/>
      <c r="EU58" s="50"/>
      <c r="EV58" s="50"/>
      <c r="EW58" s="50"/>
      <c r="EX58" s="50"/>
      <c r="EY58" s="50"/>
      <c r="EZ58" s="50"/>
      <c r="FA58" s="50"/>
      <c r="FB58" s="50"/>
      <c r="FC58" s="50"/>
      <c r="FD58" s="50"/>
      <c r="FE58" s="50"/>
      <c r="FF58" s="50"/>
      <c r="FG58" s="50"/>
      <c r="FH58" s="50"/>
      <c r="FI58" s="50"/>
      <c r="FJ58" s="50"/>
    </row>
    <row r="59" spans="1:166" ht="15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  <c r="DA59" s="50"/>
      <c r="DB59" s="50"/>
      <c r="DC59" s="50"/>
      <c r="DD59" s="50"/>
      <c r="DE59" s="50"/>
      <c r="DF59" s="50"/>
      <c r="DG59" s="50"/>
      <c r="DH59" s="50"/>
      <c r="DI59" s="50"/>
      <c r="DJ59" s="50"/>
      <c r="DK59" s="50"/>
      <c r="DL59" s="50"/>
      <c r="DM59" s="50"/>
      <c r="DN59" s="50"/>
      <c r="DO59" s="50"/>
      <c r="DP59" s="50"/>
      <c r="DQ59" s="50"/>
      <c r="DR59" s="50"/>
      <c r="DS59" s="50"/>
      <c r="DT59" s="50"/>
      <c r="DU59" s="50"/>
      <c r="DV59" s="50"/>
      <c r="DW59" s="50"/>
      <c r="DX59" s="50"/>
      <c r="DY59" s="50"/>
      <c r="DZ59" s="50"/>
      <c r="EA59" s="50"/>
      <c r="EB59" s="50"/>
      <c r="EC59" s="50"/>
      <c r="ED59" s="50"/>
      <c r="EE59" s="50"/>
      <c r="EF59" s="50"/>
      <c r="EG59" s="50"/>
      <c r="EH59" s="50"/>
      <c r="EI59" s="50"/>
      <c r="EJ59" s="50"/>
      <c r="EK59" s="50"/>
      <c r="EL59" s="50"/>
      <c r="EM59" s="50"/>
      <c r="EN59" s="50"/>
      <c r="EO59" s="50"/>
      <c r="EP59" s="50"/>
      <c r="EQ59" s="50"/>
      <c r="ER59" s="50"/>
      <c r="ES59" s="50"/>
      <c r="ET59" s="50"/>
      <c r="EU59" s="50"/>
      <c r="EV59" s="50"/>
      <c r="EW59" s="50"/>
      <c r="EX59" s="50"/>
      <c r="EY59" s="50"/>
      <c r="EZ59" s="50"/>
      <c r="FA59" s="50"/>
      <c r="FB59" s="50"/>
      <c r="FC59" s="50"/>
      <c r="FD59" s="50"/>
      <c r="FE59" s="50"/>
      <c r="FF59" s="50"/>
      <c r="FG59" s="50"/>
      <c r="FH59" s="50"/>
      <c r="FI59" s="50"/>
      <c r="FJ59" s="50"/>
    </row>
    <row r="60" spans="1:166" ht="15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  <c r="DA60" s="50"/>
      <c r="DB60" s="50"/>
      <c r="DC60" s="50"/>
      <c r="DD60" s="50"/>
      <c r="DE60" s="50"/>
      <c r="DF60" s="50"/>
      <c r="DG60" s="50"/>
      <c r="DH60" s="50"/>
      <c r="DI60" s="50"/>
      <c r="DJ60" s="50"/>
      <c r="DK60" s="50"/>
      <c r="DL60" s="50"/>
      <c r="DM60" s="50"/>
      <c r="DN60" s="50"/>
      <c r="DO60" s="50"/>
      <c r="DP60" s="50"/>
      <c r="DQ60" s="50"/>
      <c r="DR60" s="50"/>
      <c r="DS60" s="50"/>
      <c r="DT60" s="50"/>
      <c r="DU60" s="50"/>
      <c r="DV60" s="50"/>
      <c r="DW60" s="50"/>
      <c r="DX60" s="50"/>
      <c r="DY60" s="50"/>
      <c r="DZ60" s="50"/>
      <c r="EA60" s="50"/>
      <c r="EB60" s="50"/>
      <c r="EC60" s="50"/>
      <c r="ED60" s="50"/>
      <c r="EE60" s="50"/>
      <c r="EF60" s="50"/>
      <c r="EG60" s="50"/>
      <c r="EH60" s="50"/>
      <c r="EI60" s="50"/>
      <c r="EJ60" s="50"/>
      <c r="EK60" s="50"/>
      <c r="EL60" s="50"/>
      <c r="EM60" s="50"/>
      <c r="EN60" s="50"/>
      <c r="EO60" s="50"/>
      <c r="EP60" s="50"/>
      <c r="EQ60" s="50"/>
      <c r="ER60" s="50"/>
      <c r="ES60" s="50"/>
      <c r="ET60" s="50"/>
      <c r="EU60" s="50"/>
      <c r="EV60" s="50"/>
      <c r="EW60" s="50"/>
      <c r="EX60" s="50"/>
      <c r="EY60" s="50"/>
      <c r="EZ60" s="50"/>
      <c r="FA60" s="50"/>
      <c r="FB60" s="50"/>
      <c r="FC60" s="50"/>
      <c r="FD60" s="50"/>
      <c r="FE60" s="50"/>
      <c r="FF60" s="50"/>
      <c r="FG60" s="50"/>
      <c r="FH60" s="50"/>
      <c r="FI60" s="50"/>
      <c r="FJ60" s="50"/>
    </row>
    <row r="61" spans="1:166" ht="15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50"/>
      <c r="DC61" s="50"/>
      <c r="DD61" s="50"/>
      <c r="DE61" s="50"/>
      <c r="DF61" s="50"/>
      <c r="DG61" s="50"/>
      <c r="DH61" s="50"/>
      <c r="DI61" s="50"/>
      <c r="DJ61" s="50"/>
      <c r="DK61" s="50"/>
      <c r="DL61" s="50"/>
      <c r="DM61" s="50"/>
      <c r="DN61" s="50"/>
      <c r="DO61" s="50"/>
      <c r="DP61" s="50"/>
      <c r="DQ61" s="50"/>
      <c r="DR61" s="50"/>
      <c r="DS61" s="50"/>
      <c r="DT61" s="50"/>
      <c r="DU61" s="50"/>
      <c r="DV61" s="50"/>
      <c r="DW61" s="50"/>
      <c r="DX61" s="50"/>
      <c r="DY61" s="50"/>
      <c r="DZ61" s="50"/>
      <c r="EA61" s="50"/>
      <c r="EB61" s="50"/>
      <c r="EC61" s="50"/>
      <c r="ED61" s="50"/>
      <c r="EE61" s="50"/>
      <c r="EF61" s="50"/>
      <c r="EG61" s="50"/>
      <c r="EH61" s="50"/>
      <c r="EI61" s="50"/>
      <c r="EJ61" s="50"/>
      <c r="EK61" s="50"/>
      <c r="EL61" s="50"/>
      <c r="EM61" s="50"/>
      <c r="EN61" s="50"/>
      <c r="EO61" s="50"/>
      <c r="EP61" s="50"/>
      <c r="EQ61" s="50"/>
      <c r="ER61" s="50"/>
      <c r="ES61" s="50"/>
      <c r="ET61" s="50"/>
      <c r="EU61" s="50"/>
      <c r="EV61" s="50"/>
      <c r="EW61" s="50"/>
      <c r="EX61" s="50"/>
      <c r="EY61" s="50"/>
      <c r="EZ61" s="50"/>
      <c r="FA61" s="50"/>
      <c r="FB61" s="50"/>
      <c r="FC61" s="50"/>
      <c r="FD61" s="50"/>
      <c r="FE61" s="50"/>
      <c r="FF61" s="50"/>
      <c r="FG61" s="50"/>
      <c r="FH61" s="50"/>
      <c r="FI61" s="50"/>
      <c r="FJ61" s="50"/>
    </row>
    <row r="62" spans="1:166" ht="15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  <c r="DA62" s="50"/>
      <c r="DB62" s="50"/>
      <c r="DC62" s="50"/>
      <c r="DD62" s="50"/>
      <c r="DE62" s="50"/>
      <c r="DF62" s="50"/>
      <c r="DG62" s="50"/>
      <c r="DH62" s="50"/>
      <c r="DI62" s="50"/>
      <c r="DJ62" s="50"/>
      <c r="DK62" s="50"/>
      <c r="DL62" s="50"/>
      <c r="DM62" s="50"/>
      <c r="DN62" s="50"/>
      <c r="DO62" s="50"/>
      <c r="DP62" s="50"/>
      <c r="DQ62" s="50"/>
      <c r="DR62" s="50"/>
      <c r="DS62" s="50"/>
      <c r="DT62" s="50"/>
      <c r="DU62" s="50"/>
      <c r="DV62" s="50"/>
      <c r="DW62" s="50"/>
      <c r="DX62" s="50"/>
      <c r="DY62" s="50"/>
      <c r="DZ62" s="50"/>
      <c r="EA62" s="50"/>
      <c r="EB62" s="50"/>
      <c r="EC62" s="50"/>
      <c r="ED62" s="50"/>
      <c r="EE62" s="50"/>
      <c r="EF62" s="50"/>
      <c r="EG62" s="50"/>
      <c r="EH62" s="50"/>
      <c r="EI62" s="50"/>
      <c r="EJ62" s="50"/>
      <c r="EK62" s="50"/>
      <c r="EL62" s="50"/>
      <c r="EM62" s="50"/>
      <c r="EN62" s="50"/>
      <c r="EO62" s="50"/>
      <c r="EP62" s="50"/>
      <c r="EQ62" s="50"/>
      <c r="ER62" s="50"/>
      <c r="ES62" s="50"/>
      <c r="ET62" s="50"/>
      <c r="EU62" s="50"/>
      <c r="EV62" s="50"/>
      <c r="EW62" s="50"/>
      <c r="EX62" s="50"/>
      <c r="EY62" s="50"/>
      <c r="EZ62" s="50"/>
      <c r="FA62" s="50"/>
      <c r="FB62" s="50"/>
      <c r="FC62" s="50"/>
      <c r="FD62" s="50"/>
      <c r="FE62" s="50"/>
      <c r="FF62" s="50"/>
      <c r="FG62" s="50"/>
      <c r="FH62" s="50"/>
      <c r="FI62" s="50"/>
      <c r="FJ62" s="50"/>
    </row>
    <row r="63" spans="1:166" ht="15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50"/>
      <c r="DC63" s="50"/>
      <c r="DD63" s="50"/>
      <c r="DE63" s="50"/>
      <c r="DF63" s="50"/>
      <c r="DG63" s="50"/>
      <c r="DH63" s="50"/>
      <c r="DI63" s="50"/>
      <c r="DJ63" s="50"/>
      <c r="DK63" s="50"/>
      <c r="DL63" s="50"/>
      <c r="DM63" s="50"/>
      <c r="DN63" s="50"/>
      <c r="DO63" s="50"/>
      <c r="DP63" s="50"/>
      <c r="DQ63" s="50"/>
      <c r="DR63" s="50"/>
      <c r="DS63" s="50"/>
      <c r="DT63" s="50"/>
      <c r="DU63" s="50"/>
      <c r="DV63" s="50"/>
      <c r="DW63" s="50"/>
      <c r="DX63" s="50"/>
      <c r="DY63" s="50"/>
      <c r="DZ63" s="50"/>
      <c r="EA63" s="50"/>
      <c r="EB63" s="50"/>
      <c r="EC63" s="50"/>
      <c r="ED63" s="50"/>
      <c r="EE63" s="50"/>
      <c r="EF63" s="50"/>
      <c r="EG63" s="50"/>
      <c r="EH63" s="50"/>
      <c r="EI63" s="50"/>
      <c r="EJ63" s="50"/>
      <c r="EK63" s="50"/>
      <c r="EL63" s="50"/>
      <c r="EM63" s="50"/>
      <c r="EN63" s="50"/>
      <c r="EO63" s="50"/>
      <c r="EP63" s="50"/>
      <c r="EQ63" s="50"/>
      <c r="ER63" s="50"/>
      <c r="ES63" s="50"/>
      <c r="ET63" s="50"/>
      <c r="EU63" s="50"/>
      <c r="EV63" s="50"/>
      <c r="EW63" s="50"/>
      <c r="EX63" s="50"/>
      <c r="EY63" s="50"/>
      <c r="EZ63" s="50"/>
      <c r="FA63" s="50"/>
      <c r="FB63" s="50"/>
      <c r="FC63" s="50"/>
      <c r="FD63" s="50"/>
      <c r="FE63" s="50"/>
      <c r="FF63" s="50"/>
      <c r="FG63" s="50"/>
      <c r="FH63" s="50"/>
      <c r="FI63" s="50"/>
      <c r="FJ63" s="50"/>
    </row>
    <row r="64" spans="1:166" ht="15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50"/>
      <c r="DC64" s="50"/>
      <c r="DD64" s="50"/>
      <c r="DE64" s="50"/>
      <c r="DF64" s="50"/>
      <c r="DG64" s="50"/>
      <c r="DH64" s="50"/>
      <c r="DI64" s="50"/>
      <c r="DJ64" s="50"/>
      <c r="DK64" s="50"/>
      <c r="DL64" s="50"/>
      <c r="DM64" s="50"/>
      <c r="DN64" s="50"/>
      <c r="DO64" s="50"/>
      <c r="DP64" s="50"/>
      <c r="DQ64" s="50"/>
      <c r="DR64" s="50"/>
      <c r="DS64" s="50"/>
      <c r="DT64" s="50"/>
      <c r="DU64" s="50"/>
      <c r="DV64" s="50"/>
      <c r="DW64" s="50"/>
      <c r="DX64" s="50"/>
      <c r="DY64" s="50"/>
      <c r="DZ64" s="50"/>
      <c r="EA64" s="50"/>
      <c r="EB64" s="50"/>
      <c r="EC64" s="50"/>
      <c r="ED64" s="50"/>
      <c r="EE64" s="50"/>
      <c r="EF64" s="50"/>
      <c r="EG64" s="50"/>
      <c r="EH64" s="50"/>
      <c r="EI64" s="50"/>
      <c r="EJ64" s="50"/>
      <c r="EK64" s="50"/>
      <c r="EL64" s="50"/>
      <c r="EM64" s="50"/>
      <c r="EN64" s="50"/>
      <c r="EO64" s="50"/>
      <c r="EP64" s="50"/>
      <c r="EQ64" s="50"/>
      <c r="ER64" s="50"/>
      <c r="ES64" s="50"/>
      <c r="ET64" s="50"/>
      <c r="EU64" s="50"/>
      <c r="EV64" s="50"/>
      <c r="EW64" s="50"/>
      <c r="EX64" s="50"/>
      <c r="EY64" s="50"/>
      <c r="EZ64" s="50"/>
      <c r="FA64" s="50"/>
      <c r="FB64" s="50"/>
      <c r="FC64" s="50"/>
      <c r="FD64" s="50"/>
      <c r="FE64" s="50"/>
      <c r="FF64" s="50"/>
      <c r="FG64" s="50"/>
      <c r="FH64" s="50"/>
      <c r="FI64" s="50"/>
      <c r="FJ64" s="50"/>
    </row>
    <row r="65" spans="1:166" ht="15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0"/>
      <c r="DD65" s="50"/>
      <c r="DE65" s="50"/>
      <c r="DF65" s="50"/>
      <c r="DG65" s="50"/>
      <c r="DH65" s="50"/>
      <c r="DI65" s="50"/>
      <c r="DJ65" s="50"/>
      <c r="DK65" s="50"/>
      <c r="DL65" s="50"/>
      <c r="DM65" s="50"/>
      <c r="DN65" s="50"/>
      <c r="DO65" s="50"/>
      <c r="DP65" s="50"/>
      <c r="DQ65" s="50"/>
      <c r="DR65" s="50"/>
      <c r="DS65" s="50"/>
      <c r="DT65" s="50"/>
      <c r="DU65" s="50"/>
      <c r="DV65" s="50"/>
      <c r="DW65" s="50"/>
      <c r="DX65" s="50"/>
      <c r="DY65" s="50"/>
      <c r="DZ65" s="50"/>
      <c r="EA65" s="50"/>
      <c r="EB65" s="50"/>
      <c r="EC65" s="50"/>
      <c r="ED65" s="50"/>
      <c r="EE65" s="50"/>
      <c r="EF65" s="50"/>
      <c r="EG65" s="50"/>
      <c r="EH65" s="50"/>
      <c r="EI65" s="50"/>
      <c r="EJ65" s="50"/>
      <c r="EK65" s="50"/>
      <c r="EL65" s="50"/>
      <c r="EM65" s="50"/>
      <c r="EN65" s="50"/>
      <c r="EO65" s="50"/>
      <c r="EP65" s="50"/>
      <c r="EQ65" s="50"/>
      <c r="ER65" s="50"/>
      <c r="ES65" s="50"/>
      <c r="ET65" s="50"/>
      <c r="EU65" s="50"/>
      <c r="EV65" s="50"/>
      <c r="EW65" s="50"/>
      <c r="EX65" s="50"/>
      <c r="EY65" s="50"/>
      <c r="EZ65" s="50"/>
      <c r="FA65" s="50"/>
      <c r="FB65" s="50"/>
      <c r="FC65" s="50"/>
      <c r="FD65" s="50"/>
      <c r="FE65" s="50"/>
      <c r="FF65" s="50"/>
      <c r="FG65" s="50"/>
      <c r="FH65" s="50"/>
      <c r="FI65" s="50"/>
      <c r="FJ65" s="50"/>
    </row>
    <row r="66" spans="1:166" ht="15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0"/>
      <c r="DD66" s="50"/>
      <c r="DE66" s="50"/>
      <c r="DF66" s="50"/>
      <c r="DG66" s="50"/>
      <c r="DH66" s="50"/>
      <c r="DI66" s="50"/>
      <c r="DJ66" s="50"/>
      <c r="DK66" s="50"/>
      <c r="DL66" s="50"/>
      <c r="DM66" s="50"/>
      <c r="DN66" s="50"/>
      <c r="DO66" s="50"/>
      <c r="DP66" s="50"/>
      <c r="DQ66" s="50"/>
      <c r="DR66" s="50"/>
      <c r="DS66" s="50"/>
      <c r="DT66" s="50"/>
      <c r="DU66" s="50"/>
      <c r="DV66" s="50"/>
      <c r="DW66" s="50"/>
      <c r="DX66" s="50"/>
      <c r="DY66" s="50"/>
      <c r="DZ66" s="50"/>
      <c r="EA66" s="50"/>
      <c r="EB66" s="50"/>
      <c r="EC66" s="50"/>
      <c r="ED66" s="50"/>
      <c r="EE66" s="50"/>
      <c r="EF66" s="50"/>
      <c r="EG66" s="50"/>
      <c r="EH66" s="50"/>
      <c r="EI66" s="50"/>
      <c r="EJ66" s="50"/>
      <c r="EK66" s="50"/>
      <c r="EL66" s="50"/>
      <c r="EM66" s="50"/>
      <c r="EN66" s="50"/>
      <c r="EO66" s="50"/>
      <c r="EP66" s="50"/>
      <c r="EQ66" s="50"/>
      <c r="ER66" s="50"/>
      <c r="ES66" s="50"/>
      <c r="ET66" s="50"/>
      <c r="EU66" s="50"/>
      <c r="EV66" s="50"/>
      <c r="EW66" s="50"/>
      <c r="EX66" s="50"/>
      <c r="EY66" s="50"/>
      <c r="EZ66" s="50"/>
      <c r="FA66" s="50"/>
      <c r="FB66" s="50"/>
      <c r="FC66" s="50"/>
      <c r="FD66" s="50"/>
      <c r="FE66" s="50"/>
      <c r="FF66" s="50"/>
      <c r="FG66" s="50"/>
      <c r="FH66" s="50"/>
      <c r="FI66" s="50"/>
      <c r="FJ66" s="50"/>
    </row>
    <row r="67" spans="1:166" ht="15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50"/>
      <c r="DC67" s="50"/>
      <c r="DD67" s="50"/>
      <c r="DE67" s="50"/>
      <c r="DF67" s="50"/>
      <c r="DG67" s="50"/>
      <c r="DH67" s="50"/>
      <c r="DI67" s="50"/>
      <c r="DJ67" s="50"/>
      <c r="DK67" s="50"/>
      <c r="DL67" s="50"/>
      <c r="DM67" s="50"/>
      <c r="DN67" s="50"/>
      <c r="DO67" s="50"/>
      <c r="DP67" s="50"/>
      <c r="DQ67" s="50"/>
      <c r="DR67" s="50"/>
      <c r="DS67" s="50"/>
      <c r="DT67" s="50"/>
      <c r="DU67" s="50"/>
      <c r="DV67" s="50"/>
      <c r="DW67" s="50"/>
      <c r="DX67" s="50"/>
      <c r="DY67" s="50"/>
      <c r="DZ67" s="50"/>
      <c r="EA67" s="50"/>
      <c r="EB67" s="50"/>
      <c r="EC67" s="50"/>
      <c r="ED67" s="50"/>
      <c r="EE67" s="50"/>
      <c r="EF67" s="50"/>
      <c r="EG67" s="50"/>
      <c r="EH67" s="50"/>
      <c r="EI67" s="50"/>
      <c r="EJ67" s="50"/>
      <c r="EK67" s="50"/>
      <c r="EL67" s="50"/>
      <c r="EM67" s="50"/>
      <c r="EN67" s="50"/>
      <c r="EO67" s="50"/>
      <c r="EP67" s="50"/>
      <c r="EQ67" s="50"/>
      <c r="ER67" s="50"/>
      <c r="ES67" s="50"/>
      <c r="ET67" s="50"/>
      <c r="EU67" s="50"/>
      <c r="EV67" s="50"/>
      <c r="EW67" s="50"/>
      <c r="EX67" s="50"/>
      <c r="EY67" s="50"/>
      <c r="EZ67" s="50"/>
      <c r="FA67" s="50"/>
      <c r="FB67" s="50"/>
      <c r="FC67" s="50"/>
      <c r="FD67" s="50"/>
      <c r="FE67" s="50"/>
      <c r="FF67" s="50"/>
      <c r="FG67" s="50"/>
      <c r="FH67" s="50"/>
      <c r="FI67" s="50"/>
      <c r="FJ67" s="50"/>
    </row>
    <row r="68" spans="1:166" ht="15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50"/>
      <c r="DC68" s="50"/>
      <c r="DD68" s="50"/>
      <c r="DE68" s="50"/>
      <c r="DF68" s="50"/>
      <c r="DG68" s="50"/>
      <c r="DH68" s="50"/>
      <c r="DI68" s="50"/>
      <c r="DJ68" s="50"/>
      <c r="DK68" s="50"/>
      <c r="DL68" s="50"/>
      <c r="DM68" s="50"/>
      <c r="DN68" s="50"/>
      <c r="DO68" s="50"/>
      <c r="DP68" s="50"/>
      <c r="DQ68" s="50"/>
      <c r="DR68" s="50"/>
      <c r="DS68" s="50"/>
      <c r="DT68" s="50"/>
      <c r="DU68" s="50"/>
      <c r="DV68" s="50"/>
      <c r="DW68" s="50"/>
      <c r="DX68" s="50"/>
      <c r="DY68" s="50"/>
      <c r="DZ68" s="50"/>
      <c r="EA68" s="50"/>
      <c r="EB68" s="50"/>
      <c r="EC68" s="50"/>
      <c r="ED68" s="50"/>
      <c r="EE68" s="50"/>
      <c r="EF68" s="50"/>
      <c r="EG68" s="50"/>
      <c r="EH68" s="50"/>
      <c r="EI68" s="50"/>
      <c r="EJ68" s="50"/>
      <c r="EK68" s="50"/>
      <c r="EL68" s="50"/>
      <c r="EM68" s="50"/>
      <c r="EN68" s="50"/>
      <c r="EO68" s="50"/>
      <c r="EP68" s="50"/>
      <c r="EQ68" s="50"/>
      <c r="ER68" s="50"/>
      <c r="ES68" s="50"/>
      <c r="ET68" s="50"/>
      <c r="EU68" s="50"/>
      <c r="EV68" s="50"/>
      <c r="EW68" s="50"/>
      <c r="EX68" s="50"/>
      <c r="EY68" s="50"/>
      <c r="EZ68" s="50"/>
      <c r="FA68" s="50"/>
      <c r="FB68" s="50"/>
      <c r="FC68" s="50"/>
      <c r="FD68" s="50"/>
      <c r="FE68" s="50"/>
      <c r="FF68" s="50"/>
      <c r="FG68" s="50"/>
      <c r="FH68" s="50"/>
      <c r="FI68" s="50"/>
      <c r="FJ68" s="50"/>
    </row>
    <row r="69" spans="1:166" ht="15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/>
      <c r="CY69" s="50"/>
      <c r="CZ69" s="50"/>
      <c r="DA69" s="50"/>
      <c r="DB69" s="50"/>
      <c r="DC69" s="50"/>
      <c r="DD69" s="50"/>
      <c r="DE69" s="50"/>
      <c r="DF69" s="50"/>
      <c r="DG69" s="50"/>
      <c r="DH69" s="50"/>
      <c r="DI69" s="50"/>
      <c r="DJ69" s="50"/>
      <c r="DK69" s="50"/>
      <c r="DL69" s="50"/>
      <c r="DM69" s="50"/>
      <c r="DN69" s="50"/>
      <c r="DO69" s="50"/>
      <c r="DP69" s="50"/>
      <c r="DQ69" s="50"/>
      <c r="DR69" s="50"/>
      <c r="DS69" s="50"/>
      <c r="DT69" s="50"/>
      <c r="DU69" s="50"/>
      <c r="DV69" s="50"/>
      <c r="DW69" s="50"/>
      <c r="DX69" s="50"/>
      <c r="DY69" s="50"/>
      <c r="DZ69" s="50"/>
      <c r="EA69" s="50"/>
      <c r="EB69" s="50"/>
      <c r="EC69" s="50"/>
      <c r="ED69" s="50"/>
      <c r="EE69" s="50"/>
      <c r="EF69" s="50"/>
      <c r="EG69" s="50"/>
      <c r="EH69" s="50"/>
      <c r="EI69" s="50"/>
      <c r="EJ69" s="50"/>
      <c r="EK69" s="50"/>
      <c r="EL69" s="50"/>
      <c r="EM69" s="50"/>
      <c r="EN69" s="50"/>
      <c r="EO69" s="50"/>
      <c r="EP69" s="50"/>
      <c r="EQ69" s="50"/>
      <c r="ER69" s="50"/>
      <c r="ES69" s="50"/>
      <c r="ET69" s="50"/>
      <c r="EU69" s="50"/>
      <c r="EV69" s="50"/>
      <c r="EW69" s="50"/>
      <c r="EX69" s="50"/>
      <c r="EY69" s="50"/>
      <c r="EZ69" s="50"/>
      <c r="FA69" s="50"/>
      <c r="FB69" s="50"/>
      <c r="FC69" s="50"/>
      <c r="FD69" s="50"/>
      <c r="FE69" s="50"/>
      <c r="FF69" s="50"/>
      <c r="FG69" s="50"/>
      <c r="FH69" s="50"/>
      <c r="FI69" s="50"/>
      <c r="FJ69" s="50"/>
    </row>
    <row r="70" spans="1:166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0"/>
      <c r="CW70" s="50"/>
      <c r="CX70" s="50"/>
      <c r="CY70" s="50"/>
      <c r="CZ70" s="50"/>
      <c r="DA70" s="50"/>
      <c r="DB70" s="50"/>
      <c r="DC70" s="50"/>
      <c r="DD70" s="50"/>
      <c r="DE70" s="50"/>
      <c r="DF70" s="50"/>
      <c r="DG70" s="50"/>
      <c r="DH70" s="50"/>
      <c r="DI70" s="50"/>
      <c r="DJ70" s="50"/>
      <c r="DK70" s="50"/>
      <c r="DL70" s="50"/>
      <c r="DM70" s="50"/>
      <c r="DN70" s="50"/>
      <c r="DO70" s="50"/>
      <c r="DP70" s="50"/>
      <c r="DQ70" s="50"/>
      <c r="DR70" s="50"/>
      <c r="DS70" s="50"/>
      <c r="DT70" s="50"/>
      <c r="DU70" s="50"/>
      <c r="DV70" s="50"/>
      <c r="DW70" s="50"/>
      <c r="DX70" s="50"/>
      <c r="DY70" s="50"/>
      <c r="DZ70" s="50"/>
      <c r="EA70" s="50"/>
      <c r="EB70" s="50"/>
      <c r="EC70" s="50"/>
      <c r="ED70" s="50"/>
      <c r="EE70" s="50"/>
      <c r="EF70" s="50"/>
      <c r="EG70" s="50"/>
      <c r="EH70" s="50"/>
      <c r="EI70" s="50"/>
      <c r="EJ70" s="50"/>
      <c r="EK70" s="50"/>
      <c r="EL70" s="50"/>
      <c r="EM70" s="50"/>
      <c r="EN70" s="50"/>
      <c r="EO70" s="50"/>
      <c r="EP70" s="50"/>
      <c r="EQ70" s="50"/>
      <c r="ER70" s="50"/>
      <c r="ES70" s="50"/>
      <c r="ET70" s="50"/>
      <c r="EU70" s="50"/>
      <c r="EV70" s="50"/>
      <c r="EW70" s="50"/>
      <c r="EX70" s="50"/>
      <c r="EY70" s="50"/>
      <c r="EZ70" s="50"/>
      <c r="FA70" s="50"/>
      <c r="FB70" s="50"/>
      <c r="FC70" s="50"/>
      <c r="FD70" s="50"/>
      <c r="FE70" s="50"/>
      <c r="FF70" s="50"/>
      <c r="FG70" s="50"/>
      <c r="FH70" s="50"/>
      <c r="FI70" s="50"/>
      <c r="FJ70" s="50"/>
    </row>
    <row r="71" spans="1:166" ht="15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  <c r="CP71" s="50"/>
      <c r="CQ71" s="50"/>
      <c r="CR71" s="50"/>
      <c r="CS71" s="50"/>
      <c r="CT71" s="50"/>
      <c r="CU71" s="50"/>
      <c r="CV71" s="50"/>
      <c r="CW71" s="50"/>
      <c r="CX71" s="50"/>
      <c r="CY71" s="50"/>
      <c r="CZ71" s="50"/>
      <c r="DA71" s="50"/>
      <c r="DB71" s="50"/>
      <c r="DC71" s="50"/>
      <c r="DD71" s="50"/>
      <c r="DE71" s="50"/>
      <c r="DF71" s="50"/>
      <c r="DG71" s="50"/>
      <c r="DH71" s="50"/>
      <c r="DI71" s="50"/>
      <c r="DJ71" s="50"/>
      <c r="DK71" s="50"/>
      <c r="DL71" s="50"/>
      <c r="DM71" s="50"/>
      <c r="DN71" s="50"/>
      <c r="DO71" s="50"/>
      <c r="DP71" s="50"/>
      <c r="DQ71" s="50"/>
      <c r="DR71" s="50"/>
      <c r="DS71" s="50"/>
      <c r="DT71" s="50"/>
      <c r="DU71" s="50"/>
      <c r="DV71" s="50"/>
      <c r="DW71" s="50"/>
      <c r="DX71" s="50"/>
      <c r="DY71" s="50"/>
      <c r="DZ71" s="50"/>
      <c r="EA71" s="50"/>
      <c r="EB71" s="50"/>
      <c r="EC71" s="50"/>
      <c r="ED71" s="50"/>
      <c r="EE71" s="50"/>
      <c r="EF71" s="50"/>
      <c r="EG71" s="50"/>
      <c r="EH71" s="50"/>
      <c r="EI71" s="50"/>
      <c r="EJ71" s="50"/>
      <c r="EK71" s="50"/>
      <c r="EL71" s="50"/>
      <c r="EM71" s="50"/>
      <c r="EN71" s="50"/>
      <c r="EO71" s="50"/>
      <c r="EP71" s="50"/>
      <c r="EQ71" s="50"/>
      <c r="ER71" s="50"/>
      <c r="ES71" s="50"/>
      <c r="ET71" s="50"/>
      <c r="EU71" s="50"/>
      <c r="EV71" s="50"/>
      <c r="EW71" s="50"/>
      <c r="EX71" s="50"/>
      <c r="EY71" s="50"/>
      <c r="EZ71" s="50"/>
      <c r="FA71" s="50"/>
      <c r="FB71" s="50"/>
      <c r="FC71" s="50"/>
      <c r="FD71" s="50"/>
      <c r="FE71" s="50"/>
      <c r="FF71" s="50"/>
      <c r="FG71" s="50"/>
      <c r="FH71" s="50"/>
      <c r="FI71" s="50"/>
      <c r="FJ71" s="50"/>
    </row>
    <row r="72" spans="1:166" ht="15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  <c r="DA72" s="50"/>
      <c r="DB72" s="50"/>
      <c r="DC72" s="50"/>
      <c r="DD72" s="50"/>
      <c r="DE72" s="50"/>
      <c r="DF72" s="50"/>
      <c r="DG72" s="50"/>
      <c r="DH72" s="50"/>
      <c r="DI72" s="50"/>
      <c r="DJ72" s="50"/>
      <c r="DK72" s="50"/>
      <c r="DL72" s="50"/>
      <c r="DM72" s="50"/>
      <c r="DN72" s="50"/>
      <c r="DO72" s="50"/>
      <c r="DP72" s="50"/>
      <c r="DQ72" s="50"/>
      <c r="DR72" s="50"/>
      <c r="DS72" s="50"/>
      <c r="DT72" s="50"/>
      <c r="DU72" s="50"/>
      <c r="DV72" s="50"/>
      <c r="DW72" s="50"/>
      <c r="DX72" s="50"/>
      <c r="DY72" s="50"/>
      <c r="DZ72" s="50"/>
      <c r="EA72" s="50"/>
      <c r="EB72" s="50"/>
      <c r="EC72" s="50"/>
      <c r="ED72" s="50"/>
      <c r="EE72" s="50"/>
      <c r="EF72" s="50"/>
      <c r="EG72" s="50"/>
      <c r="EH72" s="50"/>
      <c r="EI72" s="50"/>
      <c r="EJ72" s="50"/>
      <c r="EK72" s="50"/>
      <c r="EL72" s="50"/>
      <c r="EM72" s="50"/>
      <c r="EN72" s="50"/>
      <c r="EO72" s="50"/>
      <c r="EP72" s="50"/>
      <c r="EQ72" s="50"/>
      <c r="ER72" s="50"/>
      <c r="ES72" s="50"/>
      <c r="ET72" s="50"/>
      <c r="EU72" s="50"/>
      <c r="EV72" s="50"/>
      <c r="EW72" s="50"/>
      <c r="EX72" s="50"/>
      <c r="EY72" s="50"/>
      <c r="EZ72" s="50"/>
      <c r="FA72" s="50"/>
      <c r="FB72" s="50"/>
      <c r="FC72" s="50"/>
      <c r="FD72" s="50"/>
      <c r="FE72" s="50"/>
      <c r="FF72" s="50"/>
      <c r="FG72" s="50"/>
      <c r="FH72" s="50"/>
      <c r="FI72" s="50"/>
      <c r="FJ72" s="50"/>
    </row>
    <row r="73" spans="1:166" ht="15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50"/>
      <c r="DB73" s="50"/>
      <c r="DC73" s="50"/>
      <c r="DD73" s="50"/>
      <c r="DE73" s="50"/>
      <c r="DF73" s="50"/>
      <c r="DG73" s="50"/>
      <c r="DH73" s="50"/>
      <c r="DI73" s="50"/>
      <c r="DJ73" s="50"/>
      <c r="DK73" s="50"/>
      <c r="DL73" s="50"/>
      <c r="DM73" s="50"/>
      <c r="DN73" s="50"/>
      <c r="DO73" s="50"/>
      <c r="DP73" s="50"/>
      <c r="DQ73" s="50"/>
      <c r="DR73" s="50"/>
      <c r="DS73" s="50"/>
      <c r="DT73" s="50"/>
      <c r="DU73" s="50"/>
      <c r="DV73" s="50"/>
      <c r="DW73" s="50"/>
      <c r="DX73" s="50"/>
      <c r="DY73" s="50"/>
      <c r="DZ73" s="50"/>
      <c r="EA73" s="50"/>
      <c r="EB73" s="50"/>
      <c r="EC73" s="50"/>
      <c r="ED73" s="50"/>
      <c r="EE73" s="50"/>
      <c r="EF73" s="50"/>
      <c r="EG73" s="50"/>
      <c r="EH73" s="50"/>
      <c r="EI73" s="50"/>
      <c r="EJ73" s="50"/>
      <c r="EK73" s="50"/>
      <c r="EL73" s="50"/>
      <c r="EM73" s="50"/>
      <c r="EN73" s="50"/>
      <c r="EO73" s="50"/>
      <c r="EP73" s="50"/>
      <c r="EQ73" s="50"/>
      <c r="ER73" s="50"/>
      <c r="ES73" s="50"/>
      <c r="ET73" s="50"/>
      <c r="EU73" s="50"/>
      <c r="EV73" s="50"/>
      <c r="EW73" s="50"/>
      <c r="EX73" s="50"/>
      <c r="EY73" s="50"/>
      <c r="EZ73" s="50"/>
      <c r="FA73" s="50"/>
      <c r="FB73" s="50"/>
      <c r="FC73" s="50"/>
      <c r="FD73" s="50"/>
      <c r="FE73" s="50"/>
      <c r="FF73" s="50"/>
      <c r="FG73" s="50"/>
      <c r="FH73" s="50"/>
      <c r="FI73" s="50"/>
      <c r="FJ73" s="50"/>
    </row>
    <row r="74" spans="1:166" ht="15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  <c r="DC74" s="50"/>
      <c r="DD74" s="50"/>
      <c r="DE74" s="50"/>
      <c r="DF74" s="50"/>
      <c r="DG74" s="50"/>
      <c r="DH74" s="50"/>
      <c r="DI74" s="50"/>
      <c r="DJ74" s="50"/>
      <c r="DK74" s="50"/>
      <c r="DL74" s="50"/>
      <c r="DM74" s="50"/>
      <c r="DN74" s="50"/>
      <c r="DO74" s="50"/>
      <c r="DP74" s="50"/>
      <c r="DQ74" s="50"/>
      <c r="DR74" s="50"/>
      <c r="DS74" s="50"/>
      <c r="DT74" s="50"/>
      <c r="DU74" s="50"/>
      <c r="DV74" s="50"/>
      <c r="DW74" s="50"/>
      <c r="DX74" s="50"/>
      <c r="DY74" s="50"/>
      <c r="DZ74" s="50"/>
      <c r="EA74" s="50"/>
      <c r="EB74" s="50"/>
      <c r="EC74" s="50"/>
      <c r="ED74" s="50"/>
      <c r="EE74" s="50"/>
      <c r="EF74" s="50"/>
      <c r="EG74" s="50"/>
      <c r="EH74" s="50"/>
      <c r="EI74" s="50"/>
      <c r="EJ74" s="50"/>
      <c r="EK74" s="50"/>
      <c r="EL74" s="50"/>
      <c r="EM74" s="50"/>
      <c r="EN74" s="50"/>
      <c r="EO74" s="50"/>
      <c r="EP74" s="50"/>
      <c r="EQ74" s="50"/>
      <c r="ER74" s="50"/>
      <c r="ES74" s="50"/>
      <c r="ET74" s="50"/>
      <c r="EU74" s="50"/>
      <c r="EV74" s="50"/>
      <c r="EW74" s="50"/>
      <c r="EX74" s="50"/>
      <c r="EY74" s="50"/>
      <c r="EZ74" s="50"/>
      <c r="FA74" s="50"/>
      <c r="FB74" s="50"/>
      <c r="FC74" s="50"/>
      <c r="FD74" s="50"/>
      <c r="FE74" s="50"/>
      <c r="FF74" s="50"/>
      <c r="FG74" s="50"/>
      <c r="FH74" s="50"/>
      <c r="FI74" s="50"/>
      <c r="FJ74" s="50"/>
    </row>
    <row r="75" spans="1:166" ht="15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50"/>
      <c r="DC75" s="50"/>
      <c r="DD75" s="50"/>
      <c r="DE75" s="50"/>
      <c r="DF75" s="50"/>
      <c r="DG75" s="50"/>
      <c r="DH75" s="50"/>
      <c r="DI75" s="50"/>
      <c r="DJ75" s="50"/>
      <c r="DK75" s="50"/>
      <c r="DL75" s="50"/>
      <c r="DM75" s="50"/>
      <c r="DN75" s="50"/>
      <c r="DO75" s="50"/>
      <c r="DP75" s="50"/>
      <c r="DQ75" s="50"/>
      <c r="DR75" s="50"/>
      <c r="DS75" s="50"/>
      <c r="DT75" s="50"/>
      <c r="DU75" s="50"/>
      <c r="DV75" s="50"/>
      <c r="DW75" s="50"/>
      <c r="DX75" s="50"/>
      <c r="DY75" s="50"/>
      <c r="DZ75" s="50"/>
      <c r="EA75" s="50"/>
      <c r="EB75" s="50"/>
      <c r="EC75" s="50"/>
      <c r="ED75" s="50"/>
      <c r="EE75" s="50"/>
      <c r="EF75" s="50"/>
      <c r="EG75" s="50"/>
      <c r="EH75" s="50"/>
      <c r="EI75" s="50"/>
      <c r="EJ75" s="50"/>
      <c r="EK75" s="50"/>
      <c r="EL75" s="50"/>
      <c r="EM75" s="50"/>
      <c r="EN75" s="50"/>
      <c r="EO75" s="50"/>
      <c r="EP75" s="50"/>
      <c r="EQ75" s="50"/>
      <c r="ER75" s="50"/>
      <c r="ES75" s="50"/>
      <c r="ET75" s="50"/>
      <c r="EU75" s="50"/>
      <c r="EV75" s="50"/>
      <c r="EW75" s="50"/>
      <c r="EX75" s="50"/>
      <c r="EY75" s="50"/>
      <c r="EZ75" s="50"/>
      <c r="FA75" s="50"/>
      <c r="FB75" s="50"/>
      <c r="FC75" s="50"/>
      <c r="FD75" s="50"/>
      <c r="FE75" s="50"/>
      <c r="FF75" s="50"/>
      <c r="FG75" s="50"/>
      <c r="FH75" s="50"/>
      <c r="FI75" s="50"/>
      <c r="FJ75" s="50"/>
    </row>
    <row r="76" spans="1:166" ht="15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  <c r="DC76" s="50"/>
      <c r="DD76" s="50"/>
      <c r="DE76" s="50"/>
      <c r="DF76" s="50"/>
      <c r="DG76" s="50"/>
      <c r="DH76" s="50"/>
      <c r="DI76" s="50"/>
      <c r="DJ76" s="50"/>
      <c r="DK76" s="50"/>
      <c r="DL76" s="50"/>
      <c r="DM76" s="50"/>
      <c r="DN76" s="50"/>
      <c r="DO76" s="50"/>
      <c r="DP76" s="50"/>
      <c r="DQ76" s="50"/>
      <c r="DR76" s="50"/>
      <c r="DS76" s="50"/>
      <c r="DT76" s="50"/>
      <c r="DU76" s="50"/>
      <c r="DV76" s="50"/>
      <c r="DW76" s="50"/>
      <c r="DX76" s="50"/>
      <c r="DY76" s="50"/>
      <c r="DZ76" s="50"/>
      <c r="EA76" s="50"/>
      <c r="EB76" s="50"/>
      <c r="EC76" s="50"/>
      <c r="ED76" s="50"/>
      <c r="EE76" s="50"/>
      <c r="EF76" s="50"/>
      <c r="EG76" s="50"/>
      <c r="EH76" s="50"/>
      <c r="EI76" s="50"/>
      <c r="EJ76" s="50"/>
      <c r="EK76" s="50"/>
      <c r="EL76" s="50"/>
      <c r="EM76" s="50"/>
      <c r="EN76" s="50"/>
      <c r="EO76" s="50"/>
      <c r="EP76" s="50"/>
      <c r="EQ76" s="50"/>
      <c r="ER76" s="50"/>
      <c r="ES76" s="50"/>
      <c r="ET76" s="50"/>
      <c r="EU76" s="50"/>
      <c r="EV76" s="50"/>
      <c r="EW76" s="50"/>
      <c r="EX76" s="50"/>
      <c r="EY76" s="50"/>
      <c r="EZ76" s="50"/>
      <c r="FA76" s="50"/>
      <c r="FB76" s="50"/>
      <c r="FC76" s="50"/>
      <c r="FD76" s="50"/>
      <c r="FE76" s="50"/>
      <c r="FF76" s="50"/>
      <c r="FG76" s="50"/>
      <c r="FH76" s="50"/>
      <c r="FI76" s="50"/>
      <c r="FJ76" s="50"/>
    </row>
    <row r="77" spans="1:166" ht="15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  <c r="DC77" s="50"/>
      <c r="DD77" s="50"/>
      <c r="DE77" s="50"/>
      <c r="DF77" s="50"/>
      <c r="DG77" s="50"/>
      <c r="DH77" s="50"/>
      <c r="DI77" s="50"/>
      <c r="DJ77" s="50"/>
      <c r="DK77" s="50"/>
      <c r="DL77" s="50"/>
      <c r="DM77" s="50"/>
      <c r="DN77" s="50"/>
      <c r="DO77" s="50"/>
      <c r="DP77" s="50"/>
      <c r="DQ77" s="50"/>
      <c r="DR77" s="50"/>
      <c r="DS77" s="50"/>
      <c r="DT77" s="50"/>
      <c r="DU77" s="50"/>
      <c r="DV77" s="50"/>
      <c r="DW77" s="50"/>
      <c r="DX77" s="50"/>
      <c r="DY77" s="50"/>
      <c r="DZ77" s="50"/>
      <c r="EA77" s="50"/>
      <c r="EB77" s="50"/>
      <c r="EC77" s="50"/>
      <c r="ED77" s="50"/>
      <c r="EE77" s="50"/>
      <c r="EF77" s="50"/>
      <c r="EG77" s="50"/>
      <c r="EH77" s="50"/>
      <c r="EI77" s="50"/>
      <c r="EJ77" s="50"/>
      <c r="EK77" s="50"/>
      <c r="EL77" s="50"/>
      <c r="EM77" s="50"/>
      <c r="EN77" s="50"/>
      <c r="EO77" s="50"/>
      <c r="EP77" s="50"/>
      <c r="EQ77" s="50"/>
      <c r="ER77" s="50"/>
      <c r="ES77" s="50"/>
      <c r="ET77" s="50"/>
      <c r="EU77" s="50"/>
      <c r="EV77" s="50"/>
      <c r="EW77" s="50"/>
      <c r="EX77" s="50"/>
      <c r="EY77" s="50"/>
      <c r="EZ77" s="50"/>
      <c r="FA77" s="50"/>
      <c r="FB77" s="50"/>
      <c r="FC77" s="50"/>
      <c r="FD77" s="50"/>
      <c r="FE77" s="50"/>
      <c r="FF77" s="50"/>
      <c r="FG77" s="50"/>
      <c r="FH77" s="50"/>
      <c r="FI77" s="50"/>
      <c r="FJ77" s="50"/>
    </row>
    <row r="78" spans="1:166" ht="15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  <c r="DC78" s="50"/>
      <c r="DD78" s="50"/>
      <c r="DE78" s="50"/>
      <c r="DF78" s="50"/>
      <c r="DG78" s="50"/>
      <c r="DH78" s="50"/>
      <c r="DI78" s="50"/>
      <c r="DJ78" s="50"/>
      <c r="DK78" s="50"/>
      <c r="DL78" s="50"/>
      <c r="DM78" s="50"/>
      <c r="DN78" s="50"/>
      <c r="DO78" s="50"/>
      <c r="DP78" s="50"/>
      <c r="DQ78" s="50"/>
      <c r="DR78" s="50"/>
      <c r="DS78" s="50"/>
      <c r="DT78" s="50"/>
      <c r="DU78" s="50"/>
      <c r="DV78" s="50"/>
      <c r="DW78" s="50"/>
      <c r="DX78" s="50"/>
      <c r="DY78" s="50"/>
      <c r="DZ78" s="50"/>
      <c r="EA78" s="50"/>
      <c r="EB78" s="50"/>
      <c r="EC78" s="50"/>
      <c r="ED78" s="50"/>
      <c r="EE78" s="50"/>
      <c r="EF78" s="50"/>
      <c r="EG78" s="50"/>
      <c r="EH78" s="50"/>
      <c r="EI78" s="50"/>
      <c r="EJ78" s="50"/>
      <c r="EK78" s="50"/>
      <c r="EL78" s="50"/>
      <c r="EM78" s="50"/>
      <c r="EN78" s="50"/>
      <c r="EO78" s="50"/>
      <c r="EP78" s="50"/>
      <c r="EQ78" s="50"/>
      <c r="ER78" s="50"/>
      <c r="ES78" s="50"/>
      <c r="ET78" s="50"/>
      <c r="EU78" s="50"/>
      <c r="EV78" s="50"/>
      <c r="EW78" s="50"/>
      <c r="EX78" s="50"/>
      <c r="EY78" s="50"/>
      <c r="EZ78" s="50"/>
      <c r="FA78" s="50"/>
      <c r="FB78" s="50"/>
      <c r="FC78" s="50"/>
      <c r="FD78" s="50"/>
      <c r="FE78" s="50"/>
      <c r="FF78" s="50"/>
      <c r="FG78" s="50"/>
      <c r="FH78" s="50"/>
      <c r="FI78" s="50"/>
      <c r="FJ78" s="50"/>
    </row>
    <row r="79" spans="1:166" ht="15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  <c r="EK79" s="50"/>
      <c r="EL79" s="50"/>
      <c r="EM79" s="50"/>
      <c r="EN79" s="50"/>
      <c r="EO79" s="50"/>
      <c r="EP79" s="50"/>
      <c r="EQ79" s="50"/>
      <c r="ER79" s="50"/>
      <c r="ES79" s="50"/>
      <c r="ET79" s="50"/>
      <c r="EU79" s="50"/>
      <c r="EV79" s="50"/>
      <c r="EW79" s="50"/>
      <c r="EX79" s="50"/>
      <c r="EY79" s="50"/>
      <c r="EZ79" s="50"/>
      <c r="FA79" s="50"/>
      <c r="FB79" s="50"/>
      <c r="FC79" s="50"/>
      <c r="FD79" s="50"/>
      <c r="FE79" s="50"/>
      <c r="FF79" s="50"/>
      <c r="FG79" s="50"/>
      <c r="FH79" s="50"/>
      <c r="FI79" s="50"/>
      <c r="FJ79" s="50"/>
    </row>
    <row r="80" spans="1:166" ht="15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50"/>
      <c r="DC80" s="50"/>
      <c r="DD80" s="50"/>
      <c r="DE80" s="50"/>
      <c r="DF80" s="50"/>
      <c r="DG80" s="50"/>
      <c r="DH80" s="50"/>
      <c r="DI80" s="50"/>
      <c r="DJ80" s="50"/>
      <c r="DK80" s="50"/>
      <c r="DL80" s="50"/>
      <c r="DM80" s="50"/>
      <c r="DN80" s="50"/>
      <c r="DO80" s="50"/>
      <c r="DP80" s="50"/>
      <c r="DQ80" s="50"/>
      <c r="DR80" s="50"/>
      <c r="DS80" s="50"/>
      <c r="DT80" s="50"/>
      <c r="DU80" s="50"/>
      <c r="DV80" s="50"/>
      <c r="DW80" s="50"/>
      <c r="DX80" s="50"/>
      <c r="DY80" s="50"/>
      <c r="DZ80" s="50"/>
      <c r="EA80" s="50"/>
      <c r="EB80" s="50"/>
      <c r="EC80" s="50"/>
      <c r="ED80" s="50"/>
      <c r="EE80" s="50"/>
      <c r="EF80" s="50"/>
      <c r="EG80" s="50"/>
      <c r="EH80" s="50"/>
      <c r="EI80" s="50"/>
      <c r="EJ80" s="50"/>
      <c r="EK80" s="50"/>
      <c r="EL80" s="50"/>
      <c r="EM80" s="50"/>
      <c r="EN80" s="50"/>
      <c r="EO80" s="50"/>
      <c r="EP80" s="50"/>
      <c r="EQ80" s="50"/>
      <c r="ER80" s="50"/>
      <c r="ES80" s="50"/>
      <c r="ET80" s="50"/>
      <c r="EU80" s="50"/>
      <c r="EV80" s="50"/>
      <c r="EW80" s="50"/>
      <c r="EX80" s="50"/>
      <c r="EY80" s="50"/>
      <c r="EZ80" s="50"/>
      <c r="FA80" s="50"/>
      <c r="FB80" s="50"/>
      <c r="FC80" s="50"/>
      <c r="FD80" s="50"/>
      <c r="FE80" s="50"/>
      <c r="FF80" s="50"/>
      <c r="FG80" s="50"/>
      <c r="FH80" s="50"/>
      <c r="FI80" s="50"/>
      <c r="FJ80" s="50"/>
    </row>
    <row r="81" spans="1:166" ht="15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  <c r="CP81" s="50"/>
      <c r="CQ81" s="50"/>
      <c r="CR81" s="50"/>
      <c r="CS81" s="50"/>
      <c r="CT81" s="50"/>
      <c r="CU81" s="50"/>
      <c r="CV81" s="50"/>
      <c r="CW81" s="50"/>
      <c r="CX81" s="50"/>
      <c r="CY81" s="50"/>
      <c r="CZ81" s="50"/>
      <c r="DA81" s="50"/>
      <c r="DB81" s="50"/>
      <c r="DC81" s="50"/>
      <c r="DD81" s="50"/>
      <c r="DE81" s="50"/>
      <c r="DF81" s="50"/>
      <c r="DG81" s="50"/>
      <c r="DH81" s="50"/>
      <c r="DI81" s="50"/>
      <c r="DJ81" s="50"/>
      <c r="DK81" s="50"/>
      <c r="DL81" s="50"/>
      <c r="DM81" s="50"/>
      <c r="DN81" s="50"/>
      <c r="DO81" s="50"/>
      <c r="DP81" s="50"/>
      <c r="DQ81" s="50"/>
      <c r="DR81" s="50"/>
      <c r="DS81" s="50"/>
      <c r="DT81" s="50"/>
      <c r="DU81" s="50"/>
      <c r="DV81" s="50"/>
      <c r="DW81" s="50"/>
      <c r="DX81" s="50"/>
      <c r="DY81" s="50"/>
      <c r="DZ81" s="50"/>
      <c r="EA81" s="50"/>
      <c r="EB81" s="50"/>
      <c r="EC81" s="50"/>
      <c r="ED81" s="50"/>
      <c r="EE81" s="50"/>
      <c r="EF81" s="50"/>
      <c r="EG81" s="50"/>
      <c r="EH81" s="50"/>
      <c r="EI81" s="50"/>
      <c r="EJ81" s="50"/>
      <c r="EK81" s="50"/>
      <c r="EL81" s="50"/>
      <c r="EM81" s="50"/>
      <c r="EN81" s="50"/>
      <c r="EO81" s="50"/>
      <c r="EP81" s="50"/>
      <c r="EQ81" s="50"/>
      <c r="ER81" s="50"/>
      <c r="ES81" s="50"/>
      <c r="ET81" s="50"/>
      <c r="EU81" s="50"/>
      <c r="EV81" s="50"/>
      <c r="EW81" s="50"/>
      <c r="EX81" s="50"/>
      <c r="EY81" s="50"/>
      <c r="EZ81" s="50"/>
      <c r="FA81" s="50"/>
      <c r="FB81" s="50"/>
      <c r="FC81" s="50"/>
      <c r="FD81" s="50"/>
      <c r="FE81" s="50"/>
      <c r="FF81" s="50"/>
      <c r="FG81" s="50"/>
      <c r="FH81" s="50"/>
      <c r="FI81" s="50"/>
      <c r="FJ81" s="50"/>
    </row>
    <row r="82" spans="1:166" ht="15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0"/>
      <c r="CW82" s="50"/>
      <c r="CX82" s="50"/>
      <c r="CY82" s="50"/>
      <c r="CZ82" s="50"/>
      <c r="DA82" s="50"/>
      <c r="DB82" s="50"/>
      <c r="DC82" s="50"/>
      <c r="DD82" s="50"/>
      <c r="DE82" s="50"/>
      <c r="DF82" s="50"/>
      <c r="DG82" s="50"/>
      <c r="DH82" s="50"/>
      <c r="DI82" s="50"/>
      <c r="DJ82" s="50"/>
      <c r="DK82" s="50"/>
      <c r="DL82" s="50"/>
      <c r="DM82" s="50"/>
      <c r="DN82" s="50"/>
      <c r="DO82" s="50"/>
      <c r="DP82" s="50"/>
      <c r="DQ82" s="50"/>
      <c r="DR82" s="50"/>
      <c r="DS82" s="50"/>
      <c r="DT82" s="50"/>
      <c r="DU82" s="50"/>
      <c r="DV82" s="50"/>
      <c r="DW82" s="50"/>
      <c r="DX82" s="50"/>
      <c r="DY82" s="50"/>
      <c r="DZ82" s="50"/>
      <c r="EA82" s="50"/>
      <c r="EB82" s="50"/>
      <c r="EC82" s="50"/>
      <c r="ED82" s="50"/>
      <c r="EE82" s="50"/>
      <c r="EF82" s="50"/>
      <c r="EG82" s="50"/>
      <c r="EH82" s="50"/>
      <c r="EI82" s="50"/>
      <c r="EJ82" s="50"/>
      <c r="EK82" s="50"/>
      <c r="EL82" s="50"/>
      <c r="EM82" s="50"/>
      <c r="EN82" s="50"/>
      <c r="EO82" s="50"/>
      <c r="EP82" s="50"/>
      <c r="EQ82" s="50"/>
      <c r="ER82" s="50"/>
      <c r="ES82" s="50"/>
      <c r="ET82" s="50"/>
      <c r="EU82" s="50"/>
      <c r="EV82" s="50"/>
      <c r="EW82" s="50"/>
      <c r="EX82" s="50"/>
      <c r="EY82" s="50"/>
      <c r="EZ82" s="50"/>
      <c r="FA82" s="50"/>
      <c r="FB82" s="50"/>
      <c r="FC82" s="50"/>
      <c r="FD82" s="50"/>
      <c r="FE82" s="50"/>
      <c r="FF82" s="50"/>
      <c r="FG82" s="50"/>
      <c r="FH82" s="50"/>
      <c r="FI82" s="50"/>
      <c r="FJ82" s="50"/>
    </row>
    <row r="83" spans="1:166" ht="15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/>
      <c r="CY83" s="50"/>
      <c r="CZ83" s="50"/>
      <c r="DA83" s="50"/>
      <c r="DB83" s="50"/>
      <c r="DC83" s="50"/>
      <c r="DD83" s="50"/>
      <c r="DE83" s="50"/>
      <c r="DF83" s="50"/>
      <c r="DG83" s="50"/>
      <c r="DH83" s="50"/>
      <c r="DI83" s="50"/>
      <c r="DJ83" s="50"/>
      <c r="DK83" s="50"/>
      <c r="DL83" s="50"/>
      <c r="DM83" s="50"/>
      <c r="DN83" s="50"/>
      <c r="DO83" s="50"/>
      <c r="DP83" s="50"/>
      <c r="DQ83" s="50"/>
      <c r="DR83" s="50"/>
      <c r="DS83" s="50"/>
      <c r="DT83" s="50"/>
      <c r="DU83" s="50"/>
      <c r="DV83" s="50"/>
      <c r="DW83" s="50"/>
      <c r="DX83" s="50"/>
      <c r="DY83" s="50"/>
      <c r="DZ83" s="50"/>
      <c r="EA83" s="50"/>
      <c r="EB83" s="50"/>
      <c r="EC83" s="50"/>
      <c r="ED83" s="50"/>
      <c r="EE83" s="50"/>
      <c r="EF83" s="50"/>
      <c r="EG83" s="50"/>
      <c r="EH83" s="50"/>
      <c r="EI83" s="50"/>
      <c r="EJ83" s="50"/>
      <c r="EK83" s="50"/>
      <c r="EL83" s="50"/>
      <c r="EM83" s="50"/>
      <c r="EN83" s="50"/>
      <c r="EO83" s="50"/>
      <c r="EP83" s="50"/>
      <c r="EQ83" s="50"/>
      <c r="ER83" s="50"/>
      <c r="ES83" s="50"/>
      <c r="ET83" s="50"/>
      <c r="EU83" s="50"/>
      <c r="EV83" s="50"/>
      <c r="EW83" s="50"/>
      <c r="EX83" s="50"/>
      <c r="EY83" s="50"/>
      <c r="EZ83" s="50"/>
      <c r="FA83" s="50"/>
      <c r="FB83" s="50"/>
      <c r="FC83" s="50"/>
      <c r="FD83" s="50"/>
      <c r="FE83" s="50"/>
      <c r="FF83" s="50"/>
      <c r="FG83" s="50"/>
      <c r="FH83" s="50"/>
      <c r="FI83" s="50"/>
      <c r="FJ83" s="50"/>
    </row>
    <row r="84" spans="1:166" ht="15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/>
      <c r="CY84" s="50"/>
      <c r="CZ84" s="50"/>
      <c r="DA84" s="50"/>
      <c r="DB84" s="50"/>
      <c r="DC84" s="50"/>
      <c r="DD84" s="50"/>
      <c r="DE84" s="50"/>
      <c r="DF84" s="50"/>
      <c r="DG84" s="50"/>
      <c r="DH84" s="50"/>
      <c r="DI84" s="50"/>
      <c r="DJ84" s="50"/>
      <c r="DK84" s="50"/>
      <c r="DL84" s="50"/>
      <c r="DM84" s="50"/>
      <c r="DN84" s="50"/>
      <c r="DO84" s="50"/>
      <c r="DP84" s="50"/>
      <c r="DQ84" s="50"/>
      <c r="DR84" s="50"/>
      <c r="DS84" s="50"/>
      <c r="DT84" s="50"/>
      <c r="DU84" s="50"/>
      <c r="DV84" s="50"/>
      <c r="DW84" s="50"/>
      <c r="DX84" s="50"/>
      <c r="DY84" s="50"/>
      <c r="DZ84" s="50"/>
      <c r="EA84" s="50"/>
      <c r="EB84" s="50"/>
      <c r="EC84" s="50"/>
      <c r="ED84" s="50"/>
      <c r="EE84" s="50"/>
      <c r="EF84" s="50"/>
      <c r="EG84" s="50"/>
      <c r="EH84" s="50"/>
      <c r="EI84" s="50"/>
      <c r="EJ84" s="50"/>
      <c r="EK84" s="50"/>
      <c r="EL84" s="50"/>
      <c r="EM84" s="50"/>
      <c r="EN84" s="50"/>
      <c r="EO84" s="50"/>
      <c r="EP84" s="50"/>
      <c r="EQ84" s="50"/>
      <c r="ER84" s="50"/>
      <c r="ES84" s="50"/>
      <c r="ET84" s="50"/>
      <c r="EU84" s="50"/>
      <c r="EV84" s="50"/>
      <c r="EW84" s="50"/>
      <c r="EX84" s="50"/>
      <c r="EY84" s="50"/>
      <c r="EZ84" s="50"/>
      <c r="FA84" s="50"/>
      <c r="FB84" s="50"/>
      <c r="FC84" s="50"/>
      <c r="FD84" s="50"/>
      <c r="FE84" s="50"/>
      <c r="FF84" s="50"/>
      <c r="FG84" s="50"/>
      <c r="FH84" s="50"/>
      <c r="FI84" s="50"/>
      <c r="FJ84" s="50"/>
    </row>
    <row r="85" spans="1:166" ht="15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/>
      <c r="CY85" s="50"/>
      <c r="CZ85" s="50"/>
      <c r="DA85" s="50"/>
      <c r="DB85" s="50"/>
      <c r="DC85" s="50"/>
      <c r="DD85" s="50"/>
      <c r="DE85" s="50"/>
      <c r="DF85" s="50"/>
      <c r="DG85" s="50"/>
      <c r="DH85" s="50"/>
      <c r="DI85" s="50"/>
      <c r="DJ85" s="50"/>
      <c r="DK85" s="50"/>
      <c r="DL85" s="50"/>
      <c r="DM85" s="50"/>
      <c r="DN85" s="50"/>
      <c r="DO85" s="50"/>
      <c r="DP85" s="50"/>
      <c r="DQ85" s="50"/>
      <c r="DR85" s="50"/>
      <c r="DS85" s="50"/>
      <c r="DT85" s="50"/>
      <c r="DU85" s="50"/>
      <c r="DV85" s="50"/>
      <c r="DW85" s="50"/>
      <c r="DX85" s="50"/>
      <c r="DY85" s="50"/>
      <c r="DZ85" s="50"/>
      <c r="EA85" s="50"/>
      <c r="EB85" s="50"/>
      <c r="EC85" s="50"/>
      <c r="ED85" s="50"/>
      <c r="EE85" s="50"/>
      <c r="EF85" s="50"/>
      <c r="EG85" s="50"/>
      <c r="EH85" s="50"/>
      <c r="EI85" s="50"/>
      <c r="EJ85" s="50"/>
      <c r="EK85" s="50"/>
      <c r="EL85" s="50"/>
      <c r="EM85" s="50"/>
      <c r="EN85" s="50"/>
      <c r="EO85" s="50"/>
      <c r="EP85" s="50"/>
      <c r="EQ85" s="50"/>
      <c r="ER85" s="50"/>
      <c r="ES85" s="50"/>
      <c r="ET85" s="50"/>
      <c r="EU85" s="50"/>
      <c r="EV85" s="50"/>
      <c r="EW85" s="50"/>
      <c r="EX85" s="50"/>
      <c r="EY85" s="50"/>
      <c r="EZ85" s="50"/>
      <c r="FA85" s="50"/>
      <c r="FB85" s="50"/>
      <c r="FC85" s="50"/>
      <c r="FD85" s="50"/>
      <c r="FE85" s="50"/>
      <c r="FF85" s="50"/>
      <c r="FG85" s="50"/>
      <c r="FH85" s="50"/>
      <c r="FI85" s="50"/>
      <c r="FJ85" s="50"/>
    </row>
    <row r="86" spans="1:16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0"/>
      <c r="DD86" s="50"/>
      <c r="DE86" s="50"/>
      <c r="DF86" s="50"/>
      <c r="DG86" s="50"/>
      <c r="DH86" s="50"/>
      <c r="DI86" s="50"/>
      <c r="DJ86" s="50"/>
      <c r="DK86" s="50"/>
      <c r="DL86" s="50"/>
      <c r="DM86" s="50"/>
      <c r="DN86" s="50"/>
      <c r="DO86" s="50"/>
      <c r="DP86" s="50"/>
      <c r="DQ86" s="50"/>
      <c r="DR86" s="50"/>
      <c r="DS86" s="50"/>
      <c r="DT86" s="50"/>
      <c r="DU86" s="50"/>
      <c r="DV86" s="50"/>
      <c r="DW86" s="50"/>
      <c r="DX86" s="50"/>
      <c r="DY86" s="50"/>
      <c r="DZ86" s="50"/>
      <c r="EA86" s="50"/>
      <c r="EB86" s="50"/>
      <c r="EC86" s="50"/>
      <c r="ED86" s="50"/>
      <c r="EE86" s="50"/>
      <c r="EF86" s="50"/>
      <c r="EG86" s="50"/>
      <c r="EH86" s="50"/>
      <c r="EI86" s="50"/>
      <c r="EJ86" s="50"/>
      <c r="EK86" s="50"/>
      <c r="EL86" s="50"/>
      <c r="EM86" s="50"/>
      <c r="EN86" s="50"/>
      <c r="EO86" s="50"/>
      <c r="EP86" s="50"/>
      <c r="EQ86" s="50"/>
      <c r="ER86" s="50"/>
      <c r="ES86" s="50"/>
      <c r="ET86" s="50"/>
      <c r="EU86" s="50"/>
      <c r="EV86" s="50"/>
      <c r="EW86" s="50"/>
      <c r="EX86" s="50"/>
      <c r="EY86" s="50"/>
      <c r="EZ86" s="50"/>
      <c r="FA86" s="50"/>
      <c r="FB86" s="50"/>
      <c r="FC86" s="50"/>
      <c r="FD86" s="50"/>
      <c r="FE86" s="50"/>
      <c r="FF86" s="50"/>
      <c r="FG86" s="50"/>
      <c r="FH86" s="50"/>
      <c r="FI86" s="50"/>
      <c r="FJ86" s="50"/>
    </row>
    <row r="87" spans="1:166" ht="15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0"/>
      <c r="DV87" s="50"/>
      <c r="DW87" s="50"/>
      <c r="DX87" s="50"/>
      <c r="DY87" s="50"/>
      <c r="DZ87" s="50"/>
      <c r="EA87" s="50"/>
      <c r="EB87" s="50"/>
      <c r="EC87" s="50"/>
      <c r="ED87" s="50"/>
      <c r="EE87" s="50"/>
      <c r="EF87" s="50"/>
      <c r="EG87" s="50"/>
      <c r="EH87" s="50"/>
      <c r="EI87" s="50"/>
      <c r="EJ87" s="50"/>
      <c r="EK87" s="50"/>
      <c r="EL87" s="50"/>
      <c r="EM87" s="50"/>
      <c r="EN87" s="50"/>
      <c r="EO87" s="50"/>
      <c r="EP87" s="50"/>
      <c r="EQ87" s="50"/>
      <c r="ER87" s="50"/>
      <c r="ES87" s="50"/>
      <c r="ET87" s="50"/>
      <c r="EU87" s="50"/>
      <c r="EV87" s="50"/>
      <c r="EW87" s="50"/>
      <c r="EX87" s="50"/>
      <c r="EY87" s="50"/>
      <c r="EZ87" s="50"/>
      <c r="FA87" s="50"/>
      <c r="FB87" s="50"/>
      <c r="FC87" s="50"/>
      <c r="FD87" s="50"/>
      <c r="FE87" s="50"/>
      <c r="FF87" s="50"/>
      <c r="FG87" s="50"/>
      <c r="FH87" s="50"/>
      <c r="FI87" s="50"/>
      <c r="FJ87" s="50"/>
    </row>
    <row r="88" spans="1:166" ht="15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0"/>
      <c r="DD88" s="50"/>
      <c r="DE88" s="50"/>
      <c r="DF88" s="50"/>
      <c r="DG88" s="50"/>
      <c r="DH88" s="50"/>
      <c r="DI88" s="50"/>
      <c r="DJ88" s="50"/>
      <c r="DK88" s="50"/>
      <c r="DL88" s="50"/>
      <c r="DM88" s="50"/>
      <c r="DN88" s="50"/>
      <c r="DO88" s="50"/>
      <c r="DP88" s="50"/>
      <c r="DQ88" s="50"/>
      <c r="DR88" s="50"/>
      <c r="DS88" s="50"/>
      <c r="DT88" s="50"/>
      <c r="DU88" s="50"/>
      <c r="DV88" s="50"/>
      <c r="DW88" s="50"/>
      <c r="DX88" s="50"/>
      <c r="DY88" s="50"/>
      <c r="DZ88" s="50"/>
      <c r="EA88" s="50"/>
      <c r="EB88" s="50"/>
      <c r="EC88" s="50"/>
      <c r="ED88" s="50"/>
      <c r="EE88" s="50"/>
      <c r="EF88" s="50"/>
      <c r="EG88" s="50"/>
      <c r="EH88" s="50"/>
      <c r="EI88" s="50"/>
      <c r="EJ88" s="50"/>
      <c r="EK88" s="50"/>
      <c r="EL88" s="50"/>
      <c r="EM88" s="50"/>
      <c r="EN88" s="50"/>
      <c r="EO88" s="50"/>
      <c r="EP88" s="50"/>
      <c r="EQ88" s="50"/>
      <c r="ER88" s="50"/>
      <c r="ES88" s="50"/>
      <c r="ET88" s="50"/>
      <c r="EU88" s="50"/>
      <c r="EV88" s="50"/>
      <c r="EW88" s="50"/>
      <c r="EX88" s="50"/>
      <c r="EY88" s="50"/>
      <c r="EZ88" s="50"/>
      <c r="FA88" s="50"/>
      <c r="FB88" s="50"/>
      <c r="FC88" s="50"/>
      <c r="FD88" s="50"/>
      <c r="FE88" s="50"/>
      <c r="FF88" s="50"/>
      <c r="FG88" s="50"/>
      <c r="FH88" s="50"/>
      <c r="FI88" s="50"/>
      <c r="FJ88" s="50"/>
    </row>
    <row r="89" spans="1:166" ht="15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0"/>
      <c r="DD89" s="50"/>
      <c r="DE89" s="50"/>
      <c r="DF89" s="50"/>
      <c r="DG89" s="50"/>
      <c r="DH89" s="50"/>
      <c r="DI89" s="50"/>
      <c r="DJ89" s="50"/>
      <c r="DK89" s="50"/>
      <c r="DL89" s="50"/>
      <c r="DM89" s="50"/>
      <c r="DN89" s="50"/>
      <c r="DO89" s="50"/>
      <c r="DP89" s="50"/>
      <c r="DQ89" s="50"/>
      <c r="DR89" s="50"/>
      <c r="DS89" s="50"/>
      <c r="DT89" s="50"/>
      <c r="DU89" s="50"/>
      <c r="DV89" s="50"/>
      <c r="DW89" s="50"/>
      <c r="DX89" s="50"/>
      <c r="DY89" s="50"/>
      <c r="DZ89" s="50"/>
      <c r="EA89" s="50"/>
      <c r="EB89" s="50"/>
      <c r="EC89" s="50"/>
      <c r="ED89" s="50"/>
      <c r="EE89" s="50"/>
      <c r="EF89" s="50"/>
      <c r="EG89" s="50"/>
      <c r="EH89" s="50"/>
      <c r="EI89" s="50"/>
      <c r="EJ89" s="50"/>
      <c r="EK89" s="50"/>
      <c r="EL89" s="50"/>
      <c r="EM89" s="50"/>
      <c r="EN89" s="50"/>
      <c r="EO89" s="50"/>
      <c r="EP89" s="50"/>
      <c r="EQ89" s="50"/>
      <c r="ER89" s="50"/>
      <c r="ES89" s="50"/>
      <c r="ET89" s="50"/>
      <c r="EU89" s="50"/>
      <c r="EV89" s="50"/>
      <c r="EW89" s="50"/>
      <c r="EX89" s="50"/>
      <c r="EY89" s="50"/>
      <c r="EZ89" s="50"/>
      <c r="FA89" s="50"/>
      <c r="FB89" s="50"/>
      <c r="FC89" s="50"/>
      <c r="FD89" s="50"/>
      <c r="FE89" s="50"/>
      <c r="FF89" s="50"/>
      <c r="FG89" s="50"/>
      <c r="FH89" s="50"/>
      <c r="FI89" s="50"/>
      <c r="FJ89" s="50"/>
    </row>
    <row r="90" spans="1:166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0"/>
      <c r="DD90" s="50"/>
      <c r="DE90" s="50"/>
      <c r="DF90" s="50"/>
      <c r="DG90" s="50"/>
      <c r="DH90" s="50"/>
      <c r="DI90" s="50"/>
      <c r="DJ90" s="50"/>
      <c r="DK90" s="50"/>
      <c r="DL90" s="50"/>
      <c r="DM90" s="50"/>
      <c r="DN90" s="50"/>
      <c r="DO90" s="50"/>
      <c r="DP90" s="50"/>
      <c r="DQ90" s="50"/>
      <c r="DR90" s="50"/>
      <c r="DS90" s="50"/>
      <c r="DT90" s="50"/>
      <c r="DU90" s="50"/>
      <c r="DV90" s="50"/>
      <c r="DW90" s="50"/>
      <c r="DX90" s="50"/>
      <c r="DY90" s="50"/>
      <c r="DZ90" s="50"/>
      <c r="EA90" s="50"/>
      <c r="EB90" s="50"/>
      <c r="EC90" s="50"/>
      <c r="ED90" s="50"/>
      <c r="EE90" s="50"/>
      <c r="EF90" s="50"/>
      <c r="EG90" s="50"/>
      <c r="EH90" s="50"/>
      <c r="EI90" s="50"/>
      <c r="EJ90" s="50"/>
      <c r="EK90" s="50"/>
      <c r="EL90" s="50"/>
      <c r="EM90" s="50"/>
      <c r="EN90" s="50"/>
      <c r="EO90" s="50"/>
      <c r="EP90" s="50"/>
      <c r="EQ90" s="50"/>
      <c r="ER90" s="50"/>
      <c r="ES90" s="50"/>
      <c r="ET90" s="50"/>
      <c r="EU90" s="50"/>
      <c r="EV90" s="50"/>
      <c r="EW90" s="50"/>
      <c r="EX90" s="50"/>
      <c r="EY90" s="50"/>
      <c r="EZ90" s="50"/>
      <c r="FA90" s="50"/>
      <c r="FB90" s="50"/>
      <c r="FC90" s="50"/>
      <c r="FD90" s="50"/>
      <c r="FE90" s="50"/>
      <c r="FF90" s="50"/>
      <c r="FG90" s="50"/>
      <c r="FH90" s="50"/>
      <c r="FI90" s="50"/>
      <c r="FJ90" s="50"/>
    </row>
    <row r="91" spans="1:166" ht="15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50"/>
      <c r="DB91" s="50"/>
      <c r="DC91" s="50"/>
      <c r="DD91" s="50"/>
      <c r="DE91" s="50"/>
      <c r="DF91" s="50"/>
      <c r="DG91" s="50"/>
      <c r="DH91" s="50"/>
      <c r="DI91" s="50"/>
      <c r="DJ91" s="50"/>
      <c r="DK91" s="50"/>
      <c r="DL91" s="50"/>
      <c r="DM91" s="50"/>
      <c r="DN91" s="50"/>
      <c r="DO91" s="50"/>
      <c r="DP91" s="50"/>
      <c r="DQ91" s="50"/>
      <c r="DR91" s="50"/>
      <c r="DS91" s="50"/>
      <c r="DT91" s="50"/>
      <c r="DU91" s="50"/>
      <c r="DV91" s="50"/>
      <c r="DW91" s="50"/>
      <c r="DX91" s="50"/>
      <c r="DY91" s="50"/>
      <c r="DZ91" s="50"/>
      <c r="EA91" s="50"/>
      <c r="EB91" s="50"/>
      <c r="EC91" s="50"/>
      <c r="ED91" s="50"/>
      <c r="EE91" s="50"/>
      <c r="EF91" s="50"/>
      <c r="EG91" s="50"/>
      <c r="EH91" s="50"/>
      <c r="EI91" s="50"/>
      <c r="EJ91" s="50"/>
      <c r="EK91" s="50"/>
      <c r="EL91" s="50"/>
      <c r="EM91" s="50"/>
      <c r="EN91" s="50"/>
      <c r="EO91" s="50"/>
      <c r="EP91" s="50"/>
      <c r="EQ91" s="50"/>
      <c r="ER91" s="50"/>
      <c r="ES91" s="50"/>
      <c r="ET91" s="50"/>
      <c r="EU91" s="50"/>
      <c r="EV91" s="50"/>
      <c r="EW91" s="50"/>
      <c r="EX91" s="50"/>
      <c r="EY91" s="50"/>
      <c r="EZ91" s="50"/>
      <c r="FA91" s="50"/>
      <c r="FB91" s="50"/>
      <c r="FC91" s="50"/>
      <c r="FD91" s="50"/>
      <c r="FE91" s="50"/>
      <c r="FF91" s="50"/>
      <c r="FG91" s="50"/>
      <c r="FH91" s="50"/>
      <c r="FI91" s="50"/>
      <c r="FJ91" s="50"/>
    </row>
    <row r="92" spans="1:166" ht="15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  <c r="DA92" s="50"/>
      <c r="DB92" s="50"/>
      <c r="DC92" s="50"/>
      <c r="DD92" s="50"/>
      <c r="DE92" s="50"/>
      <c r="DF92" s="50"/>
      <c r="DG92" s="50"/>
      <c r="DH92" s="50"/>
      <c r="DI92" s="50"/>
      <c r="DJ92" s="50"/>
      <c r="DK92" s="50"/>
      <c r="DL92" s="50"/>
      <c r="DM92" s="50"/>
      <c r="DN92" s="50"/>
      <c r="DO92" s="50"/>
      <c r="DP92" s="50"/>
      <c r="DQ92" s="50"/>
      <c r="DR92" s="50"/>
      <c r="DS92" s="50"/>
      <c r="DT92" s="50"/>
      <c r="DU92" s="50"/>
      <c r="DV92" s="50"/>
      <c r="DW92" s="50"/>
      <c r="DX92" s="50"/>
      <c r="DY92" s="50"/>
      <c r="DZ92" s="50"/>
      <c r="EA92" s="50"/>
      <c r="EB92" s="50"/>
      <c r="EC92" s="50"/>
      <c r="ED92" s="50"/>
      <c r="EE92" s="50"/>
      <c r="EF92" s="50"/>
      <c r="EG92" s="50"/>
      <c r="EH92" s="50"/>
      <c r="EI92" s="50"/>
      <c r="EJ92" s="50"/>
      <c r="EK92" s="50"/>
      <c r="EL92" s="50"/>
      <c r="EM92" s="50"/>
      <c r="EN92" s="50"/>
      <c r="EO92" s="50"/>
      <c r="EP92" s="50"/>
      <c r="EQ92" s="50"/>
      <c r="ER92" s="50"/>
      <c r="ES92" s="50"/>
      <c r="ET92" s="50"/>
      <c r="EU92" s="50"/>
      <c r="EV92" s="50"/>
      <c r="EW92" s="50"/>
      <c r="EX92" s="50"/>
      <c r="EY92" s="50"/>
      <c r="EZ92" s="50"/>
      <c r="FA92" s="50"/>
      <c r="FB92" s="50"/>
      <c r="FC92" s="50"/>
      <c r="FD92" s="50"/>
      <c r="FE92" s="50"/>
      <c r="FF92" s="50"/>
      <c r="FG92" s="50"/>
      <c r="FH92" s="50"/>
      <c r="FI92" s="50"/>
      <c r="FJ92" s="50"/>
    </row>
    <row r="93" spans="1:166" ht="15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50"/>
      <c r="DC93" s="50"/>
      <c r="DD93" s="50"/>
      <c r="DE93" s="50"/>
      <c r="DF93" s="50"/>
      <c r="DG93" s="50"/>
      <c r="DH93" s="50"/>
      <c r="DI93" s="50"/>
      <c r="DJ93" s="50"/>
      <c r="DK93" s="50"/>
      <c r="DL93" s="50"/>
      <c r="DM93" s="50"/>
      <c r="DN93" s="50"/>
      <c r="DO93" s="50"/>
      <c r="DP93" s="50"/>
      <c r="DQ93" s="50"/>
      <c r="DR93" s="50"/>
      <c r="DS93" s="50"/>
      <c r="DT93" s="50"/>
      <c r="DU93" s="50"/>
      <c r="DV93" s="50"/>
      <c r="DW93" s="50"/>
      <c r="DX93" s="50"/>
      <c r="DY93" s="50"/>
      <c r="DZ93" s="50"/>
      <c r="EA93" s="50"/>
      <c r="EB93" s="50"/>
      <c r="EC93" s="50"/>
      <c r="ED93" s="50"/>
      <c r="EE93" s="50"/>
      <c r="EF93" s="50"/>
      <c r="EG93" s="50"/>
      <c r="EH93" s="50"/>
      <c r="EI93" s="50"/>
      <c r="EJ93" s="50"/>
      <c r="EK93" s="50"/>
      <c r="EL93" s="50"/>
      <c r="EM93" s="50"/>
      <c r="EN93" s="50"/>
      <c r="EO93" s="50"/>
      <c r="EP93" s="50"/>
      <c r="EQ93" s="50"/>
      <c r="ER93" s="50"/>
      <c r="ES93" s="50"/>
      <c r="ET93" s="50"/>
      <c r="EU93" s="50"/>
      <c r="EV93" s="50"/>
      <c r="EW93" s="50"/>
      <c r="EX93" s="50"/>
      <c r="EY93" s="50"/>
      <c r="EZ93" s="50"/>
      <c r="FA93" s="50"/>
      <c r="FB93" s="50"/>
      <c r="FC93" s="50"/>
      <c r="FD93" s="50"/>
      <c r="FE93" s="50"/>
      <c r="FF93" s="50"/>
      <c r="FG93" s="50"/>
      <c r="FH93" s="50"/>
      <c r="FI93" s="50"/>
      <c r="FJ93" s="50"/>
    </row>
    <row r="94" spans="1:166" ht="15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0"/>
      <c r="DD94" s="50"/>
      <c r="DE94" s="50"/>
      <c r="DF94" s="50"/>
      <c r="DG94" s="50"/>
      <c r="DH94" s="50"/>
      <c r="DI94" s="50"/>
      <c r="DJ94" s="50"/>
      <c r="DK94" s="50"/>
      <c r="DL94" s="50"/>
      <c r="DM94" s="50"/>
      <c r="DN94" s="50"/>
      <c r="DO94" s="50"/>
      <c r="DP94" s="50"/>
      <c r="DQ94" s="50"/>
      <c r="DR94" s="50"/>
      <c r="DS94" s="50"/>
      <c r="DT94" s="50"/>
      <c r="DU94" s="50"/>
      <c r="DV94" s="50"/>
      <c r="DW94" s="50"/>
      <c r="DX94" s="50"/>
      <c r="DY94" s="50"/>
      <c r="DZ94" s="50"/>
      <c r="EA94" s="50"/>
      <c r="EB94" s="50"/>
      <c r="EC94" s="50"/>
      <c r="ED94" s="50"/>
      <c r="EE94" s="50"/>
      <c r="EF94" s="50"/>
      <c r="EG94" s="50"/>
      <c r="EH94" s="50"/>
      <c r="EI94" s="50"/>
      <c r="EJ94" s="50"/>
      <c r="EK94" s="50"/>
      <c r="EL94" s="50"/>
      <c r="EM94" s="50"/>
      <c r="EN94" s="50"/>
      <c r="EO94" s="50"/>
      <c r="EP94" s="50"/>
      <c r="EQ94" s="50"/>
      <c r="ER94" s="50"/>
      <c r="ES94" s="50"/>
      <c r="ET94" s="50"/>
      <c r="EU94" s="50"/>
      <c r="EV94" s="50"/>
      <c r="EW94" s="50"/>
      <c r="EX94" s="50"/>
      <c r="EY94" s="50"/>
      <c r="EZ94" s="50"/>
      <c r="FA94" s="50"/>
      <c r="FB94" s="50"/>
      <c r="FC94" s="50"/>
      <c r="FD94" s="50"/>
      <c r="FE94" s="50"/>
      <c r="FF94" s="50"/>
      <c r="FG94" s="50"/>
      <c r="FH94" s="50"/>
      <c r="FI94" s="50"/>
      <c r="FJ94" s="50"/>
    </row>
    <row r="95" spans="1:166" ht="15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0"/>
      <c r="DD95" s="50"/>
      <c r="DE95" s="50"/>
      <c r="DF95" s="50"/>
      <c r="DG95" s="50"/>
      <c r="DH95" s="50"/>
      <c r="DI95" s="50"/>
      <c r="DJ95" s="50"/>
      <c r="DK95" s="50"/>
      <c r="DL95" s="50"/>
      <c r="DM95" s="50"/>
      <c r="DN95" s="50"/>
      <c r="DO95" s="50"/>
      <c r="DP95" s="50"/>
      <c r="DQ95" s="50"/>
      <c r="DR95" s="50"/>
      <c r="DS95" s="50"/>
      <c r="DT95" s="50"/>
      <c r="DU95" s="50"/>
      <c r="DV95" s="50"/>
      <c r="DW95" s="50"/>
      <c r="DX95" s="50"/>
      <c r="DY95" s="50"/>
      <c r="DZ95" s="50"/>
      <c r="EA95" s="50"/>
      <c r="EB95" s="50"/>
      <c r="EC95" s="50"/>
      <c r="ED95" s="50"/>
      <c r="EE95" s="50"/>
      <c r="EF95" s="50"/>
      <c r="EG95" s="50"/>
      <c r="EH95" s="50"/>
      <c r="EI95" s="50"/>
      <c r="EJ95" s="50"/>
      <c r="EK95" s="50"/>
      <c r="EL95" s="50"/>
      <c r="EM95" s="50"/>
      <c r="EN95" s="50"/>
      <c r="EO95" s="50"/>
      <c r="EP95" s="50"/>
      <c r="EQ95" s="50"/>
      <c r="ER95" s="50"/>
      <c r="ES95" s="50"/>
      <c r="ET95" s="50"/>
      <c r="EU95" s="50"/>
      <c r="EV95" s="50"/>
      <c r="EW95" s="50"/>
      <c r="EX95" s="50"/>
      <c r="EY95" s="50"/>
      <c r="EZ95" s="50"/>
      <c r="FA95" s="50"/>
      <c r="FB95" s="50"/>
      <c r="FC95" s="50"/>
      <c r="FD95" s="50"/>
      <c r="FE95" s="50"/>
      <c r="FF95" s="50"/>
      <c r="FG95" s="50"/>
      <c r="FH95" s="50"/>
      <c r="FI95" s="50"/>
      <c r="FJ95" s="50"/>
    </row>
    <row r="96" spans="1:166" ht="15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50"/>
      <c r="DB96" s="50"/>
      <c r="DC96" s="50"/>
      <c r="DD96" s="50"/>
      <c r="DE96" s="50"/>
      <c r="DF96" s="50"/>
      <c r="DG96" s="50"/>
      <c r="DH96" s="50"/>
      <c r="DI96" s="50"/>
      <c r="DJ96" s="50"/>
      <c r="DK96" s="50"/>
      <c r="DL96" s="50"/>
      <c r="DM96" s="50"/>
      <c r="DN96" s="50"/>
      <c r="DO96" s="50"/>
      <c r="DP96" s="50"/>
      <c r="DQ96" s="50"/>
      <c r="DR96" s="50"/>
      <c r="DS96" s="50"/>
      <c r="DT96" s="50"/>
      <c r="DU96" s="50"/>
      <c r="DV96" s="50"/>
      <c r="DW96" s="50"/>
      <c r="DX96" s="50"/>
      <c r="DY96" s="50"/>
      <c r="DZ96" s="50"/>
      <c r="EA96" s="50"/>
      <c r="EB96" s="50"/>
      <c r="EC96" s="50"/>
      <c r="ED96" s="50"/>
      <c r="EE96" s="50"/>
      <c r="EF96" s="50"/>
      <c r="EG96" s="50"/>
      <c r="EH96" s="50"/>
      <c r="EI96" s="50"/>
      <c r="EJ96" s="50"/>
      <c r="EK96" s="50"/>
      <c r="EL96" s="50"/>
      <c r="EM96" s="50"/>
      <c r="EN96" s="50"/>
      <c r="EO96" s="50"/>
      <c r="EP96" s="50"/>
      <c r="EQ96" s="50"/>
      <c r="ER96" s="50"/>
      <c r="ES96" s="50"/>
      <c r="ET96" s="50"/>
      <c r="EU96" s="50"/>
      <c r="EV96" s="50"/>
      <c r="EW96" s="50"/>
      <c r="EX96" s="50"/>
      <c r="EY96" s="50"/>
      <c r="EZ96" s="50"/>
      <c r="FA96" s="50"/>
      <c r="FB96" s="50"/>
      <c r="FC96" s="50"/>
      <c r="FD96" s="50"/>
      <c r="FE96" s="50"/>
      <c r="FF96" s="50"/>
      <c r="FG96" s="50"/>
      <c r="FH96" s="50"/>
      <c r="FI96" s="50"/>
      <c r="FJ96" s="50"/>
    </row>
    <row r="97" spans="1:166" ht="15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0"/>
      <c r="DD97" s="50"/>
      <c r="DE97" s="50"/>
      <c r="DF97" s="50"/>
      <c r="DG97" s="50"/>
      <c r="DH97" s="50"/>
      <c r="DI97" s="50"/>
      <c r="DJ97" s="50"/>
      <c r="DK97" s="50"/>
      <c r="DL97" s="50"/>
      <c r="DM97" s="50"/>
      <c r="DN97" s="50"/>
      <c r="DO97" s="50"/>
      <c r="DP97" s="50"/>
      <c r="DQ97" s="50"/>
      <c r="DR97" s="50"/>
      <c r="DS97" s="50"/>
      <c r="DT97" s="50"/>
      <c r="DU97" s="50"/>
      <c r="DV97" s="50"/>
      <c r="DW97" s="50"/>
      <c r="DX97" s="50"/>
      <c r="DY97" s="50"/>
      <c r="DZ97" s="50"/>
      <c r="EA97" s="50"/>
      <c r="EB97" s="50"/>
      <c r="EC97" s="50"/>
      <c r="ED97" s="50"/>
      <c r="EE97" s="50"/>
      <c r="EF97" s="50"/>
      <c r="EG97" s="50"/>
      <c r="EH97" s="50"/>
      <c r="EI97" s="50"/>
      <c r="EJ97" s="50"/>
      <c r="EK97" s="50"/>
      <c r="EL97" s="50"/>
      <c r="EM97" s="50"/>
      <c r="EN97" s="50"/>
      <c r="EO97" s="50"/>
      <c r="EP97" s="50"/>
      <c r="EQ97" s="50"/>
      <c r="ER97" s="50"/>
      <c r="ES97" s="50"/>
      <c r="ET97" s="50"/>
      <c r="EU97" s="50"/>
      <c r="EV97" s="50"/>
      <c r="EW97" s="50"/>
      <c r="EX97" s="50"/>
      <c r="EY97" s="50"/>
      <c r="EZ97" s="50"/>
      <c r="FA97" s="50"/>
      <c r="FB97" s="50"/>
      <c r="FC97" s="50"/>
      <c r="FD97" s="50"/>
      <c r="FE97" s="50"/>
      <c r="FF97" s="50"/>
      <c r="FG97" s="50"/>
      <c r="FH97" s="50"/>
      <c r="FI97" s="50"/>
      <c r="FJ97" s="50"/>
    </row>
    <row r="98" spans="1:166" ht="15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0"/>
      <c r="DD98" s="50"/>
      <c r="DE98" s="50"/>
      <c r="DF98" s="50"/>
      <c r="DG98" s="50"/>
      <c r="DH98" s="50"/>
      <c r="DI98" s="50"/>
      <c r="DJ98" s="50"/>
      <c r="DK98" s="50"/>
      <c r="DL98" s="50"/>
      <c r="DM98" s="50"/>
      <c r="DN98" s="50"/>
      <c r="DO98" s="50"/>
      <c r="DP98" s="50"/>
      <c r="DQ98" s="50"/>
      <c r="DR98" s="50"/>
      <c r="DS98" s="50"/>
      <c r="DT98" s="50"/>
      <c r="DU98" s="50"/>
      <c r="DV98" s="50"/>
      <c r="DW98" s="50"/>
      <c r="DX98" s="50"/>
      <c r="DY98" s="50"/>
      <c r="DZ98" s="50"/>
      <c r="EA98" s="50"/>
      <c r="EB98" s="50"/>
      <c r="EC98" s="50"/>
      <c r="ED98" s="50"/>
      <c r="EE98" s="50"/>
      <c r="EF98" s="50"/>
      <c r="EG98" s="50"/>
      <c r="EH98" s="50"/>
      <c r="EI98" s="50"/>
      <c r="EJ98" s="50"/>
      <c r="EK98" s="50"/>
      <c r="EL98" s="50"/>
      <c r="EM98" s="50"/>
      <c r="EN98" s="50"/>
      <c r="EO98" s="50"/>
      <c r="EP98" s="50"/>
      <c r="EQ98" s="50"/>
      <c r="ER98" s="50"/>
      <c r="ES98" s="50"/>
      <c r="ET98" s="50"/>
      <c r="EU98" s="50"/>
      <c r="EV98" s="50"/>
      <c r="EW98" s="50"/>
      <c r="EX98" s="50"/>
      <c r="EY98" s="50"/>
      <c r="EZ98" s="50"/>
      <c r="FA98" s="50"/>
      <c r="FB98" s="50"/>
      <c r="FC98" s="50"/>
      <c r="FD98" s="50"/>
      <c r="FE98" s="50"/>
      <c r="FF98" s="50"/>
      <c r="FG98" s="50"/>
      <c r="FH98" s="50"/>
      <c r="FI98" s="50"/>
      <c r="FJ98" s="50"/>
    </row>
    <row r="99" spans="1:166" ht="15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50"/>
      <c r="DB99" s="50"/>
      <c r="DC99" s="50"/>
      <c r="DD99" s="50"/>
      <c r="DE99" s="50"/>
      <c r="DF99" s="50"/>
      <c r="DG99" s="50"/>
      <c r="DH99" s="50"/>
      <c r="DI99" s="50"/>
      <c r="DJ99" s="50"/>
      <c r="DK99" s="50"/>
      <c r="DL99" s="50"/>
      <c r="DM99" s="50"/>
      <c r="DN99" s="50"/>
      <c r="DO99" s="50"/>
      <c r="DP99" s="50"/>
      <c r="DQ99" s="50"/>
      <c r="DR99" s="50"/>
      <c r="DS99" s="50"/>
      <c r="DT99" s="50"/>
      <c r="DU99" s="50"/>
      <c r="DV99" s="50"/>
      <c r="DW99" s="50"/>
      <c r="DX99" s="50"/>
      <c r="DY99" s="50"/>
      <c r="DZ99" s="50"/>
      <c r="EA99" s="50"/>
      <c r="EB99" s="50"/>
      <c r="EC99" s="50"/>
      <c r="ED99" s="50"/>
      <c r="EE99" s="50"/>
      <c r="EF99" s="50"/>
      <c r="EG99" s="50"/>
      <c r="EH99" s="50"/>
      <c r="EI99" s="50"/>
      <c r="EJ99" s="50"/>
      <c r="EK99" s="50"/>
      <c r="EL99" s="50"/>
      <c r="EM99" s="50"/>
      <c r="EN99" s="50"/>
      <c r="EO99" s="50"/>
      <c r="EP99" s="50"/>
      <c r="EQ99" s="50"/>
      <c r="ER99" s="50"/>
      <c r="ES99" s="50"/>
      <c r="ET99" s="50"/>
      <c r="EU99" s="50"/>
      <c r="EV99" s="50"/>
      <c r="EW99" s="50"/>
      <c r="EX99" s="50"/>
      <c r="EY99" s="50"/>
      <c r="EZ99" s="50"/>
      <c r="FA99" s="50"/>
      <c r="FB99" s="50"/>
      <c r="FC99" s="50"/>
      <c r="FD99" s="50"/>
      <c r="FE99" s="50"/>
      <c r="FF99" s="50"/>
      <c r="FG99" s="50"/>
      <c r="FH99" s="50"/>
      <c r="FI99" s="50"/>
      <c r="FJ99" s="50"/>
    </row>
    <row r="100" spans="1:166" ht="15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50"/>
      <c r="CY100" s="50"/>
      <c r="CZ100" s="50"/>
      <c r="DA100" s="50"/>
      <c r="DB100" s="50"/>
      <c r="DC100" s="50"/>
      <c r="DD100" s="50"/>
      <c r="DE100" s="50"/>
      <c r="DF100" s="50"/>
      <c r="DG100" s="50"/>
      <c r="DH100" s="50"/>
      <c r="DI100" s="50"/>
      <c r="DJ100" s="50"/>
      <c r="DK100" s="50"/>
      <c r="DL100" s="50"/>
      <c r="DM100" s="50"/>
      <c r="DN100" s="50"/>
      <c r="DO100" s="50"/>
      <c r="DP100" s="50"/>
      <c r="DQ100" s="50"/>
      <c r="DR100" s="50"/>
      <c r="DS100" s="50"/>
      <c r="DT100" s="50"/>
      <c r="DU100" s="50"/>
      <c r="DV100" s="50"/>
      <c r="DW100" s="50"/>
      <c r="DX100" s="50"/>
      <c r="DY100" s="50"/>
      <c r="DZ100" s="50"/>
      <c r="EA100" s="50"/>
      <c r="EB100" s="50"/>
      <c r="EC100" s="50"/>
      <c r="ED100" s="50"/>
      <c r="EE100" s="50"/>
      <c r="EF100" s="50"/>
      <c r="EG100" s="50"/>
      <c r="EH100" s="50"/>
      <c r="EI100" s="50"/>
      <c r="EJ100" s="50"/>
      <c r="EK100" s="50"/>
      <c r="EL100" s="50"/>
      <c r="EM100" s="50"/>
      <c r="EN100" s="50"/>
      <c r="EO100" s="50"/>
      <c r="EP100" s="50"/>
      <c r="EQ100" s="50"/>
      <c r="ER100" s="50"/>
      <c r="ES100" s="50"/>
      <c r="ET100" s="50"/>
      <c r="EU100" s="50"/>
      <c r="EV100" s="50"/>
      <c r="EW100" s="50"/>
      <c r="EX100" s="50"/>
      <c r="EY100" s="50"/>
      <c r="EZ100" s="50"/>
      <c r="FA100" s="50"/>
      <c r="FB100" s="50"/>
      <c r="FC100" s="50"/>
      <c r="FD100" s="50"/>
      <c r="FE100" s="50"/>
      <c r="FF100" s="50"/>
      <c r="FG100" s="50"/>
      <c r="FH100" s="50"/>
      <c r="FI100" s="50"/>
      <c r="FJ100" s="50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_Modules</vt:lpstr>
      <vt:lpstr>_Settings</vt:lpstr>
      <vt:lpstr>_MasterData</vt:lpstr>
      <vt:lpstr>CreateDoneAwayOrder</vt:lpstr>
      <vt:lpstr>GetMarkPriceData</vt:lpstr>
      <vt:lpstr>UpdateMarkPrice</vt:lpstr>
      <vt:lpstr>GetForexConversion</vt:lpstr>
      <vt:lpstr>UpdateForexConversion</vt:lpstr>
      <vt:lpstr>PricingInput</vt:lpstr>
      <vt:lpstr>GetDataClosing</vt:lpstr>
      <vt:lpstr>AutomaticClosing</vt:lpstr>
      <vt:lpstr>GetDayEndCash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2021-08-04T09:56:23Z</dcterms:modified>
</cp:coreProperties>
</file>