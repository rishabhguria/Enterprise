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yEndCash" sheetId="9" r:id="rId11"/>
    <sheet state="visible" name="GetAccountBalance" sheetId="10" r:id="rId12"/>
    <sheet state="visible" name="GetMarkPriceData1" sheetId="11" r:id="rId13"/>
    <sheet state="visible" name="UpdateMarkPrice1" sheetId="12" r:id="rId14"/>
    <sheet state="visible" name="GetDayEndCash1" sheetId="13" r:id="rId15"/>
    <sheet state="visible" name="GetAccountBalance1" sheetId="14" r:id="rId16"/>
    <sheet state="visible" name="GetRevaluationData" sheetId="15" r:id="rId17"/>
    <sheet state="visible" name="VerifyRevaluationData" sheetId="16" r:id="rId18"/>
    <sheet state="visible" name="VerifyTradingTransaction" sheetId="17" r:id="rId19"/>
    <sheet state="visible" name="GetActivityData" sheetId="18" r:id="rId20"/>
    <sheet state="visible" name="VerifyActivity" sheetId="19" r:id="rId21"/>
    <sheet state="visible" name="OpenSpinOff" sheetId="20" r:id="rId22"/>
    <sheet state="visible" name="SpinOff" sheetId="21" r:id="rId23"/>
    <sheet state="visible" name="VerifyAndApplyCorpAction" sheetId="22" r:id="rId24"/>
    <sheet state="visible" name="GetMarkPriceData2" sheetId="23" r:id="rId25"/>
    <sheet state="visible" name="UpdateMarkPrice2" sheetId="24" r:id="rId26"/>
    <sheet state="visible" name="GetAccountBalance2" sheetId="25" r:id="rId27"/>
    <sheet state="visible" name="GetRevaluationData1" sheetId="26" r:id="rId28"/>
    <sheet state="visible" name="VerifyRevaluationData1" sheetId="27" r:id="rId29"/>
    <sheet state="visible" name="VerifyTradingTransaction2" sheetId="28" r:id="rId30"/>
    <sheet state="visible" name="GetActivityData1" sheetId="29" r:id="rId31"/>
    <sheet state="visible" name="VerifyActivity1" sheetId="30" r:id="rId32"/>
    <sheet state="visible" name="GetDataClosing" sheetId="31" r:id="rId33"/>
    <sheet state="visible" name="VerifyShortPositionsGrid" sheetId="32" r:id="rId34"/>
    <sheet state="visible" name="GetDataAllocation" sheetId="33" r:id="rId35"/>
    <sheet state="visible" name="CheckAllocatedGroups" sheetId="34" r:id="rId36"/>
  </sheets>
  <definedNames/>
  <calcPr/>
</workbook>
</file>

<file path=xl/sharedStrings.xml><?xml version="1.0" encoding="utf-8"?>
<sst xmlns="http://schemas.openxmlformats.org/spreadsheetml/2006/main" count="537" uniqueCount="71">
  <si>
    <t>Settings</t>
  </si>
  <si>
    <t>Master Data Info</t>
  </si>
  <si>
    <t>Modules Info</t>
  </si>
  <si>
    <t>Module</t>
  </si>
  <si>
    <t>Module Step Setting File</t>
  </si>
  <si>
    <t>Step</t>
  </si>
  <si>
    <t>1BICZ_GcMhh_S937ZinFvSYqvvKYtOYB2Bc4woEPpgPg</t>
  </si>
  <si>
    <t>Modules</t>
  </si>
  <si>
    <t>Master Data Settings File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</si>
  <si>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</si>
  <si>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</si>
  <si>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</si>
  <si>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</si>
  <si>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</si>
  <si>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</si>
  <si>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</si>
  <si>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</t>
  </si>
  <si>
    <t>AddNonTradingTransaction</t>
  </si>
  <si>
    <t>USD</t>
  </si>
  <si>
    <t>Cash [Cash]</t>
  </si>
  <si>
    <t>M</t>
  </si>
  <si>
    <t>Cash Deposit [Equity]</t>
  </si>
  <si>
    <t>TradingTicket</t>
  </si>
  <si>
    <t>CreateDoneAwayOrder</t>
  </si>
  <si>
    <t>AAPL</t>
  </si>
  <si>
    <t>Sell short</t>
  </si>
  <si>
    <t>MS</t>
  </si>
  <si>
    <t>Flat Amount</t>
  </si>
  <si>
    <t>DailyValuation</t>
  </si>
  <si>
    <t>GetMarkPriceData</t>
  </si>
  <si>
    <t>UpdateMarkPrice</t>
  </si>
  <si>
    <t>GetDayEndCash</t>
  </si>
  <si>
    <t>GetAccountBalance</t>
  </si>
  <si>
    <t>GetRevaluationData</t>
  </si>
  <si>
    <t>VerifyRevaluationData</t>
  </si>
  <si>
    <t>VerifyTradingTransaction</t>
  </si>
  <si>
    <t>Equity UnRealized Profit And Loss [Income]</t>
  </si>
  <si>
    <t>DR</t>
  </si>
  <si>
    <t>Revaluation</t>
  </si>
  <si>
    <t>UnRealized PNL Entry</t>
  </si>
  <si>
    <t>GetActivityData</t>
  </si>
  <si>
    <t>Equity Short Revaluation [Asset]</t>
  </si>
  <si>
    <t>CR</t>
  </si>
  <si>
    <t>Trading</t>
  </si>
  <si>
    <t>Investment - Short Equity [Liability]</t>
  </si>
  <si>
    <t>VerifyActivity</t>
  </si>
  <si>
    <t>CorporateAction</t>
  </si>
  <si>
    <t>OpenSpinOff</t>
  </si>
  <si>
    <t>EquityShortUnRealizedPNL</t>
  </si>
  <si>
    <t>Cash</t>
  </si>
  <si>
    <t>SpinOff</t>
  </si>
  <si>
    <t>NonTrading</t>
  </si>
  <si>
    <t>unknown5</t>
  </si>
  <si>
    <t>EquityS</t>
  </si>
  <si>
    <t>MSFT</t>
  </si>
  <si>
    <t>VerifyAndApplyCorpAction</t>
  </si>
  <si>
    <t>SellShort</t>
  </si>
  <si>
    <t>Buy to Close</t>
  </si>
  <si>
    <t>BuytoClose</t>
  </si>
  <si>
    <t>Contra UnRealized PNL Entry</t>
  </si>
  <si>
    <t>Closing</t>
  </si>
  <si>
    <t>GetDataClosing</t>
  </si>
  <si>
    <t>VerifyShortPositionsGrid</t>
  </si>
  <si>
    <t>Historical</t>
  </si>
  <si>
    <t>Equity</t>
  </si>
  <si>
    <t>APPLE</t>
  </si>
  <si>
    <t>US</t>
  </si>
  <si>
    <t>MICROSOFT INC</t>
  </si>
  <si>
    <t>Allocation</t>
  </si>
  <si>
    <t>GetDataAllocation</t>
  </si>
  <si>
    <t>CheckAllocatedGroups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</si>
</sst>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yy"/>
    <numFmt numFmtId="166" formatCode="m/d/yyyy h:mm"/>
    <numFmt numFmtId="167" formatCode="m/d/yyyy h:mm:ss am/pm"/>
    <numFmt numFmtId="168" formatCode="mm/dd/yyyy"/>
  </numFmts>
  <fonts count="21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Arial"/>
    </font>
    <font>
      <sz val="9.0"/>
      <color rgb="FF000000"/>
      <name val="Segoe UI"/>
    </font>
    <font>
      <sz val="9.0"/>
      <color rgb="FFE7E8E9"/>
      <name val="Arial"/>
    </font>
    <font>
      <sz val="9.0"/>
      <color rgb="FF868686"/>
      <name val="Segoe UI"/>
    </font>
    <font>
      <sz val="9.0"/>
      <color rgb="FF000000"/>
      <name val="Arial"/>
    </font>
    <font>
      <sz val="9.0"/>
      <color rgb="FFE7E8E9"/>
      <name val="Segoe UI"/>
    </font>
    <font>
      <sz val="9.0"/>
      <color rgb="FF000000"/>
      <name val="Verdana"/>
    </font>
    <font>
      <sz val="11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right/>
      <top/>
    </border>
    <border>
      <left style="thin">
        <color rgb="FF212C39"/>
      </left>
      <right style="thin">
        <color rgb="FF212C39"/>
      </right>
      <top style="thin">
        <color rgb="FF212C39"/>
      </top>
      <bottom style="thin">
        <color rgb="FF212C3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4" xfId="0" applyAlignment="1" applyFont="1" applyNumberFormat="1">
      <alignment shrinkToFit="0" wrapText="0"/>
    </xf>
    <xf borderId="5" fillId="5" fontId="6" numFmtId="0" xfId="0" applyAlignment="1" applyBorder="1" applyFont="1">
      <alignment shrinkToFit="0" wrapText="0"/>
    </xf>
    <xf borderId="5" fillId="5" fontId="6" numFmtId="0" xfId="0" applyAlignment="1" applyBorder="1" applyFont="1">
      <alignment readingOrder="0" shrinkToFit="0" wrapText="0"/>
    </xf>
    <xf borderId="4" fillId="3" fontId="6" numFmtId="4" xfId="0" applyAlignment="1" applyBorder="1" applyFont="1" applyNumberFormat="1">
      <alignment shrinkToFit="0" wrapText="0"/>
    </xf>
    <xf borderId="0" fillId="4" fontId="11" numFmtId="4" xfId="0" applyAlignment="1" applyFont="1" applyNumberFormat="1">
      <alignment shrinkToFit="0" wrapText="0"/>
    </xf>
    <xf borderId="0" fillId="6" fontId="5" numFmtId="0" xfId="0" applyAlignment="1" applyFill="1" applyFont="1">
      <alignment readingOrder="0" shrinkToFit="0" wrapText="0"/>
    </xf>
    <xf borderId="0" fillId="6" fontId="14" numFmtId="165" xfId="0" applyAlignment="1" applyFont="1" applyNumberFormat="1">
      <alignment horizontal="left" readingOrder="0" shrinkToFit="0" wrapText="0"/>
    </xf>
    <xf borderId="0" fillId="6" fontId="14" numFmtId="0" xfId="0" applyAlignment="1" applyFont="1">
      <alignment horizontal="lef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5" numFmtId="0" xfId="0" applyAlignment="1" applyFont="1">
      <alignment horizontal="right" readingOrder="0" shrinkToFit="0" wrapText="0"/>
    </xf>
    <xf borderId="0" fillId="6" fontId="14" numFmtId="166" xfId="0" applyAlignment="1" applyFont="1" applyNumberFormat="1">
      <alignment horizontal="left" readingOrder="0" shrinkToFit="0" wrapText="0"/>
    </xf>
    <xf borderId="0" fillId="6" fontId="3" numFmtId="0" xfId="0" applyFont="1"/>
    <xf borderId="0" fillId="6" fontId="5" numFmtId="0" xfId="0" applyAlignment="1" applyFont="1">
      <alignment shrinkToFit="0" wrapText="0"/>
    </xf>
    <xf borderId="0" fillId="6" fontId="16" numFmtId="0" xfId="0" applyAlignment="1" applyFont="1">
      <alignment horizontal="right" readingOrder="0" shrinkToFit="0" wrapText="0"/>
    </xf>
    <xf borderId="4" fillId="5" fontId="6" numFmtId="4" xfId="0" applyAlignment="1" applyBorder="1" applyFont="1" applyNumberFormat="1">
      <alignment readingOrder="0" shrinkToFit="0" wrapText="0"/>
    </xf>
    <xf borderId="6" fillId="7" fontId="17" numFmtId="165" xfId="0" applyAlignment="1" applyBorder="1" applyFill="1" applyFont="1" applyNumberFormat="1">
      <alignment horizontal="left" readingOrder="0" shrinkToFit="0" wrapText="0"/>
    </xf>
    <xf borderId="6" fillId="7" fontId="14" numFmtId="166" xfId="0" applyAlignment="1" applyBorder="1" applyFont="1" applyNumberFormat="1">
      <alignment horizontal="left" readingOrder="0" shrinkToFit="0" wrapText="0"/>
    </xf>
    <xf borderId="6" fillId="7" fontId="17" numFmtId="2" xfId="0" applyAlignment="1" applyBorder="1" applyFont="1" applyNumberFormat="1">
      <alignment horizontal="right" readingOrder="0" shrinkToFit="0" wrapText="0"/>
    </xf>
    <xf borderId="6" fillId="7" fontId="18" numFmtId="4" xfId="0" applyAlignment="1" applyBorder="1" applyFont="1" applyNumberFormat="1">
      <alignment horizontal="right" readingOrder="0" shrinkToFit="0" wrapText="0"/>
    </xf>
    <xf borderId="6" fillId="7" fontId="14" numFmtId="0" xfId="0" applyAlignment="1" applyBorder="1" applyFont="1">
      <alignment horizontal="right" readingOrder="0" shrinkToFit="0" wrapText="0"/>
    </xf>
    <xf borderId="6" fillId="7" fontId="14" numFmtId="0" xfId="0" applyAlignment="1" applyBorder="1" applyFont="1">
      <alignment horizontal="left" readingOrder="0" shrinkToFit="0" wrapText="0"/>
    </xf>
    <xf borderId="6" fillId="7" fontId="14" numFmtId="2" xfId="0" applyAlignment="1" applyBorder="1" applyFont="1" applyNumberFormat="1">
      <alignment horizontal="right" readingOrder="0" shrinkToFit="0" wrapText="0"/>
    </xf>
    <xf borderId="6" fillId="8" fontId="14" numFmtId="166" xfId="0" applyAlignment="1" applyBorder="1" applyFill="1" applyFont="1" applyNumberFormat="1">
      <alignment horizontal="left" readingOrder="0" shrinkToFit="0" wrapText="0"/>
    </xf>
    <xf borderId="6" fillId="8" fontId="16" numFmtId="4" xfId="0" applyAlignment="1" applyBorder="1" applyFont="1" applyNumberFormat="1">
      <alignment horizontal="right" readingOrder="0" shrinkToFit="0" wrapText="0"/>
    </xf>
    <xf borderId="6" fillId="8" fontId="17" numFmtId="4" xfId="0" applyAlignment="1" applyBorder="1" applyFont="1" applyNumberFormat="1">
      <alignment horizontal="right" readingOrder="0" shrinkToFit="0" wrapText="0"/>
    </xf>
    <xf borderId="6" fillId="8" fontId="14" numFmtId="0" xfId="0" applyAlignment="1" applyBorder="1" applyFont="1">
      <alignment horizontal="right" readingOrder="0" shrinkToFit="0" wrapText="0"/>
    </xf>
    <xf borderId="6" fillId="8" fontId="14" numFmtId="0" xfId="0" applyAlignment="1" applyBorder="1" applyFont="1">
      <alignment horizontal="left" readingOrder="0" shrinkToFit="0" wrapText="0"/>
    </xf>
    <xf borderId="6" fillId="8" fontId="14" numFmtId="2" xfId="0" applyAlignment="1" applyBorder="1" applyFont="1" applyNumberFormat="1">
      <alignment horizontal="right" readingOrder="0" shrinkToFit="0" wrapText="0"/>
    </xf>
    <xf borderId="6" fillId="8" fontId="17" numFmtId="2" xfId="0" applyAlignment="1" applyBorder="1" applyFont="1" applyNumberFormat="1">
      <alignment horizontal="right" readingOrder="0" shrinkToFit="0" wrapText="0"/>
    </xf>
    <xf borderId="6" fillId="7" fontId="14" numFmtId="4" xfId="0" applyAlignment="1" applyBorder="1" applyFont="1" applyNumberFormat="1">
      <alignment horizontal="right" readingOrder="0" shrinkToFit="0" wrapText="0"/>
    </xf>
    <xf borderId="6" fillId="7" fontId="14" numFmtId="2" xfId="0" applyAlignment="1" applyBorder="1" applyFont="1" applyNumberFormat="1">
      <alignment horizontal="right" readingOrder="0" shrinkToFit="0" wrapText="0"/>
    </xf>
    <xf borderId="6" fillId="8" fontId="14" numFmtId="4" xfId="0" applyAlignment="1" applyBorder="1" applyFont="1" applyNumberFormat="1">
      <alignment horizontal="right" readingOrder="0" shrinkToFit="0" wrapText="0"/>
    </xf>
    <xf borderId="6" fillId="8" fontId="14" numFmtId="2" xfId="0" applyAlignment="1" applyBorder="1" applyFont="1" applyNumberFormat="1">
      <alignment horizontal="right" readingOrder="0" shrinkToFit="0" wrapText="0"/>
    </xf>
    <xf borderId="0" fillId="0" fontId="3" numFmtId="4" xfId="0" applyFont="1" applyNumberFormat="1"/>
    <xf borderId="7" fillId="7" fontId="14" numFmtId="0" xfId="0" applyAlignment="1" applyBorder="1" applyFont="1">
      <alignment horizontal="left" readingOrder="0" shrinkToFit="0" wrapText="0"/>
    </xf>
    <xf borderId="7" fillId="7" fontId="14" numFmtId="0" xfId="0" applyAlignment="1" applyBorder="1" applyFont="1">
      <alignment horizontal="right" readingOrder="0" shrinkToFit="0" wrapText="0"/>
    </xf>
    <xf borderId="7" fillId="7" fontId="14" numFmtId="166" xfId="0" applyAlignment="1" applyBorder="1" applyFont="1" applyNumberFormat="1">
      <alignment horizontal="left" readingOrder="0" shrinkToFit="0" wrapText="0"/>
    </xf>
    <xf borderId="7" fillId="7" fontId="14" numFmtId="0" xfId="0" applyAlignment="1" applyBorder="1" applyFont="1">
      <alignment horizontal="left" shrinkToFit="0" wrapText="0"/>
    </xf>
    <xf borderId="7" fillId="7" fontId="14" numFmtId="167" xfId="0" applyAlignment="1" applyBorder="1" applyFont="1" applyNumberFormat="1">
      <alignment horizontal="left" readingOrder="0" shrinkToFit="0" wrapText="0"/>
    </xf>
    <xf borderId="7" fillId="7" fontId="14" numFmtId="165" xfId="0" applyAlignment="1" applyBorder="1" applyFont="1" applyNumberFormat="1">
      <alignment horizontal="left" readingOrder="0" shrinkToFit="0" wrapText="0"/>
    </xf>
    <xf borderId="7" fillId="7" fontId="19" numFmtId="0" xfId="0" applyAlignment="1" applyBorder="1" applyFont="1">
      <alignment horizontal="left" readingOrder="0" shrinkToFit="0" wrapText="0"/>
    </xf>
    <xf borderId="7" fillId="9" fontId="14" numFmtId="0" xfId="0" applyAlignment="1" applyBorder="1" applyFill="1" applyFont="1">
      <alignment horizontal="left" readingOrder="0" shrinkToFit="0" wrapText="0"/>
    </xf>
    <xf borderId="7" fillId="9" fontId="14" numFmtId="0" xfId="0" applyAlignment="1" applyBorder="1" applyFont="1">
      <alignment horizontal="right" readingOrder="0" shrinkToFit="0" wrapText="0"/>
    </xf>
    <xf borderId="7" fillId="9" fontId="14" numFmtId="0" xfId="0" applyAlignment="1" applyBorder="1" applyFont="1">
      <alignment horizontal="left" shrinkToFit="0" wrapText="0"/>
    </xf>
    <xf borderId="7" fillId="9" fontId="14" numFmtId="166" xfId="0" applyAlignment="1" applyBorder="1" applyFont="1" applyNumberFormat="1">
      <alignment horizontal="left" readingOrder="0" shrinkToFit="0" wrapText="0"/>
    </xf>
    <xf borderId="7" fillId="9" fontId="14" numFmtId="165" xfId="0" applyAlignment="1" applyBorder="1" applyFont="1" applyNumberFormat="1">
      <alignment horizontal="left" readingOrder="0" shrinkToFit="0" wrapText="0"/>
    </xf>
    <xf borderId="7" fillId="9" fontId="19" numFmtId="0" xfId="0" applyAlignment="1" applyBorder="1" applyFont="1">
      <alignment horizontal="left" readingOrder="0" shrinkToFit="0" wrapText="0"/>
    </xf>
    <xf borderId="7" fillId="7" fontId="17" numFmtId="0" xfId="0" applyAlignment="1" applyBorder="1" applyFont="1">
      <alignment horizontal="right" readingOrder="0" shrinkToFit="0" wrapText="0"/>
    </xf>
    <xf borderId="7" fillId="7" fontId="17" numFmtId="165" xfId="0" applyAlignment="1" applyBorder="1" applyFont="1" applyNumberFormat="1">
      <alignment horizontal="left" readingOrder="0" shrinkToFit="0" wrapText="0"/>
    </xf>
    <xf borderId="6" fillId="7" fontId="14" numFmtId="165" xfId="0" applyAlignment="1" applyBorder="1" applyFont="1" applyNumberFormat="1">
      <alignment horizontal="left" readingOrder="0" shrinkToFit="0" wrapText="0"/>
    </xf>
    <xf borderId="6" fillId="7" fontId="17" numFmtId="0" xfId="0" applyAlignment="1" applyBorder="1" applyFont="1">
      <alignment horizontal="right" readingOrder="0" shrinkToFit="0" wrapText="0"/>
    </xf>
    <xf borderId="6" fillId="7" fontId="18" numFmtId="0" xfId="0" applyAlignment="1" applyBorder="1" applyFont="1">
      <alignment horizontal="right" readingOrder="0" shrinkToFit="0" wrapText="0"/>
    </xf>
    <xf borderId="6" fillId="8" fontId="16" numFmtId="0" xfId="0" applyAlignment="1" applyBorder="1" applyFont="1">
      <alignment horizontal="right" readingOrder="0" shrinkToFit="0" wrapText="0"/>
    </xf>
    <xf borderId="6" fillId="8" fontId="17" numFmtId="0" xfId="0" applyAlignment="1" applyBorder="1" applyFont="1">
      <alignment horizontal="right" readingOrder="0" shrinkToFit="0" wrapText="0"/>
    </xf>
    <xf borderId="6" fillId="7" fontId="17" numFmtId="2" xfId="0" applyAlignment="1" applyBorder="1" applyFont="1" applyNumberFormat="1">
      <alignment horizontal="right" readingOrder="0" shrinkToFit="0" wrapText="0"/>
    </xf>
    <xf borderId="6" fillId="7" fontId="18" numFmtId="2" xfId="0" applyAlignment="1" applyBorder="1" applyFont="1" applyNumberFormat="1">
      <alignment horizontal="right" readingOrder="0" shrinkToFit="0" wrapText="0"/>
    </xf>
    <xf borderId="6" fillId="8" fontId="14" numFmtId="165" xfId="0" applyAlignment="1" applyBorder="1" applyFont="1" applyNumberFormat="1">
      <alignment horizontal="left" readingOrder="0" shrinkToFit="0" wrapText="0"/>
    </xf>
    <xf borderId="6" fillId="8" fontId="16" numFmtId="2" xfId="0" applyAlignment="1" applyBorder="1" applyFont="1" applyNumberFormat="1">
      <alignment horizontal="right" readingOrder="0" shrinkToFit="0" wrapText="0"/>
    </xf>
    <xf borderId="7" fillId="7" fontId="17" numFmtId="2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readingOrder="0" shrinkToFit="0" wrapText="0"/>
    </xf>
    <xf borderId="0" fillId="0" fontId="20" numFmtId="0" xfId="0" applyAlignment="1" applyFont="1">
      <alignment horizontal="right" readingOrder="0" shrinkToFit="0" wrapText="0"/>
    </xf>
    <xf borderId="7" fillId="9" fontId="14" numFmtId="2" xfId="0" applyAlignment="1" applyBorder="1" applyFont="1" applyNumberFormat="1">
      <alignment horizontal="right" readingOrder="0" shrinkToFit="0" wrapText="0"/>
    </xf>
    <xf borderId="0" fillId="0" fontId="20" numFmtId="0" xfId="0" applyAlignment="1" applyFont="1">
      <alignment shrinkToFit="0" wrapText="0"/>
    </xf>
    <xf borderId="7" fillId="9" fontId="14" numFmtId="167" xfId="0" applyAlignment="1" applyBorder="1" applyFont="1" applyNumberFormat="1">
      <alignment horizontal="left" readingOrder="0" shrinkToFit="0" wrapText="0"/>
    </xf>
    <xf borderId="0" fillId="0" fontId="20" numFmtId="165" xfId="0" applyAlignment="1" applyFont="1" applyNumberFormat="1">
      <alignment horizontal="right" readingOrder="0" shrinkToFit="0" wrapText="0"/>
    </xf>
    <xf borderId="0" fillId="0" fontId="20" numFmtId="11" xfId="0" applyAlignment="1" applyFont="1" applyNumberFormat="1">
      <alignment horizontal="right" readingOrder="0" shrinkToFit="0" wrapText="0"/>
    </xf>
    <xf borderId="7" fillId="9" fontId="17" numFmtId="2" xfId="0" applyAlignment="1" applyBorder="1" applyFont="1" applyNumberFormat="1">
      <alignment horizontal="right" readingOrder="0" shrinkToFit="0" wrapText="0"/>
    </xf>
    <xf borderId="0" fillId="0" fontId="20" numFmtId="167" xfId="0" applyAlignment="1" applyFont="1" applyNumberFormat="1">
      <alignment readingOrder="0" shrinkToFit="0" wrapText="0"/>
    </xf>
    <xf borderId="0" fillId="0" fontId="5" numFmtId="168" xfId="0" applyAlignment="1" applyFont="1" applyNumberFormat="1">
      <alignment readingOrder="0" shrinkToFit="0" wrapText="0"/>
    </xf>
    <xf borderId="0" fillId="0" fontId="20" numFmtId="0" xfId="0" applyAlignment="1" applyFont="1">
      <alignment horizontal="right" readingOrder="0" shrinkToFit="0" vertical="bottom" wrapText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60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2" t="s">
        <v>2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7</v>
      </c>
      <c r="B3" s="11"/>
      <c r="C3" s="14"/>
      <c r="D3" s="14"/>
      <c r="E3" s="14"/>
      <c r="F3" s="14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4</v>
      </c>
      <c r="B3" s="10" t="s">
        <v>6</v>
      </c>
      <c r="C3" s="7"/>
    </row>
    <row r="4" ht="15.75" customHeight="1">
      <c r="A4" s="8" t="s">
        <v>8</v>
      </c>
      <c r="B4" s="10" t="s">
        <v>9</v>
      </c>
      <c r="C4" s="7"/>
    </row>
    <row r="5" ht="15.75" customHeight="1">
      <c r="A5" s="12"/>
      <c r="B5" s="7"/>
      <c r="C5" s="7"/>
    </row>
    <row r="6" ht="15.75" customHeight="1">
      <c r="A6" s="12"/>
      <c r="B6" s="7"/>
      <c r="C6" s="7"/>
    </row>
    <row r="7" ht="15.75" customHeight="1">
      <c r="A7" s="12"/>
      <c r="B7" s="7"/>
      <c r="C7" s="7"/>
    </row>
    <row r="8" ht="15.75" customHeight="1">
      <c r="A8" s="12"/>
      <c r="B8" s="7"/>
      <c r="C8" s="7"/>
    </row>
    <row r="9" ht="15.75" customHeight="1">
      <c r="A9" s="12"/>
      <c r="B9" s="7"/>
      <c r="C9" s="7"/>
    </row>
    <row r="10" ht="15.75" customHeight="1">
      <c r="A10" s="12"/>
      <c r="B10" s="7"/>
      <c r="C10" s="7"/>
    </row>
    <row r="11" ht="15.75" customHeight="1">
      <c r="A11" s="12"/>
      <c r="B11" s="7"/>
      <c r="C11" s="7"/>
    </row>
    <row r="12" ht="15.75" customHeight="1">
      <c r="A12" s="12"/>
      <c r="B12" s="7"/>
      <c r="C12" s="7"/>
    </row>
    <row r="13" ht="15.75" customHeight="1">
      <c r="A13" s="12"/>
      <c r="B13" s="7"/>
      <c r="C13" s="7"/>
    </row>
    <row r="14" ht="15.75" customHeight="1">
      <c r="A14" s="12"/>
      <c r="B14" s="7"/>
      <c r="C14" s="7"/>
    </row>
    <row r="15" ht="15.75" customHeight="1">
      <c r="A15" s="12"/>
      <c r="B15" s="7"/>
      <c r="C15" s="7"/>
    </row>
    <row r="16" ht="15.75" customHeight="1">
      <c r="A16" s="12"/>
      <c r="B16" s="7"/>
      <c r="C16" s="7"/>
    </row>
    <row r="17" ht="15.75" customHeight="1">
      <c r="A17" s="12"/>
      <c r="B17" s="7"/>
      <c r="C17" s="7"/>
    </row>
    <row r="18" ht="15.75" customHeight="1">
      <c r="A18" s="12"/>
      <c r="B18" s="7"/>
      <c r="C18" s="7"/>
    </row>
    <row r="19" ht="15.75" customHeight="1">
      <c r="A19" s="12"/>
      <c r="B19" s="7"/>
      <c r="C19" s="7"/>
    </row>
    <row r="20" ht="15.75" customHeight="1">
      <c r="A20" s="12"/>
      <c r="B20" s="7"/>
      <c r="C20" s="7"/>
    </row>
    <row r="21" ht="15.75" customHeight="1">
      <c r="A21" s="12"/>
      <c r="B21" s="7"/>
      <c r="C21" s="7"/>
    </row>
    <row r="22" ht="15.75" customHeight="1">
      <c r="A22" s="12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3" t="s">
        <v>5</v>
      </c>
      <c r="C3" s="13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43871.0</v>
      </c>
      <c r="E6" s="29">
        <v>43875.0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GetNonTradingTransaction!$4:$4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27.0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17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43871.0</v>
      </c>
      <c r="C6" s="10" t="s">
        <v>16</v>
      </c>
      <c r="D6" s="10"/>
      <c r="E6" s="10" t="s">
        <v>18</v>
      </c>
      <c r="F6" s="31" t="s">
        <v>19</v>
      </c>
      <c r="G6" s="7"/>
      <c r="H6" s="10">
        <v>500000.0</v>
      </c>
      <c r="I6" s="7"/>
      <c r="J6" s="10">
        <v>1.0</v>
      </c>
      <c r="K6" s="10" t="s">
        <v>20</v>
      </c>
      <c r="L6" s="7"/>
      <c r="M6" s="7"/>
      <c r="N6" s="7"/>
      <c r="O6" s="7"/>
    </row>
    <row r="7" ht="15.75" customHeight="1">
      <c r="A7" s="7"/>
      <c r="B7" s="29">
        <v>43871.0</v>
      </c>
      <c r="C7" s="10" t="s">
        <v>16</v>
      </c>
      <c r="D7" s="7"/>
      <c r="E7" s="10" t="s">
        <v>18</v>
      </c>
      <c r="F7" s="31" t="s">
        <v>21</v>
      </c>
      <c r="G7" s="7"/>
      <c r="H7" s="7"/>
      <c r="I7" s="10">
        <v>500000.0</v>
      </c>
      <c r="J7" s="10">
        <v>1.0</v>
      </c>
      <c r="K7" s="10" t="s">
        <v>20</v>
      </c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22</v>
      </c>
      <c r="D3" s="9" t="s">
        <v>5</v>
      </c>
      <c r="E3" s="21" t="s">
        <v>23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 t="s">
        <v>25</v>
      </c>
      <c r="D6" s="10">
        <v>100.0</v>
      </c>
      <c r="E6" s="10">
        <v>100.0</v>
      </c>
      <c r="F6" s="7"/>
      <c r="G6" s="10" t="s">
        <v>26</v>
      </c>
      <c r="H6" s="7"/>
      <c r="I6" s="7"/>
      <c r="J6" s="10">
        <v>300.0</v>
      </c>
      <c r="K6" s="7"/>
      <c r="L6" s="7"/>
      <c r="M6" s="7"/>
      <c r="N6" s="29">
        <v>43871.0</v>
      </c>
      <c r="O6" s="7"/>
      <c r="R6" s="30" t="s">
        <v>27</v>
      </c>
      <c r="S6" s="30">
        <v>2.5</v>
      </c>
      <c r="T6" s="30" t="s">
        <v>27</v>
      </c>
      <c r="U6" s="30">
        <v>7.5</v>
      </c>
      <c r="AK6" s="30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29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43871.0</v>
      </c>
      <c r="C6" s="29">
        <v>43871.0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>
        <v>300.0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43871.0</v>
      </c>
      <c r="E6" s="29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3" width="14.43"/>
    <col customWidth="1" min="4" max="4" width="27.0"/>
    <col customWidth="1" min="5" max="5" width="25.71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43871.0</v>
      </c>
      <c r="E6" s="1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29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43872.0</v>
      </c>
      <c r="C6" s="29">
        <v>43872.0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>
        <v>305.0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43872.0</v>
      </c>
      <c r="E6" s="29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43872.0</v>
      </c>
      <c r="E6" s="1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43871.0</v>
      </c>
      <c r="E6" s="29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8.71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34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34" t="str">
        <f>IFERROR(__xludf.DUMMYFUNCTION("""COMPUTED_VALUE"""),"Date")</f>
        <v>Date</v>
      </c>
      <c r="C5" s="34" t="str">
        <f>IFERROR(__xludf.DUMMYFUNCTION("""COMPUTED_VALUE"""),"Account")</f>
        <v>Account</v>
      </c>
      <c r="D5" s="34" t="str">
        <f>IFERROR(__xludf.DUMMYFUNCTION("""COMPUTED_VALUE"""),"Symbol")</f>
        <v>Symbol</v>
      </c>
      <c r="E5" s="34" t="str">
        <f>IFERROR(__xludf.DUMMYFUNCTION("""COMPUTED_VALUE"""),"Currency")</f>
        <v>Currency</v>
      </c>
      <c r="F5" s="35" t="str">
        <f>IFERROR(__xludf.DUMMYFUNCTION("""COMPUTED_VALUE"""),"Cash Sub-Account")</f>
        <v>Cash Sub-Account</v>
      </c>
      <c r="G5" s="34" t="str">
        <f>IFERROR(__xludf.DUMMYFUNCTION("""COMPUTED_VALUE"""),"DR")</f>
        <v>DR</v>
      </c>
      <c r="H5" s="34" t="str">
        <f>IFERROR(__xludf.DUMMYFUNCTION("""COMPUTED_VALUE"""),"CR")</f>
        <v>CR</v>
      </c>
      <c r="I5" s="34" t="str">
        <f>IFERROR(__xludf.DUMMYFUNCTION("""COMPUTED_VALUE"""),"Modify Date")</f>
        <v>Modify Date</v>
      </c>
      <c r="J5" s="34" t="str">
        <f>IFERROR(__xludf.DUMMYFUNCTION("""COMPUTED_VALUE"""),"Entry Date")</f>
        <v>Entry Date</v>
      </c>
      <c r="K5" s="34" t="str">
        <f>IFERROR(__xludf.DUMMYFUNCTION("""COMPUTED_VALUE"""),"User")</f>
        <v>User</v>
      </c>
      <c r="L5" s="34" t="str">
        <f>IFERROR(__xludf.DUMMYFUNCTION("""COMPUTED_VALUE"""),"Fx Rate")</f>
        <v>Fx Rate</v>
      </c>
      <c r="M5" s="34" t="str">
        <f>IFERROR(__xludf.DUMMYFUNCTION("""COMPUTED_VALUE"""),"FX Conversion Method Operator")</f>
        <v>FX Conversion Method Operator</v>
      </c>
      <c r="N5" s="34" t="str">
        <f>IFERROR(__xludf.DUMMYFUNCTION("""COMPUTED_VALUE"""),"Account Side")</f>
        <v>Account Side</v>
      </c>
      <c r="O5" s="34" t="str">
        <f>IFERROR(__xludf.DUMMYFUNCTION("""COMPUTED_VALUE"""),"TransactionSource")</f>
        <v>TransactionSource</v>
      </c>
      <c r="P5" s="34" t="str">
        <f>IFERROR(__xludf.DUMMYFUNCTION("""COMPUTED_VALUE"""),"Base Currency")</f>
        <v>Base Currency</v>
      </c>
      <c r="Q5" s="34" t="str">
        <f>IFERROR(__xludf.DUMMYFUNCTION("""COMPUTED_VALUE"""),"Description")</f>
        <v>Description</v>
      </c>
      <c r="R5" s="34" t="str">
        <f>IFERROR(__xludf.DUMMYFUNCTION("""COMPUTED_VALUE"""),"DR (Base)")</f>
        <v>DR (Base)</v>
      </c>
      <c r="S5" s="34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8"/>
      <c r="B6" s="39">
        <v>43871.0</v>
      </c>
      <c r="C6" s="40" t="s">
        <v>16</v>
      </c>
      <c r="D6" s="40" t="s">
        <v>24</v>
      </c>
      <c r="E6" s="40" t="s">
        <v>18</v>
      </c>
      <c r="F6" s="40" t="s">
        <v>36</v>
      </c>
      <c r="G6" s="41">
        <v>24.02</v>
      </c>
      <c r="H6" s="42">
        <v>0.0</v>
      </c>
      <c r="I6" s="43"/>
      <c r="J6" s="43"/>
      <c r="K6" s="40"/>
      <c r="L6" s="41">
        <v>1.0</v>
      </c>
      <c r="M6" s="40" t="s">
        <v>20</v>
      </c>
      <c r="N6" s="40" t="s">
        <v>37</v>
      </c>
      <c r="O6" s="40" t="s">
        <v>38</v>
      </c>
      <c r="P6" s="40" t="s">
        <v>18</v>
      </c>
      <c r="Q6" s="40" t="s">
        <v>39</v>
      </c>
      <c r="R6" s="41">
        <v>24.02</v>
      </c>
      <c r="S6" s="41">
        <v>0.0</v>
      </c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/>
      <c r="CP6" s="44"/>
      <c r="CQ6" s="44"/>
      <c r="CR6" s="44"/>
      <c r="CS6" s="44"/>
      <c r="CT6" s="44"/>
      <c r="CU6" s="44"/>
      <c r="CV6" s="44"/>
      <c r="CW6" s="44"/>
      <c r="CX6" s="44"/>
      <c r="CY6" s="44"/>
      <c r="CZ6" s="44"/>
      <c r="DA6" s="44"/>
      <c r="DB6" s="44"/>
      <c r="DC6" s="44"/>
      <c r="DD6" s="44"/>
      <c r="DE6" s="44"/>
      <c r="DF6" s="44"/>
      <c r="DG6" s="44"/>
      <c r="DH6" s="44"/>
      <c r="DI6" s="44"/>
      <c r="DJ6" s="44"/>
      <c r="DK6" s="44"/>
      <c r="DL6" s="44"/>
      <c r="DM6" s="44"/>
      <c r="DN6" s="44"/>
      <c r="DO6" s="44"/>
      <c r="DP6" s="44"/>
      <c r="DQ6" s="44"/>
      <c r="DR6" s="44"/>
      <c r="DS6" s="44"/>
      <c r="DT6" s="44"/>
      <c r="DU6" s="44"/>
      <c r="DV6" s="44"/>
      <c r="DW6" s="44"/>
      <c r="DX6" s="44"/>
      <c r="DY6" s="44"/>
      <c r="DZ6" s="44"/>
      <c r="EA6" s="44"/>
      <c r="EB6" s="44"/>
      <c r="EC6" s="44"/>
      <c r="ED6" s="44"/>
      <c r="EE6" s="44"/>
      <c r="EF6" s="44"/>
      <c r="EG6" s="44"/>
      <c r="EH6" s="44"/>
      <c r="EI6" s="44"/>
      <c r="EJ6" s="44"/>
      <c r="EK6" s="44"/>
      <c r="EL6" s="44"/>
      <c r="EM6" s="44"/>
      <c r="EN6" s="44"/>
      <c r="EO6" s="44"/>
      <c r="EP6" s="44"/>
      <c r="EQ6" s="44"/>
      <c r="ER6" s="44"/>
      <c r="ES6" s="44"/>
      <c r="ET6" s="44"/>
      <c r="EU6" s="44"/>
      <c r="EV6" s="44"/>
      <c r="EW6" s="44"/>
      <c r="EX6" s="44"/>
    </row>
    <row r="7" ht="15.75" customHeight="1">
      <c r="A7" s="45"/>
      <c r="B7" s="39">
        <v>43871.0</v>
      </c>
      <c r="C7" s="40" t="s">
        <v>16</v>
      </c>
      <c r="D7" s="40" t="s">
        <v>24</v>
      </c>
      <c r="E7" s="40" t="s">
        <v>18</v>
      </c>
      <c r="F7" s="40" t="s">
        <v>41</v>
      </c>
      <c r="G7" s="46">
        <v>0.0</v>
      </c>
      <c r="H7" s="41">
        <v>24.02</v>
      </c>
      <c r="I7" s="43"/>
      <c r="J7" s="43"/>
      <c r="K7" s="40"/>
      <c r="L7" s="41">
        <v>1.0</v>
      </c>
      <c r="M7" s="40" t="s">
        <v>20</v>
      </c>
      <c r="N7" s="40" t="s">
        <v>42</v>
      </c>
      <c r="O7" s="40" t="s">
        <v>38</v>
      </c>
      <c r="P7" s="40" t="s">
        <v>18</v>
      </c>
      <c r="Q7" s="40" t="s">
        <v>39</v>
      </c>
      <c r="R7" s="41">
        <v>0.0</v>
      </c>
      <c r="S7" s="41">
        <v>24.02</v>
      </c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44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  <c r="DK7" s="44"/>
      <c r="DL7" s="44"/>
      <c r="DM7" s="44"/>
      <c r="DN7" s="44"/>
      <c r="DO7" s="44"/>
      <c r="DP7" s="44"/>
      <c r="DQ7" s="44"/>
      <c r="DR7" s="44"/>
      <c r="DS7" s="44"/>
      <c r="DT7" s="44"/>
      <c r="DU7" s="44"/>
      <c r="DV7" s="44"/>
      <c r="DW7" s="44"/>
      <c r="DX7" s="44"/>
      <c r="DY7" s="44"/>
      <c r="DZ7" s="44"/>
      <c r="EA7" s="44"/>
      <c r="EB7" s="44"/>
      <c r="EC7" s="44"/>
      <c r="ED7" s="44"/>
      <c r="EE7" s="44"/>
      <c r="EF7" s="44"/>
      <c r="EG7" s="44"/>
      <c r="EH7" s="44"/>
      <c r="EI7" s="44"/>
      <c r="EJ7" s="44"/>
      <c r="EK7" s="44"/>
      <c r="EL7" s="44"/>
      <c r="EM7" s="44"/>
      <c r="EN7" s="44"/>
      <c r="EO7" s="44"/>
      <c r="EP7" s="44"/>
      <c r="EQ7" s="44"/>
      <c r="ER7" s="44"/>
      <c r="ES7" s="44"/>
      <c r="ET7" s="44"/>
      <c r="EU7" s="44"/>
      <c r="EV7" s="44"/>
      <c r="EW7" s="44"/>
      <c r="EX7" s="44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33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35</v>
      </c>
      <c r="F3" s="36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37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4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48">
        <v>43871.0</v>
      </c>
      <c r="C6" s="49"/>
      <c r="D6" s="49"/>
      <c r="E6" s="50">
        <v>24.02</v>
      </c>
      <c r="F6" s="51">
        <v>0.0</v>
      </c>
      <c r="G6" s="52">
        <v>1.0</v>
      </c>
      <c r="H6" s="53" t="s">
        <v>20</v>
      </c>
      <c r="I6" s="53" t="s">
        <v>37</v>
      </c>
      <c r="J6" s="53" t="s">
        <v>43</v>
      </c>
      <c r="K6" s="53" t="s">
        <v>18</v>
      </c>
      <c r="L6" s="53" t="s">
        <v>18</v>
      </c>
      <c r="M6" s="53" t="s">
        <v>24</v>
      </c>
      <c r="N6" s="53"/>
      <c r="O6" s="50">
        <v>24.02</v>
      </c>
      <c r="P6" s="54">
        <v>0.0</v>
      </c>
      <c r="Q6" s="53" t="s">
        <v>44</v>
      </c>
      <c r="R6" s="53" t="s">
        <v>16</v>
      </c>
    </row>
    <row r="7" ht="15.75" customHeight="1">
      <c r="A7" s="7"/>
      <c r="B7" s="48">
        <v>43871.0</v>
      </c>
      <c r="C7" s="55"/>
      <c r="D7" s="55"/>
      <c r="E7" s="56">
        <v>0.0</v>
      </c>
      <c r="F7" s="57">
        <v>24.02</v>
      </c>
      <c r="G7" s="58">
        <v>1.0</v>
      </c>
      <c r="H7" s="59" t="s">
        <v>20</v>
      </c>
      <c r="I7" s="59" t="s">
        <v>42</v>
      </c>
      <c r="J7" s="59" t="s">
        <v>43</v>
      </c>
      <c r="K7" s="53" t="s">
        <v>18</v>
      </c>
      <c r="L7" s="59" t="s">
        <v>18</v>
      </c>
      <c r="M7" s="53" t="s">
        <v>24</v>
      </c>
      <c r="N7" s="53"/>
      <c r="O7" s="60">
        <v>0.0</v>
      </c>
      <c r="P7" s="61">
        <v>24.02</v>
      </c>
      <c r="Q7" s="59" t="s">
        <v>19</v>
      </c>
      <c r="R7" s="53" t="s">
        <v>16</v>
      </c>
    </row>
    <row r="8" ht="15.75" customHeight="1">
      <c r="A8" s="7"/>
      <c r="B8" s="48">
        <v>43871.0</v>
      </c>
      <c r="C8" s="49"/>
      <c r="D8" s="49"/>
      <c r="E8" s="62">
        <v>30000.0</v>
      </c>
      <c r="F8" s="51">
        <v>0.0</v>
      </c>
      <c r="G8" s="52">
        <v>1.0</v>
      </c>
      <c r="H8" s="53" t="s">
        <v>20</v>
      </c>
      <c r="I8" s="53" t="s">
        <v>37</v>
      </c>
      <c r="J8" s="53" t="s">
        <v>43</v>
      </c>
      <c r="K8" s="53" t="s">
        <v>18</v>
      </c>
      <c r="L8" s="53" t="s">
        <v>18</v>
      </c>
      <c r="M8" s="53" t="s">
        <v>24</v>
      </c>
      <c r="N8" s="53"/>
      <c r="O8" s="63">
        <v>30000.0</v>
      </c>
      <c r="P8" s="54">
        <v>0.0</v>
      </c>
      <c r="Q8" s="53" t="s">
        <v>19</v>
      </c>
      <c r="R8" s="53" t="s">
        <v>16</v>
      </c>
    </row>
    <row r="9" ht="15.75" customHeight="1">
      <c r="A9" s="7"/>
      <c r="B9" s="48">
        <v>43871.0</v>
      </c>
      <c r="C9" s="55"/>
      <c r="D9" s="55"/>
      <c r="E9" s="56">
        <v>0.0</v>
      </c>
      <c r="F9" s="64">
        <v>30000.0</v>
      </c>
      <c r="G9" s="58">
        <v>1.0</v>
      </c>
      <c r="H9" s="59" t="s">
        <v>20</v>
      </c>
      <c r="I9" s="59" t="s">
        <v>42</v>
      </c>
      <c r="J9" s="59" t="s">
        <v>43</v>
      </c>
      <c r="K9" s="53" t="s">
        <v>18</v>
      </c>
      <c r="L9" s="59" t="s">
        <v>18</v>
      </c>
      <c r="M9" s="53" t="s">
        <v>24</v>
      </c>
      <c r="N9" s="53"/>
      <c r="O9" s="60">
        <v>0.0</v>
      </c>
      <c r="P9" s="65">
        <v>30000.0</v>
      </c>
      <c r="Q9" s="59" t="s">
        <v>44</v>
      </c>
      <c r="R9" s="53" t="s">
        <v>16</v>
      </c>
    </row>
    <row r="10" ht="15.75" customHeight="1">
      <c r="A10" s="7"/>
      <c r="B10" s="7"/>
      <c r="C10" s="7"/>
      <c r="D10" s="7"/>
      <c r="E10" s="7"/>
      <c r="F10" s="33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33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33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33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33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33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33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33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33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33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33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33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33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33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33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33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33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F27" s="66"/>
    </row>
    <row r="28" ht="15.75" customHeight="1">
      <c r="F28" s="66"/>
    </row>
    <row r="29" ht="15.75" customHeight="1">
      <c r="F29" s="66"/>
    </row>
    <row r="30" ht="15.75" customHeight="1">
      <c r="F30" s="66"/>
    </row>
    <row r="31" ht="15.75" customHeight="1">
      <c r="F31" s="66"/>
    </row>
    <row r="32" ht="15.75" customHeight="1">
      <c r="F32" s="66"/>
    </row>
    <row r="33" ht="15.75" customHeight="1">
      <c r="F33" s="66"/>
    </row>
    <row r="34" ht="15.75" customHeight="1">
      <c r="F34" s="66"/>
    </row>
    <row r="35" ht="15.75" customHeight="1">
      <c r="F35" s="66"/>
    </row>
    <row r="36" ht="15.75" customHeight="1">
      <c r="F36" s="66"/>
    </row>
    <row r="37" ht="15.75" customHeight="1">
      <c r="F37" s="66"/>
    </row>
    <row r="38" ht="15.75" customHeight="1">
      <c r="F38" s="66"/>
    </row>
    <row r="39" ht="15.75" customHeight="1">
      <c r="F39" s="66"/>
    </row>
    <row r="40" ht="15.75" customHeight="1">
      <c r="F40" s="66"/>
    </row>
    <row r="41" ht="15.75" customHeight="1">
      <c r="F41" s="66"/>
    </row>
    <row r="42" ht="15.75" customHeight="1">
      <c r="F42" s="66"/>
    </row>
    <row r="43" ht="15.75" customHeight="1">
      <c r="F43" s="66"/>
    </row>
    <row r="44" ht="15.75" customHeight="1">
      <c r="F44" s="66"/>
    </row>
    <row r="45" ht="15.75" customHeight="1">
      <c r="F45" s="66"/>
    </row>
    <row r="46" ht="15.75" customHeight="1">
      <c r="F46" s="66"/>
    </row>
    <row r="47" ht="15.75" customHeight="1">
      <c r="F47" s="66"/>
    </row>
    <row r="48" ht="15.75" customHeight="1">
      <c r="F48" s="66"/>
    </row>
    <row r="49" ht="15.75" customHeight="1">
      <c r="F49" s="66"/>
    </row>
    <row r="50" ht="15.75" customHeight="1">
      <c r="F50" s="66"/>
    </row>
    <row r="51" ht="15.75" customHeight="1">
      <c r="F51" s="66"/>
    </row>
    <row r="52" ht="15.75" customHeight="1">
      <c r="F52" s="66"/>
    </row>
    <row r="53" ht="15.75" customHeight="1">
      <c r="F53" s="66"/>
    </row>
    <row r="54" ht="15.75" customHeight="1">
      <c r="F54" s="66"/>
    </row>
    <row r="55" ht="15.75" customHeight="1">
      <c r="F55" s="66"/>
    </row>
    <row r="56" ht="15.75" customHeight="1">
      <c r="F56" s="66"/>
    </row>
    <row r="57" ht="15.75" customHeight="1">
      <c r="F57" s="66"/>
    </row>
    <row r="58" ht="15.75" customHeight="1">
      <c r="F58" s="66"/>
    </row>
    <row r="59" ht="15.75" customHeight="1">
      <c r="F59" s="66"/>
    </row>
    <row r="60" ht="15.75" customHeight="1">
      <c r="F60" s="66"/>
    </row>
    <row r="61" ht="15.75" customHeight="1">
      <c r="F61" s="66"/>
    </row>
    <row r="62" ht="15.75" customHeight="1">
      <c r="F62" s="66"/>
    </row>
    <row r="63" ht="15.75" customHeight="1">
      <c r="F63" s="66"/>
    </row>
    <row r="64" ht="15.75" customHeight="1">
      <c r="F64" s="66"/>
    </row>
    <row r="65" ht="15.75" customHeight="1">
      <c r="F65" s="66"/>
    </row>
    <row r="66" ht="15.75" customHeight="1">
      <c r="F66" s="66"/>
    </row>
    <row r="67" ht="15.75" customHeight="1">
      <c r="F67" s="66"/>
    </row>
    <row r="68" ht="15.75" customHeight="1">
      <c r="F68" s="66"/>
    </row>
    <row r="69" ht="15.75" customHeight="1">
      <c r="F69" s="66"/>
    </row>
    <row r="70" ht="15.75" customHeight="1">
      <c r="F70" s="66"/>
    </row>
    <row r="71" ht="15.75" customHeight="1">
      <c r="F71" s="66"/>
    </row>
    <row r="72" ht="15.75" customHeight="1">
      <c r="F72" s="66"/>
    </row>
    <row r="73" ht="15.75" customHeight="1">
      <c r="F73" s="66"/>
    </row>
    <row r="74" ht="15.75" customHeight="1">
      <c r="F74" s="66"/>
    </row>
    <row r="75" ht="15.75" customHeight="1">
      <c r="F75" s="66"/>
    </row>
    <row r="76" ht="15.75" customHeight="1">
      <c r="F76" s="66"/>
    </row>
    <row r="77" ht="15.75" customHeight="1">
      <c r="F77" s="66"/>
    </row>
    <row r="78" ht="15.75" customHeight="1">
      <c r="F78" s="66"/>
    </row>
    <row r="79" ht="15.75" customHeight="1">
      <c r="F79" s="66"/>
    </row>
    <row r="80" ht="15.75" customHeight="1">
      <c r="F80" s="66"/>
    </row>
    <row r="81" ht="15.75" customHeight="1">
      <c r="F81" s="66"/>
    </row>
    <row r="82" ht="15.75" customHeight="1">
      <c r="F82" s="66"/>
    </row>
    <row r="83" ht="15.75" customHeight="1">
      <c r="F83" s="66"/>
    </row>
    <row r="84" ht="15.75" customHeight="1">
      <c r="F84" s="66"/>
    </row>
    <row r="85" ht="15.75" customHeight="1">
      <c r="F85" s="66"/>
    </row>
    <row r="86" ht="15.75" customHeight="1">
      <c r="F86" s="66"/>
    </row>
    <row r="87" ht="15.75" customHeight="1">
      <c r="F87" s="66"/>
    </row>
    <row r="88" ht="15.75" customHeight="1">
      <c r="F88" s="66"/>
    </row>
    <row r="89" ht="15.75" customHeight="1">
      <c r="F89" s="66"/>
    </row>
    <row r="90" ht="15.75" customHeight="1">
      <c r="F90" s="66"/>
    </row>
    <row r="91" ht="15.75" customHeight="1">
      <c r="F91" s="66"/>
    </row>
    <row r="92" ht="15.75" customHeight="1">
      <c r="F92" s="66"/>
    </row>
    <row r="93" ht="15.75" customHeight="1">
      <c r="F93" s="66"/>
    </row>
    <row r="94" ht="15.75" customHeight="1">
      <c r="F94" s="66"/>
    </row>
    <row r="95" ht="15.75" customHeight="1">
      <c r="F95" s="66"/>
    </row>
    <row r="96" ht="15.75" customHeight="1">
      <c r="F96" s="66"/>
    </row>
    <row r="97" ht="15.75" customHeight="1">
      <c r="F97" s="66"/>
    </row>
    <row r="98" ht="15.75" customHeight="1">
      <c r="F98" s="66"/>
    </row>
    <row r="99" ht="15.75" customHeight="1">
      <c r="F99" s="66"/>
    </row>
    <row r="100" ht="15.75" customHeight="1">
      <c r="F100" s="66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40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43871.0</v>
      </c>
      <c r="E6" s="29">
        <v>43872.0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45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7" t="s">
        <v>16</v>
      </c>
      <c r="C6" s="67" t="s">
        <v>38</v>
      </c>
      <c r="D6" s="67" t="s">
        <v>48</v>
      </c>
      <c r="E6" s="68">
        <v>-24.02</v>
      </c>
      <c r="F6" s="68">
        <v>0.0</v>
      </c>
      <c r="G6" s="68">
        <v>0.0</v>
      </c>
      <c r="H6" s="67" t="s">
        <v>49</v>
      </c>
      <c r="I6" s="68">
        <v>0.0</v>
      </c>
      <c r="J6" s="68">
        <v>0.0</v>
      </c>
      <c r="K6" s="67" t="s">
        <v>18</v>
      </c>
      <c r="L6" s="67"/>
      <c r="M6" s="69"/>
      <c r="N6" s="67"/>
      <c r="O6" s="68">
        <v>1.0</v>
      </c>
      <c r="P6" s="70"/>
      <c r="Q6" s="69"/>
      <c r="R6" s="68">
        <v>0.0</v>
      </c>
      <c r="S6" s="68"/>
      <c r="T6" s="68">
        <v>0.0</v>
      </c>
      <c r="U6" s="68">
        <v>0.0</v>
      </c>
      <c r="V6" s="68">
        <v>0.0</v>
      </c>
      <c r="W6" s="68">
        <v>0.0</v>
      </c>
      <c r="X6" s="70"/>
      <c r="Y6" s="71"/>
      <c r="Z6" s="68">
        <v>0.0</v>
      </c>
      <c r="AA6" s="68"/>
      <c r="AB6" s="67" t="s">
        <v>24</v>
      </c>
      <c r="AC6" s="68">
        <v>0.0</v>
      </c>
      <c r="AD6" s="68">
        <v>0.0</v>
      </c>
      <c r="AE6" s="72">
        <v>43871.0</v>
      </c>
      <c r="AF6" s="68">
        <v>0.0</v>
      </c>
      <c r="AG6" s="73"/>
      <c r="AH6" s="67"/>
      <c r="AI6" s="70"/>
    </row>
    <row r="7" ht="15.75" customHeight="1">
      <c r="A7" s="7"/>
      <c r="B7" s="74" t="s">
        <v>16</v>
      </c>
      <c r="C7" s="74" t="s">
        <v>51</v>
      </c>
      <c r="D7" s="74" t="s">
        <v>52</v>
      </c>
      <c r="E7" s="75">
        <v>500000.0</v>
      </c>
      <c r="F7" s="75">
        <v>0.0</v>
      </c>
      <c r="G7" s="75">
        <v>0.0</v>
      </c>
      <c r="H7" s="74" t="s">
        <v>49</v>
      </c>
      <c r="I7" s="75">
        <v>0.0</v>
      </c>
      <c r="J7" s="75">
        <v>0.0</v>
      </c>
      <c r="K7" s="74" t="s">
        <v>18</v>
      </c>
      <c r="L7" s="76"/>
      <c r="M7" s="77"/>
      <c r="N7" s="74"/>
      <c r="O7" s="75">
        <v>1.0</v>
      </c>
      <c r="P7" s="76"/>
      <c r="Q7" s="77"/>
      <c r="R7" s="75">
        <v>0.0</v>
      </c>
      <c r="S7" s="75"/>
      <c r="T7" s="75">
        <v>0.0</v>
      </c>
      <c r="U7" s="75">
        <v>0.0</v>
      </c>
      <c r="V7" s="75">
        <v>0.0</v>
      </c>
      <c r="W7" s="75">
        <v>0.0</v>
      </c>
      <c r="X7" s="76"/>
      <c r="Y7" s="78"/>
      <c r="Z7" s="75">
        <v>0.0</v>
      </c>
      <c r="AA7" s="75"/>
      <c r="AB7" s="76"/>
      <c r="AC7" s="75">
        <v>0.0</v>
      </c>
      <c r="AD7" s="75">
        <v>0.0</v>
      </c>
      <c r="AE7" s="78">
        <v>43871.0</v>
      </c>
      <c r="AF7" s="75">
        <v>0.0</v>
      </c>
      <c r="AG7" s="79"/>
      <c r="AH7" s="74"/>
      <c r="AI7" s="76"/>
    </row>
    <row r="8" ht="15.75" customHeight="1">
      <c r="A8" s="7"/>
      <c r="B8" s="67" t="s">
        <v>16</v>
      </c>
      <c r="C8" s="67" t="s">
        <v>43</v>
      </c>
      <c r="D8" s="67" t="s">
        <v>53</v>
      </c>
      <c r="E8" s="80">
        <v>29975.98</v>
      </c>
      <c r="F8" s="68">
        <v>4.0</v>
      </c>
      <c r="G8" s="68">
        <v>5.0</v>
      </c>
      <c r="H8" s="67" t="s">
        <v>49</v>
      </c>
      <c r="I8" s="68">
        <v>0.0</v>
      </c>
      <c r="J8" s="68">
        <v>2.5</v>
      </c>
      <c r="K8" s="67" t="s">
        <v>18</v>
      </c>
      <c r="L8" s="67"/>
      <c r="M8" s="69"/>
      <c r="N8" s="67"/>
      <c r="O8" s="68">
        <v>1.0</v>
      </c>
      <c r="P8" s="70"/>
      <c r="Q8" s="69"/>
      <c r="R8" s="68">
        <v>0.0</v>
      </c>
      <c r="S8" s="68"/>
      <c r="T8" s="68">
        <v>0.0</v>
      </c>
      <c r="U8" s="68">
        <v>0.0</v>
      </c>
      <c r="V8" s="68">
        <v>100.0</v>
      </c>
      <c r="W8" s="68">
        <v>0.0</v>
      </c>
      <c r="X8" s="73"/>
      <c r="Y8" s="69"/>
      <c r="Z8" s="68">
        <v>7.5</v>
      </c>
      <c r="AA8" s="68"/>
      <c r="AB8" s="67" t="s">
        <v>24</v>
      </c>
      <c r="AC8" s="68">
        <v>3.0</v>
      </c>
      <c r="AD8" s="68">
        <v>24.0168</v>
      </c>
      <c r="AE8" s="81">
        <v>43871.0</v>
      </c>
      <c r="AF8" s="68">
        <v>2.0</v>
      </c>
      <c r="AG8" s="73"/>
      <c r="AH8" s="70"/>
      <c r="AI8" s="70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46</v>
      </c>
      <c r="D3" s="9" t="s">
        <v>5</v>
      </c>
      <c r="E3" s="21" t="s">
        <v>47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50</v>
      </c>
      <c r="C6" s="10" t="s">
        <v>16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46</v>
      </c>
      <c r="D3" s="9" t="s">
        <v>5</v>
      </c>
      <c r="E3" s="21" t="s">
        <v>50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43873.0</v>
      </c>
      <c r="C6" s="10"/>
      <c r="D6" s="10"/>
      <c r="E6" s="10" t="s">
        <v>24</v>
      </c>
      <c r="F6" s="7"/>
      <c r="G6" s="10" t="s">
        <v>54</v>
      </c>
      <c r="H6" s="10">
        <v>1.0</v>
      </c>
      <c r="I6" s="10">
        <v>0.33</v>
      </c>
      <c r="J6" s="10">
        <v>0.625</v>
      </c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46</v>
      </c>
      <c r="D3" s="9" t="s">
        <v>5</v>
      </c>
      <c r="E3" s="21" t="s">
        <v>55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 t="s">
        <v>18</v>
      </c>
      <c r="D6" s="10" t="s">
        <v>25</v>
      </c>
      <c r="E6" s="10" t="s">
        <v>16</v>
      </c>
      <c r="F6" s="10">
        <v>300.0</v>
      </c>
      <c r="G6" s="10">
        <v>100.0</v>
      </c>
      <c r="H6" s="10">
        <v>24.0168</v>
      </c>
      <c r="I6" s="29">
        <v>43871.0</v>
      </c>
      <c r="J6" s="29">
        <v>43871.0</v>
      </c>
      <c r="K6" s="29">
        <v>43871.0</v>
      </c>
      <c r="L6" s="29">
        <v>43874.0</v>
      </c>
      <c r="M6" s="7"/>
      <c r="N6" s="10">
        <v>1.0</v>
      </c>
      <c r="O6" s="10" t="s">
        <v>20</v>
      </c>
      <c r="P6" s="30">
        <v>0.0</v>
      </c>
      <c r="Q6" s="30">
        <v>29975.98</v>
      </c>
      <c r="R6" s="30">
        <v>29975.98</v>
      </c>
      <c r="S6" s="30" t="s">
        <v>56</v>
      </c>
    </row>
    <row r="7" ht="15.75" customHeight="1">
      <c r="A7" s="7"/>
      <c r="B7" s="10" t="s">
        <v>24</v>
      </c>
      <c r="C7" s="10" t="s">
        <v>18</v>
      </c>
      <c r="D7" s="10" t="s">
        <v>57</v>
      </c>
      <c r="E7" s="10" t="s">
        <v>16</v>
      </c>
      <c r="F7" s="10">
        <v>299.759832</v>
      </c>
      <c r="G7" s="10">
        <v>100.0</v>
      </c>
      <c r="H7" s="10">
        <v>0.0</v>
      </c>
      <c r="I7" s="29">
        <v>43873.0</v>
      </c>
      <c r="J7" s="29">
        <v>43873.0</v>
      </c>
      <c r="K7" s="29">
        <v>43873.0</v>
      </c>
      <c r="L7" s="29">
        <v>43873.0</v>
      </c>
      <c r="M7" s="7"/>
      <c r="N7" s="10">
        <v>1.0</v>
      </c>
      <c r="O7" s="10" t="s">
        <v>20</v>
      </c>
      <c r="P7" s="30">
        <v>0.0</v>
      </c>
      <c r="Q7" s="30">
        <v>29975.98</v>
      </c>
      <c r="R7" s="30">
        <v>29975.98</v>
      </c>
      <c r="S7" s="30" t="s">
        <v>58</v>
      </c>
    </row>
    <row r="8" ht="15.75" customHeight="1">
      <c r="A8" s="7"/>
      <c r="B8" s="10" t="s">
        <v>24</v>
      </c>
      <c r="C8" s="10" t="s">
        <v>18</v>
      </c>
      <c r="D8" s="10" t="s">
        <v>25</v>
      </c>
      <c r="E8" s="10" t="s">
        <v>16</v>
      </c>
      <c r="F8" s="10">
        <v>187.349895</v>
      </c>
      <c r="G8" s="10">
        <v>100.0</v>
      </c>
      <c r="H8" s="10">
        <v>0.0</v>
      </c>
      <c r="I8" s="29">
        <v>43873.0</v>
      </c>
      <c r="J8" s="29">
        <v>43873.0</v>
      </c>
      <c r="K8" s="29">
        <v>43871.0</v>
      </c>
      <c r="L8" s="29">
        <v>43873.0</v>
      </c>
      <c r="M8" s="7"/>
      <c r="N8" s="10">
        <v>1.0</v>
      </c>
      <c r="O8" s="10" t="s">
        <v>20</v>
      </c>
      <c r="P8" s="30">
        <v>300.0</v>
      </c>
      <c r="Q8" s="30">
        <v>18734.99</v>
      </c>
      <c r="R8" s="30">
        <v>18734.99</v>
      </c>
      <c r="S8" s="30" t="s">
        <v>56</v>
      </c>
    </row>
    <row r="9" ht="15.75" customHeight="1">
      <c r="A9" s="7"/>
      <c r="B9" s="10" t="s">
        <v>54</v>
      </c>
      <c r="C9" s="10" t="s">
        <v>18</v>
      </c>
      <c r="D9" s="10" t="s">
        <v>25</v>
      </c>
      <c r="E9" s="10" t="s">
        <v>16</v>
      </c>
      <c r="F9" s="10">
        <v>340.636172727273</v>
      </c>
      <c r="G9" s="10">
        <v>33.0</v>
      </c>
      <c r="H9" s="10">
        <v>0.0</v>
      </c>
      <c r="I9" s="29">
        <v>43873.0</v>
      </c>
      <c r="J9" s="29">
        <v>43873.0</v>
      </c>
      <c r="K9" s="29">
        <v>43871.0</v>
      </c>
      <c r="L9" s="29">
        <v>43873.0</v>
      </c>
      <c r="M9" s="7"/>
      <c r="N9" s="10">
        <v>1.0</v>
      </c>
      <c r="O9" s="10" t="s">
        <v>20</v>
      </c>
      <c r="P9" s="30">
        <v>340.636</v>
      </c>
      <c r="Q9" s="30">
        <v>11240.99</v>
      </c>
      <c r="R9" s="30">
        <v>11240.99</v>
      </c>
      <c r="S9" s="30" t="s">
        <v>56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29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29">
        <v>43873.0</v>
      </c>
      <c r="C6" s="29">
        <v>43873.0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28</v>
      </c>
      <c r="D3" s="9" t="s">
        <v>5</v>
      </c>
      <c r="E3" s="21" t="s">
        <v>30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24</v>
      </c>
      <c r="C6" s="10">
        <v>310.0</v>
      </c>
      <c r="D6" s="10"/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10" t="s">
        <v>54</v>
      </c>
      <c r="C7" s="10">
        <v>170.0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43873.0</v>
      </c>
      <c r="E6" s="10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33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43873.0</v>
      </c>
      <c r="E6" s="29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6" width="33.57"/>
    <col customWidth="1" min="7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34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82">
        <v>43873.0</v>
      </c>
      <c r="C6" s="53" t="s">
        <v>16</v>
      </c>
      <c r="D6" s="53" t="s">
        <v>24</v>
      </c>
      <c r="E6" s="53" t="s">
        <v>18</v>
      </c>
      <c r="F6" s="53" t="s">
        <v>36</v>
      </c>
      <c r="G6" s="83">
        <v>12265.01</v>
      </c>
      <c r="H6" s="84">
        <v>0.0</v>
      </c>
      <c r="I6" s="49"/>
      <c r="J6" s="49"/>
      <c r="K6" s="53"/>
      <c r="L6" s="52">
        <v>1.0</v>
      </c>
      <c r="M6" s="53" t="s">
        <v>20</v>
      </c>
      <c r="N6" s="53" t="s">
        <v>37</v>
      </c>
      <c r="O6" s="53" t="s">
        <v>38</v>
      </c>
      <c r="P6" s="53" t="s">
        <v>18</v>
      </c>
      <c r="Q6" s="53" t="s">
        <v>39</v>
      </c>
      <c r="R6" s="83">
        <v>12265.01</v>
      </c>
      <c r="S6" s="52">
        <v>0.0</v>
      </c>
    </row>
    <row r="7" ht="15.75" customHeight="1">
      <c r="A7" s="7"/>
      <c r="B7" s="82">
        <v>43873.0</v>
      </c>
      <c r="C7" s="53" t="s">
        <v>16</v>
      </c>
      <c r="D7" s="53" t="s">
        <v>24</v>
      </c>
      <c r="E7" s="53" t="s">
        <v>18</v>
      </c>
      <c r="F7" s="59" t="s">
        <v>41</v>
      </c>
      <c r="G7" s="85">
        <v>0.0</v>
      </c>
      <c r="H7" s="83">
        <v>12265.01</v>
      </c>
      <c r="I7" s="55"/>
      <c r="J7" s="55"/>
      <c r="K7" s="59"/>
      <c r="L7" s="58">
        <v>1.0</v>
      </c>
      <c r="M7" s="59" t="s">
        <v>20</v>
      </c>
      <c r="N7" s="59" t="s">
        <v>42</v>
      </c>
      <c r="O7" s="59" t="s">
        <v>38</v>
      </c>
      <c r="P7" s="59" t="s">
        <v>18</v>
      </c>
      <c r="Q7" s="53" t="s">
        <v>39</v>
      </c>
      <c r="R7" s="58">
        <v>0.0</v>
      </c>
      <c r="S7" s="83">
        <v>12265.01</v>
      </c>
    </row>
    <row r="8" ht="15.75" customHeight="1">
      <c r="A8" s="7"/>
      <c r="B8" s="82">
        <v>43873.0</v>
      </c>
      <c r="C8" s="53" t="s">
        <v>16</v>
      </c>
      <c r="D8" s="53" t="s">
        <v>54</v>
      </c>
      <c r="E8" s="53" t="s">
        <v>18</v>
      </c>
      <c r="F8" s="53" t="s">
        <v>41</v>
      </c>
      <c r="G8" s="52">
        <v>5630.99</v>
      </c>
      <c r="H8" s="84">
        <v>0.0</v>
      </c>
      <c r="I8" s="49"/>
      <c r="J8" s="49"/>
      <c r="K8" s="53"/>
      <c r="L8" s="52">
        <v>1.0</v>
      </c>
      <c r="M8" s="53" t="s">
        <v>20</v>
      </c>
      <c r="N8" s="53" t="s">
        <v>37</v>
      </c>
      <c r="O8" s="53" t="s">
        <v>38</v>
      </c>
      <c r="P8" s="53" t="s">
        <v>18</v>
      </c>
      <c r="Q8" s="53" t="s">
        <v>39</v>
      </c>
      <c r="R8" s="52">
        <v>5630.99</v>
      </c>
      <c r="S8" s="52">
        <v>0.0</v>
      </c>
    </row>
    <row r="9" ht="15.75" customHeight="1">
      <c r="A9" s="7"/>
      <c r="B9" s="82">
        <v>43873.0</v>
      </c>
      <c r="C9" s="53" t="s">
        <v>16</v>
      </c>
      <c r="D9" s="53" t="s">
        <v>54</v>
      </c>
      <c r="E9" s="53" t="s">
        <v>18</v>
      </c>
      <c r="F9" s="59" t="s">
        <v>36</v>
      </c>
      <c r="G9" s="85">
        <v>0.0</v>
      </c>
      <c r="H9" s="58">
        <v>5630.99</v>
      </c>
      <c r="I9" s="55"/>
      <c r="J9" s="55"/>
      <c r="K9" s="59"/>
      <c r="L9" s="58">
        <v>1.0</v>
      </c>
      <c r="M9" s="59" t="s">
        <v>20</v>
      </c>
      <c r="N9" s="59" t="s">
        <v>42</v>
      </c>
      <c r="O9" s="59" t="s">
        <v>38</v>
      </c>
      <c r="P9" s="59" t="s">
        <v>18</v>
      </c>
      <c r="Q9" s="53" t="s">
        <v>39</v>
      </c>
      <c r="R9" s="58">
        <v>0.0</v>
      </c>
      <c r="S9" s="58">
        <v>5630.99</v>
      </c>
    </row>
    <row r="10" ht="15.75" customHeight="1">
      <c r="A10" s="7"/>
      <c r="B10" s="82">
        <v>43873.0</v>
      </c>
      <c r="C10" s="53" t="s">
        <v>16</v>
      </c>
      <c r="D10" s="53" t="s">
        <v>24</v>
      </c>
      <c r="E10" s="53" t="s">
        <v>18</v>
      </c>
      <c r="F10" s="53" t="s">
        <v>41</v>
      </c>
      <c r="G10" s="83">
        <v>524.02</v>
      </c>
      <c r="H10" s="84">
        <v>0.0</v>
      </c>
      <c r="I10" s="49"/>
      <c r="J10" s="49"/>
      <c r="K10" s="53"/>
      <c r="L10" s="52">
        <v>1.0</v>
      </c>
      <c r="M10" s="53" t="s">
        <v>20</v>
      </c>
      <c r="N10" s="53" t="s">
        <v>37</v>
      </c>
      <c r="O10" s="53" t="s">
        <v>38</v>
      </c>
      <c r="P10" s="53" t="s">
        <v>18</v>
      </c>
      <c r="Q10" s="53" t="s">
        <v>59</v>
      </c>
      <c r="R10" s="83">
        <v>524.02</v>
      </c>
      <c r="S10" s="52">
        <v>0.0</v>
      </c>
    </row>
    <row r="11" ht="15.75" customHeight="1">
      <c r="A11" s="7"/>
      <c r="B11" s="82">
        <v>43873.0</v>
      </c>
      <c r="C11" s="53" t="s">
        <v>16</v>
      </c>
      <c r="D11" s="53" t="s">
        <v>24</v>
      </c>
      <c r="E11" s="53" t="s">
        <v>18</v>
      </c>
      <c r="F11" s="59" t="s">
        <v>36</v>
      </c>
      <c r="G11" s="85">
        <v>0.0</v>
      </c>
      <c r="H11" s="86">
        <v>524.02</v>
      </c>
      <c r="I11" s="55"/>
      <c r="J11" s="55"/>
      <c r="K11" s="59"/>
      <c r="L11" s="58">
        <v>1.0</v>
      </c>
      <c r="M11" s="59" t="s">
        <v>20</v>
      </c>
      <c r="N11" s="59" t="s">
        <v>42</v>
      </c>
      <c r="O11" s="59" t="s">
        <v>38</v>
      </c>
      <c r="P11" s="59" t="s">
        <v>18</v>
      </c>
      <c r="Q11" s="53" t="s">
        <v>59</v>
      </c>
      <c r="R11" s="58">
        <v>0.0</v>
      </c>
      <c r="S11" s="83">
        <v>524.02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35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82">
        <v>43873.0</v>
      </c>
      <c r="C6" s="49"/>
      <c r="D6" s="82"/>
      <c r="E6" s="87">
        <v>29975.98</v>
      </c>
      <c r="F6" s="88">
        <v>0.0</v>
      </c>
      <c r="G6" s="52">
        <v>1.0</v>
      </c>
      <c r="H6" s="53" t="s">
        <v>20</v>
      </c>
      <c r="I6" s="53" t="s">
        <v>37</v>
      </c>
      <c r="J6" s="53" t="s">
        <v>43</v>
      </c>
      <c r="K6" s="53" t="s">
        <v>18</v>
      </c>
      <c r="L6" s="53" t="s">
        <v>18</v>
      </c>
      <c r="M6" s="53" t="s">
        <v>24</v>
      </c>
      <c r="N6" s="53"/>
      <c r="O6" s="87">
        <v>29975.98</v>
      </c>
      <c r="P6" s="54">
        <v>0.0</v>
      </c>
      <c r="Q6" s="53" t="s">
        <v>44</v>
      </c>
      <c r="R6" s="53" t="s">
        <v>16</v>
      </c>
    </row>
    <row r="7" ht="15.75" customHeight="1">
      <c r="A7" s="7"/>
      <c r="B7" s="82">
        <v>43873.0</v>
      </c>
      <c r="C7" s="55"/>
      <c r="D7" s="89"/>
      <c r="E7" s="90">
        <v>0.0</v>
      </c>
      <c r="F7" s="61">
        <v>29975.98</v>
      </c>
      <c r="G7" s="58">
        <v>1.0</v>
      </c>
      <c r="H7" s="59" t="s">
        <v>20</v>
      </c>
      <c r="I7" s="59" t="s">
        <v>42</v>
      </c>
      <c r="J7" s="59" t="s">
        <v>43</v>
      </c>
      <c r="K7" s="53" t="s">
        <v>18</v>
      </c>
      <c r="L7" s="59" t="s">
        <v>18</v>
      </c>
      <c r="M7" s="53" t="s">
        <v>24</v>
      </c>
      <c r="N7" s="53"/>
      <c r="O7" s="65">
        <v>0.0</v>
      </c>
      <c r="P7" s="61">
        <v>29975.98</v>
      </c>
      <c r="Q7" s="59" t="s">
        <v>19</v>
      </c>
      <c r="R7" s="53" t="s">
        <v>16</v>
      </c>
    </row>
    <row r="8" ht="15.75" customHeight="1">
      <c r="A8" s="7"/>
      <c r="B8" s="82">
        <v>43873.0</v>
      </c>
      <c r="C8" s="49"/>
      <c r="D8" s="82"/>
      <c r="E8" s="87">
        <v>18734.99</v>
      </c>
      <c r="F8" s="88">
        <v>0.0</v>
      </c>
      <c r="G8" s="52">
        <v>1.0</v>
      </c>
      <c r="H8" s="53" t="s">
        <v>20</v>
      </c>
      <c r="I8" s="53" t="s">
        <v>37</v>
      </c>
      <c r="J8" s="53" t="s">
        <v>43</v>
      </c>
      <c r="K8" s="53" t="s">
        <v>18</v>
      </c>
      <c r="L8" s="53" t="s">
        <v>18</v>
      </c>
      <c r="M8" s="53" t="s">
        <v>24</v>
      </c>
      <c r="N8" s="53"/>
      <c r="O8" s="87">
        <v>18734.99</v>
      </c>
      <c r="P8" s="54">
        <v>0.0</v>
      </c>
      <c r="Q8" s="53" t="s">
        <v>19</v>
      </c>
      <c r="R8" s="53" t="s">
        <v>16</v>
      </c>
    </row>
    <row r="9" ht="15.75" customHeight="1">
      <c r="A9" s="7"/>
      <c r="B9" s="82">
        <v>43873.0</v>
      </c>
      <c r="C9" s="55"/>
      <c r="D9" s="89"/>
      <c r="E9" s="90">
        <v>0.0</v>
      </c>
      <c r="F9" s="61">
        <v>18734.99</v>
      </c>
      <c r="G9" s="58">
        <v>1.0</v>
      </c>
      <c r="H9" s="59" t="s">
        <v>20</v>
      </c>
      <c r="I9" s="59" t="s">
        <v>42</v>
      </c>
      <c r="J9" s="59" t="s">
        <v>43</v>
      </c>
      <c r="K9" s="53" t="s">
        <v>18</v>
      </c>
      <c r="L9" s="59" t="s">
        <v>18</v>
      </c>
      <c r="M9" s="53" t="s">
        <v>24</v>
      </c>
      <c r="N9" s="53"/>
      <c r="O9" s="65">
        <v>0.0</v>
      </c>
      <c r="P9" s="61">
        <v>18734.99</v>
      </c>
      <c r="Q9" s="59" t="s">
        <v>44</v>
      </c>
      <c r="R9" s="53" t="s">
        <v>16</v>
      </c>
    </row>
    <row r="10" ht="15.75" customHeight="1">
      <c r="A10" s="7"/>
      <c r="B10" s="82">
        <v>43873.0</v>
      </c>
      <c r="C10" s="49"/>
      <c r="D10" s="82"/>
      <c r="E10" s="87">
        <v>11240.99</v>
      </c>
      <c r="F10" s="88">
        <v>0.0</v>
      </c>
      <c r="G10" s="52">
        <v>1.0</v>
      </c>
      <c r="H10" s="53" t="s">
        <v>20</v>
      </c>
      <c r="I10" s="53" t="s">
        <v>37</v>
      </c>
      <c r="J10" s="53" t="s">
        <v>43</v>
      </c>
      <c r="K10" s="53" t="s">
        <v>18</v>
      </c>
      <c r="L10" s="53" t="s">
        <v>18</v>
      </c>
      <c r="M10" s="53" t="s">
        <v>54</v>
      </c>
      <c r="N10" s="53"/>
      <c r="O10" s="87">
        <v>11240.99</v>
      </c>
      <c r="P10" s="54">
        <v>0.0</v>
      </c>
      <c r="Q10" s="53" t="s">
        <v>19</v>
      </c>
      <c r="R10" s="53" t="s">
        <v>16</v>
      </c>
    </row>
    <row r="11" ht="15.75" customHeight="1">
      <c r="A11" s="7"/>
      <c r="B11" s="82">
        <v>43873.0</v>
      </c>
      <c r="C11" s="55"/>
      <c r="D11" s="89"/>
      <c r="E11" s="90">
        <v>0.0</v>
      </c>
      <c r="F11" s="61">
        <v>11240.99</v>
      </c>
      <c r="G11" s="58">
        <v>1.0</v>
      </c>
      <c r="H11" s="59" t="s">
        <v>20</v>
      </c>
      <c r="I11" s="59" t="s">
        <v>42</v>
      </c>
      <c r="J11" s="59" t="s">
        <v>43</v>
      </c>
      <c r="K11" s="53" t="s">
        <v>18</v>
      </c>
      <c r="L11" s="59" t="s">
        <v>18</v>
      </c>
      <c r="M11" s="53" t="s">
        <v>54</v>
      </c>
      <c r="N11" s="53"/>
      <c r="O11" s="65">
        <v>0.0</v>
      </c>
      <c r="P11" s="61">
        <v>11240.99</v>
      </c>
      <c r="Q11" s="59" t="s">
        <v>44</v>
      </c>
      <c r="R11" s="53" t="s">
        <v>16</v>
      </c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VerifyTradingTransaction2!$4:$4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40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29">
        <v>43873.0</v>
      </c>
      <c r="E6" s="29">
        <v>43873.0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5</v>
      </c>
      <c r="E3" s="21" t="s">
        <v>45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67" t="s">
        <v>16</v>
      </c>
      <c r="C6" s="67" t="s">
        <v>38</v>
      </c>
      <c r="D6" s="67" t="s">
        <v>48</v>
      </c>
      <c r="E6" s="91">
        <v>-12265.01</v>
      </c>
      <c r="F6" s="68">
        <v>0.0</v>
      </c>
      <c r="G6" s="68">
        <v>0.0</v>
      </c>
      <c r="H6" s="67" t="s">
        <v>49</v>
      </c>
      <c r="I6" s="68">
        <v>0.0</v>
      </c>
      <c r="J6" s="68">
        <v>0.0</v>
      </c>
      <c r="K6" s="67" t="s">
        <v>18</v>
      </c>
      <c r="L6" s="67"/>
      <c r="M6" s="69"/>
      <c r="N6" s="67" t="s">
        <v>20</v>
      </c>
      <c r="O6" s="68">
        <v>1.0</v>
      </c>
      <c r="P6" s="70"/>
      <c r="Q6" s="69"/>
      <c r="R6" s="68">
        <v>0.0</v>
      </c>
      <c r="S6" s="68">
        <v>0.0</v>
      </c>
      <c r="T6" s="68">
        <v>0.0</v>
      </c>
      <c r="U6" s="68">
        <v>0.0</v>
      </c>
      <c r="V6" s="68">
        <v>0.0</v>
      </c>
      <c r="W6" s="68">
        <v>0.0</v>
      </c>
      <c r="X6" s="70"/>
      <c r="Y6" s="71"/>
      <c r="Z6" s="68">
        <v>0.0</v>
      </c>
      <c r="AA6" s="68">
        <v>0.0</v>
      </c>
      <c r="AB6" s="67" t="s">
        <v>24</v>
      </c>
      <c r="AC6" s="68">
        <v>0.0</v>
      </c>
      <c r="AD6" s="68">
        <v>0.0</v>
      </c>
      <c r="AE6" s="72">
        <v>43873.0</v>
      </c>
      <c r="AF6" s="68">
        <v>0.0</v>
      </c>
      <c r="AG6" s="73" t="s">
        <v>38</v>
      </c>
      <c r="AH6" s="67"/>
      <c r="AI6" s="70"/>
    </row>
    <row r="7" ht="15.75" customHeight="1">
      <c r="A7" s="7"/>
      <c r="B7" s="74" t="s">
        <v>16</v>
      </c>
      <c r="C7" s="74" t="s">
        <v>38</v>
      </c>
      <c r="D7" s="74" t="s">
        <v>48</v>
      </c>
      <c r="E7" s="94">
        <v>5630.99</v>
      </c>
      <c r="F7" s="75">
        <v>0.0</v>
      </c>
      <c r="G7" s="75">
        <v>0.0</v>
      </c>
      <c r="H7" s="74" t="s">
        <v>49</v>
      </c>
      <c r="I7" s="75">
        <v>0.0</v>
      </c>
      <c r="J7" s="75">
        <v>0.0</v>
      </c>
      <c r="K7" s="74" t="s">
        <v>18</v>
      </c>
      <c r="L7" s="74"/>
      <c r="M7" s="77"/>
      <c r="N7" s="74" t="s">
        <v>20</v>
      </c>
      <c r="O7" s="75">
        <v>1.0</v>
      </c>
      <c r="P7" s="76"/>
      <c r="Q7" s="77"/>
      <c r="R7" s="75">
        <v>0.0</v>
      </c>
      <c r="S7" s="75">
        <v>0.0</v>
      </c>
      <c r="T7" s="75">
        <v>0.0</v>
      </c>
      <c r="U7" s="75">
        <v>0.0</v>
      </c>
      <c r="V7" s="75">
        <v>0.0</v>
      </c>
      <c r="W7" s="75">
        <v>0.0</v>
      </c>
      <c r="X7" s="76"/>
      <c r="Y7" s="96"/>
      <c r="Z7" s="75">
        <v>0.0</v>
      </c>
      <c r="AA7" s="75">
        <v>0.0</v>
      </c>
      <c r="AB7" s="74" t="s">
        <v>54</v>
      </c>
      <c r="AC7" s="75">
        <v>0.0</v>
      </c>
      <c r="AD7" s="75">
        <v>0.0</v>
      </c>
      <c r="AE7" s="78">
        <v>43873.0</v>
      </c>
      <c r="AF7" s="75">
        <v>0.0</v>
      </c>
      <c r="AG7" s="79" t="s">
        <v>38</v>
      </c>
      <c r="AH7" s="74"/>
      <c r="AI7" s="76"/>
    </row>
    <row r="8" ht="15.75" customHeight="1">
      <c r="A8" s="7"/>
      <c r="B8" s="67" t="s">
        <v>16</v>
      </c>
      <c r="C8" s="67" t="s">
        <v>38</v>
      </c>
      <c r="D8" s="67" t="s">
        <v>48</v>
      </c>
      <c r="E8" s="91">
        <v>524.02</v>
      </c>
      <c r="F8" s="68">
        <v>0.0</v>
      </c>
      <c r="G8" s="68">
        <v>0.0</v>
      </c>
      <c r="H8" s="67" t="s">
        <v>49</v>
      </c>
      <c r="I8" s="68">
        <v>0.0</v>
      </c>
      <c r="J8" s="68">
        <v>0.0</v>
      </c>
      <c r="K8" s="67" t="s">
        <v>18</v>
      </c>
      <c r="L8" s="67"/>
      <c r="M8" s="69"/>
      <c r="N8" s="67" t="s">
        <v>20</v>
      </c>
      <c r="O8" s="68">
        <v>1.0</v>
      </c>
      <c r="P8" s="70"/>
      <c r="Q8" s="69"/>
      <c r="R8" s="68">
        <v>0.0</v>
      </c>
      <c r="S8" s="68">
        <v>0.0</v>
      </c>
      <c r="T8" s="68">
        <v>0.0</v>
      </c>
      <c r="U8" s="68">
        <v>0.0</v>
      </c>
      <c r="V8" s="68">
        <v>0.0</v>
      </c>
      <c r="W8" s="68">
        <v>0.0</v>
      </c>
      <c r="X8" s="70"/>
      <c r="Y8" s="71"/>
      <c r="Z8" s="68">
        <v>0.0</v>
      </c>
      <c r="AA8" s="68">
        <v>0.0</v>
      </c>
      <c r="AB8" s="67" t="s">
        <v>24</v>
      </c>
      <c r="AC8" s="68">
        <v>0.0</v>
      </c>
      <c r="AD8" s="68">
        <v>0.0</v>
      </c>
      <c r="AE8" s="72">
        <v>43873.0</v>
      </c>
      <c r="AF8" s="68">
        <v>0.0</v>
      </c>
      <c r="AG8" s="73" t="s">
        <v>38</v>
      </c>
      <c r="AH8" s="67"/>
      <c r="AI8" s="70"/>
    </row>
    <row r="9" ht="15.75" customHeight="1">
      <c r="A9" s="7"/>
      <c r="B9" s="74" t="s">
        <v>16</v>
      </c>
      <c r="C9" s="74" t="s">
        <v>43</v>
      </c>
      <c r="D9" s="74" t="s">
        <v>53</v>
      </c>
      <c r="E9" s="99">
        <v>-29975.98</v>
      </c>
      <c r="F9" s="75">
        <v>0.0</v>
      </c>
      <c r="G9" s="75">
        <v>0.0</v>
      </c>
      <c r="H9" s="74" t="s">
        <v>49</v>
      </c>
      <c r="I9" s="75">
        <v>0.0</v>
      </c>
      <c r="J9" s="75">
        <v>0.0</v>
      </c>
      <c r="K9" s="74" t="s">
        <v>18</v>
      </c>
      <c r="L9" s="74"/>
      <c r="M9" s="78"/>
      <c r="N9" s="74" t="s">
        <v>20</v>
      </c>
      <c r="O9" s="75">
        <v>1.0</v>
      </c>
      <c r="P9" s="76"/>
      <c r="Q9" s="77"/>
      <c r="R9" s="75">
        <v>0.0</v>
      </c>
      <c r="S9" s="75">
        <v>0.0</v>
      </c>
      <c r="T9" s="75">
        <v>0.0</v>
      </c>
      <c r="U9" s="75">
        <v>0.0</v>
      </c>
      <c r="V9" s="75">
        <v>100.0</v>
      </c>
      <c r="W9" s="75">
        <v>0.0</v>
      </c>
      <c r="X9" s="79" t="s">
        <v>18</v>
      </c>
      <c r="Y9" s="78"/>
      <c r="Z9" s="75">
        <v>0.0</v>
      </c>
      <c r="AA9" s="75">
        <v>0.0</v>
      </c>
      <c r="AB9" s="74" t="s">
        <v>24</v>
      </c>
      <c r="AC9" s="75">
        <v>0.0</v>
      </c>
      <c r="AD9" s="75">
        <v>0.0</v>
      </c>
      <c r="AE9" s="78">
        <v>43873.0</v>
      </c>
      <c r="AF9" s="75">
        <v>0.0</v>
      </c>
      <c r="AG9" s="79" t="s">
        <v>43</v>
      </c>
      <c r="AH9" s="76"/>
      <c r="AI9" s="76"/>
    </row>
    <row r="10" ht="15.75" customHeight="1">
      <c r="A10" s="7"/>
      <c r="B10" s="67" t="s">
        <v>16</v>
      </c>
      <c r="C10" s="67" t="s">
        <v>43</v>
      </c>
      <c r="D10" s="67" t="s">
        <v>53</v>
      </c>
      <c r="E10" s="91">
        <v>18734.99</v>
      </c>
      <c r="F10" s="68">
        <v>0.0</v>
      </c>
      <c r="G10" s="68">
        <v>0.0</v>
      </c>
      <c r="H10" s="67" t="s">
        <v>49</v>
      </c>
      <c r="I10" s="68">
        <v>0.0</v>
      </c>
      <c r="J10" s="68">
        <v>0.0</v>
      </c>
      <c r="K10" s="67" t="s">
        <v>18</v>
      </c>
      <c r="L10" s="67"/>
      <c r="M10" s="72"/>
      <c r="N10" s="67" t="s">
        <v>20</v>
      </c>
      <c r="O10" s="68">
        <v>1.0</v>
      </c>
      <c r="P10" s="70"/>
      <c r="Q10" s="69"/>
      <c r="R10" s="68">
        <v>0.0</v>
      </c>
      <c r="S10" s="68">
        <v>0.0</v>
      </c>
      <c r="T10" s="68">
        <v>0.0</v>
      </c>
      <c r="U10" s="68">
        <v>0.0</v>
      </c>
      <c r="V10" s="68">
        <v>100.0</v>
      </c>
      <c r="W10" s="68">
        <v>0.0</v>
      </c>
      <c r="X10" s="73" t="s">
        <v>18</v>
      </c>
      <c r="Y10" s="72"/>
      <c r="Z10" s="68">
        <v>0.0</v>
      </c>
      <c r="AA10" s="68">
        <v>0.0</v>
      </c>
      <c r="AB10" s="67" t="s">
        <v>24</v>
      </c>
      <c r="AC10" s="68">
        <v>0.0</v>
      </c>
      <c r="AD10" s="68">
        <v>0.0</v>
      </c>
      <c r="AE10" s="72">
        <v>43873.0</v>
      </c>
      <c r="AF10" s="68">
        <v>0.0</v>
      </c>
      <c r="AG10" s="73" t="s">
        <v>43</v>
      </c>
      <c r="AH10" s="70"/>
      <c r="AI10" s="70"/>
    </row>
    <row r="11" ht="15.75" customHeight="1">
      <c r="A11" s="7"/>
      <c r="B11" s="74" t="s">
        <v>16</v>
      </c>
      <c r="C11" s="74" t="s">
        <v>43</v>
      </c>
      <c r="D11" s="74" t="s">
        <v>53</v>
      </c>
      <c r="E11" s="99">
        <v>11240.99</v>
      </c>
      <c r="F11" s="75">
        <v>0.0</v>
      </c>
      <c r="G11" s="75">
        <v>0.0</v>
      </c>
      <c r="H11" s="74" t="s">
        <v>49</v>
      </c>
      <c r="I11" s="75">
        <v>0.0</v>
      </c>
      <c r="J11" s="75">
        <v>0.0</v>
      </c>
      <c r="K11" s="74" t="s">
        <v>18</v>
      </c>
      <c r="L11" s="74"/>
      <c r="M11" s="78"/>
      <c r="N11" s="74" t="s">
        <v>20</v>
      </c>
      <c r="O11" s="75">
        <v>1.0</v>
      </c>
      <c r="P11" s="76"/>
      <c r="Q11" s="77"/>
      <c r="R11" s="75">
        <v>0.0</v>
      </c>
      <c r="S11" s="75">
        <v>0.0</v>
      </c>
      <c r="T11" s="75">
        <v>0.0</v>
      </c>
      <c r="U11" s="75">
        <v>0.0</v>
      </c>
      <c r="V11" s="75">
        <v>33.0</v>
      </c>
      <c r="W11" s="75">
        <v>0.0</v>
      </c>
      <c r="X11" s="79" t="s">
        <v>18</v>
      </c>
      <c r="Y11" s="78"/>
      <c r="Z11" s="75">
        <v>0.0</v>
      </c>
      <c r="AA11" s="75">
        <v>0.0</v>
      </c>
      <c r="AB11" s="74" t="s">
        <v>54</v>
      </c>
      <c r="AC11" s="75">
        <v>0.0</v>
      </c>
      <c r="AD11" s="75">
        <v>0.0</v>
      </c>
      <c r="AE11" s="78">
        <v>43873.0</v>
      </c>
      <c r="AF11" s="75">
        <v>0.0</v>
      </c>
      <c r="AG11" s="79" t="s">
        <v>43</v>
      </c>
      <c r="AH11" s="76"/>
      <c r="AI11" s="76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60</v>
      </c>
      <c r="D3" s="9" t="s">
        <v>5</v>
      </c>
      <c r="E3" s="21" t="s">
        <v>61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63</v>
      </c>
      <c r="C6" s="29">
        <v>43871.0</v>
      </c>
      <c r="D6" s="29">
        <v>43873.0</v>
      </c>
      <c r="E6" s="10" t="s">
        <v>16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60</v>
      </c>
      <c r="D3" s="9" t="s">
        <v>5</v>
      </c>
      <c r="E3" s="21" t="s">
        <v>62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92" t="s">
        <v>16</v>
      </c>
      <c r="C6" s="92" t="s">
        <v>64</v>
      </c>
      <c r="D6" s="93"/>
      <c r="E6" s="95"/>
      <c r="F6" s="92"/>
      <c r="G6" s="95"/>
      <c r="H6" s="93">
        <v>18734.9895</v>
      </c>
      <c r="I6" s="93">
        <v>187.3499</v>
      </c>
      <c r="J6" s="97">
        <v>43871.0</v>
      </c>
      <c r="K6" s="92"/>
      <c r="L6" s="97">
        <v>43873.0</v>
      </c>
      <c r="M6" s="93">
        <v>100.0</v>
      </c>
      <c r="N6" s="92" t="s">
        <v>65</v>
      </c>
      <c r="O6" s="93"/>
      <c r="P6" s="92" t="s">
        <v>25</v>
      </c>
      <c r="Q6" s="92"/>
      <c r="R6" s="92" t="s">
        <v>24</v>
      </c>
      <c r="S6" s="98"/>
      <c r="T6" s="93">
        <v>0.0</v>
      </c>
      <c r="U6" s="97">
        <v>43873.0</v>
      </c>
      <c r="V6" s="92" t="s">
        <v>25</v>
      </c>
      <c r="W6" s="92" t="s">
        <v>66</v>
      </c>
      <c r="X6" s="93">
        <v>187.349895</v>
      </c>
      <c r="Y6" s="93">
        <v>187.3499</v>
      </c>
      <c r="Z6" s="93"/>
      <c r="AA6" s="93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3"/>
      <c r="AR6" s="93"/>
      <c r="AS6" s="92"/>
      <c r="AT6" s="100"/>
      <c r="AU6" s="95"/>
      <c r="AV6" s="93"/>
    </row>
    <row r="7" ht="15.75" customHeight="1">
      <c r="A7" s="7"/>
      <c r="B7" s="92" t="s">
        <v>16</v>
      </c>
      <c r="C7" s="92" t="s">
        <v>64</v>
      </c>
      <c r="D7" s="93"/>
      <c r="E7" s="95"/>
      <c r="F7" s="92"/>
      <c r="G7" s="95"/>
      <c r="H7" s="93">
        <v>11240.9937</v>
      </c>
      <c r="I7" s="93">
        <v>340.6362</v>
      </c>
      <c r="J7" s="97">
        <v>43871.0</v>
      </c>
      <c r="K7" s="92"/>
      <c r="L7" s="97">
        <v>43873.0</v>
      </c>
      <c r="M7" s="93">
        <v>33.0</v>
      </c>
      <c r="N7" s="92" t="s">
        <v>67</v>
      </c>
      <c r="O7" s="93"/>
      <c r="P7" s="92" t="s">
        <v>25</v>
      </c>
      <c r="Q7" s="92"/>
      <c r="R7" s="92" t="s">
        <v>54</v>
      </c>
      <c r="S7" s="98"/>
      <c r="T7" s="93">
        <v>0.0</v>
      </c>
      <c r="U7" s="97">
        <v>43873.0</v>
      </c>
      <c r="V7" s="92" t="s">
        <v>25</v>
      </c>
      <c r="W7" s="92" t="s">
        <v>66</v>
      </c>
      <c r="X7" s="93">
        <v>340.636172727273</v>
      </c>
      <c r="Y7" s="93">
        <v>340.6362</v>
      </c>
      <c r="Z7" s="93"/>
      <c r="AA7" s="93"/>
      <c r="AB7" s="92"/>
      <c r="AC7" s="92"/>
      <c r="AD7" s="92"/>
      <c r="AE7" s="92"/>
      <c r="AF7" s="92"/>
      <c r="AG7" s="92"/>
      <c r="AH7" s="97"/>
      <c r="AI7" s="98"/>
      <c r="AJ7" s="92"/>
      <c r="AK7" s="92"/>
      <c r="AL7" s="92"/>
      <c r="AM7" s="92"/>
      <c r="AN7" s="92"/>
      <c r="AO7" s="92"/>
      <c r="AP7" s="92"/>
      <c r="AQ7" s="93"/>
      <c r="AR7" s="93"/>
      <c r="AS7" s="92"/>
      <c r="AT7" s="100"/>
      <c r="AU7" s="95"/>
      <c r="AV7" s="93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68</v>
      </c>
      <c r="D3" s="9" t="s">
        <v>5</v>
      </c>
      <c r="E3" s="21" t="s">
        <v>69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63</v>
      </c>
      <c r="C6" s="29">
        <v>43871.0</v>
      </c>
      <c r="D6" s="29">
        <v>43873.0</v>
      </c>
      <c r="E6" s="32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68" width="14.43"/>
    <col customWidth="1" min="69" max="69" width="24.0"/>
    <col customWidth="1" min="70" max="154" width="14.43"/>
  </cols>
  <sheetData>
    <row r="1" ht="15.75" customHeight="1">
      <c r="A1" s="17"/>
      <c r="B1" s="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68</v>
      </c>
      <c r="D3" s="9" t="s">
        <v>5</v>
      </c>
      <c r="E3" s="21" t="s">
        <v>70</v>
      </c>
      <c r="F3" s="9" t="s">
        <v>14</v>
      </c>
      <c r="G3" s="12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1"/>
      <c r="D6" s="101"/>
      <c r="E6" s="10">
        <v>100.0</v>
      </c>
      <c r="F6" s="7"/>
      <c r="G6" s="10" t="s">
        <v>64</v>
      </c>
      <c r="H6" s="7"/>
      <c r="I6" s="7"/>
      <c r="J6" s="7"/>
      <c r="K6" s="10">
        <v>300.0</v>
      </c>
      <c r="L6" s="102">
        <v>300.0</v>
      </c>
      <c r="M6" s="7"/>
      <c r="N6" s="7"/>
      <c r="O6" s="7"/>
      <c r="T6" s="30">
        <v>2.5</v>
      </c>
      <c r="U6" s="30">
        <v>0.025</v>
      </c>
      <c r="AE6" s="30">
        <v>100.0</v>
      </c>
      <c r="AI6" s="30">
        <v>1.0</v>
      </c>
      <c r="AT6" s="103">
        <v>29975.9832</v>
      </c>
      <c r="AU6" s="102">
        <v>29975.9832</v>
      </c>
      <c r="BJ6" s="30">
        <v>100.0</v>
      </c>
      <c r="BO6" s="30" t="s">
        <v>25</v>
      </c>
      <c r="BP6" s="30">
        <v>7.5</v>
      </c>
      <c r="BQ6" s="30">
        <v>0.075</v>
      </c>
      <c r="BT6" s="30" t="s">
        <v>24</v>
      </c>
      <c r="BV6" s="30">
        <v>10.0</v>
      </c>
      <c r="BW6" s="102">
        <v>24.0168</v>
      </c>
    </row>
    <row r="7" ht="15.75" customHeight="1">
      <c r="A7" s="7"/>
      <c r="B7" s="10" t="s">
        <v>16</v>
      </c>
      <c r="C7" s="7"/>
      <c r="D7" s="7"/>
      <c r="E7" s="10">
        <v>100.0</v>
      </c>
      <c r="F7" s="7"/>
      <c r="G7" s="10" t="s">
        <v>64</v>
      </c>
      <c r="H7" s="7"/>
      <c r="I7" s="7"/>
      <c r="J7" s="7"/>
      <c r="K7" s="102">
        <v>299.759832</v>
      </c>
      <c r="L7" s="102">
        <v>299.759832</v>
      </c>
      <c r="M7" s="7"/>
      <c r="N7" s="7"/>
      <c r="O7" s="7"/>
      <c r="T7" s="30">
        <v>0.0</v>
      </c>
      <c r="U7" s="30">
        <v>0.0</v>
      </c>
      <c r="AE7" s="30">
        <v>100.0</v>
      </c>
      <c r="AI7" s="30">
        <v>1.0</v>
      </c>
      <c r="AT7" s="103">
        <v>29975.9832</v>
      </c>
      <c r="AU7" s="102">
        <v>29975.9832</v>
      </c>
      <c r="BJ7" s="30">
        <v>100.0</v>
      </c>
      <c r="BO7" s="30" t="s">
        <v>57</v>
      </c>
      <c r="BP7" s="30">
        <v>0.0</v>
      </c>
      <c r="BQ7" s="30">
        <v>0.0</v>
      </c>
      <c r="BT7" s="30" t="s">
        <v>24</v>
      </c>
      <c r="BV7" s="30">
        <v>0.0</v>
      </c>
      <c r="BW7" s="30">
        <v>0.0</v>
      </c>
    </row>
    <row r="8" ht="15.75" customHeight="1">
      <c r="A8" s="7"/>
      <c r="B8" s="10" t="s">
        <v>16</v>
      </c>
      <c r="C8" s="7"/>
      <c r="D8" s="7"/>
      <c r="E8" s="10">
        <v>100.0</v>
      </c>
      <c r="F8" s="7"/>
      <c r="G8" s="10" t="s">
        <v>64</v>
      </c>
      <c r="H8" s="7"/>
      <c r="I8" s="7"/>
      <c r="J8" s="7"/>
      <c r="K8" s="102">
        <v>187.349895</v>
      </c>
      <c r="L8" s="102">
        <v>187.349895</v>
      </c>
      <c r="M8" s="7"/>
      <c r="N8" s="7"/>
      <c r="O8" s="7"/>
      <c r="T8" s="30">
        <v>0.0</v>
      </c>
      <c r="U8" s="30">
        <v>0.0</v>
      </c>
      <c r="AE8" s="30">
        <v>100.0</v>
      </c>
      <c r="AI8" s="30">
        <v>1.0</v>
      </c>
      <c r="AT8" s="103">
        <v>18734.9895</v>
      </c>
      <c r="AU8" s="102">
        <v>18734.9895</v>
      </c>
      <c r="BJ8" s="30">
        <v>100.0</v>
      </c>
      <c r="BO8" s="30" t="s">
        <v>25</v>
      </c>
      <c r="BP8" s="30">
        <v>0.0</v>
      </c>
      <c r="BQ8" s="30">
        <v>0.0</v>
      </c>
      <c r="BT8" s="30" t="s">
        <v>24</v>
      </c>
      <c r="BV8" s="30">
        <v>0.0</v>
      </c>
      <c r="BW8" s="30">
        <v>0.0</v>
      </c>
    </row>
    <row r="9" ht="15.75" customHeight="1">
      <c r="A9" s="7"/>
      <c r="B9" s="10" t="s">
        <v>16</v>
      </c>
      <c r="C9" s="7"/>
      <c r="D9" s="7"/>
      <c r="E9" s="10">
        <v>33.0</v>
      </c>
      <c r="F9" s="7"/>
      <c r="G9" s="10" t="s">
        <v>64</v>
      </c>
      <c r="H9" s="7"/>
      <c r="I9" s="7"/>
      <c r="J9" s="7"/>
      <c r="K9" s="102">
        <v>340.636172727273</v>
      </c>
      <c r="L9" s="102">
        <v>340.636172727273</v>
      </c>
      <c r="M9" s="7"/>
      <c r="N9" s="7"/>
      <c r="O9" s="7"/>
      <c r="T9" s="30">
        <v>0.0</v>
      </c>
      <c r="U9" s="30">
        <v>0.0</v>
      </c>
      <c r="AE9" s="30">
        <v>33.0</v>
      </c>
      <c r="AI9" s="30">
        <v>1.0</v>
      </c>
      <c r="AT9" s="103">
        <v>11240.9937</v>
      </c>
      <c r="AU9" s="102">
        <v>11240.9937</v>
      </c>
      <c r="BJ9" s="30">
        <v>33.0</v>
      </c>
      <c r="BO9" s="30" t="s">
        <v>25</v>
      </c>
      <c r="BP9" s="30">
        <v>0.0</v>
      </c>
      <c r="BQ9" s="30">
        <v>0.0</v>
      </c>
      <c r="BT9" s="30" t="s">
        <v>54</v>
      </c>
      <c r="BV9" s="30">
        <v>0.0</v>
      </c>
      <c r="BW9" s="30">
        <v>0.0</v>
      </c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