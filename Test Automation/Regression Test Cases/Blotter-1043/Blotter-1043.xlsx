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CustomOrderTT1" sheetId="6" r:id="rId8"/>
    <sheet state="visible" name="TransferToUserOrder" sheetId="7" r:id="rId9"/>
    <sheet state="visible" name="TransferToUserOrder1" sheetId="8" r:id="rId10"/>
    <sheet state="visible" name="TransferToUserOrder2" sheetId="9" r:id="rId11"/>
    <sheet state="visible" name="VerifyOrder" sheetId="10" r:id="rId12"/>
    <sheet state="visible" name="VerifyWorkingSubs" sheetId="11" r:id="rId13"/>
  </sheets>
  <definedNames/>
  <calcPr/>
</workbook>
</file>

<file path=xl/sharedStrings.xml><?xml version="1.0" encoding="utf-8"?>
<sst xmlns="http://schemas.openxmlformats.org/spreadsheetml/2006/main" count="292" uniqueCount="137">
  <si>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</si>
  <si>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</si>
  <si>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</si>
  <si>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</si>
  <si>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</si>
  <si>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</si>
  <si>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</si>
  <si>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</si>
  <si>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</si>
  <si>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</si>
  <si>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</si>
  <si>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</si>
  <si>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</si>
  <si>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</si>
  <si>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</si>
  <si>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</si>
  <si>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</si>
  <si>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</si>
  <si>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TargetQuantityIn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</si>
  <si>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</si>
  <si>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</si>
  <si>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</si>
  <si>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</si>
  <si>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</si>
  <si>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</si>
  <si>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</si>
  <si>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</si>
  <si>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</si>
  <si>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</si>
  <si>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</si>
  <si>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</si>
  <si>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</si>
  <si>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</si>
  <si>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</si>
  <si>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</si>
  <si>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</si>
  <si>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</si>
  <si>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</si>
  <si>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</si>
  <si>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</si>
  <si>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</si>
  <si>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</si>
  <si>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</si>
  <si>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</si>
  <si>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</si>
  <si>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</si>
  <si>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</si>
  <si>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</si>
  <si>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</si>
  <si>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</si>
  <si>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</si>
  <si>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</si>
  <si>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</si>
  <si>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</si>
  <si>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</si>
  <si>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</si>
  <si>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</si>
  <si>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</si>
  <si>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</si>
  <si>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</si>
  <si>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</si>
  <si>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</si>
  <si>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</si>
  <si>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</si>
  <si>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</si>
  <si>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</si>
  <si>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</si>
  <si>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AAPL</t>
  </si>
  <si>
    <t>CreateOrder</t>
  </si>
  <si>
    <t>Buy</t>
  </si>
  <si>
    <t>MSFT</t>
  </si>
  <si>
    <t>DoneAway</t>
  </si>
  <si>
    <t>IBM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</si>
  <si>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</si>
  <si>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</si>
  <si>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</si>
  <si>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</si>
  <si>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</si>
  <si>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</si>
  <si>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</si>
  <si>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</si>
  <si>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</si>
  <si>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</si>
  <si>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</si>
  <si>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</si>
  <si>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</si>
  <si>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</si>
  <si>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</si>
  <si>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</si>
  <si>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</si>
  <si>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</si>
  <si>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</si>
  <si>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</si>
  <si>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</si>
  <si>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</si>
  <si>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</si>
  <si>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</si>
  <si>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</si>
  <si>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</si>
  <si>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</si>
  <si>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</si>
  <si>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</si>
  <si>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</si>
  <si>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</si>
  <si>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</si>
  <si>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</si>
  <si>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</si>
  <si>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</si>
  <si>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</si>
  <si>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</si>
  <si>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</si>
  <si>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</si>
  <si>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</si>
  <si>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</si>
  <si>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</si>
  <si>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</si>
  <si>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</si>
  <si>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</si>
  <si>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</si>
  <si>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</si>
  <si>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Blotter</t>
  </si>
  <si>
    <t>TransferToUserOrder</t>
  </si>
  <si>
    <t>jgulbrandsen</t>
  </si>
  <si>
    <t>Yes</t>
  </si>
  <si>
    <t>No</t>
  </si>
  <si>
    <t>VerifyOrder</t>
  </si>
  <si>
    <t>AAPL US EQUITY</t>
  </si>
  <si>
    <t>PartiallyFilled</t>
  </si>
  <si>
    <t>MS</t>
  </si>
  <si>
    <t>Allocation1</t>
  </si>
  <si>
    <t>Market</t>
  </si>
  <si>
    <t>jpearce</t>
  </si>
  <si>
    <t>Day</t>
  </si>
  <si>
    <t>MSFT US EQUITY</t>
  </si>
  <si>
    <t>Filled</t>
  </si>
  <si>
    <t>IBM US EQUITY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</si>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</sst>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5" fontId="11" numFmtId="0" xfId="0" applyFont="1"/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7.2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29" t="s">
        <v>59</v>
      </c>
      <c r="AT5" s="29" t="s">
        <v>60</v>
      </c>
      <c r="AU5" s="29" t="s">
        <v>61</v>
      </c>
      <c r="AV5" s="29" t="s">
        <v>62</v>
      </c>
      <c r="AW5" s="29" t="s">
        <v>63</v>
      </c>
      <c r="AX5" s="29" t="s">
        <v>64</v>
      </c>
      <c r="AY5" s="29" t="s">
        <v>65</v>
      </c>
      <c r="AZ5" s="29" t="s">
        <v>66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67</v>
      </c>
      <c r="C6" s="13">
        <v>4000.0</v>
      </c>
      <c r="D6" s="13"/>
      <c r="E6" s="13">
        <v>10.0</v>
      </c>
      <c r="F6" s="13" t="s">
        <v>68</v>
      </c>
      <c r="G6" s="8"/>
      <c r="H6" s="8"/>
      <c r="I6" s="8"/>
      <c r="J6" s="8"/>
      <c r="K6" s="13" t="s">
        <v>69</v>
      </c>
      <c r="L6" s="8"/>
      <c r="M6" s="8"/>
      <c r="N6" s="8"/>
      <c r="O6" s="8"/>
    </row>
    <row r="7" ht="15.75" customHeight="1">
      <c r="A7" s="13"/>
      <c r="B7" s="13" t="s">
        <v>70</v>
      </c>
      <c r="C7" s="13">
        <v>2000.0</v>
      </c>
      <c r="D7" s="13"/>
      <c r="E7" s="13">
        <v>10.0</v>
      </c>
      <c r="F7" s="13" t="s">
        <v>71</v>
      </c>
      <c r="G7" s="8"/>
      <c r="H7" s="8"/>
      <c r="I7" s="8"/>
      <c r="J7" s="8"/>
      <c r="K7" s="13" t="s">
        <v>69</v>
      </c>
      <c r="L7" s="8"/>
      <c r="M7" s="8"/>
      <c r="N7" s="8"/>
      <c r="O7" s="8"/>
    </row>
    <row r="8" ht="15.75" customHeight="1">
      <c r="A8" s="13"/>
      <c r="B8" s="13" t="s">
        <v>72</v>
      </c>
      <c r="C8" s="13">
        <v>3000.0</v>
      </c>
      <c r="D8" s="13"/>
      <c r="E8" s="13">
        <v>10.0</v>
      </c>
      <c r="F8" s="13" t="s">
        <v>71</v>
      </c>
      <c r="G8" s="8"/>
      <c r="H8" s="8"/>
      <c r="I8" s="8"/>
      <c r="J8" s="8"/>
      <c r="K8" s="13" t="s">
        <v>69</v>
      </c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  <c r="H5" s="9" t="s">
        <v>45</v>
      </c>
      <c r="I5" s="9" t="s">
        <v>79</v>
      </c>
      <c r="J5" s="9" t="s">
        <v>80</v>
      </c>
      <c r="K5" s="9" t="s">
        <v>81</v>
      </c>
      <c r="L5" s="9" t="s">
        <v>82</v>
      </c>
      <c r="M5" s="9" t="s">
        <v>83</v>
      </c>
      <c r="N5" s="9" t="s">
        <v>84</v>
      </c>
      <c r="O5" s="9" t="s">
        <v>85</v>
      </c>
      <c r="P5" s="9" t="s">
        <v>86</v>
      </c>
      <c r="Q5" s="9" t="s">
        <v>87</v>
      </c>
      <c r="R5" s="9" t="s">
        <v>88</v>
      </c>
      <c r="S5" s="9" t="s">
        <v>89</v>
      </c>
      <c r="T5" s="9" t="s">
        <v>90</v>
      </c>
      <c r="U5" s="9" t="s">
        <v>91</v>
      </c>
      <c r="V5" s="9" t="s">
        <v>92</v>
      </c>
      <c r="W5" s="9" t="s">
        <v>93</v>
      </c>
      <c r="X5" s="9" t="s">
        <v>94</v>
      </c>
      <c r="Y5" s="9" t="s">
        <v>95</v>
      </c>
      <c r="Z5" s="9" t="s">
        <v>96</v>
      </c>
      <c r="AA5" s="9" t="s">
        <v>97</v>
      </c>
      <c r="AB5" s="9" t="s">
        <v>98</v>
      </c>
      <c r="AC5" s="9" t="s">
        <v>99</v>
      </c>
      <c r="AD5" s="9" t="s">
        <v>100</v>
      </c>
      <c r="AE5" s="9" t="s">
        <v>101</v>
      </c>
      <c r="AF5" s="9" t="s">
        <v>102</v>
      </c>
      <c r="AG5" s="9" t="s">
        <v>103</v>
      </c>
      <c r="AH5" s="9" t="s">
        <v>104</v>
      </c>
      <c r="AI5" s="9" t="s">
        <v>16</v>
      </c>
      <c r="AJ5" s="9" t="s">
        <v>105</v>
      </c>
      <c r="AK5" s="9" t="s">
        <v>106</v>
      </c>
      <c r="AL5" s="9" t="s">
        <v>107</v>
      </c>
      <c r="AM5" s="9" t="s">
        <v>108</v>
      </c>
      <c r="AN5" s="9" t="s">
        <v>109</v>
      </c>
      <c r="AO5" s="9" t="s">
        <v>110</v>
      </c>
      <c r="AP5" s="9" t="s">
        <v>111</v>
      </c>
      <c r="AQ5" s="9" t="s">
        <v>112</v>
      </c>
      <c r="AR5" s="9" t="s">
        <v>113</v>
      </c>
      <c r="AS5" s="9" t="s">
        <v>42</v>
      </c>
      <c r="AT5" s="9" t="s">
        <v>31</v>
      </c>
      <c r="AU5" s="9" t="s">
        <v>37</v>
      </c>
      <c r="AV5" s="9" t="s">
        <v>114</v>
      </c>
      <c r="AW5" s="9" t="s">
        <v>115</v>
      </c>
      <c r="AX5" s="9" t="s">
        <v>116</v>
      </c>
      <c r="AY5" s="9" t="s">
        <v>117</v>
      </c>
      <c r="AZ5" s="9" t="s">
        <v>118</v>
      </c>
      <c r="BA5" s="9" t="s">
        <v>119</v>
      </c>
    </row>
    <row r="6">
      <c r="AI6" s="9" t="s">
        <v>67</v>
      </c>
      <c r="AJ6" s="9" t="s">
        <v>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  <c r="L5" s="9" t="s">
        <v>26</v>
      </c>
      <c r="M5" s="9" t="s">
        <v>27</v>
      </c>
      <c r="N5" s="9" t="s">
        <v>28</v>
      </c>
      <c r="O5" s="9" t="s">
        <v>29</v>
      </c>
      <c r="P5" s="9" t="s">
        <v>30</v>
      </c>
      <c r="Q5" s="9" t="s">
        <v>31</v>
      </c>
      <c r="R5" s="9" t="s">
        <v>32</v>
      </c>
      <c r="S5" s="9" t="s">
        <v>33</v>
      </c>
      <c r="T5" s="9" t="s">
        <v>34</v>
      </c>
      <c r="U5" s="9" t="s">
        <v>35</v>
      </c>
      <c r="V5" s="9" t="s">
        <v>36</v>
      </c>
      <c r="W5" s="9" t="s">
        <v>37</v>
      </c>
      <c r="X5" s="9" t="s">
        <v>38</v>
      </c>
      <c r="Y5" s="9" t="s">
        <v>39</v>
      </c>
      <c r="Z5" s="9" t="s">
        <v>40</v>
      </c>
      <c r="AA5" s="9" t="s">
        <v>41</v>
      </c>
      <c r="AB5" s="9" t="s">
        <v>42</v>
      </c>
      <c r="AC5" s="9" t="s">
        <v>43</v>
      </c>
      <c r="AD5" s="9" t="s">
        <v>44</v>
      </c>
      <c r="AE5" s="9" t="s">
        <v>45</v>
      </c>
      <c r="AF5" s="9" t="s">
        <v>46</v>
      </c>
      <c r="AG5" s="9" t="s">
        <v>47</v>
      </c>
      <c r="AH5" s="9" t="s">
        <v>48</v>
      </c>
      <c r="AI5" s="9" t="s">
        <v>49</v>
      </c>
      <c r="AJ5" s="9" t="s">
        <v>50</v>
      </c>
      <c r="AK5" s="9" t="s">
        <v>51</v>
      </c>
      <c r="AL5" s="9" t="s">
        <v>52</v>
      </c>
      <c r="AM5" s="9" t="s">
        <v>53</v>
      </c>
      <c r="AN5" s="9" t="s">
        <v>54</v>
      </c>
      <c r="AO5" s="9" t="s">
        <v>55</v>
      </c>
      <c r="AP5" s="9" t="s">
        <v>56</v>
      </c>
      <c r="AQ5" s="9" t="s">
        <v>57</v>
      </c>
      <c r="AR5" s="9" t="s">
        <v>58</v>
      </c>
      <c r="AS5" s="9" t="s">
        <v>59</v>
      </c>
      <c r="AT5" s="9" t="s">
        <v>60</v>
      </c>
      <c r="AU5" s="9" t="s">
        <v>61</v>
      </c>
      <c r="AV5" s="9" t="s">
        <v>62</v>
      </c>
      <c r="AW5" s="9" t="s">
        <v>63</v>
      </c>
      <c r="AX5" s="9" t="s">
        <v>64</v>
      </c>
      <c r="AY5" s="9" t="s">
        <v>65</v>
      </c>
      <c r="AZ5" s="9" t="s">
        <v>66</v>
      </c>
    </row>
    <row r="6">
      <c r="A6" s="9"/>
      <c r="C6" s="9">
        <v>3000.0</v>
      </c>
      <c r="D6" s="9"/>
      <c r="E6" s="9">
        <v>10.0</v>
      </c>
      <c r="F6" s="9" t="s">
        <v>71</v>
      </c>
      <c r="K6" s="9" t="s">
        <v>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120</v>
      </c>
      <c r="D3" s="5" t="s">
        <v>9</v>
      </c>
      <c r="E3" s="23" t="s">
        <v>121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IFERROR(__xludf.DUMMYFUNCTION("""COMPUTED_VALUE"""),"User")</f>
        <v>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1")</f>
        <v>Trade Attribute 1</v>
      </c>
      <c r="N5" s="31" t="str">
        <f>IFERROR(__xludf.DUMMYFUNCTION("""COMPUTED_VALUE"""),"Trade Attribute 2")</f>
        <v>Trade Attribute 2</v>
      </c>
      <c r="O5" s="31" t="str">
        <f>IFERROR(__xludf.DUMMYFUNCTION("""COMPUTED_VALUE"""),"Trade Attribute 3")</f>
        <v>Trade Attribute 3</v>
      </c>
      <c r="P5" s="31" t="str">
        <f>IFERROR(__xludf.DUMMYFUNCTION("""COMPUTED_VALUE"""),"Trade Attribute 4")</f>
        <v>Trade Attribute 4</v>
      </c>
      <c r="Q5" s="31" t="str">
        <f>IFERROR(__xludf.DUMMYFUNCTION("""COMPUTED_VALUE"""),"Trade Attribute 5")</f>
        <v>Trade Attribute 5</v>
      </c>
      <c r="R5" s="31" t="str">
        <f>IFERROR(__xludf.DUMMYFUNCTION("""COMPUTED_VALUE"""),"Trade Attribute 6")</f>
        <v>Trade Attribute 6</v>
      </c>
      <c r="S5" s="31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67</v>
      </c>
      <c r="AJ6" s="9" t="s">
        <v>69</v>
      </c>
      <c r="AX6" s="9" t="s">
        <v>122</v>
      </c>
      <c r="AZ6" s="9" t="s">
        <v>123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120</v>
      </c>
      <c r="D3" s="5" t="s">
        <v>9</v>
      </c>
      <c r="E3" s="23" t="s">
        <v>121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IFERROR(__xludf.DUMMYFUNCTION("""COMPUTED_VALUE"""),"User")</f>
        <v>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1")</f>
        <v>Trade Attribute 1</v>
      </c>
      <c r="N5" s="31" t="str">
        <f>IFERROR(__xludf.DUMMYFUNCTION("""COMPUTED_VALUE"""),"Trade Attribute 2")</f>
        <v>Trade Attribute 2</v>
      </c>
      <c r="O5" s="31" t="str">
        <f>IFERROR(__xludf.DUMMYFUNCTION("""COMPUTED_VALUE"""),"Trade Attribute 3")</f>
        <v>Trade Attribute 3</v>
      </c>
      <c r="P5" s="31" t="str">
        <f>IFERROR(__xludf.DUMMYFUNCTION("""COMPUTED_VALUE"""),"Trade Attribute 4")</f>
        <v>Trade Attribute 4</v>
      </c>
      <c r="Q5" s="31" t="str">
        <f>IFERROR(__xludf.DUMMYFUNCTION("""COMPUTED_VALUE"""),"Trade Attribute 5")</f>
        <v>Trade Attribute 5</v>
      </c>
      <c r="R5" s="31" t="str">
        <f>IFERROR(__xludf.DUMMYFUNCTION("""COMPUTED_VALUE"""),"Trade Attribute 6")</f>
        <v>Trade Attribute 6</v>
      </c>
      <c r="S5" s="31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70</v>
      </c>
      <c r="AJ6" s="9" t="s">
        <v>69</v>
      </c>
      <c r="AX6" s="9" t="s">
        <v>122</v>
      </c>
      <c r="AZ6" s="9" t="s">
        <v>124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120</v>
      </c>
      <c r="D3" s="5" t="s">
        <v>9</v>
      </c>
      <c r="E3" s="23" t="s">
        <v>121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IFERROR(__xludf.DUMMYFUNCTION("""COMPUTED_VALUE"""),"User")</f>
        <v>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1")</f>
        <v>Trade Attribute 1</v>
      </c>
      <c r="N5" s="31" t="str">
        <f>IFERROR(__xludf.DUMMYFUNCTION("""COMPUTED_VALUE"""),"Trade Attribute 2")</f>
        <v>Trade Attribute 2</v>
      </c>
      <c r="O5" s="31" t="str">
        <f>IFERROR(__xludf.DUMMYFUNCTION("""COMPUTED_VALUE"""),"Trade Attribute 3")</f>
        <v>Trade Attribute 3</v>
      </c>
      <c r="P5" s="31" t="str">
        <f>IFERROR(__xludf.DUMMYFUNCTION("""COMPUTED_VALUE"""),"Trade Attribute 4")</f>
        <v>Trade Attribute 4</v>
      </c>
      <c r="Q5" s="31" t="str">
        <f>IFERROR(__xludf.DUMMYFUNCTION("""COMPUTED_VALUE"""),"Trade Attribute 5")</f>
        <v>Trade Attribute 5</v>
      </c>
      <c r="R5" s="31" t="str">
        <f>IFERROR(__xludf.DUMMYFUNCTION("""COMPUTED_VALUE"""),"Trade Attribute 6")</f>
        <v>Trade Attribute 6</v>
      </c>
      <c r="S5" s="31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72</v>
      </c>
      <c r="AJ6" s="9" t="s">
        <v>69</v>
      </c>
      <c r="AX6" s="9" t="s">
        <v>122</v>
      </c>
      <c r="AZ6" s="9" t="s">
        <v>123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120</v>
      </c>
      <c r="D3" s="5" t="s">
        <v>9</v>
      </c>
      <c r="E3" s="23" t="s">
        <v>125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IFERROR(__xludf.DUMMYFUNCTION("""COMPUTED_VALUE"""),"Current User")</f>
        <v>Current 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6")</f>
        <v>Trade Attribute 6</v>
      </c>
      <c r="N5" s="31" t="str">
        <f>IFERROR(__xludf.DUMMYFUNCTION("""COMPUTED_VALUE"""),"Trade Attribute 5")</f>
        <v>Trade Attribute 5</v>
      </c>
      <c r="O5" s="31" t="str">
        <f>IFERROR(__xludf.DUMMYFUNCTION("""COMPUTED_VALUE"""),"Trade Attribute 4")</f>
        <v>Trade Attribute 4</v>
      </c>
      <c r="P5" s="31" t="str">
        <f>IFERROR(__xludf.DUMMYFUNCTION("""COMPUTED_VALUE"""),"Trade Attribute 3")</f>
        <v>Trade Attribute 3</v>
      </c>
      <c r="Q5" s="31" t="str">
        <f>IFERROR(__xludf.DUMMYFUNCTION("""COMPUTED_VALUE"""),"Trade Attribute 1")</f>
        <v>Trade Attribute 1</v>
      </c>
      <c r="R5" s="31" t="str">
        <f>IFERROR(__xludf.DUMMYFUNCTION("""COMPUTED_VALUE"""),"Trade Attribute 2")</f>
        <v>Trade Attribute 2</v>
      </c>
      <c r="S5" s="31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9">
        <v>10.0</v>
      </c>
      <c r="E6" s="9" t="s">
        <v>126</v>
      </c>
      <c r="G6" s="8"/>
      <c r="H6" s="8"/>
      <c r="I6" s="33" t="s">
        <v>122</v>
      </c>
      <c r="J6" s="8"/>
      <c r="K6" s="8"/>
      <c r="L6" s="8"/>
      <c r="M6" s="8"/>
      <c r="N6" s="8"/>
      <c r="O6" s="8"/>
      <c r="AI6" s="9" t="s">
        <v>67</v>
      </c>
      <c r="AJ6" s="9" t="s">
        <v>69</v>
      </c>
      <c r="AK6" s="9" t="s">
        <v>127</v>
      </c>
      <c r="AL6" s="9">
        <v>4000.0</v>
      </c>
      <c r="AM6" s="9">
        <v>3000.0</v>
      </c>
      <c r="AN6" s="9">
        <v>75.0</v>
      </c>
      <c r="AR6" s="9">
        <v>10.0</v>
      </c>
      <c r="AS6" s="9" t="s">
        <v>128</v>
      </c>
      <c r="AT6" s="9" t="s">
        <v>129</v>
      </c>
      <c r="AU6" s="9" t="s">
        <v>130</v>
      </c>
      <c r="AV6" s="9">
        <v>30000.0</v>
      </c>
      <c r="AW6" s="9">
        <v>30000.0</v>
      </c>
      <c r="BA6" s="9" t="s">
        <v>131</v>
      </c>
      <c r="BG6" s="9" t="s">
        <v>12</v>
      </c>
      <c r="BH6" s="9" t="s">
        <v>132</v>
      </c>
    </row>
    <row r="7" ht="15.75" customHeight="1">
      <c r="A7" s="8"/>
      <c r="B7" s="8"/>
      <c r="C7" s="8"/>
      <c r="D7" s="9">
        <v>10.0</v>
      </c>
      <c r="E7" s="9" t="s">
        <v>133</v>
      </c>
      <c r="G7" s="8"/>
      <c r="H7" s="8"/>
      <c r="I7" s="33" t="s">
        <v>122</v>
      </c>
      <c r="J7" s="8"/>
      <c r="K7" s="8"/>
      <c r="L7" s="8"/>
      <c r="M7" s="8"/>
      <c r="N7" s="8"/>
      <c r="O7" s="8"/>
      <c r="AI7" s="9" t="s">
        <v>70</v>
      </c>
      <c r="AJ7" s="9" t="s">
        <v>69</v>
      </c>
      <c r="AK7" s="9" t="s">
        <v>134</v>
      </c>
      <c r="AL7" s="9">
        <v>2000.0</v>
      </c>
      <c r="AM7" s="9">
        <v>2000.0</v>
      </c>
      <c r="AN7" s="9">
        <v>100.0</v>
      </c>
      <c r="AR7" s="9">
        <v>10.0</v>
      </c>
      <c r="AS7" s="9" t="s">
        <v>128</v>
      </c>
      <c r="AT7" s="9" t="s">
        <v>129</v>
      </c>
      <c r="AU7" s="9" t="s">
        <v>130</v>
      </c>
      <c r="AV7" s="9">
        <v>20000.0</v>
      </c>
      <c r="AW7" s="9">
        <v>20000.0</v>
      </c>
      <c r="BA7" s="9" t="s">
        <v>131</v>
      </c>
      <c r="BG7" s="9" t="s">
        <v>12</v>
      </c>
      <c r="BH7" s="9" t="s">
        <v>132</v>
      </c>
    </row>
    <row r="8" ht="15.75" customHeight="1">
      <c r="A8" s="8"/>
      <c r="B8" s="8"/>
      <c r="C8" s="8"/>
      <c r="D8" s="9">
        <v>10.0</v>
      </c>
      <c r="E8" s="9" t="s">
        <v>135</v>
      </c>
      <c r="G8" s="8"/>
      <c r="H8" s="8"/>
      <c r="I8" s="33" t="s">
        <v>122</v>
      </c>
      <c r="J8" s="8"/>
      <c r="K8" s="8"/>
      <c r="L8" s="8"/>
      <c r="M8" s="8"/>
      <c r="N8" s="8"/>
      <c r="O8" s="8"/>
      <c r="AI8" s="9" t="s">
        <v>72</v>
      </c>
      <c r="AJ8" s="9" t="s">
        <v>69</v>
      </c>
      <c r="AK8" s="9" t="s">
        <v>134</v>
      </c>
      <c r="AL8" s="9">
        <v>3000.0</v>
      </c>
      <c r="AM8" s="9">
        <v>3000.0</v>
      </c>
      <c r="AN8" s="9">
        <v>100.0</v>
      </c>
      <c r="AR8" s="9">
        <v>10.0</v>
      </c>
      <c r="AS8" s="9" t="s">
        <v>128</v>
      </c>
      <c r="AT8" s="9" t="s">
        <v>129</v>
      </c>
      <c r="AU8" s="9" t="s">
        <v>130</v>
      </c>
      <c r="AV8" s="9">
        <v>30000.0</v>
      </c>
      <c r="AW8" s="9">
        <v>30000.0</v>
      </c>
      <c r="BA8" s="9" t="s">
        <v>131</v>
      </c>
      <c r="BG8" s="9" t="s">
        <v>12</v>
      </c>
      <c r="BH8" s="9" t="s">
        <v>132</v>
      </c>
    </row>
    <row r="9" ht="15.75" customHeight="1">
      <c r="A9" s="8"/>
      <c r="B9" s="8"/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120</v>
      </c>
      <c r="D3" s="5" t="s">
        <v>9</v>
      </c>
      <c r="E3" s="23" t="s">
        <v>136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IFERROR(__xludf.DUMMYFUNCTION("""COMPUTED_VALUE"""),"Side")</f>
        <v>Side</v>
      </c>
      <c r="D5" s="31" t="str">
        <f>IFERROR(__xludf.DUMMYFUNCTION("""COMPUTED_VALUE"""),"Quantity")</f>
        <v>Quantity</v>
      </c>
      <c r="E5" s="31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31" t="str">
        <f>IFERROR(__xludf.DUMMYFUNCTION("""COMPUTED_VALUE"""),"Status")</f>
        <v>Status</v>
      </c>
      <c r="H5" s="31" t="str">
        <f>IFERROR(__xludf.DUMMYFUNCTION("""COMPUTED_VALUE"""),"Last Shares")</f>
        <v>Last Shares</v>
      </c>
      <c r="I5" s="31" t="str">
        <f>IFERROR(__xludf.DUMMYFUNCTION("""COMPUTED_VALUE"""),"Last Fill Price (Local)")</f>
        <v>Last Fill Price (Local)</v>
      </c>
      <c r="J5" s="31" t="str">
        <f>IFERROR(__xludf.DUMMYFUNCTION("""COMPUTED_VALUE"""),"Avg Fill Price (Local)")</f>
        <v>Avg Fill Price (Local)</v>
      </c>
      <c r="K5" s="31" t="str">
        <f>IFERROR(__xludf.DUMMYFUNCTION("""COMPUTED_VALUE"""),"Broker")</f>
        <v>Broker</v>
      </c>
      <c r="L5" s="31" t="str">
        <f>IFERROR(__xludf.DUMMYFUNCTION("""COMPUTED_VALUE"""),"Account")</f>
        <v>Account</v>
      </c>
      <c r="M5" s="31" t="str">
        <f>IFERROR(__xludf.DUMMYFUNCTION("""COMPUTED_VALUE"""),"Order Type")</f>
        <v>Order Type</v>
      </c>
      <c r="N5" s="31" t="str">
        <f>IFERROR(__xludf.DUMMYFUNCTION("""COMPUTED_VALUE"""),"OrderStatus")</f>
        <v>OrderStatus</v>
      </c>
      <c r="O5" s="31" t="str">
        <f>IFERROR(__xludf.DUMMYFUNCTION("""COMPUTED_VALUE"""),"Avg Fill Price (Base)")</f>
        <v>Avg Fill Price (Base)</v>
      </c>
      <c r="P5" s="31" t="str">
        <f>IFERROR(__xludf.DUMMYFUNCTION("""COMPUTED_VALUE"""),"Limit Price")</f>
        <v>Limit Price</v>
      </c>
      <c r="Q5" s="31" t="str">
        <f>IFERROR(__xludf.DUMMYFUNCTION("""COMPUTED_VALUE"""),"Stop Price")</f>
        <v>Stop Price</v>
      </c>
      <c r="R5" s="31" t="str">
        <f>IFERROR(__xludf.DUMMYFUNCTION("""COMPUTED_VALUE"""),"Actual User")</f>
        <v>Actual User</v>
      </c>
      <c r="S5" s="31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70</v>
      </c>
      <c r="C6" s="9" t="s">
        <v>69</v>
      </c>
      <c r="D6" s="9">
        <v>2000.0</v>
      </c>
      <c r="E6" s="13">
        <v>2000.0</v>
      </c>
      <c r="F6" s="13">
        <v>0.0</v>
      </c>
      <c r="G6" s="9" t="s">
        <v>134</v>
      </c>
      <c r="H6" s="8"/>
      <c r="I6" s="8"/>
      <c r="J6" s="8"/>
      <c r="K6" s="13" t="s">
        <v>128</v>
      </c>
      <c r="L6" s="13" t="s">
        <v>129</v>
      </c>
      <c r="M6" s="13" t="s">
        <v>130</v>
      </c>
      <c r="N6" s="8"/>
      <c r="O6" s="13">
        <v>10.0</v>
      </c>
      <c r="R6" s="9" t="s">
        <v>131</v>
      </c>
      <c r="S6" s="9" t="s">
        <v>133</v>
      </c>
      <c r="BB6" s="9" t="s">
        <v>131</v>
      </c>
    </row>
    <row r="7" ht="15.75" customHeight="1">
      <c r="A7" s="8"/>
      <c r="B7" s="9" t="s">
        <v>72</v>
      </c>
      <c r="C7" s="9" t="s">
        <v>69</v>
      </c>
      <c r="D7" s="9">
        <v>3000.0</v>
      </c>
      <c r="E7" s="13">
        <v>3000.0</v>
      </c>
      <c r="F7" s="13">
        <v>0.0</v>
      </c>
      <c r="G7" s="9" t="s">
        <v>134</v>
      </c>
      <c r="H7" s="8"/>
      <c r="I7" s="8"/>
      <c r="J7" s="8"/>
      <c r="K7" s="13" t="s">
        <v>128</v>
      </c>
      <c r="L7" s="13" t="s">
        <v>129</v>
      </c>
      <c r="M7" s="13" t="s">
        <v>130</v>
      </c>
      <c r="N7" s="8"/>
      <c r="O7" s="13">
        <v>10.0</v>
      </c>
      <c r="R7" s="9" t="s">
        <v>131</v>
      </c>
      <c r="S7" s="9" t="s">
        <v>135</v>
      </c>
      <c r="BB7" s="9" t="s">
        <v>122</v>
      </c>
    </row>
    <row r="8" ht="15.75" customHeight="1">
      <c r="A8" s="8"/>
      <c r="B8" s="13" t="s">
        <v>67</v>
      </c>
      <c r="C8" s="13" t="s">
        <v>69</v>
      </c>
      <c r="D8" s="13">
        <v>3000.0</v>
      </c>
      <c r="E8" s="13">
        <v>3000.0</v>
      </c>
      <c r="F8" s="13">
        <v>0.0</v>
      </c>
      <c r="G8" s="13" t="s">
        <v>134</v>
      </c>
      <c r="H8" s="8"/>
      <c r="I8" s="8"/>
      <c r="J8" s="8"/>
      <c r="K8" s="13" t="s">
        <v>128</v>
      </c>
      <c r="L8" s="13" t="s">
        <v>129</v>
      </c>
      <c r="M8" s="13" t="s">
        <v>130</v>
      </c>
      <c r="N8" s="8"/>
      <c r="O8" s="13">
        <v>10.0</v>
      </c>
      <c r="R8" s="9" t="s">
        <v>131</v>
      </c>
      <c r="S8" s="9" t="s">
        <v>126</v>
      </c>
      <c r="BB8" s="9" t="s">
        <v>131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