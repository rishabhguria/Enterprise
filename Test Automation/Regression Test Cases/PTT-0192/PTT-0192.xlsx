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SetLongShortPTTPreference" sheetId="7" r:id="rId9"/>
    <sheet state="visible" name="PricingInput" sheetId="8" r:id="rId10"/>
    <sheet state="visible" name="CalculatePTT" sheetId="9" r:id="rId11"/>
    <sheet state="visible" name="VerifyPTT" sheetId="10" r:id="rId12"/>
  </sheets>
  <definedNames/>
  <calcPr/>
</workbook>
</file>

<file path=xl/sharedStrings.xml><?xml version="1.0" encoding="utf-8"?>
<sst xmlns="http://schemas.openxmlformats.org/spreadsheetml/2006/main" count="77" uniqueCount="37">
  <si>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</si>
  <si>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</si>
  <si>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</si>
  <si>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</si>
  <si>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</si>
  <si>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</si>
  <si>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</si>
  <si>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</si>
  <si>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</si>
  <si>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</si>
  <si>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</si>
  <si>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</si>
  <si>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</si>
  <si>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</si>
  <si>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</si>
  <si>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</si>
  <si>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</si>
  <si>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</si>
  <si>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</si>
  <si>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</si>
  <si>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</si>
  <si>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</si>
  <si>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</si>
  <si>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Sell short</t>
  </si>
  <si>
    <t>Allocation2</t>
  </si>
  <si>
    <t>PTT</t>
  </si>
  <si>
    <t>SetLongShortPTTPreference</t>
  </si>
  <si>
    <t>NewMF</t>
  </si>
  <si>
    <t>Allocation1,Allocation3</t>
  </si>
  <si>
    <t>50,50</t>
  </si>
  <si>
    <t>PricingInput</t>
  </si>
  <si>
    <t>CalculatePTT</t>
  </si>
  <si>
    <t>Set</t>
  </si>
  <si>
    <t>No</t>
  </si>
  <si>
    <t>MasterFund</t>
  </si>
  <si>
    <t>VerifyPTT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</si>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</sst>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45091</v>
      </c>
      <c r="C6" s="32">
        <f>TODAY()</f>
        <v>45092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18</v>
      </c>
      <c r="D6" s="34">
        <v>100000.0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3" t="s">
        <v>18</v>
      </c>
      <c r="D7" s="35">
        <v>100000.0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6" t="s">
        <v>23</v>
      </c>
      <c r="D6" s="34">
        <v>100.0</v>
      </c>
      <c r="E6" s="33"/>
      <c r="F6" s="33" t="s">
        <v>24</v>
      </c>
      <c r="G6" s="33"/>
      <c r="H6" s="33"/>
      <c r="I6" s="33"/>
      <c r="J6" s="35">
        <v>2.0</v>
      </c>
      <c r="K6" s="33"/>
      <c r="L6" s="33"/>
      <c r="M6" s="33"/>
      <c r="N6" s="32">
        <f>TODAY()-1</f>
        <v>45091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IFERROR(__xludf.DUMMYFUNCTION("""COMPUTED_VALUE"""),"UseLongShortPreference")</f>
        <v>UseLongShortPreference</v>
      </c>
      <c r="C5" s="28" t="str">
        <f>IFERROR(__xludf.DUMMYFUNCTION("""COMPUTED_VALUE"""),"MasterFund")</f>
        <v>MasterFund</v>
      </c>
      <c r="D5" s="28" t="str">
        <f>IFERROR(__xludf.DUMMYFUNCTION("""COMPUTED_VALUE"""),"Accounts")</f>
        <v>Accounts</v>
      </c>
      <c r="E5" s="28" t="str">
        <f>IFERROR(__xludf.DUMMYFUNCTION("""COMPUTED_VALUE"""),"Account Percentage")</f>
        <v>Account Percentage</v>
      </c>
      <c r="F5" s="29" t="str">
        <f>IFERROR(__xludf.DUMMYFUNCTION("""COMPUTED_VALUE"""),"UseProrataPercentage")</f>
        <v>UseProrataPercentage</v>
      </c>
      <c r="G5" s="28" t="str">
        <f>IFERROR(__xludf.DUMMYFUNCTION("""COMPUTED_VALUE"""),"AccountShort")</f>
        <v>AccountShort</v>
      </c>
      <c r="H5" s="28" t="str">
        <f>IFERROR(__xludf.DUMMYFUNCTION("""COMPUTED_VALUE"""),"Account Short Percentage")</f>
        <v>Account Short Percentage</v>
      </c>
      <c r="I5" s="28" t="str">
        <f>IFERROR(__xludf.DUMMYFUNCTION("""COMPUTED_VALUE"""),"UseShortProrataPercentage")</f>
        <v>UseShortProrataPercentage</v>
      </c>
      <c r="J5" s="28" t="str">
        <f>IFERROR(__xludf.DUMMYFUNCTION("""COMPUTED_VALUE"""),"LongShortPreferenceChecked")</f>
        <v>LongShortPreferenceChecked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27</v>
      </c>
      <c r="D6" s="31" t="s">
        <v>28</v>
      </c>
      <c r="E6" s="33" t="s">
        <v>29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SetLongShortPTTPreference!$4:$4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5">
        <v>140.0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32</v>
      </c>
      <c r="D6" s="13"/>
      <c r="E6" s="13">
        <v>10.0</v>
      </c>
      <c r="F6" s="8"/>
      <c r="G6" s="13" t="s">
        <v>33</v>
      </c>
      <c r="H6" s="13" t="s">
        <v>34</v>
      </c>
      <c r="I6" s="13" t="s">
        <v>27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R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