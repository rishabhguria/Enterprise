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reateStageOrder" sheetId="8" r:id="rId10"/>
    <sheet state="visible" name="GetDataAllocation" sheetId="9" r:id="rId11"/>
    <sheet state="visible" name="SelectAllocatedGroup" sheetId="10" r:id="rId12"/>
    <sheet state="visible" name="BookOrUpdateSwap" sheetId="11" r:id="rId13"/>
    <sheet state="visible" name="PricingInput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CheckBasketCompliance1" sheetId="27" r:id="rId29"/>
    <sheet state="visible" name="SendToStagingExport1" sheetId="28" r:id="rId30"/>
  </sheets>
  <definedNames/>
  <calcPr/>
</workbook>
</file>

<file path=xl/sharedStrings.xml><?xml version="1.0" encoding="utf-8"?>
<sst xmlns="http://schemas.openxmlformats.org/spreadsheetml/2006/main" count="623" uniqueCount="130">
  <si>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</si>
  <si>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</si>
  <si>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</si>
  <si>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</si>
  <si>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</si>
  <si>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</si>
  <si>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</si>
  <si>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</si>
  <si>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</si>
  <si>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</si>
  <si>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</si>
  <si>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</si>
  <si>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</si>
  <si>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</si>
  <si>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</si>
  <si>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</si>
  <si>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</si>
  <si>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</si>
  <si>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</si>
  <si>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</si>
  <si>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</si>
  <si>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</si>
  <si>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</si>
  <si>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</si>
  <si>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</si>
  <si>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CreateDoneAwayOrder</t>
  </si>
  <si>
    <t>AVO-TC</t>
  </si>
  <si>
    <t>Buy</t>
  </si>
  <si>
    <t>Allocation2</t>
  </si>
  <si>
    <t>Yes</t>
  </si>
  <si>
    <t>AAPL</t>
  </si>
  <si>
    <t>FRU-TC</t>
  </si>
  <si>
    <t>MSFT</t>
  </si>
  <si>
    <t>DBLSX</t>
  </si>
  <si>
    <t>O:COP 14O62.50</t>
  </si>
  <si>
    <t>ES U2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</si>
  <si>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</si>
  <si>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</si>
  <si>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</si>
  <si>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</si>
  <si>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</si>
  <si>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</si>
  <si>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</si>
  <si>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</si>
  <si>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</si>
  <si>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</si>
  <si>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</si>
  <si>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</si>
  <si>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</si>
  <si>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</si>
  <si>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</si>
  <si>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</si>
  <si>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</si>
  <si>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</si>
  <si>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</si>
  <si>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</si>
  <si>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</si>
  <si>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</si>
  <si>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</si>
  <si>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</si>
  <si>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</si>
  <si>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No Impact</t>
  </si>
  <si>
    <t>None</t>
  </si>
  <si>
    <t>RunRebalance</t>
  </si>
  <si>
    <t>Round Down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</si>
  <si>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</si>
  <si>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</si>
  <si>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</si>
  <si>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</si>
  <si>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</si>
  <si>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74.00, avgPrice: 10.00, selectedFeedPrice: 10.00, netMarketValueBase: 616.6667, netExposureLocal: 740.00, Symbol: FRU-TC</t>
  </si>
  <si>
    <t>quantity: 74.00, avgPrice: 10.00, selectedFeedPrice: 10.00, netMarketValueBase: 7.40, netExposureLocal: 7.40, Symbol: 123456789</t>
  </si>
  <si>
    <t>quantity: 74.00, avgPrice: 10.00, selectedFeedPrice: 10.00, netMarketValueBase: 740.00, netExposureLocal: 740.00, Symbol: AAPL</t>
  </si>
  <si>
    <t>quantity: 74.00, avgPrice: 10.00, selectedFeedPrice: 10.00, netMarketValueBase: 740.00, netExposureLocal: 740.00, Symbol: MSFT</t>
  </si>
  <si>
    <t>quantity: 74.00, avgPrice: 10.00, selectedFeedPrice: 10.00, netMarketValueBase: 740.00, netExposureLocal: 740.00, Symbol: DBLSX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</si>
  <si>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</si>
  <si>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</si>
  <si>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</si>
  <si>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274.00, dayPnLBase: 0.00, dayPnLLocal: 0.00, netMarketValueBase: 2,740.00, netMarketValueLocal: 2,740.00, selectedFeedPrice: 10.00, accountNav: 407,486.6667, AccountShortName: Allocation1, Symbol: AAPL</t>
  </si>
  <si>
    <t>Allocation1-FRU-TC</t>
  </si>
  <si>
    <t>quantity: 274.00, dayPnLBase: -0.00, dayPnLLocal: 0.00, netMarketValueBase: 2,283.3333, netMarketValueLocal: 2,740.00, selectedFeedPrice: 10.00, accountNav: 407,486.6667, AccountShortName: Allocation1, Symbol: FRU-TC</t>
  </si>
  <si>
    <t>Allocation1-DBLSX</t>
  </si>
  <si>
    <t>quantity: 274.00, dayPnLBase: 0.00, dayPnLLocal: 0.00, netMarketValueBase: 2,740.00, netMarketValueLocal: 2,740.00, selectedFeedPrice: 10.00, accountNav: 407,486.6667, AccountShortName: Allocation1, Symbol: DBLSX</t>
  </si>
  <si>
    <t>Allocation1-123456789</t>
  </si>
  <si>
    <t>quantity: 274.00, dayPnLBase: 0.00, dayPnLLocal: 0.00, netMarketValueBase: 27.40, netMarketValueLocal: 27.40, selectedFeedPrice: 10.00, accountNav: 407,486.6667, AccountShortName: Allocation1, Symbol: 123456789</t>
  </si>
  <si>
    <t>Allocation1-MSFT</t>
  </si>
  <si>
    <t>quantity: 274.00, dayPnLBase: 0.00, dayPnLLocal: 0.00, netMarketValueBase: 2,540.00, netMarketValueLocal: 2,540.00, selectedFeedPrice: 10.00, accountNav: 407,486.6667,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</si>
  <si>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</si>
  <si>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</si>
  <si>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</si>
  <si>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274.00, dayPnLBase: 0.00, dayPnLLocal: 0.00, netMarketValueBase: 2,740.00, netMarketValueLocal: 2,740.00, selectedFeedPrice: 10.00, masterFundNav: 508,286.6667, MasterFundName: NewMF, Symbol: AAPL</t>
  </si>
  <si>
    <t>NewMF-FRU-TC</t>
  </si>
  <si>
    <t>quantity: 274.00, dayPnLBase: -0.00, dayPnLLocal: 0.00, netMarketValueBase: 2,283.3333, netMarketValueLocal: 2,740.00, selectedFeedPrice: 10.00, masterFundNav: 508,286.6667, MasterFundName: NewMF, Symbol: FRU-TC</t>
  </si>
  <si>
    <t>NewMF-DBLSX</t>
  </si>
  <si>
    <t>quantity: 274.00, dayPnLBase: 0.00, dayPnLLocal: 0.00, netMarketValueBase: 2,740.00, netMarketValueLocal: 2,740.00, selectedFeedPrice: 10.00, masterFundNav: 508,286.6667, MasterFundName: NewMF, Symbol: DBLSX</t>
  </si>
  <si>
    <t>NewMF-123456789</t>
  </si>
  <si>
    <t>quantity: 274.00, dayPnLBase: 0.00, dayPnLLocal: 0.00, netMarketValueBase: 27.40, netMarketValueLocal: 27.40, selectedFeedPrice: 10.00, masterFundNav: 508,286.6667, MasterFundName: NewMF, Symbol: 123456789</t>
  </si>
  <si>
    <t>NewMF-MSFT</t>
  </si>
  <si>
    <t>quantity: 274.00, dayPnLBase: 0.00, dayPnLLocal: 0.00, netMarketValueBase: 2,540.00, netMarketValueLocal: 2,540.00, selectedFeedPrice: 10.00, masterFundNav: 508,286.6667,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</si>
  <si>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</si>
  <si>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</si>
  <si>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274.00, selectedFeedPrice: 10.00, netMarketValueBase: 2,740.00, netMarketValueLocal: 2,740.00, Symbol: AAPL</t>
  </si>
  <si>
    <t>quantity: 274.00, selectedFeedPrice: 10.00, netMarketValueBase: 2,283.3333, netMarketValueLocal: 2,740.00, Symbol: FRU-TC</t>
  </si>
  <si>
    <t>quantity: 274.00, selectedFeedPrice: 10.00, netMarketValueBase: 2,740.00, netMarketValueLocal: 2,740.00, Symbol: DBLSX</t>
  </si>
  <si>
    <t>quantity: 274.00, selectedFeedPrice: 10.00, netMarketValueBase: 27.40, netMarketValueLocal: 27.40, Symbol: 123456789</t>
  </si>
  <si>
    <t>quantity: 274.00, selectedFeedPrice: 10.00, netMarketValueBase: 2,540.00, netMarketValueLocal: 2,540.00, Symbol: MSFT</t>
  </si>
  <si>
    <t>SendToStagingExport</t>
  </si>
  <si>
    <t>No</t>
  </si>
  <si>
    <t>Real-Time Positions</t>
  </si>
  <si>
    <t>quantity: 77.00, avgPrice: 20.00, selectedFeedPrice: 20.00, netMarketValueBase: 1,540.00, netExposureLocal: 1,540.00, Symbol: DBLSX</t>
  </si>
  <si>
    <t>quantity: 77.00, avgPrice: 20.00, selectedFeedPrice: 20.00, netMarketValueBase: 1,283.3333, netExposureLocal: 1,540.00, Symbol: FRU-TC</t>
  </si>
  <si>
    <t>quantity: 77.00, avgPrice: 20.00, selectedFeedPrice: 20.00, netMarketValueBase: 1,540.00, netExposureLocal: 1,540.00, Symbol: MSFT</t>
  </si>
  <si>
    <t>quantity: 77.00, avgPrice: 20.00, selectedFeedPrice: 20.00, netMarketValueBase: 15.40, netExposureLocal: 15.40, Symbol: 123456789</t>
  </si>
  <si>
    <t>quantity: 377.00, dayPnLBase: 1,000.00, dayPnLLocal: 1,000.00, netMarketValueBase: 7,540.00, netMarketValueLocal: 7,540.00, selectedFeedPrice: 20.00, accountNav: 665,173.3333, AccountShortName: Allocation1, Symbol: AAPL</t>
  </si>
  <si>
    <t>quantity: 377.00, dayPnLBase: 10.00, dayPnLLocal: 10.00, netMarketValueBase: 75.40, netMarketValueLocal: 75.40, selectedFeedPrice: 20.00, accountNav: 665,173.3333, AccountShortName: Allocation1, Symbol: 123456789</t>
  </si>
  <si>
    <t>quantity: 377.00, dayPnLBase: 1,000.00, dayPnLLocal: 1,000.00, netMarketValueBase: 7,540.00, netMarketValueLocal: 7,540.00, selectedFeedPrice: 20.00, accountNav: 665,173.3333, AccountShortName: Allocation1, Symbol: DBLSX</t>
  </si>
  <si>
    <t>quantity: 377.00, dayPnLBase: 833.3333, dayPnLLocal: 1,000.00, netMarketValueBase: 6,283.3333, netMarketValueLocal: 7,540.00, selectedFeedPrice: 20.00, accountNav: 665,173.3333, AccountShortName: Allocation1, Symbol: FRU-TC</t>
  </si>
  <si>
    <t>quantity: 377.00, dayPnLBase: 1,000.00, dayPnLLocal: 1,000.00, netMarketValueBase: 7,340.00, netMarketValueLocal: 7,340.00, selectedFeedPrice: 20.00, accountNav: 665,173.3333, AccountShortName: Allocation1, Symbol: MSFT</t>
  </si>
  <si>
    <t>Allocation3-AAPL</t>
  </si>
  <si>
    <t>quantity: 116.00, dayPnLBase: 1,800.00, dayPnLLocal: 1,800.00, netMarketValueBase: 2,320.00, netMarketValueLocal: 2,320.00, selectedFeedPrice: 20.00, accountNav: 101,800.00, AccountShortName: Allocation3, Symbol: AAPL</t>
  </si>
  <si>
    <t>quantity: 377.00, dayPnLBase: 10.00, dayPnLLocal: 10.00, netMarketValueBase: 75.40, netMarketValueLocal: 75.40, selectedFeedPrice: 20.00, masterFundNav: 766,973.3333, MasterFundName: NewMF, Symbol: 123456789</t>
  </si>
  <si>
    <t>quantity: 377.00, dayPnLBase: 1,000.00, dayPnLLocal: 1,000.00, netMarketValueBase: 7,540.00, netMarketValueLocal: 7,540.00, selectedFeedPrice: 20.00, masterFundNav: 766,973.3333, MasterFundName: NewMF, Symbol: DBLSX</t>
  </si>
  <si>
    <t>quantity: 377.00, dayPnLBase: 833.3333, dayPnLLocal: 1,000.00, netMarketValueBase: 6,283.3333, netMarketValueLocal: 7,540.00, selectedFeedPrice: 20.00, masterFundNav: 766,973.3333, MasterFundName: NewMF, Symbol: FRU-TC</t>
  </si>
  <si>
    <t>quantity: 377.00, dayPnLBase: 1,000.00, dayPnLLocal: 1,000.00, netMarketValueBase: 7,340.00, netMarketValueLocal: 7,340.00, selectedFeedPrice: 20.00, masterFundNav: 766,973.3333, MasterFundName: NewMF, Symbol: MSFT</t>
  </si>
  <si>
    <t>quantity: 493.00, dayPnLBase: 2,800.00, dayPnLLocal: 2,800.00, netMarketValueBase: 9,860.00, netMarketValueLocal: 9,860.00, selectedFeedPrice: 20.00, masterFundNav: 766,973.3333, MasterFundName: NewMF, Symbol: AAPL</t>
  </si>
  <si>
    <t>quantity: 493.00, selectedFeedPrice: 20.00, netMarketValueBase: 9,860.00, netMarketValueLocal: 9,860.00, Symbol: AAPL</t>
  </si>
  <si>
    <t>quantity: 377.00, selectedFeedPrice: 20.00, netMarketValueBase: 75.40, netMarketValueLocal: 75.40, Symbol: 123456789</t>
  </si>
  <si>
    <t>quantity: 377.00, selectedFeedPrice: 20.00, netMarketValueBase: 7,540.00, netMarketValueLocal: 7,540.00, Symbol: DBLSX</t>
  </si>
  <si>
    <t>quantity: 377.00, selectedFeedPrice: 20.00, netMarketValueBase: 6,283.3333, netMarketValueLocal: 7,540.00, Symbol: FRU-TC</t>
  </si>
  <si>
    <t>quantity: 377.00, selectedFeedPrice: 20.00, netMarketValueBase: 7,340.00, netMarketValueLocal: 7,340.00,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</si>
</sst>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14" xfId="0" applyFill="1" applyFont="1" applyNumberFormat="1"/>
    <xf borderId="0" fillId="6" fontId="13" numFmtId="0" xfId="0" applyFont="1"/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6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8" fillId="0" fontId="3" numFmtId="165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3" xfId="0" applyAlignment="1" applyFont="1" applyNumberFormat="1">
      <alignment readingOrder="0"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1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17</v>
      </c>
      <c r="C7" s="31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f t="shared" ref="B6:C6" si="1">today()-1</f>
        <v>45853</v>
      </c>
      <c r="C6" s="32">
        <f t="shared" si="1"/>
        <v>45853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21</v>
      </c>
      <c r="C6" s="30" t="s">
        <v>22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23</v>
      </c>
      <c r="C7" s="30" t="s">
        <v>22</v>
      </c>
      <c r="D7" s="34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26</v>
      </c>
      <c r="C6" s="36" t="s">
        <v>27</v>
      </c>
      <c r="D6" s="37">
        <v>100.0</v>
      </c>
      <c r="E6" s="38"/>
      <c r="F6" s="36" t="s">
        <v>28</v>
      </c>
      <c r="G6" s="38"/>
      <c r="H6" s="38"/>
      <c r="I6" s="38"/>
      <c r="J6" s="37">
        <v>10.0</v>
      </c>
      <c r="K6" s="38"/>
      <c r="L6" s="38"/>
      <c r="M6" s="38"/>
      <c r="N6" s="39">
        <f>TODAY()-28</f>
        <v>45826</v>
      </c>
      <c r="O6" s="38"/>
      <c r="P6" s="38"/>
      <c r="Q6" s="38"/>
      <c r="R6" s="38"/>
      <c r="S6" s="3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30</v>
      </c>
      <c r="C7" s="40" t="s">
        <v>27</v>
      </c>
      <c r="D7" s="41">
        <v>100.0</v>
      </c>
      <c r="E7" s="40"/>
      <c r="F7" s="40" t="s">
        <v>21</v>
      </c>
      <c r="G7" s="40"/>
      <c r="H7" s="40"/>
      <c r="I7" s="40"/>
      <c r="J7" s="41">
        <v>2.0</v>
      </c>
      <c r="K7" s="40"/>
      <c r="L7" s="40"/>
      <c r="M7" s="40"/>
      <c r="N7" s="42">
        <f t="shared" ref="N7:N20" si="1">TODAY()-1</f>
        <v>45853</v>
      </c>
      <c r="O7" s="40"/>
      <c r="P7" s="40"/>
      <c r="Q7" s="40"/>
      <c r="R7" s="40"/>
      <c r="S7" s="40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29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3"/>
      <c r="B8" s="40" t="s">
        <v>31</v>
      </c>
      <c r="C8" s="40" t="s">
        <v>27</v>
      </c>
      <c r="D8" s="41">
        <v>100.0</v>
      </c>
      <c r="E8" s="40"/>
      <c r="F8" s="40" t="s">
        <v>21</v>
      </c>
      <c r="G8" s="40"/>
      <c r="H8" s="40"/>
      <c r="I8" s="40"/>
      <c r="J8" s="41">
        <v>2.0</v>
      </c>
      <c r="K8" s="40"/>
      <c r="L8" s="40"/>
      <c r="M8" s="40"/>
      <c r="N8" s="42">
        <f t="shared" si="1"/>
        <v>45853</v>
      </c>
      <c r="O8" s="40"/>
      <c r="P8" s="40"/>
      <c r="Q8" s="40"/>
      <c r="R8" s="40"/>
      <c r="S8" s="40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 t="s">
        <v>29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3"/>
      <c r="B9" s="40" t="s">
        <v>32</v>
      </c>
      <c r="C9" s="40" t="s">
        <v>27</v>
      </c>
      <c r="D9" s="41">
        <v>100.0</v>
      </c>
      <c r="E9" s="40"/>
      <c r="F9" s="40" t="s">
        <v>21</v>
      </c>
      <c r="G9" s="40"/>
      <c r="H9" s="40"/>
      <c r="I9" s="40"/>
      <c r="J9" s="41">
        <v>2.0</v>
      </c>
      <c r="K9" s="40"/>
      <c r="L9" s="40"/>
      <c r="M9" s="40"/>
      <c r="N9" s="42">
        <f t="shared" si="1"/>
        <v>45853</v>
      </c>
      <c r="O9" s="40"/>
      <c r="P9" s="40"/>
      <c r="Q9" s="40"/>
      <c r="R9" s="40"/>
      <c r="S9" s="40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 t="s">
        <v>29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43"/>
      <c r="B10" s="40" t="s">
        <v>33</v>
      </c>
      <c r="C10" s="40" t="s">
        <v>27</v>
      </c>
      <c r="D10" s="41">
        <v>100.0</v>
      </c>
      <c r="E10" s="40"/>
      <c r="F10" s="40" t="s">
        <v>21</v>
      </c>
      <c r="G10" s="40"/>
      <c r="H10" s="40"/>
      <c r="I10" s="40"/>
      <c r="J10" s="41">
        <v>2.0</v>
      </c>
      <c r="K10" s="40"/>
      <c r="L10" s="40"/>
      <c r="M10" s="40"/>
      <c r="N10" s="42">
        <f t="shared" si="1"/>
        <v>45853</v>
      </c>
      <c r="O10" s="40"/>
      <c r="P10" s="40"/>
      <c r="Q10" s="40"/>
      <c r="R10" s="40"/>
      <c r="S10" s="40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 t="s">
        <v>29</v>
      </c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43"/>
      <c r="B11" s="40" t="s">
        <v>34</v>
      </c>
      <c r="C11" s="40" t="s">
        <v>27</v>
      </c>
      <c r="D11" s="41">
        <v>100.0</v>
      </c>
      <c r="E11" s="40"/>
      <c r="F11" s="40" t="s">
        <v>21</v>
      </c>
      <c r="G11" s="40"/>
      <c r="H11" s="40"/>
      <c r="I11" s="40"/>
      <c r="J11" s="41">
        <v>2.0</v>
      </c>
      <c r="K11" s="40"/>
      <c r="L11" s="40"/>
      <c r="M11" s="40"/>
      <c r="N11" s="42">
        <f t="shared" si="1"/>
        <v>45853</v>
      </c>
      <c r="O11" s="40"/>
      <c r="P11" s="40"/>
      <c r="Q11" s="40"/>
      <c r="R11" s="40"/>
      <c r="S11" s="40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 t="s">
        <v>29</v>
      </c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43"/>
      <c r="B12" s="40" t="s">
        <v>35</v>
      </c>
      <c r="C12" s="40" t="s">
        <v>27</v>
      </c>
      <c r="D12" s="41">
        <v>100.0</v>
      </c>
      <c r="E12" s="40"/>
      <c r="F12" s="40" t="s">
        <v>21</v>
      </c>
      <c r="G12" s="40"/>
      <c r="H12" s="40"/>
      <c r="I12" s="40"/>
      <c r="J12" s="41">
        <v>2.0</v>
      </c>
      <c r="K12" s="40"/>
      <c r="L12" s="40"/>
      <c r="M12" s="40"/>
      <c r="N12" s="42">
        <f t="shared" si="1"/>
        <v>45853</v>
      </c>
      <c r="O12" s="40"/>
      <c r="P12" s="40"/>
      <c r="Q12" s="40"/>
      <c r="R12" s="40"/>
      <c r="S12" s="40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 t="s">
        <v>29</v>
      </c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43"/>
      <c r="B13" s="44">
        <v>1.23456789E8</v>
      </c>
      <c r="C13" s="40" t="s">
        <v>27</v>
      </c>
      <c r="D13" s="41">
        <v>100.0</v>
      </c>
      <c r="E13" s="40"/>
      <c r="F13" s="40" t="s">
        <v>21</v>
      </c>
      <c r="G13" s="40"/>
      <c r="H13" s="40"/>
      <c r="I13" s="40"/>
      <c r="J13" s="41">
        <v>2.0</v>
      </c>
      <c r="K13" s="40"/>
      <c r="L13" s="40"/>
      <c r="M13" s="40"/>
      <c r="N13" s="42">
        <f t="shared" si="1"/>
        <v>45853</v>
      </c>
      <c r="O13" s="40"/>
      <c r="P13" s="40"/>
      <c r="Q13" s="40"/>
      <c r="R13" s="40"/>
      <c r="S13" s="40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 t="s">
        <v>29</v>
      </c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43"/>
      <c r="B14" s="40" t="s">
        <v>30</v>
      </c>
      <c r="C14" s="40" t="s">
        <v>27</v>
      </c>
      <c r="D14" s="41">
        <v>100.0</v>
      </c>
      <c r="E14" s="44">
        <v>0.0</v>
      </c>
      <c r="F14" s="40" t="s">
        <v>21</v>
      </c>
      <c r="G14" s="40"/>
      <c r="H14" s="40"/>
      <c r="I14" s="40"/>
      <c r="J14" s="41">
        <v>2.0</v>
      </c>
      <c r="K14" s="40"/>
      <c r="L14" s="40"/>
      <c r="M14" s="40"/>
      <c r="N14" s="42">
        <f t="shared" si="1"/>
        <v>45853</v>
      </c>
      <c r="O14" s="40"/>
      <c r="P14" s="40"/>
      <c r="Q14" s="40"/>
      <c r="R14" s="40"/>
      <c r="S14" s="40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 t="s">
        <v>29</v>
      </c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43"/>
      <c r="B15" s="40" t="s">
        <v>31</v>
      </c>
      <c r="C15" s="40" t="s">
        <v>27</v>
      </c>
      <c r="D15" s="41">
        <v>100.0</v>
      </c>
      <c r="E15" s="44">
        <v>0.0</v>
      </c>
      <c r="F15" s="40" t="s">
        <v>21</v>
      </c>
      <c r="G15" s="40"/>
      <c r="H15" s="40"/>
      <c r="I15" s="40"/>
      <c r="J15" s="41">
        <v>2.0</v>
      </c>
      <c r="K15" s="40"/>
      <c r="L15" s="40"/>
      <c r="M15" s="40"/>
      <c r="N15" s="42">
        <f t="shared" si="1"/>
        <v>45853</v>
      </c>
      <c r="O15" s="40"/>
      <c r="P15" s="40"/>
      <c r="Q15" s="40"/>
      <c r="R15" s="40"/>
      <c r="S15" s="40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 t="s">
        <v>29</v>
      </c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43"/>
      <c r="B16" s="40" t="s">
        <v>32</v>
      </c>
      <c r="C16" s="40" t="s">
        <v>27</v>
      </c>
      <c r="D16" s="41">
        <v>100.0</v>
      </c>
      <c r="E16" s="44">
        <v>0.0</v>
      </c>
      <c r="F16" s="40" t="s">
        <v>21</v>
      </c>
      <c r="G16" s="40"/>
      <c r="H16" s="40"/>
      <c r="I16" s="40"/>
      <c r="J16" s="41">
        <v>2.0</v>
      </c>
      <c r="K16" s="40"/>
      <c r="L16" s="40"/>
      <c r="M16" s="40"/>
      <c r="N16" s="42">
        <f t="shared" si="1"/>
        <v>45853</v>
      </c>
      <c r="O16" s="40"/>
      <c r="P16" s="40"/>
      <c r="Q16" s="40"/>
      <c r="R16" s="40"/>
      <c r="S16" s="40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 t="s">
        <v>29</v>
      </c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43"/>
      <c r="B17" s="40" t="s">
        <v>33</v>
      </c>
      <c r="C17" s="40" t="s">
        <v>27</v>
      </c>
      <c r="D17" s="41">
        <v>100.0</v>
      </c>
      <c r="E17" s="44">
        <v>0.0</v>
      </c>
      <c r="F17" s="40" t="s">
        <v>21</v>
      </c>
      <c r="G17" s="40"/>
      <c r="H17" s="40"/>
      <c r="I17" s="40"/>
      <c r="J17" s="41">
        <v>2.0</v>
      </c>
      <c r="K17" s="40"/>
      <c r="L17" s="40"/>
      <c r="M17" s="40"/>
      <c r="N17" s="42">
        <f t="shared" si="1"/>
        <v>45853</v>
      </c>
      <c r="O17" s="40"/>
      <c r="P17" s="40"/>
      <c r="Q17" s="40"/>
      <c r="R17" s="40"/>
      <c r="S17" s="40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 t="s">
        <v>29</v>
      </c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43"/>
      <c r="B18" s="40" t="s">
        <v>34</v>
      </c>
      <c r="C18" s="40" t="s">
        <v>27</v>
      </c>
      <c r="D18" s="41">
        <v>100.0</v>
      </c>
      <c r="E18" s="44">
        <v>0.0</v>
      </c>
      <c r="F18" s="40" t="s">
        <v>21</v>
      </c>
      <c r="G18" s="40"/>
      <c r="H18" s="40"/>
      <c r="I18" s="40"/>
      <c r="J18" s="41">
        <v>2.0</v>
      </c>
      <c r="K18" s="40"/>
      <c r="L18" s="40"/>
      <c r="M18" s="40"/>
      <c r="N18" s="42">
        <f t="shared" si="1"/>
        <v>45853</v>
      </c>
      <c r="O18" s="40"/>
      <c r="P18" s="40"/>
      <c r="Q18" s="40"/>
      <c r="R18" s="40"/>
      <c r="S18" s="40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 t="s">
        <v>29</v>
      </c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43"/>
      <c r="B19" s="40" t="s">
        <v>35</v>
      </c>
      <c r="C19" s="40" t="s">
        <v>27</v>
      </c>
      <c r="D19" s="41">
        <v>100.0</v>
      </c>
      <c r="E19" s="44">
        <v>0.0</v>
      </c>
      <c r="F19" s="40" t="s">
        <v>21</v>
      </c>
      <c r="G19" s="40"/>
      <c r="H19" s="40"/>
      <c r="I19" s="40"/>
      <c r="J19" s="41">
        <v>2.0</v>
      </c>
      <c r="K19" s="40"/>
      <c r="L19" s="40"/>
      <c r="M19" s="40"/>
      <c r="N19" s="42">
        <f t="shared" si="1"/>
        <v>45853</v>
      </c>
      <c r="O19" s="40"/>
      <c r="P19" s="40"/>
      <c r="Q19" s="40"/>
      <c r="R19" s="40"/>
      <c r="S19" s="40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 t="s">
        <v>29</v>
      </c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43"/>
      <c r="B20" s="44">
        <v>1.23456789E8</v>
      </c>
      <c r="C20" s="40" t="s">
        <v>27</v>
      </c>
      <c r="D20" s="41">
        <v>100.0</v>
      </c>
      <c r="E20" s="44">
        <v>0.0</v>
      </c>
      <c r="F20" s="40" t="s">
        <v>21</v>
      </c>
      <c r="G20" s="40"/>
      <c r="H20" s="40"/>
      <c r="I20" s="40"/>
      <c r="J20" s="41">
        <v>2.0</v>
      </c>
      <c r="K20" s="40"/>
      <c r="L20" s="40"/>
      <c r="M20" s="40"/>
      <c r="N20" s="42">
        <f t="shared" si="1"/>
        <v>45853</v>
      </c>
      <c r="O20" s="40"/>
      <c r="P20" s="40"/>
      <c r="Q20" s="40"/>
      <c r="R20" s="40"/>
      <c r="S20" s="40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 t="s">
        <v>29</v>
      </c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43"/>
      <c r="B21" s="45" t="s">
        <v>30</v>
      </c>
      <c r="C21" s="45" t="s">
        <v>27</v>
      </c>
      <c r="D21" s="41">
        <v>100.0</v>
      </c>
      <c r="E21" s="40"/>
      <c r="F21" s="45" t="s">
        <v>23</v>
      </c>
      <c r="G21" s="40"/>
      <c r="H21" s="40"/>
      <c r="I21" s="40"/>
      <c r="J21" s="41">
        <v>2.0</v>
      </c>
      <c r="K21" s="40"/>
      <c r="L21" s="40"/>
      <c r="M21" s="40"/>
      <c r="N21" s="40"/>
      <c r="O21" s="40"/>
      <c r="P21" s="40"/>
      <c r="Q21" s="40"/>
      <c r="R21" s="40"/>
      <c r="S21" s="40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 t="s">
        <v>29</v>
      </c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30</v>
      </c>
      <c r="C6" s="48" t="s">
        <v>27</v>
      </c>
      <c r="D6" s="49">
        <v>100.0</v>
      </c>
      <c r="E6" s="48"/>
      <c r="F6" s="48" t="s">
        <v>21</v>
      </c>
      <c r="G6" s="48"/>
      <c r="H6" s="48"/>
      <c r="I6" s="48"/>
      <c r="J6" s="50">
        <v>2.0</v>
      </c>
      <c r="K6" s="48"/>
      <c r="L6" s="4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40" t="s">
        <v>31</v>
      </c>
      <c r="C7" s="40" t="s">
        <v>27</v>
      </c>
      <c r="D7" s="41">
        <v>100.0</v>
      </c>
      <c r="E7" s="40"/>
      <c r="F7" s="40" t="s">
        <v>21</v>
      </c>
      <c r="G7" s="40"/>
      <c r="H7" s="40"/>
      <c r="I7" s="40"/>
      <c r="J7" s="41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1"/>
      <c r="B8" s="40" t="s">
        <v>32</v>
      </c>
      <c r="C8" s="40" t="s">
        <v>27</v>
      </c>
      <c r="D8" s="41">
        <v>100.0</v>
      </c>
      <c r="E8" s="40"/>
      <c r="F8" s="40" t="s">
        <v>21</v>
      </c>
      <c r="G8" s="40"/>
      <c r="H8" s="40"/>
      <c r="I8" s="40"/>
      <c r="J8" s="41">
        <v>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1"/>
      <c r="B9" s="40" t="s">
        <v>33</v>
      </c>
      <c r="C9" s="40" t="s">
        <v>27</v>
      </c>
      <c r="D9" s="41">
        <v>100.0</v>
      </c>
      <c r="E9" s="40"/>
      <c r="F9" s="40" t="s">
        <v>21</v>
      </c>
      <c r="G9" s="40"/>
      <c r="H9" s="40"/>
      <c r="I9" s="40"/>
      <c r="J9" s="41">
        <v>2.0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1"/>
      <c r="B10" s="40" t="s">
        <v>34</v>
      </c>
      <c r="C10" s="40" t="s">
        <v>27</v>
      </c>
      <c r="D10" s="41">
        <v>100.0</v>
      </c>
      <c r="E10" s="40"/>
      <c r="F10" s="40" t="s">
        <v>21</v>
      </c>
      <c r="G10" s="40"/>
      <c r="H10" s="40"/>
      <c r="I10" s="40"/>
      <c r="J10" s="41">
        <v>2.0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1"/>
      <c r="B11" s="40" t="s">
        <v>35</v>
      </c>
      <c r="C11" s="40" t="s">
        <v>27</v>
      </c>
      <c r="D11" s="41">
        <v>100.0</v>
      </c>
      <c r="E11" s="40"/>
      <c r="F11" s="40" t="s">
        <v>21</v>
      </c>
      <c r="G11" s="40"/>
      <c r="H11" s="40"/>
      <c r="I11" s="40"/>
      <c r="J11" s="41">
        <v>2.0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1"/>
      <c r="B12" s="44">
        <v>1.23456789E8</v>
      </c>
      <c r="C12" s="40" t="s">
        <v>27</v>
      </c>
      <c r="D12" s="41">
        <v>100.0</v>
      </c>
      <c r="E12" s="40"/>
      <c r="F12" s="40" t="s">
        <v>21</v>
      </c>
      <c r="G12" s="40"/>
      <c r="H12" s="40"/>
      <c r="I12" s="40"/>
      <c r="J12" s="41">
        <v>2.0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38</v>
      </c>
      <c r="C6" s="52">
        <f>today()-1</f>
        <v>45853</v>
      </c>
      <c r="D6" s="52">
        <f>today()</f>
        <v>45854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53" t="s">
        <v>32</v>
      </c>
      <c r="C6" s="50">
        <v>100.0</v>
      </c>
      <c r="D6" s="48"/>
      <c r="E6" s="48" t="s">
        <v>21</v>
      </c>
      <c r="F6" s="48" t="s">
        <v>27</v>
      </c>
      <c r="G6" s="48"/>
      <c r="H6" s="50">
        <v>2.0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8"/>
      <c r="C6" s="50">
        <v>0.0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 t="s">
        <v>30</v>
      </c>
      <c r="C6" s="50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31</v>
      </c>
      <c r="C7" s="3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32</v>
      </c>
      <c r="C8" s="34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33</v>
      </c>
      <c r="C9" s="34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34</v>
      </c>
      <c r="C10" s="34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35</v>
      </c>
      <c r="C11" s="34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4">
        <v>1.23456789E8</v>
      </c>
      <c r="C12" s="34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0" t="s">
        <v>42</v>
      </c>
      <c r="C13" s="34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>
        <f t="shared" ref="B6:C6" si="1">today()-1</f>
        <v>45853</v>
      </c>
      <c r="C6" s="52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4">
        <v>1.23456789E8</v>
      </c>
      <c r="C6" s="50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30</v>
      </c>
      <c r="C7" s="3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31</v>
      </c>
      <c r="C8" s="34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32</v>
      </c>
      <c r="C9" s="34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33</v>
      </c>
      <c r="C10" s="34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35</v>
      </c>
      <c r="C11" s="34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34</v>
      </c>
      <c r="C12" s="34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6" t="s">
        <v>42</v>
      </c>
      <c r="C13" s="34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/>
      <c r="C14" s="3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5"/>
      <c r="C15" s="3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>
        <f t="shared" ref="B6:C6" si="1">today()-1</f>
        <v>45853</v>
      </c>
      <c r="C6" s="52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53" t="s">
        <v>22</v>
      </c>
      <c r="C6" s="53" t="s">
        <v>47</v>
      </c>
      <c r="D6" s="48" t="s">
        <v>48</v>
      </c>
      <c r="E6" s="50">
        <v>1.2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8" t="s">
        <v>21</v>
      </c>
      <c r="C6" s="48"/>
      <c r="D6" s="52">
        <f>today()-3</f>
        <v>45851</v>
      </c>
      <c r="E6" s="52">
        <f>today()</f>
        <v>45854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8"/>
      <c r="C6" s="48" t="s">
        <v>52</v>
      </c>
      <c r="D6" s="48" t="s">
        <v>30</v>
      </c>
      <c r="E6" s="48"/>
      <c r="F6" s="48" t="s">
        <v>21</v>
      </c>
      <c r="G6" s="48" t="s">
        <v>22</v>
      </c>
      <c r="H6" s="57">
        <v>100000.0</v>
      </c>
      <c r="I6" s="58">
        <f>today()-2</f>
        <v>45852</v>
      </c>
      <c r="J6" s="58">
        <f>today()+8</f>
        <v>45862</v>
      </c>
      <c r="K6" s="58"/>
      <c r="L6" s="5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8"/>
      <c r="C6" s="48" t="s">
        <v>21</v>
      </c>
      <c r="D6" s="52">
        <f>today()</f>
        <v>45854</v>
      </c>
      <c r="E6" s="59" t="b">
        <v>1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56</v>
      </c>
      <c r="C6" s="30" t="s">
        <v>57</v>
      </c>
      <c r="D6" s="30" t="s">
        <v>58</v>
      </c>
      <c r="E6" s="30" t="s">
        <v>59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4">
        <v>100000.0</v>
      </c>
      <c r="C6" s="30" t="s">
        <v>61</v>
      </c>
      <c r="D6" s="30" t="s">
        <v>62</v>
      </c>
      <c r="E6" s="30"/>
      <c r="F6" s="30"/>
      <c r="G6" s="30"/>
      <c r="H6" s="30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64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0" t="s">
        <v>66</v>
      </c>
      <c r="C6" s="60" t="s">
        <v>67</v>
      </c>
      <c r="D6" s="12" t="s">
        <v>68</v>
      </c>
      <c r="E6" s="12" t="s">
        <v>31</v>
      </c>
      <c r="F6" s="12" t="s">
        <v>69</v>
      </c>
      <c r="G6" s="12" t="s">
        <v>69</v>
      </c>
      <c r="H6" s="12" t="s">
        <v>70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60" t="s">
        <v>66</v>
      </c>
      <c r="C7" s="60" t="s">
        <v>67</v>
      </c>
      <c r="D7" s="12" t="s">
        <v>68</v>
      </c>
      <c r="E7" s="12">
        <v>1.23456789E8</v>
      </c>
      <c r="F7" s="12" t="s">
        <v>69</v>
      </c>
      <c r="G7" s="12" t="s">
        <v>69</v>
      </c>
      <c r="H7" s="12" t="s">
        <v>71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60" t="s">
        <v>66</v>
      </c>
      <c r="C8" s="60" t="s">
        <v>67</v>
      </c>
      <c r="D8" s="12" t="s">
        <v>68</v>
      </c>
      <c r="E8" s="12" t="s">
        <v>30</v>
      </c>
      <c r="F8" s="12" t="s">
        <v>69</v>
      </c>
      <c r="G8" s="12" t="s">
        <v>69</v>
      </c>
      <c r="H8" s="12" t="s">
        <v>72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60" t="s">
        <v>66</v>
      </c>
      <c r="C9" s="60" t="s">
        <v>67</v>
      </c>
      <c r="D9" s="12" t="s">
        <v>68</v>
      </c>
      <c r="E9" s="12" t="s">
        <v>32</v>
      </c>
      <c r="F9" s="12" t="s">
        <v>69</v>
      </c>
      <c r="G9" s="12" t="s">
        <v>69</v>
      </c>
      <c r="H9" s="12" t="s">
        <v>73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60" t="s">
        <v>66</v>
      </c>
      <c r="C10" s="60" t="s">
        <v>67</v>
      </c>
      <c r="D10" s="12" t="s">
        <v>68</v>
      </c>
      <c r="E10" s="12" t="s">
        <v>33</v>
      </c>
      <c r="F10" s="12" t="s">
        <v>69</v>
      </c>
      <c r="G10" s="12" t="s">
        <v>69</v>
      </c>
      <c r="H10" s="12" t="s">
        <v>74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60" t="s">
        <v>66</v>
      </c>
      <c r="C11" s="61" t="s">
        <v>75</v>
      </c>
      <c r="D11" s="12" t="s">
        <v>76</v>
      </c>
      <c r="E11" s="12" t="s">
        <v>77</v>
      </c>
      <c r="F11" s="12" t="s">
        <v>69</v>
      </c>
      <c r="G11" s="12" t="s">
        <v>69</v>
      </c>
      <c r="H11" s="9" t="s">
        <v>78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60" t="s">
        <v>66</v>
      </c>
      <c r="C12" s="61" t="s">
        <v>75</v>
      </c>
      <c r="D12" s="12" t="s">
        <v>76</v>
      </c>
      <c r="E12" s="12" t="s">
        <v>79</v>
      </c>
      <c r="F12" s="12" t="s">
        <v>69</v>
      </c>
      <c r="G12" s="12" t="s">
        <v>69</v>
      </c>
      <c r="H12" s="12" t="s">
        <v>80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60" t="s">
        <v>66</v>
      </c>
      <c r="C13" s="61" t="s">
        <v>75</v>
      </c>
      <c r="D13" s="12" t="s">
        <v>76</v>
      </c>
      <c r="E13" s="12" t="s">
        <v>81</v>
      </c>
      <c r="F13" s="12" t="s">
        <v>69</v>
      </c>
      <c r="G13" s="12" t="s">
        <v>69</v>
      </c>
      <c r="H13" s="12" t="s">
        <v>82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60" t="s">
        <v>66</v>
      </c>
      <c r="C14" s="61" t="s">
        <v>75</v>
      </c>
      <c r="D14" s="12" t="s">
        <v>76</v>
      </c>
      <c r="E14" s="12" t="s">
        <v>83</v>
      </c>
      <c r="F14" s="12" t="s">
        <v>69</v>
      </c>
      <c r="G14" s="12" t="s">
        <v>69</v>
      </c>
      <c r="H14" s="12" t="s">
        <v>84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60" t="s">
        <v>66</v>
      </c>
      <c r="C15" s="61" t="s">
        <v>75</v>
      </c>
      <c r="D15" s="12" t="s">
        <v>76</v>
      </c>
      <c r="E15" s="12" t="s">
        <v>85</v>
      </c>
      <c r="F15" s="12" t="s">
        <v>69</v>
      </c>
      <c r="G15" s="12" t="s">
        <v>69</v>
      </c>
      <c r="H15" s="12" t="s">
        <v>86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60" t="s">
        <v>66</v>
      </c>
      <c r="C16" s="61" t="s">
        <v>87</v>
      </c>
      <c r="D16" s="12" t="s">
        <v>88</v>
      </c>
      <c r="E16" s="12" t="s">
        <v>89</v>
      </c>
      <c r="F16" s="12" t="s">
        <v>69</v>
      </c>
      <c r="G16" s="12" t="s">
        <v>69</v>
      </c>
      <c r="H16" s="12" t="s">
        <v>90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60" t="s">
        <v>66</v>
      </c>
      <c r="C17" s="61" t="s">
        <v>87</v>
      </c>
      <c r="D17" s="12" t="s">
        <v>88</v>
      </c>
      <c r="E17" s="12" t="s">
        <v>91</v>
      </c>
      <c r="F17" s="12" t="s">
        <v>69</v>
      </c>
      <c r="G17" s="12" t="s">
        <v>69</v>
      </c>
      <c r="H17" s="12" t="s">
        <v>92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60" t="s">
        <v>66</v>
      </c>
      <c r="C18" s="61" t="s">
        <v>87</v>
      </c>
      <c r="D18" s="12" t="s">
        <v>88</v>
      </c>
      <c r="E18" s="12" t="s">
        <v>93</v>
      </c>
      <c r="F18" s="12" t="s">
        <v>69</v>
      </c>
      <c r="G18" s="12" t="s">
        <v>69</v>
      </c>
      <c r="H18" s="12" t="s">
        <v>94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60" t="s">
        <v>66</v>
      </c>
      <c r="C19" s="61" t="s">
        <v>87</v>
      </c>
      <c r="D19" s="12" t="s">
        <v>88</v>
      </c>
      <c r="E19" s="12" t="s">
        <v>95</v>
      </c>
      <c r="F19" s="12" t="s">
        <v>69</v>
      </c>
      <c r="G19" s="12" t="s">
        <v>69</v>
      </c>
      <c r="H19" s="12" t="s">
        <v>96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60" t="s">
        <v>66</v>
      </c>
      <c r="C20" s="61" t="s">
        <v>87</v>
      </c>
      <c r="D20" s="12" t="s">
        <v>88</v>
      </c>
      <c r="E20" s="12" t="s">
        <v>97</v>
      </c>
      <c r="F20" s="12" t="s">
        <v>69</v>
      </c>
      <c r="G20" s="12" t="s">
        <v>69</v>
      </c>
      <c r="H20" s="12" t="s">
        <v>98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60" t="s">
        <v>66</v>
      </c>
      <c r="C21" s="60" t="s">
        <v>99</v>
      </c>
      <c r="D21" s="12" t="s">
        <v>100</v>
      </c>
      <c r="E21" s="12" t="s">
        <v>30</v>
      </c>
      <c r="F21" s="12" t="s">
        <v>69</v>
      </c>
      <c r="G21" s="12" t="s">
        <v>69</v>
      </c>
      <c r="H21" s="12" t="s">
        <v>101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60" t="s">
        <v>66</v>
      </c>
      <c r="C22" s="60" t="s">
        <v>99</v>
      </c>
      <c r="D22" s="12" t="s">
        <v>100</v>
      </c>
      <c r="E22" s="12" t="s">
        <v>31</v>
      </c>
      <c r="F22" s="12" t="s">
        <v>69</v>
      </c>
      <c r="G22" s="12" t="s">
        <v>69</v>
      </c>
      <c r="H22" s="12" t="s">
        <v>102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60" t="s">
        <v>66</v>
      </c>
      <c r="C23" s="60" t="s">
        <v>99</v>
      </c>
      <c r="D23" s="12" t="s">
        <v>100</v>
      </c>
      <c r="E23" s="12" t="s">
        <v>33</v>
      </c>
      <c r="F23" s="12" t="s">
        <v>69</v>
      </c>
      <c r="G23" s="12" t="s">
        <v>69</v>
      </c>
      <c r="H23" s="12" t="s">
        <v>103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60" t="s">
        <v>66</v>
      </c>
      <c r="C24" s="60" t="s">
        <v>99</v>
      </c>
      <c r="D24" s="12" t="s">
        <v>100</v>
      </c>
      <c r="E24" s="12">
        <v>1.23456789E8</v>
      </c>
      <c r="F24" s="12" t="s">
        <v>69</v>
      </c>
      <c r="G24" s="12" t="s">
        <v>69</v>
      </c>
      <c r="H24" s="12" t="s">
        <v>104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60" t="s">
        <v>66</v>
      </c>
      <c r="C25" s="60" t="s">
        <v>99</v>
      </c>
      <c r="D25" s="12" t="s">
        <v>100</v>
      </c>
      <c r="E25" s="12" t="s">
        <v>32</v>
      </c>
      <c r="F25" s="12" t="s">
        <v>69</v>
      </c>
      <c r="G25" s="12" t="s">
        <v>69</v>
      </c>
      <c r="H25" s="12" t="s">
        <v>105</v>
      </c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2" t="s">
        <v>21</v>
      </c>
      <c r="C6" s="62" t="s">
        <v>27</v>
      </c>
      <c r="D6" s="62">
        <v>1.23456789E8</v>
      </c>
      <c r="E6" s="12">
        <v>74.0</v>
      </c>
      <c r="F6" s="12">
        <v>10.0</v>
      </c>
      <c r="G6" s="12">
        <v>7.0</v>
      </c>
      <c r="H6" s="8"/>
      <c r="I6" s="12" t="s">
        <v>107</v>
      </c>
      <c r="J6" s="8"/>
      <c r="K6" s="8"/>
      <c r="L6" s="8"/>
      <c r="M6" s="8"/>
      <c r="N6" s="8"/>
      <c r="O6" s="8"/>
    </row>
    <row r="7" ht="15.75" customHeight="1">
      <c r="A7" s="8"/>
      <c r="B7" s="62" t="s">
        <v>21</v>
      </c>
      <c r="C7" s="62" t="s">
        <v>27</v>
      </c>
      <c r="D7" s="62" t="s">
        <v>30</v>
      </c>
      <c r="E7" s="12">
        <v>74.0</v>
      </c>
      <c r="F7" s="12">
        <v>10.0</v>
      </c>
      <c r="G7" s="12">
        <v>740.0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2" t="s">
        <v>21</v>
      </c>
      <c r="C8" s="62" t="s">
        <v>27</v>
      </c>
      <c r="D8" s="63" t="s">
        <v>33</v>
      </c>
      <c r="E8" s="12">
        <v>74.0</v>
      </c>
      <c r="F8" s="12">
        <v>10.0</v>
      </c>
      <c r="G8" s="12">
        <v>740.0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2" t="s">
        <v>21</v>
      </c>
      <c r="C9" s="62" t="s">
        <v>27</v>
      </c>
      <c r="D9" s="62" t="s">
        <v>31</v>
      </c>
      <c r="E9" s="12">
        <v>74.0</v>
      </c>
      <c r="F9" s="12">
        <v>10.0</v>
      </c>
      <c r="G9" s="12">
        <v>617.0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21</v>
      </c>
      <c r="C10" s="12" t="s">
        <v>27</v>
      </c>
      <c r="D10" s="12" t="s">
        <v>32</v>
      </c>
      <c r="E10" s="12">
        <v>74.0</v>
      </c>
      <c r="F10" s="12">
        <v>10.0</v>
      </c>
      <c r="G10" s="12">
        <v>740.0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8" t="s">
        <v>56</v>
      </c>
      <c r="C6" s="48" t="s">
        <v>108</v>
      </c>
      <c r="D6" s="48" t="s">
        <v>58</v>
      </c>
      <c r="E6" s="48" t="s">
        <v>59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4">
        <v>100000.0</v>
      </c>
      <c r="C6" s="30" t="s">
        <v>61</v>
      </c>
      <c r="D6" s="30" t="s">
        <v>62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2" t="s">
        <v>66</v>
      </c>
      <c r="C6" s="62" t="s">
        <v>67</v>
      </c>
      <c r="D6" s="12" t="s">
        <v>68</v>
      </c>
      <c r="E6" s="12" t="s">
        <v>33</v>
      </c>
      <c r="F6" s="12" t="s">
        <v>69</v>
      </c>
      <c r="G6" s="12" t="s">
        <v>69</v>
      </c>
      <c r="H6" s="12" t="s">
        <v>109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60" t="s">
        <v>66</v>
      </c>
      <c r="C7" s="60" t="s">
        <v>67</v>
      </c>
      <c r="D7" s="12" t="s">
        <v>68</v>
      </c>
      <c r="E7" s="12" t="s">
        <v>31</v>
      </c>
      <c r="F7" s="12" t="s">
        <v>69</v>
      </c>
      <c r="G7" s="12" t="s">
        <v>69</v>
      </c>
      <c r="H7" s="12" t="s">
        <v>110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60" t="s">
        <v>66</v>
      </c>
      <c r="C8" s="61" t="s">
        <v>67</v>
      </c>
      <c r="D8" s="12" t="s">
        <v>68</v>
      </c>
      <c r="E8" s="12" t="s">
        <v>32</v>
      </c>
      <c r="F8" s="12" t="s">
        <v>69</v>
      </c>
      <c r="G8" s="12" t="s">
        <v>69</v>
      </c>
      <c r="H8" s="12" t="s">
        <v>111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60" t="s">
        <v>66</v>
      </c>
      <c r="C9" s="61" t="s">
        <v>67</v>
      </c>
      <c r="D9" s="12" t="s">
        <v>68</v>
      </c>
      <c r="E9" s="12">
        <v>1.23456789E8</v>
      </c>
      <c r="F9" s="12" t="s">
        <v>69</v>
      </c>
      <c r="G9" s="12" t="s">
        <v>69</v>
      </c>
      <c r="H9" s="12" t="s">
        <v>112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60" t="s">
        <v>66</v>
      </c>
      <c r="C10" s="61" t="s">
        <v>75</v>
      </c>
      <c r="D10" s="12" t="s">
        <v>76</v>
      </c>
      <c r="E10" s="12" t="s">
        <v>77</v>
      </c>
      <c r="F10" s="12" t="s">
        <v>69</v>
      </c>
      <c r="G10" s="12" t="s">
        <v>69</v>
      </c>
      <c r="H10" s="12" t="s">
        <v>113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60" t="s">
        <v>66</v>
      </c>
      <c r="C11" s="61" t="s">
        <v>75</v>
      </c>
      <c r="D11" s="12" t="s">
        <v>76</v>
      </c>
      <c r="E11" s="12" t="s">
        <v>83</v>
      </c>
      <c r="F11" s="12" t="s">
        <v>69</v>
      </c>
      <c r="G11" s="12" t="s">
        <v>69</v>
      </c>
      <c r="H11" s="12" t="s">
        <v>114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60" t="s">
        <v>66</v>
      </c>
      <c r="C12" s="61" t="s">
        <v>75</v>
      </c>
      <c r="D12" s="12" t="s">
        <v>76</v>
      </c>
      <c r="E12" s="12" t="s">
        <v>81</v>
      </c>
      <c r="F12" s="12" t="s">
        <v>69</v>
      </c>
      <c r="G12" s="12" t="s">
        <v>69</v>
      </c>
      <c r="H12" s="12" t="s">
        <v>115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60" t="s">
        <v>66</v>
      </c>
      <c r="C13" s="61" t="s">
        <v>75</v>
      </c>
      <c r="D13" s="12" t="s">
        <v>76</v>
      </c>
      <c r="E13" s="12" t="s">
        <v>79</v>
      </c>
      <c r="F13" s="12" t="s">
        <v>69</v>
      </c>
      <c r="G13" s="12" t="s">
        <v>69</v>
      </c>
      <c r="H13" s="12" t="s">
        <v>116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60" t="s">
        <v>66</v>
      </c>
      <c r="C14" s="61" t="s">
        <v>75</v>
      </c>
      <c r="D14" s="12" t="s">
        <v>76</v>
      </c>
      <c r="E14" s="12" t="s">
        <v>85</v>
      </c>
      <c r="F14" s="12" t="s">
        <v>69</v>
      </c>
      <c r="G14" s="12" t="s">
        <v>69</v>
      </c>
      <c r="H14" s="12" t="s">
        <v>117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60" t="s">
        <v>66</v>
      </c>
      <c r="C15" s="61" t="s">
        <v>75</v>
      </c>
      <c r="D15" s="12" t="s">
        <v>76</v>
      </c>
      <c r="E15" s="12" t="s">
        <v>118</v>
      </c>
      <c r="F15" s="12" t="s">
        <v>69</v>
      </c>
      <c r="G15" s="12" t="s">
        <v>69</v>
      </c>
      <c r="H15" s="12" t="s">
        <v>119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60" t="s">
        <v>66</v>
      </c>
      <c r="C16" s="61" t="s">
        <v>87</v>
      </c>
      <c r="D16" s="12" t="s">
        <v>88</v>
      </c>
      <c r="E16" s="12" t="s">
        <v>95</v>
      </c>
      <c r="F16" s="12" t="s">
        <v>69</v>
      </c>
      <c r="G16" s="12" t="s">
        <v>69</v>
      </c>
      <c r="H16" s="12" t="s">
        <v>120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60" t="s">
        <v>66</v>
      </c>
      <c r="C17" s="61" t="s">
        <v>87</v>
      </c>
      <c r="D17" s="12" t="s">
        <v>88</v>
      </c>
      <c r="E17" s="12" t="s">
        <v>93</v>
      </c>
      <c r="F17" s="12" t="s">
        <v>69</v>
      </c>
      <c r="G17" s="12" t="s">
        <v>69</v>
      </c>
      <c r="H17" s="12" t="s">
        <v>121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60" t="s">
        <v>66</v>
      </c>
      <c r="C18" s="61" t="s">
        <v>87</v>
      </c>
      <c r="D18" s="12" t="s">
        <v>88</v>
      </c>
      <c r="E18" s="12" t="s">
        <v>91</v>
      </c>
      <c r="F18" s="12" t="s">
        <v>69</v>
      </c>
      <c r="G18" s="12" t="s">
        <v>69</v>
      </c>
      <c r="H18" s="12" t="s">
        <v>122</v>
      </c>
      <c r="I18" s="8"/>
      <c r="J18" s="8"/>
      <c r="K18" s="8"/>
      <c r="L18" s="8"/>
      <c r="M18" s="8"/>
      <c r="N18" s="8"/>
      <c r="O18" s="8"/>
    </row>
    <row r="19" ht="15.75" customHeight="1">
      <c r="B19" s="9" t="s">
        <v>66</v>
      </c>
      <c r="C19" s="9" t="s">
        <v>87</v>
      </c>
      <c r="D19" s="9" t="s">
        <v>88</v>
      </c>
      <c r="E19" s="9" t="s">
        <v>97</v>
      </c>
      <c r="F19" s="9" t="s">
        <v>69</v>
      </c>
      <c r="G19" s="9" t="s">
        <v>69</v>
      </c>
      <c r="H19" s="9" t="s">
        <v>123</v>
      </c>
    </row>
    <row r="20" ht="15.75" customHeight="1">
      <c r="B20" s="9" t="s">
        <v>66</v>
      </c>
      <c r="C20" s="9" t="s">
        <v>87</v>
      </c>
      <c r="D20" s="9" t="s">
        <v>88</v>
      </c>
      <c r="E20" s="9" t="s">
        <v>89</v>
      </c>
      <c r="F20" s="9" t="s">
        <v>69</v>
      </c>
      <c r="G20" s="9" t="s">
        <v>69</v>
      </c>
      <c r="H20" s="9" t="s">
        <v>124</v>
      </c>
    </row>
    <row r="21" ht="15.75" customHeight="1">
      <c r="B21" s="9" t="s">
        <v>66</v>
      </c>
      <c r="C21" s="9" t="s">
        <v>99</v>
      </c>
      <c r="D21" s="9" t="s">
        <v>100</v>
      </c>
      <c r="E21" s="9" t="s">
        <v>30</v>
      </c>
      <c r="F21" s="9" t="s">
        <v>69</v>
      </c>
      <c r="G21" s="9" t="s">
        <v>69</v>
      </c>
      <c r="H21" s="9" t="s">
        <v>125</v>
      </c>
    </row>
    <row r="22" ht="15.75" customHeight="1">
      <c r="B22" s="9" t="s">
        <v>66</v>
      </c>
      <c r="C22" s="9" t="s">
        <v>99</v>
      </c>
      <c r="D22" s="9" t="s">
        <v>100</v>
      </c>
      <c r="E22" s="9">
        <v>1.23456789E8</v>
      </c>
      <c r="F22" s="9" t="s">
        <v>69</v>
      </c>
      <c r="G22" s="9" t="s">
        <v>69</v>
      </c>
      <c r="H22" s="9" t="s">
        <v>126</v>
      </c>
    </row>
    <row r="23" ht="15.75" customHeight="1">
      <c r="B23" s="9" t="s">
        <v>66</v>
      </c>
      <c r="C23" s="9" t="s">
        <v>99</v>
      </c>
      <c r="D23" s="9" t="s">
        <v>100</v>
      </c>
      <c r="E23" s="9" t="s">
        <v>33</v>
      </c>
      <c r="F23" s="9" t="s">
        <v>69</v>
      </c>
      <c r="G23" s="9" t="s">
        <v>69</v>
      </c>
      <c r="H23" s="9" t="s">
        <v>127</v>
      </c>
    </row>
    <row r="24" ht="15.75" customHeight="1">
      <c r="B24" s="9" t="s">
        <v>66</v>
      </c>
      <c r="C24" s="9" t="s">
        <v>99</v>
      </c>
      <c r="D24" s="9" t="s">
        <v>100</v>
      </c>
      <c r="E24" s="9" t="s">
        <v>31</v>
      </c>
      <c r="F24" s="9" t="s">
        <v>69</v>
      </c>
      <c r="G24" s="9" t="s">
        <v>69</v>
      </c>
      <c r="H24" s="9" t="s">
        <v>128</v>
      </c>
    </row>
    <row r="25" ht="15.75" customHeight="1">
      <c r="B25" s="9" t="s">
        <v>66</v>
      </c>
      <c r="C25" s="9" t="s">
        <v>99</v>
      </c>
      <c r="D25" s="9" t="s">
        <v>100</v>
      </c>
      <c r="E25" s="9" t="s">
        <v>32</v>
      </c>
      <c r="F25" s="9" t="s">
        <v>69</v>
      </c>
      <c r="G25" s="9" t="s">
        <v>69</v>
      </c>
      <c r="H25" s="9" t="s">
        <v>129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2" t="s">
        <v>21</v>
      </c>
      <c r="C6" s="62" t="s">
        <v>27</v>
      </c>
      <c r="D6" s="12" t="s">
        <v>30</v>
      </c>
      <c r="E6" s="12">
        <v>77.0</v>
      </c>
      <c r="F6" s="12">
        <v>20.0</v>
      </c>
      <c r="G6" s="64">
        <v>1540.0</v>
      </c>
      <c r="H6" s="8"/>
      <c r="I6" s="12" t="s">
        <v>107</v>
      </c>
      <c r="J6" s="8"/>
      <c r="K6" s="8"/>
      <c r="L6" s="8"/>
      <c r="M6" s="8"/>
      <c r="N6" s="8"/>
      <c r="O6" s="8"/>
    </row>
    <row r="7" ht="15.75" customHeight="1">
      <c r="A7" s="8"/>
      <c r="B7" s="62" t="s">
        <v>21</v>
      </c>
      <c r="C7" s="62" t="s">
        <v>27</v>
      </c>
      <c r="D7" s="12" t="s">
        <v>31</v>
      </c>
      <c r="E7" s="12">
        <v>77.0</v>
      </c>
      <c r="F7" s="12">
        <v>20.0</v>
      </c>
      <c r="G7" s="64">
        <v>1283.0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2" t="s">
        <v>21</v>
      </c>
      <c r="C8" s="62" t="s">
        <v>27</v>
      </c>
      <c r="D8" s="12" t="s">
        <v>33</v>
      </c>
      <c r="E8" s="12">
        <v>77.0</v>
      </c>
      <c r="F8" s="12">
        <v>20.0</v>
      </c>
      <c r="G8" s="64">
        <v>1540.0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2" t="s">
        <v>21</v>
      </c>
      <c r="C9" s="62" t="s">
        <v>27</v>
      </c>
      <c r="D9" s="12">
        <v>1.23456789E8</v>
      </c>
      <c r="E9" s="12">
        <v>77.0</v>
      </c>
      <c r="F9" s="12">
        <v>20.0</v>
      </c>
      <c r="G9" s="64">
        <v>15.0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2" t="s">
        <v>21</v>
      </c>
      <c r="C10" s="62" t="s">
        <v>27</v>
      </c>
      <c r="D10" s="12" t="s">
        <v>32</v>
      </c>
      <c r="E10" s="12">
        <v>77.0</v>
      </c>
      <c r="F10" s="12">
        <v>20.0</v>
      </c>
      <c r="G10" s="64">
        <v>1540.0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0" t="s">
        <v>23</v>
      </c>
      <c r="C11" s="60" t="s">
        <v>27</v>
      </c>
      <c r="D11" s="12" t="s">
        <v>30</v>
      </c>
      <c r="E11" s="12">
        <v>16.0</v>
      </c>
      <c r="F11" s="12">
        <v>20.0</v>
      </c>
      <c r="G11" s="12">
        <v>320.0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/>
      <c r="C12" s="6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/>
      <c r="C13" s="6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/>
      <c r="C14" s="6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5"/>
      <c r="C15" s="6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5"/>
      <c r="C16" s="6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5"/>
      <c r="C17" s="6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5"/>
      <c r="C18" s="6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5"/>
      <c r="C19" s="6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5"/>
      <c r="C20" s="6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5"/>
      <c r="C21" s="6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5"/>
      <c r="C22" s="6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5"/>
      <c r="C23" s="3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35"/>
      <c r="C24" s="3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35"/>
      <c r="C25" s="3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B26" s="35"/>
      <c r="C26" s="35"/>
    </row>
    <row r="27" ht="15.75" customHeight="1">
      <c r="B27" s="35"/>
      <c r="C27" s="3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