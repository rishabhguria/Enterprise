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SetGeneralRuleCalculatedPref" sheetId="7" r:id="rId9"/>
    <sheet state="visible" name="UpdateGRAccountValue" sheetId="8" r:id="rId10"/>
    <sheet state="visible" name="UpdateGRStrategyValue" sheetId="9" r:id="rId11"/>
    <sheet state="visible" name="UpdateGRDefaultRule" sheetId="10" r:id="rId12"/>
    <sheet state="visible" name="SetGeneralRuleCalculatedPref1" sheetId="11" r:id="rId13"/>
    <sheet state="visible" name="UpdateGRAccountValue1" sheetId="12" r:id="rId14"/>
    <sheet state="visible" name="UpdateGRDefaultRule1" sheetId="13" r:id="rId15"/>
    <sheet state="visible" name="SetGeneralRuleCalculatedPref2" sheetId="14" r:id="rId16"/>
    <sheet state="visible" name="UpdateGRAccountValue2" sheetId="15" r:id="rId17"/>
    <sheet state="visible" name="UpdateGRDefaultRule2" sheetId="16" r:id="rId18"/>
    <sheet state="visible" name="SetGeneralRuleCalculatedPref3" sheetId="17" r:id="rId19"/>
    <sheet state="visible" name="UpdateGRAccountValue3" sheetId="18" r:id="rId20"/>
    <sheet state="visible" name="UpdateGRDefaultRule3" sheetId="19" r:id="rId21"/>
    <sheet state="visible" name="CreateDoneAwayOrder" sheetId="20" r:id="rId22"/>
    <sheet state="visible" name="CheckAllocatedGroups" sheetId="21" r:id="rId23"/>
    <sheet state="visible" name="GetDataClosing" sheetId="22" r:id="rId24"/>
    <sheet state="visible" name="VerifyLongPositionsGrid" sheetId="23" r:id="rId25"/>
    <sheet state="visible" name="VerifyShortPositionsGrid" sheetId="24" r:id="rId26"/>
    <sheet state="visible" name="GetDataAllocation" sheetId="25" r:id="rId27"/>
  </sheets>
  <definedNames/>
  <calcPr/>
</workbook>
</file>

<file path=xl/sharedStrings.xml><?xml version="1.0" encoding="utf-8"?>
<sst xmlns="http://schemas.openxmlformats.org/spreadsheetml/2006/main" count="319" uniqueCount="62">
  <si>
    <t>Modules Info</t>
  </si>
  <si>
    <t>Master Data Info</t>
  </si>
  <si>
    <t>Settings</t>
  </si>
  <si>
    <t>Module Step Setting File</t>
  </si>
  <si>
    <t>Module</t>
  </si>
  <si>
    <t>1ME5nnmNmgGcG-gtQosTv7DydLzJUA3iWN2GBgspatg8</t>
  </si>
  <si>
    <t>Step</t>
  </si>
  <si>
    <t>Master Data Settings File</t>
  </si>
  <si>
    <t>1Nt_rf5DtgjbN9Ag4AMMlUkZYROxKZLH5m54YOl7tRT0</t>
  </si>
  <si>
    <t>Master Data Sheet</t>
  </si>
  <si>
    <t>Modules</t>
  </si>
  <si>
    <t>Data</t>
  </si>
  <si>
    <t>Allocation</t>
  </si>
  <si>
    <t>AddCalculatedPreferences</t>
  </si>
  <si>
    <t>Data Format</t>
  </si>
  <si>
    <t>Input Format</t>
  </si>
  <si>
    <t>SetAccountValueCalculatedPref</t>
  </si>
  <si>
    <t>Allocation1</t>
  </si>
  <si>
    <t>Allocation2</t>
  </si>
  <si>
    <t>SetDefaultRuleCalculatedPref</t>
  </si>
  <si>
    <t>Trade Quantity</t>
  </si>
  <si>
    <t>Prorata</t>
  </si>
  <si>
    <t>SetGeneralRuleCalculatedPref</t>
  </si>
  <si>
    <t>Include</t>
  </si>
  <si>
    <t>Equity</t>
  </si>
  <si>
    <t>Buy,Sell</t>
  </si>
  <si>
    <t>UpdateGRAccountValue</t>
  </si>
  <si>
    <t>S1</t>
  </si>
  <si>
    <t>Allocation3</t>
  </si>
  <si>
    <t>S2</t>
  </si>
  <si>
    <t>UpdateGRStrategyValue</t>
  </si>
  <si>
    <t>UpdateGRDefaultRule</t>
  </si>
  <si>
    <t>Account Inception</t>
  </si>
  <si>
    <t>Exclude</t>
  </si>
  <si>
    <t>Fair Pricing</t>
  </si>
  <si>
    <t>Current Preference</t>
  </si>
  <si>
    <t>Future</t>
  </si>
  <si>
    <t>EquityOption</t>
  </si>
  <si>
    <t>Buy to Open,Sell to Close</t>
  </si>
  <si>
    <t>TradingTicket</t>
  </si>
  <si>
    <t>CreateDoneAwayOrder</t>
  </si>
  <si>
    <t>MSFT</t>
  </si>
  <si>
    <t>Buy</t>
  </si>
  <si>
    <t>OFFSHORE</t>
  </si>
  <si>
    <t>LP C/O</t>
  </si>
  <si>
    <t>Sell</t>
  </si>
  <si>
    <t>FLO</t>
  </si>
  <si>
    <t>Sell short</t>
  </si>
  <si>
    <t>Buy to Close</t>
  </si>
  <si>
    <t>CL F9</t>
  </si>
  <si>
    <t>Buy to Open</t>
  </si>
  <si>
    <t>O:ABM 10D20.00</t>
  </si>
  <si>
    <t>Sell to Close</t>
  </si>
  <si>
    <t>CheckAllocatedGroups</t>
  </si>
  <si>
    <t>Closing</t>
  </si>
  <si>
    <t>GetDataClosing</t>
  </si>
  <si>
    <t>VerifyLongPositionsGrid</t>
  </si>
  <si>
    <t>Current</t>
  </si>
  <si>
    <t>Multiple</t>
  </si>
  <si>
    <t xml:space="preserve">Buy to Open </t>
  </si>
  <si>
    <t>VerifyShortPositionsGrid</t>
  </si>
  <si>
    <t>GetDataAllocation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</si>
</sst>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horizontal="right" shrinkToFit="0" vertical="bottom" wrapText="0"/>
    </xf>
    <xf borderId="0" fillId="0" fontId="4" numFmtId="14" xfId="0" applyAlignment="1" applyFont="1" applyNumberFormat="1">
      <alignment horizontal="right" shrinkToFit="0" vertical="bottom" wrapText="0"/>
    </xf>
    <xf borderId="0" fillId="6" fontId="14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10</v>
      </c>
      <c r="B3" s="15"/>
      <c r="C3" s="16"/>
      <c r="D3" s="16"/>
      <c r="E3" s="16"/>
      <c r="F3" s="16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0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IFERROR(__xludf.DUMMYFUNCTION("""COMPUTED_VALUE"""),"SelectTrade")</f>
        <v>SelectTrade</v>
      </c>
      <c r="C399" t="str">
        <f>IFERROR(__xludf.DUMMYFUNCTION("""COMPUTED_VALUE"""),"1FTTZIzpIKJz6P-IPbrA5EPTxiMe2ARbyGfgsnMXlct4")</f>
        <v>1FTTZIzpIKJz6P-IPbrA5EPTxiMe2ARbyGfgsnMXlct4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IFERROR(__xludf.DUMMYFUNCTION("""COMPUTED_VALUE"""),"AcknowledgeTrade")</f>
        <v>AcknowledgeTrade</v>
      </c>
      <c r="C400" t="str">
        <f>IFERROR(__xludf.DUMMYFUNCTION("""COMPUTED_VALUE"""),"1sQAsvIkAT3oSRlv0P4ERgM6O-p9EGHnCNRCfZZ6EKPM")</f>
        <v>1sQAsvIkAT3oSRlv0P4ERgM6O-p9EGHnCNRCfZZ6EKPM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IFERROR(__xludf.DUMMYFUNCTION("""COMPUTED_VALUE"""),"RejectTrade")</f>
        <v>RejectTrade</v>
      </c>
      <c r="C401" t="str">
        <f>IFERROR(__xludf.DUMMYFUNCTION("""COMPUTED_VALUE"""),"18DR7gQzurIoB_fivnSt8QoqUWcLVRpZQSDr37UqoXKU")</f>
        <v>18DR7gQzurIoB_fivnSt8QoqUWcLVRpZQSDr37UqoXKU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IFERROR(__xludf.DUMMYFUNCTION("""COMPUTED_VALUE"""),"ExecuteTrade")</f>
        <v>ExecuteTrade</v>
      </c>
      <c r="C402" t="str">
        <f>IFERROR(__xludf.DUMMYFUNCTION("""COMPUTED_VALUE"""),"1pp_DAI1bHvMNnrEvw8O7TeJWebgUjt3FSsdgjVWeJkE")</f>
        <v>1pp_DAI1bHvMNnrEvw8O7TeJWebgUjt3FSsdgjVWeJkE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IFERROR(__xludf.DUMMYFUNCTION("""COMPUTED_VALUE"""),"CancelTrade")</f>
        <v>CancelTrade</v>
      </c>
      <c r="C403" t="str">
        <f>IFERROR(__xludf.DUMMYFUNCTION("""COMPUTED_VALUE"""),"1hX7-3j5InwEYhwGhZXePVHcW-9vxINkOET671xdWGsc")</f>
        <v>1hX7-3j5InwEYhwGhZXePVHcW-9vxINkOET671xdWGsc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IFERROR(__xludf.DUMMYFUNCTION("""COMPUTED_VALUE"""),"OpenLiveTT")</f>
        <v>OpenLiveTT</v>
      </c>
      <c r="C404" t="str">
        <f>IFERROR(__xludf.DUMMYFUNCTION("""COMPUTED_VALUE"""),"1q3BIdA-Gau2cX2cBnlgy7eas26rbuZEdQMfROhYvOgI")</f>
        <v>1q3BIdA-Gau2cX2cBnlgy7eas26rbuZEdQMfROhYvOgI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IFERROR(__xludf.DUMMYFUNCTION("""COMPUTED_VALUE"""),"TradingTicket")</f>
        <v>TradingTicket</v>
      </c>
      <c r="B405" t="str">
        <f>IFERROR(__xludf.DUMMYFUNCTION("""COMPUTED_VALUE"""),"CreateLiveOrder")</f>
        <v>CreateLiveOrder</v>
      </c>
      <c r="C405" t="str">
        <f>IFERROR(__xludf.DUMMYFUNCTION("""COMPUTED_VALUE"""),"115Bw2-ohdF1ilHcVpmgJ2DX9SJjX1zI-6SvF3CpCjm8")</f>
        <v>115Bw2-ohdF1ilHcVpmgJ2DX9SJjX1zI-6SvF3CpCjm8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IFERROR(__xludf.DUMMYFUNCTION("""COMPUTED_VALUE"""),"Simulator")</f>
        <v>Simulator</v>
      </c>
      <c r="B406" t="str">
        <f>IFERROR(__xludf.DUMMYFUNCTION("""COMPUTED_VALUE"""),"SetManualResponse ")</f>
        <v>SetManualResponse </v>
      </c>
      <c r="C406" t="str">
        <f>IFERROR(__xludf.DUMMYFUNCTION("""COMPUTED_VALUE"""),"10qeNhV85AQPMToOqHZlhzdXyNnDNjiueFxVwGUI_MO4")</f>
        <v>10qeNhV85AQPMToOqHZlhzdXyNnDNjiueFxVwGUI_MO4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IFERROR(__xludf.DUMMYFUNCTION("""COMPUTED_VALUE"""),"Simulator")</f>
        <v>Simulator</v>
      </c>
      <c r="B407" t="str">
        <f>IFERROR(__xludf.DUMMYFUNCTION("""COMPUTED_VALUE"""),"ClearUI")</f>
        <v>ClearUI</v>
      </c>
      <c r="C407" t="str">
        <f>IFERROR(__xludf.DUMMYFUNCTION("""COMPUTED_VALUE"""),"1LO0lVmw42vb8rN4FBdD2nZspNUXqgQCerd4ip5U8His")</f>
        <v>1LO0lVmw42vb8rN4FBdD2nZspNUXqgQCerd4ip5U8His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IFERROR(__xludf.DUMMYFUNCTION("""COMPUTED_VALUE"""),"RebalanceAcrossSecurities")</f>
        <v>RebalanceAcrossSecurities</v>
      </c>
      <c r="C408" t="str">
        <f>IFERROR(__xludf.DUMMYFUNCTION("""COMPUTED_VALUE"""),"1C-pSRr2mYlstlgFOXGSaoMyr-7ZKnUyCiCZMgNR75C0")</f>
        <v>1C-pSRr2mYlstlgFOXGSaoMyr-7ZKnUyCiCZMgNR75C0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2</v>
      </c>
      <c r="B1" s="2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10" t="s">
        <v>5</v>
      </c>
      <c r="C3" s="6"/>
    </row>
    <row r="4" ht="15.75" customHeight="1">
      <c r="A4" s="9" t="s">
        <v>7</v>
      </c>
      <c r="B4" s="10" t="s">
        <v>8</v>
      </c>
      <c r="C4" s="6"/>
    </row>
    <row r="5" ht="15.75" customHeight="1">
      <c r="A5" s="12"/>
      <c r="B5" s="6"/>
      <c r="C5" s="6"/>
    </row>
    <row r="6" ht="15.75" customHeight="1">
      <c r="A6" s="12"/>
      <c r="B6" s="6"/>
      <c r="C6" s="6"/>
    </row>
    <row r="7" ht="15.75" customHeight="1">
      <c r="A7" s="12"/>
      <c r="B7" s="6"/>
      <c r="C7" s="6"/>
    </row>
    <row r="8" ht="15.75" customHeight="1">
      <c r="A8" s="12"/>
      <c r="B8" s="6"/>
      <c r="C8" s="6"/>
    </row>
    <row r="9" ht="15.75" customHeight="1">
      <c r="A9" s="12"/>
      <c r="B9" s="6"/>
      <c r="C9" s="6"/>
    </row>
    <row r="10" ht="15.75" customHeight="1">
      <c r="A10" s="12"/>
      <c r="B10" s="6"/>
      <c r="C10" s="6"/>
    </row>
    <row r="11" ht="15.75" customHeight="1">
      <c r="A11" s="12"/>
      <c r="B11" s="6"/>
      <c r="C11" s="6"/>
    </row>
    <row r="12" ht="15.75" customHeight="1">
      <c r="A12" s="12"/>
      <c r="B12" s="6"/>
      <c r="C12" s="6"/>
    </row>
    <row r="13" ht="15.75" customHeight="1">
      <c r="A13" s="12"/>
      <c r="B13" s="6"/>
      <c r="C13" s="6"/>
    </row>
    <row r="14" ht="15.75" customHeight="1">
      <c r="A14" s="12"/>
      <c r="B14" s="6"/>
      <c r="C14" s="6"/>
    </row>
    <row r="15" ht="15.75" customHeight="1">
      <c r="A15" s="12"/>
      <c r="B15" s="6"/>
      <c r="C15" s="6"/>
    </row>
    <row r="16" ht="15.75" customHeight="1">
      <c r="A16" s="12"/>
      <c r="B16" s="6"/>
      <c r="C16" s="6"/>
    </row>
    <row r="17" ht="15.75" customHeight="1">
      <c r="A17" s="12"/>
      <c r="B17" s="6"/>
      <c r="C17" s="6"/>
    </row>
    <row r="18" ht="15.75" customHeight="1">
      <c r="A18" s="12"/>
      <c r="B18" s="6"/>
      <c r="C18" s="6"/>
    </row>
    <row r="19" ht="15.75" customHeight="1">
      <c r="A19" s="12"/>
      <c r="B19" s="6"/>
      <c r="C19" s="6"/>
    </row>
    <row r="20" ht="15.75" customHeight="1">
      <c r="A20" s="12"/>
      <c r="B20" s="6"/>
      <c r="C20" s="6"/>
    </row>
    <row r="21" ht="15.75" customHeight="1">
      <c r="A21" s="12"/>
      <c r="B21" s="6"/>
      <c r="C21" s="6"/>
    </row>
    <row r="22" ht="15.75" customHeight="1">
      <c r="A22" s="12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4" t="s">
        <v>1</v>
      </c>
      <c r="B1" s="2"/>
      <c r="C1" s="2"/>
      <c r="D1" s="2"/>
      <c r="E1" s="2"/>
      <c r="F1" s="5"/>
    </row>
    <row r="2">
      <c r="A2" s="7"/>
      <c r="B2" s="7"/>
      <c r="C2" s="7"/>
      <c r="D2" s="7"/>
      <c r="E2" s="7"/>
      <c r="F2" s="7"/>
    </row>
    <row r="3">
      <c r="A3" s="9" t="s">
        <v>4</v>
      </c>
      <c r="B3" s="11" t="s">
        <v>6</v>
      </c>
      <c r="C3" s="11" t="s">
        <v>9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13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IFERROR(__xludf.DUMMYFUNCTION("""COMPUTED_VALUE"""),"PreferenceName")</f>
        <v>PreferenceName</v>
      </c>
      <c r="C5" s="26" t="str">
        <f>IFERROR(__xludf.DUMMYFUNCTION("""COMPUTED_VALUE"""),"")</f>
        <v/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tr">
        <f>"Order2-"&amp;text(TODAY(),"dd-mm-yy")</f>
        <v>Order2-24-06-19</v>
      </c>
      <c r="C6" s="6"/>
      <c r="D6" s="10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1svq-61dzaRHeNDz1TSSUPXQbbN3Mi4bhNQabvGVoz2c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16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IFERROR(__xludf.DUMMYFUNCTION("""COMPUTED_VALUE"""),"PreferenceName")</f>
        <v>PreferenceName</v>
      </c>
      <c r="C5" s="26" t="str">
        <f>IFERROR(__xludf.DUMMYFUNCTION("""COMPUTED_VALUE"""),"AccountName")</f>
        <v>AccountName</v>
      </c>
      <c r="D5" s="26" t="str">
        <f>IFERROR(__xludf.DUMMYFUNCTION("""COMPUTED_VALUE"""),"Percentage")</f>
        <v>Percentage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tr">
        <f t="shared" ref="B6:B7" si="1">"Order2-"&amp;text(TODAY(),"dd-mm-yy")</f>
        <v>Order2-24-06-19</v>
      </c>
      <c r="C6" s="10" t="s">
        <v>17</v>
      </c>
      <c r="D6" s="10">
        <v>90.0</v>
      </c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10" t="str">
        <f t="shared" si="1"/>
        <v>Order2-24-06-19</v>
      </c>
      <c r="C7" s="10" t="s">
        <v>18</v>
      </c>
      <c r="D7" s="10">
        <v>10.0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1j6MD8nFEuJNo52Mp8uXbXRmrJs802rnEIiTOEuZFdWA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19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IFERROR(__xludf.DUMMYFUNCTION("""COMPUTED_VALUE"""),"AllocationMethod")</f>
        <v>AllocationMethod</v>
      </c>
      <c r="C5" s="26" t="str">
        <f>IFERROR(__xludf.DUMMYFUNCTION("""COMPUTED_VALUE"""),"RemainderAllocationTo")</f>
        <v>RemainderAllocationTo</v>
      </c>
      <c r="D5" s="26" t="str">
        <f>IFERROR(__xludf.DUMMYFUNCTION("""COMPUTED_VALUE"""),"Target%AsOf")</f>
        <v>Target%AsOf</v>
      </c>
      <c r="E5" s="26" t="str">
        <f>IFERROR(__xludf.DUMMYFUNCTION("""COMPUTED_VALUE"""),"ProrataAccounts")</f>
        <v>ProrataAccounts</v>
      </c>
      <c r="F5" s="27" t="str">
        <f>IFERROR(__xludf.DUMMYFUNCTION("""COMPUTED_VALUE"""),"DateUptoDays")</f>
        <v>DateUptoDays</v>
      </c>
      <c r="G5" s="26" t="str">
        <f>IFERROR(__xludf.DUMMYFUNCTION("""COMPUTED_VALUE"""),"MatchClosingTransactions")</f>
        <v>MatchClosingTransactions</v>
      </c>
      <c r="H5" s="26" t="str">
        <f>IFERROR(__xludf.DUMMYFUNCTION("""COMPUTED_VALUE"""),"PreferenceName")</f>
        <v>PreferenceName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32" t="s">
        <v>20</v>
      </c>
      <c r="C6" s="33"/>
      <c r="D6" s="32" t="s">
        <v>21</v>
      </c>
      <c r="E6" s="33" t="s">
        <v>17</v>
      </c>
      <c r="F6" s="33"/>
      <c r="G6" s="34" t="b">
        <v>0</v>
      </c>
      <c r="H6" s="10" t="str">
        <f>"Order2-"&amp;text(TODAY(),"dd-mm-yy")</f>
        <v>Order2-24-06-19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22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IFERROR(__xludf.DUMMYFUNCTION("""COMPUTED_VALUE"""),"Exchange Selector")</f>
        <v>Exchange Selector</v>
      </c>
      <c r="C5" s="26" t="str">
        <f>IFERROR(__xludf.DUMMYFUNCTION("""COMPUTED_VALUE"""),"Exchange List")</f>
        <v>Exchange List</v>
      </c>
      <c r="D5" s="26" t="str">
        <f>IFERROR(__xludf.DUMMYFUNCTION("""COMPUTED_VALUE"""),"Asset Selector")</f>
        <v>Asset Selector</v>
      </c>
      <c r="E5" s="26" t="str">
        <f>IFERROR(__xludf.DUMMYFUNCTION("""COMPUTED_VALUE"""),"Asset List")</f>
        <v>Asset List</v>
      </c>
      <c r="F5" s="27" t="str">
        <f>IFERROR(__xludf.DUMMYFUNCTION("""COMPUTED_VALUE"""),"PR Selector")</f>
        <v>PR Selector</v>
      </c>
      <c r="G5" s="26" t="str">
        <f>IFERROR(__xludf.DUMMYFUNCTION("""COMPUTED_VALUE"""),"PR List")</f>
        <v>PR List</v>
      </c>
      <c r="H5" s="26" t="str">
        <f>IFERROR(__xludf.DUMMYFUNCTION("""COMPUTED_VALUE"""),"Order Side Selector")</f>
        <v>Order Side Selector</v>
      </c>
      <c r="I5" s="26" t="str">
        <f>IFERROR(__xludf.DUMMYFUNCTION("""COMPUTED_VALUE"""),"Order Side List")</f>
        <v>Order Side List</v>
      </c>
      <c r="J5" s="26" t="str">
        <f>IFERROR(__xludf.DUMMYFUNCTION("""COMPUTED_VALUE"""),"PreferenceName")</f>
        <v>PreferenceName</v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31"/>
      <c r="C6" s="33"/>
      <c r="D6" s="32" t="s">
        <v>23</v>
      </c>
      <c r="E6" s="35" t="s">
        <v>24</v>
      </c>
      <c r="F6" s="33"/>
      <c r="G6" s="33"/>
      <c r="H6" s="35" t="s">
        <v>23</v>
      </c>
      <c r="I6" s="35" t="s">
        <v>25</v>
      </c>
      <c r="J6" s="10" t="str">
        <f>"Order2-"&amp;text(TODAY(),"dd-mm-yy")</f>
        <v>Order2-24-06-19</v>
      </c>
      <c r="K6" s="36"/>
      <c r="L6" s="37"/>
      <c r="M6" s="35"/>
      <c r="N6" s="35"/>
      <c r="O6" s="38"/>
      <c r="P6" s="35"/>
      <c r="Q6" s="33"/>
      <c r="R6" s="35"/>
      <c r="S6" s="33"/>
      <c r="T6" s="33"/>
      <c r="U6" s="34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SetGeneralRuleCalculatedPref!$4:$4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26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IFERROR(__xludf.DUMMYFUNCTION("""COMPUTED_VALUE"""),"PreferenceName")</f>
        <v>PreferenceName</v>
      </c>
      <c r="C5" s="26" t="str">
        <f>IFERROR(__xludf.DUMMYFUNCTION("""COMPUTED_VALUE"""),"AccountName")</f>
        <v>AccountName</v>
      </c>
      <c r="D5" s="26" t="str">
        <f>IFERROR(__xludf.DUMMYFUNCTION("""COMPUTED_VALUE"""),"Percentage")</f>
        <v>Percentage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10" t="s">
        <v>18</v>
      </c>
      <c r="D6" s="10">
        <v>60.0</v>
      </c>
      <c r="E6" s="10"/>
      <c r="F6" s="6"/>
      <c r="G6" s="6"/>
      <c r="H6" s="6"/>
      <c r="I6" s="6"/>
      <c r="J6" s="6"/>
      <c r="K6" s="10"/>
      <c r="L6" s="10"/>
      <c r="N6" s="10" t="s">
        <v>27</v>
      </c>
    </row>
    <row r="7" ht="15.75" customHeight="1">
      <c r="A7" s="6"/>
      <c r="B7" s="6"/>
      <c r="C7" s="10" t="s">
        <v>28</v>
      </c>
      <c r="D7" s="10">
        <v>40.0</v>
      </c>
      <c r="E7" s="10"/>
      <c r="F7" s="6"/>
      <c r="G7" s="6"/>
      <c r="H7" s="6"/>
      <c r="I7" s="6"/>
      <c r="J7" s="6"/>
      <c r="K7" s="10"/>
      <c r="L7" s="10"/>
      <c r="N7" s="10" t="s">
        <v>29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UpdateGRStrategyValue!$4:$4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30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IFERROR(__xludf.DUMMYFUNCTION("""COMPUTED_VALUE"""),"PreferenceName")</f>
        <v>PreferenceName</v>
      </c>
      <c r="C5" s="26" t="str">
        <f>IFERROR(__xludf.DUMMYFUNCTION("""COMPUTED_VALUE"""),"AccountName")</f>
        <v>AccountName</v>
      </c>
      <c r="D5" s="26" t="str">
        <f>IFERROR(__xludf.DUMMYFUNCTION("""COMPUTED_VALUE"""),"StrategyName")</f>
        <v>StrategyName</v>
      </c>
      <c r="E5" s="26" t="str">
        <f>IFERROR(__xludf.DUMMYFUNCTION("""COMPUTED_VALUE"""),"Percentage")</f>
        <v>Percentage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10" t="s">
        <v>18</v>
      </c>
      <c r="D6" s="10" t="s">
        <v>27</v>
      </c>
      <c r="E6" s="10">
        <v>100.0</v>
      </c>
      <c r="F6" s="6"/>
      <c r="G6" s="6"/>
      <c r="H6" s="6"/>
      <c r="I6" s="6"/>
      <c r="J6" s="6"/>
      <c r="K6" s="10"/>
      <c r="L6" s="10"/>
      <c r="N6" s="10"/>
    </row>
    <row r="7" ht="15.75" customHeight="1">
      <c r="A7" s="6"/>
      <c r="B7" s="6"/>
      <c r="C7" s="10"/>
      <c r="D7" s="10"/>
      <c r="E7" s="10"/>
      <c r="F7" s="6"/>
      <c r="G7" s="6"/>
      <c r="H7" s="6"/>
      <c r="I7" s="6"/>
      <c r="J7" s="6"/>
      <c r="K7" s="10"/>
      <c r="L7" s="10"/>
      <c r="N7" s="10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UpdateGRStrategyValue!$4:$4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31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IFERROR(__xludf.DUMMYFUNCTION("""COMPUTED_VALUE"""),"AllocationMethod")</f>
        <v>AllocationMethod</v>
      </c>
      <c r="C5" s="26" t="str">
        <f>IFERROR(__xludf.DUMMYFUNCTION("""COMPUTED_VALUE"""),"RemainderAllocationTo")</f>
        <v>RemainderAllocationTo</v>
      </c>
      <c r="D5" s="26" t="str">
        <f>IFERROR(__xludf.DUMMYFUNCTION("""COMPUTED_VALUE"""),"Target%AsOf")</f>
        <v>Target%AsOf</v>
      </c>
      <c r="E5" s="26" t="str">
        <f>IFERROR(__xludf.DUMMYFUNCTION("""COMPUTED_VALUE"""),"ProrataAccounts")</f>
        <v>ProrataAccounts</v>
      </c>
      <c r="F5" s="27" t="str">
        <f>IFERROR(__xludf.DUMMYFUNCTION("""COMPUTED_VALUE"""),"DateUptoDays")</f>
        <v>DateUptoDays</v>
      </c>
      <c r="G5" s="26" t="str">
        <f>IFERROR(__xludf.DUMMYFUNCTION("""COMPUTED_VALUE"""),"MatchClosingTransactions")</f>
        <v>MatchClosingTransactions</v>
      </c>
      <c r="H5" s="26" t="str">
        <f>IFERROR(__xludf.DUMMYFUNCTION("""COMPUTED_VALUE"""),"PreferenceName")</f>
        <v>PreferenceName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32" t="s">
        <v>20</v>
      </c>
      <c r="C6" s="31"/>
      <c r="D6" s="32" t="s">
        <v>32</v>
      </c>
      <c r="E6" s="31"/>
      <c r="F6" s="33"/>
      <c r="G6" s="34" t="b">
        <v>0</v>
      </c>
      <c r="H6" s="39"/>
      <c r="I6" s="33"/>
      <c r="J6" s="33"/>
      <c r="K6" s="31"/>
      <c r="L6" s="31"/>
      <c r="M6" s="33"/>
      <c r="N6" s="31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10"/>
      <c r="D7" s="10"/>
      <c r="E7" s="10"/>
      <c r="F7" s="6"/>
      <c r="G7" s="6"/>
      <c r="H7" s="6"/>
      <c r="I7" s="6"/>
      <c r="J7" s="6"/>
      <c r="K7" s="10"/>
      <c r="L7" s="10"/>
      <c r="N7" s="10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UpdateGRStrategyValue!$4:$4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22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IFERROR(__xludf.DUMMYFUNCTION("""COMPUTED_VALUE"""),"Exchange Selector")</f>
        <v>Exchange Selector</v>
      </c>
      <c r="C5" s="26" t="str">
        <f>IFERROR(__xludf.DUMMYFUNCTION("""COMPUTED_VALUE"""),"Exchange List")</f>
        <v>Exchange List</v>
      </c>
      <c r="D5" s="26" t="str">
        <f>IFERROR(__xludf.DUMMYFUNCTION("""COMPUTED_VALUE"""),"Asset Selector")</f>
        <v>Asset Selector</v>
      </c>
      <c r="E5" s="26" t="str">
        <f>IFERROR(__xludf.DUMMYFUNCTION("""COMPUTED_VALUE"""),"Asset List")</f>
        <v>Asset List</v>
      </c>
      <c r="F5" s="27" t="str">
        <f>IFERROR(__xludf.DUMMYFUNCTION("""COMPUTED_VALUE"""),"PR Selector")</f>
        <v>PR Selector</v>
      </c>
      <c r="G5" s="26" t="str">
        <f>IFERROR(__xludf.DUMMYFUNCTION("""COMPUTED_VALUE"""),"PR List")</f>
        <v>PR List</v>
      </c>
      <c r="H5" s="26" t="str">
        <f>IFERROR(__xludf.DUMMYFUNCTION("""COMPUTED_VALUE"""),"Order Side Selector")</f>
        <v>Order Side Selector</v>
      </c>
      <c r="I5" s="26" t="str">
        <f>IFERROR(__xludf.DUMMYFUNCTION("""COMPUTED_VALUE"""),"Order Side List")</f>
        <v>Order Side List</v>
      </c>
      <c r="J5" s="26" t="str">
        <f>IFERROR(__xludf.DUMMYFUNCTION("""COMPUTED_VALUE"""),"PreferenceName")</f>
        <v>PreferenceName</v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31"/>
      <c r="C6" s="33"/>
      <c r="D6" s="32" t="s">
        <v>23</v>
      </c>
      <c r="E6" s="35" t="s">
        <v>24</v>
      </c>
      <c r="F6" s="33"/>
      <c r="G6" s="33"/>
      <c r="H6" s="35" t="s">
        <v>33</v>
      </c>
      <c r="I6" s="35" t="s">
        <v>25</v>
      </c>
      <c r="J6" s="10" t="str">
        <f>"Order2-"&amp;text(TODAY(),"dd-mm-yy")</f>
        <v>Order2-24-06-19</v>
      </c>
      <c r="M6" s="33"/>
      <c r="N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SetGeneralRuleCalculatedPref1!$4:$4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26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IFERROR(__xludf.DUMMYFUNCTION("""COMPUTED_VALUE"""),"PreferenceName")</f>
        <v>PreferenceName</v>
      </c>
      <c r="C5" s="26" t="str">
        <f>IFERROR(__xludf.DUMMYFUNCTION("""COMPUTED_VALUE"""),"AccountName")</f>
        <v>AccountName</v>
      </c>
      <c r="D5" s="26" t="str">
        <f>IFERROR(__xludf.DUMMYFUNCTION("""COMPUTED_VALUE"""),"Percentage")</f>
        <v>Percentage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35" t="s">
        <v>18</v>
      </c>
      <c r="D6" s="38">
        <v>100.0</v>
      </c>
      <c r="E6" s="10"/>
      <c r="F6" s="6"/>
      <c r="G6" s="6"/>
      <c r="H6" s="6"/>
      <c r="I6" s="6"/>
      <c r="J6" s="6"/>
      <c r="K6" s="10"/>
      <c r="L6" s="10"/>
      <c r="N6" s="10"/>
    </row>
    <row r="7" ht="15.75" customHeight="1">
      <c r="A7" s="6"/>
      <c r="B7" s="6"/>
      <c r="C7" s="10"/>
      <c r="D7" s="10"/>
      <c r="E7" s="10"/>
      <c r="F7" s="6"/>
      <c r="G7" s="6"/>
      <c r="H7" s="6"/>
      <c r="I7" s="6"/>
      <c r="J7" s="6"/>
      <c r="K7" s="10"/>
      <c r="L7" s="10"/>
      <c r="N7" s="10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UpdateGRStrategyValue!$4:$4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31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IFERROR(__xludf.DUMMYFUNCTION("""COMPUTED_VALUE"""),"AllocationMethod")</f>
        <v>AllocationMethod</v>
      </c>
      <c r="C5" s="26" t="str">
        <f>IFERROR(__xludf.DUMMYFUNCTION("""COMPUTED_VALUE"""),"RemainderAllocationTo")</f>
        <v>RemainderAllocationTo</v>
      </c>
      <c r="D5" s="26" t="str">
        <f>IFERROR(__xludf.DUMMYFUNCTION("""COMPUTED_VALUE"""),"Target%AsOf")</f>
        <v>Target%AsOf</v>
      </c>
      <c r="E5" s="26" t="str">
        <f>IFERROR(__xludf.DUMMYFUNCTION("""COMPUTED_VALUE"""),"ProrataAccounts")</f>
        <v>ProrataAccounts</v>
      </c>
      <c r="F5" s="27" t="str">
        <f>IFERROR(__xludf.DUMMYFUNCTION("""COMPUTED_VALUE"""),"DateUptoDays")</f>
        <v>DateUptoDays</v>
      </c>
      <c r="G5" s="26" t="str">
        <f>IFERROR(__xludf.DUMMYFUNCTION("""COMPUTED_VALUE"""),"MatchClosingTransactions")</f>
        <v>MatchClosingTransactions</v>
      </c>
      <c r="H5" s="26" t="str">
        <f>IFERROR(__xludf.DUMMYFUNCTION("""COMPUTED_VALUE"""),"PreferenceName")</f>
        <v>PreferenceName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3"/>
      <c r="B6" s="35" t="s">
        <v>34</v>
      </c>
      <c r="C6" s="33"/>
      <c r="D6" s="35" t="s">
        <v>35</v>
      </c>
      <c r="E6" s="33"/>
      <c r="F6" s="33"/>
      <c r="G6" s="34" t="b">
        <v>0</v>
      </c>
      <c r="H6" s="33"/>
      <c r="I6" s="33"/>
      <c r="J6" s="33"/>
      <c r="K6" s="31"/>
      <c r="L6" s="31"/>
      <c r="M6" s="33"/>
      <c r="N6" s="31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10"/>
      <c r="D7" s="10"/>
      <c r="E7" s="10"/>
      <c r="F7" s="6"/>
      <c r="G7" s="6"/>
      <c r="H7" s="6"/>
      <c r="I7" s="6"/>
      <c r="J7" s="6"/>
      <c r="K7" s="10"/>
      <c r="L7" s="10"/>
      <c r="N7" s="10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UpdateGRStrategyValue!$4:$4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22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  <c r="FL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IFERROR(__xludf.DUMMYFUNCTION("""COMPUTED_VALUE"""),"Exchange Selector")</f>
        <v>Exchange Selector</v>
      </c>
      <c r="C5" s="26" t="str">
        <f>IFERROR(__xludf.DUMMYFUNCTION("""COMPUTED_VALUE"""),"Exchange List")</f>
        <v>Exchange List</v>
      </c>
      <c r="D5" s="26" t="str">
        <f>IFERROR(__xludf.DUMMYFUNCTION("""COMPUTED_VALUE"""),"Asset Selector")</f>
        <v>Asset Selector</v>
      </c>
      <c r="E5" s="26" t="str">
        <f>IFERROR(__xludf.DUMMYFUNCTION("""COMPUTED_VALUE"""),"Asset List")</f>
        <v>Asset List</v>
      </c>
      <c r="F5" s="27" t="str">
        <f>IFERROR(__xludf.DUMMYFUNCTION("""COMPUTED_VALUE"""),"PR Selector")</f>
        <v>PR Selector</v>
      </c>
      <c r="G5" s="26" t="str">
        <f>IFERROR(__xludf.DUMMYFUNCTION("""COMPUTED_VALUE"""),"PR List")</f>
        <v>PR List</v>
      </c>
      <c r="H5" s="26" t="str">
        <f>IFERROR(__xludf.DUMMYFUNCTION("""COMPUTED_VALUE"""),"Order Side Selector")</f>
        <v>Order Side Selector</v>
      </c>
      <c r="I5" s="26" t="str">
        <f>IFERROR(__xludf.DUMMYFUNCTION("""COMPUTED_VALUE"""),"Order Side List")</f>
        <v>Order Side List</v>
      </c>
      <c r="J5" s="26" t="str">
        <f>IFERROR(__xludf.DUMMYFUNCTION("""COMPUTED_VALUE"""),"PreferenceName")</f>
        <v>PreferenceName</v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  <c r="EY5" s="28" t="str">
        <f>IFERROR(__xludf.DUMMYFUNCTION("""COMPUTED_VALUE"""),"")</f>
        <v/>
      </c>
      <c r="EZ5" s="28" t="str">
        <f>IFERROR(__xludf.DUMMYFUNCTION("""COMPUTED_VALUE"""),"")</f>
        <v/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  <c r="FL5" s="28" t="str">
        <f>IFERROR(__xludf.DUMMYFUNCTION("""COMPUTED_VALUE"""),"")</f>
        <v/>
      </c>
    </row>
    <row r="6" ht="15.75" customHeight="1">
      <c r="A6" s="31"/>
      <c r="B6" s="31"/>
      <c r="C6" s="33"/>
      <c r="D6" s="32" t="s">
        <v>23</v>
      </c>
      <c r="E6" s="35" t="s">
        <v>36</v>
      </c>
      <c r="F6" s="33"/>
      <c r="G6" s="33"/>
      <c r="H6" s="33"/>
      <c r="I6" s="33"/>
      <c r="J6" s="10" t="str">
        <f>"Order2-"&amp;text(TODAY(),"dd-mm-yy")</f>
        <v>Order2-24-06-19</v>
      </c>
      <c r="K6" s="40"/>
      <c r="L6" s="40"/>
      <c r="M6" s="33"/>
      <c r="N6" s="33"/>
      <c r="O6" s="33"/>
      <c r="P6" s="35"/>
      <c r="Q6" s="33"/>
      <c r="R6" s="35"/>
      <c r="S6" s="33"/>
      <c r="T6" s="33"/>
      <c r="U6" s="34"/>
      <c r="V6" s="39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SetGeneralRuleCalculatedPref2!$4:$4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26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IFERROR(__xludf.DUMMYFUNCTION("""COMPUTED_VALUE"""),"PreferenceName")</f>
        <v>PreferenceName</v>
      </c>
      <c r="C5" s="26" t="str">
        <f>IFERROR(__xludf.DUMMYFUNCTION("""COMPUTED_VALUE"""),"AccountName")</f>
        <v>AccountName</v>
      </c>
      <c r="D5" s="26" t="str">
        <f>IFERROR(__xludf.DUMMYFUNCTION("""COMPUTED_VALUE"""),"Percentage")</f>
        <v>Percentage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35" t="s">
        <v>18</v>
      </c>
      <c r="D6" s="38">
        <v>50.0</v>
      </c>
      <c r="E6" s="10"/>
      <c r="F6" s="6"/>
      <c r="G6" s="6"/>
      <c r="H6" s="6"/>
      <c r="I6" s="6"/>
      <c r="J6" s="6"/>
      <c r="K6" s="10"/>
      <c r="L6" s="10"/>
      <c r="N6" s="10"/>
    </row>
    <row r="7" ht="15.75" customHeight="1">
      <c r="A7" s="6"/>
      <c r="B7" s="6"/>
      <c r="C7" s="32" t="s">
        <v>17</v>
      </c>
      <c r="D7" s="41">
        <v>50.0</v>
      </c>
      <c r="E7" s="10"/>
      <c r="F7" s="6"/>
      <c r="G7" s="6"/>
      <c r="H7" s="6"/>
      <c r="I7" s="6"/>
      <c r="J7" s="6"/>
      <c r="K7" s="10"/>
      <c r="L7" s="10"/>
      <c r="N7" s="10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UpdateGRStrategyValue!$4:$4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31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IFERROR(__xludf.DUMMYFUNCTION("""COMPUTED_VALUE"""),"AllocationMethod")</f>
        <v>AllocationMethod</v>
      </c>
      <c r="C5" s="26" t="str">
        <f>IFERROR(__xludf.DUMMYFUNCTION("""COMPUTED_VALUE"""),"RemainderAllocationTo")</f>
        <v>RemainderAllocationTo</v>
      </c>
      <c r="D5" s="26" t="str">
        <f>IFERROR(__xludf.DUMMYFUNCTION("""COMPUTED_VALUE"""),"Target%AsOf")</f>
        <v>Target%AsOf</v>
      </c>
      <c r="E5" s="26" t="str">
        <f>IFERROR(__xludf.DUMMYFUNCTION("""COMPUTED_VALUE"""),"ProrataAccounts")</f>
        <v>ProrataAccounts</v>
      </c>
      <c r="F5" s="27" t="str">
        <f>IFERROR(__xludf.DUMMYFUNCTION("""COMPUTED_VALUE"""),"DateUptoDays")</f>
        <v>DateUptoDays</v>
      </c>
      <c r="G5" s="26" t="str">
        <f>IFERROR(__xludf.DUMMYFUNCTION("""COMPUTED_VALUE"""),"MatchClosingTransactions")</f>
        <v>MatchClosingTransactions</v>
      </c>
      <c r="H5" s="26" t="str">
        <f>IFERROR(__xludf.DUMMYFUNCTION("""COMPUTED_VALUE"""),"PreferenceName")</f>
        <v>PreferenceName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3"/>
      <c r="B6" s="35" t="s">
        <v>34</v>
      </c>
      <c r="C6" s="33"/>
      <c r="D6" s="32" t="s">
        <v>32</v>
      </c>
      <c r="E6" s="33"/>
      <c r="F6" s="33"/>
      <c r="G6" s="34" t="b">
        <v>1</v>
      </c>
      <c r="H6" s="33"/>
      <c r="I6" s="33"/>
      <c r="J6" s="33"/>
      <c r="K6" s="31"/>
      <c r="L6" s="31"/>
      <c r="M6" s="33"/>
      <c r="N6" s="31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10"/>
      <c r="D7" s="10"/>
      <c r="E7" s="10"/>
      <c r="F7" s="6"/>
      <c r="G7" s="6"/>
      <c r="H7" s="6"/>
      <c r="I7" s="6"/>
      <c r="J7" s="6"/>
      <c r="K7" s="10"/>
      <c r="L7" s="10"/>
      <c r="N7" s="10" t="s">
        <v>29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UpdateGRStrategyValue!$4:$4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22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  <c r="FL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IFERROR(__xludf.DUMMYFUNCTION("""COMPUTED_VALUE"""),"Exchange Selector")</f>
        <v>Exchange Selector</v>
      </c>
      <c r="C5" s="26" t="str">
        <f>IFERROR(__xludf.DUMMYFUNCTION("""COMPUTED_VALUE"""),"Exchange List")</f>
        <v>Exchange List</v>
      </c>
      <c r="D5" s="26" t="str">
        <f>IFERROR(__xludf.DUMMYFUNCTION("""COMPUTED_VALUE"""),"Asset Selector")</f>
        <v>Asset Selector</v>
      </c>
      <c r="E5" s="26" t="str">
        <f>IFERROR(__xludf.DUMMYFUNCTION("""COMPUTED_VALUE"""),"Asset List")</f>
        <v>Asset List</v>
      </c>
      <c r="F5" s="27" t="str">
        <f>IFERROR(__xludf.DUMMYFUNCTION("""COMPUTED_VALUE"""),"PR Selector")</f>
        <v>PR Selector</v>
      </c>
      <c r="G5" s="26" t="str">
        <f>IFERROR(__xludf.DUMMYFUNCTION("""COMPUTED_VALUE"""),"PR List")</f>
        <v>PR List</v>
      </c>
      <c r="H5" s="26" t="str">
        <f>IFERROR(__xludf.DUMMYFUNCTION("""COMPUTED_VALUE"""),"Order Side Selector")</f>
        <v>Order Side Selector</v>
      </c>
      <c r="I5" s="26" t="str">
        <f>IFERROR(__xludf.DUMMYFUNCTION("""COMPUTED_VALUE"""),"Order Side List")</f>
        <v>Order Side List</v>
      </c>
      <c r="J5" s="26" t="str">
        <f>IFERROR(__xludf.DUMMYFUNCTION("""COMPUTED_VALUE"""),"PreferenceName")</f>
        <v>PreferenceName</v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  <c r="EY5" s="28" t="str">
        <f>IFERROR(__xludf.DUMMYFUNCTION("""COMPUTED_VALUE"""),"")</f>
        <v/>
      </c>
      <c r="EZ5" s="28" t="str">
        <f>IFERROR(__xludf.DUMMYFUNCTION("""COMPUTED_VALUE"""),"")</f>
        <v/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  <c r="FL5" s="28" t="str">
        <f>IFERROR(__xludf.DUMMYFUNCTION("""COMPUTED_VALUE"""),"")</f>
        <v/>
      </c>
    </row>
    <row r="6" ht="15.75" customHeight="1">
      <c r="A6" s="31"/>
      <c r="B6" s="31"/>
      <c r="C6" s="33"/>
      <c r="D6" s="32" t="s">
        <v>23</v>
      </c>
      <c r="E6" s="35" t="s">
        <v>37</v>
      </c>
      <c r="F6" s="33"/>
      <c r="G6" s="33"/>
      <c r="H6" s="35" t="s">
        <v>23</v>
      </c>
      <c r="I6" s="35" t="s">
        <v>38</v>
      </c>
      <c r="J6" s="10" t="str">
        <f>"Order2-"&amp;text(TODAY(),"dd-mm-yy")</f>
        <v>Order2-24-06-19</v>
      </c>
      <c r="K6" s="40"/>
      <c r="L6" s="40"/>
      <c r="M6" s="33"/>
      <c r="N6" s="33"/>
      <c r="O6" s="33"/>
      <c r="P6" s="33"/>
      <c r="Q6" s="33"/>
      <c r="R6" s="35"/>
      <c r="S6" s="33"/>
      <c r="T6" s="33"/>
      <c r="U6" s="34"/>
      <c r="V6" s="39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SetGeneralRuleCalculatedPref3!$4:$4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26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IFERROR(__xludf.DUMMYFUNCTION("""COMPUTED_VALUE"""),"PreferenceName")</f>
        <v>PreferenceName</v>
      </c>
      <c r="C5" s="26" t="str">
        <f>IFERROR(__xludf.DUMMYFUNCTION("""COMPUTED_VALUE"""),"AccountName")</f>
        <v>AccountName</v>
      </c>
      <c r="D5" s="26" t="str">
        <f>IFERROR(__xludf.DUMMYFUNCTION("""COMPUTED_VALUE"""),"Percentage")</f>
        <v>Percentage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35" t="s">
        <v>43</v>
      </c>
      <c r="D6" s="38">
        <v>75.0</v>
      </c>
      <c r="E6" s="10"/>
      <c r="F6" s="6"/>
      <c r="G6" s="6"/>
      <c r="H6" s="6"/>
      <c r="I6" s="6"/>
      <c r="J6" s="6"/>
      <c r="K6" s="10"/>
      <c r="L6" s="10"/>
      <c r="N6" s="10"/>
    </row>
    <row r="7" ht="15.75" customHeight="1">
      <c r="A7" s="6"/>
      <c r="B7" s="6"/>
      <c r="C7" s="32" t="s">
        <v>44</v>
      </c>
      <c r="D7" s="41">
        <v>25.0</v>
      </c>
      <c r="E7" s="10"/>
      <c r="F7" s="6"/>
      <c r="G7" s="6"/>
      <c r="H7" s="6"/>
      <c r="I7" s="6"/>
      <c r="J7" s="6"/>
      <c r="K7" s="10"/>
      <c r="L7" s="10"/>
      <c r="N7" s="10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UpdateGRStrategyValue!$4:$4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31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IFERROR(__xludf.DUMMYFUNCTION("""COMPUTED_VALUE"""),"AllocationMethod")</f>
        <v>AllocationMethod</v>
      </c>
      <c r="C5" s="26" t="str">
        <f>IFERROR(__xludf.DUMMYFUNCTION("""COMPUTED_VALUE"""),"RemainderAllocationTo")</f>
        <v>RemainderAllocationTo</v>
      </c>
      <c r="D5" s="26" t="str">
        <f>IFERROR(__xludf.DUMMYFUNCTION("""COMPUTED_VALUE"""),"Target%AsOf")</f>
        <v>Target%AsOf</v>
      </c>
      <c r="E5" s="26" t="str">
        <f>IFERROR(__xludf.DUMMYFUNCTION("""COMPUTED_VALUE"""),"ProrataAccounts")</f>
        <v>ProrataAccounts</v>
      </c>
      <c r="F5" s="27" t="str">
        <f>IFERROR(__xludf.DUMMYFUNCTION("""COMPUTED_VALUE"""),"DateUptoDays")</f>
        <v>DateUptoDays</v>
      </c>
      <c r="G5" s="26" t="str">
        <f>IFERROR(__xludf.DUMMYFUNCTION("""COMPUTED_VALUE"""),"MatchClosingTransactions")</f>
        <v>MatchClosingTransactions</v>
      </c>
      <c r="H5" s="26" t="str">
        <f>IFERROR(__xludf.DUMMYFUNCTION("""COMPUTED_VALUE"""),"PreferenceName")</f>
        <v>PreferenceName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3"/>
      <c r="B6" s="33" t="s">
        <v>20</v>
      </c>
      <c r="C6" s="33"/>
      <c r="D6" s="32" t="s">
        <v>35</v>
      </c>
      <c r="E6" s="33"/>
      <c r="F6" s="33"/>
      <c r="G6" s="34" t="b">
        <v>0</v>
      </c>
      <c r="H6" s="39"/>
      <c r="I6" s="33"/>
      <c r="J6" s="33"/>
      <c r="K6" s="31"/>
      <c r="L6" s="31"/>
      <c r="M6" s="33"/>
      <c r="N6" s="31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10"/>
      <c r="D7" s="10"/>
      <c r="E7" s="10"/>
      <c r="F7" s="6"/>
      <c r="G7" s="6"/>
      <c r="H7" s="6"/>
      <c r="I7" s="6"/>
      <c r="J7" s="6"/>
      <c r="K7" s="10"/>
      <c r="L7" s="10"/>
      <c r="N7" s="10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UpdateGRStrategyValue!$4:$4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39</v>
      </c>
      <c r="D3" s="8" t="s">
        <v>6</v>
      </c>
      <c r="E3" s="21" t="s">
        <v>40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32" t="s">
        <v>41</v>
      </c>
      <c r="C6" s="35" t="s">
        <v>42</v>
      </c>
      <c r="D6" s="41">
        <v>100.0</v>
      </c>
      <c r="E6" s="38">
        <v>100.0</v>
      </c>
      <c r="F6" s="39" t="s">
        <v>18</v>
      </c>
      <c r="G6" s="33"/>
      <c r="H6" s="33"/>
      <c r="I6" s="33"/>
      <c r="J6" s="38">
        <v>100.0</v>
      </c>
      <c r="K6" s="33"/>
      <c r="L6" s="33"/>
      <c r="M6" s="33"/>
      <c r="N6" s="42">
        <f t="shared" ref="N6:N16" si="1">TODAY()</f>
        <v>43640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 t="s">
        <v>41</v>
      </c>
      <c r="C7" s="35" t="s">
        <v>42</v>
      </c>
      <c r="D7" s="38">
        <v>100.0</v>
      </c>
      <c r="E7" s="38">
        <v>100.0</v>
      </c>
      <c r="F7" s="10" t="str">
        <f t="shared" ref="F7:F10" si="2">"Order2-"&amp;text(TODAY(),"dd-mm-yy")</f>
        <v>Order2-24-06-19</v>
      </c>
      <c r="G7" s="33"/>
      <c r="H7" s="33"/>
      <c r="I7" s="33"/>
      <c r="J7" s="38">
        <v>100.0</v>
      </c>
      <c r="K7" s="33"/>
      <c r="L7" s="33"/>
      <c r="M7" s="33"/>
      <c r="N7" s="42">
        <f t="shared" si="1"/>
        <v>43640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5" t="s">
        <v>41</v>
      </c>
      <c r="C8" s="35" t="s">
        <v>45</v>
      </c>
      <c r="D8" s="38">
        <v>100.0</v>
      </c>
      <c r="E8" s="38">
        <v>100.0</v>
      </c>
      <c r="F8" s="10" t="str">
        <f t="shared" si="2"/>
        <v>Order2-24-06-19</v>
      </c>
      <c r="G8" s="33"/>
      <c r="H8" s="33"/>
      <c r="I8" s="33"/>
      <c r="J8" s="38">
        <v>100.0</v>
      </c>
      <c r="K8" s="33"/>
      <c r="L8" s="33"/>
      <c r="M8" s="33"/>
      <c r="N8" s="42">
        <f t="shared" si="1"/>
        <v>43640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5" t="s">
        <v>46</v>
      </c>
      <c r="C9" s="35" t="s">
        <v>47</v>
      </c>
      <c r="D9" s="38">
        <v>100.0</v>
      </c>
      <c r="E9" s="38">
        <v>100.0</v>
      </c>
      <c r="F9" s="10" t="str">
        <f t="shared" si="2"/>
        <v>Order2-24-06-19</v>
      </c>
      <c r="G9" s="33"/>
      <c r="H9" s="33"/>
      <c r="I9" s="33"/>
      <c r="J9" s="38">
        <v>100.0</v>
      </c>
      <c r="K9" s="33"/>
      <c r="L9" s="33"/>
      <c r="M9" s="33"/>
      <c r="N9" s="42">
        <f t="shared" si="1"/>
        <v>43640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5" t="s">
        <v>46</v>
      </c>
      <c r="C10" s="35" t="s">
        <v>48</v>
      </c>
      <c r="D10" s="38">
        <v>100.0</v>
      </c>
      <c r="E10" s="38">
        <v>100.0</v>
      </c>
      <c r="F10" s="10" t="str">
        <f t="shared" si="2"/>
        <v>Order2-24-06-19</v>
      </c>
      <c r="G10" s="33"/>
      <c r="H10" s="33"/>
      <c r="I10" s="33"/>
      <c r="J10" s="38">
        <v>100.0</v>
      </c>
      <c r="K10" s="33"/>
      <c r="L10" s="33"/>
      <c r="M10" s="33"/>
      <c r="N10" s="42">
        <f t="shared" si="1"/>
        <v>43640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5" t="s">
        <v>49</v>
      </c>
      <c r="C11" s="35" t="s">
        <v>50</v>
      </c>
      <c r="D11" s="38">
        <v>100.0</v>
      </c>
      <c r="E11" s="38">
        <v>100.0</v>
      </c>
      <c r="F11" s="39" t="s">
        <v>17</v>
      </c>
      <c r="G11" s="33"/>
      <c r="H11" s="33"/>
      <c r="I11" s="33"/>
      <c r="J11" s="38">
        <v>100.0</v>
      </c>
      <c r="K11" s="33"/>
      <c r="L11" s="33"/>
      <c r="M11" s="33"/>
      <c r="N11" s="42">
        <f t="shared" si="1"/>
        <v>43640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5" t="s">
        <v>49</v>
      </c>
      <c r="C12" s="35" t="s">
        <v>50</v>
      </c>
      <c r="D12" s="38">
        <v>100.0</v>
      </c>
      <c r="E12" s="38">
        <v>100.0</v>
      </c>
      <c r="F12" s="10" t="str">
        <f>"Order2-"&amp;text(TODAY(),"dd-mm-yy")</f>
        <v>Order2-24-06-19</v>
      </c>
      <c r="G12" s="33"/>
      <c r="H12" s="33"/>
      <c r="I12" s="33"/>
      <c r="J12" s="38">
        <v>100.0</v>
      </c>
      <c r="K12" s="33"/>
      <c r="L12" s="33"/>
      <c r="M12" s="33"/>
      <c r="N12" s="42">
        <f t="shared" si="1"/>
        <v>43640</v>
      </c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43" t="s">
        <v>51</v>
      </c>
      <c r="C13" s="35" t="s">
        <v>42</v>
      </c>
      <c r="D13" s="38">
        <v>100.0</v>
      </c>
      <c r="E13" s="38">
        <v>100.0</v>
      </c>
      <c r="F13" s="39" t="s">
        <v>17</v>
      </c>
      <c r="G13" s="33"/>
      <c r="H13" s="33"/>
      <c r="I13" s="33"/>
      <c r="J13" s="38">
        <v>100.0</v>
      </c>
      <c r="K13" s="33"/>
      <c r="L13" s="33"/>
      <c r="M13" s="33"/>
      <c r="N13" s="42">
        <f t="shared" si="1"/>
        <v>43640</v>
      </c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33"/>
      <c r="B14" s="43" t="s">
        <v>51</v>
      </c>
      <c r="C14" s="35" t="s">
        <v>42</v>
      </c>
      <c r="D14" s="38">
        <v>100.0</v>
      </c>
      <c r="E14" s="38">
        <v>100.0</v>
      </c>
      <c r="F14" s="10" t="str">
        <f t="shared" ref="F14:F16" si="3">"Order2-"&amp;text(TODAY(),"dd-mm-yy")</f>
        <v>Order2-24-06-19</v>
      </c>
      <c r="G14" s="33"/>
      <c r="H14" s="33"/>
      <c r="I14" s="33"/>
      <c r="J14" s="38">
        <v>100.0</v>
      </c>
      <c r="K14" s="33"/>
      <c r="L14" s="33"/>
      <c r="M14" s="33"/>
      <c r="N14" s="42">
        <f t="shared" si="1"/>
        <v>43640</v>
      </c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33"/>
      <c r="B15" s="43" t="s">
        <v>51</v>
      </c>
      <c r="C15" s="35" t="s">
        <v>50</v>
      </c>
      <c r="D15" s="38">
        <v>100.0</v>
      </c>
      <c r="E15" s="38">
        <v>100.0</v>
      </c>
      <c r="F15" s="10" t="str">
        <f t="shared" si="3"/>
        <v>Order2-24-06-19</v>
      </c>
      <c r="G15" s="33"/>
      <c r="H15" s="33"/>
      <c r="I15" s="33"/>
      <c r="J15" s="38">
        <v>100.0</v>
      </c>
      <c r="K15" s="33"/>
      <c r="L15" s="33"/>
      <c r="M15" s="33"/>
      <c r="N15" s="42">
        <f t="shared" si="1"/>
        <v>43640</v>
      </c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33"/>
      <c r="B16" s="43" t="s">
        <v>51</v>
      </c>
      <c r="C16" s="35" t="s">
        <v>52</v>
      </c>
      <c r="D16" s="38">
        <v>100.0</v>
      </c>
      <c r="E16" s="38">
        <v>100.0</v>
      </c>
      <c r="F16" s="10" t="str">
        <f t="shared" si="3"/>
        <v>Order2-24-06-19</v>
      </c>
      <c r="G16" s="33"/>
      <c r="H16" s="33"/>
      <c r="I16" s="33"/>
      <c r="J16" s="38">
        <v>100.0</v>
      </c>
      <c r="K16" s="33"/>
      <c r="L16" s="33"/>
      <c r="M16" s="33"/>
      <c r="N16" s="42">
        <f t="shared" si="1"/>
        <v>43640</v>
      </c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</row>
    <row r="17" ht="15.75" customHeight="1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53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32" t="s">
        <v>18</v>
      </c>
      <c r="C6" s="33"/>
      <c r="D6" s="31"/>
      <c r="E6" s="38">
        <v>100.0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44">
        <v>100.0</v>
      </c>
      <c r="AF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44">
        <v>100.0</v>
      </c>
      <c r="BK6" s="33"/>
      <c r="BL6" s="33"/>
      <c r="BN6" s="33"/>
      <c r="BO6" s="33" t="s">
        <v>42</v>
      </c>
      <c r="BP6" s="33"/>
      <c r="BQ6" s="33"/>
      <c r="BR6" s="33"/>
      <c r="BS6" s="33"/>
      <c r="BT6" s="33" t="s">
        <v>41</v>
      </c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</row>
    <row r="7" ht="15.75" customHeight="1">
      <c r="A7" s="33"/>
      <c r="B7" s="36" t="s">
        <v>58</v>
      </c>
      <c r="C7" s="33"/>
      <c r="D7" s="33"/>
      <c r="E7" s="38">
        <v>100.0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44">
        <v>100.0</v>
      </c>
      <c r="AF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44">
        <v>100.0</v>
      </c>
      <c r="BK7" s="33"/>
      <c r="BL7" s="33"/>
      <c r="BN7" s="33"/>
      <c r="BO7" s="33" t="s">
        <v>45</v>
      </c>
      <c r="BP7" s="33"/>
      <c r="BQ7" s="33"/>
      <c r="BR7" s="33"/>
      <c r="BS7" s="33"/>
      <c r="BT7" s="33" t="s">
        <v>41</v>
      </c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</row>
    <row r="8" ht="15.75" customHeight="1">
      <c r="A8" s="33"/>
      <c r="B8" s="36" t="s">
        <v>58</v>
      </c>
      <c r="C8" s="33"/>
      <c r="D8" s="33"/>
      <c r="E8" s="38">
        <v>100.0</v>
      </c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44">
        <v>100.0</v>
      </c>
      <c r="AF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44">
        <v>100.0</v>
      </c>
      <c r="BK8" s="33"/>
      <c r="BL8" s="33"/>
      <c r="BN8" s="33"/>
      <c r="BO8" s="40" t="s">
        <v>42</v>
      </c>
      <c r="BP8" s="33"/>
      <c r="BQ8" s="33"/>
      <c r="BR8" s="33"/>
      <c r="BS8" s="33"/>
      <c r="BT8" s="33" t="s">
        <v>41</v>
      </c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</row>
    <row r="9" ht="15.75" customHeight="1">
      <c r="A9" s="33"/>
      <c r="B9" s="35" t="s">
        <v>18</v>
      </c>
      <c r="C9" s="33"/>
      <c r="D9" s="33"/>
      <c r="E9" s="38">
        <v>100.0</v>
      </c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44">
        <v>100.0</v>
      </c>
      <c r="AF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44">
        <v>100.0</v>
      </c>
      <c r="BK9" s="33"/>
      <c r="BL9" s="33"/>
      <c r="BN9" s="33"/>
      <c r="BO9" s="35" t="s">
        <v>47</v>
      </c>
      <c r="BP9" s="33"/>
      <c r="BQ9" s="33"/>
      <c r="BR9" s="33"/>
      <c r="BS9" s="33"/>
      <c r="BT9" s="33" t="s">
        <v>46</v>
      </c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</row>
    <row r="10" ht="15.75" customHeight="1">
      <c r="A10" s="33"/>
      <c r="B10" s="35" t="s">
        <v>18</v>
      </c>
      <c r="C10" s="33"/>
      <c r="D10" s="33"/>
      <c r="E10" s="38">
        <v>100.0</v>
      </c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44">
        <v>100.0</v>
      </c>
      <c r="AF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44">
        <v>100.0</v>
      </c>
      <c r="BK10" s="33"/>
      <c r="BL10" s="33"/>
      <c r="BN10" s="33"/>
      <c r="BO10" s="35" t="s">
        <v>48</v>
      </c>
      <c r="BP10" s="33"/>
      <c r="BQ10" s="33"/>
      <c r="BR10" s="33"/>
      <c r="BS10" s="33"/>
      <c r="BT10" s="33" t="s">
        <v>46</v>
      </c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</row>
    <row r="11" ht="15.75" customHeight="1">
      <c r="A11" s="33"/>
      <c r="B11" s="35" t="s">
        <v>17</v>
      </c>
      <c r="C11" s="33"/>
      <c r="D11" s="33"/>
      <c r="E11" s="38">
        <v>100.0</v>
      </c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44">
        <v>100.0</v>
      </c>
      <c r="AF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44">
        <v>100.0</v>
      </c>
      <c r="BK11" s="33"/>
      <c r="BL11" s="33"/>
      <c r="BN11" s="33"/>
      <c r="BO11" s="35" t="s">
        <v>50</v>
      </c>
      <c r="BP11" s="33"/>
      <c r="BQ11" s="33"/>
      <c r="BR11" s="33"/>
      <c r="BS11" s="33"/>
      <c r="BT11" s="39" t="s">
        <v>49</v>
      </c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</row>
    <row r="12" ht="15.75" customHeight="1">
      <c r="A12" s="33"/>
      <c r="B12" s="35" t="s">
        <v>18</v>
      </c>
      <c r="C12" s="33"/>
      <c r="D12" s="33"/>
      <c r="E12" s="38">
        <v>100.0</v>
      </c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44">
        <v>100.0</v>
      </c>
      <c r="AF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44">
        <v>100.0</v>
      </c>
      <c r="BK12" s="33"/>
      <c r="BL12" s="33"/>
      <c r="BN12" s="33"/>
      <c r="BO12" s="35" t="s">
        <v>50</v>
      </c>
      <c r="BP12" s="33"/>
      <c r="BQ12" s="33"/>
      <c r="BR12" s="33"/>
      <c r="BS12" s="33"/>
      <c r="BT12" s="39" t="s">
        <v>49</v>
      </c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</row>
    <row r="13" ht="15.75" customHeight="1">
      <c r="A13" s="33"/>
      <c r="B13" s="35" t="s">
        <v>17</v>
      </c>
      <c r="C13" s="33"/>
      <c r="D13" s="33"/>
      <c r="E13" s="38">
        <v>100.0</v>
      </c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44">
        <v>100.0</v>
      </c>
      <c r="AF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44">
        <v>100.0</v>
      </c>
      <c r="BK13" s="33"/>
      <c r="BL13" s="33"/>
      <c r="BN13" s="33"/>
      <c r="BO13" s="35" t="s">
        <v>42</v>
      </c>
      <c r="BP13" s="33"/>
      <c r="BQ13" s="33"/>
      <c r="BR13" s="33"/>
      <c r="BS13" s="33"/>
      <c r="BT13" s="43" t="s">
        <v>51</v>
      </c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</row>
    <row r="14" ht="15.75" customHeight="1">
      <c r="A14" s="33"/>
      <c r="B14" s="35" t="s">
        <v>17</v>
      </c>
      <c r="C14" s="33"/>
      <c r="D14" s="33"/>
      <c r="E14" s="38">
        <v>100.0</v>
      </c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44">
        <v>100.0</v>
      </c>
      <c r="AF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44">
        <v>100.0</v>
      </c>
      <c r="BK14" s="33"/>
      <c r="BL14" s="33"/>
      <c r="BN14" s="33"/>
      <c r="BO14" s="35" t="s">
        <v>42</v>
      </c>
      <c r="BP14" s="33"/>
      <c r="BQ14" s="33"/>
      <c r="BR14" s="33"/>
      <c r="BS14" s="33"/>
      <c r="BT14" s="39" t="s">
        <v>51</v>
      </c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</row>
    <row r="15" ht="15.75" customHeight="1">
      <c r="A15" s="33"/>
      <c r="B15" s="35" t="s">
        <v>58</v>
      </c>
      <c r="C15" s="33"/>
      <c r="D15" s="33"/>
      <c r="E15" s="38">
        <v>100.0</v>
      </c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44">
        <v>100.0</v>
      </c>
      <c r="AF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44">
        <v>100.0</v>
      </c>
      <c r="BK15" s="33"/>
      <c r="BL15" s="33"/>
      <c r="BN15" s="33"/>
      <c r="BO15" s="35" t="s">
        <v>50</v>
      </c>
      <c r="BP15" s="33"/>
      <c r="BQ15" s="33"/>
      <c r="BR15" s="33"/>
      <c r="BS15" s="33"/>
      <c r="BT15" s="39" t="s">
        <v>51</v>
      </c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</row>
    <row r="16" ht="15.75" customHeight="1">
      <c r="A16" s="33"/>
      <c r="B16" s="35" t="s">
        <v>58</v>
      </c>
      <c r="C16" s="33"/>
      <c r="D16" s="33"/>
      <c r="E16" s="38">
        <v>100.0</v>
      </c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44">
        <v>100.0</v>
      </c>
      <c r="AF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44">
        <v>100.0</v>
      </c>
      <c r="BK16" s="33"/>
      <c r="BL16" s="33"/>
      <c r="BN16" s="33"/>
      <c r="BO16" s="35" t="s">
        <v>52</v>
      </c>
      <c r="BP16" s="33"/>
      <c r="BQ16" s="33"/>
      <c r="BR16" s="33"/>
      <c r="BS16" s="33"/>
      <c r="BT16" s="39" t="s">
        <v>51</v>
      </c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54</v>
      </c>
      <c r="D3" s="8" t="s">
        <v>6</v>
      </c>
      <c r="E3" s="21" t="s">
        <v>55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57</v>
      </c>
      <c r="C6" s="6"/>
      <c r="D6" s="10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54</v>
      </c>
      <c r="D3" s="8" t="s">
        <v>6</v>
      </c>
      <c r="E3" s="21" t="s">
        <v>56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3"/>
      <c r="B6" s="35" t="s">
        <v>17</v>
      </c>
      <c r="C6" s="35" t="s">
        <v>37</v>
      </c>
      <c r="D6" s="33"/>
      <c r="E6" s="33"/>
      <c r="F6" s="33"/>
      <c r="G6" s="33"/>
      <c r="H6" s="33"/>
      <c r="I6" s="33"/>
      <c r="J6" s="33"/>
      <c r="K6" s="33"/>
      <c r="L6" s="33"/>
      <c r="M6" s="38">
        <v>100.0</v>
      </c>
      <c r="N6" s="33"/>
      <c r="O6" s="33"/>
      <c r="P6" s="33" t="s">
        <v>42</v>
      </c>
      <c r="Q6" s="33"/>
      <c r="R6" s="43" t="s">
        <v>51</v>
      </c>
      <c r="S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 t="s">
        <v>18</v>
      </c>
      <c r="C7" s="35" t="s">
        <v>24</v>
      </c>
      <c r="D7" s="33"/>
      <c r="E7" s="33"/>
      <c r="F7" s="33"/>
      <c r="G7" s="33"/>
      <c r="H7" s="33"/>
      <c r="I7" s="33"/>
      <c r="J7" s="33"/>
      <c r="K7" s="33"/>
      <c r="L7" s="33"/>
      <c r="M7" s="38">
        <v>100.0</v>
      </c>
      <c r="N7" s="33"/>
      <c r="O7" s="33"/>
      <c r="P7" s="33" t="s">
        <v>42</v>
      </c>
      <c r="Q7" s="33"/>
      <c r="R7" s="33" t="s">
        <v>41</v>
      </c>
      <c r="S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5" t="s">
        <v>18</v>
      </c>
      <c r="C8" s="35" t="s">
        <v>24</v>
      </c>
      <c r="D8" s="33"/>
      <c r="E8" s="33"/>
      <c r="F8" s="33"/>
      <c r="G8" s="33"/>
      <c r="H8" s="33"/>
      <c r="I8" s="33"/>
      <c r="J8" s="33"/>
      <c r="K8" s="33"/>
      <c r="L8" s="33"/>
      <c r="M8" s="38">
        <v>20.0</v>
      </c>
      <c r="N8" s="33"/>
      <c r="O8" s="33"/>
      <c r="P8" s="33" t="s">
        <v>42</v>
      </c>
      <c r="Q8" s="33"/>
      <c r="R8" s="33" t="s">
        <v>41</v>
      </c>
      <c r="S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5" t="s">
        <v>28</v>
      </c>
      <c r="C9" s="39" t="s">
        <v>24</v>
      </c>
      <c r="D9" s="33"/>
      <c r="E9" s="33"/>
      <c r="F9" s="33"/>
      <c r="G9" s="33"/>
      <c r="H9" s="33"/>
      <c r="I9" s="33"/>
      <c r="J9" s="33"/>
      <c r="K9" s="33"/>
      <c r="L9" s="33"/>
      <c r="M9" s="38">
        <v>80.0</v>
      </c>
      <c r="N9" s="33"/>
      <c r="O9" s="33"/>
      <c r="P9" s="33" t="s">
        <v>42</v>
      </c>
      <c r="Q9" s="33"/>
      <c r="R9" s="33" t="s">
        <v>41</v>
      </c>
      <c r="S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5" t="s">
        <v>18</v>
      </c>
      <c r="C10" s="39" t="s">
        <v>24</v>
      </c>
      <c r="D10" s="33"/>
      <c r="E10" s="33"/>
      <c r="F10" s="33"/>
      <c r="G10" s="33"/>
      <c r="H10" s="33"/>
      <c r="I10" s="33"/>
      <c r="J10" s="33"/>
      <c r="K10" s="33"/>
      <c r="L10" s="33"/>
      <c r="M10" s="38">
        <v>100.0</v>
      </c>
      <c r="N10" s="33"/>
      <c r="O10" s="33"/>
      <c r="P10" s="33" t="s">
        <v>48</v>
      </c>
      <c r="Q10" s="33"/>
      <c r="R10" s="33" t="s">
        <v>46</v>
      </c>
      <c r="S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5" t="s">
        <v>18</v>
      </c>
      <c r="C11" s="35" t="s">
        <v>36</v>
      </c>
      <c r="D11" s="33"/>
      <c r="E11" s="33"/>
      <c r="F11" s="33"/>
      <c r="G11" s="33"/>
      <c r="H11" s="33"/>
      <c r="I11" s="33"/>
      <c r="J11" s="33"/>
      <c r="K11" s="33"/>
      <c r="L11" s="33"/>
      <c r="M11" s="38">
        <v>100.0</v>
      </c>
      <c r="N11" s="33"/>
      <c r="O11" s="33"/>
      <c r="P11" s="33" t="s">
        <v>50</v>
      </c>
      <c r="Q11" s="33"/>
      <c r="R11" s="33" t="s">
        <v>49</v>
      </c>
      <c r="S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5" t="s">
        <v>17</v>
      </c>
      <c r="C12" s="35" t="s">
        <v>36</v>
      </c>
      <c r="D12" s="33"/>
      <c r="E12" s="33"/>
      <c r="F12" s="33"/>
      <c r="G12" s="33"/>
      <c r="H12" s="33"/>
      <c r="I12" s="33"/>
      <c r="J12" s="33"/>
      <c r="K12" s="33"/>
      <c r="L12" s="33"/>
      <c r="M12" s="38">
        <v>100.0</v>
      </c>
      <c r="N12" s="33"/>
      <c r="O12" s="33"/>
      <c r="P12" s="33" t="s">
        <v>50</v>
      </c>
      <c r="Q12" s="33"/>
      <c r="R12" s="33" t="s">
        <v>49</v>
      </c>
      <c r="S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5" t="s">
        <v>43</v>
      </c>
      <c r="C13" s="35" t="s">
        <v>37</v>
      </c>
      <c r="D13" s="33"/>
      <c r="E13" s="33"/>
      <c r="F13" s="33"/>
      <c r="G13" s="33"/>
      <c r="H13" s="33"/>
      <c r="I13" s="33"/>
      <c r="J13" s="33"/>
      <c r="K13" s="33"/>
      <c r="L13" s="33"/>
      <c r="M13" s="38">
        <v>75.0</v>
      </c>
      <c r="N13" s="33"/>
      <c r="O13" s="33"/>
      <c r="P13" s="33" t="s">
        <v>50</v>
      </c>
      <c r="Q13" s="33"/>
      <c r="R13" s="43" t="s">
        <v>51</v>
      </c>
      <c r="S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31"/>
      <c r="B14" s="32" t="s">
        <v>17</v>
      </c>
      <c r="C14" s="35" t="s">
        <v>37</v>
      </c>
      <c r="D14" s="31"/>
      <c r="E14" s="33"/>
      <c r="F14" s="33"/>
      <c r="G14" s="33"/>
      <c r="H14" s="33"/>
      <c r="I14" s="33"/>
      <c r="J14" s="33"/>
      <c r="K14" s="33"/>
      <c r="L14" s="33"/>
      <c r="M14" s="38">
        <v>100.0</v>
      </c>
      <c r="N14" s="33"/>
      <c r="O14" s="33"/>
      <c r="P14" s="33" t="s">
        <v>42</v>
      </c>
      <c r="Q14" s="33"/>
      <c r="R14" s="43" t="s">
        <v>51</v>
      </c>
      <c r="S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31"/>
      <c r="B15" s="32" t="s">
        <v>44</v>
      </c>
      <c r="C15" s="35" t="s">
        <v>37</v>
      </c>
      <c r="D15" s="31"/>
      <c r="E15" s="33"/>
      <c r="F15" s="33"/>
      <c r="G15" s="33"/>
      <c r="H15" s="33"/>
      <c r="I15" s="33"/>
      <c r="J15" s="33"/>
      <c r="K15" s="33"/>
      <c r="L15" s="33"/>
      <c r="M15" s="38">
        <v>25.0</v>
      </c>
      <c r="N15" s="33"/>
      <c r="O15" s="33"/>
      <c r="P15" s="33" t="s">
        <v>59</v>
      </c>
      <c r="Q15" s="33"/>
      <c r="R15" s="43" t="s">
        <v>51</v>
      </c>
      <c r="S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</row>
    <row r="17" ht="15.75" customHeight="1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54</v>
      </c>
      <c r="D3" s="8" t="s">
        <v>6</v>
      </c>
      <c r="E3" s="21" t="s">
        <v>60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32" t="s">
        <v>43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8">
        <v>75.0</v>
      </c>
      <c r="N6" s="33"/>
      <c r="O6" s="33"/>
      <c r="P6" s="33" t="s">
        <v>52</v>
      </c>
      <c r="Q6" s="33"/>
      <c r="R6" s="43" t="s">
        <v>51</v>
      </c>
      <c r="S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 t="s">
        <v>44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8">
        <v>25.0</v>
      </c>
      <c r="N7" s="33"/>
      <c r="O7" s="33"/>
      <c r="P7" s="33" t="s">
        <v>52</v>
      </c>
      <c r="Q7" s="33"/>
      <c r="R7" s="43" t="s">
        <v>51</v>
      </c>
      <c r="S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5" t="s">
        <v>18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41">
        <v>60.0</v>
      </c>
      <c r="N8" s="33"/>
      <c r="O8" s="33"/>
      <c r="P8" s="33" t="s">
        <v>45</v>
      </c>
      <c r="Q8" s="33"/>
      <c r="R8" s="33" t="s">
        <v>41</v>
      </c>
      <c r="S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5" t="s">
        <v>28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8">
        <v>40.0</v>
      </c>
      <c r="N9" s="33"/>
      <c r="O9" s="33"/>
      <c r="P9" s="33" t="s">
        <v>45</v>
      </c>
      <c r="Q9" s="33"/>
      <c r="R9" s="33" t="s">
        <v>41</v>
      </c>
      <c r="S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5" t="s">
        <v>18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8">
        <v>100.0</v>
      </c>
      <c r="N10" s="33"/>
      <c r="O10" s="33"/>
      <c r="P10" s="33" t="s">
        <v>47</v>
      </c>
      <c r="Q10" s="33"/>
      <c r="R10" s="33" t="s">
        <v>46</v>
      </c>
      <c r="S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61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57</v>
      </c>
      <c r="C6" s="6"/>
      <c r="D6" s="10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