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IncreaseOrUnwindPositionRTPNL" sheetId="6" r:id="rId8"/>
    <sheet state="visible" name="CustomOrderTT1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LoginClient" sheetId="11" r:id="rId13"/>
    <sheet state="visible" name="VerifyRowAllFixLogs" sheetId="12" r:id="rId14"/>
    <sheet state="visible" name="VerifyRowAllFixLogs1" sheetId="13" r:id="rId15"/>
    <sheet state="visible" name="VerifyRowAllFixLogs2" sheetId="14" r:id="rId16"/>
  </sheets>
  <definedNames/>
  <calcPr/>
</workbook>
</file>

<file path=xl/sharedStrings.xml><?xml version="1.0" encoding="utf-8"?>
<sst xmlns="http://schemas.openxmlformats.org/spreadsheetml/2006/main" count="194" uniqueCount="82">
  <si>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</si>
  <si>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</si>
  <si>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</si>
  <si>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</si>
  <si>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</si>
  <si>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</si>
  <si>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</si>
  <si>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</si>
  <si>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</si>
  <si>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</si>
  <si>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</si>
  <si>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</si>
  <si>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</si>
  <si>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</si>
  <si>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</si>
  <si>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</si>
  <si>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</si>
  <si>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</si>
  <si>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</si>
  <si>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</si>
  <si>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</si>
  <si>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</si>
  <si>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</si>
  <si>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</si>
  <si>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</si>
  <si>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</si>
  <si>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</si>
  <si>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</si>
  <si>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</si>
  <si>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</si>
  <si>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</si>
  <si>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</si>
  <si>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</si>
  <si>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</si>
  <si>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</si>
  <si>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</si>
  <si>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</si>
  <si>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</si>
  <si>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</si>
  <si>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</si>
  <si>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</si>
  <si>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</si>
  <si>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</si>
  <si>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</si>
  <si>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</si>
  <si>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</si>
  <si>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</si>
  <si>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</si>
  <si>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</si>
  <si>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</si>
  <si>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</si>
  <si>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</si>
  <si>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</si>
  <si>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</si>
  <si>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</si>
  <si>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</si>
  <si>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</si>
  <si>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</si>
  <si>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</si>
  <si>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O:AAPL 13N715.00</t>
  </si>
  <si>
    <t>Send</t>
  </si>
  <si>
    <t>Allocation1</t>
  </si>
  <si>
    <t>Sell to Open</t>
  </si>
  <si>
    <t>RTPNL</t>
  </si>
  <si>
    <t>OpenRTPNL</t>
  </si>
  <si>
    <t>Nirvana,PM</t>
  </si>
  <si>
    <t>SummaryDashboard</t>
  </si>
  <si>
    <t>IncreaseOrUnwindPositionRTPNL</t>
  </si>
  <si>
    <t>Increase Position</t>
  </si>
  <si>
    <t>Simulator</t>
  </si>
  <si>
    <t>SelectTrade</t>
  </si>
  <si>
    <t>AcknowledgeTrade</t>
  </si>
  <si>
    <t>ExecuteTrade</t>
  </si>
  <si>
    <t>Yes</t>
  </si>
  <si>
    <t>PranaClient</t>
  </si>
  <si>
    <t>LoginClient</t>
  </si>
  <si>
    <t>Support6</t>
  </si>
  <si>
    <t>Nirvana@1</t>
  </si>
  <si>
    <t>VerifyRowAllFixLogs</t>
  </si>
  <si>
    <t>(8=FIX.4.2_x0001_9=233_x0001_35=D_x0001_49=SendToMS_x0001_56=MS_x0001_34=45_x0001_52=20250825-10:57:39_x0001_115=TITNTRFXSTNE_x0001_128=SNEX_x0001_11=2025082515354014_x0001_18=1_x0001_55=AAPL_x0001_54=2_x0001_60=20250825-10:57:39_x0001_40=1_x0001_59=0_x0001_21=3_x0001_167=OPT_x0001_200=201302_x0001_205=16_x0001_201=0_x0001_202=715_x0001_231=100_x0001_38=100_x0001_47=A_x0001_22=2_x0001_15=USD_x0001_100=O_x0001_77=O_x0001_10=031_x0001_)</t>
  </si>
  <si>
    <t>(8=FIX.4.2_x0001_9=190_x0001_35=8_x0001_49=MS_x0001_56=SendToMS_x0001_34=50_x0001_52=20250825-11:02:56_x0001_54=2_x0001_11=2025082515354014_x0001_40=1_x0001_38=100_x0001_39=0_x0001_55=AAPL_x0001_17=2025082515354014:0:Ack_x0001_20=0_x0001_37=2025082515354014_x0001_150=0_x0001_6=0_x0001_151=100_x0001_14=0_x0001_32=0_x0001_31=0_x0001_555=0_x0001_10=029_x0001_)</t>
  </si>
  <si>
    <t>(8=FIX.4.2_x0001_9=193_x0001_35=8_x0001_49=MS_x0001_56=SendToMS_x0001_34=51_x0001_52=20250825-11:03:49_x0001_54=2_x0001_11=2025082515354014_x0001_40=1_x0001_38=100_x0001_39=2_x0001_55=AAPL_x0001_17=2025082515354014:1:Fill_x0001_20=0_x0001_37=2025082515354014_x0001_150=2_x0001_6=2_x0001_151=0_x0001_14=100_x0001_32=100_x0001_31=2_x0001_555=0_x0001_10=006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</si>
</sst>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5" fontId="1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0" t="s">
        <v>49</v>
      </c>
      <c r="AJ5" s="30" t="s">
        <v>50</v>
      </c>
      <c r="AK5" s="30" t="s">
        <v>51</v>
      </c>
      <c r="AL5" s="30" t="s">
        <v>52</v>
      </c>
      <c r="AM5" s="30" t="s">
        <v>53</v>
      </c>
      <c r="AN5" s="30" t="s">
        <v>54</v>
      </c>
      <c r="AO5" s="30" t="s">
        <v>55</v>
      </c>
      <c r="AP5" s="30" t="s">
        <v>56</v>
      </c>
      <c r="AQ5" s="30" t="s">
        <v>57</v>
      </c>
      <c r="AR5" s="30" t="s">
        <v>58</v>
      </c>
      <c r="AS5" s="31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>
        <v>100.0</v>
      </c>
      <c r="D6" s="13">
        <v>2.0</v>
      </c>
      <c r="E6" s="13" t="s">
        <v>60</v>
      </c>
      <c r="F6" s="8"/>
      <c r="G6" s="8"/>
      <c r="H6" s="8"/>
      <c r="I6" s="13" t="s">
        <v>61</v>
      </c>
      <c r="J6" s="13" t="s">
        <v>62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65</v>
      </c>
      <c r="C6" s="34" t="s">
        <v>66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IFERROR(__xludf.DUMMYFUNCTION("""COMPUTED_VALUE"""),"Account")</f>
        <v>Account</v>
      </c>
      <c r="F5" s="29" t="str">
        <f>IFERROR(__xludf.DUMMYFUNCTION("""COMPUTED_VALUE"""),"Asset Class")</f>
        <v>Asset Class</v>
      </c>
      <c r="G5" s="28" t="str">
        <f>IFERROR(__xludf.DUMMYFUNCTION("""COMPUTED_VALUE"""),"Position")</f>
        <v>Position</v>
      </c>
      <c r="H5" s="28" t="str">
        <f>IFERROR(__xludf.DUMMYFUNCTION("""COMPUTED_VALUE"""),"Position Side")</f>
        <v>Position Side</v>
      </c>
      <c r="I5" s="28" t="str">
        <f>IFERROR(__xludf.DUMMYFUNCTION("""COMPUTED_VALUE"""),"Px Selected Feed (Local)")</f>
        <v>Px Selected Feed (Local)</v>
      </c>
      <c r="J5" s="28" t="str">
        <f>IFERROR(__xludf.DUMMYFUNCTION("""COMPUTED_VALUE"""),"Px Selected Feed (Base)")</f>
        <v>Px Selected Feed (Base)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Net Market Value (Base)")</f>
        <v>% Net Market Value (Base)</v>
      </c>
      <c r="M5" s="28" t="str">
        <f>IFERROR(__xludf.DUMMYFUNCTION("""COMPUTED_VALUE"""),"Cost Basis P&amp;L (Base)")</f>
        <v>Cost Basis P&amp;L (Base)</v>
      </c>
      <c r="N5" s="28" t="str">
        <f>IFERROR(__xludf.DUMMYFUNCTION("""COMPUTED_VALUE"""),"% Gain/Loss Cost")</f>
        <v>% Gain/Loss Cost</v>
      </c>
      <c r="O5" s="28" t="str">
        <f>IFERROR(__xludf.DUMMYFUNCTION("""COMPUTED_VALUE"""),"Day P&amp;L (Base)")</f>
        <v>Day P&amp;L (Base)</v>
      </c>
      <c r="P5" s="28" t="str">
        <f>IFERROR(__xludf.DUMMYFUNCTION("""COMPUTED_VALUE"""),"% Gain/Loss Day")</f>
        <v>% Gain/Loss Day</v>
      </c>
      <c r="Q5" s="28" t="str">
        <f>IFERROR(__xludf.DUMMYFUNCTION("""COMPUTED_VALUE"""),"Exposure (Base)")</f>
        <v>Exposure (Base)</v>
      </c>
      <c r="R5" s="28" t="str">
        <f>IFERROR(__xludf.DUMMYFUNCTION("""COMPUTED_VALUE"""),"% Exposure (Base)")</f>
        <v>% Exposure (Base)</v>
      </c>
      <c r="S5" s="28" t="str">
        <f>IFERROR(__xludf.DUMMYFUNCTION("""COMPUTED_VALUE"""),"Live Feed Provider Ticker")</f>
        <v>Live Feed Provider Ticker</v>
      </c>
      <c r="T5" s="30" t="str">
        <f>IFERROR(__xludf.DUMMYFUNCTION("""COMPUTED_VALUE"""),"PositionAction")</f>
        <v>PositionAction</v>
      </c>
      <c r="U5" s="30" t="str">
        <f>IFERROR(__xludf.DUMMYFUNCTION("""COMPUTED_VALUE"""),"VerifyOptionsList")</f>
        <v>VerifyOptionsList</v>
      </c>
      <c r="V5" s="30" t="str">
        <f>IFERROR(__xludf.DUMMYFUNCTION("""COMPUTED_VALUE"""),"Disable/Grey buttons")</f>
        <v>Disable/Grey buttons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/>
      <c r="D6" s="13"/>
      <c r="E6" s="13" t="s">
        <v>61</v>
      </c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68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0" t="s">
        <v>49</v>
      </c>
      <c r="AJ5" s="30" t="s">
        <v>50</v>
      </c>
      <c r="AK5" s="30" t="s">
        <v>51</v>
      </c>
      <c r="AL5" s="30" t="s">
        <v>52</v>
      </c>
      <c r="AM5" s="30" t="s">
        <v>53</v>
      </c>
      <c r="AN5" s="30" t="s">
        <v>54</v>
      </c>
      <c r="AO5" s="30" t="s">
        <v>55</v>
      </c>
      <c r="AP5" s="30" t="s">
        <v>56</v>
      </c>
      <c r="AQ5" s="30" t="s">
        <v>57</v>
      </c>
      <c r="AR5" s="30" t="s">
        <v>58</v>
      </c>
      <c r="AS5" s="31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>
        <v>100.0</v>
      </c>
      <c r="D6" s="13">
        <v>2.0</v>
      </c>
      <c r="E6" s="13" t="s">
        <v>60</v>
      </c>
      <c r="F6" s="8"/>
      <c r="G6" s="8"/>
      <c r="H6" s="8"/>
      <c r="I6" s="8"/>
      <c r="J6" s="13" t="s">
        <v>62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 t="s">
        <v>73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74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76</v>
      </c>
      <c r="C6" s="13" t="s">
        <v>77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79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80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