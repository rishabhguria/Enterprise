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AddNavLock" sheetId="5" r:id="rId7"/>
    <sheet state="visible" name="CreateTransaction" sheetId="6" r:id="rId8"/>
    <sheet state="visible" name="VerifyNavLockPopup" sheetId="7" r:id="rId9"/>
    <sheet state="visible" name="CreateTransaction1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<sst xmlns="http://schemas.openxmlformats.org/spreadsheetml/2006/main" count="71" uniqueCount="34">
  <si>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</si>
  <si>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</si>
  <si>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</si>
  <si>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</si>
  <si>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</si>
  <si>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</si>
  <si>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</si>
  <si>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</si>
  <si>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</si>
  <si>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</si>
  <si>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</si>
  <si>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</si>
  <si>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</si>
  <si>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</si>
  <si>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</si>
  <si>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</si>
  <si>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</si>
  <si>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NavLock</t>
  </si>
  <si>
    <t>AddNavLock</t>
  </si>
  <si>
    <t>CreateTransaction</t>
  </si>
  <si>
    <t>AAPL</t>
  </si>
  <si>
    <t>Allocation1</t>
  </si>
  <si>
    <t>Buy</t>
  </si>
  <si>
    <t>VerifyNavLockPopup</t>
  </si>
  <si>
    <t>CT</t>
  </si>
  <si>
    <t>Allocation</t>
  </si>
  <si>
    <t>CheckAllocatedGroups</t>
  </si>
  <si>
    <t>Manual</t>
  </si>
  <si>
    <t>Equity</t>
  </si>
  <si>
    <t>AAPL US EQUITY</t>
  </si>
  <si>
    <t>APPLE</t>
  </si>
  <si>
    <t>USD</t>
  </si>
  <si>
    <t>NASDAQ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</si>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</sst>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1F1F1F"/>
      <name val="&quot;Google Sans&quot;"/>
    </font>
    <font>
      <sz val="10.0"/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14" xfId="0" applyAlignment="1" applyFill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0" fillId="6" fontId="14" numFmtId="0" xfId="0" applyAlignment="1" applyFont="1">
      <alignment vertical="bottom"/>
    </xf>
    <xf borderId="0" fillId="6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TODAY()-1</f>
        <v>45476</v>
      </c>
      <c r="C6" s="35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IFERROR(__xludf.DUMMYFUNCTION("""COMPUTED_VALUE"""),"VerifyCTNavLockPopup")</f>
        <v>VerifyCTNavLockPopup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 t="str">
        <f>IFERROR(__xludf.DUMMYFUNCTION("""COMPUTED_VALUE"""),"SaveTransaction")</f>
        <v>SaveTransaction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20</v>
      </c>
      <c r="C6" s="37" t="s">
        <v>21</v>
      </c>
      <c r="D6" s="36" t="s">
        <v>22</v>
      </c>
      <c r="E6" s="38">
        <v>100.0</v>
      </c>
      <c r="F6" s="33"/>
      <c r="G6" s="39">
        <v>2.0</v>
      </c>
      <c r="H6" s="33"/>
      <c r="I6" s="40">
        <f>TODAY()-2</f>
        <v>45475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tr">
        <f>"For some of the orders the date you’ve chosen to for this action precedes your NAV Lock date (" &amp; MONTH(TODAY()-1) &amp; "/" &amp; DAY(TODAY()-1) &amp; "/" &amp; YEAR(TODAY()-1) &amp; "). Please reach out to your Support Team for further assistance"</f>
        <v>For some of the orders the date you’ve chosen to for this action precedes your NAV Lock date (7/3/2024). Please reach out to your Support Team for further assistance</v>
      </c>
      <c r="C6" s="42" t="s">
        <v>24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VerifyNavLockPopup!$4:$4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IFERROR(__xludf.DUMMYFUNCTION("""COMPUTED_VALUE"""),"VerifyCTNavLockPopup")</f>
        <v>VerifyCTNavLockPopup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 t="str">
        <f>IFERROR(__xludf.DUMMYFUNCTION("""COMPUTED_VALUE"""),"SaveTransaction")</f>
        <v>SaveTransaction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20</v>
      </c>
      <c r="C6" s="37" t="s">
        <v>21</v>
      </c>
      <c r="D6" s="36" t="s">
        <v>22</v>
      </c>
      <c r="E6" s="38">
        <v>100.0</v>
      </c>
      <c r="F6" s="33"/>
      <c r="G6" s="39">
        <v>2.0</v>
      </c>
      <c r="H6" s="33"/>
      <c r="I6" s="40">
        <f>TODAY()</f>
        <v>45477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0"/>
      <c r="B7" s="37"/>
      <c r="C7" s="37"/>
      <c r="D7" s="36"/>
      <c r="E7" s="38"/>
      <c r="F7" s="33"/>
      <c r="G7" s="39"/>
      <c r="H7" s="33"/>
      <c r="I7" s="12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>
        <v>100.0</v>
      </c>
      <c r="F6" s="12" t="s">
        <v>27</v>
      </c>
      <c r="G6" s="12" t="s">
        <v>28</v>
      </c>
      <c r="H6" s="8"/>
      <c r="I6" s="8"/>
      <c r="J6" s="8"/>
      <c r="K6" s="12">
        <v>2.0</v>
      </c>
      <c r="L6" s="12">
        <v>2.0</v>
      </c>
      <c r="M6" s="12" t="s">
        <v>29</v>
      </c>
      <c r="N6" s="8"/>
      <c r="O6" s="8"/>
      <c r="V6" s="9" t="s">
        <v>30</v>
      </c>
      <c r="Z6" s="9" t="s">
        <v>31</v>
      </c>
      <c r="AD6" s="9" t="s">
        <v>32</v>
      </c>
      <c r="AE6" s="9">
        <v>100.0</v>
      </c>
      <c r="AH6" s="9" t="s">
        <v>33</v>
      </c>
      <c r="AI6" s="9">
        <v>1.0</v>
      </c>
      <c r="BJ6" s="9">
        <v>100.0</v>
      </c>
      <c r="BO6" s="9" t="s">
        <v>22</v>
      </c>
      <c r="B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