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SelectTradeOnOrderGrid" sheetId="7" r:id="rId9"/>
    <sheet state="visible" name="ReplaceSubOrder" sheetId="8" r:id="rId10"/>
    <sheet state="visible" name="CreateReplaceOrder" sheetId="9" r:id="rId11"/>
    <sheet state="visible" name="VerifySubOrder" sheetId="10" r:id="rId12"/>
    <sheet state="visible" name="SelectTrade1" sheetId="11" r:id="rId13"/>
    <sheet state="visible" name="AcknowledgeTrade1" sheetId="12" r:id="rId14"/>
    <sheet state="visible" name="VerifySubOrder1" sheetId="13" r:id="rId15"/>
    <sheet state="visible" name="CreateLiveOrder1" sheetId="14" r:id="rId16"/>
    <sheet state="visible" name="SelectTrade2" sheetId="15" r:id="rId17"/>
    <sheet state="visible" name="AcknowledgeTrade2" sheetId="16" r:id="rId18"/>
    <sheet state="visible" name="SelectTradeOnOrderGrid1" sheetId="17" r:id="rId19"/>
    <sheet state="visible" name="CancelSubOrder" sheetId="18" r:id="rId20"/>
    <sheet state="visible" name="SelectTrade3" sheetId="19" r:id="rId21"/>
    <sheet state="visible" name="AcknowledgeTrade3" sheetId="20" r:id="rId22"/>
    <sheet state="visible" name="VerifyWorkingSubs" sheetId="21" r:id="rId23"/>
  </sheets>
  <definedNames/>
  <calcPr/>
</workbook>
</file>

<file path=xl/sharedStrings.xml><?xml version="1.0" encoding="utf-8"?>
<sst xmlns="http://schemas.openxmlformats.org/spreadsheetml/2006/main" count="184" uniqueCount="35">
  <si>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</si>
  <si>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</si>
  <si>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</si>
  <si>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</si>
  <si>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</si>
  <si>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</si>
  <si>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</si>
  <si>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</si>
  <si>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</si>
  <si>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</si>
  <si>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</si>
  <si>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</si>
  <si>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</si>
  <si>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</si>
  <si>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</si>
  <si>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</si>
  <si>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</si>
  <si>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</si>
  <si>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Simulator</t>
  </si>
  <si>
    <t>SelectTrade</t>
  </si>
  <si>
    <t>AcknowledgeTrade</t>
  </si>
  <si>
    <t>Blotter</t>
  </si>
  <si>
    <t>SelectTradeOnOrderGrid</t>
  </si>
  <si>
    <t>New</t>
  </si>
  <si>
    <t>ReplaceSubOrder</t>
  </si>
  <si>
    <t>CreateReplaceOrder</t>
  </si>
  <si>
    <t>VerifySubOrder</t>
  </si>
  <si>
    <t>PendingReplace</t>
  </si>
  <si>
    <t>Replaced</t>
  </si>
  <si>
    <t>MS</t>
  </si>
  <si>
    <t>Allocation1</t>
  </si>
  <si>
    <t>IBM</t>
  </si>
  <si>
    <t>CancelSubOrder</t>
  </si>
  <si>
    <t>VerifyWorkingSubs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</si>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</sst>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>
      <c r="A849" t="str">
        <f>IFERROR(__xludf.DUMMYFUNCTION("""COMPUTED_VALUE"""),"Simulator")</f>
        <v>Simulator</v>
      </c>
      <c r="B849" t="str">
        <f>IFERROR(__xludf.DUMMYFUNCTION("""COMPUTED_VALUE"""),"SaveTradeData")</f>
        <v>SaveTradeData</v>
      </c>
      <c r="C849" t="str">
        <f>IFERROR(__xludf.DUMMYFUNCTION("""COMPUTED_VALUE"""),"1QHe0AIblQSvVdFFnG3QZlYyVQWaiS1Idy_TPgdNyIjI")</f>
        <v>1QHe0AIblQSvVdFFnG3QZlYyVQWaiS1Idy_TPgdNyIjI</v>
      </c>
    </row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2000.0</v>
      </c>
      <c r="E6" s="31"/>
      <c r="F6" s="8"/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23</v>
      </c>
      <c r="H6" s="13">
        <v>2000.0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23</v>
      </c>
      <c r="AM6" s="9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2000.0</v>
      </c>
      <c r="E6" s="31"/>
      <c r="F6" s="8"/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27</v>
      </c>
      <c r="AL6" s="9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28</v>
      </c>
      <c r="AL6" s="9">
        <v>2000.0</v>
      </c>
      <c r="AQ6" s="9" t="s">
        <v>29</v>
      </c>
      <c r="AR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17</v>
      </c>
      <c r="D6" s="13">
        <v>2000.0</v>
      </c>
      <c r="E6" s="13">
        <v>1000.0</v>
      </c>
      <c r="F6" s="8"/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31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31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31</v>
      </c>
      <c r="E6" s="31"/>
      <c r="F6" s="13" t="s">
        <v>17</v>
      </c>
      <c r="G6" s="13" t="s">
        <v>23</v>
      </c>
      <c r="H6" s="13">
        <v>2000.0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31</v>
      </c>
      <c r="AJ6" s="9" t="s">
        <v>17</v>
      </c>
      <c r="AK6" s="9" t="s">
        <v>23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31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31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 t="str">
        <f>IFERROR(__xludf.DUMMYFUNCTION("""COMPUTED_VALUE"""),"Testing Type")</f>
        <v>Testing Type</v>
      </c>
      <c r="BG5" s="30" t="str">
        <f>IFERROR(__xludf.DUMMYFUNCTION("""COMPUTED_VALUE"""),"Testing Column")</f>
        <v>Testing Column</v>
      </c>
      <c r="BH5" s="30" t="str">
        <f>IFERROR(__xludf.DUMMYFUNCTION("""COMPUTED_VALUE"""),"Testing Col Value")</f>
        <v>Testing Col Value</v>
      </c>
      <c r="BI5" s="30" t="str">
        <f>IFERROR(__xludf.DUMMYFUNCTION("""COMPUTED_VALUE"""),"DuplicateRow")</f>
        <v>DuplicateRow</v>
      </c>
      <c r="BJ5" s="30" t="str">
        <f>IFERROR(__xludf.DUMMYFUNCTION("""COMPUTED_VALUE"""),"DuplicateCountOnUI")</f>
        <v>DuplicateCountOnUI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17</v>
      </c>
      <c r="D6" s="13">
        <v>1000.0</v>
      </c>
      <c r="E6" s="31"/>
      <c r="F6" s="8"/>
      <c r="G6" s="13" t="s">
        <v>34</v>
      </c>
      <c r="H6" s="8"/>
      <c r="I6" s="8"/>
      <c r="J6" s="8"/>
      <c r="K6" s="13" t="s">
        <v>29</v>
      </c>
      <c r="L6" s="13" t="s">
        <v>30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