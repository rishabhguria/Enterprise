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MergeOrder" sheetId="5" r:id="rId7"/>
    <sheet state="visible" name="MergeOrder2" sheetId="6" r:id="rId8"/>
    <sheet state="visible" name="MergeOrder3" sheetId="7" r:id="rId9"/>
    <sheet state="visible" name="MergeOrder4" sheetId="8" r:id="rId10"/>
    <sheet state="visible" name="MergeOrder5" sheetId="9" r:id="rId11"/>
    <sheet state="visible" name="MergeOrder6" sheetId="10" r:id="rId12"/>
    <sheet state="visible" name="LoginClient" sheetId="11" r:id="rId13"/>
    <sheet state="visible" name="VerifyMergeOrder" sheetId="12" r:id="rId14"/>
    <sheet state="visible" name="VerifyRowCalculationBaseWindow" sheetId="13" r:id="rId15"/>
  </sheets>
  <definedNames/>
  <calcPr/>
</workbook>
</file>

<file path=xl/sharedStrings.xml><?xml version="1.0" encoding="utf-8"?>
<sst xmlns="http://schemas.openxmlformats.org/spreadsheetml/2006/main" count="269" uniqueCount="48">
  <si>
    <t>Modules Info</t>
  </si>
  <si>
    <t>Modules</t>
  </si>
  <si>
    <t>Settings</t>
  </si>
  <si>
    <t>Module Step Setting File</t>
  </si>
  <si>
    <t>1K8ZvVNuTwmBNFJDFZePBBtFSBNuEnt5jA54fLNZWShw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</si>
  <si>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</si>
  <si>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</si>
  <si>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</si>
  <si>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</si>
  <si>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</si>
  <si>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</si>
  <si>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</si>
  <si>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</si>
  <si>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</si>
  <si>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</si>
  <si>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</si>
  <si>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>AAPL</t>
  </si>
  <si>
    <t>Buy</t>
  </si>
  <si>
    <t>Allocation1</t>
  </si>
  <si>
    <t>MS</t>
  </si>
  <si>
    <t>Limit</t>
  </si>
  <si>
    <t>NASDAQ</t>
  </si>
  <si>
    <t xml:space="preserve"> O:AAPL 13G405.00</t>
  </si>
  <si>
    <t>Buy to Open</t>
  </si>
  <si>
    <t xml:space="preserve"> ES U9</t>
  </si>
  <si>
    <t>Sell</t>
  </si>
  <si>
    <t xml:space="preserve"> FRU-TC</t>
  </si>
  <si>
    <t>Sell short</t>
  </si>
  <si>
    <t>GS</t>
  </si>
  <si>
    <t>Drops</t>
  </si>
  <si>
    <t>Sell to Close</t>
  </si>
  <si>
    <t>Buy to Close</t>
  </si>
  <si>
    <t>Blotter</t>
  </si>
  <si>
    <t>MergeOrder</t>
  </si>
  <si>
    <t>New</t>
  </si>
  <si>
    <t>Yes</t>
  </si>
  <si>
    <t>O:AAPL 13G405.00</t>
  </si>
  <si>
    <t>ES U9</t>
  </si>
  <si>
    <t>FRU-TC</t>
  </si>
  <si>
    <t>PranaClient</t>
  </si>
  <si>
    <t>LoginClient</t>
  </si>
  <si>
    <t>Support2</t>
  </si>
  <si>
    <t>Nirvana@1</t>
  </si>
  <si>
    <t>VerifyMergeOrder</t>
  </si>
  <si>
    <t>Compliance</t>
  </si>
  <si>
    <t>VerifyRowCalculationBaseWindow</t>
  </si>
  <si>
    <t>InTradeStage</t>
  </si>
  <si>
    <t>NewMF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</si>
</sst>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&quot;Times New Roman&quot;"/>
    </font>
  </fonts>
  <fills count="8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CBD6E0"/>
        <bgColor rgb="FFCBD6E0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3" numFmtId="0" xfId="0" applyAlignment="1" applyFont="1">
      <alignment horizontal="center"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horizontal="right" vertical="bottom"/>
    </xf>
    <xf borderId="5" fillId="6" fontId="13" numFmtId="0" xfId="0" applyAlignment="1" applyBorder="1" applyFill="1" applyFont="1">
      <alignment horizontal="left" readingOrder="0" shrinkToFit="0" vertical="top" wrapText="0"/>
    </xf>
    <xf borderId="5" fillId="7" fontId="13" numFmtId="0" xfId="0" applyAlignment="1" applyBorder="1" applyFill="1" applyFont="1">
      <alignment horizontal="lef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IFERROR(__xludf.DUMMYFUNCTION("""COMPUTED_VALUE"""),"EditOrder")</f>
        <v>EditOrder</v>
      </c>
      <c r="AO5" s="29" t="str">
        <f>IFERROR(__xludf.DUMMYFUNCTION("""COMPUTED_VALUE"""),"ShortLocate")</f>
        <v>ShortLocate</v>
      </c>
      <c r="AP5" s="29" t="str">
        <f>IFERROR(__xludf.DUMMYFUNCTION("""COMPUTED_VALUE"""),"ChkBoxBookAsSwap")</f>
        <v>ChkBoxBookAsSwap</v>
      </c>
      <c r="AQ5" s="29" t="str">
        <f>IFERROR(__xludf.DUMMYFUNCTION("""COMPUTED_VALUE"""),"Interest Rate")</f>
        <v>Interest Rate</v>
      </c>
      <c r="AR5" s="29" t="str">
        <f>IFERROR(__xludf.DUMMYFUNCTION("""COMPUTED_VALUE"""),"Master Funds")</f>
        <v>Master Funds</v>
      </c>
      <c r="AS5" s="29" t="str">
        <f>IFERROR(__xludf.DUMMYFUNCTION("""COMPUTED_VALUE"""),"Rate(%)")</f>
        <v>Rate(%)</v>
      </c>
      <c r="AT5" s="29" t="str">
        <f>IFERROR(__xludf.DUMMYFUNCTION("""COMPUTED_VALUE"""),"BorrowerID")</f>
        <v>BorrowerID</v>
      </c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0" t="s">
        <v>16</v>
      </c>
      <c r="C6" s="30" t="s">
        <v>17</v>
      </c>
      <c r="D6" s="31">
        <v>100.0</v>
      </c>
      <c r="E6" s="32"/>
      <c r="F6" s="33" t="s">
        <v>18</v>
      </c>
      <c r="G6" s="33" t="s">
        <v>19</v>
      </c>
      <c r="H6" s="32"/>
      <c r="I6" s="33" t="s">
        <v>20</v>
      </c>
      <c r="J6" s="34">
        <v>5.0</v>
      </c>
      <c r="K6" s="8"/>
      <c r="L6" s="12">
        <v>120.0</v>
      </c>
      <c r="M6" s="8"/>
      <c r="N6" s="8"/>
      <c r="O6" s="8"/>
      <c r="AB6" s="32" t="s">
        <v>21</v>
      </c>
    </row>
    <row r="7" ht="15.75" customHeight="1">
      <c r="A7" s="8"/>
      <c r="B7" s="30" t="s">
        <v>16</v>
      </c>
      <c r="C7" s="30" t="s">
        <v>17</v>
      </c>
      <c r="D7" s="31">
        <v>100.0</v>
      </c>
      <c r="E7" s="32"/>
      <c r="F7" s="33" t="s">
        <v>18</v>
      </c>
      <c r="G7" s="33" t="s">
        <v>19</v>
      </c>
      <c r="H7" s="32"/>
      <c r="I7" s="33" t="s">
        <v>20</v>
      </c>
      <c r="J7" s="34">
        <v>5.0</v>
      </c>
      <c r="K7" s="8"/>
      <c r="L7" s="12">
        <v>120.0</v>
      </c>
      <c r="M7" s="8"/>
      <c r="N7" s="8"/>
      <c r="O7" s="8"/>
      <c r="AB7" s="32" t="s">
        <v>21</v>
      </c>
    </row>
    <row r="8" ht="15.75" customHeight="1">
      <c r="A8" s="8"/>
      <c r="B8" s="30" t="s">
        <v>22</v>
      </c>
      <c r="C8" s="30" t="s">
        <v>23</v>
      </c>
      <c r="D8" s="34">
        <v>100.0</v>
      </c>
      <c r="E8" s="32"/>
      <c r="F8" s="33" t="s">
        <v>18</v>
      </c>
      <c r="G8" s="33" t="s">
        <v>19</v>
      </c>
      <c r="H8" s="32"/>
      <c r="I8" s="33" t="s">
        <v>20</v>
      </c>
      <c r="J8" s="34">
        <v>5.0</v>
      </c>
      <c r="K8" s="8"/>
      <c r="L8" s="12">
        <v>130.0</v>
      </c>
      <c r="M8" s="8"/>
      <c r="N8" s="8"/>
      <c r="O8" s="8"/>
      <c r="AB8" s="32" t="s">
        <v>21</v>
      </c>
    </row>
    <row r="9" ht="15.75" customHeight="1">
      <c r="A9" s="8"/>
      <c r="B9" s="35" t="s">
        <v>22</v>
      </c>
      <c r="C9" s="35" t="s">
        <v>23</v>
      </c>
      <c r="D9" s="34">
        <v>100.0</v>
      </c>
      <c r="E9" s="32"/>
      <c r="F9" s="33" t="s">
        <v>18</v>
      </c>
      <c r="G9" s="33" t="s">
        <v>19</v>
      </c>
      <c r="H9" s="32"/>
      <c r="I9" s="33" t="s">
        <v>20</v>
      </c>
      <c r="J9" s="34">
        <v>5.0</v>
      </c>
      <c r="K9" s="8"/>
      <c r="L9" s="12">
        <v>130.0</v>
      </c>
      <c r="M9" s="8"/>
      <c r="N9" s="8"/>
      <c r="O9" s="8"/>
      <c r="AB9" s="32" t="s">
        <v>21</v>
      </c>
    </row>
    <row r="10" ht="15.75" customHeight="1">
      <c r="A10" s="8"/>
      <c r="B10" s="35" t="s">
        <v>24</v>
      </c>
      <c r="C10" s="35" t="s">
        <v>25</v>
      </c>
      <c r="D10" s="34">
        <v>100.0</v>
      </c>
      <c r="E10" s="32"/>
      <c r="F10" s="33" t="s">
        <v>18</v>
      </c>
      <c r="G10" s="33" t="s">
        <v>19</v>
      </c>
      <c r="H10" s="32"/>
      <c r="I10" s="33" t="s">
        <v>20</v>
      </c>
      <c r="J10" s="34">
        <v>5.0</v>
      </c>
      <c r="K10" s="8"/>
      <c r="L10" s="12">
        <v>140.0</v>
      </c>
      <c r="M10" s="8"/>
      <c r="N10" s="8"/>
      <c r="O10" s="8"/>
      <c r="AB10" s="32" t="s">
        <v>21</v>
      </c>
    </row>
    <row r="11" ht="15.75" customHeight="1">
      <c r="A11" s="8"/>
      <c r="B11" s="35" t="s">
        <v>24</v>
      </c>
      <c r="C11" s="35" t="s">
        <v>25</v>
      </c>
      <c r="D11" s="34">
        <v>100.0</v>
      </c>
      <c r="E11" s="32"/>
      <c r="F11" s="33" t="s">
        <v>18</v>
      </c>
      <c r="G11" s="33" t="s">
        <v>19</v>
      </c>
      <c r="H11" s="32"/>
      <c r="I11" s="33" t="s">
        <v>20</v>
      </c>
      <c r="J11" s="34">
        <v>5.0</v>
      </c>
      <c r="K11" s="8"/>
      <c r="L11" s="12">
        <v>140.0</v>
      </c>
      <c r="M11" s="8"/>
      <c r="N11" s="8"/>
      <c r="O11" s="8"/>
      <c r="AB11" s="32" t="s">
        <v>21</v>
      </c>
    </row>
    <row r="12" ht="15.75" customHeight="1">
      <c r="A12" s="8"/>
      <c r="B12" s="35" t="s">
        <v>26</v>
      </c>
      <c r="C12" s="35" t="s">
        <v>27</v>
      </c>
      <c r="D12" s="34">
        <v>100.0</v>
      </c>
      <c r="E12" s="32"/>
      <c r="F12" s="33" t="s">
        <v>18</v>
      </c>
      <c r="G12" s="33" t="s">
        <v>28</v>
      </c>
      <c r="H12" s="32"/>
      <c r="I12" s="33" t="s">
        <v>20</v>
      </c>
      <c r="J12" s="34">
        <v>5.0</v>
      </c>
      <c r="K12" s="8"/>
      <c r="L12" s="12">
        <v>150.0</v>
      </c>
      <c r="M12" s="8"/>
      <c r="N12" s="8"/>
      <c r="O12" s="8"/>
      <c r="AB12" s="32" t="s">
        <v>29</v>
      </c>
    </row>
    <row r="13" ht="15.75" customHeight="1">
      <c r="A13" s="8"/>
      <c r="B13" s="35" t="s">
        <v>26</v>
      </c>
      <c r="C13" s="35" t="s">
        <v>27</v>
      </c>
      <c r="D13" s="34">
        <v>100.0</v>
      </c>
      <c r="E13" s="32"/>
      <c r="F13" s="33" t="s">
        <v>18</v>
      </c>
      <c r="G13" s="33" t="s">
        <v>28</v>
      </c>
      <c r="H13" s="32"/>
      <c r="I13" s="33" t="s">
        <v>20</v>
      </c>
      <c r="J13" s="34">
        <v>5.0</v>
      </c>
      <c r="K13" s="8"/>
      <c r="L13" s="12">
        <v>150.0</v>
      </c>
      <c r="M13" s="8"/>
      <c r="N13" s="8"/>
      <c r="O13" s="8"/>
      <c r="AB13" s="32" t="s">
        <v>29</v>
      </c>
    </row>
    <row r="14" ht="15.75" customHeight="1">
      <c r="A14" s="8"/>
      <c r="B14" s="35" t="s">
        <v>22</v>
      </c>
      <c r="C14" s="35" t="s">
        <v>30</v>
      </c>
      <c r="D14" s="34">
        <v>100.0</v>
      </c>
      <c r="E14" s="32"/>
      <c r="F14" s="33" t="s">
        <v>18</v>
      </c>
      <c r="G14" s="33" t="s">
        <v>28</v>
      </c>
      <c r="H14" s="32"/>
      <c r="I14" s="33" t="s">
        <v>20</v>
      </c>
      <c r="J14" s="34">
        <v>5.0</v>
      </c>
      <c r="K14" s="8"/>
      <c r="L14" s="12">
        <v>160.0</v>
      </c>
      <c r="M14" s="8"/>
      <c r="N14" s="8"/>
      <c r="O14" s="8"/>
      <c r="AB14" s="32" t="s">
        <v>29</v>
      </c>
    </row>
    <row r="15" ht="15.75" customHeight="1">
      <c r="A15" s="8"/>
      <c r="B15" s="35" t="s">
        <v>22</v>
      </c>
      <c r="C15" s="35" t="s">
        <v>30</v>
      </c>
      <c r="D15" s="34">
        <v>100.0</v>
      </c>
      <c r="E15" s="32"/>
      <c r="F15" s="33" t="s">
        <v>18</v>
      </c>
      <c r="G15" s="33" t="s">
        <v>28</v>
      </c>
      <c r="H15" s="32"/>
      <c r="I15" s="33" t="s">
        <v>20</v>
      </c>
      <c r="J15" s="34">
        <v>5.0</v>
      </c>
      <c r="K15" s="8"/>
      <c r="L15" s="12">
        <v>160.0</v>
      </c>
      <c r="M15" s="8"/>
      <c r="N15" s="8"/>
      <c r="O15" s="8"/>
      <c r="AB15" s="32" t="s">
        <v>29</v>
      </c>
    </row>
    <row r="16" ht="15.75" customHeight="1">
      <c r="A16" s="8"/>
      <c r="B16" s="35" t="s">
        <v>22</v>
      </c>
      <c r="C16" s="35" t="s">
        <v>31</v>
      </c>
      <c r="D16" s="34">
        <v>100.0</v>
      </c>
      <c r="E16" s="32"/>
      <c r="F16" s="33" t="s">
        <v>18</v>
      </c>
      <c r="G16" s="33" t="s">
        <v>28</v>
      </c>
      <c r="H16" s="32"/>
      <c r="I16" s="33" t="s">
        <v>20</v>
      </c>
      <c r="J16" s="34">
        <v>5.0</v>
      </c>
      <c r="K16" s="8"/>
      <c r="L16" s="12">
        <v>100.0</v>
      </c>
      <c r="M16" s="8"/>
      <c r="N16" s="8"/>
      <c r="O16" s="8"/>
      <c r="AB16" s="32" t="s">
        <v>29</v>
      </c>
    </row>
    <row r="17" ht="15.75" customHeight="1">
      <c r="A17" s="8"/>
      <c r="B17" s="35" t="s">
        <v>22</v>
      </c>
      <c r="C17" s="35" t="s">
        <v>31</v>
      </c>
      <c r="D17" s="34">
        <v>100.0</v>
      </c>
      <c r="E17" s="32"/>
      <c r="F17" s="33" t="s">
        <v>18</v>
      </c>
      <c r="G17" s="33" t="s">
        <v>28</v>
      </c>
      <c r="H17" s="32"/>
      <c r="I17" s="33" t="s">
        <v>20</v>
      </c>
      <c r="J17" s="34">
        <v>5.0</v>
      </c>
      <c r="K17" s="8"/>
      <c r="L17" s="12">
        <v>100.0</v>
      </c>
      <c r="M17" s="8"/>
      <c r="N17" s="8"/>
      <c r="O17" s="8"/>
      <c r="AB17" s="32" t="s">
        <v>29</v>
      </c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CreateStageOrder!$4:$4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0" t="s">
        <v>16</v>
      </c>
      <c r="F6" s="30" t="s">
        <v>17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0" t="s">
        <v>16</v>
      </c>
      <c r="F7" s="30" t="s">
        <v>17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36</v>
      </c>
      <c r="F6" s="30" t="s">
        <v>23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8" t="s">
        <v>36</v>
      </c>
      <c r="F7" s="35" t="s">
        <v>23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MergeOrder2!$4:$4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37</v>
      </c>
      <c r="F6" s="35" t="s">
        <v>25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8" t="s">
        <v>37</v>
      </c>
      <c r="F7" s="35" t="s">
        <v>25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MergeOrder3!$4:$4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38</v>
      </c>
      <c r="F6" s="35" t="s">
        <v>27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8" t="s">
        <v>38</v>
      </c>
      <c r="F7" s="35" t="s">
        <v>27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MergeOrder4!$4:$4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36</v>
      </c>
      <c r="F6" s="35" t="s">
        <v>30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8" t="s">
        <v>36</v>
      </c>
      <c r="F7" s="35" t="s">
        <v>30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MergeOrder5!$4:$4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IFERROR(__xludf.DUMMYFUNCTION("""COMPUTED_VALUE"""),"Avg Fill Price (Base)")</f>
        <v>Avg Fill Price (Base)</v>
      </c>
      <c r="C5" s="27" t="str">
        <f>IFERROR(__xludf.DUMMYFUNCTION("""COMPUTED_VALUE"""),"Transaction Time")</f>
        <v>Transaction Time</v>
      </c>
      <c r="D5" s="27" t="str">
        <f>IFERROR(__xludf.DUMMYFUNCTION("""COMPUTED_VALUE"""),"Symbol")</f>
        <v>Symbol</v>
      </c>
      <c r="E5" s="27" t="str">
        <f>IFERROR(__xludf.DUMMYFUNCTION("""COMPUTED_VALUE"""),"Algo")</f>
        <v>Algo</v>
      </c>
      <c r="F5" s="28" t="str">
        <f>IFERROR(__xludf.DUMMYFUNCTION("""COMPUTED_VALUE"""),"Side")</f>
        <v>Side</v>
      </c>
      <c r="G5" s="27" t="str">
        <f>IFERROR(__xludf.DUMMYFUNCTION("""COMPUTED_VALUE"""),"Status")</f>
        <v>Status</v>
      </c>
      <c r="H5" s="27" t="str">
        <f>IFERROR(__xludf.DUMMYFUNCTION("""COMPUTED_VALUE"""),"Target Qty")</f>
        <v>Target Qty</v>
      </c>
      <c r="I5" s="27" t="str">
        <f>IFERROR(__xludf.DUMMYFUNCTION("""COMPUTED_VALUE"""),"Total Executed Qty")</f>
        <v>Total Executed Qty</v>
      </c>
      <c r="J5" s="27" t="str">
        <f>IFERROR(__xludf.DUMMYFUNCTION("""COMPUTED_VALUE"""),"% Executed")</f>
        <v>% Executed</v>
      </c>
      <c r="K5" s="27" t="str">
        <f>IFERROR(__xludf.DUMMYFUNCTION("""COMPUTED_VALUE"""),"Day Executed Qty")</f>
        <v>Day Executed Qty</v>
      </c>
      <c r="L5" s="27" t="str">
        <f>IFERROR(__xludf.DUMMYFUNCTION("""COMPUTED_VALUE"""),"Uncommitted Qty")</f>
        <v>Uncommitted Qty</v>
      </c>
      <c r="M5" s="27" t="str">
        <f>IFERROR(__xludf.DUMMYFUNCTION("""COMPUTED_VALUE"""),"Limit Price")</f>
        <v>Limit Price</v>
      </c>
      <c r="N5" s="27" t="str">
        <f>IFERROR(__xludf.DUMMYFUNCTION("""COMPUTED_VALUE"""),"Last Fill Price (Local)")</f>
        <v>Last Fill Price (Local)</v>
      </c>
      <c r="O5" s="27" t="str">
        <f>IFERROR(__xludf.DUMMYFUNCTION("""COMPUTED_VALUE"""),"Stop Price")</f>
        <v>Stop Price</v>
      </c>
      <c r="P5" s="27" t="str">
        <f>IFERROR(__xludf.DUMMYFUNCTION("""COMPUTED_VALUE"""),"Avg Fill Price (Local)")</f>
        <v>Avg Fill Price (Local)</v>
      </c>
      <c r="Q5" s="27" t="str">
        <f>IFERROR(__xludf.DUMMYFUNCTION("""COMPUTED_VALUE"""),"Broker")</f>
        <v>Broker</v>
      </c>
      <c r="R5" s="27" t="str">
        <f>IFERROR(__xludf.DUMMYFUNCTION("""COMPUTED_VALUE"""),"Account")</f>
        <v>Account</v>
      </c>
      <c r="S5" s="27" t="str">
        <f>IFERROR(__xludf.DUMMYFUNCTION("""COMPUTED_VALUE"""),"OrderID")</f>
        <v>OrderID</v>
      </c>
      <c r="T5" s="29" t="str">
        <f>IFERROR(__xludf.DUMMYFUNCTION("""COMPUTED_VALUE"""),"Order Type")</f>
        <v>Order Type</v>
      </c>
      <c r="U5" s="29" t="str">
        <f>IFERROR(__xludf.DUMMYFUNCTION("""COMPUTED_VALUE"""),"Principal Amount (Local)")</f>
        <v>Principal Amount (Local)</v>
      </c>
      <c r="V5" s="29" t="str">
        <f>IFERROR(__xludf.DUMMYFUNCTION("""COMPUTED_VALUE"""),"Principal Amount (Base)")</f>
        <v>Principal Amount (Base)</v>
      </c>
      <c r="W5" s="29" t="str">
        <f>IFERROR(__xludf.DUMMYFUNCTION("""COMPUTED_VALUE"""),"Peg")</f>
        <v>Peg</v>
      </c>
      <c r="X5" s="29" t="str">
        <f>IFERROR(__xludf.DUMMYFUNCTION("""COMPUTED_VALUE"""),"ParentClOrderID")</f>
        <v>ParentClOrderID</v>
      </c>
      <c r="Y5" s="29" t="str">
        <f>IFERROR(__xludf.DUMMYFUNCTION("""COMPUTED_VALUE"""),"Strike Price")</f>
        <v>Strike Price</v>
      </c>
      <c r="Z5" s="29" t="str">
        <f>IFERROR(__xludf.DUMMYFUNCTION("""COMPUTED_VALUE"""),"Last Shares")</f>
        <v>Last Shares</v>
      </c>
      <c r="AA5" s="29" t="str">
        <f>IFERROR(__xludf.DUMMYFUNCTION("""COMPUTED_VALUE"""),"Working Qty")</f>
        <v>Working Qty</v>
      </c>
      <c r="AB5" s="29" t="str">
        <f>IFERROR(__xludf.DUMMYFUNCTION("""COMPUTED_VALUE"""),"Bloomberg Symbol")</f>
        <v>Bloomberg Symbol</v>
      </c>
      <c r="AC5" s="29" t="str">
        <f>IFERROR(__xludf.DUMMYFUNCTION("""COMPUTED_VALUE"""),"Imported File Name")</f>
        <v>Imported File Name</v>
      </c>
      <c r="AD5" s="29" t="str">
        <f>IFERROR(__xludf.DUMMYFUNCTION("""COMPUTED_VALUE"""),"Master Fund")</f>
        <v>Master Fund</v>
      </c>
      <c r="AE5" s="29" t="str">
        <f>IFERROR(__xludf.DUMMYFUNCTION("""COMPUTED_VALUE"""),"Day Average Price")</f>
        <v>Day Average Price</v>
      </c>
      <c r="AF5" s="29" t="str">
        <f>IFERROR(__xludf.DUMMYFUNCTION("""COMPUTED_VALUE"""),"Asset Class")</f>
        <v>Asset Class</v>
      </c>
      <c r="AG5" s="29" t="str">
        <f>IFERROR(__xludf.DUMMYFUNCTION("""COMPUTED_VALUE"""),"Underlying Country")</f>
        <v>Underlying Country</v>
      </c>
      <c r="AH5" s="29" t="str">
        <f>IFERROR(__xludf.DUMMYFUNCTION("""COMPUTED_VALUE"""),"Trader")</f>
        <v>Trader</v>
      </c>
      <c r="AI5" s="29" t="str">
        <f>IFERROR(__xludf.DUMMYFUNCTION("""COMPUTED_VALUE"""),"User")</f>
        <v>User</v>
      </c>
      <c r="AJ5" s="29" t="str">
        <f>IFERROR(__xludf.DUMMYFUNCTION("""COMPUTED_VALUE"""),"Venue")</f>
        <v>Venue</v>
      </c>
      <c r="AK5" s="29" t="str">
        <f>IFERROR(__xludf.DUMMYFUNCTION("""COMPUTED_VALUE"""),"Settlement Currency")</f>
        <v>Settlement Currency</v>
      </c>
      <c r="AL5" s="29" t="str">
        <f>IFERROR(__xludf.DUMMYFUNCTION("""COMPUTED_VALUE"""),"FX Conversion Operator")</f>
        <v>FX Conversion Operator</v>
      </c>
      <c r="AM5" s="29" t="str">
        <f>IFERROR(__xludf.DUMMYFUNCTION("""COMPUTED_VALUE"""),"Process Date")</f>
        <v>Process Date</v>
      </c>
      <c r="AN5" s="29" t="str">
        <f>IFERROR(__xludf.DUMMYFUNCTION("""COMPUTED_VALUE"""),"Underlying Symbol")</f>
        <v>Underlying Symbol</v>
      </c>
      <c r="AO5" s="29" t="str">
        <f>IFERROR(__xludf.DUMMYFUNCTION("""COMPUTED_VALUE"""),"Put/Call")</f>
        <v>Put/Call</v>
      </c>
      <c r="AP5" s="29" t="str">
        <f>IFERROR(__xludf.DUMMYFUNCTION("""COMPUTED_VALUE"""),"FX Rate")</f>
        <v>FX Rate</v>
      </c>
      <c r="AQ5" s="29" t="str">
        <f>IFERROR(__xludf.DUMMYFUNCTION("""COMPUTED_VALUE"""),"Trade Attribute 1")</f>
        <v>Trade Attribute 1</v>
      </c>
      <c r="AR5" s="29" t="str">
        <f>IFERROR(__xludf.DUMMYFUNCTION("""COMPUTED_VALUE"""),"Trade Attribute 2")</f>
        <v>Trade Attribute 2</v>
      </c>
      <c r="AS5" s="29" t="str">
        <f>IFERROR(__xludf.DUMMYFUNCTION("""COMPUTED_VALUE"""),"Trade Attribute 3")</f>
        <v>Trade Attribute 3</v>
      </c>
      <c r="AT5" s="29" t="str">
        <f>IFERROR(__xludf.DUMMYFUNCTION("""COMPUTED_VALUE"""),"Trade Attribute 4")</f>
        <v>Trade Attribute 4</v>
      </c>
      <c r="AU5" s="29" t="str">
        <f>IFERROR(__xludf.DUMMYFUNCTION("""COMPUTED_VALUE"""),"Trade Attribute 5")</f>
        <v>Trade Attribute 5</v>
      </c>
      <c r="AV5" s="29" t="str">
        <f>IFERROR(__xludf.DUMMYFUNCTION("""COMPUTED_VALUE"""),"Trade Attribute 6")</f>
        <v>Trade Attribute 6</v>
      </c>
      <c r="AW5" s="29" t="str">
        <f>IFERROR(__xludf.DUMMYFUNCTION("""COMPUTED_VALUE"""),"Internal Comments")</f>
        <v>Internal Comments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IFERROR(__xludf.DUMMYFUNCTION("""COMPUTED_VALUE"""),"Allow Merge")</f>
        <v>Allow Merge</v>
      </c>
      <c r="BB5" s="29" t="str">
        <f>IFERROR(__xludf.DUMMYFUNCTION("""COMPUTED_VALUE"""),"ButtonClick")</f>
        <v>ButtonClick</v>
      </c>
      <c r="BC5" s="29" t="str">
        <f>IFERROR(__xludf.DUMMYFUNCTION("""COMPUTED_VALUE"""),"checkBox")</f>
        <v>checkBox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38" t="s">
        <v>36</v>
      </c>
      <c r="F6" s="35" t="s">
        <v>31</v>
      </c>
      <c r="G6" s="9" t="s">
        <v>34</v>
      </c>
      <c r="H6" s="31">
        <v>100.0</v>
      </c>
      <c r="I6" s="8"/>
      <c r="J6" s="8"/>
      <c r="K6" s="8"/>
      <c r="L6" s="8"/>
      <c r="M6" s="8"/>
      <c r="N6" s="8"/>
      <c r="O6" s="8"/>
      <c r="BA6" s="36" t="s">
        <v>35</v>
      </c>
      <c r="BB6" s="32"/>
      <c r="BC6" s="37" t="b">
        <v>0</v>
      </c>
    </row>
    <row r="7" ht="15.75" customHeight="1">
      <c r="A7" s="8"/>
      <c r="B7" s="8"/>
      <c r="C7" s="8"/>
      <c r="D7" s="38" t="s">
        <v>36</v>
      </c>
      <c r="F7" s="35" t="s">
        <v>31</v>
      </c>
      <c r="G7" s="9" t="s">
        <v>34</v>
      </c>
      <c r="H7" s="31">
        <v>100.0</v>
      </c>
      <c r="I7" s="8"/>
      <c r="J7" s="8"/>
      <c r="K7" s="8"/>
      <c r="L7" s="8"/>
      <c r="M7" s="8"/>
      <c r="N7" s="8"/>
      <c r="O7" s="8"/>
      <c r="BA7" s="32" t="s">
        <v>35</v>
      </c>
      <c r="BB7" s="32"/>
      <c r="BC7" s="37" t="b">
        <v>0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MergeOrder6!$4:$4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39</v>
      </c>
      <c r="D3" s="5" t="s">
        <v>9</v>
      </c>
      <c r="E3" s="22" t="s">
        <v>40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IFERROR(__xludf.DUMMYFUNCTION("""COMPUTED_VALUE"""),"LoginUserName")</f>
        <v>LoginUserName</v>
      </c>
      <c r="C5" s="27" t="str">
        <f>IFERROR(__xludf.DUMMYFUNCTION("""COMPUTED_VALUE"""),"LoginPassword")</f>
        <v>LoginPassword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41</v>
      </c>
      <c r="C6" s="12" t="s">
        <v>42</v>
      </c>
      <c r="D6" s="12"/>
      <c r="E6" s="39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LoginClient!$4:$4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32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 t="str">
        <f>IFERROR(__xludf.DUMMYFUNCTION("""COMPUTED_VALUE"""),"ReplaceFillsOnBlotter")</f>
        <v>ReplaceFillsOnBlotter</v>
      </c>
      <c r="CH4" s="25" t="str">
        <f>IFERROR(__xludf.DUMMYFUNCTION("""COMPUTED_VALUE"""),"ReplaceFillsOnBlotter")</f>
        <v>ReplaceFillsOnBlotter</v>
      </c>
      <c r="CI4" s="25" t="str">
        <f>IFERROR(__xludf.DUMMYFUNCTION("""COMPUTED_VALUE"""),"SaveLayoutBlotter")</f>
        <v>SaveLayoutBlotter</v>
      </c>
      <c r="CJ4" s="25" t="str">
        <f>IFERROR(__xludf.DUMMYFUNCTION("""COMPUTED_VALUE"""),"VerifyBlotterNavLockPopup")</f>
        <v>VerifyBlotterNavLockPopup</v>
      </c>
      <c r="CK4" s="25" t="str">
        <f>IFERROR(__xludf.DUMMYFUNCTION("""COMPUTED_VALUE"""),"CustomTabActions")</f>
        <v>CustomTabActions</v>
      </c>
      <c r="CL4" s="25" t="str">
        <f>IFERROR(__xludf.DUMMYFUNCTION("""COMPUTED_VALUE"""),"VerifyAllocationWindow")</f>
        <v>VerifyAllocationWindow</v>
      </c>
      <c r="CM4" s="25" t="str">
        <f>IFERROR(__xludf.DUMMYFUNCTION("""COMPUTED_VALUE"""),"VerifyViewAllocationOrder")</f>
        <v>VerifyViewAllocationOrder</v>
      </c>
      <c r="CN4" s="25" t="str">
        <f>IFERROR(__xludf.DUMMYFUNCTION("""COMPUTED_VALUE"""),"ResizeEnsureBlotter")</f>
        <v>ResizeEnsureBlotter</v>
      </c>
      <c r="CO4" s="25" t="str">
        <f>IFERROR(__xludf.DUMMYFUNCTION("""COMPUTED_VALUE"""),"RightClickOperations")</f>
        <v>RightClickOperations</v>
      </c>
      <c r="CP4" s="25" t="str">
        <f>IFERROR(__xludf.DUMMYFUNCTION("""COMPUTED_VALUE"""),"BlotterToolBarAction")</f>
        <v>BlotterToolBarAction</v>
      </c>
      <c r="CQ4" s="25" t="str">
        <f>IFERROR(__xludf.DUMMYFUNCTION("""COMPUTED_VALUE"""),"SelectTradeOnBlotter")</f>
        <v>SelectTradeOnBlotter</v>
      </c>
      <c r="CR4" s="25" t="str">
        <f>IFERROR(__xludf.DUMMYFUNCTION("""COMPUTED_VALUE"""),"SelectTradeSummary")</f>
        <v>SelectTradeSummary</v>
      </c>
      <c r="CS4" s="25" t="str">
        <f>IFERROR(__xludf.DUMMYFUNCTION("""COMPUTED_VALUE"""),"MergeOrderMessage")</f>
        <v>MergeOrderMessage</v>
      </c>
      <c r="CT4" s="25" t="str">
        <f>IFERROR(__xludf.DUMMYFUNCTION("""COMPUTED_VALUE"""),"SwitchTabBlotter")</f>
        <v>SwitchTabBlotter</v>
      </c>
      <c r="CU4" s="25" t="str">
        <f>IFERROR(__xludf.DUMMYFUNCTION("""COMPUTED_VALUE"""),"AddTab")</f>
        <v>AddTab</v>
      </c>
      <c r="CV4" s="25" t="str">
        <f>IFERROR(__xludf.DUMMYFUNCTION("""COMPUTED_VALUE"""),"UploadStageOrders")</f>
        <v>UploadStageOrders</v>
      </c>
      <c r="CW4" s="25" t="str">
        <f>IFERROR(__xludf.DUMMYFUNCTION("""COMPUTED_VALUE"""),"AddTabToFav")</f>
        <v>AddTabToFav</v>
      </c>
      <c r="CX4" s="25" t="str">
        <f>IFERROR(__xludf.DUMMYFUNCTION("""COMPUTED_VALUE"""),"RollOverContextMenu")</f>
        <v>RollOverContextMenu</v>
      </c>
      <c r="CY4" s="25" t="str">
        <f>IFERROR(__xludf.DUMMYFUNCTION("""COMPUTED_VALUE"""),"BookAsSwap")</f>
        <v>BookAsSwap</v>
      </c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1")</f>
        <v>Trade Attribute 1</v>
      </c>
      <c r="R5" s="27" t="str">
        <f>IFERROR(__xludf.DUMMYFUNCTION("""COMPUTED_VALUE"""),"Trade Attribute 2")</f>
        <v>Trade Attribute 2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IFERROR(__xludf.DUMMYFUNCTION("""COMPUTED_VALUE"""),"Target Qty")</f>
        <v>Target Qty</v>
      </c>
      <c r="AM5" s="29" t="str">
        <f>IFERROR(__xludf.DUMMYFUNCTION("""COMPUTED_VALUE"""),"Total Executed Qty")</f>
        <v>Total Executed Qty</v>
      </c>
      <c r="AN5" s="29" t="str">
        <f>IFERROR(__xludf.DUMMYFUNCTION("""COMPUTED_VALUE"""),"% Executed")</f>
        <v>% Executed</v>
      </c>
      <c r="AO5" s="29" t="str">
        <f>IFERROR(__xludf.DUMMYFUNCTION("""COMPUTED_VALUE"""),"Day Executed Qty")</f>
        <v>Day Executed Qty</v>
      </c>
      <c r="AP5" s="29" t="str">
        <f>IFERROR(__xludf.DUMMYFUNCTION("""COMPUTED_VALUE"""),"Uncommitted Qty")</f>
        <v>Uncommitted Qty</v>
      </c>
      <c r="AQ5" s="29" t="str">
        <f>IFERROR(__xludf.DUMMYFUNCTION("""COMPUTED_VALUE"""),"Last Fill Price (Local)")</f>
        <v>Last Fill Price (Local)</v>
      </c>
      <c r="AR5" s="29" t="str">
        <f>IFERROR(__xludf.DUMMYFUNCTION("""COMPUTED_VALUE"""),"Avg Fill Price (Local)")</f>
        <v>Avg Fill Price (Local)</v>
      </c>
      <c r="AS5" s="29" t="str">
        <f>IFERROR(__xludf.DUMMYFUNCTION("""COMPUTED_VALUE"""),"Broker")</f>
        <v>Broker</v>
      </c>
      <c r="AT5" s="29" t="str">
        <f>IFERROR(__xludf.DUMMYFUNCTION("""COMPUTED_VALUE"""),"Account")</f>
        <v>Account</v>
      </c>
      <c r="AU5" s="29" t="str">
        <f>IFERROR(__xludf.DUMMYFUNCTION("""COMPUTED_VALUE"""),"Order Type")</f>
        <v>Order Type</v>
      </c>
      <c r="AV5" s="29" t="str">
        <f>IFERROR(__xludf.DUMMYFUNCTION("""COMPUTED_VALUE"""),"Principal Amount (Local)")</f>
        <v>Principal Amount (Local)</v>
      </c>
      <c r="AW5" s="29" t="str">
        <f>IFERROR(__xludf.DUMMYFUNCTION("""COMPUTED_VALUE"""),"Principal Amount (Base)")</f>
        <v>Principal Amount (Base)</v>
      </c>
      <c r="AX5" s="29" t="str">
        <f>IFERROR(__xludf.DUMMYFUNCTION("""COMPUTED_VALUE"""),"Allocation Scheme Name")</f>
        <v>Allocation Scheme Name</v>
      </c>
      <c r="AY5" s="29" t="str">
        <f>IFERROR(__xludf.DUMMYFUNCTION("""COMPUTED_VALUE"""),"Start of Day Qty")</f>
        <v>Start of Day Qty</v>
      </c>
      <c r="AZ5" s="29" t="str">
        <f>IFERROR(__xludf.DUMMYFUNCTION("""COMPUTED_VALUE"""),"Leaves")</f>
        <v>Leaves</v>
      </c>
      <c r="BA5" s="29" t="str">
        <f>IFERROR(__xludf.DUMMYFUNCTION("""COMPUTED_VALUE"""),"Actual User")</f>
        <v>Actual User</v>
      </c>
      <c r="BB5" s="29" t="str">
        <f>IFERROR(__xludf.DUMMYFUNCTION("""COMPUTED_VALUE"""),"Transaction Source")</f>
        <v>Transaction Source</v>
      </c>
      <c r="BC5" s="29" t="str">
        <f>IFERROR(__xludf.DUMMYFUNCTION("""COMPUTED_VALUE"""),"MandatoryColumn")</f>
        <v>MandatoryColumn</v>
      </c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32" t="s">
        <v>21</v>
      </c>
      <c r="I6" s="8"/>
      <c r="J6" s="8"/>
      <c r="K6" s="8"/>
      <c r="L6" s="8"/>
      <c r="M6" s="8"/>
      <c r="N6" s="8"/>
      <c r="O6" s="8"/>
      <c r="AI6" s="35" t="s">
        <v>16</v>
      </c>
      <c r="AJ6" s="35" t="s">
        <v>17</v>
      </c>
      <c r="AK6" s="32" t="s">
        <v>34</v>
      </c>
      <c r="AL6" s="40">
        <v>200.0</v>
      </c>
      <c r="AS6" s="9" t="s">
        <v>19</v>
      </c>
      <c r="AT6" s="9" t="s">
        <v>18</v>
      </c>
    </row>
    <row r="7" ht="15.75" customHeight="1">
      <c r="A7" s="8"/>
      <c r="B7" s="8"/>
      <c r="C7" s="8"/>
      <c r="D7" s="8"/>
      <c r="E7" s="8"/>
      <c r="F7" s="8"/>
      <c r="G7" s="8"/>
      <c r="H7" s="32" t="s">
        <v>21</v>
      </c>
      <c r="I7" s="8"/>
      <c r="J7" s="8"/>
      <c r="K7" s="8"/>
      <c r="L7" s="8"/>
      <c r="M7" s="8"/>
      <c r="N7" s="8"/>
      <c r="O7" s="8"/>
      <c r="AI7" s="38" t="s">
        <v>36</v>
      </c>
      <c r="AJ7" s="35" t="s">
        <v>23</v>
      </c>
      <c r="AK7" s="32" t="s">
        <v>34</v>
      </c>
      <c r="AL7" s="40">
        <v>200.0</v>
      </c>
      <c r="AS7" s="9" t="s">
        <v>19</v>
      </c>
      <c r="AT7" s="9" t="s">
        <v>18</v>
      </c>
    </row>
    <row r="8" ht="15.75" customHeight="1">
      <c r="A8" s="8"/>
      <c r="B8" s="8"/>
      <c r="C8" s="8"/>
      <c r="D8" s="8"/>
      <c r="E8" s="8"/>
      <c r="F8" s="8"/>
      <c r="G8" s="8"/>
      <c r="H8" s="32" t="s">
        <v>21</v>
      </c>
      <c r="I8" s="8"/>
      <c r="J8" s="8"/>
      <c r="K8" s="8"/>
      <c r="L8" s="8"/>
      <c r="M8" s="8"/>
      <c r="N8" s="8"/>
      <c r="O8" s="8"/>
      <c r="AI8" s="38" t="s">
        <v>37</v>
      </c>
      <c r="AJ8" s="35" t="s">
        <v>25</v>
      </c>
      <c r="AK8" s="32" t="s">
        <v>34</v>
      </c>
      <c r="AL8" s="40">
        <v>200.0</v>
      </c>
      <c r="AS8" s="9" t="s">
        <v>19</v>
      </c>
      <c r="AT8" s="9" t="s">
        <v>18</v>
      </c>
    </row>
    <row r="9" ht="15.75" customHeight="1">
      <c r="A9" s="8"/>
      <c r="B9" s="8"/>
      <c r="C9" s="8"/>
      <c r="D9" s="8"/>
      <c r="E9" s="8"/>
      <c r="F9" s="8"/>
      <c r="G9" s="8"/>
      <c r="H9" s="32" t="s">
        <v>29</v>
      </c>
      <c r="I9" s="8"/>
      <c r="J9" s="8"/>
      <c r="K9" s="8"/>
      <c r="L9" s="8"/>
      <c r="M9" s="8"/>
      <c r="N9" s="8"/>
      <c r="O9" s="8"/>
      <c r="AI9" s="38" t="s">
        <v>38</v>
      </c>
      <c r="AJ9" s="35" t="s">
        <v>27</v>
      </c>
      <c r="AK9" s="32" t="s">
        <v>34</v>
      </c>
      <c r="AL9" s="40">
        <v>200.0</v>
      </c>
      <c r="AS9" s="9" t="s">
        <v>28</v>
      </c>
      <c r="AT9" s="9" t="s">
        <v>18</v>
      </c>
    </row>
    <row r="10" ht="15.75" customHeight="1">
      <c r="A10" s="8"/>
      <c r="B10" s="8"/>
      <c r="C10" s="8"/>
      <c r="D10" s="8"/>
      <c r="E10" s="8"/>
      <c r="F10" s="8"/>
      <c r="G10" s="8"/>
      <c r="H10" s="32" t="s">
        <v>29</v>
      </c>
      <c r="I10" s="8"/>
      <c r="J10" s="8"/>
      <c r="K10" s="8"/>
      <c r="L10" s="8"/>
      <c r="M10" s="8"/>
      <c r="N10" s="8"/>
      <c r="O10" s="8"/>
      <c r="AI10" s="38" t="s">
        <v>36</v>
      </c>
      <c r="AJ10" s="35" t="s">
        <v>30</v>
      </c>
      <c r="AK10" s="32" t="s">
        <v>34</v>
      </c>
      <c r="AL10" s="40">
        <v>200.0</v>
      </c>
      <c r="AS10" s="9" t="s">
        <v>28</v>
      </c>
      <c r="AT10" s="9" t="s">
        <v>18</v>
      </c>
    </row>
    <row r="11" ht="15.75" customHeight="1">
      <c r="A11" s="8"/>
      <c r="B11" s="8"/>
      <c r="C11" s="8"/>
      <c r="D11" s="8"/>
      <c r="E11" s="8"/>
      <c r="F11" s="8"/>
      <c r="G11" s="8"/>
      <c r="H11" s="32" t="s">
        <v>29</v>
      </c>
      <c r="I11" s="8"/>
      <c r="J11" s="8"/>
      <c r="K11" s="8"/>
      <c r="L11" s="8"/>
      <c r="M11" s="8"/>
      <c r="N11" s="8"/>
      <c r="O11" s="8"/>
      <c r="AI11" s="38" t="s">
        <v>36</v>
      </c>
      <c r="AJ11" s="35" t="s">
        <v>31</v>
      </c>
      <c r="AK11" s="32" t="s">
        <v>34</v>
      </c>
      <c r="AL11" s="40">
        <v>200.0</v>
      </c>
      <c r="AS11" s="9" t="s">
        <v>28</v>
      </c>
      <c r="AT11" s="9" t="s">
        <v>18</v>
      </c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VerifyMergeOrder!$4:$4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44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IFERROR(__xludf.DUMMYFUNCTION("IF(C3="""","""",Transpose(IMPORTRANGE('_Settings'!$B$3,C3&amp;""!A4:A1000"")))"),"CheckCompliance")</f>
        <v>CheckCompliance</v>
      </c>
      <c r="C4" s="24" t="str">
        <f>IFERROR(__xludf.DUMMYFUNCTION("""COMPUTED_VALUE"""),"VerifyAccountDivisorWindow")</f>
        <v>VerifyAccountDivisorWindow</v>
      </c>
      <c r="D4" s="24" t="str">
        <f>IFERROR(__xludf.DUMMYFUNCTION("""COMPUTED_VALUE"""),"VerifyAccountSymbolDivisorWindow")</f>
        <v>VerifyAccountSymbolDivisorWindow</v>
      </c>
      <c r="E4" s="24" t="str">
        <f>IFERROR(__xludf.DUMMYFUNCTION("""COMPUTED_VALUE"""),"VerifyAggregationAccountSymbolWithNav")</f>
        <v>VerifyAggregationAccountSymbolWithNav</v>
      </c>
      <c r="F4" s="24" t="str">
        <f>IFERROR(__xludf.DUMMYFUNCTION("""COMPUTED_VALUE"""),"VerifyAggregationAccountWithNav")</f>
        <v>VerifyAggregationAccountWithNav</v>
      </c>
      <c r="G4" s="24" t="str">
        <f>IFERROR(__xludf.DUMMYFUNCTION("""COMPUTED_VALUE"""),"VerifyAggregationMasterFundSymbolWithNav")</f>
        <v>VerifyAggregationMasterFundSymbolWithNav</v>
      </c>
      <c r="H4" s="24" t="str">
        <f>IFERROR(__xludf.DUMMYFUNCTION("""COMPUTED_VALUE"""),"VerifyAggregationMasterFundUnderlyingSymbolWithNav")</f>
        <v>VerifyAggregationMasterFundUnderlyingSymbolWithNav</v>
      </c>
      <c r="I4" s="24" t="str">
        <f>IFERROR(__xludf.DUMMYFUNCTION("""COMPUTED_VALUE"""),"VerifyAggregationMasterFundWithNav")</f>
        <v>VerifyAggregationMasterFundWithNav</v>
      </c>
      <c r="J4" s="24" t="str">
        <f>IFERROR(__xludf.DUMMYFUNCTION("""COMPUTED_VALUE"""),"VerifyAggregationSectorWithNav")</f>
        <v>VerifyAggregationSectorWithNav</v>
      </c>
      <c r="K4" s="24" t="str">
        <f>IFERROR(__xludf.DUMMYFUNCTION("""COMPUTED_VALUE"""),"VerifyAggregationUnderlyingSymbolWithNav")</f>
        <v>VerifyAggregationUnderlyingSymbolWithNav</v>
      </c>
      <c r="L4" s="24" t="str">
        <f>IFERROR(__xludf.DUMMYFUNCTION("""COMPUTED_VALUE"""),"VerifyAuecWindow")</f>
        <v>VerifyAuecWindow</v>
      </c>
      <c r="M4" s="24" t="str">
        <f>IFERROR(__xludf.DUMMYFUNCTION("""COMPUTED_VALUE"""),"VerifyBetaWindow")</f>
        <v>VerifyBetaWindow</v>
      </c>
      <c r="N4" s="24" t="str">
        <f>IFERROR(__xludf.DUMMYFUNCTION("""COMPUTED_VALUE"""),"VerifyCustomSymbolDataWindow")</f>
        <v>VerifyCustomSymbolDataWindow</v>
      </c>
      <c r="O4" s="24" t="str">
        <f>IFERROR(__xludf.DUMMYFUNCTION("""COMPUTED_VALUE"""),"VerifyDayEndCashAccountWindow")</f>
        <v>VerifyDayEndCashAccountWindow</v>
      </c>
      <c r="P4" s="25" t="str">
        <f>IFERROR(__xludf.DUMMYFUNCTION("""COMPUTED_VALUE"""),"VerifyDbNavWindow")</f>
        <v>VerifyDbNavWindow</v>
      </c>
      <c r="Q4" s="25" t="str">
        <f>IFERROR(__xludf.DUMMYFUNCTION("""COMPUTED_VALUE"""),"VerifyGlobalDivisorWindow")</f>
        <v>VerifyGlobalDivisorWindow</v>
      </c>
      <c r="R4" s="25" t="str">
        <f>IFERROR(__xludf.DUMMYFUNCTION("""COMPUTED_VALUE"""),"VerifyPmCalculationPreferenceWindow")</f>
        <v>VerifyPmCalculationPreferenceWindow</v>
      </c>
      <c r="S4" s="25" t="str">
        <f>IFERROR(__xludf.DUMMYFUNCTION("""COMPUTED_VALUE"""),"VerifyRowCalculationBaseWindow")</f>
        <v>VerifyRowCalculationBaseWindow</v>
      </c>
      <c r="T4" s="25" t="str">
        <f>IFERROR(__xludf.DUMMYFUNCTION("""COMPUTED_VALUE"""),"VerifySecurityWindow")</f>
        <v>VerifySecurityWindow</v>
      </c>
      <c r="U4" s="25" t="str">
        <f>IFERROR(__xludf.DUMMYFUNCTION("""COMPUTED_VALUE"""),"VerifySymbolDataWindow")</f>
        <v>VerifySymbolDataWindow</v>
      </c>
      <c r="V4" s="25" t="str">
        <f>IFERROR(__xludf.DUMMYFUNCTION("""COMPUTED_VALUE"""),"VerifySymbolDivisorWindow")</f>
        <v>VerifySymbolDivisorWindow</v>
      </c>
      <c r="W4" s="25" t="str">
        <f>IFERROR(__xludf.DUMMYFUNCTION("""COMPUTED_VALUE"""),"VerifyTaxlotWindow")</f>
        <v>VerifyTaxlotWindow</v>
      </c>
      <c r="X4" s="25" t="str">
        <f>IFERROR(__xludf.DUMMYFUNCTION("""COMPUTED_VALUE"""),"RestartEsper")</f>
        <v>RestartEsper</v>
      </c>
      <c r="Y4" s="25" t="str">
        <f>IFERROR(__xludf.DUMMYFUNCTION("""COMPUTED_VALUE"""),"VerifyAccountNavPreferenceWindow")</f>
        <v>VerifyAccountNavPreferenceWindow</v>
      </c>
      <c r="Z4" s="25" t="str">
        <f>IFERROR(__xludf.DUMMYFUNCTION("""COMPUTED_VALUE"""),"VerifyAggregationAccountUnderlyingSymbolWithNav")</f>
        <v>VerifyAggregationAccountUnderlyingSymbolWithNav</v>
      </c>
      <c r="AA4" s="25" t="str">
        <f>IFERROR(__xludf.DUMMYFUNCTION("""COMPUTED_VALUE"""),"VerifyAggregationAssetWithNav")</f>
        <v>VerifyAggregationAssetWithNav</v>
      </c>
      <c r="AB4" s="25" t="str">
        <f>IFERROR(__xludf.DUMMYFUNCTION("""COMPUTED_VALUE"""),"VerifyAggregationSymbolWithNav")</f>
        <v>VerifyAggregationSymbolWithNav</v>
      </c>
      <c r="AC4" s="25" t="str">
        <f>IFERROR(__xludf.DUMMYFUNCTION("""COMPUTED_VALUE"""),"VerifyAggregationSubSectorWithNav")</f>
        <v>VerifyAggregationSubSectorWithNav</v>
      </c>
      <c r="AD4" s="25" t="str">
        <f>IFERROR(__xludf.DUMMYFUNCTION("""COMPUTED_VALUE"""),"VerifyAggregationGlobalWithNav")</f>
        <v>VerifyAggregationGlobalWithNav</v>
      </c>
      <c r="AE4" s="25" t="str">
        <f>IFERROR(__xludf.DUMMYFUNCTION("""COMPUTED_VALUE"""),"VerifyAggregationGlobalWithNav")</f>
        <v>VerifyAggregationGlobalWithNav</v>
      </c>
      <c r="AF4" s="25" t="str">
        <f>IFERROR(__xludf.DUMMYFUNCTION("""COMPUTED_VALUE"""),"VerifyGlobalDivisorWindow")</f>
        <v>VerifyGlobalDivisorWindow</v>
      </c>
      <c r="AG4" s="25" t="str">
        <f>IFERROR(__xludf.DUMMYFUNCTION("""COMPUTED_VALUE"""),"VerifyAccrualForAccountWindow")</f>
        <v>VerifyAccrualForAccountWindow</v>
      </c>
      <c r="AH4" s="25" t="str">
        <f>IFERROR(__xludf.DUMMYFUNCTION("""COMPUTED_VALUE"""),"VerifyGlobalDivisorWindow")</f>
        <v>VerifyGlobalDivisorWindow</v>
      </c>
      <c r="AI4" s="25" t="str">
        <f>IFERROR(__xludf.DUMMYFUNCTION("""COMPUTED_VALUE"""),"VerifyMasterFundDivisorWindow")</f>
        <v>VerifyMasterFundDivisorWindow</v>
      </c>
      <c r="AJ4" s="25" t="str">
        <f>IFERROR(__xludf.DUMMYFUNCTION("""COMPUTED_VALUE"""),"VerifyMasterFundSymbolDivisorWindow")</f>
        <v>VerifyMasterFundSymbolDivisorWindow</v>
      </c>
      <c r="AK4" s="25" t="str">
        <f>IFERROR(__xludf.DUMMYFUNCTION("""COMPUTED_VALUE"""),"RestartRuleMediator")</f>
        <v>RestartRuleMediator</v>
      </c>
      <c r="AL4" s="25" t="str">
        <f>IFERROR(__xludf.DUMMYFUNCTION("""COMPUTED_VALUE"""),"VerifyAggAccountSymbolWithNav")</f>
        <v>VerifyAggAccountSymbolWithNav</v>
      </c>
      <c r="AM4" s="25" t="str">
        <f>IFERROR(__xludf.DUMMYFUNCTION("""COMPUTED_VALUE"""),"ApproveorRejectpendingapproval")</f>
        <v>ApproveorRejectpendingapproval</v>
      </c>
      <c r="AN4" s="25" t="str">
        <f>IFERROR(__xludf.DUMMYFUNCTION("""COMPUTED_VALUE"""),"VerifyAlertHistory")</f>
        <v>VerifyAlertHistory</v>
      </c>
      <c r="AO4" s="25" t="str">
        <f>IFERROR(__xludf.DUMMYFUNCTION("""COMPUTED_VALUE"""),"EditInterceptorFile")</f>
        <v>EditInterceptorFile</v>
      </c>
      <c r="AP4" s="25" t="str">
        <f>IFERROR(__xludf.DUMMYFUNCTION("""COMPUTED_VALUE"""),"ReplaceInterceptorFile")</f>
        <v>ReplaceInterceptorFile</v>
      </c>
      <c r="AQ4" s="25" t="str">
        <f>IFERROR(__xludf.DUMMYFUNCTION("""COMPUTED_VALUE"""),"RestartReleasesAndServices")</f>
        <v>RestartReleasesAndServices</v>
      </c>
      <c r="AR4" s="25" t="str">
        <f>IFERROR(__xludf.DUMMYFUNCTION("""COMPUTED_VALUE"""),"GetEmail")</f>
        <v>GetEmail</v>
      </c>
      <c r="AS4" s="25" t="str">
        <f>IFERROR(__xludf.DUMMYFUNCTION("""COMPUTED_VALUE"""),"EnableDisableRule")</f>
        <v>EnableDisableRule</v>
      </c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IFERROR(__xludf.DUMMYFUNCTION("""COMPUTED_VALUE"""),"basketId")</f>
        <v>basketId</v>
      </c>
      <c r="C5" s="27" t="str">
        <f>IFERROR(__xludf.DUMMYFUNCTION("""COMPUTED_VALUE"""),"tradeDate")</f>
        <v>tradeDate</v>
      </c>
      <c r="D5" s="27" t="str">
        <f>IFERROR(__xludf.DUMMYFUNCTION("""COMPUTED_VALUE"""),"taxlotState")</f>
        <v>taxlotState</v>
      </c>
      <c r="E5" s="27" t="str">
        <f>IFERROR(__xludf.DUMMYFUNCTION("""COMPUTED_VALUE"""),"taxlotId")</f>
        <v>taxlotId</v>
      </c>
      <c r="F5" s="28" t="str">
        <f>IFERROR(__xludf.DUMMYFUNCTION("""COMPUTED_VALUE"""),"userId")</f>
        <v>userId</v>
      </c>
      <c r="G5" s="27" t="str">
        <f>IFERROR(__xludf.DUMMYFUNCTION("""COMPUTED_VALUE"""),"clOrderId")</f>
        <v>clOrderId</v>
      </c>
      <c r="H5" s="27" t="str">
        <f>IFERROR(__xludf.DUMMYFUNCTION("""COMPUTED_VALUE"""),"symbol")</f>
        <v>symbol</v>
      </c>
      <c r="I5" s="27" t="str">
        <f>IFERROR(__xludf.DUMMYFUNCTION("""COMPUTED_VALUE"""),"todayShortTradeQuantity")</f>
        <v>todayShortTradeQuantity</v>
      </c>
      <c r="J5" s="27" t="str">
        <f>IFERROR(__xludf.DUMMYFUNCTION("""COMPUTED_VALUE"""),"todayLongTradeQuantity")</f>
        <v>todayLongTradeQuantity</v>
      </c>
      <c r="K5" s="27" t="str">
        <f>IFERROR(__xludf.DUMMYFUNCTION("""COMPUTED_VALUE"""),"todayAbsTradeQuantity")</f>
        <v>todayAbsTradeQuantity</v>
      </c>
      <c r="L5" s="27" t="str">
        <f>IFERROR(__xludf.DUMMYFUNCTION("""COMPUTED_VALUE"""),"quantity")</f>
        <v>quantity</v>
      </c>
      <c r="M5" s="27" t="str">
        <f>IFERROR(__xludf.DUMMYFUNCTION("""COMPUTED_VALUE"""),"taxlotType")</f>
        <v>taxlotType</v>
      </c>
      <c r="N5" s="27" t="str">
        <f>IFERROR(__xludf.DUMMYFUNCTION("""COMPUTED_VALUE"""),"accountId")</f>
        <v>accountId</v>
      </c>
      <c r="O5" s="27" t="str">
        <f>IFERROR(__xludf.DUMMYFUNCTION("""COMPUTED_VALUE"""),"orderSide")</f>
        <v>orderSide</v>
      </c>
      <c r="P5" s="27" t="str">
        <f>IFERROR(__xludf.DUMMYFUNCTION("""COMPUTED_VALUE"""),"masterFundId")</f>
        <v>masterFundId</v>
      </c>
      <c r="Q5" s="27" t="str">
        <f>IFERROR(__xludf.DUMMYFUNCTION("""COMPUTED_VALUE"""),"underlyingSymbol")</f>
        <v>underlyingSymbol</v>
      </c>
      <c r="R5" s="27" t="str">
        <f>IFERROR(__xludf.DUMMYFUNCTION("""COMPUTED_VALUE"""),"masterFundName")</f>
        <v>masterFundName</v>
      </c>
      <c r="S5" s="27" t="str">
        <f>IFERROR(__xludf.DUMMYFUNCTION("""COMPUTED_VALUE"""),"multiplier")</f>
        <v>multiplier</v>
      </c>
      <c r="T5" s="29" t="str">
        <f>IFERROR(__xludf.DUMMYFUNCTION("""COMPUTED_VALUE"""),"accountShortName")</f>
        <v>accountShortName</v>
      </c>
      <c r="U5" s="29" t="str">
        <f>IFERROR(__xludf.DUMMYFUNCTION("""COMPUTED_VALUE"""),"accountLongName")</f>
        <v>accountLongName</v>
      </c>
      <c r="V5" s="29" t="str">
        <f>IFERROR(__xludf.DUMMYFUNCTION("""COMPUTED_VALUE"""),"isSwapped")</f>
        <v>isSwapped</v>
      </c>
      <c r="W5" s="29" t="str">
        <f>IFERROR(__xludf.DUMMYFUNCTION("""COMPUTED_VALUE"""),"masterStrategyId")</f>
        <v>masterStrategyId</v>
      </c>
      <c r="X5" s="29" t="str">
        <f>IFERROR(__xludf.DUMMYFUNCTION("""COMPUTED_VALUE"""),"isTodayTrade")</f>
        <v>isTodayTrade</v>
      </c>
      <c r="Y5" s="29" t="str">
        <f>IFERROR(__xludf.DUMMYFUNCTION("""COMPUTED_VALUE"""),"masterStrategyName")</f>
        <v>masterStrategyName</v>
      </c>
      <c r="Z5" s="29" t="str">
        <f>IFERROR(__xludf.DUMMYFUNCTION("""COMPUTED_VALUE"""),"strategyId")</f>
        <v>strategyId</v>
      </c>
      <c r="AA5" s="29" t="str">
        <f>IFERROR(__xludf.DUMMYFUNCTION("""COMPUTED_VALUE"""),"strategyName")</f>
        <v>strategyName</v>
      </c>
      <c r="AB5" s="29" t="str">
        <f>IFERROR(__xludf.DUMMYFUNCTION("""COMPUTED_VALUE"""),"todayNetNotionalBase")</f>
        <v>todayNetNotionalBase</v>
      </c>
      <c r="AC5" s="29" t="str">
        <f>IFERROR(__xludf.DUMMYFUNCTION("""COMPUTED_VALUE"""),"strategyFullName")</f>
        <v>strategyFullName</v>
      </c>
      <c r="AD5" s="29" t="str">
        <f>IFERROR(__xludf.DUMMYFUNCTION("""COMPUTED_VALUE"""),"todayLongNotionalBase")</f>
        <v>todayLongNotionalBase</v>
      </c>
      <c r="AE5" s="29" t="str">
        <f>IFERROR(__xludf.DUMMYFUNCTION("""COMPUTED_VALUE"""),"todayShortNotionalBase")</f>
        <v>todayShortNotionalBase</v>
      </c>
      <c r="AF5" s="29" t="str">
        <f>IFERROR(__xludf.DUMMYFUNCTION("""COMPUTED_VALUE"""),"isMonthTrade")</f>
        <v>isMonthTrade</v>
      </c>
      <c r="AG5" s="29" t="str">
        <f>IFERROR(__xludf.DUMMYFUNCTION("""COMPUTED_VALUE"""),"monthAbsQuantity")</f>
        <v>monthAbsQuantity</v>
      </c>
      <c r="AH5" s="29" t="str">
        <f>IFERROR(__xludf.DUMMYFUNCTION("""COMPUTED_VALUE"""),"monthNetNotional")</f>
        <v>monthNetNotional</v>
      </c>
      <c r="AI5" s="29" t="str">
        <f>IFERROR(__xludf.DUMMYFUNCTION("""COMPUTED_VALUE"""),"modificationType")</f>
        <v>modificationType</v>
      </c>
      <c r="AJ5" s="29" t="str">
        <f>IFERROR(__xludf.DUMMYFUNCTION("""COMPUTED_VALUE"""),"asset")</f>
        <v>asset</v>
      </c>
      <c r="AK5" s="29" t="str">
        <f>IFERROR(__xludf.DUMMYFUNCTION("""COMPUTED_VALUE"""),"underlyingAsset")</f>
        <v>underlyingAsset</v>
      </c>
      <c r="AL5" s="29" t="str">
        <f>IFERROR(__xludf.DUMMYFUNCTION("""COMPUTED_VALUE"""),"assetId")</f>
        <v>assetId</v>
      </c>
      <c r="AM5" s="29" t="str">
        <f>IFERROR(__xludf.DUMMYFUNCTION("""COMPUTED_VALUE"""),"auecId")</f>
        <v>auecId</v>
      </c>
      <c r="AN5" s="29" t="str">
        <f>IFERROR(__xludf.DUMMYFUNCTION("""COMPUTED_VALUE"""),"fxSymbol")</f>
        <v>fxSymbol</v>
      </c>
      <c r="AO5" s="29" t="str">
        <f>IFERROR(__xludf.DUMMYFUNCTION("""COMPUTED_VALUE"""),"sector")</f>
        <v>sector</v>
      </c>
      <c r="AP5" s="29" t="str">
        <f>IFERROR(__xludf.DUMMYFUNCTION("""COMPUTED_VALUE"""),"subSector")</f>
        <v>subSector</v>
      </c>
      <c r="AQ5" s="29" t="str">
        <f>IFERROR(__xludf.DUMMYFUNCTION("""COMPUTED_VALUE"""),"udaAsset")</f>
        <v>udaAsset</v>
      </c>
      <c r="AR5" s="29" t="str">
        <f>IFERROR(__xludf.DUMMYFUNCTION("""COMPUTED_VALUE"""),"udaSecurityType")</f>
        <v>udaSecurityType</v>
      </c>
      <c r="AS5" s="29" t="str">
        <f>IFERROR(__xludf.DUMMYFUNCTION("""COMPUTED_VALUE"""),"udaCountry")</f>
        <v>udaCountry</v>
      </c>
      <c r="AT5" s="29" t="str">
        <f>IFERROR(__xludf.DUMMYFUNCTION("""COMPUTED_VALUE"""),"underlyingCountry")</f>
        <v>underlyingCountry</v>
      </c>
      <c r="AU5" s="29" t="str">
        <f>IFERROR(__xludf.DUMMYFUNCTION("""COMPUTED_VALUE"""),"exchange")</f>
        <v>exchange</v>
      </c>
      <c r="AV5" s="29" t="str">
        <f>IFERROR(__xludf.DUMMYFUNCTION("""COMPUTED_VALUE"""),"orderType")</f>
        <v>orderType</v>
      </c>
      <c r="AW5" s="29" t="str">
        <f>IFERROR(__xludf.DUMMYFUNCTION("""COMPUTED_VALUE"""),"currency")</f>
        <v>currency</v>
      </c>
      <c r="AX5" s="29" t="str">
        <f>IFERROR(__xludf.DUMMYFUNCTION("""COMPUTED_VALUE"""),"putOrCall")</f>
        <v>putOrCall</v>
      </c>
      <c r="AY5" s="29" t="str">
        <f>IFERROR(__xludf.DUMMYFUNCTION("""COMPUTED_VALUE"""),"strikePrice")</f>
        <v>strikePrice</v>
      </c>
      <c r="AZ5" s="29" t="str">
        <f>IFERROR(__xludf.DUMMYFUNCTION("""COMPUTED_VALUE"""),"venue")</f>
        <v>venue</v>
      </c>
      <c r="BA5" s="29" t="str">
        <f>IFERROR(__xludf.DUMMYFUNCTION("""COMPUTED_VALUE"""),"riskCurrency")</f>
        <v>riskCurrency</v>
      </c>
      <c r="BB5" s="29" t="str">
        <f>IFERROR(__xludf.DUMMYFUNCTION("""COMPUTED_VALUE"""),"issuer")</f>
        <v>issuer</v>
      </c>
      <c r="BC5" s="29" t="str">
        <f>IFERROR(__xludf.DUMMYFUNCTION("""COMPUTED_VALUE"""),"countryOfRisk")</f>
        <v>countryOfRisk</v>
      </c>
      <c r="BD5" s="29" t="str">
        <f>IFERROR(__xludf.DUMMYFUNCTION("""COMPUTED_VALUE"""),"region")</f>
        <v>region</v>
      </c>
      <c r="BE5" s="29" t="str">
        <f>IFERROR(__xludf.DUMMYFUNCTION("""COMPUTED_VALUE"""),"analyst")</f>
        <v>analyst</v>
      </c>
      <c r="BF5" s="29" t="str">
        <f>IFERROR(__xludf.DUMMYFUNCTION("""COMPUTED_VALUE"""),"ucitsEligibleTag")</f>
        <v>ucitsEligibleTag</v>
      </c>
      <c r="BG5" s="29" t="str">
        <f>IFERROR(__xludf.DUMMYFUNCTION("""COMPUTED_VALUE"""),"liquidTag")</f>
        <v>liquidTag</v>
      </c>
      <c r="BH5" s="29" t="str">
        <f>IFERROR(__xludf.DUMMYFUNCTION("""COMPUTED_VALUE"""),"marketCap")</f>
        <v>marketCap</v>
      </c>
      <c r="BI5" s="29" t="str">
        <f>IFERROR(__xludf.DUMMYFUNCTION("""COMPUTED_VALUE"""),"customUDA1")</f>
        <v>customUDA1</v>
      </c>
      <c r="BJ5" s="29" t="str">
        <f>IFERROR(__xludf.DUMMYFUNCTION("""COMPUTED_VALUE"""),"customUDA2")</f>
        <v>customUDA2</v>
      </c>
      <c r="BK5" s="29" t="str">
        <f>IFERROR(__xludf.DUMMYFUNCTION("""COMPUTED_VALUE"""),"customUDA3")</f>
        <v>customUDA3</v>
      </c>
      <c r="BL5" s="29" t="str">
        <f>IFERROR(__xludf.DUMMYFUNCTION("""COMPUTED_VALUE"""),"counterParty")</f>
        <v>counterParty</v>
      </c>
      <c r="BM5" s="29" t="str">
        <f>IFERROR(__xludf.DUMMYFUNCTION("""COMPUTED_VALUE"""),"customUDA4")</f>
        <v>customUDA4</v>
      </c>
      <c r="BN5" s="29" t="str">
        <f>IFERROR(__xludf.DUMMYFUNCTION("""COMPUTED_VALUE"""),"customUDA5")</f>
        <v>customUDA5</v>
      </c>
      <c r="BO5" s="29" t="str">
        <f>IFERROR(__xludf.DUMMYFUNCTION("""COMPUTED_VALUE"""),"customUDA6")</f>
        <v>customUDA6</v>
      </c>
      <c r="BP5" s="29" t="str">
        <f>IFERROR(__xludf.DUMMYFUNCTION("""COMPUTED_VALUE"""),"customUDA7")</f>
        <v>customUDA7</v>
      </c>
      <c r="BQ5" s="29" t="str">
        <f>IFERROR(__xludf.DUMMYFUNCTION("""COMPUTED_VALUE"""),"currentFxRate")</f>
        <v>currentFxRate</v>
      </c>
      <c r="BR5" s="29" t="str">
        <f>IFERROR(__xludf.DUMMYFUNCTION("""COMPUTED_VALUE"""),"yesterdayFxRate")</f>
        <v>yesterdayFxRate</v>
      </c>
      <c r="BS5" s="29" t="str">
        <f>IFERROR(__xludf.DUMMYFUNCTION("""COMPUTED_VALUE"""),"fxConversionMethod")</f>
        <v>fxConversionMethod</v>
      </c>
      <c r="BT5" s="29" t="str">
        <f>IFERROR(__xludf.DUMMYFUNCTION("""COMPUTED_VALUE"""),"taxlotFxRate")</f>
        <v>taxlotFxRate</v>
      </c>
      <c r="BU5" s="29" t="str">
        <f>IFERROR(__xludf.DUMMYFUNCTION("""COMPUTED_VALUE"""),"taxlotFxConversionMethod")</f>
        <v>taxlotFxConversionMethod</v>
      </c>
      <c r="BV5" s="29" t="str">
        <f>IFERROR(__xludf.DUMMYFUNCTION("""COMPUTED_VALUE"""),"avgPrice")</f>
        <v>avgPrice</v>
      </c>
      <c r="BW5" s="29" t="str">
        <f>IFERROR(__xludf.DUMMYFUNCTION("""COMPUTED_VALUE"""),"askPrice")</f>
        <v>askPrice</v>
      </c>
      <c r="BX5" s="29" t="str">
        <f>IFERROR(__xludf.DUMMYFUNCTION("""COMPUTED_VALUE"""),"bidPrice")</f>
        <v>bidPrice</v>
      </c>
      <c r="BY5" s="29" t="str">
        <f>IFERROR(__xludf.DUMMYFUNCTION("""COMPUTED_VALUE"""),"lowPrice")</f>
        <v>lowPrice</v>
      </c>
      <c r="BZ5" s="29" t="str">
        <f>IFERROR(__xludf.DUMMYFUNCTION("""COMPUTED_VALUE"""),"highPrice")</f>
        <v>highPrice</v>
      </c>
      <c r="CA5" s="29" t="str">
        <f>IFERROR(__xludf.DUMMYFUNCTION("""COMPUTED_VALUE"""),"openPrice")</f>
        <v>openPrice</v>
      </c>
      <c r="CB5" s="29" t="str">
        <f>IFERROR(__xludf.DUMMYFUNCTION("""COMPUTED_VALUE"""),"closePrice")</f>
        <v>closePrice</v>
      </c>
      <c r="CC5" s="29" t="str">
        <f>IFERROR(__xludf.DUMMYFUNCTION("""COMPUTED_VALUE"""),"lastPrice")</f>
        <v>lastPrice</v>
      </c>
      <c r="CD5" s="29" t="str">
        <f>IFERROR(__xludf.DUMMYFUNCTION("""COMPUTED_VALUE"""),"markPrice")</f>
        <v>markPrice</v>
      </c>
      <c r="CE5" s="29" t="str">
        <f>IFERROR(__xludf.DUMMYFUNCTION("""COMPUTED_VALUE"""),"delta")</f>
        <v>delta</v>
      </c>
      <c r="CF5" s="29" t="str">
        <f>IFERROR(__xludf.DUMMYFUNCTION("""COMPUTED_VALUE"""),"leveragedFactor")</f>
        <v>leveragedFactor</v>
      </c>
      <c r="CG5" s="29" t="str">
        <f>IFERROR(__xludf.DUMMYFUNCTION("""COMPUTED_VALUE"""),"beta5YearMonthly")</f>
        <v>beta5YearMonthly</v>
      </c>
      <c r="CH5" s="29" t="str">
        <f>IFERROR(__xludf.DUMMYFUNCTION("""COMPUTED_VALUE"""),"selectedFeedPrice")</f>
        <v>selectedFeedPrice</v>
      </c>
      <c r="CI5" s="29" t="str">
        <f>IFERROR(__xludf.DUMMYFUNCTION("""COMPUTED_VALUE"""),"openInterest")</f>
        <v>openInterest</v>
      </c>
      <c r="CJ5" s="29" t="str">
        <f>IFERROR(__xludf.DUMMYFUNCTION("""COMPUTED_VALUE"""),"underlyingPrice")</f>
        <v>underlyingPrice</v>
      </c>
      <c r="CK5" s="29" t="str">
        <f>IFERROR(__xludf.DUMMYFUNCTION("""COMPUTED_VALUE"""),"avgVolume20Days")</f>
        <v>avgVolume20Days</v>
      </c>
      <c r="CL5" s="29" t="str">
        <f>IFERROR(__xludf.DUMMYFUNCTION("""COMPUTED_VALUE"""),"sharesOutstanding")</f>
        <v>sharesOutstanding</v>
      </c>
      <c r="CM5" s="29" t="str">
        <f>IFERROR(__xludf.DUMMYFUNCTION("""COMPUTED_VALUE"""),"underlyingSharesOutstanding")</f>
        <v>underlyingSharesOutstanding</v>
      </c>
      <c r="CN5" s="29" t="str">
        <f>IFERROR(__xludf.DUMMYFUNCTION("""COMPUTED_VALUE"""),"marketCapitalization")</f>
        <v>marketCapitalization</v>
      </c>
      <c r="CO5" s="29" t="str">
        <f>IFERROR(__xludf.DUMMYFUNCTION("""COMPUTED_VALUE"""),"underlyingMarketCapitalization")</f>
        <v>underlyingMarketCapitalization</v>
      </c>
      <c r="CP5" s="29" t="str">
        <f>IFERROR(__xludf.DUMMYFUNCTION("""COMPUTED_VALUE"""),"avgVolume")</f>
        <v>avgVolume</v>
      </c>
      <c r="CQ5" s="29" t="str">
        <f>IFERROR(__xludf.DUMMYFUNCTION("""COMPUTED_VALUE"""),"netMarketValueLocal")</f>
        <v>netMarketValueLocal</v>
      </c>
      <c r="CR5" s="29" t="str">
        <f>IFERROR(__xludf.DUMMYFUNCTION("""COMPUTED_VALUE"""),"yesterdayMarketValueLocal")</f>
        <v>yesterdayMarketValueLocal</v>
      </c>
      <c r="CS5" s="29" t="str">
        <f>IFERROR(__xludf.DUMMYFUNCTION("""COMPUTED_VALUE"""),"grossMarketValueLocal")</f>
        <v>grossMarketValueLocal</v>
      </c>
      <c r="CT5" s="29" t="str">
        <f>IFERROR(__xludf.DUMMYFUNCTION("""COMPUTED_VALUE"""),"netMarketValueBase")</f>
        <v>netMarketValueBase</v>
      </c>
      <c r="CU5" s="29" t="str">
        <f>IFERROR(__xludf.DUMMYFUNCTION("""COMPUTED_VALUE"""),"yesterdayMarketValueBase")</f>
        <v>yesterdayMarketValueBase</v>
      </c>
      <c r="CV5" s="29" t="str">
        <f>IFERROR(__xludf.DUMMYFUNCTION("""COMPUTED_VALUE"""),"grossMarketValueBase")</f>
        <v>grossMarketValueBase</v>
      </c>
      <c r="CW5" s="29" t="str">
        <f>IFERROR(__xludf.DUMMYFUNCTION("""COMPUTED_VALUE"""),"notionalLocal")</f>
        <v>notionalLocal</v>
      </c>
      <c r="CX5" s="29" t="str">
        <f>IFERROR(__xludf.DUMMYFUNCTION("""COMPUTED_VALUE"""),"cashImpactLocal")</f>
        <v>cashImpactLocal</v>
      </c>
      <c r="CY5" s="29" t="str">
        <f>IFERROR(__xludf.DUMMYFUNCTION("""COMPUTED_VALUE"""),"cashInflowLocal")</f>
        <v>cashInflowLocal</v>
      </c>
      <c r="CZ5" s="29" t="str">
        <f>IFERROR(__xludf.DUMMYFUNCTION("""COMPUTED_VALUE"""),"cashOutflowLocal")</f>
        <v>cashOutflowLocal</v>
      </c>
      <c r="DA5" s="29" t="str">
        <f>IFERROR(__xludf.DUMMYFUNCTION("""COMPUTED_VALUE"""),"equityHaircutLocal")</f>
        <v>equityHaircutLocal</v>
      </c>
      <c r="DB5" s="29" t="str">
        <f>IFERROR(__xludf.DUMMYFUNCTION("""COMPUTED_VALUE"""),"indexHaircutLocal")</f>
        <v>indexHaircutLocal</v>
      </c>
      <c r="DC5" s="29" t="str">
        <f>IFERROR(__xludf.DUMMYFUNCTION("""COMPUTED_VALUE"""),"notionalBase")</f>
        <v>notionalBase</v>
      </c>
      <c r="DD5" s="29" t="str">
        <f>IFERROR(__xludf.DUMMYFUNCTION("""COMPUTED_VALUE"""),"cashImpactBase")</f>
        <v>cashImpactBase</v>
      </c>
      <c r="DE5" s="29" t="str">
        <f>IFERROR(__xludf.DUMMYFUNCTION("""COMPUTED_VALUE"""),"cashInflowBase")</f>
        <v>cashInflowBase</v>
      </c>
      <c r="DF5" s="29" t="str">
        <f>IFERROR(__xludf.DUMMYFUNCTION("""COMPUTED_VALUE"""),"cashOutflowBase")</f>
        <v>cashOutflowBase</v>
      </c>
      <c r="DG5" s="29" t="str">
        <f>IFERROR(__xludf.DUMMYFUNCTION("""COMPUTED_VALUE"""),"equityHaircutBase")</f>
        <v>equityHaircutBase</v>
      </c>
      <c r="DH5" s="29" t="str">
        <f>IFERROR(__xludf.DUMMYFUNCTION("""COMPUTED_VALUE"""),"indexHaircutBase")</f>
        <v>indexHaircutBase</v>
      </c>
      <c r="DI5" s="29" t="str">
        <f>IFERROR(__xludf.DUMMYFUNCTION("""COMPUTED_VALUE"""),"underlyingValueForOptionsLocal")</f>
        <v>underlyingValueForOptionsLocal</v>
      </c>
      <c r="DJ5" s="29" t="str">
        <f>IFERROR(__xludf.DUMMYFUNCTION("""COMPUTED_VALUE"""),"dayPnLLocal")</f>
        <v>dayPnLLocal</v>
      </c>
      <c r="DK5" s="29" t="str">
        <f>IFERROR(__xludf.DUMMYFUNCTION("""COMPUTED_VALUE"""),"costBasisPnLLocal")</f>
        <v>costBasisPnLLocal</v>
      </c>
      <c r="DL5" s="29" t="str">
        <f>IFERROR(__xludf.DUMMYFUNCTION("""COMPUTED_VALUE"""),"liquidationPnlLocal")</f>
        <v>liquidationPnlLocal</v>
      </c>
      <c r="DM5" s="29" t="str">
        <f>IFERROR(__xludf.DUMMYFUNCTION("""COMPUTED_VALUE"""),"underlyingValueForOptionsBase")</f>
        <v>underlyingValueForOptionsBase</v>
      </c>
      <c r="DN5" s="29" t="str">
        <f>IFERROR(__xludf.DUMMYFUNCTION("""COMPUTED_VALUE"""),"dayPnLBase")</f>
        <v>dayPnLBase</v>
      </c>
      <c r="DO5" s="29" t="str">
        <f>IFERROR(__xludf.DUMMYFUNCTION("""COMPUTED_VALUE"""),"costBasisPnLBase")</f>
        <v>costBasisPnLBase</v>
      </c>
      <c r="DP5" s="29" t="str">
        <f>IFERROR(__xludf.DUMMYFUNCTION("""COMPUTED_VALUE"""),"liquidationPnlBase")</f>
        <v>liquidationPnlBase</v>
      </c>
      <c r="DQ5" s="29" t="str">
        <f>IFERROR(__xludf.DUMMYFUNCTION("""COMPUTED_VALUE"""),"netExposureLocal")</f>
        <v>netExposureLocal</v>
      </c>
      <c r="DR5" s="29" t="str">
        <f>IFERROR(__xludf.DUMMYFUNCTION("""COMPUTED_VALUE"""),"grossExposureLocal")</f>
        <v>grossExposureLocal</v>
      </c>
      <c r="DS5" s="29" t="str">
        <f>IFERROR(__xludf.DUMMYFUNCTION("""COMPUTED_VALUE"""),"betaAdjustedExposureLocal")</f>
        <v>betaAdjustedExposureLocal</v>
      </c>
      <c r="DT5" s="29" t="str">
        <f>IFERROR(__xludf.DUMMYFUNCTION("""COMPUTED_VALUE"""),"netExposureBase")</f>
        <v>netExposureBase</v>
      </c>
      <c r="DU5" s="29" t="str">
        <f>IFERROR(__xludf.DUMMYFUNCTION("""COMPUTED_VALUE"""),"grossExposureBase")</f>
        <v>grossExposureBase</v>
      </c>
      <c r="DV5" s="29" t="str">
        <f>IFERROR(__xludf.DUMMYFUNCTION("""COMPUTED_VALUE"""),"betaAdjustedExposureBase")</f>
        <v>betaAdjustedExposureBase</v>
      </c>
      <c r="DW5" s="29" t="str">
        <f>IFERROR(__xludf.DUMMYFUNCTION("""COMPUTED_VALUE"""),"deltaAdjPosition")</f>
        <v>deltaAdjPosition</v>
      </c>
      <c r="DX5" s="29" t="str">
        <f>IFERROR(__xludf.DUMMYFUNCTION("""COMPUTED_VALUE"""),"dayDiff")</f>
        <v>dayDiff</v>
      </c>
      <c r="DY5" s="29" t="str">
        <f>IFERROR(__xludf.DUMMYFUNCTION("""COMPUTED_VALUE"""),"dayInterestLocal")</f>
        <v>dayInterestLocal</v>
      </c>
      <c r="DZ5" s="29" t="str">
        <f>IFERROR(__xludf.DUMMYFUNCTION("""COMPUTED_VALUE"""),"totalInterestLocal")</f>
        <v>totalInterestLocal</v>
      </c>
      <c r="EA5" s="29" t="str">
        <f>IFERROR(__xludf.DUMMYFUNCTION("""COMPUTED_VALUE"""),"dayInterestBase")</f>
        <v>dayInterestBase</v>
      </c>
      <c r="EB5" s="29" t="str">
        <f>IFERROR(__xludf.DUMMYFUNCTION("""COMPUTED_VALUE"""),"totalInterestBase")</f>
        <v>totalInterestBase</v>
      </c>
      <c r="EC5" s="29" t="str">
        <f>IFERROR(__xludf.DUMMYFUNCTION("""COMPUTED_VALUE"""),"percentAvgVolume")</f>
        <v>percentAvgVolume</v>
      </c>
      <c r="ED5" s="29" t="str">
        <f>IFERROR(__xludf.DUMMYFUNCTION("""COMPUTED_VALUE"""),"businessDaysToExpire")</f>
        <v>businessDaysToExpire</v>
      </c>
      <c r="EE5" s="29" t="str">
        <f>IFERROR(__xludf.DUMMYFUNCTION("""COMPUTED_VALUE"""),"actualDaysToExpire")</f>
        <v>actualDaysToExpire</v>
      </c>
      <c r="EF5" s="29" t="str">
        <f>IFERROR(__xludf.DUMMYFUNCTION("""COMPUTED_VALUE"""),"longDebitBalance")</f>
        <v>longDebitBalance</v>
      </c>
      <c r="EG5" s="29" t="str">
        <f>IFERROR(__xludf.DUMMYFUNCTION("""COMPUTED_VALUE"""),"shortCreditBalance")</f>
        <v>shortCreditBalance</v>
      </c>
      <c r="EH5" s="29" t="str">
        <f>IFERROR(__xludf.DUMMYFUNCTION("""COMPUTED_VALUE"""),"roundLot")</f>
        <v>roundLot</v>
      </c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9"/>
      <c r="F6" s="8"/>
      <c r="G6" s="8"/>
      <c r="H6" s="41" t="s">
        <v>38</v>
      </c>
      <c r="J6" s="8"/>
      <c r="K6" s="8"/>
      <c r="L6" s="12">
        <v>-200.0</v>
      </c>
      <c r="M6" s="12" t="s">
        <v>46</v>
      </c>
      <c r="N6" s="8"/>
      <c r="O6" s="38" t="s">
        <v>27</v>
      </c>
      <c r="R6" s="9" t="s">
        <v>47</v>
      </c>
      <c r="T6" s="9" t="s">
        <v>18</v>
      </c>
      <c r="BQ6" s="9">
        <v>1.0</v>
      </c>
      <c r="BT6" s="41"/>
    </row>
    <row r="7" ht="15.75" customHeight="1">
      <c r="A7" s="8"/>
      <c r="B7" s="8"/>
      <c r="C7" s="8"/>
      <c r="D7" s="8"/>
      <c r="E7" s="8"/>
      <c r="F7" s="8"/>
      <c r="G7" s="8"/>
      <c r="H7" s="42" t="s">
        <v>16</v>
      </c>
      <c r="J7" s="8"/>
      <c r="K7" s="8"/>
      <c r="L7" s="12">
        <v>200.0</v>
      </c>
      <c r="M7" s="12" t="s">
        <v>46</v>
      </c>
      <c r="N7" s="8"/>
      <c r="O7" s="38" t="s">
        <v>17</v>
      </c>
      <c r="R7" s="9" t="s">
        <v>47</v>
      </c>
      <c r="T7" s="9" t="s">
        <v>18</v>
      </c>
      <c r="BQ7" s="9">
        <v>1.0</v>
      </c>
      <c r="BT7" s="42"/>
    </row>
    <row r="8" ht="15.75" customHeight="1">
      <c r="A8" s="8"/>
      <c r="B8" s="8"/>
      <c r="C8" s="8"/>
      <c r="D8" s="8"/>
      <c r="E8" s="8"/>
      <c r="F8" s="8"/>
      <c r="G8" s="8"/>
      <c r="H8" s="41" t="s">
        <v>36</v>
      </c>
      <c r="J8" s="8"/>
      <c r="K8" s="8"/>
      <c r="L8" s="12">
        <v>-200.0</v>
      </c>
      <c r="M8" s="12" t="s">
        <v>46</v>
      </c>
      <c r="N8" s="8"/>
      <c r="O8" s="38" t="s">
        <v>30</v>
      </c>
      <c r="R8" s="9" t="s">
        <v>47</v>
      </c>
      <c r="T8" s="9" t="s">
        <v>18</v>
      </c>
      <c r="BQ8" s="9">
        <v>1.0</v>
      </c>
      <c r="BT8" s="41"/>
    </row>
    <row r="9" ht="15.75" customHeight="1">
      <c r="A9" s="8"/>
      <c r="B9" s="8"/>
      <c r="C9" s="8"/>
      <c r="D9" s="8"/>
      <c r="E9" s="8"/>
      <c r="F9" s="8"/>
      <c r="G9" s="8"/>
      <c r="H9" s="42" t="s">
        <v>37</v>
      </c>
      <c r="J9" s="8"/>
      <c r="K9" s="8"/>
      <c r="L9" s="12">
        <v>-200.0</v>
      </c>
      <c r="M9" s="12" t="s">
        <v>46</v>
      </c>
      <c r="N9" s="8"/>
      <c r="O9" s="38" t="s">
        <v>25</v>
      </c>
      <c r="R9" s="9" t="s">
        <v>47</v>
      </c>
      <c r="T9" s="9" t="s">
        <v>18</v>
      </c>
      <c r="BQ9" s="9">
        <v>1.0</v>
      </c>
      <c r="BT9" s="42"/>
    </row>
    <row r="10" ht="15.75" customHeight="1">
      <c r="A10" s="8"/>
      <c r="B10" s="8"/>
      <c r="C10" s="8"/>
      <c r="D10" s="8"/>
      <c r="E10" s="8"/>
      <c r="F10" s="8"/>
      <c r="G10" s="8"/>
      <c r="H10" s="41" t="s">
        <v>36</v>
      </c>
      <c r="J10" s="8"/>
      <c r="K10" s="8"/>
      <c r="L10" s="12">
        <v>200.0</v>
      </c>
      <c r="M10" s="12" t="s">
        <v>46</v>
      </c>
      <c r="N10" s="8"/>
      <c r="O10" s="38" t="s">
        <v>31</v>
      </c>
      <c r="R10" s="9" t="s">
        <v>47</v>
      </c>
      <c r="T10" s="9" t="s">
        <v>18</v>
      </c>
      <c r="BQ10" s="9">
        <v>1.0</v>
      </c>
      <c r="BT10" s="41"/>
    </row>
    <row r="11" ht="15.75" customHeight="1">
      <c r="A11" s="8"/>
      <c r="B11" s="8"/>
      <c r="C11" s="8"/>
      <c r="D11" s="8"/>
      <c r="E11" s="8"/>
      <c r="F11" s="8"/>
      <c r="G11" s="8"/>
      <c r="H11" s="42" t="s">
        <v>36</v>
      </c>
      <c r="J11" s="8"/>
      <c r="K11" s="8"/>
      <c r="L11" s="12">
        <v>200.0</v>
      </c>
      <c r="M11" s="12" t="s">
        <v>46</v>
      </c>
      <c r="N11" s="8"/>
      <c r="O11" s="38" t="s">
        <v>23</v>
      </c>
      <c r="R11" s="9" t="s">
        <v>47</v>
      </c>
      <c r="T11" s="9" t="s">
        <v>18</v>
      </c>
      <c r="BQ11" s="9">
        <v>1.0</v>
      </c>
      <c r="BT11" s="42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VerifyRowCalculationBaseWindow!$4:$4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