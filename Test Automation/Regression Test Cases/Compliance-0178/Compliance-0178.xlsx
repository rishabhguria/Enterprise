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" sheetId="5" r:id="rId7"/>
    <sheet state="visible" name="CreateComplianceOrder" sheetId="6" r:id="rId8"/>
    <sheet state="visible" name="VerifyComplianceOrder" sheetId="7" r:id="rId9"/>
    <sheet state="visible" name="GetForexConversion1" sheetId="8" r:id="rId10"/>
    <sheet state="visible" name="UpdateForexConversion1" sheetId="9" r:id="rId11"/>
    <sheet state="visible" name="CreateComplianceOrder1" sheetId="10" r:id="rId12"/>
    <sheet state="visible" name="VerifyComplianceOrder1" sheetId="11" r:id="rId13"/>
    <sheet state="visible" name="CreateDoneAwayOrder" sheetId="12" r:id="rId14"/>
  </sheets>
  <definedNames/>
  <calcPr/>
</workbook>
</file>

<file path=xl/sharedStrings.xml><?xml version="1.0" encoding="utf-8"?>
<sst xmlns="http://schemas.openxmlformats.org/spreadsheetml/2006/main" count="112" uniqueCount="37">
  <si>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</si>
  <si>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</si>
  <si>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</si>
  <si>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</si>
  <si>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</si>
  <si>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</si>
  <si>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</si>
  <si>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</si>
  <si>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</si>
  <si>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</si>
  <si>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</si>
  <si>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</si>
  <si>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DailyValuation</t>
  </si>
  <si>
    <t>GetForexConversion</t>
  </si>
  <si>
    <t>Data Format</t>
  </si>
  <si>
    <t>Input Format</t>
  </si>
  <si>
    <t>UpdateForexConversion</t>
  </si>
  <si>
    <t>USD</t>
  </si>
  <si>
    <t>CAD</t>
  </si>
  <si>
    <t>CAD AO-FX</t>
  </si>
  <si>
    <t>TradingTicket</t>
  </si>
  <si>
    <t>CreateComplianceOrder</t>
  </si>
  <si>
    <t>FRU-TC</t>
  </si>
  <si>
    <t>Buy</t>
  </si>
  <si>
    <t>Allocation1</t>
  </si>
  <si>
    <t>Yes</t>
  </si>
  <si>
    <t>DoneAway</t>
  </si>
  <si>
    <t>VerifyComplianceOrder</t>
  </si>
  <si>
    <t>Soft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</si>
  <si>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</si>
  <si>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</si>
  <si>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</si>
  <si>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100.00, avgPrice: 2.00, selectedFeedPrice: 2.00, dayPnLBase: 0.00, dayPnLLocal: 0.00, costBasisPnLBase: 0.00, costBasisPnLLocal: 0.00, netMarketValueBase: 160.00, netMarketValueLocal: 200.00, grossExposureBase: 160.00, grossExposureLocal: 200.00, Symbol: FRU-TC</t>
  </si>
  <si>
    <t>quantity: 100.00, avgPrice: 2.00, selectedFeedPrice: 2.00, dayPnLBase: 0.00, dayPnLLocal: 0.00, costBasisPnLBase: 0.00, costBasisPnLLocal: 0.00, netMarketValueBase: 153.8462, netMarketValueLocal: 200.00, grossExposureBase: 153.8462, grossExposureLocal: 200.00, Symbol: FRU-TC</t>
  </si>
  <si>
    <t>CreateDoneAwayOrder</t>
  </si>
  <si>
    <t>AVO-TC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</si>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</sst>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TODAY()-2</f>
        <v>44921</v>
      </c>
      <c r="C6" s="31">
        <f t="shared" si="1"/>
        <v>44921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3" t="s">
        <v>18</v>
      </c>
      <c r="D6" s="34" t="s">
        <v>19</v>
      </c>
      <c r="E6" s="35">
        <v>1.25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36"/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22</v>
      </c>
      <c r="C6" s="34" t="s">
        <v>23</v>
      </c>
      <c r="D6" s="38">
        <v>100.0</v>
      </c>
      <c r="E6" s="34"/>
      <c r="F6" s="34" t="s">
        <v>24</v>
      </c>
      <c r="G6" s="34"/>
      <c r="H6" s="34"/>
      <c r="I6" s="34"/>
      <c r="J6" s="38">
        <v>2.0</v>
      </c>
      <c r="K6" s="34"/>
      <c r="L6" s="34"/>
      <c r="M6" s="34"/>
      <c r="N6" s="39">
        <f>TODAY()</f>
        <v>44923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25</v>
      </c>
      <c r="AR6" s="36"/>
      <c r="AS6" s="36"/>
      <c r="AT6" s="36"/>
      <c r="AU6" s="36"/>
      <c r="AV6" s="36"/>
      <c r="AW6" s="36"/>
      <c r="AX6" s="36" t="s">
        <v>26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29</v>
      </c>
      <c r="D6" s="13" t="s">
        <v>30</v>
      </c>
      <c r="E6" s="13" t="s">
        <v>22</v>
      </c>
      <c r="F6" s="13" t="s">
        <v>31</v>
      </c>
      <c r="G6" s="13" t="s">
        <v>31</v>
      </c>
      <c r="H6" s="13" t="s">
        <v>32</v>
      </c>
      <c r="I6" s="8"/>
      <c r="J6" s="8"/>
      <c r="K6" s="32" t="s">
        <v>25</v>
      </c>
      <c r="L6" s="36"/>
      <c r="M6" s="32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44922</v>
      </c>
      <c r="C6" s="31">
        <f t="shared" si="1"/>
        <v>44922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3" t="s">
        <v>18</v>
      </c>
      <c r="D6" s="34" t="s">
        <v>19</v>
      </c>
      <c r="E6" s="35">
        <v>1.3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22</v>
      </c>
      <c r="C6" s="34" t="s">
        <v>23</v>
      </c>
      <c r="D6" s="38">
        <v>100.0</v>
      </c>
      <c r="E6" s="34"/>
      <c r="F6" s="34" t="s">
        <v>24</v>
      </c>
      <c r="G6" s="34"/>
      <c r="H6" s="34"/>
      <c r="I6" s="34"/>
      <c r="J6" s="38">
        <v>2.0</v>
      </c>
      <c r="K6" s="34"/>
      <c r="L6" s="34"/>
      <c r="M6" s="34"/>
      <c r="N6" s="39">
        <f>TODAY()</f>
        <v>44923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25</v>
      </c>
      <c r="AR6" s="36"/>
      <c r="AS6" s="36"/>
      <c r="AT6" s="36"/>
      <c r="AU6" s="36"/>
      <c r="AV6" s="36"/>
      <c r="AW6" s="36"/>
      <c r="AX6" s="32" t="s">
        <v>26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29</v>
      </c>
      <c r="D6" s="13" t="s">
        <v>30</v>
      </c>
      <c r="E6" s="13" t="s">
        <v>22</v>
      </c>
      <c r="F6" s="13" t="s">
        <v>31</v>
      </c>
      <c r="G6" s="13" t="s">
        <v>31</v>
      </c>
      <c r="H6" s="13" t="s">
        <v>33</v>
      </c>
      <c r="I6" s="8"/>
      <c r="J6" s="8"/>
      <c r="K6" s="32" t="s">
        <v>25</v>
      </c>
      <c r="L6" s="36"/>
      <c r="M6" s="32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34" t="s">
        <v>23</v>
      </c>
      <c r="D6" s="38">
        <v>100.0</v>
      </c>
      <c r="E6" s="34"/>
      <c r="F6" s="40" t="s">
        <v>36</v>
      </c>
      <c r="G6" s="34"/>
      <c r="H6" s="34"/>
      <c r="I6" s="34"/>
      <c r="J6" s="38">
        <v>2.0</v>
      </c>
      <c r="K6" s="34"/>
      <c r="L6" s="34"/>
      <c r="M6" s="34"/>
      <c r="N6" s="39">
        <f>TODAY()-20</f>
        <v>44903</v>
      </c>
      <c r="O6" s="8"/>
      <c r="A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