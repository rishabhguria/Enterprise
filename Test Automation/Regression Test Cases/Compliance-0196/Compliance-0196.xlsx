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ComplianceOrder" sheetId="4" r:id="rId6"/>
    <sheet state="visible" name="VerifyComplianceOrder" sheetId="5" r:id="rId7"/>
    <sheet state="visible" name="EditInterceptorFile" sheetId="6" r:id="rId8"/>
    <sheet state="visible" name="CreateComplianceOrder1" sheetId="7" r:id="rId9"/>
    <sheet state="visible" name="VerifyComplianceOrder1" sheetId="8" r:id="rId10"/>
  </sheets>
  <definedNames/>
  <calcPr/>
</workbook>
</file>

<file path=xl/sharedStrings.xml><?xml version="1.0" encoding="utf-8"?>
<sst xmlns="http://schemas.openxmlformats.org/spreadsheetml/2006/main" count="74" uniqueCount="33">
  <si>
    <t>Modules Info</t>
  </si>
  <si>
    <t>Modules</t>
  </si>
  <si>
    <t>Settings</t>
  </si>
  <si>
    <t>Module Step Setting File</t>
  </si>
  <si>
    <t>1FGxALDJcb5ehnsyvPsvvK2RmR5w5NvwxselvS8Rk8g0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</si>
  <si>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</si>
  <si>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</si>
  <si>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</si>
  <si>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</si>
  <si>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</si>
  <si>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</si>
  <si>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</si>
  <si>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TradingTicket</t>
  </si>
  <si>
    <t>CreateComplianceOrder</t>
  </si>
  <si>
    <t>Data Format</t>
  </si>
  <si>
    <t>Input Format</t>
  </si>
  <si>
    <t>MSFT</t>
  </si>
  <si>
    <t>Buy</t>
  </si>
  <si>
    <t>Allocation1</t>
  </si>
  <si>
    <t>Yes</t>
  </si>
  <si>
    <t>CreateOrder</t>
  </si>
  <si>
    <t>VerifyComplianceOrder</t>
  </si>
  <si>
    <t>Soft</t>
  </si>
  <si>
    <t>Underlying_inter_sym</t>
  </si>
  <si>
    <t>If Underlying Shares Outstanding greater than 500000B or underlying Shares Outstanding less than 200000B, Then block the trade.</t>
  </si>
  <si>
    <t>underlyingSharesOutstanding: 560,000.00, UnderlyingSymbol: MSFT</t>
  </si>
  <si>
    <t>Compliance</t>
  </si>
  <si>
    <t>EditInterceptorFile</t>
  </si>
  <si>
    <t>MSFT,,,,,,,,,,,,,,,,,560000</t>
  </si>
  <si>
    <t>INFY,,,,,,,,,,,,,,,,,10000</t>
  </si>
  <si>
    <t>INFY</t>
  </si>
  <si>
    <t>N/A</t>
  </si>
  <si>
    <t>underlyingSharesOutstanding: 10,000.00, UnderlyingSymbol: INFY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</si>
</sst>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IFERROR(__xludf.DUMMYFUNCTION("""COMPUTED_VALUE"""),"FilterClosing")</f>
        <v>FilterClosing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 ")</f>
        <v>FilterClosing 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</row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17</v>
      </c>
      <c r="D6" s="13">
        <v>100.0</v>
      </c>
      <c r="E6" s="8"/>
      <c r="F6" s="13" t="s">
        <v>18</v>
      </c>
      <c r="G6" s="8"/>
      <c r="H6" s="8"/>
      <c r="I6" s="8"/>
      <c r="J6" s="13">
        <v>2.0</v>
      </c>
      <c r="K6" s="8"/>
      <c r="L6" s="8"/>
      <c r="M6" s="8"/>
      <c r="N6" s="8"/>
      <c r="O6" s="8"/>
      <c r="AQ6" s="9" t="s">
        <v>19</v>
      </c>
      <c r="AX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22</v>
      </c>
      <c r="C6" s="13" t="s">
        <v>23</v>
      </c>
      <c r="D6" s="13" t="s">
        <v>24</v>
      </c>
      <c r="E6" s="13" t="s">
        <v>16</v>
      </c>
      <c r="F6" s="13"/>
      <c r="G6" s="13"/>
      <c r="H6" s="13" t="s">
        <v>25</v>
      </c>
      <c r="I6" s="8"/>
      <c r="J6" s="8"/>
      <c r="K6" s="13" t="s">
        <v>19</v>
      </c>
      <c r="L6" s="8"/>
      <c r="M6" s="9" t="s">
        <v>20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IFERROR(__xludf.DUMMYFUNCTION("""COMPUTED_VALUE"""),"SetComplianceAlert")</f>
        <v>SetComplianceAlert</v>
      </c>
      <c r="AN4" s="26" t="str">
        <f>IFERROR(__xludf.DUMMYFUNCTION("""COMPUTED_VALUE"""),"Approvependingapproval")</f>
        <v>Approvependingapproval</v>
      </c>
      <c r="AO4" s="26" t="str">
        <f>IFERROR(__xludf.DUMMYFUNCTION("""COMPUTED_VALUE"""),"VerifyAlertHistory")</f>
        <v>VerifyAlertHistory</v>
      </c>
      <c r="AP4" s="26" t="str">
        <f>IFERROR(__xludf.DUMMYFUNCTION("""COMPUTED_VALUE"""),"ApproveorRejectpendingapproval")</f>
        <v>ApproveorRejectpendingapproval</v>
      </c>
      <c r="AQ4" s="26" t="str">
        <f>IFERROR(__xludf.DUMMYFUNCTION("""COMPUTED_VALUE"""),"EditInterceptorFile")</f>
        <v>EditInterceptorFile</v>
      </c>
      <c r="AR4" s="26" t="str">
        <f>IFERROR(__xludf.DUMMYFUNCTION("""COMPUTED_VALUE"""),"ReplaceInterceptorFile")</f>
        <v>ReplaceInterceptorFile</v>
      </c>
      <c r="AS4" s="26" t="str">
        <f>IFERROR(__xludf.DUMMYFUNCTION("""COMPUTED_VALUE"""),"RestartReleasesAndServices")</f>
        <v>RestartReleasesAndServices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IFERROR(__xludf.DUMMYFUNCTION("""COMPUTED_VALUE"""),"Interceptor Symbol Data")</f>
        <v>Interceptor Symbol Data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28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EditInterceptorFile!$4:$4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30</v>
      </c>
      <c r="C6" s="13" t="s">
        <v>17</v>
      </c>
      <c r="D6" s="13">
        <v>100000.0</v>
      </c>
      <c r="E6" s="8"/>
      <c r="F6" s="13" t="s">
        <v>18</v>
      </c>
      <c r="G6" s="8"/>
      <c r="H6" s="8"/>
      <c r="I6" s="8"/>
      <c r="J6" s="13">
        <v>2.0</v>
      </c>
      <c r="K6" s="8"/>
      <c r="L6" s="8"/>
      <c r="M6" s="8"/>
      <c r="N6" s="8"/>
      <c r="O6" s="8"/>
      <c r="AQ6" s="9" t="s">
        <v>19</v>
      </c>
      <c r="AX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22</v>
      </c>
      <c r="C6" s="13" t="s">
        <v>23</v>
      </c>
      <c r="D6" s="13" t="s">
        <v>24</v>
      </c>
      <c r="E6" s="13" t="s">
        <v>30</v>
      </c>
      <c r="F6" s="13" t="s">
        <v>31</v>
      </c>
      <c r="G6" s="13" t="s">
        <v>31</v>
      </c>
      <c r="H6" s="13" t="s">
        <v>32</v>
      </c>
      <c r="I6" s="8"/>
      <c r="J6" s="8"/>
      <c r="K6" s="13" t="s">
        <v>19</v>
      </c>
      <c r="L6" s="8"/>
      <c r="M6" s="9" t="s">
        <v>20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