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MFPreferences" sheetId="5" r:id="rId7"/>
    <sheet state="visible" name="SetMFPreferencesDefaultRule" sheetId="6" r:id="rId8"/>
    <sheet state="visible" name="SetMFPrefFundDistribution" sheetId="7" r:id="rId9"/>
    <sheet state="visible" name="SetMFPrefAccountValues" sheetId="8" r:id="rId10"/>
    <sheet state="visible" name="SetMFPrefFundDefaultRule1" sheetId="9" r:id="rId11"/>
    <sheet state="visible" name="SetMFPrefAccountValues1" sheetId="10" r:id="rId12"/>
    <sheet state="visible" name="SetMFPreferencesDefaultRule2" sheetId="11" r:id="rId13"/>
    <sheet state="visible" name="CreateStageOrder" sheetId="12" r:id="rId14"/>
    <sheet state="visible" name="MultiTradingTicketFromBlotter" sheetId="13" r:id="rId15"/>
    <sheet state="visible" name="SelectTradeUsingMTT" sheetId="14" r:id="rId16"/>
    <sheet state="visible" name="EditTradeUsingMTT" sheetId="15" r:id="rId17"/>
    <sheet state="visible" name="SelectTradeUsingMTT1" sheetId="16" r:id="rId18"/>
    <sheet state="visible" name="EditTradeUsingMTT1" sheetId="17" r:id="rId19"/>
    <sheet state="visible" name="DoneAwayUsingMTT" sheetId="18" r:id="rId20"/>
    <sheet state="visible" name="VerifyOrder" sheetId="19" r:id="rId21"/>
    <sheet state="visible" name="GetDataAllocation" sheetId="20" r:id="rId22"/>
    <sheet state="visible" name="CheckAllocatedGroups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<sst xmlns="http://schemas.openxmlformats.org/spreadsheetml/2006/main" count="809" uniqueCount="74">
  <si>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</si>
  <si>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</si>
  <si>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</si>
  <si>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</si>
  <si>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</si>
  <si>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</si>
  <si>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</si>
  <si>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</si>
  <si>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</si>
  <si>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</si>
  <si>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</si>
  <si>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</si>
  <si>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</si>
  <si>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</si>
  <si>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</si>
  <si>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</si>
  <si>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</si>
  <si>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TestPreference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</si>
  <si>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</si>
  <si>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</si>
  <si>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</si>
  <si>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</si>
  <si>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</si>
  <si>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</si>
  <si>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Allocation1</t>
  </si>
  <si>
    <t>Allocation3</t>
  </si>
  <si>
    <t>SetMFPrefFundDefaultRule</t>
  </si>
  <si>
    <t>Fair Pricing</t>
  </si>
  <si>
    <t>Allocation2</t>
  </si>
  <si>
    <t>Allocation4</t>
  </si>
  <si>
    <t>TradingTicket</t>
  </si>
  <si>
    <t>CreateStageOrder</t>
  </si>
  <si>
    <t>MSFT</t>
  </si>
  <si>
    <t>Buy</t>
  </si>
  <si>
    <t>AAPL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</si>
  <si>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</si>
  <si>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</si>
  <si>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</si>
  <si>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</si>
  <si>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</si>
  <si>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</si>
  <si>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</si>
  <si>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</si>
  <si>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</si>
  <si>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</si>
  <si>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</si>
  <si>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</si>
  <si>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</si>
  <si>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</si>
  <si>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</si>
  <si>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M</t>
  </si>
  <si>
    <t>Equity</t>
  </si>
  <si>
    <t>Filled</t>
  </si>
  <si>
    <t>MS</t>
  </si>
  <si>
    <t>Market</t>
  </si>
  <si>
    <t>MSFT US EQUITY</t>
  </si>
  <si>
    <t>GetDataAllocation</t>
  </si>
  <si>
    <t>Current</t>
  </si>
  <si>
    <t>CheckAllocatedGroups</t>
  </si>
  <si>
    <t>Multiple</t>
  </si>
  <si>
    <t>Open</t>
  </si>
  <si>
    <t>APPLE</t>
  </si>
  <si>
    <t>BrokerNotes</t>
  </si>
  <si>
    <t>None</t>
  </si>
  <si>
    <t>DefaultNotes</t>
  </si>
  <si>
    <t>InternalOrder</t>
  </si>
  <si>
    <t>Strategy Unallocated</t>
  </si>
  <si>
    <t>NONE</t>
  </si>
  <si>
    <t>MICROSOFT INC</t>
  </si>
  <si>
    <t>PortfolioManagement</t>
  </si>
  <si>
    <t>CheckPortfolioManagement</t>
  </si>
  <si>
    <t>Long</t>
  </si>
  <si>
    <t>Undefined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</si>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</sst>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14" xfId="0" applyAlignment="1" applyBorder="1" applyFont="1" applyNumberFormat="1">
      <alignment vertical="bottom"/>
    </xf>
    <xf borderId="5" fillId="0" fontId="3" numFmtId="0" xfId="0" applyAlignment="1" applyBorder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15" numFmtId="0" xfId="0" applyAlignment="1" applyFill="1" applyFont="1">
      <alignment horizontal="left" readingOrder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>
      <c r="A587" t="str">
        <f>IFERROR(__xludf.DUMMYFUNCTION("""COMPUTED_VALUE"""),"QTT")</f>
        <v>QTT</v>
      </c>
      <c r="B587" t="str">
        <f>IFERROR(__xludf.DUMMYFUNCTION("""COMPUTED_VALUE"""),"OpenQtt")</f>
        <v>OpenQtt</v>
      </c>
      <c r="C587" t="str">
        <f>IFERROR(__xludf.DUMMYFUNCTION("""COMPUTED_VALUE"""),"1w_R8_0C8pikIkKOjwqbblpApJ-NG3VoHrCDrW9YJ19Q")</f>
        <v>1w_R8_0C8pikIkKOjwqbblpApJ-NG3VoHrCDrW9YJ19Q</v>
      </c>
    </row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1lI4loUxqzsE3IjuxIjsVY3cB4J_eTKFPPDuXngut4FE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IFERROR(__xludf.DUMMYFUNCTION("""COMPUTED_VALUE"""),"ValidateCheckSide")</f>
        <v>ValidateCheckSide</v>
      </c>
      <c r="C5" s="29" t="str">
        <f>IFERROR(__xludf.DUMMYFUNCTION("""COMPUTED_VALUE"""),"DisabledChecksideAssets")</f>
        <v>DisabledChecksideAssets</v>
      </c>
      <c r="D5" s="29" t="str">
        <f>IFERROR(__xludf.DUMMYFUNCTION("""COMPUTED_VALUE"""),"PrecisionValue")</f>
        <v>PrecisionValue</v>
      </c>
      <c r="E5" s="29" t="str">
        <f>IFERROR(__xludf.DUMMYFUNCTION("""COMPUTED_VALUE"""),"UseCommissionInNetAmount")</f>
        <v>UseCommissionInNetAmount</v>
      </c>
      <c r="F5" s="30" t="str">
        <f>IFERROR(__xludf.DUMMYFUNCTION("""COMPUTED_VALUE"""),"SaveWithoutState")</f>
        <v>SaveWithoutState</v>
      </c>
      <c r="G5" s="29" t="str">
        <f>IFERROR(__xludf.DUMMYFUNCTION("""COMPUTED_VALUE"""),"SaveWithState")</f>
        <v>SaveWithState</v>
      </c>
      <c r="H5" s="29" t="str">
        <f>IFERROR(__xludf.DUMMYFUNCTION("""COMPUTED_VALUE"""),"ClearQuantities")</f>
        <v>ClearQuantities</v>
      </c>
      <c r="I5" s="29" t="str">
        <f>IFERROR(__xludf.DUMMYFUNCTION("""COMPUTED_VALUE"""),"ReapplyAllocation")</f>
        <v>ReapplyAllocation</v>
      </c>
      <c r="J5" s="29" t="str">
        <f>IFERROR(__xludf.DUMMYFUNCTION("""COMPUTED_VALUE"""),"DefaultAllocation")</f>
        <v>DefaultAllocation</v>
      </c>
      <c r="K5" s="29" t="str">
        <f>IFERROR(__xludf.DUMMYFUNCTION("""COMPUTED_VALUE"""),"IsCustomPreference")</f>
        <v>IsCustomPreference</v>
      </c>
      <c r="L5" s="29" t="str">
        <f>IFERROR(__xludf.DUMMYFUNCTION("""COMPUTED_VALUE"""),"AllocationMethod")</f>
        <v>AllocationMethod</v>
      </c>
      <c r="M5" s="29" t="str">
        <f>IFERROR(__xludf.DUMMYFUNCTION("""COMPUTED_VALUE"""),"RemainderAllocationTo")</f>
        <v>RemainderAllocationTo</v>
      </c>
      <c r="N5" s="29" t="str">
        <f>IFERROR(__xludf.DUMMYFUNCTION("""COMPUTED_VALUE"""),"Target%AsOf")</f>
        <v>Target%AsOf</v>
      </c>
      <c r="O5" s="29" t="str">
        <f>IFERROR(__xludf.DUMMYFUNCTION("""COMPUTED_VALUE"""),"ProrataAccounts")</f>
        <v>ProrataAccounts</v>
      </c>
      <c r="P5" s="29" t="str">
        <f>IFERROR(__xludf.DUMMYFUNCTION("""COMPUTED_VALUE"""),"DateUptoDays")</f>
        <v>DateUptoDays</v>
      </c>
      <c r="Q5" s="29" t="str">
        <f>IFERROR(__xludf.DUMMYFUNCTION("""COMPUTED_VALUE"""),"MatchClosing")</f>
        <v>MatchClosing</v>
      </c>
      <c r="R5" s="29" t="str">
        <f>IFERROR(__xludf.DUMMYFUNCTION("""COMPUTED_VALUE"""),"CommissionAlertOnBrokerChange")</f>
        <v>CommissionAlertOnBrokerChange</v>
      </c>
      <c r="S5" s="29" t="str">
        <f>IFERROR(__xludf.DUMMYFUNCTION("""COMPUTED_VALUE"""),"RecalculateCommissionOnBrokerChange")</f>
        <v>RecalculateCommissionOnBrokerChange</v>
      </c>
      <c r="T5" s="31" t="str">
        <f>IFERROR(__xludf.DUMMYFUNCTION("""COMPUTED_VALUE"""),"CommissionAlertOnAllocation")</f>
        <v>CommissionAlertOnAllocation</v>
      </c>
      <c r="U5" s="31" t="str">
        <f>IFERROR(__xludf.DUMMYFUNCTION("""COMPUTED_VALUE"""),"RecalculateCommissionOnAllocation")</f>
        <v>RecalculateCommissionOnAllocation</v>
      </c>
      <c r="V5" s="31" t="str">
        <f>IFERROR(__xludf.DUMMYFUNCTION("""COMPUTED_VALUE"""),"EnableMasterFund")</f>
        <v>EnableMasterFund</v>
      </c>
      <c r="W5" s="31" t="str">
        <f>IFERROR(__xludf.DUMMYFUNCTION("""COMPUTED_VALUE"""),"1MasterFund/1Symbol")</f>
        <v>1MasterFund/1Symbol</v>
      </c>
      <c r="X5" s="31" t="str">
        <f>IFERROR(__xludf.DUMMYFUNCTION("""COMPUTED_VALUE"""),"ProrataSchemeName")</f>
        <v>ProrataSchemeName</v>
      </c>
      <c r="Y5" s="31" t="str">
        <f>IFERROR(__xludf.DUMMYFUNCTION("""COMPUTED_VALUE"""),"ProrataAllocationSchemeBasis")</f>
        <v>ProrataAllocationSchemeBasis</v>
      </c>
      <c r="Z5" s="31" t="str">
        <f>IFERROR(__xludf.DUMMYFUNCTION("""COMPUTED_VALUE"""),"ShowAdvancedProrataUI")</f>
        <v>ShowAdvancedProrataUI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4" t="b">
        <v>1</v>
      </c>
      <c r="W6" s="34" t="b">
        <v>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17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IFERROR(__xludf.DUMMYFUNCTION("""COMPUTED_VALUE"""),"RemainderAllocationTo")</f>
        <v>RemainderAllocationTo</v>
      </c>
      <c r="C5" s="29" t="str">
        <f>IFERROR(__xludf.DUMMYFUNCTION("""COMPUTED_VALUE"""),"Target%AsOf")</f>
        <v>Target%AsOf</v>
      </c>
      <c r="D5" s="29" t="str">
        <f>IFERROR(__xludf.DUMMYFUNCTION("""COMPUTED_VALUE"""),"ProrataAccounts")</f>
        <v>ProrataAccounts</v>
      </c>
      <c r="E5" s="29" t="str">
        <f>IFERROR(__xludf.DUMMYFUNCTION("""COMPUTED_VALUE"""),"DateUptoDays")</f>
        <v>DateUptoDays</v>
      </c>
      <c r="F5" s="30" t="str">
        <f>IFERROR(__xludf.DUMMYFUNCTION("""COMPUTED_VALUE"""),"PreferenceName")</f>
        <v>PreferenceName</v>
      </c>
      <c r="G5" s="29" t="str">
        <f>IFERROR(__xludf.DUMMYFUNCTION("""COMPUTED_VALUE"""),"MatchClosingTransaction")</f>
        <v>MatchClosingTransaction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/>
      <c r="C6" s="35" t="s">
        <v>19</v>
      </c>
      <c r="D6" s="32"/>
      <c r="E6" s="32"/>
      <c r="F6" s="36" t="s">
        <v>17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IFERROR(__xludf.DUMMYFUNCTION("""COMPUTED_VALUE"""),"MasterFundName")</f>
        <v>MasterFundName</v>
      </c>
      <c r="D5" s="29" t="str">
        <f>IFERROR(__xludf.DUMMYFUNCTION("""COMPUTED_VALUE"""),"TargetPercentage")</f>
        <v>TargetPercentage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7" t="s">
        <v>17</v>
      </c>
      <c r="C6" s="32" t="s">
        <v>21</v>
      </c>
      <c r="D6" s="38">
        <v>50.0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17</v>
      </c>
      <c r="C7" s="33" t="s">
        <v>22</v>
      </c>
      <c r="D7" s="39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/>
      <c r="C8" s="33"/>
      <c r="D8" s="39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/>
      <c r="C9" s="33"/>
      <c r="D9" s="33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IFERROR(__xludf.DUMMYFUNCTION("""COMPUTED_VALUE"""),"AccountName")</f>
        <v>AccountName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6" t="s">
        <v>17</v>
      </c>
      <c r="C6" s="36" t="s">
        <v>21</v>
      </c>
      <c r="D6" s="36" t="s">
        <v>24</v>
      </c>
      <c r="E6" s="38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2"/>
      <c r="B7" s="36" t="s">
        <v>17</v>
      </c>
      <c r="C7" s="36" t="s">
        <v>21</v>
      </c>
      <c r="D7" s="36" t="s">
        <v>25</v>
      </c>
      <c r="E7" s="38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IFERROR(__xludf.DUMMYFUNCTION("""COMPUTED_VALUE"""),"AllocationMethod")</f>
        <v>AllocationMethod</v>
      </c>
      <c r="E5" s="29" t="str">
        <f>IFERROR(__xludf.DUMMYFUNCTION("""COMPUTED_VALUE"""),"RemainderAllocationTo")</f>
        <v>RemainderAllocationTo</v>
      </c>
      <c r="F5" s="30" t="str">
        <f>IFERROR(__xludf.DUMMYFUNCTION("""COMPUTED_VALUE"""),"Target%AsOf")</f>
        <v>Target%AsOf</v>
      </c>
      <c r="G5" s="29" t="str">
        <f>IFERROR(__xludf.DUMMYFUNCTION("""COMPUTED_VALUE"""),"ProrataAccounts")</f>
        <v>ProrataAccounts</v>
      </c>
      <c r="H5" s="29" t="str">
        <f>IFERROR(__xludf.DUMMYFUNCTION("""COMPUTED_VALUE"""),"DateUptoDays")</f>
        <v>DateUptoDays</v>
      </c>
      <c r="I5" s="29" t="str">
        <f>IFERROR(__xludf.DUMMYFUNCTION("""COMPUTED_VALUE"""),"MatchClosingTransactions")</f>
        <v>MatchClosingTransactions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6" t="s">
        <v>17</v>
      </c>
      <c r="C6" s="36" t="s">
        <v>21</v>
      </c>
      <c r="D6" s="36" t="s">
        <v>27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IFERROR(__xludf.DUMMYFUNCTION("""COMPUTED_VALUE"""),"AccountName")</f>
        <v>AccountName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6" t="s">
        <v>17</v>
      </c>
      <c r="C6" s="36" t="s">
        <v>22</v>
      </c>
      <c r="D6" s="36" t="s">
        <v>28</v>
      </c>
      <c r="E6" s="38">
        <v>50.0</v>
      </c>
      <c r="F6" s="36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17</v>
      </c>
      <c r="C7" s="37" t="s">
        <v>22</v>
      </c>
      <c r="D7" s="37" t="s">
        <v>29</v>
      </c>
      <c r="E7" s="39">
        <v>50.0</v>
      </c>
      <c r="F7" s="37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IFERROR(__xludf.DUMMYFUNCTION("""COMPUTED_VALUE"""),"MasterFund")</f>
        <v>MasterFund</v>
      </c>
      <c r="D5" s="29" t="str">
        <f>IFERROR(__xludf.DUMMYFUNCTION("""COMPUTED_VALUE"""),"AllocationMethod")</f>
        <v>AllocationMethod</v>
      </c>
      <c r="E5" s="29" t="str">
        <f>IFERROR(__xludf.DUMMYFUNCTION("""COMPUTED_VALUE"""),"RemainderAllocationTo")</f>
        <v>RemainderAllocationTo</v>
      </c>
      <c r="F5" s="30" t="str">
        <f>IFERROR(__xludf.DUMMYFUNCTION("""COMPUTED_VALUE"""),"Target%AsOf")</f>
        <v>Target%AsOf</v>
      </c>
      <c r="G5" s="29" t="str">
        <f>IFERROR(__xludf.DUMMYFUNCTION("""COMPUTED_VALUE"""),"ProrataAccounts")</f>
        <v>ProrataAccounts</v>
      </c>
      <c r="H5" s="29" t="str">
        <f>IFERROR(__xludf.DUMMYFUNCTION("""COMPUTED_VALUE"""),"DateUptoDays")</f>
        <v>DateUptoDays</v>
      </c>
      <c r="I5" s="29" t="str">
        <f>IFERROR(__xludf.DUMMYFUNCTION("""COMPUTED_VALUE"""),"MatchClosingTransactions")</f>
        <v>MatchClosingTransactions</v>
      </c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6" t="s">
        <v>17</v>
      </c>
      <c r="C6" s="36" t="s">
        <v>22</v>
      </c>
      <c r="D6" s="36" t="s">
        <v>27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IFERROR(__xludf.DUMMYFUNCTION("""COMPUTED_VALUE"""),"EditOrder")</f>
        <v>EditOrder</v>
      </c>
      <c r="AO5" s="31" t="str">
        <f>IFERROR(__xludf.DUMMYFUNCTION("""COMPUTED_VALUE"""),"ShortLocate")</f>
        <v>ShortLocate</v>
      </c>
      <c r="AP5" s="31" t="str">
        <f>IFERROR(__xludf.DUMMYFUNCTION("""COMPUTED_VALUE"""),"ChkBoxBookAsSwap")</f>
        <v>ChkBoxBookAsSwap</v>
      </c>
      <c r="AQ5" s="31" t="str">
        <f>IFERROR(__xludf.DUMMYFUNCTION("""COMPUTED_VALUE"""),"Interest Rate")</f>
        <v>Interest Rate</v>
      </c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32</v>
      </c>
      <c r="C6" s="32" t="s">
        <v>33</v>
      </c>
      <c r="D6" s="38">
        <v>100.0</v>
      </c>
      <c r="E6" s="38">
        <v>100.0</v>
      </c>
      <c r="F6" s="36" t="s">
        <v>17</v>
      </c>
      <c r="G6" s="32"/>
      <c r="H6" s="32"/>
      <c r="I6" s="32"/>
      <c r="J6" s="40">
        <v>30.67</v>
      </c>
      <c r="K6" s="32"/>
      <c r="L6" s="32"/>
      <c r="M6" s="32"/>
      <c r="N6" s="41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34</v>
      </c>
      <c r="C7" s="37" t="s">
        <v>33</v>
      </c>
      <c r="D7" s="39">
        <v>100.0</v>
      </c>
      <c r="E7" s="39">
        <v>100.0</v>
      </c>
      <c r="F7" s="37" t="s">
        <v>17</v>
      </c>
      <c r="G7" s="33"/>
      <c r="H7" s="33"/>
      <c r="I7" s="33"/>
      <c r="J7" s="40">
        <v>30.67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IFERROR(__xludf.DUMMYFUNCTION("""COMPUTED_VALUE"""),"User")</f>
        <v>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/>
      <c r="C6" s="32"/>
      <c r="D6" s="4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3" t="s">
        <v>32</v>
      </c>
      <c r="AJ6" s="43" t="s">
        <v>33</v>
      </c>
      <c r="AK6" s="43" t="s">
        <v>37</v>
      </c>
      <c r="AL6" s="44">
        <v>100.0</v>
      </c>
      <c r="AM6" s="33"/>
      <c r="AN6" s="33"/>
      <c r="AO6" s="33"/>
      <c r="AP6" s="33"/>
      <c r="AQ6" s="33"/>
      <c r="AR6" s="42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42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34</v>
      </c>
      <c r="AJ7" s="33" t="s">
        <v>33</v>
      </c>
      <c r="AK7" s="33" t="s">
        <v>37</v>
      </c>
      <c r="AL7" s="45">
        <v>100.0</v>
      </c>
      <c r="AM7" s="33"/>
      <c r="AN7" s="33"/>
      <c r="AO7" s="33"/>
      <c r="AP7" s="33"/>
      <c r="AQ7" s="33"/>
      <c r="AR7" s="42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2" t="s">
        <v>32</v>
      </c>
      <c r="C6" s="32" t="s">
        <v>33</v>
      </c>
      <c r="D6" s="38">
        <v>100.0</v>
      </c>
      <c r="E6" s="38">
        <v>100.0</v>
      </c>
      <c r="F6" s="3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2" t="s">
        <v>32</v>
      </c>
      <c r="C6" s="32" t="s">
        <v>33</v>
      </c>
      <c r="D6" s="38">
        <v>100.0</v>
      </c>
      <c r="E6" s="38">
        <v>100.0</v>
      </c>
      <c r="F6" s="32" t="s">
        <v>17</v>
      </c>
      <c r="G6" s="32"/>
      <c r="H6" s="32"/>
      <c r="I6" s="32"/>
      <c r="J6" s="42">
        <v>30.67</v>
      </c>
      <c r="K6" s="8"/>
      <c r="L6" s="8"/>
      <c r="M6" s="8"/>
      <c r="N6" s="8"/>
      <c r="O6" s="8"/>
    </row>
    <row r="7" ht="15.75" customHeight="1">
      <c r="A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2" t="s">
        <v>34</v>
      </c>
      <c r="C6" s="32" t="s">
        <v>33</v>
      </c>
      <c r="D6" s="38">
        <v>100.0</v>
      </c>
      <c r="E6" s="38">
        <v>100.0</v>
      </c>
      <c r="F6" s="3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3"/>
      <c r="B6" s="32" t="s">
        <v>34</v>
      </c>
      <c r="C6" s="32" t="s">
        <v>33</v>
      </c>
      <c r="D6" s="38">
        <v>100.0</v>
      </c>
      <c r="E6" s="38">
        <v>100.0</v>
      </c>
      <c r="F6" s="32" t="s">
        <v>17</v>
      </c>
      <c r="G6" s="32"/>
      <c r="H6" s="32"/>
      <c r="I6" s="32"/>
      <c r="J6" s="46">
        <v>30.67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 Quantity")</f>
        <v>Target Quantity</v>
      </c>
      <c r="F5" s="30" t="str">
        <f>IFERROR(__xludf.DUMMYFUNCTION("""COMPUTED_VALUE"""),"Allocation")</f>
        <v>Allocation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 Rate")</f>
        <v>FX 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 Basis")</f>
        <v>Commission Basis</v>
      </c>
      <c r="S5" s="29" t="str">
        <f>IFERROR(__xludf.DUMMYFUNCTION("""COMPUTED_VALUE"""),"Commission Rate")</f>
        <v>Commission Rate</v>
      </c>
      <c r="T5" s="31" t="str">
        <f>IFERROR(__xludf.DUMMYFUNCTION("""COMPUTED_VALUE"""),"Soft Basis")</f>
        <v>Soft Basis</v>
      </c>
      <c r="U5" s="31" t="str">
        <f>IFERROR(__xludf.DUMMYFUNCTION("""COMPUTED_VALUE"""),"Soft Rate")</f>
        <v>Soft Rate</v>
      </c>
      <c r="V5" s="31" t="str">
        <f>IFERROR(__xludf.DUMMYFUNCTION("""COMPUTED_VALUE"""),"Trade Attribute 1")</f>
        <v>Trade Attribute 1</v>
      </c>
      <c r="W5" s="31" t="str">
        <f>IFERROR(__xludf.DUMMYFUNCTION("""COMPUTED_VALUE"""),"Trade Attribute 2")</f>
        <v>Trade Attribute 2</v>
      </c>
      <c r="X5" s="31" t="str">
        <f>IFERROR(__xludf.DUMMYFUNCTION("""COMPUTED_VALUE"""),"Trade Attribute 3")</f>
        <v>Trade Attribute 3</v>
      </c>
      <c r="Y5" s="31" t="str">
        <f>IFERROR(__xludf.DUMMYFUNCTION("""COMPUTED_VALUE"""),"Trade Attribute 4")</f>
        <v>Trade Attribute 4</v>
      </c>
      <c r="Z5" s="31" t="str">
        <f>IFERROR(__xludf.DUMMYFUNCTION("""COMPUTED_VALUE"""),"Trade Attribute 5")</f>
        <v>Trade Attribute 5</v>
      </c>
      <c r="AA5" s="31" t="str">
        <f>IFERROR(__xludf.DUMMYFUNCTION("""COMPUTED_VALUE"""),"Trade Attribute 6")</f>
        <v>Trade Attribute 6</v>
      </c>
      <c r="AB5" s="31" t="str">
        <f>IFERROR(__xludf.DUMMYFUNCTION("""COMPUTED_VALUE"""),"Venue")</f>
        <v>Venue</v>
      </c>
      <c r="AC5" s="31" t="str">
        <f>IFERROR(__xludf.DUMMYFUNCTION("""COMPUTED_VALUE"""),"Execution Instructions")</f>
        <v>Execution Instructions</v>
      </c>
      <c r="AD5" s="31" t="str">
        <f>IFERROR(__xludf.DUMMYFUNCTION("""COMPUTED_VALUE"""),"Handling Instructions")</f>
        <v>Handling Instructions</v>
      </c>
      <c r="AE5" s="31" t="str">
        <f>IFERROR(__xludf.DUMMYFUNCTION("""COMPUTED_VALUE"""),"Trader")</f>
        <v>Trader</v>
      </c>
      <c r="AF5" s="31" t="str">
        <f>IFERROR(__xludf.DUMMYFUNCTION("""COMPUTED_VALUE"""),"Settlement Currency")</f>
        <v>Settlement Currency</v>
      </c>
      <c r="AG5" s="31" t="str">
        <f>IFERROR(__xludf.DUMMYFUNCTION("""COMPUTED_VALUE"""),"Settlement Fx Rate")</f>
        <v>Settlement Fx Rate</v>
      </c>
      <c r="AH5" s="31" t="str">
        <f>IFERROR(__xludf.DUMMYFUNCTION("""COMPUTED_VALUE"""),"Settlement Amount")</f>
        <v>Settlement Amount</v>
      </c>
      <c r="AI5" s="31" t="str">
        <f>IFERROR(__xludf.DUMMYFUNCTION("""COMPUTED_VALUE"""),"Settlement Fx Operator")</f>
        <v>Settlement Fx Operator</v>
      </c>
      <c r="AJ5" s="31" t="str">
        <f>IFERROR(__xludf.DUMMYFUNCTION("""COMPUTED_VALUE"""),"ImportFileName")</f>
        <v>ImportFileName</v>
      </c>
      <c r="AK5" s="31" t="str">
        <f>IFERROR(__xludf.DUMMYFUNCTION("""COMPUTED_VALUE"""),"SharesOutstandingPopUp")</f>
        <v>SharesOutstandingPopUp</v>
      </c>
      <c r="AL5" s="31" t="str">
        <f>IFERROR(__xludf.DUMMYFUNCTION("""COMPUTED_VALUE"""),"PopUpQuantity")</f>
        <v>PopUpQuantity</v>
      </c>
      <c r="AM5" s="31" t="str">
        <f>IFERROR(__xludf.DUMMYFUNCTION("""COMPUTED_VALUE"""),"ResAllowedListPopUp")</f>
        <v>ResAllowedListPopUp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2"/>
      <c r="B6" s="32" t="s">
        <v>32</v>
      </c>
      <c r="C6" s="32" t="s">
        <v>33</v>
      </c>
      <c r="D6" s="38">
        <v>100.0</v>
      </c>
      <c r="E6" s="38">
        <v>100.0</v>
      </c>
      <c r="F6" s="32" t="s">
        <v>17</v>
      </c>
      <c r="G6" s="32"/>
      <c r="H6" s="32"/>
      <c r="I6" s="32"/>
      <c r="J6" s="42"/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2"/>
      <c r="B7" s="32" t="s">
        <v>34</v>
      </c>
      <c r="C7" s="32" t="s">
        <v>33</v>
      </c>
      <c r="D7" s="38">
        <v>100.0</v>
      </c>
      <c r="E7" s="38">
        <v>100.0</v>
      </c>
      <c r="F7" s="32" t="s">
        <v>17</v>
      </c>
      <c r="G7" s="32"/>
      <c r="H7" s="32"/>
      <c r="I7" s="32"/>
      <c r="J7" s="46"/>
      <c r="K7" s="32"/>
      <c r="L7" s="32"/>
      <c r="M7" s="32"/>
      <c r="N7" s="32"/>
      <c r="O7" s="32"/>
      <c r="P7" s="32"/>
      <c r="Q7" s="32"/>
      <c r="R7" s="32"/>
      <c r="S7" s="32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IFERROR(__xludf.DUMMYFUNCTION("""COMPUTED_VALUE"""),"Transaction Time")</f>
        <v>Transaction Time</v>
      </c>
      <c r="C5" s="29" t="str">
        <f>IFERROR(__xludf.DUMMYFUNCTION("""COMPUTED_VALUE"""),"Algo")</f>
        <v>Algo</v>
      </c>
      <c r="D5" s="29" t="str">
        <f>IFERROR(__xludf.DUMMYFUNCTION("""COMPUTED_VALUE"""),"Avg Fill Price (Base)")</f>
        <v>Avg Fill Price (Base)</v>
      </c>
      <c r="E5" s="29" t="str">
        <f>IFERROR(__xludf.DUMMYFUNCTION("""COMPUTED_VALUE"""),"Bloomberg Symbol")</f>
        <v>Bloomberg Symbol</v>
      </c>
      <c r="F5" s="30" t="str">
        <f>IFERROR(__xludf.DUMMYFUNCTION("""COMPUTED_VALUE"""),"Limit Price")</f>
        <v>Limit Price</v>
      </c>
      <c r="G5" s="29" t="str">
        <f>IFERROR(__xludf.DUMMYFUNCTION("""COMPUTED_VALUE"""),"Working Qty")</f>
        <v>Working Qty</v>
      </c>
      <c r="H5" s="29" t="str">
        <f>IFERROR(__xludf.DUMMYFUNCTION("""COMPUTED_VALUE"""),"Venue")</f>
        <v>Venue</v>
      </c>
      <c r="I5" s="29" t="str">
        <f>IFERROR(__xludf.DUMMYFUNCTION("""COMPUTED_VALUE"""),"Current User")</f>
        <v>Current User</v>
      </c>
      <c r="J5" s="29" t="str">
        <f>IFERROR(__xludf.DUMMYFUNCTION("""COMPUTED_VALUE"""),"Underlying Symbol")</f>
        <v>Underlying Symbol</v>
      </c>
      <c r="K5" s="29" t="str">
        <f>IFERROR(__xludf.DUMMYFUNCTION("""COMPUTED_VALUE"""),"Underlying Country")</f>
        <v>Underlying Country</v>
      </c>
      <c r="L5" s="29" t="str">
        <f>IFERROR(__xludf.DUMMYFUNCTION("""COMPUTED_VALUE"""),"Trader")</f>
        <v>Trader</v>
      </c>
      <c r="M5" s="29" t="str">
        <f>IFERROR(__xludf.DUMMYFUNCTION("""COMPUTED_VALUE"""),"Trade Attribute 6")</f>
        <v>Trade Attribute 6</v>
      </c>
      <c r="N5" s="29" t="str">
        <f>IFERROR(__xludf.DUMMYFUNCTION("""COMPUTED_VALUE"""),"Trade Attribute 5")</f>
        <v>Trade Attribute 5</v>
      </c>
      <c r="O5" s="29" t="str">
        <f>IFERROR(__xludf.DUMMYFUNCTION("""COMPUTED_VALUE"""),"Trade Attribute 4")</f>
        <v>Trade Attribute 4</v>
      </c>
      <c r="P5" s="29" t="str">
        <f>IFERROR(__xludf.DUMMYFUNCTION("""COMPUTED_VALUE"""),"Trade Attribute 3")</f>
        <v>Trade Attribute 3</v>
      </c>
      <c r="Q5" s="29" t="str">
        <f>IFERROR(__xludf.DUMMYFUNCTION("""COMPUTED_VALUE"""),"Trade Attribute 1")</f>
        <v>Trade Attribute 1</v>
      </c>
      <c r="R5" s="29" t="str">
        <f>IFERROR(__xludf.DUMMYFUNCTION("""COMPUTED_VALUE"""),"Trade Attribute 2")</f>
        <v>Trade Attribute 2</v>
      </c>
      <c r="S5" s="29" t="str">
        <f>IFERROR(__xludf.DUMMYFUNCTION("""COMPUTED_VALUE"""),"Strike Price")</f>
        <v>Strike Price</v>
      </c>
      <c r="T5" s="31" t="str">
        <f>IFERROR(__xludf.DUMMYFUNCTION("""COMPUTED_VALUE"""),"Stop Price")</f>
        <v>Stop Price</v>
      </c>
      <c r="U5" s="31" t="str">
        <f>IFERROR(__xludf.DUMMYFUNCTION("""COMPUTED_VALUE"""),"Settlement Currency")</f>
        <v>Settlement Currency</v>
      </c>
      <c r="V5" s="31" t="str">
        <f>IFERROR(__xludf.DUMMYFUNCTION("""COMPUTED_VALUE"""),"Put/Call")</f>
        <v>Put/Call</v>
      </c>
      <c r="W5" s="31" t="str">
        <f>IFERROR(__xludf.DUMMYFUNCTION("""COMPUTED_VALUE"""),"Process Date")</f>
        <v>Process Date</v>
      </c>
      <c r="X5" s="31" t="str">
        <f>IFERROR(__xludf.DUMMYFUNCTION("""COMPUTED_VALUE"""),"Peg")</f>
        <v>Peg</v>
      </c>
      <c r="Y5" s="31" t="str">
        <f>IFERROR(__xludf.DUMMYFUNCTION("""COMPUTED_VALUE"""),"ParentClOrderID")</f>
        <v>ParentClOrderID</v>
      </c>
      <c r="Z5" s="31" t="str">
        <f>IFERROR(__xludf.DUMMYFUNCTION("""COMPUTED_VALUE"""),"OrderID")</f>
        <v>OrderID</v>
      </c>
      <c r="AA5" s="31" t="str">
        <f>IFERROR(__xludf.DUMMYFUNCTION("""COMPUTED_VALUE"""),"Master Fund")</f>
        <v>Master Fund</v>
      </c>
      <c r="AB5" s="31" t="str">
        <f>IFERROR(__xludf.DUMMYFUNCTION("""COMPUTED_VALUE"""),"Last Shares")</f>
        <v>Last Shares</v>
      </c>
      <c r="AC5" s="31" t="str">
        <f>IFERROR(__xludf.DUMMYFUNCTION("""COMPUTED_VALUE"""),"Internal Comments")</f>
        <v>Internal Comments</v>
      </c>
      <c r="AD5" s="31" t="str">
        <f>IFERROR(__xludf.DUMMYFUNCTION("""COMPUTED_VALUE"""),"FX Rate")</f>
        <v>FX Rate</v>
      </c>
      <c r="AE5" s="31" t="str">
        <f>IFERROR(__xludf.DUMMYFUNCTION("""COMPUTED_VALUE"""),"Imported File Name")</f>
        <v>Imported File Name</v>
      </c>
      <c r="AF5" s="31" t="str">
        <f>IFERROR(__xludf.DUMMYFUNCTION("""COMPUTED_VALUE"""),"FX Conversion Operator")</f>
        <v>FX Conversion Operator</v>
      </c>
      <c r="AG5" s="31" t="str">
        <f>IFERROR(__xludf.DUMMYFUNCTION("""COMPUTED_VALUE"""),"Day Average Price")</f>
        <v>Day Average Price</v>
      </c>
      <c r="AH5" s="31" t="str">
        <f>IFERROR(__xludf.DUMMYFUNCTION("""COMPUTED_VALUE"""),"Asset Class")</f>
        <v>Asset Class</v>
      </c>
      <c r="AI5" s="31" t="str">
        <f>IFERROR(__xludf.DUMMYFUNCTION("""COMPUTED_VALUE"""),"Symbol")</f>
        <v>Symbol</v>
      </c>
      <c r="AJ5" s="31" t="str">
        <f>IFERROR(__xludf.DUMMYFUNCTION("""COMPUTED_VALUE"""),"Side")</f>
        <v>Side</v>
      </c>
      <c r="AK5" s="31" t="str">
        <f>IFERROR(__xludf.DUMMYFUNCTION("""COMPUTED_VALUE"""),"Status")</f>
        <v>Status</v>
      </c>
      <c r="AL5" s="31" t="str">
        <f>IFERROR(__xludf.DUMMYFUNCTION("""COMPUTED_VALUE"""),"Target Qty")</f>
        <v>Target Qty</v>
      </c>
      <c r="AM5" s="31" t="str">
        <f>IFERROR(__xludf.DUMMYFUNCTION("""COMPUTED_VALUE"""),"Total Executed Qty")</f>
        <v>Total Executed Qty</v>
      </c>
      <c r="AN5" s="31" t="str">
        <f>IFERROR(__xludf.DUMMYFUNCTION("""COMPUTED_VALUE"""),"% Executed")</f>
        <v>% Executed</v>
      </c>
      <c r="AO5" s="31" t="str">
        <f>IFERROR(__xludf.DUMMYFUNCTION("""COMPUTED_VALUE"""),"Day Executed Qty")</f>
        <v>Day Executed Qty</v>
      </c>
      <c r="AP5" s="31" t="str">
        <f>IFERROR(__xludf.DUMMYFUNCTION("""COMPUTED_VALUE"""),"Uncommitted Qty")</f>
        <v>Uncommitted Qty</v>
      </c>
      <c r="AQ5" s="31" t="str">
        <f>IFERROR(__xludf.DUMMYFUNCTION("""COMPUTED_VALUE"""),"Last Fill Price (Local)")</f>
        <v>Last Fill Price (Local)</v>
      </c>
      <c r="AR5" s="31" t="str">
        <f>IFERROR(__xludf.DUMMYFUNCTION("""COMPUTED_VALUE"""),"Avg Fill Price (Local)")</f>
        <v>Avg Fill Price (Local)</v>
      </c>
      <c r="AS5" s="31" t="str">
        <f>IFERROR(__xludf.DUMMYFUNCTION("""COMPUTED_VALUE"""),"Broker")</f>
        <v>Broker</v>
      </c>
      <c r="AT5" s="31" t="str">
        <f>IFERROR(__xludf.DUMMYFUNCTION("""COMPUTED_VALUE"""),"Account")</f>
        <v>Account</v>
      </c>
      <c r="AU5" s="31" t="str">
        <f>IFERROR(__xludf.DUMMYFUNCTION("""COMPUTED_VALUE"""),"Order Type")</f>
        <v>Order Type</v>
      </c>
      <c r="AV5" s="31" t="str">
        <f>IFERROR(__xludf.DUMMYFUNCTION("""COMPUTED_VALUE"""),"Principal Amount (Local)")</f>
        <v>Principal Amount (Local)</v>
      </c>
      <c r="AW5" s="31" t="str">
        <f>IFERROR(__xludf.DUMMYFUNCTION("""COMPUTED_VALUE"""),"Principal Amount (Base)")</f>
        <v>Principal Amount (Base)</v>
      </c>
      <c r="AX5" s="31" t="str">
        <f>IFERROR(__xludf.DUMMYFUNCTION("""COMPUTED_VALUE"""),"Allocation Scheme Name")</f>
        <v>Allocation Scheme Name</v>
      </c>
      <c r="AY5" s="31" t="str">
        <f>IFERROR(__xludf.DUMMYFUNCTION("""COMPUTED_VALUE"""),"Start of Day Qty")</f>
        <v>Start of Day Qty</v>
      </c>
      <c r="AZ5" s="31" t="str">
        <f>IFERROR(__xludf.DUMMYFUNCTION("""COMPUTED_VALUE"""),"Leaves")</f>
        <v>Leaves</v>
      </c>
      <c r="BA5" s="31" t="str">
        <f>IFERROR(__xludf.DUMMYFUNCTION("""COMPUTED_VALUE"""),"Actual User")</f>
        <v>Actual User</v>
      </c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</row>
    <row r="6" ht="15.75" customHeight="1">
      <c r="A6" s="8" t="s">
        <v>43</v>
      </c>
      <c r="B6" s="8"/>
      <c r="C6" s="8"/>
      <c r="D6" s="8">
        <v>30.67</v>
      </c>
      <c r="E6" s="8" t="s">
        <v>44</v>
      </c>
      <c r="F6" s="8"/>
      <c r="G6" s="8"/>
      <c r="H6" s="8" t="s">
        <v>45</v>
      </c>
      <c r="I6" s="8" t="s">
        <v>46</v>
      </c>
      <c r="J6" s="8" t="s">
        <v>34</v>
      </c>
      <c r="K6" s="8" t="s">
        <v>47</v>
      </c>
      <c r="L6" s="8" t="s">
        <v>48</v>
      </c>
      <c r="M6" s="8"/>
      <c r="N6" s="8"/>
      <c r="O6" s="8"/>
      <c r="S6">
        <v>0.0</v>
      </c>
      <c r="T6">
        <v>0.0</v>
      </c>
      <c r="U6" t="s">
        <v>49</v>
      </c>
      <c r="AD6">
        <v>1.0</v>
      </c>
      <c r="AF6" t="s">
        <v>50</v>
      </c>
      <c r="AG6">
        <v>30.67</v>
      </c>
      <c r="AH6" t="s">
        <v>51</v>
      </c>
      <c r="AI6" t="s">
        <v>34</v>
      </c>
      <c r="AJ6" t="s">
        <v>33</v>
      </c>
      <c r="AK6" t="s">
        <v>52</v>
      </c>
      <c r="AL6">
        <v>100.0</v>
      </c>
      <c r="AM6">
        <v>100.0</v>
      </c>
      <c r="AN6">
        <v>100.0</v>
      </c>
      <c r="AO6">
        <v>100.0</v>
      </c>
      <c r="AQ6">
        <v>30.67</v>
      </c>
      <c r="AR6">
        <v>30.67</v>
      </c>
      <c r="AS6" t="s">
        <v>53</v>
      </c>
      <c r="AU6" t="s">
        <v>54</v>
      </c>
      <c r="AV6">
        <v>3067.0</v>
      </c>
      <c r="AW6">
        <v>3067.0</v>
      </c>
      <c r="AX6" s="33"/>
      <c r="AY6">
        <v>100.0</v>
      </c>
      <c r="AZ6">
        <v>0.0</v>
      </c>
      <c r="BA6" t="s">
        <v>46</v>
      </c>
      <c r="BB6" t="s">
        <v>43</v>
      </c>
      <c r="BC6" t="s">
        <v>43</v>
      </c>
      <c r="BD6" t="s">
        <v>43</v>
      </c>
      <c r="BE6" t="s">
        <v>43</v>
      </c>
      <c r="BF6" t="s">
        <v>43</v>
      </c>
      <c r="BG6" t="s">
        <v>43</v>
      </c>
      <c r="BH6" t="s">
        <v>43</v>
      </c>
      <c r="BI6" t="s">
        <v>43</v>
      </c>
      <c r="BJ6" t="s">
        <v>43</v>
      </c>
      <c r="BK6" t="s">
        <v>43</v>
      </c>
      <c r="BL6" t="s">
        <v>43</v>
      </c>
      <c r="BM6" t="s">
        <v>43</v>
      </c>
      <c r="BN6" t="s">
        <v>43</v>
      </c>
      <c r="BO6" t="s">
        <v>43</v>
      </c>
      <c r="BP6" t="s">
        <v>43</v>
      </c>
      <c r="BQ6" t="s">
        <v>43</v>
      </c>
      <c r="BR6" t="s">
        <v>43</v>
      </c>
      <c r="BS6" t="s">
        <v>43</v>
      </c>
      <c r="BT6" t="s">
        <v>43</v>
      </c>
      <c r="BU6" t="s">
        <v>43</v>
      </c>
      <c r="BV6" t="s">
        <v>43</v>
      </c>
      <c r="BW6" t="s">
        <v>43</v>
      </c>
      <c r="BX6" t="s">
        <v>43</v>
      </c>
      <c r="BY6" t="s">
        <v>43</v>
      </c>
      <c r="BZ6" t="s">
        <v>43</v>
      </c>
      <c r="CA6" t="s">
        <v>43</v>
      </c>
      <c r="CB6" t="s">
        <v>43</v>
      </c>
      <c r="CC6" t="s">
        <v>43</v>
      </c>
      <c r="CD6" t="s">
        <v>43</v>
      </c>
      <c r="CE6" t="s">
        <v>43</v>
      </c>
      <c r="CF6" t="s">
        <v>43</v>
      </c>
      <c r="CG6" t="s">
        <v>43</v>
      </c>
      <c r="CH6" t="s">
        <v>43</v>
      </c>
      <c r="CI6" t="s">
        <v>43</v>
      </c>
      <c r="CJ6" t="s">
        <v>43</v>
      </c>
      <c r="CK6" t="s">
        <v>43</v>
      </c>
      <c r="CL6" t="s">
        <v>43</v>
      </c>
      <c r="CM6" t="s">
        <v>43</v>
      </c>
      <c r="CN6" t="s">
        <v>43</v>
      </c>
      <c r="CO6" t="s">
        <v>43</v>
      </c>
      <c r="CP6" t="s">
        <v>43</v>
      </c>
      <c r="CQ6" t="s">
        <v>43</v>
      </c>
      <c r="CR6" t="s">
        <v>43</v>
      </c>
      <c r="CS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</row>
    <row r="7" ht="15.75" customHeight="1">
      <c r="A7" s="8" t="s">
        <v>43</v>
      </c>
      <c r="B7" s="8"/>
      <c r="C7" s="8"/>
      <c r="D7" s="8">
        <v>30.67</v>
      </c>
      <c r="E7" s="8" t="s">
        <v>55</v>
      </c>
      <c r="F7" s="8"/>
      <c r="G7" s="8"/>
      <c r="H7" s="8" t="s">
        <v>45</v>
      </c>
      <c r="I7" s="8" t="s">
        <v>46</v>
      </c>
      <c r="J7" s="8" t="s">
        <v>32</v>
      </c>
      <c r="K7" s="8" t="s">
        <v>47</v>
      </c>
      <c r="L7" s="8" t="s">
        <v>48</v>
      </c>
      <c r="M7" s="8"/>
      <c r="N7" s="8"/>
      <c r="O7" s="8"/>
      <c r="S7">
        <v>0.0</v>
      </c>
      <c r="T7">
        <v>0.0</v>
      </c>
      <c r="U7" t="s">
        <v>49</v>
      </c>
      <c r="AD7">
        <v>1.0</v>
      </c>
      <c r="AF7" t="s">
        <v>50</v>
      </c>
      <c r="AG7">
        <v>30.67</v>
      </c>
      <c r="AH7" t="s">
        <v>51</v>
      </c>
      <c r="AI7" t="s">
        <v>32</v>
      </c>
      <c r="AJ7" t="s">
        <v>33</v>
      </c>
      <c r="AK7" t="s">
        <v>52</v>
      </c>
      <c r="AL7">
        <v>100.0</v>
      </c>
      <c r="AM7">
        <v>100.0</v>
      </c>
      <c r="AN7">
        <v>100.0</v>
      </c>
      <c r="AO7">
        <v>100.0</v>
      </c>
      <c r="AQ7">
        <v>30.67</v>
      </c>
      <c r="AR7">
        <v>30.67</v>
      </c>
      <c r="AS7" t="s">
        <v>53</v>
      </c>
      <c r="AU7" t="s">
        <v>54</v>
      </c>
      <c r="AV7">
        <v>3067.0</v>
      </c>
      <c r="AW7">
        <v>3067.0</v>
      </c>
      <c r="AX7" s="33"/>
      <c r="AY7">
        <v>100.0</v>
      </c>
      <c r="AZ7">
        <v>0.0</v>
      </c>
      <c r="BA7" t="s">
        <v>46</v>
      </c>
      <c r="BB7" t="s">
        <v>43</v>
      </c>
      <c r="BC7" t="s">
        <v>43</v>
      </c>
      <c r="BD7" t="s">
        <v>43</v>
      </c>
      <c r="BE7" t="s">
        <v>43</v>
      </c>
      <c r="BF7" t="s">
        <v>43</v>
      </c>
      <c r="BG7" t="s">
        <v>43</v>
      </c>
      <c r="BH7" t="s">
        <v>43</v>
      </c>
      <c r="BI7" t="s">
        <v>43</v>
      </c>
      <c r="BJ7" t="s">
        <v>43</v>
      </c>
      <c r="BK7" t="s">
        <v>43</v>
      </c>
      <c r="BL7" t="s">
        <v>43</v>
      </c>
      <c r="BM7" t="s">
        <v>43</v>
      </c>
      <c r="BN7" t="s">
        <v>43</v>
      </c>
      <c r="BO7" t="s">
        <v>43</v>
      </c>
      <c r="BP7" t="s">
        <v>43</v>
      </c>
      <c r="BQ7" t="s">
        <v>43</v>
      </c>
      <c r="BR7" t="s">
        <v>43</v>
      </c>
      <c r="BS7" t="s">
        <v>43</v>
      </c>
      <c r="BT7" t="s">
        <v>43</v>
      </c>
      <c r="BU7" t="s">
        <v>43</v>
      </c>
      <c r="BV7" t="s">
        <v>43</v>
      </c>
      <c r="BW7" t="s">
        <v>43</v>
      </c>
      <c r="BX7" t="s">
        <v>43</v>
      </c>
      <c r="BY7" t="s">
        <v>43</v>
      </c>
      <c r="BZ7" t="s">
        <v>43</v>
      </c>
      <c r="CA7" t="s">
        <v>43</v>
      </c>
      <c r="CB7" t="s">
        <v>43</v>
      </c>
      <c r="CC7" t="s">
        <v>43</v>
      </c>
      <c r="CD7" t="s">
        <v>43</v>
      </c>
      <c r="CE7" t="s">
        <v>43</v>
      </c>
      <c r="CF7" t="s">
        <v>43</v>
      </c>
      <c r="CG7" t="s">
        <v>43</v>
      </c>
      <c r="CH7" t="s">
        <v>43</v>
      </c>
      <c r="CI7" t="s">
        <v>43</v>
      </c>
      <c r="CJ7" t="s">
        <v>43</v>
      </c>
      <c r="CK7" t="s">
        <v>43</v>
      </c>
      <c r="CL7" t="s">
        <v>43</v>
      </c>
      <c r="CM7" t="s">
        <v>43</v>
      </c>
      <c r="CN7" t="s">
        <v>43</v>
      </c>
      <c r="CO7" t="s">
        <v>43</v>
      </c>
      <c r="CP7" t="s">
        <v>43</v>
      </c>
      <c r="CQ7" t="s">
        <v>43</v>
      </c>
      <c r="CR7" t="s">
        <v>43</v>
      </c>
      <c r="CS7" t="s">
        <v>43</v>
      </c>
      <c r="CT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57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</row>
    <row r="6" ht="15.75" customHeight="1">
      <c r="A6" s="47" t="s">
        <v>43</v>
      </c>
      <c r="B6" s="47" t="s">
        <v>59</v>
      </c>
      <c r="C6" s="8" t="s">
        <v>43</v>
      </c>
      <c r="D6" s="47"/>
      <c r="E6" s="8">
        <v>100.0</v>
      </c>
      <c r="F6" s="8" t="s">
        <v>17</v>
      </c>
      <c r="G6" s="8" t="s">
        <v>51</v>
      </c>
      <c r="H6" s="8">
        <v>4.0</v>
      </c>
      <c r="I6" s="8">
        <v>5.0</v>
      </c>
      <c r="J6" s="8">
        <v>1.0</v>
      </c>
      <c r="K6" s="8">
        <v>30.67</v>
      </c>
      <c r="L6" s="8">
        <v>30.67</v>
      </c>
      <c r="M6" s="8" t="s">
        <v>44</v>
      </c>
      <c r="N6" s="8" t="s">
        <v>43</v>
      </c>
      <c r="O6" s="8" t="s">
        <v>53</v>
      </c>
      <c r="Q6">
        <v>3.0</v>
      </c>
      <c r="R6">
        <v>0.0</v>
      </c>
      <c r="S6" t="s">
        <v>60</v>
      </c>
      <c r="T6">
        <v>0.0</v>
      </c>
      <c r="U6">
        <v>0.0</v>
      </c>
      <c r="V6" t="s">
        <v>61</v>
      </c>
      <c r="W6">
        <v>1.0</v>
      </c>
      <c r="X6" t="s">
        <v>43</v>
      </c>
      <c r="Y6" t="s">
        <v>43</v>
      </c>
      <c r="Z6" t="s">
        <v>49</v>
      </c>
      <c r="AA6" t="s">
        <v>34</v>
      </c>
      <c r="AB6">
        <v>1.0</v>
      </c>
      <c r="AC6" t="s">
        <v>62</v>
      </c>
      <c r="AD6" t="s">
        <v>45</v>
      </c>
      <c r="AE6">
        <v>100.0</v>
      </c>
      <c r="AF6" t="s">
        <v>43</v>
      </c>
      <c r="AH6" t="s">
        <v>50</v>
      </c>
      <c r="AI6">
        <v>1.0</v>
      </c>
      <c r="AJ6" t="s">
        <v>63</v>
      </c>
      <c r="AM6" t="s">
        <v>64</v>
      </c>
      <c r="AN6" t="b">
        <v>0</v>
      </c>
      <c r="AP6" t="b">
        <v>1</v>
      </c>
      <c r="AQ6" t="b">
        <v>0</v>
      </c>
      <c r="AR6" t="b">
        <v>1</v>
      </c>
      <c r="AT6">
        <v>3081.0017</v>
      </c>
      <c r="AU6">
        <v>3081.0017</v>
      </c>
      <c r="AY6" t="s">
        <v>54</v>
      </c>
      <c r="AZ6">
        <v>0.0</v>
      </c>
      <c r="BC6">
        <v>0.0</v>
      </c>
      <c r="BD6" t="s">
        <v>65</v>
      </c>
      <c r="BE6">
        <v>3067.0</v>
      </c>
      <c r="BF6">
        <v>3067.0</v>
      </c>
      <c r="BJ6">
        <v>100.0</v>
      </c>
      <c r="BK6">
        <v>0.0</v>
      </c>
      <c r="BL6" t="s">
        <v>43</v>
      </c>
      <c r="BM6" t="s">
        <v>49</v>
      </c>
      <c r="BO6" t="s">
        <v>33</v>
      </c>
      <c r="BP6">
        <v>0.0</v>
      </c>
      <c r="BQ6">
        <v>0.0</v>
      </c>
      <c r="BS6" t="s">
        <v>66</v>
      </c>
      <c r="BT6" t="s">
        <v>34</v>
      </c>
      <c r="BU6">
        <v>3.0</v>
      </c>
      <c r="BV6">
        <v>0.0</v>
      </c>
      <c r="BW6">
        <v>14.0017</v>
      </c>
      <c r="BX6">
        <v>0.0</v>
      </c>
      <c r="CF6" t="s">
        <v>48</v>
      </c>
      <c r="CG6">
        <v>2.0</v>
      </c>
      <c r="CH6" t="s">
        <v>30</v>
      </c>
      <c r="CI6" t="s">
        <v>33</v>
      </c>
      <c r="CJ6">
        <v>0.0</v>
      </c>
      <c r="CK6" t="s">
        <v>47</v>
      </c>
      <c r="CL6">
        <v>1.0</v>
      </c>
      <c r="CM6" t="s">
        <v>34</v>
      </c>
      <c r="CN6" t="s">
        <v>46</v>
      </c>
      <c r="CO6" t="s">
        <v>45</v>
      </c>
      <c r="CP6" t="s">
        <v>67</v>
      </c>
      <c r="CS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</row>
    <row r="7" ht="15.75" customHeight="1">
      <c r="A7" s="8" t="s">
        <v>43</v>
      </c>
      <c r="B7" s="8" t="s">
        <v>59</v>
      </c>
      <c r="C7" s="8" t="s">
        <v>43</v>
      </c>
      <c r="D7" s="8"/>
      <c r="E7" s="8">
        <v>100.0</v>
      </c>
      <c r="F7" s="8" t="s">
        <v>17</v>
      </c>
      <c r="G7" s="8" t="s">
        <v>51</v>
      </c>
      <c r="H7" s="8">
        <v>4.0</v>
      </c>
      <c r="I7" s="8">
        <v>5.0</v>
      </c>
      <c r="J7" s="8">
        <v>1.0</v>
      </c>
      <c r="K7" s="8">
        <v>30.67</v>
      </c>
      <c r="L7" s="8">
        <v>30.67</v>
      </c>
      <c r="M7" s="8" t="s">
        <v>55</v>
      </c>
      <c r="N7" s="8" t="s">
        <v>43</v>
      </c>
      <c r="O7" s="8" t="s">
        <v>53</v>
      </c>
      <c r="Q7">
        <v>3.0</v>
      </c>
      <c r="R7">
        <v>0.0</v>
      </c>
      <c r="S7" t="s">
        <v>60</v>
      </c>
      <c r="T7">
        <v>0.0</v>
      </c>
      <c r="U7">
        <v>0.0</v>
      </c>
      <c r="V7" t="s">
        <v>68</v>
      </c>
      <c r="W7">
        <v>1.0</v>
      </c>
      <c r="X7" t="s">
        <v>43</v>
      </c>
      <c r="Y7" t="s">
        <v>43</v>
      </c>
      <c r="Z7" t="s">
        <v>49</v>
      </c>
      <c r="AA7">
        <v>5.94918104E8</v>
      </c>
      <c r="AB7">
        <v>1.0</v>
      </c>
      <c r="AC7" t="s">
        <v>62</v>
      </c>
      <c r="AD7" t="s">
        <v>45</v>
      </c>
      <c r="AE7">
        <v>100.0</v>
      </c>
      <c r="AF7" t="s">
        <v>43</v>
      </c>
      <c r="AH7" t="s">
        <v>50</v>
      </c>
      <c r="AI7">
        <v>1.0</v>
      </c>
      <c r="AJ7" t="s">
        <v>63</v>
      </c>
      <c r="AM7" t="s">
        <v>64</v>
      </c>
      <c r="AN7" t="b">
        <v>0</v>
      </c>
      <c r="AP7" t="b">
        <v>1</v>
      </c>
      <c r="AQ7" t="b">
        <v>0</v>
      </c>
      <c r="AR7" t="b">
        <v>1</v>
      </c>
      <c r="AT7">
        <v>3081.0017</v>
      </c>
      <c r="AU7">
        <v>3081.0017</v>
      </c>
      <c r="AY7" t="s">
        <v>54</v>
      </c>
      <c r="AZ7">
        <v>0.0</v>
      </c>
      <c r="BC7">
        <v>0.0</v>
      </c>
      <c r="BD7" t="s">
        <v>65</v>
      </c>
      <c r="BE7">
        <v>3067.0</v>
      </c>
      <c r="BF7">
        <v>3067.0</v>
      </c>
      <c r="BJ7">
        <v>100.0</v>
      </c>
      <c r="BK7">
        <v>0.0</v>
      </c>
      <c r="BL7" t="s">
        <v>43</v>
      </c>
      <c r="BM7" t="s">
        <v>49</v>
      </c>
      <c r="BO7" t="s">
        <v>33</v>
      </c>
      <c r="BP7">
        <v>0.0</v>
      </c>
      <c r="BQ7">
        <v>0.0</v>
      </c>
      <c r="BS7" t="s">
        <v>66</v>
      </c>
      <c r="BT7" t="s">
        <v>32</v>
      </c>
      <c r="BU7">
        <v>3.0</v>
      </c>
      <c r="BV7">
        <v>0.0</v>
      </c>
      <c r="BW7">
        <v>14.0017</v>
      </c>
      <c r="BX7">
        <v>0.0</v>
      </c>
      <c r="CF7" t="s">
        <v>48</v>
      </c>
      <c r="CG7">
        <v>2.0</v>
      </c>
      <c r="CH7" t="s">
        <v>30</v>
      </c>
      <c r="CI7" t="s">
        <v>33</v>
      </c>
      <c r="CJ7">
        <v>0.0</v>
      </c>
      <c r="CK7" t="s">
        <v>47</v>
      </c>
      <c r="CL7">
        <v>1.0</v>
      </c>
      <c r="CM7" t="s">
        <v>32</v>
      </c>
      <c r="CN7" t="s">
        <v>46</v>
      </c>
      <c r="CO7" t="s">
        <v>45</v>
      </c>
      <c r="CP7" t="s">
        <v>67</v>
      </c>
      <c r="CS7" t="s">
        <v>43</v>
      </c>
      <c r="CU7" t="s">
        <v>43</v>
      </c>
      <c r="CV7" t="s">
        <v>43</v>
      </c>
      <c r="CW7" t="s">
        <v>43</v>
      </c>
      <c r="CX7" t="s">
        <v>43</v>
      </c>
      <c r="CY7" t="s">
        <v>43</v>
      </c>
      <c r="CZ7" t="s">
        <v>43</v>
      </c>
      <c r="DA7" t="s">
        <v>43</v>
      </c>
      <c r="DB7" t="s">
        <v>43</v>
      </c>
      <c r="DC7" t="s">
        <v>43</v>
      </c>
      <c r="DD7" t="s">
        <v>43</v>
      </c>
      <c r="DE7" t="s">
        <v>43</v>
      </c>
      <c r="DF7" t="s">
        <v>43</v>
      </c>
      <c r="DG7" t="s">
        <v>43</v>
      </c>
      <c r="DH7" t="s">
        <v>43</v>
      </c>
      <c r="DI7" t="s">
        <v>43</v>
      </c>
      <c r="DJ7" t="s">
        <v>43</v>
      </c>
      <c r="DK7" t="s">
        <v>43</v>
      </c>
      <c r="DL7" t="s">
        <v>43</v>
      </c>
      <c r="DM7" t="s">
        <v>43</v>
      </c>
      <c r="DN7" t="s">
        <v>43</v>
      </c>
      <c r="DO7" t="s">
        <v>43</v>
      </c>
      <c r="DP7" t="s">
        <v>43</v>
      </c>
      <c r="DQ7" t="s">
        <v>43</v>
      </c>
      <c r="DR7" t="s">
        <v>43</v>
      </c>
      <c r="DS7" t="s">
        <v>43</v>
      </c>
      <c r="DT7" t="s">
        <v>43</v>
      </c>
      <c r="DU7" t="s">
        <v>43</v>
      </c>
      <c r="DV7" t="s">
        <v>43</v>
      </c>
      <c r="DW7" t="s">
        <v>43</v>
      </c>
      <c r="DX7" t="s">
        <v>43</v>
      </c>
      <c r="DY7" t="s">
        <v>43</v>
      </c>
      <c r="DZ7" t="s">
        <v>43</v>
      </c>
      <c r="EA7" t="s">
        <v>43</v>
      </c>
      <c r="EB7" t="s">
        <v>43</v>
      </c>
      <c r="EC7" t="s">
        <v>43</v>
      </c>
      <c r="ED7" t="s">
        <v>43</v>
      </c>
      <c r="EE7" t="s">
        <v>43</v>
      </c>
      <c r="EF7" t="s">
        <v>43</v>
      </c>
      <c r="EG7" t="s">
        <v>43</v>
      </c>
      <c r="EH7" t="s">
        <v>43</v>
      </c>
      <c r="EI7" t="s">
        <v>43</v>
      </c>
      <c r="EJ7" t="s">
        <v>43</v>
      </c>
      <c r="EK7" t="s">
        <v>43</v>
      </c>
      <c r="EL7" t="s">
        <v>43</v>
      </c>
      <c r="EM7" t="s">
        <v>43</v>
      </c>
      <c r="EN7" t="s">
        <v>43</v>
      </c>
      <c r="EO7" t="s">
        <v>43</v>
      </c>
      <c r="EP7" t="s">
        <v>43</v>
      </c>
      <c r="EQ7" t="s">
        <v>43</v>
      </c>
      <c r="ER7" t="s">
        <v>43</v>
      </c>
      <c r="ES7" t="s">
        <v>43</v>
      </c>
      <c r="ET7" t="s">
        <v>43</v>
      </c>
      <c r="EU7" t="s">
        <v>43</v>
      </c>
      <c r="EV7" t="s">
        <v>43</v>
      </c>
      <c r="EW7" t="s">
        <v>43</v>
      </c>
      <c r="EX7" t="s">
        <v>43</v>
      </c>
      <c r="EY7" t="s">
        <v>43</v>
      </c>
      <c r="EZ7" t="s">
        <v>43</v>
      </c>
      <c r="FA7" t="s">
        <v>43</v>
      </c>
      <c r="FB7" t="s">
        <v>43</v>
      </c>
      <c r="FC7" t="s">
        <v>43</v>
      </c>
      <c r="FD7" t="s">
        <v>43</v>
      </c>
      <c r="FE7" t="s">
        <v>43</v>
      </c>
      <c r="FF7" t="s">
        <v>43</v>
      </c>
      <c r="FG7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0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 t="str">
        <f>IFERROR(__xludf.DUMMYFUNCTION("""COMPUTED_VALUE"""),"isRowCountCheck")</f>
        <v>isRowCountCheck</v>
      </c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/>
      <c r="JT5" s="31"/>
      <c r="JU5" s="31"/>
      <c r="JV5" s="31"/>
      <c r="JW5" s="31"/>
      <c r="JX5" s="31"/>
      <c r="JY5" s="31"/>
      <c r="JZ5" s="31"/>
      <c r="KA5" s="31"/>
      <c r="KB5" s="31"/>
      <c r="KC5" s="31"/>
      <c r="KD5" s="31"/>
      <c r="KE5" s="31"/>
      <c r="KF5" s="31"/>
      <c r="KG5" s="31"/>
      <c r="KH5" s="31"/>
      <c r="KI5" s="31"/>
      <c r="KJ5" s="31"/>
      <c r="KK5" s="31"/>
      <c r="KL5" s="31"/>
      <c r="KM5" s="31"/>
      <c r="KN5" s="31"/>
      <c r="KO5" s="31"/>
      <c r="KP5" s="31"/>
      <c r="KQ5" s="31"/>
      <c r="KR5" s="31"/>
      <c r="KS5" s="31"/>
      <c r="KT5" s="31"/>
      <c r="KU5" s="31"/>
      <c r="KV5" s="31"/>
      <c r="KW5" s="31"/>
      <c r="KX5" s="31"/>
      <c r="KY5" s="31"/>
      <c r="KZ5" s="31"/>
      <c r="LA5" s="31"/>
      <c r="LB5" s="31"/>
      <c r="LC5" s="31"/>
      <c r="LD5" s="31"/>
      <c r="LE5" s="31"/>
      <c r="LF5" s="31"/>
      <c r="LG5" s="31"/>
      <c r="LH5" s="31"/>
      <c r="LI5" s="31"/>
      <c r="LJ5" s="31"/>
      <c r="LK5" s="31"/>
      <c r="LL5" s="31"/>
      <c r="LM5" s="31"/>
      <c r="LN5" s="31"/>
      <c r="LO5" s="31"/>
      <c r="LP5" s="31"/>
      <c r="LQ5" s="31"/>
      <c r="LR5" s="31"/>
      <c r="LS5" s="31"/>
      <c r="LT5" s="31"/>
      <c r="LU5" s="31"/>
      <c r="LV5" s="31"/>
      <c r="LW5" s="31"/>
      <c r="LX5" s="31"/>
      <c r="LY5" s="31"/>
      <c r="LZ5" s="31"/>
      <c r="MA5" s="31"/>
      <c r="MB5" s="31"/>
      <c r="MC5" s="31"/>
      <c r="MD5" s="31"/>
      <c r="ME5" s="31"/>
      <c r="MF5" s="31"/>
      <c r="MG5" s="31"/>
      <c r="MH5" s="31"/>
      <c r="MI5" s="31"/>
      <c r="MJ5" s="31"/>
      <c r="MK5" s="31"/>
      <c r="ML5" s="31"/>
      <c r="MM5" s="31"/>
      <c r="MN5" s="31"/>
      <c r="MO5" s="31"/>
      <c r="MP5" s="31"/>
      <c r="MQ5" s="31"/>
      <c r="MR5" s="31"/>
      <c r="MS5" s="31"/>
      <c r="MT5" s="31"/>
      <c r="MU5" s="31"/>
      <c r="MV5" s="31"/>
      <c r="MW5" s="31"/>
      <c r="MX5" s="31"/>
      <c r="MY5" s="31"/>
      <c r="MZ5" s="31"/>
      <c r="NA5" s="31"/>
      <c r="NB5" s="31"/>
      <c r="NC5" s="31"/>
      <c r="ND5" s="31"/>
      <c r="NE5" s="31"/>
      <c r="NF5" s="31"/>
      <c r="NG5" s="31"/>
      <c r="NH5" s="31"/>
      <c r="NI5" s="31"/>
      <c r="NJ5" s="31"/>
      <c r="NK5" s="31"/>
      <c r="NL5" s="31"/>
      <c r="NM5" s="31"/>
      <c r="NN5" s="31"/>
      <c r="NO5" s="31"/>
      <c r="NP5" s="31"/>
      <c r="NQ5" s="31"/>
      <c r="NR5" s="31"/>
      <c r="NS5" s="31"/>
      <c r="NT5" s="31"/>
      <c r="NU5" s="31"/>
      <c r="NV5" s="31"/>
      <c r="NW5" s="31"/>
      <c r="NX5" s="31"/>
      <c r="NY5" s="31"/>
      <c r="NZ5" s="31"/>
      <c r="OA5" s="31"/>
      <c r="OB5" s="31"/>
      <c r="OC5" s="31"/>
      <c r="OD5" s="31"/>
      <c r="OE5" s="31"/>
      <c r="OF5" s="31"/>
      <c r="OG5" s="31"/>
      <c r="OH5" s="31"/>
      <c r="OI5" s="31"/>
      <c r="OJ5" s="31"/>
      <c r="OK5" s="31"/>
      <c r="OL5" s="31"/>
      <c r="OM5" s="31"/>
      <c r="ON5" s="31"/>
      <c r="OO5" s="31"/>
      <c r="OP5" s="31"/>
      <c r="OQ5" s="31"/>
      <c r="OR5" s="31"/>
      <c r="OS5" s="31"/>
      <c r="OT5" s="31"/>
      <c r="OU5" s="31"/>
      <c r="OV5" s="31"/>
      <c r="OW5" s="31"/>
      <c r="OX5" s="31"/>
      <c r="OY5" s="31"/>
      <c r="OZ5" s="31"/>
      <c r="PA5" s="31"/>
      <c r="PB5" s="31"/>
      <c r="PC5" s="31"/>
      <c r="PD5" s="31"/>
      <c r="PE5" s="31"/>
      <c r="PF5" s="31"/>
      <c r="PG5" s="31"/>
      <c r="PH5" s="31"/>
      <c r="PI5" s="31"/>
      <c r="PJ5" s="31"/>
      <c r="PK5" s="31"/>
      <c r="PL5" s="31"/>
      <c r="PM5" s="31"/>
      <c r="PN5" s="31"/>
      <c r="PO5" s="31"/>
      <c r="PP5" s="31"/>
      <c r="PQ5" s="31"/>
      <c r="PR5" s="31"/>
      <c r="PS5" s="31"/>
      <c r="PT5" s="31"/>
      <c r="PU5" s="31"/>
      <c r="PV5" s="31"/>
      <c r="PW5" s="31"/>
      <c r="PX5" s="31"/>
      <c r="PY5" s="31"/>
      <c r="PZ5" s="31"/>
      <c r="QA5" s="31"/>
      <c r="QB5" s="31"/>
      <c r="QC5" s="31"/>
      <c r="QD5" s="31"/>
      <c r="QE5" s="31"/>
      <c r="QF5" s="31"/>
      <c r="QG5" s="31"/>
      <c r="QH5" s="31"/>
      <c r="QI5" s="31"/>
      <c r="QJ5" s="31"/>
      <c r="QK5" s="31"/>
      <c r="QL5" s="31"/>
      <c r="QM5" s="31"/>
      <c r="QN5" s="31"/>
      <c r="QO5" s="31"/>
      <c r="QP5" s="31"/>
      <c r="QQ5" s="31"/>
      <c r="QR5" s="31"/>
      <c r="QS5" s="31"/>
      <c r="QT5" s="31"/>
      <c r="QU5" s="31"/>
      <c r="QV5" s="31"/>
      <c r="QW5" s="31"/>
      <c r="QX5" s="31"/>
      <c r="QY5" s="31"/>
      <c r="QZ5" s="31"/>
      <c r="RA5" s="31"/>
      <c r="RB5" s="31"/>
      <c r="RC5" s="31"/>
      <c r="RD5" s="31"/>
      <c r="RE5" s="31"/>
      <c r="RF5" s="31"/>
      <c r="RG5" s="31"/>
      <c r="RH5" s="31"/>
      <c r="RI5" s="31"/>
      <c r="RJ5" s="31"/>
      <c r="RK5" s="31"/>
      <c r="RL5" s="31"/>
      <c r="RM5" s="31"/>
      <c r="RN5" s="31"/>
      <c r="RO5" s="31"/>
      <c r="RP5" s="31"/>
      <c r="RQ5" s="31"/>
      <c r="RR5" s="31"/>
      <c r="RS5" s="31"/>
      <c r="RT5" s="31"/>
      <c r="RU5" s="31"/>
      <c r="RV5" s="31"/>
      <c r="RW5" s="31"/>
      <c r="RX5" s="31"/>
      <c r="RY5" s="31"/>
      <c r="RZ5" s="31"/>
      <c r="SA5" s="31"/>
      <c r="SB5" s="31"/>
      <c r="SC5" s="31"/>
      <c r="SD5" s="31"/>
      <c r="SE5" s="31"/>
      <c r="SF5" s="31"/>
      <c r="SG5" s="31"/>
      <c r="SH5" s="31"/>
      <c r="SI5" s="31"/>
      <c r="SJ5" s="31"/>
      <c r="SK5" s="31"/>
      <c r="SL5" s="31"/>
      <c r="SM5" s="31"/>
      <c r="SN5" s="31"/>
      <c r="SO5" s="31"/>
      <c r="SP5" s="31"/>
      <c r="SQ5" s="31"/>
      <c r="SR5" s="31"/>
      <c r="SS5" s="31"/>
      <c r="ST5" s="31"/>
      <c r="SU5" s="31"/>
      <c r="SV5" s="31"/>
      <c r="SW5" s="31"/>
      <c r="SX5" s="31"/>
      <c r="SY5" s="31"/>
      <c r="SZ5" s="31"/>
      <c r="TA5" s="31"/>
      <c r="TB5" s="31"/>
      <c r="TC5" s="31"/>
      <c r="TD5" s="31"/>
      <c r="TE5" s="31"/>
      <c r="TF5" s="31"/>
      <c r="TG5" s="31"/>
      <c r="TH5" s="31"/>
      <c r="TI5" s="31"/>
      <c r="TJ5" s="31"/>
      <c r="TK5" s="31"/>
      <c r="TL5" s="31"/>
      <c r="TM5" s="31"/>
      <c r="TN5" s="31"/>
      <c r="TO5" s="31"/>
      <c r="TP5" s="31"/>
      <c r="TQ5" s="31"/>
      <c r="TR5" s="31"/>
      <c r="TS5" s="31"/>
      <c r="TT5" s="31"/>
      <c r="TU5" s="31"/>
      <c r="TV5" s="31"/>
      <c r="TW5" s="31"/>
      <c r="TX5" s="31"/>
      <c r="TY5" s="31"/>
      <c r="TZ5" s="31"/>
      <c r="UA5" s="31"/>
      <c r="UB5" s="31"/>
      <c r="UC5" s="31"/>
      <c r="UD5" s="31"/>
      <c r="UE5" s="31"/>
      <c r="UF5" s="31"/>
      <c r="UG5" s="31"/>
      <c r="UH5" s="31"/>
      <c r="UI5" s="31"/>
      <c r="UJ5" s="31"/>
      <c r="UK5" s="31"/>
      <c r="UL5" s="31"/>
      <c r="UM5" s="31"/>
      <c r="UN5" s="31"/>
      <c r="UO5" s="31"/>
      <c r="UP5" s="31"/>
      <c r="UQ5" s="31"/>
      <c r="UR5" s="31"/>
      <c r="US5" s="31"/>
      <c r="UT5" s="31"/>
      <c r="UU5" s="31"/>
      <c r="UV5" s="31"/>
      <c r="UW5" s="31"/>
      <c r="UX5" s="31"/>
      <c r="UY5" s="31"/>
      <c r="UZ5" s="31"/>
      <c r="VA5" s="31"/>
      <c r="VB5" s="31"/>
      <c r="VC5" s="31"/>
      <c r="VD5" s="31"/>
      <c r="VE5" s="31"/>
      <c r="VF5" s="31"/>
      <c r="VG5" s="31"/>
      <c r="VH5" s="31"/>
      <c r="VI5" s="31"/>
      <c r="VJ5" s="31"/>
      <c r="VK5" s="31"/>
      <c r="VL5" s="31"/>
      <c r="VM5" s="31"/>
      <c r="VN5" s="31"/>
      <c r="VO5" s="31"/>
      <c r="VP5" s="31"/>
      <c r="VQ5" s="31"/>
      <c r="VR5" s="31"/>
      <c r="VS5" s="31"/>
      <c r="VT5" s="31"/>
      <c r="VU5" s="31"/>
      <c r="VV5" s="31"/>
      <c r="VW5" s="31"/>
      <c r="VX5" s="31"/>
      <c r="VY5" s="31"/>
      <c r="VZ5" s="31"/>
      <c r="WA5" s="31"/>
      <c r="WB5" s="31"/>
      <c r="WC5" s="31"/>
      <c r="WD5" s="31"/>
      <c r="WE5" s="31"/>
      <c r="WF5" s="31"/>
      <c r="WG5" s="31"/>
      <c r="WH5" s="31"/>
      <c r="WI5" s="31"/>
      <c r="WJ5" s="31"/>
      <c r="WK5" s="31"/>
      <c r="WL5" s="31"/>
      <c r="WM5" s="31"/>
      <c r="WN5" s="31"/>
      <c r="WO5" s="31"/>
      <c r="WP5" s="31"/>
      <c r="WQ5" s="31"/>
      <c r="WR5" s="31"/>
      <c r="WS5" s="31"/>
      <c r="WT5" s="31"/>
      <c r="WU5" s="31"/>
      <c r="WV5" s="31"/>
      <c r="WW5" s="31"/>
      <c r="WX5" s="31"/>
      <c r="WY5" s="31"/>
      <c r="WZ5" s="31"/>
      <c r="XA5" s="31"/>
      <c r="XB5" s="31"/>
      <c r="XC5" s="31"/>
      <c r="XD5" s="31"/>
      <c r="XE5" s="31"/>
      <c r="XF5" s="31"/>
      <c r="XG5" s="31"/>
      <c r="XH5" s="31"/>
      <c r="XI5" s="31"/>
      <c r="XJ5" s="31"/>
      <c r="XK5" s="31"/>
      <c r="XL5" s="31"/>
      <c r="XM5" s="31"/>
      <c r="XN5" s="31"/>
      <c r="XO5" s="31"/>
      <c r="XP5" s="31"/>
      <c r="XQ5" s="31"/>
      <c r="XR5" s="31"/>
      <c r="XS5" s="31"/>
      <c r="XT5" s="31"/>
      <c r="XU5" s="31"/>
      <c r="XV5" s="31"/>
      <c r="XW5" s="31"/>
      <c r="XX5" s="31"/>
      <c r="XY5" s="31"/>
      <c r="XZ5" s="31"/>
      <c r="YA5" s="31"/>
      <c r="YB5" s="31"/>
      <c r="YC5" s="31"/>
      <c r="YD5" s="31"/>
      <c r="YE5" s="31"/>
      <c r="YF5" s="31"/>
      <c r="YG5" s="31"/>
      <c r="YH5" s="31"/>
      <c r="YI5" s="31"/>
      <c r="YJ5" s="31"/>
      <c r="YK5" s="31"/>
      <c r="YL5" s="31"/>
      <c r="YM5" s="31"/>
      <c r="YN5" s="31"/>
      <c r="YO5" s="31"/>
      <c r="YP5" s="31"/>
      <c r="YQ5" s="31"/>
      <c r="YR5" s="31"/>
      <c r="YS5" s="31"/>
      <c r="YT5" s="31"/>
      <c r="YU5" s="31"/>
      <c r="YV5" s="31"/>
      <c r="YW5" s="31"/>
      <c r="YX5" s="31"/>
      <c r="YY5" s="31"/>
      <c r="YZ5" s="31"/>
      <c r="ZA5" s="31"/>
      <c r="ZB5" s="31"/>
      <c r="ZC5" s="31"/>
      <c r="ZD5" s="31"/>
      <c r="ZE5" s="31"/>
      <c r="ZF5" s="31"/>
      <c r="ZG5" s="31"/>
      <c r="ZH5" s="31"/>
      <c r="ZI5" s="31"/>
      <c r="ZJ5" s="31"/>
      <c r="ZK5" s="31"/>
      <c r="ZL5" s="31"/>
      <c r="ZM5" s="31"/>
      <c r="ZN5" s="31"/>
      <c r="ZO5" s="31"/>
      <c r="ZP5" s="31"/>
      <c r="ZQ5" s="31"/>
      <c r="ZR5" s="31"/>
      <c r="ZS5" s="31"/>
      <c r="ZT5" s="31"/>
      <c r="ZU5" s="31"/>
      <c r="ZV5" s="31"/>
      <c r="ZW5" s="31"/>
      <c r="ZX5" s="31"/>
      <c r="ZY5" s="31"/>
      <c r="ZZ5" s="31"/>
      <c r="AAA5" s="31"/>
      <c r="AAB5" s="31"/>
      <c r="AAC5" s="31"/>
      <c r="AAD5" s="31"/>
      <c r="AAE5" s="31"/>
      <c r="AAF5" s="31"/>
      <c r="AAG5" s="31"/>
      <c r="AAH5" s="31"/>
      <c r="AAI5" s="31"/>
      <c r="AAJ5" s="31"/>
      <c r="AAK5" s="31"/>
      <c r="AAL5" s="31"/>
      <c r="AAM5" s="31"/>
      <c r="AAN5" s="31"/>
      <c r="AAO5" s="31"/>
      <c r="AAP5" s="31"/>
      <c r="AAQ5" s="31"/>
      <c r="AAR5" s="31"/>
      <c r="AAS5" s="31"/>
      <c r="AAT5" s="31"/>
      <c r="AAU5" s="31"/>
      <c r="AAV5" s="31"/>
      <c r="AAW5" s="31"/>
      <c r="AAX5" s="31"/>
      <c r="AAY5" s="31"/>
      <c r="AAZ5" s="31"/>
      <c r="ABA5" s="31"/>
      <c r="ABB5" s="31"/>
      <c r="ABC5" s="31"/>
      <c r="ABD5" s="31"/>
      <c r="ABE5" s="31"/>
      <c r="ABF5" s="31"/>
      <c r="ABG5" s="31"/>
      <c r="ABH5" s="31"/>
      <c r="ABI5" s="31"/>
      <c r="ABJ5" s="31"/>
      <c r="ABK5" s="31"/>
      <c r="ABL5" s="31"/>
      <c r="ABM5" s="31"/>
      <c r="ABN5" s="31"/>
      <c r="ABO5" s="31"/>
      <c r="ABP5" s="31"/>
      <c r="ABQ5" s="31"/>
      <c r="ABR5" s="31"/>
      <c r="ABS5" s="31"/>
      <c r="ABT5" s="31"/>
      <c r="ABU5" s="31"/>
      <c r="ABV5" s="31"/>
      <c r="ABW5" s="31"/>
      <c r="ABX5" s="31"/>
      <c r="ABY5" s="31"/>
      <c r="ABZ5" s="31"/>
      <c r="ACA5" s="31"/>
      <c r="ACB5" s="31"/>
      <c r="ACC5" s="31"/>
      <c r="ACD5" s="31"/>
      <c r="ACE5" s="31"/>
      <c r="ACF5" s="31"/>
      <c r="ACG5" s="31"/>
      <c r="ACH5" s="31"/>
      <c r="ACI5" s="31"/>
      <c r="ACJ5" s="31"/>
      <c r="ACK5" s="31"/>
      <c r="ACL5" s="31"/>
      <c r="ACM5" s="31"/>
      <c r="ACN5" s="31"/>
      <c r="ACO5" s="31"/>
      <c r="ACP5" s="31"/>
      <c r="ACQ5" s="31"/>
      <c r="ACR5" s="31"/>
      <c r="ACS5" s="31"/>
      <c r="ACT5" s="31"/>
      <c r="ACU5" s="31"/>
      <c r="ACV5" s="31"/>
      <c r="ACW5" s="31"/>
      <c r="ACX5" s="31"/>
      <c r="ACY5" s="31"/>
      <c r="ACZ5" s="31"/>
      <c r="ADA5" s="31"/>
      <c r="ADB5" s="31"/>
      <c r="ADC5" s="31"/>
      <c r="ADD5" s="31"/>
      <c r="ADE5" s="31"/>
      <c r="ADF5" s="31"/>
      <c r="ADG5" s="31"/>
      <c r="ADH5" s="31"/>
      <c r="ADI5" s="31"/>
      <c r="ADJ5" s="31"/>
      <c r="ADK5" s="31"/>
      <c r="ADL5" s="31"/>
      <c r="ADM5" s="31"/>
      <c r="ADN5" s="31"/>
      <c r="ADO5" s="31"/>
      <c r="ADP5" s="31"/>
      <c r="ADQ5" s="31"/>
      <c r="ADR5" s="31"/>
      <c r="ADS5" s="31"/>
      <c r="ADT5" s="31"/>
      <c r="ADU5" s="31"/>
      <c r="ADV5" s="31"/>
      <c r="ADW5" s="31"/>
      <c r="ADX5" s="31"/>
      <c r="ADY5" s="31"/>
      <c r="ADZ5" s="31"/>
      <c r="AEA5" s="31"/>
      <c r="AEB5" s="31"/>
      <c r="AEC5" s="31"/>
      <c r="AED5" s="31"/>
      <c r="AEE5" s="31"/>
      <c r="AEF5" s="31"/>
      <c r="AEG5" s="31"/>
      <c r="AEH5" s="31"/>
      <c r="AEI5" s="31"/>
      <c r="AEJ5" s="31"/>
      <c r="AEK5" s="31"/>
      <c r="AEL5" s="31"/>
      <c r="AEM5" s="31"/>
      <c r="AEN5" s="31"/>
      <c r="AEO5" s="31"/>
      <c r="AEP5" s="31"/>
      <c r="AEQ5" s="31"/>
      <c r="AER5" s="31"/>
      <c r="AES5" s="31"/>
      <c r="AET5" s="31"/>
      <c r="AEU5" s="31"/>
      <c r="AEV5" s="31"/>
      <c r="AEW5" s="31"/>
      <c r="AEX5" s="31"/>
      <c r="AEY5" s="31"/>
      <c r="AEZ5" s="31"/>
      <c r="AFA5" s="31"/>
      <c r="AFB5" s="31"/>
      <c r="AFC5" s="31"/>
      <c r="AFD5" s="31"/>
      <c r="AFE5" s="31"/>
      <c r="AFF5" s="31"/>
      <c r="AFG5" s="31"/>
      <c r="AFH5" s="31"/>
      <c r="AFI5" s="31"/>
      <c r="AFJ5" s="31"/>
      <c r="AFK5" s="31"/>
      <c r="AFL5" s="31"/>
      <c r="AFM5" s="31"/>
      <c r="AFN5" s="31"/>
      <c r="AFO5" s="31"/>
      <c r="AFP5" s="31"/>
      <c r="AFQ5" s="31"/>
      <c r="AFR5" s="31"/>
      <c r="AFS5" s="31"/>
      <c r="AFT5" s="31"/>
      <c r="AFU5" s="31"/>
      <c r="AFV5" s="31"/>
      <c r="AFW5" s="31"/>
      <c r="AFX5" s="31"/>
      <c r="AFY5" s="31"/>
      <c r="AFZ5" s="31"/>
      <c r="AGA5" s="31"/>
      <c r="AGB5" s="31"/>
      <c r="AGC5" s="31"/>
      <c r="AGD5" s="31"/>
      <c r="AGE5" s="31"/>
      <c r="AGF5" s="31"/>
      <c r="AGG5" s="31"/>
      <c r="AGH5" s="31"/>
      <c r="AGI5" s="31"/>
      <c r="AGJ5" s="31"/>
      <c r="AGK5" s="31"/>
      <c r="AGL5" s="31"/>
      <c r="AGM5" s="31"/>
      <c r="AGN5" s="31"/>
      <c r="AGO5" s="31"/>
      <c r="AGP5" s="31"/>
      <c r="AGQ5" s="31"/>
      <c r="AGR5" s="31"/>
      <c r="AGS5" s="31"/>
      <c r="AGT5" s="31"/>
      <c r="AGU5" s="31"/>
      <c r="AGV5" s="31"/>
      <c r="AGW5" s="31"/>
      <c r="AGX5" s="31"/>
      <c r="AGY5" s="31"/>
      <c r="AGZ5" s="31"/>
      <c r="AHA5" s="31"/>
      <c r="AHB5" s="31"/>
      <c r="AHC5" s="31"/>
      <c r="AHD5" s="31"/>
      <c r="AHE5" s="31"/>
      <c r="AHF5" s="31"/>
      <c r="AHG5" s="31"/>
      <c r="AHH5" s="31"/>
      <c r="AHI5" s="31"/>
      <c r="AHJ5" s="31"/>
      <c r="AHK5" s="31"/>
      <c r="AHL5" s="31"/>
      <c r="AHM5" s="31"/>
      <c r="AHN5" s="31"/>
      <c r="AHO5" s="31"/>
      <c r="AHP5" s="31"/>
      <c r="AHQ5" s="31"/>
      <c r="AHR5" s="31"/>
      <c r="AHS5" s="31"/>
      <c r="AHT5" s="31"/>
      <c r="AHU5" s="31"/>
      <c r="AHV5" s="31"/>
      <c r="AHW5" s="31"/>
      <c r="AHX5" s="31"/>
      <c r="AHY5" s="31"/>
      <c r="AHZ5" s="31"/>
      <c r="AIA5" s="31"/>
      <c r="AIB5" s="31"/>
      <c r="AIC5" s="31"/>
      <c r="AID5" s="31"/>
      <c r="AIE5" s="31"/>
      <c r="AIF5" s="31"/>
      <c r="AIG5" s="31"/>
      <c r="AIH5" s="31"/>
      <c r="AII5" s="31"/>
      <c r="AIJ5" s="31"/>
      <c r="AIK5" s="31"/>
      <c r="AIL5" s="31"/>
      <c r="AIM5" s="31"/>
      <c r="AIN5" s="31"/>
      <c r="AIO5" s="31"/>
      <c r="AIP5" s="31"/>
      <c r="AIQ5" s="31"/>
      <c r="AIR5" s="31"/>
      <c r="AIS5" s="31"/>
      <c r="AIT5" s="31"/>
      <c r="AIU5" s="31"/>
      <c r="AIV5" s="31"/>
      <c r="AIW5" s="31"/>
      <c r="AIX5" s="31"/>
      <c r="AIY5" s="31"/>
      <c r="AIZ5" s="31"/>
      <c r="AJA5" s="31"/>
      <c r="AJB5" s="31"/>
      <c r="AJC5" s="31"/>
      <c r="AJD5" s="31"/>
      <c r="AJE5" s="31"/>
      <c r="AJF5" s="31"/>
      <c r="AJG5" s="31"/>
      <c r="AJH5" s="31"/>
      <c r="AJI5" s="31"/>
      <c r="AJJ5" s="31"/>
      <c r="AJK5" s="31"/>
      <c r="AJL5" s="31"/>
      <c r="AJM5" s="31"/>
      <c r="AJN5" s="31"/>
      <c r="AJO5" s="31"/>
      <c r="AJP5" s="31"/>
      <c r="AJQ5" s="31"/>
      <c r="AJR5" s="31"/>
      <c r="AJS5" s="31"/>
      <c r="AJT5" s="31"/>
      <c r="AJU5" s="31"/>
      <c r="AJV5" s="31"/>
      <c r="AJW5" s="31"/>
      <c r="AJX5" s="31"/>
      <c r="AJY5" s="31"/>
      <c r="AJZ5" s="31"/>
      <c r="AKA5" s="31"/>
      <c r="AKB5" s="31"/>
      <c r="AKC5" s="31"/>
      <c r="AKD5" s="31"/>
      <c r="AKE5" s="31"/>
      <c r="AKF5" s="31"/>
      <c r="AKG5" s="31"/>
      <c r="AKH5" s="31"/>
      <c r="AKI5" s="31"/>
      <c r="AKJ5" s="31"/>
      <c r="AKK5" s="31"/>
      <c r="AKL5" s="31"/>
      <c r="AKM5" s="31"/>
      <c r="AKN5" s="31"/>
      <c r="AKO5" s="31"/>
      <c r="AKP5" s="31"/>
      <c r="AKQ5" s="31"/>
      <c r="AKR5" s="31"/>
      <c r="AKS5" s="31"/>
      <c r="AKT5" s="31"/>
      <c r="AKU5" s="31"/>
      <c r="AKV5" s="31"/>
      <c r="AKW5" s="31"/>
      <c r="AKX5" s="31"/>
      <c r="AKY5" s="31"/>
      <c r="AKZ5" s="31"/>
      <c r="ALA5" s="31"/>
      <c r="ALB5" s="31"/>
      <c r="ALC5" s="31"/>
      <c r="ALD5" s="31"/>
      <c r="ALE5" s="31"/>
      <c r="ALF5" s="31"/>
      <c r="ALG5" s="31"/>
      <c r="ALH5" s="31"/>
      <c r="ALI5" s="31"/>
      <c r="ALJ5" s="31"/>
      <c r="ALK5" s="31"/>
      <c r="ALL5" s="31"/>
      <c r="ALM5" s="31"/>
      <c r="ALN5" s="31"/>
      <c r="ALO5" s="31"/>
      <c r="ALP5" s="31"/>
      <c r="ALQ5" s="31"/>
      <c r="ALR5" s="31"/>
      <c r="ALS5" s="31"/>
      <c r="ALT5" s="31"/>
      <c r="ALU5" s="31"/>
      <c r="ALV5" s="31"/>
      <c r="ALW5" s="31"/>
      <c r="ALX5" s="31"/>
      <c r="ALY5" s="31"/>
      <c r="ALZ5" s="31"/>
      <c r="AMA5" s="31"/>
      <c r="AMB5" s="31"/>
      <c r="AMC5" s="31"/>
      <c r="AMD5" s="31"/>
      <c r="AME5" s="31"/>
      <c r="AMF5" s="31"/>
      <c r="AMG5" s="31"/>
      <c r="AMH5" s="31"/>
      <c r="AMI5" s="31"/>
      <c r="AMJ5" s="31"/>
    </row>
    <row r="6" ht="15.75" customHeight="1">
      <c r="A6" t="s">
        <v>43</v>
      </c>
      <c r="C6" t="s">
        <v>32</v>
      </c>
      <c r="D6">
        <v>25.0</v>
      </c>
      <c r="E6" t="s">
        <v>28</v>
      </c>
      <c r="F6" t="s">
        <v>22</v>
      </c>
      <c r="H6" t="s">
        <v>71</v>
      </c>
      <c r="O6" t="s">
        <v>68</v>
      </c>
      <c r="P6" t="s">
        <v>72</v>
      </c>
      <c r="R6" t="s">
        <v>53</v>
      </c>
      <c r="S6" t="s">
        <v>66</v>
      </c>
      <c r="T6" t="s">
        <v>51</v>
      </c>
      <c r="U6" t="s">
        <v>47</v>
      </c>
      <c r="V6" t="s">
        <v>45</v>
      </c>
      <c r="W6" t="s">
        <v>49</v>
      </c>
      <c r="AB6">
        <v>0.0</v>
      </c>
      <c r="AC6">
        <v>0.0</v>
      </c>
      <c r="AD6">
        <v>0.0</v>
      </c>
      <c r="AE6">
        <v>0.0</v>
      </c>
      <c r="AG6">
        <v>0.0</v>
      </c>
      <c r="AH6">
        <v>0.0</v>
      </c>
      <c r="AI6">
        <v>0.0</v>
      </c>
      <c r="AJ6">
        <v>0.0</v>
      </c>
      <c r="AN6" t="s">
        <v>33</v>
      </c>
      <c r="AP6" t="s">
        <v>71</v>
      </c>
      <c r="AQ6" t="s">
        <v>32</v>
      </c>
      <c r="AX6">
        <v>0.0</v>
      </c>
      <c r="AY6">
        <v>0.0</v>
      </c>
      <c r="AZ6">
        <v>0.0</v>
      </c>
      <c r="BE6" t="s">
        <v>51</v>
      </c>
      <c r="BJ6">
        <v>0.0</v>
      </c>
      <c r="BK6">
        <v>0.0</v>
      </c>
      <c r="BL6">
        <v>0.0</v>
      </c>
      <c r="BM6">
        <v>0.0</v>
      </c>
      <c r="BP6">
        <v>0.0</v>
      </c>
      <c r="BQ6" t="s">
        <v>46</v>
      </c>
      <c r="BR6" t="s">
        <v>53</v>
      </c>
      <c r="BS6">
        <v>0.0</v>
      </c>
      <c r="BT6">
        <v>0.0</v>
      </c>
      <c r="BU6" t="s">
        <v>51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H6">
        <v>-100.0</v>
      </c>
      <c r="DE6">
        <v>0.0</v>
      </c>
      <c r="DF6">
        <v>0.0</v>
      </c>
      <c r="DG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M6">
        <v>0.0</v>
      </c>
      <c r="EN6">
        <v>0.0</v>
      </c>
      <c r="EO6">
        <v>0.0</v>
      </c>
      <c r="EP6">
        <v>0.0</v>
      </c>
      <c r="EQ6">
        <v>0.0</v>
      </c>
      <c r="ER6">
        <v>0.0</v>
      </c>
    </row>
    <row r="7" ht="15.75" customHeight="1">
      <c r="A7" t="s">
        <v>43</v>
      </c>
      <c r="C7" t="s">
        <v>34</v>
      </c>
      <c r="D7">
        <v>25.0</v>
      </c>
      <c r="E7" t="s">
        <v>28</v>
      </c>
      <c r="F7" t="s">
        <v>22</v>
      </c>
      <c r="H7" t="s">
        <v>71</v>
      </c>
      <c r="O7" t="s">
        <v>61</v>
      </c>
      <c r="P7" t="s">
        <v>72</v>
      </c>
      <c r="R7" t="s">
        <v>53</v>
      </c>
      <c r="S7" t="s">
        <v>66</v>
      </c>
      <c r="T7" t="s">
        <v>51</v>
      </c>
      <c r="U7" t="s">
        <v>47</v>
      </c>
      <c r="V7" t="s">
        <v>45</v>
      </c>
      <c r="W7" t="s">
        <v>49</v>
      </c>
      <c r="AB7">
        <v>0.0</v>
      </c>
      <c r="AC7">
        <v>0.0</v>
      </c>
      <c r="AD7">
        <v>0.0</v>
      </c>
      <c r="AE7">
        <v>0.0</v>
      </c>
      <c r="AG7">
        <v>0.0</v>
      </c>
      <c r="AH7">
        <v>0.0</v>
      </c>
      <c r="AI7">
        <v>0.0</v>
      </c>
      <c r="AJ7">
        <v>0.0</v>
      </c>
      <c r="AN7" t="s">
        <v>33</v>
      </c>
      <c r="AP7" t="s">
        <v>71</v>
      </c>
      <c r="AQ7" t="s">
        <v>34</v>
      </c>
      <c r="AX7">
        <v>0.0</v>
      </c>
      <c r="AY7">
        <v>0.0</v>
      </c>
      <c r="AZ7">
        <v>0.0</v>
      </c>
      <c r="BE7" t="s">
        <v>51</v>
      </c>
      <c r="BJ7">
        <v>0.0</v>
      </c>
      <c r="BK7">
        <v>0.0</v>
      </c>
      <c r="BL7">
        <v>0.0</v>
      </c>
      <c r="BM7">
        <v>0.0</v>
      </c>
      <c r="BP7">
        <v>0.0</v>
      </c>
      <c r="BQ7" t="s">
        <v>46</v>
      </c>
      <c r="BR7" t="s">
        <v>53</v>
      </c>
      <c r="BS7">
        <v>0.0</v>
      </c>
      <c r="BT7">
        <v>0.0</v>
      </c>
      <c r="BU7" t="s">
        <v>51</v>
      </c>
      <c r="BW7">
        <v>0.0</v>
      </c>
      <c r="BX7">
        <v>0.0</v>
      </c>
      <c r="BY7">
        <v>0.0</v>
      </c>
      <c r="BZ7">
        <v>0.0</v>
      </c>
      <c r="CA7">
        <v>0.0</v>
      </c>
      <c r="CC7">
        <v>0.0</v>
      </c>
      <c r="CH7">
        <v>-100.0</v>
      </c>
      <c r="DE7">
        <v>0.0</v>
      </c>
      <c r="DF7">
        <v>0.0</v>
      </c>
      <c r="DG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M7">
        <v>0.0</v>
      </c>
      <c r="EN7">
        <v>0.0</v>
      </c>
      <c r="EO7">
        <v>0.0</v>
      </c>
      <c r="EP7">
        <v>0.0</v>
      </c>
      <c r="EQ7">
        <v>0.0</v>
      </c>
      <c r="ER7">
        <v>0.0</v>
      </c>
    </row>
    <row r="8" ht="15.75" customHeight="1">
      <c r="A8" t="s">
        <v>43</v>
      </c>
      <c r="C8" t="s">
        <v>32</v>
      </c>
      <c r="D8">
        <v>25.0</v>
      </c>
      <c r="E8" t="s">
        <v>25</v>
      </c>
      <c r="F8" t="s">
        <v>21</v>
      </c>
      <c r="H8" t="s">
        <v>71</v>
      </c>
      <c r="O8" t="s">
        <v>68</v>
      </c>
      <c r="P8" t="s">
        <v>72</v>
      </c>
      <c r="R8" t="s">
        <v>53</v>
      </c>
      <c r="S8" t="s">
        <v>66</v>
      </c>
      <c r="T8" t="s">
        <v>51</v>
      </c>
      <c r="U8" t="s">
        <v>47</v>
      </c>
      <c r="V8" t="s">
        <v>45</v>
      </c>
      <c r="W8" t="s">
        <v>49</v>
      </c>
      <c r="AB8">
        <v>0.0</v>
      </c>
      <c r="AC8">
        <v>0.0</v>
      </c>
      <c r="AD8">
        <v>0.0</v>
      </c>
      <c r="AE8">
        <v>0.0</v>
      </c>
      <c r="AG8">
        <v>0.0</v>
      </c>
      <c r="AH8">
        <v>0.0</v>
      </c>
      <c r="AI8">
        <v>0.0</v>
      </c>
      <c r="AJ8">
        <v>0.0</v>
      </c>
      <c r="AN8" t="s">
        <v>33</v>
      </c>
      <c r="AP8" t="s">
        <v>71</v>
      </c>
      <c r="AQ8" t="s">
        <v>32</v>
      </c>
      <c r="AX8">
        <v>0.0</v>
      </c>
      <c r="AY8">
        <v>0.0</v>
      </c>
      <c r="AZ8">
        <v>0.0</v>
      </c>
      <c r="BE8" t="s">
        <v>51</v>
      </c>
      <c r="BJ8">
        <v>0.0</v>
      </c>
      <c r="BK8">
        <v>0.0</v>
      </c>
      <c r="BL8">
        <v>0.0</v>
      </c>
      <c r="BM8">
        <v>0.0</v>
      </c>
      <c r="BP8">
        <v>0.0</v>
      </c>
      <c r="BQ8" t="s">
        <v>46</v>
      </c>
      <c r="BR8" t="s">
        <v>53</v>
      </c>
      <c r="BS8">
        <v>0.0</v>
      </c>
      <c r="BT8">
        <v>0.0</v>
      </c>
      <c r="BU8" t="s">
        <v>51</v>
      </c>
      <c r="BW8">
        <v>0.0</v>
      </c>
      <c r="BX8">
        <v>0.0</v>
      </c>
      <c r="BY8">
        <v>0.0</v>
      </c>
      <c r="BZ8">
        <v>0.0</v>
      </c>
      <c r="CA8">
        <v>0.0</v>
      </c>
      <c r="CC8">
        <v>0.0</v>
      </c>
      <c r="CH8">
        <v>-100.0</v>
      </c>
      <c r="DE8">
        <v>0.0</v>
      </c>
      <c r="DF8">
        <v>0.0</v>
      </c>
      <c r="DG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M8">
        <v>0.0</v>
      </c>
      <c r="EN8">
        <v>0.0</v>
      </c>
      <c r="EO8">
        <v>0.0</v>
      </c>
      <c r="EP8">
        <v>0.0</v>
      </c>
      <c r="EQ8">
        <v>0.0</v>
      </c>
      <c r="ER8">
        <v>0.0</v>
      </c>
    </row>
    <row r="9" ht="15.75" customHeight="1">
      <c r="A9" t="s">
        <v>43</v>
      </c>
      <c r="C9" t="s">
        <v>34</v>
      </c>
      <c r="D9">
        <v>25.0</v>
      </c>
      <c r="E9" t="s">
        <v>25</v>
      </c>
      <c r="F9" t="s">
        <v>21</v>
      </c>
      <c r="H9" t="s">
        <v>71</v>
      </c>
      <c r="O9" t="s">
        <v>61</v>
      </c>
      <c r="P9" t="s">
        <v>72</v>
      </c>
      <c r="R9" t="s">
        <v>53</v>
      </c>
      <c r="S9" t="s">
        <v>66</v>
      </c>
      <c r="T9" t="s">
        <v>51</v>
      </c>
      <c r="U9" t="s">
        <v>47</v>
      </c>
      <c r="V9" t="s">
        <v>45</v>
      </c>
      <c r="W9" t="s">
        <v>49</v>
      </c>
      <c r="AB9">
        <v>0.0</v>
      </c>
      <c r="AC9">
        <v>0.0</v>
      </c>
      <c r="AD9">
        <v>0.0</v>
      </c>
      <c r="AE9">
        <v>0.0</v>
      </c>
      <c r="AG9">
        <v>0.0</v>
      </c>
      <c r="AH9">
        <v>0.0</v>
      </c>
      <c r="AI9">
        <v>0.0</v>
      </c>
      <c r="AJ9">
        <v>0.0</v>
      </c>
      <c r="AN9" t="s">
        <v>33</v>
      </c>
      <c r="AP9" t="s">
        <v>71</v>
      </c>
      <c r="AQ9" t="s">
        <v>34</v>
      </c>
      <c r="AX9">
        <v>0.0</v>
      </c>
      <c r="AY9">
        <v>0.0</v>
      </c>
      <c r="AZ9">
        <v>0.0</v>
      </c>
      <c r="BE9" t="s">
        <v>51</v>
      </c>
      <c r="BJ9">
        <v>0.0</v>
      </c>
      <c r="BK9">
        <v>0.0</v>
      </c>
      <c r="BL9">
        <v>0.0</v>
      </c>
      <c r="BM9">
        <v>0.0</v>
      </c>
      <c r="BP9">
        <v>0.0</v>
      </c>
      <c r="BQ9" t="s">
        <v>46</v>
      </c>
      <c r="BR9" t="s">
        <v>53</v>
      </c>
      <c r="BS9">
        <v>0.0</v>
      </c>
      <c r="BT9">
        <v>0.0</v>
      </c>
      <c r="BU9" t="s">
        <v>51</v>
      </c>
      <c r="BW9">
        <v>0.0</v>
      </c>
      <c r="BX9">
        <v>0.0</v>
      </c>
      <c r="BY9">
        <v>0.0</v>
      </c>
      <c r="BZ9">
        <v>0.0</v>
      </c>
      <c r="CA9">
        <v>0.0</v>
      </c>
      <c r="CC9">
        <v>0.0</v>
      </c>
      <c r="CH9">
        <v>-100.0</v>
      </c>
      <c r="DE9">
        <v>0.0</v>
      </c>
      <c r="DF9">
        <v>0.0</v>
      </c>
      <c r="DG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M9">
        <v>0.0</v>
      </c>
      <c r="EN9">
        <v>0.0</v>
      </c>
      <c r="EO9">
        <v>0.0</v>
      </c>
      <c r="EP9">
        <v>0.0</v>
      </c>
      <c r="EQ9">
        <v>0.0</v>
      </c>
      <c r="ER9">
        <v>0.0</v>
      </c>
    </row>
    <row r="10" ht="15.75" customHeight="1">
      <c r="A10" t="s">
        <v>43</v>
      </c>
      <c r="C10" t="s">
        <v>32</v>
      </c>
      <c r="D10">
        <v>25.0</v>
      </c>
      <c r="E10" t="s">
        <v>24</v>
      </c>
      <c r="F10" t="s">
        <v>21</v>
      </c>
      <c r="H10" t="s">
        <v>71</v>
      </c>
      <c r="O10" t="s">
        <v>68</v>
      </c>
      <c r="P10" t="s">
        <v>72</v>
      </c>
      <c r="R10" t="s">
        <v>73</v>
      </c>
      <c r="S10" t="s">
        <v>66</v>
      </c>
      <c r="T10" t="s">
        <v>51</v>
      </c>
      <c r="U10" t="s">
        <v>47</v>
      </c>
      <c r="V10" t="s">
        <v>45</v>
      </c>
      <c r="W10" t="s">
        <v>49</v>
      </c>
      <c r="AB10">
        <v>0.0</v>
      </c>
      <c r="AC10">
        <v>0.0</v>
      </c>
      <c r="AD10">
        <v>0.0</v>
      </c>
      <c r="AE10">
        <v>0.0</v>
      </c>
      <c r="AG10">
        <v>0.0</v>
      </c>
      <c r="AH10">
        <v>0.0</v>
      </c>
      <c r="AI10">
        <v>0.0</v>
      </c>
      <c r="AJ10">
        <v>0.0</v>
      </c>
      <c r="AN10" t="s">
        <v>33</v>
      </c>
      <c r="AP10" t="s">
        <v>71</v>
      </c>
      <c r="AQ10" t="s">
        <v>32</v>
      </c>
      <c r="AX10">
        <v>0.0</v>
      </c>
      <c r="AY10">
        <v>0.0</v>
      </c>
      <c r="AZ10">
        <v>0.0</v>
      </c>
      <c r="BE10" t="s">
        <v>51</v>
      </c>
      <c r="BJ10">
        <v>0.0</v>
      </c>
      <c r="BK10">
        <v>0.0</v>
      </c>
      <c r="BL10">
        <v>0.0</v>
      </c>
      <c r="BM10">
        <v>0.0</v>
      </c>
      <c r="BP10">
        <v>0.0</v>
      </c>
      <c r="BQ10" t="s">
        <v>46</v>
      </c>
      <c r="BR10" t="s">
        <v>53</v>
      </c>
      <c r="BS10">
        <v>0.0</v>
      </c>
      <c r="BT10">
        <v>0.0</v>
      </c>
      <c r="BU10" t="s">
        <v>51</v>
      </c>
      <c r="BW10">
        <v>0.0</v>
      </c>
      <c r="BX10">
        <v>0.0</v>
      </c>
      <c r="BY10">
        <v>0.0</v>
      </c>
      <c r="BZ10">
        <v>0.0</v>
      </c>
      <c r="CA10">
        <v>0.0</v>
      </c>
      <c r="CC10">
        <v>0.0</v>
      </c>
      <c r="CH10">
        <v>-100.0</v>
      </c>
      <c r="DE10">
        <v>0.0</v>
      </c>
      <c r="DF10">
        <v>0.0</v>
      </c>
      <c r="DG10">
        <v>0.0</v>
      </c>
      <c r="EG10">
        <v>0.0</v>
      </c>
      <c r="EH10">
        <v>0.0</v>
      </c>
      <c r="EI10">
        <v>0.0</v>
      </c>
      <c r="EJ10">
        <v>0.0</v>
      </c>
      <c r="EK10">
        <v>0.0</v>
      </c>
      <c r="EM10">
        <v>0.0</v>
      </c>
      <c r="EN10">
        <v>0.0</v>
      </c>
      <c r="EO10">
        <v>0.0</v>
      </c>
      <c r="EP10">
        <v>0.0</v>
      </c>
      <c r="EQ10">
        <v>0.0</v>
      </c>
      <c r="ER10">
        <v>0.0</v>
      </c>
    </row>
    <row r="11" ht="15.75" customHeight="1">
      <c r="A11" t="s">
        <v>43</v>
      </c>
      <c r="C11" t="s">
        <v>34</v>
      </c>
      <c r="D11">
        <v>25.0</v>
      </c>
      <c r="E11" t="s">
        <v>24</v>
      </c>
      <c r="F11" t="s">
        <v>21</v>
      </c>
      <c r="H11" t="s">
        <v>71</v>
      </c>
      <c r="O11" t="s">
        <v>61</v>
      </c>
      <c r="P11" t="s">
        <v>72</v>
      </c>
      <c r="R11" t="s">
        <v>73</v>
      </c>
      <c r="S11" t="s">
        <v>66</v>
      </c>
      <c r="T11" t="s">
        <v>51</v>
      </c>
      <c r="U11" t="s">
        <v>47</v>
      </c>
      <c r="V11" t="s">
        <v>45</v>
      </c>
      <c r="W11" t="s">
        <v>49</v>
      </c>
      <c r="AB11">
        <v>0.0</v>
      </c>
      <c r="AC11">
        <v>0.0</v>
      </c>
      <c r="AD11">
        <v>0.0</v>
      </c>
      <c r="AE11">
        <v>0.0</v>
      </c>
      <c r="AG11">
        <v>0.0</v>
      </c>
      <c r="AH11">
        <v>0.0</v>
      </c>
      <c r="AI11">
        <v>0.0</v>
      </c>
      <c r="AJ11">
        <v>0.0</v>
      </c>
      <c r="AN11" t="s">
        <v>33</v>
      </c>
      <c r="AP11" t="s">
        <v>71</v>
      </c>
      <c r="AQ11" t="s">
        <v>34</v>
      </c>
      <c r="AX11">
        <v>0.0</v>
      </c>
      <c r="AY11">
        <v>0.0</v>
      </c>
      <c r="AZ11">
        <v>0.0</v>
      </c>
      <c r="BE11" t="s">
        <v>51</v>
      </c>
      <c r="BJ11">
        <v>0.0</v>
      </c>
      <c r="BK11">
        <v>0.0</v>
      </c>
      <c r="BL11">
        <v>0.0</v>
      </c>
      <c r="BM11">
        <v>0.0</v>
      </c>
      <c r="BP11">
        <v>0.0</v>
      </c>
      <c r="BQ11" t="s">
        <v>46</v>
      </c>
      <c r="BR11" t="s">
        <v>53</v>
      </c>
      <c r="BS11">
        <v>0.0</v>
      </c>
      <c r="BT11">
        <v>0.0</v>
      </c>
      <c r="BU11" t="s">
        <v>51</v>
      </c>
      <c r="BW11">
        <v>0.0</v>
      </c>
      <c r="BX11">
        <v>0.0</v>
      </c>
      <c r="BY11">
        <v>0.0</v>
      </c>
      <c r="BZ11">
        <v>0.0</v>
      </c>
      <c r="CA11">
        <v>0.0</v>
      </c>
      <c r="CC11">
        <v>0.0</v>
      </c>
      <c r="CH11">
        <v>-100.0</v>
      </c>
      <c r="DE11">
        <v>0.0</v>
      </c>
      <c r="DF11">
        <v>0.0</v>
      </c>
      <c r="DG11">
        <v>0.0</v>
      </c>
      <c r="EG11">
        <v>0.0</v>
      </c>
      <c r="EH11">
        <v>0.0</v>
      </c>
      <c r="EI11">
        <v>0.0</v>
      </c>
      <c r="EJ11">
        <v>0.0</v>
      </c>
      <c r="EK11">
        <v>0.0</v>
      </c>
      <c r="EM11">
        <v>0.0</v>
      </c>
      <c r="EN11">
        <v>0.0</v>
      </c>
      <c r="EO11">
        <v>0.0</v>
      </c>
      <c r="EP11">
        <v>0.0</v>
      </c>
      <c r="EQ11">
        <v>0.0</v>
      </c>
      <c r="ER11">
        <v>0.0</v>
      </c>
    </row>
    <row r="12" ht="15.75" customHeight="1">
      <c r="A12" t="s">
        <v>43</v>
      </c>
      <c r="C12" t="s">
        <v>32</v>
      </c>
      <c r="D12">
        <v>25.0</v>
      </c>
      <c r="E12" t="s">
        <v>29</v>
      </c>
      <c r="F12" t="s">
        <v>22</v>
      </c>
      <c r="H12" t="s">
        <v>71</v>
      </c>
      <c r="O12" t="s">
        <v>68</v>
      </c>
      <c r="P12" t="s">
        <v>72</v>
      </c>
      <c r="R12" t="s">
        <v>53</v>
      </c>
      <c r="S12" t="s">
        <v>66</v>
      </c>
      <c r="T12" t="s">
        <v>51</v>
      </c>
      <c r="U12" t="s">
        <v>47</v>
      </c>
      <c r="V12" t="s">
        <v>45</v>
      </c>
      <c r="W12" t="s">
        <v>49</v>
      </c>
      <c r="AB12">
        <v>0.0</v>
      </c>
      <c r="AC12">
        <v>0.0</v>
      </c>
      <c r="AD12">
        <v>0.0</v>
      </c>
      <c r="AE12">
        <v>0.0</v>
      </c>
      <c r="AG12">
        <v>0.0</v>
      </c>
      <c r="AH12">
        <v>0.0</v>
      </c>
      <c r="AI12">
        <v>0.0</v>
      </c>
      <c r="AJ12">
        <v>0.0</v>
      </c>
      <c r="AN12" t="s">
        <v>33</v>
      </c>
      <c r="AP12" t="s">
        <v>71</v>
      </c>
      <c r="AQ12" t="s">
        <v>32</v>
      </c>
      <c r="AX12">
        <v>0.0</v>
      </c>
      <c r="AY12">
        <v>0.0</v>
      </c>
      <c r="AZ12">
        <v>0.0</v>
      </c>
      <c r="BE12" t="s">
        <v>51</v>
      </c>
      <c r="BJ12">
        <v>0.0</v>
      </c>
      <c r="BK12">
        <v>0.0</v>
      </c>
      <c r="BL12">
        <v>0.0</v>
      </c>
      <c r="BM12">
        <v>0.0</v>
      </c>
      <c r="BP12">
        <v>0.0</v>
      </c>
      <c r="BQ12" t="s">
        <v>46</v>
      </c>
      <c r="BR12" t="s">
        <v>53</v>
      </c>
      <c r="BS12">
        <v>0.0</v>
      </c>
      <c r="BT12">
        <v>0.0</v>
      </c>
      <c r="BU12" t="s">
        <v>51</v>
      </c>
      <c r="BW12">
        <v>0.0</v>
      </c>
      <c r="BX12">
        <v>0.0</v>
      </c>
      <c r="BY12">
        <v>0.0</v>
      </c>
      <c r="BZ12">
        <v>0.0</v>
      </c>
      <c r="CA12">
        <v>0.0</v>
      </c>
      <c r="CC12">
        <v>0.0</v>
      </c>
      <c r="CH12">
        <v>-100.0</v>
      </c>
      <c r="DE12">
        <v>0.0</v>
      </c>
      <c r="DF12">
        <v>0.0</v>
      </c>
      <c r="DG12">
        <v>0.0</v>
      </c>
      <c r="EG12">
        <v>0.0</v>
      </c>
      <c r="EH12">
        <v>0.0</v>
      </c>
      <c r="EI12">
        <v>0.0</v>
      </c>
      <c r="EJ12">
        <v>0.0</v>
      </c>
      <c r="EK12">
        <v>0.0</v>
      </c>
      <c r="EM12">
        <v>0.0</v>
      </c>
      <c r="EN12">
        <v>0.0</v>
      </c>
      <c r="EO12">
        <v>0.0</v>
      </c>
      <c r="EP12">
        <v>0.0</v>
      </c>
      <c r="EQ12">
        <v>0.0</v>
      </c>
      <c r="ER12">
        <v>0.0</v>
      </c>
    </row>
    <row r="13" ht="15.75" customHeight="1">
      <c r="A13" t="s">
        <v>43</v>
      </c>
      <c r="C13" t="s">
        <v>34</v>
      </c>
      <c r="D13">
        <v>25.0</v>
      </c>
      <c r="E13" t="s">
        <v>29</v>
      </c>
      <c r="F13" t="s">
        <v>22</v>
      </c>
      <c r="H13" t="s">
        <v>71</v>
      </c>
      <c r="O13" t="s">
        <v>61</v>
      </c>
      <c r="P13" t="s">
        <v>72</v>
      </c>
      <c r="R13" t="s">
        <v>53</v>
      </c>
      <c r="S13" t="s">
        <v>66</v>
      </c>
      <c r="T13" t="s">
        <v>51</v>
      </c>
      <c r="U13" t="s">
        <v>47</v>
      </c>
      <c r="V13" t="s">
        <v>45</v>
      </c>
      <c r="W13" t="s">
        <v>49</v>
      </c>
      <c r="AB13">
        <v>0.0</v>
      </c>
      <c r="AC13">
        <v>0.0</v>
      </c>
      <c r="AD13">
        <v>0.0</v>
      </c>
      <c r="AE13">
        <v>0.0</v>
      </c>
      <c r="AG13">
        <v>0.0</v>
      </c>
      <c r="AH13">
        <v>0.0</v>
      </c>
      <c r="AI13">
        <v>0.0</v>
      </c>
      <c r="AJ13">
        <v>0.0</v>
      </c>
      <c r="AN13" t="s">
        <v>33</v>
      </c>
      <c r="AP13" t="s">
        <v>71</v>
      </c>
      <c r="AQ13" t="s">
        <v>34</v>
      </c>
      <c r="AX13">
        <v>0.0</v>
      </c>
      <c r="AY13">
        <v>0.0</v>
      </c>
      <c r="AZ13">
        <v>0.0</v>
      </c>
      <c r="BE13" t="s">
        <v>51</v>
      </c>
      <c r="BJ13">
        <v>0.0</v>
      </c>
      <c r="BK13">
        <v>0.0</v>
      </c>
      <c r="BL13">
        <v>0.0</v>
      </c>
      <c r="BM13">
        <v>0.0</v>
      </c>
      <c r="BP13">
        <v>0.0</v>
      </c>
      <c r="BQ13" t="s">
        <v>46</v>
      </c>
      <c r="BR13" t="s">
        <v>53</v>
      </c>
      <c r="BS13">
        <v>0.0</v>
      </c>
      <c r="BT13">
        <v>0.0</v>
      </c>
      <c r="BU13" t="s">
        <v>51</v>
      </c>
      <c r="BW13">
        <v>0.0</v>
      </c>
      <c r="BX13">
        <v>0.0</v>
      </c>
      <c r="BY13">
        <v>0.0</v>
      </c>
      <c r="BZ13">
        <v>0.0</v>
      </c>
      <c r="CA13">
        <v>0.0</v>
      </c>
      <c r="CC13">
        <v>0.0</v>
      </c>
      <c r="CH13">
        <v>-100.0</v>
      </c>
      <c r="DE13">
        <v>0.0</v>
      </c>
      <c r="DF13">
        <v>0.0</v>
      </c>
      <c r="DG13">
        <v>0.0</v>
      </c>
      <c r="EG13">
        <v>0.0</v>
      </c>
      <c r="EH13">
        <v>0.0</v>
      </c>
      <c r="EI13">
        <v>0.0</v>
      </c>
      <c r="EJ13">
        <v>0.0</v>
      </c>
      <c r="EK13">
        <v>0.0</v>
      </c>
      <c r="EM13">
        <v>0.0</v>
      </c>
      <c r="EN13">
        <v>0.0</v>
      </c>
      <c r="EO13">
        <v>0.0</v>
      </c>
      <c r="EP13">
        <v>0.0</v>
      </c>
      <c r="EQ13">
        <v>0.0</v>
      </c>
      <c r="ER13">
        <v>0.0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