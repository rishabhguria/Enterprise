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pplyPrefetchFilters" sheetId="5" r:id="rId7"/>
    <sheet state="visible" name="CheckAllocatedGroups" sheetId="6" r:id="rId8"/>
    <sheet state="visible" name="ApplyPrefetchFilters1" sheetId="7" r:id="rId9"/>
    <sheet state="visible" name="CheckAllocatedGroups1" sheetId="8" r:id="rId10"/>
    <sheet state="visible" name="CheckUnallocatedGroups" sheetId="9" r:id="rId11"/>
    <sheet state="visible" name="ApplyPrefetchFilters2" sheetId="10" r:id="rId12"/>
    <sheet state="visible" name="CheckAllocatedGroups2" sheetId="11" r:id="rId13"/>
  </sheets>
  <definedNames/>
  <calcPr/>
</workbook>
</file>

<file path=xl/sharedStrings.xml><?xml version="1.0" encoding="utf-8"?>
<sst xmlns="http://schemas.openxmlformats.org/spreadsheetml/2006/main" count="1018" uniqueCount="57">
  <si>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</si>
  <si>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</si>
  <si>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</si>
  <si>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</si>
  <si>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</si>
  <si>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</si>
  <si>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</si>
  <si>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</si>
  <si>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</si>
  <si>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</si>
  <si>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</si>
  <si>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</si>
  <si>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</si>
  <si>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</si>
  <si>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</si>
  <si>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</si>
  <si>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</si>
  <si>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</si>
  <si>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Allocation2</t>
  </si>
  <si>
    <t>MSFT</t>
  </si>
  <si>
    <t>TSLA</t>
  </si>
  <si>
    <t>Unallocated</t>
  </si>
  <si>
    <t>Sell</t>
  </si>
  <si>
    <t>Allocation</t>
  </si>
  <si>
    <t>ApplyPrefetchFilters</t>
  </si>
  <si>
    <t>All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</si>
  <si>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</si>
  <si>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</si>
  <si>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</si>
  <si>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</si>
  <si>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</si>
  <si>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</si>
  <si>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</si>
  <si>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</si>
  <si>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</si>
  <si>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</si>
  <si>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</si>
  <si>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</si>
  <si>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</si>
  <si>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</si>
  <si>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</si>
  <si>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</si>
  <si>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</si>
  <si>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</si>
  <si>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Buy</t>
  </si>
  <si>
    <t>Strategy Unallocated</t>
  </si>
  <si>
    <t>GCCAP1</t>
  </si>
  <si>
    <t>US</t>
  </si>
  <si>
    <t>jpearce</t>
  </si>
  <si>
    <t>NONE</t>
  </si>
  <si>
    <t>NewMF1</t>
  </si>
  <si>
    <t>Allocation1</t>
  </si>
  <si>
    <t>NewMF</t>
  </si>
  <si>
    <t>MSFT US EQUITY</t>
  </si>
  <si>
    <t>MICROSOFT INC</t>
  </si>
  <si>
    <t>CheckUnallocatedGroups</t>
  </si>
  <si>
    <t>TESLA MTRS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</si>
</sst>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100.0</v>
      </c>
      <c r="D7" s="13">
        <v>10.0</v>
      </c>
      <c r="E7" s="13" t="s">
        <v>17</v>
      </c>
      <c r="F7" s="8"/>
      <c r="G7" s="8"/>
      <c r="H7" s="8"/>
      <c r="I7" s="13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>
        <v>100.0</v>
      </c>
      <c r="D8" s="13">
        <v>10.0</v>
      </c>
      <c r="E8" s="13" t="s">
        <v>17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100.0</v>
      </c>
      <c r="D9" s="13">
        <v>10.0</v>
      </c>
      <c r="E9" s="13" t="s">
        <v>17</v>
      </c>
      <c r="F9" s="8"/>
      <c r="G9" s="8"/>
      <c r="H9" s="8"/>
      <c r="I9" s="13" t="s">
        <v>18</v>
      </c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13">
        <v>10.0</v>
      </c>
      <c r="E10" s="13" t="s">
        <v>17</v>
      </c>
      <c r="F10" s="8"/>
      <c r="G10" s="8"/>
      <c r="H10" s="8"/>
      <c r="I10" s="13" t="s">
        <v>21</v>
      </c>
      <c r="J10" s="13" t="s">
        <v>22</v>
      </c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>
        <v>100.0</v>
      </c>
      <c r="D11" s="13">
        <v>10.0</v>
      </c>
      <c r="E11" s="13" t="s">
        <v>17</v>
      </c>
      <c r="F11" s="8"/>
      <c r="G11" s="8"/>
      <c r="H11" s="8"/>
      <c r="I11" s="13" t="s">
        <v>21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IFERROR(__xludf.DUMMYFUNCTION("""COMPUTED_VALUE"""),"FilterTabName")</f>
        <v>FilterTabName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IFERROR(__xludf.DUMMYFUNCTION("""COMPUTED_VALUE"""),"Account")</f>
        <v>Account</v>
      </c>
      <c r="H5" s="28" t="str">
        <f>IFERROR(__xludf.DUMMYFUNCTION("""COMPUTED_VALUE"""),"Broker")</f>
        <v>Broker</v>
      </c>
      <c r="I5" s="28" t="str">
        <f>IFERROR(__xludf.DUMMYFUNCTION("""COMPUTED_VALUE"""),"Currency")</f>
        <v>Currency</v>
      </c>
      <c r="J5" s="28" t="str">
        <f>IFERROR(__xludf.DUMMYFUNCTION("""COMPUTED_VALUE"""),"Exchange")</f>
        <v>Exchange</v>
      </c>
      <c r="K5" s="28" t="str">
        <f>IFERROR(__xludf.DUMMYFUNCTION("""COMPUTED_VALUE"""),"StrategyName")</f>
        <v>StrategyName</v>
      </c>
      <c r="L5" s="28" t="str">
        <f>IFERROR(__xludf.DUMMYFUNCTION("""COMPUTED_VALUE"""),"Underlying")</f>
        <v>Underlying</v>
      </c>
      <c r="M5" s="28" t="str">
        <f>IFERROR(__xludf.DUMMYFUNCTION("""COMPUTED_VALUE"""),"Venue")</f>
        <v>Venue</v>
      </c>
      <c r="N5" s="28" t="str">
        <f>IFERROR(__xludf.DUMMYFUNCTION("""COMPUTED_VALUE"""),"TradingAccount")</f>
        <v>TradingAccount</v>
      </c>
      <c r="O5" s="28" t="str">
        <f>IFERROR(__xludf.DUMMYFUNCTION("""COMPUTED_VALUE"""),"PreAllocated")</f>
        <v>PreAllocated</v>
      </c>
      <c r="P5" s="28" t="str">
        <f>IFERROR(__xludf.DUMMYFUNCTION("""COMPUTED_VALUE"""),"ManualGroup")</f>
        <v>ManualGroup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27</v>
      </c>
      <c r="B6" s="32" t="s">
        <v>18</v>
      </c>
      <c r="C6" s="8" t="s">
        <v>28</v>
      </c>
      <c r="D6" s="32">
        <v>0.0</v>
      </c>
      <c r="E6" s="8">
        <v>100.0</v>
      </c>
      <c r="F6" s="8" t="s">
        <v>29</v>
      </c>
      <c r="G6" s="8" t="s">
        <v>30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31</v>
      </c>
      <c r="N6" s="8" t="s">
        <v>32</v>
      </c>
      <c r="O6" s="8" t="s">
        <v>33</v>
      </c>
      <c r="Q6">
        <v>3.0</v>
      </c>
      <c r="R6">
        <v>0.0</v>
      </c>
      <c r="S6" t="s">
        <v>34</v>
      </c>
      <c r="T6">
        <v>0.0</v>
      </c>
      <c r="U6">
        <v>0.0</v>
      </c>
      <c r="V6" t="s">
        <v>35</v>
      </c>
      <c r="W6">
        <v>1.0</v>
      </c>
      <c r="X6">
        <v>0.0</v>
      </c>
      <c r="Y6" t="s">
        <v>27</v>
      </c>
      <c r="Z6" t="s">
        <v>36</v>
      </c>
      <c r="AA6" t="s">
        <v>16</v>
      </c>
      <c r="AB6">
        <v>1.0</v>
      </c>
      <c r="AC6" t="s">
        <v>37</v>
      </c>
      <c r="AD6" t="s">
        <v>38</v>
      </c>
      <c r="AE6">
        <v>100.0</v>
      </c>
      <c r="AF6" t="s">
        <v>27</v>
      </c>
      <c r="AH6" t="s">
        <v>39</v>
      </c>
      <c r="AI6">
        <v>1.0</v>
      </c>
      <c r="AJ6" t="s">
        <v>40</v>
      </c>
      <c r="AM6" t="s">
        <v>41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42</v>
      </c>
      <c r="AZ6">
        <v>0.0</v>
      </c>
      <c r="BC6">
        <v>0.0</v>
      </c>
      <c r="BD6" t="s">
        <v>43</v>
      </c>
      <c r="BE6">
        <v>1000.0</v>
      </c>
      <c r="BF6">
        <v>1000.0</v>
      </c>
      <c r="BJ6">
        <v>100.0</v>
      </c>
      <c r="BK6">
        <v>0.0</v>
      </c>
      <c r="BL6" t="s">
        <v>27</v>
      </c>
      <c r="BM6" t="s">
        <v>36</v>
      </c>
      <c r="BO6" t="s">
        <v>44</v>
      </c>
      <c r="BP6">
        <v>0.0</v>
      </c>
      <c r="BQ6">
        <v>0.0</v>
      </c>
      <c r="BR6">
        <v>6.0E-4</v>
      </c>
      <c r="BS6" t="s">
        <v>45</v>
      </c>
      <c r="BT6" t="s">
        <v>16</v>
      </c>
      <c r="BU6">
        <v>3.0</v>
      </c>
      <c r="BV6">
        <v>0.0</v>
      </c>
      <c r="BW6">
        <v>14.0006</v>
      </c>
      <c r="BX6">
        <v>0.0</v>
      </c>
      <c r="CF6" t="s">
        <v>46</v>
      </c>
      <c r="CG6">
        <v>2.0</v>
      </c>
      <c r="CH6" t="s">
        <v>12</v>
      </c>
      <c r="CI6" t="s">
        <v>44</v>
      </c>
      <c r="CJ6">
        <v>0.0</v>
      </c>
      <c r="CK6" t="s">
        <v>47</v>
      </c>
      <c r="CL6">
        <v>1.0</v>
      </c>
      <c r="CM6" t="s">
        <v>16</v>
      </c>
      <c r="CN6" t="s">
        <v>48</v>
      </c>
      <c r="CO6" t="s">
        <v>38</v>
      </c>
      <c r="CP6" t="s">
        <v>49</v>
      </c>
      <c r="CW6">
        <v>0.0</v>
      </c>
      <c r="CX6" t="s">
        <v>50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27</v>
      </c>
      <c r="B7" s="8" t="s">
        <v>51</v>
      </c>
      <c r="C7" s="8" t="s">
        <v>28</v>
      </c>
      <c r="D7" s="8">
        <v>0.0</v>
      </c>
      <c r="E7" s="8">
        <v>100.0</v>
      </c>
      <c r="F7" s="8" t="s">
        <v>29</v>
      </c>
      <c r="G7" s="8" t="s">
        <v>30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31</v>
      </c>
      <c r="N7" s="8" t="s">
        <v>32</v>
      </c>
      <c r="O7" s="8" t="s">
        <v>33</v>
      </c>
      <c r="Q7">
        <v>3.0</v>
      </c>
      <c r="R7">
        <v>0.0</v>
      </c>
      <c r="S7" t="s">
        <v>34</v>
      </c>
      <c r="T7">
        <v>0.0</v>
      </c>
      <c r="U7">
        <v>0.0</v>
      </c>
      <c r="V7" t="s">
        <v>35</v>
      </c>
      <c r="W7">
        <v>1.0</v>
      </c>
      <c r="X7">
        <v>0.0</v>
      </c>
      <c r="Y7" t="s">
        <v>27</v>
      </c>
      <c r="Z7" t="s">
        <v>36</v>
      </c>
      <c r="AA7" t="s">
        <v>16</v>
      </c>
      <c r="AB7">
        <v>1.0</v>
      </c>
      <c r="AC7" t="s">
        <v>37</v>
      </c>
      <c r="AD7" t="s">
        <v>38</v>
      </c>
      <c r="AE7">
        <v>100.0</v>
      </c>
      <c r="AF7" t="s">
        <v>27</v>
      </c>
      <c r="AH7" t="s">
        <v>39</v>
      </c>
      <c r="AI7">
        <v>1.0</v>
      </c>
      <c r="AJ7" t="s">
        <v>40</v>
      </c>
      <c r="AM7" t="s">
        <v>41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42</v>
      </c>
      <c r="AZ7">
        <v>0.0</v>
      </c>
      <c r="BC7">
        <v>0.0</v>
      </c>
      <c r="BD7" t="s">
        <v>43</v>
      </c>
      <c r="BE7">
        <v>1000.0</v>
      </c>
      <c r="BF7">
        <v>1000.0</v>
      </c>
      <c r="BJ7">
        <v>100.0</v>
      </c>
      <c r="BK7">
        <v>0.0</v>
      </c>
      <c r="BL7" t="s">
        <v>27</v>
      </c>
      <c r="BM7" t="s">
        <v>36</v>
      </c>
      <c r="BO7" t="s">
        <v>44</v>
      </c>
      <c r="BP7">
        <v>0.0</v>
      </c>
      <c r="BQ7">
        <v>0.0</v>
      </c>
      <c r="BR7">
        <v>6.0E-4</v>
      </c>
      <c r="BS7" t="s">
        <v>45</v>
      </c>
      <c r="BT7" t="s">
        <v>16</v>
      </c>
      <c r="BU7">
        <v>3.0</v>
      </c>
      <c r="BV7">
        <v>0.0</v>
      </c>
      <c r="BW7">
        <v>14.0006</v>
      </c>
      <c r="BX7">
        <v>0.0</v>
      </c>
      <c r="CF7" t="s">
        <v>46</v>
      </c>
      <c r="CG7">
        <v>2.0</v>
      </c>
      <c r="CH7" t="s">
        <v>12</v>
      </c>
      <c r="CI7" t="s">
        <v>44</v>
      </c>
      <c r="CJ7">
        <v>0.0</v>
      </c>
      <c r="CK7" t="s">
        <v>47</v>
      </c>
      <c r="CL7">
        <v>1.0</v>
      </c>
      <c r="CM7" t="s">
        <v>16</v>
      </c>
      <c r="CN7" t="s">
        <v>48</v>
      </c>
      <c r="CO7" t="s">
        <v>38</v>
      </c>
      <c r="CP7" t="s">
        <v>49</v>
      </c>
      <c r="CW7">
        <v>0.0</v>
      </c>
      <c r="CX7" t="s">
        <v>52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IFERROR(__xludf.DUMMYFUNCTION("""COMPUTED_VALUE"""),"FilterTabName")</f>
        <v>FilterTabName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IFERROR(__xludf.DUMMYFUNCTION("""COMPUTED_VALUE"""),"Account")</f>
        <v>Account</v>
      </c>
      <c r="H5" s="28" t="str">
        <f>IFERROR(__xludf.DUMMYFUNCTION("""COMPUTED_VALUE"""),"Broker")</f>
        <v>Broker</v>
      </c>
      <c r="I5" s="28" t="str">
        <f>IFERROR(__xludf.DUMMYFUNCTION("""COMPUTED_VALUE"""),"Currency")</f>
        <v>Currency</v>
      </c>
      <c r="J5" s="28" t="str">
        <f>IFERROR(__xludf.DUMMYFUNCTION("""COMPUTED_VALUE"""),"Exchange")</f>
        <v>Exchange</v>
      </c>
      <c r="K5" s="28" t="str">
        <f>IFERROR(__xludf.DUMMYFUNCTION("""COMPUTED_VALUE"""),"StrategyName")</f>
        <v>StrategyName</v>
      </c>
      <c r="L5" s="28" t="str">
        <f>IFERROR(__xludf.DUMMYFUNCTION("""COMPUTED_VALUE"""),"Underlying")</f>
        <v>Underlying</v>
      </c>
      <c r="M5" s="28" t="str">
        <f>IFERROR(__xludf.DUMMYFUNCTION("""COMPUTED_VALUE"""),"Venue")</f>
        <v>Venue</v>
      </c>
      <c r="N5" s="28" t="str">
        <f>IFERROR(__xludf.DUMMYFUNCTION("""COMPUTED_VALUE"""),"TradingAccount")</f>
        <v>TradingAccount</v>
      </c>
      <c r="O5" s="28" t="str">
        <f>IFERROR(__xludf.DUMMYFUNCTION("""COMPUTED_VALUE"""),"PreAllocated")</f>
        <v>PreAllocated</v>
      </c>
      <c r="P5" s="28" t="str">
        <f>IFERROR(__xludf.DUMMYFUNCTION("""COMPUTED_VALUE"""),"ManualGroup")</f>
        <v>ManualGroup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13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ApplyPrefetchFilters1!$4:$4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27</v>
      </c>
      <c r="B6" s="32" t="s">
        <v>51</v>
      </c>
      <c r="C6" s="8" t="s">
        <v>28</v>
      </c>
      <c r="D6" s="32">
        <v>0.0</v>
      </c>
      <c r="E6" s="8">
        <v>100.0</v>
      </c>
      <c r="F6" s="8" t="s">
        <v>29</v>
      </c>
      <c r="G6" s="8" t="s">
        <v>30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31</v>
      </c>
      <c r="N6" s="8" t="s">
        <v>32</v>
      </c>
      <c r="O6" s="8" t="s">
        <v>33</v>
      </c>
      <c r="Q6">
        <v>3.0</v>
      </c>
      <c r="R6">
        <v>0.0</v>
      </c>
      <c r="S6" t="s">
        <v>34</v>
      </c>
      <c r="T6">
        <v>0.0</v>
      </c>
      <c r="U6">
        <v>0.0</v>
      </c>
      <c r="V6" t="s">
        <v>35</v>
      </c>
      <c r="W6">
        <v>1.0</v>
      </c>
      <c r="X6">
        <v>0.0</v>
      </c>
      <c r="Y6" t="s">
        <v>27</v>
      </c>
      <c r="Z6" t="s">
        <v>36</v>
      </c>
      <c r="AA6" t="s">
        <v>16</v>
      </c>
      <c r="AB6">
        <v>1.0</v>
      </c>
      <c r="AC6" t="s">
        <v>37</v>
      </c>
      <c r="AD6" t="s">
        <v>38</v>
      </c>
      <c r="AE6">
        <v>100.0</v>
      </c>
      <c r="AF6" t="s">
        <v>27</v>
      </c>
      <c r="AH6" t="s">
        <v>39</v>
      </c>
      <c r="AI6">
        <v>1.0</v>
      </c>
      <c r="AJ6" t="s">
        <v>40</v>
      </c>
      <c r="AM6" t="s">
        <v>41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42</v>
      </c>
      <c r="AZ6">
        <v>0.0</v>
      </c>
      <c r="BC6">
        <v>0.0</v>
      </c>
      <c r="BD6" t="s">
        <v>43</v>
      </c>
      <c r="BE6">
        <v>1000.0</v>
      </c>
      <c r="BF6">
        <v>1000.0</v>
      </c>
      <c r="BJ6">
        <v>100.0</v>
      </c>
      <c r="BK6">
        <v>0.0</v>
      </c>
      <c r="BL6" t="s">
        <v>27</v>
      </c>
      <c r="BM6" t="s">
        <v>36</v>
      </c>
      <c r="BO6" t="s">
        <v>44</v>
      </c>
      <c r="BP6">
        <v>0.0</v>
      </c>
      <c r="BQ6">
        <v>0.0</v>
      </c>
      <c r="BR6">
        <v>6.0E-4</v>
      </c>
      <c r="BS6" t="s">
        <v>45</v>
      </c>
      <c r="BT6" t="s">
        <v>16</v>
      </c>
      <c r="BU6">
        <v>3.0</v>
      </c>
      <c r="BV6">
        <v>0.0</v>
      </c>
      <c r="BW6">
        <v>14.0006</v>
      </c>
      <c r="BX6">
        <v>0.0</v>
      </c>
      <c r="CF6" t="s">
        <v>46</v>
      </c>
      <c r="CG6">
        <v>2.0</v>
      </c>
      <c r="CH6" t="s">
        <v>12</v>
      </c>
      <c r="CI6" t="s">
        <v>44</v>
      </c>
      <c r="CJ6">
        <v>0.0</v>
      </c>
      <c r="CK6" t="s">
        <v>47</v>
      </c>
      <c r="CL6">
        <v>1.0</v>
      </c>
      <c r="CM6" t="s">
        <v>16</v>
      </c>
      <c r="CN6" t="s">
        <v>48</v>
      </c>
      <c r="CO6" t="s">
        <v>38</v>
      </c>
      <c r="CP6" t="s">
        <v>49</v>
      </c>
      <c r="CW6">
        <v>0.0</v>
      </c>
      <c r="CX6" t="s">
        <v>52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27</v>
      </c>
      <c r="B7" s="8" t="s">
        <v>51</v>
      </c>
      <c r="C7" s="8" t="s">
        <v>28</v>
      </c>
      <c r="D7" s="8">
        <v>0.0</v>
      </c>
      <c r="E7" s="8">
        <v>100.0</v>
      </c>
      <c r="F7" s="8" t="s">
        <v>29</v>
      </c>
      <c r="G7" s="8" t="s">
        <v>30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53</v>
      </c>
      <c r="N7" s="8" t="s">
        <v>32</v>
      </c>
      <c r="O7" s="8" t="s">
        <v>33</v>
      </c>
      <c r="Q7">
        <v>3.0</v>
      </c>
      <c r="R7">
        <v>0.0</v>
      </c>
      <c r="S7" t="s">
        <v>34</v>
      </c>
      <c r="T7">
        <v>0.0</v>
      </c>
      <c r="U7">
        <v>0.0</v>
      </c>
      <c r="V7" t="s">
        <v>54</v>
      </c>
      <c r="W7">
        <v>1.0</v>
      </c>
      <c r="X7">
        <v>0.0</v>
      </c>
      <c r="Y7" t="s">
        <v>27</v>
      </c>
      <c r="Z7" t="s">
        <v>36</v>
      </c>
      <c r="AA7">
        <v>5.94918104E8</v>
      </c>
      <c r="AB7">
        <v>1.0</v>
      </c>
      <c r="AC7" t="s">
        <v>37</v>
      </c>
      <c r="AD7" t="s">
        <v>38</v>
      </c>
      <c r="AE7">
        <v>100.0</v>
      </c>
      <c r="AF7" t="s">
        <v>27</v>
      </c>
      <c r="AH7" t="s">
        <v>39</v>
      </c>
      <c r="AI7">
        <v>1.0</v>
      </c>
      <c r="AJ7" t="s">
        <v>40</v>
      </c>
      <c r="AM7" t="s">
        <v>41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42</v>
      </c>
      <c r="AZ7">
        <v>0.0</v>
      </c>
      <c r="BC7">
        <v>0.0</v>
      </c>
      <c r="BD7" t="s">
        <v>43</v>
      </c>
      <c r="BE7">
        <v>1000.0</v>
      </c>
      <c r="BF7">
        <v>1000.0</v>
      </c>
      <c r="BJ7">
        <v>100.0</v>
      </c>
      <c r="BK7">
        <v>0.0</v>
      </c>
      <c r="BL7" t="s">
        <v>27</v>
      </c>
      <c r="BM7" t="s">
        <v>36</v>
      </c>
      <c r="BO7" t="s">
        <v>44</v>
      </c>
      <c r="BP7">
        <v>0.0</v>
      </c>
      <c r="BQ7">
        <v>0.0</v>
      </c>
      <c r="BR7">
        <v>6.0E-4</v>
      </c>
      <c r="BS7" t="s">
        <v>45</v>
      </c>
      <c r="BT7" t="s">
        <v>19</v>
      </c>
      <c r="BU7">
        <v>3.0</v>
      </c>
      <c r="BV7">
        <v>0.0</v>
      </c>
      <c r="BW7">
        <v>14.0006</v>
      </c>
      <c r="BX7">
        <v>0.0</v>
      </c>
      <c r="CF7" t="s">
        <v>46</v>
      </c>
      <c r="CG7">
        <v>2.0</v>
      </c>
      <c r="CH7" t="s">
        <v>12</v>
      </c>
      <c r="CI7" t="s">
        <v>44</v>
      </c>
      <c r="CJ7">
        <v>0.0</v>
      </c>
      <c r="CK7" t="s">
        <v>47</v>
      </c>
      <c r="CL7">
        <v>1.0</v>
      </c>
      <c r="CM7" t="s">
        <v>19</v>
      </c>
      <c r="CN7" t="s">
        <v>48</v>
      </c>
      <c r="CO7" t="s">
        <v>38</v>
      </c>
      <c r="CP7" t="s">
        <v>49</v>
      </c>
      <c r="CW7">
        <v>0.0</v>
      </c>
      <c r="CX7" t="s">
        <v>52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27</v>
      </c>
      <c r="B6" s="32" t="s">
        <v>27</v>
      </c>
      <c r="C6" s="8">
        <v>0.0</v>
      </c>
      <c r="D6" s="32">
        <v>0.0</v>
      </c>
      <c r="E6" s="8"/>
      <c r="F6" s="8" t="s">
        <v>30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/>
      <c r="M6" s="8" t="s">
        <v>27</v>
      </c>
      <c r="N6" s="8" t="s">
        <v>33</v>
      </c>
      <c r="O6" s="8"/>
      <c r="P6">
        <v>3.0</v>
      </c>
      <c r="Q6">
        <v>0.0</v>
      </c>
      <c r="R6" t="s">
        <v>49</v>
      </c>
      <c r="S6" t="s">
        <v>34</v>
      </c>
      <c r="T6">
        <v>0.0</v>
      </c>
      <c r="U6">
        <v>0.0</v>
      </c>
      <c r="V6" t="s">
        <v>56</v>
      </c>
      <c r="W6">
        <v>1.0</v>
      </c>
      <c r="X6" t="s">
        <v>27</v>
      </c>
      <c r="Y6" t="s">
        <v>27</v>
      </c>
      <c r="Z6" t="s">
        <v>36</v>
      </c>
      <c r="AB6">
        <v>1.0</v>
      </c>
      <c r="AC6" t="s">
        <v>37</v>
      </c>
      <c r="AD6" t="s">
        <v>38</v>
      </c>
      <c r="AE6">
        <v>100.0</v>
      </c>
      <c r="AG6" t="s">
        <v>39</v>
      </c>
      <c r="AH6">
        <v>1.0</v>
      </c>
      <c r="AI6" t="s">
        <v>40</v>
      </c>
      <c r="AM6" t="s">
        <v>41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985.9994</v>
      </c>
      <c r="AU6">
        <v>985.9994</v>
      </c>
      <c r="AW6">
        <v>0.0</v>
      </c>
      <c r="AX6">
        <v>0.0</v>
      </c>
      <c r="AY6" t="s">
        <v>42</v>
      </c>
      <c r="AZ6">
        <v>0.0</v>
      </c>
      <c r="BC6">
        <v>0.0</v>
      </c>
      <c r="BD6" t="s">
        <v>43</v>
      </c>
      <c r="BE6">
        <v>1000.0</v>
      </c>
      <c r="BF6">
        <v>1000.0</v>
      </c>
      <c r="BJ6">
        <v>100.0</v>
      </c>
      <c r="BK6">
        <v>0.0</v>
      </c>
      <c r="BL6" t="s">
        <v>27</v>
      </c>
      <c r="BM6" t="s">
        <v>36</v>
      </c>
      <c r="BO6" t="s">
        <v>22</v>
      </c>
      <c r="BP6">
        <v>0.0</v>
      </c>
      <c r="BQ6">
        <v>0.0</v>
      </c>
      <c r="BR6">
        <v>6.0E-4</v>
      </c>
      <c r="BS6" t="s">
        <v>20</v>
      </c>
      <c r="BT6">
        <v>3.0</v>
      </c>
      <c r="BU6">
        <v>0.0</v>
      </c>
      <c r="BV6">
        <v>14.0006</v>
      </c>
      <c r="BW6">
        <v>0.0</v>
      </c>
      <c r="CE6" t="s">
        <v>46</v>
      </c>
      <c r="CF6">
        <v>2.0</v>
      </c>
      <c r="CG6" t="s">
        <v>12</v>
      </c>
      <c r="CH6" t="s">
        <v>22</v>
      </c>
      <c r="CI6">
        <v>100.0</v>
      </c>
      <c r="CJ6" t="s">
        <v>47</v>
      </c>
      <c r="CK6">
        <v>1.0</v>
      </c>
      <c r="CL6" t="s">
        <v>20</v>
      </c>
      <c r="CM6" t="s">
        <v>48</v>
      </c>
      <c r="CN6" t="s">
        <v>38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IFERROR(__xludf.DUMMYFUNCTION("""COMPUTED_VALUE"""),"FilterTabName")</f>
        <v>FilterTabName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IFERROR(__xludf.DUMMYFUNCTION("""COMPUTED_VALUE"""),"Account")</f>
        <v>Account</v>
      </c>
      <c r="H5" s="28" t="str">
        <f>IFERROR(__xludf.DUMMYFUNCTION("""COMPUTED_VALUE"""),"Broker")</f>
        <v>Broker</v>
      </c>
      <c r="I5" s="28" t="str">
        <f>IFERROR(__xludf.DUMMYFUNCTION("""COMPUTED_VALUE"""),"Currency")</f>
        <v>Currency</v>
      </c>
      <c r="J5" s="28" t="str">
        <f>IFERROR(__xludf.DUMMYFUNCTION("""COMPUTED_VALUE"""),"Exchange")</f>
        <v>Exchange</v>
      </c>
      <c r="K5" s="28" t="str">
        <f>IFERROR(__xludf.DUMMYFUNCTION("""COMPUTED_VALUE"""),"StrategyName")</f>
        <v>StrategyName</v>
      </c>
      <c r="L5" s="28" t="str">
        <f>IFERROR(__xludf.DUMMYFUNCTION("""COMPUTED_VALUE"""),"Underlying")</f>
        <v>Underlying</v>
      </c>
      <c r="M5" s="28" t="str">
        <f>IFERROR(__xludf.DUMMYFUNCTION("""COMPUTED_VALUE"""),"Venue")</f>
        <v>Venue</v>
      </c>
      <c r="N5" s="28" t="str">
        <f>IFERROR(__xludf.DUMMYFUNCTION("""COMPUTED_VALUE"""),"TradingAccount")</f>
        <v>TradingAccount</v>
      </c>
      <c r="O5" s="28" t="str">
        <f>IFERROR(__xludf.DUMMYFUNCTION("""COMPUTED_VALUE"""),"PreAllocated")</f>
        <v>PreAllocated</v>
      </c>
      <c r="P5" s="28" t="str">
        <f>IFERROR(__xludf.DUMMYFUNCTION("""COMPUTED_VALUE"""),"ManualGroup")</f>
        <v>ManualGroup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13" t="s">
        <v>22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ApplyPrefetchFilters2!$4:$4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27</v>
      </c>
      <c r="B6" s="32" t="s">
        <v>51</v>
      </c>
      <c r="C6" s="8" t="s">
        <v>28</v>
      </c>
      <c r="D6" s="32">
        <v>0.0</v>
      </c>
      <c r="E6" s="8">
        <v>100.0</v>
      </c>
      <c r="F6" s="8" t="s">
        <v>29</v>
      </c>
      <c r="G6" s="8" t="s">
        <v>30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31</v>
      </c>
      <c r="N6" s="8" t="s">
        <v>32</v>
      </c>
      <c r="O6" s="8" t="s">
        <v>33</v>
      </c>
      <c r="Q6">
        <v>3.0</v>
      </c>
      <c r="R6">
        <v>0.0</v>
      </c>
      <c r="S6" t="s">
        <v>34</v>
      </c>
      <c r="T6">
        <v>0.0</v>
      </c>
      <c r="U6">
        <v>0.0</v>
      </c>
      <c r="V6" t="s">
        <v>35</v>
      </c>
      <c r="W6">
        <v>1.0</v>
      </c>
      <c r="X6">
        <v>0.0</v>
      </c>
      <c r="Y6" t="s">
        <v>27</v>
      </c>
      <c r="Z6" t="s">
        <v>36</v>
      </c>
      <c r="AA6" t="s">
        <v>16</v>
      </c>
      <c r="AB6">
        <v>1.0</v>
      </c>
      <c r="AC6" t="s">
        <v>37</v>
      </c>
      <c r="AD6" t="s">
        <v>38</v>
      </c>
      <c r="AE6">
        <v>100.0</v>
      </c>
      <c r="AF6" t="s">
        <v>27</v>
      </c>
      <c r="AH6" t="s">
        <v>39</v>
      </c>
      <c r="AI6">
        <v>1.0</v>
      </c>
      <c r="AJ6" t="s">
        <v>40</v>
      </c>
      <c r="AM6" t="s">
        <v>41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42</v>
      </c>
      <c r="AZ6">
        <v>0.0</v>
      </c>
      <c r="BC6">
        <v>0.0</v>
      </c>
      <c r="BD6" t="s">
        <v>43</v>
      </c>
      <c r="BE6">
        <v>1000.0</v>
      </c>
      <c r="BF6">
        <v>1000.0</v>
      </c>
      <c r="BJ6">
        <v>100.0</v>
      </c>
      <c r="BK6">
        <v>0.0</v>
      </c>
      <c r="BL6" t="s">
        <v>27</v>
      </c>
      <c r="BM6" t="s">
        <v>36</v>
      </c>
      <c r="BO6" t="s">
        <v>44</v>
      </c>
      <c r="BP6">
        <v>0.0</v>
      </c>
      <c r="BQ6">
        <v>0.0</v>
      </c>
      <c r="BR6">
        <v>6.0E-4</v>
      </c>
      <c r="BS6" t="s">
        <v>45</v>
      </c>
      <c r="BT6" t="s">
        <v>16</v>
      </c>
      <c r="BU6">
        <v>3.0</v>
      </c>
      <c r="BV6">
        <v>0.0</v>
      </c>
      <c r="BW6">
        <v>14.0006</v>
      </c>
      <c r="BX6">
        <v>0.0</v>
      </c>
      <c r="CF6" t="s">
        <v>46</v>
      </c>
      <c r="CG6">
        <v>2.0</v>
      </c>
      <c r="CH6" t="s">
        <v>12</v>
      </c>
      <c r="CI6" t="s">
        <v>44</v>
      </c>
      <c r="CJ6">
        <v>0.0</v>
      </c>
      <c r="CK6" t="s">
        <v>47</v>
      </c>
      <c r="CL6">
        <v>1.0</v>
      </c>
      <c r="CM6" t="s">
        <v>16</v>
      </c>
      <c r="CN6" t="s">
        <v>48</v>
      </c>
      <c r="CO6" t="s">
        <v>38</v>
      </c>
      <c r="CP6" t="s">
        <v>49</v>
      </c>
      <c r="CS6" t="s">
        <v>27</v>
      </c>
      <c r="CW6">
        <v>0.0</v>
      </c>
      <c r="CX6" t="s">
        <v>52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27</v>
      </c>
      <c r="B7" s="8" t="s">
        <v>18</v>
      </c>
      <c r="C7" s="8" t="s">
        <v>28</v>
      </c>
      <c r="D7" s="8">
        <v>0.0</v>
      </c>
      <c r="E7" s="8">
        <v>100.0</v>
      </c>
      <c r="F7" s="8" t="s">
        <v>29</v>
      </c>
      <c r="G7" s="8" t="s">
        <v>30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31</v>
      </c>
      <c r="N7" s="8" t="s">
        <v>32</v>
      </c>
      <c r="O7" s="8" t="s">
        <v>33</v>
      </c>
      <c r="Q7">
        <v>3.0</v>
      </c>
      <c r="R7">
        <v>0.0</v>
      </c>
      <c r="S7" t="s">
        <v>34</v>
      </c>
      <c r="T7">
        <v>0.0</v>
      </c>
      <c r="U7">
        <v>0.0</v>
      </c>
      <c r="V7" t="s">
        <v>35</v>
      </c>
      <c r="W7">
        <v>1.0</v>
      </c>
      <c r="X7">
        <v>0.0</v>
      </c>
      <c r="Y7" t="s">
        <v>27</v>
      </c>
      <c r="Z7" t="s">
        <v>36</v>
      </c>
      <c r="AA7" t="s">
        <v>16</v>
      </c>
      <c r="AB7">
        <v>1.0</v>
      </c>
      <c r="AC7" t="s">
        <v>37</v>
      </c>
      <c r="AD7" t="s">
        <v>38</v>
      </c>
      <c r="AE7">
        <v>100.0</v>
      </c>
      <c r="AF7" t="s">
        <v>27</v>
      </c>
      <c r="AH7" t="s">
        <v>39</v>
      </c>
      <c r="AI7">
        <v>1.0</v>
      </c>
      <c r="AJ7" t="s">
        <v>40</v>
      </c>
      <c r="AM7" t="s">
        <v>41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W7">
        <v>0.0</v>
      </c>
      <c r="AX7">
        <v>0.0</v>
      </c>
      <c r="AY7" t="s">
        <v>42</v>
      </c>
      <c r="AZ7">
        <v>0.0</v>
      </c>
      <c r="BC7">
        <v>0.0</v>
      </c>
      <c r="BD7" t="s">
        <v>43</v>
      </c>
      <c r="BE7">
        <v>1000.0</v>
      </c>
      <c r="BF7">
        <v>1000.0</v>
      </c>
      <c r="BJ7">
        <v>100.0</v>
      </c>
      <c r="BK7">
        <v>0.0</v>
      </c>
      <c r="BL7" t="s">
        <v>27</v>
      </c>
      <c r="BM7" t="s">
        <v>36</v>
      </c>
      <c r="BO7" t="s">
        <v>44</v>
      </c>
      <c r="BP7">
        <v>0.0</v>
      </c>
      <c r="BQ7">
        <v>0.0</v>
      </c>
      <c r="BR7">
        <v>6.0E-4</v>
      </c>
      <c r="BS7" t="s">
        <v>45</v>
      </c>
      <c r="BT7" t="s">
        <v>16</v>
      </c>
      <c r="BU7">
        <v>3.0</v>
      </c>
      <c r="BV7">
        <v>0.0</v>
      </c>
      <c r="BW7">
        <v>14.0006</v>
      </c>
      <c r="BX7">
        <v>0.0</v>
      </c>
      <c r="CF7" t="s">
        <v>46</v>
      </c>
      <c r="CG7">
        <v>2.0</v>
      </c>
      <c r="CH7" t="s">
        <v>12</v>
      </c>
      <c r="CI7" t="s">
        <v>44</v>
      </c>
      <c r="CJ7">
        <v>0.0</v>
      </c>
      <c r="CK7" t="s">
        <v>47</v>
      </c>
      <c r="CL7">
        <v>1.0</v>
      </c>
      <c r="CM7" t="s">
        <v>16</v>
      </c>
      <c r="CN7" t="s">
        <v>48</v>
      </c>
      <c r="CO7" t="s">
        <v>38</v>
      </c>
      <c r="CP7" t="s">
        <v>49</v>
      </c>
      <c r="CS7" t="s">
        <v>27</v>
      </c>
      <c r="CW7">
        <v>0.0</v>
      </c>
      <c r="CX7" t="s">
        <v>50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27</v>
      </c>
      <c r="B8" s="8" t="s">
        <v>51</v>
      </c>
      <c r="C8" s="8" t="s">
        <v>28</v>
      </c>
      <c r="D8" s="8">
        <v>0.0</v>
      </c>
      <c r="E8" s="8">
        <v>100.0</v>
      </c>
      <c r="F8" s="8" t="s">
        <v>29</v>
      </c>
      <c r="G8" s="8" t="s">
        <v>30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53</v>
      </c>
      <c r="N8" s="8" t="s">
        <v>32</v>
      </c>
      <c r="O8" s="8" t="s">
        <v>33</v>
      </c>
      <c r="Q8">
        <v>3.0</v>
      </c>
      <c r="R8">
        <v>0.0</v>
      </c>
      <c r="S8" t="s">
        <v>34</v>
      </c>
      <c r="T8">
        <v>0.0</v>
      </c>
      <c r="U8">
        <v>0.0</v>
      </c>
      <c r="V8" t="s">
        <v>54</v>
      </c>
      <c r="W8">
        <v>1.0</v>
      </c>
      <c r="X8">
        <v>0.0</v>
      </c>
      <c r="Y8" t="s">
        <v>27</v>
      </c>
      <c r="Z8" t="s">
        <v>36</v>
      </c>
      <c r="AA8">
        <v>5.94918104E8</v>
      </c>
      <c r="AB8">
        <v>1.0</v>
      </c>
      <c r="AC8" t="s">
        <v>37</v>
      </c>
      <c r="AD8" t="s">
        <v>38</v>
      </c>
      <c r="AE8">
        <v>100.0</v>
      </c>
      <c r="AF8" t="s">
        <v>27</v>
      </c>
      <c r="AH8" t="s">
        <v>39</v>
      </c>
      <c r="AI8">
        <v>1.0</v>
      </c>
      <c r="AJ8" t="s">
        <v>40</v>
      </c>
      <c r="AM8" t="s">
        <v>41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1014.0006</v>
      </c>
      <c r="AU8">
        <v>1014.0006</v>
      </c>
      <c r="AW8">
        <v>0.0</v>
      </c>
      <c r="AX8">
        <v>0.0</v>
      </c>
      <c r="AY8" t="s">
        <v>42</v>
      </c>
      <c r="AZ8">
        <v>0.0</v>
      </c>
      <c r="BC8">
        <v>0.0</v>
      </c>
      <c r="BD8" t="s">
        <v>43</v>
      </c>
      <c r="BE8">
        <v>1000.0</v>
      </c>
      <c r="BF8">
        <v>1000.0</v>
      </c>
      <c r="BJ8">
        <v>100.0</v>
      </c>
      <c r="BK8">
        <v>0.0</v>
      </c>
      <c r="BL8" t="s">
        <v>27</v>
      </c>
      <c r="BM8" t="s">
        <v>36</v>
      </c>
      <c r="BO8" t="s">
        <v>44</v>
      </c>
      <c r="BP8">
        <v>0.0</v>
      </c>
      <c r="BQ8">
        <v>0.0</v>
      </c>
      <c r="BR8">
        <v>6.0E-4</v>
      </c>
      <c r="BS8" t="s">
        <v>45</v>
      </c>
      <c r="BT8" t="s">
        <v>19</v>
      </c>
      <c r="BU8">
        <v>3.0</v>
      </c>
      <c r="BV8">
        <v>0.0</v>
      </c>
      <c r="BW8">
        <v>14.0006</v>
      </c>
      <c r="BX8">
        <v>0.0</v>
      </c>
      <c r="CF8" t="s">
        <v>46</v>
      </c>
      <c r="CG8">
        <v>2.0</v>
      </c>
      <c r="CH8" t="s">
        <v>12</v>
      </c>
      <c r="CI8" t="s">
        <v>44</v>
      </c>
      <c r="CJ8">
        <v>0.0</v>
      </c>
      <c r="CK8" t="s">
        <v>47</v>
      </c>
      <c r="CL8">
        <v>1.0</v>
      </c>
      <c r="CM8" t="s">
        <v>19</v>
      </c>
      <c r="CN8" t="s">
        <v>48</v>
      </c>
      <c r="CO8" t="s">
        <v>38</v>
      </c>
      <c r="CP8" t="s">
        <v>49</v>
      </c>
      <c r="CS8" t="s">
        <v>27</v>
      </c>
      <c r="CW8">
        <v>0.0</v>
      </c>
      <c r="CX8" t="s">
        <v>52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27</v>
      </c>
      <c r="B9" s="8" t="s">
        <v>18</v>
      </c>
      <c r="C9" s="8" t="s">
        <v>28</v>
      </c>
      <c r="D9" s="8">
        <v>0.0</v>
      </c>
      <c r="E9" s="8">
        <v>100.0</v>
      </c>
      <c r="F9" s="8" t="s">
        <v>29</v>
      </c>
      <c r="G9" s="8" t="s">
        <v>30</v>
      </c>
      <c r="H9" s="8">
        <v>4.0</v>
      </c>
      <c r="I9" s="8">
        <v>5.0</v>
      </c>
      <c r="J9" s="8">
        <v>1.0</v>
      </c>
      <c r="K9" s="8">
        <v>10.0</v>
      </c>
      <c r="L9" s="8">
        <v>10.0</v>
      </c>
      <c r="M9" s="8" t="s">
        <v>53</v>
      </c>
      <c r="N9" s="8" t="s">
        <v>32</v>
      </c>
      <c r="O9" s="8" t="s">
        <v>33</v>
      </c>
      <c r="Q9">
        <v>3.0</v>
      </c>
      <c r="R9">
        <v>0.0</v>
      </c>
      <c r="S9" t="s">
        <v>34</v>
      </c>
      <c r="T9">
        <v>0.0</v>
      </c>
      <c r="U9">
        <v>0.0</v>
      </c>
      <c r="V9" t="s">
        <v>54</v>
      </c>
      <c r="W9">
        <v>1.0</v>
      </c>
      <c r="X9">
        <v>0.0</v>
      </c>
      <c r="Y9" t="s">
        <v>27</v>
      </c>
      <c r="Z9" t="s">
        <v>36</v>
      </c>
      <c r="AA9">
        <v>5.94918104E8</v>
      </c>
      <c r="AB9">
        <v>1.0</v>
      </c>
      <c r="AC9" t="s">
        <v>37</v>
      </c>
      <c r="AD9" t="s">
        <v>38</v>
      </c>
      <c r="AE9">
        <v>100.0</v>
      </c>
      <c r="AF9" t="s">
        <v>27</v>
      </c>
      <c r="AH9" t="s">
        <v>39</v>
      </c>
      <c r="AI9">
        <v>1.0</v>
      </c>
      <c r="AJ9" t="s">
        <v>40</v>
      </c>
      <c r="AM9" t="s">
        <v>41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1014.0006</v>
      </c>
      <c r="AU9">
        <v>1014.0006</v>
      </c>
      <c r="AW9">
        <v>0.0</v>
      </c>
      <c r="AX9">
        <v>0.0</v>
      </c>
      <c r="AY9" t="s">
        <v>42</v>
      </c>
      <c r="AZ9">
        <v>0.0</v>
      </c>
      <c r="BC9">
        <v>0.0</v>
      </c>
      <c r="BD9" t="s">
        <v>43</v>
      </c>
      <c r="BE9">
        <v>1000.0</v>
      </c>
      <c r="BF9">
        <v>1000.0</v>
      </c>
      <c r="BJ9">
        <v>100.0</v>
      </c>
      <c r="BK9">
        <v>0.0</v>
      </c>
      <c r="BL9" t="s">
        <v>27</v>
      </c>
      <c r="BM9" t="s">
        <v>36</v>
      </c>
      <c r="BO9" t="s">
        <v>44</v>
      </c>
      <c r="BP9">
        <v>0.0</v>
      </c>
      <c r="BQ9">
        <v>0.0</v>
      </c>
      <c r="BR9">
        <v>6.0E-4</v>
      </c>
      <c r="BS9" t="s">
        <v>45</v>
      </c>
      <c r="BT9" t="s">
        <v>19</v>
      </c>
      <c r="BU9">
        <v>3.0</v>
      </c>
      <c r="BV9">
        <v>0.0</v>
      </c>
      <c r="BW9">
        <v>14.0006</v>
      </c>
      <c r="BX9">
        <v>0.0</v>
      </c>
      <c r="CF9" t="s">
        <v>46</v>
      </c>
      <c r="CG9">
        <v>2.0</v>
      </c>
      <c r="CH9" t="s">
        <v>12</v>
      </c>
      <c r="CI9" t="s">
        <v>44</v>
      </c>
      <c r="CJ9">
        <v>0.0</v>
      </c>
      <c r="CK9" t="s">
        <v>47</v>
      </c>
      <c r="CL9">
        <v>1.0</v>
      </c>
      <c r="CM9" t="s">
        <v>19</v>
      </c>
      <c r="CN9" t="s">
        <v>48</v>
      </c>
      <c r="CO9" t="s">
        <v>38</v>
      </c>
      <c r="CP9" t="s">
        <v>49</v>
      </c>
      <c r="CS9" t="s">
        <v>27</v>
      </c>
      <c r="CW9">
        <v>0.0</v>
      </c>
      <c r="CX9" t="s">
        <v>50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