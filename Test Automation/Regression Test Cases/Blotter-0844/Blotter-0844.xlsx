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TradeOnBlotter" sheetId="8" r:id="rId10"/>
    <sheet state="visible" name="AllocateFromBlotter" sheetId="9" r:id="rId11"/>
    <sheet state="visible" name="VerifySubOrder" sheetId="10" r:id="rId12"/>
    <sheet state="visible" name="GetDataAllocation" sheetId="11" r:id="rId13"/>
    <sheet state="visible" name="CheckAllocatedGroups" sheetId="12" r:id="rId14"/>
    <sheet state="visible" name="ChangeDate" sheetId="13" r:id="rId15"/>
    <sheet state="visible" name="RestartReleasesAndServices" sheetId="14" r:id="rId16"/>
    <sheet state="visible" name="ExecuteTrade1" sheetId="15" r:id="rId17"/>
    <sheet state="visible" name="SelectAllocatedGroup" sheetId="16" r:id="rId18"/>
    <sheet state="visible" name="EnterAccountValuesToAllocate" sheetId="17" r:id="rId19"/>
    <sheet state="visible" name="CheckAllocatedGroups1" sheetId="18" r:id="rId20"/>
    <sheet state="visible" name="ChangeDate1" sheetId="19" r:id="rId21"/>
    <sheet state="visible" name="ExecuteTrade2" sheetId="20" r:id="rId22"/>
    <sheet state="visible" name="CheckAllocatedGroups2" sheetId="21" r:id="rId23"/>
    <sheet state="visible" name="ExecuteTrade3" sheetId="22" r:id="rId24"/>
  </sheets>
  <definedNames/>
  <calcPr/>
</workbook>
</file>

<file path=xl/sharedStrings.xml><?xml version="1.0" encoding="utf-8"?>
<sst xmlns="http://schemas.openxmlformats.org/spreadsheetml/2006/main" count="538" uniqueCount="115">
  <si>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</si>
  <si>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</si>
  <si>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</si>
  <si>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</si>
  <si>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</si>
  <si>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</si>
  <si>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</si>
  <si>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</si>
  <si>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</si>
  <si>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</si>
  <si>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</si>
  <si>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</si>
  <si>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</si>
  <si>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</si>
  <si>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</si>
  <si>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</si>
  <si>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</si>
  <si>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</si>
  <si>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</si>
  <si>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</si>
  <si>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</si>
  <si>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</si>
  <si>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GTC</t>
  </si>
  <si>
    <t>Limit</t>
  </si>
  <si>
    <t>Simulator</t>
  </si>
  <si>
    <t>AcknowledgeTrade</t>
  </si>
  <si>
    <t>ExecuteTrade</t>
  </si>
  <si>
    <t>Blotter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</si>
  <si>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</si>
  <si>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</si>
  <si>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</si>
  <si>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</si>
  <si>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</si>
  <si>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</si>
  <si>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</si>
  <si>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</si>
  <si>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</si>
  <si>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</si>
  <si>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</si>
  <si>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</si>
  <si>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</si>
  <si>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</si>
  <si>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</si>
  <si>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</si>
  <si>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</si>
  <si>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</si>
  <si>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</si>
  <si>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</si>
  <si>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</si>
  <si>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</si>
  <si>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</si>
  <si>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</si>
  <si>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</si>
  <si>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</si>
  <si>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</si>
  <si>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</si>
  <si>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</si>
  <si>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</si>
  <si>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</si>
  <si>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</si>
  <si>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</si>
  <si>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</si>
  <si>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</si>
  <si>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</si>
  <si>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</si>
  <si>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</si>
  <si>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</si>
  <si>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</si>
  <si>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</si>
  <si>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</si>
  <si>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</si>
  <si>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</si>
  <si>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</si>
  <si>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</si>
  <si>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</si>
  <si>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</si>
  <si>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</si>
  <si>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</si>
  <si>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</si>
  <si>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</si>
  <si>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</si>
  <si>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</si>
  <si>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PartiallyFilled</t>
  </si>
  <si>
    <t>AllocateFromBlotter</t>
  </si>
  <si>
    <t>Allocation5</t>
  </si>
  <si>
    <t>VerifySubOrder</t>
  </si>
  <si>
    <t>NASDAQ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</si>
  <si>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</si>
  <si>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</si>
  <si>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</si>
  <si>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</si>
  <si>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</si>
  <si>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</si>
  <si>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</si>
  <si>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</si>
  <si>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</si>
  <si>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</si>
  <si>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</si>
  <si>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</si>
  <si>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</si>
  <si>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M</t>
  </si>
  <si>
    <t>Strategy Unallocated</t>
  </si>
  <si>
    <t>GCCAP1</t>
  </si>
  <si>
    <t>US</t>
  </si>
  <si>
    <t>jpearce</t>
  </si>
  <si>
    <t>NONE</t>
  </si>
  <si>
    <t>Admin</t>
  </si>
  <si>
    <t>ChangeDate</t>
  </si>
  <si>
    <t>Today()+1</t>
  </si>
  <si>
    <t>Compliance</t>
  </si>
  <si>
    <t>RestartReleasesAndServices</t>
  </si>
  <si>
    <t>SelectAllocatedGroup</t>
  </si>
  <si>
    <t>EnterAccountValuesToAllocate</t>
  </si>
  <si>
    <t>Allocation3</t>
  </si>
  <si>
    <t>Today()+2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</si>
</sst>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5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6">
        <v>5000.0</v>
      </c>
      <c r="D6" s="34"/>
      <c r="E6" s="37" t="s">
        <v>20</v>
      </c>
      <c r="F6" s="38"/>
      <c r="G6" s="38"/>
      <c r="H6" s="38"/>
      <c r="I6" s="38"/>
      <c r="J6" s="37" t="s">
        <v>21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9" t="s">
        <v>22</v>
      </c>
      <c r="V6" s="38" t="s">
        <v>23</v>
      </c>
      <c r="W6" s="38"/>
      <c r="X6" s="40">
        <v>315.95</v>
      </c>
      <c r="Y6" s="41"/>
      <c r="Z6" s="41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315.95</v>
      </c>
      <c r="C6" s="13">
        <v>2500.0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42" t="s">
        <v>29</v>
      </c>
      <c r="C5" s="42" t="s">
        <v>30</v>
      </c>
      <c r="D5" s="42" t="s">
        <v>31</v>
      </c>
      <c r="E5" s="42" t="s">
        <v>32</v>
      </c>
      <c r="F5" s="43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2" t="s">
        <v>38</v>
      </c>
      <c r="L5" s="42" t="s">
        <v>39</v>
      </c>
      <c r="M5" s="42" t="s">
        <v>40</v>
      </c>
      <c r="N5" s="42" t="s">
        <v>41</v>
      </c>
      <c r="O5" s="42" t="s">
        <v>42</v>
      </c>
      <c r="P5" s="42" t="s">
        <v>43</v>
      </c>
      <c r="Q5" s="42" t="s">
        <v>44</v>
      </c>
      <c r="R5" s="42" t="s">
        <v>45</v>
      </c>
      <c r="S5" s="42" t="s">
        <v>46</v>
      </c>
      <c r="T5" s="44" t="s">
        <v>47</v>
      </c>
      <c r="U5" s="44" t="s">
        <v>48</v>
      </c>
      <c r="V5" s="44" t="s">
        <v>49</v>
      </c>
      <c r="W5" s="44" t="s">
        <v>50</v>
      </c>
      <c r="X5" s="44" t="s">
        <v>51</v>
      </c>
      <c r="Y5" s="44" t="s">
        <v>52</v>
      </c>
      <c r="Z5" s="44" t="s">
        <v>53</v>
      </c>
      <c r="AA5" s="44" t="s">
        <v>54</v>
      </c>
      <c r="AB5" s="44" t="s">
        <v>55</v>
      </c>
      <c r="AC5" s="44" t="s">
        <v>56</v>
      </c>
      <c r="AD5" s="44" t="s">
        <v>57</v>
      </c>
      <c r="AE5" s="44" t="s">
        <v>58</v>
      </c>
      <c r="AF5" s="44" t="s">
        <v>59</v>
      </c>
      <c r="AG5" s="44" t="s">
        <v>60</v>
      </c>
      <c r="AH5" s="44" t="s">
        <v>61</v>
      </c>
      <c r="AI5" s="44" t="s">
        <v>62</v>
      </c>
      <c r="AJ5" s="44" t="s">
        <v>63</v>
      </c>
      <c r="AK5" s="44" t="s">
        <v>64</v>
      </c>
      <c r="AL5" s="44" t="s">
        <v>65</v>
      </c>
      <c r="AM5" s="44" t="s">
        <v>66</v>
      </c>
      <c r="AN5" s="44" t="s">
        <v>67</v>
      </c>
      <c r="AO5" s="44" t="s">
        <v>68</v>
      </c>
      <c r="AP5" s="44" t="s">
        <v>69</v>
      </c>
      <c r="AQ5" s="44" t="s">
        <v>70</v>
      </c>
      <c r="AR5" s="44" t="s">
        <v>71</v>
      </c>
      <c r="AS5" s="44" t="s">
        <v>72</v>
      </c>
      <c r="AT5" s="44" t="s">
        <v>73</v>
      </c>
      <c r="AU5" s="44" t="s">
        <v>74</v>
      </c>
      <c r="AV5" s="44" t="s">
        <v>75</v>
      </c>
      <c r="AW5" s="44" t="s">
        <v>76</v>
      </c>
      <c r="AX5" s="44" t="s">
        <v>77</v>
      </c>
      <c r="AY5" s="44" t="s">
        <v>78</v>
      </c>
      <c r="AZ5" s="44" t="s">
        <v>79</v>
      </c>
      <c r="BA5" s="44" t="s">
        <v>80</v>
      </c>
      <c r="BB5" s="44" t="s">
        <v>81</v>
      </c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 ht="15.75" customHeight="1">
      <c r="A6" s="13"/>
      <c r="B6" s="13"/>
      <c r="C6" s="8"/>
      <c r="D6" s="13" t="s">
        <v>19</v>
      </c>
      <c r="E6" s="33"/>
      <c r="F6" s="13" t="s">
        <v>21</v>
      </c>
      <c r="G6" s="13" t="s">
        <v>82</v>
      </c>
      <c r="H6" s="13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84</v>
      </c>
      <c r="D6" s="13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86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82</v>
      </c>
      <c r="AR6" s="9" t="s">
        <v>84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89</v>
      </c>
      <c r="C6" s="46">
        <f>today()-200</f>
        <v>45757</v>
      </c>
      <c r="D6" s="46">
        <f>today()+200</f>
        <v>46157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91</v>
      </c>
      <c r="B6" s="47" t="s">
        <v>84</v>
      </c>
      <c r="C6" s="37" t="s">
        <v>92</v>
      </c>
      <c r="D6" s="34"/>
      <c r="E6" s="34"/>
      <c r="F6" s="37" t="s">
        <v>93</v>
      </c>
      <c r="G6" s="37" t="s">
        <v>94</v>
      </c>
      <c r="H6" s="48">
        <v>4.0</v>
      </c>
      <c r="I6" s="48">
        <v>5.0</v>
      </c>
      <c r="J6" s="48">
        <v>1.0</v>
      </c>
      <c r="K6" s="48">
        <v>315.95</v>
      </c>
      <c r="L6" s="48">
        <v>315.95</v>
      </c>
      <c r="M6" s="37" t="s">
        <v>95</v>
      </c>
      <c r="N6" s="37" t="s">
        <v>96</v>
      </c>
      <c r="O6" s="35" t="s">
        <v>97</v>
      </c>
      <c r="P6" s="38"/>
      <c r="Q6" s="38"/>
      <c r="R6" s="38"/>
      <c r="S6" s="38"/>
      <c r="T6" s="38"/>
      <c r="U6" s="38"/>
      <c r="V6" s="38" t="s">
        <v>98</v>
      </c>
      <c r="W6" s="38"/>
      <c r="X6" s="38"/>
      <c r="Y6" s="38"/>
      <c r="Z6" s="34" t="s">
        <v>99</v>
      </c>
      <c r="AA6" s="38" t="s">
        <v>19</v>
      </c>
      <c r="AB6" s="40">
        <v>1.0</v>
      </c>
      <c r="AC6" s="38"/>
      <c r="AD6" s="38" t="s">
        <v>86</v>
      </c>
      <c r="AE6" s="38"/>
      <c r="AF6" s="38" t="s">
        <v>91</v>
      </c>
      <c r="AG6" s="38"/>
      <c r="AH6" s="34" t="s">
        <v>100</v>
      </c>
      <c r="AI6" s="49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 t="s">
        <v>23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4"/>
      <c r="BK6" s="38"/>
      <c r="BL6" s="38" t="s">
        <v>91</v>
      </c>
      <c r="BM6" s="38" t="s">
        <v>99</v>
      </c>
      <c r="BN6" s="38"/>
      <c r="BO6" s="34" t="s">
        <v>21</v>
      </c>
      <c r="BP6" s="38"/>
      <c r="BQ6" s="38"/>
      <c r="BR6" s="38"/>
      <c r="BS6" s="38" t="s">
        <v>101</v>
      </c>
      <c r="BT6" s="34" t="s">
        <v>19</v>
      </c>
      <c r="BU6" s="38"/>
      <c r="BV6" s="38"/>
      <c r="BW6" s="38"/>
      <c r="BX6" s="38"/>
      <c r="BY6" s="38" t="s">
        <v>91</v>
      </c>
      <c r="BZ6" s="38" t="s">
        <v>91</v>
      </c>
      <c r="CA6" s="38" t="s">
        <v>91</v>
      </c>
      <c r="CB6" s="38" t="s">
        <v>91</v>
      </c>
      <c r="CC6" s="38" t="s">
        <v>91</v>
      </c>
      <c r="CD6" s="38" t="s">
        <v>91</v>
      </c>
      <c r="CE6" s="38"/>
      <c r="CF6" s="38" t="s">
        <v>102</v>
      </c>
      <c r="CG6" s="40">
        <v>2.0</v>
      </c>
      <c r="CH6" s="38" t="s">
        <v>17</v>
      </c>
      <c r="CI6" s="38" t="s">
        <v>21</v>
      </c>
      <c r="CJ6" s="38"/>
      <c r="CK6" s="38" t="s">
        <v>103</v>
      </c>
      <c r="CL6" s="40">
        <v>1.0</v>
      </c>
      <c r="CM6" s="38" t="s">
        <v>19</v>
      </c>
      <c r="CN6" s="38" t="s">
        <v>104</v>
      </c>
      <c r="CO6" s="38" t="s">
        <v>86</v>
      </c>
      <c r="CP6" s="38" t="s">
        <v>105</v>
      </c>
      <c r="CQ6" s="38"/>
      <c r="CR6" s="38"/>
      <c r="CS6" s="38" t="s">
        <v>91</v>
      </c>
      <c r="CT6" s="38"/>
      <c r="CU6" s="38"/>
      <c r="CV6" s="38"/>
      <c r="CW6" s="38"/>
      <c r="CX6" s="38"/>
      <c r="CY6" s="38" t="s">
        <v>91</v>
      </c>
      <c r="CZ6" s="38" t="s">
        <v>91</v>
      </c>
      <c r="DA6" s="38" t="s">
        <v>91</v>
      </c>
      <c r="DB6" s="38" t="s">
        <v>91</v>
      </c>
      <c r="DC6" s="38" t="s">
        <v>91</v>
      </c>
      <c r="DD6" s="38" t="s">
        <v>91</v>
      </c>
      <c r="DE6" s="38" t="s">
        <v>91</v>
      </c>
      <c r="DF6" s="38" t="s">
        <v>91</v>
      </c>
      <c r="DG6" s="38" t="s">
        <v>91</v>
      </c>
      <c r="DH6" s="38" t="s">
        <v>91</v>
      </c>
      <c r="DI6" s="38" t="s">
        <v>91</v>
      </c>
      <c r="DJ6" s="38" t="s">
        <v>91</v>
      </c>
      <c r="DK6" s="38" t="s">
        <v>91</v>
      </c>
      <c r="DL6" s="38" t="s">
        <v>91</v>
      </c>
      <c r="DM6" s="38" t="s">
        <v>91</v>
      </c>
      <c r="DN6" s="38" t="s">
        <v>91</v>
      </c>
      <c r="DO6" s="38" t="s">
        <v>91</v>
      </c>
      <c r="DP6" s="38" t="s">
        <v>91</v>
      </c>
      <c r="DQ6" s="38" t="s">
        <v>91</v>
      </c>
      <c r="DR6" s="38" t="s">
        <v>91</v>
      </c>
      <c r="DS6" s="38" t="s">
        <v>91</v>
      </c>
      <c r="DT6" s="38" t="s">
        <v>91</v>
      </c>
      <c r="DU6" s="38" t="s">
        <v>91</v>
      </c>
      <c r="DV6" s="38" t="s">
        <v>91</v>
      </c>
      <c r="DW6" s="38" t="s">
        <v>91</v>
      </c>
      <c r="DX6" s="38" t="s">
        <v>91</v>
      </c>
      <c r="DY6" s="38" t="s">
        <v>91</v>
      </c>
      <c r="DZ6" s="38" t="s">
        <v>91</v>
      </c>
      <c r="EA6" s="38" t="s">
        <v>91</v>
      </c>
      <c r="EB6" s="38" t="s">
        <v>91</v>
      </c>
      <c r="EC6" s="38" t="s">
        <v>91</v>
      </c>
      <c r="ED6" s="38" t="s">
        <v>91</v>
      </c>
      <c r="EE6" s="38" t="s">
        <v>91</v>
      </c>
      <c r="EF6" s="38" t="s">
        <v>91</v>
      </c>
      <c r="EG6" s="38" t="s">
        <v>91</v>
      </c>
      <c r="EH6" s="38" t="s">
        <v>91</v>
      </c>
      <c r="EI6" s="38" t="s">
        <v>91</v>
      </c>
      <c r="EJ6" s="38" t="s">
        <v>91</v>
      </c>
      <c r="EK6" s="38" t="s">
        <v>91</v>
      </c>
      <c r="EL6" s="38" t="s">
        <v>91</v>
      </c>
      <c r="EM6" s="38" t="s">
        <v>91</v>
      </c>
      <c r="EN6" s="38" t="s">
        <v>91</v>
      </c>
      <c r="EO6" s="38" t="s">
        <v>91</v>
      </c>
      <c r="EP6" s="38" t="s">
        <v>91</v>
      </c>
      <c r="EQ6" s="38" t="s">
        <v>91</v>
      </c>
      <c r="ER6" s="38" t="s">
        <v>91</v>
      </c>
      <c r="ES6" s="38" t="s">
        <v>91</v>
      </c>
      <c r="ET6" s="38" t="s">
        <v>91</v>
      </c>
      <c r="EU6" s="38" t="s">
        <v>91</v>
      </c>
      <c r="EV6" s="38" t="s">
        <v>91</v>
      </c>
      <c r="EW6" s="38" t="s">
        <v>91</v>
      </c>
      <c r="EX6" s="38" t="s">
        <v>91</v>
      </c>
      <c r="EY6" s="38" t="s">
        <v>91</v>
      </c>
      <c r="EZ6" s="38" t="s">
        <v>91</v>
      </c>
      <c r="FA6" s="38" t="s">
        <v>91</v>
      </c>
      <c r="FB6" s="38" t="s">
        <v>91</v>
      </c>
      <c r="FC6" s="38" t="s">
        <v>91</v>
      </c>
      <c r="FD6" s="38" t="s">
        <v>91</v>
      </c>
      <c r="FE6" s="38" t="s">
        <v>91</v>
      </c>
      <c r="FF6" s="38" t="s">
        <v>91</v>
      </c>
      <c r="FG6" s="38" t="s">
        <v>91</v>
      </c>
      <c r="FH6" s="38" t="s">
        <v>91</v>
      </c>
      <c r="FI6" s="38" t="s">
        <v>91</v>
      </c>
      <c r="FJ6" s="38" t="s">
        <v>91</v>
      </c>
      <c r="FK6" s="38" t="s">
        <v>91</v>
      </c>
      <c r="FL6" s="38" t="s">
        <v>91</v>
      </c>
      <c r="FM6" s="38" t="s">
        <v>91</v>
      </c>
      <c r="FN6" s="38" t="s">
        <v>91</v>
      </c>
      <c r="FO6" s="38" t="s">
        <v>91</v>
      </c>
      <c r="FP6" s="38" t="s">
        <v>91</v>
      </c>
      <c r="FQ6" s="38" t="s">
        <v>91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40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106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109</v>
      </c>
      <c r="D3" s="5" t="s">
        <v>9</v>
      </c>
      <c r="E3" s="23" t="s">
        <v>110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122.3</v>
      </c>
      <c r="C6" s="13">
        <v>500.0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111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5000.0</v>
      </c>
      <c r="D6" s="13"/>
      <c r="E6" s="13" t="s">
        <v>84</v>
      </c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112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113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91</v>
      </c>
      <c r="B6" s="47" t="s">
        <v>113</v>
      </c>
      <c r="C6" s="37" t="s">
        <v>92</v>
      </c>
      <c r="D6" s="34"/>
      <c r="E6" s="34"/>
      <c r="F6" s="37" t="s">
        <v>93</v>
      </c>
      <c r="G6" s="37" t="s">
        <v>94</v>
      </c>
      <c r="H6" s="48">
        <v>4.0</v>
      </c>
      <c r="I6" s="48">
        <v>5.0</v>
      </c>
      <c r="J6" s="48">
        <v>1.0</v>
      </c>
      <c r="K6" s="48"/>
      <c r="L6" s="48"/>
      <c r="M6" s="37" t="s">
        <v>95</v>
      </c>
      <c r="N6" s="37" t="s">
        <v>96</v>
      </c>
      <c r="O6" s="35" t="s">
        <v>97</v>
      </c>
      <c r="P6" s="38"/>
      <c r="Q6" s="38"/>
      <c r="R6" s="38"/>
      <c r="S6" s="38"/>
      <c r="T6" s="38"/>
      <c r="U6" s="38"/>
      <c r="V6" s="38" t="s">
        <v>98</v>
      </c>
      <c r="W6" s="38"/>
      <c r="X6" s="38"/>
      <c r="Y6" s="38"/>
      <c r="Z6" s="34" t="s">
        <v>99</v>
      </c>
      <c r="AA6" s="38" t="s">
        <v>19</v>
      </c>
      <c r="AB6" s="40">
        <v>1.0</v>
      </c>
      <c r="AC6" s="38"/>
      <c r="AD6" s="38" t="s">
        <v>86</v>
      </c>
      <c r="AE6" s="38"/>
      <c r="AF6" s="38" t="s">
        <v>91</v>
      </c>
      <c r="AG6" s="38"/>
      <c r="AH6" s="34" t="s">
        <v>100</v>
      </c>
      <c r="AI6" s="49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 t="s">
        <v>23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4"/>
      <c r="BK6" s="38"/>
      <c r="BL6" s="38" t="s">
        <v>91</v>
      </c>
      <c r="BM6" s="38" t="s">
        <v>99</v>
      </c>
      <c r="BN6" s="38"/>
      <c r="BO6" s="34" t="s">
        <v>21</v>
      </c>
      <c r="BP6" s="38"/>
      <c r="BQ6" s="38"/>
      <c r="BR6" s="38"/>
      <c r="BS6" s="38" t="s">
        <v>101</v>
      </c>
      <c r="BT6" s="34" t="s">
        <v>19</v>
      </c>
      <c r="BU6" s="38"/>
      <c r="BV6" s="38"/>
      <c r="BW6" s="38"/>
      <c r="BX6" s="38"/>
      <c r="BY6" s="38" t="s">
        <v>91</v>
      </c>
      <c r="BZ6" s="38" t="s">
        <v>91</v>
      </c>
      <c r="CA6" s="38" t="s">
        <v>91</v>
      </c>
      <c r="CB6" s="38" t="s">
        <v>91</v>
      </c>
      <c r="CC6" s="38" t="s">
        <v>91</v>
      </c>
      <c r="CD6" s="38" t="s">
        <v>91</v>
      </c>
      <c r="CE6" s="38"/>
      <c r="CF6" s="38" t="s">
        <v>102</v>
      </c>
      <c r="CG6" s="40">
        <v>2.0</v>
      </c>
      <c r="CH6" s="38" t="s">
        <v>17</v>
      </c>
      <c r="CI6" s="38" t="s">
        <v>21</v>
      </c>
      <c r="CJ6" s="38"/>
      <c r="CK6" s="38" t="s">
        <v>103</v>
      </c>
      <c r="CL6" s="40">
        <v>1.0</v>
      </c>
      <c r="CM6" s="38" t="s">
        <v>19</v>
      </c>
      <c r="CN6" s="38" t="s">
        <v>104</v>
      </c>
      <c r="CO6" s="38" t="s">
        <v>86</v>
      </c>
      <c r="CP6" s="38" t="s">
        <v>105</v>
      </c>
      <c r="CQ6" s="38"/>
      <c r="CR6" s="38"/>
      <c r="CS6" s="38" t="s">
        <v>91</v>
      </c>
      <c r="CT6" s="38"/>
      <c r="CU6" s="38"/>
      <c r="CV6" s="38"/>
      <c r="CW6" s="38"/>
      <c r="CX6" s="38"/>
      <c r="CY6" s="38" t="s">
        <v>91</v>
      </c>
      <c r="CZ6" s="38" t="s">
        <v>91</v>
      </c>
      <c r="DA6" s="38" t="s">
        <v>91</v>
      </c>
      <c r="DB6" s="38" t="s">
        <v>91</v>
      </c>
      <c r="DC6" s="38" t="s">
        <v>91</v>
      </c>
      <c r="DD6" s="38" t="s">
        <v>91</v>
      </c>
      <c r="DE6" s="38" t="s">
        <v>91</v>
      </c>
      <c r="DF6" s="38" t="s">
        <v>91</v>
      </c>
      <c r="DG6" s="38" t="s">
        <v>91</v>
      </c>
      <c r="DH6" s="38" t="s">
        <v>91</v>
      </c>
      <c r="DI6" s="38" t="s">
        <v>91</v>
      </c>
      <c r="DJ6" s="38" t="s">
        <v>91</v>
      </c>
      <c r="DK6" s="38" t="s">
        <v>91</v>
      </c>
      <c r="DL6" s="38" t="s">
        <v>91</v>
      </c>
      <c r="DM6" s="38" t="s">
        <v>91</v>
      </c>
      <c r="DN6" s="38" t="s">
        <v>91</v>
      </c>
      <c r="DO6" s="38" t="s">
        <v>91</v>
      </c>
      <c r="DP6" s="38" t="s">
        <v>91</v>
      </c>
      <c r="DQ6" s="38" t="s">
        <v>91</v>
      </c>
      <c r="DR6" s="38" t="s">
        <v>91</v>
      </c>
      <c r="DS6" s="38" t="s">
        <v>91</v>
      </c>
      <c r="DT6" s="38" t="s">
        <v>91</v>
      </c>
      <c r="DU6" s="38" t="s">
        <v>91</v>
      </c>
      <c r="DV6" s="38" t="s">
        <v>91</v>
      </c>
      <c r="DW6" s="38" t="s">
        <v>91</v>
      </c>
      <c r="DX6" s="38" t="s">
        <v>91</v>
      </c>
      <c r="DY6" s="38" t="s">
        <v>91</v>
      </c>
      <c r="DZ6" s="38" t="s">
        <v>91</v>
      </c>
      <c r="EA6" s="38" t="s">
        <v>91</v>
      </c>
      <c r="EB6" s="38" t="s">
        <v>91</v>
      </c>
      <c r="EC6" s="38" t="s">
        <v>91</v>
      </c>
      <c r="ED6" s="38" t="s">
        <v>91</v>
      </c>
      <c r="EE6" s="38" t="s">
        <v>91</v>
      </c>
      <c r="EF6" s="38" t="s">
        <v>91</v>
      </c>
      <c r="EG6" s="38" t="s">
        <v>91</v>
      </c>
      <c r="EH6" s="38" t="s">
        <v>91</v>
      </c>
      <c r="EI6" s="38" t="s">
        <v>91</v>
      </c>
      <c r="EJ6" s="38" t="s">
        <v>91</v>
      </c>
      <c r="EK6" s="38" t="s">
        <v>91</v>
      </c>
      <c r="EL6" s="38" t="s">
        <v>91</v>
      </c>
      <c r="EM6" s="38" t="s">
        <v>91</v>
      </c>
      <c r="EN6" s="38" t="s">
        <v>91</v>
      </c>
      <c r="EO6" s="38" t="s">
        <v>91</v>
      </c>
      <c r="EP6" s="38" t="s">
        <v>91</v>
      </c>
      <c r="EQ6" s="38" t="s">
        <v>91</v>
      </c>
      <c r="ER6" s="38" t="s">
        <v>91</v>
      </c>
      <c r="ES6" s="38" t="s">
        <v>91</v>
      </c>
      <c r="ET6" s="38" t="s">
        <v>91</v>
      </c>
      <c r="EU6" s="38" t="s">
        <v>91</v>
      </c>
      <c r="EV6" s="38" t="s">
        <v>91</v>
      </c>
      <c r="EW6" s="38" t="s">
        <v>91</v>
      </c>
      <c r="EX6" s="38" t="s">
        <v>91</v>
      </c>
      <c r="EY6" s="38" t="s">
        <v>91</v>
      </c>
      <c r="EZ6" s="38" t="s">
        <v>91</v>
      </c>
      <c r="FA6" s="38" t="s">
        <v>91</v>
      </c>
      <c r="FB6" s="38" t="s">
        <v>91</v>
      </c>
      <c r="FC6" s="38" t="s">
        <v>91</v>
      </c>
      <c r="FD6" s="38" t="s">
        <v>91</v>
      </c>
      <c r="FE6" s="38" t="s">
        <v>91</v>
      </c>
      <c r="FF6" s="38" t="s">
        <v>91</v>
      </c>
      <c r="FG6" s="38" t="s">
        <v>91</v>
      </c>
      <c r="FH6" s="38" t="s">
        <v>91</v>
      </c>
      <c r="FI6" s="38" t="s">
        <v>91</v>
      </c>
      <c r="FJ6" s="38" t="s">
        <v>91</v>
      </c>
      <c r="FK6" s="38" t="s">
        <v>91</v>
      </c>
      <c r="FL6" s="38" t="s">
        <v>91</v>
      </c>
      <c r="FM6" s="38" t="s">
        <v>91</v>
      </c>
      <c r="FN6" s="38" t="s">
        <v>91</v>
      </c>
      <c r="FO6" s="38" t="s">
        <v>91</v>
      </c>
      <c r="FP6" s="38" t="s">
        <v>91</v>
      </c>
      <c r="FQ6" s="38" t="s">
        <v>91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40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106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114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122.3</v>
      </c>
      <c r="C6" s="13">
        <v>500.0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91</v>
      </c>
      <c r="B6" s="47" t="s">
        <v>113</v>
      </c>
      <c r="C6" s="37" t="s">
        <v>92</v>
      </c>
      <c r="D6" s="34"/>
      <c r="E6" s="34"/>
      <c r="F6" s="37" t="s">
        <v>93</v>
      </c>
      <c r="G6" s="37" t="s">
        <v>94</v>
      </c>
      <c r="H6" s="48">
        <v>4.0</v>
      </c>
      <c r="I6" s="48">
        <v>5.0</v>
      </c>
      <c r="J6" s="48">
        <v>1.0</v>
      </c>
      <c r="K6" s="48"/>
      <c r="L6" s="48"/>
      <c r="M6" s="37" t="s">
        <v>95</v>
      </c>
      <c r="N6" s="37" t="s">
        <v>96</v>
      </c>
      <c r="O6" s="35" t="s">
        <v>97</v>
      </c>
      <c r="P6" s="38"/>
      <c r="Q6" s="38"/>
      <c r="R6" s="38"/>
      <c r="S6" s="38"/>
      <c r="T6" s="38"/>
      <c r="U6" s="38"/>
      <c r="V6" s="38" t="s">
        <v>98</v>
      </c>
      <c r="W6" s="38"/>
      <c r="X6" s="38"/>
      <c r="Y6" s="38"/>
      <c r="Z6" s="34" t="s">
        <v>99</v>
      </c>
      <c r="AA6" s="38" t="s">
        <v>19</v>
      </c>
      <c r="AB6" s="40">
        <v>1.0</v>
      </c>
      <c r="AC6" s="38"/>
      <c r="AD6" s="38" t="s">
        <v>86</v>
      </c>
      <c r="AE6" s="38"/>
      <c r="AF6" s="38" t="s">
        <v>91</v>
      </c>
      <c r="AG6" s="38"/>
      <c r="AH6" s="34" t="s">
        <v>100</v>
      </c>
      <c r="AI6" s="49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 t="s">
        <v>23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4"/>
      <c r="BK6" s="38"/>
      <c r="BL6" s="38" t="s">
        <v>91</v>
      </c>
      <c r="BM6" s="38" t="s">
        <v>99</v>
      </c>
      <c r="BN6" s="38"/>
      <c r="BO6" s="34" t="s">
        <v>21</v>
      </c>
      <c r="BP6" s="38"/>
      <c r="BQ6" s="38"/>
      <c r="BR6" s="38"/>
      <c r="BS6" s="38" t="s">
        <v>101</v>
      </c>
      <c r="BT6" s="34" t="s">
        <v>19</v>
      </c>
      <c r="BU6" s="38"/>
      <c r="BV6" s="38"/>
      <c r="BW6" s="38"/>
      <c r="BX6" s="38"/>
      <c r="BY6" s="38" t="s">
        <v>91</v>
      </c>
      <c r="BZ6" s="38" t="s">
        <v>91</v>
      </c>
      <c r="CA6" s="38" t="s">
        <v>91</v>
      </c>
      <c r="CB6" s="38" t="s">
        <v>91</v>
      </c>
      <c r="CC6" s="38" t="s">
        <v>91</v>
      </c>
      <c r="CD6" s="38" t="s">
        <v>91</v>
      </c>
      <c r="CE6" s="38"/>
      <c r="CF6" s="38" t="s">
        <v>102</v>
      </c>
      <c r="CG6" s="40">
        <v>2.0</v>
      </c>
      <c r="CH6" s="38" t="s">
        <v>17</v>
      </c>
      <c r="CI6" s="38" t="s">
        <v>21</v>
      </c>
      <c r="CJ6" s="38"/>
      <c r="CK6" s="38" t="s">
        <v>103</v>
      </c>
      <c r="CL6" s="40">
        <v>1.0</v>
      </c>
      <c r="CM6" s="38" t="s">
        <v>19</v>
      </c>
      <c r="CN6" s="38" t="s">
        <v>104</v>
      </c>
      <c r="CO6" s="38" t="s">
        <v>86</v>
      </c>
      <c r="CP6" s="38" t="s">
        <v>105</v>
      </c>
      <c r="CQ6" s="38"/>
      <c r="CR6" s="38"/>
      <c r="CS6" s="38" t="s">
        <v>91</v>
      </c>
      <c r="CT6" s="38"/>
      <c r="CU6" s="38"/>
      <c r="CV6" s="38"/>
      <c r="CW6" s="38"/>
      <c r="CX6" s="38"/>
      <c r="CY6" s="38" t="s">
        <v>91</v>
      </c>
      <c r="CZ6" s="38" t="s">
        <v>91</v>
      </c>
      <c r="DA6" s="38" t="s">
        <v>91</v>
      </c>
      <c r="DB6" s="38" t="s">
        <v>91</v>
      </c>
      <c r="DC6" s="38" t="s">
        <v>91</v>
      </c>
      <c r="DD6" s="38" t="s">
        <v>91</v>
      </c>
      <c r="DE6" s="38" t="s">
        <v>91</v>
      </c>
      <c r="DF6" s="38" t="s">
        <v>91</v>
      </c>
      <c r="DG6" s="38" t="s">
        <v>91</v>
      </c>
      <c r="DH6" s="38" t="s">
        <v>91</v>
      </c>
      <c r="DI6" s="38" t="s">
        <v>91</v>
      </c>
      <c r="DJ6" s="38" t="s">
        <v>91</v>
      </c>
      <c r="DK6" s="38" t="s">
        <v>91</v>
      </c>
      <c r="DL6" s="38" t="s">
        <v>91</v>
      </c>
      <c r="DM6" s="38" t="s">
        <v>91</v>
      </c>
      <c r="DN6" s="38" t="s">
        <v>91</v>
      </c>
      <c r="DO6" s="38" t="s">
        <v>91</v>
      </c>
      <c r="DP6" s="38" t="s">
        <v>91</v>
      </c>
      <c r="DQ6" s="38" t="s">
        <v>91</v>
      </c>
      <c r="DR6" s="38" t="s">
        <v>91</v>
      </c>
      <c r="DS6" s="38" t="s">
        <v>91</v>
      </c>
      <c r="DT6" s="38" t="s">
        <v>91</v>
      </c>
      <c r="DU6" s="38" t="s">
        <v>91</v>
      </c>
      <c r="DV6" s="38" t="s">
        <v>91</v>
      </c>
      <c r="DW6" s="38" t="s">
        <v>91</v>
      </c>
      <c r="DX6" s="38" t="s">
        <v>91</v>
      </c>
      <c r="DY6" s="38" t="s">
        <v>91</v>
      </c>
      <c r="DZ6" s="38" t="s">
        <v>91</v>
      </c>
      <c r="EA6" s="38" t="s">
        <v>91</v>
      </c>
      <c r="EB6" s="38" t="s">
        <v>91</v>
      </c>
      <c r="EC6" s="38" t="s">
        <v>91</v>
      </c>
      <c r="ED6" s="38" t="s">
        <v>91</v>
      </c>
      <c r="EE6" s="38" t="s">
        <v>91</v>
      </c>
      <c r="EF6" s="38" t="s">
        <v>91</v>
      </c>
      <c r="EG6" s="38" t="s">
        <v>91</v>
      </c>
      <c r="EH6" s="38" t="s">
        <v>91</v>
      </c>
      <c r="EI6" s="38" t="s">
        <v>91</v>
      </c>
      <c r="EJ6" s="38" t="s">
        <v>91</v>
      </c>
      <c r="EK6" s="38" t="s">
        <v>91</v>
      </c>
      <c r="EL6" s="38" t="s">
        <v>91</v>
      </c>
      <c r="EM6" s="38" t="s">
        <v>91</v>
      </c>
      <c r="EN6" s="38" t="s">
        <v>91</v>
      </c>
      <c r="EO6" s="38" t="s">
        <v>91</v>
      </c>
      <c r="EP6" s="38" t="s">
        <v>91</v>
      </c>
      <c r="EQ6" s="38" t="s">
        <v>91</v>
      </c>
      <c r="ER6" s="38" t="s">
        <v>91</v>
      </c>
      <c r="ES6" s="38" t="s">
        <v>91</v>
      </c>
      <c r="ET6" s="38" t="s">
        <v>91</v>
      </c>
      <c r="EU6" s="38" t="s">
        <v>91</v>
      </c>
      <c r="EV6" s="38" t="s">
        <v>91</v>
      </c>
      <c r="EW6" s="38" t="s">
        <v>91</v>
      </c>
      <c r="EX6" s="38" t="s">
        <v>91</v>
      </c>
      <c r="EY6" s="38" t="s">
        <v>91</v>
      </c>
      <c r="EZ6" s="38" t="s">
        <v>91</v>
      </c>
      <c r="FA6" s="38" t="s">
        <v>91</v>
      </c>
      <c r="FB6" s="38" t="s">
        <v>91</v>
      </c>
      <c r="FC6" s="38" t="s">
        <v>91</v>
      </c>
      <c r="FD6" s="38" t="s">
        <v>91</v>
      </c>
      <c r="FE6" s="38" t="s">
        <v>91</v>
      </c>
      <c r="FF6" s="38" t="s">
        <v>91</v>
      </c>
      <c r="FG6" s="38" t="s">
        <v>91</v>
      </c>
      <c r="FH6" s="38" t="s">
        <v>91</v>
      </c>
      <c r="FI6" s="38" t="s">
        <v>91</v>
      </c>
      <c r="FJ6" s="38" t="s">
        <v>91</v>
      </c>
      <c r="FK6" s="38" t="s">
        <v>91</v>
      </c>
      <c r="FL6" s="38" t="s">
        <v>91</v>
      </c>
      <c r="FM6" s="38" t="s">
        <v>91</v>
      </c>
      <c r="FN6" s="38" t="s">
        <v>91</v>
      </c>
      <c r="FO6" s="38" t="s">
        <v>91</v>
      </c>
      <c r="FP6" s="38" t="s">
        <v>91</v>
      </c>
      <c r="FQ6" s="38" t="s">
        <v>91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40">
        <v>122.3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122.3</v>
      </c>
      <c r="C6" s="13">
        <v>500.0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