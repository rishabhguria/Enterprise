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ccountPermission" sheetId="4" r:id="rId6"/>
    <sheet state="visible" name="CreateDoneAwayOrder" sheetId="5" r:id="rId7"/>
    <sheet state="visible" name="PricingInput" sheetId="6" r:id="rId8"/>
    <sheet state="visible" name="OpenRTPNL" sheetId="7" r:id="rId9"/>
    <sheet state="visible" name="CheckSummaryDashboard" sheetId="8" r:id="rId10"/>
    <sheet state="visible" name="CheckFundLevelAggregation" sheetId="9" r:id="rId11"/>
    <sheet state="visible" name="AccountPermission1" sheetId="10" r:id="rId12"/>
    <sheet state="visible" name="RestartReleasesAndServices" sheetId="11" r:id="rId13"/>
    <sheet state="visible" name="CheckSummaryDashboard1" sheetId="12" r:id="rId14"/>
    <sheet state="visible" name="CheckRealTimeSymbolFundMonitor" sheetId="13" r:id="rId15"/>
    <sheet state="visible" name="AccountPermission2" sheetId="14" r:id="rId16"/>
  </sheets>
  <definedNames/>
  <calcPr/>
</workbook>
</file>

<file path=xl/sharedStrings.xml><?xml version="1.0" encoding="utf-8"?>
<sst xmlns="http://schemas.openxmlformats.org/spreadsheetml/2006/main" count="152" uniqueCount="48">
  <si>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</si>
  <si>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</si>
  <si>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</si>
  <si>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</si>
  <si>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</si>
  <si>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</si>
  <si>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</si>
  <si>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</si>
  <si>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</si>
  <si>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</si>
  <si>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</si>
  <si>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</si>
  <si>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</si>
  <si>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AccountPermission</t>
  </si>
  <si>
    <t>Data Format</t>
  </si>
  <si>
    <t>Input Format</t>
  </si>
  <si>
    <t>Allocation1</t>
  </si>
  <si>
    <t>Unallocate</t>
  </si>
  <si>
    <t>TradingTicket</t>
  </si>
  <si>
    <t>CreateDoneAwayOrder</t>
  </si>
  <si>
    <t>AAPL</t>
  </si>
  <si>
    <t>Buy</t>
  </si>
  <si>
    <t>Allocation2</t>
  </si>
  <si>
    <t>MS</t>
  </si>
  <si>
    <t>Yes</t>
  </si>
  <si>
    <t>IBM</t>
  </si>
  <si>
    <t>Allocation3</t>
  </si>
  <si>
    <t>TSLA</t>
  </si>
  <si>
    <t>Unallocated</t>
  </si>
  <si>
    <t>PricingInput</t>
  </si>
  <si>
    <t>RTPNL</t>
  </si>
  <si>
    <t>OpenRTPNL</t>
  </si>
  <si>
    <t>Nirvana,PM</t>
  </si>
  <si>
    <t>SummaryDashboard</t>
  </si>
  <si>
    <t>CheckSummaryDashboard</t>
  </si>
  <si>
    <t>$ 0.00</t>
  </si>
  <si>
    <t>$ 200000.00</t>
  </si>
  <si>
    <t>$ -200000.00</t>
  </si>
  <si>
    <t>CheckFundLevelAggregation</t>
  </si>
  <si>
    <t>NewMF1</t>
  </si>
  <si>
    <t>Compliance</t>
  </si>
  <si>
    <t>RestartReleasesAndServices</t>
  </si>
  <si>
    <t>$ 100000.00</t>
  </si>
  <si>
    <t>$ -100000.00</t>
  </si>
  <si>
    <t>CheckRealTimeSymbolFundMonitor</t>
  </si>
  <si>
    <t>NEGATIVE</t>
  </si>
  <si>
    <t>Symbol</t>
  </si>
  <si>
    <t>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</si>
</sst>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49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35.0</v>
      </c>
      <c r="D6" s="30" t="s">
        <v>17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31">
        <v>17.0</v>
      </c>
      <c r="D7" s="33" t="s">
        <v>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1000.0</v>
      </c>
      <c r="E6" s="32"/>
      <c r="F6" s="12" t="s">
        <v>22</v>
      </c>
      <c r="G6" s="12" t="s">
        <v>23</v>
      </c>
      <c r="H6" s="8"/>
      <c r="I6" s="8"/>
      <c r="J6" s="12">
        <v>100.0</v>
      </c>
      <c r="K6" s="8"/>
      <c r="L6" s="8"/>
      <c r="M6" s="8"/>
      <c r="N6" s="8"/>
      <c r="O6" s="8"/>
      <c r="AQ6" s="9" t="s">
        <v>24</v>
      </c>
    </row>
    <row r="7" ht="15.75" customHeight="1">
      <c r="A7" s="8"/>
      <c r="B7" s="12" t="s">
        <v>25</v>
      </c>
      <c r="C7" s="12" t="s">
        <v>21</v>
      </c>
      <c r="D7" s="12">
        <v>1000.0</v>
      </c>
      <c r="E7" s="8"/>
      <c r="F7" s="12" t="s">
        <v>26</v>
      </c>
      <c r="G7" s="12" t="s">
        <v>23</v>
      </c>
      <c r="H7" s="8"/>
      <c r="I7" s="8"/>
      <c r="J7" s="12">
        <v>100.0</v>
      </c>
      <c r="K7" s="8"/>
      <c r="L7" s="8"/>
      <c r="M7" s="8"/>
      <c r="N7" s="8"/>
      <c r="O7" s="8"/>
      <c r="AQ7" s="9" t="s">
        <v>24</v>
      </c>
    </row>
    <row r="8" ht="15.75" customHeight="1">
      <c r="A8" s="8"/>
      <c r="B8" s="12" t="s">
        <v>27</v>
      </c>
      <c r="C8" s="12" t="s">
        <v>21</v>
      </c>
      <c r="D8" s="12">
        <v>1000.0</v>
      </c>
      <c r="E8" s="8"/>
      <c r="F8" s="12" t="s">
        <v>28</v>
      </c>
      <c r="G8" s="12" t="s">
        <v>23</v>
      </c>
      <c r="H8" s="8"/>
      <c r="I8" s="8"/>
      <c r="J8" s="12">
        <v>10.0</v>
      </c>
      <c r="K8" s="8"/>
      <c r="L8" s="8"/>
      <c r="M8" s="8"/>
      <c r="N8" s="8"/>
      <c r="O8" s="8"/>
      <c r="AQ8" s="9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27</v>
      </c>
      <c r="C8" s="1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32</v>
      </c>
      <c r="C6" s="33" t="s">
        <v>33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IFERROR(__xludf.DUMMYFUNCTION("""COMPUTED_VALUE"""),"Total P&amp;L")</f>
        <v>Total P&amp;L</v>
      </c>
      <c r="C5" s="27" t="str">
        <f>IFERROR(__xludf.DUMMYFUNCTION("""COMPUTED_VALUE"""),"% Gain/Loss Cost")</f>
        <v>% Gain/Loss Cost</v>
      </c>
      <c r="D5" s="27" t="str">
        <f>IFERROR(__xludf.DUMMYFUNCTION("""COMPUTED_VALUE"""),"Day P&amp;L")</f>
        <v>Day P&amp;L</v>
      </c>
      <c r="E5" s="27" t="str">
        <f>IFERROR(__xludf.DUMMYFUNCTION("""COMPUTED_VALUE"""),"% Gain/Loss Day")</f>
        <v>% Gain/Loss Day</v>
      </c>
      <c r="F5" s="28" t="str">
        <f>IFERROR(__xludf.DUMMYFUNCTION("""COMPUTED_VALUE"""),"Exposure")</f>
        <v>Exposure</v>
      </c>
      <c r="G5" s="27" t="str">
        <f>IFERROR(__xludf.DUMMYFUNCTION("""COMPUTED_VALUE"""),"% Exposure")</f>
        <v>% Exposure</v>
      </c>
      <c r="H5" s="27" t="str">
        <f>IFERROR(__xludf.DUMMYFUNCTION("""COMPUTED_VALUE"""),"Long Exposure")</f>
        <v>Long Exposure</v>
      </c>
      <c r="I5" s="27" t="str">
        <f>IFERROR(__xludf.DUMMYFUNCTION("""COMPUTED_VALUE"""),"% Long Exposure")</f>
        <v>% Long Exposure</v>
      </c>
      <c r="J5" s="27" t="str">
        <f>IFERROR(__xludf.DUMMYFUNCTION("""COMPUTED_VALUE"""),"Short Exposure")</f>
        <v>Short Exposure</v>
      </c>
      <c r="K5" s="27" t="str">
        <f>IFERROR(__xludf.DUMMYFUNCTION("""COMPUTED_VALUE"""),"% Short Exposure")</f>
        <v>% Short Exposure</v>
      </c>
      <c r="L5" s="27" t="str">
        <f>IFERROR(__xludf.DUMMYFUNCTION("""COMPUTED_VALUE"""),"Market Value")</f>
        <v>Market Value</v>
      </c>
      <c r="M5" s="27" t="str">
        <f>IFERROR(__xludf.DUMMYFUNCTION("""COMPUTED_VALUE"""),"% Net Market Value")</f>
        <v>% Net Market Value</v>
      </c>
      <c r="N5" s="27" t="str">
        <f>IFERROR(__xludf.DUMMYFUNCTION("""COMPUTED_VALUE"""),"NAV")</f>
        <v>NAV</v>
      </c>
      <c r="O5" s="27" t="str">
        <f>IFERROR(__xludf.DUMMYFUNCTION("""COMPUTED_VALUE"""),"Cash")</f>
        <v>Cash</v>
      </c>
      <c r="P5" s="27" t="str">
        <f>IFERROR(__xludf.DUMMYFUNCTION("""COMPUTED_VALUE"""),"Accruals")</f>
        <v>Accruals</v>
      </c>
      <c r="Q5" s="27" t="str">
        <f>IFERROR(__xludf.DUMMYFUNCTION("""COMPUTED_VALUE"""),"TabName")</f>
        <v>TabName</v>
      </c>
      <c r="R5" s="27" t="str">
        <f>IFERROR(__xludf.DUMMYFUNCTION("""COMPUTED_VALUE"""),"GridDataWidgetName")</f>
        <v>GridDataWidgetName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35</v>
      </c>
      <c r="C6" s="36"/>
      <c r="D6" s="35" t="s">
        <v>35</v>
      </c>
      <c r="E6" s="36"/>
      <c r="F6" s="35" t="s">
        <v>36</v>
      </c>
      <c r="G6" s="36"/>
      <c r="H6" s="35" t="s">
        <v>36</v>
      </c>
      <c r="I6" s="36"/>
      <c r="J6" s="35" t="s">
        <v>35</v>
      </c>
      <c r="K6" s="36"/>
      <c r="L6" s="35" t="s">
        <v>36</v>
      </c>
      <c r="M6" s="36"/>
      <c r="N6" s="35" t="s">
        <v>35</v>
      </c>
      <c r="O6" s="35" t="s">
        <v>37</v>
      </c>
      <c r="P6" s="35" t="s">
        <v>35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CheckSummaryDashboard!$4:$4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9" t="s">
        <v>39</v>
      </c>
      <c r="C6" s="9">
        <v>100000.0</v>
      </c>
      <c r="D6" s="9">
        <v>0.0</v>
      </c>
      <c r="E6" s="9">
        <v>0.0</v>
      </c>
      <c r="F6" s="9">
        <v>100000.0</v>
      </c>
      <c r="G6" s="9">
        <v>0.0</v>
      </c>
      <c r="H6" s="9">
        <v>0.0</v>
      </c>
      <c r="I6" s="9">
        <v>0.0</v>
      </c>
      <c r="J6" s="9">
        <v>0.0</v>
      </c>
      <c r="K6" s="9">
        <v>0.0</v>
      </c>
      <c r="L6" s="9">
        <v>0.0</v>
      </c>
      <c r="M6" s="9">
        <v>100000.0</v>
      </c>
      <c r="N6" s="9">
        <v>0.0</v>
      </c>
      <c r="O6" s="9">
        <v>0.0</v>
      </c>
      <c r="P6" s="9">
        <v>-100000.0</v>
      </c>
      <c r="Q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CheckFundLevelAggregation!$4:$4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1">
        <v>35.0</v>
      </c>
      <c r="D6" s="30" t="s">
        <v>17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1">
        <v>17.0</v>
      </c>
      <c r="D7" s="33" t="s">
        <v>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IFERROR(__xludf.DUMMYFUNCTION("""COMPUTED_VALUE"""),"Total P&amp;L")</f>
        <v>Total P&amp;L</v>
      </c>
      <c r="C5" s="27" t="str">
        <f>IFERROR(__xludf.DUMMYFUNCTION("""COMPUTED_VALUE"""),"% Gain/Loss Cost")</f>
        <v>% Gain/Loss Cost</v>
      </c>
      <c r="D5" s="27" t="str">
        <f>IFERROR(__xludf.DUMMYFUNCTION("""COMPUTED_VALUE"""),"Day P&amp;L")</f>
        <v>Day P&amp;L</v>
      </c>
      <c r="E5" s="27" t="str">
        <f>IFERROR(__xludf.DUMMYFUNCTION("""COMPUTED_VALUE"""),"% Gain/Loss Day")</f>
        <v>% Gain/Loss Day</v>
      </c>
      <c r="F5" s="28" t="str">
        <f>IFERROR(__xludf.DUMMYFUNCTION("""COMPUTED_VALUE"""),"Exposure")</f>
        <v>Exposure</v>
      </c>
      <c r="G5" s="27" t="str">
        <f>IFERROR(__xludf.DUMMYFUNCTION("""COMPUTED_VALUE"""),"% Exposure")</f>
        <v>% Exposure</v>
      </c>
      <c r="H5" s="27" t="str">
        <f>IFERROR(__xludf.DUMMYFUNCTION("""COMPUTED_VALUE"""),"Long Exposure")</f>
        <v>Long Exposure</v>
      </c>
      <c r="I5" s="27" t="str">
        <f>IFERROR(__xludf.DUMMYFUNCTION("""COMPUTED_VALUE"""),"% Long Exposure")</f>
        <v>% Long Exposure</v>
      </c>
      <c r="J5" s="27" t="str">
        <f>IFERROR(__xludf.DUMMYFUNCTION("""COMPUTED_VALUE"""),"Short Exposure")</f>
        <v>Short Exposure</v>
      </c>
      <c r="K5" s="27" t="str">
        <f>IFERROR(__xludf.DUMMYFUNCTION("""COMPUTED_VALUE"""),"% Short Exposure")</f>
        <v>% Short Exposure</v>
      </c>
      <c r="L5" s="27" t="str">
        <f>IFERROR(__xludf.DUMMYFUNCTION("""COMPUTED_VALUE"""),"Market Value")</f>
        <v>Market Value</v>
      </c>
      <c r="M5" s="27" t="str">
        <f>IFERROR(__xludf.DUMMYFUNCTION("""COMPUTED_VALUE"""),"% Net Market Value")</f>
        <v>% Net Market Value</v>
      </c>
      <c r="N5" s="27" t="str">
        <f>IFERROR(__xludf.DUMMYFUNCTION("""COMPUTED_VALUE"""),"NAV")</f>
        <v>NAV</v>
      </c>
      <c r="O5" s="27" t="str">
        <f>IFERROR(__xludf.DUMMYFUNCTION("""COMPUTED_VALUE"""),"Cash")</f>
        <v>Cash</v>
      </c>
      <c r="P5" s="27" t="str">
        <f>IFERROR(__xludf.DUMMYFUNCTION("""COMPUTED_VALUE"""),"Accruals")</f>
        <v>Accruals</v>
      </c>
      <c r="Q5" s="27" t="str">
        <f>IFERROR(__xludf.DUMMYFUNCTION("""COMPUTED_VALUE"""),"TabName")</f>
        <v>TabName</v>
      </c>
      <c r="R5" s="27" t="str">
        <f>IFERROR(__xludf.DUMMYFUNCTION("""COMPUTED_VALUE"""),"GridDataWidgetName")</f>
        <v>GridDataWidgetName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35</v>
      </c>
      <c r="C6" s="36"/>
      <c r="D6" s="35" t="s">
        <v>35</v>
      </c>
      <c r="E6" s="36"/>
      <c r="F6" s="35" t="s">
        <v>42</v>
      </c>
      <c r="G6" s="36"/>
      <c r="H6" s="35" t="s">
        <v>42</v>
      </c>
      <c r="I6" s="36"/>
      <c r="J6" s="35" t="s">
        <v>35</v>
      </c>
      <c r="K6" s="36"/>
      <c r="L6" s="35" t="s">
        <v>42</v>
      </c>
      <c r="M6" s="36"/>
      <c r="N6" s="35" t="s">
        <v>35</v>
      </c>
      <c r="O6" s="35" t="s">
        <v>43</v>
      </c>
      <c r="P6" s="35" t="s">
        <v>35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5"/>
      <c r="C7" s="36"/>
      <c r="D7" s="35"/>
      <c r="E7" s="36"/>
      <c r="F7" s="35"/>
      <c r="G7" s="36"/>
      <c r="H7" s="35"/>
      <c r="I7" s="36"/>
      <c r="J7" s="35"/>
      <c r="K7" s="36"/>
      <c r="L7" s="35"/>
      <c r="M7" s="36"/>
      <c r="N7" s="35"/>
      <c r="O7" s="35"/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CheckSummaryDashboard1!$4:$4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IFERROR(__xludf.DUMMYFUNCTION("""COMPUTED_VALUE"""),"Asset Class")</f>
        <v>Asset Class</v>
      </c>
      <c r="F5" s="28" t="str">
        <f>IFERROR(__xludf.DUMMYFUNCTION("""COMPUTED_VALUE"""),"Position")</f>
        <v>Position</v>
      </c>
      <c r="G5" s="27" t="str">
        <f>IFERROR(__xludf.DUMMYFUNCTION("""COMPUTED_VALUE"""),"Position Side")</f>
        <v>Position Side</v>
      </c>
      <c r="H5" s="27" t="str">
        <f>IFERROR(__xludf.DUMMYFUNCTION("""COMPUTED_VALUE"""),"Px Selected Feed (Local)")</f>
        <v>Px Selected Feed (Local)</v>
      </c>
      <c r="I5" s="27" t="str">
        <f>IFERROR(__xludf.DUMMYFUNCTION("""COMPUTED_VALUE"""),"Px Selected Feed (Base)")</f>
        <v>Px Selected Feed (Base)</v>
      </c>
      <c r="J5" s="27" t="str">
        <f>IFERROR(__xludf.DUMMYFUNCTION("""COMPUTED_VALUE"""),"Market Value (Base)")</f>
        <v>Market Value (Base)</v>
      </c>
      <c r="K5" s="27" t="str">
        <f>IFERROR(__xludf.DUMMYFUNCTION("""COMPUTED_VALUE"""),"% Net Market Value (Base)")</f>
        <v>% Net Market Value (Base)</v>
      </c>
      <c r="L5" s="27" t="str">
        <f>IFERROR(__xludf.DUMMYFUNCTION("""COMPUTED_VALUE"""),"Cost Basis P&amp;L (Base)")</f>
        <v>Cost Basis P&amp;L (Base)</v>
      </c>
      <c r="M5" s="27" t="str">
        <f>IFERROR(__xludf.DUMMYFUNCTION("""COMPUTED_VALUE"""),"% Gain/Loss Cost")</f>
        <v>% Gain/Loss Cost</v>
      </c>
      <c r="N5" s="27" t="str">
        <f>IFERROR(__xludf.DUMMYFUNCTION("""COMPUTED_VALUE"""),"Day P&amp;L (Base)")</f>
        <v>Day P&amp;L (Base)</v>
      </c>
      <c r="O5" s="27" t="str">
        <f>IFERROR(__xludf.DUMMYFUNCTION("""COMPUTED_VALUE"""),"% Gain/Loss Day")</f>
        <v>% Gain/Loss Day</v>
      </c>
      <c r="P5" s="27" t="str">
        <f>IFERROR(__xludf.DUMMYFUNCTION("""COMPUTED_VALUE"""),"Exposure (Base)")</f>
        <v>Exposure (Base)</v>
      </c>
      <c r="Q5" s="27" t="str">
        <f>IFERROR(__xludf.DUMMYFUNCTION("""COMPUTED_VALUE"""),"% Exposure (Base)")</f>
        <v>% Exposure (Base)</v>
      </c>
      <c r="R5" s="27" t="str">
        <f>IFERROR(__xludf.DUMMYFUNCTION("""COMPUTED_VALUE"""),"Live Feed Provider Ticker")</f>
        <v>Live Feed Provider Ticker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 t="str">
        <f>IFERROR(__xludf.DUMMYFUNCTION("""COMPUTED_VALUE"""),"Bloomberg Symbol")</f>
        <v>Bloomberg Symbol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S6" s="9" t="s">
        <v>45</v>
      </c>
      <c r="T6" s="9" t="s">
        <v>46</v>
      </c>
      <c r="U6" s="9" t="s">
        <v>20</v>
      </c>
    </row>
    <row r="7" ht="15.75" customHeight="1">
      <c r="A7" s="8"/>
      <c r="B7" s="12" t="s">
        <v>25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S7" s="9" t="s">
        <v>45</v>
      </c>
      <c r="T7" s="9" t="s">
        <v>46</v>
      </c>
      <c r="U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CheckRealTimeSymbolFundMonitor!$4:$4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35.0</v>
      </c>
      <c r="D6" s="37" t="s">
        <v>47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31">
        <v>17.0</v>
      </c>
      <c r="D7" s="37" t="s">
        <v>47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1">
        <v>35.0</v>
      </c>
      <c r="D8" s="37" t="s">
        <v>47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1">
        <v>17.0</v>
      </c>
      <c r="D9" s="37" t="s">
        <v>47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