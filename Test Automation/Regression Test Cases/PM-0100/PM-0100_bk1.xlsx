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ImportSymbol" sheetId="5" r:id="rId7"/>
    <sheet state="visible" name="CreateDoneAwayOrder" sheetId="6" r:id="rId8"/>
    <sheet state="visible" name="GroupRowPM" sheetId="7" r:id="rId9"/>
    <sheet state="visible" name="ClosePositionFromPM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<sst xmlns="http://schemas.openxmlformats.org/spreadsheetml/2006/main" count="380" uniqueCount="67">
  <si>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</si>
  <si>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</si>
  <si>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</si>
  <si>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</si>
  <si>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</si>
  <si>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</si>
  <si>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</si>
  <si>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</si>
  <si>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</si>
  <si>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</si>
  <si>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</si>
  <si>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</si>
  <si>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</si>
  <si>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</si>
  <si>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</si>
  <si>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</si>
  <si>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</si>
  <si>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</si>
  <si>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E:\DistributedAutomation\TestAutomationV2.5\Release\Import Cases\TickerList.xls</t>
  </si>
  <si>
    <t>CreateDoneAwayOrder</t>
  </si>
  <si>
    <t>MSFT</t>
  </si>
  <si>
    <t>Buy</t>
  </si>
  <si>
    <t>Allocation1</t>
  </si>
  <si>
    <t>Allocation2</t>
  </si>
  <si>
    <t>PortfolioManagement</t>
  </si>
  <si>
    <t>GroupRowPM</t>
  </si>
  <si>
    <t>Symbol</t>
  </si>
  <si>
    <t>ClosePositionFromPM</t>
  </si>
  <si>
    <t>Sell</t>
  </si>
  <si>
    <t>Blotter</t>
  </si>
  <si>
    <t>VerifyOrder</t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</si>
  <si>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</si>
  <si>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</si>
  <si>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</si>
  <si>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</si>
  <si>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</si>
  <si>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</si>
  <si>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</si>
  <si>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</si>
  <si>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</si>
  <si>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</si>
  <si>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</si>
  <si>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NewMF1</t>
  </si>
  <si>
    <t>Multiple</t>
  </si>
  <si>
    <t>Allocation</t>
  </si>
  <si>
    <t>GetDataAllocation</t>
  </si>
  <si>
    <t>Current</t>
  </si>
  <si>
    <t>CheckAllocatedGroups</t>
  </si>
  <si>
    <t>Open</t>
  </si>
  <si>
    <t>MICROSOFT INC</t>
  </si>
  <si>
    <t>False</t>
  </si>
  <si>
    <t>True</t>
  </si>
  <si>
    <t>CheckPortfolioManagement</t>
  </si>
  <si>
    <t>Long</t>
  </si>
  <si>
    <t>Undefined</t>
  </si>
  <si>
    <t>FIMAT</t>
  </si>
  <si>
    <t>Strategy Unallocated</t>
  </si>
  <si>
    <t>1</t>
  </si>
  <si>
    <t>Equity General</t>
  </si>
  <si>
    <t>Information Technology</t>
  </si>
  <si>
    <t>Copper</t>
  </si>
  <si>
    <t>MSFT US EQUITY</t>
  </si>
  <si>
    <t>None</t>
  </si>
  <si>
    <t>Default</t>
  </si>
  <si>
    <t>UNITED STATES</t>
  </si>
  <si>
    <t>MSFT UDA1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</si>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</sst>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IFERROR(__xludf.DUMMYFUNCTION("""COMPUTED_VALUE"""),"GetExecutionReportOrders")</f>
        <v>GetExecutionReportOrders</v>
      </c>
      <c r="C495" t="str">
        <f>IFERROR(__xludf.DUMMYFUNCTION("""COMPUTED_VALUE"""),"1hQPEUlOvv9Vi1KsbHsN6z0TIt4-v9Ckko9Z170M5bto")</f>
        <v>1hQPEUlOvv9Vi1KsbHsN6z0TIt4-v9Ckko9Z170M5bto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IFERROR(__xludf.DUMMYFUNCTION("""COMPUTED_VALUE"""),"VerifyExecutionReport")</f>
        <v>VerifyExecutionReport</v>
      </c>
      <c r="C496" t="str">
        <f>IFERROR(__xludf.DUMMYFUNCTION("""COMPUTED_VALUE"""),"15sKQ6yRs5rA6j70FvZOyg9HBsLCsZF-psuPGXdEFJSg")</f>
        <v>15sKQ6yRs5rA6j70FvZOyg9HBsLCsZF-psuPGXdEFJSg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IFERROR(__xludf.DUMMYFUNCTION("""COMPUTED_VALUE"""),"EnableDisableModule")</f>
        <v>EnableDisableModule</v>
      </c>
      <c r="C497" t="str">
        <f>IFERROR(__xludf.DUMMYFUNCTION("""COMPUTED_VALUE"""),"15tD_fIpFjzJbtr_OxvY-KeLg88908v4fXmpVzi9shPk")</f>
        <v>15tD_fIpFjzJbtr_OxvY-KeLg88908v4fXmpVzi9shPk</v>
      </c>
    </row>
    <row r="498" ht="15.75" customHeight="1">
      <c r="A498" t="str">
        <f>IFERROR(__xludf.DUMMYFUNCTION("""COMPUTED_VALUE"""),"Compliance")</f>
        <v>Compliance</v>
      </c>
      <c r="B498" t="str">
        <f>IFERROR(__xludf.DUMMYFUNCTION("""COMPUTED_VALUE"""),"VerifyRowCalculationBaseWindow")</f>
        <v>VerifyRowCalculationBaseWindow</v>
      </c>
      <c r="C498" t="str">
        <f>IFERROR(__xludf.DUMMYFUNCTION("""COMPUTED_VALUE"""),"16bZAwMHOfN8bD2TadtVor3HvDM0dtF51XYU1iRUEXpQ")</f>
        <v>16bZAwMHOfN8bD2TadtVor3HvDM0dtF51XYU1iRUEXpQ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IFERROR(__xludf.DUMMYFUNCTION("""COMPUTED_VALUE"""),"IsImportOverrideOnShortLocate")</f>
        <v>IsImportOverrideOnShortLocate</v>
      </c>
      <c r="C499" t="str">
        <f>IFERROR(__xludf.DUMMYFUNCTION("""COMPUTED_VALUE"""),"1HBroiXC_lXdWfzSFEUhcmVdGFqF-7ioRbfzMIhd-D84")</f>
        <v>1HBroiXC_lXdWfzSFEUhcmVdGFqF-7ioRbfzMIhd-D84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IFERROR(__xludf.DUMMYFUNCTION("""COMPUTED_VALUE"""),"SetShortLocateStructures")</f>
        <v>SetShortLocateStructures</v>
      </c>
      <c r="C500" t="str">
        <f>IFERROR(__xludf.DUMMYFUNCTION("""COMPUTED_VALUE"""),"1GBfDhS1Qx5z0a-XwiuVZHmjNQQNldS_oLDTK5hBKigQ")</f>
        <v>1GBfDhS1Qx5z0a-XwiuVZHmjNQQNldS_oLDTK5hBKigQ</v>
      </c>
    </row>
    <row r="501" ht="15.75" customHeight="1">
      <c r="A501" t="str">
        <f>IFERROR(__xludf.DUMMYFUNCTION("""COMPUTED_VALUE"""),"ShortLocate")</f>
        <v>ShortLocate</v>
      </c>
      <c r="B501" t="str">
        <f>IFERROR(__xludf.DUMMYFUNCTION("""COMPUTED_VALUE"""),"DownloadFile")</f>
        <v>DownloadFile</v>
      </c>
      <c r="C501" t="str">
        <f>IFERROR(__xludf.DUMMYFUNCTION("""COMPUTED_VALUE"""),"1C33h6u9nbxbc0Ij8SAALe10U-bitzt_AQkClLAmfans")</f>
        <v>1C33h6u9nbxbc0Ij8SAALe10U-bitzt_AQkClLAmfans</v>
      </c>
    </row>
    <row r="502" ht="15.75" customHeight="1">
      <c r="A502" t="str">
        <f>IFERROR(__xludf.DUMMYFUNCTION("""COMPUTED_VALUE"""),"ShortLocate")</f>
        <v>ShortLocate</v>
      </c>
      <c r="B502" t="str">
        <f>IFERROR(__xludf.DUMMYFUNCTION("""COMPUTED_VALUE"""),"SearchShortLocateUI")</f>
        <v>SearchShortLocateUI</v>
      </c>
      <c r="C502" t="str">
        <f>IFERROR(__xludf.DUMMYFUNCTION("""COMPUTED_VALUE"""),"1LYgsVcCeDjfFd0czp2BHUCNhrmdgLKWUrkF_leE2jjo")</f>
        <v>1LYgsVcCeDjfFd0czp2BHUCNhrmdgLKWUrkF_leE2jjo</v>
      </c>
    </row>
    <row r="503" ht="15.75" customHeight="1">
      <c r="A503" t="str">
        <f>IFERROR(__xludf.DUMMYFUNCTION("""COMPUTED_VALUE"""),"ShortLocate")</f>
        <v>ShortLocate</v>
      </c>
      <c r="B503" t="str">
        <f>IFERROR(__xludf.DUMMYFUNCTION("""COMPUTED_VALUE"""),"SetShortLocatePreferences")</f>
        <v>SetShortLocatePreferences</v>
      </c>
      <c r="C503" t="str">
        <f>IFERROR(__xludf.DUMMYFUNCTION("""COMPUTED_VALUE"""),"1Bb8XumY_W8vYN4wPCQjnCEQbJs1H7qhZYGScbFljlsE")</f>
        <v>1Bb8XumY_W8vYN4wPCQjnCEQbJs1H7qhZYGScbFljlsE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IFERROR(__xludf.DUMMYFUNCTION("""COMPUTED_VALUE"""),"EnableDisableModule")</f>
        <v>EnableDisableModule</v>
      </c>
      <c r="L4" s="25" t="str">
        <f>IFERROR(__xludf.DUMMYFUNCTION("""COMPUTED_VALUE"""),"IsImportOverrideOnShortLocate")</f>
        <v>IsImportOverrideOnShortLocate</v>
      </c>
      <c r="M4" s="25" t="str">
        <f>IFERROR(__xludf.DUMMYFUNCTION("""COMPUTED_VALUE"""),"SetShortLocateStructures")</f>
        <v>SetShortLocateStructures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ImportSymbol!$4:$4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100.5</v>
      </c>
      <c r="E6" s="13">
        <v>100.5</v>
      </c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21</v>
      </c>
      <c r="D7" s="13">
        <v>100.5</v>
      </c>
      <c r="E7" s="13">
        <v>100.5</v>
      </c>
      <c r="F7" s="13" t="s">
        <v>23</v>
      </c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28</v>
      </c>
      <c r="D6" s="13">
        <v>201.0</v>
      </c>
      <c r="E6" s="13">
        <v>201.0</v>
      </c>
      <c r="F6" s="8"/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IFERROR(__xludf.DUMMYFUNCTION("""COMPUTED_VALUE"""),"VerifyExecutionReport")</f>
        <v>VerifyExecutionReport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8"/>
      <c r="H6" s="13" t="s">
        <v>31</v>
      </c>
      <c r="I6" s="13" t="s">
        <v>32</v>
      </c>
      <c r="J6" s="13" t="s">
        <v>20</v>
      </c>
      <c r="K6" s="13" t="s">
        <v>33</v>
      </c>
      <c r="L6" s="13" t="s">
        <v>34</v>
      </c>
      <c r="M6" s="8"/>
      <c r="N6" s="8"/>
      <c r="O6" s="8"/>
      <c r="S6" s="9">
        <v>0.0</v>
      </c>
      <c r="T6" s="9">
        <v>0.0</v>
      </c>
      <c r="U6" s="9" t="s">
        <v>35</v>
      </c>
      <c r="AA6" s="9" t="s">
        <v>36</v>
      </c>
      <c r="AB6" s="9">
        <v>100.5</v>
      </c>
      <c r="AD6" s="9">
        <v>1.0</v>
      </c>
      <c r="AF6" s="9" t="s">
        <v>37</v>
      </c>
      <c r="AH6" s="9" t="s">
        <v>38</v>
      </c>
      <c r="AI6" s="9" t="s">
        <v>20</v>
      </c>
      <c r="AJ6" s="9" t="s">
        <v>21</v>
      </c>
      <c r="AK6" s="9" t="s">
        <v>39</v>
      </c>
      <c r="AL6" s="13">
        <v>100.5</v>
      </c>
      <c r="AM6" s="13">
        <v>100.5</v>
      </c>
      <c r="AN6" s="9">
        <v>100.0</v>
      </c>
      <c r="AO6" s="13">
        <v>100.5</v>
      </c>
      <c r="AQ6" s="9">
        <v>10.0</v>
      </c>
      <c r="AR6" s="9">
        <v>10.0</v>
      </c>
      <c r="AS6" s="9" t="s">
        <v>40</v>
      </c>
      <c r="AT6" s="9" t="s">
        <v>22</v>
      </c>
      <c r="AU6" s="9" t="s">
        <v>41</v>
      </c>
      <c r="AV6" s="32">
        <v>1005.0</v>
      </c>
      <c r="AW6" s="32">
        <v>1005.0</v>
      </c>
      <c r="AY6" s="9">
        <v>100.5</v>
      </c>
      <c r="AZ6" s="9">
        <v>0.0</v>
      </c>
      <c r="BA6" s="9" t="s">
        <v>32</v>
      </c>
    </row>
    <row r="7" ht="15.75" customHeight="1">
      <c r="A7" s="8"/>
      <c r="B7" s="8"/>
      <c r="C7" s="8"/>
      <c r="D7" s="13">
        <v>20.0</v>
      </c>
      <c r="E7" s="8"/>
      <c r="F7" s="13">
        <v>0.0</v>
      </c>
      <c r="G7" s="8"/>
      <c r="H7" s="13" t="s">
        <v>31</v>
      </c>
      <c r="I7" s="13" t="s">
        <v>32</v>
      </c>
      <c r="J7" s="13" t="s">
        <v>20</v>
      </c>
      <c r="K7" s="13" t="s">
        <v>33</v>
      </c>
      <c r="L7" s="13" t="s">
        <v>34</v>
      </c>
      <c r="M7" s="8"/>
      <c r="N7" s="8"/>
      <c r="O7" s="8"/>
      <c r="S7" s="9">
        <v>0.0</v>
      </c>
      <c r="T7" s="9">
        <v>0.0</v>
      </c>
      <c r="U7" s="9" t="s">
        <v>35</v>
      </c>
      <c r="AA7" s="9" t="s">
        <v>42</v>
      </c>
      <c r="AB7" s="9">
        <v>100.5</v>
      </c>
      <c r="AD7" s="9">
        <v>1.0</v>
      </c>
      <c r="AF7" s="9" t="s">
        <v>37</v>
      </c>
      <c r="AH7" s="9" t="s">
        <v>38</v>
      </c>
      <c r="AI7" s="9" t="s">
        <v>20</v>
      </c>
      <c r="AJ7" s="9" t="s">
        <v>21</v>
      </c>
      <c r="AK7" s="9" t="s">
        <v>39</v>
      </c>
      <c r="AL7" s="9">
        <v>100.5</v>
      </c>
      <c r="AM7" s="9">
        <v>100.5</v>
      </c>
      <c r="AN7" s="9">
        <v>100.0</v>
      </c>
      <c r="AO7" s="9">
        <v>100.5</v>
      </c>
      <c r="AQ7" s="9">
        <v>20.0</v>
      </c>
      <c r="AR7" s="9">
        <v>20.0</v>
      </c>
      <c r="AS7" s="9" t="s">
        <v>40</v>
      </c>
      <c r="AT7" s="9" t="s">
        <v>23</v>
      </c>
      <c r="AU7" s="9" t="s">
        <v>41</v>
      </c>
      <c r="AV7" s="32">
        <v>2010.0</v>
      </c>
      <c r="AW7" s="32">
        <v>2010.0</v>
      </c>
      <c r="AY7" s="9">
        <v>100.5</v>
      </c>
      <c r="AZ7" s="9">
        <v>0.0</v>
      </c>
      <c r="BA7" s="9" t="s">
        <v>32</v>
      </c>
    </row>
    <row r="8" ht="15.75" customHeight="1">
      <c r="A8" s="8"/>
      <c r="B8" s="8"/>
      <c r="C8" s="8"/>
      <c r="D8" s="13">
        <v>20.0</v>
      </c>
      <c r="E8" s="8"/>
      <c r="F8" s="13">
        <v>0.0</v>
      </c>
      <c r="G8" s="8"/>
      <c r="H8" s="13" t="s">
        <v>31</v>
      </c>
      <c r="I8" s="13" t="s">
        <v>32</v>
      </c>
      <c r="J8" s="13" t="s">
        <v>20</v>
      </c>
      <c r="K8" s="13" t="s">
        <v>33</v>
      </c>
      <c r="L8" s="13" t="s">
        <v>34</v>
      </c>
      <c r="M8" s="8"/>
      <c r="N8" s="8"/>
      <c r="O8" s="8"/>
      <c r="S8" s="9">
        <v>0.0</v>
      </c>
      <c r="T8" s="9">
        <v>0.0</v>
      </c>
      <c r="U8" s="9" t="s">
        <v>35</v>
      </c>
      <c r="AA8" s="9" t="s">
        <v>43</v>
      </c>
      <c r="AB8" s="9">
        <v>201.0</v>
      </c>
      <c r="AD8" s="9">
        <v>1.0</v>
      </c>
      <c r="AF8" s="9" t="s">
        <v>37</v>
      </c>
      <c r="AH8" s="9" t="s">
        <v>38</v>
      </c>
      <c r="AI8" s="9" t="s">
        <v>20</v>
      </c>
      <c r="AJ8" s="9" t="s">
        <v>28</v>
      </c>
      <c r="AK8" s="9" t="s">
        <v>39</v>
      </c>
      <c r="AL8" s="9">
        <v>201.0</v>
      </c>
      <c r="AM8" s="9">
        <v>201.0</v>
      </c>
      <c r="AN8" s="9">
        <v>100.0</v>
      </c>
      <c r="AO8" s="9">
        <v>201.0</v>
      </c>
      <c r="AQ8" s="9">
        <v>20.0</v>
      </c>
      <c r="AR8" s="9">
        <v>20.0</v>
      </c>
      <c r="AS8" s="9" t="s">
        <v>40</v>
      </c>
      <c r="AT8" s="9" t="s">
        <v>43</v>
      </c>
      <c r="AU8" s="9" t="s">
        <v>41</v>
      </c>
      <c r="AV8" s="32">
        <v>-4020.0</v>
      </c>
      <c r="AW8" s="32">
        <v>-4020.0</v>
      </c>
      <c r="AY8" s="9">
        <v>201.0</v>
      </c>
      <c r="AZ8" s="9">
        <v>0.0</v>
      </c>
      <c r="BA8" s="9" t="s">
        <v>32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22</v>
      </c>
      <c r="C6" s="8"/>
      <c r="D6" s="34">
        <v>0.0</v>
      </c>
      <c r="E6" s="34">
        <v>100.5</v>
      </c>
      <c r="F6" s="8"/>
      <c r="G6" s="13" t="s">
        <v>38</v>
      </c>
      <c r="H6" s="34">
        <v>4.0</v>
      </c>
      <c r="I6" s="34">
        <v>5.0</v>
      </c>
      <c r="J6" s="8"/>
      <c r="K6" s="34">
        <v>10.0</v>
      </c>
      <c r="L6" s="34">
        <v>10.0</v>
      </c>
      <c r="M6" s="8"/>
      <c r="N6" s="8"/>
      <c r="O6" s="13" t="s">
        <v>40</v>
      </c>
      <c r="Q6" s="34">
        <v>3.0</v>
      </c>
      <c r="R6" s="34">
        <v>0.0</v>
      </c>
      <c r="S6" s="35" t="s">
        <v>48</v>
      </c>
      <c r="T6" s="34">
        <v>0.0</v>
      </c>
      <c r="U6" s="34">
        <v>0.0</v>
      </c>
      <c r="V6" s="35" t="s">
        <v>49</v>
      </c>
      <c r="W6" s="34"/>
      <c r="Z6" s="35" t="s">
        <v>35</v>
      </c>
      <c r="AB6" s="34">
        <v>1.0</v>
      </c>
      <c r="AD6" s="35" t="s">
        <v>31</v>
      </c>
      <c r="AE6" s="34">
        <v>100.5</v>
      </c>
      <c r="AH6" s="9" t="s">
        <v>37</v>
      </c>
      <c r="AI6" s="9">
        <v>1.0</v>
      </c>
      <c r="AN6" s="35" t="s">
        <v>50</v>
      </c>
      <c r="AP6" s="35" t="s">
        <v>51</v>
      </c>
      <c r="AQ6" s="35" t="s">
        <v>50</v>
      </c>
      <c r="AR6" s="35" t="s">
        <v>51</v>
      </c>
      <c r="AT6" s="34">
        <v>1019.0006</v>
      </c>
      <c r="AU6" s="34">
        <v>1019.0006</v>
      </c>
      <c r="AW6" s="34">
        <v>0.0</v>
      </c>
      <c r="AX6" s="34">
        <v>0.0</v>
      </c>
      <c r="AY6" s="9" t="s">
        <v>41</v>
      </c>
      <c r="AZ6" s="34">
        <v>0.0</v>
      </c>
      <c r="BC6" s="34">
        <v>0.0</v>
      </c>
      <c r="BE6" s="34">
        <v>1005.0</v>
      </c>
      <c r="BF6" s="34">
        <v>1005.0</v>
      </c>
      <c r="BJ6" s="34">
        <v>100.5</v>
      </c>
      <c r="BK6" s="34">
        <v>0.0</v>
      </c>
      <c r="BM6" s="35" t="s">
        <v>35</v>
      </c>
      <c r="BO6" s="35" t="s">
        <v>21</v>
      </c>
      <c r="BP6" s="34">
        <v>0.0</v>
      </c>
      <c r="BQ6" s="34">
        <v>0.0</v>
      </c>
      <c r="BT6" s="9" t="s">
        <v>20</v>
      </c>
      <c r="BU6" s="34">
        <v>3.0</v>
      </c>
      <c r="BV6" s="34">
        <v>0.0</v>
      </c>
      <c r="BW6" s="34">
        <v>14.0006</v>
      </c>
      <c r="BX6" s="34">
        <v>0.0</v>
      </c>
      <c r="CF6" s="35" t="s">
        <v>34</v>
      </c>
      <c r="CG6" s="34">
        <v>2.0</v>
      </c>
      <c r="CH6" s="35" t="s">
        <v>16</v>
      </c>
      <c r="CI6" s="35" t="s">
        <v>21</v>
      </c>
      <c r="CJ6" s="34">
        <v>0.0</v>
      </c>
      <c r="CK6" s="35" t="s">
        <v>33</v>
      </c>
      <c r="CL6" s="34">
        <v>1.0</v>
      </c>
      <c r="CM6" s="35" t="s">
        <v>20</v>
      </c>
    </row>
    <row r="7" ht="15.75" customHeight="1">
      <c r="A7" s="8"/>
      <c r="B7" s="35" t="s">
        <v>23</v>
      </c>
      <c r="C7" s="8"/>
      <c r="D7" s="34">
        <v>0.0</v>
      </c>
      <c r="E7" s="34">
        <v>100.5</v>
      </c>
      <c r="F7" s="8"/>
      <c r="G7" s="13" t="s">
        <v>38</v>
      </c>
      <c r="H7" s="34">
        <v>4.0</v>
      </c>
      <c r="I7" s="34">
        <v>5.0</v>
      </c>
      <c r="J7" s="8"/>
      <c r="K7" s="34">
        <v>20.0</v>
      </c>
      <c r="L7" s="34">
        <v>20.0</v>
      </c>
      <c r="M7" s="8"/>
      <c r="N7" s="8"/>
      <c r="O7" s="13" t="s">
        <v>40</v>
      </c>
      <c r="Q7" s="34">
        <v>3.0</v>
      </c>
      <c r="R7" s="34">
        <v>0.0</v>
      </c>
      <c r="S7" s="35" t="s">
        <v>48</v>
      </c>
      <c r="T7" s="34">
        <v>0.0</v>
      </c>
      <c r="U7" s="34">
        <v>0.0</v>
      </c>
      <c r="V7" s="35" t="s">
        <v>49</v>
      </c>
      <c r="W7" s="34"/>
      <c r="Z7" s="35" t="s">
        <v>35</v>
      </c>
      <c r="AB7" s="34">
        <v>1.0</v>
      </c>
      <c r="AD7" s="35" t="s">
        <v>31</v>
      </c>
      <c r="AE7" s="34">
        <v>100.5</v>
      </c>
      <c r="AH7" s="9" t="s">
        <v>37</v>
      </c>
      <c r="AI7" s="9">
        <v>1.0</v>
      </c>
      <c r="AN7" s="35" t="s">
        <v>50</v>
      </c>
      <c r="AP7" s="35" t="s">
        <v>51</v>
      </c>
      <c r="AQ7" s="35" t="s">
        <v>50</v>
      </c>
      <c r="AR7" s="35" t="s">
        <v>51</v>
      </c>
      <c r="AT7" s="34">
        <v>2024.0011</v>
      </c>
      <c r="AU7" s="34">
        <v>2024.0011</v>
      </c>
      <c r="AW7" s="34">
        <v>0.0</v>
      </c>
      <c r="AX7" s="34">
        <v>0.0</v>
      </c>
      <c r="AY7" s="9" t="s">
        <v>41</v>
      </c>
      <c r="AZ7" s="34">
        <v>0.0</v>
      </c>
      <c r="BC7" s="34">
        <v>0.0</v>
      </c>
      <c r="BE7" s="34">
        <v>2010.0</v>
      </c>
      <c r="BF7" s="34">
        <v>2010.0</v>
      </c>
      <c r="BJ7" s="34">
        <v>100.5</v>
      </c>
      <c r="BK7" s="34">
        <v>0.0</v>
      </c>
      <c r="BM7" s="35" t="s">
        <v>35</v>
      </c>
      <c r="BO7" s="35" t="s">
        <v>21</v>
      </c>
      <c r="BP7" s="34">
        <v>0.0</v>
      </c>
      <c r="BQ7" s="34">
        <v>0.0</v>
      </c>
      <c r="BT7" s="9" t="s">
        <v>20</v>
      </c>
      <c r="BU7" s="34">
        <v>3.0</v>
      </c>
      <c r="BV7" s="34">
        <v>0.0</v>
      </c>
      <c r="BW7" s="34">
        <v>14.0011</v>
      </c>
      <c r="BX7" s="34">
        <v>0.0</v>
      </c>
      <c r="CF7" s="35" t="s">
        <v>34</v>
      </c>
      <c r="CG7" s="34">
        <v>2.0</v>
      </c>
      <c r="CH7" s="35" t="s">
        <v>16</v>
      </c>
      <c r="CI7" s="35" t="s">
        <v>21</v>
      </c>
      <c r="CJ7" s="34">
        <v>0.0</v>
      </c>
      <c r="CK7" s="35" t="s">
        <v>33</v>
      </c>
      <c r="CL7" s="34">
        <v>1.0</v>
      </c>
      <c r="CM7" s="35" t="s">
        <v>20</v>
      </c>
    </row>
    <row r="8" ht="15.75" customHeight="1">
      <c r="A8" s="8"/>
      <c r="B8" s="35" t="s">
        <v>43</v>
      </c>
      <c r="C8" s="8"/>
      <c r="D8" s="34">
        <v>0.0</v>
      </c>
      <c r="E8" s="34">
        <v>201.0</v>
      </c>
      <c r="F8" s="8"/>
      <c r="G8" s="13" t="s">
        <v>38</v>
      </c>
      <c r="H8" s="34">
        <v>4.0</v>
      </c>
      <c r="I8" s="34">
        <v>5.0</v>
      </c>
      <c r="J8" s="8"/>
      <c r="K8" s="34">
        <v>20.0</v>
      </c>
      <c r="L8" s="34">
        <v>20.0</v>
      </c>
      <c r="M8" s="8"/>
      <c r="N8" s="8"/>
      <c r="O8" s="13" t="s">
        <v>40</v>
      </c>
      <c r="Q8" s="34">
        <v>3.0</v>
      </c>
      <c r="R8" s="34">
        <v>0.0</v>
      </c>
      <c r="S8" s="35" t="s">
        <v>48</v>
      </c>
      <c r="T8" s="34">
        <v>0.0</v>
      </c>
      <c r="U8" s="34">
        <v>0.0</v>
      </c>
      <c r="V8" s="35" t="s">
        <v>49</v>
      </c>
      <c r="W8" s="34"/>
      <c r="Z8" s="35" t="s">
        <v>35</v>
      </c>
      <c r="AB8" s="34">
        <v>1.0</v>
      </c>
      <c r="AD8" s="35" t="s">
        <v>31</v>
      </c>
      <c r="AE8" s="34">
        <v>201.0</v>
      </c>
      <c r="AH8" s="9" t="s">
        <v>37</v>
      </c>
      <c r="AI8" s="9">
        <v>1.0</v>
      </c>
      <c r="AN8" s="35" t="s">
        <v>50</v>
      </c>
      <c r="AP8" s="35" t="s">
        <v>51</v>
      </c>
      <c r="AQ8" s="35" t="s">
        <v>50</v>
      </c>
      <c r="AR8" s="35" t="s">
        <v>51</v>
      </c>
      <c r="AT8" s="34">
        <v>4005.9977</v>
      </c>
      <c r="AU8" s="34">
        <v>4005.9977</v>
      </c>
      <c r="AW8" s="34">
        <v>0.0</v>
      </c>
      <c r="AX8" s="34">
        <v>0.0</v>
      </c>
      <c r="AY8" s="9" t="s">
        <v>41</v>
      </c>
      <c r="AZ8" s="34">
        <v>0.0</v>
      </c>
      <c r="BC8" s="34">
        <v>0.0</v>
      </c>
      <c r="BE8" s="34">
        <v>4020.0</v>
      </c>
      <c r="BF8" s="34">
        <v>4020.0</v>
      </c>
      <c r="BJ8" s="34">
        <v>201.0</v>
      </c>
      <c r="BK8" s="34">
        <v>0.0</v>
      </c>
      <c r="BM8" s="35" t="s">
        <v>35</v>
      </c>
      <c r="BO8" s="35" t="s">
        <v>28</v>
      </c>
      <c r="BP8" s="34">
        <v>0.0</v>
      </c>
      <c r="BQ8" s="34">
        <v>0.0</v>
      </c>
      <c r="BT8" s="9" t="s">
        <v>20</v>
      </c>
      <c r="BU8" s="34">
        <v>3.0</v>
      </c>
      <c r="BV8" s="34">
        <v>0.0</v>
      </c>
      <c r="BW8" s="34">
        <v>14.0023</v>
      </c>
      <c r="BX8" s="34">
        <v>0.0</v>
      </c>
      <c r="CF8" s="35" t="s">
        <v>34</v>
      </c>
      <c r="CG8" s="34">
        <v>2.0</v>
      </c>
      <c r="CH8" s="35" t="s">
        <v>16</v>
      </c>
      <c r="CI8" s="35" t="s">
        <v>28</v>
      </c>
      <c r="CJ8" s="34">
        <v>0.0</v>
      </c>
      <c r="CK8" s="35" t="s">
        <v>33</v>
      </c>
      <c r="CL8" s="34">
        <v>1.0</v>
      </c>
      <c r="CM8" s="35" t="s">
        <v>20</v>
      </c>
    </row>
    <row r="9" ht="15.75" customHeight="1">
      <c r="A9" s="8"/>
      <c r="B9" s="35"/>
      <c r="C9" s="8"/>
      <c r="D9" s="35"/>
      <c r="E9" s="35"/>
      <c r="F9" s="8"/>
      <c r="G9" s="13"/>
      <c r="H9" s="8"/>
      <c r="I9" s="8"/>
      <c r="J9" s="8"/>
      <c r="K9" s="8"/>
      <c r="L9" s="8"/>
      <c r="M9" s="8"/>
      <c r="N9" s="8"/>
      <c r="O9" s="8"/>
      <c r="Q9" s="35"/>
      <c r="S9" s="35"/>
      <c r="AB9" s="35"/>
      <c r="AD9" s="35"/>
      <c r="AE9" s="35"/>
      <c r="AP9" s="35"/>
      <c r="AR9" s="35"/>
      <c r="AT9" s="35"/>
      <c r="AU9" s="35"/>
      <c r="BK9" s="35"/>
      <c r="BU9" s="35"/>
      <c r="CF9" s="35"/>
      <c r="CG9" s="35"/>
      <c r="CJ9" s="35"/>
      <c r="CM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CJ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93" width="14.43"/>
    <col customWidth="1" min="94" max="94" width="17.71"/>
    <col customWidth="1" min="95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33" t="s">
        <v>20</v>
      </c>
      <c r="D6" s="36">
        <v>100.5</v>
      </c>
      <c r="E6" s="33" t="s">
        <v>22</v>
      </c>
      <c r="F6" s="33" t="s">
        <v>36</v>
      </c>
      <c r="G6" s="36">
        <v>10.0</v>
      </c>
      <c r="H6" s="33" t="s">
        <v>53</v>
      </c>
      <c r="I6" s="36">
        <v>0.0</v>
      </c>
      <c r="J6" s="13">
        <v>0.0</v>
      </c>
      <c r="K6" s="13">
        <v>0.0</v>
      </c>
      <c r="L6" s="13">
        <v>0.0</v>
      </c>
      <c r="M6" s="13">
        <v>0.0</v>
      </c>
      <c r="N6" s="36">
        <v>-1005.0</v>
      </c>
      <c r="O6" s="33" t="s">
        <v>49</v>
      </c>
      <c r="P6" s="35" t="s">
        <v>54</v>
      </c>
      <c r="Q6" s="36">
        <v>-1005.0</v>
      </c>
      <c r="R6" s="33" t="s">
        <v>55</v>
      </c>
      <c r="S6" s="35" t="s">
        <v>56</v>
      </c>
      <c r="T6" s="33" t="s">
        <v>38</v>
      </c>
      <c r="U6" s="33" t="s">
        <v>33</v>
      </c>
      <c r="V6" s="33" t="s">
        <v>31</v>
      </c>
      <c r="W6" s="33" t="s">
        <v>35</v>
      </c>
      <c r="X6" s="36">
        <v>1.0</v>
      </c>
      <c r="Y6" s="36">
        <v>1.0</v>
      </c>
      <c r="AB6" s="36">
        <v>0.0</v>
      </c>
      <c r="AC6" s="36">
        <v>0.0</v>
      </c>
      <c r="AD6" s="36">
        <v>0.0</v>
      </c>
      <c r="AE6" s="36">
        <v>0.0</v>
      </c>
      <c r="AF6" s="36">
        <v>100.5</v>
      </c>
      <c r="AG6" s="36">
        <v>0.0</v>
      </c>
      <c r="AH6" s="36">
        <v>0.0</v>
      </c>
      <c r="AI6" s="36">
        <v>0.0</v>
      </c>
      <c r="AJ6" s="36">
        <v>0.0</v>
      </c>
      <c r="AK6" s="36">
        <v>-1005.0</v>
      </c>
      <c r="AL6" s="36">
        <v>1.0</v>
      </c>
      <c r="AM6" s="36">
        <v>1.0</v>
      </c>
      <c r="AN6" s="9" t="s">
        <v>21</v>
      </c>
      <c r="AP6" s="33" t="s">
        <v>53</v>
      </c>
      <c r="AQ6" s="33" t="s">
        <v>20</v>
      </c>
      <c r="AR6" s="36">
        <v>0.0</v>
      </c>
      <c r="AS6" s="36">
        <v>1.0</v>
      </c>
      <c r="AV6" s="36" t="s">
        <v>57</v>
      </c>
      <c r="AW6" s="36">
        <v>-1005.0</v>
      </c>
      <c r="AX6" s="36">
        <v>0.0</v>
      </c>
      <c r="AY6" s="36">
        <v>0.0</v>
      </c>
      <c r="AZ6" s="36">
        <v>0.0</v>
      </c>
      <c r="BA6" s="36">
        <v>-100.0</v>
      </c>
      <c r="BC6" s="36">
        <v>1.0</v>
      </c>
      <c r="BD6" s="36">
        <v>-1005.0</v>
      </c>
      <c r="BE6" s="33" t="s">
        <v>38</v>
      </c>
      <c r="BF6" s="33" t="s">
        <v>58</v>
      </c>
      <c r="BG6" s="33" t="s">
        <v>59</v>
      </c>
      <c r="BH6" s="33" t="s">
        <v>60</v>
      </c>
      <c r="BI6" s="33" t="s">
        <v>54</v>
      </c>
      <c r="BJ6" s="36">
        <v>0.0</v>
      </c>
      <c r="BK6" s="36">
        <v>0.0</v>
      </c>
      <c r="BL6" s="36">
        <v>0.0</v>
      </c>
      <c r="BM6" s="36">
        <v>0.0</v>
      </c>
      <c r="BO6" s="36">
        <v>-1005.0</v>
      </c>
      <c r="BP6" s="36">
        <v>0.0</v>
      </c>
      <c r="BQ6" s="35" t="s">
        <v>32</v>
      </c>
      <c r="BR6" s="33" t="s">
        <v>40</v>
      </c>
      <c r="BS6" s="36">
        <v>0.0</v>
      </c>
      <c r="BT6" s="36">
        <v>0.0</v>
      </c>
      <c r="BU6" s="33" t="s">
        <v>38</v>
      </c>
      <c r="BW6" s="36">
        <v>0.0</v>
      </c>
      <c r="BX6" s="36">
        <v>0.0</v>
      </c>
      <c r="BY6" s="36">
        <v>0.0</v>
      </c>
      <c r="BZ6" s="36">
        <v>0.0</v>
      </c>
      <c r="CA6" s="36">
        <v>0.0</v>
      </c>
      <c r="CC6" s="36">
        <v>0.0</v>
      </c>
      <c r="CD6" s="36">
        <v>-1005.0</v>
      </c>
      <c r="CE6" s="36">
        <v>0.0</v>
      </c>
      <c r="CF6" s="36">
        <v>0.0</v>
      </c>
      <c r="CG6" s="36">
        <v>-1005.0</v>
      </c>
      <c r="CH6" s="36">
        <v>-100.0</v>
      </c>
      <c r="CI6" s="36">
        <v>0.0</v>
      </c>
      <c r="CJ6" s="36">
        <v>0.0</v>
      </c>
      <c r="CK6" s="37" t="b">
        <v>0</v>
      </c>
      <c r="CP6" s="33" t="s">
        <v>61</v>
      </c>
      <c r="CS6" s="36">
        <v>10.0</v>
      </c>
      <c r="CY6" s="33" t="s">
        <v>62</v>
      </c>
      <c r="CZ6" s="33" t="s">
        <v>63</v>
      </c>
      <c r="DA6" s="36">
        <v>0.0</v>
      </c>
      <c r="DB6" s="36">
        <v>0.0</v>
      </c>
      <c r="DD6" s="36">
        <v>100.5</v>
      </c>
      <c r="DE6" s="36">
        <v>0.0</v>
      </c>
      <c r="DF6" s="36">
        <v>0.0</v>
      </c>
      <c r="DG6" s="36">
        <v>0.0</v>
      </c>
      <c r="DH6" s="33" t="s">
        <v>54</v>
      </c>
      <c r="DI6" s="36">
        <v>0.0</v>
      </c>
      <c r="DJ6" s="33" t="s">
        <v>21</v>
      </c>
      <c r="DK6" s="36">
        <v>0.0</v>
      </c>
      <c r="DL6" s="36">
        <v>0.0</v>
      </c>
      <c r="DM6" s="36">
        <v>1.0</v>
      </c>
      <c r="DN6" s="36">
        <v>0.0</v>
      </c>
      <c r="DP6" s="33" t="s">
        <v>53</v>
      </c>
      <c r="DQ6" s="33" t="s">
        <v>54</v>
      </c>
      <c r="DR6" s="33" t="s">
        <v>64</v>
      </c>
      <c r="DS6" s="33" t="s">
        <v>65</v>
      </c>
      <c r="DT6" s="33" t="s">
        <v>54</v>
      </c>
      <c r="DU6" s="33" t="s">
        <v>54</v>
      </c>
      <c r="DV6" s="33" t="s">
        <v>54</v>
      </c>
      <c r="DY6" s="33" t="s">
        <v>54</v>
      </c>
      <c r="DZ6" s="33" t="s">
        <v>49</v>
      </c>
      <c r="EA6" s="33" t="s">
        <v>66</v>
      </c>
      <c r="EB6" s="33" t="s">
        <v>54</v>
      </c>
      <c r="EC6" s="33" t="s">
        <v>54</v>
      </c>
      <c r="ED6" s="33" t="s">
        <v>35</v>
      </c>
      <c r="EF6" s="36">
        <v>0.0</v>
      </c>
      <c r="EG6" s="36">
        <v>0.0</v>
      </c>
      <c r="EH6" s="36">
        <v>0.0</v>
      </c>
      <c r="EI6" s="36">
        <v>0.0</v>
      </c>
      <c r="EJ6" s="36">
        <v>0.0</v>
      </c>
      <c r="EK6" s="36">
        <v>0.0</v>
      </c>
      <c r="EL6" s="33" t="s">
        <v>53</v>
      </c>
      <c r="EM6" s="36">
        <v>0.0</v>
      </c>
      <c r="EN6" s="36">
        <v>0.0</v>
      </c>
      <c r="EO6" s="36">
        <v>0.0</v>
      </c>
      <c r="EQ6" s="36">
        <v>0.0</v>
      </c>
      <c r="ER6" s="36">
        <v>0.0</v>
      </c>
      <c r="EU6" s="36">
        <v>0.0</v>
      </c>
      <c r="EV6" s="33" t="s">
        <v>53</v>
      </c>
    </row>
    <row r="7" ht="15.75" customHeight="1">
      <c r="A7" s="8"/>
      <c r="B7" s="8"/>
      <c r="C7" s="33" t="s">
        <v>20</v>
      </c>
      <c r="D7" s="36">
        <v>-100.0</v>
      </c>
      <c r="E7" s="33" t="s">
        <v>22</v>
      </c>
      <c r="F7" s="33" t="s">
        <v>36</v>
      </c>
      <c r="G7" s="36">
        <v>20.0</v>
      </c>
      <c r="H7" s="33" t="s">
        <v>53</v>
      </c>
      <c r="I7" s="36">
        <v>0.0</v>
      </c>
      <c r="J7" s="13">
        <v>0.0</v>
      </c>
      <c r="K7" s="13">
        <v>0.0</v>
      </c>
      <c r="L7" s="13">
        <v>0.0</v>
      </c>
      <c r="M7" s="13">
        <v>0.0</v>
      </c>
      <c r="N7" s="36">
        <v>2000.0</v>
      </c>
      <c r="O7" s="33" t="s">
        <v>49</v>
      </c>
      <c r="P7" s="35" t="s">
        <v>54</v>
      </c>
      <c r="Q7" s="36">
        <v>2000.0</v>
      </c>
      <c r="R7" s="33" t="s">
        <v>55</v>
      </c>
      <c r="S7" s="35" t="s">
        <v>56</v>
      </c>
      <c r="T7" s="33" t="s">
        <v>38</v>
      </c>
      <c r="U7" s="33" t="s">
        <v>33</v>
      </c>
      <c r="V7" s="33" t="s">
        <v>31</v>
      </c>
      <c r="W7" s="33" t="s">
        <v>35</v>
      </c>
      <c r="X7" s="36">
        <v>1.0</v>
      </c>
      <c r="Y7" s="36">
        <v>1.0</v>
      </c>
      <c r="AB7" s="36">
        <v>0.0</v>
      </c>
      <c r="AC7" s="36">
        <v>0.0</v>
      </c>
      <c r="AD7" s="36">
        <v>0.0</v>
      </c>
      <c r="AE7" s="36">
        <v>0.0</v>
      </c>
      <c r="AF7" s="36">
        <v>-100.0</v>
      </c>
      <c r="AG7" s="36">
        <v>0.0</v>
      </c>
      <c r="AH7" s="36">
        <v>0.0</v>
      </c>
      <c r="AI7" s="36">
        <v>0.0</v>
      </c>
      <c r="AJ7" s="36">
        <v>0.0</v>
      </c>
      <c r="AK7" s="36">
        <v>2000.0</v>
      </c>
      <c r="AL7" s="36">
        <v>1.0</v>
      </c>
      <c r="AM7" s="36">
        <v>1.0</v>
      </c>
      <c r="AN7" s="9" t="s">
        <v>28</v>
      </c>
      <c r="AP7" s="33" t="s">
        <v>53</v>
      </c>
      <c r="AQ7" s="33" t="s">
        <v>20</v>
      </c>
      <c r="AR7" s="36">
        <v>0.0</v>
      </c>
      <c r="AS7" s="36">
        <v>-1.0</v>
      </c>
      <c r="AV7" s="36" t="s">
        <v>57</v>
      </c>
      <c r="AW7" s="36">
        <v>2000.0</v>
      </c>
      <c r="AX7" s="36">
        <v>0.0</v>
      </c>
      <c r="AY7" s="36">
        <v>0.0</v>
      </c>
      <c r="AZ7" s="36">
        <v>0.0</v>
      </c>
      <c r="BA7" s="36">
        <v>100.0</v>
      </c>
      <c r="BC7" s="36">
        <v>1.0</v>
      </c>
      <c r="BD7" s="36">
        <v>2000.0</v>
      </c>
      <c r="BE7" s="33" t="s">
        <v>38</v>
      </c>
      <c r="BF7" s="33" t="s">
        <v>58</v>
      </c>
      <c r="BG7" s="33" t="s">
        <v>59</v>
      </c>
      <c r="BH7" s="33" t="s">
        <v>60</v>
      </c>
      <c r="BI7" s="33" t="s">
        <v>54</v>
      </c>
      <c r="BJ7" s="36">
        <v>0.0</v>
      </c>
      <c r="BK7" s="36">
        <v>0.0</v>
      </c>
      <c r="BL7" s="36">
        <v>0.0</v>
      </c>
      <c r="BM7" s="36">
        <v>0.0</v>
      </c>
      <c r="BO7" s="36">
        <v>2000.0</v>
      </c>
      <c r="BP7" s="36">
        <v>0.0</v>
      </c>
      <c r="BQ7" s="35" t="s">
        <v>32</v>
      </c>
      <c r="BR7" s="33" t="s">
        <v>40</v>
      </c>
      <c r="BS7" s="36">
        <v>0.0</v>
      </c>
      <c r="BT7" s="36">
        <v>0.0</v>
      </c>
      <c r="BU7" s="33" t="s">
        <v>38</v>
      </c>
      <c r="BW7" s="36">
        <v>0.0</v>
      </c>
      <c r="BX7" s="36">
        <v>0.0</v>
      </c>
      <c r="BY7" s="36">
        <v>0.0</v>
      </c>
      <c r="BZ7" s="36">
        <v>0.0</v>
      </c>
      <c r="CA7" s="36">
        <v>0.0</v>
      </c>
      <c r="CC7" s="36">
        <v>0.0</v>
      </c>
      <c r="CD7" s="36">
        <v>2000.0</v>
      </c>
      <c r="CE7" s="36">
        <v>0.0</v>
      </c>
      <c r="CF7" s="36">
        <v>0.0</v>
      </c>
      <c r="CG7" s="36">
        <v>2000.0</v>
      </c>
      <c r="CH7" s="36">
        <v>100.0</v>
      </c>
      <c r="CI7" s="36">
        <v>0.0</v>
      </c>
      <c r="CJ7" s="36">
        <v>0.0</v>
      </c>
      <c r="CK7" s="37" t="b">
        <v>0</v>
      </c>
      <c r="CP7" s="33" t="s">
        <v>61</v>
      </c>
      <c r="CS7" s="36">
        <v>20.0</v>
      </c>
      <c r="CY7" s="33" t="s">
        <v>62</v>
      </c>
      <c r="CZ7" s="33" t="s">
        <v>63</v>
      </c>
      <c r="DA7" s="36">
        <v>0.0</v>
      </c>
      <c r="DB7" s="36">
        <v>0.0</v>
      </c>
      <c r="DD7" s="36">
        <v>-100.0</v>
      </c>
      <c r="DE7" s="36">
        <v>0.0</v>
      </c>
      <c r="DF7" s="36">
        <v>0.0</v>
      </c>
      <c r="DG7" s="36">
        <v>0.0</v>
      </c>
      <c r="DH7" s="33" t="s">
        <v>54</v>
      </c>
      <c r="DI7" s="36">
        <v>0.0</v>
      </c>
      <c r="DJ7" s="33" t="s">
        <v>28</v>
      </c>
      <c r="DK7" s="36">
        <v>0.0</v>
      </c>
      <c r="DL7" s="36">
        <v>0.0</v>
      </c>
      <c r="DM7" s="36">
        <v>1.0</v>
      </c>
      <c r="DN7" s="36">
        <v>0.0</v>
      </c>
      <c r="DP7" s="33" t="s">
        <v>53</v>
      </c>
      <c r="DQ7" s="33" t="s">
        <v>54</v>
      </c>
      <c r="DR7" s="33" t="s">
        <v>64</v>
      </c>
      <c r="DS7" s="33" t="s">
        <v>65</v>
      </c>
      <c r="DT7" s="33" t="s">
        <v>54</v>
      </c>
      <c r="DU7" s="33" t="s">
        <v>54</v>
      </c>
      <c r="DV7" s="33" t="s">
        <v>54</v>
      </c>
      <c r="DY7" s="33" t="s">
        <v>54</v>
      </c>
      <c r="DZ7" s="33" t="s">
        <v>49</v>
      </c>
      <c r="EA7" s="33" t="s">
        <v>66</v>
      </c>
      <c r="EB7" s="33" t="s">
        <v>54</v>
      </c>
      <c r="EC7" s="33" t="s">
        <v>54</v>
      </c>
      <c r="ED7" s="33" t="s">
        <v>35</v>
      </c>
      <c r="EF7" s="36">
        <v>0.0</v>
      </c>
      <c r="EG7" s="36">
        <v>0.0</v>
      </c>
      <c r="EH7" s="36">
        <v>0.0</v>
      </c>
      <c r="EI7" s="36">
        <v>0.0</v>
      </c>
      <c r="EJ7" s="36">
        <v>0.0</v>
      </c>
      <c r="EK7" s="36">
        <v>0.0</v>
      </c>
      <c r="EL7" s="33" t="s">
        <v>53</v>
      </c>
      <c r="EM7" s="36">
        <v>0.0</v>
      </c>
      <c r="EN7" s="36">
        <v>0.0</v>
      </c>
      <c r="EO7" s="36">
        <v>0.0</v>
      </c>
      <c r="EQ7" s="36">
        <v>0.0</v>
      </c>
      <c r="ER7" s="36">
        <v>0.0</v>
      </c>
      <c r="EU7" s="36">
        <v>0.0</v>
      </c>
      <c r="EV7" s="33" t="s">
        <v>53</v>
      </c>
    </row>
    <row r="8" ht="15.75" customHeight="1">
      <c r="A8" s="8"/>
      <c r="B8" s="8"/>
      <c r="C8" s="33" t="s">
        <v>20</v>
      </c>
      <c r="D8" s="36">
        <v>100.5</v>
      </c>
      <c r="E8" s="33" t="s">
        <v>23</v>
      </c>
      <c r="F8" s="33" t="s">
        <v>42</v>
      </c>
      <c r="G8" s="36">
        <v>20.0</v>
      </c>
      <c r="H8" s="33" t="s">
        <v>53</v>
      </c>
      <c r="I8" s="36">
        <v>0.0</v>
      </c>
      <c r="J8" s="13">
        <v>0.0</v>
      </c>
      <c r="K8" s="13">
        <v>0.0</v>
      </c>
      <c r="L8" s="13">
        <v>0.0</v>
      </c>
      <c r="M8" s="13">
        <v>0.0</v>
      </c>
      <c r="N8" s="36">
        <v>-2010.0</v>
      </c>
      <c r="O8" s="33" t="s">
        <v>49</v>
      </c>
      <c r="P8" s="35" t="s">
        <v>54</v>
      </c>
      <c r="Q8" s="36">
        <v>-2010.0</v>
      </c>
      <c r="R8" s="33" t="s">
        <v>40</v>
      </c>
      <c r="S8" s="35" t="s">
        <v>56</v>
      </c>
      <c r="T8" s="33" t="s">
        <v>38</v>
      </c>
      <c r="U8" s="33" t="s">
        <v>33</v>
      </c>
      <c r="V8" s="33" t="s">
        <v>31</v>
      </c>
      <c r="W8" s="33" t="s">
        <v>35</v>
      </c>
      <c r="X8" s="36">
        <v>1.0</v>
      </c>
      <c r="Y8" s="36">
        <v>1.0</v>
      </c>
      <c r="AB8" s="36">
        <v>0.0</v>
      </c>
      <c r="AC8" s="36">
        <v>0.0</v>
      </c>
      <c r="AD8" s="36">
        <v>0.0</v>
      </c>
      <c r="AE8" s="36">
        <v>0.0</v>
      </c>
      <c r="AF8" s="36">
        <v>100.5</v>
      </c>
      <c r="AG8" s="36">
        <v>0.0</v>
      </c>
      <c r="AH8" s="36">
        <v>0.0</v>
      </c>
      <c r="AI8" s="36">
        <v>0.0</v>
      </c>
      <c r="AJ8" s="36">
        <v>0.0</v>
      </c>
      <c r="AK8" s="36">
        <v>-2010.0</v>
      </c>
      <c r="AL8" s="36">
        <v>1.0</v>
      </c>
      <c r="AM8" s="36">
        <v>1.0</v>
      </c>
      <c r="AN8" s="9" t="s">
        <v>21</v>
      </c>
      <c r="AP8" s="33" t="s">
        <v>53</v>
      </c>
      <c r="AQ8" s="33" t="s">
        <v>20</v>
      </c>
      <c r="AR8" s="36">
        <v>0.0</v>
      </c>
      <c r="AS8" s="36">
        <v>1.0</v>
      </c>
      <c r="AV8" s="36" t="s">
        <v>57</v>
      </c>
      <c r="AW8" s="36">
        <v>-2010.0</v>
      </c>
      <c r="AX8" s="36">
        <v>0.0</v>
      </c>
      <c r="AY8" s="36">
        <v>0.0</v>
      </c>
      <c r="AZ8" s="36">
        <v>0.0</v>
      </c>
      <c r="BA8" s="36">
        <v>-100.0</v>
      </c>
      <c r="BC8" s="36">
        <v>1.0</v>
      </c>
      <c r="BD8" s="36">
        <v>-2010.0</v>
      </c>
      <c r="BE8" s="33" t="s">
        <v>38</v>
      </c>
      <c r="BF8" s="33" t="s">
        <v>58</v>
      </c>
      <c r="BG8" s="33" t="s">
        <v>59</v>
      </c>
      <c r="BH8" s="33" t="s">
        <v>60</v>
      </c>
      <c r="BI8" s="33" t="s">
        <v>54</v>
      </c>
      <c r="BJ8" s="36">
        <v>0.0</v>
      </c>
      <c r="BK8" s="36">
        <v>0.0</v>
      </c>
      <c r="BL8" s="36">
        <v>0.0</v>
      </c>
      <c r="BM8" s="36">
        <v>0.0</v>
      </c>
      <c r="BO8" s="36">
        <v>-2010.0</v>
      </c>
      <c r="BP8" s="36">
        <v>0.0</v>
      </c>
      <c r="BQ8" s="35" t="s">
        <v>32</v>
      </c>
      <c r="BR8" s="33" t="s">
        <v>40</v>
      </c>
      <c r="BS8" s="36">
        <v>0.0</v>
      </c>
      <c r="BT8" s="36">
        <v>0.0</v>
      </c>
      <c r="BU8" s="33" t="s">
        <v>38</v>
      </c>
      <c r="BW8" s="36">
        <v>0.0</v>
      </c>
      <c r="BX8" s="36">
        <v>0.0</v>
      </c>
      <c r="BY8" s="36">
        <v>0.0</v>
      </c>
      <c r="BZ8" s="36">
        <v>0.0</v>
      </c>
      <c r="CA8" s="36">
        <v>0.0</v>
      </c>
      <c r="CC8" s="36">
        <v>0.0</v>
      </c>
      <c r="CD8" s="36">
        <v>-2010.0</v>
      </c>
      <c r="CE8" s="36">
        <v>0.0</v>
      </c>
      <c r="CF8" s="36">
        <v>0.0</v>
      </c>
      <c r="CG8" s="36">
        <v>-2010.0</v>
      </c>
      <c r="CH8" s="36">
        <v>-100.0</v>
      </c>
      <c r="CI8" s="36">
        <v>0.0</v>
      </c>
      <c r="CJ8" s="36">
        <v>0.0</v>
      </c>
      <c r="CK8" s="37" t="b">
        <v>0</v>
      </c>
      <c r="CP8" s="33" t="s">
        <v>61</v>
      </c>
      <c r="CS8" s="36">
        <v>20.0</v>
      </c>
      <c r="CY8" s="33" t="s">
        <v>62</v>
      </c>
      <c r="CZ8" s="33" t="s">
        <v>63</v>
      </c>
      <c r="DA8" s="36">
        <v>0.0</v>
      </c>
      <c r="DB8" s="36">
        <v>0.0</v>
      </c>
      <c r="DD8" s="36">
        <v>100.5</v>
      </c>
      <c r="DE8" s="36">
        <v>0.0</v>
      </c>
      <c r="DF8" s="36">
        <v>0.0</v>
      </c>
      <c r="DG8" s="36">
        <v>0.0</v>
      </c>
      <c r="DH8" s="33" t="s">
        <v>54</v>
      </c>
      <c r="DI8" s="36">
        <v>0.0</v>
      </c>
      <c r="DJ8" s="33" t="s">
        <v>21</v>
      </c>
      <c r="DK8" s="36">
        <v>0.0</v>
      </c>
      <c r="DL8" s="36">
        <v>0.0</v>
      </c>
      <c r="DM8" s="36">
        <v>1.0</v>
      </c>
      <c r="DN8" s="36">
        <v>0.0</v>
      </c>
      <c r="DP8" s="33" t="s">
        <v>53</v>
      </c>
      <c r="DQ8" s="33" t="s">
        <v>54</v>
      </c>
      <c r="DR8" s="33" t="s">
        <v>64</v>
      </c>
      <c r="DS8" s="33" t="s">
        <v>65</v>
      </c>
      <c r="DT8" s="33" t="s">
        <v>54</v>
      </c>
      <c r="DU8" s="33" t="s">
        <v>54</v>
      </c>
      <c r="DV8" s="33" t="s">
        <v>54</v>
      </c>
      <c r="DY8" s="33" t="s">
        <v>54</v>
      </c>
      <c r="DZ8" s="33" t="s">
        <v>49</v>
      </c>
      <c r="EA8" s="33" t="s">
        <v>66</v>
      </c>
      <c r="EB8" s="33" t="s">
        <v>54</v>
      </c>
      <c r="EC8" s="33" t="s">
        <v>54</v>
      </c>
      <c r="ED8" s="33" t="s">
        <v>35</v>
      </c>
      <c r="EF8" s="36">
        <v>0.0</v>
      </c>
      <c r="EG8" s="36">
        <v>0.0</v>
      </c>
      <c r="EH8" s="36">
        <v>0.0</v>
      </c>
      <c r="EI8" s="36">
        <v>0.0</v>
      </c>
      <c r="EJ8" s="36">
        <v>0.0</v>
      </c>
      <c r="EK8" s="36">
        <v>0.0</v>
      </c>
      <c r="EL8" s="33" t="s">
        <v>53</v>
      </c>
      <c r="EM8" s="36">
        <v>0.0</v>
      </c>
      <c r="EN8" s="36">
        <v>0.0</v>
      </c>
      <c r="EO8" s="36">
        <v>0.0</v>
      </c>
      <c r="EQ8" s="36">
        <v>0.0</v>
      </c>
      <c r="ER8" s="36">
        <v>0.0</v>
      </c>
      <c r="EU8" s="36">
        <v>0.0</v>
      </c>
      <c r="EV8" s="33" t="s">
        <v>53</v>
      </c>
    </row>
    <row r="9" ht="15.75" customHeight="1">
      <c r="A9" s="8"/>
      <c r="B9" s="8"/>
      <c r="C9" s="33" t="s">
        <v>20</v>
      </c>
      <c r="D9" s="36">
        <v>-101.0</v>
      </c>
      <c r="E9" s="33" t="s">
        <v>23</v>
      </c>
      <c r="F9" s="33" t="s">
        <v>42</v>
      </c>
      <c r="G9" s="36">
        <v>20.0</v>
      </c>
      <c r="H9" s="33" t="s">
        <v>53</v>
      </c>
      <c r="I9" s="36">
        <v>0.0</v>
      </c>
      <c r="J9" s="13">
        <v>0.0</v>
      </c>
      <c r="K9" s="13">
        <v>0.0</v>
      </c>
      <c r="L9" s="13">
        <v>0.0</v>
      </c>
      <c r="M9" s="13">
        <v>0.0</v>
      </c>
      <c r="N9" s="36">
        <v>2020.0</v>
      </c>
      <c r="O9" s="33" t="s">
        <v>49</v>
      </c>
      <c r="P9" s="35" t="s">
        <v>54</v>
      </c>
      <c r="Q9" s="36">
        <v>2020.0</v>
      </c>
      <c r="R9" s="35" t="s">
        <v>40</v>
      </c>
      <c r="S9" s="35" t="s">
        <v>56</v>
      </c>
      <c r="T9" s="35" t="s">
        <v>38</v>
      </c>
      <c r="U9" s="35" t="s">
        <v>33</v>
      </c>
      <c r="V9" s="35" t="s">
        <v>31</v>
      </c>
      <c r="W9" s="35" t="s">
        <v>35</v>
      </c>
      <c r="X9" s="36">
        <v>1.0</v>
      </c>
      <c r="Y9" s="36">
        <v>1.0</v>
      </c>
      <c r="AB9" s="36">
        <v>0.0</v>
      </c>
      <c r="AC9" s="36">
        <v>0.0</v>
      </c>
      <c r="AD9" s="36">
        <v>0.0</v>
      </c>
      <c r="AE9" s="36">
        <v>0.0</v>
      </c>
      <c r="AF9" s="36">
        <v>-101.0</v>
      </c>
      <c r="AG9" s="36">
        <v>0.0</v>
      </c>
      <c r="AH9" s="36">
        <v>0.0</v>
      </c>
      <c r="AI9" s="36">
        <v>0.0</v>
      </c>
      <c r="AJ9" s="36">
        <v>0.0</v>
      </c>
      <c r="AK9" s="36">
        <v>2020.0</v>
      </c>
      <c r="AL9" s="36">
        <v>1.0</v>
      </c>
      <c r="AM9" s="36">
        <v>1.0</v>
      </c>
      <c r="AN9" s="9" t="s">
        <v>28</v>
      </c>
      <c r="AP9" s="35" t="s">
        <v>53</v>
      </c>
      <c r="AQ9" s="35" t="s">
        <v>20</v>
      </c>
      <c r="AR9" s="36">
        <v>0.0</v>
      </c>
      <c r="AS9" s="36">
        <v>-1.0</v>
      </c>
      <c r="AV9" s="36" t="s">
        <v>57</v>
      </c>
      <c r="AW9" s="36">
        <v>2020.0</v>
      </c>
      <c r="AX9" s="36">
        <v>0.0</v>
      </c>
      <c r="AY9" s="36">
        <v>0.0</v>
      </c>
      <c r="AZ9" s="36">
        <v>0.0</v>
      </c>
      <c r="BA9" s="36">
        <v>100.0</v>
      </c>
      <c r="BC9" s="36">
        <v>1.0</v>
      </c>
      <c r="BD9" s="36">
        <v>2020.0</v>
      </c>
      <c r="BE9" s="35" t="s">
        <v>38</v>
      </c>
      <c r="BF9" s="35" t="s">
        <v>58</v>
      </c>
      <c r="BG9" s="35" t="s">
        <v>59</v>
      </c>
      <c r="BH9" s="35" t="s">
        <v>60</v>
      </c>
      <c r="BI9" s="35" t="s">
        <v>54</v>
      </c>
      <c r="BJ9" s="36">
        <v>0.0</v>
      </c>
      <c r="BK9" s="36">
        <v>0.0</v>
      </c>
      <c r="BL9" s="36">
        <v>0.0</v>
      </c>
      <c r="BM9" s="36">
        <v>0.0</v>
      </c>
      <c r="BO9" s="36">
        <v>2020.0</v>
      </c>
      <c r="BP9" s="36">
        <v>0.0</v>
      </c>
      <c r="BQ9" s="35" t="s">
        <v>32</v>
      </c>
      <c r="BR9" s="35" t="s">
        <v>40</v>
      </c>
      <c r="BS9" s="36">
        <v>0.0</v>
      </c>
      <c r="BT9" s="36">
        <v>0.0</v>
      </c>
      <c r="BU9" s="35" t="s">
        <v>38</v>
      </c>
      <c r="BW9" s="36">
        <v>0.0</v>
      </c>
      <c r="BX9" s="36">
        <v>0.0</v>
      </c>
      <c r="BY9" s="36">
        <v>0.0</v>
      </c>
      <c r="BZ9" s="36">
        <v>0.0</v>
      </c>
      <c r="CA9" s="36">
        <v>0.0</v>
      </c>
      <c r="CC9" s="36">
        <v>0.0</v>
      </c>
      <c r="CD9" s="36">
        <v>2020.0</v>
      </c>
      <c r="CE9" s="36">
        <v>0.0</v>
      </c>
      <c r="CF9" s="36">
        <v>0.0</v>
      </c>
      <c r="CG9" s="36">
        <v>2020.0</v>
      </c>
      <c r="CH9" s="36">
        <v>100.0</v>
      </c>
      <c r="CI9" s="36">
        <v>0.0</v>
      </c>
      <c r="CJ9" s="36">
        <v>0.0</v>
      </c>
      <c r="CK9" s="38" t="b">
        <v>0</v>
      </c>
      <c r="CP9" s="35" t="s">
        <v>61</v>
      </c>
      <c r="CS9" s="36">
        <v>20.0</v>
      </c>
      <c r="CY9" s="35" t="s">
        <v>62</v>
      </c>
      <c r="CZ9" s="35" t="s">
        <v>63</v>
      </c>
      <c r="DA9" s="36">
        <v>0.0</v>
      </c>
      <c r="DB9" s="36">
        <v>0.0</v>
      </c>
      <c r="DD9" s="36">
        <v>-101.0</v>
      </c>
      <c r="DE9" s="36">
        <v>0.0</v>
      </c>
      <c r="DF9" s="36">
        <v>0.0</v>
      </c>
      <c r="DG9" s="36">
        <v>0.0</v>
      </c>
      <c r="DH9" s="35" t="s">
        <v>54</v>
      </c>
      <c r="DI9" s="36">
        <v>0.0</v>
      </c>
      <c r="DJ9" s="35" t="s">
        <v>28</v>
      </c>
      <c r="DK9" s="36">
        <v>0.0</v>
      </c>
      <c r="DL9" s="36">
        <v>0.0</v>
      </c>
      <c r="DM9" s="36">
        <v>1.0</v>
      </c>
      <c r="DN9" s="36">
        <v>0.0</v>
      </c>
      <c r="DP9" s="35" t="s">
        <v>53</v>
      </c>
      <c r="DQ9" s="35" t="s">
        <v>54</v>
      </c>
      <c r="DR9" s="35" t="s">
        <v>64</v>
      </c>
      <c r="DS9" s="35" t="s">
        <v>65</v>
      </c>
      <c r="DT9" s="35" t="s">
        <v>54</v>
      </c>
      <c r="DU9" s="35" t="s">
        <v>54</v>
      </c>
      <c r="DV9" s="35" t="s">
        <v>54</v>
      </c>
      <c r="DY9" s="35" t="s">
        <v>54</v>
      </c>
      <c r="DZ9" s="35" t="s">
        <v>49</v>
      </c>
      <c r="EA9" s="35" t="s">
        <v>66</v>
      </c>
      <c r="EB9" s="35" t="s">
        <v>54</v>
      </c>
      <c r="EC9" s="35" t="s">
        <v>54</v>
      </c>
      <c r="ED9" s="35" t="s">
        <v>35</v>
      </c>
      <c r="EF9" s="36">
        <v>0.0</v>
      </c>
      <c r="EG9" s="36">
        <v>0.0</v>
      </c>
      <c r="EH9" s="36">
        <v>0.0</v>
      </c>
      <c r="EI9" s="36">
        <v>0.0</v>
      </c>
      <c r="EJ9" s="36">
        <v>0.0</v>
      </c>
      <c r="EK9" s="36">
        <v>0.0</v>
      </c>
      <c r="EL9" s="35" t="s">
        <v>53</v>
      </c>
      <c r="EM9" s="36">
        <v>0.0</v>
      </c>
      <c r="EN9" s="36">
        <v>0.0</v>
      </c>
      <c r="EO9" s="36">
        <v>0.0</v>
      </c>
      <c r="EQ9" s="36">
        <v>0.0</v>
      </c>
      <c r="ER9" s="36">
        <v>0.0</v>
      </c>
      <c r="EU9" s="36">
        <v>0.0</v>
      </c>
      <c r="EV9" s="35" t="s">
        <v>53</v>
      </c>
    </row>
    <row r="10" ht="15.75" customHeight="1">
      <c r="A10" s="8"/>
      <c r="B10" s="8"/>
      <c r="C10" s="8"/>
      <c r="D10" s="35"/>
      <c r="E10" s="35"/>
      <c r="F10" s="8"/>
      <c r="G10" s="8"/>
      <c r="H10" s="35"/>
      <c r="I10" s="35"/>
      <c r="J10" s="8"/>
      <c r="K10" s="8"/>
      <c r="L10" s="8"/>
      <c r="M10" s="8"/>
      <c r="N10" s="8"/>
      <c r="O10" s="8"/>
      <c r="P10" s="35"/>
      <c r="Q10" s="35"/>
      <c r="AD10" s="35"/>
      <c r="AE10" s="35"/>
      <c r="AH10" s="35"/>
      <c r="AI10" s="35"/>
      <c r="AJ10" s="35"/>
      <c r="AP10" s="35"/>
      <c r="AQ10" s="35"/>
      <c r="AV10" s="35"/>
      <c r="AW10" s="35"/>
      <c r="AX10" s="35"/>
      <c r="AY10" s="35"/>
      <c r="AZ10" s="35"/>
      <c r="BA10" s="35"/>
      <c r="BD10" s="35"/>
      <c r="BE10" s="35"/>
      <c r="BF10" s="35"/>
      <c r="BG10" s="35"/>
      <c r="BH10" s="35"/>
      <c r="BI10" s="35"/>
      <c r="BJ10" s="35"/>
      <c r="BK10" s="35"/>
      <c r="BQ10" s="35"/>
      <c r="BR10" s="35"/>
      <c r="BS10" s="35"/>
      <c r="BT10" s="35"/>
      <c r="CS10" s="35"/>
      <c r="CY10" s="35"/>
      <c r="DD10" s="35"/>
      <c r="DE10" s="35"/>
      <c r="DF10" s="35"/>
      <c r="DG10" s="35"/>
      <c r="DK10" s="35"/>
      <c r="DL10" s="35"/>
      <c r="DM10" s="35"/>
      <c r="DN10" s="35"/>
      <c r="DP10" s="35"/>
      <c r="DY10" s="35"/>
      <c r="DZ10" s="35"/>
      <c r="EA10" s="35"/>
      <c r="EB10" s="35"/>
      <c r="EC10" s="35"/>
      <c r="ED10" s="35"/>
      <c r="EF10" s="35"/>
      <c r="EG10" s="35"/>
      <c r="EH10" s="35"/>
      <c r="EO10" s="35"/>
      <c r="EU10" s="35"/>
      <c r="EV10" s="35"/>
    </row>
    <row r="11" ht="15.75" customHeight="1">
      <c r="A11" s="8"/>
      <c r="B11" s="8"/>
      <c r="C11" s="8"/>
      <c r="D11" s="3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Q11" s="35"/>
      <c r="BR11" s="35"/>
      <c r="BS11" s="35"/>
      <c r="BT11" s="35"/>
      <c r="DD11" s="35"/>
      <c r="EC11" s="35"/>
      <c r="ED11" s="35"/>
      <c r="EU11" s="35"/>
      <c r="EV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