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CreateComplianceOrder" sheetId="5" r:id="rId7"/>
    <sheet state="visible" name="VerifyComplianceOrder" sheetId="6" r:id="rId8"/>
    <sheet state="visible" name="CreateComplianceOrder1" sheetId="7" r:id="rId9"/>
    <sheet state="visible" name="VerifyComplianceOrder1" sheetId="8" r:id="rId10"/>
    <sheet state="visible" name="UpdateDailyCash" sheetId="9" r:id="rId11"/>
  </sheets>
  <definedNames/>
  <calcPr/>
</workbook>
</file>

<file path=xl/sharedStrings.xml><?xml version="1.0" encoding="utf-8"?>
<sst xmlns="http://schemas.openxmlformats.org/spreadsheetml/2006/main" count="79" uniqueCount="36">
  <si>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</si>
  <si>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</si>
  <si>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</si>
  <si>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</si>
  <si>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</si>
  <si>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</si>
  <si>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</si>
  <si>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</si>
  <si>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</si>
  <si>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</si>
  <si>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</si>
  <si>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</si>
  <si>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</si>
  <si>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</si>
  <si>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</si>
  <si>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</si>
  <si>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TradingTicket</t>
  </si>
  <si>
    <t>CreateComplianceOrder</t>
  </si>
  <si>
    <t>GOOG</t>
  </si>
  <si>
    <t>Buy</t>
  </si>
  <si>
    <t>Allocation2</t>
  </si>
  <si>
    <t>DoneAway</t>
  </si>
  <si>
    <t>VerifyComplianceOrder</t>
  </si>
  <si>
    <t>Soft</t>
  </si>
  <si>
    <t>Account5</t>
  </si>
  <si>
    <t>If Master Fund Nav less than 10000, Then block the trade.</t>
  </si>
  <si>
    <t>NewMF1</t>
  </si>
  <si>
    <t>masterFundNav: 0.00, MasterFundName: NewMF1</t>
  </si>
  <si>
    <t>Yes</t>
  </si>
  <si>
    <t>Allocation1</t>
  </si>
  <si>
    <t>Account1</t>
  </si>
  <si>
    <t>If Account Short Name matches " Allocation1", Then block the trade.</t>
  </si>
  <si>
    <t>N/A</t>
  </si>
  <si>
    <t>accountShortName: Allocation1</t>
  </si>
  <si>
    <t>UpdateDailyCash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</si>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</sst>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ont="1">
      <alignment vertical="top"/>
    </xf>
    <xf borderId="7" fillId="8" fontId="14" numFmtId="0" xfId="0" applyAlignment="1" applyBorder="1" applyFill="1" applyFont="1">
      <alignment vertical="top"/>
    </xf>
    <xf borderId="7" fillId="8" fontId="14" numFmtId="0" xfId="0" applyAlignment="1" applyBorder="1" applyFont="1">
      <alignment vertical="top"/>
    </xf>
    <xf borderId="8" fillId="8" fontId="14" numFmtId="0" xfId="0" applyAlignment="1" applyBorder="1" applyFont="1">
      <alignment shrinkToFit="0" vertical="top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>
      <c r="A615" t="str">
        <f>IFERROR(__xludf.DUMMYFUNCTION("""COMPUTED_VALUE"""),"SymbolLookup")</f>
        <v>SymbolLookup</v>
      </c>
      <c r="B615" t="str">
        <f>IFERROR(__xludf.DUMMYFUNCTION("""COMPUTED_VALUE"""),"SelectFromSMGridUI")</f>
        <v>SelectFromSMGridUI</v>
      </c>
      <c r="C615" t="str">
        <f>IFERROR(__xludf.DUMMYFUNCTION("""COMPUTED_VALUE"""),"1ywzFM2r--rfbRBBhj8dWR_174n0GJlN_5lVk5fP-EiQ")</f>
        <v>1ywzFM2r--rfbRBBhj8dWR_174n0GJlN_5lVk5fP-EiQ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IFERROR(__xludf.DUMMYFUNCTION("""COMPUTED_VALUE"""),"EditSMGridUi")</f>
        <v>EditSMGridUi</v>
      </c>
      <c r="C616" t="str">
        <f>IFERROR(__xludf.DUMMYFUNCTION("""COMPUTED_VALUE"""),"1l5FAkKhuW5nlw2IdKTrGdt79R2Zz2AccmJfeG28b9-U")</f>
        <v>1l5FAkKhuW5nlw2IdKTrGdt79R2Zz2AccmJfeG28b9-U</v>
      </c>
    </row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44885</v>
      </c>
      <c r="C6" s="31">
        <f t="shared" si="1"/>
        <v>44885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99.0</v>
      </c>
      <c r="E6" s="32"/>
      <c r="F6" s="13" t="s">
        <v>20</v>
      </c>
      <c r="G6" s="8"/>
      <c r="H6" s="8"/>
      <c r="I6" s="8"/>
      <c r="J6" s="13">
        <v>20.0</v>
      </c>
      <c r="K6" s="8"/>
      <c r="L6" s="8"/>
      <c r="M6" s="8"/>
      <c r="N6" s="8"/>
      <c r="O6" s="8"/>
      <c r="AX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23</v>
      </c>
      <c r="C6" s="34" t="s">
        <v>24</v>
      </c>
      <c r="D6" s="34" t="s">
        <v>25</v>
      </c>
      <c r="E6" s="34" t="s">
        <v>26</v>
      </c>
      <c r="F6" s="34">
        <v>10000.0</v>
      </c>
      <c r="G6" s="34">
        <v>0.0</v>
      </c>
      <c r="H6" s="34" t="s">
        <v>27</v>
      </c>
      <c r="I6" s="8"/>
      <c r="J6" s="8"/>
      <c r="K6" s="13" t="s">
        <v>28</v>
      </c>
      <c r="L6" s="8"/>
      <c r="M6" s="13" t="s">
        <v>21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99.0</v>
      </c>
      <c r="E6" s="32"/>
      <c r="F6" s="13" t="s">
        <v>29</v>
      </c>
      <c r="G6" s="8"/>
      <c r="H6" s="8"/>
      <c r="I6" s="8"/>
      <c r="J6" s="13">
        <v>20.0</v>
      </c>
      <c r="K6" s="8"/>
      <c r="L6" s="8"/>
      <c r="M6" s="8"/>
      <c r="N6" s="8"/>
      <c r="O6" s="8"/>
      <c r="AX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23</v>
      </c>
      <c r="C6" s="37" t="s">
        <v>30</v>
      </c>
      <c r="D6" s="38" t="s">
        <v>31</v>
      </c>
      <c r="E6" s="37" t="s">
        <v>29</v>
      </c>
      <c r="F6" s="37" t="s">
        <v>32</v>
      </c>
      <c r="G6" s="37" t="s">
        <v>32</v>
      </c>
      <c r="H6" s="39" t="s">
        <v>33</v>
      </c>
      <c r="I6" s="40"/>
      <c r="J6" s="40"/>
      <c r="K6" s="40" t="s">
        <v>28</v>
      </c>
      <c r="L6" s="40"/>
      <c r="M6" s="40" t="s">
        <v>21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35</v>
      </c>
      <c r="D6" s="13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