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heckPortfolioManagement" sheetId="6" r:id="rId8"/>
  </sheets>
  <definedNames/>
  <calcPr/>
</workbook>
</file>

<file path=xl/sharedStrings.xml><?xml version="1.0" encoding="utf-8"?>
<sst xmlns="http://schemas.openxmlformats.org/spreadsheetml/2006/main" count="151" uniqueCount="51">
  <si>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</si>
  <si>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</si>
  <si>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</si>
  <si>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</si>
  <si>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</si>
  <si>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</si>
  <si>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</si>
  <si>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</si>
  <si>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</si>
  <si>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</si>
  <si>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</si>
  <si>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</si>
  <si>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</si>
  <si>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</si>
  <si>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</si>
  <si>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</si>
  <si>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</si>
  <si>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</si>
  <si>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Allocation1</t>
  </si>
  <si>
    <t xml:space="preserve"> O:ABM 10D20.00</t>
  </si>
  <si>
    <t>Buy to Open</t>
  </si>
  <si>
    <t>IBM</t>
  </si>
  <si>
    <t>PricingInput</t>
  </si>
  <si>
    <t>PortfolioManagement</t>
  </si>
  <si>
    <t>CheckPortfolioManagement</t>
  </si>
  <si>
    <t/>
  </si>
  <si>
    <t>NewMF</t>
  </si>
  <si>
    <t>Long</t>
  </si>
  <si>
    <t>Undefined</t>
  </si>
  <si>
    <t>FIMAT</t>
  </si>
  <si>
    <t>Strategy Unallocated</t>
  </si>
  <si>
    <t>Equity</t>
  </si>
  <si>
    <t>US</t>
  </si>
  <si>
    <t>TSX</t>
  </si>
  <si>
    <t>CAD</t>
  </si>
  <si>
    <t>MS1</t>
  </si>
  <si>
    <t>BrokerNotes</t>
  </si>
  <si>
    <t>DefaultNotes</t>
  </si>
  <si>
    <t>jpearce</t>
  </si>
  <si>
    <t>MS</t>
  </si>
  <si>
    <t>O:ABM 10D20.00</t>
  </si>
  <si>
    <t>ABM APR 2018 20 CALL</t>
  </si>
  <si>
    <t>EquityOption</t>
  </si>
  <si>
    <t>OPTS</t>
  </si>
  <si>
    <t>USD</t>
  </si>
  <si>
    <t>ABM</t>
  </si>
  <si>
    <t>Equity Call</t>
  </si>
  <si>
    <t>NYSE</t>
  </si>
  <si>
    <t>Equity General</t>
  </si>
  <si>
    <t>Technology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</si>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</sst>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1" numFmtId="164" xfId="0" applyAlignment="1" applyFont="1" applyNumberForma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0" fontId="5" numFmtId="164" xfId="0" applyAlignment="1" applyFont="1" applyNumberForma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4" numFmtId="164" xfId="0" applyAlignment="1" applyFont="1" applyNumberForma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164" xfId="0" applyAlignment="1" applyFont="1" applyNumberForma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164" xfId="0" applyAlignment="1" applyBorder="1" applyFont="1" applyNumberFormat="1">
      <alignment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64" xfId="0" applyFont="1" applyNumberFormat="1"/>
    <xf borderId="0" fillId="0" fontId="5" numFmtId="0" xfId="0" applyAlignment="1" applyFont="1">
      <alignment shrinkToFit="0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9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22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13" t="s">
        <v>15</v>
      </c>
      <c r="H3" s="5"/>
      <c r="I3" s="23"/>
      <c r="J3" s="23"/>
      <c r="K3" s="23"/>
      <c r="L3" s="23"/>
      <c r="M3" s="23"/>
      <c r="N3" s="25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IFERROR(__xludf.DUMMYFUNCTION("""COMPUTED_VALUE"""),"VerifyComplianceOrder")</f>
        <v>VerifyComplianceOrder</v>
      </c>
      <c r="I4" s="27" t="str">
        <f>IFERROR(__xludf.DUMMYFUNCTION("""COMPUTED_VALUE"""),"TradeNewSub")</f>
        <v>TradeNewSub</v>
      </c>
      <c r="J4" s="27" t="str">
        <f>IFERROR(__xludf.DUMMYFUNCTION("""COMPUTED_VALUE"""),"CreateStageOrder")</f>
        <v>CreateStageOrder</v>
      </c>
      <c r="K4" s="27" t="str">
        <f>IFERROR(__xludf.DUMMYFUNCTION("""COMPUTED_VALUE"""),"CreateReplaceOrder")</f>
        <v>CreateReplaceOrder</v>
      </c>
      <c r="L4" s="27" t="str">
        <f>IFERROR(__xludf.DUMMYFUNCTION("""COMPUTED_VALUE"""),"SetGeneralPreference")</f>
        <v>SetGeneralPreference</v>
      </c>
      <c r="M4" s="27" t="str">
        <f>IFERROR(__xludf.DUMMYFUNCTION("""COMPUTED_VALUE"""),"CreateNewSubOrder")</f>
        <v>CreateNewSubOrder</v>
      </c>
      <c r="N4" s="28" t="str">
        <f>IFERROR(__xludf.DUMMYFUNCTION("""COMPUTED_VALUE"""),"TradeBloomberg")</f>
        <v>TradeBloomberg</v>
      </c>
      <c r="O4" s="27" t="str">
        <f>IFERROR(__xludf.DUMMYFUNCTION("""COMPUTED_VALUE"""),"ClickSymbolLookup")</f>
        <v>ClickSymbolLookup</v>
      </c>
      <c r="P4" s="29" t="str">
        <f>IFERROR(__xludf.DUMMYFUNCTION("""COMPUTED_VALUE"""),"VerifyTT")</f>
        <v>VerifyTT</v>
      </c>
      <c r="Q4" s="29" t="str">
        <f>IFERROR(__xludf.DUMMYFUNCTION("""COMPUTED_VALUE"""),"CreateLiveOrder")</f>
        <v>CreateLiveOrder</v>
      </c>
      <c r="R4" s="29" t="str">
        <f>IFERROR(__xludf.DUMMYFUNCTION("""COMPUTED_VALUE"""),"UpdateMasterFundOnTT")</f>
        <v>UpdateMasterFundOnTT</v>
      </c>
      <c r="S4" s="29" t="str">
        <f>IFERROR(__xludf.DUMMYFUNCTION("""COMPUTED_VALUE"""),"SetTTCompliancePreference")</f>
        <v>SetTTCompliancePreference</v>
      </c>
      <c r="T4" s="29" t="str">
        <f>IFERROR(__xludf.DUMMYFUNCTION("""COMPUTED_VALUE"""),"ImportSymbol")</f>
        <v>ImportSymbol</v>
      </c>
      <c r="U4" s="29" t="str">
        <f>IFERROR(__xludf.DUMMYFUNCTION("""COMPUTED_VALUE"""),"ExportSymbolFromRAList")</f>
        <v>ExportSymbolFromRAList</v>
      </c>
      <c r="V4" s="29" t="str">
        <f>IFERROR(__xludf.DUMMYFUNCTION("""COMPUTED_VALUE"""),"CheckPendingNewOrderAlert")</f>
        <v>CheckPendingNewOrderAlert</v>
      </c>
      <c r="W4" s="29" t="str">
        <f>IFERROR(__xludf.DUMMYFUNCTION("""COMPUTED_VALUE"""),"AddSymbolOnRAList")</f>
        <v>AddSymbolOnRAList</v>
      </c>
      <c r="X4" s="29" t="str">
        <f>IFERROR(__xludf.DUMMYFUNCTION("""COMPUTED_VALUE"""),"DeleteSymbolListFromRA")</f>
        <v>DeleteSymbolListFromRA</v>
      </c>
      <c r="Y4" s="29" t="str">
        <f>IFERROR(__xludf.DUMMYFUNCTION("""COMPUTED_VALUE"""),"RemoveSymbolFromRAList")</f>
        <v>RemoveSymbolFromRAList</v>
      </c>
      <c r="Z4" s="29" t="str">
        <f>IFERROR(__xludf.DUMMYFUNCTION("""COMPUTED_VALUE"""),"ToggleBlombergOnRA")</f>
        <v>ToggleBlombergOnRA</v>
      </c>
      <c r="AA4" s="29" t="str">
        <f>IFERROR(__xludf.DUMMYFUNCTION("""COMPUTED_VALUE"""),"CreateDoneAwayOrder")</f>
        <v>CreateDoneAwayOrder</v>
      </c>
      <c r="AB4" s="29" t="str">
        <f>IFERROR(__xludf.DUMMYFUNCTION("""COMPUTED_VALUE"""),"CreateComplianceOrder")</f>
        <v>CreateComplianceOrder</v>
      </c>
      <c r="AC4" s="29" t="str">
        <f>IFERROR(__xludf.DUMMYFUNCTION("""COMPUTED_VALUE"""),"AddOptionTrade")</f>
        <v>AddOptionTrade</v>
      </c>
      <c r="AD4" s="29" t="str">
        <f>IFERROR(__xludf.DUMMYFUNCTION("""COMPUTED_VALUE"""),"SendLiveBloomberg")</f>
        <v>SendLiveBloomberg</v>
      </c>
      <c r="AE4" s="29" t="str">
        <f>IFERROR(__xludf.DUMMYFUNCTION("""COMPUTED_VALUE"""),"ViewAllocation")</f>
        <v>ViewAllocation</v>
      </c>
      <c r="AF4" s="29" t="str">
        <f>IFERROR(__xludf.DUMMYFUNCTION("""COMPUTED_VALUE"""),"CreateReplaceLiveOrder")</f>
        <v>CreateReplaceLiveOrder</v>
      </c>
      <c r="AG4" s="29" t="str">
        <f>IFERROR(__xludf.DUMMYFUNCTION("""COMPUTED_VALUE"""),"CreateNewSubLiveOrder")</f>
        <v>CreateNewSubLiveOrder</v>
      </c>
      <c r="AH4" s="29" t="str">
        <f>IFERROR(__xludf.DUMMYFUNCTION("""COMPUTED_VALUE"""),"VerifyBasketExport")</f>
        <v>VerifyBasketExport</v>
      </c>
      <c r="AI4" s="29" t="str">
        <f>IFERROR(__xludf.DUMMYFUNCTION("""COMPUTED_VALUE"""),"VerifyCustomAllocationonTT")</f>
        <v>VerifyCustomAllocationonTT</v>
      </c>
      <c r="AJ4" s="29" t="str">
        <f>IFERROR(__xludf.DUMMYFUNCTION("""COMPUTED_VALUE"""),"CustomOrderTT")</f>
        <v>CustomOrderTT</v>
      </c>
      <c r="AK4" s="29" t="str">
        <f>IFERROR(__xludf.DUMMYFUNCTION("""COMPUTED_VALUE"""),"CheckStepSheet")</f>
        <v>CheckStepSheet</v>
      </c>
      <c r="AL4" s="29" t="str">
        <f>IFERROR(__xludf.DUMMYFUNCTION("""COMPUTED_VALUE"""),"OptionTradingThroughSecurity")</f>
        <v>OptionTradingThroughSecurity</v>
      </c>
      <c r="AM4" s="29" t="str">
        <f>IFERROR(__xludf.DUMMYFUNCTION("""COMPUTED_VALUE"""),"CreateTradeWithAlgoBroker")</f>
        <v>CreateTradeWithAlgoBroker</v>
      </c>
      <c r="AN4" s="29" t="str">
        <f>IFERROR(__xludf.DUMMYFUNCTION("""COMPUTED_VALUE"""),"VerifyOrderSide")</f>
        <v>VerifyOrderSide</v>
      </c>
      <c r="AO4" s="29" t="str">
        <f>IFERROR(__xludf.DUMMYFUNCTION("""COMPUTED_VALUE"""),"CreateOrEditSymbolTT")</f>
        <v>CreateOrEditSymbolTT</v>
      </c>
      <c r="AP4" s="29" t="str">
        <f>IFERROR(__xludf.DUMMYFUNCTION("""COMPUTED_VALUE"""),"VerifyTTNavLockPopup")</f>
        <v>VerifyTTNavLockPopup</v>
      </c>
      <c r="AQ4" s="29" t="str">
        <f>IFERROR(__xludf.DUMMYFUNCTION("""COMPUTED_VALUE"""),"VerifyCustomAllocationSecondUI")</f>
        <v>VerifyCustomAllocationSecondUI</v>
      </c>
      <c r="AR4" s="29" t="str">
        <f>IFERROR(__xludf.DUMMYFUNCTION("""COMPUTED_VALUE"""),"ShortLocateFromTT")</f>
        <v>ShortLocateFromTT</v>
      </c>
      <c r="AS4" s="29" t="str">
        <f>IFERROR(__xludf.DUMMYFUNCTION("""COMPUTED_VALUE"""),"ShortLocateFromTT")</f>
        <v>ShortLocateFromTT</v>
      </c>
      <c r="AT4" s="29" t="str">
        <f>IFERROR(__xludf.DUMMYFUNCTION("""COMPUTED_VALUE"""),"ShortLocateFromTT")</f>
        <v>ShortLocateFromTT</v>
      </c>
      <c r="AU4" s="29" t="str">
        <f>IFERROR(__xludf.DUMMYFUNCTION("""COMPUTED_VALUE"""),"VerifyShortLocateWindowOnTT")</f>
        <v>VerifyShortLocateWindowOnTT</v>
      </c>
      <c r="AV4" s="29" t="str">
        <f>IFERROR(__xludf.DUMMYFUNCTION("""COMPUTED_VALUE"""),"AlgoUIOperations")</f>
        <v>AlgoUIOperations</v>
      </c>
      <c r="AW4" s="29" t="str">
        <f>IFERROR(__xludf.DUMMYFUNCTION("""COMPUTED_VALUE"""),"UpdateShortLocateFromTT")</f>
        <v>UpdateShortLocateFromTT</v>
      </c>
      <c r="AX4" s="29" t="str">
        <f>IFERROR(__xludf.DUMMYFUNCTION("""COMPUTED_VALUE"""),"ResetTT")</f>
        <v>ResetTT</v>
      </c>
      <c r="AY4" s="29" t="str">
        <f>IFERROR(__xludf.DUMMYFUNCTION("""COMPUTED_VALUE"""),"MergeTT")</f>
        <v>MergeTT</v>
      </c>
      <c r="AZ4" s="29" t="str">
        <f>IFERROR(__xludf.DUMMYFUNCTION("""COMPUTED_VALUE"""),"ResizeEnsureTT")</f>
        <v>ResizeEnsureTT</v>
      </c>
      <c r="BA4" s="29" t="str">
        <f>IFERROR(__xludf.DUMMYFUNCTION("""COMPUTED_VALUE"""),"VerifyExecutionType")</f>
        <v>VerifyExecutionType</v>
      </c>
      <c r="BB4" s="29" t="str">
        <f>IFERROR(__xludf.DUMMYFUNCTION("""COMPUTED_VALUE"""),"VerifyPopupAlignment")</f>
        <v>VerifyPopupAlignment</v>
      </c>
      <c r="BC4" s="29" t="str">
        <f>IFERROR(__xludf.DUMMYFUNCTION("""COMPUTED_VALUE"""),"SelectET")</f>
        <v>SelectET</v>
      </c>
      <c r="BD4" s="29" t="str">
        <f>IFERROR(__xludf.DUMMYFUNCTION("""COMPUTED_VALUE"""),"SymbolSuggestionVerify")</f>
        <v>SymbolSuggestionVerify</v>
      </c>
      <c r="BE4" s="29" t="str">
        <f>IFERROR(__xludf.DUMMYFUNCTION("""COMPUTED_VALUE"""),"EditAuecWindow")</f>
        <v>EditAuecWindow</v>
      </c>
      <c r="BF4" s="29" t="str">
        <f>IFERROR(__xludf.DUMMYFUNCTION("""COMPUTED_VALUE"""),"VerifyBrokerSummary")</f>
        <v>VerifyBrokerSummary</v>
      </c>
      <c r="BG4" s="29" t="str">
        <f>IFERROR(__xludf.DUMMYFUNCTION("""COMPUTED_VALUE"""),"QTTHamburg")</f>
        <v>QTTHamburg</v>
      </c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IFERROR(__xludf.DUMMYFUNCTION("""COMPUTED_VALUE"""),"Order Side")</f>
        <v>Order Side</v>
      </c>
      <c r="D5" s="31" t="str">
        <f>IFERROR(__xludf.DUMMYFUNCTION("""COMPUTED_VALUE"""),"Quantity")</f>
        <v>Quantity</v>
      </c>
      <c r="E5" s="31" t="str">
        <f>IFERROR(__xludf.DUMMYFUNCTION("""COMPUTED_VALUE"""),"TargetQuantityIn")</f>
        <v>TargetQuantityIn</v>
      </c>
      <c r="F5" s="32" t="str">
        <f>IFERROR(__xludf.DUMMYFUNCTION("""COMPUTED_VALUE"""),"AllocationMethod")</f>
        <v>AllocationMethod</v>
      </c>
      <c r="G5" s="31" t="str">
        <f>IFERROR(__xludf.DUMMYFUNCTION("""COMPUTED_VALUE"""),"Broker")</f>
        <v>Broker</v>
      </c>
      <c r="H5" s="31" t="str">
        <f>IFERROR(__xludf.DUMMYFUNCTION("""COMPUTED_VALUE"""),"TIF")</f>
        <v>TIF</v>
      </c>
      <c r="I5" s="31" t="str">
        <f>IFERROR(__xludf.DUMMYFUNCTION("""COMPUTED_VALUE"""),"Order Type")</f>
        <v>Order Type</v>
      </c>
      <c r="J5" s="31" t="str">
        <f>IFERROR(__xludf.DUMMYFUNCTION("""COMPUTED_VALUE"""),"Price")</f>
        <v>Price</v>
      </c>
      <c r="K5" s="31" t="str">
        <f>IFERROR(__xludf.DUMMYFUNCTION("""COMPUTED_VALUE"""),"Stop")</f>
        <v>Stop</v>
      </c>
      <c r="L5" s="31" t="str">
        <f>IFERROR(__xludf.DUMMYFUNCTION("""COMPUTED_VALUE"""),"Limit")</f>
        <v>Limit</v>
      </c>
      <c r="M5" s="31" t="str">
        <f>IFERROR(__xludf.DUMMYFUNCTION("""COMPUTED_VALUE"""),"Strategy")</f>
        <v>Strategy</v>
      </c>
      <c r="N5" s="33" t="str">
        <f>IFERROR(__xludf.DUMMYFUNCTION("""COMPUTED_VALUE"""),"Trade Date")</f>
        <v>Trade Date</v>
      </c>
      <c r="O5" s="31" t="str">
        <f>IFERROR(__xludf.DUMMYFUNCTION("""COMPUTED_VALUE"""),"FxRate")</f>
        <v>FxRate</v>
      </c>
      <c r="P5" s="31" t="str">
        <f>IFERROR(__xludf.DUMMYFUNCTION("""COMPUTED_VALUE"""),"Notes")</f>
        <v>Notes</v>
      </c>
      <c r="Q5" s="31" t="str">
        <f>IFERROR(__xludf.DUMMYFUNCTION("""COMPUTED_VALUE"""),"Broker Notes")</f>
        <v>Broker Notes</v>
      </c>
      <c r="R5" s="31" t="str">
        <f>IFERROR(__xludf.DUMMYFUNCTION("""COMPUTED_VALUE"""),"CommissionBasis")</f>
        <v>CommissionBasis</v>
      </c>
      <c r="S5" s="31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IFERROR(__xludf.DUMMYFUNCTION("""COMPUTED_VALUE"""),"ChkBoxBookAsSwap")</f>
        <v>ChkBoxBookAsSwap</v>
      </c>
      <c r="AO5" s="34" t="str">
        <f>IFERROR(__xludf.DUMMYFUNCTION("""COMPUTED_VALUE"""),"PopUpQuantity")</f>
        <v>PopUpQuantity</v>
      </c>
      <c r="AP5" s="34" t="str">
        <f>IFERROR(__xludf.DUMMYFUNCTION("""COMPUTED_VALUE"""),"ShortLocate")</f>
        <v>ShortLocate</v>
      </c>
      <c r="AQ5" s="34" t="str">
        <f>IFERROR(__xludf.DUMMYFUNCTION("""COMPUTED_VALUE"""),"AllowTrade")</f>
        <v>AllowTrade</v>
      </c>
      <c r="AR5" s="34" t="str">
        <f>IFERROR(__xludf.DUMMYFUNCTION("""COMPUTED_VALUE"""),"SharesOutstandingPopUpQty")</f>
        <v>SharesOutstandingPopUpQty</v>
      </c>
      <c r="AS5" s="34" t="str">
        <f>IFERROR(__xludf.DUMMYFUNCTION("""COMPUTED_VALUE"""),"SharesOutstandingPopUp")</f>
        <v>SharesOutstandingPopUp</v>
      </c>
      <c r="AT5" s="34" t="str">
        <f>IFERROR(__xludf.DUMMYFUNCTION("""COMPUTED_VALUE"""),"ResAllowedListPopUp")</f>
        <v>ResAllowedListPopUp</v>
      </c>
      <c r="AU5" s="34" t="str">
        <f>IFERROR(__xludf.DUMMYFUNCTION("""COMPUTED_VALUE"""),"Rate(%)")</f>
        <v>Rate(%)</v>
      </c>
      <c r="AV5" s="34" t="str">
        <f>IFERROR(__xludf.DUMMYFUNCTION("""COMPUTED_VALUE"""),"Interest Rate")</f>
        <v>Interest Rate</v>
      </c>
      <c r="AW5" s="34" t="str">
        <f>IFERROR(__xludf.DUMMYFUNCTION("""COMPUTED_VALUE"""),"SelectAlgoStrategy")</f>
        <v>SelectAlgoStrategy</v>
      </c>
      <c r="AX5" s="34" t="str">
        <f>IFERROR(__xludf.DUMMYFUNCTION("""COMPUTED_VALUE"""),"Increase/Decrease Quantity")</f>
        <v>Increase/Decrease Quantity</v>
      </c>
      <c r="AY5" s="34" t="str">
        <f>IFERROR(__xludf.DUMMYFUNCTION("""COMPUTED_VALUE"""),"Master Funds")</f>
        <v>Master Funds</v>
      </c>
      <c r="AZ5" s="34" t="str">
        <f>IFERROR(__xludf.DUMMYFUNCTION("""COMPUTED_VALUE"""),"TRVAccountName")</f>
        <v>TRVAccountName</v>
      </c>
      <c r="BA5" s="34" t="str">
        <f>IFERROR(__xludf.DUMMYFUNCTION("""COMPUTED_VALUE"""),"TRVTradeQuantity")</f>
        <v>TRVTradeQuantity</v>
      </c>
      <c r="BB5" s="34" t="str">
        <f>IFERROR(__xludf.DUMMYFUNCTION("""COMPUTED_VALUE"""),"TRVCurrentPosition")</f>
        <v>TRVCurrentPosition</v>
      </c>
      <c r="BC5" s="34" t="str">
        <f>IFERROR(__xludf.DUMMYFUNCTION("""COMPUTED_VALUE"""),"TRVNav")</f>
        <v>TRVNav</v>
      </c>
      <c r="BD5" s="34" t="str">
        <f>IFERROR(__xludf.DUMMYFUNCTION("""COMPUTED_VALUE"""),"Account QTY")</f>
        <v>Account QTY</v>
      </c>
      <c r="BE5" s="34" t="str">
        <f>IFERROR(__xludf.DUMMYFUNCTION("""COMPUTED_VALUE"""),"DoneAwayClickOnNO")</f>
        <v>DoneAwayClickOnNO</v>
      </c>
      <c r="BF5" s="34" t="str">
        <f>IFERROR(__xludf.DUMMYFUNCTION("""COMPUTED_VALUE"""),"HotbuttonQty")</f>
        <v>HotbuttonQty</v>
      </c>
      <c r="BG5" s="34" t="str">
        <f>IFERROR(__xludf.DUMMYFUNCTION("""COMPUTED_VALUE"""),"HotButtonPrice")</f>
        <v>HotButtonPrice</v>
      </c>
      <c r="BH5" s="34" t="str">
        <f>IFERROR(__xludf.DUMMYFUNCTION("""COMPUTED_VALUE"""),"HotButtonLimit")</f>
        <v>HotButtonLimit</v>
      </c>
      <c r="BI5" s="34" t="str">
        <f>IFERROR(__xludf.DUMMYFUNCTION("""COMPUTED_VALUE"""),"HotButtonStop")</f>
        <v>HotButtonStop</v>
      </c>
      <c r="BJ5" s="34" t="str">
        <f>IFERROR(__xludf.DUMMYFUNCTION("""COMPUTED_VALUE"""),"Broker PadLock")</f>
        <v>Broker PadLock</v>
      </c>
      <c r="BK5" s="34" t="str">
        <f>IFERROR(__xludf.DUMMYFUNCTION("""COMPUTED_VALUE"""),"TradeBy")</f>
        <v>TradeBy</v>
      </c>
      <c r="BL5" s="34" t="str">
        <f>IFERROR(__xludf.DUMMYFUNCTION("""COMPUTED_VALUE"""),"PendingApprovalPopUp")</f>
        <v>PendingApprovalPopUp</v>
      </c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16</v>
      </c>
      <c r="C6" s="12" t="s">
        <v>17</v>
      </c>
      <c r="D6" s="12">
        <v>1000.0</v>
      </c>
      <c r="E6" s="35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22"/>
      <c r="O6" s="12">
        <v>1.2</v>
      </c>
    </row>
    <row r="7" ht="15.75" customHeight="1">
      <c r="A7" s="8"/>
      <c r="B7" s="12" t="s">
        <v>19</v>
      </c>
      <c r="C7" s="12" t="s">
        <v>20</v>
      </c>
      <c r="D7" s="12">
        <v>1000.0</v>
      </c>
      <c r="E7" s="8"/>
      <c r="F7" s="12" t="s">
        <v>18</v>
      </c>
      <c r="G7" s="8"/>
      <c r="H7" s="8"/>
      <c r="I7" s="8"/>
      <c r="J7" s="12">
        <v>1.0</v>
      </c>
      <c r="K7" s="8"/>
      <c r="L7" s="8"/>
      <c r="M7" s="8"/>
      <c r="N7" s="22"/>
      <c r="O7" s="8"/>
    </row>
    <row r="8" ht="15.75" customHeight="1">
      <c r="A8" s="12"/>
      <c r="B8" s="12" t="s">
        <v>21</v>
      </c>
      <c r="C8" s="12" t="s">
        <v>17</v>
      </c>
      <c r="D8" s="12">
        <v>100.0</v>
      </c>
      <c r="E8" s="35"/>
      <c r="F8" s="12" t="s">
        <v>18</v>
      </c>
      <c r="G8" s="8"/>
      <c r="H8" s="8"/>
      <c r="I8" s="8"/>
      <c r="J8" s="12">
        <v>1.0</v>
      </c>
      <c r="K8" s="8"/>
      <c r="L8" s="8"/>
      <c r="M8" s="8"/>
      <c r="N8" s="22">
        <f>today()-1</f>
        <v>45799</v>
      </c>
      <c r="O8" s="12"/>
    </row>
    <row r="9" ht="15.75" customHeight="1">
      <c r="A9" s="12"/>
      <c r="B9" s="12" t="s">
        <v>21</v>
      </c>
      <c r="C9" s="12" t="s">
        <v>17</v>
      </c>
      <c r="D9" s="12">
        <v>150.0</v>
      </c>
      <c r="E9" s="35"/>
      <c r="F9" s="12" t="s">
        <v>18</v>
      </c>
      <c r="G9" s="8"/>
      <c r="H9" s="8"/>
      <c r="I9" s="8"/>
      <c r="J9" s="12">
        <v>1.0</v>
      </c>
      <c r="K9" s="8"/>
      <c r="L9" s="8"/>
      <c r="M9" s="8"/>
      <c r="N9" s="22"/>
      <c r="O9" s="1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22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22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22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22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22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22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22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22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22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22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22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22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22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22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22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22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22"/>
      <c r="O26" s="8"/>
    </row>
    <row r="27" ht="15.75" customHeight="1">
      <c r="N27" s="36"/>
    </row>
    <row r="28" ht="15.75" customHeight="1">
      <c r="N28" s="36"/>
    </row>
    <row r="29" ht="15.75" customHeight="1">
      <c r="N29" s="36"/>
    </row>
    <row r="30" ht="15.75" customHeight="1">
      <c r="N30" s="36"/>
    </row>
    <row r="31" ht="15.75" customHeight="1">
      <c r="N31" s="36"/>
    </row>
    <row r="32" ht="15.75" customHeight="1">
      <c r="N32" s="36"/>
    </row>
    <row r="33" ht="15.75" customHeight="1">
      <c r="N33" s="36"/>
    </row>
    <row r="34" ht="15.75" customHeight="1">
      <c r="N34" s="36"/>
    </row>
    <row r="35" ht="15.75" customHeight="1">
      <c r="N35" s="36"/>
    </row>
    <row r="36" ht="15.75" customHeight="1">
      <c r="N36" s="36"/>
    </row>
    <row r="37" ht="15.75" customHeight="1">
      <c r="N37" s="36"/>
    </row>
    <row r="38" ht="15.75" customHeight="1">
      <c r="N38" s="36"/>
    </row>
    <row r="39" ht="15.75" customHeight="1">
      <c r="N39" s="36"/>
    </row>
    <row r="40" ht="15.75" customHeight="1">
      <c r="N40" s="36"/>
    </row>
    <row r="41" ht="15.75" customHeight="1">
      <c r="N41" s="36"/>
    </row>
    <row r="42" ht="15.75" customHeight="1">
      <c r="N42" s="36"/>
    </row>
    <row r="43" ht="15.75" customHeight="1">
      <c r="N43" s="36"/>
    </row>
    <row r="44" ht="15.75" customHeight="1">
      <c r="N44" s="36"/>
    </row>
    <row r="45" ht="15.75" customHeight="1">
      <c r="N45" s="36"/>
    </row>
    <row r="46" ht="15.75" customHeight="1">
      <c r="N46" s="36"/>
    </row>
    <row r="47" ht="15.75" customHeight="1">
      <c r="N47" s="36"/>
    </row>
    <row r="48" ht="15.75" customHeight="1">
      <c r="N48" s="36"/>
    </row>
    <row r="49" ht="15.75" customHeight="1">
      <c r="N49" s="36"/>
    </row>
    <row r="50" ht="15.75" customHeight="1">
      <c r="N50" s="36"/>
    </row>
    <row r="51" ht="15.75" customHeight="1">
      <c r="N51" s="36"/>
    </row>
    <row r="52" ht="15.75" customHeight="1">
      <c r="N52" s="36"/>
    </row>
    <row r="53" ht="15.75" customHeight="1">
      <c r="N53" s="36"/>
    </row>
    <row r="54" ht="15.75" customHeight="1">
      <c r="N54" s="36"/>
    </row>
    <row r="55" ht="15.75" customHeight="1">
      <c r="N55" s="36"/>
    </row>
    <row r="56" ht="15.75" customHeight="1">
      <c r="N56" s="36"/>
    </row>
    <row r="57" ht="15.75" customHeight="1">
      <c r="N57" s="36"/>
    </row>
    <row r="58" ht="15.75" customHeight="1">
      <c r="N58" s="36"/>
    </row>
    <row r="59" ht="15.75" customHeight="1">
      <c r="N59" s="36"/>
    </row>
    <row r="60" ht="15.75" customHeight="1">
      <c r="N60" s="36"/>
    </row>
    <row r="61" ht="15.75" customHeight="1">
      <c r="N61" s="36"/>
    </row>
    <row r="62" ht="15.75" customHeight="1">
      <c r="N62" s="36"/>
    </row>
    <row r="63" ht="15.75" customHeight="1">
      <c r="N63" s="36"/>
    </row>
    <row r="64" ht="15.75" customHeight="1">
      <c r="N64" s="36"/>
    </row>
    <row r="65" ht="15.75" customHeight="1">
      <c r="N65" s="36"/>
    </row>
    <row r="66" ht="15.75" customHeight="1">
      <c r="N66" s="36"/>
    </row>
    <row r="67" ht="15.75" customHeight="1">
      <c r="N67" s="36"/>
    </row>
    <row r="68" ht="15.75" customHeight="1">
      <c r="N68" s="36"/>
    </row>
    <row r="69" ht="15.75" customHeight="1">
      <c r="N69" s="36"/>
    </row>
    <row r="70" ht="15.75" customHeight="1">
      <c r="N70" s="36"/>
    </row>
    <row r="71" ht="15.75" customHeight="1">
      <c r="N71" s="36"/>
    </row>
    <row r="72" ht="15.75" customHeight="1">
      <c r="N72" s="36"/>
    </row>
    <row r="73" ht="15.75" customHeight="1">
      <c r="N73" s="36"/>
    </row>
    <row r="74" ht="15.75" customHeight="1">
      <c r="N74" s="36"/>
    </row>
    <row r="75" ht="15.75" customHeight="1">
      <c r="N75" s="36"/>
    </row>
    <row r="76" ht="15.75" customHeight="1">
      <c r="N76" s="36"/>
    </row>
    <row r="77" ht="15.75" customHeight="1">
      <c r="N77" s="36"/>
    </row>
    <row r="78" ht="15.75" customHeight="1">
      <c r="N78" s="36"/>
    </row>
    <row r="79" ht="15.75" customHeight="1">
      <c r="N79" s="36"/>
    </row>
    <row r="80" ht="15.75" customHeight="1">
      <c r="N80" s="36"/>
    </row>
    <row r="81" ht="15.75" customHeight="1">
      <c r="N81" s="36"/>
    </row>
    <row r="82" ht="15.75" customHeight="1">
      <c r="N82" s="36"/>
    </row>
    <row r="83" ht="15.75" customHeight="1">
      <c r="N83" s="36"/>
    </row>
    <row r="84" ht="15.75" customHeight="1">
      <c r="N84" s="36"/>
    </row>
    <row r="85" ht="15.75" customHeight="1">
      <c r="N85" s="36"/>
    </row>
    <row r="86" ht="15.75" customHeight="1">
      <c r="N86" s="36"/>
    </row>
    <row r="87" ht="15.75" customHeight="1">
      <c r="N87" s="36"/>
    </row>
    <row r="88" ht="15.75" customHeight="1">
      <c r="N88" s="36"/>
    </row>
    <row r="89" ht="15.75" customHeight="1">
      <c r="N89" s="36"/>
    </row>
    <row r="90" ht="15.75" customHeight="1">
      <c r="N90" s="36"/>
    </row>
    <row r="91" ht="15.75" customHeight="1">
      <c r="N91" s="36"/>
    </row>
    <row r="92" ht="15.75" customHeight="1">
      <c r="N92" s="36"/>
    </row>
    <row r="93" ht="15.75" customHeight="1">
      <c r="N93" s="36"/>
    </row>
    <row r="94" ht="15.75" customHeight="1">
      <c r="N94" s="36"/>
    </row>
    <row r="95" ht="15.75" customHeight="1">
      <c r="N95" s="36"/>
    </row>
    <row r="96" ht="15.75" customHeight="1">
      <c r="N96" s="36"/>
    </row>
    <row r="97" ht="15.75" customHeight="1">
      <c r="N97" s="36"/>
    </row>
    <row r="98" ht="15.75" customHeight="1">
      <c r="N98" s="36"/>
    </row>
    <row r="99" ht="15.75" customHeight="1">
      <c r="N99" s="36"/>
    </row>
    <row r="100" ht="15.75" customHeight="1">
      <c r="N100" s="3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3"/>
      <c r="B3" s="5" t="s">
        <v>8</v>
      </c>
      <c r="C3" s="24" t="s">
        <v>22</v>
      </c>
      <c r="D3" s="5" t="s">
        <v>9</v>
      </c>
      <c r="E3" s="24" t="s">
        <v>22</v>
      </c>
      <c r="F3" s="5" t="s">
        <v>14</v>
      </c>
      <c r="G3" s="13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tr">
        <f>IFERROR(__xludf.DUMMYFUNCTION("""COMPUTED_VALUE"""),"UpdateSharesOutstanding")</f>
        <v>UpdateSharesOutstanding</v>
      </c>
      <c r="D4" s="27" t="str">
        <f>IFERROR(__xludf.DUMMYFUNCTION("""COMPUTED_VALUE"""),"EODTPreferences")</f>
        <v>EODTPreferences</v>
      </c>
      <c r="E4" s="27" t="str">
        <f>IFERROR(__xludf.DUMMYFUNCTION("""COMPUTED_VALUE"""),"LiveData")</f>
        <v>LiveData</v>
      </c>
      <c r="F4" s="27" t="str">
        <f>IFERROR(__xludf.DUMMYFUNCTION("""COMPUTED_VALUE"""),"UncheckDividendYield")</f>
        <v>UncheckDividendYield</v>
      </c>
      <c r="G4" s="27" t="str">
        <f>IFERROR(__xludf.DUMMYFUNCTION("""COMPUTED_VALUE"""),"VerifyPINavLockPopup")</f>
        <v>VerifyPINavLockPopup</v>
      </c>
      <c r="H4" s="27"/>
      <c r="I4" s="27"/>
      <c r="J4" s="27"/>
      <c r="K4" s="27"/>
      <c r="L4" s="27"/>
      <c r="M4" s="27"/>
      <c r="N4" s="27"/>
      <c r="O4" s="27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IFERROR(__xludf.DUMMYFUNCTION("""COMPUTED_VALUE"""),"User Px")</f>
        <v>User Px</v>
      </c>
      <c r="D5" s="31" t="str">
        <f>IFERROR(__xludf.DUMMYFUNCTION("""COMPUTED_VALUE"""),"Asset Class")</f>
        <v>Asset Class</v>
      </c>
      <c r="E5" s="31" t="str">
        <f>IFERROR(__xludf.DUMMYFUNCTION("""COMPUTED_VALUE"""),"Volatility(%)")</f>
        <v>Volatility(%)</v>
      </c>
      <c r="F5" s="32" t="str">
        <f>IFERROR(__xludf.DUMMYFUNCTION("""COMPUTED_VALUE"""),"Historical Volatility")</f>
        <v>Historical Volatility</v>
      </c>
      <c r="G5" s="31" t="str">
        <f>IFERROR(__xludf.DUMMYFUNCTION("""COMPUTED_VALUE"""),"User Volatility")</f>
        <v>User Volatility</v>
      </c>
      <c r="H5" s="31" t="str">
        <f>IFERROR(__xludf.DUMMYFUNCTION("""COMPUTED_VALUE"""),"Interest Rate")</f>
        <v>Interest Rate</v>
      </c>
      <c r="I5" s="31" t="str">
        <f>IFERROR(__xludf.DUMMYFUNCTION("""COMPUTED_VALUE"""),"User Interest Rate")</f>
        <v>User Interest Rate</v>
      </c>
      <c r="J5" s="31" t="str">
        <f>IFERROR(__xludf.DUMMYFUNCTION("""COMPUTED_VALUE"""),"Dividend Yield")</f>
        <v>Dividend Yield</v>
      </c>
      <c r="K5" s="31" t="str">
        <f>IFERROR(__xludf.DUMMYFUNCTION("""COMPUTED_VALUE"""),"User Dividend Yield")</f>
        <v>User Dividend Yield</v>
      </c>
      <c r="L5" s="31" t="str">
        <f>IFERROR(__xludf.DUMMYFUNCTION("""COMPUTED_VALUE"""),"Actual Delta")</f>
        <v>Actual Delta</v>
      </c>
      <c r="M5" s="31" t="str">
        <f>IFERROR(__xludf.DUMMYFUNCTION("""COMPUTED_VALUE"""),"User Delta")</f>
        <v>User Delta</v>
      </c>
      <c r="N5" s="31" t="str">
        <f>IFERROR(__xludf.DUMMYFUNCTION("""COMPUTED_VALUE"""),"Selected Px")</f>
        <v>Selected Px</v>
      </c>
      <c r="O5" s="31" t="str">
        <f>IFERROR(__xludf.DUMMYFUNCTION("""COMPUTED_VALUE"""),"Forward Points")</f>
        <v>Forward Points</v>
      </c>
      <c r="P5" s="31" t="str">
        <f>IFERROR(__xludf.DUMMYFUNCTION("""COMPUTED_VALUE"""),"Shares Outstanding")</f>
        <v>Shares Outstanding</v>
      </c>
      <c r="Q5" s="31" t="str">
        <f>IFERROR(__xludf.DUMMYFUNCTION("""COMPUTED_VALUE"""),"User Shares Outstanding")</f>
        <v>User Shares Outstanding</v>
      </c>
      <c r="R5" s="31" t="str">
        <f>IFERROR(__xludf.DUMMYFUNCTION("""COMPUTED_VALUE"""),"LastPriceUsed")</f>
        <v>LastPriceUsed</v>
      </c>
      <c r="S5" s="31" t="str">
        <f>IFERROR(__xludf.DUMMYFUNCTION("""COMPUTED_VALUE"""),"VolatilityUsed")</f>
        <v>VolatilityUsed</v>
      </c>
      <c r="T5" s="34" t="str">
        <f>IFERROR(__xludf.DUMMYFUNCTION("""COMPUTED_VALUE"""),"IntRateUsed")</f>
        <v>IntRateUsed</v>
      </c>
      <c r="U5" s="34" t="str">
        <f>IFERROR(__xludf.DUMMYFUNCTION("""COMPUTED_VALUE"""),"SM Shares Outstanding")</f>
        <v>SM Shares Outstanding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16</v>
      </c>
      <c r="C6" s="12">
        <v>10.0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1.21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>
        <v>13.0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3"/>
      <c r="B3" s="5" t="s">
        <v>8</v>
      </c>
      <c r="C3" s="24" t="s">
        <v>23</v>
      </c>
      <c r="D3" s="5" t="s">
        <v>9</v>
      </c>
      <c r="E3" s="24" t="s">
        <v>24</v>
      </c>
      <c r="F3" s="5" t="s">
        <v>14</v>
      </c>
      <c r="G3" s="13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  <c r="ZZ3" s="26"/>
      <c r="AAA3" s="26"/>
      <c r="AAB3" s="26"/>
      <c r="AAC3" s="26"/>
      <c r="AAD3" s="26"/>
      <c r="AAE3" s="26"/>
      <c r="AAF3" s="26"/>
      <c r="AAG3" s="26"/>
      <c r="AAH3" s="26"/>
      <c r="AAI3" s="26"/>
      <c r="AAJ3" s="26"/>
      <c r="AAK3" s="26"/>
      <c r="AAL3" s="26"/>
      <c r="AAM3" s="26"/>
      <c r="AAN3" s="26"/>
      <c r="AAO3" s="26"/>
      <c r="AAP3" s="26"/>
      <c r="AAQ3" s="26"/>
      <c r="AAR3" s="26"/>
      <c r="AAS3" s="26"/>
      <c r="AAT3" s="26"/>
      <c r="AAU3" s="26"/>
      <c r="AAV3" s="26"/>
      <c r="AAW3" s="26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6"/>
      <c r="ABJ3" s="26"/>
      <c r="ABK3" s="26"/>
      <c r="ABL3" s="26"/>
      <c r="ABM3" s="26"/>
      <c r="ABN3" s="26"/>
      <c r="ABO3" s="26"/>
      <c r="ABP3" s="26"/>
      <c r="ABQ3" s="26"/>
      <c r="ABR3" s="26"/>
      <c r="ABS3" s="26"/>
      <c r="ABT3" s="26"/>
      <c r="ABU3" s="26"/>
      <c r="ABV3" s="26"/>
      <c r="ABW3" s="26"/>
      <c r="ABX3" s="26"/>
      <c r="ABY3" s="26"/>
      <c r="ABZ3" s="26"/>
      <c r="ACA3" s="26"/>
      <c r="ACB3" s="26"/>
      <c r="ACC3" s="26"/>
      <c r="ACD3" s="26"/>
      <c r="ACE3" s="26"/>
      <c r="ACF3" s="26"/>
      <c r="ACG3" s="26"/>
      <c r="ACH3" s="26"/>
      <c r="ACI3" s="26"/>
      <c r="ACJ3" s="26"/>
      <c r="ACK3" s="26"/>
      <c r="ACL3" s="26"/>
      <c r="ACM3" s="26"/>
      <c r="ACN3" s="26"/>
      <c r="ACO3" s="26"/>
      <c r="ACP3" s="26"/>
      <c r="ACQ3" s="26"/>
      <c r="ACR3" s="26"/>
      <c r="ACS3" s="26"/>
      <c r="ACT3" s="26"/>
      <c r="ACU3" s="26"/>
      <c r="ACV3" s="26"/>
      <c r="ACW3" s="26"/>
      <c r="ACX3" s="26"/>
      <c r="ACY3" s="26"/>
      <c r="ACZ3" s="26"/>
      <c r="ADA3" s="26"/>
      <c r="ADB3" s="26"/>
      <c r="ADC3" s="26"/>
      <c r="ADD3" s="26"/>
      <c r="ADE3" s="26"/>
      <c r="ADF3" s="26"/>
      <c r="ADG3" s="26"/>
      <c r="ADH3" s="26"/>
      <c r="ADI3" s="26"/>
      <c r="ADJ3" s="26"/>
      <c r="ADK3" s="26"/>
      <c r="ADL3" s="26"/>
      <c r="ADM3" s="26"/>
      <c r="ADN3" s="26"/>
      <c r="ADO3" s="26"/>
      <c r="ADP3" s="26"/>
      <c r="ADQ3" s="26"/>
      <c r="ADR3" s="26"/>
      <c r="ADS3" s="26"/>
      <c r="ADT3" s="26"/>
      <c r="ADU3" s="26"/>
      <c r="ADV3" s="26"/>
      <c r="ADW3" s="26"/>
      <c r="ADX3" s="26"/>
      <c r="ADY3" s="26"/>
      <c r="ADZ3" s="26"/>
      <c r="AEA3" s="26"/>
      <c r="AEB3" s="26"/>
      <c r="AEC3" s="26"/>
      <c r="AED3" s="26"/>
      <c r="AEE3" s="26"/>
      <c r="AEF3" s="26"/>
      <c r="AEG3" s="26"/>
      <c r="AEH3" s="26"/>
      <c r="AEI3" s="26"/>
      <c r="AEJ3" s="26"/>
      <c r="AEK3" s="26"/>
      <c r="AEL3" s="26"/>
      <c r="AEM3" s="26"/>
      <c r="AEN3" s="26"/>
      <c r="AEO3" s="26"/>
      <c r="AEP3" s="26"/>
      <c r="AEQ3" s="26"/>
      <c r="AER3" s="26"/>
      <c r="AES3" s="26"/>
      <c r="AET3" s="26"/>
      <c r="AEU3" s="26"/>
      <c r="AEV3" s="26"/>
      <c r="AEW3" s="26"/>
      <c r="AEX3" s="26"/>
      <c r="AEY3" s="26"/>
      <c r="AEZ3" s="26"/>
      <c r="AFA3" s="26"/>
      <c r="AFB3" s="26"/>
      <c r="AFC3" s="26"/>
      <c r="AFD3" s="26"/>
      <c r="AFE3" s="26"/>
      <c r="AFF3" s="26"/>
      <c r="AFG3" s="26"/>
      <c r="AFH3" s="26"/>
      <c r="AFI3" s="26"/>
      <c r="AFJ3" s="26"/>
      <c r="AFK3" s="26"/>
      <c r="AFL3" s="26"/>
      <c r="AFM3" s="26"/>
      <c r="AFN3" s="26"/>
      <c r="AFO3" s="26"/>
      <c r="AFP3" s="26"/>
      <c r="AFQ3" s="26"/>
      <c r="AFR3" s="26"/>
      <c r="AFS3" s="26"/>
      <c r="AFT3" s="26"/>
      <c r="AFU3" s="26"/>
      <c r="AFV3" s="26"/>
      <c r="AFW3" s="26"/>
      <c r="AFX3" s="26"/>
      <c r="AFY3" s="26"/>
      <c r="AFZ3" s="26"/>
      <c r="AGA3" s="26"/>
      <c r="AGB3" s="26"/>
      <c r="AGC3" s="26"/>
      <c r="AGD3" s="26"/>
      <c r="AGE3" s="26"/>
      <c r="AGF3" s="26"/>
      <c r="AGG3" s="26"/>
      <c r="AGH3" s="26"/>
      <c r="AGI3" s="26"/>
      <c r="AGJ3" s="26"/>
      <c r="AGK3" s="26"/>
      <c r="AGL3" s="26"/>
      <c r="AGM3" s="26"/>
      <c r="AGN3" s="26"/>
      <c r="AGO3" s="26"/>
      <c r="AGP3" s="26"/>
      <c r="AGQ3" s="26"/>
      <c r="AGR3" s="26"/>
      <c r="AGS3" s="26"/>
      <c r="AGT3" s="26"/>
      <c r="AGU3" s="26"/>
      <c r="AGV3" s="26"/>
      <c r="AGW3" s="26"/>
      <c r="AGX3" s="26"/>
      <c r="AGY3" s="26"/>
      <c r="AGZ3" s="26"/>
      <c r="AHA3" s="26"/>
      <c r="AHB3" s="26"/>
      <c r="AHC3" s="26"/>
      <c r="AHD3" s="26"/>
      <c r="AHE3" s="26"/>
      <c r="AHF3" s="26"/>
      <c r="AHG3" s="26"/>
      <c r="AHH3" s="26"/>
      <c r="AHI3" s="26"/>
      <c r="AHJ3" s="26"/>
      <c r="AHK3" s="26"/>
      <c r="AHL3" s="26"/>
      <c r="AHM3" s="26"/>
      <c r="AHN3" s="26"/>
      <c r="AHO3" s="26"/>
      <c r="AHP3" s="26"/>
      <c r="AHQ3" s="26"/>
      <c r="AHR3" s="26"/>
      <c r="AHS3" s="26"/>
      <c r="AHT3" s="26"/>
      <c r="AHU3" s="26"/>
      <c r="AHV3" s="26"/>
      <c r="AHW3" s="26"/>
      <c r="AHX3" s="26"/>
      <c r="AHY3" s="26"/>
      <c r="AHZ3" s="26"/>
      <c r="AIA3" s="26"/>
      <c r="AIB3" s="26"/>
      <c r="AIC3" s="26"/>
      <c r="AID3" s="26"/>
      <c r="AIE3" s="26"/>
      <c r="AIF3" s="26"/>
      <c r="AIG3" s="26"/>
      <c r="AIH3" s="26"/>
      <c r="AII3" s="26"/>
      <c r="AIJ3" s="26"/>
      <c r="AIK3" s="26"/>
      <c r="AIL3" s="26"/>
      <c r="AIM3" s="26"/>
      <c r="AIN3" s="26"/>
      <c r="AIO3" s="26"/>
      <c r="AIP3" s="26"/>
      <c r="AIQ3" s="26"/>
      <c r="AIR3" s="26"/>
      <c r="AIS3" s="26"/>
      <c r="AIT3" s="26"/>
      <c r="AIU3" s="26"/>
      <c r="AIV3" s="26"/>
      <c r="AIW3" s="26"/>
      <c r="AIX3" s="26"/>
      <c r="AIY3" s="26"/>
      <c r="AIZ3" s="26"/>
      <c r="AJA3" s="26"/>
      <c r="AJB3" s="26"/>
      <c r="AJC3" s="26"/>
      <c r="AJD3" s="26"/>
      <c r="AJE3" s="26"/>
      <c r="AJF3" s="26"/>
      <c r="AJG3" s="26"/>
      <c r="AJH3" s="26"/>
      <c r="AJI3" s="26"/>
      <c r="AJJ3" s="26"/>
      <c r="AJK3" s="26"/>
      <c r="AJL3" s="26"/>
      <c r="AJM3" s="26"/>
      <c r="AJN3" s="26"/>
      <c r="AJO3" s="26"/>
      <c r="AJP3" s="26"/>
      <c r="AJQ3" s="26"/>
      <c r="AJR3" s="26"/>
      <c r="AJS3" s="26"/>
      <c r="AJT3" s="26"/>
      <c r="AJU3" s="26"/>
      <c r="AJV3" s="26"/>
      <c r="AJW3" s="26"/>
      <c r="AJX3" s="26"/>
      <c r="AJY3" s="26"/>
      <c r="AJZ3" s="26"/>
      <c r="AKA3" s="26"/>
      <c r="AKB3" s="26"/>
      <c r="AKC3" s="26"/>
      <c r="AKD3" s="26"/>
      <c r="AKE3" s="26"/>
      <c r="AKF3" s="26"/>
      <c r="AKG3" s="26"/>
      <c r="AKH3" s="26"/>
      <c r="AKI3" s="26"/>
      <c r="AKJ3" s="26"/>
      <c r="AKK3" s="26"/>
      <c r="AKL3" s="26"/>
      <c r="AKM3" s="26"/>
      <c r="AKN3" s="26"/>
      <c r="AKO3" s="26"/>
      <c r="AKP3" s="26"/>
      <c r="AKQ3" s="26"/>
      <c r="AKR3" s="26"/>
      <c r="AKS3" s="26"/>
      <c r="AKT3" s="26"/>
      <c r="AKU3" s="26"/>
      <c r="AKV3" s="26"/>
      <c r="AKW3" s="26"/>
      <c r="AKX3" s="26"/>
      <c r="AKY3" s="26"/>
      <c r="AKZ3" s="26"/>
      <c r="ALA3" s="26"/>
      <c r="ALB3" s="26"/>
      <c r="ALC3" s="26"/>
      <c r="ALD3" s="26"/>
      <c r="ALE3" s="26"/>
      <c r="ALF3" s="26"/>
      <c r="ALG3" s="26"/>
      <c r="ALH3" s="26"/>
      <c r="ALI3" s="26"/>
      <c r="ALJ3" s="26"/>
      <c r="ALK3" s="26"/>
      <c r="ALL3" s="26"/>
      <c r="ALM3" s="26"/>
      <c r="ALN3" s="26"/>
      <c r="ALO3" s="26"/>
      <c r="ALP3" s="26"/>
      <c r="ALQ3" s="26"/>
      <c r="ALR3" s="26"/>
      <c r="ALS3" s="26"/>
      <c r="ALT3" s="26"/>
      <c r="ALU3" s="26"/>
      <c r="ALV3" s="26"/>
      <c r="ALW3" s="26"/>
      <c r="ALX3" s="26"/>
      <c r="ALY3" s="26"/>
      <c r="ALZ3" s="26"/>
      <c r="AMA3" s="26"/>
      <c r="AMB3" s="26"/>
      <c r="AMC3" s="26"/>
      <c r="AMD3" s="26"/>
      <c r="AME3" s="26"/>
      <c r="AMF3" s="26"/>
      <c r="AMG3" s="26"/>
      <c r="AMH3" s="26"/>
      <c r="AMI3" s="26"/>
      <c r="AMJ3" s="26"/>
      <c r="AMK3" s="26"/>
      <c r="AML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tr">
        <f>IFERROR(__xludf.DUMMYFUNCTION("""COMPUTED_VALUE"""),"CheckPortfolioManagement")</f>
        <v>CheckPortfolioManagement</v>
      </c>
      <c r="D4" s="27" t="str">
        <f>IFERROR(__xludf.DUMMYFUNCTION("""COMPUTED_VALUE"""),"CheckPMLiveFeed")</f>
        <v>CheckPMLiveFeed</v>
      </c>
      <c r="E4" s="27" t="str">
        <f>IFERROR(__xludf.DUMMYFUNCTION("""COMPUTED_VALUE"""),"OpenPSTFromPM")</f>
        <v>OpenPSTFromPM</v>
      </c>
      <c r="F4" s="27" t="str">
        <f>IFERROR(__xludf.DUMMYFUNCTION("""COMPUTED_VALUE"""),"ClosePM")</f>
        <v>ClosePM</v>
      </c>
      <c r="G4" s="27" t="str">
        <f>IFERROR(__xludf.DUMMYFUNCTION("""COMPUTED_VALUE"""),"FilterPM")</f>
        <v>FilterPM</v>
      </c>
      <c r="H4" s="27" t="str">
        <f>IFERROR(__xludf.DUMMYFUNCTION("""COMPUTED_VALUE"""),"GroupRowPM")</f>
        <v>GroupRowPM</v>
      </c>
      <c r="I4" s="27" t="str">
        <f>IFERROR(__xludf.DUMMYFUNCTION("""COMPUTED_VALUE"""),"CheckDashboardWithPM")</f>
        <v>CheckDashboardWithPM</v>
      </c>
      <c r="J4" s="27" t="str">
        <f>IFERROR(__xludf.DUMMYFUNCTION("""COMPUTED_VALUE"""),"RemoveFilterPM")</f>
        <v>RemoveFilterPM</v>
      </c>
      <c r="K4" s="27" t="str">
        <f>IFERROR(__xludf.DUMMYFUNCTION("""COMPUTED_VALUE"""),"CheckSummaryRowsPM")</f>
        <v>CheckSummaryRowsPM</v>
      </c>
      <c r="L4" s="27" t="str">
        <f>IFERROR(__xludf.DUMMYFUNCTION("""COMPUTED_VALUE"""),"OpenPTTFromPM")</f>
        <v>OpenPTTFromPM</v>
      </c>
      <c r="M4" s="27" t="str">
        <f>IFERROR(__xludf.DUMMYFUNCTION("""COMPUTED_VALUE"""),"OpenClosingFromPM")</f>
        <v>OpenClosingFromPM</v>
      </c>
      <c r="N4" s="27" t="str">
        <f>IFERROR(__xludf.DUMMYFUNCTION("""COMPUTED_VALUE"""),"OpenCorporateActionFromPM")</f>
        <v>OpenCorporateActionFromPM</v>
      </c>
      <c r="O4" s="27" t="str">
        <f>IFERROR(__xludf.DUMMYFUNCTION("""COMPUTED_VALUE"""),"OpenDailyValuationFromPM")</f>
        <v>OpenDailyValuationFromPM</v>
      </c>
      <c r="P4" s="29" t="str">
        <f>IFERROR(__xludf.DUMMYFUNCTION("""COMPUTED_VALUE"""),"ClosePositionFromPM")</f>
        <v>ClosePositionFromPM</v>
      </c>
      <c r="Q4" s="29" t="str">
        <f>IFERROR(__xludf.DUMMYFUNCTION("""COMPUTED_VALUE"""),"ShowSummaryToolFromPM")</f>
        <v>ShowSummaryToolFromPM</v>
      </c>
      <c r="R4" s="29" t="str">
        <f>IFERROR(__xludf.DUMMYFUNCTION("""COMPUTED_VALUE"""),"HideSummaryToolFromPM")</f>
        <v>HideSummaryToolFromPM</v>
      </c>
      <c r="S4" s="29" t="str">
        <f>IFERROR(__xludf.DUMMYFUNCTION("""COMPUTED_VALUE"""),"CloseAccountPositionFromPM")</f>
        <v>CloseAccountPositionFromPM</v>
      </c>
      <c r="T4" s="29" t="str">
        <f>IFERROR(__xludf.DUMMYFUNCTION("""COMPUTED_VALUE"""),"CloseSelectedTaxlotsFromPM")</f>
        <v>CloseSelectedTaxlotsFromPM</v>
      </c>
      <c r="U4" s="29" t="str">
        <f>IFERROR(__xludf.DUMMYFUNCTION("""COMPUTED_VALUE"""),"ExpandCollapsePM")</f>
        <v>ExpandCollapsePM</v>
      </c>
      <c r="V4" s="29" t="str">
        <f>IFERROR(__xludf.DUMMYFUNCTION("""COMPUTED_VALUE"""),"AddCustomViewPM")</f>
        <v>AddCustomViewPM</v>
      </c>
      <c r="W4" s="29" t="str">
        <f>IFERROR(__xludf.DUMMYFUNCTION("""COMPUTED_VALUE"""),"AddCustomViewRightClickPM")</f>
        <v>AddCustomViewRightClickPM</v>
      </c>
      <c r="X4" s="29" t="str">
        <f>IFERROR(__xludf.DUMMYFUNCTION("""COMPUTED_VALUE"""),"RenameCustomViewPM")</f>
        <v>RenameCustomViewPM</v>
      </c>
      <c r="Y4" s="29" t="str">
        <f>IFERROR(__xludf.DUMMYFUNCTION("""COMPUTED_VALUE"""),"DeleteCustomViewPM")</f>
        <v>DeleteCustomViewPM</v>
      </c>
      <c r="Z4" s="29" t="str">
        <f>IFERROR(__xludf.DUMMYFUNCTION("""COMPUTED_VALUE"""),"OpenCreateTransactionFromPM")</f>
        <v>OpenCreateTransactionFromPM</v>
      </c>
      <c r="AA4" s="29" t="str">
        <f>IFERROR(__xludf.DUMMYFUNCTION("""COMPUTED_VALUE"""),"RemoveGroupingFromPM")</f>
        <v>RemoveGroupingFromPM</v>
      </c>
      <c r="AB4" s="29" t="str">
        <f>IFERROR(__xludf.DUMMYFUNCTION("""COMPUTED_VALUE"""),"IncreasePositionFromPM")</f>
        <v>IncreasePositionFromPM</v>
      </c>
      <c r="AC4" s="29" t="str">
        <f>IFERROR(__xludf.DUMMYFUNCTION("""COMPUTED_VALUE"""),"SortAndVerifyPM")</f>
        <v>SortAndVerifyPM</v>
      </c>
      <c r="AD4" s="29" t="str">
        <f>IFERROR(__xludf.DUMMYFUNCTION("""COMPUTED_VALUE"""),"OpenPIFromPM")</f>
        <v>OpenPIFromPM</v>
      </c>
      <c r="AE4" s="29" t="str">
        <f>IFERROR(__xludf.DUMMYFUNCTION("""COMPUTED_VALUE"""),"ViewSettings")</f>
        <v>ViewSettings</v>
      </c>
      <c r="AF4" s="29" t="str">
        <f>IFERROR(__xludf.DUMMYFUNCTION("""COMPUTED_VALUE"""),"SaveLayoutPM")</f>
        <v>SaveLayoutPM</v>
      </c>
      <c r="AG4" s="29" t="str">
        <f>IFERROR(__xludf.DUMMYFUNCTION("""COMPUTED_VALUE"""),"SaveLayoutPM")</f>
        <v>SaveLayoutPM</v>
      </c>
      <c r="AH4" s="29" t="str">
        <f>IFERROR(__xludf.DUMMYFUNCTION("""COMPUTED_VALUE"""),"CustomView")</f>
        <v>CustomView</v>
      </c>
      <c r="AI4" s="29" t="str">
        <f>IFERROR(__xludf.DUMMYFUNCTION("""COMPUTED_VALUE"""),"OpenCustomView")</f>
        <v>OpenCustomView</v>
      </c>
      <c r="AJ4" s="29" t="str">
        <f>IFERROR(__xludf.DUMMYFUNCTION("""COMPUTED_VALUE"""),"CheckSummaryRowsPM")</f>
        <v>CheckSummaryRowsPM</v>
      </c>
      <c r="AK4" s="29" t="str">
        <f>IFERROR(__xludf.DUMMYFUNCTION("""COMPUTED_VALUE"""),"CheckCustomViewRowSummary")</f>
        <v>CheckCustomViewRowSummary</v>
      </c>
      <c r="AL4" s="29" t="str">
        <f>IFERROR(__xludf.DUMMYFUNCTION("""COMPUTED_VALUE"""),"GroupRowCustomView")</f>
        <v>GroupRowCustomView</v>
      </c>
      <c r="AM4" s="29" t="str">
        <f>IFERROR(__xludf.DUMMYFUNCTION("""COMPUTED_VALUE"""),"CheckCustomViewRowSummary")</f>
        <v>CheckCustomViewRowSummary</v>
      </c>
      <c r="AN4" s="29" t="str">
        <f>IFERROR(__xludf.DUMMYFUNCTION("""COMPUTED_VALUE"""),"OpenTaxlotDetails")</f>
        <v>OpenTaxlotDetails</v>
      </c>
      <c r="AO4" s="29" t="str">
        <f>IFERROR(__xludf.DUMMYFUNCTION("""COMPUTED_VALUE"""),"CheckTaxlotDetails")</f>
        <v>CheckTaxlotDetails</v>
      </c>
      <c r="AP4" s="29" t="str">
        <f>IFERROR(__xludf.DUMMYFUNCTION("""COMPUTED_VALUE"""),"SelectTradeOnPM")</f>
        <v>SelectTradeOnPM</v>
      </c>
      <c r="AQ4" s="29" t="str">
        <f>IFERROR(__xludf.DUMMYFUNCTION("""COMPUTED_VALUE"""),"OperationsonPM")</f>
        <v>OperationsonPM</v>
      </c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  <c r="NC4" s="29"/>
      <c r="ND4" s="29"/>
      <c r="NE4" s="29"/>
      <c r="NF4" s="29"/>
      <c r="NG4" s="29"/>
      <c r="NH4" s="29"/>
      <c r="NI4" s="29"/>
      <c r="NJ4" s="29"/>
      <c r="NK4" s="29"/>
      <c r="NL4" s="29"/>
      <c r="NM4" s="29"/>
      <c r="NN4" s="29"/>
      <c r="NO4" s="29"/>
      <c r="NP4" s="29"/>
      <c r="NQ4" s="29"/>
      <c r="NR4" s="29"/>
      <c r="NS4" s="29"/>
      <c r="NT4" s="29"/>
      <c r="NU4" s="29"/>
      <c r="NV4" s="29"/>
      <c r="NW4" s="29"/>
      <c r="NX4" s="29"/>
      <c r="NY4" s="29"/>
      <c r="NZ4" s="29"/>
      <c r="OA4" s="29"/>
      <c r="OB4" s="29"/>
      <c r="OC4" s="29"/>
      <c r="OD4" s="29"/>
      <c r="OE4" s="29"/>
      <c r="OF4" s="29"/>
      <c r="OG4" s="29"/>
      <c r="OH4" s="29"/>
      <c r="OI4" s="29"/>
      <c r="OJ4" s="29"/>
      <c r="OK4" s="29"/>
      <c r="OL4" s="29"/>
      <c r="OM4" s="29"/>
      <c r="ON4" s="29"/>
      <c r="OO4" s="29"/>
      <c r="OP4" s="29"/>
      <c r="OQ4" s="29"/>
      <c r="OR4" s="29"/>
      <c r="OS4" s="29"/>
      <c r="OT4" s="29"/>
      <c r="OU4" s="29"/>
      <c r="OV4" s="29"/>
      <c r="OW4" s="29"/>
      <c r="OX4" s="29"/>
      <c r="OY4" s="29"/>
      <c r="OZ4" s="29"/>
      <c r="PA4" s="29"/>
      <c r="PB4" s="29"/>
      <c r="PC4" s="29"/>
      <c r="PD4" s="29"/>
      <c r="PE4" s="29"/>
      <c r="PF4" s="29"/>
      <c r="PG4" s="29"/>
      <c r="PH4" s="29"/>
      <c r="PI4" s="29"/>
      <c r="PJ4" s="29"/>
      <c r="PK4" s="29"/>
      <c r="PL4" s="29"/>
      <c r="PM4" s="29"/>
      <c r="PN4" s="29"/>
      <c r="PO4" s="29"/>
      <c r="PP4" s="29"/>
      <c r="PQ4" s="29"/>
      <c r="PR4" s="29"/>
      <c r="PS4" s="29"/>
      <c r="PT4" s="29"/>
      <c r="PU4" s="29"/>
      <c r="PV4" s="29"/>
      <c r="PW4" s="29"/>
      <c r="PX4" s="29"/>
      <c r="PY4" s="29"/>
      <c r="PZ4" s="29"/>
      <c r="QA4" s="29"/>
      <c r="QB4" s="29"/>
      <c r="QC4" s="29"/>
      <c r="QD4" s="29"/>
      <c r="QE4" s="29"/>
      <c r="QF4" s="29"/>
      <c r="QG4" s="29"/>
      <c r="QH4" s="29"/>
      <c r="QI4" s="29"/>
      <c r="QJ4" s="29"/>
      <c r="QK4" s="29"/>
      <c r="QL4" s="29"/>
      <c r="QM4" s="29"/>
      <c r="QN4" s="29"/>
      <c r="QO4" s="29"/>
      <c r="QP4" s="29"/>
      <c r="QQ4" s="29"/>
      <c r="QR4" s="29"/>
      <c r="QS4" s="29"/>
      <c r="QT4" s="29"/>
      <c r="QU4" s="29"/>
      <c r="QV4" s="29"/>
      <c r="QW4" s="29"/>
      <c r="QX4" s="29"/>
      <c r="QY4" s="29"/>
      <c r="QZ4" s="29"/>
      <c r="RA4" s="29"/>
      <c r="RB4" s="29"/>
      <c r="RC4" s="29"/>
      <c r="RD4" s="29"/>
      <c r="RE4" s="29"/>
      <c r="RF4" s="29"/>
      <c r="RG4" s="29"/>
      <c r="RH4" s="29"/>
      <c r="RI4" s="29"/>
      <c r="RJ4" s="29"/>
      <c r="RK4" s="29"/>
      <c r="RL4" s="29"/>
      <c r="RM4" s="29"/>
      <c r="RN4" s="29"/>
      <c r="RO4" s="29"/>
      <c r="RP4" s="29"/>
      <c r="RQ4" s="29"/>
      <c r="RR4" s="29"/>
      <c r="RS4" s="29"/>
      <c r="RT4" s="29"/>
      <c r="RU4" s="29"/>
      <c r="RV4" s="29"/>
      <c r="RW4" s="29"/>
      <c r="RX4" s="29"/>
      <c r="RY4" s="29"/>
      <c r="RZ4" s="29"/>
      <c r="SA4" s="29"/>
      <c r="SB4" s="29"/>
      <c r="SC4" s="29"/>
      <c r="SD4" s="29"/>
      <c r="SE4" s="29"/>
      <c r="SF4" s="29"/>
      <c r="SG4" s="29"/>
      <c r="SH4" s="29"/>
      <c r="SI4" s="29"/>
      <c r="SJ4" s="29"/>
      <c r="SK4" s="29"/>
      <c r="SL4" s="29"/>
      <c r="SM4" s="29"/>
      <c r="SN4" s="29"/>
      <c r="SO4" s="29"/>
      <c r="SP4" s="29"/>
      <c r="SQ4" s="29"/>
      <c r="SR4" s="29"/>
      <c r="SS4" s="29"/>
      <c r="ST4" s="29"/>
      <c r="SU4" s="29"/>
      <c r="SV4" s="29"/>
      <c r="SW4" s="29"/>
      <c r="SX4" s="29"/>
      <c r="SY4" s="29"/>
      <c r="SZ4" s="29"/>
      <c r="TA4" s="29"/>
      <c r="TB4" s="29"/>
      <c r="TC4" s="29"/>
      <c r="TD4" s="29"/>
      <c r="TE4" s="29"/>
      <c r="TF4" s="29"/>
      <c r="TG4" s="29"/>
      <c r="TH4" s="29"/>
      <c r="TI4" s="29"/>
      <c r="TJ4" s="29"/>
      <c r="TK4" s="29"/>
      <c r="TL4" s="29"/>
      <c r="TM4" s="29"/>
      <c r="TN4" s="29"/>
      <c r="TO4" s="29"/>
      <c r="TP4" s="29"/>
      <c r="TQ4" s="29"/>
      <c r="TR4" s="29"/>
      <c r="TS4" s="29"/>
      <c r="TT4" s="29"/>
      <c r="TU4" s="29"/>
      <c r="TV4" s="29"/>
      <c r="TW4" s="29"/>
      <c r="TX4" s="29"/>
      <c r="TY4" s="29"/>
      <c r="TZ4" s="29"/>
      <c r="UA4" s="29"/>
      <c r="UB4" s="29"/>
      <c r="UC4" s="29"/>
      <c r="UD4" s="29"/>
      <c r="UE4" s="29"/>
      <c r="UF4" s="29"/>
      <c r="UG4" s="29"/>
      <c r="UH4" s="29"/>
      <c r="UI4" s="29"/>
      <c r="UJ4" s="29"/>
      <c r="UK4" s="29"/>
      <c r="UL4" s="29"/>
      <c r="UM4" s="29"/>
      <c r="UN4" s="29"/>
      <c r="UO4" s="29"/>
      <c r="UP4" s="29"/>
      <c r="UQ4" s="29"/>
      <c r="UR4" s="29"/>
      <c r="US4" s="29"/>
      <c r="UT4" s="29"/>
      <c r="UU4" s="29"/>
      <c r="UV4" s="29"/>
      <c r="UW4" s="29"/>
      <c r="UX4" s="29"/>
      <c r="UY4" s="29"/>
      <c r="UZ4" s="29"/>
      <c r="VA4" s="29"/>
      <c r="VB4" s="29"/>
      <c r="VC4" s="29"/>
      <c r="VD4" s="29"/>
      <c r="VE4" s="29"/>
      <c r="VF4" s="29"/>
      <c r="VG4" s="29"/>
      <c r="VH4" s="29"/>
      <c r="VI4" s="29"/>
      <c r="VJ4" s="29"/>
      <c r="VK4" s="29"/>
      <c r="VL4" s="29"/>
      <c r="VM4" s="29"/>
      <c r="VN4" s="29"/>
      <c r="VO4" s="29"/>
      <c r="VP4" s="29"/>
      <c r="VQ4" s="29"/>
      <c r="VR4" s="29"/>
      <c r="VS4" s="29"/>
      <c r="VT4" s="29"/>
      <c r="VU4" s="29"/>
      <c r="VV4" s="29"/>
      <c r="VW4" s="29"/>
      <c r="VX4" s="29"/>
      <c r="VY4" s="29"/>
      <c r="VZ4" s="29"/>
      <c r="WA4" s="29"/>
      <c r="WB4" s="29"/>
      <c r="WC4" s="29"/>
      <c r="WD4" s="29"/>
      <c r="WE4" s="29"/>
      <c r="WF4" s="29"/>
      <c r="WG4" s="29"/>
      <c r="WH4" s="29"/>
      <c r="WI4" s="29"/>
      <c r="WJ4" s="29"/>
      <c r="WK4" s="29"/>
      <c r="WL4" s="29"/>
      <c r="WM4" s="29"/>
      <c r="WN4" s="29"/>
      <c r="WO4" s="29"/>
      <c r="WP4" s="29"/>
      <c r="WQ4" s="29"/>
      <c r="WR4" s="29"/>
      <c r="WS4" s="29"/>
      <c r="WT4" s="29"/>
      <c r="WU4" s="29"/>
      <c r="WV4" s="29"/>
      <c r="WW4" s="29"/>
      <c r="WX4" s="29"/>
      <c r="WY4" s="29"/>
      <c r="WZ4" s="29"/>
      <c r="XA4" s="29"/>
      <c r="XB4" s="29"/>
      <c r="XC4" s="29"/>
      <c r="XD4" s="29"/>
      <c r="XE4" s="29"/>
      <c r="XF4" s="29"/>
      <c r="XG4" s="29"/>
      <c r="XH4" s="29"/>
      <c r="XI4" s="29"/>
      <c r="XJ4" s="29"/>
      <c r="XK4" s="29"/>
      <c r="XL4" s="29"/>
      <c r="XM4" s="29"/>
      <c r="XN4" s="29"/>
      <c r="XO4" s="29"/>
      <c r="XP4" s="29"/>
      <c r="XQ4" s="29"/>
      <c r="XR4" s="29"/>
      <c r="XS4" s="29"/>
      <c r="XT4" s="29"/>
      <c r="XU4" s="29"/>
      <c r="XV4" s="29"/>
      <c r="XW4" s="29"/>
      <c r="XX4" s="29"/>
      <c r="XY4" s="29"/>
      <c r="XZ4" s="29"/>
      <c r="YA4" s="29"/>
      <c r="YB4" s="29"/>
      <c r="YC4" s="29"/>
      <c r="YD4" s="29"/>
      <c r="YE4" s="29"/>
      <c r="YF4" s="29"/>
      <c r="YG4" s="29"/>
      <c r="YH4" s="29"/>
      <c r="YI4" s="29"/>
      <c r="YJ4" s="29"/>
      <c r="YK4" s="29"/>
      <c r="YL4" s="29"/>
      <c r="YM4" s="29"/>
      <c r="YN4" s="29"/>
      <c r="YO4" s="29"/>
      <c r="YP4" s="29"/>
      <c r="YQ4" s="29"/>
      <c r="YR4" s="29"/>
      <c r="YS4" s="29"/>
      <c r="YT4" s="29"/>
      <c r="YU4" s="29"/>
      <c r="YV4" s="29"/>
      <c r="YW4" s="29"/>
      <c r="YX4" s="29"/>
      <c r="YY4" s="29"/>
      <c r="YZ4" s="29"/>
      <c r="ZA4" s="29"/>
      <c r="ZB4" s="29"/>
      <c r="ZC4" s="29"/>
      <c r="ZD4" s="29"/>
      <c r="ZE4" s="29"/>
      <c r="ZF4" s="29"/>
      <c r="ZG4" s="29"/>
      <c r="ZH4" s="29"/>
      <c r="ZI4" s="29"/>
      <c r="ZJ4" s="29"/>
      <c r="ZK4" s="29"/>
      <c r="ZL4" s="29"/>
      <c r="ZM4" s="29"/>
      <c r="ZN4" s="29"/>
      <c r="ZO4" s="29"/>
      <c r="ZP4" s="29"/>
      <c r="ZQ4" s="29"/>
      <c r="ZR4" s="29"/>
      <c r="ZS4" s="29"/>
      <c r="ZT4" s="29"/>
      <c r="ZU4" s="29"/>
      <c r="ZV4" s="29"/>
      <c r="ZW4" s="29"/>
      <c r="ZX4" s="29"/>
      <c r="ZY4" s="29"/>
      <c r="ZZ4" s="29"/>
      <c r="AAA4" s="29"/>
      <c r="AAB4" s="29"/>
      <c r="AAC4" s="29"/>
      <c r="AAD4" s="29"/>
      <c r="AAE4" s="29"/>
      <c r="AAF4" s="29"/>
      <c r="AAG4" s="29"/>
      <c r="AAH4" s="29"/>
      <c r="AAI4" s="29"/>
      <c r="AAJ4" s="29"/>
      <c r="AAK4" s="29"/>
      <c r="AAL4" s="29"/>
      <c r="AAM4" s="29"/>
      <c r="AAN4" s="29"/>
      <c r="AAO4" s="29"/>
      <c r="AAP4" s="29"/>
      <c r="AAQ4" s="29"/>
      <c r="AAR4" s="29"/>
      <c r="AAS4" s="29"/>
      <c r="AAT4" s="29"/>
      <c r="AAU4" s="29"/>
      <c r="AAV4" s="29"/>
      <c r="AAW4" s="29"/>
      <c r="AAX4" s="29"/>
      <c r="AAY4" s="29"/>
      <c r="AAZ4" s="29"/>
      <c r="ABA4" s="29"/>
      <c r="ABB4" s="29"/>
      <c r="ABC4" s="29"/>
      <c r="ABD4" s="29"/>
      <c r="ABE4" s="29"/>
      <c r="ABF4" s="29"/>
      <c r="ABG4" s="29"/>
      <c r="ABH4" s="29"/>
      <c r="ABI4" s="29"/>
      <c r="ABJ4" s="29"/>
      <c r="ABK4" s="29"/>
      <c r="ABL4" s="29"/>
      <c r="ABM4" s="29"/>
      <c r="ABN4" s="29"/>
      <c r="ABO4" s="29"/>
      <c r="ABP4" s="29"/>
      <c r="ABQ4" s="29"/>
      <c r="ABR4" s="29"/>
      <c r="ABS4" s="29"/>
      <c r="ABT4" s="29"/>
      <c r="ABU4" s="29"/>
      <c r="ABV4" s="29"/>
      <c r="ABW4" s="29"/>
      <c r="ABX4" s="29"/>
      <c r="ABY4" s="29"/>
      <c r="ABZ4" s="29"/>
      <c r="ACA4" s="29"/>
      <c r="ACB4" s="29"/>
      <c r="ACC4" s="29"/>
      <c r="ACD4" s="29"/>
      <c r="ACE4" s="29"/>
      <c r="ACF4" s="29"/>
      <c r="ACG4" s="29"/>
      <c r="ACH4" s="29"/>
      <c r="ACI4" s="29"/>
      <c r="ACJ4" s="29"/>
      <c r="ACK4" s="29"/>
      <c r="ACL4" s="29"/>
      <c r="ACM4" s="29"/>
      <c r="ACN4" s="29"/>
      <c r="ACO4" s="29"/>
      <c r="ACP4" s="29"/>
      <c r="ACQ4" s="29"/>
      <c r="ACR4" s="29"/>
      <c r="ACS4" s="29"/>
      <c r="ACT4" s="29"/>
      <c r="ACU4" s="29"/>
      <c r="ACV4" s="29"/>
      <c r="ACW4" s="29"/>
      <c r="ACX4" s="29"/>
      <c r="ACY4" s="29"/>
      <c r="ACZ4" s="29"/>
      <c r="ADA4" s="29"/>
      <c r="ADB4" s="29"/>
      <c r="ADC4" s="29"/>
      <c r="ADD4" s="29"/>
      <c r="ADE4" s="29"/>
      <c r="ADF4" s="29"/>
      <c r="ADG4" s="29"/>
      <c r="ADH4" s="29"/>
      <c r="ADI4" s="29"/>
      <c r="ADJ4" s="29"/>
      <c r="ADK4" s="29"/>
      <c r="ADL4" s="29"/>
      <c r="ADM4" s="29"/>
      <c r="ADN4" s="29"/>
      <c r="ADO4" s="29"/>
      <c r="ADP4" s="29"/>
      <c r="ADQ4" s="29"/>
      <c r="ADR4" s="29"/>
      <c r="ADS4" s="29"/>
      <c r="ADT4" s="29"/>
      <c r="ADU4" s="29"/>
      <c r="ADV4" s="29"/>
      <c r="ADW4" s="29"/>
      <c r="ADX4" s="29"/>
      <c r="ADY4" s="29"/>
      <c r="ADZ4" s="29"/>
      <c r="AEA4" s="29"/>
      <c r="AEB4" s="29"/>
      <c r="AEC4" s="29"/>
      <c r="AED4" s="29"/>
      <c r="AEE4" s="29"/>
      <c r="AEF4" s="29"/>
      <c r="AEG4" s="29"/>
      <c r="AEH4" s="29"/>
      <c r="AEI4" s="29"/>
      <c r="AEJ4" s="29"/>
      <c r="AEK4" s="29"/>
      <c r="AEL4" s="29"/>
      <c r="AEM4" s="29"/>
      <c r="AEN4" s="29"/>
      <c r="AEO4" s="29"/>
      <c r="AEP4" s="29"/>
      <c r="AEQ4" s="29"/>
      <c r="AER4" s="29"/>
      <c r="AES4" s="29"/>
      <c r="AET4" s="29"/>
      <c r="AEU4" s="29"/>
      <c r="AEV4" s="29"/>
      <c r="AEW4" s="29"/>
      <c r="AEX4" s="29"/>
      <c r="AEY4" s="29"/>
      <c r="AEZ4" s="29"/>
      <c r="AFA4" s="29"/>
      <c r="AFB4" s="29"/>
      <c r="AFC4" s="29"/>
      <c r="AFD4" s="29"/>
      <c r="AFE4" s="29"/>
      <c r="AFF4" s="29"/>
      <c r="AFG4" s="29"/>
      <c r="AFH4" s="29"/>
      <c r="AFI4" s="29"/>
      <c r="AFJ4" s="29"/>
      <c r="AFK4" s="29"/>
      <c r="AFL4" s="29"/>
      <c r="AFM4" s="29"/>
      <c r="AFN4" s="29"/>
      <c r="AFO4" s="29"/>
      <c r="AFP4" s="29"/>
      <c r="AFQ4" s="29"/>
      <c r="AFR4" s="29"/>
      <c r="AFS4" s="29"/>
      <c r="AFT4" s="29"/>
      <c r="AFU4" s="29"/>
      <c r="AFV4" s="29"/>
      <c r="AFW4" s="29"/>
      <c r="AFX4" s="29"/>
      <c r="AFY4" s="29"/>
      <c r="AFZ4" s="29"/>
      <c r="AGA4" s="29"/>
      <c r="AGB4" s="29"/>
      <c r="AGC4" s="29"/>
      <c r="AGD4" s="29"/>
      <c r="AGE4" s="29"/>
      <c r="AGF4" s="29"/>
      <c r="AGG4" s="29"/>
      <c r="AGH4" s="29"/>
      <c r="AGI4" s="29"/>
      <c r="AGJ4" s="29"/>
      <c r="AGK4" s="29"/>
      <c r="AGL4" s="29"/>
      <c r="AGM4" s="29"/>
      <c r="AGN4" s="29"/>
      <c r="AGO4" s="29"/>
      <c r="AGP4" s="29"/>
      <c r="AGQ4" s="29"/>
      <c r="AGR4" s="29"/>
      <c r="AGS4" s="29"/>
      <c r="AGT4" s="29"/>
      <c r="AGU4" s="29"/>
      <c r="AGV4" s="29"/>
      <c r="AGW4" s="29"/>
      <c r="AGX4" s="29"/>
      <c r="AGY4" s="29"/>
      <c r="AGZ4" s="29"/>
      <c r="AHA4" s="29"/>
      <c r="AHB4" s="29"/>
      <c r="AHC4" s="29"/>
      <c r="AHD4" s="29"/>
      <c r="AHE4" s="29"/>
      <c r="AHF4" s="29"/>
      <c r="AHG4" s="29"/>
      <c r="AHH4" s="29"/>
      <c r="AHI4" s="29"/>
      <c r="AHJ4" s="29"/>
      <c r="AHK4" s="29"/>
      <c r="AHL4" s="29"/>
      <c r="AHM4" s="29"/>
      <c r="AHN4" s="29"/>
      <c r="AHO4" s="29"/>
      <c r="AHP4" s="29"/>
      <c r="AHQ4" s="29"/>
      <c r="AHR4" s="29"/>
      <c r="AHS4" s="29"/>
      <c r="AHT4" s="29"/>
      <c r="AHU4" s="29"/>
      <c r="AHV4" s="29"/>
      <c r="AHW4" s="29"/>
      <c r="AHX4" s="29"/>
      <c r="AHY4" s="29"/>
      <c r="AHZ4" s="29"/>
      <c r="AIA4" s="29"/>
      <c r="AIB4" s="29"/>
      <c r="AIC4" s="29"/>
      <c r="AID4" s="29"/>
      <c r="AIE4" s="29"/>
      <c r="AIF4" s="29"/>
      <c r="AIG4" s="29"/>
      <c r="AIH4" s="29"/>
      <c r="AII4" s="29"/>
      <c r="AIJ4" s="29"/>
      <c r="AIK4" s="29"/>
      <c r="AIL4" s="29"/>
      <c r="AIM4" s="29"/>
      <c r="AIN4" s="29"/>
      <c r="AIO4" s="29"/>
      <c r="AIP4" s="29"/>
      <c r="AIQ4" s="29"/>
      <c r="AIR4" s="29"/>
      <c r="AIS4" s="29"/>
      <c r="AIT4" s="29"/>
      <c r="AIU4" s="29"/>
      <c r="AIV4" s="29"/>
      <c r="AIW4" s="29"/>
      <c r="AIX4" s="29"/>
      <c r="AIY4" s="29"/>
      <c r="AIZ4" s="29"/>
      <c r="AJA4" s="29"/>
      <c r="AJB4" s="29"/>
      <c r="AJC4" s="29"/>
      <c r="AJD4" s="29"/>
      <c r="AJE4" s="29"/>
      <c r="AJF4" s="29"/>
      <c r="AJG4" s="29"/>
      <c r="AJH4" s="29"/>
      <c r="AJI4" s="29"/>
      <c r="AJJ4" s="29"/>
      <c r="AJK4" s="29"/>
      <c r="AJL4" s="29"/>
      <c r="AJM4" s="29"/>
      <c r="AJN4" s="29"/>
      <c r="AJO4" s="29"/>
      <c r="AJP4" s="29"/>
      <c r="AJQ4" s="29"/>
      <c r="AJR4" s="29"/>
      <c r="AJS4" s="29"/>
      <c r="AJT4" s="29"/>
      <c r="AJU4" s="29"/>
      <c r="AJV4" s="29"/>
      <c r="AJW4" s="29"/>
      <c r="AJX4" s="29"/>
      <c r="AJY4" s="29"/>
      <c r="AJZ4" s="29"/>
      <c r="AKA4" s="29"/>
      <c r="AKB4" s="29"/>
      <c r="AKC4" s="29"/>
      <c r="AKD4" s="29"/>
      <c r="AKE4" s="29"/>
      <c r="AKF4" s="29"/>
      <c r="AKG4" s="29"/>
      <c r="AKH4" s="29"/>
      <c r="AKI4" s="29"/>
      <c r="AKJ4" s="29"/>
      <c r="AKK4" s="29"/>
      <c r="AKL4" s="29"/>
      <c r="AKM4" s="29"/>
      <c r="AKN4" s="29"/>
      <c r="AKO4" s="29"/>
      <c r="AKP4" s="29"/>
      <c r="AKQ4" s="29"/>
      <c r="AKR4" s="29"/>
      <c r="AKS4" s="29"/>
      <c r="AKT4" s="29"/>
      <c r="AKU4" s="29"/>
      <c r="AKV4" s="29"/>
      <c r="AKW4" s="29"/>
      <c r="AKX4" s="29"/>
      <c r="AKY4" s="29"/>
      <c r="AKZ4" s="29"/>
      <c r="ALA4" s="29"/>
      <c r="ALB4" s="29"/>
      <c r="ALC4" s="29"/>
      <c r="ALD4" s="29"/>
      <c r="ALE4" s="29"/>
      <c r="ALF4" s="29"/>
      <c r="ALG4" s="29"/>
      <c r="ALH4" s="29"/>
      <c r="ALI4" s="29"/>
      <c r="ALJ4" s="29"/>
      <c r="ALK4" s="29"/>
      <c r="ALL4" s="29"/>
      <c r="ALM4" s="29"/>
      <c r="ALN4" s="29"/>
      <c r="ALO4" s="29"/>
      <c r="ALP4" s="29"/>
      <c r="ALQ4" s="29"/>
      <c r="ALR4" s="29"/>
      <c r="ALS4" s="29"/>
      <c r="ALT4" s="29"/>
      <c r="ALU4" s="29"/>
      <c r="ALV4" s="29"/>
      <c r="ALW4" s="29"/>
      <c r="ALX4" s="29"/>
      <c r="ALY4" s="29"/>
      <c r="ALZ4" s="29"/>
      <c r="AMA4" s="29"/>
      <c r="AMB4" s="29"/>
      <c r="AMC4" s="29"/>
      <c r="AMD4" s="29"/>
      <c r="AME4" s="29"/>
      <c r="AMF4" s="29"/>
      <c r="AMG4" s="29"/>
      <c r="AMH4" s="29"/>
      <c r="AMI4" s="29"/>
      <c r="AMJ4" s="29"/>
      <c r="AMK4" s="29"/>
      <c r="AML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IFERROR(__xludf.DUMMYFUNCTION("""COMPUTED_VALUE"""),"Trade Date")</f>
        <v>Trade Date</v>
      </c>
      <c r="C5" s="31" t="str">
        <f>IFERROR(__xludf.DUMMYFUNCTION("""COMPUTED_VALUE"""),"Symbol")</f>
        <v>Symbol</v>
      </c>
      <c r="D5" s="31" t="str">
        <f>IFERROR(__xludf.DUMMYFUNCTION("""COMPUTED_VALUE"""),"Position")</f>
        <v>Position</v>
      </c>
      <c r="E5" s="31" t="str">
        <f>IFERROR(__xludf.DUMMYFUNCTION("""COMPUTED_VALUE"""),"Account")</f>
        <v>Account</v>
      </c>
      <c r="F5" s="32" t="str">
        <f>IFERROR(__xludf.DUMMYFUNCTION("""COMPUTED_VALUE"""),"MasterFund")</f>
        <v>MasterFund</v>
      </c>
      <c r="G5" s="31" t="str">
        <f>IFERROR(__xludf.DUMMYFUNCTION("""COMPUTED_VALUE"""),"Cost Basis")</f>
        <v>Cost Basis</v>
      </c>
      <c r="H5" s="31" t="str">
        <f>IFERROR(__xludf.DUMMYFUNCTION("""COMPUTED_VALUE"""),"Position Side")</f>
        <v>Position Side</v>
      </c>
      <c r="I5" s="31" t="str">
        <f>IFERROR(__xludf.DUMMYFUNCTION("""COMPUTED_VALUE"""),"Market Value (Base)")</f>
        <v>Market Value (Base)</v>
      </c>
      <c r="J5" s="31" t="str">
        <f>IFERROR(__xludf.DUMMYFUNCTION("""COMPUTED_VALUE"""),"% Day P&amp;L (Gross MV)")</f>
        <v>% Day P&amp;L (Gross MV)</v>
      </c>
      <c r="K5" s="31" t="str">
        <f>IFERROR(__xludf.DUMMYFUNCTION("""COMPUTED_VALUE"""),"Net Exposure (Base)")</f>
        <v>Net Exposure (Base)</v>
      </c>
      <c r="L5" s="31" t="str">
        <f>IFERROR(__xludf.DUMMYFUNCTION("""COMPUTED_VALUE"""),"Beta Adj. Gross Exposure (Base)")</f>
        <v>Beta Adj. Gross Exposure (Base)</v>
      </c>
      <c r="M5" s="31" t="str">
        <f>IFERROR(__xludf.DUMMYFUNCTION("""COMPUTED_VALUE"""),"Beta Adj. Gross Exposure (Underlying) (Base)")</f>
        <v>Beta Adj. Gross Exposure (Underlying) (Base)</v>
      </c>
      <c r="N5" s="31" t="str">
        <f>IFERROR(__xludf.DUMMYFUNCTION("""COMPUTED_VALUE"""),"Day P&amp;L (Base)")</f>
        <v>Day P&amp;L (Base)</v>
      </c>
      <c r="O5" s="31" t="str">
        <f>IFERROR(__xludf.DUMMYFUNCTION("""COMPUTED_VALUE"""),"Security Name")</f>
        <v>Security Name</v>
      </c>
      <c r="P5" s="31" t="str">
        <f>IFERROR(__xludf.DUMMYFUNCTION("""COMPUTED_VALUE"""),"Closing Mark")</f>
        <v>Closing Mark</v>
      </c>
      <c r="Q5" s="31" t="str">
        <f>IFERROR(__xludf.DUMMYFUNCTION("""COMPUTED_VALUE"""),"Cost Basis P&amp;L (Base)")</f>
        <v>Cost Basis P&amp;L (Base)</v>
      </c>
      <c r="R5" s="31" t="str">
        <f>IFERROR(__xludf.DUMMYFUNCTION("""COMPUTED_VALUE"""),"Prime Broker")</f>
        <v>Prime Broker</v>
      </c>
      <c r="S5" s="31" t="str">
        <f>IFERROR(__xludf.DUMMYFUNCTION("""COMPUTED_VALUE"""),"Strategy")</f>
        <v>Strategy</v>
      </c>
      <c r="T5" s="34" t="str">
        <f>IFERROR(__xludf.DUMMYFUNCTION("""COMPUTED_VALUE"""),"Asset Class")</f>
        <v>Asset Class</v>
      </c>
      <c r="U5" s="34" t="str">
        <f>IFERROR(__xludf.DUMMYFUNCTION("""COMPUTED_VALUE"""),"Underlying")</f>
        <v>Underlying</v>
      </c>
      <c r="V5" s="34" t="str">
        <f>IFERROR(__xludf.DUMMYFUNCTION("""COMPUTED_VALUE"""),"Exchange")</f>
        <v>Exchange</v>
      </c>
      <c r="W5" s="34" t="str">
        <f>IFERROR(__xludf.DUMMYFUNCTION("""COMPUTED_VALUE"""),"Trade Currency")</f>
        <v>Trade Currency</v>
      </c>
      <c r="X5" s="34" t="str">
        <f>IFERROR(__xludf.DUMMYFUNCTION("""COMPUTED_VALUE"""),"Multiplier")</f>
        <v>Multiplier</v>
      </c>
      <c r="Y5" s="34" t="str">
        <f>IFERROR(__xludf.DUMMYFUNCTION("""COMPUTED_VALUE"""),"FX Rate")</f>
        <v>FX Rate</v>
      </c>
      <c r="Z5" s="34" t="str">
        <f>IFERROR(__xludf.DUMMYFUNCTION("""COMPUTED_VALUE"""),"Vs Currency")</f>
        <v>Vs Currency</v>
      </c>
      <c r="AA5" s="34" t="str">
        <f>IFERROR(__xludf.DUMMYFUNCTION("""COMPUTED_VALUE"""),"Lead Currency")</f>
        <v>Lead Currency</v>
      </c>
      <c r="AB5" s="34" t="str">
        <f>IFERROR(__xludf.DUMMYFUNCTION("""COMPUTED_VALUE"""),"Dividend Yield (%)")</f>
        <v>Dividend Yield (%)</v>
      </c>
      <c r="AC5" s="34" t="str">
        <f>IFERROR(__xludf.DUMMYFUNCTION("""COMPUTED_VALUE"""),"% Change")</f>
        <v>% Change</v>
      </c>
      <c r="AD5" s="34" t="str">
        <f>IFERROR(__xludf.DUMMYFUNCTION("""COMPUTED_VALUE"""),"Net Exposure (Local)")</f>
        <v>Net Exposure (Local)</v>
      </c>
      <c r="AE5" s="34" t="str">
        <f>IFERROR(__xludf.DUMMYFUNCTION("""COMPUTED_VALUE"""),"Exposure (Local)")</f>
        <v>Exposure (Local)</v>
      </c>
      <c r="AF5" s="34" t="str">
        <f>IFERROR(__xludf.DUMMYFUNCTION("""COMPUTED_VALUE"""),"Delta Adj. Position")</f>
        <v>Delta Adj. Position</v>
      </c>
      <c r="AG5" s="34" t="str">
        <f>IFERROR(__xludf.DUMMYFUNCTION("""COMPUTED_VALUE"""),"Exposure (Base)")</f>
        <v>Exposure (Base)</v>
      </c>
      <c r="AH5" s="34" t="str">
        <f>IFERROR(__xludf.DUMMYFUNCTION("""COMPUTED_VALUE"""),"Beta Adj. Exposure (Local)")</f>
        <v>Beta Adj. Exposure (Local)</v>
      </c>
      <c r="AI5" s="34" t="str">
        <f>IFERROR(__xludf.DUMMYFUNCTION("""COMPUTED_VALUE"""),"Beta Adj. Exposure (Base)")</f>
        <v>Beta Adj. Exposure (Base)</v>
      </c>
      <c r="AJ5" s="34" t="str">
        <f>IFERROR(__xludf.DUMMYFUNCTION("""COMPUTED_VALUE"""),"Exposure (BP)(Base)")</f>
        <v>Exposure (BP)(Base)</v>
      </c>
      <c r="AK5" s="34" t="str">
        <f>IFERROR(__xludf.DUMMYFUNCTION("""COMPUTED_VALUE"""),"Day P&amp;L (Local)")</f>
        <v>Day P&amp;L (Local)</v>
      </c>
      <c r="AL5" s="34" t="str">
        <f>IFERROR(__xludf.DUMMYFUNCTION("""COMPUTED_VALUE"""),"Delta")</f>
        <v>Delta</v>
      </c>
      <c r="AM5" s="34" t="str">
        <f>IFERROR(__xludf.DUMMYFUNCTION("""COMPUTED_VALUE"""),"Leveraged Factor")</f>
        <v>Leveraged Factor</v>
      </c>
      <c r="AN5" s="34" t="str">
        <f>IFERROR(__xludf.DUMMYFUNCTION("""COMPUTED_VALUE"""),"Order Side")</f>
        <v>Order Side</v>
      </c>
      <c r="AO5" s="34" t="str">
        <f>IFERROR(__xludf.DUMMYFUNCTION("""COMPUTED_VALUE"""),"Master Strategy")</f>
        <v>Master Strategy</v>
      </c>
      <c r="AP5" s="34" t="str">
        <f>IFERROR(__xludf.DUMMYFUNCTION("""COMPUTED_VALUE"""),"Transaction Side")</f>
        <v>Transaction Side</v>
      </c>
      <c r="AQ5" s="34" t="str">
        <f>IFERROR(__xludf.DUMMYFUNCTION("""COMPUTED_VALUE"""),"Underlying Symbol")</f>
        <v>Underlying Symbol</v>
      </c>
      <c r="AR5" s="34" t="str">
        <f>IFERROR(__xludf.DUMMYFUNCTION("""COMPUTED_VALUE"""),"Underlying Price")</f>
        <v>Underlying Price</v>
      </c>
      <c r="AS5" s="34" t="str">
        <f>IFERROR(__xludf.DUMMYFUNCTION("""COMPUTED_VALUE"""),"Side Multiplier")</f>
        <v>Side Multiplier</v>
      </c>
      <c r="AT5" s="34" t="str">
        <f>IFERROR(__xludf.DUMMYFUNCTION("""COMPUTED_VALUE"""),"Description")</f>
        <v>Description</v>
      </c>
      <c r="AU5" s="34" t="str">
        <f>IFERROR(__xludf.DUMMYFUNCTION("""COMPUTED_VALUE"""),"Internal Comments")</f>
        <v>Internal Comments</v>
      </c>
      <c r="AV5" s="34" t="str">
        <f>IFERROR(__xludf.DUMMYFUNCTION("""COMPUTED_VALUE"""),"FX Rate On Trade Date")</f>
        <v>FX Rate On Trade Date</v>
      </c>
      <c r="AW5" s="34" t="str">
        <f>IFERROR(__xludf.DUMMYFUNCTION("""COMPUTED_VALUE"""),"Cost Basis P&amp;L (Local)")</f>
        <v>Cost Basis P&amp;L (Local)</v>
      </c>
      <c r="AX5" s="34" t="str">
        <f>IFERROR(__xludf.DUMMYFUNCTION("""COMPUTED_VALUE"""),"Day Interest")</f>
        <v>Day Interest</v>
      </c>
      <c r="AY5" s="34" t="str">
        <f>IFERROR(__xludf.DUMMYFUNCTION("""COMPUTED_VALUE"""),"Total Interest")</f>
        <v>Total Interest</v>
      </c>
      <c r="AZ5" s="34" t="str">
        <f>IFERROR(__xludf.DUMMYFUNCTION("""COMPUTED_VALUE"""),"Market Value (Local)")</f>
        <v>Market Value (Local)</v>
      </c>
      <c r="BA5" s="34" t="str">
        <f>IFERROR(__xludf.DUMMYFUNCTION("""COMPUTED_VALUE"""),"% Gain/Loss Day")</f>
        <v>% Gain/Loss Day</v>
      </c>
      <c r="BB5" s="34" t="str">
        <f>IFERROR(__xludf.DUMMYFUNCTION("""COMPUTED_VALUE"""),"Update Time (Last Price)")</f>
        <v>Update Time (Last Price)</v>
      </c>
      <c r="BC5" s="34" t="str">
        <f>IFERROR(__xludf.DUMMYFUNCTION("""COMPUTED_VALUE"""),"Beta")</f>
        <v>Beta</v>
      </c>
      <c r="BD5" s="34" t="str">
        <f>IFERROR(__xludf.DUMMYFUNCTION("""COMPUTED_VALUE"""),"Cash Impact (Local)")</f>
        <v>Cash Impact (Local)</v>
      </c>
      <c r="BE5" s="34" t="str">
        <f>IFERROR(__xludf.DUMMYFUNCTION("""COMPUTED_VALUE"""),"User Asset")</f>
        <v>User Asset</v>
      </c>
      <c r="BF5" s="34" t="str">
        <f>IFERROR(__xludf.DUMMYFUNCTION("""COMPUTED_VALUE"""),"Security Type")</f>
        <v>Security Type</v>
      </c>
      <c r="BG5" s="34" t="str">
        <f>IFERROR(__xludf.DUMMYFUNCTION("""COMPUTED_VALUE"""),"Sector")</f>
        <v>Sector</v>
      </c>
      <c r="BH5" s="34" t="str">
        <f>IFERROR(__xludf.DUMMYFUNCTION("""COMPUTED_VALUE"""),"Sub Sector")</f>
        <v>Sub Sector</v>
      </c>
      <c r="BI5" s="34" t="str">
        <f>IFERROR(__xludf.DUMMYFUNCTION("""COMPUTED_VALUE"""),"Country")</f>
        <v>Country</v>
      </c>
      <c r="BJ5" s="34" t="str">
        <f>IFERROR(__xludf.DUMMYFUNCTION("""COMPUTED_VALUE"""),"Market Cap")</f>
        <v>Market Cap</v>
      </c>
      <c r="BK5" s="34" t="str">
        <f>IFERROR(__xludf.DUMMYFUNCTION("""COMPUTED_VALUE"""),"Shares Outstanding (MM)")</f>
        <v>Shares Outstanding (MM)</v>
      </c>
      <c r="BL5" s="34" t="str">
        <f>IFERROR(__xludf.DUMMYFUNCTION("""COMPUTED_VALUE"""),"Avg Volume 20 Day")</f>
        <v>Avg Volume 20 Day</v>
      </c>
      <c r="BM5" s="34" t="str">
        <f>IFERROR(__xludf.DUMMYFUNCTION("""COMPUTED_VALUE"""),"% Avg Volume (Delta Adj.)")</f>
        <v>% Avg Volume (Delta Adj.)</v>
      </c>
      <c r="BN5" s="34" t="str">
        <f>IFERROR(__xludf.DUMMYFUNCTION("""COMPUTED_VALUE"""),"Ex Dividend Date")</f>
        <v>Ex Dividend Date</v>
      </c>
      <c r="BO5" s="34" t="str">
        <f>IFERROR(__xludf.DUMMYFUNCTION("""COMPUTED_VALUE"""),"Cash Impact (Base)")</f>
        <v>Cash Impact (Base)</v>
      </c>
      <c r="BP5" s="34" t="str">
        <f>IFERROR(__xludf.DUMMYFUNCTION("""COMPUTED_VALUE"""),"Volatility (%)")</f>
        <v>Volatility (%)</v>
      </c>
      <c r="BQ5" s="34" t="str">
        <f>IFERROR(__xludf.DUMMYFUNCTION("""COMPUTED_VALUE"""),"User")</f>
        <v>User</v>
      </c>
      <c r="BR5" s="34" t="str">
        <f>IFERROR(__xludf.DUMMYFUNCTION("""COMPUTED_VALUE"""),"Broker")</f>
        <v>Broker</v>
      </c>
      <c r="BS5" s="34" t="str">
        <f>IFERROR(__xludf.DUMMYFUNCTION("""COMPUTED_VALUE"""),"Earned Dividend (Local)")</f>
        <v>Earned Dividend (Local)</v>
      </c>
      <c r="BT5" s="34" t="str">
        <f>IFERROR(__xludf.DUMMYFUNCTION("""COMPUTED_VALUE"""),"Earned Dividend (Base)")</f>
        <v>Earned Dividend (Base)</v>
      </c>
      <c r="BU5" s="34" t="str">
        <f>IFERROR(__xludf.DUMMYFUNCTION("""COMPUTED_VALUE"""),"Put/Call")</f>
        <v>Put/Call</v>
      </c>
      <c r="BV5" s="34" t="str">
        <f>IFERROR(__xludf.DUMMYFUNCTION("""COMPUTED_VALUE"""),"Expiration Date")</f>
        <v>Expiration Date</v>
      </c>
      <c r="BW5" s="34" t="str">
        <f>IFERROR(__xludf.DUMMYFUNCTION("""COMPUTED_VALUE"""),"Strike Price")</f>
        <v>Strike Price</v>
      </c>
      <c r="BX5" s="34" t="str">
        <f>IFERROR(__xludf.DUMMYFUNCTION("""COMPUTED_VALUE"""),"Gross Exposure (Base)")</f>
        <v>Gross Exposure (Base)</v>
      </c>
      <c r="BY5" s="34" t="str">
        <f>IFERROR(__xludf.DUMMYFUNCTION("""COMPUTED_VALUE"""),"Gross Market Value (Base)")</f>
        <v>Gross Market Value (Base)</v>
      </c>
      <c r="BZ5" s="34" t="str">
        <f>IFERROR(__xludf.DUMMYFUNCTION("""COMPUTED_VALUE"""),"Px Selected Feed (Local)")</f>
        <v>Px Selected Feed (Local)</v>
      </c>
      <c r="CA5" s="34" t="str">
        <f>IFERROR(__xludf.DUMMYFUNCTION("""COMPUTED_VALUE"""),"Px Selected Feed (Base)")</f>
        <v>Px Selected Feed (Base)</v>
      </c>
      <c r="CB5" s="34" t="str">
        <f>IFERROR(__xludf.DUMMYFUNCTION("""COMPUTED_VALUE"""),"Settlement Date")</f>
        <v>Settlement Date</v>
      </c>
      <c r="CC5" s="34" t="str">
        <f>IFERROR(__xludf.DUMMYFUNCTION("""COMPUTED_VALUE"""),"% Avg Volume")</f>
        <v>% Avg Volume</v>
      </c>
      <c r="CD5" s="34" t="str">
        <f>IFERROR(__xludf.DUMMYFUNCTION("""COMPUTED_VALUE"""),"Day P&amp;L (Base)(Price Gain)")</f>
        <v>Day P&amp;L (Base)(Price Gain)</v>
      </c>
      <c r="CE5" s="34" t="str">
        <f>IFERROR(__xludf.DUMMYFUNCTION("""COMPUTED_VALUE"""),"Day P&amp;L (Base)(FX Gain)")</f>
        <v>Day P&amp;L (Base)(FX Gain)</v>
      </c>
      <c r="CF5" s="34" t="str">
        <f>IFERROR(__xludf.DUMMYFUNCTION("""COMPUTED_VALUE"""),"Cost Basis P&amp;L (Base)(FX Gain)")</f>
        <v>Cost Basis P&amp;L (Base)(FX Gain)</v>
      </c>
      <c r="CG5" s="34" t="str">
        <f>IFERROR(__xludf.DUMMYFUNCTION("""COMPUTED_VALUE"""),"Cost Basis P&amp;L (Base)(Price Gain)")</f>
        <v>Cost Basis P&amp;L (Base)(Price Gain)</v>
      </c>
      <c r="CH5" s="34" t="str">
        <f>IFERROR(__xludf.DUMMYFUNCTION("""COMPUTED_VALUE"""),"% Gain/Loss Cost")</f>
        <v>% Gain/Loss Cost</v>
      </c>
      <c r="CI5" s="34" t="str">
        <f>IFERROR(__xludf.DUMMYFUNCTION("""COMPUTED_VALUE"""),"Underlying Value (Options)")</f>
        <v>Underlying Value (Options)</v>
      </c>
      <c r="CJ5" s="34" t="str">
        <f>IFERROR(__xludf.DUMMYFUNCTION("""COMPUTED_VALUE"""),"Avg Volume 20 Day (Underlying Symbol)")</f>
        <v>Avg Volume 20 Day (Underlying Symbol)</v>
      </c>
      <c r="CK5" s="34" t="str">
        <f>IFERROR(__xludf.DUMMYFUNCTION("""COMPUTED_VALUE"""),"IsStaleData")</f>
        <v>IsStaleData</v>
      </c>
      <c r="CL5" s="34" t="str">
        <f>IFERROR(__xludf.DUMMYFUNCTION("""COMPUTED_VALUE"""),"IDCO")</f>
        <v>IDCO</v>
      </c>
      <c r="CM5" s="34" t="str">
        <f>IFERROR(__xludf.DUMMYFUNCTION("""COMPUTED_VALUE"""),"OSI")</f>
        <v>OSI</v>
      </c>
      <c r="CN5" s="34" t="str">
        <f>IFERROR(__xludf.DUMMYFUNCTION("""COMPUTED_VALUE"""),"SEDOL")</f>
        <v>SEDOL</v>
      </c>
      <c r="CO5" s="34" t="str">
        <f>IFERROR(__xludf.DUMMYFUNCTION("""COMPUTED_VALUE"""),"CUSIP")</f>
        <v>CUSIP</v>
      </c>
      <c r="CP5" s="34" t="str">
        <f>IFERROR(__xludf.DUMMYFUNCTION("""COMPUTED_VALUE"""),"Bloomberg")</f>
        <v>Bloomberg</v>
      </c>
      <c r="CQ5" s="34" t="str">
        <f>IFERROR(__xludf.DUMMYFUNCTION("""COMPUTED_VALUE"""),"ISIN")</f>
        <v>ISIN</v>
      </c>
      <c r="CR5" s="34" t="str">
        <f>IFERROR(__xludf.DUMMYFUNCTION("""COMPUTED_VALUE"""),"Start Trade Date")</f>
        <v>Start Trade Date</v>
      </c>
      <c r="CS5" s="34" t="str">
        <f>IFERROR(__xludf.DUMMYFUNCTION("""COMPUTED_VALUE"""),"Cost Basis (Break Even)")</f>
        <v>Cost Basis (Break Even)</v>
      </c>
      <c r="CT5" s="34" t="str">
        <f>IFERROR(__xludf.DUMMYFUNCTION("""COMPUTED_VALUE"""),"Trade Attribute 3")</f>
        <v>Trade Attribute 3</v>
      </c>
      <c r="CU5" s="34" t="str">
        <f>IFERROR(__xludf.DUMMYFUNCTION("""COMPUTED_VALUE"""),"Trade Attribute 4")</f>
        <v>Trade Attribute 4</v>
      </c>
      <c r="CV5" s="34" t="str">
        <f>IFERROR(__xludf.DUMMYFUNCTION("""COMPUTED_VALUE"""),"Trade Attribute 5")</f>
        <v>Trade Attribute 5</v>
      </c>
      <c r="CW5" s="34" t="str">
        <f>IFERROR(__xludf.DUMMYFUNCTION("""COMPUTED_VALUE"""),"Trade Attribute 6")</f>
        <v>Trade Attribute 6</v>
      </c>
      <c r="CX5" s="34" t="str">
        <f>IFERROR(__xludf.DUMMYFUNCTION("""COMPUTED_VALUE"""),"Proxy Symbol")</f>
        <v>Proxy Symbol</v>
      </c>
      <c r="CY5" s="34" t="str">
        <f>IFERROR(__xludf.DUMMYFUNCTION("""COMPUTED_VALUE"""),"Pricing Source")</f>
        <v>Pricing Source</v>
      </c>
      <c r="CZ5" s="34" t="str">
        <f>IFERROR(__xludf.DUMMYFUNCTION("""COMPUTED_VALUE"""),"Delta Source")</f>
        <v>Delta Source</v>
      </c>
      <c r="DA5" s="34" t="str">
        <f>IFERROR(__xludf.DUMMYFUNCTION("""COMPUTED_VALUE"""),"Gross Exposure (Local)")</f>
        <v>Gross Exposure (Local)</v>
      </c>
      <c r="DB5" s="34" t="str">
        <f>IFERROR(__xludf.DUMMYFUNCTION("""COMPUTED_VALUE"""),"% Day P&amp;L (Net MV)")</f>
        <v>% Day P&amp;L (Net MV)</v>
      </c>
      <c r="DC5" s="34" t="str">
        <f>IFERROR(__xludf.DUMMYFUNCTION("""COMPUTED_VALUE"""),"Expiration Month")</f>
        <v>Expiration Month</v>
      </c>
      <c r="DD5" s="34" t="str">
        <f>IFERROR(__xludf.DUMMYFUNCTION("""COMPUTED_VALUE"""),"Delta Adj. Position (LME)")</f>
        <v>Delta Adj. Position (LME)</v>
      </c>
      <c r="DE5" s="34" t="str">
        <f>IFERROR(__xludf.DUMMYFUNCTION("""COMPUTED_VALUE"""),"Premium")</f>
        <v>Premium</v>
      </c>
      <c r="DF5" s="34" t="str">
        <f>IFERROR(__xludf.DUMMYFUNCTION("""COMPUTED_VALUE"""),"Premium $")</f>
        <v>Premium $</v>
      </c>
      <c r="DG5" s="34" t="str">
        <f>IFERROR(__xludf.DUMMYFUNCTION("""COMPUTED_VALUE"""),"Forward Points")</f>
        <v>Forward Points</v>
      </c>
      <c r="DH5" s="34" t="str">
        <f>IFERROR(__xludf.DUMMYFUNCTION("""COMPUTED_VALUE"""),"Closing Mark (Underlying)")</f>
        <v>Closing Mark (Underlying)</v>
      </c>
      <c r="DI5" s="34" t="str">
        <f>IFERROR(__xludf.DUMMYFUNCTION("""COMPUTED_VALUE"""),"% Change (Underlying Price)")</f>
        <v>% Change (Underlying Price)</v>
      </c>
      <c r="DJ5" s="34" t="str">
        <f>IFERROR(__xludf.DUMMYFUNCTION("""COMPUTED_VALUE"""),"Transaction Type")</f>
        <v>Transaction Type</v>
      </c>
      <c r="DK5" s="34" t="str">
        <f>IFERROR(__xludf.DUMMYFUNCTION("""COMPUTED_VALUE"""),"Closing Market Value (Local)")</f>
        <v>Closing Market Value (Local)</v>
      </c>
      <c r="DL5" s="34" t="str">
        <f>IFERROR(__xludf.DUMMYFUNCTION("""COMPUTED_VALUE"""),"Closing Market Value (Base)")</f>
        <v>Closing Market Value (Base)</v>
      </c>
      <c r="DM5" s="34" t="str">
        <f>IFERROR(__xludf.DUMMYFUNCTION("""COMPUTED_VALUE"""),"Closing FX Rate")</f>
        <v>Closing FX Rate</v>
      </c>
      <c r="DN5" s="34" t="str">
        <f>IFERROR(__xludf.DUMMYFUNCTION("""COMPUTED_VALUE"""),"Change In Underlying Price")</f>
        <v>Change In Underlying Price</v>
      </c>
      <c r="DO5" s="34" t="str">
        <f>IFERROR(__xludf.DUMMYFUNCTION("""COMPUTED_VALUE"""),"RIC")</f>
        <v>RIC</v>
      </c>
      <c r="DP5" s="34" t="str">
        <f>IFERROR(__xludf.DUMMYFUNCTION("""COMPUTED_VALUE"""),"Position Side Exposure (Boxed)")</f>
        <v>Position Side Exposure (Boxed)</v>
      </c>
      <c r="DQ5" s="34" t="str">
        <f>IFERROR(__xludf.DUMMYFUNCTION("""COMPUTED_VALUE"""),"Analyst")</f>
        <v>Analyst</v>
      </c>
      <c r="DR5" s="34" t="str">
        <f>IFERROR(__xludf.DUMMYFUNCTION("""COMPUTED_VALUE"""),"Country Of Risk")</f>
        <v>Country Of Risk</v>
      </c>
      <c r="DS5" s="34" t="str">
        <f>IFERROR(__xludf.DUMMYFUNCTION("""COMPUTED_VALUE"""),"Custom UDA1")</f>
        <v>Custom UDA1</v>
      </c>
      <c r="DT5" s="34" t="str">
        <f>IFERROR(__xludf.DUMMYFUNCTION("""COMPUTED_VALUE"""),"Custom UDA2")</f>
        <v>Custom UDA2</v>
      </c>
      <c r="DU5" s="34" t="str">
        <f>IFERROR(__xludf.DUMMYFUNCTION("""COMPUTED_VALUE"""),"Custom UDA3")</f>
        <v>Custom UDA3</v>
      </c>
      <c r="DV5" s="34" t="str">
        <f>IFERROR(__xludf.DUMMYFUNCTION("""COMPUTED_VALUE"""),"Custom UDA4")</f>
        <v>Custom UDA4</v>
      </c>
      <c r="DW5" s="34" t="str">
        <f>IFERROR(__xludf.DUMMYFUNCTION("""COMPUTED_VALUE"""),"Custom UDA5")</f>
        <v>Custom UDA5</v>
      </c>
      <c r="DX5" s="34" t="str">
        <f>IFERROR(__xludf.DUMMYFUNCTION("""COMPUTED_VALUE"""),"Custom UDA6")</f>
        <v>Custom UDA6</v>
      </c>
      <c r="DY5" s="34" t="str">
        <f>IFERROR(__xludf.DUMMYFUNCTION("""COMPUTED_VALUE"""),"Custom UDA7")</f>
        <v>Custom UDA7</v>
      </c>
      <c r="DZ5" s="34" t="str">
        <f>IFERROR(__xludf.DUMMYFUNCTION("""COMPUTED_VALUE"""),"Issuer")</f>
        <v>Issuer</v>
      </c>
      <c r="EA5" s="34" t="str">
        <f>IFERROR(__xludf.DUMMYFUNCTION("""COMPUTED_VALUE"""),"Liquid Tag")</f>
        <v>Liquid Tag</v>
      </c>
      <c r="EB5" s="34" t="str">
        <f>IFERROR(__xludf.DUMMYFUNCTION("""COMPUTED_VALUE"""),"Market Cap UDA")</f>
        <v>Market Cap UDA</v>
      </c>
      <c r="EC5" s="34" t="str">
        <f>IFERROR(__xludf.DUMMYFUNCTION("""COMPUTED_VALUE"""),"Region")</f>
        <v>Region</v>
      </c>
      <c r="ED5" s="34" t="str">
        <f>IFERROR(__xludf.DUMMYFUNCTION("""COMPUTED_VALUE"""),"Risk Currency")</f>
        <v>Risk Currency</v>
      </c>
      <c r="EE5" s="34" t="str">
        <f>IFERROR(__xludf.DUMMYFUNCTION("""COMPUTED_VALUE"""),"UCITS Eligible Tag")</f>
        <v>UCITS Eligible Tag</v>
      </c>
      <c r="EF5" s="34" t="str">
        <f>IFERROR(__xludf.DUMMYFUNCTION("""COMPUTED_VALUE"""),"FX Rate (Display)")</f>
        <v>FX Rate (Display)</v>
      </c>
      <c r="EG5" s="34" t="str">
        <f>IFERROR(__xludf.DUMMYFUNCTION("""COMPUTED_VALUE"""),"% Net Exposure (Base)")</f>
        <v>% Net Exposure (Base)</v>
      </c>
      <c r="EH5" s="34" t="str">
        <f>IFERROR(__xludf.DUMMYFUNCTION("""COMPUTED_VALUE"""),"% Gross Exposure (Base)")</f>
        <v>% Gross Exposure (Base)</v>
      </c>
      <c r="EI5" s="34" t="str">
        <f>IFERROR(__xludf.DUMMYFUNCTION("""COMPUTED_VALUE"""),"% Exposure (Base)")</f>
        <v>% Exposure (Base)</v>
      </c>
      <c r="EJ5" s="34" t="str">
        <f>IFERROR(__xludf.DUMMYFUNCTION("""COMPUTED_VALUE"""),"% Gross Exposure (Underlying) (Base)")</f>
        <v>% Gross Exposure (Underlying) (Base)</v>
      </c>
      <c r="EK5" s="34" t="str">
        <f>IFERROR(__xludf.DUMMYFUNCTION("""COMPUTED_VALUE"""),"% Beta Adj. Gross Exposure (Base)")</f>
        <v>% Beta Adj. Gross Exposure (Base)</v>
      </c>
      <c r="EL5" s="34" t="str">
        <f>IFERROR(__xludf.DUMMYFUNCTION("""COMPUTED_VALUE"""),"Position Side Exposure (Underlying)")</f>
        <v>Position Side Exposure (Underlying)</v>
      </c>
      <c r="EM5" s="34" t="str">
        <f>IFERROR(__xludf.DUMMYFUNCTION("""COMPUTED_VALUE"""),"Gross Exposure (Underlying) (Base)")</f>
        <v>Gross Exposure (Underlying) (Base)</v>
      </c>
      <c r="EN5" s="34" t="str">
        <f>IFERROR(__xludf.DUMMYFUNCTION("""COMPUTED_VALUE"""),"Gross Exposure (Underlying)")</f>
        <v>Gross Exposure (Underlying)</v>
      </c>
      <c r="EO5" s="34" t="str">
        <f>IFERROR(__xludf.DUMMYFUNCTION("""COMPUTED_VALUE"""),"Day Return")</f>
        <v>Day Return</v>
      </c>
      <c r="EP5" s="34" t="str">
        <f>IFERROR(__xludf.DUMMYFUNCTION("""COMPUTED_VALUE"""),"Start of Day NAV")</f>
        <v>Start of Day NAV</v>
      </c>
      <c r="EQ5" s="34" t="str">
        <f>IFERROR(__xludf.DUMMYFUNCTION("""COMPUTED_VALUE"""),"% Gross Market Value (Base)")</f>
        <v>% Gross Market Value (Base)</v>
      </c>
      <c r="ER5" s="34" t="str">
        <f>IFERROR(__xludf.DUMMYFUNCTION("""COMPUTED_VALUE"""),"Beta Adj. Gross Exposure (Underlying) (Local)")</f>
        <v>Beta Adj. Gross Exposure (Underlying) (Local)</v>
      </c>
      <c r="ES5" s="34" t="str">
        <f>IFERROR(__xludf.DUMMYFUNCTION("""COMPUTED_VALUE"""),"NAV")</f>
        <v>NAV</v>
      </c>
      <c r="ET5" s="34" t="str">
        <f>IFERROR(__xludf.DUMMYFUNCTION("""COMPUTED_VALUE"""),"% P&amp;L Contribution")</f>
        <v>% P&amp;L Contribution</v>
      </c>
      <c r="EU5" s="34" t="str">
        <f>IFERROR(__xludf.DUMMYFUNCTION("""COMPUTED_VALUE"""),"% Net Market Value (Base)")</f>
        <v>% Net Market Value (Base)</v>
      </c>
      <c r="EV5" s="34" t="str">
        <f>IFERROR(__xludf.DUMMYFUNCTION("""COMPUTED_VALUE"""),"Position Side Exposure")</f>
        <v>Position Side Exposure</v>
      </c>
      <c r="EW5" s="34" t="str">
        <f>IFERROR(__xludf.DUMMYFUNCTION("""COMPUTED_VALUE"""),"NAV (Touch)")</f>
        <v>NAV (Touch)</v>
      </c>
      <c r="EX5" s="34" t="str">
        <f>IFERROR(__xludf.DUMMYFUNCTION("""COMPUTED_VALUE"""),"IgnorePropertyChangeEvents")</f>
        <v>IgnorePropertyChangeEvents</v>
      </c>
      <c r="EY5" s="34" t="str">
        <f>IFERROR(__xludf.DUMMYFUNCTION("""COMPUTED_VALUE"""),"Trade Attribute 1")</f>
        <v>Trade Attribute 1</v>
      </c>
      <c r="EZ5" s="34" t="str">
        <f>IFERROR(__xludf.DUMMYFUNCTION("""COMPUTED_VALUE"""),"Trade Attribute 2")</f>
        <v>Trade Attribute 2</v>
      </c>
      <c r="FA5" s="34" t="str">
        <f>IFERROR(__xludf.DUMMYFUNCTION("""COMPUTED_VALUE"""),"Client")</f>
        <v>Client</v>
      </c>
      <c r="FB5" s="34" t="str">
        <f>IFERROR(__xludf.DUMMYFUNCTION("""COMPUTED_VALUE"""),"IsCustomViewTab")</f>
        <v>IsCustomViewTab</v>
      </c>
      <c r="FC5" s="34" t="str">
        <f>IFERROR(__xludf.DUMMYFUNCTION("""COMPUTED_VALUE"""),"ITM/OTM")</f>
        <v>ITM/OTM</v>
      </c>
      <c r="FD5" s="34" t="str">
        <f>IFERROR(__xludf.DUMMYFUNCTION("""COMPUTED_VALUE"""),"Days to Expiry")</f>
        <v>Days to Expiry</v>
      </c>
      <c r="FE5" s="34" t="str">
        <f>IFERROR(__xludf.DUMMYFUNCTION("""COMPUTED_VALUE"""),"% of Underlying Price")</f>
        <v>% of Underlying Price</v>
      </c>
      <c r="FF5" s="34" t="str">
        <f>IFERROR(__xludf.DUMMYFUNCTION("""COMPUTED_VALUE"""),"Intrinsic value")</f>
        <v>Intrinsic value</v>
      </c>
      <c r="FG5" s="34" t="str">
        <f>IFERROR(__xludf.DUMMYFUNCTION("""COMPUTED_VALUE"""),"Gain/Loss if Ex./Assign")</f>
        <v>Gain/Loss if Ex./Assign</v>
      </c>
      <c r="FH5" s="34" t="str">
        <f>IFERROR(__xludf.DUMMYFUNCTION("""COMPUTED_VALUE"""),"Day Traded Position")</f>
        <v>Day Traded Position</v>
      </c>
      <c r="FI5" s="34" t="str">
        <f>IFERROR(__xludf.DUMMYFUNCTION("""COMPUTED_VALUE"""),"isRowCountCheck")</f>
        <v>isRowCountCheck</v>
      </c>
      <c r="FJ5" s="34" t="str">
        <f>IFERROR(__xludf.DUMMYFUNCTION("""COMPUTED_VALUE"""),"ACTIV Symbol")</f>
        <v>ACTIV Symbol</v>
      </c>
      <c r="FK5" s="34" t="str">
        <f>IFERROR(__xludf.DUMMYFUNCTION("""COMPUTED_VALUE"""),"IsAccountBlank")</f>
        <v>IsAccountBlank</v>
      </c>
      <c r="FL5" s="34" t="str">
        <f>IFERROR(__xludf.DUMMYFUNCTION("""COMPUTED_VALUE"""),"MandatoryColumn")</f>
        <v>MandatoryColumn</v>
      </c>
      <c r="FM5" s="34" t="str">
        <f>IFERROR(__xludf.DUMMYFUNCTION("""COMPUTED_VALUE"""),"Px Last")</f>
        <v>Px Last</v>
      </c>
      <c r="FN5" s="34" t="str">
        <f>IFERROR(__xludf.DUMMYFUNCTION("""COMPUTED_VALUE"""),"Px Ask")</f>
        <v>Px Ask</v>
      </c>
      <c r="FO5" s="34" t="str">
        <f>IFERROR(__xludf.DUMMYFUNCTION("""COMPUTED_VALUE"""),"Px Bid")</f>
        <v>Px Bid</v>
      </c>
      <c r="FP5" s="34" t="str">
        <f>IFERROR(__xludf.DUMMYFUNCTION("""COMPUTED_VALUE"""),"Px Mid")</f>
        <v>Px Mid</v>
      </c>
      <c r="FQ5" s="34" t="str">
        <f>IFERROR(__xludf.DUMMYFUNCTION("""COMPUTED_VALUE"""),"Closing Price")</f>
        <v>Closing Price</v>
      </c>
      <c r="FR5" s="34" t="str">
        <f>IFERROR(__xludf.DUMMYFUNCTION("""COMPUTED_VALUE"""),"Total Volume")</f>
        <v>Total Volume</v>
      </c>
      <c r="FS5" s="34" t="str">
        <f>IFERROR(__xludf.DUMMYFUNCTION("""COMPUTED_VALUE"""),"Custom UDA8")</f>
        <v>Custom UDA8</v>
      </c>
      <c r="FT5" s="34" t="str">
        <f>IFERROR(__xludf.DUMMYFUNCTION("""COMPUTED_VALUE"""),"Custom UDA9")</f>
        <v>Custom UDA9</v>
      </c>
      <c r="FU5" s="34" t="str">
        <f>IFERROR(__xludf.DUMMYFUNCTION("""COMPUTED_VALUE"""),"Custom UDA10")</f>
        <v>Custom UDA10</v>
      </c>
      <c r="FV5" s="34" t="str">
        <f>IFERROR(__xludf.DUMMYFUNCTION("""COMPUTED_VALUE"""),"Custom UDA11")</f>
        <v>Custom UDA11</v>
      </c>
      <c r="FW5" s="34" t="str">
        <f>IFERROR(__xludf.DUMMYFUNCTION("""COMPUTED_VALUE"""),"Custom UDA12")</f>
        <v>Custom UDA12</v>
      </c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  <c r="KS5" s="34"/>
      <c r="KT5" s="34"/>
      <c r="KU5" s="34"/>
      <c r="KV5" s="34"/>
      <c r="KW5" s="34"/>
      <c r="KX5" s="34"/>
      <c r="KY5" s="34"/>
      <c r="KZ5" s="34"/>
      <c r="LA5" s="34"/>
      <c r="LB5" s="34"/>
      <c r="LC5" s="34"/>
      <c r="LD5" s="34"/>
      <c r="LE5" s="34"/>
      <c r="LF5" s="34"/>
      <c r="LG5" s="34"/>
      <c r="LH5" s="34"/>
      <c r="LI5" s="34"/>
      <c r="LJ5" s="34"/>
      <c r="LK5" s="34"/>
      <c r="LL5" s="34"/>
      <c r="LM5" s="34"/>
      <c r="LN5" s="34"/>
      <c r="LO5" s="34"/>
      <c r="LP5" s="34"/>
      <c r="LQ5" s="34"/>
      <c r="LR5" s="34"/>
      <c r="LS5" s="34"/>
      <c r="LT5" s="34"/>
      <c r="LU5" s="34"/>
      <c r="LV5" s="34"/>
      <c r="LW5" s="34"/>
      <c r="LX5" s="34"/>
      <c r="LY5" s="34"/>
      <c r="LZ5" s="34"/>
      <c r="MA5" s="34"/>
      <c r="MB5" s="34"/>
      <c r="MC5" s="34"/>
      <c r="MD5" s="34"/>
      <c r="ME5" s="34"/>
      <c r="MF5" s="34"/>
      <c r="MG5" s="34"/>
      <c r="MH5" s="34"/>
      <c r="MI5" s="34"/>
      <c r="MJ5" s="34"/>
      <c r="MK5" s="34"/>
      <c r="ML5" s="34"/>
      <c r="MM5" s="34"/>
      <c r="MN5" s="34"/>
      <c r="MO5" s="34"/>
      <c r="MP5" s="34"/>
      <c r="MQ5" s="34"/>
      <c r="MR5" s="34"/>
      <c r="MS5" s="34"/>
      <c r="MT5" s="34"/>
      <c r="MU5" s="34"/>
      <c r="MV5" s="34"/>
      <c r="MW5" s="34"/>
      <c r="MX5" s="34"/>
      <c r="MY5" s="34"/>
      <c r="MZ5" s="34"/>
      <c r="NA5" s="34"/>
      <c r="NB5" s="34"/>
      <c r="NC5" s="34"/>
      <c r="ND5" s="34"/>
      <c r="NE5" s="34"/>
      <c r="NF5" s="34"/>
      <c r="NG5" s="34"/>
      <c r="NH5" s="34"/>
      <c r="NI5" s="34"/>
      <c r="NJ5" s="34"/>
      <c r="NK5" s="34"/>
      <c r="NL5" s="34"/>
      <c r="NM5" s="34"/>
      <c r="NN5" s="34"/>
      <c r="NO5" s="34"/>
      <c r="NP5" s="34"/>
      <c r="NQ5" s="34"/>
      <c r="NR5" s="34"/>
      <c r="NS5" s="34"/>
      <c r="NT5" s="34"/>
      <c r="NU5" s="34"/>
      <c r="NV5" s="34"/>
      <c r="NW5" s="34"/>
      <c r="NX5" s="34"/>
      <c r="NY5" s="34"/>
      <c r="NZ5" s="34"/>
      <c r="OA5" s="34"/>
      <c r="OB5" s="34"/>
      <c r="OC5" s="34"/>
      <c r="OD5" s="34"/>
      <c r="OE5" s="34"/>
      <c r="OF5" s="34"/>
      <c r="OG5" s="34"/>
      <c r="OH5" s="34"/>
      <c r="OI5" s="34"/>
      <c r="OJ5" s="34"/>
      <c r="OK5" s="34"/>
      <c r="OL5" s="34"/>
      <c r="OM5" s="34"/>
      <c r="ON5" s="34"/>
      <c r="OO5" s="34"/>
      <c r="OP5" s="34"/>
      <c r="OQ5" s="34"/>
      <c r="OR5" s="34"/>
      <c r="OS5" s="34"/>
      <c r="OT5" s="34"/>
      <c r="OU5" s="34"/>
      <c r="OV5" s="34"/>
      <c r="OW5" s="34"/>
      <c r="OX5" s="34"/>
      <c r="OY5" s="34"/>
      <c r="OZ5" s="34"/>
      <c r="PA5" s="34"/>
      <c r="PB5" s="34"/>
      <c r="PC5" s="34"/>
      <c r="PD5" s="34"/>
      <c r="PE5" s="34"/>
      <c r="PF5" s="34"/>
      <c r="PG5" s="34"/>
      <c r="PH5" s="34"/>
      <c r="PI5" s="34"/>
      <c r="PJ5" s="34"/>
      <c r="PK5" s="34"/>
      <c r="PL5" s="34"/>
      <c r="PM5" s="34"/>
      <c r="PN5" s="34"/>
      <c r="PO5" s="34"/>
      <c r="PP5" s="34"/>
      <c r="PQ5" s="34"/>
      <c r="PR5" s="34"/>
      <c r="PS5" s="34"/>
      <c r="PT5" s="34"/>
      <c r="PU5" s="34"/>
      <c r="PV5" s="34"/>
      <c r="PW5" s="34"/>
      <c r="PX5" s="34"/>
      <c r="PY5" s="34"/>
      <c r="PZ5" s="34"/>
      <c r="QA5" s="34"/>
      <c r="QB5" s="34"/>
      <c r="QC5" s="34"/>
      <c r="QD5" s="34"/>
      <c r="QE5" s="34"/>
      <c r="QF5" s="34"/>
      <c r="QG5" s="34"/>
      <c r="QH5" s="34"/>
      <c r="QI5" s="34"/>
      <c r="QJ5" s="34"/>
      <c r="QK5" s="34"/>
      <c r="QL5" s="34"/>
      <c r="QM5" s="34"/>
      <c r="QN5" s="34"/>
      <c r="QO5" s="34"/>
      <c r="QP5" s="34"/>
      <c r="QQ5" s="34"/>
      <c r="QR5" s="34"/>
      <c r="QS5" s="34"/>
      <c r="QT5" s="34"/>
      <c r="QU5" s="34"/>
      <c r="QV5" s="34"/>
      <c r="QW5" s="34"/>
      <c r="QX5" s="34"/>
      <c r="QY5" s="34"/>
      <c r="QZ5" s="34"/>
      <c r="RA5" s="34"/>
      <c r="RB5" s="34"/>
      <c r="RC5" s="34"/>
      <c r="RD5" s="34"/>
      <c r="RE5" s="34"/>
      <c r="RF5" s="34"/>
      <c r="RG5" s="34"/>
      <c r="RH5" s="34"/>
      <c r="RI5" s="34"/>
      <c r="RJ5" s="34"/>
      <c r="RK5" s="34"/>
      <c r="RL5" s="34"/>
      <c r="RM5" s="34"/>
      <c r="RN5" s="34"/>
      <c r="RO5" s="34"/>
      <c r="RP5" s="34"/>
      <c r="RQ5" s="34"/>
      <c r="RR5" s="34"/>
      <c r="RS5" s="34"/>
      <c r="RT5" s="34"/>
      <c r="RU5" s="34"/>
      <c r="RV5" s="34"/>
      <c r="RW5" s="34"/>
      <c r="RX5" s="34"/>
      <c r="RY5" s="34"/>
      <c r="RZ5" s="34"/>
      <c r="SA5" s="34"/>
      <c r="SB5" s="34"/>
      <c r="SC5" s="34"/>
      <c r="SD5" s="34"/>
      <c r="SE5" s="34"/>
      <c r="SF5" s="34"/>
      <c r="SG5" s="34"/>
      <c r="SH5" s="34"/>
      <c r="SI5" s="34"/>
      <c r="SJ5" s="34"/>
      <c r="SK5" s="34"/>
      <c r="SL5" s="34"/>
      <c r="SM5" s="34"/>
      <c r="SN5" s="34"/>
      <c r="SO5" s="34"/>
      <c r="SP5" s="34"/>
      <c r="SQ5" s="34"/>
      <c r="SR5" s="34"/>
      <c r="SS5" s="34"/>
      <c r="ST5" s="34"/>
      <c r="SU5" s="34"/>
      <c r="SV5" s="34"/>
      <c r="SW5" s="34"/>
      <c r="SX5" s="34"/>
      <c r="SY5" s="34"/>
      <c r="SZ5" s="34"/>
      <c r="TA5" s="34"/>
      <c r="TB5" s="34"/>
      <c r="TC5" s="34"/>
      <c r="TD5" s="34"/>
      <c r="TE5" s="34"/>
      <c r="TF5" s="34"/>
      <c r="TG5" s="34"/>
      <c r="TH5" s="34"/>
      <c r="TI5" s="34"/>
      <c r="TJ5" s="34"/>
      <c r="TK5" s="34"/>
      <c r="TL5" s="34"/>
      <c r="TM5" s="34"/>
      <c r="TN5" s="34"/>
      <c r="TO5" s="34"/>
      <c r="TP5" s="34"/>
      <c r="TQ5" s="34"/>
      <c r="TR5" s="34"/>
      <c r="TS5" s="34"/>
      <c r="TT5" s="34"/>
      <c r="TU5" s="34"/>
      <c r="TV5" s="34"/>
      <c r="TW5" s="34"/>
      <c r="TX5" s="34"/>
      <c r="TY5" s="34"/>
      <c r="TZ5" s="34"/>
      <c r="UA5" s="34"/>
      <c r="UB5" s="34"/>
      <c r="UC5" s="34"/>
      <c r="UD5" s="34"/>
      <c r="UE5" s="34"/>
      <c r="UF5" s="34"/>
      <c r="UG5" s="34"/>
      <c r="UH5" s="34"/>
      <c r="UI5" s="34"/>
      <c r="UJ5" s="34"/>
      <c r="UK5" s="34"/>
      <c r="UL5" s="34"/>
      <c r="UM5" s="34"/>
      <c r="UN5" s="34"/>
      <c r="UO5" s="34"/>
      <c r="UP5" s="34"/>
      <c r="UQ5" s="34"/>
      <c r="UR5" s="34"/>
      <c r="US5" s="34"/>
      <c r="UT5" s="34"/>
      <c r="UU5" s="34"/>
      <c r="UV5" s="34"/>
      <c r="UW5" s="34"/>
      <c r="UX5" s="34"/>
      <c r="UY5" s="34"/>
      <c r="UZ5" s="34"/>
      <c r="VA5" s="34"/>
      <c r="VB5" s="34"/>
      <c r="VC5" s="34"/>
      <c r="VD5" s="34"/>
      <c r="VE5" s="34"/>
      <c r="VF5" s="34"/>
      <c r="VG5" s="34"/>
      <c r="VH5" s="34"/>
      <c r="VI5" s="34"/>
      <c r="VJ5" s="34"/>
      <c r="VK5" s="34"/>
      <c r="VL5" s="34"/>
      <c r="VM5" s="34"/>
      <c r="VN5" s="34"/>
      <c r="VO5" s="34"/>
      <c r="VP5" s="34"/>
      <c r="VQ5" s="34"/>
      <c r="VR5" s="34"/>
      <c r="VS5" s="34"/>
      <c r="VT5" s="34"/>
      <c r="VU5" s="34"/>
      <c r="VV5" s="34"/>
      <c r="VW5" s="34"/>
      <c r="VX5" s="34"/>
      <c r="VY5" s="34"/>
      <c r="VZ5" s="34"/>
      <c r="WA5" s="34"/>
      <c r="WB5" s="34"/>
      <c r="WC5" s="34"/>
      <c r="WD5" s="34"/>
      <c r="WE5" s="34"/>
      <c r="WF5" s="34"/>
      <c r="WG5" s="34"/>
      <c r="WH5" s="34"/>
      <c r="WI5" s="34"/>
      <c r="WJ5" s="34"/>
      <c r="WK5" s="34"/>
      <c r="WL5" s="34"/>
      <c r="WM5" s="34"/>
      <c r="WN5" s="34"/>
      <c r="WO5" s="34"/>
      <c r="WP5" s="34"/>
      <c r="WQ5" s="34"/>
      <c r="WR5" s="34"/>
      <c r="WS5" s="34"/>
      <c r="WT5" s="34"/>
      <c r="WU5" s="34"/>
      <c r="WV5" s="34"/>
      <c r="WW5" s="34"/>
      <c r="WX5" s="34"/>
      <c r="WY5" s="34"/>
      <c r="WZ5" s="34"/>
      <c r="XA5" s="34"/>
      <c r="XB5" s="34"/>
      <c r="XC5" s="34"/>
      <c r="XD5" s="34"/>
      <c r="XE5" s="34"/>
      <c r="XF5" s="34"/>
      <c r="XG5" s="34"/>
      <c r="XH5" s="34"/>
      <c r="XI5" s="34"/>
      <c r="XJ5" s="34"/>
      <c r="XK5" s="34"/>
      <c r="XL5" s="34"/>
      <c r="XM5" s="34"/>
      <c r="XN5" s="34"/>
      <c r="XO5" s="34"/>
      <c r="XP5" s="34"/>
      <c r="XQ5" s="34"/>
      <c r="XR5" s="34"/>
      <c r="XS5" s="34"/>
      <c r="XT5" s="34"/>
      <c r="XU5" s="34"/>
      <c r="XV5" s="34"/>
      <c r="XW5" s="34"/>
      <c r="XX5" s="34"/>
      <c r="XY5" s="34"/>
      <c r="XZ5" s="34"/>
      <c r="YA5" s="34"/>
      <c r="YB5" s="34"/>
      <c r="YC5" s="34"/>
      <c r="YD5" s="34"/>
      <c r="YE5" s="34"/>
      <c r="YF5" s="34"/>
      <c r="YG5" s="34"/>
      <c r="YH5" s="34"/>
      <c r="YI5" s="34"/>
      <c r="YJ5" s="34"/>
      <c r="YK5" s="34"/>
      <c r="YL5" s="34"/>
      <c r="YM5" s="34"/>
      <c r="YN5" s="34"/>
      <c r="YO5" s="34"/>
      <c r="YP5" s="34"/>
      <c r="YQ5" s="34"/>
      <c r="YR5" s="34"/>
      <c r="YS5" s="34"/>
      <c r="YT5" s="34"/>
      <c r="YU5" s="34"/>
      <c r="YV5" s="34"/>
      <c r="YW5" s="34"/>
      <c r="YX5" s="34"/>
      <c r="YY5" s="34"/>
      <c r="YZ5" s="34"/>
      <c r="ZA5" s="34"/>
      <c r="ZB5" s="34"/>
      <c r="ZC5" s="34"/>
      <c r="ZD5" s="34"/>
      <c r="ZE5" s="34"/>
      <c r="ZF5" s="34"/>
      <c r="ZG5" s="34"/>
      <c r="ZH5" s="34"/>
      <c r="ZI5" s="34"/>
      <c r="ZJ5" s="34"/>
      <c r="ZK5" s="34"/>
      <c r="ZL5" s="34"/>
      <c r="ZM5" s="34"/>
      <c r="ZN5" s="34"/>
      <c r="ZO5" s="34"/>
      <c r="ZP5" s="34"/>
      <c r="ZQ5" s="34"/>
      <c r="ZR5" s="34"/>
      <c r="ZS5" s="34"/>
      <c r="ZT5" s="34"/>
      <c r="ZU5" s="34"/>
      <c r="ZV5" s="34"/>
      <c r="ZW5" s="34"/>
      <c r="ZX5" s="34"/>
      <c r="ZY5" s="34"/>
      <c r="ZZ5" s="34"/>
      <c r="AAA5" s="34"/>
      <c r="AAB5" s="34"/>
      <c r="AAC5" s="34"/>
      <c r="AAD5" s="34"/>
      <c r="AAE5" s="34"/>
      <c r="AAF5" s="34"/>
      <c r="AAG5" s="34"/>
      <c r="AAH5" s="34"/>
      <c r="AAI5" s="34"/>
      <c r="AAJ5" s="34"/>
      <c r="AAK5" s="34"/>
      <c r="AAL5" s="34"/>
      <c r="AAM5" s="34"/>
      <c r="AAN5" s="34"/>
      <c r="AAO5" s="34"/>
      <c r="AAP5" s="34"/>
      <c r="AAQ5" s="34"/>
      <c r="AAR5" s="34"/>
      <c r="AAS5" s="34"/>
      <c r="AAT5" s="34"/>
      <c r="AAU5" s="34"/>
      <c r="AAV5" s="34"/>
      <c r="AAW5" s="34"/>
      <c r="AAX5" s="34"/>
      <c r="AAY5" s="34"/>
      <c r="AAZ5" s="34"/>
      <c r="ABA5" s="34"/>
      <c r="ABB5" s="34"/>
      <c r="ABC5" s="34"/>
      <c r="ABD5" s="34"/>
      <c r="ABE5" s="34"/>
      <c r="ABF5" s="34"/>
      <c r="ABG5" s="34"/>
      <c r="ABH5" s="34"/>
      <c r="ABI5" s="34"/>
      <c r="ABJ5" s="34"/>
      <c r="ABK5" s="34"/>
      <c r="ABL5" s="34"/>
      <c r="ABM5" s="34"/>
      <c r="ABN5" s="34"/>
      <c r="ABO5" s="34"/>
      <c r="ABP5" s="34"/>
      <c r="ABQ5" s="34"/>
      <c r="ABR5" s="34"/>
      <c r="ABS5" s="34"/>
      <c r="ABT5" s="34"/>
      <c r="ABU5" s="34"/>
      <c r="ABV5" s="34"/>
      <c r="ABW5" s="34"/>
      <c r="ABX5" s="34"/>
      <c r="ABY5" s="34"/>
      <c r="ABZ5" s="34"/>
      <c r="ACA5" s="34"/>
      <c r="ACB5" s="34"/>
      <c r="ACC5" s="34"/>
      <c r="ACD5" s="34"/>
      <c r="ACE5" s="34"/>
      <c r="ACF5" s="34"/>
      <c r="ACG5" s="34"/>
      <c r="ACH5" s="34"/>
      <c r="ACI5" s="34"/>
      <c r="ACJ5" s="34"/>
      <c r="ACK5" s="34"/>
      <c r="ACL5" s="34"/>
      <c r="ACM5" s="34"/>
      <c r="ACN5" s="34"/>
      <c r="ACO5" s="34"/>
      <c r="ACP5" s="34"/>
      <c r="ACQ5" s="34"/>
      <c r="ACR5" s="34"/>
      <c r="ACS5" s="34"/>
      <c r="ACT5" s="34"/>
      <c r="ACU5" s="34"/>
      <c r="ACV5" s="34"/>
      <c r="ACW5" s="34"/>
      <c r="ACX5" s="34"/>
      <c r="ACY5" s="34"/>
      <c r="ACZ5" s="34"/>
      <c r="ADA5" s="34"/>
      <c r="ADB5" s="34"/>
      <c r="ADC5" s="34"/>
      <c r="ADD5" s="34"/>
      <c r="ADE5" s="34"/>
      <c r="ADF5" s="34"/>
      <c r="ADG5" s="34"/>
      <c r="ADH5" s="34"/>
      <c r="ADI5" s="34"/>
      <c r="ADJ5" s="34"/>
      <c r="ADK5" s="34"/>
      <c r="ADL5" s="34"/>
      <c r="ADM5" s="34"/>
      <c r="ADN5" s="34"/>
      <c r="ADO5" s="34"/>
      <c r="ADP5" s="34"/>
      <c r="ADQ5" s="34"/>
      <c r="ADR5" s="34"/>
      <c r="ADS5" s="34"/>
      <c r="ADT5" s="34"/>
      <c r="ADU5" s="34"/>
      <c r="ADV5" s="34"/>
      <c r="ADW5" s="34"/>
      <c r="ADX5" s="34"/>
      <c r="ADY5" s="34"/>
      <c r="ADZ5" s="34"/>
      <c r="AEA5" s="34"/>
      <c r="AEB5" s="34"/>
      <c r="AEC5" s="34"/>
      <c r="AED5" s="34"/>
      <c r="AEE5" s="34"/>
      <c r="AEF5" s="34"/>
      <c r="AEG5" s="34"/>
      <c r="AEH5" s="34"/>
      <c r="AEI5" s="34"/>
      <c r="AEJ5" s="34"/>
      <c r="AEK5" s="34"/>
      <c r="AEL5" s="34"/>
      <c r="AEM5" s="34"/>
      <c r="AEN5" s="34"/>
      <c r="AEO5" s="34"/>
      <c r="AEP5" s="34"/>
      <c r="AEQ5" s="34"/>
      <c r="AER5" s="34"/>
      <c r="AES5" s="34"/>
      <c r="AET5" s="34"/>
      <c r="AEU5" s="34"/>
      <c r="AEV5" s="34"/>
      <c r="AEW5" s="34"/>
      <c r="AEX5" s="34"/>
      <c r="AEY5" s="34"/>
      <c r="AEZ5" s="34"/>
      <c r="AFA5" s="34"/>
      <c r="AFB5" s="34"/>
      <c r="AFC5" s="34"/>
      <c r="AFD5" s="34"/>
      <c r="AFE5" s="34"/>
      <c r="AFF5" s="34"/>
      <c r="AFG5" s="34"/>
      <c r="AFH5" s="34"/>
      <c r="AFI5" s="34"/>
      <c r="AFJ5" s="34"/>
      <c r="AFK5" s="34"/>
      <c r="AFL5" s="34"/>
      <c r="AFM5" s="34"/>
      <c r="AFN5" s="34"/>
      <c r="AFO5" s="34"/>
      <c r="AFP5" s="34"/>
      <c r="AFQ5" s="34"/>
      <c r="AFR5" s="34"/>
      <c r="AFS5" s="34"/>
      <c r="AFT5" s="34"/>
      <c r="AFU5" s="34"/>
      <c r="AFV5" s="34"/>
      <c r="AFW5" s="34"/>
      <c r="AFX5" s="34"/>
      <c r="AFY5" s="34"/>
      <c r="AFZ5" s="34"/>
      <c r="AGA5" s="34"/>
      <c r="AGB5" s="34"/>
      <c r="AGC5" s="34"/>
      <c r="AGD5" s="34"/>
      <c r="AGE5" s="34"/>
      <c r="AGF5" s="34"/>
      <c r="AGG5" s="34"/>
      <c r="AGH5" s="34"/>
      <c r="AGI5" s="34"/>
      <c r="AGJ5" s="34"/>
      <c r="AGK5" s="34"/>
      <c r="AGL5" s="34"/>
      <c r="AGM5" s="34"/>
      <c r="AGN5" s="34"/>
      <c r="AGO5" s="34"/>
      <c r="AGP5" s="34"/>
      <c r="AGQ5" s="34"/>
      <c r="AGR5" s="34"/>
      <c r="AGS5" s="34"/>
      <c r="AGT5" s="34"/>
      <c r="AGU5" s="34"/>
      <c r="AGV5" s="34"/>
      <c r="AGW5" s="34"/>
      <c r="AGX5" s="34"/>
      <c r="AGY5" s="34"/>
      <c r="AGZ5" s="34"/>
      <c r="AHA5" s="34"/>
      <c r="AHB5" s="34"/>
      <c r="AHC5" s="34"/>
      <c r="AHD5" s="34"/>
      <c r="AHE5" s="34"/>
      <c r="AHF5" s="34"/>
      <c r="AHG5" s="34"/>
      <c r="AHH5" s="34"/>
      <c r="AHI5" s="34"/>
      <c r="AHJ5" s="34"/>
      <c r="AHK5" s="34"/>
      <c r="AHL5" s="34"/>
      <c r="AHM5" s="34"/>
      <c r="AHN5" s="34"/>
      <c r="AHO5" s="34"/>
      <c r="AHP5" s="34"/>
      <c r="AHQ5" s="34"/>
      <c r="AHR5" s="34"/>
      <c r="AHS5" s="34"/>
      <c r="AHT5" s="34"/>
      <c r="AHU5" s="34"/>
      <c r="AHV5" s="34"/>
      <c r="AHW5" s="34"/>
      <c r="AHX5" s="34"/>
      <c r="AHY5" s="34"/>
      <c r="AHZ5" s="34"/>
      <c r="AIA5" s="34"/>
      <c r="AIB5" s="34"/>
      <c r="AIC5" s="34"/>
      <c r="AID5" s="34"/>
      <c r="AIE5" s="34"/>
      <c r="AIF5" s="34"/>
      <c r="AIG5" s="34"/>
      <c r="AIH5" s="34"/>
      <c r="AII5" s="34"/>
      <c r="AIJ5" s="34"/>
      <c r="AIK5" s="34"/>
      <c r="AIL5" s="34"/>
      <c r="AIM5" s="34"/>
      <c r="AIN5" s="34"/>
      <c r="AIO5" s="34"/>
      <c r="AIP5" s="34"/>
      <c r="AIQ5" s="34"/>
      <c r="AIR5" s="34"/>
      <c r="AIS5" s="34"/>
      <c r="AIT5" s="34"/>
      <c r="AIU5" s="34"/>
      <c r="AIV5" s="34"/>
      <c r="AIW5" s="34"/>
      <c r="AIX5" s="34"/>
      <c r="AIY5" s="34"/>
      <c r="AIZ5" s="34"/>
      <c r="AJA5" s="34"/>
      <c r="AJB5" s="34"/>
      <c r="AJC5" s="34"/>
      <c r="AJD5" s="34"/>
      <c r="AJE5" s="34"/>
      <c r="AJF5" s="34"/>
      <c r="AJG5" s="34"/>
      <c r="AJH5" s="34"/>
      <c r="AJI5" s="34"/>
      <c r="AJJ5" s="34"/>
      <c r="AJK5" s="34"/>
      <c r="AJL5" s="34"/>
      <c r="AJM5" s="34"/>
      <c r="AJN5" s="34"/>
      <c r="AJO5" s="34"/>
      <c r="AJP5" s="34"/>
      <c r="AJQ5" s="34"/>
      <c r="AJR5" s="34"/>
      <c r="AJS5" s="34"/>
      <c r="AJT5" s="34"/>
      <c r="AJU5" s="34"/>
      <c r="AJV5" s="34"/>
      <c r="AJW5" s="34"/>
      <c r="AJX5" s="34"/>
      <c r="AJY5" s="34"/>
      <c r="AJZ5" s="34"/>
      <c r="AKA5" s="34"/>
      <c r="AKB5" s="34"/>
      <c r="AKC5" s="34"/>
      <c r="AKD5" s="34"/>
      <c r="AKE5" s="34"/>
      <c r="AKF5" s="34"/>
      <c r="AKG5" s="34"/>
      <c r="AKH5" s="34"/>
      <c r="AKI5" s="34"/>
      <c r="AKJ5" s="34"/>
      <c r="AKK5" s="34"/>
      <c r="AKL5" s="34"/>
      <c r="AKM5" s="34"/>
      <c r="AKN5" s="34"/>
      <c r="AKO5" s="34"/>
      <c r="AKP5" s="34"/>
      <c r="AKQ5" s="34"/>
      <c r="AKR5" s="34"/>
      <c r="AKS5" s="34"/>
      <c r="AKT5" s="34"/>
      <c r="AKU5" s="34"/>
      <c r="AKV5" s="34"/>
      <c r="AKW5" s="34"/>
      <c r="AKX5" s="34"/>
      <c r="AKY5" s="34"/>
      <c r="AKZ5" s="34"/>
      <c r="ALA5" s="34"/>
      <c r="ALB5" s="34"/>
      <c r="ALC5" s="34"/>
      <c r="ALD5" s="34"/>
      <c r="ALE5" s="34"/>
      <c r="ALF5" s="34"/>
      <c r="ALG5" s="34"/>
      <c r="ALH5" s="34"/>
      <c r="ALI5" s="34"/>
      <c r="ALJ5" s="34"/>
      <c r="ALK5" s="34"/>
      <c r="ALL5" s="34"/>
      <c r="ALM5" s="34"/>
      <c r="ALN5" s="34"/>
      <c r="ALO5" s="34"/>
      <c r="ALP5" s="34"/>
      <c r="ALQ5" s="34"/>
      <c r="ALR5" s="34"/>
      <c r="ALS5" s="34"/>
      <c r="ALT5" s="34"/>
      <c r="ALU5" s="34"/>
      <c r="ALV5" s="34"/>
      <c r="ALW5" s="34"/>
      <c r="ALX5" s="34"/>
      <c r="ALY5" s="34"/>
      <c r="ALZ5" s="34"/>
      <c r="AMA5" s="34"/>
      <c r="AMB5" s="34"/>
      <c r="AMC5" s="34"/>
      <c r="AMD5" s="34"/>
      <c r="AME5" s="34"/>
      <c r="AMF5" s="34"/>
      <c r="AMG5" s="34"/>
      <c r="AMH5" s="34"/>
      <c r="AMI5" s="34"/>
      <c r="AMJ5" s="34"/>
      <c r="AMK5" s="34"/>
      <c r="AML5" s="34"/>
    </row>
    <row r="6" ht="15.75" customHeight="1">
      <c r="A6" s="37" t="s">
        <v>25</v>
      </c>
      <c r="B6" s="37"/>
      <c r="C6" s="8" t="s">
        <v>16</v>
      </c>
      <c r="D6" s="37">
        <v>1000.0</v>
      </c>
      <c r="E6" s="8" t="s">
        <v>18</v>
      </c>
      <c r="F6" s="8" t="s">
        <v>26</v>
      </c>
      <c r="G6" s="8">
        <v>10.0</v>
      </c>
      <c r="H6" s="8" t="s">
        <v>27</v>
      </c>
      <c r="I6" s="8"/>
      <c r="J6" s="8"/>
      <c r="K6" s="8"/>
      <c r="L6" s="8"/>
      <c r="M6" s="8"/>
      <c r="N6" s="8"/>
      <c r="O6" s="8" t="s">
        <v>16</v>
      </c>
      <c r="P6" t="s">
        <v>28</v>
      </c>
      <c r="R6" t="s">
        <v>29</v>
      </c>
      <c r="S6" t="s">
        <v>30</v>
      </c>
      <c r="T6" t="s">
        <v>31</v>
      </c>
      <c r="U6" t="s">
        <v>32</v>
      </c>
      <c r="V6" t="s">
        <v>33</v>
      </c>
      <c r="W6" t="s">
        <v>34</v>
      </c>
      <c r="X6">
        <v>1.0</v>
      </c>
      <c r="AN6" t="s">
        <v>17</v>
      </c>
      <c r="AO6" t="s">
        <v>35</v>
      </c>
      <c r="AP6" t="s">
        <v>27</v>
      </c>
      <c r="AQ6" t="s">
        <v>16</v>
      </c>
      <c r="AT6" t="s">
        <v>36</v>
      </c>
      <c r="AU6" t="s">
        <v>37</v>
      </c>
      <c r="BE6" t="s">
        <v>31</v>
      </c>
      <c r="BF6" t="s">
        <v>28</v>
      </c>
      <c r="BG6" t="s">
        <v>28</v>
      </c>
      <c r="BH6" t="s">
        <v>28</v>
      </c>
      <c r="BI6" t="s">
        <v>28</v>
      </c>
      <c r="BQ6" t="s">
        <v>38</v>
      </c>
      <c r="BR6" t="s">
        <v>39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25</v>
      </c>
      <c r="B7" s="8"/>
      <c r="C7" s="8" t="s">
        <v>40</v>
      </c>
      <c r="D7" s="8">
        <v>1000.0</v>
      </c>
      <c r="E7" s="8" t="s">
        <v>18</v>
      </c>
      <c r="F7" s="8" t="s">
        <v>26</v>
      </c>
      <c r="G7" s="8">
        <v>1.0</v>
      </c>
      <c r="H7" s="8" t="s">
        <v>27</v>
      </c>
      <c r="I7" s="8">
        <v>121000.0</v>
      </c>
      <c r="J7" s="8"/>
      <c r="K7" s="8"/>
      <c r="L7" s="8"/>
      <c r="M7" s="8"/>
      <c r="N7" s="38">
        <v>21000.0</v>
      </c>
      <c r="O7" s="8" t="s">
        <v>41</v>
      </c>
      <c r="P7" t="s">
        <v>28</v>
      </c>
      <c r="Q7">
        <v>21000.0</v>
      </c>
      <c r="R7" t="s">
        <v>29</v>
      </c>
      <c r="S7" t="s">
        <v>30</v>
      </c>
      <c r="T7" t="s">
        <v>42</v>
      </c>
      <c r="U7" t="s">
        <v>32</v>
      </c>
      <c r="V7" t="s">
        <v>43</v>
      </c>
      <c r="W7" t="s">
        <v>44</v>
      </c>
      <c r="X7">
        <v>100.0</v>
      </c>
      <c r="AN7" t="s">
        <v>20</v>
      </c>
      <c r="AO7" t="s">
        <v>35</v>
      </c>
      <c r="AP7" t="s">
        <v>27</v>
      </c>
      <c r="AQ7" t="s">
        <v>45</v>
      </c>
      <c r="AT7" t="s">
        <v>36</v>
      </c>
      <c r="AU7" t="s">
        <v>37</v>
      </c>
      <c r="BE7" t="s">
        <v>46</v>
      </c>
      <c r="BF7" t="s">
        <v>28</v>
      </c>
      <c r="BG7" t="s">
        <v>28</v>
      </c>
      <c r="BH7" t="s">
        <v>28</v>
      </c>
      <c r="BI7" t="s">
        <v>28</v>
      </c>
      <c r="BQ7" t="s">
        <v>38</v>
      </c>
      <c r="BR7" t="s">
        <v>39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 t="s">
        <v>25</v>
      </c>
      <c r="B8" s="8"/>
      <c r="C8" s="8" t="s">
        <v>21</v>
      </c>
      <c r="D8" s="8">
        <v>100.0</v>
      </c>
      <c r="E8" s="8" t="s">
        <v>18</v>
      </c>
      <c r="F8" s="8" t="s">
        <v>26</v>
      </c>
      <c r="G8" s="8">
        <v>1.0</v>
      </c>
      <c r="H8" s="8" t="s">
        <v>27</v>
      </c>
      <c r="I8" s="8"/>
      <c r="J8" s="8"/>
      <c r="K8" s="8"/>
      <c r="L8" s="8"/>
      <c r="M8" s="8"/>
      <c r="N8" s="8"/>
      <c r="O8" s="8" t="s">
        <v>21</v>
      </c>
      <c r="P8" t="s">
        <v>28</v>
      </c>
      <c r="R8" t="s">
        <v>29</v>
      </c>
      <c r="S8" t="s">
        <v>30</v>
      </c>
      <c r="T8" t="s">
        <v>31</v>
      </c>
      <c r="U8" t="s">
        <v>32</v>
      </c>
      <c r="V8" t="s">
        <v>47</v>
      </c>
      <c r="W8" t="s">
        <v>44</v>
      </c>
      <c r="X8">
        <v>1.0</v>
      </c>
      <c r="AN8" t="s">
        <v>17</v>
      </c>
      <c r="AO8" t="s">
        <v>35</v>
      </c>
      <c r="AP8" t="s">
        <v>27</v>
      </c>
      <c r="AQ8" t="s">
        <v>21</v>
      </c>
      <c r="AT8" t="s">
        <v>36</v>
      </c>
      <c r="AU8" t="s">
        <v>37</v>
      </c>
      <c r="BE8" t="s">
        <v>31</v>
      </c>
      <c r="BF8" t="s">
        <v>48</v>
      </c>
      <c r="BG8" t="s">
        <v>49</v>
      </c>
      <c r="BH8" t="s">
        <v>28</v>
      </c>
      <c r="BI8" t="s">
        <v>50</v>
      </c>
      <c r="BQ8" t="s">
        <v>38</v>
      </c>
      <c r="BR8" t="s">
        <v>39</v>
      </c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8" t="s">
        <v>25</v>
      </c>
      <c r="B9" s="8"/>
      <c r="C9" s="8" t="s">
        <v>21</v>
      </c>
      <c r="D9" s="8">
        <v>150.0</v>
      </c>
      <c r="E9" s="8" t="s">
        <v>18</v>
      </c>
      <c r="F9" s="8" t="s">
        <v>26</v>
      </c>
      <c r="G9" s="8">
        <v>1.0</v>
      </c>
      <c r="H9" s="8" t="s">
        <v>27</v>
      </c>
      <c r="I9" s="8"/>
      <c r="J9" s="8"/>
      <c r="K9" s="8"/>
      <c r="L9" s="8"/>
      <c r="M9" s="8"/>
      <c r="N9" s="8"/>
      <c r="O9" s="8" t="s">
        <v>21</v>
      </c>
      <c r="P9" t="s">
        <v>28</v>
      </c>
      <c r="R9" t="s">
        <v>29</v>
      </c>
      <c r="S9" t="s">
        <v>30</v>
      </c>
      <c r="T9" t="s">
        <v>31</v>
      </c>
      <c r="U9" t="s">
        <v>32</v>
      </c>
      <c r="V9" t="s">
        <v>47</v>
      </c>
      <c r="W9" t="s">
        <v>44</v>
      </c>
      <c r="X9">
        <v>1.0</v>
      </c>
      <c r="AN9" t="s">
        <v>17</v>
      </c>
      <c r="AO9" t="s">
        <v>35</v>
      </c>
      <c r="AP9" t="s">
        <v>27</v>
      </c>
      <c r="AQ9" t="s">
        <v>21</v>
      </c>
      <c r="AT9" t="s">
        <v>36</v>
      </c>
      <c r="AU9" t="s">
        <v>37</v>
      </c>
      <c r="BE9" t="s">
        <v>31</v>
      </c>
      <c r="BF9" t="s">
        <v>48</v>
      </c>
      <c r="BG9" t="s">
        <v>49</v>
      </c>
      <c r="BH9" t="s">
        <v>28</v>
      </c>
      <c r="BI9" t="s">
        <v>50</v>
      </c>
      <c r="BQ9" t="s">
        <v>38</v>
      </c>
      <c r="BR9" t="s">
        <v>39</v>
      </c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