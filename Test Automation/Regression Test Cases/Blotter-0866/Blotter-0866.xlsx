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ChangeDate" sheetId="6" r:id="rId9"/>
    <sheet state="visible" name="RestartReleasesAndServices" sheetId="7" r:id="rId10"/>
    <sheet state="visible" name="SelectTradeOnOrderGrid" sheetId="8" r:id="rId11"/>
    <sheet state="visible" name="TradeNewSubOrder" sheetId="9" r:id="rId12"/>
    <sheet state="visible" name="CreateNewSubLiveOrder" sheetId="10" r:id="rId13"/>
    <sheet state="visible" name="VerifySubOrder" sheetId="11" r:id="rId14"/>
    <sheet state="visible" name="SelectTrade" sheetId="12" r:id="rId15"/>
    <sheet state="visible" name="AcknowledgeTrade" sheetId="13" r:id="rId16"/>
    <sheet state="visible" name="ExecuteTrade" sheetId="14" r:id="rId17"/>
    <sheet state="visible" name="VerifySubOrder1" sheetId="15" r:id="rId18"/>
    <sheet state="visible" name="CreateDoneAwayOrder" sheetId="16" r:id="rId19"/>
    <sheet state="visible" name="GetDataFromAuditTrail" sheetId="17" r:id="rId20"/>
    <sheet state="visible" name="VerifyAuditTrail" sheetId="18" r:id="rId21"/>
    <sheet state="visible" name="ChangeDate1" sheetId="19" r:id="rId22"/>
  </sheets>
  <definedNames/>
  <calcPr/>
  <extLst>
    <ext uri="GoogleSheetsCustomDataVersion2">
      <go:sheetsCustomData xmlns:go="http://customooxmlschemas.google.com/" r:id="rId23" roundtripDataChecksum="F4M184GfDhupKzYzXav37EinZDrKEwI8OLYck6XH35Q="/>
    </ext>
  </extLst>
</workbook>
</file>

<file path=xl/sharedStrings.xml><?xml version="1.0" encoding="utf-8"?>
<sst xmlns="http://schemas.openxmlformats.org/spreadsheetml/2006/main" count="419" uniqueCount="171">
  <si>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</si>
  <si>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</si>
  <si>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</si>
  <si>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</si>
  <si>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</si>
  <si>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</si>
  <si>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</si>
  <si>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</si>
  <si>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</si>
  <si>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</si>
  <si>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</si>
  <si>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</si>
  <si>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</si>
  <si>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</si>
  <si>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</si>
  <si>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</si>
  <si>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</si>
  <si>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</si>
  <si>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</si>
  <si>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</si>
  <si>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CreateOrder</t>
  </si>
  <si>
    <t>Allocation1</t>
  </si>
  <si>
    <t>Buy</t>
  </si>
  <si>
    <t>Good Till Date</t>
  </si>
  <si>
    <t>Limit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</si>
  <si>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</si>
  <si>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</si>
  <si>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</si>
  <si>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</si>
  <si>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</si>
  <si>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</si>
  <si>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</si>
  <si>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</si>
  <si>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</si>
  <si>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</si>
  <si>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</si>
  <si>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</si>
  <si>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</si>
  <si>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</si>
  <si>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</si>
  <si>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</si>
  <si>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</si>
  <si>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</si>
  <si>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</si>
  <si>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</si>
  <si>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</si>
  <si>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</si>
  <si>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</si>
  <si>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</si>
  <si>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</si>
  <si>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</si>
  <si>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</si>
  <si>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</si>
  <si>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</si>
  <si>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</si>
  <si>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</si>
  <si>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</si>
  <si>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</si>
  <si>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</si>
  <si>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</si>
  <si>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</si>
  <si>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</si>
  <si>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</si>
  <si>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</si>
  <si>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</si>
  <si>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</si>
  <si>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</si>
  <si>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</si>
  <si>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</si>
  <si>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</si>
  <si>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</si>
  <si>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</si>
  <si>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</si>
  <si>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</si>
  <si>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</si>
  <si>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</si>
  <si>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</si>
  <si>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</si>
  <si>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</si>
  <si>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</si>
  <si>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</si>
  <si>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</si>
  <si>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</si>
  <si>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</si>
  <si>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</si>
  <si>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</si>
  <si>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</si>
  <si>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</si>
  <si>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</si>
  <si>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</si>
  <si>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</si>
  <si>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</si>
  <si>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</si>
  <si>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</si>
  <si>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</si>
  <si>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</si>
  <si>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</si>
  <si>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</si>
  <si>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</si>
  <si>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</si>
  <si>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</si>
  <si>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</si>
  <si>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</si>
  <si>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</si>
  <si>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</si>
  <si>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</si>
  <si>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</si>
  <si>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</si>
  <si>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</si>
  <si>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</si>
  <si>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</si>
  <si>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</si>
  <si>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</si>
  <si>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</si>
  <si>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</si>
  <si>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</si>
  <si>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</si>
  <si>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</si>
  <si>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</si>
  <si>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</si>
  <si>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</si>
  <si>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Current User</t>
  </si>
  <si>
    <t>Executed Qty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</si>
  <si>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</si>
  <si>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</si>
  <si>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</si>
  <si>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</si>
  <si>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</si>
  <si>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</si>
  <si>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</si>
  <si>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</si>
  <si>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US</t>
  </si>
  <si>
    <t>GCCAP1</t>
  </si>
  <si>
    <t>USD</t>
  </si>
  <si>
    <t>NONE</t>
  </si>
  <si>
    <t>M</t>
  </si>
  <si>
    <t>Equity</t>
  </si>
  <si>
    <t>PendingNew</t>
  </si>
  <si>
    <t>MS</t>
  </si>
  <si>
    <t>Today()</t>
  </si>
  <si>
    <t>Simulator</t>
  </si>
  <si>
    <t>SelectTrade</t>
  </si>
  <si>
    <t>AcknowledgeTrade</t>
  </si>
  <si>
    <t>ExecuteTrade</t>
  </si>
  <si>
    <t>PartiallyFilled</t>
  </si>
  <si>
    <t>SharesOutstandingPopUpQty</t>
  </si>
  <si>
    <t>ResAllowedListPopUp</t>
  </si>
  <si>
    <t>Rate(%)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</si>
  <si>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</si>
  <si>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</si>
  <si>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</si>
  <si>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</si>
  <si>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</si>
  <si>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</si>
  <si>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</si>
  <si>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</si>
  <si>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</si>
  <si>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</si>
  <si>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</si>
  <si>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</si>
  <si>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</si>
  <si>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</si>
  <si>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</si>
  <si>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</si>
  <si>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MSFT</t>
  </si>
  <si>
    <t>AuditTrail</t>
  </si>
  <si>
    <t>GetDataFromAuditTrail</t>
  </si>
  <si>
    <t>VerifyAuditTrail</t>
  </si>
  <si>
    <t>Order Filled</t>
  </si>
  <si>
    <t>New fill added shares 1000, Order Status -"Filled" with quantity 1000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</si>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</sst>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color theme="1"/>
      <name val="Arial"/>
    </font>
    <font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4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14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4" fillId="3" fontId="7" numFmtId="0" xfId="0" applyAlignment="1" applyBorder="1" applyFont="1">
      <alignment readingOrder="0"/>
    </xf>
    <xf borderId="0" fillId="0" fontId="5" numFmtId="14" xfId="0" applyFont="1" applyNumberFormat="1"/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4"/>
      <c r="B6" s="20" t="s">
        <v>16</v>
      </c>
      <c r="C6" s="21">
        <v>6.0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17</v>
      </c>
      <c r="D3" s="5" t="s">
        <v>9</v>
      </c>
      <c r="E3" s="9" t="s">
        <v>18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4"/>
      <c r="B6" s="7" t="s">
        <v>19</v>
      </c>
      <c r="C6" s="21">
        <v>1000.0</v>
      </c>
      <c r="D6" s="4">
        <v>140.0</v>
      </c>
      <c r="E6" s="7" t="s">
        <v>20</v>
      </c>
      <c r="F6" s="4"/>
      <c r="G6" s="4"/>
      <c r="H6" s="4"/>
      <c r="I6" s="7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1">
        <v>140.0</v>
      </c>
      <c r="Y6" s="22">
        <f>TODAY()+1</f>
        <v>45819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4"/>
      <c r="B7" s="7"/>
      <c r="C7" s="21"/>
      <c r="D7" s="4"/>
      <c r="E7" s="7"/>
      <c r="F7" s="4"/>
      <c r="G7" s="4"/>
      <c r="H7" s="4"/>
      <c r="I7" s="7"/>
      <c r="J7" s="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21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4"/>
      <c r="B6" s="7" t="s">
        <v>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28</v>
      </c>
      <c r="D3" s="5" t="s">
        <v>9</v>
      </c>
      <c r="E3" s="9" t="s">
        <v>29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4"/>
      <c r="B6" s="4"/>
      <c r="C6" s="23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30</v>
      </c>
      <c r="D3" s="5" t="s">
        <v>9</v>
      </c>
      <c r="E3" s="9" t="s">
        <v>31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5.75" customHeight="1"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51</v>
      </c>
      <c r="V5" s="4" t="s">
        <v>52</v>
      </c>
      <c r="W5" s="4" t="s">
        <v>53</v>
      </c>
      <c r="X5" s="4" t="s">
        <v>54</v>
      </c>
      <c r="Y5" s="4" t="s">
        <v>55</v>
      </c>
      <c r="Z5" s="4" t="s">
        <v>56</v>
      </c>
      <c r="AA5" s="4" t="s">
        <v>57</v>
      </c>
      <c r="AB5" s="4" t="s">
        <v>58</v>
      </c>
      <c r="AC5" s="4" t="s">
        <v>59</v>
      </c>
      <c r="AD5" s="4" t="s">
        <v>60</v>
      </c>
      <c r="AE5" s="4" t="s">
        <v>61</v>
      </c>
      <c r="AF5" s="4" t="s">
        <v>62</v>
      </c>
      <c r="AG5" s="4" t="s">
        <v>63</v>
      </c>
      <c r="AH5" s="4" t="s">
        <v>64</v>
      </c>
      <c r="AI5" s="4" t="s">
        <v>65</v>
      </c>
      <c r="AJ5" s="4" t="s">
        <v>66</v>
      </c>
      <c r="AK5" s="4" t="s">
        <v>67</v>
      </c>
      <c r="AL5" s="4" t="s">
        <v>68</v>
      </c>
      <c r="AM5" s="4" t="s">
        <v>69</v>
      </c>
      <c r="AN5" s="4" t="s">
        <v>70</v>
      </c>
      <c r="AO5" s="4" t="s">
        <v>71</v>
      </c>
      <c r="AP5" s="4" t="s">
        <v>72</v>
      </c>
      <c r="AQ5" s="4" t="s">
        <v>73</v>
      </c>
      <c r="AR5" s="4" t="s">
        <v>74</v>
      </c>
      <c r="AS5" s="4" t="s">
        <v>75</v>
      </c>
      <c r="AT5" s="4" t="s">
        <v>76</v>
      </c>
      <c r="AU5" s="4" t="s">
        <v>77</v>
      </c>
      <c r="AV5" s="4" t="s">
        <v>78</v>
      </c>
      <c r="AW5" s="4" t="s">
        <v>79</v>
      </c>
      <c r="AX5" s="4" t="s">
        <v>80</v>
      </c>
      <c r="AY5" s="4" t="s">
        <v>81</v>
      </c>
      <c r="AZ5" s="4" t="s">
        <v>82</v>
      </c>
      <c r="BA5" s="4" t="s">
        <v>83</v>
      </c>
    </row>
    <row r="6" ht="15.75" customHeight="1">
      <c r="AI6" s="4" t="s">
        <v>19</v>
      </c>
      <c r="AJ6" s="4" t="s">
        <v>22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5.75" customHeight="1">
      <c r="A5" s="4"/>
      <c r="B5" s="4" t="s">
        <v>65</v>
      </c>
      <c r="C5" s="4" t="s">
        <v>84</v>
      </c>
      <c r="D5" s="4" t="s">
        <v>85</v>
      </c>
      <c r="E5" s="4" t="s">
        <v>86</v>
      </c>
      <c r="F5" s="4" t="s">
        <v>87</v>
      </c>
      <c r="G5" s="4" t="s">
        <v>75</v>
      </c>
      <c r="H5" s="4" t="s">
        <v>88</v>
      </c>
      <c r="I5" s="4" t="s">
        <v>77</v>
      </c>
      <c r="J5" s="4" t="s">
        <v>89</v>
      </c>
      <c r="K5" s="4" t="s">
        <v>90</v>
      </c>
      <c r="L5" s="4" t="s">
        <v>24</v>
      </c>
      <c r="M5" s="4" t="s">
        <v>91</v>
      </c>
      <c r="N5" s="4" t="s">
        <v>92</v>
      </c>
      <c r="O5" s="4" t="s">
        <v>93</v>
      </c>
      <c r="P5" s="4" t="s">
        <v>94</v>
      </c>
      <c r="Q5" s="4" t="s">
        <v>95</v>
      </c>
      <c r="R5" s="4" t="s">
        <v>96</v>
      </c>
      <c r="S5" s="4" t="s">
        <v>97</v>
      </c>
      <c r="T5" s="4" t="s">
        <v>98</v>
      </c>
      <c r="U5" s="4" t="s">
        <v>99</v>
      </c>
      <c r="V5" s="4" t="s">
        <v>100</v>
      </c>
      <c r="W5" s="4" t="s">
        <v>101</v>
      </c>
      <c r="X5" s="4" t="s">
        <v>102</v>
      </c>
      <c r="Y5" s="4" t="s">
        <v>103</v>
      </c>
      <c r="Z5" s="4" t="s">
        <v>104</v>
      </c>
      <c r="AA5" s="4" t="s">
        <v>105</v>
      </c>
      <c r="AB5" s="4" t="s">
        <v>38</v>
      </c>
      <c r="AC5" s="4" t="s">
        <v>106</v>
      </c>
      <c r="AD5" s="4" t="s">
        <v>107</v>
      </c>
      <c r="AE5" s="4" t="s">
        <v>42</v>
      </c>
      <c r="AF5" s="4" t="s">
        <v>108</v>
      </c>
      <c r="AG5" s="4" t="s">
        <v>109</v>
      </c>
      <c r="AH5" s="4" t="s">
        <v>110</v>
      </c>
      <c r="AI5" s="4" t="s">
        <v>111</v>
      </c>
      <c r="AJ5" s="4" t="s">
        <v>112</v>
      </c>
      <c r="AK5" s="4" t="s">
        <v>76</v>
      </c>
      <c r="AL5" s="4" t="s">
        <v>113</v>
      </c>
      <c r="AM5" s="4" t="s">
        <v>114</v>
      </c>
      <c r="AN5" s="4" t="s">
        <v>115</v>
      </c>
      <c r="AO5" s="4" t="s">
        <v>116</v>
      </c>
      <c r="AP5" s="4" t="s">
        <v>117</v>
      </c>
      <c r="AQ5" s="4" t="s">
        <v>118</v>
      </c>
      <c r="AR5" s="4" t="s">
        <v>119</v>
      </c>
      <c r="AS5" s="4" t="s">
        <v>120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ht="15.75" customHeight="1">
      <c r="A6" s="4"/>
      <c r="B6" s="4" t="s">
        <v>19</v>
      </c>
      <c r="C6" s="4" t="s">
        <v>22</v>
      </c>
      <c r="D6" s="24">
        <v>400.0</v>
      </c>
      <c r="E6" s="4"/>
      <c r="F6" s="4"/>
      <c r="G6" s="4"/>
      <c r="H6" s="4"/>
      <c r="I6" s="4"/>
      <c r="J6" s="24">
        <v>140.0</v>
      </c>
      <c r="K6" s="4"/>
      <c r="L6" s="2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5"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121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48</v>
      </c>
      <c r="R5" s="4" t="s">
        <v>47</v>
      </c>
      <c r="S5" s="4" t="s">
        <v>49</v>
      </c>
      <c r="T5" s="4" t="s">
        <v>50</v>
      </c>
      <c r="U5" s="4" t="s">
        <v>51</v>
      </c>
      <c r="V5" s="4" t="s">
        <v>52</v>
      </c>
      <c r="W5" s="4" t="s">
        <v>53</v>
      </c>
      <c r="X5" s="4" t="s">
        <v>54</v>
      </c>
      <c r="Y5" s="4" t="s">
        <v>55</v>
      </c>
      <c r="Z5" s="4" t="s">
        <v>56</v>
      </c>
      <c r="AA5" s="4" t="s">
        <v>57</v>
      </c>
      <c r="AB5" s="4" t="s">
        <v>58</v>
      </c>
      <c r="AC5" s="4" t="s">
        <v>59</v>
      </c>
      <c r="AD5" s="4" t="s">
        <v>60</v>
      </c>
      <c r="AE5" s="4" t="s">
        <v>61</v>
      </c>
      <c r="AF5" s="4" t="s">
        <v>62</v>
      </c>
      <c r="AG5" s="4" t="s">
        <v>63</v>
      </c>
      <c r="AH5" s="4" t="s">
        <v>64</v>
      </c>
      <c r="AI5" s="4" t="s">
        <v>65</v>
      </c>
      <c r="AJ5" s="4" t="s">
        <v>66</v>
      </c>
      <c r="AK5" s="4" t="s">
        <v>67</v>
      </c>
      <c r="AL5" s="4" t="s">
        <v>85</v>
      </c>
      <c r="AM5" s="4" t="s">
        <v>122</v>
      </c>
      <c r="AN5" s="4" t="s">
        <v>71</v>
      </c>
      <c r="AO5" s="4" t="s">
        <v>73</v>
      </c>
      <c r="AP5" s="4" t="s">
        <v>74</v>
      </c>
      <c r="AQ5" s="4" t="s">
        <v>75</v>
      </c>
      <c r="AR5" s="4" t="s">
        <v>76</v>
      </c>
      <c r="AS5" s="4" t="s">
        <v>77</v>
      </c>
      <c r="AT5" s="4" t="s">
        <v>78</v>
      </c>
      <c r="AU5" s="4" t="s">
        <v>79</v>
      </c>
      <c r="AV5" s="4" t="s">
        <v>80</v>
      </c>
      <c r="AW5" s="4" t="s">
        <v>81</v>
      </c>
      <c r="AX5" s="4" t="s">
        <v>123</v>
      </c>
      <c r="AY5" s="4" t="s">
        <v>91</v>
      </c>
      <c r="AZ5" s="4" t="s">
        <v>124</v>
      </c>
      <c r="BA5" s="4" t="s">
        <v>125</v>
      </c>
      <c r="BB5" s="4" t="s">
        <v>126</v>
      </c>
      <c r="BC5" s="4" t="s">
        <v>127</v>
      </c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</row>
    <row r="6">
      <c r="D6" s="4"/>
      <c r="E6" s="4" t="s">
        <v>128</v>
      </c>
      <c r="F6" s="4">
        <v>140.0</v>
      </c>
      <c r="G6" s="4">
        <v>400.0</v>
      </c>
      <c r="H6" s="4" t="s">
        <v>129</v>
      </c>
      <c r="I6" s="4" t="s">
        <v>130</v>
      </c>
      <c r="J6" s="4" t="s">
        <v>19</v>
      </c>
      <c r="K6" s="4" t="s">
        <v>131</v>
      </c>
      <c r="L6" s="4" t="s">
        <v>132</v>
      </c>
      <c r="U6" s="4" t="s">
        <v>133</v>
      </c>
      <c r="V6" s="4" t="s">
        <v>134</v>
      </c>
      <c r="AA6" s="4"/>
      <c r="AB6" s="4"/>
      <c r="AD6" s="4">
        <v>0.0</v>
      </c>
      <c r="AF6" s="4" t="s">
        <v>135</v>
      </c>
      <c r="AG6" s="4"/>
      <c r="AH6" s="4" t="s">
        <v>136</v>
      </c>
      <c r="AI6" s="4" t="s">
        <v>19</v>
      </c>
      <c r="AJ6" s="4" t="s">
        <v>22</v>
      </c>
      <c r="AK6" s="4" t="s">
        <v>137</v>
      </c>
      <c r="AL6" s="4">
        <v>400.0</v>
      </c>
      <c r="AM6" s="4"/>
      <c r="AN6" s="4"/>
      <c r="AO6" s="4"/>
      <c r="AP6" s="4"/>
      <c r="AQ6" s="4" t="s">
        <v>138</v>
      </c>
      <c r="AR6" s="4" t="s">
        <v>21</v>
      </c>
      <c r="AS6" s="4" t="s">
        <v>24</v>
      </c>
      <c r="AT6" s="4"/>
      <c r="AU6" s="4"/>
      <c r="AV6" s="4"/>
      <c r="AW6" s="4"/>
      <c r="AX6" s="4"/>
      <c r="AZ6" s="4" t="s">
        <v>130</v>
      </c>
      <c r="BA6" s="4"/>
      <c r="BC6" s="4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140</v>
      </c>
      <c r="D3" s="5" t="s">
        <v>9</v>
      </c>
      <c r="E3" s="9" t="s">
        <v>141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140</v>
      </c>
      <c r="D3" s="5" t="s">
        <v>9</v>
      </c>
      <c r="E3" s="9" t="s">
        <v>142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140</v>
      </c>
      <c r="D3" s="5" t="s">
        <v>9</v>
      </c>
      <c r="E3" s="9" t="s">
        <v>143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122.2</v>
      </c>
      <c r="C6" s="7">
        <v>50.0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25"/>
      <c r="B5" s="25" t="s">
        <v>32</v>
      </c>
      <c r="C5" s="25" t="s">
        <v>33</v>
      </c>
      <c r="D5" s="25" t="s">
        <v>34</v>
      </c>
      <c r="E5" s="25" t="s">
        <v>35</v>
      </c>
      <c r="F5" s="25" t="s">
        <v>36</v>
      </c>
      <c r="G5" s="25" t="s">
        <v>37</v>
      </c>
      <c r="H5" s="25" t="s">
        <v>38</v>
      </c>
      <c r="I5" s="25" t="s">
        <v>121</v>
      </c>
      <c r="J5" s="25" t="s">
        <v>40</v>
      </c>
      <c r="K5" s="25" t="s">
        <v>41</v>
      </c>
      <c r="L5" s="25" t="s">
        <v>42</v>
      </c>
      <c r="M5" s="25" t="s">
        <v>43</v>
      </c>
      <c r="N5" s="25" t="s">
        <v>44</v>
      </c>
      <c r="O5" s="25" t="s">
        <v>45</v>
      </c>
      <c r="P5" s="25" t="s">
        <v>46</v>
      </c>
      <c r="Q5" s="25" t="s">
        <v>48</v>
      </c>
      <c r="R5" s="25" t="s">
        <v>47</v>
      </c>
      <c r="S5" s="25" t="s">
        <v>49</v>
      </c>
      <c r="T5" s="25" t="s">
        <v>50</v>
      </c>
      <c r="U5" s="25" t="s">
        <v>51</v>
      </c>
      <c r="V5" s="25" t="s">
        <v>52</v>
      </c>
      <c r="W5" s="25" t="s">
        <v>53</v>
      </c>
      <c r="X5" s="25" t="s">
        <v>54</v>
      </c>
      <c r="Y5" s="25" t="s">
        <v>55</v>
      </c>
      <c r="Z5" s="25" t="s">
        <v>56</v>
      </c>
      <c r="AA5" s="25" t="s">
        <v>57</v>
      </c>
      <c r="AB5" s="25" t="s">
        <v>58</v>
      </c>
      <c r="AC5" s="25" t="s">
        <v>59</v>
      </c>
      <c r="AD5" s="25" t="s">
        <v>60</v>
      </c>
      <c r="AE5" s="25" t="s">
        <v>61</v>
      </c>
      <c r="AF5" s="25" t="s">
        <v>62</v>
      </c>
      <c r="AG5" s="25" t="s">
        <v>63</v>
      </c>
      <c r="AH5" s="25" t="s">
        <v>64</v>
      </c>
      <c r="AI5" s="25" t="s">
        <v>65</v>
      </c>
      <c r="AJ5" s="25" t="s">
        <v>66</v>
      </c>
      <c r="AK5" s="25" t="s">
        <v>67</v>
      </c>
      <c r="AL5" s="25" t="s">
        <v>85</v>
      </c>
      <c r="AM5" s="25" t="s">
        <v>122</v>
      </c>
      <c r="AN5" s="25" t="s">
        <v>71</v>
      </c>
      <c r="AO5" s="25" t="s">
        <v>73</v>
      </c>
      <c r="AP5" s="25" t="s">
        <v>74</v>
      </c>
      <c r="AQ5" s="25" t="s">
        <v>75</v>
      </c>
      <c r="AR5" s="25" t="s">
        <v>76</v>
      </c>
      <c r="AS5" s="25" t="s">
        <v>77</v>
      </c>
      <c r="AT5" s="25" t="s">
        <v>78</v>
      </c>
      <c r="AU5" s="25" t="s">
        <v>79</v>
      </c>
      <c r="AV5" s="25" t="s">
        <v>80</v>
      </c>
      <c r="AW5" s="25" t="s">
        <v>81</v>
      </c>
      <c r="AX5" s="25" t="s">
        <v>123</v>
      </c>
      <c r="AY5" s="25" t="s">
        <v>91</v>
      </c>
      <c r="AZ5" s="25" t="s">
        <v>124</v>
      </c>
      <c r="BA5" s="25" t="s">
        <v>125</v>
      </c>
      <c r="BB5" s="25" t="s">
        <v>126</v>
      </c>
      <c r="BC5" s="25" t="s">
        <v>127</v>
      </c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>
      <c r="B6" s="25"/>
      <c r="C6" s="25"/>
      <c r="D6" s="26">
        <v>122.2</v>
      </c>
      <c r="E6" s="25" t="s">
        <v>128</v>
      </c>
      <c r="F6" s="27">
        <v>140.0</v>
      </c>
      <c r="G6" s="28">
        <v>350.0</v>
      </c>
      <c r="H6" s="25" t="s">
        <v>129</v>
      </c>
      <c r="I6" s="25" t="s">
        <v>130</v>
      </c>
      <c r="J6" s="25" t="s">
        <v>19</v>
      </c>
      <c r="K6" s="25" t="s">
        <v>131</v>
      </c>
      <c r="L6" s="25" t="s">
        <v>132</v>
      </c>
      <c r="M6" s="25"/>
      <c r="N6" s="25"/>
      <c r="O6" s="25"/>
      <c r="P6" s="25"/>
      <c r="Q6" s="25"/>
      <c r="R6" s="25"/>
      <c r="S6" s="25"/>
      <c r="T6" s="25"/>
      <c r="U6" s="25" t="s">
        <v>133</v>
      </c>
      <c r="V6" s="25" t="s">
        <v>134</v>
      </c>
      <c r="W6" s="25"/>
      <c r="X6" s="25"/>
      <c r="Y6" s="25"/>
      <c r="Z6" s="25"/>
      <c r="AA6" s="25"/>
      <c r="AB6" s="26">
        <v>50.0</v>
      </c>
      <c r="AC6" s="25"/>
      <c r="AD6" s="27"/>
      <c r="AE6" s="25"/>
      <c r="AF6" s="25" t="s">
        <v>135</v>
      </c>
      <c r="AG6" s="26">
        <v>122.2</v>
      </c>
      <c r="AH6" s="25" t="s">
        <v>136</v>
      </c>
      <c r="AI6" s="25" t="s">
        <v>19</v>
      </c>
      <c r="AJ6" s="25" t="s">
        <v>22</v>
      </c>
      <c r="AK6" s="26" t="s">
        <v>144</v>
      </c>
      <c r="AL6" s="27">
        <v>400.0</v>
      </c>
      <c r="AM6" s="26">
        <v>50.0</v>
      </c>
      <c r="AN6" s="26">
        <v>50.0</v>
      </c>
      <c r="AO6" s="26">
        <v>122.2</v>
      </c>
      <c r="AP6" s="26">
        <v>122.2</v>
      </c>
      <c r="AQ6" s="25" t="s">
        <v>138</v>
      </c>
      <c r="AR6" s="25" t="s">
        <v>21</v>
      </c>
      <c r="AS6" s="25" t="s">
        <v>24</v>
      </c>
      <c r="AT6" s="26">
        <v>6110.0</v>
      </c>
      <c r="AU6" s="26">
        <v>6110.0</v>
      </c>
      <c r="AV6" s="25"/>
      <c r="AW6" s="26" t="s">
        <v>144</v>
      </c>
      <c r="AX6" s="26">
        <v>350.0</v>
      </c>
      <c r="AY6" s="25"/>
      <c r="AZ6" s="25" t="s">
        <v>130</v>
      </c>
      <c r="BA6" s="25"/>
      <c r="BB6" s="25"/>
      <c r="BC6" s="25" t="s">
        <v>139</v>
      </c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5">
      <c r="B5" s="4" t="s">
        <v>65</v>
      </c>
      <c r="C5" s="4" t="s">
        <v>84</v>
      </c>
      <c r="D5" s="4" t="s">
        <v>85</v>
      </c>
      <c r="E5" s="4" t="s">
        <v>86</v>
      </c>
      <c r="F5" s="4" t="s">
        <v>87</v>
      </c>
      <c r="G5" s="4" t="s">
        <v>75</v>
      </c>
      <c r="H5" s="4" t="s">
        <v>88</v>
      </c>
      <c r="I5" s="4" t="s">
        <v>77</v>
      </c>
      <c r="J5" s="4" t="s">
        <v>89</v>
      </c>
      <c r="K5" s="4" t="s">
        <v>90</v>
      </c>
      <c r="L5" s="4" t="s">
        <v>24</v>
      </c>
      <c r="M5" s="4" t="s">
        <v>91</v>
      </c>
      <c r="N5" s="4" t="s">
        <v>92</v>
      </c>
      <c r="O5" s="4" t="s">
        <v>93</v>
      </c>
      <c r="P5" s="4" t="s">
        <v>94</v>
      </c>
      <c r="Q5" s="4" t="s">
        <v>95</v>
      </c>
      <c r="R5" s="4" t="s">
        <v>96</v>
      </c>
      <c r="S5" s="4" t="s">
        <v>97</v>
      </c>
      <c r="T5" s="4" t="s">
        <v>98</v>
      </c>
      <c r="U5" s="4" t="s">
        <v>99</v>
      </c>
      <c r="V5" s="4" t="s">
        <v>100</v>
      </c>
      <c r="W5" s="4" t="s">
        <v>101</v>
      </c>
      <c r="X5" s="4" t="s">
        <v>102</v>
      </c>
      <c r="Y5" s="4" t="s">
        <v>103</v>
      </c>
      <c r="Z5" s="4" t="s">
        <v>104</v>
      </c>
      <c r="AA5" s="4" t="s">
        <v>105</v>
      </c>
      <c r="AB5" s="4" t="s">
        <v>38</v>
      </c>
      <c r="AC5" s="4" t="s">
        <v>106</v>
      </c>
      <c r="AD5" s="4" t="s">
        <v>107</v>
      </c>
      <c r="AE5" s="4" t="s">
        <v>42</v>
      </c>
      <c r="AF5" s="4" t="s">
        <v>108</v>
      </c>
      <c r="AG5" s="4" t="s">
        <v>109</v>
      </c>
      <c r="AH5" s="4" t="s">
        <v>110</v>
      </c>
      <c r="AI5" s="4" t="s">
        <v>111</v>
      </c>
      <c r="AJ5" s="4" t="s">
        <v>112</v>
      </c>
      <c r="AK5" s="4" t="s">
        <v>76</v>
      </c>
      <c r="AL5" s="4" t="s">
        <v>113</v>
      </c>
      <c r="AM5" s="4" t="s">
        <v>114</v>
      </c>
      <c r="AN5" s="4" t="s">
        <v>117</v>
      </c>
      <c r="AO5" s="4" t="s">
        <v>115</v>
      </c>
      <c r="AP5" s="4" t="s">
        <v>116</v>
      </c>
      <c r="AQ5" s="4" t="s">
        <v>120</v>
      </c>
      <c r="AR5" s="4" t="s">
        <v>145</v>
      </c>
      <c r="AS5" s="4" t="s">
        <v>119</v>
      </c>
      <c r="AT5" s="4" t="s">
        <v>146</v>
      </c>
      <c r="AU5" s="4" t="s">
        <v>147</v>
      </c>
      <c r="AV5" s="4" t="s">
        <v>118</v>
      </c>
      <c r="AW5" s="4" t="s">
        <v>148</v>
      </c>
      <c r="AX5" s="4" t="s">
        <v>149</v>
      </c>
      <c r="AY5" s="4" t="s">
        <v>150</v>
      </c>
      <c r="AZ5" s="4" t="s">
        <v>151</v>
      </c>
      <c r="BA5" s="4" t="s">
        <v>152</v>
      </c>
      <c r="BB5" s="4" t="s">
        <v>153</v>
      </c>
      <c r="BC5" s="4" t="s">
        <v>154</v>
      </c>
      <c r="BD5" s="4" t="s">
        <v>155</v>
      </c>
      <c r="BE5" s="4" t="s">
        <v>156</v>
      </c>
      <c r="BF5" s="4" t="s">
        <v>157</v>
      </c>
      <c r="BG5" s="4" t="s">
        <v>158</v>
      </c>
      <c r="BH5" s="4" t="s">
        <v>159</v>
      </c>
      <c r="BI5" s="4" t="s">
        <v>160</v>
      </c>
      <c r="BJ5" s="4" t="s">
        <v>161</v>
      </c>
      <c r="BK5" s="4" t="s">
        <v>162</v>
      </c>
      <c r="BL5" s="4" t="s">
        <v>163</v>
      </c>
    </row>
    <row r="6">
      <c r="A6" s="4"/>
      <c r="B6" s="7" t="s">
        <v>164</v>
      </c>
      <c r="C6" s="21" t="s">
        <v>22</v>
      </c>
      <c r="D6" s="24">
        <v>1000.0</v>
      </c>
      <c r="E6" s="7"/>
      <c r="F6" s="4" t="s">
        <v>21</v>
      </c>
      <c r="G6" s="4"/>
      <c r="H6" s="4"/>
      <c r="I6" s="7"/>
      <c r="J6" s="7">
        <v>10.0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29" t="s">
        <v>165</v>
      </c>
      <c r="D3" s="5" t="s">
        <v>9</v>
      </c>
      <c r="E3" s="29" t="s">
        <v>166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IFERROR(__xludf.DUMMYFUNCTION("IF(C3="""","""",Transpose(IMPORTRANGE('_Settings'!$B$3,C3&amp;""!A4:A1000"")))"),"GetDataFromAuditTrail")</f>
        <v>GetDataFromAuditTrail</v>
      </c>
      <c r="C4" s="16" t="str">
        <f>IFERROR(__xludf.DUMMYFUNCTION("""COMPUTED_VALUE"""),"VerifyAuditTrail")</f>
        <v>VerifyAuditTrail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IFERROR(__xludf.DUMMYFUNCTION("""COMPUTED_VALUE"""),"FromDate")</f>
        <v>FromDate</v>
      </c>
      <c r="C5" s="18" t="str">
        <f>IFERROR(__xludf.DUMMYFUNCTION("""COMPUTED_VALUE"""),"ToDate")</f>
        <v>ToDate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30">
        <f>TODAY()</f>
        <v>45818</v>
      </c>
      <c r="C6" s="30">
        <f>TODAY()+2</f>
        <v>45820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29" t="s">
        <v>165</v>
      </c>
      <c r="D3" s="5" t="s">
        <v>9</v>
      </c>
      <c r="E3" s="29" t="s">
        <v>167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IFERROR(__xludf.DUMMYFUNCTION("IF(C3="""","""",Transpose(IMPORTRANGE('_Settings'!$B$3,C3&amp;""!A4:A1000"")))"),"GetDataFromAuditTrail")</f>
        <v>GetDataFromAuditTrail</v>
      </c>
      <c r="C4" s="16" t="str">
        <f>IFERROR(__xludf.DUMMYFUNCTION("""COMPUTED_VALUE"""),"VerifyAuditTrail")</f>
        <v>VerifyAuditTrail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IFERROR(__xludf.DUMMYFUNCTION("""COMPUTED_VALUE"""),"Action Time (UTC)")</f>
        <v>Action Time (UTC)</v>
      </c>
      <c r="C5" s="18" t="str">
        <f>IFERROR(__xludf.DUMMYFUNCTION("""COMPUTED_VALUE"""),"Symbol")</f>
        <v>Symbol</v>
      </c>
      <c r="D5" s="18" t="str">
        <f>IFERROR(__xludf.DUMMYFUNCTION("""COMPUTED_VALUE"""),"Order Side")</f>
        <v>Order Side</v>
      </c>
      <c r="E5" s="18" t="str">
        <f>IFERROR(__xludf.DUMMYFUNCTION("""COMPUTED_VALUE"""),"Account Name")</f>
        <v>Account Name</v>
      </c>
      <c r="F5" s="18" t="str">
        <f>IFERROR(__xludf.DUMMYFUNCTION("""COMPUTED_VALUE"""),"Action")</f>
        <v>Action</v>
      </c>
      <c r="G5" s="18" t="str">
        <f>IFERROR(__xludf.DUMMYFUNCTION("""COMPUTED_VALUE"""),"Original Value")</f>
        <v>Original Value</v>
      </c>
      <c r="H5" s="18" t="str">
        <f>IFERROR(__xludf.DUMMYFUNCTION("""COMPUTED_VALUE"""),"New Value")</f>
        <v>New Value</v>
      </c>
      <c r="I5" s="18" t="str">
        <f>IFERROR(__xludf.DUMMYFUNCTION("""COMPUTED_VALUE"""),"Comment")</f>
        <v>Comment</v>
      </c>
      <c r="J5" s="18" t="str">
        <f>IFERROR(__xludf.DUMMYFUNCTION("""COMPUTED_VALUE"""),"Company User")</f>
        <v>Company User</v>
      </c>
      <c r="K5" s="18" t="str">
        <f>IFERROR(__xludf.DUMMYFUNCTION("""COMPUTED_VALUE"""),"TaxlotId")</f>
        <v>TaxlotId</v>
      </c>
      <c r="L5" s="18" t="str">
        <f>IFERROR(__xludf.DUMMYFUNCTION("""COMPUTED_VALUE"""),"GroupId")</f>
        <v>GroupId</v>
      </c>
      <c r="M5" s="18" t="str">
        <f>IFERROR(__xludf.DUMMYFUNCTION("""COMPUTED_VALUE"""),"Action Time")</f>
        <v>Action Time</v>
      </c>
      <c r="N5" s="18" t="str">
        <f>IFERROR(__xludf.DUMMYFUNCTION("""COMPUTED_VALUE"""),"ParentOrderId")</f>
        <v>ParentOrderId</v>
      </c>
      <c r="O5" s="18" t="str">
        <f>IFERROR(__xludf.DUMMYFUNCTION("""COMPUTED_VALUE"""),"OrderId")</f>
        <v>OrderId</v>
      </c>
      <c r="P5" s="18" t="str">
        <f>IFERROR(__xludf.DUMMYFUNCTION("""COMPUTED_VALUE"""),"Source")</f>
        <v>Source</v>
      </c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C6" s="7" t="s">
        <v>164</v>
      </c>
      <c r="D6" s="31" t="s">
        <v>22</v>
      </c>
      <c r="E6" s="32" t="s">
        <v>21</v>
      </c>
      <c r="F6" s="33" t="s">
        <v>168</v>
      </c>
      <c r="G6" s="7"/>
      <c r="H6" s="7"/>
      <c r="I6" s="34" t="s">
        <v>169</v>
      </c>
      <c r="J6" s="32" t="s">
        <v>130</v>
      </c>
      <c r="K6" s="35"/>
      <c r="L6" s="35"/>
      <c r="M6" s="35"/>
      <c r="N6" s="35"/>
      <c r="O6" s="35"/>
      <c r="P6" s="32" t="s">
        <v>30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4"/>
      <c r="B6" s="7" t="s">
        <v>170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2025-06-09T07:30:00Z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6EBF61451C9B4259AA4C4D1B0B4A2E00_12</vt:lpwstr>
  </property>
  <property fmtid="{D5CDD505-2E9C-101B-9397-08002B2CF9AE}" pid="3" name="KSOProductBuildVer">
    <vt:lpwstr>1033-12.2.0.21179</vt:lpwstr>
  </property>
</Properties>
</file>