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  <sheet state="visible" name="GetDataClosing" sheetId="12" r:id="rId14"/>
    <sheet state="visible" name="SelectTradeUnexpiredUnsettled" sheetId="13" r:id="rId15"/>
    <sheet state="visible" name="EditTradeUnexpiredUnsettled" sheetId="14" r:id="rId16"/>
    <sheet state="visible" name="ExerciseAssignment" sheetId="15" r:id="rId17"/>
  </sheets>
  <definedNames/>
  <calcPr/>
</workbook>
</file>

<file path=xl/sharedStrings.xml><?xml version="1.0" encoding="utf-8"?>
<sst xmlns="http://schemas.openxmlformats.org/spreadsheetml/2006/main" count="177" uniqueCount="54">
  <si>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</si>
  <si>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</si>
  <si>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</si>
  <si>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</si>
  <si>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</si>
  <si>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</si>
  <si>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</si>
  <si>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</si>
  <si>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</si>
  <si>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</si>
  <si>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</si>
  <si>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</si>
  <si>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</si>
  <si>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</si>
  <si>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</si>
  <si>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</si>
  <si>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13N715.00</t>
  </si>
  <si>
    <t>Closing</t>
  </si>
  <si>
    <t>SetClosingPreference</t>
  </si>
  <si>
    <t>TradingTicket</t>
  </si>
  <si>
    <t>CreateDoneAwayOrder</t>
  </si>
  <si>
    <t>AAPL</t>
  </si>
  <si>
    <t>Buy</t>
  </si>
  <si>
    <t>Allocation1</t>
  </si>
  <si>
    <t>MS</t>
  </si>
  <si>
    <t>O:AAPL 13N715.00</t>
  </si>
  <si>
    <t>Buy to Open</t>
  </si>
  <si>
    <t>DailyValuation</t>
  </si>
  <si>
    <t>GetMarkPriceData</t>
  </si>
  <si>
    <t>UpdateMarkPrice</t>
  </si>
  <si>
    <t>Allocation</t>
  </si>
  <si>
    <t>GetDataAllocation</t>
  </si>
  <si>
    <t>Historical</t>
  </si>
  <si>
    <t>01/01/1800</t>
  </si>
  <si>
    <t>CheckAllocatedGroups</t>
  </si>
  <si>
    <t>USD</t>
  </si>
  <si>
    <t>OPTS</t>
  </si>
  <si>
    <t>Sell to Close</t>
  </si>
  <si>
    <t>NASDAQ</t>
  </si>
  <si>
    <t>Sell short</t>
  </si>
  <si>
    <t>Sell</t>
  </si>
  <si>
    <t>PortfolioManagement</t>
  </si>
  <si>
    <t>CheckPortfolioManagement</t>
  </si>
  <si>
    <t>Short</t>
  </si>
  <si>
    <t>Strategy Unallocated</t>
  </si>
  <si>
    <t>Equity</t>
  </si>
  <si>
    <t>US</t>
  </si>
  <si>
    <t>Long</t>
  </si>
  <si>
    <t>EquityOption</t>
  </si>
  <si>
    <t>GetDataClosing</t>
  </si>
  <si>
    <t>SelectTradeUnexpiredUnsettled</t>
  </si>
  <si>
    <t>Open</t>
  </si>
  <si>
    <t>EditTradeUnexpiredUnsettled</t>
  </si>
  <si>
    <t>ExerciseAssignment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</si>
</sst>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7" fillId="0" fontId="3" numFmtId="0" xfId="0" applyAlignment="1" applyBorder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44682.0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22</v>
      </c>
      <c r="D6" s="38">
        <v>100.0</v>
      </c>
      <c r="E6" s="39">
        <v>100.0</v>
      </c>
      <c r="F6" s="33" t="s">
        <v>23</v>
      </c>
      <c r="G6" s="33" t="s">
        <v>24</v>
      </c>
      <c r="H6" s="33"/>
      <c r="I6" s="33"/>
      <c r="J6" s="39">
        <v>10.0</v>
      </c>
      <c r="K6" s="33"/>
      <c r="L6" s="33"/>
      <c r="M6" s="33"/>
      <c r="N6" s="32">
        <v>44682.0</v>
      </c>
      <c r="O6" s="39">
        <v>1.0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25</v>
      </c>
      <c r="C7" s="40" t="s">
        <v>26</v>
      </c>
      <c r="D7" s="39">
        <v>10.0</v>
      </c>
      <c r="E7" s="33"/>
      <c r="F7" s="33" t="s">
        <v>23</v>
      </c>
      <c r="G7" s="33"/>
      <c r="H7" s="33"/>
      <c r="I7" s="33"/>
      <c r="J7" s="39">
        <v>10.0</v>
      </c>
      <c r="K7" s="33"/>
      <c r="L7" s="33"/>
      <c r="M7" s="33"/>
      <c r="N7" s="32">
        <v>44682.0</v>
      </c>
      <c r="O7" s="39">
        <v>1.0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v>44984.0</v>
      </c>
      <c r="C6" s="32">
        <v>44985.0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9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5" t="s">
        <v>32</v>
      </c>
      <c r="C6" s="42" t="s">
        <v>33</v>
      </c>
      <c r="D6" s="43">
        <f>today()</f>
        <v>45009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23</v>
      </c>
      <c r="C6" s="33"/>
      <c r="D6" s="31"/>
      <c r="E6" s="45">
        <v>5.0</v>
      </c>
      <c r="F6" s="33"/>
      <c r="G6" s="46"/>
      <c r="H6" s="45">
        <v>0.0</v>
      </c>
      <c r="I6" s="45">
        <v>0.0</v>
      </c>
      <c r="J6" s="33"/>
      <c r="K6" s="45">
        <v>0.0</v>
      </c>
      <c r="L6" s="45">
        <v>0.0</v>
      </c>
      <c r="M6" s="33"/>
      <c r="N6" s="33"/>
      <c r="O6" s="44" t="s">
        <v>24</v>
      </c>
      <c r="P6" s="33"/>
      <c r="Q6" s="33"/>
      <c r="R6" s="33"/>
      <c r="S6" s="46"/>
      <c r="T6" s="33"/>
      <c r="U6" s="33"/>
      <c r="V6" s="33"/>
      <c r="W6" s="33"/>
      <c r="X6" s="33"/>
      <c r="Y6" s="33"/>
      <c r="Z6" s="44" t="s">
        <v>35</v>
      </c>
      <c r="AA6" s="33"/>
      <c r="AB6" s="33"/>
      <c r="AC6" s="33"/>
      <c r="AD6" s="44" t="s">
        <v>36</v>
      </c>
      <c r="AE6" s="45">
        <v>5.0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47">
        <v>5000.0</v>
      </c>
      <c r="AU6" s="47">
        <v>5000.0</v>
      </c>
      <c r="AV6" s="33"/>
      <c r="AW6" s="33"/>
      <c r="AX6" s="33"/>
      <c r="AY6" s="46"/>
      <c r="AZ6" s="33"/>
      <c r="BA6" s="33"/>
      <c r="BB6" s="33"/>
      <c r="BC6" s="33"/>
      <c r="BD6" s="33"/>
      <c r="BE6" s="45">
        <v>0.0</v>
      </c>
      <c r="BF6" s="45">
        <v>0.0</v>
      </c>
      <c r="BG6" s="33"/>
      <c r="BH6" s="33"/>
      <c r="BI6" s="33"/>
      <c r="BJ6" s="45">
        <v>5.0</v>
      </c>
      <c r="BK6" s="33"/>
      <c r="BL6" s="33"/>
      <c r="BM6" s="33"/>
      <c r="BN6" s="33"/>
      <c r="BO6" s="44" t="s">
        <v>37</v>
      </c>
      <c r="BP6" s="33"/>
      <c r="BQ6" s="33"/>
      <c r="BR6" s="33"/>
      <c r="BS6" s="46"/>
      <c r="BT6" s="44" t="s">
        <v>25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46"/>
      <c r="CJ6" s="33"/>
      <c r="CK6" s="33"/>
      <c r="CL6" s="33"/>
      <c r="CM6" s="33"/>
      <c r="CN6" s="33"/>
      <c r="CO6" s="46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4" t="s">
        <v>23</v>
      </c>
      <c r="C7" s="33"/>
      <c r="D7" s="33"/>
      <c r="E7" s="45">
        <v>100.0</v>
      </c>
      <c r="F7" s="33"/>
      <c r="G7" s="46"/>
      <c r="H7" s="45">
        <v>4.0</v>
      </c>
      <c r="I7" s="45">
        <v>5.0</v>
      </c>
      <c r="J7" s="33"/>
      <c r="K7" s="45">
        <v>10.0</v>
      </c>
      <c r="L7" s="45">
        <v>10.0</v>
      </c>
      <c r="M7" s="33"/>
      <c r="N7" s="33"/>
      <c r="O7" s="44" t="s">
        <v>24</v>
      </c>
      <c r="P7" s="33"/>
      <c r="Q7" s="33"/>
      <c r="R7" s="33"/>
      <c r="S7" s="46"/>
      <c r="T7" s="33"/>
      <c r="U7" s="33"/>
      <c r="V7" s="33"/>
      <c r="W7" s="33"/>
      <c r="X7" s="33"/>
      <c r="Y7" s="33"/>
      <c r="Z7" s="44" t="s">
        <v>35</v>
      </c>
      <c r="AA7" s="33"/>
      <c r="AB7" s="33"/>
      <c r="AC7" s="33"/>
      <c r="AD7" s="44" t="s">
        <v>38</v>
      </c>
      <c r="AE7" s="45">
        <v>100.0</v>
      </c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47">
        <v>1014.0006</v>
      </c>
      <c r="AU7" s="47">
        <v>1014.0006</v>
      </c>
      <c r="AV7" s="33"/>
      <c r="AW7" s="33"/>
      <c r="AX7" s="33"/>
      <c r="AY7" s="46"/>
      <c r="AZ7" s="33"/>
      <c r="BA7" s="33"/>
      <c r="BB7" s="33"/>
      <c r="BC7" s="33"/>
      <c r="BD7" s="33"/>
      <c r="BE7" s="47">
        <v>1000.0</v>
      </c>
      <c r="BF7" s="47">
        <v>1000.0</v>
      </c>
      <c r="BG7" s="33"/>
      <c r="BH7" s="33"/>
      <c r="BI7" s="33"/>
      <c r="BJ7" s="45">
        <v>100.0</v>
      </c>
      <c r="BK7" s="33"/>
      <c r="BL7" s="33"/>
      <c r="BM7" s="33"/>
      <c r="BN7" s="33"/>
      <c r="BO7" s="44" t="s">
        <v>22</v>
      </c>
      <c r="BP7" s="33"/>
      <c r="BQ7" s="33"/>
      <c r="BR7" s="33"/>
      <c r="BS7" s="46"/>
      <c r="BT7" s="44" t="s">
        <v>21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46"/>
      <c r="CJ7" s="33"/>
      <c r="CK7" s="33"/>
      <c r="CL7" s="33"/>
      <c r="CM7" s="33"/>
      <c r="CN7" s="33"/>
      <c r="CO7" s="46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4" t="s">
        <v>23</v>
      </c>
      <c r="C8" s="33"/>
      <c r="D8" s="33"/>
      <c r="E8" s="45">
        <v>10.0</v>
      </c>
      <c r="F8" s="33"/>
      <c r="G8" s="46"/>
      <c r="H8" s="45">
        <v>0.0</v>
      </c>
      <c r="I8" s="45">
        <v>0.0</v>
      </c>
      <c r="J8" s="33"/>
      <c r="K8" s="45">
        <v>10.0</v>
      </c>
      <c r="L8" s="45">
        <v>10.0</v>
      </c>
      <c r="M8" s="33"/>
      <c r="N8" s="33"/>
      <c r="O8" s="44" t="s">
        <v>24</v>
      </c>
      <c r="P8" s="33"/>
      <c r="Q8" s="33"/>
      <c r="R8" s="33"/>
      <c r="S8" s="46"/>
      <c r="T8" s="33"/>
      <c r="U8" s="33"/>
      <c r="V8" s="33"/>
      <c r="W8" s="33"/>
      <c r="X8" s="33"/>
      <c r="Y8" s="33"/>
      <c r="Z8" s="44" t="s">
        <v>35</v>
      </c>
      <c r="AA8" s="33"/>
      <c r="AB8" s="33"/>
      <c r="AC8" s="33"/>
      <c r="AD8" s="44" t="s">
        <v>36</v>
      </c>
      <c r="AE8" s="45">
        <v>10.0</v>
      </c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47">
        <v>10000.0</v>
      </c>
      <c r="AU8" s="47">
        <v>10000.0</v>
      </c>
      <c r="AV8" s="33"/>
      <c r="AW8" s="33"/>
      <c r="AX8" s="33"/>
      <c r="AY8" s="46"/>
      <c r="AZ8" s="33"/>
      <c r="BA8" s="33"/>
      <c r="BB8" s="33"/>
      <c r="BC8" s="33"/>
      <c r="BD8" s="33"/>
      <c r="BE8" s="47">
        <v>10000.0</v>
      </c>
      <c r="BF8" s="47">
        <v>10000.0</v>
      </c>
      <c r="BG8" s="33"/>
      <c r="BH8" s="33"/>
      <c r="BI8" s="33"/>
      <c r="BJ8" s="45">
        <v>10.0</v>
      </c>
      <c r="BK8" s="33"/>
      <c r="BL8" s="33"/>
      <c r="BM8" s="33"/>
      <c r="BN8" s="33"/>
      <c r="BO8" s="44" t="s">
        <v>26</v>
      </c>
      <c r="BP8" s="33"/>
      <c r="BQ8" s="33"/>
      <c r="BR8" s="33"/>
      <c r="BS8" s="46"/>
      <c r="BT8" s="44" t="s">
        <v>25</v>
      </c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46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44" t="s">
        <v>23</v>
      </c>
      <c r="C9" s="33"/>
      <c r="D9" s="33"/>
      <c r="E9" s="45">
        <v>400.0</v>
      </c>
      <c r="F9" s="33"/>
      <c r="G9" s="46"/>
      <c r="H9" s="45">
        <v>0.0</v>
      </c>
      <c r="I9" s="45">
        <v>0.0</v>
      </c>
      <c r="J9" s="33"/>
      <c r="K9" s="45">
        <v>715.0</v>
      </c>
      <c r="L9" s="45">
        <v>715.0</v>
      </c>
      <c r="M9" s="33"/>
      <c r="N9" s="33"/>
      <c r="O9" s="44" t="s">
        <v>24</v>
      </c>
      <c r="P9" s="33"/>
      <c r="Q9" s="33"/>
      <c r="R9" s="33"/>
      <c r="S9" s="46"/>
      <c r="T9" s="33"/>
      <c r="U9" s="33"/>
      <c r="V9" s="33"/>
      <c r="W9" s="33"/>
      <c r="X9" s="33"/>
      <c r="Y9" s="33"/>
      <c r="Z9" s="44" t="s">
        <v>35</v>
      </c>
      <c r="AA9" s="33"/>
      <c r="AB9" s="33"/>
      <c r="AC9" s="33"/>
      <c r="AD9" s="44" t="s">
        <v>38</v>
      </c>
      <c r="AE9" s="45">
        <v>400.0</v>
      </c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47">
        <v>282000.0</v>
      </c>
      <c r="AU9" s="47">
        <v>282000.0</v>
      </c>
      <c r="AV9" s="33"/>
      <c r="AW9" s="33"/>
      <c r="AX9" s="33"/>
      <c r="AY9" s="33"/>
      <c r="AZ9" s="33"/>
      <c r="BA9" s="33"/>
      <c r="BB9" s="33"/>
      <c r="BC9" s="33"/>
      <c r="BD9" s="33"/>
      <c r="BE9" s="47">
        <v>286000.0</v>
      </c>
      <c r="BF9" s="47">
        <v>286000.0</v>
      </c>
      <c r="BG9" s="33"/>
      <c r="BH9" s="33"/>
      <c r="BI9" s="33"/>
      <c r="BJ9" s="45">
        <v>400.0</v>
      </c>
      <c r="BK9" s="33"/>
      <c r="BL9" s="33"/>
      <c r="BM9" s="33"/>
      <c r="BN9" s="33"/>
      <c r="BO9" s="44" t="s">
        <v>39</v>
      </c>
      <c r="BP9" s="33"/>
      <c r="BQ9" s="33"/>
      <c r="BR9" s="33"/>
      <c r="BS9" s="46"/>
      <c r="BT9" s="44" t="s">
        <v>21</v>
      </c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46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44" t="s">
        <v>23</v>
      </c>
      <c r="C10" s="33"/>
      <c r="D10" s="33"/>
      <c r="E10" s="45">
        <v>100.0</v>
      </c>
      <c r="F10" s="33"/>
      <c r="G10" s="46"/>
      <c r="H10" s="45">
        <v>0.0</v>
      </c>
      <c r="I10" s="45">
        <v>0.0</v>
      </c>
      <c r="J10" s="33"/>
      <c r="K10" s="45">
        <v>100.0</v>
      </c>
      <c r="L10" s="45">
        <v>100.0</v>
      </c>
      <c r="M10" s="33"/>
      <c r="N10" s="33"/>
      <c r="O10" s="44" t="s">
        <v>24</v>
      </c>
      <c r="P10" s="33"/>
      <c r="Q10" s="33"/>
      <c r="R10" s="33"/>
      <c r="S10" s="46"/>
      <c r="T10" s="33"/>
      <c r="U10" s="33"/>
      <c r="V10" s="33"/>
      <c r="W10" s="33"/>
      <c r="X10" s="33"/>
      <c r="Y10" s="33"/>
      <c r="Z10" s="44" t="s">
        <v>35</v>
      </c>
      <c r="AA10" s="33"/>
      <c r="AB10" s="33"/>
      <c r="AC10" s="33"/>
      <c r="AD10" s="44" t="s">
        <v>38</v>
      </c>
      <c r="AE10" s="45">
        <v>100.0</v>
      </c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47">
        <v>9000.0</v>
      </c>
      <c r="AU10" s="47">
        <v>9000.0</v>
      </c>
      <c r="AV10" s="33"/>
      <c r="AW10" s="33"/>
      <c r="AX10" s="33"/>
      <c r="AY10" s="33"/>
      <c r="AZ10" s="33"/>
      <c r="BA10" s="33"/>
      <c r="BB10" s="33"/>
      <c r="BC10" s="33"/>
      <c r="BD10" s="33"/>
      <c r="BE10" s="47">
        <v>10000.0</v>
      </c>
      <c r="BF10" s="47">
        <v>10000.0</v>
      </c>
      <c r="BG10" s="33"/>
      <c r="BH10" s="33"/>
      <c r="BI10" s="33"/>
      <c r="BJ10" s="45">
        <v>100.0</v>
      </c>
      <c r="BK10" s="33"/>
      <c r="BL10" s="33"/>
      <c r="BM10" s="33"/>
      <c r="BN10" s="33"/>
      <c r="BO10" s="44" t="s">
        <v>40</v>
      </c>
      <c r="BP10" s="33"/>
      <c r="BQ10" s="33"/>
      <c r="BR10" s="33"/>
      <c r="BS10" s="46"/>
      <c r="BT10" s="44" t="s">
        <v>21</v>
      </c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46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J11" s="4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4" t="s">
        <v>21</v>
      </c>
      <c r="D6" s="45">
        <v>100.0</v>
      </c>
      <c r="E6" s="44" t="s">
        <v>23</v>
      </c>
      <c r="F6" s="33"/>
      <c r="G6" s="49"/>
      <c r="H6" s="44" t="s">
        <v>43</v>
      </c>
      <c r="I6" s="33"/>
      <c r="J6" s="33"/>
      <c r="K6" s="33"/>
      <c r="L6" s="33"/>
      <c r="M6" s="33"/>
      <c r="N6" s="33"/>
      <c r="O6" s="46"/>
      <c r="P6" s="33"/>
      <c r="Q6" s="33"/>
      <c r="R6" s="46"/>
      <c r="S6" s="44" t="s">
        <v>44</v>
      </c>
      <c r="T6" s="44" t="s">
        <v>45</v>
      </c>
      <c r="U6" s="44" t="s">
        <v>46</v>
      </c>
      <c r="V6" s="44" t="s">
        <v>38</v>
      </c>
      <c r="W6" s="44" t="s">
        <v>35</v>
      </c>
      <c r="Y6" s="45">
        <v>1.0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44" t="s">
        <v>22</v>
      </c>
      <c r="AO6" s="33"/>
      <c r="AP6" s="46"/>
      <c r="AQ6" s="46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46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33"/>
      <c r="C7" s="44" t="s">
        <v>25</v>
      </c>
      <c r="D7" s="45">
        <v>5.0</v>
      </c>
      <c r="E7" s="44" t="s">
        <v>23</v>
      </c>
      <c r="F7" s="33"/>
      <c r="G7" s="49"/>
      <c r="H7" s="44" t="s">
        <v>47</v>
      </c>
      <c r="I7" s="33"/>
      <c r="J7" s="33"/>
      <c r="K7" s="33"/>
      <c r="L7" s="33"/>
      <c r="M7" s="33"/>
      <c r="N7" s="33"/>
      <c r="O7" s="48"/>
      <c r="P7" s="33"/>
      <c r="Q7" s="33"/>
      <c r="R7" s="46"/>
      <c r="S7" s="44" t="s">
        <v>44</v>
      </c>
      <c r="T7" s="44" t="s">
        <v>48</v>
      </c>
      <c r="U7" s="44" t="s">
        <v>46</v>
      </c>
      <c r="V7" s="44" t="s">
        <v>36</v>
      </c>
      <c r="W7" s="44" t="s">
        <v>35</v>
      </c>
      <c r="Y7" s="45">
        <v>1.0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44" t="s">
        <v>26</v>
      </c>
      <c r="AO7" s="33"/>
      <c r="AP7" s="46"/>
      <c r="AQ7" s="46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46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33"/>
      <c r="B8" s="33"/>
      <c r="C8" s="44" t="s">
        <v>21</v>
      </c>
      <c r="D8" s="45">
        <v>-100.0</v>
      </c>
      <c r="E8" s="44" t="s">
        <v>23</v>
      </c>
      <c r="F8" s="33"/>
      <c r="G8" s="49"/>
      <c r="H8" s="44" t="s">
        <v>43</v>
      </c>
      <c r="I8" s="33"/>
      <c r="J8" s="33"/>
      <c r="K8" s="33"/>
      <c r="L8" s="33"/>
      <c r="M8" s="33"/>
      <c r="N8" s="33"/>
      <c r="O8" s="46"/>
      <c r="P8" s="33"/>
      <c r="Q8" s="33"/>
      <c r="R8" s="46"/>
      <c r="S8" s="44" t="s">
        <v>44</v>
      </c>
      <c r="T8" s="44" t="s">
        <v>45</v>
      </c>
      <c r="U8" s="44" t="s">
        <v>46</v>
      </c>
      <c r="V8" s="44" t="s">
        <v>38</v>
      </c>
      <c r="W8" s="44" t="s">
        <v>35</v>
      </c>
      <c r="Y8" s="45">
        <v>1.0</v>
      </c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44" t="s">
        <v>40</v>
      </c>
      <c r="AO8" s="33"/>
      <c r="AP8" s="46"/>
      <c r="AQ8" s="46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46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</row>
    <row r="9" ht="15.75" customHeight="1">
      <c r="A9" s="33"/>
      <c r="B9" s="33"/>
      <c r="C9" s="44" t="s">
        <v>21</v>
      </c>
      <c r="D9" s="45">
        <v>-400.0</v>
      </c>
      <c r="E9" s="44" t="s">
        <v>23</v>
      </c>
      <c r="F9" s="33"/>
      <c r="G9" s="49"/>
      <c r="H9" s="44" t="s">
        <v>43</v>
      </c>
      <c r="I9" s="33"/>
      <c r="J9" s="33"/>
      <c r="K9" s="33"/>
      <c r="L9" s="33"/>
      <c r="M9" s="33"/>
      <c r="N9" s="33"/>
      <c r="O9" s="46"/>
      <c r="P9" s="33"/>
      <c r="Q9" s="33"/>
      <c r="R9" s="46"/>
      <c r="S9" s="44" t="s">
        <v>44</v>
      </c>
      <c r="T9" s="44" t="s">
        <v>45</v>
      </c>
      <c r="U9" s="44" t="s">
        <v>46</v>
      </c>
      <c r="V9" s="44" t="s">
        <v>38</v>
      </c>
      <c r="W9" s="44" t="s">
        <v>35</v>
      </c>
      <c r="Y9" s="45">
        <v>1.0</v>
      </c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44" t="s">
        <v>39</v>
      </c>
      <c r="AO9" s="33"/>
      <c r="AP9" s="46"/>
      <c r="AQ9" s="46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46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32</v>
      </c>
      <c r="C6" s="32">
        <f>today()-1</f>
        <v>45008</v>
      </c>
      <c r="D6" s="32">
        <f>today()</f>
        <v>45009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 t="s">
        <v>51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40" t="s">
        <v>26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50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51" t="s">
        <v>25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IFERROR(__xludf.DUMMYFUNCTION("""COMPUTED_VALUE"""),"Original Side")</f>
        <v>Original Side</v>
      </c>
      <c r="D5" s="28" t="str">
        <f>IFERROR(__xludf.DUMMYFUNCTION("""COMPUTED_VALUE"""),"Symbol")</f>
        <v>Symbol</v>
      </c>
      <c r="E5" s="28" t="str">
        <f>IFERROR(__xludf.DUMMYFUNCTION("""COMPUTED_VALUE"""),"Settlement Qty")</f>
        <v>Settlement Qty</v>
      </c>
      <c r="F5" s="29" t="str">
        <f>IFERROR(__xludf.DUMMYFUNCTION("""COMPUTED_VALUE"""),"Quantity")</f>
        <v>Quantity</v>
      </c>
      <c r="G5" s="28" t="str">
        <f>IFERROR(__xludf.DUMMYFUNCTION("""COMPUTED_VALUE"""),"TotalCommission&amp;Fees")</f>
        <v>TotalCommission&amp;Fees</v>
      </c>
      <c r="H5" s="28" t="str">
        <f>IFERROR(__xludf.DUMMYFUNCTION("""COMPUTED_VALUE"""),"Net Notional")</f>
        <v>Net Notional</v>
      </c>
      <c r="I5" s="28" t="str">
        <f>IFERROR(__xludf.DUMMYFUNCTION("""COMPUTED_VALUE"""),"Average Price")</f>
        <v>Average Price</v>
      </c>
      <c r="J5" s="28" t="str">
        <f>IFERROR(__xludf.DUMMYFUNCTION("""COMPUTED_VALUE"""),"UnderlyingName")</f>
        <v>UnderlyingName</v>
      </c>
      <c r="K5" s="28" t="str">
        <f>IFERROR(__xludf.DUMMYFUNCTION("""COMPUTED_VALUE"""),"UnitCost")</f>
        <v>UnitCost</v>
      </c>
      <c r="L5" s="28" t="str">
        <f>IFERROR(__xludf.DUMMYFUNCTION("""COMPUTED_VALUE"""),"PositionTag")</f>
        <v>PositionTag</v>
      </c>
      <c r="M5" s="28" t="str">
        <f>IFERROR(__xludf.DUMMYFUNCTION("""COMPUTED_VALUE"""),"Strategy")</f>
        <v>Strategy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9">
        <v>5.0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50">
        <v>100.0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