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ebalanceAcrossSecurities" sheetId="11" r:id="rId13"/>
    <sheet state="visible" name="RunRebalance" sheetId="12" r:id="rId14"/>
    <sheet state="visible" name="VerifyGridData" sheetId="13" r:id="rId15"/>
    <sheet state="visible" name="SendtoStaging" sheetId="14" r:id="rId16"/>
  </sheets>
  <definedNames/>
  <calcPr/>
</workbook>
</file>

<file path=xl/sharedStrings.xml><?xml version="1.0" encoding="utf-8"?>
<sst xmlns="http://schemas.openxmlformats.org/spreadsheetml/2006/main" count="139" uniqueCount="46">
  <si>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</si>
  <si>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</si>
  <si>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</si>
  <si>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</si>
  <si>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</si>
  <si>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</si>
  <si>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</si>
  <si>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</si>
  <si>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</si>
  <si>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</si>
  <si>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</si>
  <si>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</si>
  <si>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</si>
  <si>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</si>
  <si>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</si>
  <si>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</si>
  <si>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Support2</t>
  </si>
  <si>
    <t>Nirvana@1</t>
  </si>
  <si>
    <t>TradingTicket</t>
  </si>
  <si>
    <t>CreateDoneAwayOrder</t>
  </si>
  <si>
    <t>AAPL</t>
  </si>
  <si>
    <t>Buy</t>
  </si>
  <si>
    <t>Allocation1</t>
  </si>
  <si>
    <t>Allocation3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</si>
  <si>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</si>
  <si>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</si>
  <si>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</si>
  <si>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</si>
  <si>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</si>
  <si>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</si>
  <si>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</si>
  <si>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</t>
  </si>
  <si>
    <t>AddCash</t>
  </si>
  <si>
    <t>Impact NAV</t>
  </si>
  <si>
    <t>None</t>
  </si>
  <si>
    <t>RebalanceAcrossSecurities</t>
  </si>
  <si>
    <t>Increase</t>
  </si>
  <si>
    <t>Percentage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</si>
  <si>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</si>
  <si>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</si>
  <si>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</si>
  <si>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</si>
  <si>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</si>
  <si>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</si>
  <si>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</si>
  <si>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SendtoStaging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</si>
</sst>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1000.0</v>
      </c>
      <c r="E6" s="31"/>
      <c r="F6" s="13" t="s">
        <v>22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21</v>
      </c>
      <c r="D7" s="13">
        <v>1000.0</v>
      </c>
      <c r="E7" s="31"/>
      <c r="F7" s="13" t="s">
        <v>23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45918</v>
      </c>
      <c r="C6" s="33">
        <f>TODAY()</f>
        <v>45919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9" t="s">
        <v>28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9" t="s">
        <v>28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100000.0</v>
      </c>
      <c r="C6" s="35" t="s">
        <v>33</v>
      </c>
      <c r="D6" s="13" t="s">
        <v>34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 t="str">
        <f>IFERROR(__xludf.DUMMYFUNCTION("""COMPUTED_VALUE"""),"SetCashTarget")</f>
        <v>SetCashTarget</v>
      </c>
      <c r="N5" s="28" t="str">
        <f>IFERROR(__xludf.DUMMYFUNCTION("""COMPUTED_VALUE"""),"SetCashTarget%")</f>
        <v>SetCashTarget%</v>
      </c>
      <c r="O5" s="28" t="str">
        <f>IFERROR(__xludf.DUMMYFUNCTION("""COMPUTED_VALUE"""),"SellToRaiseCashAndSetCashTarget")</f>
        <v>SellToRaiseCashAndSetCashTarget</v>
      </c>
      <c r="P5" s="28" t="str">
        <f>IFERROR(__xludf.DUMMYFUNCTION("""COMPUTED_VALUE"""),"AllowNegCashAndSetCashTarget")</f>
        <v>AllowNegCashAndSetCashTarget</v>
      </c>
      <c r="Q5" s="28" t="str">
        <f>IFERROR(__xludf.DUMMYFUNCTION("""COMPUTED_VALUE"""),"DisableCT")</f>
        <v>DisableCT</v>
      </c>
      <c r="R5" s="28" t="str">
        <f>IFERROR(__xludf.DUMMYFUNCTION("""COMPUTED_VALUE"""),"AllowNegCashAndSellToRaise")</f>
        <v>AllowNegCashAndSellToRaise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35" t="s">
        <v>36</v>
      </c>
      <c r="D6" s="34">
        <v>80.0</v>
      </c>
      <c r="E6" s="36" t="s">
        <v>31</v>
      </c>
      <c r="F6" s="37"/>
      <c r="G6" s="37"/>
      <c r="H6" s="37"/>
      <c r="I6" s="37"/>
      <c r="J6" s="38">
        <v>2.0</v>
      </c>
      <c r="K6" s="8"/>
      <c r="L6" s="13" t="s">
        <v>37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9" t="s">
        <v>22</v>
      </c>
      <c r="D6" s="39" t="s">
        <v>20</v>
      </c>
      <c r="E6" s="39" t="s">
        <v>41</v>
      </c>
      <c r="F6" s="39" t="s">
        <v>42</v>
      </c>
      <c r="G6" s="40">
        <v>2.0</v>
      </c>
      <c r="H6" s="40">
        <v>2.0</v>
      </c>
      <c r="I6" s="40">
        <v>1.0</v>
      </c>
      <c r="J6" s="40">
        <v>18.18181818</v>
      </c>
      <c r="K6" s="40">
        <v>1000.0</v>
      </c>
      <c r="L6" s="40">
        <v>2000.0</v>
      </c>
      <c r="M6" s="40">
        <v>2000.0</v>
      </c>
      <c r="N6" s="8"/>
      <c r="O6" s="40">
        <v>25400.0</v>
      </c>
      <c r="W6" s="40">
        <v>1.0</v>
      </c>
    </row>
    <row r="7" ht="15.75" customHeight="1">
      <c r="A7" s="8"/>
      <c r="B7" s="8"/>
      <c r="C7" s="39" t="s">
        <v>23</v>
      </c>
      <c r="D7" s="39" t="s">
        <v>20</v>
      </c>
      <c r="E7" s="39" t="s">
        <v>41</v>
      </c>
      <c r="F7" s="39" t="s">
        <v>42</v>
      </c>
      <c r="G7" s="40">
        <v>2.0</v>
      </c>
      <c r="H7" s="40">
        <v>2.0</v>
      </c>
      <c r="I7" s="40">
        <v>1.0</v>
      </c>
      <c r="J7" s="40">
        <v>18.18181818</v>
      </c>
      <c r="K7" s="40">
        <v>1000.0</v>
      </c>
      <c r="L7" s="40">
        <v>2000.0</v>
      </c>
      <c r="M7" s="40">
        <v>2000.0</v>
      </c>
      <c r="N7" s="8"/>
      <c r="O7" s="40">
        <v>25400.0</v>
      </c>
      <c r="W7" s="40">
        <v>1.0</v>
      </c>
    </row>
    <row r="8" ht="15.75" customHeight="1">
      <c r="A8" s="8"/>
      <c r="B8" s="8"/>
      <c r="C8" s="39" t="s">
        <v>22</v>
      </c>
      <c r="D8" s="39" t="s">
        <v>43</v>
      </c>
      <c r="E8" s="39" t="s">
        <v>43</v>
      </c>
      <c r="F8" s="39" t="s">
        <v>42</v>
      </c>
      <c r="G8" s="40">
        <v>1.0</v>
      </c>
      <c r="H8" s="40">
        <v>1.0</v>
      </c>
      <c r="I8" s="40">
        <v>1.0</v>
      </c>
      <c r="J8" s="40">
        <v>0.0</v>
      </c>
      <c r="K8" s="40">
        <v>0.0</v>
      </c>
      <c r="L8" s="40">
        <v>0.0</v>
      </c>
      <c r="M8" s="40">
        <v>0.0</v>
      </c>
      <c r="N8" s="8"/>
      <c r="O8" s="40">
        <v>0.0</v>
      </c>
      <c r="W8" s="40">
        <v>1.0</v>
      </c>
    </row>
    <row r="9" ht="15.75" customHeight="1">
      <c r="A9" s="8"/>
      <c r="B9" s="8"/>
      <c r="C9" s="39" t="s">
        <v>23</v>
      </c>
      <c r="D9" s="39" t="s">
        <v>43</v>
      </c>
      <c r="E9" s="39" t="s">
        <v>43</v>
      </c>
      <c r="F9" s="39" t="s">
        <v>42</v>
      </c>
      <c r="G9" s="40">
        <v>1.0</v>
      </c>
      <c r="H9" s="40">
        <v>1.0</v>
      </c>
      <c r="I9" s="40">
        <v>1.0</v>
      </c>
      <c r="J9" s="40">
        <v>0.0</v>
      </c>
      <c r="K9" s="40">
        <v>0.0</v>
      </c>
      <c r="L9" s="40">
        <v>0.0</v>
      </c>
      <c r="M9" s="40">
        <v>0.0</v>
      </c>
      <c r="N9" s="8"/>
      <c r="O9" s="40">
        <v>0.0</v>
      </c>
      <c r="W9" s="40">
        <v>1.0</v>
      </c>
    </row>
    <row r="10" ht="15.75" customHeight="1">
      <c r="A10" s="8"/>
      <c r="B10" s="8"/>
      <c r="C10" s="39" t="s">
        <v>22</v>
      </c>
      <c r="D10" s="39" t="s">
        <v>44</v>
      </c>
      <c r="E10" s="39" t="s">
        <v>44</v>
      </c>
      <c r="F10" s="39" t="s">
        <v>42</v>
      </c>
      <c r="G10" s="40">
        <v>1.0</v>
      </c>
      <c r="H10" s="40">
        <v>1.0</v>
      </c>
      <c r="I10" s="40">
        <v>1.0</v>
      </c>
      <c r="J10" s="40">
        <v>81.81818182</v>
      </c>
      <c r="K10" s="40">
        <v>9000.0</v>
      </c>
      <c r="L10" s="40">
        <v>9000.0</v>
      </c>
      <c r="M10" s="40">
        <v>9000.0</v>
      </c>
      <c r="N10" s="8"/>
      <c r="O10" s="40">
        <v>10200.0</v>
      </c>
      <c r="W10" s="40">
        <v>1.0</v>
      </c>
    </row>
    <row r="11" ht="15.75" customHeight="1">
      <c r="A11" s="8"/>
      <c r="B11" s="8"/>
      <c r="C11" s="39" t="s">
        <v>23</v>
      </c>
      <c r="D11" s="39" t="s">
        <v>44</v>
      </c>
      <c r="E11" s="39" t="s">
        <v>44</v>
      </c>
      <c r="F11" s="39" t="s">
        <v>42</v>
      </c>
      <c r="G11" s="40">
        <v>1.0</v>
      </c>
      <c r="H11" s="40">
        <v>1.0</v>
      </c>
      <c r="I11" s="40">
        <v>1.0</v>
      </c>
      <c r="J11" s="40">
        <v>81.81818182</v>
      </c>
      <c r="K11" s="40">
        <v>9000.0</v>
      </c>
      <c r="L11" s="40">
        <v>9000.0</v>
      </c>
      <c r="M11" s="40">
        <v>9000.0</v>
      </c>
      <c r="N11" s="8"/>
      <c r="O11" s="40">
        <v>10200.0</v>
      </c>
      <c r="W11" s="40">
        <v>1.0</v>
      </c>
    </row>
    <row r="12" ht="15.75" customHeight="1">
      <c r="A12" s="8"/>
      <c r="B12" s="8"/>
      <c r="C12" s="39"/>
      <c r="D12" s="39"/>
      <c r="E12" s="39"/>
      <c r="F12" s="39"/>
      <c r="G12" s="40"/>
      <c r="H12" s="40"/>
      <c r="I12" s="40"/>
      <c r="J12" s="40"/>
      <c r="K12" s="40"/>
      <c r="L12" s="40"/>
      <c r="M12" s="40"/>
      <c r="N12" s="8"/>
      <c r="O12" s="40"/>
      <c r="W12" s="40"/>
    </row>
    <row r="13" ht="15.75" customHeight="1">
      <c r="A13" s="8"/>
      <c r="B13" s="8"/>
      <c r="C13" s="39"/>
      <c r="D13" s="39"/>
      <c r="E13" s="39"/>
      <c r="F13" s="39"/>
      <c r="G13" s="40"/>
      <c r="H13" s="40"/>
      <c r="I13" s="40"/>
      <c r="J13" s="40"/>
      <c r="K13" s="40"/>
      <c r="L13" s="40"/>
      <c r="M13" s="40"/>
      <c r="N13" s="8"/>
      <c r="O13" s="40"/>
      <c r="W13" s="4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22</v>
      </c>
      <c r="C6" s="39" t="s">
        <v>21</v>
      </c>
      <c r="D6" s="39" t="s">
        <v>20</v>
      </c>
      <c r="E6" s="40">
        <v>24400.0</v>
      </c>
      <c r="F6" s="40">
        <v>2.0</v>
      </c>
      <c r="G6" s="40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23</v>
      </c>
      <c r="C7" s="39" t="s">
        <v>21</v>
      </c>
      <c r="D7" s="39" t="s">
        <v>20</v>
      </c>
      <c r="E7" s="40">
        <v>24400.0</v>
      </c>
      <c r="F7" s="40">
        <v>2.0</v>
      </c>
      <c r="G7" s="40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/>
      <c r="C8" s="39"/>
      <c r="D8" s="39"/>
      <c r="E8" s="40"/>
      <c r="F8" s="40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/>
      <c r="C9" s="39"/>
      <c r="D9" s="39"/>
      <c r="E9" s="40"/>
      <c r="F9" s="40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