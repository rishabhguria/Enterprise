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UpdateMultipleDailyCash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GetMarkPriceData" sheetId="9" r:id="rId11"/>
    <sheet state="visible" name="UpdateMarkPrice" sheetId="10" r:id="rId12"/>
    <sheet state="visible" name="GetForexConversion" sheetId="11" r:id="rId13"/>
    <sheet state="visible" name="UpdateForexConversion" sheetId="12" r:id="rId14"/>
    <sheet state="visible" name="GetCashTransaction" sheetId="13" r:id="rId15"/>
    <sheet state="visible" name="AddCashTransaction" sheetId="14" r:id="rId16"/>
    <sheet state="visible" name="GetAccountBalance" sheetId="15" r:id="rId17"/>
    <sheet state="visible" name="PricingInput" sheetId="16" r:id="rId18"/>
    <sheet state="visible" name="FetchAccountPositions" sheetId="17" r:id="rId19"/>
    <sheet state="visible" name="AddCash" sheetId="18" r:id="rId20"/>
    <sheet state="visible" name="RunRebalance" sheetId="19" r:id="rId21"/>
    <sheet state="visible" name="CheckBasketCompliance" sheetId="20" r:id="rId22"/>
    <sheet state="visible" name="SendToStagingExport" sheetId="21" r:id="rId23"/>
    <sheet state="visible" name="FetchAccountPositions1" sheetId="22" r:id="rId24"/>
    <sheet state="visible" name="CheckBasketCompliance1" sheetId="23" r:id="rId25"/>
    <sheet state="visible" name="SendToStagingExport1" sheetId="24" r:id="rId26"/>
    <sheet state="visible" name="CreateDoneAwayOrder" sheetId="25" r:id="rId27"/>
    <sheet state="visible" name="BookOrUpdateSwap" sheetId="26" r:id="rId28"/>
    <sheet state="visible" name="GetDailyCash1" sheetId="27" r:id="rId29"/>
  </sheets>
  <definedNames/>
  <calcPr/>
</workbook>
</file>

<file path=xl/sharedStrings.xml><?xml version="1.0" encoding="utf-8"?>
<sst xmlns="http://schemas.openxmlformats.org/spreadsheetml/2006/main" count="614" uniqueCount="131">
  <si>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</si>
  <si>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</si>
  <si>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</si>
  <si>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</si>
  <si>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</si>
  <si>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</si>
  <si>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</si>
  <si>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</si>
  <si>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</si>
  <si>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</si>
  <si>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</si>
  <si>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</si>
  <si>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</si>
  <si>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</si>
  <si>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</si>
  <si>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</si>
  <si>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</si>
  <si>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</si>
  <si>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DailyValuation</t>
  </si>
  <si>
    <t>UpdateMultipleDailyCash</t>
  </si>
  <si>
    <t>Allocation1</t>
  </si>
  <si>
    <t>USD</t>
  </si>
  <si>
    <t>Allocation3</t>
  </si>
  <si>
    <t>TradingTicket</t>
  </si>
  <si>
    <t>CreateStageOrder</t>
  </si>
  <si>
    <t>AAPL</t>
  </si>
  <si>
    <t>Buy</t>
  </si>
  <si>
    <t>FRU-TC</t>
  </si>
  <si>
    <t>MSFT</t>
  </si>
  <si>
    <t>DBLSX</t>
  </si>
  <si>
    <t>O:COP 14O62.50</t>
  </si>
  <si>
    <t>ES U2</t>
  </si>
  <si>
    <t>Allocation</t>
  </si>
  <si>
    <t>GetDataAllocation</t>
  </si>
  <si>
    <t>Historical</t>
  </si>
  <si>
    <t>SelectAllocatedGroup</t>
  </si>
  <si>
    <t>GetMarkPriceData</t>
  </si>
  <si>
    <t>UpdateMarkPrice</t>
  </si>
  <si>
    <t>COP</t>
  </si>
  <si>
    <t>GetForexConversion</t>
  </si>
  <si>
    <t>UpdateForexConversion</t>
  </si>
  <si>
    <t>CAD</t>
  </si>
  <si>
    <t>CAD AO-FX</t>
  </si>
  <si>
    <t>GeneralLedger</t>
  </si>
  <si>
    <t>GetCashTransaction</t>
  </si>
  <si>
    <t>AddCashTransaction</t>
  </si>
  <si>
    <t>DividendIncome</t>
  </si>
  <si>
    <t>GetAccountBalance</t>
  </si>
  <si>
    <t>PricingInput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</si>
  <si>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</si>
  <si>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</si>
  <si>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</si>
  <si>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</si>
  <si>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</si>
  <si>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</si>
  <si>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</si>
  <si>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No Impact</t>
  </si>
  <si>
    <t>None</t>
  </si>
  <si>
    <t>RunRebalance</t>
  </si>
  <si>
    <t>Round Up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</si>
  <si>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</si>
  <si>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</si>
  <si>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</si>
  <si>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</si>
  <si>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</si>
  <si>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75.00, avgPrice: 10.00, selectedFeedPrice: 10.00, netMarketValueBase: 750.00, netExposureLocal: 750.00, Symbol: DBLSX</t>
  </si>
  <si>
    <t>quantity: 75.00, avgPrice: 10.00, selectedFeedPrice: 10.00, netMarketValueBase: 7.50, netExposureLocal: 7.50, Symbol: 123456789</t>
  </si>
  <si>
    <t>quantity: 75.00, avgPrice: 10.00, selectedFeedPrice: 10.00, netMarketValueBase: 625.00, netExposureLocal: 750.00, Symbol: FRU-TC</t>
  </si>
  <si>
    <t>quantity: 75.00, avgPrice: 10.00, selectedFeedPrice: 10.00, netMarketValueBase: 750.00, netExposureLocal: 750.00, Symbol: MSFT</t>
  </si>
  <si>
    <t>quantity: 75.00, avgPrice: 10.00, selectedFeedPrice: 10.00, netMarketValueBase: 750.00, netExposureLocal: 750.00, Symbol: AAPL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</si>
  <si>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</si>
  <si>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</si>
  <si>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</si>
  <si>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275.00, dayPnLBase: 0.00, dayPnLLocal: 0.00, netMarketValueBase: 2,750.00, netMarketValueLocal: 2,750.00, selectedFeedPrice: 10.00, accountNav: 407,486.6667, AccountShortName: Allocation1, Symbol: AAPL</t>
  </si>
  <si>
    <t>Allocation1-FRU-TC</t>
  </si>
  <si>
    <t>quantity: 275.00, dayPnLBase: -0.00, dayPnLLocal: 0.00, netMarketValueBase: 2,291.6667, netMarketValueLocal: 2,750.00, selectedFeedPrice: 10.00, accountNav: 407,486.6667, AccountShortName: Allocation1, Symbol: FRU-TC</t>
  </si>
  <si>
    <t>Allocation1-DBLSX</t>
  </si>
  <si>
    <t>quantity: 275.00, dayPnLBase: 0.00, dayPnLLocal: 0.00, netMarketValueBase: 2,750.00, netMarketValueLocal: 2,750.00, selectedFeedPrice: 10.00, accountNav: 407,486.6667, AccountShortName: Allocation1, Symbol: DBLSX</t>
  </si>
  <si>
    <t>Allocation1-123456789</t>
  </si>
  <si>
    <t>quantity: 275.00, dayPnLBase: 0.00, dayPnLLocal: 0.00, netMarketValueBase: 27.50, netMarketValueLocal: 27.50, selectedFeedPrice: 10.00, accountNav: 407,486.6667, AccountShortName: Allocation1, Symbol: 123456789</t>
  </si>
  <si>
    <t>Allocation1-MSFT</t>
  </si>
  <si>
    <t>quantity: 275.00, dayPnLBase: 0.00, dayPnLLocal: 0.00, netMarketValueBase: 2,550.00, netMarketValueLocal: 2,550.00, selectedFeedPrice: 10.00, accountNav: 407,486.6667, AccountShortName: Allocation1, Symbol: MSFT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</si>
  <si>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</si>
  <si>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</si>
  <si>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</si>
  <si>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275.00, dayPnLBase: 0.00, dayPnLLocal: 0.00, netMarketValueBase: 2,750.00, netMarketValueLocal: 2,750.00, selectedFeedPrice: 10.00, masterFundNav: 508,286.6667, MasterFundName: NewMF, Symbol: AAPL</t>
  </si>
  <si>
    <t>NewMF-FRU-TC</t>
  </si>
  <si>
    <t>quantity: 275.00, dayPnLBase: -0.00, dayPnLLocal: 0.00, netMarketValueBase: 2,291.6667, netMarketValueLocal: 2,750.00, selectedFeedPrice: 10.00, masterFundNav: 508,286.6667, MasterFundName: NewMF, Symbol: FRU-TC</t>
  </si>
  <si>
    <t>NewMF-DBLSX</t>
  </si>
  <si>
    <t>quantity: 275.00, dayPnLBase: 0.00, dayPnLLocal: 0.00, netMarketValueBase: 2,750.00, netMarketValueLocal: 2,750.00, selectedFeedPrice: 10.00, masterFundNav: 508,286.6667, MasterFundName: NewMF, Symbol: DBLSX</t>
  </si>
  <si>
    <t>NewMF-123456789</t>
  </si>
  <si>
    <t>quantity: 275.00, dayPnLBase: 0.00, dayPnLLocal: 0.00, netMarketValueBase: 27.50, netMarketValueLocal: 27.50, selectedFeedPrice: 10.00, masterFundNav: 508,286.6667, MasterFundName: NewMF, Symbol: 123456789</t>
  </si>
  <si>
    <t>NewMF-MSFT</t>
  </si>
  <si>
    <t>quantity: 275.00, dayPnLBase: 0.00, dayPnLLocal: 0.00, netMarketValueBase: 2,550.00, netMarketValueLocal: 2,550.00, selectedFeedPrice: 10.00, masterFundNav: 508,286.6667, MasterFundName: NewMF, Symbol: MSFT</t>
  </si>
  <si>
    <t>Symbol3</t>
  </si>
  <si>
    <t>If Quantity not equals to -123, Selected Feed Price not equals to -123, Net Market Value Base not equals to -123, Net Market Value Local not equals to -123, Then block the trade.</t>
  </si>
  <si>
    <t>quantity: 275.00, selectedFeedPrice: 10.00, netMarketValueBase: 2,750.00, netMarketValueLocal: 2,750.00, Symbol: AAPL</t>
  </si>
  <si>
    <t>quantity: 275.00, selectedFeedPrice: 10.00, netMarketValueBase: 2,291.6667, netMarketValueLocal: 2,750.00, Symbol: FRU-TC</t>
  </si>
  <si>
    <t>quantity: 275.00, selectedFeedPrice: 10.00, netMarketValueBase: 2,750.00, netMarketValueLocal: 2,750.00, Symbol: DBLSX</t>
  </si>
  <si>
    <t>quantity: 275.00, selectedFeedPrice: 10.00, netMarketValueBase: 27.50, netMarketValueLocal: 27.50, Symbol: 123456789</t>
  </si>
  <si>
    <t>quantity: 275.00, selectedFeedPrice: 10.00, netMarketValueBase: 3,550.00, netMarketValueLocal: 2,550.00, Symbol: MSFT</t>
  </si>
  <si>
    <t>SendToStagingExport</t>
  </si>
  <si>
    <t>No</t>
  </si>
  <si>
    <t>Real-Time Positions</t>
  </si>
  <si>
    <t>quantity: 78.00, avgPrice: 20.00, selectedFeedPrice: 20.00, netMarketValueBase: 15.60, netExposureLocal: 15.60, Symbol: 123456789</t>
  </si>
  <si>
    <t>quantity: 78.00, avgPrice: 20.00, selectedFeedPrice: 20.00, netMarketValueBase: 1,300.00, netExposureLocal: 1,560.00, Symbol: FRU-TC</t>
  </si>
  <si>
    <t>quantity: 78.00, avgPrice: 20.00, selectedFeedPrice: 20.00, netMarketValueBase: 1,560.00, netExposureLocal: 1,560.00, Symbol: DBLSX</t>
  </si>
  <si>
    <t>quantity: 78.00, avgPrice: 20.00, selectedFeedPrice: 20.00, netMarketValueBase: 1,560.00, netExposureLocal: 1,560.00, Symbol: MSFT</t>
  </si>
  <si>
    <t>quantity: 378.00, dayPnLBase: 1,000.00, dayPnLLocal: 1,000.00, netMarketValueBase: 7,560.00, netMarketValueLocal: 7,560.00, selectedFeedPrice: 20.00, accountNav: 665,173.3333, AccountShortName: Allocation1, Symbol: AAPL</t>
  </si>
  <si>
    <t>quantity: 378.00, dayPnLBase: 10.00, dayPnLLocal: 10.00, netMarketValueBase: 75.60, netMarketValueLocal: 75.60, selectedFeedPrice: 20.00, accountNav: 665,173.3333, AccountShortName: Allocation1, Symbol: 123456789</t>
  </si>
  <si>
    <t>quantity: 378.00, dayPnLBase: 1,000.00, dayPnLLocal: 1,000.00, netMarketValueBase: 7,560.00, netMarketValueLocal: 7,560.00, selectedFeedPrice: 20.00, accountNav: 665,173.3333, AccountShortName: Allocation1, Symbol: DBLSX</t>
  </si>
  <si>
    <t>quantity: 378.00, dayPnLBase: 833.3333, dayPnLLocal: 1,000.00, netMarketValueBase: 6,300.00, netMarketValueLocal: 7,560.00, selectedFeedPrice: 20.00, accountNav: 665,173.3333, AccountShortName: Allocation1, Symbol: FRU-TC</t>
  </si>
  <si>
    <t>quantity: 378.00, dayPnLBase: 1,000.00, dayPnLLocal: 1,000.00, netMarketValueBase: 7,360.00, netMarketValueLocal: 7,360.00, selectedFeedPrice: 20.00, accountNav: 665,173.3333, AccountShortName: Allocation1, Symbol: MSFT</t>
  </si>
  <si>
    <t>Allocation3-AAPL</t>
  </si>
  <si>
    <t>quantity: 117.00, dayPnLBase: 1,800.00, dayPnLLocal: 1,800.00, netMarketValueBase: 2,340.00, netMarketValueLocal: 2,340.00, selectedFeedPrice: 20.00, accountNav: 101,800.00, AccountShortName: Allocation3, Symbol: AAPL</t>
  </si>
  <si>
    <t>quantity: 378.00, dayPnLBase: 10.00, dayPnLLocal: 10.00, netMarketValueBase: 75.60, netMarketValueLocal: 75.60, selectedFeedPrice: 20.00, masterFundNav: 766,973.3333, MasterFundName: NewMF, Symbol: 123456789</t>
  </si>
  <si>
    <t>quantity: 378.00, dayPnLBase: 1,000.00, dayPnLLocal: 1,000.00, netMarketValueBase: 7,560.00, netMarketValueLocal: 7,560.00, selectedFeedPrice: 20.00, masterFundNav: 766,973.3333, MasterFundName: NewMF, Symbol: DBLSX</t>
  </si>
  <si>
    <t>quantity: 378.00, dayPnLBase: 833.3333, dayPnLLocal: 1,000.00, netMarketValueBase: 6,300.00, netMarketValueLocal: 7,560.00, selectedFeedPrice: 20.00, masterFundNav: 766,973.3333, MasterFundName: NewMF, Symbol: FRU-TC</t>
  </si>
  <si>
    <t>quantity: 378.00, dayPnLBase: 1,000.00, dayPnLLocal: 1,000.00, netMarketValueBase: 7,360.00, netMarketValueLocal: 7,360.00, selectedFeedPrice: 20.00, masterFundNav: 766,973.3333, MasterFundName: NewMF, Symbol: MSFT</t>
  </si>
  <si>
    <t>quantity: 495.00, dayPnLBase: 2,800.00, dayPnLLocal: 2,800.00, netMarketValueBase: 9,900.00, netMarketValueLocal: 9,900.00, selectedFeedPrice: 20.00, masterFundNav: 766,973.3333, MasterFundName: NewMF, Symbol: AAPL</t>
  </si>
  <si>
    <t>quantity: 495.00, selectedFeedPrice: 20.00, netMarketValueBase: 9,900.00, netMarketValueLocal: 9,900.00, Symbol: AAPL</t>
  </si>
  <si>
    <t>quantity: 378.00, selectedFeedPrice: 20.00, netMarketValueBase: 75.60, netMarketValueLocal: 75.60, Symbol: 123456789</t>
  </si>
  <si>
    <t>quantity: 378.00, selectedFeedPrice: 20.00, netMarketValueBase: 7,560.00, netMarketValueLocal: 7,560.00, Symbol: DBLSX</t>
  </si>
  <si>
    <t>quantity: 378.00, selectedFeedPrice: 20.00, netMarketValueBase: 6,300.00, netMarketValueLocal: 7,560.00, Symbol: FRU-TC</t>
  </si>
  <si>
    <t>quantity: 378.00, selectedFeedPrice: 20.00, netMarketValueBase: 7,360.00, netMarketValueLocal: 7,360.00, Symbol: MSFT</t>
  </si>
  <si>
    <t>Yes</t>
  </si>
  <si>
    <t>CreateDoneAwayOrder</t>
  </si>
  <si>
    <t>AVO-TC</t>
  </si>
  <si>
    <t>Allocation2</t>
  </si>
  <si>
    <t>BookOrUpdateSwap</t>
  </si>
  <si>
    <t>GetDailyCash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</si>
</sst>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6" fontId="14" numFmtId="14" xfId="0" applyFill="1" applyFont="1" applyNumberFormat="1"/>
    <xf borderId="6" fillId="0" fontId="3" numFmtId="0" xfId="0" applyAlignment="1" applyBorder="1" applyFont="1">
      <alignment horizontal="right" vertical="bottom"/>
    </xf>
    <xf borderId="9" fillId="0" fontId="5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8" fillId="0" fontId="3" numFmtId="0" xfId="0" applyAlignment="1" applyBorder="1" applyFont="1">
      <alignment readingOrder="0" vertical="bottom"/>
    </xf>
    <xf borderId="0" fillId="0" fontId="5" numFmtId="3" xfId="0" applyAlignment="1" applyFont="1" applyNumberFormat="1">
      <alignment readingOrder="0" shrinkToFit="0" wrapText="0"/>
    </xf>
    <xf borderId="11" fillId="0" fontId="5" numFmtId="0" xfId="0" applyAlignment="1" applyBorder="1" applyFont="1">
      <alignment vertical="bottom"/>
    </xf>
    <xf borderId="11" fillId="0" fontId="5" numFmtId="0" xfId="0" applyAlignment="1" applyBorder="1" applyFont="1">
      <alignment horizontal="right" vertical="bottom"/>
    </xf>
    <xf borderId="11" fillId="0" fontId="3" numFmtId="0" xfId="0" applyAlignment="1" applyBorder="1" applyFont="1">
      <alignment vertical="bottom"/>
    </xf>
    <xf borderId="11" fillId="6" fontId="14" numFmtId="165" xfId="0" applyAlignment="1" applyBorder="1" applyFont="1" applyNumberFormat="1">
      <alignment horizontal="right" vertical="bottom"/>
    </xf>
    <xf borderId="7" fillId="6" fontId="14" numFmtId="1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8" fillId="0" fontId="5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20</v>
      </c>
      <c r="C6" s="31" t="s">
        <v>21</v>
      </c>
      <c r="D6" s="3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22</v>
      </c>
      <c r="C7" s="31" t="s">
        <v>21</v>
      </c>
      <c r="D7" s="33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25</v>
      </c>
      <c r="C6" s="35" t="s">
        <v>26</v>
      </c>
      <c r="D6" s="36">
        <v>100.0</v>
      </c>
      <c r="E6" s="35"/>
      <c r="F6" s="35" t="s">
        <v>20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7"/>
      <c r="B7" s="38" t="s">
        <v>27</v>
      </c>
      <c r="C7" s="38" t="s">
        <v>26</v>
      </c>
      <c r="D7" s="39">
        <v>100.0</v>
      </c>
      <c r="E7" s="38"/>
      <c r="F7" s="38" t="s">
        <v>20</v>
      </c>
      <c r="G7" s="38"/>
      <c r="H7" s="38"/>
      <c r="I7" s="38"/>
      <c r="J7" s="39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7"/>
      <c r="B8" s="38" t="s">
        <v>28</v>
      </c>
      <c r="C8" s="38" t="s">
        <v>26</v>
      </c>
      <c r="D8" s="39">
        <v>100.0</v>
      </c>
      <c r="E8" s="38"/>
      <c r="F8" s="38" t="s">
        <v>20</v>
      </c>
      <c r="G8" s="38"/>
      <c r="H8" s="38"/>
      <c r="I8" s="38"/>
      <c r="J8" s="39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7"/>
      <c r="B9" s="38" t="s">
        <v>29</v>
      </c>
      <c r="C9" s="38" t="s">
        <v>26</v>
      </c>
      <c r="D9" s="39">
        <v>100.0</v>
      </c>
      <c r="E9" s="38"/>
      <c r="F9" s="38" t="s">
        <v>20</v>
      </c>
      <c r="G9" s="38"/>
      <c r="H9" s="38"/>
      <c r="I9" s="38"/>
      <c r="J9" s="39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7"/>
      <c r="B10" s="38" t="s">
        <v>30</v>
      </c>
      <c r="C10" s="38" t="s">
        <v>26</v>
      </c>
      <c r="D10" s="39">
        <v>100.0</v>
      </c>
      <c r="E10" s="38"/>
      <c r="F10" s="38" t="s">
        <v>20</v>
      </c>
      <c r="G10" s="38"/>
      <c r="H10" s="38"/>
      <c r="I10" s="38"/>
      <c r="J10" s="39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7"/>
      <c r="B11" s="38" t="s">
        <v>31</v>
      </c>
      <c r="C11" s="38" t="s">
        <v>26</v>
      </c>
      <c r="D11" s="39">
        <v>100.0</v>
      </c>
      <c r="E11" s="38"/>
      <c r="F11" s="38" t="s">
        <v>20</v>
      </c>
      <c r="G11" s="38"/>
      <c r="H11" s="38"/>
      <c r="I11" s="38"/>
      <c r="J11" s="39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7"/>
      <c r="B12" s="40">
        <v>1.23456789E8</v>
      </c>
      <c r="C12" s="38" t="s">
        <v>26</v>
      </c>
      <c r="D12" s="39">
        <v>100.0</v>
      </c>
      <c r="E12" s="38"/>
      <c r="F12" s="38" t="s">
        <v>20</v>
      </c>
      <c r="G12" s="38"/>
      <c r="H12" s="38"/>
      <c r="I12" s="38"/>
      <c r="J12" s="39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34</v>
      </c>
      <c r="C6" s="42">
        <f>today()-1</f>
        <v>45853</v>
      </c>
      <c r="D6" s="42">
        <f>today()</f>
        <v>45854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3" t="s">
        <v>28</v>
      </c>
      <c r="C6" s="36">
        <v>100.0</v>
      </c>
      <c r="D6" s="35"/>
      <c r="E6" s="35" t="s">
        <v>20</v>
      </c>
      <c r="F6" s="35" t="s">
        <v>26</v>
      </c>
      <c r="G6" s="35"/>
      <c r="H6" s="36">
        <v>2.0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>
        <f t="shared" ref="B6:C6" si="1">today()-1</f>
        <v>45853</v>
      </c>
      <c r="C6" s="44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5">
        <v>1.23456789E8</v>
      </c>
      <c r="C6" s="36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25</v>
      </c>
      <c r="C7" s="3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27</v>
      </c>
      <c r="C8" s="3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28</v>
      </c>
      <c r="C9" s="3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29</v>
      </c>
      <c r="C10" s="33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31</v>
      </c>
      <c r="C11" s="3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30</v>
      </c>
      <c r="C12" s="33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38</v>
      </c>
      <c r="C13" s="33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4"/>
      <c r="C14" s="3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/>
      <c r="C15" s="3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>
        <f t="shared" ref="B6:C6" si="1">today()-1</f>
        <v>45853</v>
      </c>
      <c r="C6" s="44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3" t="s">
        <v>21</v>
      </c>
      <c r="C6" s="43" t="s">
        <v>41</v>
      </c>
      <c r="D6" s="35" t="s">
        <v>42</v>
      </c>
      <c r="E6" s="36">
        <v>1.2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35" t="s">
        <v>20</v>
      </c>
      <c r="C6" s="35"/>
      <c r="D6" s="42">
        <f>today()-3</f>
        <v>45851</v>
      </c>
      <c r="E6" s="42">
        <f>today()</f>
        <v>45854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5" t="s">
        <v>46</v>
      </c>
      <c r="D6" s="35" t="s">
        <v>25</v>
      </c>
      <c r="E6" s="35"/>
      <c r="F6" s="35" t="s">
        <v>20</v>
      </c>
      <c r="G6" s="35" t="s">
        <v>21</v>
      </c>
      <c r="H6" s="48">
        <v>100000.0</v>
      </c>
      <c r="I6" s="49">
        <f>today()-2</f>
        <v>45852</v>
      </c>
      <c r="J6" s="49">
        <f>today()+8</f>
        <v>45862</v>
      </c>
      <c r="K6" s="49"/>
      <c r="L6" s="49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IFERROR(__xludf.DUMMYFUNCTION("""COMPUTED_VALUE"""),"RunManualRevaluation")</f>
        <v>RunManualRevaluation</v>
      </c>
      <c r="J4" s="25" t="str">
        <f>IFERROR(__xludf.DUMMYFUNCTION("""COMPUTED_VALUE"""),"SaveCashTransaction")</f>
        <v>SaveCashTransaction</v>
      </c>
      <c r="K4" s="25" t="str">
        <f>IFERROR(__xludf.DUMMYFUNCTION("""COMPUTED_VALUE"""),"EditGridCashTransactions")</f>
        <v>EditGridCashTransactions</v>
      </c>
      <c r="L4" s="25" t="str">
        <f>IFERROR(__xludf.DUMMYFUNCTION("""COMPUTED_VALUE"""),"FilterCashTransactionGrid")</f>
        <v>FilterCashTransactionGrid</v>
      </c>
      <c r="M4" s="25" t="str">
        <f>IFERROR(__xludf.DUMMYFUNCTION("""COMPUTED_VALUE"""),"GetTradingTransaction")</f>
        <v>GetTradingTransaction</v>
      </c>
      <c r="N4" s="25" t="str">
        <f>IFERROR(__xludf.DUMMYFUNCTION("""COMPUTED_VALUE"""),"GetActivityData")</f>
        <v>GetActivityData</v>
      </c>
      <c r="O4" s="25" t="str">
        <f>IFERROR(__xludf.DUMMYFUNCTION("""COMPUTED_VALUE"""),"GetRevaluationData")</f>
        <v>GetRevaluationData</v>
      </c>
      <c r="P4" s="26" t="str">
        <f>IFERROR(__xludf.DUMMYFUNCTION("""COMPUTED_VALUE"""),"GetAccountDetails")</f>
        <v>GetAccountDetails</v>
      </c>
      <c r="Q4" s="26" t="str">
        <f>IFERROR(__xludf.DUMMYFUNCTION("""COMPUTED_VALUE"""),"GetNonTradingTransaction")</f>
        <v>GetNonTradingTransaction</v>
      </c>
      <c r="R4" s="26" t="str">
        <f>IFERROR(__xludf.DUMMYFUNCTION("""COMPUTED_VALUE"""),"GetDividendData")</f>
        <v>GetDividendData</v>
      </c>
      <c r="S4" s="26" t="str">
        <f>IFERROR(__xludf.DUMMYFUNCTION("""COMPUTED_VALUE"""),"VerifyNonTradingTransaction")</f>
        <v>VerifyNonTradingTransaction</v>
      </c>
      <c r="T4" s="26" t="str">
        <f>IFERROR(__xludf.DUMMYFUNCTION("""COMPUTED_VALUE"""),"VerifyDividend")</f>
        <v>VerifyDividend</v>
      </c>
      <c r="U4" s="26" t="str">
        <f>IFERROR(__xludf.DUMMYFUNCTION("""COMPUTED_VALUE"""),"GetOpeningBalanceData")</f>
        <v>GetOpeningBalanceData</v>
      </c>
      <c r="V4" s="26" t="str">
        <f>IFERROR(__xludf.DUMMYFUNCTION("""COMPUTED_VALUE"""),"GetAccountBalance")</f>
        <v>GetAccountBalance</v>
      </c>
      <c r="W4" s="26" t="str">
        <f>IFERROR(__xludf.DUMMYFUNCTION("""COMPUTED_VALUE"""),"SelectNonTradingTransaction")</f>
        <v>SelectNonTradingTransaction</v>
      </c>
      <c r="X4" s="26" t="str">
        <f>IFERROR(__xludf.DUMMYFUNCTION("""COMPUTED_VALUE"""),"SelectNonTradingTranItem")</f>
        <v>SelectNonTradingTranItem</v>
      </c>
      <c r="Y4" s="26" t="str">
        <f>IFERROR(__xludf.DUMMYFUNCTION("""COMPUTED_VALUE"""),"DeleteNonTradingTransaction")</f>
        <v>DeleteNonTradingTransaction</v>
      </c>
      <c r="Z4" s="26" t="str">
        <f>IFERROR(__xludf.DUMMYFUNCTION("""COMPUTED_VALUE"""),"DeleteNonTradingTranItem")</f>
        <v>DeleteNonTradingTranItem</v>
      </c>
      <c r="AA4" s="26" t="str">
        <f>IFERROR(__xludf.DUMMYFUNCTION("""COMPUTED_VALUE"""),"AddNonTradingTransaction")</f>
        <v>AddNonTradingTransaction</v>
      </c>
      <c r="AB4" s="26" t="str">
        <f>IFERROR(__xludf.DUMMYFUNCTION("""COMPUTED_VALUE"""),"AddNonTradingTranItem")</f>
        <v>AddNonTradingTranItem</v>
      </c>
      <c r="AC4" s="26" t="str">
        <f>IFERROR(__xludf.DUMMYFUNCTION("""COMPUTED_VALUE"""),"VerifyOpeningBalanceData")</f>
        <v>VerifyOpeningBalanceData</v>
      </c>
      <c r="AD4" s="26" t="str">
        <f>IFERROR(__xludf.DUMMYFUNCTION("""COMPUTED_VALUE"""),"SelectOpeningBalanceTransaction")</f>
        <v>SelectOpeningBalanceTransaction</v>
      </c>
      <c r="AE4" s="26" t="str">
        <f>IFERROR(__xludf.DUMMYFUNCTION("""COMPUTED_VALUE"""),"SelectOpeningBalanceTranItem")</f>
        <v>SelectOpeningBalanceTranItem</v>
      </c>
      <c r="AF4" s="26" t="str">
        <f>IFERROR(__xludf.DUMMYFUNCTION("""COMPUTED_VALUE"""),"EditNonTradingTransaction")</f>
        <v>EditNonTradingTransaction</v>
      </c>
      <c r="AG4" s="26" t="str">
        <f>IFERROR(__xludf.DUMMYFUNCTION("""COMPUTED_VALUE"""),"EditNonTradingTranItem")</f>
        <v>EditNonTradingTranItem</v>
      </c>
      <c r="AH4" s="26" t="str">
        <f>IFERROR(__xludf.DUMMYFUNCTION("""COMPUTED_VALUE"""),"DeleteOpeningBalanceTransaction")</f>
        <v>DeleteOpeningBalanceTransaction</v>
      </c>
      <c r="AI4" s="26" t="str">
        <f>IFERROR(__xludf.DUMMYFUNCTION("""COMPUTED_VALUE"""),"DeleteOpeningBalanceTranItem")</f>
        <v>DeleteOpeningBalanceTranItem</v>
      </c>
      <c r="AJ4" s="26" t="str">
        <f>IFERROR(__xludf.DUMMYFUNCTION("""COMPUTED_VALUE"""),"GetDayEndCash")</f>
        <v>GetDayEndCash</v>
      </c>
      <c r="AK4" s="26" t="str">
        <f>IFERROR(__xludf.DUMMYFUNCTION("""COMPUTED_VALUE"""),"VerifyDayEndCash")</f>
        <v>VerifyDayEndCash</v>
      </c>
      <c r="AL4" s="26" t="str">
        <f>IFERROR(__xludf.DUMMYFUNCTION("""COMPUTED_VALUE"""),"RunRevaluation")</f>
        <v>RunRevaluation</v>
      </c>
      <c r="AM4" s="26" t="str">
        <f>IFERROR(__xludf.DUMMYFUNCTION("""COMPUTED_VALUE"""),"CalculateDayEndCash")</f>
        <v>CalculateDayEndCash</v>
      </c>
      <c r="AN4" s="26" t="str">
        <f>IFERROR(__xludf.DUMMYFUNCTION("""COMPUTED_VALUE"""),"AddMultipleOpeningBalTranItem")</f>
        <v>AddMultipleOpeningBalTranItem</v>
      </c>
      <c r="AO4" s="26" t="str">
        <f>IFERROR(__xludf.DUMMYFUNCTION("""COMPUTED_VALUE"""),"VerifyAccountBalances")</f>
        <v>VerifyAccountBalances</v>
      </c>
      <c r="AP4" s="26" t="str">
        <f>IFERROR(__xludf.DUMMYFUNCTION("""COMPUTED_VALUE"""),"GetCashTransaction")</f>
        <v>GetCashTransaction</v>
      </c>
      <c r="AQ4" s="26" t="str">
        <f>IFERROR(__xludf.DUMMYFUNCTION("""COMPUTED_VALUE"""),"SelectCashTransaction")</f>
        <v>SelectCashTransaction</v>
      </c>
      <c r="AR4" s="26" t="str">
        <f>IFERROR(__xludf.DUMMYFUNCTION("""COMPUTED_VALUE"""),"DeleteCashTransaction")</f>
        <v>DeleteCashTransaction</v>
      </c>
      <c r="AS4" s="26" t="str">
        <f>IFERROR(__xludf.DUMMYFUNCTION("""COMPUTED_VALUE"""),"EditCashTransaction")</f>
        <v>EditCashTransaction</v>
      </c>
      <c r="AT4" s="26" t="str">
        <f>IFERROR(__xludf.DUMMYFUNCTION("""COMPUTED_VALUE"""),"AddCashTransaction")</f>
        <v>AddCashTransaction</v>
      </c>
      <c r="AU4" s="26" t="str">
        <f>IFERROR(__xludf.DUMMYFUNCTION("""COMPUTED_VALUE"""),"VerifyCashTransaction")</f>
        <v>VerifyCashTransaction</v>
      </c>
      <c r="AV4" s="26" t="str">
        <f>IFERROR(__xludf.DUMMYFUNCTION("""COMPUTED_VALUE"""),"AddOpeningBalanceTransaction")</f>
        <v>AddOpeningBalanceTransaction</v>
      </c>
      <c r="AW4" s="26" t="str">
        <f>IFERROR(__xludf.DUMMYFUNCTION("""COMPUTED_VALUE"""),"AddOpeningBalanceTranItem")</f>
        <v>AddOpeningBalanceTranItem</v>
      </c>
      <c r="AX4" s="26" t="str">
        <f>IFERROR(__xludf.DUMMYFUNCTION("""COMPUTED_VALUE"""),"GetDailyCalculationsData")</f>
        <v>GetDailyCalculationsData</v>
      </c>
      <c r="AY4" s="26" t="str">
        <f>IFERROR(__xludf.DUMMYFUNCTION("""COMPUTED_VALUE"""),"CalculateDailyCalculations")</f>
        <v>CalculateDailyCalculations</v>
      </c>
      <c r="AZ4" s="26" t="str">
        <f>IFERROR(__xludf.DUMMYFUNCTION("""COMPUTED_VALUE"""),"EditOpeningBalanceTransaction")</f>
        <v>EditOpeningBalanceTransaction</v>
      </c>
      <c r="BA4" s="26" t="str">
        <f>IFERROR(__xludf.DUMMYFUNCTION("""COMPUTED_VALUE"""),"EditOpeningBalanceTranItem")</f>
        <v>EditOpeningBalanceTranItem</v>
      </c>
      <c r="BB4" s="26" t="str">
        <f>IFERROR(__xludf.DUMMYFUNCTION("""COMPUTED_VALUE"""),"VerifyDailyCalTransactions")</f>
        <v>VerifyDailyCalTransactions</v>
      </c>
      <c r="BC4" s="26" t="str">
        <f>IFERROR(__xludf.DUMMYFUNCTION("""COMPUTED_VALUE"""),"CloseGeneralLedger")</f>
        <v>CloseGeneralLedger</v>
      </c>
      <c r="BD4" s="26" t="str">
        <f>IFERROR(__xludf.DUMMYFUNCTION("""COMPUTED_VALUE"""),"VerifyAccountDetails")</f>
        <v>VerifyAccountDetails</v>
      </c>
      <c r="BE4" s="26" t="str">
        <f>IFERROR(__xludf.DUMMYFUNCTION("""COMPUTED_VALUE"""),"SaveTransaction")</f>
        <v>SaveTransaction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41" t="s">
        <v>20</v>
      </c>
      <c r="D6" s="42">
        <f>today()</f>
        <v>45854</v>
      </c>
      <c r="E6" s="50" t="b">
        <v>1</v>
      </c>
      <c r="F6" s="35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25</v>
      </c>
      <c r="C6" s="36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27</v>
      </c>
      <c r="C7" s="3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28</v>
      </c>
      <c r="C8" s="33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29</v>
      </c>
      <c r="C9" s="33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30</v>
      </c>
      <c r="C10" s="33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31</v>
      </c>
      <c r="C11" s="33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>
        <v>1.23456789E8</v>
      </c>
      <c r="C12" s="33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38</v>
      </c>
      <c r="C13" s="33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4"/>
      <c r="C14" s="3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/>
      <c r="C15" s="34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51</v>
      </c>
      <c r="C6" s="35" t="s">
        <v>52</v>
      </c>
      <c r="D6" s="35" t="s">
        <v>53</v>
      </c>
      <c r="E6" s="35" t="s">
        <v>54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>
        <v>100000.0</v>
      </c>
      <c r="C6" s="31" t="s">
        <v>56</v>
      </c>
      <c r="D6" s="35" t="s">
        <v>57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 t="s">
        <v>59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61</v>
      </c>
      <c r="C6" s="13" t="s">
        <v>62</v>
      </c>
      <c r="D6" s="13" t="s">
        <v>63</v>
      </c>
      <c r="E6" s="13" t="s">
        <v>29</v>
      </c>
      <c r="F6" s="13" t="s">
        <v>64</v>
      </c>
      <c r="G6" s="13" t="s">
        <v>64</v>
      </c>
      <c r="H6" s="13" t="s">
        <v>65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61</v>
      </c>
      <c r="C7" s="13" t="s">
        <v>62</v>
      </c>
      <c r="D7" s="13" t="s">
        <v>63</v>
      </c>
      <c r="E7" s="13">
        <v>1.23456789E8</v>
      </c>
      <c r="F7" s="13" t="s">
        <v>64</v>
      </c>
      <c r="G7" s="13" t="s">
        <v>64</v>
      </c>
      <c r="H7" s="13" t="s">
        <v>66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61</v>
      </c>
      <c r="C8" s="13" t="s">
        <v>62</v>
      </c>
      <c r="D8" s="13" t="s">
        <v>63</v>
      </c>
      <c r="E8" s="13" t="s">
        <v>27</v>
      </c>
      <c r="F8" s="13" t="s">
        <v>64</v>
      </c>
      <c r="G8" s="13" t="s">
        <v>64</v>
      </c>
      <c r="H8" s="13" t="s">
        <v>67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61</v>
      </c>
      <c r="C9" s="13" t="s">
        <v>62</v>
      </c>
      <c r="D9" s="13" t="s">
        <v>63</v>
      </c>
      <c r="E9" s="13" t="s">
        <v>28</v>
      </c>
      <c r="F9" s="13" t="s">
        <v>64</v>
      </c>
      <c r="G9" s="13" t="s">
        <v>64</v>
      </c>
      <c r="H9" s="13" t="s">
        <v>68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61</v>
      </c>
      <c r="C10" s="13" t="s">
        <v>62</v>
      </c>
      <c r="D10" s="13" t="s">
        <v>63</v>
      </c>
      <c r="E10" s="13" t="s">
        <v>25</v>
      </c>
      <c r="F10" s="13" t="s">
        <v>64</v>
      </c>
      <c r="G10" s="13" t="s">
        <v>64</v>
      </c>
      <c r="H10" s="13" t="s">
        <v>69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61</v>
      </c>
      <c r="C11" s="13" t="s">
        <v>70</v>
      </c>
      <c r="D11" s="13" t="s">
        <v>71</v>
      </c>
      <c r="E11" s="13" t="s">
        <v>72</v>
      </c>
      <c r="F11" s="13" t="s">
        <v>64</v>
      </c>
      <c r="G11" s="13" t="s">
        <v>64</v>
      </c>
      <c r="H11" s="13" t="s">
        <v>73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61</v>
      </c>
      <c r="C12" s="13" t="s">
        <v>70</v>
      </c>
      <c r="D12" s="13" t="s">
        <v>71</v>
      </c>
      <c r="E12" s="13" t="s">
        <v>74</v>
      </c>
      <c r="F12" s="13" t="s">
        <v>64</v>
      </c>
      <c r="G12" s="13" t="s">
        <v>64</v>
      </c>
      <c r="H12" s="13" t="s">
        <v>75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61</v>
      </c>
      <c r="C13" s="13" t="s">
        <v>70</v>
      </c>
      <c r="D13" s="13" t="s">
        <v>71</v>
      </c>
      <c r="E13" s="13" t="s">
        <v>76</v>
      </c>
      <c r="F13" s="13" t="s">
        <v>64</v>
      </c>
      <c r="G13" s="13" t="s">
        <v>64</v>
      </c>
      <c r="H13" s="13" t="s">
        <v>77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61</v>
      </c>
      <c r="C14" s="13" t="s">
        <v>70</v>
      </c>
      <c r="D14" s="13" t="s">
        <v>71</v>
      </c>
      <c r="E14" s="13" t="s">
        <v>78</v>
      </c>
      <c r="F14" s="13" t="s">
        <v>64</v>
      </c>
      <c r="G14" s="13" t="s">
        <v>64</v>
      </c>
      <c r="H14" s="13" t="s">
        <v>79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61</v>
      </c>
      <c r="C15" s="13" t="s">
        <v>70</v>
      </c>
      <c r="D15" s="13" t="s">
        <v>71</v>
      </c>
      <c r="E15" s="13" t="s">
        <v>80</v>
      </c>
      <c r="F15" s="13" t="s">
        <v>64</v>
      </c>
      <c r="G15" s="13" t="s">
        <v>64</v>
      </c>
      <c r="H15" s="13" t="s">
        <v>81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61</v>
      </c>
      <c r="C16" s="13" t="s">
        <v>82</v>
      </c>
      <c r="D16" s="13" t="s">
        <v>83</v>
      </c>
      <c r="E16" s="13" t="s">
        <v>84</v>
      </c>
      <c r="F16" s="13" t="s">
        <v>64</v>
      </c>
      <c r="G16" s="13" t="s">
        <v>64</v>
      </c>
      <c r="H16" s="13" t="s">
        <v>85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61</v>
      </c>
      <c r="C17" s="13" t="s">
        <v>82</v>
      </c>
      <c r="D17" s="13" t="s">
        <v>83</v>
      </c>
      <c r="E17" s="13" t="s">
        <v>86</v>
      </c>
      <c r="F17" s="13" t="s">
        <v>64</v>
      </c>
      <c r="G17" s="13" t="s">
        <v>64</v>
      </c>
      <c r="H17" s="13" t="s">
        <v>87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61</v>
      </c>
      <c r="C18" s="13" t="s">
        <v>82</v>
      </c>
      <c r="D18" s="13" t="s">
        <v>83</v>
      </c>
      <c r="E18" s="13" t="s">
        <v>88</v>
      </c>
      <c r="F18" s="13" t="s">
        <v>64</v>
      </c>
      <c r="G18" s="13" t="s">
        <v>64</v>
      </c>
      <c r="H18" s="13" t="s">
        <v>89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61</v>
      </c>
      <c r="C19" s="13" t="s">
        <v>82</v>
      </c>
      <c r="D19" s="13" t="s">
        <v>83</v>
      </c>
      <c r="E19" s="13" t="s">
        <v>90</v>
      </c>
      <c r="F19" s="13" t="s">
        <v>64</v>
      </c>
      <c r="G19" s="13" t="s">
        <v>64</v>
      </c>
      <c r="H19" s="13" t="s">
        <v>91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61</v>
      </c>
      <c r="C20" s="13" t="s">
        <v>82</v>
      </c>
      <c r="D20" s="13" t="s">
        <v>83</v>
      </c>
      <c r="E20" s="13" t="s">
        <v>92</v>
      </c>
      <c r="F20" s="13" t="s">
        <v>64</v>
      </c>
      <c r="G20" s="13" t="s">
        <v>64</v>
      </c>
      <c r="H20" s="13" t="s">
        <v>93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61</v>
      </c>
      <c r="C21" s="13" t="s">
        <v>94</v>
      </c>
      <c r="D21" s="13" t="s">
        <v>95</v>
      </c>
      <c r="E21" s="13" t="s">
        <v>25</v>
      </c>
      <c r="F21" s="13" t="s">
        <v>64</v>
      </c>
      <c r="G21" s="13" t="s">
        <v>64</v>
      </c>
      <c r="H21" s="13" t="s">
        <v>96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 t="s">
        <v>61</v>
      </c>
      <c r="C22" s="13" t="s">
        <v>94</v>
      </c>
      <c r="D22" s="13" t="s">
        <v>95</v>
      </c>
      <c r="E22" s="13" t="s">
        <v>27</v>
      </c>
      <c r="F22" s="13" t="s">
        <v>64</v>
      </c>
      <c r="G22" s="13" t="s">
        <v>64</v>
      </c>
      <c r="H22" s="13" t="s">
        <v>97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 t="s">
        <v>61</v>
      </c>
      <c r="C23" s="13" t="s">
        <v>94</v>
      </c>
      <c r="D23" s="13" t="s">
        <v>95</v>
      </c>
      <c r="E23" s="13" t="s">
        <v>29</v>
      </c>
      <c r="F23" s="13" t="s">
        <v>64</v>
      </c>
      <c r="G23" s="13" t="s">
        <v>64</v>
      </c>
      <c r="H23" s="13" t="s">
        <v>98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 t="s">
        <v>61</v>
      </c>
      <c r="C24" s="13" t="s">
        <v>94</v>
      </c>
      <c r="D24" s="13" t="s">
        <v>95</v>
      </c>
      <c r="E24" s="13">
        <v>1.23456789E8</v>
      </c>
      <c r="F24" s="13" t="s">
        <v>64</v>
      </c>
      <c r="G24" s="13" t="s">
        <v>64</v>
      </c>
      <c r="H24" s="13" t="s">
        <v>99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 t="s">
        <v>61</v>
      </c>
      <c r="C25" s="13" t="s">
        <v>94</v>
      </c>
      <c r="D25" s="13" t="s">
        <v>95</v>
      </c>
      <c r="E25" s="13" t="s">
        <v>28</v>
      </c>
      <c r="F25" s="13" t="s">
        <v>64</v>
      </c>
      <c r="G25" s="13" t="s">
        <v>64</v>
      </c>
      <c r="H25" s="13" t="s">
        <v>100</v>
      </c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26</v>
      </c>
      <c r="D6" s="13" t="s">
        <v>25</v>
      </c>
      <c r="E6" s="13">
        <v>75.0</v>
      </c>
      <c r="F6" s="13">
        <v>10.0</v>
      </c>
      <c r="G6" s="13">
        <v>750.0</v>
      </c>
      <c r="H6" s="8"/>
      <c r="I6" s="13" t="s">
        <v>102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26</v>
      </c>
      <c r="D7" s="13" t="s">
        <v>27</v>
      </c>
      <c r="E7" s="13">
        <v>75.0</v>
      </c>
      <c r="F7" s="13">
        <v>10.0</v>
      </c>
      <c r="G7" s="13">
        <v>625.0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26</v>
      </c>
      <c r="D8" s="13" t="s">
        <v>29</v>
      </c>
      <c r="E8" s="13">
        <v>75.0</v>
      </c>
      <c r="F8" s="13">
        <v>10.0</v>
      </c>
      <c r="G8" s="13">
        <v>750.0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 t="s">
        <v>26</v>
      </c>
      <c r="D9" s="13">
        <v>1.23456789E8</v>
      </c>
      <c r="E9" s="13">
        <v>75.0</v>
      </c>
      <c r="F9" s="13">
        <v>10.0</v>
      </c>
      <c r="G9" s="13">
        <v>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 t="s">
        <v>26</v>
      </c>
      <c r="D10" s="13" t="s">
        <v>28</v>
      </c>
      <c r="E10" s="13">
        <v>75.0</v>
      </c>
      <c r="F10" s="13">
        <v>10.0</v>
      </c>
      <c r="G10" s="13">
        <v>750.0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51</v>
      </c>
      <c r="C6" s="35" t="s">
        <v>103</v>
      </c>
      <c r="D6" s="35" t="s">
        <v>53</v>
      </c>
      <c r="E6" s="35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61</v>
      </c>
      <c r="C6" s="13" t="s">
        <v>62</v>
      </c>
      <c r="D6" s="13" t="s">
        <v>63</v>
      </c>
      <c r="E6" s="13">
        <v>1.23456789E8</v>
      </c>
      <c r="F6" s="13" t="s">
        <v>64</v>
      </c>
      <c r="G6" s="13" t="s">
        <v>64</v>
      </c>
      <c r="H6" s="13" t="s">
        <v>104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61</v>
      </c>
      <c r="C7" s="13" t="s">
        <v>62</v>
      </c>
      <c r="D7" s="13" t="s">
        <v>63</v>
      </c>
      <c r="E7" s="13" t="s">
        <v>27</v>
      </c>
      <c r="F7" s="13" t="s">
        <v>64</v>
      </c>
      <c r="G7" s="13" t="s">
        <v>64</v>
      </c>
      <c r="H7" s="13" t="s">
        <v>105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61</v>
      </c>
      <c r="C8" s="13" t="s">
        <v>62</v>
      </c>
      <c r="D8" s="13" t="s">
        <v>63</v>
      </c>
      <c r="E8" s="13" t="s">
        <v>29</v>
      </c>
      <c r="F8" s="13" t="s">
        <v>64</v>
      </c>
      <c r="G8" s="13" t="s">
        <v>64</v>
      </c>
      <c r="H8" s="13" t="s">
        <v>106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61</v>
      </c>
      <c r="C9" s="13" t="s">
        <v>62</v>
      </c>
      <c r="D9" s="13" t="s">
        <v>63</v>
      </c>
      <c r="E9" s="13" t="s">
        <v>28</v>
      </c>
      <c r="F9" s="13" t="s">
        <v>64</v>
      </c>
      <c r="G9" s="13" t="s">
        <v>64</v>
      </c>
      <c r="H9" s="13" t="s">
        <v>107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61</v>
      </c>
      <c r="C10" s="13" t="s">
        <v>70</v>
      </c>
      <c r="D10" s="13" t="s">
        <v>71</v>
      </c>
      <c r="E10" s="13" t="s">
        <v>72</v>
      </c>
      <c r="F10" s="13" t="s">
        <v>64</v>
      </c>
      <c r="G10" s="13" t="s">
        <v>64</v>
      </c>
      <c r="H10" s="13" t="s">
        <v>108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61</v>
      </c>
      <c r="C11" s="13" t="s">
        <v>70</v>
      </c>
      <c r="D11" s="13" t="s">
        <v>71</v>
      </c>
      <c r="E11" s="13" t="s">
        <v>78</v>
      </c>
      <c r="F11" s="13" t="s">
        <v>64</v>
      </c>
      <c r="G11" s="13" t="s">
        <v>64</v>
      </c>
      <c r="H11" s="13" t="s">
        <v>109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61</v>
      </c>
      <c r="C12" s="13" t="s">
        <v>70</v>
      </c>
      <c r="D12" s="13" t="s">
        <v>71</v>
      </c>
      <c r="E12" s="13" t="s">
        <v>76</v>
      </c>
      <c r="F12" s="13" t="s">
        <v>64</v>
      </c>
      <c r="G12" s="13" t="s">
        <v>64</v>
      </c>
      <c r="H12" s="13" t="s">
        <v>110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61</v>
      </c>
      <c r="C13" s="13" t="s">
        <v>70</v>
      </c>
      <c r="D13" s="13" t="s">
        <v>71</v>
      </c>
      <c r="E13" s="13" t="s">
        <v>74</v>
      </c>
      <c r="F13" s="13" t="s">
        <v>64</v>
      </c>
      <c r="G13" s="13" t="s">
        <v>64</v>
      </c>
      <c r="H13" s="13" t="s">
        <v>111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61</v>
      </c>
      <c r="C14" s="13" t="s">
        <v>70</v>
      </c>
      <c r="D14" s="13" t="s">
        <v>71</v>
      </c>
      <c r="E14" s="13" t="s">
        <v>80</v>
      </c>
      <c r="F14" s="13" t="s">
        <v>64</v>
      </c>
      <c r="G14" s="13" t="s">
        <v>64</v>
      </c>
      <c r="H14" s="13" t="s">
        <v>112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 t="s">
        <v>61</v>
      </c>
      <c r="C15" s="13" t="s">
        <v>70</v>
      </c>
      <c r="D15" s="13" t="s">
        <v>71</v>
      </c>
      <c r="E15" s="13" t="s">
        <v>113</v>
      </c>
      <c r="F15" s="13" t="s">
        <v>64</v>
      </c>
      <c r="G15" s="13" t="s">
        <v>64</v>
      </c>
      <c r="H15" s="13" t="s">
        <v>114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 t="s">
        <v>61</v>
      </c>
      <c r="C16" s="13" t="s">
        <v>82</v>
      </c>
      <c r="D16" s="13" t="s">
        <v>83</v>
      </c>
      <c r="E16" s="13" t="s">
        <v>90</v>
      </c>
      <c r="F16" s="13" t="s">
        <v>64</v>
      </c>
      <c r="G16" s="13" t="s">
        <v>64</v>
      </c>
      <c r="H16" s="13" t="s">
        <v>115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 t="s">
        <v>61</v>
      </c>
      <c r="C17" s="13" t="s">
        <v>82</v>
      </c>
      <c r="D17" s="13" t="s">
        <v>83</v>
      </c>
      <c r="E17" s="13" t="s">
        <v>88</v>
      </c>
      <c r="F17" s="13" t="s">
        <v>64</v>
      </c>
      <c r="G17" s="13" t="s">
        <v>64</v>
      </c>
      <c r="H17" s="13" t="s">
        <v>116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 t="s">
        <v>61</v>
      </c>
      <c r="C18" s="13" t="s">
        <v>82</v>
      </c>
      <c r="D18" s="13" t="s">
        <v>83</v>
      </c>
      <c r="E18" s="13" t="s">
        <v>86</v>
      </c>
      <c r="F18" s="13" t="s">
        <v>64</v>
      </c>
      <c r="G18" s="13" t="s">
        <v>64</v>
      </c>
      <c r="H18" s="13" t="s">
        <v>117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 t="s">
        <v>61</v>
      </c>
      <c r="C19" s="13" t="s">
        <v>82</v>
      </c>
      <c r="D19" s="13" t="s">
        <v>83</v>
      </c>
      <c r="E19" s="13" t="s">
        <v>92</v>
      </c>
      <c r="F19" s="13" t="s">
        <v>64</v>
      </c>
      <c r="G19" s="13" t="s">
        <v>64</v>
      </c>
      <c r="H19" s="13" t="s">
        <v>118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 t="s">
        <v>61</v>
      </c>
      <c r="C20" s="13" t="s">
        <v>82</v>
      </c>
      <c r="D20" s="13" t="s">
        <v>83</v>
      </c>
      <c r="E20" s="13" t="s">
        <v>84</v>
      </c>
      <c r="F20" s="13" t="s">
        <v>64</v>
      </c>
      <c r="G20" s="13" t="s">
        <v>64</v>
      </c>
      <c r="H20" s="13" t="s">
        <v>119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 t="s">
        <v>61</v>
      </c>
      <c r="C21" s="13" t="s">
        <v>94</v>
      </c>
      <c r="D21" s="13" t="s">
        <v>95</v>
      </c>
      <c r="E21" s="13" t="s">
        <v>25</v>
      </c>
      <c r="F21" s="13" t="s">
        <v>64</v>
      </c>
      <c r="G21" s="13" t="s">
        <v>64</v>
      </c>
      <c r="H21" s="13" t="s">
        <v>120</v>
      </c>
      <c r="I21" s="8"/>
      <c r="J21" s="8"/>
      <c r="K21" s="8"/>
      <c r="L21" s="8"/>
      <c r="M21" s="8"/>
      <c r="N21" s="8"/>
      <c r="O21" s="8"/>
    </row>
    <row r="22" ht="15.75" customHeight="1">
      <c r="B22" s="9" t="s">
        <v>61</v>
      </c>
      <c r="C22" s="9" t="s">
        <v>94</v>
      </c>
      <c r="D22" s="9" t="s">
        <v>95</v>
      </c>
      <c r="E22" s="9">
        <v>1.23456789E8</v>
      </c>
      <c r="F22" s="9" t="s">
        <v>64</v>
      </c>
      <c r="G22" s="9" t="s">
        <v>64</v>
      </c>
      <c r="H22" s="9" t="s">
        <v>121</v>
      </c>
    </row>
    <row r="23" ht="15.75" customHeight="1">
      <c r="B23" s="9" t="s">
        <v>61</v>
      </c>
      <c r="C23" s="9" t="s">
        <v>94</v>
      </c>
      <c r="D23" s="9" t="s">
        <v>95</v>
      </c>
      <c r="E23" s="9" t="s">
        <v>29</v>
      </c>
      <c r="F23" s="9" t="s">
        <v>64</v>
      </c>
      <c r="G23" s="9" t="s">
        <v>64</v>
      </c>
      <c r="H23" s="9" t="s">
        <v>122</v>
      </c>
    </row>
    <row r="24" ht="15.75" customHeight="1">
      <c r="B24" s="9" t="s">
        <v>61</v>
      </c>
      <c r="C24" s="9" t="s">
        <v>94</v>
      </c>
      <c r="D24" s="9" t="s">
        <v>95</v>
      </c>
      <c r="E24" s="9" t="s">
        <v>27</v>
      </c>
      <c r="F24" s="9" t="s">
        <v>64</v>
      </c>
      <c r="G24" s="9" t="s">
        <v>64</v>
      </c>
      <c r="H24" s="9" t="s">
        <v>123</v>
      </c>
    </row>
    <row r="25" ht="15.75" customHeight="1">
      <c r="B25" s="9" t="s">
        <v>61</v>
      </c>
      <c r="C25" s="9" t="s">
        <v>94</v>
      </c>
      <c r="D25" s="9" t="s">
        <v>95</v>
      </c>
      <c r="E25" s="9" t="s">
        <v>28</v>
      </c>
      <c r="F25" s="9" t="s">
        <v>64</v>
      </c>
      <c r="G25" s="9" t="s">
        <v>64</v>
      </c>
      <c r="H25" s="9" t="s">
        <v>124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26</v>
      </c>
      <c r="D6" s="13" t="s">
        <v>25</v>
      </c>
      <c r="E6" s="13">
        <v>78.0</v>
      </c>
      <c r="F6" s="13">
        <v>20.0</v>
      </c>
      <c r="G6" s="52">
        <v>1560.0</v>
      </c>
      <c r="H6" s="8"/>
      <c r="I6" s="13" t="s">
        <v>125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26</v>
      </c>
      <c r="D7" s="13" t="s">
        <v>27</v>
      </c>
      <c r="E7" s="13">
        <v>78.0</v>
      </c>
      <c r="F7" s="13">
        <v>20.0</v>
      </c>
      <c r="G7" s="52">
        <v>1300.0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26</v>
      </c>
      <c r="D8" s="13" t="s">
        <v>29</v>
      </c>
      <c r="E8" s="13">
        <v>78.0</v>
      </c>
      <c r="F8" s="13">
        <v>20.0</v>
      </c>
      <c r="G8" s="52">
        <v>1560.0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 t="s">
        <v>26</v>
      </c>
      <c r="D9" s="13">
        <v>1.23456789E8</v>
      </c>
      <c r="E9" s="13">
        <v>78.0</v>
      </c>
      <c r="F9" s="13">
        <v>20.0</v>
      </c>
      <c r="G9" s="52">
        <v>16.0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 t="s">
        <v>26</v>
      </c>
      <c r="D10" s="13" t="s">
        <v>28</v>
      </c>
      <c r="E10" s="13">
        <v>78.0</v>
      </c>
      <c r="F10" s="13">
        <v>20.0</v>
      </c>
      <c r="G10" s="52">
        <v>1560.0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22</v>
      </c>
      <c r="C11" s="13" t="s">
        <v>26</v>
      </c>
      <c r="D11" s="13" t="s">
        <v>25</v>
      </c>
      <c r="E11" s="13">
        <v>17.0</v>
      </c>
      <c r="F11" s="13">
        <v>20.0</v>
      </c>
      <c r="G11" s="13">
        <v>340.0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126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127</v>
      </c>
      <c r="C6" s="53" t="s">
        <v>26</v>
      </c>
      <c r="D6" s="54">
        <v>100.0</v>
      </c>
      <c r="E6" s="55"/>
      <c r="F6" s="53" t="s">
        <v>128</v>
      </c>
      <c r="G6" s="55"/>
      <c r="H6" s="55"/>
      <c r="I6" s="55"/>
      <c r="J6" s="54">
        <v>10.0</v>
      </c>
      <c r="K6" s="55"/>
      <c r="L6" s="55"/>
      <c r="M6" s="55"/>
      <c r="N6" s="56">
        <f>TODAY()-28</f>
        <v>45826</v>
      </c>
      <c r="O6" s="55"/>
      <c r="P6" s="55"/>
      <c r="Q6" s="55"/>
      <c r="R6" s="55"/>
      <c r="S6" s="5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125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8" t="s">
        <v>26</v>
      </c>
      <c r="D7" s="39">
        <v>100.0</v>
      </c>
      <c r="E7" s="38"/>
      <c r="F7" s="38" t="s">
        <v>20</v>
      </c>
      <c r="G7" s="38"/>
      <c r="H7" s="38"/>
      <c r="I7" s="38"/>
      <c r="J7" s="39">
        <v>2.0</v>
      </c>
      <c r="K7" s="38"/>
      <c r="L7" s="38"/>
      <c r="M7" s="38"/>
      <c r="N7" s="57">
        <f t="shared" ref="N7:N20" si="1">TODAY()-1</f>
        <v>45853</v>
      </c>
      <c r="O7" s="38"/>
      <c r="P7" s="38"/>
      <c r="Q7" s="38"/>
      <c r="R7" s="38"/>
      <c r="S7" s="38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125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47"/>
      <c r="B8" s="38" t="s">
        <v>27</v>
      </c>
      <c r="C8" s="38" t="s">
        <v>26</v>
      </c>
      <c r="D8" s="39">
        <v>100.0</v>
      </c>
      <c r="E8" s="38"/>
      <c r="F8" s="38" t="s">
        <v>20</v>
      </c>
      <c r="G8" s="38"/>
      <c r="H8" s="38"/>
      <c r="I8" s="38"/>
      <c r="J8" s="39">
        <v>2.0</v>
      </c>
      <c r="K8" s="38"/>
      <c r="L8" s="38"/>
      <c r="M8" s="38"/>
      <c r="N8" s="57">
        <f t="shared" si="1"/>
        <v>45853</v>
      </c>
      <c r="O8" s="38"/>
      <c r="P8" s="38"/>
      <c r="Q8" s="38"/>
      <c r="R8" s="38"/>
      <c r="S8" s="38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125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47"/>
      <c r="B9" s="38" t="s">
        <v>28</v>
      </c>
      <c r="C9" s="38" t="s">
        <v>26</v>
      </c>
      <c r="D9" s="39">
        <v>100.0</v>
      </c>
      <c r="E9" s="38"/>
      <c r="F9" s="38" t="s">
        <v>20</v>
      </c>
      <c r="G9" s="38"/>
      <c r="H9" s="38"/>
      <c r="I9" s="38"/>
      <c r="J9" s="39">
        <v>2.0</v>
      </c>
      <c r="K9" s="38"/>
      <c r="L9" s="38"/>
      <c r="M9" s="38"/>
      <c r="N9" s="57">
        <f t="shared" si="1"/>
        <v>45853</v>
      </c>
      <c r="O9" s="38"/>
      <c r="P9" s="38"/>
      <c r="Q9" s="38"/>
      <c r="R9" s="38"/>
      <c r="S9" s="38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125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47"/>
      <c r="B10" s="38" t="s">
        <v>29</v>
      </c>
      <c r="C10" s="38" t="s">
        <v>26</v>
      </c>
      <c r="D10" s="39">
        <v>100.0</v>
      </c>
      <c r="E10" s="38"/>
      <c r="F10" s="38" t="s">
        <v>20</v>
      </c>
      <c r="G10" s="38"/>
      <c r="H10" s="38"/>
      <c r="I10" s="38"/>
      <c r="J10" s="39">
        <v>2.0</v>
      </c>
      <c r="K10" s="38"/>
      <c r="L10" s="38"/>
      <c r="M10" s="38"/>
      <c r="N10" s="57">
        <f t="shared" si="1"/>
        <v>45853</v>
      </c>
      <c r="O10" s="38"/>
      <c r="P10" s="38"/>
      <c r="Q10" s="38"/>
      <c r="R10" s="38"/>
      <c r="S10" s="38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125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47"/>
      <c r="B11" s="38" t="s">
        <v>30</v>
      </c>
      <c r="C11" s="38" t="s">
        <v>26</v>
      </c>
      <c r="D11" s="39">
        <v>100.0</v>
      </c>
      <c r="E11" s="38"/>
      <c r="F11" s="38" t="s">
        <v>20</v>
      </c>
      <c r="G11" s="38"/>
      <c r="H11" s="38"/>
      <c r="I11" s="38"/>
      <c r="J11" s="39">
        <v>2.0</v>
      </c>
      <c r="K11" s="38"/>
      <c r="L11" s="38"/>
      <c r="M11" s="38"/>
      <c r="N11" s="57">
        <f t="shared" si="1"/>
        <v>45853</v>
      </c>
      <c r="O11" s="38"/>
      <c r="P11" s="38"/>
      <c r="Q11" s="38"/>
      <c r="R11" s="38"/>
      <c r="S11" s="38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125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47"/>
      <c r="B12" s="38" t="s">
        <v>31</v>
      </c>
      <c r="C12" s="38" t="s">
        <v>26</v>
      </c>
      <c r="D12" s="39">
        <v>100.0</v>
      </c>
      <c r="E12" s="38"/>
      <c r="F12" s="38" t="s">
        <v>20</v>
      </c>
      <c r="G12" s="38"/>
      <c r="H12" s="38"/>
      <c r="I12" s="38"/>
      <c r="J12" s="39">
        <v>2.0</v>
      </c>
      <c r="K12" s="38"/>
      <c r="L12" s="38"/>
      <c r="M12" s="38"/>
      <c r="N12" s="57">
        <f t="shared" si="1"/>
        <v>45853</v>
      </c>
      <c r="O12" s="38"/>
      <c r="P12" s="38"/>
      <c r="Q12" s="38"/>
      <c r="R12" s="38"/>
      <c r="S12" s="38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 t="s">
        <v>125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47"/>
      <c r="B13" s="40">
        <v>1.23456789E8</v>
      </c>
      <c r="C13" s="38" t="s">
        <v>26</v>
      </c>
      <c r="D13" s="39">
        <v>100.0</v>
      </c>
      <c r="E13" s="38"/>
      <c r="F13" s="38" t="s">
        <v>20</v>
      </c>
      <c r="G13" s="38"/>
      <c r="H13" s="38"/>
      <c r="I13" s="38"/>
      <c r="J13" s="39">
        <v>2.0</v>
      </c>
      <c r="K13" s="38"/>
      <c r="L13" s="38"/>
      <c r="M13" s="38"/>
      <c r="N13" s="57">
        <f t="shared" si="1"/>
        <v>45853</v>
      </c>
      <c r="O13" s="38"/>
      <c r="P13" s="38"/>
      <c r="Q13" s="38"/>
      <c r="R13" s="38"/>
      <c r="S13" s="38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 t="s">
        <v>125</v>
      </c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47"/>
      <c r="B14" s="38" t="s">
        <v>25</v>
      </c>
      <c r="C14" s="38" t="s">
        <v>26</v>
      </c>
      <c r="D14" s="39">
        <v>100.0</v>
      </c>
      <c r="E14" s="40">
        <v>0.0</v>
      </c>
      <c r="F14" s="38" t="s">
        <v>20</v>
      </c>
      <c r="G14" s="38"/>
      <c r="H14" s="38"/>
      <c r="I14" s="38"/>
      <c r="J14" s="39">
        <v>2.0</v>
      </c>
      <c r="K14" s="38"/>
      <c r="L14" s="38"/>
      <c r="M14" s="38"/>
      <c r="N14" s="57">
        <f t="shared" si="1"/>
        <v>45853</v>
      </c>
      <c r="O14" s="38"/>
      <c r="P14" s="38"/>
      <c r="Q14" s="38"/>
      <c r="R14" s="38"/>
      <c r="S14" s="38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 t="s">
        <v>125</v>
      </c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47"/>
      <c r="B15" s="38" t="s">
        <v>27</v>
      </c>
      <c r="C15" s="38" t="s">
        <v>26</v>
      </c>
      <c r="D15" s="39">
        <v>100.0</v>
      </c>
      <c r="E15" s="40">
        <v>0.0</v>
      </c>
      <c r="F15" s="38" t="s">
        <v>20</v>
      </c>
      <c r="G15" s="38"/>
      <c r="H15" s="38"/>
      <c r="I15" s="38"/>
      <c r="J15" s="39">
        <v>2.0</v>
      </c>
      <c r="K15" s="38"/>
      <c r="L15" s="38"/>
      <c r="M15" s="38"/>
      <c r="N15" s="57">
        <f t="shared" si="1"/>
        <v>45853</v>
      </c>
      <c r="O15" s="38"/>
      <c r="P15" s="38"/>
      <c r="Q15" s="38"/>
      <c r="R15" s="38"/>
      <c r="S15" s="38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 t="s">
        <v>125</v>
      </c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47"/>
      <c r="B16" s="38" t="s">
        <v>28</v>
      </c>
      <c r="C16" s="38" t="s">
        <v>26</v>
      </c>
      <c r="D16" s="39">
        <v>100.0</v>
      </c>
      <c r="E16" s="40">
        <v>0.0</v>
      </c>
      <c r="F16" s="38" t="s">
        <v>20</v>
      </c>
      <c r="G16" s="38"/>
      <c r="H16" s="38"/>
      <c r="I16" s="38"/>
      <c r="J16" s="39">
        <v>2.0</v>
      </c>
      <c r="K16" s="38"/>
      <c r="L16" s="38"/>
      <c r="M16" s="38"/>
      <c r="N16" s="57">
        <f t="shared" si="1"/>
        <v>45853</v>
      </c>
      <c r="O16" s="38"/>
      <c r="P16" s="38"/>
      <c r="Q16" s="38"/>
      <c r="R16" s="38"/>
      <c r="S16" s="38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 t="s">
        <v>125</v>
      </c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47"/>
      <c r="B17" s="38" t="s">
        <v>29</v>
      </c>
      <c r="C17" s="38" t="s">
        <v>26</v>
      </c>
      <c r="D17" s="39">
        <v>100.0</v>
      </c>
      <c r="E17" s="40">
        <v>0.0</v>
      </c>
      <c r="F17" s="38" t="s">
        <v>20</v>
      </c>
      <c r="G17" s="38"/>
      <c r="H17" s="38"/>
      <c r="I17" s="38"/>
      <c r="J17" s="39">
        <v>2.0</v>
      </c>
      <c r="K17" s="38"/>
      <c r="L17" s="38"/>
      <c r="M17" s="38"/>
      <c r="N17" s="57">
        <f t="shared" si="1"/>
        <v>45853</v>
      </c>
      <c r="O17" s="38"/>
      <c r="P17" s="38"/>
      <c r="Q17" s="38"/>
      <c r="R17" s="38"/>
      <c r="S17" s="38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 t="s">
        <v>125</v>
      </c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47"/>
      <c r="B18" s="38" t="s">
        <v>30</v>
      </c>
      <c r="C18" s="38" t="s">
        <v>26</v>
      </c>
      <c r="D18" s="39">
        <v>100.0</v>
      </c>
      <c r="E18" s="40">
        <v>0.0</v>
      </c>
      <c r="F18" s="38" t="s">
        <v>20</v>
      </c>
      <c r="G18" s="38"/>
      <c r="H18" s="38"/>
      <c r="I18" s="38"/>
      <c r="J18" s="39">
        <v>2.0</v>
      </c>
      <c r="K18" s="38"/>
      <c r="L18" s="38"/>
      <c r="M18" s="38"/>
      <c r="N18" s="57">
        <f t="shared" si="1"/>
        <v>45853</v>
      </c>
      <c r="O18" s="38"/>
      <c r="P18" s="38"/>
      <c r="Q18" s="38"/>
      <c r="R18" s="38"/>
      <c r="S18" s="38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 t="s">
        <v>125</v>
      </c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</row>
    <row r="19" ht="15.75" customHeight="1">
      <c r="A19" s="47"/>
      <c r="B19" s="38" t="s">
        <v>31</v>
      </c>
      <c r="C19" s="38" t="s">
        <v>26</v>
      </c>
      <c r="D19" s="39">
        <v>100.0</v>
      </c>
      <c r="E19" s="40">
        <v>0.0</v>
      </c>
      <c r="F19" s="38" t="s">
        <v>20</v>
      </c>
      <c r="G19" s="38"/>
      <c r="H19" s="38"/>
      <c r="I19" s="38"/>
      <c r="J19" s="39">
        <v>2.0</v>
      </c>
      <c r="K19" s="38"/>
      <c r="L19" s="38"/>
      <c r="M19" s="38"/>
      <c r="N19" s="57">
        <f t="shared" si="1"/>
        <v>45853</v>
      </c>
      <c r="O19" s="38"/>
      <c r="P19" s="38"/>
      <c r="Q19" s="38"/>
      <c r="R19" s="38"/>
      <c r="S19" s="38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 t="s">
        <v>125</v>
      </c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</row>
    <row r="20" ht="15.75" customHeight="1">
      <c r="A20" s="47"/>
      <c r="B20" s="40">
        <v>1.23456789E8</v>
      </c>
      <c r="C20" s="38" t="s">
        <v>26</v>
      </c>
      <c r="D20" s="39">
        <v>100.0</v>
      </c>
      <c r="E20" s="40">
        <v>0.0</v>
      </c>
      <c r="F20" s="38" t="s">
        <v>20</v>
      </c>
      <c r="G20" s="38"/>
      <c r="H20" s="38"/>
      <c r="I20" s="38"/>
      <c r="J20" s="39">
        <v>2.0</v>
      </c>
      <c r="K20" s="38"/>
      <c r="L20" s="38"/>
      <c r="M20" s="38"/>
      <c r="N20" s="57">
        <f t="shared" si="1"/>
        <v>45853</v>
      </c>
      <c r="O20" s="38"/>
      <c r="P20" s="38"/>
      <c r="Q20" s="38"/>
      <c r="R20" s="38"/>
      <c r="S20" s="38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 t="s">
        <v>125</v>
      </c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</row>
    <row r="21" ht="15.75" customHeight="1">
      <c r="A21" s="47"/>
      <c r="B21" s="58" t="s">
        <v>25</v>
      </c>
      <c r="C21" s="58" t="s">
        <v>26</v>
      </c>
      <c r="D21" s="39">
        <v>100.0</v>
      </c>
      <c r="E21" s="38"/>
      <c r="F21" s="58" t="s">
        <v>22</v>
      </c>
      <c r="G21" s="38"/>
      <c r="H21" s="38"/>
      <c r="I21" s="38"/>
      <c r="J21" s="39">
        <v>2.0</v>
      </c>
      <c r="K21" s="38"/>
      <c r="L21" s="38"/>
      <c r="M21" s="38"/>
      <c r="N21" s="38"/>
      <c r="O21" s="38"/>
      <c r="P21" s="38"/>
      <c r="Q21" s="38"/>
      <c r="R21" s="38"/>
      <c r="S21" s="38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 t="s">
        <v>125</v>
      </c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129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59">
        <v>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60">
        <f t="shared" ref="B6:C6" si="1">today()-1</f>
        <v>45853</v>
      </c>
      <c r="C6" s="42">
        <f t="shared" si="1"/>
        <v>45853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