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OrderPTT" sheetId="4" r:id="rId6"/>
    <sheet state="visible" name="CreateOrderPTT1" sheetId="5" r:id="rId7"/>
    <sheet state="visible" name="CreateOrderPTT2" sheetId="6" r:id="rId8"/>
    <sheet state="visible" name="GetDailyCash" sheetId="7" r:id="rId9"/>
    <sheet state="visible" name="UpdateMultipleDailyCash" sheetId="8" r:id="rId10"/>
    <sheet state="visible" name="TradeNewSubOrder" sheetId="9" r:id="rId11"/>
    <sheet state="visible" name="CreateNewSubOrder" sheetId="10" r:id="rId12"/>
    <sheet state="visible" name="SelectTradeOnOrderGrid" sheetId="11" r:id="rId13"/>
    <sheet state="visible" name="CustomOrderTT" sheetId="12" r:id="rId14"/>
    <sheet state="visible" name="AcknowledgeTrade" sheetId="13" r:id="rId15"/>
    <sheet state="visible" name="ExecuteTrade" sheetId="14" r:id="rId16"/>
    <sheet state="visible" name="TradeNewSubOrder1" sheetId="15" r:id="rId17"/>
    <sheet state="visible" name="CreateNewSubOrder1" sheetId="16" r:id="rId18"/>
    <sheet state="visible" name="VerifyOrder" sheetId="17" r:id="rId19"/>
    <sheet state="visible" name="RightClickAndClickOperations" sheetId="18" r:id="rId20"/>
    <sheet state="visible" name="SetTTCompliancePreference" sheetId="19" r:id="rId21"/>
  </sheets>
  <definedNames/>
  <calcPr/>
</workbook>
</file>

<file path=xl/sharedStrings.xml><?xml version="1.0" encoding="utf-8"?>
<sst xmlns="http://schemas.openxmlformats.org/spreadsheetml/2006/main" count="180" uniqueCount="52">
  <si>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</si>
  <si>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</si>
  <si>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</si>
  <si>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</si>
  <si>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</si>
  <si>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</si>
  <si>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</si>
  <si>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</si>
  <si>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</si>
  <si>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</si>
  <si>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</si>
  <si>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</si>
  <si>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</si>
  <si>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CreateOrderPTT</t>
  </si>
  <si>
    <t>Data Format</t>
  </si>
  <si>
    <t>Input Format</t>
  </si>
  <si>
    <t>SAP</t>
  </si>
  <si>
    <t>Increase</t>
  </si>
  <si>
    <t>BPS</t>
  </si>
  <si>
    <t>Yes</t>
  </si>
  <si>
    <t>Allocation1</t>
  </si>
  <si>
    <t>MSFT</t>
  </si>
  <si>
    <t>Set</t>
  </si>
  <si>
    <t>AAPL</t>
  </si>
  <si>
    <t>DailyValuation</t>
  </si>
  <si>
    <t>GetDailyCash</t>
  </si>
  <si>
    <t>UpdateMultipleDailyCash</t>
  </si>
  <si>
    <t>USD</t>
  </si>
  <si>
    <t>Blotter</t>
  </si>
  <si>
    <t>TradeNewSubOrder</t>
  </si>
  <si>
    <t>New</t>
  </si>
  <si>
    <t>TradingTicket</t>
  </si>
  <si>
    <t>CreateNewSubOrder</t>
  </si>
  <si>
    <t>SelectTradeOnOrderGrid</t>
  </si>
  <si>
    <t>CustomOrderTT</t>
  </si>
  <si>
    <t>Send</t>
  </si>
  <si>
    <t>Simulator</t>
  </si>
  <si>
    <t>AcknowledgeTrade</t>
  </si>
  <si>
    <t>ExecuteTrade</t>
  </si>
  <si>
    <t>VerifyOrder</t>
  </si>
  <si>
    <t>jpearce</t>
  </si>
  <si>
    <t>Equity</t>
  </si>
  <si>
    <t>Buy</t>
  </si>
  <si>
    <t>Filled</t>
  </si>
  <si>
    <t>MS</t>
  </si>
  <si>
    <t>PST</t>
  </si>
  <si>
    <t>PartiallyFilled</t>
  </si>
  <si>
    <t>Unknown</t>
  </si>
  <si>
    <t>RightClickAndClickOperations</t>
  </si>
  <si>
    <t>Trade (New Sub)</t>
  </si>
  <si>
    <t>Order</t>
  </si>
  <si>
    <t>SetTTCompliancePreference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</si>
</sst>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ill="1" applyFont="1">
      <alignment horizontal="right"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8"/>
      <c r="I6" s="13" t="s">
        <v>20</v>
      </c>
      <c r="J6" s="8"/>
      <c r="K6" s="8"/>
      <c r="L6" s="8"/>
      <c r="M6" s="13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 t="s">
        <v>18</v>
      </c>
      <c r="E6" s="13">
        <v>10.0</v>
      </c>
      <c r="F6" s="13">
        <v>10.0</v>
      </c>
      <c r="G6" s="13" t="s">
        <v>19</v>
      </c>
      <c r="H6" s="8"/>
      <c r="I6" s="13" t="s">
        <v>20</v>
      </c>
      <c r="J6" s="8"/>
      <c r="K6" s="8"/>
      <c r="L6" s="8"/>
      <c r="M6" s="13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 t="s">
        <v>18</v>
      </c>
      <c r="E6" s="13">
        <v>1000.0</v>
      </c>
      <c r="F6" s="13">
        <v>10.0</v>
      </c>
      <c r="G6" s="13" t="s">
        <v>19</v>
      </c>
      <c r="H6" s="8"/>
      <c r="I6" s="13" t="s">
        <v>20</v>
      </c>
      <c r="J6" s="8"/>
      <c r="K6" s="8"/>
      <c r="L6" s="8"/>
      <c r="M6" s="13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45834</v>
      </c>
      <c r="C6" s="32">
        <f>TODAY()</f>
        <v>45835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27</v>
      </c>
      <c r="D6" s="13">
        <v>1000000.0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30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10.0</v>
      </c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34"/>
      <c r="H6" s="8"/>
      <c r="I6" s="35" t="s">
        <v>40</v>
      </c>
      <c r="K6" s="8"/>
      <c r="L6" s="8"/>
      <c r="M6" s="8"/>
      <c r="N6" s="8"/>
      <c r="O6" s="8"/>
      <c r="AH6" s="35" t="s">
        <v>41</v>
      </c>
      <c r="AI6" s="35" t="s">
        <v>16</v>
      </c>
      <c r="AJ6" s="36" t="s">
        <v>42</v>
      </c>
      <c r="AK6" s="37" t="s">
        <v>43</v>
      </c>
      <c r="AL6" s="34">
        <v>100.0</v>
      </c>
      <c r="AS6" s="35" t="s">
        <v>44</v>
      </c>
      <c r="AT6" s="35" t="s">
        <v>20</v>
      </c>
      <c r="BA6" s="35" t="s">
        <v>40</v>
      </c>
      <c r="BG6" s="35" t="s">
        <v>45</v>
      </c>
    </row>
    <row r="7" ht="15.75" customHeight="1">
      <c r="A7" s="8"/>
      <c r="B7" s="8"/>
      <c r="C7" s="8"/>
      <c r="D7" s="8"/>
      <c r="E7" s="8"/>
      <c r="F7" s="8"/>
      <c r="G7" s="38"/>
      <c r="H7" s="8"/>
      <c r="I7" s="35" t="s">
        <v>40</v>
      </c>
      <c r="K7" s="8"/>
      <c r="L7" s="8"/>
      <c r="M7" s="8"/>
      <c r="N7" s="8"/>
      <c r="O7" s="8"/>
      <c r="AH7" s="39" t="s">
        <v>41</v>
      </c>
      <c r="AI7" s="39" t="s">
        <v>21</v>
      </c>
      <c r="AJ7" s="40" t="s">
        <v>42</v>
      </c>
      <c r="AK7" s="41" t="s">
        <v>43</v>
      </c>
      <c r="AL7" s="38">
        <v>100.0</v>
      </c>
      <c r="AS7" s="39" t="s">
        <v>44</v>
      </c>
      <c r="AT7" s="39" t="s">
        <v>20</v>
      </c>
      <c r="BA7" s="35" t="s">
        <v>40</v>
      </c>
      <c r="BG7" s="39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35" t="s">
        <v>40</v>
      </c>
      <c r="J8" s="8"/>
      <c r="K8" s="8"/>
      <c r="L8" s="8"/>
      <c r="M8" s="8"/>
      <c r="N8" s="8"/>
      <c r="O8" s="8"/>
      <c r="AH8" s="39" t="s">
        <v>41</v>
      </c>
      <c r="AI8" s="39" t="s">
        <v>23</v>
      </c>
      <c r="AJ8" s="40" t="s">
        <v>42</v>
      </c>
      <c r="AK8" s="41" t="s">
        <v>46</v>
      </c>
      <c r="AL8" s="38">
        <v>10000.0</v>
      </c>
      <c r="AS8" s="39" t="s">
        <v>44</v>
      </c>
      <c r="AT8" s="39" t="s">
        <v>20</v>
      </c>
      <c r="BA8" s="35" t="s">
        <v>40</v>
      </c>
      <c r="BG8" s="39" t="s">
        <v>45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IFERROR(__xludf.DUMMYFUNCTION("""COMPUTED_VALUE"""),"GridName")</f>
        <v>GridName</v>
      </c>
      <c r="D5" s="28" t="str">
        <f>IFERROR(__xludf.DUMMYFUNCTION("""COMPUTED_VALUE"""),"PopUpsParentNames")</f>
        <v>PopUpsParentNames</v>
      </c>
      <c r="E5" s="28" t="str">
        <f>IFERROR(__xludf.DUMMYFUNCTION("""COMPUTED_VALUE"""),"SecondaryActions")</f>
        <v>SecondaryActions</v>
      </c>
      <c r="F5" s="29" t="str">
        <f>IFERROR(__xludf.DUMMYFUNCTION("""COMPUTED_VALUE"""),"Popups Text(empty AutomationID)")</f>
        <v>Popups Text(empty AutomationID)</v>
      </c>
      <c r="G5" s="28" t="str">
        <f>IFERROR(__xludf.DUMMYFUNCTION("""COMPUTED_VALUE"""),"Expected Popups(AutomationID)")</f>
        <v>Expected Popups(AutomationID)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RightClickAndClickOperations!$4:$4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