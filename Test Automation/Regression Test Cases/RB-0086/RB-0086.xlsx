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RebalanceAcrossSecurities" sheetId="12" r:id="rId14"/>
    <sheet state="visible" name="ModifyRebalance" sheetId="13" r:id="rId15"/>
    <sheet state="visible" name="VerifyGridData" sheetId="14" r:id="rId16"/>
    <sheet state="visible" name="SendtoStaging" sheetId="15" r:id="rId17"/>
  </sheets>
  <definedNames/>
  <calcPr/>
</workbook>
</file>

<file path=xl/sharedStrings.xml><?xml version="1.0" encoding="utf-8"?>
<sst xmlns="http://schemas.openxmlformats.org/spreadsheetml/2006/main" count="154" uniqueCount="52">
  <si>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</si>
  <si>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</si>
  <si>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</si>
  <si>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</si>
  <si>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</si>
  <si>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</si>
  <si>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</si>
  <si>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</si>
  <si>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</si>
  <si>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</si>
  <si>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</si>
  <si>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</si>
  <si>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</si>
  <si>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</si>
  <si>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</si>
  <si>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</si>
  <si>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</si>
  <si>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</si>
  <si>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</si>
  <si>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</si>
  <si>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</si>
  <si>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</si>
  <si>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</si>
  <si>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</si>
  <si>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</si>
  <si>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</si>
  <si>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</si>
  <si>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</si>
  <si>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</si>
  <si>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</si>
  <si>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</si>
  <si>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</si>
  <si>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</si>
  <si>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</si>
  <si>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</si>
  <si>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</si>
  <si>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</si>
  <si>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</si>
  <si>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</si>
  <si>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Down</t>
  </si>
  <si>
    <t>RebalanceAcrossSecurities</t>
  </si>
  <si>
    <t>SET</t>
  </si>
  <si>
    <t>ModifyRebalance</t>
  </si>
  <si>
    <t>Yes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</si>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</sst>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5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5" fontId="4" numFmtId="0" xfId="0" applyAlignment="1" applyBorder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 t="s">
        <v>16</v>
      </c>
      <c r="C6" s="33">
        <v>100.0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17</v>
      </c>
      <c r="C7" s="3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18</v>
      </c>
      <c r="C8" s="3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19</v>
      </c>
      <c r="C9" s="33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36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37" t="s">
        <v>16</v>
      </c>
      <c r="C6" s="38" t="s">
        <v>22</v>
      </c>
      <c r="D6" s="39">
        <v>600.0</v>
      </c>
      <c r="E6" s="38"/>
      <c r="F6" s="38"/>
      <c r="G6" s="38"/>
      <c r="H6" s="38"/>
      <c r="I6" s="38"/>
      <c r="J6" s="33">
        <v>10.0</v>
      </c>
      <c r="K6" s="38"/>
      <c r="L6" s="38"/>
      <c r="M6" s="38"/>
      <c r="N6" s="40">
        <f t="shared" ref="N6:N9" si="1">today()-1</f>
        <v>44840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17</v>
      </c>
      <c r="C7" s="38" t="s">
        <v>22</v>
      </c>
      <c r="D7" s="33">
        <v>100.0</v>
      </c>
      <c r="E7" s="38"/>
      <c r="F7" s="38"/>
      <c r="G7" s="38"/>
      <c r="H7" s="38"/>
      <c r="I7" s="38"/>
      <c r="J7" s="33">
        <v>10.0</v>
      </c>
      <c r="K7" s="38"/>
      <c r="L7" s="38"/>
      <c r="M7" s="38"/>
      <c r="N7" s="40">
        <f t="shared" si="1"/>
        <v>44840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18</v>
      </c>
      <c r="C8" s="38" t="s">
        <v>23</v>
      </c>
      <c r="D8" s="33">
        <v>100.0</v>
      </c>
      <c r="E8" s="38"/>
      <c r="F8" s="38"/>
      <c r="G8" s="38"/>
      <c r="H8" s="38"/>
      <c r="I8" s="38"/>
      <c r="J8" s="33">
        <v>10.0</v>
      </c>
      <c r="K8" s="38"/>
      <c r="L8" s="38"/>
      <c r="M8" s="38"/>
      <c r="N8" s="40">
        <f t="shared" si="1"/>
        <v>44840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19</v>
      </c>
      <c r="C9" s="38" t="s">
        <v>22</v>
      </c>
      <c r="D9" s="33">
        <v>600.0</v>
      </c>
      <c r="E9" s="38"/>
      <c r="F9" s="38"/>
      <c r="G9" s="38"/>
      <c r="H9" s="38"/>
      <c r="I9" s="38"/>
      <c r="J9" s="33">
        <v>10.0</v>
      </c>
      <c r="K9" s="38"/>
      <c r="L9" s="38"/>
      <c r="M9" s="38"/>
      <c r="N9" s="40">
        <f t="shared" si="1"/>
        <v>44840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IFERROR(__xludf.DUMMYFUNCTION("""COMPUTED_VALUE"""),"User Px")</f>
        <v>User Px</v>
      </c>
      <c r="D5" s="29" t="str">
        <f>IFERROR(__xludf.DUMMYFUNCTION("""COMPUTED_VALUE"""),"Asset Class")</f>
        <v>Asset Class</v>
      </c>
      <c r="E5" s="29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29" t="str">
        <f>IFERROR(__xludf.DUMMYFUNCTION("""COMPUTED_VALUE"""),"User Volatility")</f>
        <v>User Volatility</v>
      </c>
      <c r="H5" s="29" t="str">
        <f>IFERROR(__xludf.DUMMYFUNCTION("""COMPUTED_VALUE"""),"Interest Rate")</f>
        <v>Interest Rate</v>
      </c>
      <c r="I5" s="29" t="str">
        <f>IFERROR(__xludf.DUMMYFUNCTION("""COMPUTED_VALUE"""),"User Interest Rate")</f>
        <v>User Interest Rate</v>
      </c>
      <c r="J5" s="29" t="str">
        <f>IFERROR(__xludf.DUMMYFUNCTION("""COMPUTED_VALUE"""),"Dividend Yield")</f>
        <v>Dividend Yield</v>
      </c>
      <c r="K5" s="29" t="str">
        <f>IFERROR(__xludf.DUMMYFUNCTION("""COMPUTED_VALUE"""),"User Dividend Yield")</f>
        <v>User Dividend Yield</v>
      </c>
      <c r="L5" s="29" t="str">
        <f>IFERROR(__xludf.DUMMYFUNCTION("""COMPUTED_VALUE"""),"Actual Delta")</f>
        <v>Actual Delta</v>
      </c>
      <c r="M5" s="29" t="str">
        <f>IFERROR(__xludf.DUMMYFUNCTION("""COMPUTED_VALUE"""),"User Delta")</f>
        <v>User Delta</v>
      </c>
      <c r="N5" s="29" t="str">
        <f>IFERROR(__xludf.DUMMYFUNCTION("""COMPUTED_VALUE"""),"Selected Px")</f>
        <v>Selected Px</v>
      </c>
      <c r="O5" s="29" t="str">
        <f>IFERROR(__xludf.DUMMYFUNCTION("""COMPUTED_VALUE"""),"Forward Points")</f>
        <v>Forward Points</v>
      </c>
      <c r="P5" s="29" t="str">
        <f>IFERROR(__xludf.DUMMYFUNCTION("""COMPUTED_VALUE"""),"Shares Outstanding")</f>
        <v>Shares Outstanding</v>
      </c>
      <c r="Q5" s="29" t="str">
        <f>IFERROR(__xludf.DUMMYFUNCTION("""COMPUTED_VALUE"""),"User Shares Outstanding")</f>
        <v>User Shares Outstanding</v>
      </c>
      <c r="R5" s="29" t="str">
        <f>IFERROR(__xludf.DUMMYFUNCTION("""COMPUTED_VALUE"""),"LastPriceUsed")</f>
        <v>LastPriceUsed</v>
      </c>
      <c r="S5" s="29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 t="str">
        <f>IFERROR(__xludf.DUMMYFUNCTION("""COMPUTED_VALUE"""),"SM Shares Outstanding")</f>
        <v>SM Shares Outstanding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41" t="s">
        <v>16</v>
      </c>
      <c r="C6" s="42">
        <v>194.32</v>
      </c>
      <c r="D6" s="43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5" t="s">
        <v>17</v>
      </c>
      <c r="C7" s="33">
        <v>94.51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5" t="s">
        <v>18</v>
      </c>
      <c r="C8" s="33">
        <v>36.48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5" t="s">
        <v>19</v>
      </c>
      <c r="C9" s="33">
        <v>6.56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45">
        <f t="shared" ref="B6:C6" si="1">today()-1</f>
        <v>44840</v>
      </c>
      <c r="C6" s="45">
        <f t="shared" si="1"/>
        <v>44840</v>
      </c>
      <c r="D6" s="43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43" t="s">
        <v>28</v>
      </c>
      <c r="C6" s="44" t="s">
        <v>29</v>
      </c>
      <c r="D6" s="46">
        <v>40000.0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IFERROR(__xludf.DUMMYFUNCTION("""COMPUTED_VALUE"""),"Account/Groups")</f>
        <v>Account/Groups</v>
      </c>
      <c r="C5" s="29" t="str">
        <f>IFERROR(__xludf.DUMMYFUNCTION("""COMPUTED_VALUE"""),"Account Positions")</f>
        <v>Account Positions</v>
      </c>
      <c r="D5" s="29" t="str">
        <f>IFERROR(__xludf.DUMMYFUNCTION("""COMPUTED_VALUE"""),"Calculation Level")</f>
        <v>Calculation Level</v>
      </c>
      <c r="E5" s="29" t="str">
        <f>IFERROR(__xludf.DUMMYFUNCTION("""COMPUTED_VALUE"""),"Refresh")</f>
        <v>Refresh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43" t="s">
        <v>28</v>
      </c>
      <c r="C6" s="44" t="s">
        <v>32</v>
      </c>
      <c r="D6" s="43" t="s">
        <v>33</v>
      </c>
      <c r="E6" s="44" t="s">
        <v>34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IFERROR(__xludf.DUMMYFUNCTION("""COMPUTED_VALUE"""),"Cash Flow(USD)")</f>
        <v>Cash Flow(USD)</v>
      </c>
      <c r="C5" s="29" t="str">
        <f>IFERROR(__xludf.DUMMYFUNCTION("""COMPUTED_VALUE"""),"Cash Flow Impact on NAV")</f>
        <v>Cash Flow Impact on NAV</v>
      </c>
      <c r="D5" s="29" t="str">
        <f>IFERROR(__xludf.DUMMYFUNCTION("""COMPUTED_VALUE"""),"Select Model")</f>
        <v>Select Model</v>
      </c>
      <c r="E5" s="29" t="str">
        <f>IFERROR(__xludf.DUMMYFUNCTION("""COMPUTED_VALUE"""),"Custom Cash Flow")</f>
        <v>Custom Cash Flow</v>
      </c>
      <c r="F5" s="30" t="str">
        <f>IFERROR(__xludf.DUMMYFUNCTION("""COMPUTED_VALUE"""),"MasterFund Groups")</f>
        <v>MasterFund Groups</v>
      </c>
      <c r="G5" s="29" t="str">
        <f>IFERROR(__xludf.DUMMYFUNCTION("""COMPUTED_VALUE"""),"Accounts")</f>
        <v>Accounts</v>
      </c>
      <c r="H5" s="29" t="str">
        <f>IFERROR(__xludf.DUMMYFUNCTION("""COMPUTED_VALUE"""),"Cash Flow Account Wise")</f>
        <v>Cash Flow Account Wise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46">
        <v>16633.0</v>
      </c>
      <c r="C6" s="44" t="s">
        <v>36</v>
      </c>
      <c r="D6" s="43" t="s">
        <v>37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13" t="s">
        <v>39</v>
      </c>
      <c r="C6" s="44"/>
      <c r="D6" s="47" t="b">
        <v>1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IFERROR(__xludf.DUMMYFUNCTION("""COMPUTED_VALUE"""),"Ticker")</f>
        <v>Ticker</v>
      </c>
      <c r="C5" s="29" t="str">
        <f>IFERROR(__xludf.DUMMYFUNCTION("""COMPUTED_VALUE"""),"Set/Inc/Dec")</f>
        <v>Set/Inc/Dec</v>
      </c>
      <c r="D5" s="29" t="str">
        <f>IFERROR(__xludf.DUMMYFUNCTION("""COMPUTED_VALUE"""),"Target%")</f>
        <v>Target%</v>
      </c>
      <c r="E5" s="29" t="str">
        <f>IFERROR(__xludf.DUMMYFUNCTION("""COMPUTED_VALUE"""),"Account/Group")</f>
        <v>Account/Group</v>
      </c>
      <c r="F5" s="30" t="str">
        <f>IFERROR(__xludf.DUMMYFUNCTION("""COMPUTED_VALUE"""),"ReinvestCash")</f>
        <v>ReinvestCash</v>
      </c>
      <c r="G5" s="29" t="str">
        <f>IFERROR(__xludf.DUMMYFUNCTION("""COMPUTED_VALUE"""),"SellToRaiseCash")</f>
        <v>SellToRaiseCash</v>
      </c>
      <c r="H5" s="29" t="str">
        <f>IFERROR(__xludf.DUMMYFUNCTION("""COMPUTED_VALUE"""),"AllowNegCash")</f>
        <v>AllowNegCash</v>
      </c>
      <c r="I5" s="29" t="str">
        <f>IFERROR(__xludf.DUMMYFUNCTION("""COMPUTED_VALUE"""),"NoShortning")</f>
        <v>NoShortning</v>
      </c>
      <c r="J5" s="29" t="str">
        <f>IFERROR(__xludf.DUMMYFUNCTION("""COMPUTED_VALUE"""),"Price")</f>
        <v>Price</v>
      </c>
      <c r="K5" s="29" t="str">
        <f>IFERROR(__xludf.DUMMYFUNCTION("""COMPUTED_VALUE"""),"Fx")</f>
        <v>Fx</v>
      </c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43" t="s">
        <v>16</v>
      </c>
      <c r="C6" s="48" t="s">
        <v>41</v>
      </c>
      <c r="D6" s="46">
        <v>10.0</v>
      </c>
      <c r="E6" s="44" t="s">
        <v>28</v>
      </c>
      <c r="F6" s="44"/>
      <c r="G6" s="44"/>
      <c r="H6" s="44"/>
      <c r="I6" s="44"/>
      <c r="J6" s="42">
        <v>194.32</v>
      </c>
      <c r="K6" s="44"/>
      <c r="L6" s="44"/>
      <c r="M6" s="44"/>
      <c r="N6" s="44"/>
      <c r="O6" s="44"/>
      <c r="P6" s="44"/>
      <c r="Q6" s="44"/>
      <c r="R6" s="44"/>
      <c r="S6" s="4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IFERROR(__xludf.DUMMYFUNCTION("""COMPUTED_VALUE"""),"Modify Rebalance")</f>
        <v>Modify Rebalance</v>
      </c>
      <c r="C5" s="29" t="str">
        <f>IFERROR(__xludf.DUMMYFUNCTION("""COMPUTED_VALUE"""),"AllowNegCash")</f>
        <v>AllowNegCash</v>
      </c>
      <c r="D5" s="29" t="str">
        <f>IFERROR(__xludf.DUMMYFUNCTION("""COMPUTED_VALUE"""),"SellToRaiseCash")</f>
        <v>SellToRaiseCash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43" t="s">
        <v>43</v>
      </c>
      <c r="C6" s="44"/>
      <c r="D6" s="43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IFERROR(__xludf.DUMMYFUNCTION("""COMPUTED_VALUE"""),"Lock/Unlock")</f>
        <v>Lock/Unlock</v>
      </c>
      <c r="C5" s="29" t="str">
        <f>IFERROR(__xludf.DUMMYFUNCTION("""COMPUTED_VALUE"""),"Account")</f>
        <v>Account</v>
      </c>
      <c r="D5" s="29" t="str">
        <f>IFERROR(__xludf.DUMMYFUNCTION("""COMPUTED_VALUE"""),"Symbol")</f>
        <v>Symbol</v>
      </c>
      <c r="E5" s="29" t="str">
        <f>IFERROR(__xludf.DUMMYFUNCTION("""COMPUTED_VALUE"""),"Asset")</f>
        <v>Asset</v>
      </c>
      <c r="F5" s="30" t="str">
        <f>IFERROR(__xludf.DUMMYFUNCTION("""COMPUTED_VALUE"""),"Side")</f>
        <v>Side</v>
      </c>
      <c r="G5" s="29" t="str">
        <f>IFERROR(__xludf.DUMMYFUNCTION("""COMPUTED_VALUE"""),"Price (Local)")</f>
        <v>Price (Local)</v>
      </c>
      <c r="H5" s="29" t="str">
        <f>IFERROR(__xludf.DUMMYFUNCTION("""COMPUTED_VALUE"""),"Price (Base)")</f>
        <v>Price (Base)</v>
      </c>
      <c r="I5" s="29" t="str">
        <f>IFERROR(__xludf.DUMMYFUNCTION("""COMPUTED_VALUE"""),"FX Rate")</f>
        <v>FX Rate</v>
      </c>
      <c r="J5" s="29" t="str">
        <f>IFERROR(__xludf.DUMMYFUNCTION("""COMPUTED_VALUE"""),"Current %")</f>
        <v>Current %</v>
      </c>
      <c r="K5" s="29" t="str">
        <f>IFERROR(__xludf.DUMMYFUNCTION("""COMPUTED_VALUE"""),"Current Position")</f>
        <v>Current Position</v>
      </c>
      <c r="L5" s="29" t="str">
        <f>IFERROR(__xludf.DUMMYFUNCTION("""COMPUTED_VALUE"""),"Current Market Value (Local)")</f>
        <v>Current Market Value (Local)</v>
      </c>
      <c r="M5" s="29" t="str">
        <f>IFERROR(__xludf.DUMMYFUNCTION("""COMPUTED_VALUE"""),"Current Market Value")</f>
        <v>Current Market Value</v>
      </c>
      <c r="N5" s="29" t="str">
        <f>IFERROR(__xludf.DUMMYFUNCTION("""COMPUTED_VALUE"""),"Target %")</f>
        <v>Target %</v>
      </c>
      <c r="O5" s="29" t="str">
        <f>IFERROR(__xludf.DUMMYFUNCTION("""COMPUTED_VALUE"""),"Target Position")</f>
        <v>Target Position</v>
      </c>
      <c r="P5" s="29" t="str">
        <f>IFERROR(__xludf.DUMMYFUNCTION("""COMPUTED_VALUE"""),"Target Market Value (Local)")</f>
        <v>Target Market Value (Local)</v>
      </c>
      <c r="Q5" s="29" t="str">
        <f>IFERROR(__xludf.DUMMYFUNCTION("""COMPUTED_VALUE"""),"Target Market Value")</f>
        <v>Target Market Value</v>
      </c>
      <c r="R5" s="29" t="str">
        <f>IFERROR(__xludf.DUMMYFUNCTION("""COMPUTED_VALUE"""),"Buy/Sell Qty")</f>
        <v>Buy/Sell Qty</v>
      </c>
      <c r="S5" s="29" t="str">
        <f>IFERROR(__xludf.DUMMYFUNCTION("""COMPUTED_VALUE"""),"Buy/Sell Value")</f>
        <v>Buy/Sell Value</v>
      </c>
      <c r="T5" s="31" t="str">
        <f>IFERROR(__xludf.DUMMYFUNCTION("""COMPUTED_VALUE"""),"Sector")</f>
        <v>Sector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49" t="s">
        <v>28</v>
      </c>
      <c r="D6" s="49" t="s">
        <v>17</v>
      </c>
      <c r="E6" s="49" t="s">
        <v>45</v>
      </c>
      <c r="F6" s="49" t="s">
        <v>46</v>
      </c>
      <c r="G6" s="50">
        <v>94.51</v>
      </c>
      <c r="H6" s="50">
        <v>94.51</v>
      </c>
      <c r="J6" s="8"/>
      <c r="K6" s="50">
        <v>100.0</v>
      </c>
      <c r="L6" s="50">
        <v>9451.0</v>
      </c>
      <c r="M6" s="50">
        <v>9451.0</v>
      </c>
      <c r="N6" s="8"/>
      <c r="O6" s="50">
        <v>100.0</v>
      </c>
      <c r="P6" s="50">
        <v>9451.0</v>
      </c>
      <c r="Q6" s="50">
        <v>9451.0</v>
      </c>
      <c r="R6" s="50">
        <v>0.0</v>
      </c>
      <c r="S6" s="50">
        <v>0.0</v>
      </c>
    </row>
    <row r="7" ht="15.75" customHeight="1">
      <c r="A7" s="8"/>
      <c r="B7" s="8"/>
      <c r="C7" s="49" t="s">
        <v>28</v>
      </c>
      <c r="D7" s="49" t="s">
        <v>16</v>
      </c>
      <c r="E7" s="49" t="s">
        <v>45</v>
      </c>
      <c r="F7" s="49" t="s">
        <v>46</v>
      </c>
      <c r="G7" s="50">
        <v>194.32</v>
      </c>
      <c r="H7" s="50">
        <v>194.32</v>
      </c>
      <c r="J7" s="8"/>
      <c r="K7" s="50">
        <v>600.0</v>
      </c>
      <c r="L7" s="50">
        <v>116592.0</v>
      </c>
      <c r="M7" s="50">
        <v>116592.0</v>
      </c>
      <c r="N7" s="8"/>
      <c r="O7" s="50">
        <v>100.0</v>
      </c>
      <c r="P7" s="50">
        <v>19432.0</v>
      </c>
      <c r="Q7" s="50">
        <v>19432.0</v>
      </c>
      <c r="R7" s="50">
        <v>-500.0</v>
      </c>
      <c r="S7" s="51">
        <v>-97160.0</v>
      </c>
    </row>
    <row r="8" ht="15.75" customHeight="1">
      <c r="A8" s="8"/>
      <c r="B8" s="8"/>
      <c r="C8" s="49" t="s">
        <v>28</v>
      </c>
      <c r="D8" s="49" t="s">
        <v>19</v>
      </c>
      <c r="E8" s="49" t="s">
        <v>45</v>
      </c>
      <c r="F8" s="49" t="s">
        <v>46</v>
      </c>
      <c r="G8" s="50">
        <v>6.56</v>
      </c>
      <c r="H8" s="50">
        <v>6.56</v>
      </c>
      <c r="J8" s="8"/>
      <c r="K8" s="50">
        <v>600.0</v>
      </c>
      <c r="L8" s="50">
        <v>3936.0</v>
      </c>
      <c r="M8" s="50">
        <v>3936.0</v>
      </c>
      <c r="N8" s="8"/>
      <c r="O8" s="50">
        <v>659.0</v>
      </c>
      <c r="P8" s="50">
        <v>4323.04</v>
      </c>
      <c r="Q8" s="50">
        <v>4323.04</v>
      </c>
      <c r="R8" s="50">
        <v>59.0</v>
      </c>
      <c r="S8" s="50">
        <v>387.0</v>
      </c>
    </row>
    <row r="9" ht="15.75" customHeight="1">
      <c r="A9" s="8"/>
      <c r="B9" s="8"/>
      <c r="C9" s="49" t="s">
        <v>28</v>
      </c>
      <c r="D9" s="49" t="s">
        <v>18</v>
      </c>
      <c r="E9" s="49" t="s">
        <v>45</v>
      </c>
      <c r="F9" s="49" t="s">
        <v>47</v>
      </c>
      <c r="G9" s="50">
        <v>36.48</v>
      </c>
      <c r="H9" s="50">
        <v>36.48</v>
      </c>
      <c r="J9" s="8"/>
      <c r="K9" s="50">
        <v>100.0</v>
      </c>
      <c r="L9" s="50">
        <v>-3648.0</v>
      </c>
      <c r="M9" s="50">
        <v>-3648.0</v>
      </c>
      <c r="N9" s="8"/>
      <c r="O9" s="50">
        <v>100.0</v>
      </c>
      <c r="P9" s="50">
        <v>-3648.0</v>
      </c>
      <c r="Q9" s="50">
        <v>-3648.0</v>
      </c>
      <c r="R9" s="50">
        <v>0.0</v>
      </c>
      <c r="S9" s="50">
        <v>0.0</v>
      </c>
    </row>
    <row r="10" ht="15.75" customHeight="1">
      <c r="A10" s="8"/>
      <c r="B10" s="8"/>
      <c r="C10" s="49" t="s">
        <v>28</v>
      </c>
      <c r="D10" s="49" t="s">
        <v>48</v>
      </c>
      <c r="E10" s="49" t="s">
        <v>48</v>
      </c>
      <c r="F10" s="49" t="s">
        <v>46</v>
      </c>
      <c r="G10" s="50">
        <v>1.0</v>
      </c>
      <c r="H10" s="50">
        <v>1.0</v>
      </c>
      <c r="J10" s="8"/>
      <c r="K10" s="50">
        <v>0.0</v>
      </c>
      <c r="L10" s="50">
        <v>0.0</v>
      </c>
      <c r="M10" s="50">
        <v>0.0</v>
      </c>
      <c r="N10" s="8"/>
      <c r="O10" s="50">
        <v>0.0</v>
      </c>
      <c r="P10" s="50">
        <v>0.0</v>
      </c>
      <c r="Q10" s="50">
        <v>0.0</v>
      </c>
      <c r="R10" s="50">
        <v>0.0</v>
      </c>
      <c r="S10" s="50">
        <v>0.0</v>
      </c>
    </row>
    <row r="11" ht="15.75" customHeight="1">
      <c r="A11" s="8"/>
      <c r="B11" s="8"/>
      <c r="C11" s="49" t="s">
        <v>28</v>
      </c>
      <c r="D11" s="49" t="s">
        <v>49</v>
      </c>
      <c r="E11" s="49" t="s">
        <v>49</v>
      </c>
      <c r="F11" s="49" t="s">
        <v>46</v>
      </c>
      <c r="G11" s="50">
        <v>1.0</v>
      </c>
      <c r="H11" s="50">
        <v>1.0</v>
      </c>
      <c r="J11" s="8"/>
      <c r="K11" s="50">
        <v>40000.0</v>
      </c>
      <c r="L11" s="50">
        <v>40000.0</v>
      </c>
      <c r="M11" s="50">
        <v>40000.0</v>
      </c>
      <c r="N11" s="8"/>
      <c r="O11" s="50">
        <v>153405.0</v>
      </c>
      <c r="P11" s="50">
        <v>153405.0</v>
      </c>
      <c r="Q11" s="50">
        <v>153405.0</v>
      </c>
      <c r="R11" s="50">
        <v>113405.0</v>
      </c>
      <c r="S11" s="51">
        <v>113405.0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9" t="s">
        <v>28</v>
      </c>
      <c r="C6" s="49" t="s">
        <v>51</v>
      </c>
      <c r="D6" s="49" t="s">
        <v>16</v>
      </c>
      <c r="E6" s="50">
        <v>500.0</v>
      </c>
      <c r="F6" s="50">
        <v>194.32</v>
      </c>
      <c r="G6" s="51">
        <v>-97160.0</v>
      </c>
      <c r="H6" s="52"/>
      <c r="I6" s="8"/>
      <c r="J6" s="8"/>
      <c r="K6" s="8"/>
      <c r="L6" s="8"/>
      <c r="M6" s="8"/>
      <c r="N6" s="8"/>
      <c r="O6" s="8"/>
    </row>
    <row r="7" ht="15.75" customHeight="1">
      <c r="A7" s="8"/>
      <c r="B7" s="49" t="s">
        <v>28</v>
      </c>
      <c r="C7" s="49" t="s">
        <v>22</v>
      </c>
      <c r="D7" s="49" t="s">
        <v>19</v>
      </c>
      <c r="E7" s="50">
        <v>59.0</v>
      </c>
      <c r="F7" s="50">
        <v>6.56</v>
      </c>
      <c r="G7" s="51">
        <v>387.0</v>
      </c>
      <c r="H7" s="52"/>
      <c r="I7" s="8"/>
      <c r="J7" s="8"/>
      <c r="K7" s="8"/>
      <c r="L7" s="8"/>
      <c r="M7" s="8"/>
      <c r="N7" s="8"/>
      <c r="O7" s="8"/>
    </row>
    <row r="8" ht="15.75" customHeight="1">
      <c r="A8" s="8"/>
      <c r="B8" s="49"/>
      <c r="C8" s="49"/>
      <c r="D8" s="49"/>
      <c r="E8" s="50"/>
      <c r="F8" s="50"/>
      <c r="G8" s="51"/>
      <c r="H8" s="52"/>
      <c r="I8" s="8"/>
      <c r="J8" s="8"/>
      <c r="K8" s="8"/>
      <c r="L8" s="8"/>
      <c r="M8" s="8"/>
      <c r="N8" s="8"/>
      <c r="O8" s="8"/>
    </row>
    <row r="9" ht="15.75" customHeight="1">
      <c r="A9" s="8"/>
      <c r="B9" s="49"/>
      <c r="C9" s="49"/>
      <c r="D9" s="49"/>
      <c r="E9" s="50"/>
      <c r="F9" s="50"/>
      <c r="G9" s="50"/>
      <c r="H9" s="52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