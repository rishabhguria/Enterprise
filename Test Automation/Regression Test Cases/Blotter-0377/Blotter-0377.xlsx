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SymbolToWatchlist" sheetId="4" r:id="rId6"/>
    <sheet state="visible" name="TradeFromWatchlist" sheetId="5" r:id="rId7"/>
    <sheet state="visible" name="CreateDoneAwayOrder" sheetId="6" r:id="rId8"/>
    <sheet state="visible" name="CreateDoneAwayOrder1" sheetId="7" r:id="rId9"/>
    <sheet state="visible" name="VerifyOrder" sheetId="8" r:id="rId10"/>
    <sheet state="visible" name="TransferToUserOrder" sheetId="9" r:id="rId11"/>
    <sheet state="visible" name="LoginClient" sheetId="10" r:id="rId12"/>
    <sheet state="visible" name="AddSymbolToWatchlist1" sheetId="11" r:id="rId13"/>
    <sheet state="visible" name="TradeFromWatchlist1" sheetId="12" r:id="rId14"/>
    <sheet state="visible" name="VerifyOrder1" sheetId="13" r:id="rId15"/>
  </sheets>
  <definedNames/>
  <calcPr/>
</workbook>
</file>

<file path=xl/sharedStrings.xml><?xml version="1.0" encoding="utf-8"?>
<sst xmlns="http://schemas.openxmlformats.org/spreadsheetml/2006/main" count="169" uniqueCount="43">
  <si>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</si>
  <si>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</si>
  <si>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</si>
  <si>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</si>
  <si>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</si>
  <si>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</si>
  <si>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</si>
  <si>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</si>
  <si>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</si>
  <si>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</si>
  <si>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</si>
  <si>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</si>
  <si>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Watchlist</t>
  </si>
  <si>
    <t>AddSymbolToWatchlist</t>
  </si>
  <si>
    <t>Data Format</t>
  </si>
  <si>
    <t>Input Format</t>
  </si>
  <si>
    <t>SAP</t>
  </si>
  <si>
    <t>TradeFromWatchlist</t>
  </si>
  <si>
    <t>Buy</t>
  </si>
  <si>
    <t>TradingTicket</t>
  </si>
  <si>
    <t>CreateDoneAwayOrder</t>
  </si>
  <si>
    <t>Allocation1</t>
  </si>
  <si>
    <t>MS</t>
  </si>
  <si>
    <t>IBM</t>
  </si>
  <si>
    <t>Sell</t>
  </si>
  <si>
    <t>Blotter</t>
  </si>
  <si>
    <t>VerifyOrder</t>
  </si>
  <si>
    <t>NASDAQ</t>
  </si>
  <si>
    <t>jpearce</t>
  </si>
  <si>
    <t>GCCAP1</t>
  </si>
  <si>
    <t>USD</t>
  </si>
  <si>
    <t>NewMF</t>
  </si>
  <si>
    <t>DefaultNotes</t>
  </si>
  <si>
    <t>Filled</t>
  </si>
  <si>
    <t>Market</t>
  </si>
  <si>
    <t>Manual</t>
  </si>
  <si>
    <t>TransferToUserOrder</t>
  </si>
  <si>
    <t>jgulbrandsen</t>
  </si>
  <si>
    <t>Yes</t>
  </si>
  <si>
    <t>PranaClient</t>
  </si>
  <si>
    <t>LoginClient</t>
  </si>
  <si>
    <t>Support2</t>
  </si>
  <si>
    <t>Nirvana@1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</si>
</sst>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6" fontId="14" numFmtId="0" xfId="0" applyAlignment="1" applyFill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AddSymbolToWatchlist!$4:$4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1" t="s">
        <v>18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TradeFromWatchlist!$4:$4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1" t="s">
        <v>16</v>
      </c>
      <c r="C6" s="32" t="s">
        <v>18</v>
      </c>
      <c r="D6" s="33">
        <v>100.0</v>
      </c>
      <c r="E6" s="33">
        <v>100.0</v>
      </c>
      <c r="F6" s="32" t="s">
        <v>21</v>
      </c>
      <c r="G6" s="32" t="s">
        <v>22</v>
      </c>
      <c r="H6" s="32"/>
      <c r="I6" s="32"/>
      <c r="J6" s="33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1" t="s">
        <v>23</v>
      </c>
      <c r="C6" s="13" t="s">
        <v>24</v>
      </c>
      <c r="D6" s="33">
        <v>100.0</v>
      </c>
      <c r="E6" s="33">
        <v>100.0</v>
      </c>
      <c r="F6" s="32" t="s">
        <v>21</v>
      </c>
      <c r="G6" s="32" t="s">
        <v>22</v>
      </c>
      <c r="H6" s="32"/>
      <c r="I6" s="32"/>
      <c r="J6" s="33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>
        <v>10.0</v>
      </c>
      <c r="E6" s="8"/>
      <c r="F6" s="8"/>
      <c r="G6" s="8"/>
      <c r="H6" s="8" t="s">
        <v>27</v>
      </c>
      <c r="I6" s="8" t="s">
        <v>28</v>
      </c>
      <c r="J6" s="8"/>
      <c r="K6" s="8"/>
      <c r="L6" s="8" t="s">
        <v>29</v>
      </c>
      <c r="M6" s="8"/>
      <c r="N6" s="8"/>
      <c r="O6" s="8"/>
      <c r="U6" t="s">
        <v>30</v>
      </c>
      <c r="AA6" t="s">
        <v>31</v>
      </c>
      <c r="AC6" t="s">
        <v>32</v>
      </c>
      <c r="AD6">
        <v>1.0</v>
      </c>
      <c r="AI6" t="s">
        <v>16</v>
      </c>
      <c r="AJ6" t="s">
        <v>18</v>
      </c>
      <c r="AK6" t="s">
        <v>33</v>
      </c>
      <c r="AL6">
        <v>100.0</v>
      </c>
      <c r="AM6">
        <v>100.0</v>
      </c>
      <c r="AS6" t="s">
        <v>22</v>
      </c>
      <c r="AT6" t="s">
        <v>21</v>
      </c>
      <c r="AU6" t="s">
        <v>34</v>
      </c>
      <c r="AV6">
        <v>1000.0</v>
      </c>
      <c r="AW6">
        <v>1000.0</v>
      </c>
      <c r="AX6" t="s">
        <v>35</v>
      </c>
      <c r="BA6" t="s">
        <v>28</v>
      </c>
    </row>
    <row r="7" ht="15.75" customHeight="1">
      <c r="A7" s="8"/>
      <c r="B7" s="8"/>
      <c r="C7" s="8"/>
      <c r="D7" s="8">
        <v>10.0</v>
      </c>
      <c r="E7" s="8"/>
      <c r="F7" s="8"/>
      <c r="G7" s="8"/>
      <c r="H7" s="8" t="s">
        <v>27</v>
      </c>
      <c r="I7" s="8" t="s">
        <v>28</v>
      </c>
      <c r="J7" s="8"/>
      <c r="K7" s="8"/>
      <c r="L7" s="8" t="s">
        <v>29</v>
      </c>
      <c r="M7" s="8"/>
      <c r="N7" s="8"/>
      <c r="O7" s="8"/>
      <c r="U7" t="s">
        <v>30</v>
      </c>
      <c r="AA7" t="s">
        <v>31</v>
      </c>
      <c r="AC7" t="s">
        <v>32</v>
      </c>
      <c r="AD7">
        <v>1.0</v>
      </c>
      <c r="AI7" t="s">
        <v>23</v>
      </c>
      <c r="AJ7" t="s">
        <v>24</v>
      </c>
      <c r="AK7" t="s">
        <v>33</v>
      </c>
      <c r="AL7">
        <v>100.0</v>
      </c>
      <c r="AM7">
        <v>100.0</v>
      </c>
      <c r="AS7" t="s">
        <v>22</v>
      </c>
      <c r="AT7" t="s">
        <v>21</v>
      </c>
      <c r="AU7" t="s">
        <v>34</v>
      </c>
      <c r="AV7">
        <v>-1000.0</v>
      </c>
      <c r="AW7">
        <v>-1000.0</v>
      </c>
      <c r="AX7" t="s">
        <v>35</v>
      </c>
      <c r="BA7" t="s">
        <v>28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 t="str">
        <f>IFERROR(__xludf.DUMMYFUNCTION("""COMPUTED_VALUE"""),"Allow Transfer")</f>
        <v>Allow Transfer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16</v>
      </c>
      <c r="AJ6" s="32" t="s">
        <v>18</v>
      </c>
      <c r="AK6" t="s">
        <v>33</v>
      </c>
      <c r="AL6">
        <v>100.0</v>
      </c>
      <c r="AM6">
        <v>100.0</v>
      </c>
      <c r="AN6" s="32"/>
      <c r="AO6" s="32"/>
      <c r="AP6" s="32"/>
      <c r="AQ6" s="32"/>
      <c r="AR6" s="32"/>
      <c r="AS6" t="s">
        <v>22</v>
      </c>
      <c r="AT6" t="s">
        <v>21</v>
      </c>
      <c r="AU6" t="s">
        <v>34</v>
      </c>
      <c r="AV6" s="32"/>
      <c r="AW6" s="32"/>
      <c r="AX6" s="34" t="s">
        <v>37</v>
      </c>
      <c r="AY6" s="32"/>
      <c r="AZ6" s="35" t="s">
        <v>38</v>
      </c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t="s">
        <v>23</v>
      </c>
      <c r="AJ7" t="s">
        <v>24</v>
      </c>
      <c r="AK7" t="s">
        <v>33</v>
      </c>
      <c r="AL7">
        <v>100.0</v>
      </c>
      <c r="AM7">
        <v>100.0</v>
      </c>
      <c r="AN7" s="32"/>
      <c r="AO7" s="32"/>
      <c r="AP7" s="32"/>
      <c r="AQ7" s="32"/>
      <c r="AR7" s="32"/>
      <c r="AS7" t="s">
        <v>22</v>
      </c>
      <c r="AT7" t="s">
        <v>21</v>
      </c>
      <c r="AU7" t="s">
        <v>34</v>
      </c>
      <c r="AV7" s="32"/>
      <c r="AW7" s="32"/>
      <c r="AX7" s="34" t="s">
        <v>37</v>
      </c>
      <c r="AY7" s="32"/>
      <c r="AZ7" s="35" t="s">
        <v>38</v>
      </c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TransferToUserOrder!$4:$4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IFERROR(__xludf.DUMMYFUNCTION("IF(C3="""","""",Transpose(IMPORTRANGE('_Settings'!$B$3,C3&amp;""!A4:A1000"")))"),"PranaClient")</f>
        <v>PranaClient</v>
      </c>
      <c r="C4" s="25" t="str">
        <f>IFERROR(__xludf.DUMMYFUNCTION("""COMPUTED_VALUE"""),"RestartClient")</f>
        <v>RestartClient</v>
      </c>
      <c r="D4" s="25" t="str">
        <f>IFERROR(__xludf.DUMMYFUNCTION("""COMPUTED_VALUE"""),"UpdateClientConfig")</f>
        <v>UpdateClientConfig</v>
      </c>
      <c r="E4" s="25" t="str">
        <f>IFERROR(__xludf.DUMMYFUNCTION("""COMPUTED_VALUE"""),"LoginClient")</f>
        <v>LoginClient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41</v>
      </c>
      <c r="C6" s="31" t="s">
        <v>42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23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AddSymbolToWatchlist1!$4:$4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23</v>
      </c>
      <c r="C6" s="13" t="s">
        <v>24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TradeFromWatchlist1!$4:$4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2"/>
      <c r="D6" s="33">
        <v>10.0</v>
      </c>
      <c r="E6" s="32"/>
      <c r="F6" s="32"/>
      <c r="G6" s="32"/>
      <c r="H6" s="32" t="s">
        <v>27</v>
      </c>
      <c r="I6" s="34" t="s">
        <v>37</v>
      </c>
      <c r="J6" s="32"/>
      <c r="K6" s="32"/>
      <c r="L6" s="32" t="s">
        <v>29</v>
      </c>
      <c r="M6" s="32"/>
      <c r="N6" s="32"/>
      <c r="O6" s="32"/>
      <c r="P6" s="32"/>
      <c r="Q6" s="32"/>
      <c r="R6" s="32"/>
      <c r="S6" s="32"/>
      <c r="T6" s="32"/>
      <c r="U6" s="32" t="s">
        <v>30</v>
      </c>
      <c r="V6" s="32"/>
      <c r="W6" s="32"/>
      <c r="X6" s="32"/>
      <c r="Y6" s="32"/>
      <c r="Z6" s="32"/>
      <c r="AA6" s="32" t="s">
        <v>31</v>
      </c>
      <c r="AB6" s="32"/>
      <c r="AC6" s="32" t="s">
        <v>32</v>
      </c>
      <c r="AD6" s="36">
        <v>1.0</v>
      </c>
      <c r="AE6" s="32"/>
      <c r="AF6" s="32"/>
      <c r="AG6" s="32"/>
      <c r="AH6" s="32"/>
      <c r="AI6" s="32" t="s">
        <v>16</v>
      </c>
      <c r="AJ6" s="32" t="s">
        <v>18</v>
      </c>
      <c r="AK6" s="32" t="s">
        <v>33</v>
      </c>
      <c r="AL6" s="36">
        <v>100.0</v>
      </c>
      <c r="AM6" s="36">
        <v>100.0</v>
      </c>
      <c r="AN6" s="32"/>
      <c r="AO6" s="32"/>
      <c r="AP6" s="32"/>
      <c r="AQ6" s="32"/>
      <c r="AR6" s="32"/>
      <c r="AS6" s="32" t="s">
        <v>22</v>
      </c>
      <c r="AT6" s="32" t="s">
        <v>21</v>
      </c>
      <c r="AU6" s="32" t="s">
        <v>34</v>
      </c>
      <c r="AV6" s="36">
        <v>1000.0</v>
      </c>
      <c r="AW6" s="36">
        <v>1000.0</v>
      </c>
      <c r="AX6" s="32" t="s">
        <v>35</v>
      </c>
      <c r="AY6" s="32"/>
      <c r="AZ6" s="32"/>
      <c r="BA6" s="32" t="s">
        <v>28</v>
      </c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3">
        <v>10.0</v>
      </c>
      <c r="E7" s="32"/>
      <c r="F7" s="32"/>
      <c r="G7" s="32"/>
      <c r="H7" s="32" t="s">
        <v>27</v>
      </c>
      <c r="I7" s="34" t="s">
        <v>37</v>
      </c>
      <c r="J7" s="32"/>
      <c r="K7" s="32"/>
      <c r="L7" s="32" t="s">
        <v>29</v>
      </c>
      <c r="M7" s="32"/>
      <c r="N7" s="32"/>
      <c r="O7" s="32"/>
      <c r="P7" s="32"/>
      <c r="Q7" s="32"/>
      <c r="R7" s="32"/>
      <c r="S7" s="32"/>
      <c r="T7" s="32"/>
      <c r="U7" s="32" t="s">
        <v>30</v>
      </c>
      <c r="V7" s="32"/>
      <c r="W7" s="32"/>
      <c r="X7" s="32"/>
      <c r="Y7" s="32"/>
      <c r="Z7" s="32"/>
      <c r="AA7" s="32" t="s">
        <v>31</v>
      </c>
      <c r="AB7" s="32"/>
      <c r="AC7" s="32" t="s">
        <v>32</v>
      </c>
      <c r="AD7" s="36">
        <v>1.0</v>
      </c>
      <c r="AE7" s="32"/>
      <c r="AF7" s="32"/>
      <c r="AG7" s="32"/>
      <c r="AH7" s="32"/>
      <c r="AI7" s="32" t="s">
        <v>23</v>
      </c>
      <c r="AJ7" s="32" t="s">
        <v>24</v>
      </c>
      <c r="AK7" s="32" t="s">
        <v>33</v>
      </c>
      <c r="AL7" s="36">
        <v>100.0</v>
      </c>
      <c r="AM7" s="36">
        <v>100.0</v>
      </c>
      <c r="AN7" s="32"/>
      <c r="AO7" s="32"/>
      <c r="AP7" s="32"/>
      <c r="AQ7" s="32"/>
      <c r="AR7" s="32"/>
      <c r="AS7" s="32" t="s">
        <v>22</v>
      </c>
      <c r="AT7" s="32" t="s">
        <v>21</v>
      </c>
      <c r="AU7" s="32" t="s">
        <v>34</v>
      </c>
      <c r="AV7" s="36">
        <v>-1000.0</v>
      </c>
      <c r="AW7" s="36">
        <v>-1000.0</v>
      </c>
      <c r="AX7" s="32" t="s">
        <v>35</v>
      </c>
      <c r="AY7" s="32"/>
      <c r="AZ7" s="32"/>
      <c r="BA7" s="32" t="s">
        <v>28</v>
      </c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