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LoginClient" sheetId="6" r:id="rId8"/>
    <sheet state="visible" name="UpdateMultipleDailyCash" sheetId="7" r:id="rId9"/>
    <sheet state="visible" name="PricingInput" sheetId="8" r:id="rId10"/>
    <sheet state="visible" name="ConfigUpdater" sheetId="9" r:id="rId11"/>
    <sheet state="visible" name="EnableDisableModule" sheetId="10" r:id="rId12"/>
    <sheet state="visible" name="ImportOnShortLocate" sheetId="11" r:id="rId13"/>
    <sheet state="visible" name="OpenRTPNL" sheetId="12" r:id="rId14"/>
    <sheet state="visible" name="IncreaseOrUnwindPositionRTPNL" sheetId="13" r:id="rId15"/>
    <sheet state="visible" name="CalculatePTT" sheetId="14" r:id="rId16"/>
    <sheet state="visible" name="UpdateShortLocateFromTT" sheetId="15" r:id="rId17"/>
    <sheet state="visible" name="OpenRTPNL1" sheetId="16" r:id="rId18"/>
    <sheet state="visible" name="IncreaseOrUnwindPositionRTPNL1" sheetId="17" r:id="rId19"/>
    <sheet state="visible" name="CalculatePTT1" sheetId="18" r:id="rId20"/>
    <sheet state="visible" name="UpdateShortLocateFromTT1" sheetId="19" r:id="rId21"/>
    <sheet state="visible" name="VerifyOrder" sheetId="20" r:id="rId22"/>
    <sheet state="visible" name="SetDollarAmountPermission" sheetId="21" r:id="rId23"/>
  </sheets>
  <definedNames/>
  <calcPr/>
</workbook>
</file>

<file path=xl/sharedStrings.xml><?xml version="1.0" encoding="utf-8"?>
<sst xmlns="http://schemas.openxmlformats.org/spreadsheetml/2006/main" count="244" uniqueCount="66">
  <si>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</si>
  <si>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</si>
  <si>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</si>
  <si>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</si>
  <si>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</si>
  <si>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</si>
  <si>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</si>
  <si>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</si>
  <si>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</si>
  <si>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</si>
  <si>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</si>
  <si>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</si>
  <si>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</si>
  <si>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</si>
  <si>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</si>
  <si>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</si>
  <si>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</si>
  <si>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</si>
  <si>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</si>
  <si>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Sell short</t>
  </si>
  <si>
    <t>Allocation2</t>
  </si>
  <si>
    <t>Allocation3</t>
  </si>
  <si>
    <t>Allocation4</t>
  </si>
  <si>
    <t>MSFT</t>
  </si>
  <si>
    <t>Allocation5</t>
  </si>
  <si>
    <t>Allocation6</t>
  </si>
  <si>
    <t>Allocation7</t>
  </si>
  <si>
    <t>Allocation8</t>
  </si>
  <si>
    <t>DailyValuation</t>
  </si>
  <si>
    <t>GetDailyCash</t>
  </si>
  <si>
    <t>PranaClient</t>
  </si>
  <si>
    <t>LoginClient</t>
  </si>
  <si>
    <t>Support6</t>
  </si>
  <si>
    <t>Nirvana@1</t>
  </si>
  <si>
    <t>UpdateMultipleDailyCash</t>
  </si>
  <si>
    <t>USD</t>
  </si>
  <si>
    <t>PricingInput</t>
  </si>
  <si>
    <t>Admin</t>
  </si>
  <si>
    <t>ConfigUpdater</t>
  </si>
  <si>
    <t>Always_PopUp_Short_Locate</t>
  </si>
  <si>
    <t>EnableDisableModule</t>
  </si>
  <si>
    <t>Short Locate</t>
  </si>
  <si>
    <t>ShortLocate</t>
  </si>
  <si>
    <t>ImportOnShortLocate</t>
  </si>
  <si>
    <t>MS</t>
  </si>
  <si>
    <t>\\192.168.2.108\DistributedAutomation_Master\Import Cases\ShortLocate - 0072.csv</t>
  </si>
  <si>
    <t>RTPNL</t>
  </si>
  <si>
    <t>OpenRTPNL</t>
  </si>
  <si>
    <t>Nirvana,PM</t>
  </si>
  <si>
    <t>SummaryDashboard</t>
  </si>
  <si>
    <t>IncreaseOrUnwindPositionRTPNL</t>
  </si>
  <si>
    <t>adjust,decrease</t>
  </si>
  <si>
    <t>PTT</t>
  </si>
  <si>
    <t>CalculatePTT</t>
  </si>
  <si>
    <t>Decrease</t>
  </si>
  <si>
    <t>AMT</t>
  </si>
  <si>
    <t>Yes</t>
  </si>
  <si>
    <t>Account</t>
  </si>
  <si>
    <t>No</t>
  </si>
  <si>
    <t>UpdateShortLocateFromTT</t>
  </si>
  <si>
    <t>ABC123</t>
  </si>
  <si>
    <t>Percentage</t>
  </si>
  <si>
    <t>Unallocated</t>
  </si>
  <si>
    <t>Blotter</t>
  </si>
  <si>
    <t>VerifyOrder</t>
  </si>
  <si>
    <t>SetDollarAmountPermission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</si>
</sst>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2000.0</v>
      </c>
      <c r="E6" s="34"/>
      <c r="F6" s="32" t="s">
        <v>18</v>
      </c>
      <c r="G6" s="34"/>
      <c r="H6" s="34"/>
      <c r="I6" s="34"/>
      <c r="J6" s="35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16</v>
      </c>
      <c r="C7" s="9" t="s">
        <v>19</v>
      </c>
      <c r="D7" s="35">
        <v>500.0</v>
      </c>
      <c r="E7" s="34"/>
      <c r="F7" s="32" t="s">
        <v>20</v>
      </c>
      <c r="G7" s="34"/>
      <c r="H7" s="34"/>
      <c r="I7" s="34"/>
      <c r="J7" s="35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16</v>
      </c>
      <c r="C8" s="32" t="s">
        <v>17</v>
      </c>
      <c r="D8" s="35">
        <v>1000.0</v>
      </c>
      <c r="E8" s="34"/>
      <c r="F8" s="32" t="s">
        <v>21</v>
      </c>
      <c r="G8" s="34"/>
      <c r="H8" s="34"/>
      <c r="I8" s="34"/>
      <c r="J8" s="35">
        <v>10.0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 t="s">
        <v>16</v>
      </c>
      <c r="C9" s="32" t="s">
        <v>17</v>
      </c>
      <c r="D9" s="35">
        <v>1000.0</v>
      </c>
      <c r="E9" s="35">
        <v>0.0</v>
      </c>
      <c r="F9" s="32" t="s">
        <v>22</v>
      </c>
      <c r="G9" s="34"/>
      <c r="H9" s="34"/>
      <c r="I9" s="34"/>
      <c r="J9" s="35">
        <v>10.0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2" t="s">
        <v>23</v>
      </c>
      <c r="C10" s="32" t="s">
        <v>17</v>
      </c>
      <c r="D10" s="35">
        <v>2000.0</v>
      </c>
      <c r="E10" s="34"/>
      <c r="F10" s="32" t="s">
        <v>24</v>
      </c>
      <c r="G10" s="34"/>
      <c r="H10" s="34"/>
      <c r="I10" s="34"/>
      <c r="J10" s="35">
        <v>10.0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2" t="s">
        <v>23</v>
      </c>
      <c r="C11" s="9" t="s">
        <v>19</v>
      </c>
      <c r="D11" s="35">
        <v>500.0</v>
      </c>
      <c r="E11" s="34"/>
      <c r="F11" s="32" t="s">
        <v>25</v>
      </c>
      <c r="G11" s="34"/>
      <c r="H11" s="34"/>
      <c r="I11" s="34"/>
      <c r="J11" s="35">
        <v>10.0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2" t="s">
        <v>23</v>
      </c>
      <c r="C12" s="32" t="s">
        <v>17</v>
      </c>
      <c r="D12" s="35">
        <v>1000.0</v>
      </c>
      <c r="E12" s="34"/>
      <c r="F12" s="32" t="s">
        <v>26</v>
      </c>
      <c r="G12" s="34"/>
      <c r="H12" s="34"/>
      <c r="I12" s="34"/>
      <c r="J12" s="35">
        <v>10.0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2" t="s">
        <v>23</v>
      </c>
      <c r="C13" s="32" t="s">
        <v>17</v>
      </c>
      <c r="D13" s="35">
        <v>1000.0</v>
      </c>
      <c r="E13" s="35">
        <v>0.0</v>
      </c>
      <c r="F13" s="32" t="s">
        <v>27</v>
      </c>
      <c r="G13" s="34"/>
      <c r="H13" s="34"/>
      <c r="I13" s="34"/>
      <c r="J13" s="35">
        <v>10.0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>
        <f>TODAY()-1</f>
        <v>45917</v>
      </c>
      <c r="C6" s="36">
        <f>TODAY()</f>
        <v>45918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32</v>
      </c>
      <c r="C6" s="38" t="s">
        <v>33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18</v>
      </c>
      <c r="C6" s="32" t="s">
        <v>35</v>
      </c>
      <c r="D6" s="33">
        <v>10000.0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20</v>
      </c>
      <c r="C7" s="32" t="s">
        <v>35</v>
      </c>
      <c r="D7" s="35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21</v>
      </c>
      <c r="C8" s="32" t="s">
        <v>35</v>
      </c>
      <c r="D8" s="35">
        <v>10000.0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22</v>
      </c>
      <c r="C9" s="32" t="s">
        <v>35</v>
      </c>
      <c r="D9" s="35">
        <v>10000.0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24</v>
      </c>
      <c r="C10" s="32" t="s">
        <v>35</v>
      </c>
      <c r="D10" s="35">
        <v>10000.0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25</v>
      </c>
      <c r="C11" s="32" t="s">
        <v>35</v>
      </c>
      <c r="D11" s="35">
        <v>10000.0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2" t="s">
        <v>26</v>
      </c>
      <c r="C12" s="32" t="s">
        <v>35</v>
      </c>
      <c r="D12" s="35">
        <v>10000.0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2" t="s">
        <v>27</v>
      </c>
      <c r="C13" s="32" t="s">
        <v>35</v>
      </c>
      <c r="D13" s="35">
        <v>10000.0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23</v>
      </c>
      <c r="C7" s="1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39</v>
      </c>
      <c r="C6" s="39" t="b">
        <v>1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ConfigUpdater!$4:$4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b">
        <v>1</v>
      </c>
      <c r="C6" s="32" t="s">
        <v>41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44</v>
      </c>
      <c r="C6" s="9" t="s">
        <v>45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48</v>
      </c>
      <c r="C6" s="32" t="s">
        <v>49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3.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4"/>
      <c r="D6" s="30"/>
      <c r="E6" s="32" t="s">
        <v>18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41" t="s">
        <v>51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16</v>
      </c>
      <c r="C7" s="34"/>
      <c r="D7" s="34"/>
      <c r="E7" s="32" t="s">
        <v>20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41" t="s">
        <v>51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42" t="s">
        <v>54</v>
      </c>
      <c r="D6" s="42" t="s">
        <v>55</v>
      </c>
      <c r="E6" s="38">
        <v>1000.0</v>
      </c>
      <c r="F6" s="35">
        <v>10.0</v>
      </c>
      <c r="G6" s="32" t="s">
        <v>56</v>
      </c>
      <c r="H6" s="32" t="s">
        <v>57</v>
      </c>
      <c r="I6" s="34"/>
      <c r="J6" s="34"/>
      <c r="K6" s="42" t="s">
        <v>58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44</v>
      </c>
      <c r="C6" s="35">
        <v>5000.0</v>
      </c>
      <c r="D6" s="33">
        <v>500.0</v>
      </c>
      <c r="E6" s="35">
        <v>2.0</v>
      </c>
      <c r="F6" s="32" t="s">
        <v>60</v>
      </c>
      <c r="G6" s="39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UpdateShortLocateFromTT!$4:$4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48</v>
      </c>
      <c r="C6" s="32" t="s">
        <v>49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0.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2" t="s">
        <v>23</v>
      </c>
      <c r="C6" s="32" t="s">
        <v>17</v>
      </c>
      <c r="D6" s="35">
        <v>2000.0</v>
      </c>
      <c r="E6" s="34"/>
      <c r="F6" s="32" t="s">
        <v>24</v>
      </c>
      <c r="G6" s="34"/>
      <c r="H6" s="34"/>
      <c r="I6" s="34"/>
      <c r="J6" s="35">
        <v>10.0</v>
      </c>
      <c r="K6" s="34"/>
      <c r="L6" s="34"/>
      <c r="M6" s="34"/>
      <c r="N6" s="34"/>
      <c r="O6" s="34"/>
      <c r="P6" s="34"/>
      <c r="Q6" s="34"/>
      <c r="R6" s="34"/>
      <c r="S6" s="34"/>
      <c r="T6" s="41" t="s">
        <v>51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23</v>
      </c>
      <c r="C7" s="9" t="s">
        <v>19</v>
      </c>
      <c r="D7" s="35">
        <v>500.0</v>
      </c>
      <c r="E7" s="34"/>
      <c r="F7" s="32" t="s">
        <v>25</v>
      </c>
      <c r="G7" s="34"/>
      <c r="H7" s="34"/>
      <c r="I7" s="34"/>
      <c r="J7" s="35">
        <v>10.0</v>
      </c>
      <c r="K7" s="34"/>
      <c r="L7" s="34"/>
      <c r="M7" s="34"/>
      <c r="N7" s="34"/>
      <c r="O7" s="34"/>
      <c r="P7" s="34"/>
      <c r="Q7" s="34"/>
      <c r="R7" s="34"/>
      <c r="S7" s="34"/>
      <c r="T7" s="41" t="s">
        <v>51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IncreaseOrUnwindPositionRTPNL1!$4:$4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23</v>
      </c>
      <c r="C6" s="42" t="s">
        <v>54</v>
      </c>
      <c r="D6" s="31" t="s">
        <v>61</v>
      </c>
      <c r="E6" s="38">
        <v>10.0</v>
      </c>
      <c r="F6" s="35">
        <v>10.0</v>
      </c>
      <c r="G6" s="32" t="s">
        <v>56</v>
      </c>
      <c r="H6" s="32" t="s">
        <v>57</v>
      </c>
      <c r="I6" s="41" t="s">
        <v>62</v>
      </c>
      <c r="J6" s="34"/>
      <c r="K6" s="42" t="s">
        <v>56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44</v>
      </c>
      <c r="C6" s="35">
        <v>5000.0</v>
      </c>
      <c r="D6" s="33">
        <v>500.0</v>
      </c>
      <c r="E6" s="35">
        <v>2.0</v>
      </c>
      <c r="F6" s="32" t="s">
        <v>60</v>
      </c>
      <c r="G6" s="39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UpdateShortLocateFromTT1!$4:$4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31" t="s">
        <v>16</v>
      </c>
      <c r="AJ6" s="32" t="s">
        <v>17</v>
      </c>
      <c r="AK6" s="33"/>
      <c r="AL6" s="34"/>
      <c r="AT6" s="32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2" t="s">
        <v>16</v>
      </c>
      <c r="AJ7" s="9" t="s">
        <v>19</v>
      </c>
      <c r="AK7" s="35"/>
      <c r="AL7" s="34"/>
      <c r="AT7" s="32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32" t="s">
        <v>16</v>
      </c>
      <c r="AJ8" s="32" t="s">
        <v>17</v>
      </c>
      <c r="AK8" s="35"/>
      <c r="AL8" s="34"/>
      <c r="AT8" s="32" t="s">
        <v>21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32" t="s">
        <v>16</v>
      </c>
      <c r="AJ9" s="32" t="s">
        <v>17</v>
      </c>
      <c r="AK9" s="35"/>
      <c r="AL9" s="35"/>
      <c r="AT9" s="32" t="s">
        <v>22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32" t="s">
        <v>23</v>
      </c>
      <c r="AJ10" s="32" t="s">
        <v>17</v>
      </c>
      <c r="AK10" s="35"/>
      <c r="AL10" s="34"/>
      <c r="AT10" s="32" t="s">
        <v>24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32" t="s">
        <v>23</v>
      </c>
      <c r="AJ11" s="9" t="s">
        <v>19</v>
      </c>
      <c r="AK11" s="35"/>
      <c r="AL11" s="34"/>
      <c r="AT11" s="32" t="s">
        <v>25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32" t="s">
        <v>23</v>
      </c>
      <c r="AJ12" s="32" t="s">
        <v>17</v>
      </c>
      <c r="AK12" s="35"/>
      <c r="AL12" s="34"/>
      <c r="AT12" s="32" t="s">
        <v>26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32" t="s">
        <v>23</v>
      </c>
      <c r="AJ13" s="32" t="s">
        <v>17</v>
      </c>
      <c r="AK13" s="35"/>
      <c r="AL13" s="35"/>
      <c r="AT13" s="32" t="s">
        <v>27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IFERROR(__xludf.DUMMYFUNCTION("""COMPUTED_VALUE"""),"TT")</f>
        <v>TT</v>
      </c>
      <c r="C5" s="27" t="str">
        <f>IFERROR(__xludf.DUMMYFUNCTION("""COMPUTED_VALUE"""),"PTT")</f>
        <v>PTT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