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ExerciseAssignment" sheetId="7" r:id="rId9"/>
    <sheet state="visible" name="GetDataAllocation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<sst xmlns="http://schemas.openxmlformats.org/spreadsheetml/2006/main" count="88" uniqueCount="38">
  <si>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</si>
  <si>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</si>
  <si>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</si>
  <si>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</si>
  <si>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</si>
  <si>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</si>
  <si>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</si>
  <si>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</si>
  <si>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</si>
  <si>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</si>
  <si>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</si>
  <si>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</si>
  <si>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</si>
  <si>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</si>
  <si>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</si>
  <si>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</si>
  <si>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O:CSCO 18R46.00D15</t>
  </si>
  <si>
    <t>Sell to Open</t>
  </si>
  <si>
    <t>Allocation1</t>
  </si>
  <si>
    <t>Closing</t>
  </si>
  <si>
    <t>GetDataClosing</t>
  </si>
  <si>
    <t>Current</t>
  </si>
  <si>
    <t>SelectTradeUnexpiredUnsettled</t>
  </si>
  <si>
    <t>ExerciseAssignment</t>
  </si>
  <si>
    <t>Allocation</t>
  </si>
  <si>
    <t>GetDataAllocation</t>
  </si>
  <si>
    <t>CheckAllocatedGroups</t>
  </si>
  <si>
    <t>Manual</t>
  </si>
  <si>
    <t>EquityOption</t>
  </si>
  <si>
    <t>Treasury</t>
  </si>
  <si>
    <t>MS</t>
  </si>
  <si>
    <t>M</t>
  </si>
  <si>
    <t>O:CSCO 18R46.00D15</t>
  </si>
  <si>
    <t>Equity</t>
  </si>
  <si>
    <t>CSCO US EQUITY</t>
  </si>
  <si>
    <t>Buy</t>
  </si>
  <si>
    <t>CSCO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</si>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</sst>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 t="str">
        <f>IFERROR(__xludf.DUMMYFUNCTION("""COMPUTED_VALUE"""),"VerifyClosingNavLockPopup")</f>
        <v>VerifyClosingNavLockPopup</v>
      </c>
      <c r="BA4" s="26" t="str">
        <f>IFERROR(__xludf.DUMMYFUNCTION("""COMPUTED_VALUE"""),"VerifyClosingNavLockPopup")</f>
        <v>VerifyClosingNavLockPopup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8"/>
      <c r="D6" s="13"/>
      <c r="E6" s="33">
        <v>100.0</v>
      </c>
      <c r="F6" s="32" t="s">
        <v>27</v>
      </c>
      <c r="G6" s="32" t="s">
        <v>28</v>
      </c>
      <c r="H6" s="8"/>
      <c r="I6" s="8"/>
      <c r="J6" s="8"/>
      <c r="K6" s="33">
        <v>12.0</v>
      </c>
      <c r="L6" s="33">
        <v>12.0</v>
      </c>
      <c r="M6" s="34"/>
      <c r="N6" s="32" t="s">
        <v>29</v>
      </c>
      <c r="O6" s="32" t="s">
        <v>30</v>
      </c>
      <c r="AE6" s="33">
        <v>100.0</v>
      </c>
      <c r="AH6" s="32" t="s">
        <v>31</v>
      </c>
      <c r="AT6" s="35">
        <v>120000.0</v>
      </c>
      <c r="AU6" s="35">
        <v>120000.0</v>
      </c>
      <c r="BJ6" s="33">
        <v>100.0</v>
      </c>
      <c r="BO6" s="32" t="s">
        <v>17</v>
      </c>
      <c r="BT6" s="32" t="s">
        <v>32</v>
      </c>
      <c r="CH6" s="32" t="s">
        <v>12</v>
      </c>
    </row>
    <row r="7" ht="15.75" customHeight="1">
      <c r="A7" s="8"/>
      <c r="B7" s="32" t="s">
        <v>18</v>
      </c>
      <c r="C7" s="8"/>
      <c r="D7" s="8"/>
      <c r="E7" s="35">
        <v>10000.0</v>
      </c>
      <c r="F7" s="32" t="s">
        <v>27</v>
      </c>
      <c r="G7" s="32" t="s">
        <v>33</v>
      </c>
      <c r="H7" s="8"/>
      <c r="I7" s="8"/>
      <c r="J7" s="8"/>
      <c r="K7" s="33">
        <v>46.0</v>
      </c>
      <c r="L7" s="33">
        <v>46.0</v>
      </c>
      <c r="M7" s="32" t="s">
        <v>34</v>
      </c>
      <c r="N7" s="32" t="s">
        <v>29</v>
      </c>
      <c r="O7" s="32" t="s">
        <v>30</v>
      </c>
      <c r="AE7" s="35">
        <v>10000.0</v>
      </c>
      <c r="AH7" s="32" t="s">
        <v>31</v>
      </c>
      <c r="AT7" s="35">
        <v>340000.0</v>
      </c>
      <c r="AU7" s="35">
        <v>340000.0</v>
      </c>
      <c r="BJ7" s="35">
        <v>10000.0</v>
      </c>
      <c r="BO7" s="32" t="s">
        <v>35</v>
      </c>
      <c r="BT7" s="32" t="s">
        <v>36</v>
      </c>
      <c r="CH7" s="32" t="s">
        <v>19</v>
      </c>
    </row>
    <row r="8" ht="15.75" customHeight="1">
      <c r="A8" s="8"/>
      <c r="B8" s="32" t="s">
        <v>18</v>
      </c>
      <c r="C8" s="8"/>
      <c r="D8" s="8"/>
      <c r="E8" s="33">
        <v>100.0</v>
      </c>
      <c r="F8" s="32" t="s">
        <v>27</v>
      </c>
      <c r="G8" s="32" t="s">
        <v>28</v>
      </c>
      <c r="H8" s="8"/>
      <c r="I8" s="8"/>
      <c r="J8" s="8"/>
      <c r="K8" s="33"/>
      <c r="L8" s="33"/>
      <c r="M8" s="34"/>
      <c r="N8" s="32" t="s">
        <v>29</v>
      </c>
      <c r="O8" s="32" t="s">
        <v>30</v>
      </c>
      <c r="AE8" s="33">
        <v>100.0</v>
      </c>
      <c r="AH8" s="32" t="s">
        <v>31</v>
      </c>
      <c r="AT8" s="35">
        <v>120000.0</v>
      </c>
      <c r="AU8" s="35">
        <v>120000.0</v>
      </c>
      <c r="BJ8" s="33">
        <v>100.0</v>
      </c>
      <c r="BO8" s="32" t="s">
        <v>37</v>
      </c>
      <c r="BT8" s="32" t="s">
        <v>32</v>
      </c>
      <c r="CH8" s="32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