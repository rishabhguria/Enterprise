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reateLiveOrder" sheetId="5" r:id="rId7"/>
    <sheet state="visible" name="RejectTrade" sheetId="6" r:id="rId8"/>
    <sheet state="visible" name="VerifySubOrder" sheetId="7" r:id="rId9"/>
    <sheet state="visible" name="VerifySubOrder1" sheetId="8" r:id="rId10"/>
    <sheet state="visible" name="GetExecutionReportDetails" sheetId="9" r:id="rId11"/>
    <sheet state="visible" name="VerifyExecutionReport" sheetId="10" r:id="rId12"/>
  </sheets>
  <definedNames/>
  <calcPr/>
</workbook>
</file>

<file path=xl/sharedStrings.xml><?xml version="1.0" encoding="utf-8"?>
<sst xmlns="http://schemas.openxmlformats.org/spreadsheetml/2006/main" count="109" uniqueCount="43">
  <si>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</si>
  <si>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</si>
  <si>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</si>
  <si>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</si>
  <si>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</si>
  <si>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</si>
  <si>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</si>
  <si>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</si>
  <si>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</si>
  <si>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</si>
  <si>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</si>
  <si>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</si>
  <si>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</si>
  <si>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</si>
  <si>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</si>
  <si>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</si>
  <si>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</si>
  <si>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</si>
  <si>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CreateLiveOrder</t>
  </si>
  <si>
    <t>AAPL</t>
  </si>
  <si>
    <t>Buy</t>
  </si>
  <si>
    <t>Allocation1</t>
  </si>
  <si>
    <t>GTC</t>
  </si>
  <si>
    <t>Limit</t>
  </si>
  <si>
    <t>Simulator</t>
  </si>
  <si>
    <t>RejectTrade</t>
  </si>
  <si>
    <t>Blotter</t>
  </si>
  <si>
    <t>VerifySubOrder</t>
  </si>
  <si>
    <t>AAPL US EQUITY</t>
  </si>
  <si>
    <t>NASDAQ</t>
  </si>
  <si>
    <t>jpearce</t>
  </si>
  <si>
    <t>US</t>
  </si>
  <si>
    <t>GCCAP1</t>
  </si>
  <si>
    <t>USD</t>
  </si>
  <si>
    <t>DefaultNotes</t>
  </si>
  <si>
    <t>M</t>
  </si>
  <si>
    <t>Equity</t>
  </si>
  <si>
    <t>PendingNew</t>
  </si>
  <si>
    <t>MS</t>
  </si>
  <si>
    <t>Rejected</t>
  </si>
  <si>
    <t>GetExecutionReportDetails</t>
  </si>
  <si>
    <t>VerifyExecutionReport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</si>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</sst>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1000.0</v>
      </c>
      <c r="E6" s="32"/>
      <c r="F6" s="12" t="s">
        <v>21</v>
      </c>
      <c r="G6" s="8"/>
      <c r="H6" s="12" t="s">
        <v>22</v>
      </c>
      <c r="I6" s="12" t="s">
        <v>23</v>
      </c>
      <c r="K6" s="8"/>
      <c r="L6" s="12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28</v>
      </c>
      <c r="F6" s="8"/>
      <c r="G6" s="8"/>
      <c r="H6" s="12" t="s">
        <v>29</v>
      </c>
      <c r="I6" s="12" t="s">
        <v>30</v>
      </c>
      <c r="J6" s="12" t="s">
        <v>19</v>
      </c>
      <c r="K6" s="9" t="s">
        <v>31</v>
      </c>
      <c r="L6" s="12" t="s">
        <v>32</v>
      </c>
      <c r="N6" s="8"/>
      <c r="O6" s="8"/>
      <c r="U6" s="9" t="s">
        <v>33</v>
      </c>
      <c r="AC6" s="9" t="s">
        <v>34</v>
      </c>
      <c r="AF6" s="9" t="s">
        <v>35</v>
      </c>
      <c r="AH6" s="9" t="s">
        <v>36</v>
      </c>
      <c r="AI6" s="9" t="s">
        <v>19</v>
      </c>
      <c r="AJ6" s="9" t="s">
        <v>20</v>
      </c>
      <c r="AK6" s="9" t="s">
        <v>37</v>
      </c>
      <c r="AL6" s="9">
        <v>1000.0</v>
      </c>
      <c r="AQ6" s="9" t="s">
        <v>38</v>
      </c>
      <c r="AR6" s="9" t="s">
        <v>21</v>
      </c>
      <c r="AS6" s="9" t="s">
        <v>23</v>
      </c>
      <c r="AW6" s="9" t="s">
        <v>37</v>
      </c>
      <c r="AZ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28</v>
      </c>
      <c r="F6" s="8"/>
      <c r="G6" s="8"/>
      <c r="H6" s="12" t="s">
        <v>29</v>
      </c>
      <c r="I6" s="12" t="s">
        <v>30</v>
      </c>
      <c r="J6" s="12" t="s">
        <v>19</v>
      </c>
      <c r="K6" s="9" t="s">
        <v>31</v>
      </c>
      <c r="L6" s="12" t="s">
        <v>32</v>
      </c>
      <c r="N6" s="8"/>
      <c r="O6" s="8"/>
      <c r="U6" s="9" t="s">
        <v>33</v>
      </c>
      <c r="AC6" s="9" t="s">
        <v>34</v>
      </c>
      <c r="AF6" s="9" t="s">
        <v>35</v>
      </c>
      <c r="AH6" s="9" t="s">
        <v>36</v>
      </c>
      <c r="AI6" s="9" t="s">
        <v>19</v>
      </c>
      <c r="AJ6" s="9" t="s">
        <v>20</v>
      </c>
      <c r="AK6" s="9" t="s">
        <v>39</v>
      </c>
      <c r="AL6" s="9">
        <v>1000.0</v>
      </c>
      <c r="AQ6" s="9" t="s">
        <v>38</v>
      </c>
      <c r="AR6" s="9" t="s">
        <v>21</v>
      </c>
      <c r="AS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Date")</f>
        <v>From Date</v>
      </c>
      <c r="C5" s="27" t="str">
        <f>IFERROR(__xludf.DUMMYFUNCTION("""COMPUTED_VALUE"""),"To Date")</f>
        <v>To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f>TODAY()-5</f>
        <v>45816</v>
      </c>
      <c r="C6" s="33">
        <f>TODAY()+5</f>
        <v>45826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GetExecutionReportDetails!$4:$4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IFERROR(__xludf.DUMMYFUNCTION("""COMPUTED_VALUE"""),"Order Type")</f>
        <v>Order Type</v>
      </c>
      <c r="E5" s="27" t="str">
        <f>IFERROR(__xludf.DUMMYFUNCTION("""COMPUTED_VALUE"""),"Target Quantity")</f>
        <v>Target Quantity</v>
      </c>
      <c r="F5" s="28" t="str">
        <f>IFERROR(__xludf.DUMMYFUNCTION("""COMPUTED_VALUE"""),"Executed Qty")</f>
        <v>Executed Qty</v>
      </c>
      <c r="G5" s="27" t="str">
        <f>IFERROR(__xludf.DUMMYFUNCTION("""COMPUTED_VALUE"""),"Avg Price")</f>
        <v>Avg Price</v>
      </c>
      <c r="H5" s="27" t="str">
        <f>IFERROR(__xludf.DUMMYFUNCTION("""COMPUTED_VALUE"""),"Status")</f>
        <v>Status</v>
      </c>
      <c r="I5" s="27" t="str">
        <f>IFERROR(__xludf.DUMMYFUNCTION("""COMPUTED_VALUE"""),"Price")</f>
        <v>Price</v>
      </c>
      <c r="J5" s="27" t="str">
        <f>IFERROR(__xludf.DUMMYFUNCTION("""COMPUTED_VALUE"""),"OrderID")</f>
        <v>OrderID</v>
      </c>
      <c r="K5" s="27" t="str">
        <f>IFERROR(__xludf.DUMMYFUNCTION("""COMPUTED_VALUE"""),"CIOrderID")</f>
        <v>CIOrderID</v>
      </c>
      <c r="L5" s="27" t="str">
        <f>IFERROR(__xludf.DUMMYFUNCTION("""COMPUTED_VALUE"""),"Actual User")</f>
        <v>Actual User</v>
      </c>
      <c r="M5" s="27" t="str">
        <f>IFERROR(__xludf.DUMMYFUNCTION("""COMPUTED_VALUE"""),"Trader")</f>
        <v>Trader</v>
      </c>
      <c r="N5" s="27" t="str">
        <f>IFERROR(__xludf.DUMMYFUNCTION("""COMPUTED_VALUE"""),"Broker")</f>
        <v>Broker</v>
      </c>
      <c r="O5" s="27" t="str">
        <f>IFERROR(__xludf.DUMMYFUNCTION("""COMPUTED_VALUE"""),"Modified User")</f>
        <v>Modified User</v>
      </c>
      <c r="P5" s="27" t="str">
        <f>IFERROR(__xludf.DUMMYFUNCTION("""COMPUTED_VALUE"""),"Current User")</f>
        <v>Current User</v>
      </c>
      <c r="Q5" s="27" t="str">
        <f>IFERROR(__xludf.DUMMYFUNCTION("""COMPUTED_VALUE"""),"Avg Fx Rate")</f>
        <v>Avg Fx Rate</v>
      </c>
      <c r="R5" s="27" t="str">
        <f>IFERROR(__xludf.DUMMYFUNCTION("""COMPUTED_VALUE"""),"Account")</f>
        <v>Account</v>
      </c>
      <c r="S5" s="27" t="str">
        <f>IFERROR(__xludf.DUMMYFUNCTION("""COMPUTED_VALUE"""),"Process Date")</f>
        <v>Process Date</v>
      </c>
      <c r="T5" s="29" t="str">
        <f>IFERROR(__xludf.DUMMYFUNCTION("""COMPUTED_VALUE"""),"Last Shares")</f>
        <v>Last Shares</v>
      </c>
      <c r="U5" s="29" t="str">
        <f>IFERROR(__xludf.DUMMYFUNCTION("""COMPUTED_VALUE"""),"Last Price")</f>
        <v>Last Price</v>
      </c>
      <c r="V5" s="29" t="str">
        <f>IFERROR(__xludf.DUMMYFUNCTION("""COMPUTED_VALUE"""),"Exchange")</f>
        <v>Exchange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 t="s">
        <v>42</v>
      </c>
      <c r="E6" s="12">
        <v>1000.0</v>
      </c>
      <c r="F6" s="12"/>
      <c r="G6" s="12"/>
      <c r="H6" s="12" t="s">
        <v>30</v>
      </c>
      <c r="I6" s="12" t="s">
        <v>32</v>
      </c>
      <c r="K6" s="8"/>
      <c r="L6" s="12" t="s">
        <v>30</v>
      </c>
      <c r="N6" s="12" t="s">
        <v>38</v>
      </c>
      <c r="O6" s="8"/>
      <c r="Q6" s="12">
        <v>1.0</v>
      </c>
      <c r="R6" s="12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