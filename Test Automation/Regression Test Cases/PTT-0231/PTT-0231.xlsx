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CalculatePTT" sheetId="11" r:id="rId13"/>
    <sheet state="visible" name="VerifyPTT" sheetId="12" r:id="rId14"/>
    <sheet state="visible" name="EditPTTRecordAndExecuteOrder" sheetId="13" r:id="rId15"/>
    <sheet state="visible" name="VerifyPTT1" sheetId="14" r:id="rId16"/>
    <sheet state="visible" name="CalculatePTT1" sheetId="15" r:id="rId17"/>
    <sheet state="visible" name="VerifyPTT2" sheetId="16" r:id="rId18"/>
    <sheet state="visible" name="EditPTTRecordAndExecuteOrder1" sheetId="17" r:id="rId19"/>
    <sheet state="visible" name="VerifyPTT3" sheetId="18" r:id="rId20"/>
    <sheet state="visible" name="CalculatePTT2" sheetId="19" r:id="rId21"/>
    <sheet state="visible" name="VerifyPTT4" sheetId="20" r:id="rId22"/>
    <sheet state="visible" name="EditPTTRecordAndExecuteOrder2" sheetId="21" r:id="rId23"/>
    <sheet state="visible" name="VerifyPTT5" sheetId="22" r:id="rId24"/>
    <sheet state="visible" name="CalculatePTT3" sheetId="23" r:id="rId25"/>
    <sheet state="visible" name="VerifyPTT6" sheetId="24" r:id="rId26"/>
    <sheet state="visible" name="EditPTTRecordAndExecuteOrder3" sheetId="25" r:id="rId27"/>
    <sheet state="visible" name="VerifyPTT7" sheetId="26" r:id="rId28"/>
  </sheets>
  <definedNames/>
  <calcPr/>
</workbook>
</file>

<file path=xl/sharedStrings.xml><?xml version="1.0" encoding="utf-8"?>
<sst xmlns="http://schemas.openxmlformats.org/spreadsheetml/2006/main" count="389" uniqueCount="57">
  <si>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</si>
  <si>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</si>
  <si>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</si>
  <si>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</si>
  <si>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</si>
  <si>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</si>
  <si>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</si>
  <si>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</si>
  <si>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</si>
  <si>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</si>
  <si>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</si>
  <si>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</si>
  <si>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</si>
  <si>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</si>
  <si>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</si>
  <si>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</si>
  <si>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</si>
  <si>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</si>
  <si>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</si>
  <si>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DOOR</t>
  </si>
  <si>
    <t>TradingTicket</t>
  </si>
  <si>
    <t>CreateDoneAwayOrder</t>
  </si>
  <si>
    <t>Buy</t>
  </si>
  <si>
    <t>Allocation1</t>
  </si>
  <si>
    <t>MS</t>
  </si>
  <si>
    <t>Day</t>
  </si>
  <si>
    <t>Market</t>
  </si>
  <si>
    <t>O:AAPL 13N715.00</t>
  </si>
  <si>
    <t>Buy to Open</t>
  </si>
  <si>
    <t>ND H9</t>
  </si>
  <si>
    <t>Allocation3</t>
  </si>
  <si>
    <t>Allocation2</t>
  </si>
  <si>
    <t>Allocation4</t>
  </si>
  <si>
    <t>PricingInput</t>
  </si>
  <si>
    <t>DailyValuation</t>
  </si>
  <si>
    <t>GetDailyCash</t>
  </si>
  <si>
    <t>UpdateMultipleDailyCash</t>
  </si>
  <si>
    <t>USD</t>
  </si>
  <si>
    <t>GetForexConversion</t>
  </si>
  <si>
    <t>UpdateForexConversion</t>
  </si>
  <si>
    <t>CAD</t>
  </si>
  <si>
    <t>CAD A0-FX</t>
  </si>
  <si>
    <t>PTT</t>
  </si>
  <si>
    <t>CalculatePTT</t>
  </si>
  <si>
    <t>Increase</t>
  </si>
  <si>
    <t>Percentage</t>
  </si>
  <si>
    <t>No</t>
  </si>
  <si>
    <t>MasterFund</t>
  </si>
  <si>
    <t>NewMF,NewMF1</t>
  </si>
  <si>
    <t>Yes</t>
  </si>
  <si>
    <t>VerifyPTT</t>
  </si>
  <si>
    <t>EditPTTRecordAndExecuteOrder</t>
  </si>
  <si>
    <t>SELECT</t>
  </si>
  <si>
    <t>EDIT</t>
  </si>
  <si>
    <t>Decrease</t>
  </si>
  <si>
    <t>Sell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</si>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</sst>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16</v>
      </c>
      <c r="C6" s="35" t="s">
        <v>22</v>
      </c>
      <c r="D6" s="37">
        <v>1000.0</v>
      </c>
      <c r="E6" s="32">
        <v>1000.0</v>
      </c>
      <c r="F6" s="35" t="s">
        <v>23</v>
      </c>
      <c r="G6" s="35" t="s">
        <v>24</v>
      </c>
      <c r="H6" s="35" t="s">
        <v>25</v>
      </c>
      <c r="I6" s="35" t="s">
        <v>26</v>
      </c>
      <c r="J6" s="32">
        <v>2.0</v>
      </c>
      <c r="K6" s="35"/>
      <c r="L6" s="35"/>
      <c r="M6" s="35"/>
      <c r="N6" s="38">
        <f t="shared" ref="N6:N29" si="1">today()</f>
        <v>45293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17</v>
      </c>
      <c r="C7" s="35" t="s">
        <v>22</v>
      </c>
      <c r="D7" s="32">
        <v>1550.0</v>
      </c>
      <c r="E7" s="32">
        <v>1550.0</v>
      </c>
      <c r="F7" s="35" t="s">
        <v>23</v>
      </c>
      <c r="G7" s="35" t="s">
        <v>24</v>
      </c>
      <c r="H7" s="35" t="s">
        <v>25</v>
      </c>
      <c r="I7" s="35" t="s">
        <v>26</v>
      </c>
      <c r="J7" s="32">
        <v>2.0</v>
      </c>
      <c r="K7" s="35"/>
      <c r="L7" s="35"/>
      <c r="M7" s="35"/>
      <c r="N7" s="38">
        <f t="shared" si="1"/>
        <v>45293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22</v>
      </c>
      <c r="D8" s="32">
        <v>250.0</v>
      </c>
      <c r="E8" s="32">
        <v>250.0</v>
      </c>
      <c r="F8" s="35" t="s">
        <v>23</v>
      </c>
      <c r="G8" s="35" t="s">
        <v>24</v>
      </c>
      <c r="H8" s="35" t="s">
        <v>25</v>
      </c>
      <c r="I8" s="35" t="s">
        <v>26</v>
      </c>
      <c r="J8" s="32">
        <v>2.0</v>
      </c>
      <c r="K8" s="35"/>
      <c r="L8" s="35"/>
      <c r="M8" s="35"/>
      <c r="N8" s="38">
        <f t="shared" si="1"/>
        <v>45293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4" t="s">
        <v>27</v>
      </c>
      <c r="C9" s="35" t="s">
        <v>28</v>
      </c>
      <c r="D9" s="32">
        <v>80.0</v>
      </c>
      <c r="E9" s="32">
        <v>80.0</v>
      </c>
      <c r="F9" s="35" t="s">
        <v>23</v>
      </c>
      <c r="G9" s="35" t="s">
        <v>24</v>
      </c>
      <c r="H9" s="35" t="s">
        <v>25</v>
      </c>
      <c r="I9" s="35" t="s">
        <v>26</v>
      </c>
      <c r="J9" s="32">
        <v>2.0</v>
      </c>
      <c r="K9" s="35"/>
      <c r="L9" s="35"/>
      <c r="M9" s="35"/>
      <c r="N9" s="38">
        <f t="shared" si="1"/>
        <v>45293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4">
        <v>1.23456789E8</v>
      </c>
      <c r="C10" s="35" t="s">
        <v>22</v>
      </c>
      <c r="D10" s="32">
        <v>2750.0</v>
      </c>
      <c r="E10" s="32">
        <v>2750.0</v>
      </c>
      <c r="F10" s="35" t="s">
        <v>23</v>
      </c>
      <c r="G10" s="35" t="s">
        <v>24</v>
      </c>
      <c r="H10" s="35" t="s">
        <v>25</v>
      </c>
      <c r="I10" s="35" t="s">
        <v>26</v>
      </c>
      <c r="J10" s="32">
        <v>2.0</v>
      </c>
      <c r="K10" s="35"/>
      <c r="L10" s="35"/>
      <c r="M10" s="35"/>
      <c r="N10" s="38">
        <f t="shared" si="1"/>
        <v>45293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4" t="s">
        <v>29</v>
      </c>
      <c r="C11" s="35" t="s">
        <v>22</v>
      </c>
      <c r="D11" s="32">
        <v>465.0</v>
      </c>
      <c r="E11" s="32">
        <v>465.0</v>
      </c>
      <c r="F11" s="35" t="s">
        <v>23</v>
      </c>
      <c r="G11" s="35" t="s">
        <v>24</v>
      </c>
      <c r="H11" s="35" t="s">
        <v>25</v>
      </c>
      <c r="I11" s="35" t="s">
        <v>26</v>
      </c>
      <c r="J11" s="32">
        <v>2.0</v>
      </c>
      <c r="K11" s="35"/>
      <c r="L11" s="35"/>
      <c r="M11" s="35"/>
      <c r="N11" s="38">
        <f t="shared" si="1"/>
        <v>45293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4" t="s">
        <v>16</v>
      </c>
      <c r="C12" s="35" t="s">
        <v>22</v>
      </c>
      <c r="D12" s="32">
        <v>1000.0</v>
      </c>
      <c r="E12" s="32">
        <v>1000.0</v>
      </c>
      <c r="F12" s="39" t="s">
        <v>30</v>
      </c>
      <c r="G12" s="35" t="s">
        <v>24</v>
      </c>
      <c r="H12" s="35" t="s">
        <v>25</v>
      </c>
      <c r="I12" s="35" t="s">
        <v>26</v>
      </c>
      <c r="J12" s="32">
        <v>2.0</v>
      </c>
      <c r="K12" s="35"/>
      <c r="L12" s="35"/>
      <c r="M12" s="35"/>
      <c r="N12" s="38">
        <f t="shared" si="1"/>
        <v>45293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4" t="s">
        <v>19</v>
      </c>
      <c r="C13" s="35" t="s">
        <v>22</v>
      </c>
      <c r="D13" s="32">
        <v>1550.0</v>
      </c>
      <c r="E13" s="32">
        <v>1550.0</v>
      </c>
      <c r="F13" s="39" t="s">
        <v>30</v>
      </c>
      <c r="G13" s="35" t="s">
        <v>24</v>
      </c>
      <c r="H13" s="35" t="s">
        <v>25</v>
      </c>
      <c r="I13" s="35" t="s">
        <v>26</v>
      </c>
      <c r="J13" s="32">
        <v>2.0</v>
      </c>
      <c r="K13" s="35"/>
      <c r="L13" s="35"/>
      <c r="M13" s="35"/>
      <c r="N13" s="38">
        <f t="shared" si="1"/>
        <v>45293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5" t="s">
        <v>18</v>
      </c>
      <c r="C14" s="35" t="s">
        <v>22</v>
      </c>
      <c r="D14" s="32">
        <v>250.0</v>
      </c>
      <c r="E14" s="32">
        <v>250.0</v>
      </c>
      <c r="F14" s="39" t="s">
        <v>30</v>
      </c>
      <c r="G14" s="35" t="s">
        <v>24</v>
      </c>
      <c r="H14" s="35" t="s">
        <v>25</v>
      </c>
      <c r="I14" s="35" t="s">
        <v>26</v>
      </c>
      <c r="J14" s="32">
        <v>2.0</v>
      </c>
      <c r="K14" s="35"/>
      <c r="L14" s="35"/>
      <c r="M14" s="35"/>
      <c r="N14" s="38">
        <f t="shared" si="1"/>
        <v>45293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4" t="s">
        <v>27</v>
      </c>
      <c r="C15" s="35" t="s">
        <v>28</v>
      </c>
      <c r="D15" s="32">
        <v>80.0</v>
      </c>
      <c r="E15" s="32">
        <v>80.0</v>
      </c>
      <c r="F15" s="39" t="s">
        <v>30</v>
      </c>
      <c r="G15" s="35" t="s">
        <v>24</v>
      </c>
      <c r="H15" s="35" t="s">
        <v>25</v>
      </c>
      <c r="I15" s="35" t="s">
        <v>26</v>
      </c>
      <c r="J15" s="32">
        <v>2.0</v>
      </c>
      <c r="K15" s="35"/>
      <c r="L15" s="35"/>
      <c r="M15" s="35"/>
      <c r="N15" s="38">
        <f t="shared" si="1"/>
        <v>45293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4">
        <v>1.23456789E8</v>
      </c>
      <c r="C16" s="35" t="s">
        <v>22</v>
      </c>
      <c r="D16" s="32">
        <v>2750.0</v>
      </c>
      <c r="E16" s="32">
        <v>2750.0</v>
      </c>
      <c r="F16" s="39" t="s">
        <v>30</v>
      </c>
      <c r="G16" s="35" t="s">
        <v>24</v>
      </c>
      <c r="H16" s="35" t="s">
        <v>25</v>
      </c>
      <c r="I16" s="35" t="s">
        <v>26</v>
      </c>
      <c r="J16" s="32">
        <v>2.0</v>
      </c>
      <c r="K16" s="35"/>
      <c r="L16" s="35"/>
      <c r="M16" s="35"/>
      <c r="N16" s="38">
        <f t="shared" si="1"/>
        <v>45293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4" t="s">
        <v>29</v>
      </c>
      <c r="C17" s="35" t="s">
        <v>22</v>
      </c>
      <c r="D17" s="32">
        <v>465.0</v>
      </c>
      <c r="E17" s="32">
        <v>465.0</v>
      </c>
      <c r="F17" s="39" t="s">
        <v>30</v>
      </c>
      <c r="G17" s="35" t="s">
        <v>24</v>
      </c>
      <c r="H17" s="35" t="s">
        <v>25</v>
      </c>
      <c r="I17" s="35" t="s">
        <v>26</v>
      </c>
      <c r="J17" s="32">
        <v>2.0</v>
      </c>
      <c r="K17" s="35"/>
      <c r="L17" s="35"/>
      <c r="M17" s="35"/>
      <c r="N17" s="38">
        <f t="shared" si="1"/>
        <v>45293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35"/>
      <c r="B18" s="34" t="s">
        <v>16</v>
      </c>
      <c r="C18" s="35" t="s">
        <v>22</v>
      </c>
      <c r="D18" s="32">
        <v>1000.0</v>
      </c>
      <c r="E18" s="32">
        <v>1000.0</v>
      </c>
      <c r="F18" s="39" t="s">
        <v>31</v>
      </c>
      <c r="G18" s="35" t="s">
        <v>24</v>
      </c>
      <c r="H18" s="35" t="s">
        <v>25</v>
      </c>
      <c r="I18" s="35" t="s">
        <v>26</v>
      </c>
      <c r="J18" s="32">
        <v>2.0</v>
      </c>
      <c r="K18" s="35"/>
      <c r="L18" s="35"/>
      <c r="M18" s="35"/>
      <c r="N18" s="38">
        <f t="shared" si="1"/>
        <v>45293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35"/>
      <c r="B19" s="34" t="s">
        <v>17</v>
      </c>
      <c r="C19" s="35" t="s">
        <v>22</v>
      </c>
      <c r="D19" s="32">
        <v>1550.0</v>
      </c>
      <c r="E19" s="32">
        <v>1550.0</v>
      </c>
      <c r="F19" s="39" t="s">
        <v>31</v>
      </c>
      <c r="G19" s="35" t="s">
        <v>24</v>
      </c>
      <c r="H19" s="35" t="s">
        <v>25</v>
      </c>
      <c r="I19" s="35" t="s">
        <v>26</v>
      </c>
      <c r="J19" s="32">
        <v>2.0</v>
      </c>
      <c r="K19" s="35"/>
      <c r="L19" s="35"/>
      <c r="M19" s="35"/>
      <c r="N19" s="38">
        <f t="shared" si="1"/>
        <v>45293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35"/>
      <c r="B20" s="35" t="s">
        <v>18</v>
      </c>
      <c r="C20" s="35" t="s">
        <v>22</v>
      </c>
      <c r="D20" s="32">
        <v>250.0</v>
      </c>
      <c r="E20" s="32">
        <v>250.0</v>
      </c>
      <c r="F20" s="39" t="s">
        <v>31</v>
      </c>
      <c r="G20" s="35" t="s">
        <v>24</v>
      </c>
      <c r="H20" s="35" t="s">
        <v>25</v>
      </c>
      <c r="I20" s="35" t="s">
        <v>26</v>
      </c>
      <c r="J20" s="32">
        <v>2.0</v>
      </c>
      <c r="K20" s="35"/>
      <c r="L20" s="35"/>
      <c r="M20" s="35"/>
      <c r="N20" s="38">
        <f t="shared" si="1"/>
        <v>45293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35"/>
      <c r="B21" s="34" t="s">
        <v>27</v>
      </c>
      <c r="C21" s="35" t="s">
        <v>28</v>
      </c>
      <c r="D21" s="32">
        <v>80.0</v>
      </c>
      <c r="E21" s="32">
        <v>80.0</v>
      </c>
      <c r="F21" s="39" t="s">
        <v>31</v>
      </c>
      <c r="G21" s="35" t="s">
        <v>24</v>
      </c>
      <c r="H21" s="35" t="s">
        <v>25</v>
      </c>
      <c r="I21" s="35" t="s">
        <v>26</v>
      </c>
      <c r="J21" s="32">
        <v>2.0</v>
      </c>
      <c r="K21" s="35"/>
      <c r="L21" s="35"/>
      <c r="M21" s="35"/>
      <c r="N21" s="38">
        <f t="shared" si="1"/>
        <v>45293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35"/>
      <c r="B22" s="34">
        <v>1.23456789E8</v>
      </c>
      <c r="C22" s="35" t="s">
        <v>22</v>
      </c>
      <c r="D22" s="32">
        <v>2750.0</v>
      </c>
      <c r="E22" s="32">
        <v>2750.0</v>
      </c>
      <c r="F22" s="39" t="s">
        <v>31</v>
      </c>
      <c r="G22" s="35" t="s">
        <v>24</v>
      </c>
      <c r="H22" s="35" t="s">
        <v>25</v>
      </c>
      <c r="I22" s="35" t="s">
        <v>26</v>
      </c>
      <c r="J22" s="32">
        <v>2.0</v>
      </c>
      <c r="K22" s="35"/>
      <c r="L22" s="35"/>
      <c r="M22" s="35"/>
      <c r="N22" s="38">
        <f t="shared" si="1"/>
        <v>45293</v>
      </c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35"/>
      <c r="B23" s="34" t="s">
        <v>29</v>
      </c>
      <c r="C23" s="35" t="s">
        <v>22</v>
      </c>
      <c r="D23" s="32">
        <v>465.0</v>
      </c>
      <c r="E23" s="32">
        <v>465.0</v>
      </c>
      <c r="F23" s="39" t="s">
        <v>31</v>
      </c>
      <c r="G23" s="35" t="s">
        <v>24</v>
      </c>
      <c r="H23" s="35" t="s">
        <v>25</v>
      </c>
      <c r="I23" s="35" t="s">
        <v>26</v>
      </c>
      <c r="J23" s="32">
        <v>2.0</v>
      </c>
      <c r="K23" s="35"/>
      <c r="L23" s="35"/>
      <c r="M23" s="35"/>
      <c r="N23" s="38">
        <f t="shared" si="1"/>
        <v>45293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35"/>
      <c r="B24" s="34" t="s">
        <v>16</v>
      </c>
      <c r="C24" s="35" t="s">
        <v>22</v>
      </c>
      <c r="D24" s="32">
        <v>1000.0</v>
      </c>
      <c r="E24" s="32">
        <v>1000.0</v>
      </c>
      <c r="F24" s="39" t="s">
        <v>32</v>
      </c>
      <c r="G24" s="35" t="s">
        <v>24</v>
      </c>
      <c r="H24" s="35" t="s">
        <v>25</v>
      </c>
      <c r="I24" s="35" t="s">
        <v>26</v>
      </c>
      <c r="J24" s="32">
        <v>2.0</v>
      </c>
      <c r="K24" s="35"/>
      <c r="L24" s="35"/>
      <c r="M24" s="35"/>
      <c r="N24" s="38">
        <f t="shared" si="1"/>
        <v>45293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35"/>
      <c r="B25" s="34" t="s">
        <v>19</v>
      </c>
      <c r="C25" s="35" t="s">
        <v>22</v>
      </c>
      <c r="D25" s="32">
        <v>1550.0</v>
      </c>
      <c r="E25" s="32">
        <v>1550.0</v>
      </c>
      <c r="F25" s="39" t="s">
        <v>32</v>
      </c>
      <c r="G25" s="35" t="s">
        <v>24</v>
      </c>
      <c r="H25" s="35" t="s">
        <v>25</v>
      </c>
      <c r="I25" s="35" t="s">
        <v>26</v>
      </c>
      <c r="J25" s="32">
        <v>2.0</v>
      </c>
      <c r="K25" s="35"/>
      <c r="L25" s="35"/>
      <c r="M25" s="35"/>
      <c r="N25" s="38">
        <f t="shared" si="1"/>
        <v>45293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35"/>
      <c r="B26" s="35" t="s">
        <v>18</v>
      </c>
      <c r="C26" s="35" t="s">
        <v>22</v>
      </c>
      <c r="D26" s="32">
        <v>250.0</v>
      </c>
      <c r="E26" s="32">
        <v>250.0</v>
      </c>
      <c r="F26" s="39" t="s">
        <v>32</v>
      </c>
      <c r="G26" s="35" t="s">
        <v>24</v>
      </c>
      <c r="H26" s="35" t="s">
        <v>25</v>
      </c>
      <c r="I26" s="35" t="s">
        <v>26</v>
      </c>
      <c r="J26" s="32">
        <v>2.0</v>
      </c>
      <c r="K26" s="35"/>
      <c r="L26" s="35"/>
      <c r="M26" s="35"/>
      <c r="N26" s="38">
        <f t="shared" si="1"/>
        <v>45293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35"/>
      <c r="B27" s="34" t="s">
        <v>27</v>
      </c>
      <c r="C27" s="35" t="s">
        <v>28</v>
      </c>
      <c r="D27" s="32">
        <v>80.0</v>
      </c>
      <c r="E27" s="32">
        <v>80.0</v>
      </c>
      <c r="F27" s="39" t="s">
        <v>32</v>
      </c>
      <c r="G27" s="35" t="s">
        <v>24</v>
      </c>
      <c r="H27" s="35" t="s">
        <v>25</v>
      </c>
      <c r="I27" s="35" t="s">
        <v>26</v>
      </c>
      <c r="J27" s="32">
        <v>2.0</v>
      </c>
      <c r="K27" s="35"/>
      <c r="L27" s="35"/>
      <c r="M27" s="35"/>
      <c r="N27" s="38">
        <f t="shared" si="1"/>
        <v>45293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35"/>
      <c r="B28" s="34">
        <v>1.23456789E8</v>
      </c>
      <c r="C28" s="35" t="s">
        <v>22</v>
      </c>
      <c r="D28" s="32">
        <v>2750.0</v>
      </c>
      <c r="E28" s="32">
        <v>2750.0</v>
      </c>
      <c r="F28" s="39" t="s">
        <v>32</v>
      </c>
      <c r="G28" s="35" t="s">
        <v>24</v>
      </c>
      <c r="H28" s="35" t="s">
        <v>25</v>
      </c>
      <c r="I28" s="35" t="s">
        <v>26</v>
      </c>
      <c r="J28" s="32">
        <v>2.0</v>
      </c>
      <c r="K28" s="35"/>
      <c r="L28" s="35"/>
      <c r="M28" s="35"/>
      <c r="N28" s="38">
        <f t="shared" si="1"/>
        <v>45293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35"/>
      <c r="B29" s="34" t="s">
        <v>29</v>
      </c>
      <c r="C29" s="35" t="s">
        <v>22</v>
      </c>
      <c r="D29" s="32">
        <v>465.0</v>
      </c>
      <c r="E29" s="32">
        <v>465.0</v>
      </c>
      <c r="F29" s="39" t="s">
        <v>32</v>
      </c>
      <c r="G29" s="35" t="s">
        <v>24</v>
      </c>
      <c r="H29" s="35" t="s">
        <v>25</v>
      </c>
      <c r="I29" s="35" t="s">
        <v>26</v>
      </c>
      <c r="J29" s="32">
        <v>2.0</v>
      </c>
      <c r="K29" s="35"/>
      <c r="L29" s="35"/>
      <c r="M29" s="35"/>
      <c r="N29" s="38">
        <f t="shared" si="1"/>
        <v>45293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2">
        <v>67.0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27</v>
      </c>
      <c r="C9" s="32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29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19</v>
      </c>
      <c r="C12" s="32">
        <v>127.0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45292</v>
      </c>
      <c r="C6" s="38">
        <f>today()</f>
        <v>45293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34" t="s">
        <v>37</v>
      </c>
      <c r="D6" s="40">
        <v>2.078848775E8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31</v>
      </c>
      <c r="C7" s="34" t="s">
        <v>37</v>
      </c>
      <c r="D7" s="40">
        <v>2.078848775E8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30</v>
      </c>
      <c r="C8" s="34" t="s">
        <v>37</v>
      </c>
      <c r="D8" s="40">
        <v>2.078848775E8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32</v>
      </c>
      <c r="C9" s="34" t="s">
        <v>37</v>
      </c>
      <c r="D9" s="40">
        <v>2.078848775E8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</f>
        <v>45293</v>
      </c>
      <c r="C6" s="38">
        <f t="shared" si="1"/>
        <v>45293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37</v>
      </c>
      <c r="C6" s="34" t="s">
        <v>40</v>
      </c>
      <c r="D6" s="31" t="s">
        <v>41</v>
      </c>
      <c r="E6" s="32">
        <v>1.25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44</v>
      </c>
      <c r="D6" s="13" t="s">
        <v>45</v>
      </c>
      <c r="E6" s="13">
        <v>10.0</v>
      </c>
      <c r="F6" s="8"/>
      <c r="G6" s="13" t="s">
        <v>46</v>
      </c>
      <c r="H6" s="13" t="s">
        <v>47</v>
      </c>
      <c r="I6" s="13" t="s">
        <v>48</v>
      </c>
      <c r="J6" s="8"/>
      <c r="K6" s="13" t="s">
        <v>49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8"/>
      <c r="G6" s="8"/>
      <c r="H6" s="8"/>
      <c r="I6" s="42">
        <v>491280.0</v>
      </c>
      <c r="J6" s="42">
        <v>493280.0</v>
      </c>
      <c r="K6" s="42">
        <v>4.19288E7</v>
      </c>
      <c r="L6" s="42">
        <v>50.0</v>
      </c>
      <c r="M6" s="42">
        <v>1.0</v>
      </c>
      <c r="N6" s="8"/>
      <c r="O6" s="8"/>
      <c r="R6" s="43" t="s">
        <v>22</v>
      </c>
    </row>
    <row r="7" ht="15.75" customHeight="1">
      <c r="A7" s="8"/>
      <c r="B7" s="8"/>
      <c r="C7" s="8"/>
      <c r="D7" s="42">
        <v>2000.0</v>
      </c>
      <c r="E7" s="42">
        <v>170000.0</v>
      </c>
      <c r="F7" s="8"/>
      <c r="G7" s="8"/>
      <c r="H7" s="8"/>
      <c r="I7" s="42">
        <v>491280.0</v>
      </c>
      <c r="J7" s="42">
        <v>493280.0</v>
      </c>
      <c r="K7" s="42">
        <v>4.19288E7</v>
      </c>
      <c r="L7" s="42">
        <v>50.0</v>
      </c>
      <c r="M7" s="42">
        <v>1.0</v>
      </c>
      <c r="N7" s="8"/>
      <c r="O7" s="8"/>
      <c r="R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8"/>
      <c r="G6" s="8"/>
      <c r="H6" s="8"/>
      <c r="I6" s="42">
        <v>491280.0</v>
      </c>
      <c r="J6" s="42">
        <v>493280.0</v>
      </c>
      <c r="K6" s="42">
        <v>4.19288E7</v>
      </c>
      <c r="L6" s="42">
        <v>50.0</v>
      </c>
      <c r="M6" s="42">
        <v>1.0</v>
      </c>
      <c r="N6" s="8"/>
      <c r="O6" s="8"/>
      <c r="R6" s="43" t="s">
        <v>22</v>
      </c>
      <c r="T6" s="9" t="s">
        <v>52</v>
      </c>
    </row>
    <row r="7" ht="15.75" customHeight="1">
      <c r="A7" s="8"/>
      <c r="B7" s="8"/>
      <c r="C7" s="8"/>
      <c r="D7" s="8"/>
      <c r="E7" s="8"/>
      <c r="F7" s="8"/>
      <c r="G7" s="13">
        <v>5.0</v>
      </c>
      <c r="H7" s="8"/>
      <c r="I7" s="8"/>
      <c r="J7" s="8"/>
      <c r="K7" s="8"/>
      <c r="L7" s="8"/>
      <c r="M7" s="8"/>
      <c r="N7" s="8"/>
      <c r="O7" s="8"/>
      <c r="T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245640.0</v>
      </c>
      <c r="J6" s="42">
        <v>247640.0</v>
      </c>
      <c r="K6" s="42">
        <v>2.10494E7</v>
      </c>
      <c r="L6" s="42"/>
      <c r="M6" s="42">
        <v>1.0</v>
      </c>
      <c r="R6" s="43" t="s">
        <v>22</v>
      </c>
    </row>
    <row r="7" ht="15.75" customHeight="1">
      <c r="A7" s="8"/>
      <c r="B7" s="8"/>
      <c r="C7" s="8"/>
      <c r="D7" s="42">
        <v>2000.0</v>
      </c>
      <c r="E7" s="42">
        <v>170000.0</v>
      </c>
      <c r="F7" s="42"/>
      <c r="H7" s="42"/>
      <c r="I7" s="42">
        <v>491280.0</v>
      </c>
      <c r="J7" s="42">
        <v>493280.0</v>
      </c>
      <c r="K7" s="42">
        <v>4.19288E7</v>
      </c>
      <c r="L7" s="42"/>
      <c r="M7" s="42">
        <v>1.0</v>
      </c>
      <c r="R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54</v>
      </c>
      <c r="D6" s="13" t="s">
        <v>45</v>
      </c>
      <c r="E6" s="13">
        <v>10.0</v>
      </c>
      <c r="F6" s="8"/>
      <c r="G6" s="13" t="s">
        <v>46</v>
      </c>
      <c r="H6" s="13" t="s">
        <v>47</v>
      </c>
      <c r="I6" s="13" t="s">
        <v>48</v>
      </c>
      <c r="J6" s="8"/>
      <c r="K6" s="13" t="s">
        <v>49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2000.0</v>
      </c>
      <c r="J6" s="42">
        <v>0.0</v>
      </c>
      <c r="K6" s="42">
        <v>0.0</v>
      </c>
      <c r="L6" s="42">
        <v>50.0</v>
      </c>
      <c r="M6" s="42">
        <v>1.0</v>
      </c>
      <c r="R6" s="43" t="s">
        <v>55</v>
      </c>
    </row>
    <row r="7" ht="15.75" customHeight="1">
      <c r="A7" s="8"/>
      <c r="B7" s="8"/>
      <c r="C7" s="8"/>
      <c r="D7" s="42">
        <v>2000.0</v>
      </c>
      <c r="E7" s="42">
        <v>170000.0</v>
      </c>
      <c r="F7" s="42"/>
      <c r="H7" s="42"/>
      <c r="I7" s="42">
        <v>2000.0</v>
      </c>
      <c r="J7" s="42">
        <v>0.0</v>
      </c>
      <c r="K7" s="42">
        <v>0.0</v>
      </c>
      <c r="L7" s="42">
        <v>50.0</v>
      </c>
      <c r="M7" s="42">
        <v>1.0</v>
      </c>
      <c r="R7" s="43" t="s">
        <v>55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2000.0</v>
      </c>
      <c r="J6" s="42">
        <v>0.0</v>
      </c>
      <c r="K6" s="42">
        <v>0.0</v>
      </c>
      <c r="L6" s="42">
        <v>50.0</v>
      </c>
      <c r="M6" s="42">
        <v>1.0</v>
      </c>
      <c r="R6" s="43" t="s">
        <v>55</v>
      </c>
      <c r="T6" s="9" t="s">
        <v>52</v>
      </c>
    </row>
    <row r="7" ht="15.75" customHeight="1">
      <c r="A7" s="8"/>
      <c r="B7" s="8"/>
      <c r="C7" s="8"/>
      <c r="D7" s="8"/>
      <c r="E7" s="8"/>
      <c r="F7" s="8"/>
      <c r="G7" s="13">
        <v>0.02</v>
      </c>
      <c r="H7" s="8"/>
      <c r="I7" s="8"/>
      <c r="J7" s="8"/>
      <c r="K7" s="8"/>
      <c r="L7" s="8"/>
      <c r="M7" s="8"/>
      <c r="N7" s="8"/>
      <c r="O7" s="8"/>
      <c r="T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960.0</v>
      </c>
      <c r="J6" s="42">
        <v>1040.0</v>
      </c>
      <c r="K6" s="42">
        <v>88400.0</v>
      </c>
      <c r="L6" s="42"/>
      <c r="M6" s="42">
        <v>1.0</v>
      </c>
      <c r="R6" s="43" t="s">
        <v>55</v>
      </c>
    </row>
    <row r="7" ht="15.75" customHeight="1">
      <c r="A7" s="8"/>
      <c r="B7" s="8"/>
      <c r="C7" s="8"/>
      <c r="D7" s="42">
        <v>2000.0</v>
      </c>
      <c r="E7" s="42">
        <v>170000.0</v>
      </c>
      <c r="F7" s="42"/>
      <c r="H7" s="42"/>
      <c r="I7" s="42">
        <v>2000.0</v>
      </c>
      <c r="J7" s="42">
        <v>0.0</v>
      </c>
      <c r="K7" s="42">
        <v>0.0</v>
      </c>
      <c r="L7" s="42"/>
      <c r="M7" s="42">
        <v>1.0</v>
      </c>
      <c r="R7" s="43" t="s">
        <v>55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13" t="s">
        <v>16</v>
      </c>
      <c r="C6" s="13" t="s">
        <v>56</v>
      </c>
      <c r="D6" s="13" t="s">
        <v>45</v>
      </c>
      <c r="E6" s="13">
        <v>10.0</v>
      </c>
      <c r="F6" s="8"/>
      <c r="G6" s="13" t="s">
        <v>46</v>
      </c>
      <c r="H6" s="13" t="s">
        <v>47</v>
      </c>
      <c r="I6" s="13" t="s">
        <v>48</v>
      </c>
      <c r="J6" s="8"/>
      <c r="K6" s="13" t="s">
        <v>49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2"/>
      <c r="D6" s="42">
        <v>2000.0</v>
      </c>
      <c r="E6" s="42">
        <v>170000.0</v>
      </c>
      <c r="F6" s="42"/>
      <c r="H6" s="42"/>
      <c r="I6" s="42">
        <v>489280.0</v>
      </c>
      <c r="J6" s="42">
        <v>491280.0</v>
      </c>
      <c r="K6" s="42">
        <v>4.17588E7</v>
      </c>
      <c r="L6" s="42">
        <v>50.0</v>
      </c>
      <c r="M6" s="42">
        <v>1.0</v>
      </c>
      <c r="P6" s="44"/>
      <c r="R6" s="43" t="s">
        <v>22</v>
      </c>
    </row>
    <row r="7" ht="15.75" customHeight="1">
      <c r="A7" s="8"/>
      <c r="B7" s="8"/>
      <c r="C7" s="42"/>
      <c r="D7" s="42">
        <v>2000.0</v>
      </c>
      <c r="E7" s="42">
        <v>170000.0</v>
      </c>
      <c r="F7" s="42"/>
      <c r="H7" s="42"/>
      <c r="I7" s="42">
        <v>489280.0</v>
      </c>
      <c r="J7" s="42">
        <v>491280.0</v>
      </c>
      <c r="K7" s="42">
        <v>4.17588E7</v>
      </c>
      <c r="L7" s="42">
        <v>50.0</v>
      </c>
      <c r="M7" s="42">
        <v>1.0</v>
      </c>
      <c r="P7" s="44"/>
      <c r="R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489280.0</v>
      </c>
      <c r="J6" s="42">
        <v>491280.0</v>
      </c>
      <c r="K6" s="42">
        <v>4.17588E7</v>
      </c>
      <c r="L6" s="42">
        <v>50.0</v>
      </c>
      <c r="M6" s="42">
        <v>1.0</v>
      </c>
      <c r="P6" s="44"/>
      <c r="R6" s="43" t="s">
        <v>22</v>
      </c>
      <c r="T6" s="9" t="s">
        <v>52</v>
      </c>
    </row>
    <row r="7" ht="15.75" customHeight="1">
      <c r="A7" s="8"/>
      <c r="B7" s="8"/>
      <c r="C7" s="8"/>
      <c r="D7" s="8"/>
      <c r="E7" s="8"/>
      <c r="F7" s="8"/>
      <c r="H7" s="13">
        <v>5.0</v>
      </c>
      <c r="I7" s="8"/>
      <c r="J7" s="8"/>
      <c r="K7" s="8"/>
      <c r="L7" s="8"/>
      <c r="M7" s="8"/>
      <c r="N7" s="8"/>
      <c r="O7" s="8"/>
      <c r="T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243676.0</v>
      </c>
      <c r="J6" s="42">
        <v>245676.0</v>
      </c>
      <c r="K6" s="42">
        <v>2.088246E7</v>
      </c>
      <c r="L6" s="42"/>
      <c r="M6" s="42">
        <v>1.0</v>
      </c>
      <c r="R6" s="43" t="s">
        <v>22</v>
      </c>
    </row>
    <row r="7" ht="15.75" customHeight="1">
      <c r="A7" s="8"/>
      <c r="B7" s="8"/>
      <c r="C7" s="8"/>
      <c r="D7" s="42">
        <v>2000.0</v>
      </c>
      <c r="E7" s="42">
        <v>170000.0</v>
      </c>
      <c r="F7" s="42"/>
      <c r="H7" s="42"/>
      <c r="I7" s="42">
        <v>489280.0</v>
      </c>
      <c r="J7" s="42">
        <v>491280.0</v>
      </c>
      <c r="K7" s="42">
        <v>4.17588E7</v>
      </c>
      <c r="L7" s="42"/>
      <c r="M7" s="42">
        <v>1.0</v>
      </c>
      <c r="R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56</v>
      </c>
      <c r="D6" s="13" t="s">
        <v>45</v>
      </c>
      <c r="E6" s="13">
        <v>10.0</v>
      </c>
      <c r="F6" s="8"/>
      <c r="G6" s="13" t="s">
        <v>46</v>
      </c>
      <c r="H6" s="13" t="s">
        <v>47</v>
      </c>
      <c r="I6" s="13" t="s">
        <v>48</v>
      </c>
      <c r="J6" s="8"/>
      <c r="K6" s="13" t="s">
        <v>49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489280.0</v>
      </c>
      <c r="J6" s="42">
        <v>491280.0</v>
      </c>
      <c r="K6" s="42">
        <v>4.17588E7</v>
      </c>
      <c r="L6" s="42">
        <v>50.0</v>
      </c>
      <c r="M6" s="42">
        <v>1.0</v>
      </c>
      <c r="P6" s="44"/>
      <c r="R6" s="43" t="s">
        <v>22</v>
      </c>
    </row>
    <row r="7" ht="15.75" customHeight="1">
      <c r="A7" s="8"/>
      <c r="B7" s="8"/>
      <c r="C7" s="8"/>
      <c r="D7" s="42">
        <v>2000.0</v>
      </c>
      <c r="E7" s="42">
        <v>170000.0</v>
      </c>
      <c r="F7" s="42"/>
      <c r="H7" s="42"/>
      <c r="I7" s="42">
        <v>489280.0</v>
      </c>
      <c r="J7" s="42">
        <v>491280.0</v>
      </c>
      <c r="K7" s="42">
        <v>4.17588E7</v>
      </c>
      <c r="L7" s="42">
        <v>50.0</v>
      </c>
      <c r="M7" s="42">
        <v>1.0</v>
      </c>
      <c r="P7" s="44"/>
      <c r="R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VerifyPTT6!$4:$4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489280.0</v>
      </c>
      <c r="J6" s="42">
        <v>491280.0</v>
      </c>
      <c r="K6" s="42">
        <v>4.17588E7</v>
      </c>
      <c r="L6" s="42">
        <v>50.0</v>
      </c>
      <c r="M6" s="42">
        <v>1.0</v>
      </c>
      <c r="P6" s="44"/>
      <c r="R6" s="43" t="s">
        <v>22</v>
      </c>
      <c r="T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13">
        <v>219.0</v>
      </c>
      <c r="J7" s="8"/>
      <c r="K7" s="8"/>
      <c r="L7" s="8"/>
      <c r="M7" s="8"/>
      <c r="N7" s="8"/>
      <c r="O7" s="8"/>
      <c r="T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2000.0</v>
      </c>
      <c r="E6" s="42">
        <v>170000.0</v>
      </c>
      <c r="F6" s="42"/>
      <c r="H6" s="42"/>
      <c r="I6" s="42">
        <v>220.0</v>
      </c>
      <c r="J6" s="42">
        <v>2219.0</v>
      </c>
      <c r="K6" s="42">
        <v>188615.0</v>
      </c>
      <c r="L6" s="42"/>
      <c r="M6" s="42">
        <v>1.0</v>
      </c>
      <c r="R6" s="43" t="s">
        <v>22</v>
      </c>
    </row>
    <row r="7" ht="15.75" customHeight="1">
      <c r="A7" s="8"/>
      <c r="B7" s="8"/>
      <c r="C7" s="8"/>
      <c r="D7" s="42">
        <v>2000.0</v>
      </c>
      <c r="E7" s="42">
        <v>170000.0</v>
      </c>
      <c r="F7" s="42"/>
      <c r="H7" s="42"/>
      <c r="I7" s="42">
        <v>489280.0</v>
      </c>
      <c r="J7" s="42">
        <v>491280.0</v>
      </c>
      <c r="K7" s="42">
        <v>4.17588E7</v>
      </c>
      <c r="L7" s="42"/>
      <c r="M7" s="42">
        <v>1.0</v>
      </c>
      <c r="R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VerifyPTT7!$4:$4</formula1>
    </dataValidation>
  </dataValidations>
  <drawing r:id="rId1"/>
</worksheet>
</file>