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" sheetId="5" r:id="rId7"/>
    <sheet state="visible" name="ClosePositionFromPM" sheetId="6" r:id="rId8"/>
    <sheet state="visible" name="CustomOrderTT" sheetId="7" r:id="rId9"/>
    <sheet state="visible" name="CheckPortfolioManagement" sheetId="8" r:id="rId10"/>
    <sheet state="visible" name="CheckPortfolioManagement1" sheetId="9" r:id="rId11"/>
    <sheet state="visible" name="IncreasePositionFromPM" sheetId="10" r:id="rId12"/>
    <sheet state="visible" name="CustomOrderTT2" sheetId="11" r:id="rId13"/>
    <sheet state="visible" name="CustomOrderTT1" sheetId="12" r:id="rId14"/>
  </sheets>
  <definedNames/>
  <calcPr/>
</workbook>
</file>

<file path=xl/sharedStrings.xml><?xml version="1.0" encoding="utf-8"?>
<sst xmlns="http://schemas.openxmlformats.org/spreadsheetml/2006/main" count="184" uniqueCount="48">
  <si>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</si>
  <si>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</si>
  <si>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</si>
  <si>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</si>
  <si>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</si>
  <si>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</si>
  <si>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</si>
  <si>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</si>
  <si>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</si>
  <si>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</si>
  <si>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</si>
  <si>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</si>
  <si>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</si>
  <si>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</si>
  <si>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</si>
  <si>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</si>
  <si>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</si>
  <si>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</si>
  <si>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SetGeneralPreference</t>
  </si>
  <si>
    <t>PortfolioManagement</t>
  </si>
  <si>
    <t>ClosePositionFromPM</t>
  </si>
  <si>
    <t>CustomOrderTT</t>
  </si>
  <si>
    <t>CheckPortfolioManagement</t>
  </si>
  <si>
    <t/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</si>
  <si>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</si>
  <si>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</si>
  <si>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</si>
  <si>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</si>
  <si>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</si>
  <si>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</si>
  <si>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</si>
  <si>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</si>
  <si>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</si>
  <si>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</si>
  <si>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</si>
  <si>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</si>
  <si>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</si>
  <si>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</si>
  <si>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</si>
  <si>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</si>
  <si>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</si>
  <si>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</si>
  <si>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Yes</t>
  </si>
  <si>
    <t>Sell</t>
  </si>
  <si>
    <t>GS</t>
  </si>
  <si>
    <t>IncreasePositionFromPM</t>
  </si>
  <si>
    <t>Sell short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</si>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</sst>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B678" t="str">
        <f>IFERROR(__xludf.DUMMYFUNCTION("""COMPUTED_VALUE"""),"GetDataFromAuditTrail")</f>
        <v>GetDataFromAuditTrail</v>
      </c>
      <c r="C678" t="str">
        <f>IFERROR(__xludf.DUMMYFUNCTION("""COMPUTED_VALUE"""),"1tNXZNqCj-1qo8Li9Rf4t_XiY-dX6itH2UAbOSe3-Mxc")</f>
        <v>1tNXZNqCj-1qo8Li9Rf4t_XiY-dX6itH2UAbOSe3-Mxc</v>
      </c>
    </row>
    <row r="679" ht="15.75" customHeight="1">
      <c r="B679" t="str">
        <f>IFERROR(__xludf.DUMMYFUNCTION("""COMPUTED_VALUE"""),"VerifyAuditTrail")</f>
        <v>VerifyAuditTrail</v>
      </c>
      <c r="C679" t="str">
        <f>IFERROR(__xludf.DUMMYFUNCTION("""COMPUTED_VALUE"""),"1yv4ikffZOFZ-OOoWF_aNEGZA8dcvqtzobkyZjf8TDRs")</f>
        <v>1yv4ikffZOFZ-OOoWF_aNEGZA8dcvqtzobkyZjf8TDRs</v>
      </c>
    </row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>
        <v>100.0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23</v>
      </c>
      <c r="B6" s="32"/>
      <c r="C6" s="8" t="s">
        <v>16</v>
      </c>
      <c r="D6" s="32">
        <v>100.0</v>
      </c>
      <c r="E6" s="8" t="s">
        <v>24</v>
      </c>
      <c r="F6" s="8" t="s">
        <v>25</v>
      </c>
      <c r="G6" s="8">
        <v>10.0</v>
      </c>
      <c r="H6" s="8" t="s">
        <v>26</v>
      </c>
      <c r="I6" s="8"/>
      <c r="J6" s="8"/>
      <c r="K6" s="8"/>
      <c r="L6" s="8"/>
      <c r="M6" s="8"/>
      <c r="N6" s="8"/>
      <c r="O6" s="8" t="s">
        <v>27</v>
      </c>
      <c r="Q6">
        <v>-1000.0</v>
      </c>
      <c r="R6" t="s">
        <v>28</v>
      </c>
      <c r="T6" t="s">
        <v>29</v>
      </c>
      <c r="U6" t="s">
        <v>30</v>
      </c>
      <c r="V6" t="s">
        <v>31</v>
      </c>
      <c r="W6" t="s">
        <v>32</v>
      </c>
      <c r="X6">
        <v>1.0</v>
      </c>
      <c r="Y6">
        <v>1.0</v>
      </c>
      <c r="AN6" t="s">
        <v>17</v>
      </c>
      <c r="AP6" t="s">
        <v>26</v>
      </c>
      <c r="AQ6" t="s">
        <v>16</v>
      </c>
      <c r="AS6">
        <v>1.0</v>
      </c>
      <c r="AT6" t="s">
        <v>33</v>
      </c>
      <c r="AU6" t="s">
        <v>34</v>
      </c>
      <c r="AV6">
        <v>1.0</v>
      </c>
      <c r="BC6">
        <v>1.0</v>
      </c>
      <c r="BE6" t="s">
        <v>29</v>
      </c>
      <c r="BF6" t="s">
        <v>35</v>
      </c>
      <c r="BG6" t="s">
        <v>36</v>
      </c>
      <c r="BQ6" t="s">
        <v>37</v>
      </c>
      <c r="BR6" t="s">
        <v>38</v>
      </c>
      <c r="BU6" t="s">
        <v>29</v>
      </c>
      <c r="CN6" t="s">
        <v>16</v>
      </c>
      <c r="CO6" t="s">
        <v>16</v>
      </c>
      <c r="CP6" t="s">
        <v>39</v>
      </c>
      <c r="CS6">
        <v>10.0</v>
      </c>
      <c r="CY6" t="s">
        <v>40</v>
      </c>
      <c r="CZ6" t="s">
        <v>41</v>
      </c>
      <c r="DD6">
        <v>100.0</v>
      </c>
      <c r="DJ6" t="s">
        <v>17</v>
      </c>
      <c r="DM6">
        <v>1.0</v>
      </c>
      <c r="DP6" t="s">
        <v>26</v>
      </c>
      <c r="DZ6" t="s">
        <v>27</v>
      </c>
      <c r="ED6" t="s">
        <v>32</v>
      </c>
      <c r="EE6" t="s">
        <v>42</v>
      </c>
      <c r="FH6">
        <v>100.0</v>
      </c>
      <c r="FI6" t="s">
        <v>23</v>
      </c>
      <c r="FK6" t="s">
        <v>23</v>
      </c>
      <c r="FL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23</v>
      </c>
      <c r="B6" s="32"/>
      <c r="C6" s="8" t="s">
        <v>16</v>
      </c>
      <c r="D6" s="32">
        <v>100.0</v>
      </c>
      <c r="E6" s="8" t="s">
        <v>24</v>
      </c>
      <c r="F6" s="8" t="s">
        <v>25</v>
      </c>
      <c r="G6" s="8">
        <v>10.0</v>
      </c>
      <c r="H6" s="8" t="s">
        <v>26</v>
      </c>
      <c r="I6" s="8"/>
      <c r="J6" s="8"/>
      <c r="K6" s="8"/>
      <c r="L6" s="8"/>
      <c r="M6" s="8"/>
      <c r="N6" s="8"/>
      <c r="O6" s="8" t="s">
        <v>27</v>
      </c>
      <c r="Q6">
        <v>-1000.0</v>
      </c>
      <c r="R6" t="s">
        <v>28</v>
      </c>
      <c r="T6" t="s">
        <v>29</v>
      </c>
      <c r="U6" t="s">
        <v>30</v>
      </c>
      <c r="V6" t="s">
        <v>31</v>
      </c>
      <c r="W6" t="s">
        <v>32</v>
      </c>
      <c r="X6">
        <v>1.0</v>
      </c>
      <c r="Y6">
        <v>1.0</v>
      </c>
      <c r="AN6" t="s">
        <v>17</v>
      </c>
      <c r="AP6" t="s">
        <v>26</v>
      </c>
      <c r="AQ6" t="s">
        <v>16</v>
      </c>
      <c r="AS6">
        <v>1.0</v>
      </c>
      <c r="AV6">
        <v>1.0</v>
      </c>
      <c r="BC6">
        <v>1.0</v>
      </c>
      <c r="BE6" t="s">
        <v>29</v>
      </c>
      <c r="BF6" t="s">
        <v>35</v>
      </c>
      <c r="BG6" t="s">
        <v>36</v>
      </c>
      <c r="BQ6" t="s">
        <v>37</v>
      </c>
      <c r="BR6" t="s">
        <v>38</v>
      </c>
      <c r="CN6" t="s">
        <v>16</v>
      </c>
      <c r="CO6" t="s">
        <v>16</v>
      </c>
      <c r="CP6" t="s">
        <v>39</v>
      </c>
      <c r="CS6">
        <v>10.0</v>
      </c>
      <c r="CY6" t="s">
        <v>40</v>
      </c>
      <c r="CZ6" t="s">
        <v>41</v>
      </c>
      <c r="DD6">
        <v>100.0</v>
      </c>
      <c r="DJ6" t="s">
        <v>17</v>
      </c>
      <c r="DM6">
        <v>1.0</v>
      </c>
      <c r="DP6" t="s">
        <v>26</v>
      </c>
      <c r="DZ6" t="s">
        <v>27</v>
      </c>
      <c r="ED6" t="s">
        <v>32</v>
      </c>
      <c r="EE6" t="s">
        <v>42</v>
      </c>
      <c r="FI6" t="s">
        <v>23</v>
      </c>
      <c r="FK6" t="s">
        <v>23</v>
      </c>
      <c r="FL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23</v>
      </c>
      <c r="B7" s="8"/>
      <c r="C7" s="8" t="s">
        <v>16</v>
      </c>
      <c r="D7" s="8">
        <v>-100.0</v>
      </c>
      <c r="E7" s="8" t="s">
        <v>24</v>
      </c>
      <c r="F7" s="8" t="s">
        <v>25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 t="s">
        <v>27</v>
      </c>
      <c r="Q7">
        <v>1000.0</v>
      </c>
      <c r="R7" t="s">
        <v>28</v>
      </c>
      <c r="T7" t="s">
        <v>29</v>
      </c>
      <c r="U7" t="s">
        <v>30</v>
      </c>
      <c r="V7" t="s">
        <v>31</v>
      </c>
      <c r="W7" t="s">
        <v>32</v>
      </c>
      <c r="X7">
        <v>1.0</v>
      </c>
      <c r="Y7">
        <v>1.0</v>
      </c>
      <c r="AN7" t="s">
        <v>43</v>
      </c>
      <c r="AP7" t="s">
        <v>26</v>
      </c>
      <c r="AQ7" t="s">
        <v>16</v>
      </c>
      <c r="AS7">
        <v>-1.0</v>
      </c>
      <c r="AV7">
        <v>1.0</v>
      </c>
      <c r="BC7">
        <v>1.0</v>
      </c>
      <c r="BE7" t="s">
        <v>29</v>
      </c>
      <c r="BF7" t="s">
        <v>35</v>
      </c>
      <c r="BG7" t="s">
        <v>36</v>
      </c>
      <c r="BQ7" t="s">
        <v>37</v>
      </c>
      <c r="BR7" t="s">
        <v>44</v>
      </c>
      <c r="CN7" t="s">
        <v>16</v>
      </c>
      <c r="CO7" t="s">
        <v>16</v>
      </c>
      <c r="CP7" t="s">
        <v>39</v>
      </c>
      <c r="CS7">
        <v>10.0</v>
      </c>
      <c r="CY7" t="s">
        <v>40</v>
      </c>
      <c r="CZ7" t="s">
        <v>41</v>
      </c>
      <c r="DD7">
        <v>-100.0</v>
      </c>
      <c r="DJ7" t="s">
        <v>43</v>
      </c>
      <c r="DM7">
        <v>1.0</v>
      </c>
      <c r="DP7" t="s">
        <v>26</v>
      </c>
      <c r="DZ7" t="s">
        <v>27</v>
      </c>
      <c r="ED7" t="s">
        <v>32</v>
      </c>
      <c r="EE7" t="s">
        <v>42</v>
      </c>
      <c r="FI7" t="s">
        <v>23</v>
      </c>
      <c r="FK7" t="s">
        <v>23</v>
      </c>
      <c r="FL7" t="s">
        <v>23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16</v>
      </c>
      <c r="D6" s="13">
        <v>100.0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46</v>
      </c>
      <c r="K6" s="8"/>
      <c r="L6" s="8"/>
      <c r="M6" s="8"/>
      <c r="N6" s="8"/>
      <c r="O6" s="8"/>
      <c r="AA6" s="9" t="s">
        <v>44</v>
      </c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47</v>
      </c>
      <c r="F6" s="8"/>
      <c r="G6" s="8"/>
      <c r="H6" s="8"/>
      <c r="I6" s="8"/>
      <c r="J6" s="13" t="s">
        <v>43</v>
      </c>
      <c r="K6" s="8"/>
      <c r="L6" s="8"/>
      <c r="M6" s="8"/>
      <c r="N6" s="8"/>
      <c r="O6" s="8"/>
      <c r="AA6" s="9" t="s">
        <v>44</v>
      </c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