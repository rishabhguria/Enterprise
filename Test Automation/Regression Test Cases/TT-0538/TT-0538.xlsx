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OnOrderGrid" sheetId="11" r:id="rId13"/>
    <sheet state="visible" name="ReplaceStageOrder" sheetId="12" r:id="rId14"/>
    <sheet state="visible" name="CreateReplaceOrder" sheetId="13" r:id="rId15"/>
    <sheet state="visible" name="VerifyOrder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<sst xmlns="http://schemas.openxmlformats.org/spreadsheetml/2006/main" count="384" uniqueCount="62">
  <si>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</si>
  <si>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</si>
  <si>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</si>
  <si>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</si>
  <si>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</si>
  <si>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</si>
  <si>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</si>
  <si>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</si>
  <si>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</si>
  <si>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</si>
  <si>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</si>
  <si>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</si>
  <si>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</si>
  <si>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</si>
  <si>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</si>
  <si>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</si>
  <si>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</si>
  <si>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</si>
  <si>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</si>
  <si>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</si>
  <si>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</si>
  <si>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</si>
  <si>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TradingTicket</t>
  </si>
  <si>
    <t>CreateLiveOrder</t>
  </si>
  <si>
    <t>FRU-TC</t>
  </si>
  <si>
    <t>Buy</t>
  </si>
  <si>
    <t>M</t>
  </si>
  <si>
    <t>Simulator</t>
  </si>
  <si>
    <t>SelectTrade</t>
  </si>
  <si>
    <t>AcknowledgeTrade</t>
  </si>
  <si>
    <t>ExecuteTrade</t>
  </si>
  <si>
    <t>Blotter</t>
  </si>
  <si>
    <t>SelectTradeOnOrderGrid</t>
  </si>
  <si>
    <t>ReplaceStageOrder</t>
  </si>
  <si>
    <t>CreateReplaceOrder</t>
  </si>
  <si>
    <t>VerifyOrder</t>
  </si>
  <si>
    <t/>
  </si>
  <si>
    <t>FRU CN EQUITY</t>
  </si>
  <si>
    <t>NASDAQ</t>
  </si>
  <si>
    <t>jpearce</t>
  </si>
  <si>
    <t>US</t>
  </si>
  <si>
    <t>GCCAP1</t>
  </si>
  <si>
    <t>CAD</t>
  </si>
  <si>
    <t>NONE</t>
  </si>
  <si>
    <t>NewMF</t>
  </si>
  <si>
    <t>DefaultNotes</t>
  </si>
  <si>
    <t>Equity</t>
  </si>
  <si>
    <t>Replaced</t>
  </si>
  <si>
    <t>MS</t>
  </si>
  <si>
    <t>Market</t>
  </si>
  <si>
    <t>Manual</t>
  </si>
  <si>
    <t>Day</t>
  </si>
  <si>
    <t>Allocation</t>
  </si>
  <si>
    <t>GetDataAllocation</t>
  </si>
  <si>
    <t>Current</t>
  </si>
  <si>
    <t>CheckAllocatedGroups</t>
  </si>
  <si>
    <t>1,00,000.00</t>
  </si>
  <si>
    <t>PortfolioManagement</t>
  </si>
  <si>
    <t>CheckPortfolioManagement</t>
  </si>
  <si>
    <t>1,00,000</t>
  </si>
  <si>
    <t>Long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</si>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</sst>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45298</v>
      </c>
      <c r="C6" s="35">
        <f>today()</f>
        <v>45299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6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25</v>
      </c>
      <c r="D6" s="36">
        <v>100000.0</v>
      </c>
      <c r="E6" s="32"/>
      <c r="F6" s="32" t="s">
        <v>20</v>
      </c>
      <c r="G6" s="32"/>
      <c r="H6" s="32"/>
      <c r="I6" s="32"/>
      <c r="J6" s="36">
        <v>100.0</v>
      </c>
      <c r="K6" s="32"/>
      <c r="L6" s="32"/>
      <c r="M6" s="32"/>
      <c r="N6" s="32"/>
      <c r="O6" s="34">
        <v>0.75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26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13">
        <v>100.0</v>
      </c>
      <c r="F6" s="8"/>
      <c r="G6" s="13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13">
        <v>100.0</v>
      </c>
      <c r="F6" s="8"/>
      <c r="G6" s="13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100000.0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37"/>
      <c r="F6" s="1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36</v>
      </c>
      <c r="B6" s="38"/>
      <c r="C6" s="8"/>
      <c r="D6" s="38">
        <v>75.0</v>
      </c>
      <c r="E6" s="8" t="s">
        <v>37</v>
      </c>
      <c r="F6" s="8"/>
      <c r="G6" s="8">
        <v>100000.0</v>
      </c>
      <c r="H6" s="8" t="s">
        <v>38</v>
      </c>
      <c r="I6" s="8" t="s">
        <v>39</v>
      </c>
      <c r="J6" s="8" t="s">
        <v>24</v>
      </c>
      <c r="K6" s="8" t="s">
        <v>40</v>
      </c>
      <c r="L6" s="8" t="s">
        <v>41</v>
      </c>
      <c r="M6" s="8"/>
      <c r="N6" s="8"/>
      <c r="O6" s="8"/>
      <c r="U6" t="s">
        <v>42</v>
      </c>
      <c r="V6" t="s">
        <v>43</v>
      </c>
      <c r="AA6" t="s">
        <v>44</v>
      </c>
      <c r="AC6" t="s">
        <v>45</v>
      </c>
      <c r="AF6" t="s">
        <v>26</v>
      </c>
      <c r="AG6">
        <v>100.0</v>
      </c>
      <c r="AH6" t="s">
        <v>46</v>
      </c>
      <c r="AI6" t="s">
        <v>24</v>
      </c>
      <c r="AJ6" t="s">
        <v>25</v>
      </c>
      <c r="AK6" t="s">
        <v>47</v>
      </c>
      <c r="AL6" s="39">
        <v>200000.0</v>
      </c>
      <c r="AM6">
        <v>100000.0</v>
      </c>
      <c r="AN6">
        <v>50.0</v>
      </c>
      <c r="AO6">
        <v>100000.0</v>
      </c>
      <c r="AR6">
        <v>100.0</v>
      </c>
      <c r="AS6" t="s">
        <v>48</v>
      </c>
      <c r="AT6" t="s">
        <v>20</v>
      </c>
      <c r="AU6" t="s">
        <v>49</v>
      </c>
      <c r="AV6">
        <v>1.0E7</v>
      </c>
      <c r="AW6">
        <v>7500000.0</v>
      </c>
      <c r="AX6" t="s">
        <v>50</v>
      </c>
      <c r="AY6">
        <v>200000.0</v>
      </c>
      <c r="AZ6">
        <v>100000.0</v>
      </c>
      <c r="BA6" t="s">
        <v>39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s="9" t="s">
        <v>22</v>
      </c>
      <c r="BH6" t="s">
        <v>51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  <c r="AMN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  <c r="AMN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  <c r="AMN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  <c r="AMN5" s="30"/>
    </row>
    <row r="6" ht="15.75" customHeight="1">
      <c r="A6" s="31" t="s">
        <v>36</v>
      </c>
      <c r="B6" s="40" t="s">
        <v>20</v>
      </c>
      <c r="C6" s="32"/>
      <c r="D6" s="31"/>
      <c r="E6" s="41" t="s">
        <v>56</v>
      </c>
      <c r="F6" s="42" t="s">
        <v>50</v>
      </c>
      <c r="G6" s="42" t="s">
        <v>46</v>
      </c>
      <c r="H6" s="32"/>
      <c r="I6" s="32"/>
      <c r="J6" s="32"/>
      <c r="K6" s="32"/>
      <c r="L6" s="32">
        <v>100.0</v>
      </c>
      <c r="M6" s="32" t="s">
        <v>37</v>
      </c>
      <c r="N6" s="32"/>
      <c r="O6" s="32" t="s">
        <v>48</v>
      </c>
      <c r="P6" s="32"/>
      <c r="Q6" s="32"/>
      <c r="R6" s="32"/>
      <c r="S6" s="42"/>
      <c r="T6" s="32"/>
      <c r="U6" s="32"/>
      <c r="V6" s="32" t="s">
        <v>24</v>
      </c>
      <c r="W6" s="32"/>
      <c r="X6" s="32"/>
      <c r="Y6" s="32" t="s">
        <v>36</v>
      </c>
      <c r="Z6" s="32" t="s">
        <v>42</v>
      </c>
      <c r="AA6" s="32"/>
      <c r="AB6" s="32"/>
      <c r="AC6" s="32"/>
      <c r="AD6" s="32"/>
      <c r="AE6" s="41" t="s">
        <v>56</v>
      </c>
      <c r="AF6" s="32" t="s">
        <v>36</v>
      </c>
      <c r="AG6" s="32"/>
      <c r="AH6" s="42" t="s">
        <v>26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41" t="s">
        <v>56</v>
      </c>
      <c r="BK6" s="32"/>
      <c r="BL6" s="32" t="s">
        <v>36</v>
      </c>
      <c r="BM6" s="32" t="s">
        <v>42</v>
      </c>
      <c r="BN6" s="32"/>
      <c r="BO6" s="42" t="s">
        <v>25</v>
      </c>
      <c r="BP6" s="32"/>
      <c r="BQ6" s="32"/>
      <c r="BR6" s="32"/>
      <c r="BS6" s="32"/>
      <c r="BT6" s="42" t="s">
        <v>24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 t="s">
        <v>36</v>
      </c>
      <c r="CY6" s="32" t="s">
        <v>36</v>
      </c>
      <c r="CZ6" s="32" t="s">
        <v>36</v>
      </c>
      <c r="DA6" s="32" t="s">
        <v>36</v>
      </c>
      <c r="DB6" s="32" t="s">
        <v>36</v>
      </c>
      <c r="DC6" s="32" t="s">
        <v>36</v>
      </c>
      <c r="DD6" s="32" t="s">
        <v>36</v>
      </c>
      <c r="DE6" s="32" t="s">
        <v>36</v>
      </c>
      <c r="DF6" s="32" t="s">
        <v>36</v>
      </c>
      <c r="DG6" s="32" t="s">
        <v>36</v>
      </c>
      <c r="DH6" s="32" t="s">
        <v>36</v>
      </c>
      <c r="DI6" s="32" t="s">
        <v>36</v>
      </c>
      <c r="DJ6" s="32" t="s">
        <v>36</v>
      </c>
      <c r="DK6" s="32" t="s">
        <v>36</v>
      </c>
      <c r="DL6" s="32" t="s">
        <v>36</v>
      </c>
      <c r="DM6" s="32" t="s">
        <v>36</v>
      </c>
      <c r="DN6" s="32" t="s">
        <v>36</v>
      </c>
      <c r="DO6" s="32" t="s">
        <v>36</v>
      </c>
      <c r="DP6" s="32" t="s">
        <v>36</v>
      </c>
      <c r="DQ6" s="32" t="s">
        <v>36</v>
      </c>
      <c r="DR6" s="32" t="s">
        <v>36</v>
      </c>
      <c r="DS6" s="32" t="s">
        <v>36</v>
      </c>
      <c r="DT6" s="32" t="s">
        <v>36</v>
      </c>
      <c r="DU6" s="32" t="s">
        <v>36</v>
      </c>
      <c r="DV6" s="32" t="s">
        <v>36</v>
      </c>
      <c r="DW6" s="32" t="s">
        <v>36</v>
      </c>
      <c r="DX6" s="32" t="s">
        <v>36</v>
      </c>
      <c r="DY6" s="32" t="s">
        <v>36</v>
      </c>
      <c r="DZ6" s="32" t="s">
        <v>36</v>
      </c>
      <c r="EA6" s="32" t="s">
        <v>36</v>
      </c>
      <c r="EB6" s="32" t="s">
        <v>36</v>
      </c>
      <c r="EC6" s="32" t="s">
        <v>36</v>
      </c>
      <c r="ED6" s="32" t="s">
        <v>36</v>
      </c>
      <c r="EE6" s="32" t="s">
        <v>36</v>
      </c>
      <c r="EF6" s="32" t="s">
        <v>36</v>
      </c>
      <c r="EG6" s="32" t="s">
        <v>36</v>
      </c>
      <c r="EH6" s="32" t="s">
        <v>36</v>
      </c>
      <c r="EI6" s="32" t="s">
        <v>36</v>
      </c>
      <c r="EJ6" s="32" t="s">
        <v>36</v>
      </c>
      <c r="EK6" s="32" t="s">
        <v>36</v>
      </c>
      <c r="EL6" s="32" t="s">
        <v>36</v>
      </c>
      <c r="EM6" s="32" t="s">
        <v>36</v>
      </c>
      <c r="EN6" s="32" t="s">
        <v>36</v>
      </c>
      <c r="EO6" s="32" t="s">
        <v>36</v>
      </c>
      <c r="EP6" s="32" t="s">
        <v>36</v>
      </c>
      <c r="EQ6" s="32" t="s">
        <v>36</v>
      </c>
      <c r="ER6" s="32" t="s">
        <v>36</v>
      </c>
      <c r="ES6" s="32" t="s">
        <v>36</v>
      </c>
      <c r="ET6" s="32" t="s">
        <v>36</v>
      </c>
      <c r="EU6" s="32" t="s">
        <v>36</v>
      </c>
      <c r="EV6" s="32" t="s">
        <v>36</v>
      </c>
      <c r="EW6" s="32" t="s">
        <v>36</v>
      </c>
      <c r="EX6" s="32" t="s">
        <v>36</v>
      </c>
      <c r="EY6" s="32" t="s">
        <v>36</v>
      </c>
      <c r="EZ6" s="32" t="s">
        <v>36</v>
      </c>
      <c r="FA6" s="32" t="s">
        <v>36</v>
      </c>
      <c r="FB6" s="32" t="s">
        <v>36</v>
      </c>
      <c r="FC6" s="32" t="s">
        <v>36</v>
      </c>
      <c r="FD6" s="32" t="s">
        <v>36</v>
      </c>
      <c r="FE6" s="32" t="s">
        <v>36</v>
      </c>
      <c r="FF6" s="32" t="s">
        <v>36</v>
      </c>
      <c r="FG6" s="32" t="s">
        <v>36</v>
      </c>
      <c r="FH6" s="32" t="s">
        <v>36</v>
      </c>
      <c r="FI6" s="32" t="s">
        <v>36</v>
      </c>
      <c r="FJ6" s="32" t="s">
        <v>36</v>
      </c>
      <c r="FK6" s="32" t="s">
        <v>36</v>
      </c>
      <c r="FL6" s="32" t="s">
        <v>36</v>
      </c>
      <c r="FM6" s="32" t="s">
        <v>36</v>
      </c>
      <c r="FN6" s="32" t="s">
        <v>36</v>
      </c>
      <c r="FO6" s="32" t="s">
        <v>36</v>
      </c>
      <c r="FP6" s="32" t="s">
        <v>36</v>
      </c>
      <c r="FQ6" s="32" t="s">
        <v>36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  <c r="AMM6" s="32"/>
      <c r="AMN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32" t="str">
        <f t="shared" ref="D14:FT14" si="1">iferror(INDEX('Input(Other)'!$A:$FF,MATCH($A14,'Input(Other)'!$A$1:$A$210,0),MATCH(D$1,'Input(Other)'!$1:$1,0)),"")</f>
        <v/>
      </c>
      <c r="E14" s="32" t="str">
        <f t="shared" si="1"/>
        <v/>
      </c>
      <c r="F14" s="32" t="str">
        <f t="shared" si="1"/>
        <v/>
      </c>
      <c r="G14" s="43" t="str">
        <f t="shared" si="1"/>
        <v/>
      </c>
      <c r="H14" s="32" t="str">
        <f t="shared" si="1"/>
        <v/>
      </c>
      <c r="I14" s="32" t="str">
        <f t="shared" si="1"/>
        <v/>
      </c>
      <c r="J14" s="32" t="str">
        <f t="shared" si="1"/>
        <v/>
      </c>
      <c r="K14" s="43" t="str">
        <f t="shared" si="1"/>
        <v/>
      </c>
      <c r="L14" s="43" t="str">
        <f t="shared" si="1"/>
        <v/>
      </c>
      <c r="M14" s="43" t="str">
        <f t="shared" si="1"/>
        <v/>
      </c>
      <c r="N14" s="43" t="str">
        <f t="shared" si="1"/>
        <v/>
      </c>
      <c r="O14" s="43" t="str">
        <f t="shared" si="1"/>
        <v/>
      </c>
      <c r="P14" s="32" t="str">
        <f t="shared" si="1"/>
        <v/>
      </c>
      <c r="Q14" s="32" t="str">
        <f t="shared" si="1"/>
        <v/>
      </c>
      <c r="R14" s="32" t="str">
        <f t="shared" si="1"/>
        <v/>
      </c>
      <c r="S14" s="32" t="str">
        <f t="shared" si="1"/>
        <v/>
      </c>
      <c r="T14" s="43" t="str">
        <f t="shared" si="1"/>
        <v/>
      </c>
      <c r="U14" s="43" t="str">
        <f t="shared" si="1"/>
        <v/>
      </c>
      <c r="V14" s="32" t="str">
        <f t="shared" si="1"/>
        <v/>
      </c>
      <c r="W14" s="43" t="str">
        <f t="shared" si="1"/>
        <v/>
      </c>
      <c r="X14" s="43" t="str">
        <f t="shared" si="1"/>
        <v/>
      </c>
      <c r="Y14" s="32" t="str">
        <f t="shared" si="1"/>
        <v/>
      </c>
      <c r="Z14" s="43" t="str">
        <f t="shared" si="1"/>
        <v/>
      </c>
      <c r="AA14" s="43" t="str">
        <f t="shared" si="1"/>
        <v/>
      </c>
      <c r="AB14" s="32" t="str">
        <f t="shared" si="1"/>
        <v/>
      </c>
      <c r="AC14" s="32" t="str">
        <f t="shared" si="1"/>
        <v/>
      </c>
      <c r="AD14" s="32" t="str">
        <f t="shared" si="1"/>
        <v/>
      </c>
      <c r="AE14" s="43" t="str">
        <f t="shared" si="1"/>
        <v/>
      </c>
      <c r="AF14" s="32" t="str">
        <f t="shared" si="1"/>
        <v/>
      </c>
      <c r="AG14" s="32" t="str">
        <f t="shared" si="1"/>
        <v/>
      </c>
      <c r="AH14" s="32" t="str">
        <f t="shared" si="1"/>
        <v/>
      </c>
      <c r="AI14" s="32" t="str">
        <f t="shared" si="1"/>
        <v/>
      </c>
      <c r="AJ14" s="43" t="str">
        <f t="shared" si="1"/>
        <v/>
      </c>
      <c r="AK14" s="32" t="str">
        <f t="shared" si="1"/>
        <v/>
      </c>
      <c r="AL14" s="43" t="str">
        <f t="shared" si="1"/>
        <v/>
      </c>
      <c r="AM14" s="32" t="str">
        <f t="shared" si="1"/>
        <v/>
      </c>
      <c r="AN14" s="32" t="str">
        <f t="shared" si="1"/>
        <v/>
      </c>
      <c r="AO14" s="32" t="str">
        <f t="shared" si="1"/>
        <v/>
      </c>
      <c r="AP14" s="32" t="str">
        <f t="shared" si="1"/>
        <v/>
      </c>
      <c r="AQ14" s="44" t="str">
        <f t="shared" si="1"/>
        <v/>
      </c>
      <c r="AR14" s="32" t="str">
        <f t="shared" si="1"/>
        <v/>
      </c>
      <c r="AS14" s="44" t="str">
        <f t="shared" si="1"/>
        <v/>
      </c>
      <c r="AT14" s="44" t="str">
        <f t="shared" si="1"/>
        <v/>
      </c>
      <c r="AU14" s="44" t="str">
        <f t="shared" si="1"/>
        <v/>
      </c>
      <c r="AV14" s="43" t="str">
        <f t="shared" si="1"/>
        <v/>
      </c>
      <c r="AW14" s="32" t="str">
        <f t="shared" si="1"/>
        <v/>
      </c>
      <c r="AX14" s="32" t="str">
        <f t="shared" si="1"/>
        <v/>
      </c>
      <c r="AY14" s="32" t="str">
        <f t="shared" si="1"/>
        <v/>
      </c>
      <c r="AZ14" s="43" t="str">
        <f t="shared" si="1"/>
        <v/>
      </c>
      <c r="BA14" s="43" t="str">
        <f t="shared" si="1"/>
        <v/>
      </c>
      <c r="BB14" s="32" t="str">
        <f t="shared" si="1"/>
        <v/>
      </c>
      <c r="BC14" s="43" t="str">
        <f t="shared" si="1"/>
        <v/>
      </c>
      <c r="BD14" s="32" t="str">
        <f t="shared" si="1"/>
        <v/>
      </c>
      <c r="BE14" s="32" t="str">
        <f t="shared" si="1"/>
        <v/>
      </c>
      <c r="BF14" s="43" t="str">
        <f t="shared" si="1"/>
        <v/>
      </c>
      <c r="BG14" s="32" t="str">
        <f t="shared" si="1"/>
        <v/>
      </c>
      <c r="BH14" s="32" t="str">
        <f t="shared" si="1"/>
        <v/>
      </c>
      <c r="BI14" s="32" t="str">
        <f t="shared" si="1"/>
        <v/>
      </c>
      <c r="BJ14" s="32" t="str">
        <f t="shared" si="1"/>
        <v/>
      </c>
      <c r="BK14" s="32" t="str">
        <f t="shared" si="1"/>
        <v/>
      </c>
      <c r="BL14" s="32" t="str">
        <f t="shared" si="1"/>
        <v/>
      </c>
      <c r="BM14" s="32" t="str">
        <f t="shared" si="1"/>
        <v/>
      </c>
      <c r="BN14" s="43" t="str">
        <f t="shared" si="1"/>
        <v/>
      </c>
      <c r="BO14" s="32" t="str">
        <f t="shared" si="1"/>
        <v/>
      </c>
      <c r="BP14" s="32" t="str">
        <f t="shared" si="1"/>
        <v/>
      </c>
      <c r="BQ14" s="32" t="str">
        <f t="shared" si="1"/>
        <v/>
      </c>
      <c r="BR14" s="32" t="str">
        <f t="shared" si="1"/>
        <v/>
      </c>
      <c r="BS14" s="43" t="str">
        <f t="shared" si="1"/>
        <v/>
      </c>
      <c r="BT14" s="43" t="str">
        <f t="shared" si="1"/>
        <v/>
      </c>
      <c r="BU14" s="43" t="str">
        <f t="shared" si="1"/>
        <v/>
      </c>
      <c r="BV14" s="32" t="str">
        <f t="shared" si="1"/>
        <v/>
      </c>
      <c r="BW14" s="32" t="str">
        <f t="shared" si="1"/>
        <v/>
      </c>
      <c r="BX14" s="43" t="str">
        <f t="shared" si="1"/>
        <v/>
      </c>
      <c r="BY14" s="43" t="str">
        <f t="shared" si="1"/>
        <v/>
      </c>
      <c r="BZ14" s="43" t="str">
        <f t="shared" si="1"/>
        <v/>
      </c>
      <c r="CA14" s="43" t="str">
        <f t="shared" si="1"/>
        <v/>
      </c>
      <c r="CB14" s="32" t="str">
        <f t="shared" si="1"/>
        <v/>
      </c>
      <c r="CC14" s="32" t="str">
        <f t="shared" si="1"/>
        <v/>
      </c>
      <c r="CD14" s="32" t="str">
        <f t="shared" si="1"/>
        <v/>
      </c>
      <c r="CE14" s="32" t="str">
        <f t="shared" si="1"/>
        <v/>
      </c>
      <c r="CF14" s="32" t="str">
        <f t="shared" si="1"/>
        <v/>
      </c>
      <c r="CG14" s="32" t="str">
        <f t="shared" si="1"/>
        <v/>
      </c>
      <c r="CH14" s="32" t="str">
        <f t="shared" si="1"/>
        <v/>
      </c>
      <c r="CI14" s="32" t="str">
        <f t="shared" si="1"/>
        <v/>
      </c>
      <c r="CJ14" s="43" t="str">
        <f t="shared" si="1"/>
        <v/>
      </c>
      <c r="CK14" s="32" t="str">
        <f t="shared" si="1"/>
        <v/>
      </c>
      <c r="CL14" s="32" t="str">
        <f t="shared" si="1"/>
        <v/>
      </c>
      <c r="CM14" s="43" t="str">
        <f t="shared" si="1"/>
        <v/>
      </c>
      <c r="CN14" s="32" t="str">
        <f t="shared" si="1"/>
        <v/>
      </c>
      <c r="CO14" s="43" t="str">
        <f t="shared" si="1"/>
        <v/>
      </c>
      <c r="CP14" s="32" t="str">
        <f t="shared" si="1"/>
        <v/>
      </c>
      <c r="CQ14" s="32" t="str">
        <f t="shared" si="1"/>
        <v/>
      </c>
      <c r="CR14" s="32" t="str">
        <f t="shared" si="1"/>
        <v/>
      </c>
      <c r="CS14" s="32" t="str">
        <f t="shared" si="1"/>
        <v/>
      </c>
      <c r="CT14" s="43" t="str">
        <f t="shared" si="1"/>
        <v/>
      </c>
      <c r="CU14" s="43" t="str">
        <f t="shared" si="1"/>
        <v/>
      </c>
      <c r="CV14" s="32" t="str">
        <f t="shared" si="1"/>
        <v/>
      </c>
      <c r="CW14" s="32" t="str">
        <f t="shared" si="1"/>
        <v/>
      </c>
      <c r="CX14" s="32" t="str">
        <f t="shared" si="1"/>
        <v/>
      </c>
      <c r="CY14" s="32" t="str">
        <f t="shared" si="1"/>
        <v/>
      </c>
      <c r="CZ14" s="32" t="str">
        <f t="shared" si="1"/>
        <v/>
      </c>
      <c r="DA14" s="32" t="str">
        <f t="shared" si="1"/>
        <v/>
      </c>
      <c r="DB14" s="32" t="str">
        <f t="shared" si="1"/>
        <v/>
      </c>
      <c r="DC14" s="32" t="str">
        <f t="shared" si="1"/>
        <v/>
      </c>
      <c r="DD14" s="32" t="str">
        <f t="shared" si="1"/>
        <v/>
      </c>
      <c r="DE14" s="32" t="str">
        <f t="shared" si="1"/>
        <v/>
      </c>
      <c r="DF14" s="32" t="str">
        <f t="shared" si="1"/>
        <v/>
      </c>
      <c r="DG14" s="32" t="str">
        <f t="shared" si="1"/>
        <v/>
      </c>
      <c r="DH14" s="32" t="str">
        <f t="shared" si="1"/>
        <v/>
      </c>
      <c r="DI14" s="32" t="str">
        <f t="shared" si="1"/>
        <v/>
      </c>
      <c r="DJ14" s="32" t="str">
        <f t="shared" si="1"/>
        <v/>
      </c>
      <c r="DK14" s="32" t="str">
        <f t="shared" si="1"/>
        <v/>
      </c>
      <c r="DL14" s="32" t="str">
        <f t="shared" si="1"/>
        <v/>
      </c>
      <c r="DM14" s="32" t="str">
        <f t="shared" si="1"/>
        <v/>
      </c>
      <c r="DN14" s="32" t="str">
        <f t="shared" si="1"/>
        <v/>
      </c>
      <c r="DO14" s="32" t="str">
        <f t="shared" si="1"/>
        <v/>
      </c>
      <c r="DP14" s="32" t="str">
        <f t="shared" si="1"/>
        <v/>
      </c>
      <c r="DQ14" s="32" t="str">
        <f t="shared" si="1"/>
        <v/>
      </c>
      <c r="DR14" s="32" t="str">
        <f t="shared" si="1"/>
        <v/>
      </c>
      <c r="DS14" s="32" t="str">
        <f t="shared" si="1"/>
        <v/>
      </c>
      <c r="DT14" s="32" t="str">
        <f t="shared" si="1"/>
        <v/>
      </c>
      <c r="DU14" s="32" t="str">
        <f t="shared" si="1"/>
        <v/>
      </c>
      <c r="DV14" s="32" t="str">
        <f t="shared" si="1"/>
        <v/>
      </c>
      <c r="DW14" s="32" t="str">
        <f t="shared" si="1"/>
        <v/>
      </c>
      <c r="DX14" s="32" t="str">
        <f t="shared" si="1"/>
        <v/>
      </c>
      <c r="DY14" s="32" t="str">
        <f t="shared" si="1"/>
        <v/>
      </c>
      <c r="DZ14" s="32" t="str">
        <f t="shared" si="1"/>
        <v/>
      </c>
      <c r="EA14" s="32" t="str">
        <f t="shared" si="1"/>
        <v/>
      </c>
      <c r="EB14" s="32" t="str">
        <f t="shared" si="1"/>
        <v/>
      </c>
      <c r="EC14" s="32" t="str">
        <f t="shared" si="1"/>
        <v/>
      </c>
      <c r="ED14" s="32" t="str">
        <f t="shared" si="1"/>
        <v/>
      </c>
      <c r="EE14" s="32" t="str">
        <f t="shared" si="1"/>
        <v/>
      </c>
      <c r="EF14" s="32" t="str">
        <f t="shared" si="1"/>
        <v/>
      </c>
      <c r="EG14" s="32" t="str">
        <f t="shared" si="1"/>
        <v/>
      </c>
      <c r="EH14" s="32" t="str">
        <f t="shared" si="1"/>
        <v/>
      </c>
      <c r="EI14" s="32" t="str">
        <f t="shared" si="1"/>
        <v/>
      </c>
      <c r="EJ14" s="32" t="str">
        <f t="shared" si="1"/>
        <v/>
      </c>
      <c r="EK14" s="32" t="str">
        <f t="shared" si="1"/>
        <v/>
      </c>
      <c r="EL14" s="32" t="str">
        <f t="shared" si="1"/>
        <v/>
      </c>
      <c r="EM14" s="32" t="str">
        <f t="shared" si="1"/>
        <v/>
      </c>
      <c r="EN14" s="32" t="str">
        <f t="shared" si="1"/>
        <v/>
      </c>
      <c r="EO14" s="32" t="str">
        <f t="shared" si="1"/>
        <v/>
      </c>
      <c r="EP14" s="32" t="str">
        <f t="shared" si="1"/>
        <v/>
      </c>
      <c r="EQ14" s="32" t="str">
        <f t="shared" si="1"/>
        <v/>
      </c>
      <c r="ER14" s="32" t="str">
        <f t="shared" si="1"/>
        <v/>
      </c>
      <c r="ES14" s="32" t="str">
        <f t="shared" si="1"/>
        <v/>
      </c>
      <c r="ET14" s="32" t="str">
        <f t="shared" si="1"/>
        <v/>
      </c>
      <c r="EU14" s="32" t="str">
        <f t="shared" si="1"/>
        <v/>
      </c>
      <c r="EV14" s="32" t="str">
        <f t="shared" si="1"/>
        <v/>
      </c>
      <c r="EW14" s="32" t="str">
        <f t="shared" si="1"/>
        <v/>
      </c>
      <c r="EX14" s="32" t="str">
        <f t="shared" si="1"/>
        <v/>
      </c>
      <c r="EY14" s="32" t="str">
        <f t="shared" si="1"/>
        <v/>
      </c>
      <c r="EZ14" s="32" t="str">
        <f t="shared" si="1"/>
        <v/>
      </c>
      <c r="FA14" s="32" t="str">
        <f t="shared" si="1"/>
        <v/>
      </c>
      <c r="FB14" s="32" t="str">
        <f t="shared" si="1"/>
        <v/>
      </c>
      <c r="FC14" s="32" t="str">
        <f t="shared" si="1"/>
        <v/>
      </c>
      <c r="FD14" s="32" t="str">
        <f t="shared" si="1"/>
        <v/>
      </c>
      <c r="FE14" s="32" t="str">
        <f t="shared" si="1"/>
        <v/>
      </c>
      <c r="FF14" s="32" t="str">
        <f t="shared" si="1"/>
        <v/>
      </c>
      <c r="FG14" s="32" t="str">
        <f t="shared" si="1"/>
        <v/>
      </c>
      <c r="FH14" s="32" t="str">
        <f t="shared" si="1"/>
        <v/>
      </c>
      <c r="FI14" s="32" t="str">
        <f t="shared" si="1"/>
        <v/>
      </c>
      <c r="FJ14" s="32" t="str">
        <f t="shared" si="1"/>
        <v/>
      </c>
      <c r="FK14" s="32" t="str">
        <f t="shared" si="1"/>
        <v/>
      </c>
      <c r="FL14" s="32" t="str">
        <f t="shared" si="1"/>
        <v/>
      </c>
      <c r="FM14" s="32" t="str">
        <f t="shared" si="1"/>
        <v/>
      </c>
      <c r="FN14" s="32" t="str">
        <f t="shared" si="1"/>
        <v/>
      </c>
      <c r="FO14" s="32" t="str">
        <f t="shared" si="1"/>
        <v/>
      </c>
      <c r="FP14" s="32" t="str">
        <f t="shared" si="1"/>
        <v/>
      </c>
      <c r="FQ14" s="32" t="str">
        <f t="shared" si="1"/>
        <v/>
      </c>
      <c r="FR14" s="32" t="str">
        <f t="shared" si="1"/>
        <v/>
      </c>
      <c r="FS14" s="32" t="str">
        <f t="shared" si="1"/>
        <v/>
      </c>
      <c r="FT14" s="32" t="str">
        <f t="shared" si="1"/>
        <v/>
      </c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6"/>
      <c r="LS14" s="45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/>
      <c r="MF14" s="46"/>
      <c r="MG14" s="46"/>
      <c r="MH14" s="46"/>
      <c r="MI14" s="46"/>
      <c r="MJ14" s="46"/>
      <c r="MK14" s="46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6"/>
      <c r="SA14" s="45"/>
      <c r="SB14" s="46"/>
      <c r="SC14" s="46"/>
      <c r="SD14" s="46"/>
      <c r="SE14" s="46"/>
      <c r="SF14" s="46"/>
      <c r="SG14" s="46"/>
      <c r="SH14" s="46"/>
      <c r="SI14" s="46"/>
      <c r="SJ14" s="46"/>
      <c r="SK14" s="46"/>
      <c r="SL14" s="46"/>
      <c r="SM14" s="46"/>
      <c r="SN14" s="46"/>
      <c r="SO14" s="46"/>
      <c r="SP14" s="46"/>
      <c r="SQ14" s="46"/>
      <c r="SR14" s="46"/>
      <c r="SS14" s="46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6"/>
      <c r="YI14" s="45"/>
      <c r="YJ14" s="46"/>
      <c r="YK14" s="46"/>
      <c r="YL14" s="46"/>
      <c r="YM14" s="46"/>
      <c r="YN14" s="46"/>
      <c r="YO14" s="46"/>
      <c r="YP14" s="46"/>
      <c r="YQ14" s="46"/>
      <c r="YR14" s="46"/>
      <c r="YS14" s="46"/>
      <c r="YT14" s="46"/>
      <c r="YU14" s="46"/>
      <c r="YV14" s="46"/>
      <c r="YW14" s="46"/>
      <c r="YX14" s="46"/>
      <c r="YY14" s="46"/>
      <c r="YZ14" s="46"/>
      <c r="ZA14" s="46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6"/>
      <c r="AEQ14" s="45"/>
      <c r="AER14" s="46"/>
      <c r="AES14" s="46"/>
      <c r="AET14" s="46"/>
      <c r="AEU14" s="46"/>
      <c r="AEV14" s="46"/>
      <c r="AEW14" s="46"/>
      <c r="AEX14" s="46"/>
      <c r="AEY14" s="46"/>
      <c r="AEZ14" s="46"/>
      <c r="AFA14" s="46"/>
      <c r="AFB14" s="46"/>
      <c r="AFC14" s="46"/>
      <c r="AFD14" s="46"/>
      <c r="AFE14" s="46"/>
      <c r="AFF14" s="46"/>
      <c r="AFG14" s="46"/>
      <c r="AFH14" s="46"/>
      <c r="AFI14" s="46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6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36</v>
      </c>
      <c r="B6" s="31"/>
      <c r="C6" s="42" t="s">
        <v>24</v>
      </c>
      <c r="D6" s="47" t="s">
        <v>59</v>
      </c>
      <c r="E6" s="42" t="s">
        <v>20</v>
      </c>
      <c r="F6" s="42" t="s">
        <v>44</v>
      </c>
      <c r="G6" s="48">
        <v>100.0</v>
      </c>
      <c r="H6" s="42" t="s">
        <v>60</v>
      </c>
      <c r="I6" s="32"/>
      <c r="J6" s="32"/>
      <c r="K6" s="32"/>
      <c r="L6" s="32"/>
      <c r="M6" s="32"/>
      <c r="N6" s="32"/>
      <c r="O6" s="32" t="s">
        <v>24</v>
      </c>
      <c r="P6" s="32"/>
      <c r="Q6" s="32"/>
      <c r="R6" s="42" t="s">
        <v>61</v>
      </c>
      <c r="S6" s="42"/>
      <c r="T6" s="42" t="s">
        <v>46</v>
      </c>
      <c r="U6" s="42" t="s">
        <v>40</v>
      </c>
      <c r="V6" s="42"/>
      <c r="W6" s="42" t="s">
        <v>42</v>
      </c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42" t="s">
        <v>25</v>
      </c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4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 t="s">
        <v>39</v>
      </c>
      <c r="BR6" s="32" t="s">
        <v>48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 t="s">
        <v>37</v>
      </c>
      <c r="CQ6" s="32"/>
      <c r="CR6" s="32"/>
      <c r="CS6" s="32">
        <v>100.0</v>
      </c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4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 t="s">
        <v>36</v>
      </c>
      <c r="FB6" s="32"/>
      <c r="FC6" s="32"/>
      <c r="FD6" s="32"/>
      <c r="FE6" s="32"/>
      <c r="FF6" s="32"/>
      <c r="FG6" s="32" t="s">
        <v>36</v>
      </c>
      <c r="FH6" s="32" t="s">
        <v>36</v>
      </c>
      <c r="FI6" s="32" t="s">
        <v>36</v>
      </c>
      <c r="FJ6" s="32" t="s">
        <v>36</v>
      </c>
      <c r="FK6" s="32" t="s">
        <v>36</v>
      </c>
      <c r="FL6" s="32" t="s">
        <v>36</v>
      </c>
      <c r="FM6" s="32" t="s">
        <v>36</v>
      </c>
      <c r="FN6" s="32" t="s">
        <v>36</v>
      </c>
      <c r="FO6" s="32" t="s">
        <v>36</v>
      </c>
      <c r="FP6" s="32" t="s">
        <v>36</v>
      </c>
      <c r="FQ6" s="32" t="s">
        <v>36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