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1" sheetId="9" r:id="rId11"/>
    <sheet state="visible" name="SetMFPrefAccountValues1" sheetId="10" r:id="rId12"/>
    <sheet state="visible" name="SetMFPreferencesDefaultRule2" sheetId="11" r:id="rId13"/>
    <sheet state="visible" name="CreateStageOrder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DoneAwayUsingMTT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<sst xmlns="http://schemas.openxmlformats.org/spreadsheetml/2006/main" count="803" uniqueCount="72">
  <si>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</si>
  <si>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</si>
  <si>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</si>
  <si>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</si>
  <si>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</si>
  <si>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</si>
  <si>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</si>
  <si>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</si>
  <si>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</si>
  <si>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</si>
  <si>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</si>
  <si>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</si>
  <si>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</si>
  <si>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</si>
  <si>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</si>
  <si>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</si>
  <si>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</si>
  <si>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</si>
  <si>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</si>
  <si>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</si>
  <si>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</si>
  <si>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</si>
  <si>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</si>
  <si>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</si>
  <si>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</si>
  <si>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</si>
  <si>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</si>
  <si>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Fair Pricing</t>
  </si>
  <si>
    <t>Allocation2</t>
  </si>
  <si>
    <t>Allocation4</t>
  </si>
  <si>
    <t>TradingTicket</t>
  </si>
  <si>
    <t>CreateStageOrder</t>
  </si>
  <si>
    <t>MSFT</t>
  </si>
  <si>
    <t>Buy</t>
  </si>
  <si>
    <t>AAPL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</si>
  <si>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</si>
  <si>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</si>
  <si>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</si>
  <si>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</si>
  <si>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</si>
  <si>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</si>
  <si>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</si>
  <si>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</si>
  <si>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</si>
  <si>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</si>
  <si>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</si>
  <si>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</si>
  <si>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</si>
  <si>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</si>
  <si>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</si>
  <si>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M</t>
  </si>
  <si>
    <t>Equity</t>
  </si>
  <si>
    <t>Filled</t>
  </si>
  <si>
    <t>MS</t>
  </si>
  <si>
    <t>Market</t>
  </si>
  <si>
    <t>MSFT US EQUITY</t>
  </si>
  <si>
    <t>GetDataAllocation</t>
  </si>
  <si>
    <t>Current</t>
  </si>
  <si>
    <t>CheckAllocatedGroups</t>
  </si>
  <si>
    <t>Multiple</t>
  </si>
  <si>
    <t>Open</t>
  </si>
  <si>
    <t>APPLE</t>
  </si>
  <si>
    <t>None</t>
  </si>
  <si>
    <t>InternalOrder</t>
  </si>
  <si>
    <t>Strategy Unallocated</t>
  </si>
  <si>
    <t>NONE</t>
  </si>
  <si>
    <t>MICROSOFT INC</t>
  </si>
  <si>
    <t>PortfolioManagement</t>
  </si>
  <si>
    <t>CheckPortfolioManagement</t>
  </si>
  <si>
    <t>Long</t>
  </si>
  <si>
    <t>Undefined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</si>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</sst>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>
      <c r="A601" t="str">
        <f>IFERROR(__xludf.DUMMYFUNCTION("""COMPUTED_VALUE"""),"Blotter")</f>
        <v>Blotter</v>
      </c>
      <c r="B601" t="str">
        <f>IFERROR(__xludf.DUMMYFUNCTION("""COMPUTED_VALUE"""),"MergeOrder")</f>
        <v>MergeOrder</v>
      </c>
      <c r="C601" t="str">
        <f>IFERROR(__xludf.DUMMYFUNCTION("""COMPUTED_VALUE"""),"1R7f7syAvacBKywwhkXcXMcTmDvkomvyufkmtFJu4Zdw")</f>
        <v>1R7f7syAvacBKywwhkXcXMcTmDvkomvyufkmtFJu4Zdw</v>
      </c>
    </row>
    <row r="602" ht="15.75" customHeight="1">
      <c r="A602" t="str">
        <f>IFERROR(__xludf.DUMMYFUNCTION("""COMPUTED_VALUE"""),"Blotter")</f>
        <v>Blotter</v>
      </c>
      <c r="B602" t="str">
        <f>IFERROR(__xludf.DUMMYFUNCTION("""COMPUTED_VALUE"""),"VerifyMergeOrder")</f>
        <v>VerifyMergeOrder</v>
      </c>
      <c r="C602" t="str">
        <f>IFERROR(__xludf.DUMMYFUNCTION("""COMPUTED_VALUE"""),"1vAo56cQ5ngyfTbfrFWBvoHQRIF0cTJr0hScLG2DuLgI")</f>
        <v>1vAo56cQ5ngyfTbfrFWBvoHQRIF0cTJr0hScLG2DuLgI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IFERROR(__xludf.DUMMYFUNCTION("""COMPUTED_VALUE"""),"AddTabBlotter")</f>
        <v>AddTabBlotter</v>
      </c>
      <c r="C603" t="str">
        <f>IFERROR(__xludf.DUMMYFUNCTION("""COMPUTED_VALUE"""),"1lEizmaJ1dbPlCGjdjYS2EVdP54oAQCWFB_ER2lqO9kQ")</f>
        <v>1lEizmaJ1dbPlCGjdjYS2EVdP54oAQCWFB_ER2lqO9kQ</v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IFERROR(__xludf.DUMMYFUNCTION("""COMPUTED_VALUE"""),"RemainderAllocationTo")</f>
        <v>RemainderAllocationTo</v>
      </c>
      <c r="C5" s="29" t="str">
        <f>IFERROR(__xludf.DUMMYFUNCTION("""COMPUTED_VALUE"""),"Target%AsOf")</f>
        <v>Target%AsOf</v>
      </c>
      <c r="D5" s="29" t="str">
        <f>IFERROR(__xludf.DUMMYFUNCTION("""COMPUTED_VALUE"""),"ProrataAccounts")</f>
        <v>ProrataAccounts</v>
      </c>
      <c r="E5" s="29" t="str">
        <f>IFERROR(__xludf.DUMMYFUNCTION("""COMPUTED_VALUE"""),"DateUptoDays")</f>
        <v>DateUptoDays</v>
      </c>
      <c r="F5" s="30" t="str">
        <f>IFERROR(__xludf.DUMMYFUNCTION("""COMPUTED_VALUE"""),"PreferenceName")</f>
        <v>PreferenceName</v>
      </c>
      <c r="G5" s="29" t="str">
        <f>IFERROR(__xludf.DUMMYFUNCTION("""COMPUTED_VALUE"""),"MatchClosingTransaction")</f>
        <v>MatchClosingTransaction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5" t="s">
        <v>19</v>
      </c>
      <c r="D6" s="32"/>
      <c r="E6" s="32"/>
      <c r="F6" s="36" t="s">
        <v>17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7" t="s">
        <v>17</v>
      </c>
      <c r="C6" s="32" t="s">
        <v>21</v>
      </c>
      <c r="D6" s="38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3" t="s">
        <v>22</v>
      </c>
      <c r="D7" s="39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33"/>
      <c r="D8" s="39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/>
      <c r="C9" s="33"/>
      <c r="D9" s="3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6" t="s">
        <v>17</v>
      </c>
      <c r="C6" s="36" t="s">
        <v>21</v>
      </c>
      <c r="D6" s="36" t="s">
        <v>24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6" t="s">
        <v>17</v>
      </c>
      <c r="C7" s="36" t="s">
        <v>21</v>
      </c>
      <c r="D7" s="36" t="s">
        <v>25</v>
      </c>
      <c r="E7" s="38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17</v>
      </c>
      <c r="C6" s="36" t="s">
        <v>21</v>
      </c>
      <c r="D6" s="36" t="s">
        <v>27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17</v>
      </c>
      <c r="C6" s="36" t="s">
        <v>22</v>
      </c>
      <c r="D6" s="36" t="s">
        <v>28</v>
      </c>
      <c r="E6" s="38">
        <v>50.0</v>
      </c>
      <c r="F6" s="36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22</v>
      </c>
      <c r="D7" s="37" t="s">
        <v>29</v>
      </c>
      <c r="E7" s="39">
        <v>50.0</v>
      </c>
      <c r="F7" s="37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17</v>
      </c>
      <c r="C6" s="36" t="s">
        <v>22</v>
      </c>
      <c r="D6" s="36" t="s">
        <v>27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SetMFPreferencesDefaultRule2!$4:$4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2" t="s">
        <v>33</v>
      </c>
      <c r="D6" s="38">
        <v>100.0</v>
      </c>
      <c r="E6" s="38">
        <v>100.0</v>
      </c>
      <c r="F6" s="36" t="s">
        <v>17</v>
      </c>
      <c r="G6" s="32"/>
      <c r="H6" s="32"/>
      <c r="I6" s="32"/>
      <c r="J6" s="40">
        <v>30.67</v>
      </c>
      <c r="K6" s="32"/>
      <c r="L6" s="32"/>
      <c r="M6" s="32"/>
      <c r="N6" s="41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34</v>
      </c>
      <c r="C7" s="37" t="s">
        <v>33</v>
      </c>
      <c r="D7" s="39">
        <v>100.0</v>
      </c>
      <c r="E7" s="39">
        <v>100.0</v>
      </c>
      <c r="F7" s="37" t="s">
        <v>17</v>
      </c>
      <c r="G7" s="33"/>
      <c r="H7" s="33"/>
      <c r="I7" s="33"/>
      <c r="J7" s="40">
        <v>30.67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2"/>
      <c r="D6" s="4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3" t="s">
        <v>32</v>
      </c>
      <c r="AJ6" s="43" t="s">
        <v>33</v>
      </c>
      <c r="AK6" s="43" t="s">
        <v>37</v>
      </c>
      <c r="AL6" s="44">
        <v>100.0</v>
      </c>
      <c r="AM6" s="33"/>
      <c r="AN6" s="33"/>
      <c r="AO6" s="33"/>
      <c r="AP6" s="33"/>
      <c r="AQ6" s="33"/>
      <c r="AR6" s="42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4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34</v>
      </c>
      <c r="AJ7" s="33" t="s">
        <v>33</v>
      </c>
      <c r="AK7" s="33" t="s">
        <v>37</v>
      </c>
      <c r="AL7" s="45">
        <v>100.0</v>
      </c>
      <c r="AM7" s="33"/>
      <c r="AN7" s="33"/>
      <c r="AO7" s="33"/>
      <c r="AP7" s="33"/>
      <c r="AQ7" s="33"/>
      <c r="AR7" s="42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32</v>
      </c>
      <c r="C6" s="32" t="s">
        <v>33</v>
      </c>
      <c r="D6" s="38">
        <v>100.0</v>
      </c>
      <c r="E6" s="38">
        <v>100.0</v>
      </c>
      <c r="F6" s="3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32</v>
      </c>
      <c r="C6" s="32" t="s">
        <v>33</v>
      </c>
      <c r="D6" s="38">
        <v>100.0</v>
      </c>
      <c r="E6" s="38">
        <v>100.0</v>
      </c>
      <c r="F6" s="32" t="s">
        <v>17</v>
      </c>
      <c r="G6" s="32"/>
      <c r="H6" s="32"/>
      <c r="I6" s="32"/>
      <c r="J6" s="42">
        <v>30.67</v>
      </c>
      <c r="K6" s="8"/>
      <c r="L6" s="8"/>
      <c r="M6" s="8"/>
      <c r="N6" s="8"/>
      <c r="O6" s="8"/>
    </row>
    <row r="7" ht="15.75" customHeight="1">
      <c r="A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34</v>
      </c>
      <c r="C6" s="32" t="s">
        <v>33</v>
      </c>
      <c r="D6" s="38">
        <v>100.0</v>
      </c>
      <c r="E6" s="38">
        <v>100.0</v>
      </c>
      <c r="F6" s="3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34</v>
      </c>
      <c r="C6" s="32" t="s">
        <v>33</v>
      </c>
      <c r="D6" s="38">
        <v>100.0</v>
      </c>
      <c r="E6" s="38">
        <v>100.0</v>
      </c>
      <c r="F6" s="32" t="s">
        <v>17</v>
      </c>
      <c r="G6" s="32"/>
      <c r="H6" s="32"/>
      <c r="I6" s="32"/>
      <c r="J6" s="46">
        <v>30.67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 t="str">
        <f>IFERROR(__xludf.DUMMYFUNCTION("""COMPUTED_VALUE"""),"SharesOutstandingPopUp")</f>
        <v>SharesOutstandingPopUp</v>
      </c>
      <c r="AL5" s="31" t="str">
        <f>IFERROR(__xludf.DUMMYFUNCTION("""COMPUTED_VALUE"""),"PopUpQuantity")</f>
        <v>PopUpQuantity</v>
      </c>
      <c r="AM5" s="31" t="str">
        <f>IFERROR(__xludf.DUMMYFUNCTION("""COMPUTED_VALUE"""),"ResAllowedListPopUp")</f>
        <v>ResAllowedListPopUp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2" t="s">
        <v>33</v>
      </c>
      <c r="D6" s="38">
        <v>100.0</v>
      </c>
      <c r="E6" s="38">
        <v>100.0</v>
      </c>
      <c r="F6" s="32" t="s">
        <v>17</v>
      </c>
      <c r="G6" s="32"/>
      <c r="H6" s="32"/>
      <c r="I6" s="32"/>
      <c r="J6" s="4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2" t="s">
        <v>34</v>
      </c>
      <c r="C7" s="32" t="s">
        <v>33</v>
      </c>
      <c r="D7" s="38">
        <v>100.0</v>
      </c>
      <c r="E7" s="38">
        <v>100.0</v>
      </c>
      <c r="F7" s="32" t="s">
        <v>17</v>
      </c>
      <c r="G7" s="32"/>
      <c r="H7" s="32"/>
      <c r="I7" s="32"/>
      <c r="J7" s="46"/>
      <c r="K7" s="32"/>
      <c r="L7" s="32"/>
      <c r="M7" s="32"/>
      <c r="N7" s="32"/>
      <c r="O7" s="32"/>
      <c r="P7" s="32"/>
      <c r="Q7" s="32"/>
      <c r="R7" s="32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8" t="s">
        <v>43</v>
      </c>
      <c r="B6" s="8"/>
      <c r="C6" s="8"/>
      <c r="D6" s="8">
        <v>30.67</v>
      </c>
      <c r="E6" s="8" t="s">
        <v>44</v>
      </c>
      <c r="F6" s="8"/>
      <c r="G6" s="8"/>
      <c r="H6" s="8" t="s">
        <v>45</v>
      </c>
      <c r="I6" s="8" t="s">
        <v>46</v>
      </c>
      <c r="J6" s="8" t="s">
        <v>34</v>
      </c>
      <c r="K6" s="8" t="s">
        <v>47</v>
      </c>
      <c r="L6" s="8" t="s">
        <v>48</v>
      </c>
      <c r="M6" s="8"/>
      <c r="N6" s="8"/>
      <c r="O6" s="8"/>
      <c r="S6">
        <v>0.0</v>
      </c>
      <c r="T6">
        <v>0.0</v>
      </c>
      <c r="U6" t="s">
        <v>49</v>
      </c>
      <c r="AD6">
        <v>1.0</v>
      </c>
      <c r="AF6" t="s">
        <v>50</v>
      </c>
      <c r="AG6">
        <v>30.67</v>
      </c>
      <c r="AH6" t="s">
        <v>51</v>
      </c>
      <c r="AI6" t="s">
        <v>34</v>
      </c>
      <c r="AJ6" t="s">
        <v>33</v>
      </c>
      <c r="AK6" t="s">
        <v>52</v>
      </c>
      <c r="AL6">
        <v>100.0</v>
      </c>
      <c r="AM6">
        <v>100.0</v>
      </c>
      <c r="AN6">
        <v>100.0</v>
      </c>
      <c r="AO6">
        <v>100.0</v>
      </c>
      <c r="AQ6">
        <v>30.67</v>
      </c>
      <c r="AR6">
        <v>30.67</v>
      </c>
      <c r="AS6" t="s">
        <v>53</v>
      </c>
      <c r="AU6" t="s">
        <v>54</v>
      </c>
      <c r="AV6">
        <v>3067.0</v>
      </c>
      <c r="AW6">
        <v>3067.0</v>
      </c>
      <c r="AX6" s="33"/>
      <c r="AY6">
        <v>100.0</v>
      </c>
      <c r="AZ6">
        <v>0.0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</row>
    <row r="7" ht="15.75" customHeight="1">
      <c r="A7" s="8" t="s">
        <v>43</v>
      </c>
      <c r="B7" s="8"/>
      <c r="C7" s="8"/>
      <c r="D7" s="8">
        <v>30.67</v>
      </c>
      <c r="E7" s="8" t="s">
        <v>55</v>
      </c>
      <c r="F7" s="8"/>
      <c r="G7" s="8"/>
      <c r="H7" s="8" t="s">
        <v>45</v>
      </c>
      <c r="I7" s="8" t="s">
        <v>46</v>
      </c>
      <c r="J7" s="8" t="s">
        <v>32</v>
      </c>
      <c r="K7" s="8" t="s">
        <v>47</v>
      </c>
      <c r="L7" s="8" t="s">
        <v>48</v>
      </c>
      <c r="M7" s="8"/>
      <c r="N7" s="8"/>
      <c r="O7" s="8"/>
      <c r="S7">
        <v>0.0</v>
      </c>
      <c r="T7">
        <v>0.0</v>
      </c>
      <c r="U7" t="s">
        <v>49</v>
      </c>
      <c r="AD7">
        <v>1.0</v>
      </c>
      <c r="AF7" t="s">
        <v>50</v>
      </c>
      <c r="AG7">
        <v>30.67</v>
      </c>
      <c r="AH7" t="s">
        <v>51</v>
      </c>
      <c r="AI7" t="s">
        <v>32</v>
      </c>
      <c r="AJ7" t="s">
        <v>33</v>
      </c>
      <c r="AK7" t="s">
        <v>52</v>
      </c>
      <c r="AL7">
        <v>100.0</v>
      </c>
      <c r="AM7">
        <v>100.0</v>
      </c>
      <c r="AN7">
        <v>100.0</v>
      </c>
      <c r="AO7">
        <v>100.0</v>
      </c>
      <c r="AQ7">
        <v>30.67</v>
      </c>
      <c r="AR7">
        <v>30.67</v>
      </c>
      <c r="AS7" t="s">
        <v>53</v>
      </c>
      <c r="AU7" t="s">
        <v>54</v>
      </c>
      <c r="AV7">
        <v>3067.0</v>
      </c>
      <c r="AW7">
        <v>3067.0</v>
      </c>
      <c r="AX7" s="33"/>
      <c r="AY7">
        <v>100.0</v>
      </c>
      <c r="AZ7">
        <v>0.0</v>
      </c>
      <c r="BA7" t="s">
        <v>46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47" t="s">
        <v>43</v>
      </c>
      <c r="B6" s="47" t="s">
        <v>59</v>
      </c>
      <c r="C6" s="8" t="s">
        <v>43</v>
      </c>
      <c r="D6" s="47"/>
      <c r="E6" s="8">
        <v>100.0</v>
      </c>
      <c r="F6" s="8" t="s">
        <v>17</v>
      </c>
      <c r="G6" s="8" t="s">
        <v>51</v>
      </c>
      <c r="H6" s="8">
        <v>4.0</v>
      </c>
      <c r="I6" s="8">
        <v>5.0</v>
      </c>
      <c r="J6" s="8">
        <v>1.0</v>
      </c>
      <c r="K6" s="8">
        <v>30.67</v>
      </c>
      <c r="L6" s="8">
        <v>30.67</v>
      </c>
      <c r="M6" s="8" t="s">
        <v>44</v>
      </c>
      <c r="N6" s="8" t="s">
        <v>43</v>
      </c>
      <c r="O6" s="8" t="s">
        <v>53</v>
      </c>
      <c r="Q6">
        <v>3.0</v>
      </c>
      <c r="R6">
        <v>0.0</v>
      </c>
      <c r="S6" t="s">
        <v>60</v>
      </c>
      <c r="T6">
        <v>0.0</v>
      </c>
      <c r="U6">
        <v>0.0</v>
      </c>
      <c r="V6" t="s">
        <v>61</v>
      </c>
      <c r="W6">
        <v>1.0</v>
      </c>
      <c r="X6" t="s">
        <v>43</v>
      </c>
      <c r="Y6" t="s">
        <v>43</v>
      </c>
      <c r="Z6" t="s">
        <v>49</v>
      </c>
      <c r="AA6" t="s">
        <v>34</v>
      </c>
      <c r="AB6">
        <v>1.0</v>
      </c>
      <c r="AD6" t="s">
        <v>45</v>
      </c>
      <c r="AE6">
        <v>100.0</v>
      </c>
      <c r="AF6" t="s">
        <v>43</v>
      </c>
      <c r="AH6" t="s">
        <v>50</v>
      </c>
      <c r="AI6">
        <v>1.0</v>
      </c>
      <c r="AJ6" t="s">
        <v>62</v>
      </c>
      <c r="AN6" t="b">
        <v>0</v>
      </c>
      <c r="AP6" t="b">
        <v>1</v>
      </c>
      <c r="AQ6" t="b">
        <v>0</v>
      </c>
      <c r="AR6" t="b">
        <v>1</v>
      </c>
      <c r="AT6">
        <v>3081.0017</v>
      </c>
      <c r="AU6">
        <v>3081.0017</v>
      </c>
      <c r="AY6" t="s">
        <v>54</v>
      </c>
      <c r="AZ6">
        <v>0.0</v>
      </c>
      <c r="BC6">
        <v>0.0</v>
      </c>
      <c r="BD6" t="s">
        <v>63</v>
      </c>
      <c r="BE6">
        <v>3067.0</v>
      </c>
      <c r="BF6">
        <v>3067.0</v>
      </c>
      <c r="BJ6">
        <v>100.0</v>
      </c>
      <c r="BK6">
        <v>0.0</v>
      </c>
      <c r="BL6" t="s">
        <v>43</v>
      </c>
      <c r="BM6" t="s">
        <v>49</v>
      </c>
      <c r="BO6" t="s">
        <v>33</v>
      </c>
      <c r="BP6">
        <v>0.0</v>
      </c>
      <c r="BQ6">
        <v>0.0</v>
      </c>
      <c r="BS6" t="s">
        <v>64</v>
      </c>
      <c r="BT6" t="s">
        <v>34</v>
      </c>
      <c r="BU6">
        <v>3.0</v>
      </c>
      <c r="BV6">
        <v>0.0</v>
      </c>
      <c r="BW6">
        <v>14.0017</v>
      </c>
      <c r="BX6">
        <v>0.0</v>
      </c>
      <c r="CF6" t="s">
        <v>48</v>
      </c>
      <c r="CG6">
        <v>2.0</v>
      </c>
      <c r="CH6" t="s">
        <v>30</v>
      </c>
      <c r="CI6" t="s">
        <v>33</v>
      </c>
      <c r="CJ6">
        <v>0.0</v>
      </c>
      <c r="CK6" t="s">
        <v>47</v>
      </c>
      <c r="CL6">
        <v>1.0</v>
      </c>
      <c r="CM6" t="s">
        <v>34</v>
      </c>
      <c r="CN6" t="s">
        <v>46</v>
      </c>
      <c r="CO6" t="s">
        <v>45</v>
      </c>
      <c r="CP6" t="s">
        <v>65</v>
      </c>
      <c r="CS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</row>
    <row r="7" ht="15.75" customHeight="1">
      <c r="A7" s="8" t="s">
        <v>43</v>
      </c>
      <c r="B7" s="8" t="s">
        <v>59</v>
      </c>
      <c r="C7" s="8" t="s">
        <v>43</v>
      </c>
      <c r="D7" s="8"/>
      <c r="E7" s="8">
        <v>100.0</v>
      </c>
      <c r="F7" s="8" t="s">
        <v>17</v>
      </c>
      <c r="G7" s="8" t="s">
        <v>51</v>
      </c>
      <c r="H7" s="8">
        <v>4.0</v>
      </c>
      <c r="I7" s="8">
        <v>5.0</v>
      </c>
      <c r="J7" s="8">
        <v>1.0</v>
      </c>
      <c r="K7" s="8">
        <v>30.67</v>
      </c>
      <c r="L7" s="8">
        <v>30.67</v>
      </c>
      <c r="M7" s="8" t="s">
        <v>55</v>
      </c>
      <c r="N7" s="8" t="s">
        <v>43</v>
      </c>
      <c r="O7" s="8" t="s">
        <v>53</v>
      </c>
      <c r="Q7">
        <v>3.0</v>
      </c>
      <c r="R7">
        <v>0.0</v>
      </c>
      <c r="S7" t="s">
        <v>60</v>
      </c>
      <c r="T7">
        <v>0.0</v>
      </c>
      <c r="U7">
        <v>0.0</v>
      </c>
      <c r="V7" t="s">
        <v>66</v>
      </c>
      <c r="W7">
        <v>1.0</v>
      </c>
      <c r="X7" t="s">
        <v>43</v>
      </c>
      <c r="Y7" t="s">
        <v>43</v>
      </c>
      <c r="Z7" t="s">
        <v>49</v>
      </c>
      <c r="AA7">
        <v>5.94918104E8</v>
      </c>
      <c r="AB7">
        <v>1.0</v>
      </c>
      <c r="AD7" t="s">
        <v>45</v>
      </c>
      <c r="AE7">
        <v>100.0</v>
      </c>
      <c r="AF7" t="s">
        <v>43</v>
      </c>
      <c r="AH7" t="s">
        <v>50</v>
      </c>
      <c r="AI7">
        <v>1.0</v>
      </c>
      <c r="AJ7" t="s">
        <v>62</v>
      </c>
      <c r="AN7" t="b">
        <v>0</v>
      </c>
      <c r="AP7" t="b">
        <v>1</v>
      </c>
      <c r="AQ7" t="b">
        <v>0</v>
      </c>
      <c r="AR7" t="b">
        <v>1</v>
      </c>
      <c r="AT7">
        <v>3081.0017</v>
      </c>
      <c r="AU7">
        <v>3081.0017</v>
      </c>
      <c r="AY7" t="s">
        <v>54</v>
      </c>
      <c r="AZ7">
        <v>0.0</v>
      </c>
      <c r="BC7">
        <v>0.0</v>
      </c>
      <c r="BD7" t="s">
        <v>63</v>
      </c>
      <c r="BE7">
        <v>3067.0</v>
      </c>
      <c r="BF7">
        <v>3067.0</v>
      </c>
      <c r="BJ7">
        <v>100.0</v>
      </c>
      <c r="BK7">
        <v>0.0</v>
      </c>
      <c r="BL7" t="s">
        <v>43</v>
      </c>
      <c r="BM7" t="s">
        <v>49</v>
      </c>
      <c r="BO7" t="s">
        <v>33</v>
      </c>
      <c r="BP7">
        <v>0.0</v>
      </c>
      <c r="BQ7">
        <v>0.0</v>
      </c>
      <c r="BS7" t="s">
        <v>64</v>
      </c>
      <c r="BT7" t="s">
        <v>32</v>
      </c>
      <c r="BU7">
        <v>3.0</v>
      </c>
      <c r="BV7">
        <v>0.0</v>
      </c>
      <c r="BW7">
        <v>14.0017</v>
      </c>
      <c r="BX7">
        <v>0.0</v>
      </c>
      <c r="CF7" t="s">
        <v>48</v>
      </c>
      <c r="CG7">
        <v>2.0</v>
      </c>
      <c r="CH7" t="s">
        <v>30</v>
      </c>
      <c r="CI7" t="s">
        <v>33</v>
      </c>
      <c r="CJ7">
        <v>0.0</v>
      </c>
      <c r="CK7" t="s">
        <v>47</v>
      </c>
      <c r="CL7">
        <v>1.0</v>
      </c>
      <c r="CM7" t="s">
        <v>32</v>
      </c>
      <c r="CN7" t="s">
        <v>46</v>
      </c>
      <c r="CO7" t="s">
        <v>45</v>
      </c>
      <c r="CP7" t="s">
        <v>65</v>
      </c>
      <c r="CS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t="s">
        <v>43</v>
      </c>
      <c r="C6" t="s">
        <v>32</v>
      </c>
      <c r="D6">
        <v>25.0</v>
      </c>
      <c r="E6" t="s">
        <v>28</v>
      </c>
      <c r="F6" t="s">
        <v>22</v>
      </c>
      <c r="H6" t="s">
        <v>69</v>
      </c>
      <c r="O6" t="s">
        <v>66</v>
      </c>
      <c r="P6" t="s">
        <v>70</v>
      </c>
      <c r="R6" t="s">
        <v>53</v>
      </c>
      <c r="S6" t="s">
        <v>64</v>
      </c>
      <c r="T6" t="s">
        <v>51</v>
      </c>
      <c r="U6" t="s">
        <v>47</v>
      </c>
      <c r="V6" t="s">
        <v>45</v>
      </c>
      <c r="W6" t="s">
        <v>49</v>
      </c>
      <c r="AB6">
        <v>0.0</v>
      </c>
      <c r="AC6">
        <v>0.0</v>
      </c>
      <c r="AD6">
        <v>0.0</v>
      </c>
      <c r="AE6">
        <v>0.0</v>
      </c>
      <c r="AG6">
        <v>0.0</v>
      </c>
      <c r="AH6">
        <v>0.0</v>
      </c>
      <c r="AI6">
        <v>0.0</v>
      </c>
      <c r="AJ6">
        <v>0.0</v>
      </c>
      <c r="AN6" t="s">
        <v>33</v>
      </c>
      <c r="AP6" t="s">
        <v>69</v>
      </c>
      <c r="AQ6" t="s">
        <v>32</v>
      </c>
      <c r="AX6">
        <v>0.0</v>
      </c>
      <c r="AY6">
        <v>0.0</v>
      </c>
      <c r="AZ6">
        <v>0.0</v>
      </c>
      <c r="BE6" t="s">
        <v>51</v>
      </c>
      <c r="BJ6">
        <v>0.0</v>
      </c>
      <c r="BK6">
        <v>0.0</v>
      </c>
      <c r="BL6">
        <v>0.0</v>
      </c>
      <c r="BM6">
        <v>0.0</v>
      </c>
      <c r="BP6">
        <v>0.0</v>
      </c>
      <c r="BQ6" t="s">
        <v>46</v>
      </c>
      <c r="BR6" t="s">
        <v>53</v>
      </c>
      <c r="BS6">
        <v>0.0</v>
      </c>
      <c r="BT6">
        <v>0.0</v>
      </c>
      <c r="BU6" t="s">
        <v>51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H6">
        <v>-100.0</v>
      </c>
      <c r="DE6">
        <v>0.0</v>
      </c>
      <c r="DF6">
        <v>0.0</v>
      </c>
      <c r="DG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</row>
    <row r="7" ht="15.75" customHeight="1">
      <c r="A7" t="s">
        <v>43</v>
      </c>
      <c r="C7" t="s">
        <v>34</v>
      </c>
      <c r="D7">
        <v>25.0</v>
      </c>
      <c r="E7" t="s">
        <v>28</v>
      </c>
      <c r="F7" t="s">
        <v>22</v>
      </c>
      <c r="H7" t="s">
        <v>69</v>
      </c>
      <c r="O7" t="s">
        <v>61</v>
      </c>
      <c r="P7" t="s">
        <v>70</v>
      </c>
      <c r="R7" t="s">
        <v>53</v>
      </c>
      <c r="S7" t="s">
        <v>64</v>
      </c>
      <c r="T7" t="s">
        <v>51</v>
      </c>
      <c r="U7" t="s">
        <v>47</v>
      </c>
      <c r="V7" t="s">
        <v>45</v>
      </c>
      <c r="W7" t="s">
        <v>49</v>
      </c>
      <c r="AB7">
        <v>0.0</v>
      </c>
      <c r="AC7">
        <v>0.0</v>
      </c>
      <c r="AD7">
        <v>0.0</v>
      </c>
      <c r="AE7">
        <v>0.0</v>
      </c>
      <c r="AG7">
        <v>0.0</v>
      </c>
      <c r="AH7">
        <v>0.0</v>
      </c>
      <c r="AI7">
        <v>0.0</v>
      </c>
      <c r="AJ7">
        <v>0.0</v>
      </c>
      <c r="AN7" t="s">
        <v>33</v>
      </c>
      <c r="AP7" t="s">
        <v>69</v>
      </c>
      <c r="AQ7" t="s">
        <v>34</v>
      </c>
      <c r="AX7">
        <v>0.0</v>
      </c>
      <c r="AY7">
        <v>0.0</v>
      </c>
      <c r="AZ7">
        <v>0.0</v>
      </c>
      <c r="BE7" t="s">
        <v>51</v>
      </c>
      <c r="BJ7">
        <v>0.0</v>
      </c>
      <c r="BK7">
        <v>0.0</v>
      </c>
      <c r="BL7">
        <v>0.0</v>
      </c>
      <c r="BM7">
        <v>0.0</v>
      </c>
      <c r="BP7">
        <v>0.0</v>
      </c>
      <c r="BQ7" t="s">
        <v>46</v>
      </c>
      <c r="BR7" t="s">
        <v>53</v>
      </c>
      <c r="BS7">
        <v>0.0</v>
      </c>
      <c r="BT7">
        <v>0.0</v>
      </c>
      <c r="BU7" t="s">
        <v>51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H7">
        <v>-100.0</v>
      </c>
      <c r="DE7">
        <v>0.0</v>
      </c>
      <c r="DF7">
        <v>0.0</v>
      </c>
      <c r="DG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</row>
    <row r="8" ht="15.75" customHeight="1">
      <c r="A8" t="s">
        <v>43</v>
      </c>
      <c r="C8" t="s">
        <v>32</v>
      </c>
      <c r="D8">
        <v>25.0</v>
      </c>
      <c r="E8" t="s">
        <v>25</v>
      </c>
      <c r="F8" t="s">
        <v>21</v>
      </c>
      <c r="H8" t="s">
        <v>69</v>
      </c>
      <c r="O8" t="s">
        <v>66</v>
      </c>
      <c r="P8" t="s">
        <v>70</v>
      </c>
      <c r="R8" t="s">
        <v>53</v>
      </c>
      <c r="S8" t="s">
        <v>64</v>
      </c>
      <c r="T8" t="s">
        <v>51</v>
      </c>
      <c r="U8" t="s">
        <v>47</v>
      </c>
      <c r="V8" t="s">
        <v>45</v>
      </c>
      <c r="W8" t="s">
        <v>49</v>
      </c>
      <c r="AB8">
        <v>0.0</v>
      </c>
      <c r="AC8">
        <v>0.0</v>
      </c>
      <c r="AD8">
        <v>0.0</v>
      </c>
      <c r="AE8">
        <v>0.0</v>
      </c>
      <c r="AG8">
        <v>0.0</v>
      </c>
      <c r="AH8">
        <v>0.0</v>
      </c>
      <c r="AI8">
        <v>0.0</v>
      </c>
      <c r="AJ8">
        <v>0.0</v>
      </c>
      <c r="AN8" t="s">
        <v>33</v>
      </c>
      <c r="AP8" t="s">
        <v>69</v>
      </c>
      <c r="AQ8" t="s">
        <v>32</v>
      </c>
      <c r="AX8">
        <v>0.0</v>
      </c>
      <c r="AY8">
        <v>0.0</v>
      </c>
      <c r="AZ8">
        <v>0.0</v>
      </c>
      <c r="BE8" t="s">
        <v>51</v>
      </c>
      <c r="BJ8">
        <v>0.0</v>
      </c>
      <c r="BK8">
        <v>0.0</v>
      </c>
      <c r="BL8">
        <v>0.0</v>
      </c>
      <c r="BM8">
        <v>0.0</v>
      </c>
      <c r="BP8">
        <v>0.0</v>
      </c>
      <c r="BQ8" t="s">
        <v>46</v>
      </c>
      <c r="BR8" t="s">
        <v>53</v>
      </c>
      <c r="BS8">
        <v>0.0</v>
      </c>
      <c r="BT8">
        <v>0.0</v>
      </c>
      <c r="BU8" t="s">
        <v>51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H8">
        <v>-100.0</v>
      </c>
      <c r="DE8">
        <v>0.0</v>
      </c>
      <c r="DF8">
        <v>0.0</v>
      </c>
      <c r="DG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</row>
    <row r="9" ht="15.75" customHeight="1">
      <c r="A9" t="s">
        <v>43</v>
      </c>
      <c r="C9" t="s">
        <v>34</v>
      </c>
      <c r="D9">
        <v>25.0</v>
      </c>
      <c r="E9" t="s">
        <v>25</v>
      </c>
      <c r="F9" t="s">
        <v>21</v>
      </c>
      <c r="H9" t="s">
        <v>69</v>
      </c>
      <c r="O9" t="s">
        <v>61</v>
      </c>
      <c r="P9" t="s">
        <v>70</v>
      </c>
      <c r="R9" t="s">
        <v>53</v>
      </c>
      <c r="S9" t="s">
        <v>64</v>
      </c>
      <c r="T9" t="s">
        <v>51</v>
      </c>
      <c r="U9" t="s">
        <v>47</v>
      </c>
      <c r="V9" t="s">
        <v>45</v>
      </c>
      <c r="W9" t="s">
        <v>49</v>
      </c>
      <c r="AB9">
        <v>0.0</v>
      </c>
      <c r="AC9">
        <v>0.0</v>
      </c>
      <c r="AD9">
        <v>0.0</v>
      </c>
      <c r="AE9">
        <v>0.0</v>
      </c>
      <c r="AG9">
        <v>0.0</v>
      </c>
      <c r="AH9">
        <v>0.0</v>
      </c>
      <c r="AI9">
        <v>0.0</v>
      </c>
      <c r="AJ9">
        <v>0.0</v>
      </c>
      <c r="AN9" t="s">
        <v>33</v>
      </c>
      <c r="AP9" t="s">
        <v>69</v>
      </c>
      <c r="AQ9" t="s">
        <v>34</v>
      </c>
      <c r="AX9">
        <v>0.0</v>
      </c>
      <c r="AY9">
        <v>0.0</v>
      </c>
      <c r="AZ9">
        <v>0.0</v>
      </c>
      <c r="BE9" t="s">
        <v>51</v>
      </c>
      <c r="BJ9">
        <v>0.0</v>
      </c>
      <c r="BK9">
        <v>0.0</v>
      </c>
      <c r="BL9">
        <v>0.0</v>
      </c>
      <c r="BM9">
        <v>0.0</v>
      </c>
      <c r="BP9">
        <v>0.0</v>
      </c>
      <c r="BQ9" t="s">
        <v>46</v>
      </c>
      <c r="BR9" t="s">
        <v>53</v>
      </c>
      <c r="BS9">
        <v>0.0</v>
      </c>
      <c r="BT9">
        <v>0.0</v>
      </c>
      <c r="BU9" t="s">
        <v>51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H9">
        <v>-100.0</v>
      </c>
      <c r="DE9">
        <v>0.0</v>
      </c>
      <c r="DF9">
        <v>0.0</v>
      </c>
      <c r="DG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M9">
        <v>0.0</v>
      </c>
      <c r="EN9">
        <v>0.0</v>
      </c>
      <c r="EO9">
        <v>0.0</v>
      </c>
      <c r="EP9">
        <v>0.0</v>
      </c>
      <c r="EQ9">
        <v>0.0</v>
      </c>
      <c r="ER9">
        <v>0.0</v>
      </c>
    </row>
    <row r="10" ht="15.75" customHeight="1">
      <c r="A10" t="s">
        <v>43</v>
      </c>
      <c r="C10" t="s">
        <v>32</v>
      </c>
      <c r="D10">
        <v>25.0</v>
      </c>
      <c r="E10" t="s">
        <v>24</v>
      </c>
      <c r="F10" t="s">
        <v>21</v>
      </c>
      <c r="H10" t="s">
        <v>69</v>
      </c>
      <c r="O10" t="s">
        <v>66</v>
      </c>
      <c r="P10" t="s">
        <v>70</v>
      </c>
      <c r="R10" t="s">
        <v>71</v>
      </c>
      <c r="S10" t="s">
        <v>64</v>
      </c>
      <c r="T10" t="s">
        <v>51</v>
      </c>
      <c r="U10" t="s">
        <v>47</v>
      </c>
      <c r="V10" t="s">
        <v>45</v>
      </c>
      <c r="W10" t="s">
        <v>49</v>
      </c>
      <c r="AB10">
        <v>0.0</v>
      </c>
      <c r="AC10">
        <v>0.0</v>
      </c>
      <c r="AD10">
        <v>0.0</v>
      </c>
      <c r="AE10">
        <v>0.0</v>
      </c>
      <c r="AG10">
        <v>0.0</v>
      </c>
      <c r="AH10">
        <v>0.0</v>
      </c>
      <c r="AI10">
        <v>0.0</v>
      </c>
      <c r="AJ10">
        <v>0.0</v>
      </c>
      <c r="AN10" t="s">
        <v>33</v>
      </c>
      <c r="AP10" t="s">
        <v>69</v>
      </c>
      <c r="AQ10" t="s">
        <v>32</v>
      </c>
      <c r="AX10">
        <v>0.0</v>
      </c>
      <c r="AY10">
        <v>0.0</v>
      </c>
      <c r="AZ10">
        <v>0.0</v>
      </c>
      <c r="BE10" t="s">
        <v>51</v>
      </c>
      <c r="BJ10">
        <v>0.0</v>
      </c>
      <c r="BK10">
        <v>0.0</v>
      </c>
      <c r="BL10">
        <v>0.0</v>
      </c>
      <c r="BM10">
        <v>0.0</v>
      </c>
      <c r="BP10">
        <v>0.0</v>
      </c>
      <c r="BQ10" t="s">
        <v>46</v>
      </c>
      <c r="BR10" t="s">
        <v>53</v>
      </c>
      <c r="BS10">
        <v>0.0</v>
      </c>
      <c r="BT10">
        <v>0.0</v>
      </c>
      <c r="BU10" t="s">
        <v>51</v>
      </c>
      <c r="BW10">
        <v>0.0</v>
      </c>
      <c r="BX10">
        <v>0.0</v>
      </c>
      <c r="BY10">
        <v>0.0</v>
      </c>
      <c r="BZ10">
        <v>0.0</v>
      </c>
      <c r="CA10">
        <v>0.0</v>
      </c>
      <c r="CC10">
        <v>0.0</v>
      </c>
      <c r="CH10">
        <v>-100.0</v>
      </c>
      <c r="DE10">
        <v>0.0</v>
      </c>
      <c r="DF10">
        <v>0.0</v>
      </c>
      <c r="DG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M10">
        <v>0.0</v>
      </c>
      <c r="EN10">
        <v>0.0</v>
      </c>
      <c r="EO10">
        <v>0.0</v>
      </c>
      <c r="EP10">
        <v>0.0</v>
      </c>
      <c r="EQ10">
        <v>0.0</v>
      </c>
      <c r="ER10">
        <v>0.0</v>
      </c>
    </row>
    <row r="11" ht="15.75" customHeight="1">
      <c r="A11" t="s">
        <v>43</v>
      </c>
      <c r="C11" t="s">
        <v>34</v>
      </c>
      <c r="D11">
        <v>25.0</v>
      </c>
      <c r="E11" t="s">
        <v>24</v>
      </c>
      <c r="F11" t="s">
        <v>21</v>
      </c>
      <c r="H11" t="s">
        <v>69</v>
      </c>
      <c r="O11" t="s">
        <v>61</v>
      </c>
      <c r="P11" t="s">
        <v>70</v>
      </c>
      <c r="R11" t="s">
        <v>71</v>
      </c>
      <c r="S11" t="s">
        <v>64</v>
      </c>
      <c r="T11" t="s">
        <v>51</v>
      </c>
      <c r="U11" t="s">
        <v>47</v>
      </c>
      <c r="V11" t="s">
        <v>45</v>
      </c>
      <c r="W11" t="s">
        <v>49</v>
      </c>
      <c r="AB11">
        <v>0.0</v>
      </c>
      <c r="AC11">
        <v>0.0</v>
      </c>
      <c r="AD11">
        <v>0.0</v>
      </c>
      <c r="AE11">
        <v>0.0</v>
      </c>
      <c r="AG11">
        <v>0.0</v>
      </c>
      <c r="AH11">
        <v>0.0</v>
      </c>
      <c r="AI11">
        <v>0.0</v>
      </c>
      <c r="AJ11">
        <v>0.0</v>
      </c>
      <c r="AN11" t="s">
        <v>33</v>
      </c>
      <c r="AP11" t="s">
        <v>69</v>
      </c>
      <c r="AQ11" t="s">
        <v>34</v>
      </c>
      <c r="AX11">
        <v>0.0</v>
      </c>
      <c r="AY11">
        <v>0.0</v>
      </c>
      <c r="AZ11">
        <v>0.0</v>
      </c>
      <c r="BE11" t="s">
        <v>51</v>
      </c>
      <c r="BJ11">
        <v>0.0</v>
      </c>
      <c r="BK11">
        <v>0.0</v>
      </c>
      <c r="BL11">
        <v>0.0</v>
      </c>
      <c r="BM11">
        <v>0.0</v>
      </c>
      <c r="BP11">
        <v>0.0</v>
      </c>
      <c r="BQ11" t="s">
        <v>46</v>
      </c>
      <c r="BR11" t="s">
        <v>53</v>
      </c>
      <c r="BS11">
        <v>0.0</v>
      </c>
      <c r="BT11">
        <v>0.0</v>
      </c>
      <c r="BU11" t="s">
        <v>51</v>
      </c>
      <c r="BW11">
        <v>0.0</v>
      </c>
      <c r="BX11">
        <v>0.0</v>
      </c>
      <c r="BY11">
        <v>0.0</v>
      </c>
      <c r="BZ11">
        <v>0.0</v>
      </c>
      <c r="CA11">
        <v>0.0</v>
      </c>
      <c r="CC11">
        <v>0.0</v>
      </c>
      <c r="CH11">
        <v>-100.0</v>
      </c>
      <c r="DE11">
        <v>0.0</v>
      </c>
      <c r="DF11">
        <v>0.0</v>
      </c>
      <c r="DG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M11">
        <v>0.0</v>
      </c>
      <c r="EN11">
        <v>0.0</v>
      </c>
      <c r="EO11">
        <v>0.0</v>
      </c>
      <c r="EP11">
        <v>0.0</v>
      </c>
      <c r="EQ11">
        <v>0.0</v>
      </c>
      <c r="ER11">
        <v>0.0</v>
      </c>
    </row>
    <row r="12" ht="15.75" customHeight="1">
      <c r="A12" t="s">
        <v>43</v>
      </c>
      <c r="C12" t="s">
        <v>32</v>
      </c>
      <c r="D12">
        <v>25.0</v>
      </c>
      <c r="E12" t="s">
        <v>29</v>
      </c>
      <c r="F12" t="s">
        <v>22</v>
      </c>
      <c r="H12" t="s">
        <v>69</v>
      </c>
      <c r="O12" t="s">
        <v>66</v>
      </c>
      <c r="P12" t="s">
        <v>70</v>
      </c>
      <c r="R12" t="s">
        <v>53</v>
      </c>
      <c r="S12" t="s">
        <v>64</v>
      </c>
      <c r="T12" t="s">
        <v>51</v>
      </c>
      <c r="U12" t="s">
        <v>47</v>
      </c>
      <c r="V12" t="s">
        <v>45</v>
      </c>
      <c r="W12" t="s">
        <v>49</v>
      </c>
      <c r="AB12">
        <v>0.0</v>
      </c>
      <c r="AC12">
        <v>0.0</v>
      </c>
      <c r="AD12">
        <v>0.0</v>
      </c>
      <c r="AE12">
        <v>0.0</v>
      </c>
      <c r="AG12">
        <v>0.0</v>
      </c>
      <c r="AH12">
        <v>0.0</v>
      </c>
      <c r="AI12">
        <v>0.0</v>
      </c>
      <c r="AJ12">
        <v>0.0</v>
      </c>
      <c r="AN12" t="s">
        <v>33</v>
      </c>
      <c r="AP12" t="s">
        <v>69</v>
      </c>
      <c r="AQ12" t="s">
        <v>32</v>
      </c>
      <c r="AX12">
        <v>0.0</v>
      </c>
      <c r="AY12">
        <v>0.0</v>
      </c>
      <c r="AZ12">
        <v>0.0</v>
      </c>
      <c r="BE12" t="s">
        <v>51</v>
      </c>
      <c r="BJ12">
        <v>0.0</v>
      </c>
      <c r="BK12">
        <v>0.0</v>
      </c>
      <c r="BL12">
        <v>0.0</v>
      </c>
      <c r="BM12">
        <v>0.0</v>
      </c>
      <c r="BP12">
        <v>0.0</v>
      </c>
      <c r="BQ12" t="s">
        <v>46</v>
      </c>
      <c r="BR12" t="s">
        <v>53</v>
      </c>
      <c r="BS12">
        <v>0.0</v>
      </c>
      <c r="BT12">
        <v>0.0</v>
      </c>
      <c r="BU12" t="s">
        <v>51</v>
      </c>
      <c r="BW12">
        <v>0.0</v>
      </c>
      <c r="BX12">
        <v>0.0</v>
      </c>
      <c r="BY12">
        <v>0.0</v>
      </c>
      <c r="BZ12">
        <v>0.0</v>
      </c>
      <c r="CA12">
        <v>0.0</v>
      </c>
      <c r="CC12">
        <v>0.0</v>
      </c>
      <c r="CH12">
        <v>-100.0</v>
      </c>
      <c r="DE12">
        <v>0.0</v>
      </c>
      <c r="DF12">
        <v>0.0</v>
      </c>
      <c r="DG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M12">
        <v>0.0</v>
      </c>
      <c r="EN12">
        <v>0.0</v>
      </c>
      <c r="EO12">
        <v>0.0</v>
      </c>
      <c r="EP12">
        <v>0.0</v>
      </c>
      <c r="EQ12">
        <v>0.0</v>
      </c>
      <c r="ER12">
        <v>0.0</v>
      </c>
    </row>
    <row r="13" ht="15.75" customHeight="1">
      <c r="A13" t="s">
        <v>43</v>
      </c>
      <c r="C13" t="s">
        <v>34</v>
      </c>
      <c r="D13">
        <v>25.0</v>
      </c>
      <c r="E13" t="s">
        <v>29</v>
      </c>
      <c r="F13" t="s">
        <v>22</v>
      </c>
      <c r="H13" t="s">
        <v>69</v>
      </c>
      <c r="O13" t="s">
        <v>61</v>
      </c>
      <c r="P13" t="s">
        <v>70</v>
      </c>
      <c r="R13" t="s">
        <v>53</v>
      </c>
      <c r="S13" t="s">
        <v>64</v>
      </c>
      <c r="T13" t="s">
        <v>51</v>
      </c>
      <c r="U13" t="s">
        <v>47</v>
      </c>
      <c r="V13" t="s">
        <v>45</v>
      </c>
      <c r="W13" t="s">
        <v>49</v>
      </c>
      <c r="AB13">
        <v>0.0</v>
      </c>
      <c r="AC13">
        <v>0.0</v>
      </c>
      <c r="AD13">
        <v>0.0</v>
      </c>
      <c r="AE13">
        <v>0.0</v>
      </c>
      <c r="AG13">
        <v>0.0</v>
      </c>
      <c r="AH13">
        <v>0.0</v>
      </c>
      <c r="AI13">
        <v>0.0</v>
      </c>
      <c r="AJ13">
        <v>0.0</v>
      </c>
      <c r="AN13" t="s">
        <v>33</v>
      </c>
      <c r="AP13" t="s">
        <v>69</v>
      </c>
      <c r="AQ13" t="s">
        <v>34</v>
      </c>
      <c r="AX13">
        <v>0.0</v>
      </c>
      <c r="AY13">
        <v>0.0</v>
      </c>
      <c r="AZ13">
        <v>0.0</v>
      </c>
      <c r="BE13" t="s">
        <v>51</v>
      </c>
      <c r="BJ13">
        <v>0.0</v>
      </c>
      <c r="BK13">
        <v>0.0</v>
      </c>
      <c r="BL13">
        <v>0.0</v>
      </c>
      <c r="BM13">
        <v>0.0</v>
      </c>
      <c r="BP13">
        <v>0.0</v>
      </c>
      <c r="BQ13" t="s">
        <v>46</v>
      </c>
      <c r="BR13" t="s">
        <v>53</v>
      </c>
      <c r="BS13">
        <v>0.0</v>
      </c>
      <c r="BT13">
        <v>0.0</v>
      </c>
      <c r="BU13" t="s">
        <v>51</v>
      </c>
      <c r="BW13">
        <v>0.0</v>
      </c>
      <c r="BX13">
        <v>0.0</v>
      </c>
      <c r="BY13">
        <v>0.0</v>
      </c>
      <c r="BZ13">
        <v>0.0</v>
      </c>
      <c r="CA13">
        <v>0.0</v>
      </c>
      <c r="CC13">
        <v>0.0</v>
      </c>
      <c r="CH13">
        <v>-100.0</v>
      </c>
      <c r="DE13">
        <v>0.0</v>
      </c>
      <c r="DF13">
        <v>0.0</v>
      </c>
      <c r="DG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M13">
        <v>0.0</v>
      </c>
      <c r="EN13">
        <v>0.0</v>
      </c>
      <c r="EO13">
        <v>0.0</v>
      </c>
      <c r="EP13">
        <v>0.0</v>
      </c>
      <c r="EQ13">
        <v>0.0</v>
      </c>
      <c r="ER13">
        <v>0.0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