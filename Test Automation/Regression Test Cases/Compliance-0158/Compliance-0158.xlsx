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Unallocate" sheetId="6" r:id="rId8"/>
    <sheet state="visible" name="DeleteGroup" sheetId="7" r:id="rId9"/>
    <sheet state="visible" name="CreateComplianceOrder" sheetId="8" r:id="rId10"/>
    <sheet state="visible" name="VerifyComplianceOrder" sheetId="9" r:id="rId11"/>
    <sheet state="visible" name="CreateDoneAwayOrder2" sheetId="10" r:id="rId12"/>
    <sheet state="visible" name="EditInterceptorFile" sheetId="11" r:id="rId13"/>
  </sheets>
  <definedNames/>
  <calcPr/>
</workbook>
</file>

<file path=xl/sharedStrings.xml><?xml version="1.0" encoding="utf-8"?>
<sst xmlns="http://schemas.openxmlformats.org/spreadsheetml/2006/main" count="132" uniqueCount="55">
  <si>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</si>
  <si>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</si>
  <si>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</si>
  <si>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</si>
  <si>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</si>
  <si>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</si>
  <si>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</si>
  <si>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</si>
  <si>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</si>
  <si>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</si>
  <si>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</si>
  <si>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</si>
  <si>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</si>
  <si>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</si>
  <si>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</si>
  <si>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</si>
  <si>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</si>
  <si>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</si>
  <si>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</si>
  <si>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PricingInput</t>
  </si>
  <si>
    <t>Allocation</t>
  </si>
  <si>
    <t>Unallocate</t>
  </si>
  <si>
    <t>DeleteGroup</t>
  </si>
  <si>
    <t>CreateComplianceOrder</t>
  </si>
  <si>
    <t>Sell</t>
  </si>
  <si>
    <t>DoneAway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</si>
  <si>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</si>
  <si>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</si>
  <si>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</si>
  <si>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</si>
  <si>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</si>
  <si>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200.00, Order quantity: -55,000.00, Quantity if trade is executed: -54,800.00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</si>
  <si>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</si>
  <si>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</si>
  <si>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</si>
  <si>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-54,800.00, selectedFeedPrice: 20.00, dayPnLBase: -822,450.00, dayPnLLocal: -822,450.00, costBasisPnLBase: -822,450.00, costBasisPnLLocal: -822,450.00, netMarketValueBase: -1,096,000.00, netMarketValueLocal: -1,096,000.00, grossExposureBase: 1,096,000.00, grossExposureLocal: 1,096,000.00, AccountShortName: Allocation1,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</si>
  <si>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</si>
  <si>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</si>
  <si>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</si>
  <si>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-54,800.00,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</si>
  <si>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</si>
  <si>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</si>
  <si>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-54,800.00, selectedFeedPrice: 20.00, dayPnLBase: -822,450.00, dayPnLLocal: -822,450.00, costBasisPnLBase: -822,450.00, costBasisPnLLocal: -822,450.00, netMarketValueBase: -1,096,000.00, netMarketValueLocal: -1,096,000.00, grossMarketValueBase: 1,096,000.00, grossMarketValueLocal: 1,096,000.00, MasterFundName: NewMF, Symbol: AAPL</t>
  </si>
  <si>
    <t>Symbol-Aj</t>
  </si>
  <si>
    <t>quantity: -4,900.00, selectedFeedPrice: 20.00, dayPnLBase: -822,450.00, dayPnLLocal: -822,450.00, costBasisPnLBase: -822,450.00, costBasisPnLLocal: -822,450.00, netMarketValueBase: -98,000.00, netMarketValueLocal: -98,000.00, grossMarketValueBase: 98,000.00, grossMarketValueLocal: 98,000.00,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</si>
  <si>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</si>
  <si>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</si>
  <si>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55,000.00, avgPrice: 5.00, selectedFeedPrice: 20.00, dayPnLBase: -825,000.00, dayPnLLocal: -825,000.00, costBasisPnLBase: -825,000.00, costBasisPnLLocal: -825,000.00, netMarketValueBase: -1,100,000.00, netMarketValueLocal: -1,100,000.00, grossExposureBase: 1,100,000.00, grossExposureLocal: 1,100,000.00,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</si>
  <si>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</si>
  <si>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</si>
  <si>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</si>
  <si>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</si>
  <si>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Compliance</t>
  </si>
  <si>
    <t>EditInterceptorFile</t>
  </si>
  <si>
    <t>AAPL,,,,,,,,,,,,,,,,,0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</si>
</sst>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70.0</v>
      </c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13" t="s">
        <v>16</v>
      </c>
      <c r="C7" s="13" t="s">
        <v>17</v>
      </c>
      <c r="D7" s="13">
        <v>100.0</v>
      </c>
      <c r="E7" s="13"/>
      <c r="F7" s="8"/>
      <c r="G7" s="8"/>
      <c r="H7" s="8"/>
      <c r="I7" s="8"/>
      <c r="J7" s="13">
        <v>5.0</v>
      </c>
      <c r="K7" s="8"/>
      <c r="L7" s="8"/>
      <c r="M7" s="8"/>
      <c r="N7" s="8"/>
      <c r="O7" s="8"/>
      <c r="AQ7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50000.0</v>
      </c>
      <c r="D6" s="13"/>
      <c r="E6" s="31"/>
      <c r="F6" s="13" t="s">
        <v>17</v>
      </c>
      <c r="G6" s="8"/>
      <c r="H6" s="13">
        <v>5.0</v>
      </c>
      <c r="I6" s="8"/>
      <c r="J6" s="8"/>
      <c r="K6" s="13">
        <v>5.0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55000.0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X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27</v>
      </c>
      <c r="C6" s="34" t="s">
        <v>28</v>
      </c>
      <c r="D6" s="34" t="s">
        <v>29</v>
      </c>
      <c r="E6" s="34" t="s">
        <v>30</v>
      </c>
      <c r="F6" s="34">
        <v>200.0</v>
      </c>
      <c r="G6" s="34">
        <v>-54800.0</v>
      </c>
      <c r="H6" s="34" t="s">
        <v>31</v>
      </c>
      <c r="I6" s="8"/>
      <c r="J6" s="8"/>
      <c r="K6" s="13" t="s">
        <v>18</v>
      </c>
      <c r="L6" s="8"/>
      <c r="M6" s="13" t="s">
        <v>25</v>
      </c>
      <c r="N6" s="8"/>
      <c r="O6" s="8"/>
    </row>
    <row r="7" ht="15.75" customHeight="1">
      <c r="A7" s="8"/>
      <c r="B7" s="33" t="s">
        <v>27</v>
      </c>
      <c r="C7" s="34" t="s">
        <v>32</v>
      </c>
      <c r="D7" s="34" t="s">
        <v>33</v>
      </c>
      <c r="E7" s="34" t="s">
        <v>30</v>
      </c>
      <c r="F7" s="34" t="s">
        <v>34</v>
      </c>
      <c r="G7" s="34" t="s">
        <v>34</v>
      </c>
      <c r="H7" s="34" t="s">
        <v>35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27</v>
      </c>
      <c r="C8" s="35" t="s">
        <v>36</v>
      </c>
      <c r="D8" s="35" t="s">
        <v>37</v>
      </c>
      <c r="E8" s="35" t="s">
        <v>38</v>
      </c>
      <c r="F8" s="35">
        <v>0.0</v>
      </c>
      <c r="G8" s="35">
        <v>-54800.0</v>
      </c>
      <c r="H8" s="35" t="s">
        <v>39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27</v>
      </c>
      <c r="C9" s="34" t="s">
        <v>40</v>
      </c>
      <c r="D9" s="34" t="s">
        <v>41</v>
      </c>
      <c r="E9" s="34" t="s">
        <v>38</v>
      </c>
      <c r="F9" s="34" t="s">
        <v>34</v>
      </c>
      <c r="G9" s="34" t="s">
        <v>34</v>
      </c>
      <c r="H9" s="34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27</v>
      </c>
      <c r="C10" s="35" t="s">
        <v>43</v>
      </c>
      <c r="D10" s="35" t="s">
        <v>41</v>
      </c>
      <c r="E10" s="35" t="s">
        <v>16</v>
      </c>
      <c r="F10" s="35" t="s">
        <v>34</v>
      </c>
      <c r="G10" s="35" t="s">
        <v>34</v>
      </c>
      <c r="H10" s="35" t="s">
        <v>44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27</v>
      </c>
      <c r="C11" s="34" t="s">
        <v>45</v>
      </c>
      <c r="D11" s="34" t="s">
        <v>46</v>
      </c>
      <c r="E11" s="34" t="s">
        <v>16</v>
      </c>
      <c r="F11" s="34" t="s">
        <v>34</v>
      </c>
      <c r="G11" s="34" t="s">
        <v>34</v>
      </c>
      <c r="H11" s="34" t="s">
        <v>47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27</v>
      </c>
      <c r="C12" s="35" t="s">
        <v>48</v>
      </c>
      <c r="D12" s="35" t="s">
        <v>49</v>
      </c>
      <c r="E12" s="35" t="s">
        <v>16</v>
      </c>
      <c r="F12" s="35" t="s">
        <v>50</v>
      </c>
      <c r="G12" s="35" t="s">
        <v>50</v>
      </c>
      <c r="H12" s="35" t="s">
        <v>51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50000.0</v>
      </c>
      <c r="E6" s="13">
        <v>100.0</v>
      </c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