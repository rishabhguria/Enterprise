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VerifyExpiredSettledGrid" sheetId="8" r:id="rId10"/>
    <sheet state="visible" name="GetDataAllocation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<sst xmlns="http://schemas.openxmlformats.org/spreadsheetml/2006/main" count="82" uniqueCount="31">
  <si>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</si>
  <si>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</si>
  <si>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</si>
  <si>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</si>
  <si>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</si>
  <si>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</si>
  <si>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</si>
  <si>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</si>
  <si>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</si>
  <si>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</si>
  <si>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</si>
  <si>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</si>
  <si>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</si>
  <si>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</si>
  <si>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</si>
  <si>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O:ABM 10D20.00</t>
  </si>
  <si>
    <t>Allocation1</t>
  </si>
  <si>
    <t>Buy to Open</t>
  </si>
  <si>
    <t>Closing</t>
  </si>
  <si>
    <t>GetDataClosing</t>
  </si>
  <si>
    <t>Historical</t>
  </si>
  <si>
    <t>SelectTradeUnexpiredUnsettled</t>
  </si>
  <si>
    <t>EquityOption</t>
  </si>
  <si>
    <t>ExerciseAssignment</t>
  </si>
  <si>
    <t>ABM</t>
  </si>
  <si>
    <t>VerifyExpiredSettledGrid</t>
  </si>
  <si>
    <t>Allocation</t>
  </si>
  <si>
    <t>GetDataAllocation</t>
  </si>
  <si>
    <t>CheckAllocatedGroups</t>
  </si>
  <si>
    <t>Sell to Close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</si>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</sst>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15</v>
      </c>
      <c r="C6" s="31" t="s">
        <v>16</v>
      </c>
      <c r="D6" s="31" t="s">
        <v>17</v>
      </c>
      <c r="E6" s="32">
        <v>100.0</v>
      </c>
      <c r="F6" s="32">
        <v>100.0</v>
      </c>
      <c r="G6" s="32">
        <v>10.0</v>
      </c>
      <c r="H6" s="32">
        <v>0.0</v>
      </c>
      <c r="I6" s="33">
        <f>TODAY()</f>
        <v>45152</v>
      </c>
      <c r="J6" s="34"/>
      <c r="K6" s="34"/>
      <c r="L6" s="34"/>
      <c r="M6" s="34"/>
      <c r="N6" s="34"/>
      <c r="O6" s="34"/>
      <c r="P6" s="32"/>
      <c r="Q6" s="31"/>
      <c r="R6" s="34"/>
      <c r="S6" s="34"/>
      <c r="T6" s="34"/>
      <c r="U6" s="34"/>
      <c r="V6" s="33"/>
      <c r="W6" s="34"/>
      <c r="X6" s="34"/>
      <c r="Y6" s="34"/>
      <c r="Z6" s="34"/>
      <c r="AA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 t="str">
        <f>IFERROR(__xludf.DUMMYFUNCTION("""COMPUTED_VALUE"""),"AddDuplicateRow")</f>
        <v>AddDuplicateRow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20</v>
      </c>
      <c r="C6" s="36">
        <f>TODAY() - 1</f>
        <v>45151</v>
      </c>
      <c r="D6" s="36">
        <f>TODAY()</f>
        <v>45152</v>
      </c>
      <c r="E6" s="37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 t="str">
        <f>IFERROR(__xludf.DUMMYFUNCTION("""COMPUTED_VALUE"""),"AddDuplicateRow")</f>
        <v>AddDuplicateRow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16</v>
      </c>
      <c r="C6" s="8"/>
      <c r="D6" s="11"/>
      <c r="E6" s="11" t="s">
        <v>22</v>
      </c>
      <c r="F6" s="8"/>
      <c r="G6" s="8"/>
      <c r="H6" s="8"/>
      <c r="I6" s="8"/>
      <c r="J6" s="8"/>
      <c r="K6" s="8"/>
      <c r="L6" s="8"/>
      <c r="M6" s="8"/>
      <c r="N6" s="8"/>
      <c r="O6" s="32"/>
      <c r="AW6" s="32"/>
      <c r="BL6" s="31"/>
      <c r="BV6" s="31" t="s">
        <v>17</v>
      </c>
      <c r="DH6" s="31" t="s">
        <v>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 t="str">
        <f>IFERROR(__xludf.DUMMYFUNCTION("""COMPUTED_VALUE"""),"AddDuplicateRow")</f>
        <v>AddDuplicateRow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IFERROR(__xludf.DUMMYFUNCTION("""COMPUTED_VALUE"""),"Settlement Qty")</f>
        <v>Settlement Qty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16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32">
        <v>0.0</v>
      </c>
      <c r="AW6" s="32"/>
      <c r="BL6" s="31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2.63"/>
    <col customWidth="1" min="13" max="13" width="29.5"/>
    <col customWidth="1" min="14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 t="str">
        <f>IFERROR(__xludf.DUMMYFUNCTION("""COMPUTED_VALUE"""),"AddDuplicateRow")</f>
        <v>AddDuplicateRow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16</v>
      </c>
      <c r="C6" s="8"/>
      <c r="D6" s="11"/>
      <c r="E6" s="38"/>
      <c r="F6" s="8"/>
      <c r="G6" s="32">
        <v>100.0</v>
      </c>
      <c r="H6" s="8"/>
      <c r="I6" s="8"/>
      <c r="J6" s="8"/>
      <c r="K6" s="8"/>
      <c r="L6" s="8"/>
      <c r="M6" s="32"/>
      <c r="N6" s="8"/>
      <c r="O6" s="8"/>
      <c r="Z6" s="31"/>
      <c r="AB6" s="31" t="s">
        <v>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20</v>
      </c>
      <c r="C6" s="39">
        <f>today()-1</f>
        <v>45151</v>
      </c>
      <c r="D6" s="40">
        <f>today()</f>
        <v>45152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1" width="12.63"/>
    <col customWidth="1" min="72" max="72" width="27.13"/>
    <col customWidth="1" min="73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16</v>
      </c>
      <c r="C6" s="8"/>
      <c r="D6" s="11"/>
      <c r="E6" s="4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  <c r="BJ6" s="43"/>
      <c r="BO6" s="41" t="s">
        <v>17</v>
      </c>
      <c r="BT6" s="41" t="s">
        <v>15</v>
      </c>
    </row>
    <row r="7" ht="15.75" customHeight="1">
      <c r="A7" s="8"/>
      <c r="B7" s="41" t="s">
        <v>16</v>
      </c>
      <c r="C7" s="8"/>
      <c r="D7" s="8"/>
      <c r="E7" s="42">
        <v>100.0</v>
      </c>
      <c r="F7" s="8"/>
      <c r="G7" s="8"/>
      <c r="H7" s="8"/>
      <c r="I7" s="8"/>
      <c r="J7" s="8"/>
      <c r="K7" s="8"/>
      <c r="L7" s="8"/>
      <c r="M7" s="8"/>
      <c r="N7" s="8"/>
      <c r="O7" s="8"/>
      <c r="BJ7" s="43"/>
      <c r="BO7" s="41" t="s">
        <v>29</v>
      </c>
      <c r="BT7" s="41" t="s">
        <v>15</v>
      </c>
    </row>
    <row r="8" ht="15.75" customHeight="1">
      <c r="A8" s="8"/>
      <c r="B8" s="41" t="s">
        <v>16</v>
      </c>
      <c r="C8" s="8"/>
      <c r="D8" s="8"/>
      <c r="E8" s="44">
        <v>10000.0</v>
      </c>
      <c r="F8" s="8"/>
      <c r="G8" s="8"/>
      <c r="H8" s="8"/>
      <c r="I8" s="8"/>
      <c r="J8" s="8"/>
      <c r="K8" s="8"/>
      <c r="L8" s="8"/>
      <c r="M8" s="8"/>
      <c r="N8" s="8"/>
      <c r="O8" s="8"/>
      <c r="BJ8" s="43"/>
      <c r="BO8" s="41" t="s">
        <v>30</v>
      </c>
      <c r="BT8" s="41" t="s">
        <v>24</v>
      </c>
    </row>
    <row r="9" ht="15.75" customHeight="1">
      <c r="A9" s="8"/>
      <c r="B9" s="45"/>
      <c r="C9" s="8"/>
      <c r="D9" s="8"/>
      <c r="E9" s="45"/>
      <c r="F9" s="8"/>
      <c r="G9" s="8"/>
      <c r="H9" s="8"/>
      <c r="I9" s="8"/>
      <c r="J9" s="8"/>
      <c r="K9" s="8"/>
      <c r="L9" s="8"/>
      <c r="M9" s="8"/>
      <c r="N9" s="8"/>
      <c r="O9" s="8"/>
      <c r="BO9" s="45"/>
      <c r="BT9" s="45"/>
    </row>
    <row r="10" ht="15.75" customHeight="1">
      <c r="A10" s="8"/>
      <c r="B10" s="45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