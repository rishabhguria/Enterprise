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UnallocatedGroups" sheetId="9" r:id="rId11"/>
    <sheet state="visible" name="CheckAllocatedGroups" sheetId="10" r:id="rId12"/>
    <sheet state="visible" name="CheckPortfolioManagement" sheetId="11" r:id="rId13"/>
    <sheet state="visible" name="CheckSummaryRowsPM" sheetId="12" r:id="rId14"/>
    <sheet state="visible" name="GetDataClosing" sheetId="13" r:id="rId15"/>
    <sheet state="visible" name="VerifyLongPositionsGrid" sheetId="14" r:id="rId16"/>
  </sheets>
  <definedNames/>
  <calcPr/>
</workbook>
</file>

<file path=xl/sharedStrings.xml><?xml version="1.0" encoding="utf-8"?>
<sst xmlns="http://schemas.openxmlformats.org/spreadsheetml/2006/main" count="194" uniqueCount="53">
  <si>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</si>
  <si>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</si>
  <si>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</si>
  <si>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</si>
  <si>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</si>
  <si>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</si>
  <si>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</si>
  <si>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</si>
  <si>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</si>
  <si>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</si>
  <si>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</si>
  <si>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</si>
  <si>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</si>
  <si>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</si>
  <si>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</si>
  <si>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</si>
  <si>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</si>
  <si>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</si>
  <si>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CSCO</t>
  </si>
  <si>
    <t>Buy</t>
  </si>
  <si>
    <t>Allocation1</t>
  </si>
  <si>
    <t>Allocation2</t>
  </si>
  <si>
    <t>Sell</t>
  </si>
  <si>
    <t>Unallocated</t>
  </si>
  <si>
    <t>GetDataAllocation</t>
  </si>
  <si>
    <t>CURRENT</t>
  </si>
  <si>
    <t>SelectUnallocatedGroup</t>
  </si>
  <si>
    <t>EnterAccountValuesToAllocate</t>
  </si>
  <si>
    <t>CheckUnallocatedGroups</t>
  </si>
  <si>
    <t>Equity</t>
  </si>
  <si>
    <t>CSCO US EQUITY</t>
  </si>
  <si>
    <t>MS</t>
  </si>
  <si>
    <t>NONE</t>
  </si>
  <si>
    <t>Open</t>
  </si>
  <si>
    <t>CISCO SYSTEM INC</t>
  </si>
  <si>
    <t>USD</t>
  </si>
  <si>
    <t>NASDAQ</t>
  </si>
  <si>
    <t>M</t>
  </si>
  <si>
    <t>jpearce</t>
  </si>
  <si>
    <t>CheckAllocatedGroups</t>
  </si>
  <si>
    <t>Market</t>
  </si>
  <si>
    <t>US</t>
  </si>
  <si>
    <t>PortfolioManagement</t>
  </si>
  <si>
    <t>CheckPortfolioManagement</t>
  </si>
  <si>
    <t>Short</t>
  </si>
  <si>
    <t>USA</t>
  </si>
  <si>
    <t>CheckSummaryRowsPM</t>
  </si>
  <si>
    <t>Multiple</t>
  </si>
  <si>
    <t>Long</t>
  </si>
  <si>
    <t>Closing</t>
  </si>
  <si>
    <t>GetDataClosing</t>
  </si>
  <si>
    <t>Current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</si>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</sst>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100.0</v>
      </c>
      <c r="E7" s="13">
        <v>100.0</v>
      </c>
      <c r="F7" s="13" t="s">
        <v>21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22</v>
      </c>
      <c r="D8" s="13">
        <v>200.0</v>
      </c>
      <c r="E8" s="13">
        <v>200.0</v>
      </c>
      <c r="F8" s="13" t="s">
        <v>23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29</v>
      </c>
      <c r="G6" s="13"/>
      <c r="H6" s="13"/>
      <c r="I6" s="13"/>
      <c r="J6" s="13">
        <v>10.0</v>
      </c>
      <c r="K6" s="13">
        <v>10.0</v>
      </c>
      <c r="L6" s="13" t="s">
        <v>30</v>
      </c>
      <c r="M6" s="8"/>
      <c r="N6" s="13" t="s">
        <v>31</v>
      </c>
      <c r="O6" s="8"/>
      <c r="P6" s="9">
        <v>3.0</v>
      </c>
      <c r="R6" s="9" t="s">
        <v>32</v>
      </c>
      <c r="S6" s="9" t="s">
        <v>33</v>
      </c>
      <c r="V6" s="9" t="s">
        <v>34</v>
      </c>
      <c r="W6" s="9">
        <v>1.0</v>
      </c>
      <c r="Z6" s="9" t="s">
        <v>35</v>
      </c>
      <c r="AB6" s="9">
        <v>1.0</v>
      </c>
      <c r="AD6" s="9" t="s">
        <v>36</v>
      </c>
      <c r="AE6" s="9">
        <v>200.0</v>
      </c>
      <c r="AG6" s="9" t="s">
        <v>37</v>
      </c>
      <c r="AH6" s="9">
        <v>1.0</v>
      </c>
      <c r="BE6" s="9">
        <v>2000.0</v>
      </c>
      <c r="BF6" s="9">
        <v>2000.0</v>
      </c>
      <c r="BJ6" s="9">
        <v>200.0</v>
      </c>
      <c r="BM6" s="9" t="s">
        <v>35</v>
      </c>
      <c r="BO6" s="9" t="s">
        <v>22</v>
      </c>
      <c r="BS6" s="9" t="s">
        <v>18</v>
      </c>
      <c r="CL6" s="9" t="s">
        <v>18</v>
      </c>
      <c r="CM6" s="9" t="s">
        <v>38</v>
      </c>
      <c r="CN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>
        <v>100.0</v>
      </c>
      <c r="F6" s="13"/>
      <c r="G6" s="13" t="s">
        <v>29</v>
      </c>
      <c r="H6" s="8"/>
      <c r="I6" s="8"/>
      <c r="J6" s="8"/>
      <c r="K6" s="13"/>
      <c r="L6" s="13"/>
      <c r="M6" s="13" t="s">
        <v>30</v>
      </c>
      <c r="N6" s="8"/>
      <c r="O6" s="13" t="s">
        <v>31</v>
      </c>
      <c r="V6" s="9" t="s">
        <v>34</v>
      </c>
      <c r="Z6" s="9" t="s">
        <v>35</v>
      </c>
      <c r="AD6" s="9" t="s">
        <v>36</v>
      </c>
      <c r="AE6" s="9">
        <v>100.0</v>
      </c>
      <c r="AH6" s="9" t="s">
        <v>37</v>
      </c>
      <c r="AI6" s="9">
        <v>1.0</v>
      </c>
      <c r="AY6" s="9" t="s">
        <v>40</v>
      </c>
      <c r="BJ6" s="9">
        <v>100.0</v>
      </c>
      <c r="BM6" s="9" t="s">
        <v>35</v>
      </c>
      <c r="BO6" s="9" t="s">
        <v>19</v>
      </c>
      <c r="BT6" s="9" t="s">
        <v>18</v>
      </c>
      <c r="CJ6" s="9">
        <v>0.0</v>
      </c>
      <c r="CK6" s="9" t="s">
        <v>41</v>
      </c>
      <c r="CM6" s="9" t="s">
        <v>18</v>
      </c>
      <c r="CN6" s="9" t="s">
        <v>38</v>
      </c>
      <c r="CO6" s="9" t="s">
        <v>36</v>
      </c>
    </row>
    <row r="7" ht="15.75" customHeight="1">
      <c r="A7" s="13"/>
      <c r="B7" s="13" t="s">
        <v>21</v>
      </c>
      <c r="C7" s="8"/>
      <c r="D7" s="13"/>
      <c r="E7" s="13">
        <v>100.0</v>
      </c>
      <c r="F7" s="13"/>
      <c r="G7" s="13" t="s">
        <v>29</v>
      </c>
      <c r="H7" s="8"/>
      <c r="I7" s="8"/>
      <c r="J7" s="8"/>
      <c r="K7" s="13"/>
      <c r="L7" s="13"/>
      <c r="M7" s="13" t="s">
        <v>30</v>
      </c>
      <c r="N7" s="8"/>
      <c r="O7" s="13" t="s">
        <v>31</v>
      </c>
      <c r="V7" s="9" t="s">
        <v>34</v>
      </c>
      <c r="Z7" s="9" t="s">
        <v>35</v>
      </c>
      <c r="AD7" s="9" t="s">
        <v>36</v>
      </c>
      <c r="AE7" s="9">
        <v>100.0</v>
      </c>
      <c r="AH7" s="9" t="s">
        <v>37</v>
      </c>
      <c r="AI7" s="9">
        <v>1.0</v>
      </c>
      <c r="AY7" s="9" t="s">
        <v>40</v>
      </c>
      <c r="BJ7" s="9">
        <v>100.0</v>
      </c>
      <c r="BM7" s="9" t="s">
        <v>35</v>
      </c>
      <c r="BO7" s="9" t="s">
        <v>19</v>
      </c>
      <c r="BT7" s="9" t="s">
        <v>18</v>
      </c>
      <c r="CJ7" s="9">
        <v>0.0</v>
      </c>
      <c r="CK7" s="9" t="s">
        <v>41</v>
      </c>
      <c r="CM7" s="9" t="s">
        <v>18</v>
      </c>
      <c r="CN7" s="9" t="s">
        <v>38</v>
      </c>
      <c r="CO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9" width="12.63"/>
    <col customWidth="1" min="120" max="120" width="18.75"/>
    <col customWidth="1" min="121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18</v>
      </c>
      <c r="D6" s="13">
        <v>100.0</v>
      </c>
      <c r="E6" s="13" t="s">
        <v>20</v>
      </c>
      <c r="F6" s="8"/>
      <c r="G6" s="8"/>
      <c r="H6" s="13" t="s">
        <v>44</v>
      </c>
      <c r="I6" s="8"/>
      <c r="J6" s="8"/>
      <c r="K6" s="8"/>
      <c r="L6" s="8"/>
      <c r="M6" s="8"/>
      <c r="N6" s="8"/>
      <c r="O6" s="13" t="s">
        <v>34</v>
      </c>
      <c r="T6" s="9" t="s">
        <v>29</v>
      </c>
      <c r="U6" s="9" t="s">
        <v>41</v>
      </c>
      <c r="V6" s="9" t="s">
        <v>36</v>
      </c>
      <c r="W6" s="9" t="s">
        <v>35</v>
      </c>
      <c r="AF6" s="9">
        <v>100.0</v>
      </c>
      <c r="AN6" s="9" t="s">
        <v>19</v>
      </c>
      <c r="AV6" s="9">
        <v>1.0</v>
      </c>
      <c r="BI6" s="9" t="s">
        <v>45</v>
      </c>
      <c r="BQ6" s="9" t="s">
        <v>38</v>
      </c>
      <c r="BR6" s="9" t="s">
        <v>31</v>
      </c>
    </row>
    <row r="7" ht="15.75" customHeight="1">
      <c r="A7" s="13"/>
      <c r="B7" s="13"/>
      <c r="C7" s="13" t="s">
        <v>18</v>
      </c>
      <c r="D7" s="13">
        <v>100.0</v>
      </c>
      <c r="E7" s="13" t="s">
        <v>21</v>
      </c>
      <c r="F7" s="8"/>
      <c r="G7" s="8"/>
      <c r="H7" s="13" t="s">
        <v>44</v>
      </c>
      <c r="I7" s="8"/>
      <c r="J7" s="8"/>
      <c r="K7" s="8"/>
      <c r="L7" s="8"/>
      <c r="M7" s="8"/>
      <c r="N7" s="8"/>
      <c r="O7" s="13" t="s">
        <v>34</v>
      </c>
      <c r="T7" s="9" t="s">
        <v>29</v>
      </c>
      <c r="U7" s="9" t="s">
        <v>41</v>
      </c>
      <c r="V7" s="9" t="s">
        <v>36</v>
      </c>
      <c r="W7" s="9" t="s">
        <v>35</v>
      </c>
      <c r="AF7" s="9">
        <v>100.0</v>
      </c>
      <c r="AN7" s="9" t="s">
        <v>19</v>
      </c>
      <c r="AV7" s="9">
        <v>1.0</v>
      </c>
      <c r="BI7" s="9" t="s">
        <v>45</v>
      </c>
      <c r="BQ7" s="9" t="s">
        <v>38</v>
      </c>
      <c r="BR7" s="9" t="s">
        <v>31</v>
      </c>
    </row>
    <row r="8" ht="15.75" customHeight="1">
      <c r="A8" s="13"/>
      <c r="B8" s="13"/>
      <c r="C8" s="13"/>
      <c r="D8" s="13"/>
      <c r="E8" s="13"/>
      <c r="F8" s="8"/>
      <c r="G8" s="8"/>
      <c r="H8" s="13"/>
      <c r="I8" s="8"/>
      <c r="J8" s="8"/>
      <c r="K8" s="8"/>
      <c r="L8" s="8"/>
      <c r="M8" s="8"/>
      <c r="N8" s="8"/>
      <c r="O8" s="13"/>
    </row>
    <row r="9" ht="15.75" customHeight="1">
      <c r="A9" s="13"/>
      <c r="B9" s="13"/>
      <c r="C9" s="13"/>
      <c r="D9" s="13"/>
      <c r="E9" s="13"/>
      <c r="F9" s="8"/>
      <c r="G9" s="8"/>
      <c r="H9" s="13"/>
      <c r="I9" s="8"/>
      <c r="J9" s="8"/>
      <c r="K9" s="8"/>
      <c r="L9" s="8"/>
      <c r="M9" s="8"/>
      <c r="N9" s="8"/>
      <c r="O9" s="1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IFERROR(__xludf.DUMMYFUNCTION("""COMPUTED_VALUE"""),"Trader")</f>
        <v>Trader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IFERROR(__xludf.DUMMYFUNCTION("""COMPUTED_VALUE"""),"% Day Return (Gross MV)")</f>
        <v>% Day Return (Gross MV)</v>
      </c>
      <c r="CU5" s="30" t="str">
        <f>IFERROR(__xludf.DUMMYFUNCTION("""COMPUTED_VALUE"""),"Carry")</f>
        <v>Carry</v>
      </c>
      <c r="CV5" s="30" t="str">
        <f>IFERROR(__xludf.DUMMYFUNCTION("""COMPUTED_VALUE"""),"Trade TEST")</f>
        <v>Trade TEST</v>
      </c>
      <c r="CW5" s="30" t="str">
        <f>IFERROR(__xludf.DUMMYFUNCTION("""COMPUTED_VALUE"""),"Trade Attribute 3")</f>
        <v>Trade Attribute 3</v>
      </c>
      <c r="CX5" s="30" t="str">
        <f>IFERROR(__xludf.DUMMYFUNCTION("""COMPUTED_VALUE"""),"Trade Attribute 4")</f>
        <v>Trade Attribute 4</v>
      </c>
      <c r="CY5" s="30" t="str">
        <f>IFERROR(__xludf.DUMMYFUNCTION("""COMPUTED_VALUE"""),"Trade Attribute 5")</f>
        <v>Trade Attribute 5</v>
      </c>
      <c r="CZ5" s="30" t="str">
        <f>IFERROR(__xludf.DUMMYFUNCTION("""COMPUTED_VALUE"""),"Trade Attribute 6")</f>
        <v>Trade Attribute 6</v>
      </c>
      <c r="DA5" s="30" t="str">
        <f>IFERROR(__xludf.DUMMYFUNCTION("""COMPUTED_VALUE"""),"Proxy Symbol")</f>
        <v>Proxy Symbol</v>
      </c>
      <c r="DB5" s="30" t="str">
        <f>IFERROR(__xludf.DUMMYFUNCTION("""COMPUTED_VALUE"""),"Pricing Source")</f>
        <v>Pricing Source</v>
      </c>
      <c r="DC5" s="30" t="str">
        <f>IFERROR(__xludf.DUMMYFUNCTION("""COMPUTED_VALUE"""),"Delta Source")</f>
        <v>Delta Source</v>
      </c>
      <c r="DD5" s="30" t="str">
        <f>IFERROR(__xludf.DUMMYFUNCTION("""COMPUTED_VALUE"""),"Gross Exposure (Local)")</f>
        <v>Gross Exposure (Local)</v>
      </c>
      <c r="DE5" s="30" t="str">
        <f>IFERROR(__xludf.DUMMYFUNCTION("""COMPUTED_VALUE"""),"% Day P&amp;L (Net MV)")</f>
        <v>% Day P&amp;L (Net MV)</v>
      </c>
      <c r="DF5" s="30" t="str">
        <f>IFERROR(__xludf.DUMMYFUNCTION("""COMPUTED_VALUE"""),"Expiration Month")</f>
        <v>Expiration Month</v>
      </c>
      <c r="DG5" s="30" t="str">
        <f>IFERROR(__xludf.DUMMYFUNCTION("""COMPUTED_VALUE"""),"Delta Adj. Position (LME)")</f>
        <v>Delta Adj. Position (LME)</v>
      </c>
      <c r="DH5" s="30" t="str">
        <f>IFERROR(__xludf.DUMMYFUNCTION("""COMPUTED_VALUE"""),"Premium")</f>
        <v>Premium</v>
      </c>
      <c r="DI5" s="30" t="str">
        <f>IFERROR(__xludf.DUMMYFUNCTION("""COMPUTED_VALUE"""),"Premium $")</f>
        <v>Premium $</v>
      </c>
      <c r="DJ5" s="30" t="str">
        <f>IFERROR(__xludf.DUMMYFUNCTION("""COMPUTED_VALUE"""),"Forward Points")</f>
        <v>Forward Points</v>
      </c>
      <c r="DK5" s="30" t="str">
        <f>IFERROR(__xludf.DUMMYFUNCTION("""COMPUTED_VALUE"""),"Strike Gap Risk")</f>
        <v>Strike Gap Risk</v>
      </c>
      <c r="DL5" s="30" t="str">
        <f>IFERROR(__xludf.DUMMYFUNCTION("""COMPUTED_VALUE"""),"Strike Gap Exposure")</f>
        <v>Strike Gap Exposure</v>
      </c>
      <c r="DM5" s="30" t="str">
        <f>IFERROR(__xludf.DUMMYFUNCTION("""COMPUTED_VALUE"""),"Closing Mark (Underlying)")</f>
        <v>Closing Mark (Underlying)</v>
      </c>
      <c r="DN5" s="30" t="str">
        <f>IFERROR(__xludf.DUMMYFUNCTION("""COMPUTED_VALUE"""),"% Change (Underlying Price)")</f>
        <v>% Change (Underlying Price)</v>
      </c>
      <c r="DO5" s="30" t="str">
        <f>IFERROR(__xludf.DUMMYFUNCTION("""COMPUTED_VALUE"""),"Transaction Type")</f>
        <v>Transaction Type</v>
      </c>
      <c r="DP5" s="30" t="str">
        <f>IFERROR(__xludf.DUMMYFUNCTION("""COMPUTED_VALUE"""),"Closing Market Value (Local)")</f>
        <v>Closing Market Value (Local)</v>
      </c>
      <c r="DQ5" s="30" t="str">
        <f>IFERROR(__xludf.DUMMYFUNCTION("""COMPUTED_VALUE"""),"Closing Market Value (Base)")</f>
        <v>Closing Market Value (Base)</v>
      </c>
      <c r="DR5" s="30" t="str">
        <f>IFERROR(__xludf.DUMMYFUNCTION("""COMPUTED_VALUE"""),"Closing FX Rate")</f>
        <v>Closing FX Rate</v>
      </c>
      <c r="DS5" s="30" t="str">
        <f>IFERROR(__xludf.DUMMYFUNCTION("""COMPUTED_VALUE"""),"Change In Underlying Price")</f>
        <v>Change In Underlying Price</v>
      </c>
      <c r="DT5" s="30" t="str">
        <f>IFERROR(__xludf.DUMMYFUNCTION("""COMPUTED_VALUE"""),"RIC")</f>
        <v>RIC</v>
      </c>
      <c r="DU5" s="30" t="str">
        <f>IFERROR(__xludf.DUMMYFUNCTION("""COMPUTED_VALUE"""),"Position Side Exposure (Boxed)")</f>
        <v>Position Side Exposure (Boxed)</v>
      </c>
      <c r="DV5" s="30" t="str">
        <f>IFERROR(__xludf.DUMMYFUNCTION("""COMPUTED_VALUE"""),"Analyst")</f>
        <v>Analyst</v>
      </c>
      <c r="DW5" s="30" t="str">
        <f>IFERROR(__xludf.DUMMYFUNCTION("""COMPUTED_VALUE"""),"Country Of Risk")</f>
        <v>Country Of Risk</v>
      </c>
      <c r="DX5" s="30" t="str">
        <f>IFERROR(__xludf.DUMMYFUNCTION("""COMPUTED_VALUE"""),"Custom UDA1")</f>
        <v>Custom UDA1</v>
      </c>
      <c r="DY5" s="30" t="str">
        <f>IFERROR(__xludf.DUMMYFUNCTION("""COMPUTED_VALUE"""),"Custom UDA2")</f>
        <v>Custom UDA2</v>
      </c>
      <c r="DZ5" s="30" t="str">
        <f>IFERROR(__xludf.DUMMYFUNCTION("""COMPUTED_VALUE"""),"Custom UDA3")</f>
        <v>Custom UDA3</v>
      </c>
      <c r="EA5" s="30" t="str">
        <f>IFERROR(__xludf.DUMMYFUNCTION("""COMPUTED_VALUE"""),"Custom UDA4")</f>
        <v>Custom UDA4</v>
      </c>
      <c r="EB5" s="30" t="str">
        <f>IFERROR(__xludf.DUMMYFUNCTION("""COMPUTED_VALUE"""),"Custom UDA5")</f>
        <v>Custom UDA5</v>
      </c>
      <c r="EC5" s="30" t="str">
        <f>IFERROR(__xludf.DUMMYFUNCTION("""COMPUTED_VALUE"""),"Custom UDA6")</f>
        <v>Custom UDA6</v>
      </c>
      <c r="ED5" s="30" t="str">
        <f>IFERROR(__xludf.DUMMYFUNCTION("""COMPUTED_VALUE"""),"Custom UDA7")</f>
        <v>Custom UDA7</v>
      </c>
      <c r="EE5" s="30" t="str">
        <f>IFERROR(__xludf.DUMMYFUNCTION("""COMPUTED_VALUE"""),"Issuer")</f>
        <v>Issuer</v>
      </c>
      <c r="EF5" s="30" t="str">
        <f>IFERROR(__xludf.DUMMYFUNCTION("""COMPUTED_VALUE"""),"Liquid Tag")</f>
        <v>Liquid Tag</v>
      </c>
      <c r="EG5" s="30" t="str">
        <f>IFERROR(__xludf.DUMMYFUNCTION("""COMPUTED_VALUE"""),"Market Cap UDA")</f>
        <v>Market Cap UDA</v>
      </c>
      <c r="EH5" s="30" t="str">
        <f>IFERROR(__xludf.DUMMYFUNCTION("""COMPUTED_VALUE"""),"Region")</f>
        <v>Region</v>
      </c>
      <c r="EI5" s="30" t="str">
        <f>IFERROR(__xludf.DUMMYFUNCTION("""COMPUTED_VALUE"""),"Risk Currency")</f>
        <v>Risk Currency</v>
      </c>
      <c r="EJ5" s="30" t="str">
        <f>IFERROR(__xludf.DUMMYFUNCTION("""COMPUTED_VALUE"""),"UCITS Eligible Tag")</f>
        <v>UCITS Eligible Tag</v>
      </c>
      <c r="EK5" s="30" t="str">
        <f>IFERROR(__xludf.DUMMYFUNCTION("""COMPUTED_VALUE"""),"FX Rate (Display)")</f>
        <v>FX Rate (Display)</v>
      </c>
      <c r="EL5" s="30" t="str">
        <f>IFERROR(__xludf.DUMMYFUNCTION("""COMPUTED_VALUE"""),"% Net Exposure (Base)")</f>
        <v>% Net Exposure (Base)</v>
      </c>
      <c r="EM5" s="30" t="str">
        <f>IFERROR(__xludf.DUMMYFUNCTION("""COMPUTED_VALUE"""),"% Gross Exposure (Base)")</f>
        <v>% Gross Exposure (Base)</v>
      </c>
      <c r="EN5" s="30" t="str">
        <f>IFERROR(__xludf.DUMMYFUNCTION("""COMPUTED_VALUE"""),"% Exposure (Base)")</f>
        <v>% Exposure (Base)</v>
      </c>
      <c r="EO5" s="30" t="str">
        <f>IFERROR(__xludf.DUMMYFUNCTION("""COMPUTED_VALUE"""),"% Gross Exposure (Underlying) (Base)")</f>
        <v>% Gross Exposure (Underlying) (Base)</v>
      </c>
      <c r="EP5" s="30" t="str">
        <f>IFERROR(__xludf.DUMMYFUNCTION("""COMPUTED_VALUE"""),"% Beta Adj. Gross Exposure (Base)")</f>
        <v>% Beta Adj. Gross Exposure (Base)</v>
      </c>
      <c r="EQ5" s="30" t="str">
        <f>IFERROR(__xludf.DUMMYFUNCTION("""COMPUTED_VALUE"""),"Position Side Exposure (Underlying)")</f>
        <v>Position Side Exposure (Underlying)</v>
      </c>
      <c r="ER5" s="30" t="str">
        <f>IFERROR(__xludf.DUMMYFUNCTION("""COMPUTED_VALUE"""),"Gross Exposure (Underlying) (Base)")</f>
        <v>Gross Exposure (Underlying) (Base)</v>
      </c>
      <c r="ES5" s="30" t="str">
        <f>IFERROR(__xludf.DUMMYFUNCTION("""COMPUTED_VALUE"""),"Gross Exposure (Underlying)")</f>
        <v>Gross Exposure (Underlying)</v>
      </c>
      <c r="ET5" s="30" t="str">
        <f>IFERROR(__xludf.DUMMYFUNCTION("""COMPUTED_VALUE"""),"Day Return")</f>
        <v>Day Return</v>
      </c>
      <c r="EU5" s="30" t="str">
        <f>IFERROR(__xludf.DUMMYFUNCTION("""COMPUTED_VALUE"""),"Start of Day NAV")</f>
        <v>Start of Day NAV</v>
      </c>
      <c r="EV5" s="30" t="str">
        <f>IFERROR(__xludf.DUMMYFUNCTION("""COMPUTED_VALUE"""),"% Gross Market Value (Base)")</f>
        <v>% Gross Market Value (Base)</v>
      </c>
      <c r="EW5" s="30" t="str">
        <f>IFERROR(__xludf.DUMMYFUNCTION("""COMPUTED_VALUE"""),"Beta Adj. Gross Exposure (Underlying) (Local)")</f>
        <v>Beta Adj. Gross Exposure (Underlying) (Local)</v>
      </c>
      <c r="EX5" s="30" t="str">
        <f>IFERROR(__xludf.DUMMYFUNCTION("""COMPUTED_VALUE"""),"NAV")</f>
        <v>NAV</v>
      </c>
      <c r="EY5" s="30" t="str">
        <f>IFERROR(__xludf.DUMMYFUNCTION("""COMPUTED_VALUE"""),"% P&amp;L Contribution")</f>
        <v>% P&amp;L Contribution</v>
      </c>
      <c r="EZ5" s="30" t="str">
        <f>IFERROR(__xludf.DUMMYFUNCTION("""COMPUTED_VALUE"""),"% Net Market Value (Base)")</f>
        <v>% Net Market Value (Base)</v>
      </c>
      <c r="FA5" s="30" t="str">
        <f>IFERROR(__xludf.DUMMYFUNCTION("""COMPUTED_VALUE"""),"Position Side Exposure")</f>
        <v>Position Side Exposure</v>
      </c>
      <c r="FB5" s="30" t="str">
        <f>IFERROR(__xludf.DUMMYFUNCTION("""COMPUTED_VALUE"""),"NAV (Touch)")</f>
        <v>NAV (Touch)</v>
      </c>
      <c r="FC5" s="30" t="str">
        <f>IFERROR(__xludf.DUMMYFUNCTION("""COMPUTED_VALUE"""),"IgnorePropertyChangeEvents")</f>
        <v>IgnorePropertyChangeEvents</v>
      </c>
      <c r="FD5" s="30"/>
      <c r="FE5" s="30"/>
      <c r="FF5" s="30"/>
      <c r="FG5" s="30"/>
      <c r="FH5" s="30"/>
      <c r="FI5" s="30"/>
      <c r="FJ5" s="30"/>
      <c r="FK5" s="30"/>
      <c r="FL5" s="30"/>
      <c r="FM5" s="30"/>
    </row>
    <row r="6" ht="15.75" customHeight="1">
      <c r="A6" s="13"/>
      <c r="B6" s="13"/>
      <c r="C6" s="13" t="s">
        <v>18</v>
      </c>
      <c r="D6" s="13">
        <v>0.0</v>
      </c>
      <c r="E6" s="13" t="s">
        <v>47</v>
      </c>
      <c r="F6" s="13" t="s">
        <v>47</v>
      </c>
      <c r="G6" s="8"/>
      <c r="H6" s="13" t="s">
        <v>44</v>
      </c>
      <c r="I6" s="8"/>
      <c r="J6" s="8"/>
      <c r="K6" s="8"/>
      <c r="L6" s="8"/>
      <c r="M6" s="8"/>
      <c r="N6" s="8"/>
      <c r="O6" s="8"/>
      <c r="T6" s="9" t="s">
        <v>29</v>
      </c>
      <c r="U6" s="9" t="s">
        <v>41</v>
      </c>
      <c r="V6" s="9" t="s">
        <v>36</v>
      </c>
      <c r="W6" s="9" t="s">
        <v>35</v>
      </c>
      <c r="Y6" s="9">
        <v>1.0</v>
      </c>
      <c r="AN6" s="9" t="s">
        <v>47</v>
      </c>
      <c r="AP6" s="9" t="s">
        <v>48</v>
      </c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CheckSummaryRowsPM!$4:$4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13">
        <v>100.0</v>
      </c>
      <c r="N6" s="13" t="s">
        <v>34</v>
      </c>
      <c r="O6" s="8"/>
      <c r="P6" s="9" t="s">
        <v>19</v>
      </c>
      <c r="R6" s="9" t="s">
        <v>18</v>
      </c>
    </row>
    <row r="7" ht="15.75" customHeight="1">
      <c r="A7" s="13"/>
      <c r="B7" s="13" t="s">
        <v>21</v>
      </c>
      <c r="C7" s="13" t="s">
        <v>29</v>
      </c>
      <c r="D7" s="13"/>
      <c r="E7" s="31"/>
      <c r="F7" s="8"/>
      <c r="G7" s="8"/>
      <c r="H7" s="8"/>
      <c r="I7" s="8"/>
      <c r="J7" s="8"/>
      <c r="K7" s="8"/>
      <c r="L7" s="8"/>
      <c r="M7" s="13">
        <v>100.0</v>
      </c>
      <c r="N7" s="13" t="s">
        <v>34</v>
      </c>
      <c r="O7" s="8"/>
      <c r="P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