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5" activeTab="17"/>
  </bookViews>
  <sheets>
    <sheet name="_Modules" sheetId="1" r:id="rId1"/>
    <sheet name="_Settings" sheetId="2" r:id="rId2"/>
    <sheet name="_MasterData" sheetId="3" r:id="rId3"/>
    <sheet name="ShowMasterFundOnTT" sheetId="4" r:id="rId4"/>
    <sheet name="UpdateMasterFundOnTT" sheetId="5" r:id="rId5"/>
    <sheet name="CreateStageOrder" sheetId="6" r:id="rId6"/>
    <sheet name="TradeNewSubOrder" sheetId="7" r:id="rId7"/>
    <sheet name="CreateNewSubOrder" sheetId="8" r:id="rId8"/>
    <sheet name="AddFillsSubOrder" sheetId="9" r:id="rId9"/>
    <sheet name="EditAddFillsDetails" sheetId="10" r:id="rId10"/>
    <sheet name="VerifyOrder" sheetId="11" r:id="rId11"/>
    <sheet name="VerifySubOrder" sheetId="12" r:id="rId12"/>
    <sheet name="GetDataAllocation" sheetId="13" r:id="rId13"/>
    <sheet name="CheckAllocatedGroups" sheetId="14" r:id="rId14"/>
    <sheet name="Unallocate" sheetId="15" r:id="rId15"/>
    <sheet name="SelectUnallocatedGroup" sheetId="16" r:id="rId16"/>
    <sheet name="EnterAccountValuesToAllocate" sheetId="17" r:id="rId17"/>
    <sheet name="CheckPortfolioManagement" sheetId="18" r:id="rId18"/>
    <sheet name="SelectTradeOnOrderGrid" sheetId="19" r:id="rId19"/>
    <sheet name="VerifySubOrder1" sheetId="20" r:id="rId20"/>
    <sheet name="ReplaceSubOrder" sheetId="21" r:id="rId21"/>
    <sheet name="CreateReplaceOrder" sheetId="22" r:id="rId22"/>
    <sheet name="VerifyWorkingSubs" sheetId="23" r:id="rId23"/>
    <sheet name="GetDataAllocation1" sheetId="24" r:id="rId24"/>
    <sheet name="CheckAllocatedGroups1" sheetId="25" r:id="rId25"/>
    <sheet name="Unallocate1" sheetId="26" r:id="rId26"/>
    <sheet name="CheckUnallocatedGroups" sheetId="27" r:id="rId27"/>
    <sheet name="VerifyWorkingSubs1" sheetId="28" r:id="rId28"/>
    <sheet name="CheckPortfolioManagement1" sheetId="29" r:id="rId29"/>
  </sheets>
  <calcPr calcId="145621"/>
</workbook>
</file>

<file path=xl/calcChain.xml><?xml version="1.0" encoding="utf-8"?>
<calcChain xmlns="http://schemas.openxmlformats.org/spreadsheetml/2006/main">
  <c r="BK5" i="18" l="1"/>
  <c r="FK5" i="29"/>
  <c r="FC5" i="29"/>
  <c r="EU5" i="29"/>
  <c r="EM5" i="29"/>
  <c r="EE5" i="29"/>
  <c r="DW5" i="29"/>
  <c r="DO5" i="29"/>
  <c r="DG5" i="29"/>
  <c r="CY5" i="29"/>
  <c r="CQ5" i="29"/>
  <c r="CI5" i="29"/>
  <c r="CA5" i="29"/>
  <c r="BS5" i="29"/>
  <c r="BK5" i="29"/>
  <c r="BC5" i="29"/>
  <c r="AU5" i="29"/>
  <c r="AM5" i="29"/>
  <c r="AE5" i="29"/>
  <c r="W5" i="29"/>
  <c r="O5" i="29"/>
  <c r="G5" i="29"/>
  <c r="FJ4" i="29"/>
  <c r="FB4" i="29"/>
  <c r="ET4" i="29"/>
  <c r="EL4" i="29"/>
  <c r="ED4" i="29"/>
  <c r="DV4" i="29"/>
  <c r="DN4" i="29"/>
  <c r="DF4" i="29"/>
  <c r="CX4" i="29"/>
  <c r="CP4" i="29"/>
  <c r="CH4" i="29"/>
  <c r="BZ4" i="29"/>
  <c r="BR4" i="29"/>
  <c r="BJ4" i="29"/>
  <c r="BB4" i="29"/>
  <c r="AT4" i="29"/>
  <c r="AL4" i="29"/>
  <c r="AD4" i="29"/>
  <c r="V4" i="29"/>
  <c r="N4" i="29"/>
  <c r="F4" i="29"/>
  <c r="EV5" i="28"/>
  <c r="EN5" i="28"/>
  <c r="EF5" i="28"/>
  <c r="DX5" i="28"/>
  <c r="DP5" i="28"/>
  <c r="DH5" i="28"/>
  <c r="CZ5" i="28"/>
  <c r="CR5" i="28"/>
  <c r="CJ5" i="28"/>
  <c r="CB5" i="28"/>
  <c r="BT5" i="28"/>
  <c r="BL5" i="28"/>
  <c r="BD5" i="28"/>
  <c r="AV5" i="28"/>
  <c r="AN5" i="28"/>
  <c r="AF5" i="28"/>
  <c r="X5" i="28"/>
  <c r="P5" i="28"/>
  <c r="H5" i="28"/>
  <c r="EX4" i="28"/>
  <c r="EP4" i="28"/>
  <c r="EH4" i="28"/>
  <c r="DZ4" i="28"/>
  <c r="DR4" i="28"/>
  <c r="DJ4" i="28"/>
  <c r="DB4" i="28"/>
  <c r="CT4" i="28"/>
  <c r="CL4" i="28"/>
  <c r="CD4" i="28"/>
  <c r="BV4" i="28"/>
  <c r="BN4" i="28"/>
  <c r="BF4" i="28"/>
  <c r="AX4" i="28"/>
  <c r="AP4" i="28"/>
  <c r="AH4" i="28"/>
  <c r="Z4" i="28"/>
  <c r="R4" i="28"/>
  <c r="J4" i="28"/>
  <c r="B4" i="28"/>
  <c r="ER5" i="27"/>
  <c r="EJ5" i="27"/>
  <c r="EB5" i="27"/>
  <c r="DT5" i="27"/>
  <c r="DL5" i="27"/>
  <c r="DD5" i="27"/>
  <c r="CV5" i="27"/>
  <c r="CN5" i="27"/>
  <c r="CF5" i="27"/>
  <c r="BX5" i="27"/>
  <c r="BP5" i="27"/>
  <c r="BH5" i="27"/>
  <c r="AZ5" i="27"/>
  <c r="AR5" i="27"/>
  <c r="AJ5" i="27"/>
  <c r="AB5" i="27"/>
  <c r="T5" i="27"/>
  <c r="L5" i="27"/>
  <c r="D5" i="27"/>
  <c r="ET4" i="27"/>
  <c r="EL4" i="27"/>
  <c r="ED4" i="27"/>
  <c r="DV4" i="27"/>
  <c r="DN4" i="27"/>
  <c r="DF4" i="27"/>
  <c r="CX4" i="27"/>
  <c r="CP4" i="27"/>
  <c r="CH4" i="27"/>
  <c r="BZ4" i="27"/>
  <c r="BR4" i="27"/>
  <c r="BJ4" i="27"/>
  <c r="BB4" i="27"/>
  <c r="AT4" i="27"/>
  <c r="AL4" i="27"/>
  <c r="AD4" i="27"/>
  <c r="V4" i="27"/>
  <c r="N4" i="27"/>
  <c r="F4" i="27"/>
  <c r="EV5" i="26"/>
  <c r="EN5" i="26"/>
  <c r="EF5" i="26"/>
  <c r="DX5" i="26"/>
  <c r="DP5" i="26"/>
  <c r="DH5" i="26"/>
  <c r="CZ5" i="26"/>
  <c r="CR5" i="26"/>
  <c r="FJ5" i="29"/>
  <c r="FB5" i="29"/>
  <c r="ET5" i="29"/>
  <c r="EL5" i="29"/>
  <c r="ED5" i="29"/>
  <c r="DV5" i="29"/>
  <c r="DN5" i="29"/>
  <c r="DF5" i="29"/>
  <c r="CX5" i="29"/>
  <c r="CP5" i="29"/>
  <c r="CH5" i="29"/>
  <c r="BZ5" i="29"/>
  <c r="BR5" i="29"/>
  <c r="BJ5" i="29"/>
  <c r="BB5" i="29"/>
  <c r="AT5" i="29"/>
  <c r="AL5" i="29"/>
  <c r="AD5" i="29"/>
  <c r="V5" i="29"/>
  <c r="N5" i="29"/>
  <c r="F5" i="29"/>
  <c r="FI4" i="29"/>
  <c r="FA4" i="29"/>
  <c r="ES4" i="29"/>
  <c r="EK4" i="29"/>
  <c r="EC4" i="29"/>
  <c r="DU4" i="29"/>
  <c r="DM4" i="29"/>
  <c r="DE4" i="29"/>
  <c r="CW4" i="29"/>
  <c r="CO4" i="29"/>
  <c r="CG4" i="29"/>
  <c r="BY4" i="29"/>
  <c r="BQ4" i="29"/>
  <c r="BI4" i="29"/>
  <c r="BA4" i="29"/>
  <c r="AS4" i="29"/>
  <c r="AK4" i="29"/>
  <c r="AC4" i="29"/>
  <c r="U4" i="29"/>
  <c r="M4" i="29"/>
  <c r="E4" i="29"/>
  <c r="EU5" i="28"/>
  <c r="EM5" i="28"/>
  <c r="EE5" i="28"/>
  <c r="DW5" i="28"/>
  <c r="DO5" i="28"/>
  <c r="DG5" i="28"/>
  <c r="CY5" i="28"/>
  <c r="CQ5" i="28"/>
  <c r="CI5" i="28"/>
  <c r="CA5" i="28"/>
  <c r="BS5" i="28"/>
  <c r="BK5" i="28"/>
  <c r="BC5" i="28"/>
  <c r="AU5" i="28"/>
  <c r="AM5" i="28"/>
  <c r="AE5" i="28"/>
  <c r="W5" i="28"/>
  <c r="O5" i="28"/>
  <c r="G5" i="28"/>
  <c r="EW4" i="28"/>
  <c r="EO4" i="28"/>
  <c r="EG4" i="28"/>
  <c r="DY4" i="28"/>
  <c r="DQ4" i="28"/>
  <c r="DI4" i="28"/>
  <c r="DA4" i="28"/>
  <c r="CS4" i="28"/>
  <c r="CK4" i="28"/>
  <c r="CC4" i="28"/>
  <c r="BU4" i="28"/>
  <c r="BM4" i="28"/>
  <c r="BE4" i="28"/>
  <c r="AW4" i="28"/>
  <c r="AO4" i="28"/>
  <c r="AG4" i="28"/>
  <c r="Y4" i="28"/>
  <c r="Q4" i="28"/>
  <c r="I4" i="28"/>
  <c r="EQ5" i="27"/>
  <c r="EI5" i="27"/>
  <c r="EA5" i="27"/>
  <c r="DS5" i="27"/>
  <c r="DK5" i="27"/>
  <c r="DC5" i="27"/>
  <c r="CU5" i="27"/>
  <c r="CM5" i="27"/>
  <c r="CE5" i="27"/>
  <c r="BW5" i="27"/>
  <c r="BO5" i="27"/>
  <c r="BG5" i="27"/>
  <c r="AY5" i="27"/>
  <c r="AQ5" i="27"/>
  <c r="AI5" i="27"/>
  <c r="AA5" i="27"/>
  <c r="S5" i="27"/>
  <c r="K5" i="27"/>
  <c r="C5" i="27"/>
  <c r="ES4" i="27"/>
  <c r="EK4" i="27"/>
  <c r="EC4" i="27"/>
  <c r="DU4" i="27"/>
  <c r="DM4" i="27"/>
  <c r="DE4" i="27"/>
  <c r="CW4" i="27"/>
  <c r="CO4" i="27"/>
  <c r="CG4" i="27"/>
  <c r="BY4" i="27"/>
  <c r="BQ4" i="27"/>
  <c r="BI4" i="27"/>
  <c r="BA4" i="27"/>
  <c r="AS4" i="27"/>
  <c r="AK4" i="27"/>
  <c r="AC4" i="27"/>
  <c r="U4" i="27"/>
  <c r="M4" i="27"/>
  <c r="E4" i="27"/>
  <c r="FI5" i="29"/>
  <c r="FA5" i="29"/>
  <c r="ES5" i="29"/>
  <c r="EK5" i="29"/>
  <c r="EC5" i="29"/>
  <c r="DU5" i="29"/>
  <c r="DM5" i="29"/>
  <c r="DE5" i="29"/>
  <c r="CW5" i="29"/>
  <c r="CO5" i="29"/>
  <c r="CG5" i="29"/>
  <c r="BY5" i="29"/>
  <c r="BQ5" i="29"/>
  <c r="BI5" i="29"/>
  <c r="BA5" i="29"/>
  <c r="AS5" i="29"/>
  <c r="AK5" i="29"/>
  <c r="AC5" i="29"/>
  <c r="U5" i="29"/>
  <c r="M5" i="29"/>
  <c r="E5" i="29"/>
  <c r="FH4" i="29"/>
  <c r="EZ4" i="29"/>
  <c r="ER4" i="29"/>
  <c r="EJ4" i="29"/>
  <c r="EB4" i="29"/>
  <c r="DT4" i="29"/>
  <c r="DL4" i="29"/>
  <c r="DD4" i="29"/>
  <c r="CV4" i="29"/>
  <c r="CN4" i="29"/>
  <c r="CF4" i="29"/>
  <c r="BX4" i="29"/>
  <c r="BP4" i="29"/>
  <c r="BH4" i="29"/>
  <c r="AZ4" i="29"/>
  <c r="AR4" i="29"/>
  <c r="AJ4" i="29"/>
  <c r="AB4" i="29"/>
  <c r="T4" i="29"/>
  <c r="L4" i="29"/>
  <c r="D4" i="29"/>
  <c r="ET5" i="28"/>
  <c r="EL5" i="28"/>
  <c r="ED5" i="28"/>
  <c r="DV5" i="28"/>
  <c r="DN5" i="28"/>
  <c r="DF5" i="28"/>
  <c r="CX5" i="28"/>
  <c r="CP5" i="28"/>
  <c r="CH5" i="28"/>
  <c r="BZ5" i="28"/>
  <c r="BR5" i="28"/>
  <c r="BJ5" i="28"/>
  <c r="BB5" i="28"/>
  <c r="AT5" i="28"/>
  <c r="AL5" i="28"/>
  <c r="AD5" i="28"/>
  <c r="V5" i="28"/>
  <c r="N5" i="28"/>
  <c r="F5" i="28"/>
  <c r="EV4" i="28"/>
  <c r="EN4" i="28"/>
  <c r="EF4" i="28"/>
  <c r="DX4" i="28"/>
  <c r="DP4" i="28"/>
  <c r="DH4" i="28"/>
  <c r="CZ4" i="28"/>
  <c r="CR4" i="28"/>
  <c r="CJ4" i="28"/>
  <c r="CB4" i="28"/>
  <c r="BT4" i="28"/>
  <c r="BL4" i="28"/>
  <c r="BD4" i="28"/>
  <c r="AV4" i="28"/>
  <c r="AN4" i="28"/>
  <c r="AF4" i="28"/>
  <c r="X4" i="28"/>
  <c r="P4" i="28"/>
  <c r="H4" i="28"/>
  <c r="EX5" i="27"/>
  <c r="EP5" i="27"/>
  <c r="EH5" i="27"/>
  <c r="DZ5" i="27"/>
  <c r="DR5" i="27"/>
  <c r="DJ5" i="27"/>
  <c r="DB5" i="27"/>
  <c r="FH5" i="29"/>
  <c r="EZ5" i="29"/>
  <c r="ER5" i="29"/>
  <c r="EJ5" i="29"/>
  <c r="EB5" i="29"/>
  <c r="DT5" i="29"/>
  <c r="DL5" i="29"/>
  <c r="DD5" i="29"/>
  <c r="CV5" i="29"/>
  <c r="CN5" i="29"/>
  <c r="CF5" i="29"/>
  <c r="BX5" i="29"/>
  <c r="BP5" i="29"/>
  <c r="BH5" i="29"/>
  <c r="AZ5" i="29"/>
  <c r="AR5" i="29"/>
  <c r="AJ5" i="29"/>
  <c r="AB5" i="29"/>
  <c r="T5" i="29"/>
  <c r="L5" i="29"/>
  <c r="D5" i="29"/>
  <c r="FG4" i="29"/>
  <c r="EY4" i="29"/>
  <c r="EQ4" i="29"/>
  <c r="EI4" i="29"/>
  <c r="EA4" i="29"/>
  <c r="DS4" i="29"/>
  <c r="DK4" i="29"/>
  <c r="DC4" i="29"/>
  <c r="CU4" i="29"/>
  <c r="CM4" i="29"/>
  <c r="CE4" i="29"/>
  <c r="BW4" i="29"/>
  <c r="BO4" i="29"/>
  <c r="BG4" i="29"/>
  <c r="AY4" i="29"/>
  <c r="AQ4" i="29"/>
  <c r="AI4" i="29"/>
  <c r="AA4" i="29"/>
  <c r="S4" i="29"/>
  <c r="K4" i="29"/>
  <c r="C4" i="29"/>
  <c r="ES5" i="28"/>
  <c r="EK5" i="28"/>
  <c r="EC5" i="28"/>
  <c r="DU5" i="28"/>
  <c r="DM5" i="28"/>
  <c r="DE5" i="28"/>
  <c r="CW5" i="28"/>
  <c r="CO5" i="28"/>
  <c r="CG5" i="28"/>
  <c r="BY5" i="28"/>
  <c r="BQ5" i="28"/>
  <c r="BI5" i="28"/>
  <c r="BA5" i="28"/>
  <c r="AS5" i="28"/>
  <c r="AK5" i="28"/>
  <c r="AC5" i="28"/>
  <c r="U5" i="28"/>
  <c r="M5" i="28"/>
  <c r="E5" i="28"/>
  <c r="EU4" i="28"/>
  <c r="EM4" i="28"/>
  <c r="EE4" i="28"/>
  <c r="DW4" i="28"/>
  <c r="DO4" i="28"/>
  <c r="DG4" i="28"/>
  <c r="CY4" i="28"/>
  <c r="CQ4" i="28"/>
  <c r="CI4" i="28"/>
  <c r="CA4" i="28"/>
  <c r="BS4" i="28"/>
  <c r="BK4" i="28"/>
  <c r="BC4" i="28"/>
  <c r="AU4" i="28"/>
  <c r="AM4" i="28"/>
  <c r="AE4" i="28"/>
  <c r="W4" i="28"/>
  <c r="O4" i="28"/>
  <c r="G4" i="28"/>
  <c r="EW5" i="27"/>
  <c r="EO5" i="27"/>
  <c r="EG5" i="27"/>
  <c r="DY5" i="27"/>
  <c r="DQ5" i="27"/>
  <c r="DI5" i="27"/>
  <c r="DA5" i="27"/>
  <c r="CS5" i="27"/>
  <c r="CK5" i="27"/>
  <c r="CC5" i="27"/>
  <c r="BU5" i="27"/>
  <c r="BM5" i="27"/>
  <c r="BE5" i="27"/>
  <c r="AW5" i="27"/>
  <c r="AO5" i="27"/>
  <c r="AG5" i="27"/>
  <c r="Y5" i="27"/>
  <c r="Q5" i="27"/>
  <c r="I5" i="27"/>
  <c r="A5" i="27"/>
  <c r="EQ4" i="27"/>
  <c r="EI4" i="27"/>
  <c r="EA4" i="27"/>
  <c r="DS4" i="27"/>
  <c r="DK4" i="27"/>
  <c r="DC4" i="27"/>
  <c r="CU4" i="27"/>
  <c r="CM4" i="27"/>
  <c r="CE4" i="27"/>
  <c r="BW4" i="27"/>
  <c r="BO4" i="27"/>
  <c r="BG4" i="27"/>
  <c r="AY4" i="27"/>
  <c r="AQ4" i="27"/>
  <c r="AI4" i="27"/>
  <c r="AA4" i="27"/>
  <c r="S4" i="27"/>
  <c r="K4" i="27"/>
  <c r="C4" i="27"/>
  <c r="ES5" i="26"/>
  <c r="EK5" i="26"/>
  <c r="EC5" i="26"/>
  <c r="DU5" i="26"/>
  <c r="DM5" i="26"/>
  <c r="DE5" i="26"/>
  <c r="CW5" i="26"/>
  <c r="CO5" i="26"/>
  <c r="FG5" i="29"/>
  <c r="EY5" i="29"/>
  <c r="EQ5" i="29"/>
  <c r="EI5" i="29"/>
  <c r="EA5" i="29"/>
  <c r="DS5" i="29"/>
  <c r="DK5" i="29"/>
  <c r="DC5" i="29"/>
  <c r="CU5" i="29"/>
  <c r="CM5" i="29"/>
  <c r="CE5" i="29"/>
  <c r="BW5" i="29"/>
  <c r="BO5" i="29"/>
  <c r="BG5" i="29"/>
  <c r="AY5" i="29"/>
  <c r="AQ5" i="29"/>
  <c r="AI5" i="29"/>
  <c r="AA5" i="29"/>
  <c r="S5" i="29"/>
  <c r="K5" i="29"/>
  <c r="C5" i="29"/>
  <c r="FF4" i="29"/>
  <c r="EX4" i="29"/>
  <c r="EP4" i="29"/>
  <c r="EH4" i="29"/>
  <c r="DZ4" i="29"/>
  <c r="DR4" i="29"/>
  <c r="DJ4" i="29"/>
  <c r="DB4" i="29"/>
  <c r="CT4" i="29"/>
  <c r="CL4" i="29"/>
  <c r="CD4" i="29"/>
  <c r="BV4" i="29"/>
  <c r="BN4" i="29"/>
  <c r="BF4" i="29"/>
  <c r="AX4" i="29"/>
  <c r="AP4" i="29"/>
  <c r="AH4" i="29"/>
  <c r="Z4" i="29"/>
  <c r="R4" i="29"/>
  <c r="J4" i="29"/>
  <c r="B4" i="29"/>
  <c r="ER5" i="28"/>
  <c r="EJ5" i="28"/>
  <c r="EB5" i="28"/>
  <c r="DT5" i="28"/>
  <c r="DL5" i="28"/>
  <c r="DD5" i="28"/>
  <c r="CV5" i="28"/>
  <c r="CN5" i="28"/>
  <c r="CF5" i="28"/>
  <c r="BX5" i="28"/>
  <c r="BP5" i="28"/>
  <c r="BH5" i="28"/>
  <c r="AZ5" i="28"/>
  <c r="AR5" i="28"/>
  <c r="AJ5" i="28"/>
  <c r="AB5" i="28"/>
  <c r="T5" i="28"/>
  <c r="L5" i="28"/>
  <c r="D5" i="28"/>
  <c r="ET4" i="28"/>
  <c r="EL4" i="28"/>
  <c r="ED4" i="28"/>
  <c r="DV4" i="28"/>
  <c r="DN4" i="28"/>
  <c r="DF4" i="28"/>
  <c r="CX4" i="28"/>
  <c r="CP4" i="28"/>
  <c r="CH4" i="28"/>
  <c r="BZ4" i="28"/>
  <c r="BR4" i="28"/>
  <c r="BJ4" i="28"/>
  <c r="BB4" i="28"/>
  <c r="AT4" i="28"/>
  <c r="AL4" i="28"/>
  <c r="AD4" i="28"/>
  <c r="V4" i="28"/>
  <c r="N4" i="28"/>
  <c r="F4" i="28"/>
  <c r="EV5" i="27"/>
  <c r="EN5" i="27"/>
  <c r="EF5" i="27"/>
  <c r="DX5" i="27"/>
  <c r="DP5" i="27"/>
  <c r="DH5" i="27"/>
  <c r="CZ5" i="27"/>
  <c r="CR5" i="27"/>
  <c r="CJ5" i="27"/>
  <c r="CB5" i="27"/>
  <c r="BT5" i="27"/>
  <c r="BL5" i="27"/>
  <c r="BD5" i="27"/>
  <c r="AV5" i="27"/>
  <c r="AN5" i="27"/>
  <c r="AF5" i="27"/>
  <c r="X5" i="27"/>
  <c r="P5" i="27"/>
  <c r="H5" i="27"/>
  <c r="EX4" i="27"/>
  <c r="EP4" i="27"/>
  <c r="EH4" i="27"/>
  <c r="DZ4" i="27"/>
  <c r="DR4" i="27"/>
  <c r="DJ4" i="27"/>
  <c r="DB4" i="27"/>
  <c r="CT4" i="27"/>
  <c r="CL4" i="27"/>
  <c r="CD4" i="27"/>
  <c r="BV4" i="27"/>
  <c r="BN4" i="27"/>
  <c r="BF4" i="27"/>
  <c r="AX4" i="27"/>
  <c r="AP4" i="27"/>
  <c r="AH4" i="27"/>
  <c r="Z4" i="27"/>
  <c r="R4" i="27"/>
  <c r="J4" i="27"/>
  <c r="B4" i="27"/>
  <c r="ER5" i="26"/>
  <c r="EJ5" i="26"/>
  <c r="EB5" i="26"/>
  <c r="DT5" i="26"/>
  <c r="DL5" i="26"/>
  <c r="DD5" i="26"/>
  <c r="CV5" i="26"/>
  <c r="FF5" i="29"/>
  <c r="EX5" i="29"/>
  <c r="EP5" i="29"/>
  <c r="EH5" i="29"/>
  <c r="DZ5" i="29"/>
  <c r="DR5" i="29"/>
  <c r="DJ5" i="29"/>
  <c r="DB5" i="29"/>
  <c r="CT5" i="29"/>
  <c r="CL5" i="29"/>
  <c r="CD5" i="29"/>
  <c r="BV5" i="29"/>
  <c r="BN5" i="29"/>
  <c r="BF5" i="29"/>
  <c r="AX5" i="29"/>
  <c r="AP5" i="29"/>
  <c r="AH5" i="29"/>
  <c r="Z5" i="29"/>
  <c r="R5" i="29"/>
  <c r="J5" i="29"/>
  <c r="B5" i="29"/>
  <c r="FE4" i="29"/>
  <c r="EW4" i="29"/>
  <c r="EO4" i="29"/>
  <c r="EG4" i="29"/>
  <c r="DY4" i="29"/>
  <c r="DQ4" i="29"/>
  <c r="DI4" i="29"/>
  <c r="DA4" i="29"/>
  <c r="CS4" i="29"/>
  <c r="CK4" i="29"/>
  <c r="CC4" i="29"/>
  <c r="BU4" i="29"/>
  <c r="BM4" i="29"/>
  <c r="BE4" i="29"/>
  <c r="AW4" i="29"/>
  <c r="AO4" i="29"/>
  <c r="AG4" i="29"/>
  <c r="Y4" i="29"/>
  <c r="Q4" i="29"/>
  <c r="I4" i="29"/>
  <c r="EQ5" i="28"/>
  <c r="EI5" i="28"/>
  <c r="EA5" i="28"/>
  <c r="DS5" i="28"/>
  <c r="DK5" i="28"/>
  <c r="DC5" i="28"/>
  <c r="CU5" i="28"/>
  <c r="CM5" i="28"/>
  <c r="CE5" i="28"/>
  <c r="BW5" i="28"/>
  <c r="BO5" i="28"/>
  <c r="BG5" i="28"/>
  <c r="AY5" i="28"/>
  <c r="AQ5" i="28"/>
  <c r="AI5" i="28"/>
  <c r="AA5" i="28"/>
  <c r="S5" i="28"/>
  <c r="K5" i="28"/>
  <c r="C5" i="28"/>
  <c r="ES4" i="28"/>
  <c r="EK4" i="28"/>
  <c r="EC4" i="28"/>
  <c r="DU4" i="28"/>
  <c r="DM4" i="28"/>
  <c r="DE4" i="28"/>
  <c r="CW4" i="28"/>
  <c r="CO4" i="28"/>
  <c r="CG4" i="28"/>
  <c r="BY4" i="28"/>
  <c r="BQ4" i="28"/>
  <c r="BI4" i="28"/>
  <c r="BA4" i="28"/>
  <c r="AS4" i="28"/>
  <c r="AK4" i="28"/>
  <c r="AC4" i="28"/>
  <c r="U4" i="28"/>
  <c r="M4" i="28"/>
  <c r="E4" i="28"/>
  <c r="EU5" i="27"/>
  <c r="EM5" i="27"/>
  <c r="EE5" i="27"/>
  <c r="DW5" i="27"/>
  <c r="DO5" i="27"/>
  <c r="DG5" i="27"/>
  <c r="FE5" i="29"/>
  <c r="EW5" i="29"/>
  <c r="EO5" i="29"/>
  <c r="EG5" i="29"/>
  <c r="DY5" i="29"/>
  <c r="DQ5" i="29"/>
  <c r="DI5" i="29"/>
  <c r="DA5" i="29"/>
  <c r="CS5" i="29"/>
  <c r="CK5" i="29"/>
  <c r="CC5" i="29"/>
  <c r="BU5" i="29"/>
  <c r="BM5" i="29"/>
  <c r="BE5" i="29"/>
  <c r="AW5" i="29"/>
  <c r="AO5" i="29"/>
  <c r="AG5" i="29"/>
  <c r="Y5" i="29"/>
  <c r="Q5" i="29"/>
  <c r="I5" i="29"/>
  <c r="A5" i="29"/>
  <c r="FD4" i="29"/>
  <c r="EV4" i="29"/>
  <c r="EN4" i="29"/>
  <c r="EF4" i="29"/>
  <c r="DX4" i="29"/>
  <c r="DP4" i="29"/>
  <c r="DH4" i="29"/>
  <c r="CZ4" i="29"/>
  <c r="CR4" i="29"/>
  <c r="CJ4" i="29"/>
  <c r="CB4" i="29"/>
  <c r="BT4" i="29"/>
  <c r="BL4" i="29"/>
  <c r="BD4" i="29"/>
  <c r="AV4" i="29"/>
  <c r="AN4" i="29"/>
  <c r="AF4" i="29"/>
  <c r="X4" i="29"/>
  <c r="P4" i="29"/>
  <c r="H4" i="29"/>
  <c r="EX5" i="28"/>
  <c r="EP5" i="28"/>
  <c r="EH5" i="28"/>
  <c r="DZ5" i="28"/>
  <c r="DR5" i="28"/>
  <c r="DJ5" i="28"/>
  <c r="DB5" i="28"/>
  <c r="CT5" i="28"/>
  <c r="CL5" i="28"/>
  <c r="CD5" i="28"/>
  <c r="BV5" i="28"/>
  <c r="BN5" i="28"/>
  <c r="BF5" i="28"/>
  <c r="AX5" i="28"/>
  <c r="AP5" i="28"/>
  <c r="AH5" i="28"/>
  <c r="Z5" i="28"/>
  <c r="R5" i="28"/>
  <c r="J5" i="28"/>
  <c r="B5" i="28"/>
  <c r="ER4" i="28"/>
  <c r="EJ4" i="28"/>
  <c r="EB4" i="28"/>
  <c r="DT4" i="28"/>
  <c r="DL4" i="28"/>
  <c r="DD4" i="28"/>
  <c r="CV4" i="28"/>
  <c r="CN4" i="28"/>
  <c r="CF4" i="28"/>
  <c r="BX4" i="28"/>
  <c r="BP4" i="28"/>
  <c r="BH4" i="28"/>
  <c r="AZ4" i="28"/>
  <c r="AR4" i="28"/>
  <c r="AJ4" i="28"/>
  <c r="AB4" i="28"/>
  <c r="T4" i="28"/>
  <c r="L4" i="28"/>
  <c r="D4" i="28"/>
  <c r="ET5" i="27"/>
  <c r="EL5" i="27"/>
  <c r="ED5" i="27"/>
  <c r="DV5" i="27"/>
  <c r="DN5" i="27"/>
  <c r="DF5" i="27"/>
  <c r="CX5" i="27"/>
  <c r="CP5" i="27"/>
  <c r="CH5" i="27"/>
  <c r="BZ5" i="27"/>
  <c r="BR5" i="27"/>
  <c r="BJ5" i="27"/>
  <c r="BB5" i="27"/>
  <c r="AT5" i="27"/>
  <c r="AL5" i="27"/>
  <c r="AD5" i="27"/>
  <c r="V5" i="27"/>
  <c r="N5" i="27"/>
  <c r="F5" i="27"/>
  <c r="FD5" i="29"/>
  <c r="EV5" i="29"/>
  <c r="EN5" i="29"/>
  <c r="EF5" i="29"/>
  <c r="DX5" i="29"/>
  <c r="DP5" i="29"/>
  <c r="DH5" i="29"/>
  <c r="CZ5" i="29"/>
  <c r="CR5" i="29"/>
  <c r="CJ5" i="29"/>
  <c r="CB5" i="29"/>
  <c r="BT5" i="29"/>
  <c r="BL5" i="29"/>
  <c r="BD5" i="29"/>
  <c r="AV5" i="29"/>
  <c r="AN5" i="29"/>
  <c r="AF5" i="29"/>
  <c r="X5" i="29"/>
  <c r="P5" i="29"/>
  <c r="H5" i="29"/>
  <c r="FK4" i="29"/>
  <c r="FC4" i="29"/>
  <c r="EU4" i="29"/>
  <c r="EM4" i="29"/>
  <c r="EE4" i="29"/>
  <c r="DW4" i="29"/>
  <c r="DO4" i="29"/>
  <c r="DG4" i="29"/>
  <c r="CY4" i="29"/>
  <c r="CQ4" i="29"/>
  <c r="CI4" i="29"/>
  <c r="CA4" i="29"/>
  <c r="BS4" i="29"/>
  <c r="BK4" i="29"/>
  <c r="BC4" i="29"/>
  <c r="AU4" i="29"/>
  <c r="AM4" i="29"/>
  <c r="AE4" i="29"/>
  <c r="W4" i="29"/>
  <c r="O4" i="29"/>
  <c r="G4" i="29"/>
  <c r="EW5" i="28"/>
  <c r="EO5" i="28"/>
  <c r="EG5" i="28"/>
  <c r="DY5" i="28"/>
  <c r="DQ5" i="28"/>
  <c r="DI5" i="28"/>
  <c r="DA5" i="28"/>
  <c r="CS5" i="28"/>
  <c r="CK5" i="28"/>
  <c r="CC5" i="28"/>
  <c r="BU5" i="28"/>
  <c r="BM5" i="28"/>
  <c r="BE5" i="28"/>
  <c r="AW5" i="28"/>
  <c r="AO5" i="28"/>
  <c r="AG5" i="28"/>
  <c r="Y5" i="28"/>
  <c r="Q5" i="28"/>
  <c r="I5" i="28"/>
  <c r="A5" i="28"/>
  <c r="EQ4" i="28"/>
  <c r="EI4" i="28"/>
  <c r="EA4" i="28"/>
  <c r="DS4" i="28"/>
  <c r="DK4" i="28"/>
  <c r="DC4" i="28"/>
  <c r="CU4" i="28"/>
  <c r="CM4" i="28"/>
  <c r="CE4" i="28"/>
  <c r="BW4" i="28"/>
  <c r="BO4" i="28"/>
  <c r="BG4" i="28"/>
  <c r="AY4" i="28"/>
  <c r="AQ4" i="28"/>
  <c r="AI4" i="28"/>
  <c r="AA4" i="28"/>
  <c r="S4" i="28"/>
  <c r="K4" i="28"/>
  <c r="C4" i="28"/>
  <c r="ES5" i="27"/>
  <c r="EK5" i="27"/>
  <c r="EC5" i="27"/>
  <c r="DU5" i="27"/>
  <c r="DM5" i="27"/>
  <c r="DE5" i="27"/>
  <c r="CW5" i="27"/>
  <c r="CO5" i="27"/>
  <c r="CG5" i="27"/>
  <c r="BY5" i="27"/>
  <c r="BQ5" i="27"/>
  <c r="BI5" i="27"/>
  <c r="BA5" i="27"/>
  <c r="AS5" i="27"/>
  <c r="AK5" i="27"/>
  <c r="AC5" i="27"/>
  <c r="U5" i="27"/>
  <c r="M5" i="27"/>
  <c r="E5" i="27"/>
  <c r="EU4" i="27"/>
  <c r="EM4" i="27"/>
  <c r="EE4" i="27"/>
  <c r="DW4" i="27"/>
  <c r="DO4" i="27"/>
  <c r="DG4" i="27"/>
  <c r="CY4" i="27"/>
  <c r="CQ4" i="27"/>
  <c r="CI4" i="27"/>
  <c r="CA4" i="27"/>
  <c r="BS4" i="27"/>
  <c r="BK4" i="27"/>
  <c r="BC4" i="27"/>
  <c r="AU4" i="27"/>
  <c r="AM4" i="27"/>
  <c r="AE4" i="27"/>
  <c r="W4" i="27"/>
  <c r="O4" i="27"/>
  <c r="G4" i="27"/>
  <c r="EW5" i="26"/>
  <c r="EO5" i="26"/>
  <c r="CY5" i="27"/>
  <c r="BS5" i="27"/>
  <c r="AM5" i="27"/>
  <c r="G5" i="27"/>
  <c r="EG4" i="27"/>
  <c r="DL4" i="27"/>
  <c r="CR4" i="27"/>
  <c r="BU4" i="27"/>
  <c r="AZ4" i="27"/>
  <c r="AF4" i="27"/>
  <c r="I4" i="27"/>
  <c r="EP5" i="26"/>
  <c r="EA5" i="26"/>
  <c r="DO5" i="26"/>
  <c r="DB5" i="26"/>
  <c r="CP5" i="26"/>
  <c r="CG5" i="26"/>
  <c r="BY5" i="26"/>
  <c r="BQ5" i="26"/>
  <c r="BI5" i="26"/>
  <c r="BA5" i="26"/>
  <c r="AS5" i="26"/>
  <c r="AK5" i="26"/>
  <c r="AC5" i="26"/>
  <c r="U5" i="26"/>
  <c r="M5" i="26"/>
  <c r="E5" i="26"/>
  <c r="EU4" i="26"/>
  <c r="EM4" i="26"/>
  <c r="EE4" i="26"/>
  <c r="DW4" i="26"/>
  <c r="DO4" i="26"/>
  <c r="DG4" i="26"/>
  <c r="CY4" i="26"/>
  <c r="CQ4" i="26"/>
  <c r="CI4" i="26"/>
  <c r="CA4" i="26"/>
  <c r="BS4" i="26"/>
  <c r="BK4" i="26"/>
  <c r="BC4" i="26"/>
  <c r="AU4" i="26"/>
  <c r="AM4" i="26"/>
  <c r="AE4" i="26"/>
  <c r="W4" i="26"/>
  <c r="O4" i="26"/>
  <c r="G4" i="26"/>
  <c r="EW5" i="25"/>
  <c r="EO5" i="25"/>
  <c r="EG5" i="25"/>
  <c r="DY5" i="25"/>
  <c r="DQ5" i="25"/>
  <c r="DI5" i="25"/>
  <c r="DA5" i="25"/>
  <c r="CS5" i="25"/>
  <c r="CK5" i="25"/>
  <c r="CC5" i="25"/>
  <c r="BU5" i="25"/>
  <c r="BM5" i="25"/>
  <c r="BE5" i="25"/>
  <c r="AW5" i="25"/>
  <c r="AO5" i="25"/>
  <c r="AG5" i="25"/>
  <c r="Y5" i="25"/>
  <c r="Q5" i="25"/>
  <c r="I5" i="25"/>
  <c r="A5" i="25"/>
  <c r="EQ4" i="25"/>
  <c r="EI4" i="25"/>
  <c r="EA4" i="25"/>
  <c r="DS4" i="25"/>
  <c r="DK4" i="25"/>
  <c r="DC4" i="25"/>
  <c r="CU4" i="25"/>
  <c r="CM4" i="25"/>
  <c r="CE4" i="25"/>
  <c r="BW4" i="25"/>
  <c r="BO4" i="25"/>
  <c r="BG4" i="25"/>
  <c r="AY4" i="25"/>
  <c r="AQ4" i="25"/>
  <c r="AI4" i="25"/>
  <c r="AA4" i="25"/>
  <c r="S4" i="25"/>
  <c r="K4" i="25"/>
  <c r="C4" i="25"/>
  <c r="ES5" i="24"/>
  <c r="EK5" i="24"/>
  <c r="EC5" i="24"/>
  <c r="DU5" i="24"/>
  <c r="DM5" i="24"/>
  <c r="DE5" i="24"/>
  <c r="CW5" i="24"/>
  <c r="CO5" i="24"/>
  <c r="CG5" i="24"/>
  <c r="BY5" i="24"/>
  <c r="BQ5" i="24"/>
  <c r="BI5" i="24"/>
  <c r="BA5" i="24"/>
  <c r="AS5" i="24"/>
  <c r="AK5" i="24"/>
  <c r="AC5" i="24"/>
  <c r="U5" i="24"/>
  <c r="M5" i="24"/>
  <c r="E5" i="24"/>
  <c r="EU4" i="24"/>
  <c r="EM4" i="24"/>
  <c r="EE4" i="24"/>
  <c r="DW4" i="24"/>
  <c r="DO4" i="24"/>
  <c r="DG4" i="24"/>
  <c r="CY4" i="24"/>
  <c r="CQ4" i="24"/>
  <c r="CI4" i="24"/>
  <c r="CA4" i="24"/>
  <c r="BS4" i="24"/>
  <c r="BK4" i="24"/>
  <c r="BC4" i="24"/>
  <c r="AU4" i="24"/>
  <c r="AM4" i="24"/>
  <c r="AE4" i="24"/>
  <c r="W4" i="24"/>
  <c r="O4" i="24"/>
  <c r="G4" i="24"/>
  <c r="EW5" i="23"/>
  <c r="EO5" i="23"/>
  <c r="EG5" i="23"/>
  <c r="DY5" i="23"/>
  <c r="CT5" i="27"/>
  <c r="BN5" i="27"/>
  <c r="AH5" i="27"/>
  <c r="B5" i="27"/>
  <c r="EF4" i="27"/>
  <c r="DI4" i="27"/>
  <c r="CN4" i="27"/>
  <c r="BT4" i="27"/>
  <c r="AW4" i="27"/>
  <c r="AB4" i="27"/>
  <c r="H4" i="27"/>
  <c r="EM5" i="26"/>
  <c r="DZ5" i="26"/>
  <c r="DN5" i="26"/>
  <c r="DA5" i="26"/>
  <c r="CN5" i="26"/>
  <c r="CF5" i="26"/>
  <c r="BX5" i="26"/>
  <c r="BP5" i="26"/>
  <c r="BH5" i="26"/>
  <c r="AZ5" i="26"/>
  <c r="AR5" i="26"/>
  <c r="AJ5" i="26"/>
  <c r="AB5" i="26"/>
  <c r="T5" i="26"/>
  <c r="L5" i="26"/>
  <c r="D5" i="26"/>
  <c r="ET4" i="26"/>
  <c r="EL4" i="26"/>
  <c r="ED4" i="26"/>
  <c r="DV4" i="26"/>
  <c r="DN4" i="26"/>
  <c r="DF4" i="26"/>
  <c r="CX4" i="26"/>
  <c r="CP4" i="26"/>
  <c r="CH4" i="26"/>
  <c r="BZ4" i="26"/>
  <c r="BR4" i="26"/>
  <c r="BJ4" i="26"/>
  <c r="BB4" i="26"/>
  <c r="AT4" i="26"/>
  <c r="AL4" i="26"/>
  <c r="AD4" i="26"/>
  <c r="V4" i="26"/>
  <c r="N4" i="26"/>
  <c r="F4" i="26"/>
  <c r="EV5" i="25"/>
  <c r="EN5" i="25"/>
  <c r="EF5" i="25"/>
  <c r="DX5" i="25"/>
  <c r="DP5" i="25"/>
  <c r="DH5" i="25"/>
  <c r="CZ5" i="25"/>
  <c r="CR5" i="25"/>
  <c r="CJ5" i="25"/>
  <c r="CB5" i="25"/>
  <c r="BT5" i="25"/>
  <c r="BL5" i="25"/>
  <c r="BD5" i="25"/>
  <c r="AV5" i="25"/>
  <c r="AN5" i="25"/>
  <c r="AF5" i="25"/>
  <c r="X5" i="25"/>
  <c r="P5" i="25"/>
  <c r="H5" i="25"/>
  <c r="EX4" i="25"/>
  <c r="EP4" i="25"/>
  <c r="EH4" i="25"/>
  <c r="DZ4" i="25"/>
  <c r="DR4" i="25"/>
  <c r="DJ4" i="25"/>
  <c r="DB4" i="25"/>
  <c r="CT4" i="25"/>
  <c r="CL4" i="25"/>
  <c r="CD4" i="25"/>
  <c r="BV4" i="25"/>
  <c r="BN4" i="25"/>
  <c r="BF4" i="25"/>
  <c r="AX4" i="25"/>
  <c r="AP4" i="25"/>
  <c r="AH4" i="25"/>
  <c r="Z4" i="25"/>
  <c r="R4" i="25"/>
  <c r="J4" i="25"/>
  <c r="B4" i="25"/>
  <c r="ER5" i="24"/>
  <c r="EJ5" i="24"/>
  <c r="EB5" i="24"/>
  <c r="DT5" i="24"/>
  <c r="DL5" i="24"/>
  <c r="DD5" i="24"/>
  <c r="CV5" i="24"/>
  <c r="CN5" i="24"/>
  <c r="CF5" i="24"/>
  <c r="BX5" i="24"/>
  <c r="BP5" i="24"/>
  <c r="BH5" i="24"/>
  <c r="AZ5" i="24"/>
  <c r="AR5" i="24"/>
  <c r="AJ5" i="24"/>
  <c r="AB5" i="24"/>
  <c r="T5" i="24"/>
  <c r="L5" i="24"/>
  <c r="D5" i="24"/>
  <c r="ET4" i="24"/>
  <c r="EL4" i="24"/>
  <c r="ED4" i="24"/>
  <c r="DV4" i="24"/>
  <c r="DN4" i="24"/>
  <c r="DF4" i="24"/>
  <c r="CX4" i="24"/>
  <c r="CP4" i="24"/>
  <c r="CH4" i="24"/>
  <c r="BZ4" i="24"/>
  <c r="BR4" i="24"/>
  <c r="BJ4" i="24"/>
  <c r="BB4" i="24"/>
  <c r="AT4" i="24"/>
  <c r="AL4" i="24"/>
  <c r="AD4" i="24"/>
  <c r="V4" i="24"/>
  <c r="N4" i="24"/>
  <c r="F4" i="24"/>
  <c r="EV5" i="23"/>
  <c r="EN5" i="23"/>
  <c r="EF5" i="23"/>
  <c r="DX5" i="23"/>
  <c r="CQ5" i="27"/>
  <c r="BK5" i="27"/>
  <c r="AE5" i="27"/>
  <c r="EW4" i="27"/>
  <c r="EB4" i="27"/>
  <c r="DH4" i="27"/>
  <c r="CK4" i="27"/>
  <c r="BP4" i="27"/>
  <c r="AV4" i="27"/>
  <c r="Y4" i="27"/>
  <c r="D4" i="27"/>
  <c r="EL5" i="26"/>
  <c r="DY5" i="26"/>
  <c r="DK5" i="26"/>
  <c r="CY5" i="26"/>
  <c r="CM5" i="26"/>
  <c r="CE5" i="26"/>
  <c r="BW5" i="26"/>
  <c r="BO5" i="26"/>
  <c r="BG5" i="26"/>
  <c r="AY5" i="26"/>
  <c r="AQ5" i="26"/>
  <c r="AI5" i="26"/>
  <c r="AA5" i="26"/>
  <c r="S5" i="26"/>
  <c r="K5" i="26"/>
  <c r="C5" i="26"/>
  <c r="ES4" i="26"/>
  <c r="EK4" i="26"/>
  <c r="EC4" i="26"/>
  <c r="DU4" i="26"/>
  <c r="DM4" i="26"/>
  <c r="DE4" i="26"/>
  <c r="CW4" i="26"/>
  <c r="CO4" i="26"/>
  <c r="CG4" i="26"/>
  <c r="BY4" i="26"/>
  <c r="BQ4" i="26"/>
  <c r="BI4" i="26"/>
  <c r="BA4" i="26"/>
  <c r="AS4" i="26"/>
  <c r="AK4" i="26"/>
  <c r="AC4" i="26"/>
  <c r="U4" i="26"/>
  <c r="M4" i="26"/>
  <c r="E4" i="26"/>
  <c r="EU5" i="25"/>
  <c r="EM5" i="25"/>
  <c r="EE5" i="25"/>
  <c r="DW5" i="25"/>
  <c r="DO5" i="25"/>
  <c r="DG5" i="25"/>
  <c r="CY5" i="25"/>
  <c r="CQ5" i="25"/>
  <c r="CI5" i="25"/>
  <c r="CA5" i="25"/>
  <c r="BS5" i="25"/>
  <c r="BK5" i="25"/>
  <c r="BC5" i="25"/>
  <c r="AU5" i="25"/>
  <c r="AM5" i="25"/>
  <c r="AE5" i="25"/>
  <c r="W5" i="25"/>
  <c r="O5" i="25"/>
  <c r="G5" i="25"/>
  <c r="EW4" i="25"/>
  <c r="EO4" i="25"/>
  <c r="EG4" i="25"/>
  <c r="DY4" i="25"/>
  <c r="DQ4" i="25"/>
  <c r="DI4" i="25"/>
  <c r="DA4" i="25"/>
  <c r="CS4" i="25"/>
  <c r="CK4" i="25"/>
  <c r="CC4" i="25"/>
  <c r="BU4" i="25"/>
  <c r="BM4" i="25"/>
  <c r="BE4" i="25"/>
  <c r="AW4" i="25"/>
  <c r="AO4" i="25"/>
  <c r="AG4" i="25"/>
  <c r="Y4" i="25"/>
  <c r="Q4" i="25"/>
  <c r="I4" i="25"/>
  <c r="EQ5" i="24"/>
  <c r="EI5" i="24"/>
  <c r="EA5" i="24"/>
  <c r="DS5" i="24"/>
  <c r="DK5" i="24"/>
  <c r="DC5" i="24"/>
  <c r="CU5" i="24"/>
  <c r="CM5" i="24"/>
  <c r="CE5" i="24"/>
  <c r="BW5" i="24"/>
  <c r="BO5" i="24"/>
  <c r="BG5" i="24"/>
  <c r="AY5" i="24"/>
  <c r="AQ5" i="24"/>
  <c r="AI5" i="24"/>
  <c r="AA5" i="24"/>
  <c r="S5" i="24"/>
  <c r="K5" i="24"/>
  <c r="C5" i="24"/>
  <c r="ES4" i="24"/>
  <c r="EK4" i="24"/>
  <c r="EC4" i="24"/>
  <c r="DU4" i="24"/>
  <c r="DM4" i="24"/>
  <c r="DE4" i="24"/>
  <c r="CW4" i="24"/>
  <c r="CL5" i="27"/>
  <c r="BF5" i="27"/>
  <c r="Z5" i="27"/>
  <c r="EV4" i="27"/>
  <c r="DY4" i="27"/>
  <c r="DD4" i="27"/>
  <c r="CJ4" i="27"/>
  <c r="BM4" i="27"/>
  <c r="AR4" i="27"/>
  <c r="X4" i="27"/>
  <c r="EI5" i="26"/>
  <c r="DW5" i="26"/>
  <c r="DJ5" i="26"/>
  <c r="CX5" i="26"/>
  <c r="CL5" i="26"/>
  <c r="CD5" i="26"/>
  <c r="BV5" i="26"/>
  <c r="BN5" i="26"/>
  <c r="BF5" i="26"/>
  <c r="AX5" i="26"/>
  <c r="AP5" i="26"/>
  <c r="AH5" i="26"/>
  <c r="Z5" i="26"/>
  <c r="R5" i="26"/>
  <c r="J5" i="26"/>
  <c r="B5" i="26"/>
  <c r="ER4" i="26"/>
  <c r="EJ4" i="26"/>
  <c r="EB4" i="26"/>
  <c r="DT4" i="26"/>
  <c r="DL4" i="26"/>
  <c r="DD4" i="26"/>
  <c r="CV4" i="26"/>
  <c r="CN4" i="26"/>
  <c r="CF4" i="26"/>
  <c r="BX4" i="26"/>
  <c r="BP4" i="26"/>
  <c r="BH4" i="26"/>
  <c r="AZ4" i="26"/>
  <c r="AR4" i="26"/>
  <c r="AJ4" i="26"/>
  <c r="AB4" i="26"/>
  <c r="T4" i="26"/>
  <c r="L4" i="26"/>
  <c r="D4" i="26"/>
  <c r="ET5" i="25"/>
  <c r="EL5" i="25"/>
  <c r="ED5" i="25"/>
  <c r="DV5" i="25"/>
  <c r="DN5" i="25"/>
  <c r="DF5" i="25"/>
  <c r="CX5" i="25"/>
  <c r="CP5" i="25"/>
  <c r="CH5" i="25"/>
  <c r="BZ5" i="25"/>
  <c r="BR5" i="25"/>
  <c r="BJ5" i="25"/>
  <c r="BB5" i="25"/>
  <c r="AT5" i="25"/>
  <c r="AL5" i="25"/>
  <c r="AD5" i="25"/>
  <c r="V5" i="25"/>
  <c r="N5" i="25"/>
  <c r="F5" i="25"/>
  <c r="EV4" i="25"/>
  <c r="EN4" i="25"/>
  <c r="EF4" i="25"/>
  <c r="DX4" i="25"/>
  <c r="DP4" i="25"/>
  <c r="DH4" i="25"/>
  <c r="CZ4" i="25"/>
  <c r="CR4" i="25"/>
  <c r="CJ4" i="25"/>
  <c r="CB4" i="25"/>
  <c r="BT4" i="25"/>
  <c r="BL4" i="25"/>
  <c r="BD4" i="25"/>
  <c r="AV4" i="25"/>
  <c r="AN4" i="25"/>
  <c r="AF4" i="25"/>
  <c r="X4" i="25"/>
  <c r="P4" i="25"/>
  <c r="H4" i="25"/>
  <c r="EX5" i="24"/>
  <c r="EP5" i="24"/>
  <c r="EH5" i="24"/>
  <c r="DZ5" i="24"/>
  <c r="DR5" i="24"/>
  <c r="DJ5" i="24"/>
  <c r="DB5" i="24"/>
  <c r="CT5" i="24"/>
  <c r="CL5" i="24"/>
  <c r="CD5" i="24"/>
  <c r="BV5" i="24"/>
  <c r="BN5" i="24"/>
  <c r="BF5" i="24"/>
  <c r="AX5" i="24"/>
  <c r="AP5" i="24"/>
  <c r="AH5" i="24"/>
  <c r="Z5" i="24"/>
  <c r="R5" i="24"/>
  <c r="J5" i="24"/>
  <c r="B5" i="24"/>
  <c r="ER4" i="24"/>
  <c r="EJ4" i="24"/>
  <c r="EB4" i="24"/>
  <c r="CI5" i="27"/>
  <c r="BC5" i="27"/>
  <c r="W5" i="27"/>
  <c r="ER4" i="27"/>
  <c r="DX4" i="27"/>
  <c r="DA4" i="27"/>
  <c r="CF4" i="27"/>
  <c r="BL4" i="27"/>
  <c r="AO4" i="27"/>
  <c r="T4" i="27"/>
  <c r="EX5" i="26"/>
  <c r="EH5" i="26"/>
  <c r="DV5" i="26"/>
  <c r="DI5" i="26"/>
  <c r="CU5" i="26"/>
  <c r="CK5" i="26"/>
  <c r="CC5" i="26"/>
  <c r="BU5" i="26"/>
  <c r="BM5" i="26"/>
  <c r="BE5" i="26"/>
  <c r="AW5" i="26"/>
  <c r="AO5" i="26"/>
  <c r="AG5" i="26"/>
  <c r="Y5" i="26"/>
  <c r="Q5" i="26"/>
  <c r="I5" i="26"/>
  <c r="A5" i="26"/>
  <c r="EQ4" i="26"/>
  <c r="EI4" i="26"/>
  <c r="EA4" i="26"/>
  <c r="DS4" i="26"/>
  <c r="DK4" i="26"/>
  <c r="DC4" i="26"/>
  <c r="CU4" i="26"/>
  <c r="CM4" i="26"/>
  <c r="CE4" i="26"/>
  <c r="BW4" i="26"/>
  <c r="BO4" i="26"/>
  <c r="BG4" i="26"/>
  <c r="AY4" i="26"/>
  <c r="AQ4" i="26"/>
  <c r="AI4" i="26"/>
  <c r="AA4" i="26"/>
  <c r="S4" i="26"/>
  <c r="K4" i="26"/>
  <c r="C4" i="26"/>
  <c r="ES5" i="25"/>
  <c r="EK5" i="25"/>
  <c r="EC5" i="25"/>
  <c r="DU5" i="25"/>
  <c r="DM5" i="25"/>
  <c r="DE5" i="25"/>
  <c r="CW5" i="25"/>
  <c r="CO5" i="25"/>
  <c r="CG5" i="25"/>
  <c r="BY5" i="25"/>
  <c r="BQ5" i="25"/>
  <c r="BI5" i="25"/>
  <c r="BA5" i="25"/>
  <c r="AS5" i="25"/>
  <c r="AK5" i="25"/>
  <c r="AC5" i="25"/>
  <c r="U5" i="25"/>
  <c r="M5" i="25"/>
  <c r="E5" i="25"/>
  <c r="EU4" i="25"/>
  <c r="EM4" i="25"/>
  <c r="EE4" i="25"/>
  <c r="DW4" i="25"/>
  <c r="DO4" i="25"/>
  <c r="DG4" i="25"/>
  <c r="CY4" i="25"/>
  <c r="CQ4" i="25"/>
  <c r="CI4" i="25"/>
  <c r="CA4" i="25"/>
  <c r="BS4" i="25"/>
  <c r="BK4" i="25"/>
  <c r="BC4" i="25"/>
  <c r="AU4" i="25"/>
  <c r="AM4" i="25"/>
  <c r="AE4" i="25"/>
  <c r="W4" i="25"/>
  <c r="O4" i="25"/>
  <c r="G4" i="25"/>
  <c r="EW5" i="24"/>
  <c r="EO5" i="24"/>
  <c r="EG5" i="24"/>
  <c r="DY5" i="24"/>
  <c r="DQ5" i="24"/>
  <c r="DI5" i="24"/>
  <c r="DA5" i="24"/>
  <c r="CS5" i="24"/>
  <c r="CK5" i="24"/>
  <c r="CC5" i="24"/>
  <c r="BU5" i="24"/>
  <c r="BM5" i="24"/>
  <c r="BE5" i="24"/>
  <c r="AW5" i="24"/>
  <c r="AO5" i="24"/>
  <c r="AG5" i="24"/>
  <c r="Y5" i="24"/>
  <c r="Q5" i="24"/>
  <c r="I5" i="24"/>
  <c r="A5" i="24"/>
  <c r="EQ4" i="24"/>
  <c r="EI4" i="24"/>
  <c r="EA4" i="24"/>
  <c r="DS4" i="24"/>
  <c r="DK4" i="24"/>
  <c r="DC4" i="24"/>
  <c r="CU4" i="24"/>
  <c r="CM4" i="24"/>
  <c r="CE4" i="24"/>
  <c r="BW4" i="24"/>
  <c r="BO4" i="24"/>
  <c r="BG4" i="24"/>
  <c r="AY4" i="24"/>
  <c r="AQ4" i="24"/>
  <c r="AI4" i="24"/>
  <c r="AA4" i="24"/>
  <c r="S4" i="24"/>
  <c r="K4" i="24"/>
  <c r="C4" i="24"/>
  <c r="ES5" i="23"/>
  <c r="EK5" i="23"/>
  <c r="EC5" i="23"/>
  <c r="DU5" i="23"/>
  <c r="CD5" i="27"/>
  <c r="AX5" i="27"/>
  <c r="R5" i="27"/>
  <c r="EO4" i="27"/>
  <c r="DT4" i="27"/>
  <c r="CZ4" i="27"/>
  <c r="CC4" i="27"/>
  <c r="BH4" i="27"/>
  <c r="AN4" i="27"/>
  <c r="Q4" i="27"/>
  <c r="EU5" i="26"/>
  <c r="EG5" i="26"/>
  <c r="DS5" i="26"/>
  <c r="DG5" i="26"/>
  <c r="CT5" i="26"/>
  <c r="CJ5" i="26"/>
  <c r="CB5" i="26"/>
  <c r="BT5" i="26"/>
  <c r="BL5" i="26"/>
  <c r="BD5" i="26"/>
  <c r="AV5" i="26"/>
  <c r="AN5" i="26"/>
  <c r="AF5" i="26"/>
  <c r="X5" i="26"/>
  <c r="P5" i="26"/>
  <c r="H5" i="26"/>
  <c r="EX4" i="26"/>
  <c r="EP4" i="26"/>
  <c r="EH4" i="26"/>
  <c r="DZ4" i="26"/>
  <c r="DR4" i="26"/>
  <c r="DJ4" i="26"/>
  <c r="DB4" i="26"/>
  <c r="CT4" i="26"/>
  <c r="CL4" i="26"/>
  <c r="CD4" i="26"/>
  <c r="BV4" i="26"/>
  <c r="BN4" i="26"/>
  <c r="BF4" i="26"/>
  <c r="AX4" i="26"/>
  <c r="AP4" i="26"/>
  <c r="AH4" i="26"/>
  <c r="Z4" i="26"/>
  <c r="R4" i="26"/>
  <c r="J4" i="26"/>
  <c r="B4" i="26"/>
  <c r="ER5" i="25"/>
  <c r="EJ5" i="25"/>
  <c r="EB5" i="25"/>
  <c r="DT5" i="25"/>
  <c r="DL5" i="25"/>
  <c r="DD5" i="25"/>
  <c r="CV5" i="25"/>
  <c r="CN5" i="25"/>
  <c r="CF5" i="25"/>
  <c r="BX5" i="25"/>
  <c r="BP5" i="25"/>
  <c r="BH5" i="25"/>
  <c r="AZ5" i="25"/>
  <c r="AR5" i="25"/>
  <c r="AJ5" i="25"/>
  <c r="AB5" i="25"/>
  <c r="T5" i="25"/>
  <c r="L5" i="25"/>
  <c r="D5" i="25"/>
  <c r="ET4" i="25"/>
  <c r="EL4" i="25"/>
  <c r="ED4" i="25"/>
  <c r="DV4" i="25"/>
  <c r="DN4" i="25"/>
  <c r="DF4" i="25"/>
  <c r="CX4" i="25"/>
  <c r="CP4" i="25"/>
  <c r="CH4" i="25"/>
  <c r="BZ4" i="25"/>
  <c r="BR4" i="25"/>
  <c r="BJ4" i="25"/>
  <c r="BB4" i="25"/>
  <c r="AT4" i="25"/>
  <c r="AL4" i="25"/>
  <c r="AD4" i="25"/>
  <c r="V4" i="25"/>
  <c r="N4" i="25"/>
  <c r="F4" i="25"/>
  <c r="EV5" i="24"/>
  <c r="EN5" i="24"/>
  <c r="EF5" i="24"/>
  <c r="DX5" i="24"/>
  <c r="DP5" i="24"/>
  <c r="DH5" i="24"/>
  <c r="CZ5" i="24"/>
  <c r="CR5" i="24"/>
  <c r="CJ5" i="24"/>
  <c r="CB5" i="24"/>
  <c r="BT5" i="24"/>
  <c r="BL5" i="24"/>
  <c r="BD5" i="24"/>
  <c r="AV5" i="24"/>
  <c r="AN5" i="24"/>
  <c r="AF5" i="24"/>
  <c r="X5" i="24"/>
  <c r="P5" i="24"/>
  <c r="H5" i="24"/>
  <c r="EX4" i="24"/>
  <c r="EP4" i="24"/>
  <c r="EH4" i="24"/>
  <c r="DZ4" i="24"/>
  <c r="DR4" i="24"/>
  <c r="DJ4" i="24"/>
  <c r="DB4" i="24"/>
  <c r="CT4" i="24"/>
  <c r="CL4" i="24"/>
  <c r="CD4" i="24"/>
  <c r="BV4" i="24"/>
  <c r="BN4" i="24"/>
  <c r="BF4" i="24"/>
  <c r="AX4" i="24"/>
  <c r="AP4" i="24"/>
  <c r="AH4" i="24"/>
  <c r="Z4" i="24"/>
  <c r="R4" i="24"/>
  <c r="J4" i="24"/>
  <c r="B4" i="24"/>
  <c r="ER5" i="23"/>
  <c r="EJ5" i="23"/>
  <c r="EB5" i="23"/>
  <c r="DT5" i="23"/>
  <c r="CA5" i="27"/>
  <c r="AU5" i="27"/>
  <c r="O5" i="27"/>
  <c r="EN4" i="27"/>
  <c r="DQ4" i="27"/>
  <c r="CV4" i="27"/>
  <c r="CB4" i="27"/>
  <c r="BE4" i="27"/>
  <c r="AJ4" i="27"/>
  <c r="P4" i="27"/>
  <c r="ET5" i="26"/>
  <c r="EE5" i="26"/>
  <c r="DR5" i="26"/>
  <c r="DF5" i="26"/>
  <c r="CS5" i="26"/>
  <c r="CI5" i="26"/>
  <c r="CA5" i="26"/>
  <c r="BS5" i="26"/>
  <c r="BK5" i="26"/>
  <c r="BC5" i="26"/>
  <c r="AU5" i="26"/>
  <c r="AM5" i="26"/>
  <c r="AE5" i="26"/>
  <c r="W5" i="26"/>
  <c r="O5" i="26"/>
  <c r="G5" i="26"/>
  <c r="EW4" i="26"/>
  <c r="EO4" i="26"/>
  <c r="EG4" i="26"/>
  <c r="DY4" i="26"/>
  <c r="DQ4" i="26"/>
  <c r="DI4" i="26"/>
  <c r="DA4" i="26"/>
  <c r="CS4" i="26"/>
  <c r="CK4" i="26"/>
  <c r="CC4" i="26"/>
  <c r="BU4" i="26"/>
  <c r="BM4" i="26"/>
  <c r="BE4" i="26"/>
  <c r="AW4" i="26"/>
  <c r="AO4" i="26"/>
  <c r="AG4" i="26"/>
  <c r="Y4" i="26"/>
  <c r="Q4" i="26"/>
  <c r="I4" i="26"/>
  <c r="EQ5" i="25"/>
  <c r="EI5" i="25"/>
  <c r="EA5" i="25"/>
  <c r="DS5" i="25"/>
  <c r="DK5" i="25"/>
  <c r="DC5" i="25"/>
  <c r="CU5" i="25"/>
  <c r="CM5" i="25"/>
  <c r="CE5" i="25"/>
  <c r="BW5" i="25"/>
  <c r="BO5" i="25"/>
  <c r="BG5" i="25"/>
  <c r="AY5" i="25"/>
  <c r="AQ5" i="25"/>
  <c r="AI5" i="25"/>
  <c r="AA5" i="25"/>
  <c r="S5" i="25"/>
  <c r="K5" i="25"/>
  <c r="C5" i="25"/>
  <c r="ES4" i="25"/>
  <c r="EK4" i="25"/>
  <c r="EC4" i="25"/>
  <c r="DU4" i="25"/>
  <c r="DM4" i="25"/>
  <c r="DE4" i="25"/>
  <c r="CW4" i="25"/>
  <c r="CO4" i="25"/>
  <c r="CG4" i="25"/>
  <c r="BY4" i="25"/>
  <c r="BQ4" i="25"/>
  <c r="BI4" i="25"/>
  <c r="BA4" i="25"/>
  <c r="AS4" i="25"/>
  <c r="AK4" i="25"/>
  <c r="AC4" i="25"/>
  <c r="U4" i="25"/>
  <c r="M4" i="25"/>
  <c r="E4" i="25"/>
  <c r="EU5" i="24"/>
  <c r="EM5" i="24"/>
  <c r="EE5" i="24"/>
  <c r="DW5" i="24"/>
  <c r="DO5" i="24"/>
  <c r="DG5" i="24"/>
  <c r="CY5" i="24"/>
  <c r="CQ5" i="24"/>
  <c r="CI5" i="24"/>
  <c r="CA5" i="24"/>
  <c r="BS5" i="24"/>
  <c r="BK5" i="24"/>
  <c r="BC5" i="24"/>
  <c r="AU5" i="24"/>
  <c r="AM5" i="24"/>
  <c r="AE5" i="24"/>
  <c r="W5" i="24"/>
  <c r="O5" i="24"/>
  <c r="G5" i="24"/>
  <c r="EW4" i="24"/>
  <c r="EO4" i="24"/>
  <c r="EG4" i="24"/>
  <c r="DY4" i="24"/>
  <c r="DQ4" i="24"/>
  <c r="DI4" i="24"/>
  <c r="DA4" i="24"/>
  <c r="CS4" i="24"/>
  <c r="CK4" i="24"/>
  <c r="CC4" i="24"/>
  <c r="BU4" i="24"/>
  <c r="BM4" i="24"/>
  <c r="BE4" i="24"/>
  <c r="AW4" i="24"/>
  <c r="AO4" i="24"/>
  <c r="AG4" i="24"/>
  <c r="Y4" i="24"/>
  <c r="Q4" i="24"/>
  <c r="I4" i="24"/>
  <c r="BV5" i="27"/>
  <c r="AP5" i="27"/>
  <c r="J5" i="27"/>
  <c r="EJ4" i="27"/>
  <c r="DP4" i="27"/>
  <c r="CS4" i="27"/>
  <c r="BX4" i="27"/>
  <c r="BD4" i="27"/>
  <c r="AG4" i="27"/>
  <c r="L4" i="27"/>
  <c r="EQ5" i="26"/>
  <c r="ED5" i="26"/>
  <c r="DQ5" i="26"/>
  <c r="DC5" i="26"/>
  <c r="CQ5" i="26"/>
  <c r="CH5" i="26"/>
  <c r="BZ5" i="26"/>
  <c r="BR5" i="26"/>
  <c r="BJ5" i="26"/>
  <c r="BB5" i="26"/>
  <c r="AT5" i="26"/>
  <c r="AL5" i="26"/>
  <c r="AD5" i="26"/>
  <c r="V5" i="26"/>
  <c r="N5" i="26"/>
  <c r="F5" i="26"/>
  <c r="EV4" i="26"/>
  <c r="EN4" i="26"/>
  <c r="EF4" i="26"/>
  <c r="DX4" i="26"/>
  <c r="DP4" i="26"/>
  <c r="DH4" i="26"/>
  <c r="CZ4" i="26"/>
  <c r="CR4" i="26"/>
  <c r="CJ4" i="26"/>
  <c r="CB4" i="26"/>
  <c r="BT4" i="26"/>
  <c r="BL4" i="26"/>
  <c r="BD4" i="26"/>
  <c r="AV4" i="26"/>
  <c r="AN4" i="26"/>
  <c r="AF4" i="26"/>
  <c r="X4" i="26"/>
  <c r="P4" i="26"/>
  <c r="H4" i="26"/>
  <c r="EX5" i="25"/>
  <c r="EP5" i="25"/>
  <c r="EH5" i="25"/>
  <c r="DZ5" i="25"/>
  <c r="DR5" i="25"/>
  <c r="DJ5" i="25"/>
  <c r="DB5" i="25"/>
  <c r="CT5" i="25"/>
  <c r="CL5" i="25"/>
  <c r="CD5" i="25"/>
  <c r="BV5" i="25"/>
  <c r="BN5" i="25"/>
  <c r="BF5" i="25"/>
  <c r="AX5" i="25"/>
  <c r="AP5" i="25"/>
  <c r="AH5" i="25"/>
  <c r="Z5" i="25"/>
  <c r="R5" i="25"/>
  <c r="J5" i="25"/>
  <c r="B5" i="25"/>
  <c r="ER4" i="25"/>
  <c r="EJ4" i="25"/>
  <c r="EB4" i="25"/>
  <c r="DT4" i="25"/>
  <c r="DL4" i="25"/>
  <c r="DD4" i="25"/>
  <c r="CV4" i="25"/>
  <c r="CN4" i="25"/>
  <c r="CF4" i="25"/>
  <c r="BX4" i="25"/>
  <c r="BP4" i="25"/>
  <c r="BH4" i="25"/>
  <c r="AZ4" i="25"/>
  <c r="AR4" i="25"/>
  <c r="AJ4" i="25"/>
  <c r="AB4" i="25"/>
  <c r="T4" i="25"/>
  <c r="L4" i="25"/>
  <c r="D4" i="25"/>
  <c r="ET5" i="24"/>
  <c r="EL5" i="24"/>
  <c r="ED5" i="24"/>
  <c r="DV5" i="24"/>
  <c r="DN5" i="24"/>
  <c r="DF5" i="24"/>
  <c r="CX5" i="24"/>
  <c r="CP5" i="24"/>
  <c r="CH5" i="24"/>
  <c r="BZ5" i="24"/>
  <c r="BR5" i="24"/>
  <c r="BJ5" i="24"/>
  <c r="BB5" i="24"/>
  <c r="AT5" i="24"/>
  <c r="AL5" i="24"/>
  <c r="AD5" i="24"/>
  <c r="V5" i="24"/>
  <c r="N5" i="24"/>
  <c r="F5" i="24"/>
  <c r="EV4" i="24"/>
  <c r="EN4" i="24"/>
  <c r="EF4" i="24"/>
  <c r="DX4" i="24"/>
  <c r="DP4" i="24"/>
  <c r="DH4" i="24"/>
  <c r="CZ4" i="24"/>
  <c r="CR4" i="24"/>
  <c r="CJ4" i="24"/>
  <c r="CB4" i="24"/>
  <c r="BT4" i="24"/>
  <c r="BL4" i="24"/>
  <c r="BD4" i="24"/>
  <c r="AV4" i="24"/>
  <c r="AN4" i="24"/>
  <c r="AF4" i="24"/>
  <c r="X4" i="24"/>
  <c r="P4" i="24"/>
  <c r="H4" i="24"/>
  <c r="EX5" i="23"/>
  <c r="EP5" i="23"/>
  <c r="EH5" i="23"/>
  <c r="DZ5" i="23"/>
  <c r="DT4" i="24"/>
  <c r="BY4" i="24"/>
  <c r="AS4" i="24"/>
  <c r="M4" i="24"/>
  <c r="EL5" i="23"/>
  <c r="DR5" i="23"/>
  <c r="DJ5" i="23"/>
  <c r="DB5" i="23"/>
  <c r="CT5" i="23"/>
  <c r="CL5" i="23"/>
  <c r="CD5" i="23"/>
  <c r="BV5" i="23"/>
  <c r="BN5" i="23"/>
  <c r="BF5" i="23"/>
  <c r="AX5" i="23"/>
  <c r="AP5" i="23"/>
  <c r="AH5" i="23"/>
  <c r="Z5" i="23"/>
  <c r="R5" i="23"/>
  <c r="J5" i="23"/>
  <c r="B5" i="23"/>
  <c r="ER4" i="23"/>
  <c r="EJ4" i="23"/>
  <c r="EB4" i="23"/>
  <c r="DT4" i="23"/>
  <c r="DL4" i="23"/>
  <c r="DD4" i="23"/>
  <c r="CV4" i="23"/>
  <c r="CN4" i="23"/>
  <c r="CF4" i="23"/>
  <c r="BX4" i="23"/>
  <c r="BP4" i="23"/>
  <c r="BH4" i="23"/>
  <c r="AZ4" i="23"/>
  <c r="AR4" i="23"/>
  <c r="AJ4" i="23"/>
  <c r="AB4" i="23"/>
  <c r="T4" i="23"/>
  <c r="L4" i="23"/>
  <c r="D4" i="23"/>
  <c r="ET5" i="22"/>
  <c r="EL5" i="22"/>
  <c r="ED5" i="22"/>
  <c r="DV5" i="22"/>
  <c r="DN5" i="22"/>
  <c r="DF5" i="22"/>
  <c r="CX5" i="22"/>
  <c r="CP5" i="22"/>
  <c r="CH5" i="22"/>
  <c r="BZ5" i="22"/>
  <c r="BR5" i="22"/>
  <c r="BJ5" i="22"/>
  <c r="BB5" i="22"/>
  <c r="AT5" i="22"/>
  <c r="AL5" i="22"/>
  <c r="AD5" i="22"/>
  <c r="V5" i="22"/>
  <c r="N5" i="22"/>
  <c r="F5" i="22"/>
  <c r="EV4" i="22"/>
  <c r="EN4" i="22"/>
  <c r="EF4" i="22"/>
  <c r="DX4" i="22"/>
  <c r="DP4" i="22"/>
  <c r="DH4" i="22"/>
  <c r="CZ4" i="22"/>
  <c r="CR4" i="22"/>
  <c r="CJ4" i="22"/>
  <c r="CB4" i="22"/>
  <c r="BT4" i="22"/>
  <c r="BL4" i="22"/>
  <c r="BD4" i="22"/>
  <c r="AV4" i="22"/>
  <c r="AN4" i="22"/>
  <c r="AF4" i="22"/>
  <c r="X4" i="22"/>
  <c r="P4" i="22"/>
  <c r="H4" i="22"/>
  <c r="EX5" i="21"/>
  <c r="EP5" i="21"/>
  <c r="EH5" i="21"/>
  <c r="DZ5" i="21"/>
  <c r="DR5" i="21"/>
  <c r="DJ5" i="21"/>
  <c r="DB5" i="21"/>
  <c r="CT5" i="21"/>
  <c r="CL5" i="21"/>
  <c r="CD5" i="21"/>
  <c r="BV5" i="21"/>
  <c r="BN5" i="21"/>
  <c r="BF5" i="21"/>
  <c r="AX5" i="21"/>
  <c r="AP5" i="21"/>
  <c r="AH5" i="21"/>
  <c r="Z5" i="21"/>
  <c r="R5" i="21"/>
  <c r="J5" i="21"/>
  <c r="B5" i="21"/>
  <c r="ER4" i="21"/>
  <c r="EJ4" i="21"/>
  <c r="EB4" i="21"/>
  <c r="DT4" i="21"/>
  <c r="DL4" i="21"/>
  <c r="DD4" i="21"/>
  <c r="CV4" i="21"/>
  <c r="CN4" i="21"/>
  <c r="CF4" i="21"/>
  <c r="BX4" i="21"/>
  <c r="BP4" i="21"/>
  <c r="BH4" i="21"/>
  <c r="AZ4" i="21"/>
  <c r="AR4" i="21"/>
  <c r="AJ4" i="21"/>
  <c r="AB4" i="21"/>
  <c r="T4" i="21"/>
  <c r="L4" i="21"/>
  <c r="D4" i="21"/>
  <c r="ET5" i="20"/>
  <c r="EL5" i="20"/>
  <c r="ED5" i="20"/>
  <c r="DV5" i="20"/>
  <c r="DN5" i="20"/>
  <c r="DF5" i="20"/>
  <c r="CX5" i="20"/>
  <c r="CP5" i="20"/>
  <c r="CH5" i="20"/>
  <c r="BZ5" i="20"/>
  <c r="DL4" i="24"/>
  <c r="BX4" i="24"/>
  <c r="AR4" i="24"/>
  <c r="L4" i="24"/>
  <c r="EI5" i="23"/>
  <c r="DQ5" i="23"/>
  <c r="DI5" i="23"/>
  <c r="DA5" i="23"/>
  <c r="CS5" i="23"/>
  <c r="CK5" i="23"/>
  <c r="CC5" i="23"/>
  <c r="BU5" i="23"/>
  <c r="BM5" i="23"/>
  <c r="BE5" i="23"/>
  <c r="AW5" i="23"/>
  <c r="AO5" i="23"/>
  <c r="AG5" i="23"/>
  <c r="Y5" i="23"/>
  <c r="Q5" i="23"/>
  <c r="I5" i="23"/>
  <c r="A5" i="23"/>
  <c r="EQ4" i="23"/>
  <c r="EI4" i="23"/>
  <c r="EA4" i="23"/>
  <c r="DS4" i="23"/>
  <c r="DK4" i="23"/>
  <c r="DC4" i="23"/>
  <c r="CU4" i="23"/>
  <c r="CM4" i="23"/>
  <c r="CE4" i="23"/>
  <c r="BW4" i="23"/>
  <c r="BO4" i="23"/>
  <c r="BG4" i="23"/>
  <c r="AY4" i="23"/>
  <c r="AQ4" i="23"/>
  <c r="AI4" i="23"/>
  <c r="AA4" i="23"/>
  <c r="S4" i="23"/>
  <c r="K4" i="23"/>
  <c r="C4" i="23"/>
  <c r="ES5" i="22"/>
  <c r="EK5" i="22"/>
  <c r="EC5" i="22"/>
  <c r="DU5" i="22"/>
  <c r="DM5" i="22"/>
  <c r="DE5" i="22"/>
  <c r="CW5" i="22"/>
  <c r="CO5" i="22"/>
  <c r="CG5" i="22"/>
  <c r="BY5" i="22"/>
  <c r="BQ5" i="22"/>
  <c r="BI5" i="22"/>
  <c r="BA5" i="22"/>
  <c r="AS5" i="22"/>
  <c r="AK5" i="22"/>
  <c r="AC5" i="22"/>
  <c r="U5" i="22"/>
  <c r="M5" i="22"/>
  <c r="E5" i="22"/>
  <c r="EU4" i="22"/>
  <c r="EM4" i="22"/>
  <c r="EE4" i="22"/>
  <c r="DW4" i="22"/>
  <c r="DO4" i="22"/>
  <c r="DG4" i="22"/>
  <c r="CY4" i="22"/>
  <c r="CQ4" i="22"/>
  <c r="CI4" i="22"/>
  <c r="CA4" i="22"/>
  <c r="BS4" i="22"/>
  <c r="BK4" i="22"/>
  <c r="BC4" i="22"/>
  <c r="AU4" i="22"/>
  <c r="AM4" i="22"/>
  <c r="AE4" i="22"/>
  <c r="W4" i="22"/>
  <c r="O4" i="22"/>
  <c r="G4" i="22"/>
  <c r="EW5" i="21"/>
  <c r="EO5" i="21"/>
  <c r="EG5" i="21"/>
  <c r="DY5" i="21"/>
  <c r="DQ5" i="21"/>
  <c r="DI5" i="21"/>
  <c r="DA5" i="21"/>
  <c r="CS5" i="21"/>
  <c r="CK5" i="21"/>
  <c r="CC5" i="21"/>
  <c r="BU5" i="21"/>
  <c r="BM5" i="21"/>
  <c r="BE5" i="21"/>
  <c r="AW5" i="21"/>
  <c r="AO5" i="21"/>
  <c r="AG5" i="21"/>
  <c r="Y5" i="21"/>
  <c r="Q5" i="21"/>
  <c r="I5" i="21"/>
  <c r="A5" i="21"/>
  <c r="EQ4" i="21"/>
  <c r="EI4" i="21"/>
  <c r="EA4" i="21"/>
  <c r="DS4" i="21"/>
  <c r="DK4" i="21"/>
  <c r="DC4" i="21"/>
  <c r="CU4" i="21"/>
  <c r="CM4" i="21"/>
  <c r="CE4" i="21"/>
  <c r="BW4" i="21"/>
  <c r="BO4" i="21"/>
  <c r="BG4" i="21"/>
  <c r="AY4" i="21"/>
  <c r="AQ4" i="21"/>
  <c r="AI4" i="21"/>
  <c r="AA4" i="21"/>
  <c r="S4" i="21"/>
  <c r="K4" i="21"/>
  <c r="C4" i="21"/>
  <c r="ES5" i="20"/>
  <c r="EK5" i="20"/>
  <c r="EC5" i="20"/>
  <c r="DU5" i="20"/>
  <c r="DM5" i="20"/>
  <c r="DE5" i="20"/>
  <c r="CW5" i="20"/>
  <c r="CO5" i="20"/>
  <c r="CG5" i="20"/>
  <c r="BY5" i="20"/>
  <c r="DD4" i="24"/>
  <c r="BQ4" i="24"/>
  <c r="AK4" i="24"/>
  <c r="E4" i="24"/>
  <c r="EE5" i="23"/>
  <c r="DP5" i="23"/>
  <c r="DH5" i="23"/>
  <c r="CZ5" i="23"/>
  <c r="CR5" i="23"/>
  <c r="CJ5" i="23"/>
  <c r="CB5" i="23"/>
  <c r="BT5" i="23"/>
  <c r="BL5" i="23"/>
  <c r="BD5" i="23"/>
  <c r="AV5" i="23"/>
  <c r="AN5" i="23"/>
  <c r="AF5" i="23"/>
  <c r="X5" i="23"/>
  <c r="P5" i="23"/>
  <c r="H5" i="23"/>
  <c r="EX4" i="23"/>
  <c r="EP4" i="23"/>
  <c r="EH4" i="23"/>
  <c r="DZ4" i="23"/>
  <c r="DR4" i="23"/>
  <c r="DJ4" i="23"/>
  <c r="DB4" i="23"/>
  <c r="CT4" i="23"/>
  <c r="CL4" i="23"/>
  <c r="CD4" i="23"/>
  <c r="BV4" i="23"/>
  <c r="BN4" i="23"/>
  <c r="BF4" i="23"/>
  <c r="AX4" i="23"/>
  <c r="AP4" i="23"/>
  <c r="AH4" i="23"/>
  <c r="Z4" i="23"/>
  <c r="R4" i="23"/>
  <c r="J4" i="23"/>
  <c r="B4" i="23"/>
  <c r="ER5" i="22"/>
  <c r="EJ5" i="22"/>
  <c r="EB5" i="22"/>
  <c r="DT5" i="22"/>
  <c r="DL5" i="22"/>
  <c r="DD5" i="22"/>
  <c r="CV5" i="22"/>
  <c r="CN5" i="22"/>
  <c r="CF5" i="22"/>
  <c r="BX5" i="22"/>
  <c r="BP5" i="22"/>
  <c r="BH5" i="22"/>
  <c r="AZ5" i="22"/>
  <c r="AR5" i="22"/>
  <c r="AJ5" i="22"/>
  <c r="AB5" i="22"/>
  <c r="T5" i="22"/>
  <c r="L5" i="22"/>
  <c r="D5" i="22"/>
  <c r="ET4" i="22"/>
  <c r="EL4" i="22"/>
  <c r="ED4" i="22"/>
  <c r="DV4" i="22"/>
  <c r="DN4" i="22"/>
  <c r="DF4" i="22"/>
  <c r="CX4" i="22"/>
  <c r="CP4" i="22"/>
  <c r="CH4" i="22"/>
  <c r="BZ4" i="22"/>
  <c r="BR4" i="22"/>
  <c r="BJ4" i="22"/>
  <c r="BB4" i="22"/>
  <c r="AT4" i="22"/>
  <c r="AL4" i="22"/>
  <c r="AD4" i="22"/>
  <c r="V4" i="22"/>
  <c r="N4" i="22"/>
  <c r="F4" i="22"/>
  <c r="EV5" i="21"/>
  <c r="EN5" i="21"/>
  <c r="EF5" i="21"/>
  <c r="DX5" i="21"/>
  <c r="DP5" i="21"/>
  <c r="DH5" i="21"/>
  <c r="CZ5" i="21"/>
  <c r="CR5" i="21"/>
  <c r="CJ5" i="21"/>
  <c r="CB5" i="21"/>
  <c r="BT5" i="21"/>
  <c r="BL5" i="21"/>
  <c r="BD5" i="21"/>
  <c r="AV5" i="21"/>
  <c r="AN5" i="21"/>
  <c r="AF5" i="21"/>
  <c r="X5" i="21"/>
  <c r="P5" i="21"/>
  <c r="H5" i="21"/>
  <c r="EX4" i="21"/>
  <c r="EP4" i="21"/>
  <c r="EH4" i="21"/>
  <c r="DZ4" i="21"/>
  <c r="DR4" i="21"/>
  <c r="DJ4" i="21"/>
  <c r="DB4" i="21"/>
  <c r="CT4" i="21"/>
  <c r="CL4" i="21"/>
  <c r="CD4" i="21"/>
  <c r="BV4" i="21"/>
  <c r="BN4" i="21"/>
  <c r="BF4" i="21"/>
  <c r="AX4" i="21"/>
  <c r="AP4" i="21"/>
  <c r="AH4" i="21"/>
  <c r="Z4" i="21"/>
  <c r="R4" i="21"/>
  <c r="J4" i="21"/>
  <c r="B4" i="21"/>
  <c r="ER5" i="20"/>
  <c r="EJ5" i="20"/>
  <c r="EB5" i="20"/>
  <c r="DT5" i="20"/>
  <c r="DL5" i="20"/>
  <c r="DD5" i="20"/>
  <c r="CV5" i="20"/>
  <c r="CN5" i="20"/>
  <c r="CF5" i="20"/>
  <c r="BX5" i="20"/>
  <c r="CV4" i="24"/>
  <c r="BP4" i="24"/>
  <c r="AJ4" i="24"/>
  <c r="D4" i="24"/>
  <c r="ED5" i="23"/>
  <c r="DO5" i="23"/>
  <c r="DG5" i="23"/>
  <c r="CY5" i="23"/>
  <c r="CQ5" i="23"/>
  <c r="CI5" i="23"/>
  <c r="CA5" i="23"/>
  <c r="BS5" i="23"/>
  <c r="BK5" i="23"/>
  <c r="BC5" i="23"/>
  <c r="AU5" i="23"/>
  <c r="AM5" i="23"/>
  <c r="AE5" i="23"/>
  <c r="W5" i="23"/>
  <c r="O5" i="23"/>
  <c r="G5" i="23"/>
  <c r="EW4" i="23"/>
  <c r="EO4" i="23"/>
  <c r="EG4" i="23"/>
  <c r="DY4" i="23"/>
  <c r="DQ4" i="23"/>
  <c r="DI4" i="23"/>
  <c r="DA4" i="23"/>
  <c r="CS4" i="23"/>
  <c r="CK4" i="23"/>
  <c r="CC4" i="23"/>
  <c r="BU4" i="23"/>
  <c r="BM4" i="23"/>
  <c r="BE4" i="23"/>
  <c r="AW4" i="23"/>
  <c r="AO4" i="23"/>
  <c r="AG4" i="23"/>
  <c r="Y4" i="23"/>
  <c r="Q4" i="23"/>
  <c r="I4" i="23"/>
  <c r="EQ5" i="22"/>
  <c r="EI5" i="22"/>
  <c r="EA5" i="22"/>
  <c r="DS5" i="22"/>
  <c r="DK5" i="22"/>
  <c r="DC5" i="22"/>
  <c r="CU5" i="22"/>
  <c r="CM5" i="22"/>
  <c r="CE5" i="22"/>
  <c r="BW5" i="22"/>
  <c r="BO5" i="22"/>
  <c r="BG5" i="22"/>
  <c r="AY5" i="22"/>
  <c r="AQ5" i="22"/>
  <c r="AI5" i="22"/>
  <c r="AA5" i="22"/>
  <c r="S5" i="22"/>
  <c r="K5" i="22"/>
  <c r="C5" i="22"/>
  <c r="ES4" i="22"/>
  <c r="EK4" i="22"/>
  <c r="EC4" i="22"/>
  <c r="DU4" i="22"/>
  <c r="DM4" i="22"/>
  <c r="DE4" i="22"/>
  <c r="CW4" i="22"/>
  <c r="CO4" i="22"/>
  <c r="CG4" i="22"/>
  <c r="BY4" i="22"/>
  <c r="BQ4" i="22"/>
  <c r="BI4" i="22"/>
  <c r="BA4" i="22"/>
  <c r="AS4" i="22"/>
  <c r="AK4" i="22"/>
  <c r="AC4" i="22"/>
  <c r="U4" i="22"/>
  <c r="M4" i="22"/>
  <c r="E4" i="22"/>
  <c r="EU5" i="21"/>
  <c r="EM5" i="21"/>
  <c r="EE5" i="21"/>
  <c r="DW5" i="21"/>
  <c r="DO5" i="21"/>
  <c r="DG5" i="21"/>
  <c r="CY5" i="21"/>
  <c r="CQ5" i="21"/>
  <c r="CI5" i="21"/>
  <c r="CA5" i="21"/>
  <c r="BS5" i="21"/>
  <c r="BK5" i="21"/>
  <c r="BC5" i="21"/>
  <c r="AU5" i="21"/>
  <c r="AM5" i="21"/>
  <c r="AE5" i="21"/>
  <c r="W5" i="21"/>
  <c r="O5" i="21"/>
  <c r="G5" i="21"/>
  <c r="EW4" i="21"/>
  <c r="EO4" i="21"/>
  <c r="EG4" i="21"/>
  <c r="DY4" i="21"/>
  <c r="DQ4" i="21"/>
  <c r="DI4" i="21"/>
  <c r="DA4" i="21"/>
  <c r="CS4" i="21"/>
  <c r="CK4" i="21"/>
  <c r="CC4" i="21"/>
  <c r="BU4" i="21"/>
  <c r="BM4" i="21"/>
  <c r="BE4" i="21"/>
  <c r="AW4" i="21"/>
  <c r="AO4" i="21"/>
  <c r="AG4" i="21"/>
  <c r="Y4" i="21"/>
  <c r="Q4" i="21"/>
  <c r="I4" i="21"/>
  <c r="EQ5" i="20"/>
  <c r="EI5" i="20"/>
  <c r="EA5" i="20"/>
  <c r="DS5" i="20"/>
  <c r="DK5" i="20"/>
  <c r="DC5" i="20"/>
  <c r="CU5" i="20"/>
  <c r="CM5" i="20"/>
  <c r="CE5" i="20"/>
  <c r="CO4" i="24"/>
  <c r="BI4" i="24"/>
  <c r="AC4" i="24"/>
  <c r="EU5" i="23"/>
  <c r="EA5" i="23"/>
  <c r="DN5" i="23"/>
  <c r="DF5" i="23"/>
  <c r="CX5" i="23"/>
  <c r="CP5" i="23"/>
  <c r="CH5" i="23"/>
  <c r="BZ5" i="23"/>
  <c r="BR5" i="23"/>
  <c r="BJ5" i="23"/>
  <c r="BB5" i="23"/>
  <c r="AT5" i="23"/>
  <c r="AL5" i="23"/>
  <c r="AD5" i="23"/>
  <c r="V5" i="23"/>
  <c r="N5" i="23"/>
  <c r="F5" i="23"/>
  <c r="EV4" i="23"/>
  <c r="EN4" i="23"/>
  <c r="EF4" i="23"/>
  <c r="DX4" i="23"/>
  <c r="DP4" i="23"/>
  <c r="DH4" i="23"/>
  <c r="CZ4" i="23"/>
  <c r="CR4" i="23"/>
  <c r="CJ4" i="23"/>
  <c r="CB4" i="23"/>
  <c r="BT4" i="23"/>
  <c r="BL4" i="23"/>
  <c r="BD4" i="23"/>
  <c r="AV4" i="23"/>
  <c r="AN4" i="23"/>
  <c r="AF4" i="23"/>
  <c r="X4" i="23"/>
  <c r="P4" i="23"/>
  <c r="H4" i="23"/>
  <c r="EX5" i="22"/>
  <c r="EP5" i="22"/>
  <c r="EH5" i="22"/>
  <c r="DZ5" i="22"/>
  <c r="DR5" i="22"/>
  <c r="DJ5" i="22"/>
  <c r="DB5" i="22"/>
  <c r="CT5" i="22"/>
  <c r="CL5" i="22"/>
  <c r="CD5" i="22"/>
  <c r="BV5" i="22"/>
  <c r="BN5" i="22"/>
  <c r="BF5" i="22"/>
  <c r="AX5" i="22"/>
  <c r="AP5" i="22"/>
  <c r="AH5" i="22"/>
  <c r="Z5" i="22"/>
  <c r="R5" i="22"/>
  <c r="J5" i="22"/>
  <c r="B5" i="22"/>
  <c r="ER4" i="22"/>
  <c r="EJ4" i="22"/>
  <c r="EB4" i="22"/>
  <c r="DT4" i="22"/>
  <c r="DL4" i="22"/>
  <c r="DD4" i="22"/>
  <c r="CV4" i="22"/>
  <c r="CN4" i="22"/>
  <c r="CF4" i="22"/>
  <c r="BX4" i="22"/>
  <c r="BP4" i="22"/>
  <c r="BH4" i="22"/>
  <c r="AZ4" i="22"/>
  <c r="AR4" i="22"/>
  <c r="AJ4" i="22"/>
  <c r="AB4" i="22"/>
  <c r="T4" i="22"/>
  <c r="L4" i="22"/>
  <c r="D4" i="22"/>
  <c r="ET5" i="21"/>
  <c r="EL5" i="21"/>
  <c r="ED5" i="21"/>
  <c r="DV5" i="21"/>
  <c r="DN5" i="21"/>
  <c r="DF5" i="21"/>
  <c r="CX5" i="21"/>
  <c r="CP5" i="21"/>
  <c r="CH5" i="21"/>
  <c r="BZ5" i="21"/>
  <c r="BR5" i="21"/>
  <c r="BJ5" i="21"/>
  <c r="BB5" i="21"/>
  <c r="AT5" i="21"/>
  <c r="AL5" i="21"/>
  <c r="AD5" i="21"/>
  <c r="V5" i="21"/>
  <c r="N5" i="21"/>
  <c r="F5" i="21"/>
  <c r="EV4" i="21"/>
  <c r="EN4" i="21"/>
  <c r="EF4" i="21"/>
  <c r="DX4" i="21"/>
  <c r="DP4" i="21"/>
  <c r="DH4" i="21"/>
  <c r="CZ4" i="21"/>
  <c r="CR4" i="21"/>
  <c r="CJ4" i="21"/>
  <c r="CB4" i="21"/>
  <c r="BT4" i="21"/>
  <c r="BL4" i="21"/>
  <c r="BD4" i="21"/>
  <c r="AV4" i="21"/>
  <c r="AN4" i="21"/>
  <c r="AF4" i="21"/>
  <c r="X4" i="21"/>
  <c r="P4" i="21"/>
  <c r="H4" i="21"/>
  <c r="EX5" i="20"/>
  <c r="EP5" i="20"/>
  <c r="EH5" i="20"/>
  <c r="DZ5" i="20"/>
  <c r="DR5" i="20"/>
  <c r="DJ5" i="20"/>
  <c r="DB5" i="20"/>
  <c r="CT5" i="20"/>
  <c r="CL5" i="20"/>
  <c r="CD5" i="20"/>
  <c r="BV5" i="20"/>
  <c r="CN4" i="24"/>
  <c r="BH4" i="24"/>
  <c r="AB4" i="24"/>
  <c r="ET5" i="23"/>
  <c r="DW5" i="23"/>
  <c r="DM5" i="23"/>
  <c r="DE5" i="23"/>
  <c r="CW5" i="23"/>
  <c r="CO5" i="23"/>
  <c r="CG5" i="23"/>
  <c r="BY5" i="23"/>
  <c r="BQ5" i="23"/>
  <c r="BI5" i="23"/>
  <c r="BA5" i="23"/>
  <c r="AS5" i="23"/>
  <c r="AK5" i="23"/>
  <c r="AC5" i="23"/>
  <c r="U5" i="23"/>
  <c r="M5" i="23"/>
  <c r="E5" i="23"/>
  <c r="EU4" i="23"/>
  <c r="EM4" i="23"/>
  <c r="EE4" i="23"/>
  <c r="DW4" i="23"/>
  <c r="DO4" i="23"/>
  <c r="DG4" i="23"/>
  <c r="CY4" i="23"/>
  <c r="CQ4" i="23"/>
  <c r="CI4" i="23"/>
  <c r="CA4" i="23"/>
  <c r="BS4" i="23"/>
  <c r="BK4" i="23"/>
  <c r="BC4" i="23"/>
  <c r="AU4" i="23"/>
  <c r="AM4" i="23"/>
  <c r="AE4" i="23"/>
  <c r="W4" i="23"/>
  <c r="O4" i="23"/>
  <c r="G4" i="23"/>
  <c r="EW5" i="22"/>
  <c r="EO5" i="22"/>
  <c r="EG5" i="22"/>
  <c r="DY5" i="22"/>
  <c r="DQ5" i="22"/>
  <c r="DI5" i="22"/>
  <c r="DA5" i="22"/>
  <c r="CS5" i="22"/>
  <c r="CK5" i="22"/>
  <c r="CC5" i="22"/>
  <c r="BU5" i="22"/>
  <c r="BM5" i="22"/>
  <c r="BE5" i="22"/>
  <c r="AW5" i="22"/>
  <c r="AO5" i="22"/>
  <c r="AG5" i="22"/>
  <c r="Y5" i="22"/>
  <c r="Q5" i="22"/>
  <c r="I5" i="22"/>
  <c r="A5" i="22"/>
  <c r="EQ4" i="22"/>
  <c r="EI4" i="22"/>
  <c r="EA4" i="22"/>
  <c r="DS4" i="22"/>
  <c r="DK4" i="22"/>
  <c r="DC4" i="22"/>
  <c r="CU4" i="22"/>
  <c r="CM4" i="22"/>
  <c r="CE4" i="22"/>
  <c r="BW4" i="22"/>
  <c r="BO4" i="22"/>
  <c r="BG4" i="22"/>
  <c r="AY4" i="22"/>
  <c r="AQ4" i="22"/>
  <c r="AI4" i="22"/>
  <c r="AA4" i="22"/>
  <c r="S4" i="22"/>
  <c r="K4" i="22"/>
  <c r="C4" i="22"/>
  <c r="ES5" i="21"/>
  <c r="EK5" i="21"/>
  <c r="EC5" i="21"/>
  <c r="DU5" i="21"/>
  <c r="DM5" i="21"/>
  <c r="DE5" i="21"/>
  <c r="CW5" i="21"/>
  <c r="CO5" i="21"/>
  <c r="CG5" i="21"/>
  <c r="BY5" i="21"/>
  <c r="BQ5" i="21"/>
  <c r="BI5" i="21"/>
  <c r="BA5" i="21"/>
  <c r="AS5" i="21"/>
  <c r="AK5" i="21"/>
  <c r="AC5" i="21"/>
  <c r="U5" i="21"/>
  <c r="M5" i="21"/>
  <c r="E5" i="21"/>
  <c r="EU4" i="21"/>
  <c r="EM4" i="21"/>
  <c r="EE4" i="21"/>
  <c r="DW4" i="21"/>
  <c r="DO4" i="21"/>
  <c r="DG4" i="21"/>
  <c r="CY4" i="21"/>
  <c r="CQ4" i="21"/>
  <c r="CI4" i="21"/>
  <c r="CA4" i="21"/>
  <c r="BS4" i="21"/>
  <c r="BK4" i="21"/>
  <c r="BC4" i="21"/>
  <c r="AU4" i="21"/>
  <c r="AM4" i="21"/>
  <c r="AE4" i="21"/>
  <c r="W4" i="21"/>
  <c r="O4" i="21"/>
  <c r="G4" i="21"/>
  <c r="EW5" i="20"/>
  <c r="EO5" i="20"/>
  <c r="EG5" i="20"/>
  <c r="DY5" i="20"/>
  <c r="DQ5" i="20"/>
  <c r="DI5" i="20"/>
  <c r="DA5" i="20"/>
  <c r="CS5" i="20"/>
  <c r="CK5" i="20"/>
  <c r="CC5" i="20"/>
  <c r="CG4" i="24"/>
  <c r="BA4" i="24"/>
  <c r="U4" i="24"/>
  <c r="EQ5" i="23"/>
  <c r="DV5" i="23"/>
  <c r="DL5" i="23"/>
  <c r="DD5" i="23"/>
  <c r="CV5" i="23"/>
  <c r="CN5" i="23"/>
  <c r="CF5" i="23"/>
  <c r="BX5" i="23"/>
  <c r="BP5" i="23"/>
  <c r="BH5" i="23"/>
  <c r="AZ5" i="23"/>
  <c r="AR5" i="23"/>
  <c r="AJ5" i="23"/>
  <c r="AB5" i="23"/>
  <c r="T5" i="23"/>
  <c r="L5" i="23"/>
  <c r="D5" i="23"/>
  <c r="ET4" i="23"/>
  <c r="EL4" i="23"/>
  <c r="ED4" i="23"/>
  <c r="DV4" i="23"/>
  <c r="DN4" i="23"/>
  <c r="DF4" i="23"/>
  <c r="CX4" i="23"/>
  <c r="CP4" i="23"/>
  <c r="CH4" i="23"/>
  <c r="BZ4" i="23"/>
  <c r="BR4" i="23"/>
  <c r="BJ4" i="23"/>
  <c r="BB4" i="23"/>
  <c r="AT4" i="23"/>
  <c r="AL4" i="23"/>
  <c r="AD4" i="23"/>
  <c r="V4" i="23"/>
  <c r="N4" i="23"/>
  <c r="F4" i="23"/>
  <c r="EV5" i="22"/>
  <c r="EN5" i="22"/>
  <c r="EF5" i="22"/>
  <c r="DX5" i="22"/>
  <c r="DP5" i="22"/>
  <c r="DH5" i="22"/>
  <c r="CZ5" i="22"/>
  <c r="CR5" i="22"/>
  <c r="CJ5" i="22"/>
  <c r="CB5" i="22"/>
  <c r="BT5" i="22"/>
  <c r="BL5" i="22"/>
  <c r="BD5" i="22"/>
  <c r="AV5" i="22"/>
  <c r="AN5" i="22"/>
  <c r="AF5" i="22"/>
  <c r="X5" i="22"/>
  <c r="P5" i="22"/>
  <c r="H5" i="22"/>
  <c r="EX4" i="22"/>
  <c r="EP4" i="22"/>
  <c r="EH4" i="22"/>
  <c r="DZ4" i="22"/>
  <c r="DR4" i="22"/>
  <c r="DJ4" i="22"/>
  <c r="DB4" i="22"/>
  <c r="CT4" i="22"/>
  <c r="CL4" i="22"/>
  <c r="CD4" i="22"/>
  <c r="BV4" i="22"/>
  <c r="BN4" i="22"/>
  <c r="BF4" i="22"/>
  <c r="AX4" i="22"/>
  <c r="AP4" i="22"/>
  <c r="AH4" i="22"/>
  <c r="Z4" i="22"/>
  <c r="R4" i="22"/>
  <c r="J4" i="22"/>
  <c r="B4" i="22"/>
  <c r="ER5" i="21"/>
  <c r="EJ5" i="21"/>
  <c r="EB5" i="21"/>
  <c r="DT5" i="21"/>
  <c r="DL5" i="21"/>
  <c r="DD5" i="21"/>
  <c r="CV5" i="21"/>
  <c r="CN5" i="21"/>
  <c r="CF5" i="21"/>
  <c r="BX5" i="21"/>
  <c r="BP5" i="21"/>
  <c r="BH5" i="21"/>
  <c r="AZ5" i="21"/>
  <c r="AR5" i="21"/>
  <c r="AJ5" i="21"/>
  <c r="AB5" i="21"/>
  <c r="T5" i="21"/>
  <c r="L5" i="21"/>
  <c r="D5" i="21"/>
  <c r="ET4" i="21"/>
  <c r="EL4" i="21"/>
  <c r="ED4" i="21"/>
  <c r="DV4" i="21"/>
  <c r="DN4" i="21"/>
  <c r="DF4" i="21"/>
  <c r="CX4" i="21"/>
  <c r="CP4" i="21"/>
  <c r="CH4" i="21"/>
  <c r="BZ4" i="21"/>
  <c r="BR4" i="21"/>
  <c r="BJ4" i="21"/>
  <c r="BB4" i="21"/>
  <c r="AT4" i="21"/>
  <c r="AL4" i="21"/>
  <c r="AD4" i="21"/>
  <c r="V4" i="21"/>
  <c r="N4" i="21"/>
  <c r="F4" i="21"/>
  <c r="EV5" i="20"/>
  <c r="EN5" i="20"/>
  <c r="EF5" i="20"/>
  <c r="DX5" i="20"/>
  <c r="DP5" i="20"/>
  <c r="DH5" i="20"/>
  <c r="CZ5" i="20"/>
  <c r="CR5" i="20"/>
  <c r="CJ5" i="20"/>
  <c r="CB5" i="20"/>
  <c r="CF4" i="24"/>
  <c r="AZ4" i="24"/>
  <c r="T4" i="24"/>
  <c r="EM5" i="23"/>
  <c r="DS5" i="23"/>
  <c r="DK5" i="23"/>
  <c r="DC5" i="23"/>
  <c r="CU5" i="23"/>
  <c r="CM5" i="23"/>
  <c r="CE5" i="23"/>
  <c r="BW5" i="23"/>
  <c r="BO5" i="23"/>
  <c r="BG5" i="23"/>
  <c r="AY5" i="23"/>
  <c r="AQ5" i="23"/>
  <c r="AI5" i="23"/>
  <c r="AA5" i="23"/>
  <c r="S5" i="23"/>
  <c r="K5" i="23"/>
  <c r="C5" i="23"/>
  <c r="ES4" i="23"/>
  <c r="EK4" i="23"/>
  <c r="EC4" i="23"/>
  <c r="DU4" i="23"/>
  <c r="DM4" i="23"/>
  <c r="DE4" i="23"/>
  <c r="CW4" i="23"/>
  <c r="CO4" i="23"/>
  <c r="CG4" i="23"/>
  <c r="BY4" i="23"/>
  <c r="BQ4" i="23"/>
  <c r="BI4" i="23"/>
  <c r="BA4" i="23"/>
  <c r="AS4" i="23"/>
  <c r="AK4" i="23"/>
  <c r="AC4" i="23"/>
  <c r="U4" i="23"/>
  <c r="M4" i="23"/>
  <c r="E4" i="23"/>
  <c r="EU5" i="22"/>
  <c r="EM5" i="22"/>
  <c r="EE5" i="22"/>
  <c r="DW5" i="22"/>
  <c r="DO5" i="22"/>
  <c r="DG5" i="22"/>
  <c r="CY5" i="22"/>
  <c r="CQ5" i="22"/>
  <c r="CI5" i="22"/>
  <c r="CA5" i="22"/>
  <c r="BS5" i="22"/>
  <c r="BK5" i="22"/>
  <c r="BC5" i="22"/>
  <c r="AU5" i="22"/>
  <c r="AM5" i="22"/>
  <c r="AE5" i="22"/>
  <c r="W5" i="22"/>
  <c r="O5" i="22"/>
  <c r="G5" i="22"/>
  <c r="EW4" i="22"/>
  <c r="EO4" i="22"/>
  <c r="EG4" i="22"/>
  <c r="DY4" i="22"/>
  <c r="DQ4" i="22"/>
  <c r="DI4" i="22"/>
  <c r="DA4" i="22"/>
  <c r="CS4" i="22"/>
  <c r="CK4" i="22"/>
  <c r="CC4" i="22"/>
  <c r="BU4" i="22"/>
  <c r="BM4" i="22"/>
  <c r="BE4" i="22"/>
  <c r="AW4" i="22"/>
  <c r="AO4" i="22"/>
  <c r="AG4" i="22"/>
  <c r="Y4" i="22"/>
  <c r="Q4" i="22"/>
  <c r="I4" i="22"/>
  <c r="EQ5" i="21"/>
  <c r="EI5" i="21"/>
  <c r="EA5" i="21"/>
  <c r="DS5" i="21"/>
  <c r="DK5" i="21"/>
  <c r="DC5" i="21"/>
  <c r="CU5" i="21"/>
  <c r="CM5" i="21"/>
  <c r="CE5" i="21"/>
  <c r="BW5" i="21"/>
  <c r="BO5" i="21"/>
  <c r="BG5" i="21"/>
  <c r="AY5" i="21"/>
  <c r="AQ5" i="21"/>
  <c r="AI5" i="21"/>
  <c r="AA5" i="21"/>
  <c r="S5" i="21"/>
  <c r="K5" i="21"/>
  <c r="C5" i="21"/>
  <c r="ES4" i="21"/>
  <c r="EK4" i="21"/>
  <c r="EC4" i="21"/>
  <c r="DU4" i="21"/>
  <c r="DM4" i="21"/>
  <c r="DE4" i="21"/>
  <c r="CW4" i="21"/>
  <c r="CO4" i="21"/>
  <c r="CG4" i="21"/>
  <c r="BY4" i="21"/>
  <c r="BQ4" i="21"/>
  <c r="BI4" i="21"/>
  <c r="BA4" i="21"/>
  <c r="AS4" i="21"/>
  <c r="AK4" i="21"/>
  <c r="AC4" i="21"/>
  <c r="U4" i="21"/>
  <c r="M4" i="21"/>
  <c r="E4" i="21"/>
  <c r="EU5" i="20"/>
  <c r="EM5" i="20"/>
  <c r="EE5" i="20"/>
  <c r="DW5" i="20"/>
  <c r="DO5" i="20"/>
  <c r="DG5" i="20"/>
  <c r="CY5" i="20"/>
  <c r="CQ5" i="20"/>
  <c r="BQ5" i="20"/>
  <c r="BI5" i="20"/>
  <c r="BA5" i="20"/>
  <c r="AS5" i="20"/>
  <c r="AK5" i="20"/>
  <c r="AC5" i="20"/>
  <c r="U5" i="20"/>
  <c r="M5" i="20"/>
  <c r="E5" i="20"/>
  <c r="EU4" i="20"/>
  <c r="EM4" i="20"/>
  <c r="EE4" i="20"/>
  <c r="DW4" i="20"/>
  <c r="DO4" i="20"/>
  <c r="DG4" i="20"/>
  <c r="CY4" i="20"/>
  <c r="CQ4" i="20"/>
  <c r="CI4" i="20"/>
  <c r="CA4" i="20"/>
  <c r="BS4" i="20"/>
  <c r="BK4" i="20"/>
  <c r="BC4" i="20"/>
  <c r="AU4" i="20"/>
  <c r="AM4" i="20"/>
  <c r="AE4" i="20"/>
  <c r="W4" i="20"/>
  <c r="O4" i="20"/>
  <c r="G4" i="20"/>
  <c r="EW5" i="19"/>
  <c r="EO5" i="19"/>
  <c r="EG5" i="19"/>
  <c r="DY5" i="19"/>
  <c r="DQ5" i="19"/>
  <c r="DI5" i="19"/>
  <c r="DA5" i="19"/>
  <c r="CS5" i="19"/>
  <c r="CK5" i="19"/>
  <c r="CC5" i="19"/>
  <c r="BU5" i="19"/>
  <c r="BM5" i="19"/>
  <c r="BE5" i="19"/>
  <c r="AW5" i="19"/>
  <c r="AO5" i="19"/>
  <c r="AG5" i="19"/>
  <c r="Y5" i="19"/>
  <c r="Q5" i="19"/>
  <c r="I5" i="19"/>
  <c r="A5" i="19"/>
  <c r="EQ4" i="19"/>
  <c r="EI4" i="19"/>
  <c r="EA4" i="19"/>
  <c r="DS4" i="19"/>
  <c r="DK4" i="19"/>
  <c r="DC4" i="19"/>
  <c r="CU4" i="19"/>
  <c r="CM4" i="19"/>
  <c r="CE4" i="19"/>
  <c r="BW4" i="19"/>
  <c r="BO4" i="19"/>
  <c r="BG4" i="19"/>
  <c r="AY4" i="19"/>
  <c r="AQ4" i="19"/>
  <c r="AI4" i="19"/>
  <c r="AA4" i="19"/>
  <c r="S4" i="19"/>
  <c r="K4" i="19"/>
  <c r="C4" i="19"/>
  <c r="FF5" i="18"/>
  <c r="EX5" i="18"/>
  <c r="EP5" i="18"/>
  <c r="EH5" i="18"/>
  <c r="DZ5" i="18"/>
  <c r="DR5" i="18"/>
  <c r="DJ5" i="18"/>
  <c r="DB5" i="18"/>
  <c r="CT5" i="18"/>
  <c r="CL5" i="18"/>
  <c r="CD5" i="18"/>
  <c r="BV5" i="18"/>
  <c r="BN5" i="18"/>
  <c r="BF5" i="18"/>
  <c r="AX5" i="18"/>
  <c r="AP5" i="18"/>
  <c r="AH5" i="18"/>
  <c r="Z5" i="18"/>
  <c r="R5" i="18"/>
  <c r="J5" i="18"/>
  <c r="B5" i="18"/>
  <c r="FE4" i="18"/>
  <c r="EW4" i="18"/>
  <c r="EO4" i="18"/>
  <c r="EG4" i="18"/>
  <c r="DY4" i="18"/>
  <c r="DQ4" i="18"/>
  <c r="DI4" i="18"/>
  <c r="DA4" i="18"/>
  <c r="CS4" i="18"/>
  <c r="CK4" i="18"/>
  <c r="CC4" i="18"/>
  <c r="BU4" i="18"/>
  <c r="BM4" i="18"/>
  <c r="BE4" i="18"/>
  <c r="AW4" i="18"/>
  <c r="AO4" i="18"/>
  <c r="AG4" i="18"/>
  <c r="Y4" i="18"/>
  <c r="Q4" i="18"/>
  <c r="I4" i="18"/>
  <c r="EQ5" i="17"/>
  <c r="EI5" i="17"/>
  <c r="EA5" i="17"/>
  <c r="CI5" i="20"/>
  <c r="BP5" i="20"/>
  <c r="BH5" i="20"/>
  <c r="AZ5" i="20"/>
  <c r="AR5" i="20"/>
  <c r="AJ5" i="20"/>
  <c r="AB5" i="20"/>
  <c r="T5" i="20"/>
  <c r="L5" i="20"/>
  <c r="D5" i="20"/>
  <c r="ET4" i="20"/>
  <c r="EL4" i="20"/>
  <c r="ED4" i="20"/>
  <c r="DV4" i="20"/>
  <c r="DN4" i="20"/>
  <c r="DF4" i="20"/>
  <c r="CX4" i="20"/>
  <c r="CP4" i="20"/>
  <c r="CH4" i="20"/>
  <c r="BZ4" i="20"/>
  <c r="BR4" i="20"/>
  <c r="BJ4" i="20"/>
  <c r="BB4" i="20"/>
  <c r="AT4" i="20"/>
  <c r="AL4" i="20"/>
  <c r="AD4" i="20"/>
  <c r="V4" i="20"/>
  <c r="N4" i="20"/>
  <c r="F4" i="20"/>
  <c r="EV5" i="19"/>
  <c r="EN5" i="19"/>
  <c r="EF5" i="19"/>
  <c r="DX5" i="19"/>
  <c r="DP5" i="19"/>
  <c r="DH5" i="19"/>
  <c r="CZ5" i="19"/>
  <c r="CR5" i="19"/>
  <c r="CJ5" i="19"/>
  <c r="CB5" i="19"/>
  <c r="BT5" i="19"/>
  <c r="BL5" i="19"/>
  <c r="BD5" i="19"/>
  <c r="AV5" i="19"/>
  <c r="AN5" i="19"/>
  <c r="AF5" i="19"/>
  <c r="X5" i="19"/>
  <c r="P5" i="19"/>
  <c r="H5" i="19"/>
  <c r="EX4" i="19"/>
  <c r="EP4" i="19"/>
  <c r="EH4" i="19"/>
  <c r="DZ4" i="19"/>
  <c r="DR4" i="19"/>
  <c r="DJ4" i="19"/>
  <c r="DB4" i="19"/>
  <c r="CT4" i="19"/>
  <c r="CL4" i="19"/>
  <c r="CD4" i="19"/>
  <c r="BV4" i="19"/>
  <c r="BN4" i="19"/>
  <c r="BF4" i="19"/>
  <c r="AX4" i="19"/>
  <c r="AP4" i="19"/>
  <c r="AH4" i="19"/>
  <c r="Z4" i="19"/>
  <c r="R4" i="19"/>
  <c r="J4" i="19"/>
  <c r="B4" i="19"/>
  <c r="FE5" i="18"/>
  <c r="EW5" i="18"/>
  <c r="EO5" i="18"/>
  <c r="EG5" i="18"/>
  <c r="DY5" i="18"/>
  <c r="DQ5" i="18"/>
  <c r="DI5" i="18"/>
  <c r="DA5" i="18"/>
  <c r="CS5" i="18"/>
  <c r="CK5" i="18"/>
  <c r="CC5" i="18"/>
  <c r="BU5" i="18"/>
  <c r="BM5" i="18"/>
  <c r="BE5" i="18"/>
  <c r="AW5" i="18"/>
  <c r="AO5" i="18"/>
  <c r="AG5" i="18"/>
  <c r="Y5" i="18"/>
  <c r="Q5" i="18"/>
  <c r="I5" i="18"/>
  <c r="A5" i="18"/>
  <c r="FD4" i="18"/>
  <c r="EV4" i="18"/>
  <c r="EN4" i="18"/>
  <c r="EF4" i="18"/>
  <c r="DX4" i="18"/>
  <c r="DP4" i="18"/>
  <c r="DH4" i="18"/>
  <c r="CZ4" i="18"/>
  <c r="CR4" i="18"/>
  <c r="CJ4" i="18"/>
  <c r="CB4" i="18"/>
  <c r="BT4" i="18"/>
  <c r="BL4" i="18"/>
  <c r="BD4" i="18"/>
  <c r="AV4" i="18"/>
  <c r="AN4" i="18"/>
  <c r="AF4" i="18"/>
  <c r="X4" i="18"/>
  <c r="P4" i="18"/>
  <c r="H4" i="1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CA5" i="20"/>
  <c r="BO5" i="20"/>
  <c r="BG5" i="20"/>
  <c r="AY5" i="20"/>
  <c r="AQ5" i="20"/>
  <c r="AI5" i="20"/>
  <c r="AA5" i="20"/>
  <c r="S5" i="20"/>
  <c r="K5" i="20"/>
  <c r="C5" i="20"/>
  <c r="ES4" i="20"/>
  <c r="EK4" i="20"/>
  <c r="EC4" i="20"/>
  <c r="DU4" i="20"/>
  <c r="DM4" i="20"/>
  <c r="DE4" i="20"/>
  <c r="CW4" i="20"/>
  <c r="CO4" i="20"/>
  <c r="CG4" i="20"/>
  <c r="BY4" i="20"/>
  <c r="BQ4" i="20"/>
  <c r="BI4" i="20"/>
  <c r="BA4" i="20"/>
  <c r="AS4" i="20"/>
  <c r="AK4" i="20"/>
  <c r="AC4" i="20"/>
  <c r="U4" i="20"/>
  <c r="M4" i="20"/>
  <c r="E4" i="20"/>
  <c r="EU5" i="19"/>
  <c r="EM5" i="19"/>
  <c r="EE5" i="19"/>
  <c r="DW5" i="19"/>
  <c r="DO5" i="19"/>
  <c r="DG5" i="19"/>
  <c r="CY5" i="19"/>
  <c r="CQ5" i="19"/>
  <c r="CI5" i="19"/>
  <c r="CA5" i="19"/>
  <c r="BS5" i="19"/>
  <c r="BK5" i="19"/>
  <c r="BC5" i="19"/>
  <c r="AU5" i="19"/>
  <c r="AM5" i="19"/>
  <c r="AE5" i="19"/>
  <c r="W5" i="19"/>
  <c r="O5" i="19"/>
  <c r="G5" i="19"/>
  <c r="EW4" i="19"/>
  <c r="EO4" i="19"/>
  <c r="EG4" i="19"/>
  <c r="DY4" i="19"/>
  <c r="DQ4" i="19"/>
  <c r="DI4" i="19"/>
  <c r="DA4" i="19"/>
  <c r="CS4" i="19"/>
  <c r="CK4" i="19"/>
  <c r="CC4" i="19"/>
  <c r="BU4" i="19"/>
  <c r="BM4" i="19"/>
  <c r="BE4" i="19"/>
  <c r="AW4" i="19"/>
  <c r="AO4" i="19"/>
  <c r="AG4" i="19"/>
  <c r="Y4" i="19"/>
  <c r="Q4" i="19"/>
  <c r="I4" i="19"/>
  <c r="FD5" i="18"/>
  <c r="EV5" i="18"/>
  <c r="EN5" i="18"/>
  <c r="EF5" i="18"/>
  <c r="DX5" i="18"/>
  <c r="DP5" i="18"/>
  <c r="DH5" i="18"/>
  <c r="CZ5" i="18"/>
  <c r="CR5" i="18"/>
  <c r="CJ5" i="18"/>
  <c r="CB5" i="18"/>
  <c r="BT5" i="18"/>
  <c r="BL5" i="18"/>
  <c r="BD5" i="18"/>
  <c r="AV5" i="18"/>
  <c r="AN5" i="18"/>
  <c r="AF5" i="18"/>
  <c r="X5" i="18"/>
  <c r="P5" i="18"/>
  <c r="H5" i="18"/>
  <c r="FK4" i="18"/>
  <c r="FC4" i="18"/>
  <c r="EU4" i="18"/>
  <c r="EM4" i="18"/>
  <c r="EE4" i="18"/>
  <c r="DW4" i="18"/>
  <c r="DO4" i="18"/>
  <c r="DG4" i="18"/>
  <c r="CY4" i="18"/>
  <c r="CQ4" i="18"/>
  <c r="CI4" i="18"/>
  <c r="CA4" i="18"/>
  <c r="BS4" i="18"/>
  <c r="BK4" i="18"/>
  <c r="BC4" i="18"/>
  <c r="AU4" i="18"/>
  <c r="AM4" i="18"/>
  <c r="AE4" i="18"/>
  <c r="W4" i="18"/>
  <c r="O4" i="18"/>
  <c r="G4" i="18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BW5" i="20"/>
  <c r="BN5" i="20"/>
  <c r="BF5" i="20"/>
  <c r="AX5" i="20"/>
  <c r="AP5" i="20"/>
  <c r="AH5" i="20"/>
  <c r="Z5" i="20"/>
  <c r="R5" i="20"/>
  <c r="J5" i="20"/>
  <c r="B5" i="20"/>
  <c r="ER4" i="20"/>
  <c r="EJ4" i="20"/>
  <c r="EB4" i="20"/>
  <c r="DT4" i="20"/>
  <c r="DL4" i="20"/>
  <c r="DD4" i="20"/>
  <c r="CV4" i="20"/>
  <c r="CN4" i="20"/>
  <c r="CF4" i="20"/>
  <c r="BX4" i="20"/>
  <c r="BP4" i="20"/>
  <c r="BH4" i="20"/>
  <c r="AZ4" i="20"/>
  <c r="AR4" i="20"/>
  <c r="AJ4" i="20"/>
  <c r="AB4" i="20"/>
  <c r="T4" i="20"/>
  <c r="L4" i="20"/>
  <c r="D4" i="20"/>
  <c r="ET5" i="19"/>
  <c r="EL5" i="19"/>
  <c r="ED5" i="19"/>
  <c r="DV5" i="19"/>
  <c r="DN5" i="19"/>
  <c r="DF5" i="19"/>
  <c r="CX5" i="19"/>
  <c r="CP5" i="19"/>
  <c r="CH5" i="19"/>
  <c r="BZ5" i="19"/>
  <c r="BR5" i="19"/>
  <c r="BJ5" i="19"/>
  <c r="BB5" i="19"/>
  <c r="AT5" i="19"/>
  <c r="AL5" i="19"/>
  <c r="AD5" i="19"/>
  <c r="V5" i="19"/>
  <c r="N5" i="19"/>
  <c r="F5" i="19"/>
  <c r="EV4" i="19"/>
  <c r="EN4" i="19"/>
  <c r="EF4" i="19"/>
  <c r="DX4" i="19"/>
  <c r="DP4" i="19"/>
  <c r="DH4" i="19"/>
  <c r="CZ4" i="19"/>
  <c r="CR4" i="19"/>
  <c r="CJ4" i="19"/>
  <c r="CB4" i="19"/>
  <c r="BT4" i="19"/>
  <c r="BL4" i="19"/>
  <c r="BD4" i="19"/>
  <c r="AV4" i="19"/>
  <c r="AN4" i="19"/>
  <c r="AF4" i="19"/>
  <c r="X4" i="19"/>
  <c r="P4" i="19"/>
  <c r="H4" i="19"/>
  <c r="FK5" i="18"/>
  <c r="FC5" i="18"/>
  <c r="EU5" i="18"/>
  <c r="EM5" i="18"/>
  <c r="EE5" i="18"/>
  <c r="DW5" i="18"/>
  <c r="DO5" i="18"/>
  <c r="DG5" i="18"/>
  <c r="CY5" i="18"/>
  <c r="CQ5" i="18"/>
  <c r="CI5" i="18"/>
  <c r="CA5" i="18"/>
  <c r="BS5" i="18"/>
  <c r="BC5" i="18"/>
  <c r="AU5" i="18"/>
  <c r="AM5" i="18"/>
  <c r="AE5" i="18"/>
  <c r="W5" i="18"/>
  <c r="O5" i="18"/>
  <c r="G5" i="18"/>
  <c r="FJ4" i="18"/>
  <c r="FB4" i="18"/>
  <c r="ET4" i="18"/>
  <c r="EL4" i="18"/>
  <c r="ED4" i="18"/>
  <c r="DV4" i="18"/>
  <c r="DN4" i="18"/>
  <c r="DF4" i="18"/>
  <c r="CX4" i="18"/>
  <c r="CP4" i="18"/>
  <c r="CH4" i="18"/>
  <c r="BZ4" i="18"/>
  <c r="BR4" i="18"/>
  <c r="BJ4" i="18"/>
  <c r="BB4" i="18"/>
  <c r="AT4" i="18"/>
  <c r="AL4" i="18"/>
  <c r="AD4" i="18"/>
  <c r="V4" i="18"/>
  <c r="N4" i="18"/>
  <c r="F4" i="18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BU5" i="20"/>
  <c r="BM5" i="20"/>
  <c r="BE5" i="20"/>
  <c r="AW5" i="20"/>
  <c r="AO5" i="20"/>
  <c r="AG5" i="20"/>
  <c r="Y5" i="20"/>
  <c r="Q5" i="20"/>
  <c r="I5" i="20"/>
  <c r="A5" i="20"/>
  <c r="EQ4" i="20"/>
  <c r="EI4" i="20"/>
  <c r="EA4" i="20"/>
  <c r="DS4" i="20"/>
  <c r="DK4" i="20"/>
  <c r="DC4" i="20"/>
  <c r="CU4" i="20"/>
  <c r="CM4" i="20"/>
  <c r="CE4" i="20"/>
  <c r="BW4" i="20"/>
  <c r="BO4" i="20"/>
  <c r="BG4" i="20"/>
  <c r="AY4" i="20"/>
  <c r="AQ4" i="20"/>
  <c r="AI4" i="20"/>
  <c r="AA4" i="20"/>
  <c r="S4" i="20"/>
  <c r="K4" i="20"/>
  <c r="C4" i="20"/>
  <c r="ES5" i="19"/>
  <c r="EK5" i="19"/>
  <c r="EC5" i="19"/>
  <c r="DU5" i="19"/>
  <c r="DM5" i="19"/>
  <c r="DE5" i="19"/>
  <c r="CW5" i="19"/>
  <c r="CO5" i="19"/>
  <c r="CG5" i="19"/>
  <c r="BY5" i="19"/>
  <c r="BQ5" i="19"/>
  <c r="BI5" i="19"/>
  <c r="BA5" i="19"/>
  <c r="AS5" i="19"/>
  <c r="AK5" i="19"/>
  <c r="AC5" i="19"/>
  <c r="U5" i="19"/>
  <c r="M5" i="19"/>
  <c r="E5" i="19"/>
  <c r="EU4" i="19"/>
  <c r="EM4" i="19"/>
  <c r="EE4" i="19"/>
  <c r="DW4" i="19"/>
  <c r="DO4" i="19"/>
  <c r="DG4" i="19"/>
  <c r="CY4" i="19"/>
  <c r="CQ4" i="19"/>
  <c r="CI4" i="19"/>
  <c r="CA4" i="19"/>
  <c r="BS4" i="19"/>
  <c r="BK4" i="19"/>
  <c r="BC4" i="19"/>
  <c r="AU4" i="19"/>
  <c r="AM4" i="19"/>
  <c r="AE4" i="19"/>
  <c r="W4" i="19"/>
  <c r="O4" i="19"/>
  <c r="G4" i="19"/>
  <c r="FJ5" i="18"/>
  <c r="FB5" i="18"/>
  <c r="ET5" i="18"/>
  <c r="EL5" i="18"/>
  <c r="ED5" i="18"/>
  <c r="DV5" i="18"/>
  <c r="DN5" i="18"/>
  <c r="DF5" i="18"/>
  <c r="CX5" i="18"/>
  <c r="CP5" i="18"/>
  <c r="CH5" i="18"/>
  <c r="BZ5" i="18"/>
  <c r="BR5" i="18"/>
  <c r="BJ5" i="18"/>
  <c r="BB5" i="18"/>
  <c r="AT5" i="18"/>
  <c r="AL5" i="18"/>
  <c r="AD5" i="18"/>
  <c r="V5" i="18"/>
  <c r="N5" i="18"/>
  <c r="F5" i="18"/>
  <c r="FI4" i="18"/>
  <c r="FA4" i="18"/>
  <c r="ES4" i="18"/>
  <c r="EK4" i="18"/>
  <c r="EC4" i="18"/>
  <c r="DU4" i="18"/>
  <c r="DM4" i="18"/>
  <c r="DE4" i="18"/>
  <c r="CW4" i="18"/>
  <c r="CO4" i="18"/>
  <c r="CG4" i="18"/>
  <c r="BY4" i="18"/>
  <c r="BQ4" i="18"/>
  <c r="BI4" i="18"/>
  <c r="BA4" i="18"/>
  <c r="AS4" i="18"/>
  <c r="AK4" i="18"/>
  <c r="AC4" i="18"/>
  <c r="U4" i="18"/>
  <c r="M4" i="18"/>
  <c r="E4" i="18"/>
  <c r="EU5" i="17"/>
  <c r="EM5" i="17"/>
  <c r="EE5" i="17"/>
  <c r="DW5" i="17"/>
  <c r="DO5" i="17"/>
  <c r="DG5" i="17"/>
  <c r="CY5" i="17"/>
  <c r="CQ5" i="17"/>
  <c r="CI5" i="17"/>
  <c r="CA5" i="17"/>
  <c r="BS5" i="17"/>
  <c r="BK5" i="17"/>
  <c r="BC5" i="17"/>
  <c r="AU5" i="17"/>
  <c r="AM5" i="17"/>
  <c r="AE5" i="17"/>
  <c r="W5" i="17"/>
  <c r="O5" i="17"/>
  <c r="BT5" i="20"/>
  <c r="BL5" i="20"/>
  <c r="BD5" i="20"/>
  <c r="AV5" i="20"/>
  <c r="AN5" i="20"/>
  <c r="AF5" i="20"/>
  <c r="X5" i="20"/>
  <c r="P5" i="20"/>
  <c r="H5" i="20"/>
  <c r="EX4" i="20"/>
  <c r="EP4" i="20"/>
  <c r="EH4" i="20"/>
  <c r="DZ4" i="20"/>
  <c r="DR4" i="20"/>
  <c r="DJ4" i="20"/>
  <c r="DB4" i="20"/>
  <c r="CT4" i="20"/>
  <c r="CL4" i="20"/>
  <c r="CD4" i="20"/>
  <c r="BV4" i="20"/>
  <c r="BN4" i="20"/>
  <c r="BF4" i="20"/>
  <c r="AX4" i="20"/>
  <c r="AP4" i="20"/>
  <c r="AH4" i="20"/>
  <c r="Z4" i="20"/>
  <c r="R4" i="20"/>
  <c r="J4" i="20"/>
  <c r="B4" i="20"/>
  <c r="ER5" i="19"/>
  <c r="EJ5" i="19"/>
  <c r="EB5" i="19"/>
  <c r="DT5" i="19"/>
  <c r="DL5" i="19"/>
  <c r="DD5" i="19"/>
  <c r="CV5" i="19"/>
  <c r="CN5" i="19"/>
  <c r="CF5" i="19"/>
  <c r="BX5" i="19"/>
  <c r="BP5" i="19"/>
  <c r="BH5" i="19"/>
  <c r="AZ5" i="19"/>
  <c r="AR5" i="19"/>
  <c r="AJ5" i="19"/>
  <c r="AB5" i="19"/>
  <c r="T5" i="19"/>
  <c r="L5" i="19"/>
  <c r="D5" i="19"/>
  <c r="ET4" i="19"/>
  <c r="EL4" i="19"/>
  <c r="ED4" i="19"/>
  <c r="DV4" i="19"/>
  <c r="DN4" i="19"/>
  <c r="DF4" i="19"/>
  <c r="CX4" i="19"/>
  <c r="CP4" i="19"/>
  <c r="CH4" i="19"/>
  <c r="BZ4" i="19"/>
  <c r="BR4" i="19"/>
  <c r="BJ4" i="19"/>
  <c r="BB4" i="19"/>
  <c r="AT4" i="19"/>
  <c r="AL4" i="19"/>
  <c r="AD4" i="19"/>
  <c r="V4" i="19"/>
  <c r="N4" i="19"/>
  <c r="F4" i="19"/>
  <c r="FI5" i="18"/>
  <c r="FA5" i="18"/>
  <c r="ES5" i="18"/>
  <c r="EK5" i="18"/>
  <c r="EC5" i="18"/>
  <c r="DU5" i="18"/>
  <c r="DM5" i="18"/>
  <c r="DE5" i="18"/>
  <c r="CW5" i="18"/>
  <c r="CO5" i="18"/>
  <c r="CG5" i="18"/>
  <c r="BY5" i="18"/>
  <c r="BQ5" i="18"/>
  <c r="BI5" i="18"/>
  <c r="BA5" i="18"/>
  <c r="AS5" i="18"/>
  <c r="AK5" i="18"/>
  <c r="AC5" i="18"/>
  <c r="U5" i="18"/>
  <c r="M5" i="18"/>
  <c r="E5" i="18"/>
  <c r="FH4" i="18"/>
  <c r="EZ4" i="18"/>
  <c r="ER4" i="18"/>
  <c r="EJ4" i="18"/>
  <c r="EB4" i="18"/>
  <c r="DT4" i="18"/>
  <c r="DL4" i="18"/>
  <c r="DD4" i="18"/>
  <c r="CV4" i="18"/>
  <c r="CN4" i="18"/>
  <c r="CF4" i="18"/>
  <c r="BX4" i="18"/>
  <c r="BP4" i="18"/>
  <c r="BH4" i="18"/>
  <c r="AZ4" i="18"/>
  <c r="AR4" i="18"/>
  <c r="AJ4" i="18"/>
  <c r="AB4" i="18"/>
  <c r="T4" i="18"/>
  <c r="L4" i="18"/>
  <c r="D4" i="18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BS5" i="20"/>
  <c r="BK5" i="20"/>
  <c r="BC5" i="20"/>
  <c r="AU5" i="20"/>
  <c r="AM5" i="20"/>
  <c r="AE5" i="20"/>
  <c r="W5" i="20"/>
  <c r="O5" i="20"/>
  <c r="G5" i="20"/>
  <c r="EW4" i="20"/>
  <c r="EO4" i="20"/>
  <c r="EG4" i="20"/>
  <c r="DY4" i="20"/>
  <c r="DQ4" i="20"/>
  <c r="DI4" i="20"/>
  <c r="DA4" i="20"/>
  <c r="CS4" i="20"/>
  <c r="CK4" i="20"/>
  <c r="CC4" i="20"/>
  <c r="BU4" i="20"/>
  <c r="BM4" i="20"/>
  <c r="BE4" i="20"/>
  <c r="AW4" i="20"/>
  <c r="AO4" i="20"/>
  <c r="AG4" i="20"/>
  <c r="Y4" i="20"/>
  <c r="Q4" i="20"/>
  <c r="I4" i="20"/>
  <c r="EQ5" i="19"/>
  <c r="EI5" i="19"/>
  <c r="EA5" i="19"/>
  <c r="DS5" i="19"/>
  <c r="DK5" i="19"/>
  <c r="DC5" i="19"/>
  <c r="CU5" i="19"/>
  <c r="CM5" i="19"/>
  <c r="CE5" i="19"/>
  <c r="BW5" i="19"/>
  <c r="BO5" i="19"/>
  <c r="BG5" i="19"/>
  <c r="AY5" i="19"/>
  <c r="AQ5" i="19"/>
  <c r="AI5" i="19"/>
  <c r="AA5" i="19"/>
  <c r="S5" i="19"/>
  <c r="K5" i="19"/>
  <c r="C5" i="19"/>
  <c r="ES4" i="19"/>
  <c r="EK4" i="19"/>
  <c r="EC4" i="19"/>
  <c r="DU4" i="19"/>
  <c r="DM4" i="19"/>
  <c r="DE4" i="19"/>
  <c r="CW4" i="19"/>
  <c r="CO4" i="19"/>
  <c r="CG4" i="19"/>
  <c r="BY4" i="19"/>
  <c r="BQ4" i="19"/>
  <c r="BI4" i="19"/>
  <c r="BA4" i="19"/>
  <c r="AS4" i="19"/>
  <c r="AK4" i="19"/>
  <c r="AC4" i="19"/>
  <c r="U4" i="19"/>
  <c r="M4" i="19"/>
  <c r="E4" i="19"/>
  <c r="FH5" i="18"/>
  <c r="EZ5" i="18"/>
  <c r="ER5" i="18"/>
  <c r="EJ5" i="18"/>
  <c r="EB5" i="18"/>
  <c r="DT5" i="18"/>
  <c r="DL5" i="18"/>
  <c r="DD5" i="18"/>
  <c r="CV5" i="18"/>
  <c r="CN5" i="18"/>
  <c r="CF5" i="18"/>
  <c r="BX5" i="18"/>
  <c r="BP5" i="18"/>
  <c r="BH5" i="18"/>
  <c r="AZ5" i="18"/>
  <c r="AR5" i="18"/>
  <c r="AJ5" i="18"/>
  <c r="AB5" i="18"/>
  <c r="T5" i="18"/>
  <c r="L5" i="18"/>
  <c r="D5" i="18"/>
  <c r="FG4" i="18"/>
  <c r="EY4" i="18"/>
  <c r="EQ4" i="18"/>
  <c r="EI4" i="18"/>
  <c r="EA4" i="18"/>
  <c r="DS4" i="18"/>
  <c r="DK4" i="18"/>
  <c r="DC4" i="18"/>
  <c r="CU4" i="18"/>
  <c r="CM4" i="18"/>
  <c r="CE4" i="18"/>
  <c r="BW4" i="18"/>
  <c r="BO4" i="18"/>
  <c r="BG4" i="18"/>
  <c r="AY4" i="18"/>
  <c r="AQ4" i="18"/>
  <c r="AI4" i="18"/>
  <c r="AA4" i="18"/>
  <c r="S4" i="18"/>
  <c r="K4" i="18"/>
  <c r="C4" i="18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BR5" i="20"/>
  <c r="BJ5" i="20"/>
  <c r="BB5" i="20"/>
  <c r="AT5" i="20"/>
  <c r="AL5" i="20"/>
  <c r="AD5" i="20"/>
  <c r="V5" i="20"/>
  <c r="N5" i="20"/>
  <c r="F5" i="20"/>
  <c r="EV4" i="20"/>
  <c r="EN4" i="20"/>
  <c r="EF4" i="20"/>
  <c r="DX4" i="20"/>
  <c r="DP4" i="20"/>
  <c r="DH4" i="20"/>
  <c r="CZ4" i="20"/>
  <c r="CR4" i="20"/>
  <c r="CJ4" i="20"/>
  <c r="CB4" i="20"/>
  <c r="BT4" i="20"/>
  <c r="BL4" i="20"/>
  <c r="BD4" i="20"/>
  <c r="AV4" i="20"/>
  <c r="AN4" i="20"/>
  <c r="AF4" i="20"/>
  <c r="X4" i="20"/>
  <c r="P4" i="20"/>
  <c r="H4" i="20"/>
  <c r="EX5" i="19"/>
  <c r="EP5" i="19"/>
  <c r="EH5" i="19"/>
  <c r="DZ5" i="19"/>
  <c r="DR5" i="19"/>
  <c r="DJ5" i="19"/>
  <c r="DB5" i="19"/>
  <c r="CT5" i="19"/>
  <c r="CL5" i="19"/>
  <c r="CD5" i="19"/>
  <c r="BV5" i="19"/>
  <c r="BN5" i="19"/>
  <c r="BF5" i="19"/>
  <c r="AX5" i="19"/>
  <c r="AP5" i="19"/>
  <c r="AH5" i="19"/>
  <c r="Z5" i="19"/>
  <c r="R5" i="19"/>
  <c r="J5" i="19"/>
  <c r="B5" i="19"/>
  <c r="ER4" i="19"/>
  <c r="EJ4" i="19"/>
  <c r="EB4" i="19"/>
  <c r="DT4" i="19"/>
  <c r="DL4" i="19"/>
  <c r="DD4" i="19"/>
  <c r="CV4" i="19"/>
  <c r="CN4" i="19"/>
  <c r="CF4" i="19"/>
  <c r="BX4" i="19"/>
  <c r="BP4" i="19"/>
  <c r="BH4" i="19"/>
  <c r="AZ4" i="19"/>
  <c r="AR4" i="19"/>
  <c r="AJ4" i="19"/>
  <c r="AB4" i="19"/>
  <c r="T4" i="19"/>
  <c r="L4" i="19"/>
  <c r="D4" i="19"/>
  <c r="FG5" i="18"/>
  <c r="EY5" i="18"/>
  <c r="EQ5" i="18"/>
  <c r="EI5" i="18"/>
  <c r="EA5" i="18"/>
  <c r="DS5" i="18"/>
  <c r="DK5" i="18"/>
  <c r="DC5" i="18"/>
  <c r="CU5" i="18"/>
  <c r="CM5" i="18"/>
  <c r="CE5" i="18"/>
  <c r="BW5" i="18"/>
  <c r="BO5" i="18"/>
  <c r="BG5" i="18"/>
  <c r="AY5" i="18"/>
  <c r="AQ5" i="18"/>
  <c r="AI5" i="18"/>
  <c r="AA5" i="18"/>
  <c r="S5" i="18"/>
  <c r="K5" i="18"/>
  <c r="C5" i="18"/>
  <c r="FF4" i="18"/>
  <c r="EX4" i="18"/>
  <c r="EP4" i="18"/>
  <c r="EH4" i="18"/>
  <c r="DZ4" i="18"/>
  <c r="DR4" i="18"/>
  <c r="DJ4" i="18"/>
  <c r="DB4" i="18"/>
  <c r="CT4" i="18"/>
  <c r="CL4" i="18"/>
  <c r="CD4" i="18"/>
  <c r="BV4" i="18"/>
  <c r="BN4" i="18"/>
  <c r="BF4" i="18"/>
  <c r="AX4" i="18"/>
  <c r="AP4" i="18"/>
  <c r="AH4" i="18"/>
  <c r="Z4" i="18"/>
  <c r="R4" i="18"/>
  <c r="J4" i="18"/>
  <c r="B4" i="18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DS5" i="17"/>
  <c r="BG5" i="17"/>
  <c r="L5" i="17"/>
  <c r="C5" i="17"/>
  <c r="ES4" i="17"/>
  <c r="EK4" i="17"/>
  <c r="EC4" i="17"/>
  <c r="DU4" i="17"/>
  <c r="DM4" i="17"/>
  <c r="DE4" i="17"/>
  <c r="CW4" i="17"/>
  <c r="CO4" i="17"/>
  <c r="CG4" i="17"/>
  <c r="BY4" i="17"/>
  <c r="BQ4" i="17"/>
  <c r="BI4" i="17"/>
  <c r="BA4" i="17"/>
  <c r="AS4" i="17"/>
  <c r="AK4" i="17"/>
  <c r="AC4" i="17"/>
  <c r="U4" i="17"/>
  <c r="M4" i="17"/>
  <c r="E4" i="17"/>
  <c r="EU5" i="16"/>
  <c r="EM5" i="16"/>
  <c r="EE5" i="16"/>
  <c r="DW5" i="16"/>
  <c r="DO5" i="16"/>
  <c r="DG5" i="16"/>
  <c r="CY5" i="16"/>
  <c r="CQ5" i="16"/>
  <c r="CI5" i="16"/>
  <c r="CA5" i="16"/>
  <c r="BS5" i="16"/>
  <c r="BK5" i="16"/>
  <c r="BC5" i="16"/>
  <c r="AU5" i="16"/>
  <c r="AM5" i="16"/>
  <c r="AE5" i="16"/>
  <c r="W5" i="16"/>
  <c r="O5" i="16"/>
  <c r="G5" i="16"/>
  <c r="EW4" i="16"/>
  <c r="EO4" i="16"/>
  <c r="EG4" i="16"/>
  <c r="DY4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ES4" i="15"/>
  <c r="EK4" i="15"/>
  <c r="EC4" i="15"/>
  <c r="DU4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EU5" i="14"/>
  <c r="EM5" i="14"/>
  <c r="EE5" i="14"/>
  <c r="DW5" i="14"/>
  <c r="DO5" i="14"/>
  <c r="DG5" i="14"/>
  <c r="CY5" i="14"/>
  <c r="CQ5" i="14"/>
  <c r="CI5" i="14"/>
  <c r="CA5" i="14"/>
  <c r="BS5" i="14"/>
  <c r="BK5" i="14"/>
  <c r="BC5" i="14"/>
  <c r="AU5" i="14"/>
  <c r="AM5" i="14"/>
  <c r="AE5" i="14"/>
  <c r="W5" i="14"/>
  <c r="O5" i="14"/>
  <c r="G5" i="14"/>
  <c r="EW4" i="14"/>
  <c r="EO4" i="14"/>
  <c r="EG4" i="14"/>
  <c r="DY4" i="14"/>
  <c r="DQ4" i="14"/>
  <c r="DI4" i="14"/>
  <c r="DA4" i="14"/>
  <c r="CS4" i="14"/>
  <c r="CK4" i="14"/>
  <c r="DK5" i="17"/>
  <c r="AY5" i="17"/>
  <c r="K5" i="17"/>
  <c r="B5" i="17"/>
  <c r="ER4" i="17"/>
  <c r="EJ4" i="17"/>
  <c r="EB4" i="17"/>
  <c r="DT4" i="17"/>
  <c r="DL4" i="17"/>
  <c r="DD4" i="17"/>
  <c r="CV4" i="17"/>
  <c r="CN4" i="17"/>
  <c r="CF4" i="17"/>
  <c r="BX4" i="17"/>
  <c r="BP4" i="17"/>
  <c r="BH4" i="17"/>
  <c r="AZ4" i="17"/>
  <c r="AR4" i="17"/>
  <c r="AJ4" i="17"/>
  <c r="AB4" i="17"/>
  <c r="T4" i="17"/>
  <c r="L4" i="17"/>
  <c r="D4" i="17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EV4" i="16"/>
  <c r="EN4" i="16"/>
  <c r="EF4" i="16"/>
  <c r="DX4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ER4" i="15"/>
  <c r="EJ4" i="15"/>
  <c r="EB4" i="15"/>
  <c r="DT4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ET5" i="14"/>
  <c r="EL5" i="14"/>
  <c r="ED5" i="14"/>
  <c r="DV5" i="14"/>
  <c r="DN5" i="14"/>
  <c r="DF5" i="14"/>
  <c r="CX5" i="14"/>
  <c r="CP5" i="14"/>
  <c r="CH5" i="14"/>
  <c r="BZ5" i="14"/>
  <c r="BR5" i="14"/>
  <c r="BJ5" i="14"/>
  <c r="BB5" i="14"/>
  <c r="AT5" i="14"/>
  <c r="AL5" i="14"/>
  <c r="AD5" i="14"/>
  <c r="V5" i="14"/>
  <c r="N5" i="14"/>
  <c r="F5" i="14"/>
  <c r="EV4" i="14"/>
  <c r="EN4" i="14"/>
  <c r="EF4" i="14"/>
  <c r="DX4" i="14"/>
  <c r="DP4" i="14"/>
  <c r="DH4" i="14"/>
  <c r="CZ4" i="14"/>
  <c r="CR4" i="14"/>
  <c r="CJ4" i="14"/>
  <c r="DC5" i="17"/>
  <c r="AQ5" i="17"/>
  <c r="I5" i="17"/>
  <c r="A5" i="17"/>
  <c r="EQ4" i="17"/>
  <c r="EI4" i="17"/>
  <c r="EA4" i="17"/>
  <c r="DS4" i="17"/>
  <c r="DK4" i="17"/>
  <c r="DC4" i="17"/>
  <c r="CU4" i="17"/>
  <c r="CM4" i="17"/>
  <c r="CE4" i="17"/>
  <c r="BW4" i="17"/>
  <c r="BO4" i="17"/>
  <c r="BG4" i="17"/>
  <c r="AY4" i="17"/>
  <c r="AQ4" i="17"/>
  <c r="AI4" i="17"/>
  <c r="AA4" i="17"/>
  <c r="S4" i="17"/>
  <c r="K4" i="17"/>
  <c r="C4" i="17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EU4" i="16"/>
  <c r="EM4" i="16"/>
  <c r="EE4" i="16"/>
  <c r="DW4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EQ4" i="15"/>
  <c r="EI4" i="15"/>
  <c r="EA4" i="15"/>
  <c r="DS4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ES5" i="14"/>
  <c r="EK5" i="14"/>
  <c r="EC5" i="14"/>
  <c r="DU5" i="14"/>
  <c r="DM5" i="14"/>
  <c r="DE5" i="14"/>
  <c r="CW5" i="14"/>
  <c r="CO5" i="14"/>
  <c r="CG5" i="14"/>
  <c r="BY5" i="14"/>
  <c r="BQ5" i="14"/>
  <c r="BI5" i="14"/>
  <c r="BA5" i="14"/>
  <c r="AS5" i="14"/>
  <c r="AK5" i="14"/>
  <c r="AC5" i="14"/>
  <c r="U5" i="14"/>
  <c r="M5" i="14"/>
  <c r="E5" i="14"/>
  <c r="EU4" i="14"/>
  <c r="EM4" i="14"/>
  <c r="EE4" i="14"/>
  <c r="DW4" i="14"/>
  <c r="DO4" i="14"/>
  <c r="DG4" i="14"/>
  <c r="CY4" i="14"/>
  <c r="CQ4" i="14"/>
  <c r="CI4" i="14"/>
  <c r="CU5" i="17"/>
  <c r="AI5" i="17"/>
  <c r="H5" i="17"/>
  <c r="EX4" i="17"/>
  <c r="EP4" i="17"/>
  <c r="EH4" i="17"/>
  <c r="DZ4" i="17"/>
  <c r="DR4" i="17"/>
  <c r="DJ4" i="17"/>
  <c r="DB4" i="17"/>
  <c r="CT4" i="17"/>
  <c r="CL4" i="17"/>
  <c r="CD4" i="17"/>
  <c r="BV4" i="17"/>
  <c r="BN4" i="17"/>
  <c r="BF4" i="17"/>
  <c r="AX4" i="17"/>
  <c r="AP4" i="17"/>
  <c r="AH4" i="17"/>
  <c r="Z4" i="17"/>
  <c r="R4" i="17"/>
  <c r="J4" i="17"/>
  <c r="B4" i="17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ET4" i="16"/>
  <c r="EL4" i="16"/>
  <c r="ED4" i="16"/>
  <c r="DV4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EX4" i="15"/>
  <c r="EP4" i="15"/>
  <c r="EH4" i="15"/>
  <c r="DZ4" i="15"/>
  <c r="DR4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ER5" i="14"/>
  <c r="EJ5" i="14"/>
  <c r="EB5" i="14"/>
  <c r="DT5" i="14"/>
  <c r="DL5" i="14"/>
  <c r="DD5" i="14"/>
  <c r="CV5" i="14"/>
  <c r="CN5" i="14"/>
  <c r="CF5" i="14"/>
  <c r="BX5" i="14"/>
  <c r="BP5" i="14"/>
  <c r="BH5" i="14"/>
  <c r="AZ5" i="14"/>
  <c r="AR5" i="14"/>
  <c r="AJ5" i="14"/>
  <c r="AB5" i="14"/>
  <c r="T5" i="14"/>
  <c r="L5" i="14"/>
  <c r="D5" i="14"/>
  <c r="ET4" i="14"/>
  <c r="EL4" i="14"/>
  <c r="ED4" i="14"/>
  <c r="DV4" i="14"/>
  <c r="DN4" i="14"/>
  <c r="DF4" i="14"/>
  <c r="CX4" i="14"/>
  <c r="CP4" i="14"/>
  <c r="CM5" i="17"/>
  <c r="AA5" i="17"/>
  <c r="G5" i="17"/>
  <c r="EW4" i="17"/>
  <c r="EO4" i="17"/>
  <c r="EG4" i="17"/>
  <c r="DY4" i="17"/>
  <c r="DQ4" i="17"/>
  <c r="DI4" i="17"/>
  <c r="DA4" i="17"/>
  <c r="CS4" i="17"/>
  <c r="CK4" i="17"/>
  <c r="CC4" i="17"/>
  <c r="BU4" i="17"/>
  <c r="BM4" i="17"/>
  <c r="BE4" i="17"/>
  <c r="AW4" i="17"/>
  <c r="AO4" i="17"/>
  <c r="AG4" i="17"/>
  <c r="Y4" i="17"/>
  <c r="Q4" i="17"/>
  <c r="I4" i="17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ES4" i="16"/>
  <c r="EK4" i="16"/>
  <c r="EC4" i="16"/>
  <c r="DU4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EU5" i="15"/>
  <c r="EM5" i="15"/>
  <c r="EE5" i="15"/>
  <c r="DW5" i="15"/>
  <c r="DO5" i="15"/>
  <c r="DG5" i="15"/>
  <c r="CY5" i="15"/>
  <c r="CQ5" i="15"/>
  <c r="CI5" i="15"/>
  <c r="CA5" i="15"/>
  <c r="BS5" i="15"/>
  <c r="BK5" i="15"/>
  <c r="BC5" i="15"/>
  <c r="AU5" i="15"/>
  <c r="AM5" i="15"/>
  <c r="AE5" i="15"/>
  <c r="W5" i="15"/>
  <c r="O5" i="15"/>
  <c r="G5" i="15"/>
  <c r="EW4" i="15"/>
  <c r="EO4" i="15"/>
  <c r="EG4" i="15"/>
  <c r="DY4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EQ5" i="14"/>
  <c r="EI5" i="14"/>
  <c r="EA5" i="14"/>
  <c r="DS5" i="14"/>
  <c r="DK5" i="14"/>
  <c r="DC5" i="14"/>
  <c r="CU5" i="14"/>
  <c r="CM5" i="14"/>
  <c r="CE5" i="14"/>
  <c r="BW5" i="14"/>
  <c r="BO5" i="14"/>
  <c r="BG5" i="14"/>
  <c r="AY5" i="14"/>
  <c r="AQ5" i="14"/>
  <c r="AI5" i="14"/>
  <c r="AA5" i="14"/>
  <c r="S5" i="14"/>
  <c r="K5" i="14"/>
  <c r="C5" i="14"/>
  <c r="ES4" i="14"/>
  <c r="EK4" i="14"/>
  <c r="EC4" i="14"/>
  <c r="DU4" i="14"/>
  <c r="DM4" i="14"/>
  <c r="DE4" i="14"/>
  <c r="CW4" i="14"/>
  <c r="CO4" i="14"/>
  <c r="CG4" i="14"/>
  <c r="CE5" i="17"/>
  <c r="S5" i="17"/>
  <c r="F5" i="17"/>
  <c r="EV4" i="17"/>
  <c r="EN4" i="17"/>
  <c r="EF4" i="17"/>
  <c r="DX4" i="17"/>
  <c r="DP4" i="17"/>
  <c r="DH4" i="17"/>
  <c r="CZ4" i="17"/>
  <c r="CR4" i="17"/>
  <c r="CJ4" i="17"/>
  <c r="CB4" i="17"/>
  <c r="BT4" i="17"/>
  <c r="BL4" i="17"/>
  <c r="BD4" i="17"/>
  <c r="AV4" i="17"/>
  <c r="AN4" i="17"/>
  <c r="AF4" i="17"/>
  <c r="X4" i="17"/>
  <c r="P4" i="17"/>
  <c r="H4" i="17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ER4" i="16"/>
  <c r="EJ4" i="16"/>
  <c r="EB4" i="16"/>
  <c r="DT4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EV4" i="15"/>
  <c r="EN4" i="15"/>
  <c r="EF4" i="15"/>
  <c r="DX4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EX5" i="14"/>
  <c r="EP5" i="14"/>
  <c r="EH5" i="14"/>
  <c r="DZ5" i="14"/>
  <c r="DR5" i="14"/>
  <c r="DJ5" i="14"/>
  <c r="DB5" i="14"/>
  <c r="CT5" i="14"/>
  <c r="CL5" i="14"/>
  <c r="CD5" i="14"/>
  <c r="BV5" i="14"/>
  <c r="BN5" i="14"/>
  <c r="BF5" i="14"/>
  <c r="AX5" i="14"/>
  <c r="AP5" i="14"/>
  <c r="AH5" i="14"/>
  <c r="Z5" i="14"/>
  <c r="R5" i="14"/>
  <c r="J5" i="14"/>
  <c r="B5" i="14"/>
  <c r="ER4" i="14"/>
  <c r="EJ4" i="14"/>
  <c r="EB4" i="14"/>
  <c r="DT4" i="14"/>
  <c r="DL4" i="14"/>
  <c r="DD4" i="14"/>
  <c r="CV4" i="14"/>
  <c r="CN4" i="14"/>
  <c r="BW5" i="17"/>
  <c r="N5" i="17"/>
  <c r="E5" i="17"/>
  <c r="EU4" i="17"/>
  <c r="EM4" i="17"/>
  <c r="EE4" i="17"/>
  <c r="DW4" i="17"/>
  <c r="DO4" i="17"/>
  <c r="DG4" i="17"/>
  <c r="CY4" i="17"/>
  <c r="CQ4" i="17"/>
  <c r="CI4" i="17"/>
  <c r="CA4" i="17"/>
  <c r="BS4" i="17"/>
  <c r="BK4" i="17"/>
  <c r="BC4" i="17"/>
  <c r="AU4" i="17"/>
  <c r="AM4" i="17"/>
  <c r="AE4" i="17"/>
  <c r="W4" i="17"/>
  <c r="O4" i="17"/>
  <c r="G4" i="17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EQ4" i="16"/>
  <c r="EI4" i="16"/>
  <c r="EA4" i="16"/>
  <c r="DS4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EU4" i="15"/>
  <c r="EM4" i="15"/>
  <c r="EE4" i="15"/>
  <c r="DW4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EW5" i="14"/>
  <c r="EO5" i="14"/>
  <c r="EG5" i="14"/>
  <c r="DY5" i="14"/>
  <c r="DQ5" i="14"/>
  <c r="DI5" i="14"/>
  <c r="DA5" i="14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EQ4" i="14"/>
  <c r="EI4" i="14"/>
  <c r="EA4" i="14"/>
  <c r="DS4" i="14"/>
  <c r="DK4" i="14"/>
  <c r="DC4" i="14"/>
  <c r="CU4" i="14"/>
  <c r="CM4" i="14"/>
  <c r="BO5" i="17"/>
  <c r="M5" i="17"/>
  <c r="D5" i="17"/>
  <c r="ET4" i="17"/>
  <c r="EL4" i="17"/>
  <c r="ED4" i="17"/>
  <c r="DV4" i="17"/>
  <c r="DN4" i="17"/>
  <c r="DF4" i="17"/>
  <c r="CX4" i="17"/>
  <c r="CP4" i="17"/>
  <c r="CH4" i="17"/>
  <c r="BZ4" i="17"/>
  <c r="BR4" i="17"/>
  <c r="BJ4" i="17"/>
  <c r="BB4" i="17"/>
  <c r="AT4" i="17"/>
  <c r="AL4" i="17"/>
  <c r="AD4" i="17"/>
  <c r="V4" i="17"/>
  <c r="N4" i="17"/>
  <c r="F4" i="17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EX4" i="16"/>
  <c r="EP4" i="16"/>
  <c r="EH4" i="16"/>
  <c r="DZ4" i="16"/>
  <c r="DR4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ET4" i="15"/>
  <c r="EL4" i="15"/>
  <c r="ED4" i="15"/>
  <c r="DV4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EV5" i="14"/>
  <c r="EN5" i="14"/>
  <c r="EF5" i="14"/>
  <c r="DX5" i="14"/>
  <c r="DP5" i="14"/>
  <c r="DH5" i="14"/>
  <c r="CZ5" i="14"/>
  <c r="CR5" i="14"/>
  <c r="CJ5" i="14"/>
  <c r="CB5" i="14"/>
  <c r="BT5" i="14"/>
  <c r="BL5" i="14"/>
  <c r="BD5" i="14"/>
  <c r="AV5" i="14"/>
  <c r="AN5" i="14"/>
  <c r="AF5" i="14"/>
  <c r="X5" i="14"/>
  <c r="P5" i="14"/>
  <c r="H5" i="14"/>
  <c r="EX4" i="14"/>
  <c r="EP4" i="14"/>
  <c r="EH4" i="14"/>
  <c r="DZ4" i="14"/>
  <c r="DR4" i="14"/>
  <c r="DJ4" i="14"/>
  <c r="DB4" i="14"/>
  <c r="CT4" i="14"/>
  <c r="CL4" i="14"/>
  <c r="CH4" i="14"/>
  <c r="BY4" i="14"/>
  <c r="BQ4" i="14"/>
  <c r="BI4" i="14"/>
  <c r="BA4" i="14"/>
  <c r="AS4" i="14"/>
  <c r="AK4" i="14"/>
  <c r="AC4" i="14"/>
  <c r="U4" i="14"/>
  <c r="M4" i="14"/>
  <c r="E4" i="14"/>
  <c r="EU5" i="13"/>
  <c r="EM5" i="13"/>
  <c r="EE5" i="13"/>
  <c r="DW5" i="13"/>
  <c r="DO5" i="13"/>
  <c r="DG5" i="13"/>
  <c r="CY5" i="13"/>
  <c r="CQ5" i="13"/>
  <c r="CI5" i="13"/>
  <c r="CA5" i="13"/>
  <c r="BS5" i="13"/>
  <c r="BK5" i="13"/>
  <c r="BC5" i="13"/>
  <c r="AU5" i="13"/>
  <c r="AM5" i="13"/>
  <c r="AE5" i="13"/>
  <c r="W5" i="13"/>
  <c r="O5" i="13"/>
  <c r="G5" i="13"/>
  <c r="EW4" i="13"/>
  <c r="EO4" i="13"/>
  <c r="EG4" i="13"/>
  <c r="DY4" i="13"/>
  <c r="DQ4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ES4" i="12"/>
  <c r="EK4" i="12"/>
  <c r="EC4" i="12"/>
  <c r="DU4" i="12"/>
  <c r="DM4" i="12"/>
  <c r="DE4" i="12"/>
  <c r="CW4" i="12"/>
  <c r="CO4" i="12"/>
  <c r="CG4" i="12"/>
  <c r="BY4" i="12"/>
  <c r="BQ4" i="12"/>
  <c r="BI4" i="12"/>
  <c r="BA4" i="12"/>
  <c r="AS4" i="12"/>
  <c r="AK4" i="12"/>
  <c r="AC4" i="12"/>
  <c r="U4" i="12"/>
  <c r="M4" i="12"/>
  <c r="E4" i="12"/>
  <c r="EU5" i="11"/>
  <c r="EM5" i="11"/>
  <c r="EE5" i="11"/>
  <c r="DW5" i="11"/>
  <c r="DO5" i="11"/>
  <c r="DG5" i="11"/>
  <c r="CY5" i="11"/>
  <c r="CQ5" i="11"/>
  <c r="CI5" i="11"/>
  <c r="CA5" i="11"/>
  <c r="BS5" i="11"/>
  <c r="BK5" i="11"/>
  <c r="BC5" i="11"/>
  <c r="AU5" i="11"/>
  <c r="AM5" i="11"/>
  <c r="AE5" i="11"/>
  <c r="W5" i="11"/>
  <c r="O5" i="11"/>
  <c r="G5" i="11"/>
  <c r="EW4" i="11"/>
  <c r="EO4" i="11"/>
  <c r="EG4" i="11"/>
  <c r="DY4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CF4" i="14"/>
  <c r="BX4" i="14"/>
  <c r="BP4" i="14"/>
  <c r="BH4" i="14"/>
  <c r="AZ4" i="14"/>
  <c r="AR4" i="14"/>
  <c r="AJ4" i="14"/>
  <c r="AB4" i="14"/>
  <c r="T4" i="14"/>
  <c r="L4" i="14"/>
  <c r="D4" i="14"/>
  <c r="ET5" i="13"/>
  <c r="EL5" i="13"/>
  <c r="ED5" i="13"/>
  <c r="DV5" i="13"/>
  <c r="DN5" i="13"/>
  <c r="DF5" i="13"/>
  <c r="CX5" i="13"/>
  <c r="CP5" i="13"/>
  <c r="CH5" i="13"/>
  <c r="BZ5" i="13"/>
  <c r="BR5" i="13"/>
  <c r="BJ5" i="13"/>
  <c r="BB5" i="13"/>
  <c r="AT5" i="13"/>
  <c r="AL5" i="13"/>
  <c r="AD5" i="13"/>
  <c r="V5" i="13"/>
  <c r="N5" i="13"/>
  <c r="F5" i="13"/>
  <c r="EV4" i="13"/>
  <c r="EN4" i="13"/>
  <c r="EF4" i="13"/>
  <c r="DX4" i="13"/>
  <c r="DP4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EX5" i="12"/>
  <c r="EP5" i="12"/>
  <c r="EH5" i="12"/>
  <c r="DZ5" i="12"/>
  <c r="DR5" i="12"/>
  <c r="DJ5" i="12"/>
  <c r="DB5" i="12"/>
  <c r="CT5" i="12"/>
  <c r="CL5" i="12"/>
  <c r="CD5" i="12"/>
  <c r="BV5" i="12"/>
  <c r="BN5" i="12"/>
  <c r="BF5" i="12"/>
  <c r="AX5" i="12"/>
  <c r="AP5" i="12"/>
  <c r="AH5" i="12"/>
  <c r="Z5" i="12"/>
  <c r="R5" i="12"/>
  <c r="J5" i="12"/>
  <c r="B5" i="12"/>
  <c r="ER4" i="12"/>
  <c r="EJ4" i="12"/>
  <c r="EB4" i="12"/>
  <c r="DT4" i="12"/>
  <c r="DL4" i="12"/>
  <c r="DD4" i="12"/>
  <c r="CV4" i="12"/>
  <c r="CN4" i="12"/>
  <c r="CF4" i="12"/>
  <c r="BX4" i="12"/>
  <c r="BP4" i="12"/>
  <c r="BH4" i="12"/>
  <c r="AZ4" i="12"/>
  <c r="AR4" i="12"/>
  <c r="AJ4" i="12"/>
  <c r="AB4" i="12"/>
  <c r="T4" i="12"/>
  <c r="L4" i="12"/>
  <c r="D4" i="12"/>
  <c r="ET5" i="11"/>
  <c r="EL5" i="11"/>
  <c r="ED5" i="11"/>
  <c r="DV5" i="11"/>
  <c r="DN5" i="11"/>
  <c r="DF5" i="11"/>
  <c r="CX5" i="11"/>
  <c r="CP5" i="11"/>
  <c r="CH5" i="11"/>
  <c r="BZ5" i="11"/>
  <c r="BR5" i="11"/>
  <c r="BJ5" i="11"/>
  <c r="BB5" i="11"/>
  <c r="AT5" i="11"/>
  <c r="AL5" i="11"/>
  <c r="AD5" i="11"/>
  <c r="V5" i="11"/>
  <c r="N5" i="11"/>
  <c r="F5" i="11"/>
  <c r="EV4" i="11"/>
  <c r="EN4" i="11"/>
  <c r="EF4" i="11"/>
  <c r="DX4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EX5" i="10"/>
  <c r="EP5" i="10"/>
  <c r="CE4" i="14"/>
  <c r="BW4" i="14"/>
  <c r="BO4" i="14"/>
  <c r="BG4" i="14"/>
  <c r="AY4" i="14"/>
  <c r="AQ4" i="14"/>
  <c r="AI4" i="14"/>
  <c r="AA4" i="14"/>
  <c r="S4" i="14"/>
  <c r="K4" i="14"/>
  <c r="C4" i="14"/>
  <c r="ES5" i="13"/>
  <c r="EK5" i="13"/>
  <c r="EC5" i="13"/>
  <c r="DU5" i="13"/>
  <c r="DM5" i="13"/>
  <c r="DE5" i="13"/>
  <c r="CW5" i="13"/>
  <c r="CO5" i="13"/>
  <c r="CG5" i="13"/>
  <c r="BY5" i="13"/>
  <c r="BQ5" i="13"/>
  <c r="BI5" i="13"/>
  <c r="BA5" i="13"/>
  <c r="AS5" i="13"/>
  <c r="AK5" i="13"/>
  <c r="AC5" i="13"/>
  <c r="U5" i="13"/>
  <c r="M5" i="13"/>
  <c r="E5" i="13"/>
  <c r="EU4" i="13"/>
  <c r="EM4" i="13"/>
  <c r="EE4" i="13"/>
  <c r="DW4" i="13"/>
  <c r="DO4" i="13"/>
  <c r="DG4" i="13"/>
  <c r="CY4" i="13"/>
  <c r="CQ4" i="13"/>
  <c r="CI4" i="13"/>
  <c r="CA4" i="13"/>
  <c r="BS4" i="13"/>
  <c r="BK4" i="13"/>
  <c r="BC4" i="13"/>
  <c r="AU4" i="13"/>
  <c r="AM4" i="13"/>
  <c r="AE4" i="13"/>
  <c r="W4" i="13"/>
  <c r="O4" i="13"/>
  <c r="G4" i="13"/>
  <c r="EW5" i="12"/>
  <c r="EO5" i="12"/>
  <c r="EG5" i="12"/>
  <c r="DY5" i="12"/>
  <c r="DQ5" i="12"/>
  <c r="DI5" i="12"/>
  <c r="DA5" i="12"/>
  <c r="CS5" i="12"/>
  <c r="CK5" i="12"/>
  <c r="CC5" i="12"/>
  <c r="BU5" i="12"/>
  <c r="BM5" i="12"/>
  <c r="BE5" i="12"/>
  <c r="AW5" i="12"/>
  <c r="AO5" i="12"/>
  <c r="AG5" i="12"/>
  <c r="Y5" i="12"/>
  <c r="Q5" i="12"/>
  <c r="I5" i="12"/>
  <c r="A5" i="12"/>
  <c r="EQ4" i="12"/>
  <c r="EI4" i="12"/>
  <c r="EA4" i="12"/>
  <c r="DS4" i="12"/>
  <c r="DK4" i="12"/>
  <c r="DC4" i="12"/>
  <c r="CU4" i="12"/>
  <c r="CM4" i="12"/>
  <c r="CE4" i="12"/>
  <c r="BW4" i="12"/>
  <c r="BO4" i="12"/>
  <c r="BG4" i="12"/>
  <c r="AY4" i="12"/>
  <c r="AQ4" i="12"/>
  <c r="AI4" i="12"/>
  <c r="AA4" i="12"/>
  <c r="S4" i="12"/>
  <c r="K4" i="12"/>
  <c r="C4" i="12"/>
  <c r="ES5" i="11"/>
  <c r="EK5" i="11"/>
  <c r="EC5" i="11"/>
  <c r="DU5" i="11"/>
  <c r="DM5" i="11"/>
  <c r="DE5" i="11"/>
  <c r="CW5" i="11"/>
  <c r="CO5" i="11"/>
  <c r="CG5" i="11"/>
  <c r="BY5" i="11"/>
  <c r="BQ5" i="11"/>
  <c r="BI5" i="11"/>
  <c r="BA5" i="11"/>
  <c r="AS5" i="11"/>
  <c r="AK5" i="11"/>
  <c r="AC5" i="11"/>
  <c r="U5" i="11"/>
  <c r="M5" i="11"/>
  <c r="E5" i="11"/>
  <c r="EU4" i="11"/>
  <c r="EM4" i="11"/>
  <c r="EE4" i="11"/>
  <c r="DW4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EW5" i="10"/>
  <c r="EO5" i="10"/>
  <c r="CD4" i="14"/>
  <c r="BV4" i="14"/>
  <c r="BN4" i="14"/>
  <c r="BF4" i="14"/>
  <c r="AX4" i="14"/>
  <c r="AP4" i="14"/>
  <c r="AH4" i="14"/>
  <c r="Z4" i="14"/>
  <c r="R4" i="14"/>
  <c r="J4" i="14"/>
  <c r="B4" i="14"/>
  <c r="ER5" i="13"/>
  <c r="EJ5" i="13"/>
  <c r="EB5" i="13"/>
  <c r="DT5" i="13"/>
  <c r="DL5" i="13"/>
  <c r="DD5" i="13"/>
  <c r="CV5" i="13"/>
  <c r="CN5" i="13"/>
  <c r="CF5" i="13"/>
  <c r="BX5" i="13"/>
  <c r="BP5" i="13"/>
  <c r="BH5" i="13"/>
  <c r="AZ5" i="13"/>
  <c r="AR5" i="13"/>
  <c r="AJ5" i="13"/>
  <c r="AB5" i="13"/>
  <c r="T5" i="13"/>
  <c r="L5" i="13"/>
  <c r="D5" i="13"/>
  <c r="ET4" i="13"/>
  <c r="EL4" i="13"/>
  <c r="ED4" i="13"/>
  <c r="DV4" i="13"/>
  <c r="DN4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EV5" i="12"/>
  <c r="EN5" i="12"/>
  <c r="EF5" i="12"/>
  <c r="DX5" i="12"/>
  <c r="DP5" i="12"/>
  <c r="DH5" i="12"/>
  <c r="CZ5" i="12"/>
  <c r="CR5" i="12"/>
  <c r="CJ5" i="12"/>
  <c r="CB5" i="12"/>
  <c r="BT5" i="12"/>
  <c r="BL5" i="12"/>
  <c r="BD5" i="12"/>
  <c r="AV5" i="12"/>
  <c r="AN5" i="12"/>
  <c r="AF5" i="12"/>
  <c r="X5" i="12"/>
  <c r="P5" i="12"/>
  <c r="H5" i="12"/>
  <c r="EX4" i="12"/>
  <c r="EP4" i="12"/>
  <c r="EH4" i="12"/>
  <c r="DZ4" i="12"/>
  <c r="DR4" i="12"/>
  <c r="DJ4" i="12"/>
  <c r="DB4" i="12"/>
  <c r="CT4" i="12"/>
  <c r="CL4" i="12"/>
  <c r="CD4" i="12"/>
  <c r="BV4" i="12"/>
  <c r="BN4" i="12"/>
  <c r="BF4" i="12"/>
  <c r="AX4" i="12"/>
  <c r="AP4" i="12"/>
  <c r="AH4" i="12"/>
  <c r="Z4" i="12"/>
  <c r="R4" i="12"/>
  <c r="J4" i="12"/>
  <c r="B4" i="12"/>
  <c r="ER5" i="11"/>
  <c r="EJ5" i="11"/>
  <c r="EB5" i="11"/>
  <c r="DT5" i="11"/>
  <c r="DL5" i="11"/>
  <c r="DD5" i="11"/>
  <c r="CV5" i="11"/>
  <c r="CN5" i="11"/>
  <c r="CF5" i="11"/>
  <c r="BX5" i="11"/>
  <c r="BP5" i="11"/>
  <c r="BH5" i="11"/>
  <c r="AZ5" i="11"/>
  <c r="AR5" i="11"/>
  <c r="AJ5" i="11"/>
  <c r="AB5" i="11"/>
  <c r="T5" i="11"/>
  <c r="L5" i="11"/>
  <c r="D5" i="11"/>
  <c r="ET4" i="11"/>
  <c r="EL4" i="11"/>
  <c r="ED4" i="11"/>
  <c r="DV4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EV5" i="10"/>
  <c r="CC4" i="14"/>
  <c r="BU4" i="14"/>
  <c r="BM4" i="14"/>
  <c r="BE4" i="14"/>
  <c r="AW4" i="14"/>
  <c r="AO4" i="14"/>
  <c r="AG4" i="14"/>
  <c r="Y4" i="14"/>
  <c r="Q4" i="14"/>
  <c r="I4" i="14"/>
  <c r="EQ5" i="13"/>
  <c r="EI5" i="13"/>
  <c r="EA5" i="13"/>
  <c r="DS5" i="13"/>
  <c r="DK5" i="13"/>
  <c r="DC5" i="13"/>
  <c r="CU5" i="13"/>
  <c r="CM5" i="13"/>
  <c r="CE5" i="13"/>
  <c r="BW5" i="13"/>
  <c r="BO5" i="13"/>
  <c r="BG5" i="13"/>
  <c r="AY5" i="13"/>
  <c r="AQ5" i="13"/>
  <c r="AI5" i="13"/>
  <c r="AA5" i="13"/>
  <c r="S5" i="13"/>
  <c r="K5" i="13"/>
  <c r="C5" i="13"/>
  <c r="ES4" i="13"/>
  <c r="EK4" i="13"/>
  <c r="EC4" i="13"/>
  <c r="DU4" i="13"/>
  <c r="DM4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EU5" i="12"/>
  <c r="EM5" i="12"/>
  <c r="EE5" i="12"/>
  <c r="DW5" i="12"/>
  <c r="DO5" i="12"/>
  <c r="DG5" i="12"/>
  <c r="CY5" i="12"/>
  <c r="CQ5" i="12"/>
  <c r="CI5" i="12"/>
  <c r="CA5" i="12"/>
  <c r="BS5" i="12"/>
  <c r="BK5" i="12"/>
  <c r="BC5" i="12"/>
  <c r="AU5" i="12"/>
  <c r="AM5" i="12"/>
  <c r="AE5" i="12"/>
  <c r="W5" i="12"/>
  <c r="O5" i="12"/>
  <c r="G5" i="12"/>
  <c r="EW4" i="12"/>
  <c r="EO4" i="12"/>
  <c r="EG4" i="12"/>
  <c r="DY4" i="12"/>
  <c r="DQ4" i="12"/>
  <c r="DI4" i="12"/>
  <c r="DA4" i="12"/>
  <c r="CS4" i="12"/>
  <c r="CK4" i="12"/>
  <c r="CC4" i="12"/>
  <c r="BU4" i="12"/>
  <c r="BM4" i="12"/>
  <c r="BE4" i="12"/>
  <c r="AW4" i="12"/>
  <c r="AO4" i="12"/>
  <c r="AG4" i="12"/>
  <c r="Y4" i="12"/>
  <c r="Q4" i="12"/>
  <c r="I4" i="12"/>
  <c r="EQ5" i="11"/>
  <c r="EI5" i="11"/>
  <c r="EA5" i="11"/>
  <c r="DS5" i="11"/>
  <c r="DK5" i="11"/>
  <c r="DC5" i="11"/>
  <c r="CU5" i="11"/>
  <c r="CM5" i="11"/>
  <c r="CE5" i="11"/>
  <c r="BW5" i="11"/>
  <c r="BO5" i="11"/>
  <c r="BG5" i="11"/>
  <c r="AY5" i="11"/>
  <c r="AQ5" i="11"/>
  <c r="AI5" i="11"/>
  <c r="AA5" i="11"/>
  <c r="S5" i="11"/>
  <c r="K5" i="11"/>
  <c r="C5" i="11"/>
  <c r="ES4" i="11"/>
  <c r="EK4" i="11"/>
  <c r="EC4" i="11"/>
  <c r="DU4" i="11"/>
  <c r="DM4" i="11"/>
  <c r="DE4" i="11"/>
  <c r="CW4" i="11"/>
  <c r="CO4" i="11"/>
  <c r="CG4" i="11"/>
  <c r="BY4" i="11"/>
  <c r="BQ4" i="11"/>
  <c r="BI4" i="11"/>
  <c r="BA4" i="11"/>
  <c r="AS4" i="11"/>
  <c r="AK4" i="11"/>
  <c r="AC4" i="11"/>
  <c r="U4" i="11"/>
  <c r="M4" i="11"/>
  <c r="E4" i="11"/>
  <c r="EU5" i="10"/>
  <c r="CB4" i="14"/>
  <c r="BT4" i="14"/>
  <c r="BL4" i="14"/>
  <c r="BD4" i="14"/>
  <c r="AV4" i="14"/>
  <c r="AN4" i="14"/>
  <c r="AF4" i="14"/>
  <c r="X4" i="14"/>
  <c r="P4" i="14"/>
  <c r="H4" i="14"/>
  <c r="EX5" i="13"/>
  <c r="EP5" i="13"/>
  <c r="EH5" i="13"/>
  <c r="DZ5" i="13"/>
  <c r="DR5" i="13"/>
  <c r="DJ5" i="13"/>
  <c r="DB5" i="13"/>
  <c r="CT5" i="13"/>
  <c r="CL5" i="13"/>
  <c r="CD5" i="13"/>
  <c r="BV5" i="13"/>
  <c r="BN5" i="13"/>
  <c r="BF5" i="13"/>
  <c r="AX5" i="13"/>
  <c r="AP5" i="13"/>
  <c r="AH5" i="13"/>
  <c r="Z5" i="13"/>
  <c r="R5" i="13"/>
  <c r="J5" i="13"/>
  <c r="B5" i="13"/>
  <c r="ER4" i="13"/>
  <c r="EJ4" i="13"/>
  <c r="EB4" i="13"/>
  <c r="DT4" i="13"/>
  <c r="DL4" i="13"/>
  <c r="DD4" i="13"/>
  <c r="CV4" i="13"/>
  <c r="CN4" i="13"/>
  <c r="CF4" i="13"/>
  <c r="BX4" i="13"/>
  <c r="BP4" i="13"/>
  <c r="BH4" i="13"/>
  <c r="AZ4" i="13"/>
  <c r="AR4" i="13"/>
  <c r="AJ4" i="13"/>
  <c r="AB4" i="13"/>
  <c r="T4" i="13"/>
  <c r="L4" i="13"/>
  <c r="D4" i="13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EV4" i="12"/>
  <c r="EN4" i="12"/>
  <c r="EF4" i="12"/>
  <c r="DX4" i="12"/>
  <c r="DP4" i="12"/>
  <c r="DH4" i="12"/>
  <c r="CZ4" i="12"/>
  <c r="CR4" i="12"/>
  <c r="CJ4" i="12"/>
  <c r="CB4" i="12"/>
  <c r="BT4" i="12"/>
  <c r="BL4" i="12"/>
  <c r="BD4" i="12"/>
  <c r="AV4" i="12"/>
  <c r="AN4" i="12"/>
  <c r="AF4" i="12"/>
  <c r="X4" i="12"/>
  <c r="P4" i="12"/>
  <c r="H4" i="12"/>
  <c r="EX5" i="11"/>
  <c r="EP5" i="11"/>
  <c r="EH5" i="11"/>
  <c r="DZ5" i="11"/>
  <c r="DR5" i="11"/>
  <c r="DJ5" i="11"/>
  <c r="DB5" i="11"/>
  <c r="CT5" i="11"/>
  <c r="CL5" i="11"/>
  <c r="CD5" i="11"/>
  <c r="BV5" i="11"/>
  <c r="BN5" i="11"/>
  <c r="BF5" i="11"/>
  <c r="AX5" i="11"/>
  <c r="AP5" i="11"/>
  <c r="AH5" i="11"/>
  <c r="Z5" i="11"/>
  <c r="R5" i="11"/>
  <c r="J5" i="11"/>
  <c r="B5" i="11"/>
  <c r="ER4" i="11"/>
  <c r="EJ4" i="11"/>
  <c r="EB4" i="11"/>
  <c r="DT4" i="11"/>
  <c r="DL4" i="11"/>
  <c r="DD4" i="11"/>
  <c r="CV4" i="11"/>
  <c r="CN4" i="11"/>
  <c r="CF4" i="11"/>
  <c r="BX4" i="11"/>
  <c r="BP4" i="11"/>
  <c r="BH4" i="11"/>
  <c r="AZ4" i="11"/>
  <c r="AR4" i="11"/>
  <c r="AJ4" i="11"/>
  <c r="AB4" i="11"/>
  <c r="T4" i="11"/>
  <c r="L4" i="11"/>
  <c r="D4" i="11"/>
  <c r="ET5" i="10"/>
  <c r="CA4" i="14"/>
  <c r="BS4" i="14"/>
  <c r="BK4" i="14"/>
  <c r="BC4" i="14"/>
  <c r="AU4" i="14"/>
  <c r="AM4" i="14"/>
  <c r="AE4" i="14"/>
  <c r="W4" i="14"/>
  <c r="O4" i="14"/>
  <c r="G4" i="14"/>
  <c r="EW5" i="13"/>
  <c r="EO5" i="13"/>
  <c r="EG5" i="13"/>
  <c r="DY5" i="13"/>
  <c r="DQ5" i="13"/>
  <c r="DI5" i="13"/>
  <c r="DA5" i="13"/>
  <c r="CS5" i="13"/>
  <c r="CK5" i="13"/>
  <c r="CC5" i="13"/>
  <c r="BU5" i="13"/>
  <c r="BM5" i="13"/>
  <c r="BE5" i="13"/>
  <c r="AW5" i="13"/>
  <c r="AO5" i="13"/>
  <c r="AG5" i="13"/>
  <c r="Y5" i="13"/>
  <c r="Q5" i="13"/>
  <c r="I5" i="13"/>
  <c r="A5" i="13"/>
  <c r="EQ4" i="13"/>
  <c r="EI4" i="13"/>
  <c r="EA4" i="13"/>
  <c r="DS4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EU4" i="12"/>
  <c r="EM4" i="12"/>
  <c r="EE4" i="12"/>
  <c r="DW4" i="12"/>
  <c r="DO4" i="12"/>
  <c r="DG4" i="12"/>
  <c r="CY4" i="12"/>
  <c r="CQ4" i="12"/>
  <c r="CI4" i="12"/>
  <c r="CA4" i="12"/>
  <c r="BS4" i="12"/>
  <c r="BK4" i="12"/>
  <c r="BC4" i="12"/>
  <c r="AU4" i="12"/>
  <c r="AM4" i="12"/>
  <c r="AE4" i="12"/>
  <c r="W4" i="12"/>
  <c r="O4" i="12"/>
  <c r="G4" i="12"/>
  <c r="EW5" i="11"/>
  <c r="EO5" i="11"/>
  <c r="EG5" i="11"/>
  <c r="DY5" i="11"/>
  <c r="DQ5" i="11"/>
  <c r="DI5" i="11"/>
  <c r="DA5" i="11"/>
  <c r="CS5" i="11"/>
  <c r="CK5" i="11"/>
  <c r="CC5" i="11"/>
  <c r="BU5" i="11"/>
  <c r="BM5" i="11"/>
  <c r="BE5" i="11"/>
  <c r="AW5" i="11"/>
  <c r="AO5" i="11"/>
  <c r="AG5" i="11"/>
  <c r="Y5" i="11"/>
  <c r="Q5" i="11"/>
  <c r="I5" i="11"/>
  <c r="A5" i="11"/>
  <c r="EQ4" i="11"/>
  <c r="EI4" i="11"/>
  <c r="EA4" i="11"/>
  <c r="DS4" i="11"/>
  <c r="DK4" i="11"/>
  <c r="DC4" i="11"/>
  <c r="CU4" i="11"/>
  <c r="CM4" i="11"/>
  <c r="CE4" i="11"/>
  <c r="BW4" i="11"/>
  <c r="BO4" i="11"/>
  <c r="BG4" i="11"/>
  <c r="AY4" i="11"/>
  <c r="AQ4" i="11"/>
  <c r="AI4" i="11"/>
  <c r="AA4" i="11"/>
  <c r="S4" i="11"/>
  <c r="K4" i="11"/>
  <c r="C4" i="11"/>
  <c r="ES5" i="10"/>
  <c r="BZ4" i="14"/>
  <c r="BR4" i="14"/>
  <c r="BJ4" i="14"/>
  <c r="BB4" i="14"/>
  <c r="AT4" i="14"/>
  <c r="AL4" i="14"/>
  <c r="AD4" i="14"/>
  <c r="V4" i="14"/>
  <c r="N4" i="14"/>
  <c r="F4" i="14"/>
  <c r="EV5" i="13"/>
  <c r="EN5" i="13"/>
  <c r="EF5" i="13"/>
  <c r="DX5" i="13"/>
  <c r="DP5" i="13"/>
  <c r="DH5" i="13"/>
  <c r="CZ5" i="13"/>
  <c r="CR5" i="13"/>
  <c r="CJ5" i="13"/>
  <c r="CB5" i="13"/>
  <c r="BT5" i="13"/>
  <c r="BL5" i="13"/>
  <c r="BD5" i="13"/>
  <c r="AV5" i="13"/>
  <c r="AN5" i="13"/>
  <c r="AF5" i="13"/>
  <c r="X5" i="13"/>
  <c r="P5" i="13"/>
  <c r="H5" i="13"/>
  <c r="EX4" i="13"/>
  <c r="EP4" i="13"/>
  <c r="EH4" i="13"/>
  <c r="DZ4" i="13"/>
  <c r="DR4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ET4" i="12"/>
  <c r="EL4" i="12"/>
  <c r="ED4" i="12"/>
  <c r="DV4" i="12"/>
  <c r="DN4" i="12"/>
  <c r="DF4" i="12"/>
  <c r="CX4" i="12"/>
  <c r="CP4" i="12"/>
  <c r="CH4" i="12"/>
  <c r="BZ4" i="12"/>
  <c r="BR4" i="12"/>
  <c r="BJ4" i="12"/>
  <c r="BB4" i="12"/>
  <c r="AT4" i="12"/>
  <c r="AL4" i="12"/>
  <c r="AD4" i="12"/>
  <c r="V4" i="12"/>
  <c r="N4" i="12"/>
  <c r="F4" i="12"/>
  <c r="EV5" i="11"/>
  <c r="EN5" i="11"/>
  <c r="EF5" i="11"/>
  <c r="DX5" i="11"/>
  <c r="DP5" i="11"/>
  <c r="DH5" i="11"/>
  <c r="CZ5" i="11"/>
  <c r="CR5" i="11"/>
  <c r="CJ5" i="11"/>
  <c r="CB5" i="11"/>
  <c r="BT5" i="11"/>
  <c r="BL5" i="11"/>
  <c r="BD5" i="11"/>
  <c r="AV5" i="11"/>
  <c r="AN5" i="11"/>
  <c r="AF5" i="11"/>
  <c r="X5" i="11"/>
  <c r="P5" i="11"/>
  <c r="H5" i="11"/>
  <c r="EX4" i="11"/>
  <c r="EP4" i="11"/>
  <c r="EH4" i="11"/>
  <c r="DZ4" i="11"/>
  <c r="DR4" i="11"/>
  <c r="DJ4" i="11"/>
  <c r="DB4" i="11"/>
  <c r="CT4" i="11"/>
  <c r="CL4" i="11"/>
  <c r="CD4" i="11"/>
  <c r="BV4" i="11"/>
  <c r="BN4" i="11"/>
  <c r="BF4" i="11"/>
  <c r="AX4" i="11"/>
  <c r="AP4" i="11"/>
  <c r="AH4" i="11"/>
  <c r="Z4" i="11"/>
  <c r="R4" i="11"/>
  <c r="J4" i="11"/>
  <c r="B4" i="11"/>
  <c r="ER5" i="10"/>
  <c r="EQ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G5" i="7"/>
  <c r="BY5" i="7"/>
  <c r="BQ5" i="7"/>
  <c r="BI5" i="7"/>
  <c r="BA5" i="7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CB5" i="8"/>
  <c r="BT5" i="8"/>
  <c r="BL5" i="8"/>
  <c r="BD5" i="8"/>
  <c r="AV5" i="8"/>
  <c r="AN5" i="8"/>
  <c r="AF5" i="8"/>
  <c r="X5" i="8"/>
  <c r="P5" i="8"/>
  <c r="H5" i="8"/>
  <c r="EX4" i="8"/>
  <c r="EP4" i="8"/>
  <c r="EH4" i="8"/>
  <c r="DZ4" i="8"/>
  <c r="DR4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ER5" i="7"/>
  <c r="EJ5" i="7"/>
  <c r="EB5" i="7"/>
  <c r="DT5" i="7"/>
  <c r="DL5" i="7"/>
  <c r="DD5" i="7"/>
  <c r="CV5" i="7"/>
  <c r="CN5" i="7"/>
  <c r="CF5" i="7"/>
  <c r="BX5" i="7"/>
  <c r="BP5" i="7"/>
  <c r="BH5" i="7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CA5" i="8"/>
  <c r="BS5" i="8"/>
  <c r="BK5" i="8"/>
  <c r="BC5" i="8"/>
  <c r="AU5" i="8"/>
  <c r="AM5" i="8"/>
  <c r="AE5" i="8"/>
  <c r="W5" i="8"/>
  <c r="O5" i="8"/>
  <c r="G5" i="8"/>
  <c r="EW4" i="8"/>
  <c r="EO4" i="8"/>
  <c r="EG4" i="8"/>
  <c r="DY4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Q5" i="7"/>
  <c r="EI5" i="7"/>
  <c r="EA5" i="7"/>
  <c r="DS5" i="7"/>
  <c r="DK5" i="7"/>
  <c r="DC5" i="7"/>
  <c r="CU5" i="7"/>
  <c r="CM5" i="7"/>
  <c r="CE5" i="7"/>
  <c r="BW5" i="7"/>
  <c r="BO5" i="7"/>
  <c r="BG5" i="7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ER4" i="9"/>
  <c r="EJ4" i="9"/>
  <c r="EB4" i="9"/>
  <c r="DT4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ET5" i="8"/>
  <c r="EL5" i="8"/>
  <c r="ED5" i="8"/>
  <c r="DV5" i="8"/>
  <c r="DN5" i="8"/>
  <c r="DF5" i="8"/>
  <c r="CX5" i="8"/>
  <c r="CP5" i="8"/>
  <c r="CH5" i="8"/>
  <c r="BZ5" i="8"/>
  <c r="BR5" i="8"/>
  <c r="BJ5" i="8"/>
  <c r="BB5" i="8"/>
  <c r="AT5" i="8"/>
  <c r="AL5" i="8"/>
  <c r="AD5" i="8"/>
  <c r="V5" i="8"/>
  <c r="N5" i="8"/>
  <c r="F5" i="8"/>
  <c r="EV4" i="8"/>
  <c r="EN4" i="8"/>
  <c r="EF4" i="8"/>
  <c r="DX4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EX5" i="7"/>
  <c r="EP5" i="7"/>
  <c r="EH5" i="7"/>
  <c r="DZ5" i="7"/>
  <c r="DR5" i="7"/>
  <c r="DJ5" i="7"/>
  <c r="DB5" i="7"/>
  <c r="CT5" i="7"/>
  <c r="CL5" i="7"/>
  <c r="CD5" i="7"/>
  <c r="BV5" i="7"/>
  <c r="BN5" i="7"/>
  <c r="BF5" i="7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CO5" i="8"/>
  <c r="CG5" i="8"/>
  <c r="BY5" i="8"/>
  <c r="BQ5" i="8"/>
  <c r="BI5" i="8"/>
  <c r="BA5" i="8"/>
  <c r="AS5" i="8"/>
  <c r="AK5" i="8"/>
  <c r="AC5" i="8"/>
  <c r="U5" i="8"/>
  <c r="M5" i="8"/>
  <c r="E5" i="8"/>
  <c r="EU4" i="8"/>
  <c r="EM4" i="8"/>
  <c r="EE4" i="8"/>
  <c r="DW4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EW5" i="7"/>
  <c r="EO5" i="7"/>
  <c r="EG5" i="7"/>
  <c r="DY5" i="7"/>
  <c r="DQ5" i="7"/>
  <c r="DI5" i="7"/>
  <c r="DA5" i="7"/>
  <c r="CS5" i="7"/>
  <c r="CK5" i="7"/>
  <c r="CC5" i="7"/>
  <c r="BU5" i="7"/>
  <c r="BM5" i="7"/>
  <c r="BE5" i="7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BX5" i="8"/>
  <c r="BP5" i="8"/>
  <c r="BH5" i="8"/>
  <c r="AZ5" i="8"/>
  <c r="AR5" i="8"/>
  <c r="AJ5" i="8"/>
  <c r="AB5" i="8"/>
  <c r="T5" i="8"/>
  <c r="L5" i="8"/>
  <c r="D5" i="8"/>
  <c r="ET4" i="8"/>
  <c r="EL4" i="8"/>
  <c r="ED4" i="8"/>
  <c r="DV4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EV5" i="7"/>
  <c r="EN5" i="7"/>
  <c r="EF5" i="7"/>
  <c r="DX5" i="7"/>
  <c r="DP5" i="7"/>
  <c r="DH5" i="7"/>
  <c r="CZ5" i="7"/>
  <c r="CR5" i="7"/>
  <c r="CJ5" i="7"/>
  <c r="CB5" i="7"/>
  <c r="BT5" i="7"/>
  <c r="BL5" i="7"/>
  <c r="BD5" i="7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EU5" i="9"/>
  <c r="EM5" i="9"/>
  <c r="EE5" i="9"/>
  <c r="DW5" i="9"/>
  <c r="DO5" i="9"/>
  <c r="DG5" i="9"/>
  <c r="CY5" i="9"/>
  <c r="CQ5" i="9"/>
  <c r="CI5" i="9"/>
  <c r="CA5" i="9"/>
  <c r="BS5" i="9"/>
  <c r="BK5" i="9"/>
  <c r="BC5" i="9"/>
  <c r="AU5" i="9"/>
  <c r="AM5" i="9"/>
  <c r="AE5" i="9"/>
  <c r="W5" i="9"/>
  <c r="O5" i="9"/>
  <c r="G5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Q5" i="8"/>
  <c r="EI5" i="8"/>
  <c r="EA5" i="8"/>
  <c r="DS5" i="8"/>
  <c r="DK5" i="8"/>
  <c r="DC5" i="8"/>
  <c r="CU5" i="8"/>
  <c r="CM5" i="8"/>
  <c r="CE5" i="8"/>
  <c r="BW5" i="8"/>
  <c r="BO5" i="8"/>
  <c r="BG5" i="8"/>
  <c r="AY5" i="8"/>
  <c r="AQ5" i="8"/>
  <c r="AI5" i="8"/>
  <c r="AA5" i="8"/>
  <c r="S5" i="8"/>
  <c r="K5" i="8"/>
  <c r="C5" i="8"/>
  <c r="ES4" i="8"/>
  <c r="EK4" i="8"/>
  <c r="EC4" i="8"/>
  <c r="DU4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EU5" i="7"/>
  <c r="EM5" i="7"/>
  <c r="EE5" i="7"/>
  <c r="DW5" i="7"/>
  <c r="DO5" i="7"/>
  <c r="DG5" i="7"/>
  <c r="CY5" i="7"/>
  <c r="CQ5" i="7"/>
  <c r="CI5" i="7"/>
  <c r="CA5" i="7"/>
  <c r="BS5" i="7"/>
  <c r="BK5" i="7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DT4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ET5" i="7"/>
  <c r="EL5" i="7"/>
  <c r="ED5" i="7"/>
  <c r="DV5" i="7"/>
  <c r="DN5" i="7"/>
  <c r="DF5" i="7"/>
  <c r="CX5" i="7"/>
  <c r="CP5" i="7"/>
  <c r="CH5" i="7"/>
  <c r="BZ5" i="7"/>
  <c r="BR5" i="7"/>
  <c r="BJ5" i="7"/>
  <c r="BB5" i="7"/>
  <c r="BC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EQ4" i="5"/>
  <c r="EI4" i="5"/>
  <c r="EA4" i="5"/>
  <c r="DS4" i="5"/>
  <c r="DK4" i="5"/>
  <c r="DC4" i="5"/>
  <c r="CU4" i="5"/>
  <c r="CM4" i="5"/>
  <c r="CE4" i="5"/>
  <c r="BW4" i="5"/>
  <c r="BO4" i="5"/>
  <c r="BG4" i="5"/>
  <c r="AY4" i="5"/>
  <c r="AQ4" i="5"/>
  <c r="AI4" i="5"/>
  <c r="AA4" i="5"/>
  <c r="S4" i="5"/>
  <c r="K4" i="5"/>
  <c r="C4" i="5"/>
  <c r="ES5" i="4"/>
  <c r="EK5" i="4"/>
  <c r="EC5" i="4"/>
  <c r="DU5" i="4"/>
  <c r="DM5" i="4"/>
  <c r="DE5" i="4"/>
  <c r="CW5" i="4"/>
  <c r="CO5" i="4"/>
  <c r="CG5" i="4"/>
  <c r="BY5" i="4"/>
  <c r="BQ5" i="4"/>
  <c r="BI5" i="4"/>
  <c r="BA5" i="4"/>
  <c r="AS5" i="4"/>
  <c r="AK5" i="4"/>
  <c r="AC5" i="4"/>
  <c r="U5" i="4"/>
  <c r="M5" i="4"/>
  <c r="E5" i="4"/>
  <c r="EU4" i="4"/>
  <c r="EM4" i="4"/>
  <c r="EE4" i="4"/>
  <c r="DW4" i="4"/>
  <c r="DO4" i="4"/>
  <c r="DG4" i="4"/>
  <c r="CY4" i="4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ER5" i="6"/>
  <c r="EJ5" i="6"/>
  <c r="EB5" i="6"/>
  <c r="DT5" i="6"/>
  <c r="DL5" i="6"/>
  <c r="DD5" i="6"/>
  <c r="CV5" i="6"/>
  <c r="CN5" i="6"/>
  <c r="CF5" i="6"/>
  <c r="BX5" i="6"/>
  <c r="BP5" i="6"/>
  <c r="BH5" i="6"/>
  <c r="AZ5" i="6"/>
  <c r="AR5" i="6"/>
  <c r="AJ5" i="6"/>
  <c r="AB5" i="6"/>
  <c r="T5" i="6"/>
  <c r="L5" i="6"/>
  <c r="D5" i="6"/>
  <c r="ET4" i="6"/>
  <c r="EL4" i="6"/>
  <c r="ED4" i="6"/>
  <c r="DV4" i="6"/>
  <c r="DN4" i="6"/>
  <c r="DF4" i="6"/>
  <c r="CX4" i="6"/>
  <c r="CP4" i="6"/>
  <c r="CH4" i="6"/>
  <c r="BZ4" i="6"/>
  <c r="BR4" i="6"/>
  <c r="BJ4" i="6"/>
  <c r="BB4" i="6"/>
  <c r="AT4" i="6"/>
  <c r="AL4" i="6"/>
  <c r="AD4" i="6"/>
  <c r="V4" i="6"/>
  <c r="N4" i="6"/>
  <c r="F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AU5" i="7"/>
  <c r="AM5" i="7"/>
  <c r="AE5" i="7"/>
  <c r="W5" i="7"/>
  <c r="O5" i="7"/>
  <c r="G5" i="7"/>
  <c r="EW4" i="7"/>
  <c r="EO4" i="7"/>
  <c r="EG4" i="7"/>
  <c r="DY4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EQ5" i="6"/>
  <c r="EI5" i="6"/>
  <c r="EA5" i="6"/>
  <c r="DS5" i="6"/>
  <c r="DK5" i="6"/>
  <c r="DC5" i="6"/>
  <c r="CU5" i="6"/>
  <c r="CM5" i="6"/>
  <c r="CE5" i="6"/>
  <c r="BW5" i="6"/>
  <c r="BO5" i="6"/>
  <c r="BG5" i="6"/>
  <c r="AY5" i="6"/>
  <c r="AQ5" i="6"/>
  <c r="AI5" i="6"/>
  <c r="AA5" i="6"/>
  <c r="S5" i="6"/>
  <c r="K5" i="6"/>
  <c r="C5" i="6"/>
  <c r="ES4" i="6"/>
  <c r="EK4" i="6"/>
  <c r="EC4" i="6"/>
  <c r="DU4" i="6"/>
  <c r="DM4" i="6"/>
  <c r="DE4" i="6"/>
  <c r="CW4" i="6"/>
  <c r="CO4" i="6"/>
  <c r="CG4" i="6"/>
  <c r="BY4" i="6"/>
  <c r="BQ4" i="6"/>
  <c r="BI4" i="6"/>
  <c r="BA4" i="6"/>
  <c r="AS4" i="6"/>
  <c r="AK4" i="6"/>
  <c r="AC4" i="6"/>
  <c r="U4" i="6"/>
  <c r="M4" i="6"/>
  <c r="E4" i="6"/>
  <c r="EU5" i="5"/>
  <c r="EM5" i="5"/>
  <c r="EE5" i="5"/>
  <c r="DW5" i="5"/>
  <c r="DO5" i="5"/>
  <c r="DG5" i="5"/>
  <c r="CY5" i="5"/>
  <c r="CQ5" i="5"/>
  <c r="CI5" i="5"/>
  <c r="CA5" i="5"/>
  <c r="BS5" i="5"/>
  <c r="BK5" i="5"/>
  <c r="BC5" i="5"/>
  <c r="AU5" i="5"/>
  <c r="AM5" i="5"/>
  <c r="AE5" i="5"/>
  <c r="W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AT5" i="7"/>
  <c r="AL5" i="7"/>
  <c r="AD5" i="7"/>
  <c r="V5" i="7"/>
  <c r="N5" i="7"/>
  <c r="F5" i="7"/>
  <c r="EV4" i="7"/>
  <c r="EN4" i="7"/>
  <c r="EF4" i="7"/>
  <c r="DX4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EX5" i="6"/>
  <c r="EP5" i="6"/>
  <c r="EH5" i="6"/>
  <c r="DZ5" i="6"/>
  <c r="DR5" i="6"/>
  <c r="DJ5" i="6"/>
  <c r="DB5" i="6"/>
  <c r="CT5" i="6"/>
  <c r="CL5" i="6"/>
  <c r="CD5" i="6"/>
  <c r="BV5" i="6"/>
  <c r="BN5" i="6"/>
  <c r="BF5" i="6"/>
  <c r="AX5" i="6"/>
  <c r="AP5" i="6"/>
  <c r="AH5" i="6"/>
  <c r="Z5" i="6"/>
  <c r="R5" i="6"/>
  <c r="J5" i="6"/>
  <c r="B5" i="6"/>
  <c r="ER4" i="6"/>
  <c r="EJ4" i="6"/>
  <c r="EB4" i="6"/>
  <c r="DT4" i="6"/>
  <c r="DL4" i="6"/>
  <c r="DD4" i="6"/>
  <c r="CV4" i="6"/>
  <c r="CN4" i="6"/>
  <c r="CF4" i="6"/>
  <c r="BX4" i="6"/>
  <c r="BP4" i="6"/>
  <c r="BH4" i="6"/>
  <c r="AZ4" i="6"/>
  <c r="AR4" i="6"/>
  <c r="AJ4" i="6"/>
  <c r="AB4" i="6"/>
  <c r="T4" i="6"/>
  <c r="L4" i="6"/>
  <c r="D4" i="6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CW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H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CV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G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J981" i="3"/>
  <c r="B981" i="3"/>
  <c r="F980" i="3"/>
  <c r="J979" i="3"/>
  <c r="B979" i="3"/>
  <c r="F978" i="3"/>
  <c r="J977" i="3"/>
  <c r="B977" i="3"/>
  <c r="F976" i="3"/>
  <c r="J975" i="3"/>
  <c r="B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F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I977" i="3"/>
  <c r="A977" i="3"/>
  <c r="E976" i="3"/>
  <c r="I975" i="3"/>
  <c r="A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E906" i="3"/>
  <c r="I905" i="3"/>
  <c r="A905" i="3"/>
  <c r="E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L990" i="3"/>
  <c r="D990" i="3"/>
  <c r="H989" i="3"/>
  <c r="L988" i="3"/>
  <c r="D988" i="3"/>
  <c r="H987" i="3"/>
  <c r="L986" i="3"/>
  <c r="D986" i="3"/>
  <c r="H985" i="3"/>
  <c r="L984" i="3"/>
  <c r="D984" i="3"/>
  <c r="H983" i="3"/>
  <c r="L982" i="3"/>
  <c r="D982" i="3"/>
  <c r="H981" i="3"/>
  <c r="L980" i="3"/>
  <c r="D980" i="3"/>
  <c r="H979" i="3"/>
  <c r="L978" i="3"/>
  <c r="D978" i="3"/>
  <c r="H977" i="3"/>
  <c r="L976" i="3"/>
  <c r="D976" i="3"/>
  <c r="H975" i="3"/>
  <c r="L974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CQ4" i="4"/>
  <c r="CI4" i="4"/>
  <c r="CA4" i="4"/>
  <c r="BS4" i="4"/>
  <c r="BK4" i="4"/>
  <c r="BC4" i="4"/>
  <c r="AU4" i="4"/>
  <c r="AM4" i="4"/>
  <c r="AE4" i="4"/>
  <c r="W4" i="4"/>
  <c r="O4" i="4"/>
  <c r="G4" i="4"/>
  <c r="K1000" i="3"/>
  <c r="C1000" i="3"/>
  <c r="G999" i="3"/>
  <c r="K998" i="3"/>
  <c r="C998" i="3"/>
  <c r="G997" i="3"/>
  <c r="K996" i="3"/>
  <c r="C996" i="3"/>
  <c r="G995" i="3"/>
  <c r="K994" i="3"/>
  <c r="C994" i="3"/>
  <c r="G993" i="3"/>
  <c r="K992" i="3"/>
  <c r="C992" i="3"/>
  <c r="G991" i="3"/>
  <c r="K990" i="3"/>
  <c r="C990" i="3"/>
  <c r="G989" i="3"/>
  <c r="K988" i="3"/>
  <c r="C988" i="3"/>
  <c r="G987" i="3"/>
  <c r="K986" i="3"/>
  <c r="C986" i="3"/>
  <c r="G985" i="3"/>
  <c r="K984" i="3"/>
  <c r="C984" i="3"/>
  <c r="G983" i="3"/>
  <c r="K982" i="3"/>
  <c r="C982" i="3"/>
  <c r="G981" i="3"/>
  <c r="K980" i="3"/>
  <c r="C980" i="3"/>
  <c r="G979" i="3"/>
  <c r="K978" i="3"/>
  <c r="C978" i="3"/>
  <c r="G977" i="3"/>
  <c r="K976" i="3"/>
  <c r="C976" i="3"/>
  <c r="G975" i="3"/>
  <c r="K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K904" i="3"/>
  <c r="C904" i="3"/>
  <c r="G903" i="3"/>
  <c r="K902" i="3"/>
  <c r="C902" i="3"/>
  <c r="G901" i="3"/>
  <c r="K900" i="3"/>
  <c r="C900" i="3"/>
  <c r="G899" i="3"/>
  <c r="K898" i="3"/>
  <c r="C898" i="3"/>
  <c r="G897" i="3"/>
  <c r="K896" i="3"/>
  <c r="C896" i="3"/>
  <c r="G895" i="3"/>
  <c r="K894" i="3"/>
  <c r="C894" i="3"/>
  <c r="G893" i="3"/>
  <c r="K892" i="3"/>
  <c r="C892" i="3"/>
  <c r="G891" i="3"/>
  <c r="K890" i="3"/>
  <c r="C890" i="3"/>
  <c r="G889" i="3"/>
  <c r="K888" i="3"/>
  <c r="C888" i="3"/>
  <c r="G887" i="3"/>
  <c r="K886" i="3"/>
  <c r="C886" i="3"/>
  <c r="G885" i="3"/>
  <c r="K884" i="3"/>
  <c r="C884" i="3"/>
  <c r="G883" i="3"/>
  <c r="K882" i="3"/>
  <c r="C882" i="3"/>
  <c r="G881" i="3"/>
  <c r="K880" i="3"/>
  <c r="C880" i="3"/>
  <c r="G879" i="3"/>
  <c r="K878" i="3"/>
  <c r="C878" i="3"/>
  <c r="G877" i="3"/>
  <c r="K876" i="3"/>
  <c r="C876" i="3"/>
  <c r="G875" i="3"/>
  <c r="K874" i="3"/>
  <c r="C874" i="3"/>
  <c r="G873" i="3"/>
  <c r="K872" i="3"/>
  <c r="C872" i="3"/>
  <c r="G871" i="3"/>
  <c r="K870" i="3"/>
  <c r="C870" i="3"/>
  <c r="G869" i="3"/>
  <c r="K868" i="3"/>
  <c r="C868" i="3"/>
  <c r="G867" i="3"/>
  <c r="K866" i="3"/>
  <c r="C866" i="3"/>
  <c r="G865" i="3"/>
  <c r="K864" i="3"/>
  <c r="C864" i="3"/>
  <c r="G863" i="3"/>
  <c r="K862" i="3"/>
  <c r="C862" i="3"/>
  <c r="G861" i="3"/>
  <c r="K860" i="3"/>
  <c r="C860" i="3"/>
  <c r="G859" i="3"/>
  <c r="K858" i="3"/>
  <c r="C858" i="3"/>
  <c r="G857" i="3"/>
  <c r="K856" i="3"/>
  <c r="C856" i="3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J974" i="3"/>
  <c r="B974" i="3"/>
  <c r="F973" i="3"/>
  <c r="J972" i="3"/>
  <c r="B972" i="3"/>
  <c r="F971" i="3"/>
  <c r="J970" i="3"/>
  <c r="B970" i="3"/>
  <c r="F969" i="3"/>
  <c r="J968" i="3"/>
  <c r="B968" i="3"/>
  <c r="F967" i="3"/>
  <c r="J966" i="3"/>
  <c r="B966" i="3"/>
  <c r="F965" i="3"/>
  <c r="J964" i="3"/>
  <c r="B964" i="3"/>
  <c r="F963" i="3"/>
  <c r="J962" i="3"/>
  <c r="B962" i="3"/>
  <c r="F961" i="3"/>
  <c r="J960" i="3"/>
  <c r="B960" i="3"/>
  <c r="F959" i="3"/>
  <c r="J958" i="3"/>
  <c r="B958" i="3"/>
  <c r="F957" i="3"/>
  <c r="J956" i="3"/>
  <c r="B956" i="3"/>
  <c r="F955" i="3"/>
  <c r="J954" i="3"/>
  <c r="B954" i="3"/>
  <c r="F953" i="3"/>
  <c r="J952" i="3"/>
  <c r="B952" i="3"/>
  <c r="F951" i="3"/>
  <c r="J950" i="3"/>
  <c r="B950" i="3"/>
  <c r="F949" i="3"/>
  <c r="J948" i="3"/>
  <c r="B948" i="3"/>
  <c r="F947" i="3"/>
  <c r="J946" i="3"/>
  <c r="B946" i="3"/>
  <c r="F945" i="3"/>
  <c r="J944" i="3"/>
  <c r="B944" i="3"/>
  <c r="F943" i="3"/>
  <c r="J942" i="3"/>
  <c r="B942" i="3"/>
  <c r="F941" i="3"/>
  <c r="J940" i="3"/>
  <c r="B940" i="3"/>
  <c r="F939" i="3"/>
  <c r="J938" i="3"/>
  <c r="B938" i="3"/>
  <c r="F937" i="3"/>
  <c r="J936" i="3"/>
  <c r="B936" i="3"/>
  <c r="F935" i="3"/>
  <c r="J934" i="3"/>
  <c r="B934" i="3"/>
  <c r="F933" i="3"/>
  <c r="J932" i="3"/>
  <c r="B932" i="3"/>
  <c r="F931" i="3"/>
  <c r="J930" i="3"/>
  <c r="B930" i="3"/>
  <c r="F929" i="3"/>
  <c r="J928" i="3"/>
  <c r="B928" i="3"/>
  <c r="F927" i="3"/>
  <c r="J926" i="3"/>
  <c r="B926" i="3"/>
  <c r="F925" i="3"/>
  <c r="J924" i="3"/>
  <c r="B924" i="3"/>
  <c r="F923" i="3"/>
  <c r="J922" i="3"/>
  <c r="B922" i="3"/>
  <c r="F921" i="3"/>
  <c r="J920" i="3"/>
  <c r="B920" i="3"/>
  <c r="F919" i="3"/>
  <c r="J918" i="3"/>
  <c r="B918" i="3"/>
  <c r="F917" i="3"/>
  <c r="J916" i="3"/>
  <c r="B916" i="3"/>
  <c r="F915" i="3"/>
  <c r="J914" i="3"/>
  <c r="B914" i="3"/>
  <c r="F913" i="3"/>
  <c r="J912" i="3"/>
  <c r="B912" i="3"/>
  <c r="F911" i="3"/>
  <c r="J910" i="3"/>
  <c r="B910" i="3"/>
  <c r="F909" i="3"/>
  <c r="J908" i="3"/>
  <c r="B908" i="3"/>
  <c r="F907" i="3"/>
  <c r="J906" i="3"/>
  <c r="B906" i="3"/>
  <c r="F905" i="3"/>
  <c r="J904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5" i="3"/>
  <c r="J854" i="3"/>
  <c r="L853" i="3"/>
  <c r="C853" i="3"/>
  <c r="F852" i="3"/>
  <c r="I851" i="3"/>
  <c r="L850" i="3"/>
  <c r="C850" i="3"/>
  <c r="F849" i="3"/>
  <c r="H848" i="3"/>
  <c r="K847" i="3"/>
  <c r="B847" i="3"/>
  <c r="E846" i="3"/>
  <c r="H845" i="3"/>
  <c r="K844" i="3"/>
  <c r="B844" i="3"/>
  <c r="D843" i="3"/>
  <c r="G842" i="3"/>
  <c r="J841" i="3"/>
  <c r="A841" i="3"/>
  <c r="D840" i="3"/>
  <c r="G839" i="3"/>
  <c r="K838" i="3"/>
  <c r="C838" i="3"/>
  <c r="G837" i="3"/>
  <c r="K836" i="3"/>
  <c r="C836" i="3"/>
  <c r="G835" i="3"/>
  <c r="K834" i="3"/>
  <c r="C834" i="3"/>
  <c r="G833" i="3"/>
  <c r="K832" i="3"/>
  <c r="C832" i="3"/>
  <c r="G831" i="3"/>
  <c r="K830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C756" i="3"/>
  <c r="G755" i="3"/>
  <c r="K754" i="3"/>
  <c r="C754" i="3"/>
  <c r="G753" i="3"/>
  <c r="K752" i="3"/>
  <c r="C752" i="3"/>
  <c r="G751" i="3"/>
  <c r="K750" i="3"/>
  <c r="C750" i="3"/>
  <c r="G749" i="3"/>
  <c r="K748" i="3"/>
  <c r="C748" i="3"/>
  <c r="G747" i="3"/>
  <c r="K746" i="3"/>
  <c r="C746" i="3"/>
  <c r="G745" i="3"/>
  <c r="K744" i="3"/>
  <c r="C744" i="3"/>
  <c r="G743" i="3"/>
  <c r="K742" i="3"/>
  <c r="C742" i="3"/>
  <c r="G741" i="3"/>
  <c r="K740" i="3"/>
  <c r="C740" i="3"/>
  <c r="G739" i="3"/>
  <c r="K738" i="3"/>
  <c r="C738" i="3"/>
  <c r="G737" i="3"/>
  <c r="K736" i="3"/>
  <c r="C736" i="3"/>
  <c r="G735" i="3"/>
  <c r="K734" i="3"/>
  <c r="C734" i="3"/>
  <c r="G733" i="3"/>
  <c r="K732" i="3"/>
  <c r="C732" i="3"/>
  <c r="G731" i="3"/>
  <c r="K730" i="3"/>
  <c r="C730" i="3"/>
  <c r="G729" i="3"/>
  <c r="K728" i="3"/>
  <c r="C728" i="3"/>
  <c r="G727" i="3"/>
  <c r="K726" i="3"/>
  <c r="C726" i="3"/>
  <c r="G725" i="3"/>
  <c r="K724" i="3"/>
  <c r="C724" i="3"/>
  <c r="G723" i="3"/>
  <c r="K722" i="3"/>
  <c r="C722" i="3"/>
  <c r="G721" i="3"/>
  <c r="K720" i="3"/>
  <c r="C720" i="3"/>
  <c r="G719" i="3"/>
  <c r="K718" i="3"/>
  <c r="C718" i="3"/>
  <c r="G717" i="3"/>
  <c r="K716" i="3"/>
  <c r="C716" i="3"/>
  <c r="G715" i="3"/>
  <c r="K714" i="3"/>
  <c r="C714" i="3"/>
  <c r="G713" i="3"/>
  <c r="K712" i="3"/>
  <c r="C712" i="3"/>
  <c r="G711" i="3"/>
  <c r="K710" i="3"/>
  <c r="C710" i="3"/>
  <c r="G709" i="3"/>
  <c r="K708" i="3"/>
  <c r="C708" i="3"/>
  <c r="G707" i="3"/>
  <c r="K706" i="3"/>
  <c r="C706" i="3"/>
  <c r="G705" i="3"/>
  <c r="K704" i="3"/>
  <c r="C704" i="3"/>
  <c r="G703" i="3"/>
  <c r="K702" i="3"/>
  <c r="C702" i="3"/>
  <c r="G701" i="3"/>
  <c r="K700" i="3"/>
  <c r="C700" i="3"/>
  <c r="G699" i="3"/>
  <c r="K698" i="3"/>
  <c r="C698" i="3"/>
  <c r="G697" i="3"/>
  <c r="K696" i="3"/>
  <c r="C696" i="3"/>
  <c r="G695" i="3"/>
  <c r="K694" i="3"/>
  <c r="C694" i="3"/>
  <c r="G693" i="3"/>
  <c r="K692" i="3"/>
  <c r="C692" i="3"/>
  <c r="G691" i="3"/>
  <c r="K690" i="3"/>
  <c r="C690" i="3"/>
  <c r="G689" i="3"/>
  <c r="K688" i="3"/>
  <c r="C688" i="3"/>
  <c r="G687" i="3"/>
  <c r="K686" i="3"/>
  <c r="C686" i="3"/>
  <c r="G685" i="3"/>
  <c r="K684" i="3"/>
  <c r="C684" i="3"/>
  <c r="I855" i="3"/>
  <c r="H854" i="3"/>
  <c r="K853" i="3"/>
  <c r="B853" i="3"/>
  <c r="E852" i="3"/>
  <c r="H851" i="3"/>
  <c r="K850" i="3"/>
  <c r="B850" i="3"/>
  <c r="D849" i="3"/>
  <c r="G848" i="3"/>
  <c r="J847" i="3"/>
  <c r="A847" i="3"/>
  <c r="D846" i="3"/>
  <c r="G845" i="3"/>
  <c r="J844" i="3"/>
  <c r="L843" i="3"/>
  <c r="C843" i="3"/>
  <c r="F842" i="3"/>
  <c r="I841" i="3"/>
  <c r="L840" i="3"/>
  <c r="C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B830" i="3"/>
  <c r="F829" i="3"/>
  <c r="J828" i="3"/>
  <c r="B828" i="3"/>
  <c r="F827" i="3"/>
  <c r="J826" i="3"/>
  <c r="B826" i="3"/>
  <c r="F825" i="3"/>
  <c r="J824" i="3"/>
  <c r="B824" i="3"/>
  <c r="F823" i="3"/>
  <c r="J822" i="3"/>
  <c r="B822" i="3"/>
  <c r="F821" i="3"/>
  <c r="J820" i="3"/>
  <c r="B820" i="3"/>
  <c r="F819" i="3"/>
  <c r="J818" i="3"/>
  <c r="B818" i="3"/>
  <c r="F817" i="3"/>
  <c r="J816" i="3"/>
  <c r="B816" i="3"/>
  <c r="F815" i="3"/>
  <c r="J814" i="3"/>
  <c r="B814" i="3"/>
  <c r="F813" i="3"/>
  <c r="J812" i="3"/>
  <c r="B812" i="3"/>
  <c r="F811" i="3"/>
  <c r="J810" i="3"/>
  <c r="B810" i="3"/>
  <c r="F809" i="3"/>
  <c r="J808" i="3"/>
  <c r="B808" i="3"/>
  <c r="F807" i="3"/>
  <c r="J806" i="3"/>
  <c r="B806" i="3"/>
  <c r="F805" i="3"/>
  <c r="J804" i="3"/>
  <c r="B804" i="3"/>
  <c r="F803" i="3"/>
  <c r="J802" i="3"/>
  <c r="B802" i="3"/>
  <c r="F801" i="3"/>
  <c r="J800" i="3"/>
  <c r="B800" i="3"/>
  <c r="F799" i="3"/>
  <c r="J798" i="3"/>
  <c r="B798" i="3"/>
  <c r="F797" i="3"/>
  <c r="J796" i="3"/>
  <c r="B796" i="3"/>
  <c r="F795" i="3"/>
  <c r="J794" i="3"/>
  <c r="B794" i="3"/>
  <c r="F793" i="3"/>
  <c r="J792" i="3"/>
  <c r="B792" i="3"/>
  <c r="F791" i="3"/>
  <c r="J790" i="3"/>
  <c r="B790" i="3"/>
  <c r="F789" i="3"/>
  <c r="J788" i="3"/>
  <c r="B788" i="3"/>
  <c r="F787" i="3"/>
  <c r="J786" i="3"/>
  <c r="B786" i="3"/>
  <c r="F785" i="3"/>
  <c r="J784" i="3"/>
  <c r="B784" i="3"/>
  <c r="F783" i="3"/>
  <c r="J782" i="3"/>
  <c r="B782" i="3"/>
  <c r="F781" i="3"/>
  <c r="J780" i="3"/>
  <c r="B780" i="3"/>
  <c r="F779" i="3"/>
  <c r="J778" i="3"/>
  <c r="B778" i="3"/>
  <c r="F777" i="3"/>
  <c r="J776" i="3"/>
  <c r="B776" i="3"/>
  <c r="F775" i="3"/>
  <c r="J774" i="3"/>
  <c r="B774" i="3"/>
  <c r="F773" i="3"/>
  <c r="J772" i="3"/>
  <c r="B772" i="3"/>
  <c r="F771" i="3"/>
  <c r="J770" i="3"/>
  <c r="B770" i="3"/>
  <c r="F769" i="3"/>
  <c r="J768" i="3"/>
  <c r="B768" i="3"/>
  <c r="F767" i="3"/>
  <c r="J766" i="3"/>
  <c r="B766" i="3"/>
  <c r="F765" i="3"/>
  <c r="J764" i="3"/>
  <c r="B764" i="3"/>
  <c r="F763" i="3"/>
  <c r="J762" i="3"/>
  <c r="B762" i="3"/>
  <c r="F761" i="3"/>
  <c r="J760" i="3"/>
  <c r="B760" i="3"/>
  <c r="F759" i="3"/>
  <c r="J758" i="3"/>
  <c r="B758" i="3"/>
  <c r="F757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H855" i="3"/>
  <c r="G854" i="3"/>
  <c r="J853" i="3"/>
  <c r="A853" i="3"/>
  <c r="D852" i="3"/>
  <c r="G851" i="3"/>
  <c r="J850" i="3"/>
  <c r="L849" i="3"/>
  <c r="C849" i="3"/>
  <c r="F848" i="3"/>
  <c r="I847" i="3"/>
  <c r="L846" i="3"/>
  <c r="C846" i="3"/>
  <c r="F845" i="3"/>
  <c r="H844" i="3"/>
  <c r="K843" i="3"/>
  <c r="B843" i="3"/>
  <c r="E842" i="3"/>
  <c r="H841" i="3"/>
  <c r="K840" i="3"/>
  <c r="B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G855" i="3"/>
  <c r="F854" i="3"/>
  <c r="I853" i="3"/>
  <c r="L852" i="3"/>
  <c r="C852" i="3"/>
  <c r="F851" i="3"/>
  <c r="H850" i="3"/>
  <c r="K849" i="3"/>
  <c r="B849" i="3"/>
  <c r="E848" i="3"/>
  <c r="H847" i="3"/>
  <c r="K846" i="3"/>
  <c r="B846" i="3"/>
  <c r="D845" i="3"/>
  <c r="G844" i="3"/>
  <c r="J843" i="3"/>
  <c r="A843" i="3"/>
  <c r="D842" i="3"/>
  <c r="G841" i="3"/>
  <c r="J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B855" i="3"/>
  <c r="E854" i="3"/>
  <c r="H853" i="3"/>
  <c r="K852" i="3"/>
  <c r="B852" i="3"/>
  <c r="D851" i="3"/>
  <c r="G850" i="3"/>
  <c r="J849" i="3"/>
  <c r="A849" i="3"/>
  <c r="D848" i="3"/>
  <c r="G847" i="3"/>
  <c r="J846" i="3"/>
  <c r="L845" i="3"/>
  <c r="C845" i="3"/>
  <c r="F844" i="3"/>
  <c r="I843" i="3"/>
  <c r="L842" i="3"/>
  <c r="C842" i="3"/>
  <c r="F841" i="3"/>
  <c r="H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A855" i="3"/>
  <c r="D854" i="3"/>
  <c r="G853" i="3"/>
  <c r="J852" i="3"/>
  <c r="L851" i="3"/>
  <c r="C851" i="3"/>
  <c r="F850" i="3"/>
  <c r="I849" i="3"/>
  <c r="L848" i="3"/>
  <c r="C848" i="3"/>
  <c r="F847" i="3"/>
  <c r="H846" i="3"/>
  <c r="K845" i="3"/>
  <c r="B845" i="3"/>
  <c r="E844" i="3"/>
  <c r="H843" i="3"/>
  <c r="K842" i="3"/>
  <c r="B842" i="3"/>
  <c r="D841" i="3"/>
  <c r="G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J831" i="3"/>
  <c r="B831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L854" i="3"/>
  <c r="C854" i="3"/>
  <c r="F853" i="3"/>
  <c r="H852" i="3"/>
  <c r="K851" i="3"/>
  <c r="B851" i="3"/>
  <c r="E850" i="3"/>
  <c r="H849" i="3"/>
  <c r="K848" i="3"/>
  <c r="B848" i="3"/>
  <c r="D847" i="3"/>
  <c r="G846" i="3"/>
  <c r="J845" i="3"/>
  <c r="A845" i="3"/>
  <c r="D844" i="3"/>
  <c r="G843" i="3"/>
  <c r="J842" i="3"/>
  <c r="L841" i="3"/>
  <c r="C841" i="3"/>
  <c r="F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A757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K854" i="3"/>
  <c r="B854" i="3"/>
  <c r="D853" i="3"/>
  <c r="G852" i="3"/>
  <c r="J851" i="3"/>
  <c r="A851" i="3"/>
  <c r="D850" i="3"/>
  <c r="G849" i="3"/>
  <c r="J848" i="3"/>
  <c r="L847" i="3"/>
  <c r="C847" i="3"/>
  <c r="F846" i="3"/>
  <c r="I845" i="3"/>
  <c r="L844" i="3"/>
  <c r="C844" i="3"/>
  <c r="F843" i="3"/>
  <c r="H842" i="3"/>
  <c r="K841" i="3"/>
  <c r="B841" i="3"/>
  <c r="E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I683" i="3"/>
  <c r="A683" i="3"/>
  <c r="E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E544" i="3"/>
  <c r="I543" i="3"/>
  <c r="A543" i="3"/>
  <c r="E542" i="3"/>
  <c r="I541" i="3"/>
  <c r="A541" i="3"/>
  <c r="E540" i="3"/>
  <c r="I539" i="3"/>
  <c r="A539" i="3"/>
  <c r="E538" i="3"/>
  <c r="I537" i="3"/>
  <c r="A537" i="3"/>
  <c r="E536" i="3"/>
  <c r="I535" i="3"/>
  <c r="A535" i="3"/>
  <c r="E534" i="3"/>
  <c r="I533" i="3"/>
  <c r="A533" i="3"/>
  <c r="E532" i="3"/>
  <c r="I531" i="3"/>
  <c r="A531" i="3"/>
  <c r="E530" i="3"/>
  <c r="I529" i="3"/>
  <c r="A529" i="3"/>
  <c r="E528" i="3"/>
  <c r="I527" i="3"/>
  <c r="A527" i="3"/>
  <c r="E526" i="3"/>
  <c r="I525" i="3"/>
  <c r="A525" i="3"/>
  <c r="E524" i="3"/>
  <c r="I523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H683" i="3"/>
  <c r="L682" i="3"/>
  <c r="D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G683" i="3"/>
  <c r="K682" i="3"/>
  <c r="C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F683" i="3"/>
  <c r="J682" i="3"/>
  <c r="B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E683" i="3"/>
  <c r="I682" i="3"/>
  <c r="A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E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D683" i="3"/>
  <c r="H682" i="3"/>
  <c r="L681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C683" i="3"/>
  <c r="G682" i="3"/>
  <c r="K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B683" i="3"/>
  <c r="F682" i="3"/>
  <c r="J681" i="3"/>
  <c r="B681" i="3"/>
  <c r="F680" i="3"/>
  <c r="J679" i="3"/>
  <c r="B679" i="3"/>
  <c r="F678" i="3"/>
  <c r="J677" i="3"/>
  <c r="B677" i="3"/>
  <c r="F676" i="3"/>
  <c r="J675" i="3"/>
  <c r="B675" i="3"/>
  <c r="F674" i="3"/>
  <c r="J673" i="3"/>
  <c r="B673" i="3"/>
  <c r="F672" i="3"/>
  <c r="J671" i="3"/>
  <c r="B671" i="3"/>
  <c r="F670" i="3"/>
  <c r="J669" i="3"/>
  <c r="B669" i="3"/>
  <c r="F668" i="3"/>
  <c r="J667" i="3"/>
  <c r="B667" i="3"/>
  <c r="F666" i="3"/>
  <c r="J665" i="3"/>
  <c r="B665" i="3"/>
  <c r="F664" i="3"/>
  <c r="J663" i="3"/>
  <c r="B663" i="3"/>
  <c r="F662" i="3"/>
  <c r="J661" i="3"/>
  <c r="B661" i="3"/>
  <c r="F660" i="3"/>
  <c r="J659" i="3"/>
  <c r="B659" i="3"/>
  <c r="F658" i="3"/>
  <c r="J657" i="3"/>
  <c r="B657" i="3"/>
  <c r="F656" i="3"/>
  <c r="J655" i="3"/>
  <c r="B655" i="3"/>
  <c r="F654" i="3"/>
  <c r="J653" i="3"/>
  <c r="B653" i="3"/>
  <c r="F652" i="3"/>
  <c r="J651" i="3"/>
  <c r="B651" i="3"/>
  <c r="F650" i="3"/>
  <c r="J649" i="3"/>
  <c r="B649" i="3"/>
  <c r="F648" i="3"/>
  <c r="J647" i="3"/>
  <c r="B647" i="3"/>
  <c r="F646" i="3"/>
  <c r="J645" i="3"/>
  <c r="B645" i="3"/>
  <c r="F644" i="3"/>
  <c r="J643" i="3"/>
  <c r="B643" i="3"/>
  <c r="F642" i="3"/>
  <c r="J641" i="3"/>
  <c r="B641" i="3"/>
  <c r="F640" i="3"/>
  <c r="J639" i="3"/>
  <c r="B639" i="3"/>
  <c r="F638" i="3"/>
  <c r="J637" i="3"/>
  <c r="B637" i="3"/>
  <c r="F636" i="3"/>
  <c r="J635" i="3"/>
  <c r="B635" i="3"/>
  <c r="F634" i="3"/>
  <c r="J633" i="3"/>
  <c r="B633" i="3"/>
  <c r="F632" i="3"/>
  <c r="J631" i="3"/>
  <c r="B631" i="3"/>
  <c r="F630" i="3"/>
  <c r="J629" i="3"/>
  <c r="B629" i="3"/>
  <c r="F628" i="3"/>
  <c r="J627" i="3"/>
  <c r="B627" i="3"/>
  <c r="F626" i="3"/>
  <c r="J625" i="3"/>
  <c r="B625" i="3"/>
  <c r="F624" i="3"/>
  <c r="J623" i="3"/>
  <c r="B623" i="3"/>
  <c r="F622" i="3"/>
  <c r="J621" i="3"/>
  <c r="B621" i="3"/>
  <c r="F620" i="3"/>
  <c r="J619" i="3"/>
  <c r="B619" i="3"/>
  <c r="F618" i="3"/>
  <c r="J617" i="3"/>
  <c r="B617" i="3"/>
  <c r="F616" i="3"/>
  <c r="J615" i="3"/>
  <c r="B615" i="3"/>
  <c r="F614" i="3"/>
  <c r="J613" i="3"/>
  <c r="B613" i="3"/>
  <c r="F612" i="3"/>
  <c r="J611" i="3"/>
  <c r="B611" i="3"/>
  <c r="F610" i="3"/>
  <c r="J609" i="3"/>
  <c r="B609" i="3"/>
  <c r="F608" i="3"/>
  <c r="J607" i="3"/>
  <c r="B607" i="3"/>
  <c r="F606" i="3"/>
  <c r="J605" i="3"/>
  <c r="B605" i="3"/>
  <c r="F604" i="3"/>
  <c r="J603" i="3"/>
  <c r="B603" i="3"/>
  <c r="F602" i="3"/>
  <c r="J601" i="3"/>
  <c r="B601" i="3"/>
  <c r="F600" i="3"/>
  <c r="J599" i="3"/>
  <c r="B599" i="3"/>
  <c r="F598" i="3"/>
  <c r="J597" i="3"/>
  <c r="B597" i="3"/>
  <c r="F596" i="3"/>
  <c r="J595" i="3"/>
  <c r="B595" i="3"/>
  <c r="F594" i="3"/>
  <c r="J593" i="3"/>
  <c r="B593" i="3"/>
  <c r="F592" i="3"/>
  <c r="J591" i="3"/>
  <c r="B591" i="3"/>
  <c r="F590" i="3"/>
  <c r="J589" i="3"/>
  <c r="B589" i="3"/>
  <c r="F588" i="3"/>
  <c r="J587" i="3"/>
  <c r="B587" i="3"/>
  <c r="F586" i="3"/>
  <c r="J585" i="3"/>
  <c r="B585" i="3"/>
  <c r="F584" i="3"/>
  <c r="J583" i="3"/>
  <c r="B583" i="3"/>
  <c r="F582" i="3"/>
  <c r="J581" i="3"/>
  <c r="B581" i="3"/>
  <c r="F580" i="3"/>
  <c r="J579" i="3"/>
  <c r="B579" i="3"/>
  <c r="F578" i="3"/>
  <c r="J577" i="3"/>
  <c r="B577" i="3"/>
  <c r="F576" i="3"/>
  <c r="J575" i="3"/>
  <c r="B575" i="3"/>
  <c r="F574" i="3"/>
  <c r="J573" i="3"/>
  <c r="B573" i="3"/>
  <c r="F572" i="3"/>
  <c r="J571" i="3"/>
  <c r="B571" i="3"/>
  <c r="F570" i="3"/>
  <c r="J569" i="3"/>
  <c r="B569" i="3"/>
  <c r="F568" i="3"/>
  <c r="J567" i="3"/>
  <c r="B567" i="3"/>
  <c r="F566" i="3"/>
  <c r="J565" i="3"/>
  <c r="B565" i="3"/>
  <c r="F564" i="3"/>
  <c r="J563" i="3"/>
  <c r="B563" i="3"/>
  <c r="F562" i="3"/>
  <c r="J561" i="3"/>
  <c r="B561" i="3"/>
  <c r="F560" i="3"/>
  <c r="J559" i="3"/>
  <c r="B559" i="3"/>
  <c r="F558" i="3"/>
  <c r="J557" i="3"/>
  <c r="B557" i="3"/>
  <c r="F556" i="3"/>
  <c r="J555" i="3"/>
  <c r="B555" i="3"/>
  <c r="F554" i="3"/>
  <c r="J553" i="3"/>
  <c r="B553" i="3"/>
  <c r="F552" i="3"/>
  <c r="J551" i="3"/>
  <c r="B551" i="3"/>
  <c r="F550" i="3"/>
  <c r="J549" i="3"/>
  <c r="B549" i="3"/>
  <c r="F548" i="3"/>
  <c r="J547" i="3"/>
  <c r="B547" i="3"/>
  <c r="F546" i="3"/>
  <c r="J545" i="3"/>
  <c r="B545" i="3"/>
  <c r="F544" i="3"/>
  <c r="J543" i="3"/>
  <c r="B543" i="3"/>
  <c r="F542" i="3"/>
  <c r="J541" i="3"/>
  <c r="B541" i="3"/>
  <c r="F540" i="3"/>
  <c r="J539" i="3"/>
  <c r="B539" i="3"/>
  <c r="F538" i="3"/>
  <c r="J537" i="3"/>
  <c r="B537" i="3"/>
  <c r="F536" i="3"/>
  <c r="J535" i="3"/>
  <c r="B535" i="3"/>
  <c r="F534" i="3"/>
  <c r="J533" i="3"/>
  <c r="B533" i="3"/>
  <c r="F532" i="3"/>
  <c r="J531" i="3"/>
  <c r="B531" i="3"/>
  <c r="F530" i="3"/>
  <c r="J529" i="3"/>
  <c r="B529" i="3"/>
  <c r="F528" i="3"/>
  <c r="J527" i="3"/>
  <c r="B527" i="3"/>
  <c r="F526" i="3"/>
  <c r="J525" i="3"/>
  <c r="B525" i="3"/>
  <c r="F524" i="3"/>
  <c r="J523" i="3"/>
  <c r="B523" i="3"/>
  <c r="F522" i="3"/>
  <c r="J521" i="3"/>
  <c r="B521" i="3"/>
  <c r="F520" i="3"/>
  <c r="J519" i="3"/>
  <c r="B519" i="3"/>
  <c r="F518" i="3"/>
  <c r="J517" i="3"/>
  <c r="B517" i="3"/>
  <c r="F516" i="3"/>
  <c r="J515" i="3"/>
  <c r="B515" i="3"/>
  <c r="F514" i="3"/>
  <c r="J513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D461" i="3"/>
  <c r="H460" i="3"/>
  <c r="L459" i="3"/>
  <c r="D459" i="3"/>
  <c r="H458" i="3"/>
  <c r="L457" i="3"/>
  <c r="D457" i="3"/>
  <c r="H456" i="3"/>
  <c r="L455" i="3"/>
  <c r="D455" i="3"/>
  <c r="H454" i="3"/>
  <c r="L453" i="3"/>
  <c r="D453" i="3"/>
  <c r="H452" i="3"/>
  <c r="L451" i="3"/>
  <c r="D451" i="3"/>
  <c r="H450" i="3"/>
  <c r="L449" i="3"/>
  <c r="D449" i="3"/>
  <c r="H448" i="3"/>
  <c r="L447" i="3"/>
  <c r="D447" i="3"/>
  <c r="H446" i="3"/>
  <c r="L445" i="3"/>
  <c r="D445" i="3"/>
  <c r="H444" i="3"/>
  <c r="L443" i="3"/>
  <c r="D443" i="3"/>
  <c r="H442" i="3"/>
  <c r="L441" i="3"/>
  <c r="D441" i="3"/>
  <c r="H440" i="3"/>
  <c r="L439" i="3"/>
  <c r="D439" i="3"/>
  <c r="H438" i="3"/>
  <c r="L437" i="3"/>
  <c r="D437" i="3"/>
  <c r="H436" i="3"/>
  <c r="L435" i="3"/>
  <c r="D435" i="3"/>
  <c r="H434" i="3"/>
  <c r="L433" i="3"/>
  <c r="D433" i="3"/>
  <c r="H432" i="3"/>
  <c r="L431" i="3"/>
  <c r="D431" i="3"/>
  <c r="H430" i="3"/>
  <c r="L429" i="3"/>
  <c r="D429" i="3"/>
  <c r="H428" i="3"/>
  <c r="L427" i="3"/>
  <c r="D427" i="3"/>
  <c r="H426" i="3"/>
  <c r="L425" i="3"/>
  <c r="D425" i="3"/>
  <c r="H424" i="3"/>
  <c r="L423" i="3"/>
  <c r="D423" i="3"/>
  <c r="H422" i="3"/>
  <c r="L421" i="3"/>
  <c r="D421" i="3"/>
  <c r="H420" i="3"/>
  <c r="L419" i="3"/>
  <c r="D419" i="3"/>
  <c r="H418" i="3"/>
  <c r="L417" i="3"/>
  <c r="D417" i="3"/>
  <c r="H416" i="3"/>
  <c r="L415" i="3"/>
  <c r="D415" i="3"/>
  <c r="H414" i="3"/>
  <c r="L413" i="3"/>
  <c r="D413" i="3"/>
  <c r="H412" i="3"/>
  <c r="L411" i="3"/>
  <c r="D411" i="3"/>
  <c r="H410" i="3"/>
  <c r="L409" i="3"/>
  <c r="D409" i="3"/>
  <c r="H408" i="3"/>
  <c r="L407" i="3"/>
  <c r="D407" i="3"/>
  <c r="H406" i="3"/>
  <c r="L405" i="3"/>
  <c r="D405" i="3"/>
  <c r="H404" i="3"/>
  <c r="L403" i="3"/>
  <c r="D403" i="3"/>
  <c r="H402" i="3"/>
  <c r="L401" i="3"/>
  <c r="D401" i="3"/>
  <c r="H400" i="3"/>
  <c r="L399" i="3"/>
  <c r="D399" i="3"/>
  <c r="H398" i="3"/>
  <c r="L397" i="3"/>
  <c r="D397" i="3"/>
  <c r="H396" i="3"/>
  <c r="L395" i="3"/>
  <c r="D395" i="3"/>
  <c r="H394" i="3"/>
  <c r="L393" i="3"/>
  <c r="D393" i="3"/>
  <c r="H392" i="3"/>
  <c r="L391" i="3"/>
  <c r="D391" i="3"/>
  <c r="H390" i="3"/>
  <c r="L389" i="3"/>
  <c r="D389" i="3"/>
  <c r="H388" i="3"/>
  <c r="L387" i="3"/>
  <c r="D387" i="3"/>
  <c r="H386" i="3"/>
  <c r="L385" i="3"/>
  <c r="D385" i="3"/>
  <c r="H384" i="3"/>
  <c r="L383" i="3"/>
  <c r="D383" i="3"/>
  <c r="H382" i="3"/>
  <c r="L381" i="3"/>
  <c r="D381" i="3"/>
  <c r="H380" i="3"/>
  <c r="L379" i="3"/>
  <c r="D379" i="3"/>
  <c r="H378" i="3"/>
  <c r="L377" i="3"/>
  <c r="D377" i="3"/>
  <c r="H376" i="3"/>
  <c r="L375" i="3"/>
  <c r="D375" i="3"/>
  <c r="H374" i="3"/>
  <c r="L373" i="3"/>
  <c r="D373" i="3"/>
  <c r="H372" i="3"/>
  <c r="L371" i="3"/>
  <c r="D371" i="3"/>
  <c r="H370" i="3"/>
  <c r="L369" i="3"/>
  <c r="D369" i="3"/>
  <c r="H368" i="3"/>
  <c r="L367" i="3"/>
  <c r="D367" i="3"/>
  <c r="H366" i="3"/>
  <c r="L365" i="3"/>
  <c r="D365" i="3"/>
  <c r="H364" i="3"/>
  <c r="L363" i="3"/>
  <c r="D363" i="3"/>
  <c r="H362" i="3"/>
  <c r="L361" i="3"/>
  <c r="D361" i="3"/>
  <c r="H360" i="3"/>
  <c r="L359" i="3"/>
  <c r="D359" i="3"/>
  <c r="H358" i="3"/>
  <c r="L357" i="3"/>
  <c r="D357" i="3"/>
  <c r="H356" i="3"/>
  <c r="L355" i="3"/>
  <c r="D355" i="3"/>
  <c r="H354" i="3"/>
  <c r="L353" i="3"/>
  <c r="D353" i="3"/>
  <c r="H352" i="3"/>
  <c r="L351" i="3"/>
  <c r="D351" i="3"/>
  <c r="H350" i="3"/>
  <c r="L349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B513" i="3"/>
  <c r="F512" i="3"/>
  <c r="J511" i="3"/>
  <c r="B511" i="3"/>
  <c r="F510" i="3"/>
  <c r="J509" i="3"/>
  <c r="B509" i="3"/>
  <c r="F508" i="3"/>
  <c r="J507" i="3"/>
  <c r="B507" i="3"/>
  <c r="F506" i="3"/>
  <c r="J505" i="3"/>
  <c r="B505" i="3"/>
  <c r="F504" i="3"/>
  <c r="J503" i="3"/>
  <c r="B503" i="3"/>
  <c r="F502" i="3"/>
  <c r="J501" i="3"/>
  <c r="B501" i="3"/>
  <c r="F500" i="3"/>
  <c r="J499" i="3"/>
  <c r="B499" i="3"/>
  <c r="F498" i="3"/>
  <c r="J497" i="3"/>
  <c r="B497" i="3"/>
  <c r="F496" i="3"/>
  <c r="J495" i="3"/>
  <c r="B495" i="3"/>
  <c r="F494" i="3"/>
  <c r="J493" i="3"/>
  <c r="B493" i="3"/>
  <c r="F492" i="3"/>
  <c r="J491" i="3"/>
  <c r="B491" i="3"/>
  <c r="F490" i="3"/>
  <c r="J489" i="3"/>
  <c r="B489" i="3"/>
  <c r="F488" i="3"/>
  <c r="J487" i="3"/>
  <c r="B487" i="3"/>
  <c r="F486" i="3"/>
  <c r="J485" i="3"/>
  <c r="B485" i="3"/>
  <c r="F484" i="3"/>
  <c r="J483" i="3"/>
  <c r="B483" i="3"/>
  <c r="F482" i="3"/>
  <c r="J481" i="3"/>
  <c r="B481" i="3"/>
  <c r="F480" i="3"/>
  <c r="J479" i="3"/>
  <c r="B479" i="3"/>
  <c r="F478" i="3"/>
  <c r="J477" i="3"/>
  <c r="B477" i="3"/>
  <c r="F476" i="3"/>
  <c r="J475" i="3"/>
  <c r="B475" i="3"/>
  <c r="F474" i="3"/>
  <c r="J473" i="3"/>
  <c r="B473" i="3"/>
  <c r="F472" i="3"/>
  <c r="J471" i="3"/>
  <c r="B471" i="3"/>
  <c r="F470" i="3"/>
  <c r="J469" i="3"/>
  <c r="B469" i="3"/>
  <c r="F468" i="3"/>
  <c r="J467" i="3"/>
  <c r="B467" i="3"/>
  <c r="F466" i="3"/>
  <c r="J465" i="3"/>
  <c r="B465" i="3"/>
  <c r="F464" i="3"/>
  <c r="J463" i="3"/>
  <c r="B463" i="3"/>
  <c r="F462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I349" i="3"/>
  <c r="B348" i="3"/>
  <c r="D347" i="3"/>
  <c r="E346" i="3"/>
  <c r="F345" i="3"/>
  <c r="H344" i="3"/>
  <c r="I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D349" i="3"/>
  <c r="A348" i="3"/>
  <c r="B347" i="3"/>
  <c r="D346" i="3"/>
  <c r="E345" i="3"/>
  <c r="F344" i="3"/>
  <c r="H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A349" i="3"/>
  <c r="L347" i="3"/>
  <c r="A347" i="3"/>
  <c r="B346" i="3"/>
  <c r="D345" i="3"/>
  <c r="E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L348" i="3"/>
  <c r="J347" i="3"/>
  <c r="L346" i="3"/>
  <c r="A346" i="3"/>
  <c r="B345" i="3"/>
  <c r="D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I302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I348" i="3"/>
  <c r="I347" i="3"/>
  <c r="J346" i="3"/>
  <c r="L345" i="3"/>
  <c r="A345" i="3"/>
  <c r="B344" i="3"/>
  <c r="D343" i="3"/>
  <c r="H342" i="3"/>
  <c r="L341" i="3"/>
  <c r="D341" i="3"/>
  <c r="H340" i="3"/>
  <c r="L339" i="3"/>
  <c r="D339" i="3"/>
  <c r="H338" i="3"/>
  <c r="L337" i="3"/>
  <c r="D337" i="3"/>
  <c r="H336" i="3"/>
  <c r="L335" i="3"/>
  <c r="D335" i="3"/>
  <c r="H334" i="3"/>
  <c r="L333" i="3"/>
  <c r="D333" i="3"/>
  <c r="H332" i="3"/>
  <c r="L331" i="3"/>
  <c r="D331" i="3"/>
  <c r="H330" i="3"/>
  <c r="L329" i="3"/>
  <c r="D329" i="3"/>
  <c r="H328" i="3"/>
  <c r="L327" i="3"/>
  <c r="D327" i="3"/>
  <c r="H326" i="3"/>
  <c r="L325" i="3"/>
  <c r="D325" i="3"/>
  <c r="H324" i="3"/>
  <c r="L323" i="3"/>
  <c r="D323" i="3"/>
  <c r="H322" i="3"/>
  <c r="L321" i="3"/>
  <c r="D321" i="3"/>
  <c r="H320" i="3"/>
  <c r="L319" i="3"/>
  <c r="D319" i="3"/>
  <c r="H318" i="3"/>
  <c r="L317" i="3"/>
  <c r="D317" i="3"/>
  <c r="H316" i="3"/>
  <c r="L315" i="3"/>
  <c r="D315" i="3"/>
  <c r="H314" i="3"/>
  <c r="L313" i="3"/>
  <c r="D313" i="3"/>
  <c r="H312" i="3"/>
  <c r="L311" i="3"/>
  <c r="D311" i="3"/>
  <c r="H310" i="3"/>
  <c r="L309" i="3"/>
  <c r="D309" i="3"/>
  <c r="H308" i="3"/>
  <c r="L307" i="3"/>
  <c r="D307" i="3"/>
  <c r="H306" i="3"/>
  <c r="L305" i="3"/>
  <c r="D305" i="3"/>
  <c r="H304" i="3"/>
  <c r="L303" i="3"/>
  <c r="D303" i="3"/>
  <c r="H302" i="3"/>
  <c r="L301" i="3"/>
  <c r="D301" i="3"/>
  <c r="H300" i="3"/>
  <c r="L299" i="3"/>
  <c r="D299" i="3"/>
  <c r="H298" i="3"/>
  <c r="L297" i="3"/>
  <c r="D297" i="3"/>
  <c r="H296" i="3"/>
  <c r="L295" i="3"/>
  <c r="D295" i="3"/>
  <c r="H294" i="3"/>
  <c r="L293" i="3"/>
  <c r="D293" i="3"/>
  <c r="H292" i="3"/>
  <c r="L291" i="3"/>
  <c r="D291" i="3"/>
  <c r="H290" i="3"/>
  <c r="L289" i="3"/>
  <c r="D289" i="3"/>
  <c r="H288" i="3"/>
  <c r="L287" i="3"/>
  <c r="D287" i="3"/>
  <c r="H286" i="3"/>
  <c r="L285" i="3"/>
  <c r="D285" i="3"/>
  <c r="H284" i="3"/>
  <c r="L283" i="3"/>
  <c r="D283" i="3"/>
  <c r="H282" i="3"/>
  <c r="L281" i="3"/>
  <c r="D281" i="3"/>
  <c r="H280" i="3"/>
  <c r="L279" i="3"/>
  <c r="D279" i="3"/>
  <c r="H278" i="3"/>
  <c r="L277" i="3"/>
  <c r="D277" i="3"/>
  <c r="H276" i="3"/>
  <c r="L275" i="3"/>
  <c r="D275" i="3"/>
  <c r="H274" i="3"/>
  <c r="L273" i="3"/>
  <c r="D273" i="3"/>
  <c r="H272" i="3"/>
  <c r="L271" i="3"/>
  <c r="D271" i="3"/>
  <c r="H270" i="3"/>
  <c r="L269" i="3"/>
  <c r="D269" i="3"/>
  <c r="H268" i="3"/>
  <c r="L267" i="3"/>
  <c r="D267" i="3"/>
  <c r="H266" i="3"/>
  <c r="L265" i="3"/>
  <c r="D265" i="3"/>
  <c r="H264" i="3"/>
  <c r="L263" i="3"/>
  <c r="D263" i="3"/>
  <c r="H262" i="3"/>
  <c r="L261" i="3"/>
  <c r="D261" i="3"/>
  <c r="H260" i="3"/>
  <c r="L259" i="3"/>
  <c r="D259" i="3"/>
  <c r="H258" i="3"/>
  <c r="L257" i="3"/>
  <c r="D257" i="3"/>
  <c r="H256" i="3"/>
  <c r="L255" i="3"/>
  <c r="D255" i="3"/>
  <c r="H254" i="3"/>
  <c r="L253" i="3"/>
  <c r="D253" i="3"/>
  <c r="H252" i="3"/>
  <c r="L251" i="3"/>
  <c r="D251" i="3"/>
  <c r="H250" i="3"/>
  <c r="L249" i="3"/>
  <c r="D249" i="3"/>
  <c r="H248" i="3"/>
  <c r="L247" i="3"/>
  <c r="D247" i="3"/>
  <c r="H246" i="3"/>
  <c r="L245" i="3"/>
  <c r="D245" i="3"/>
  <c r="H244" i="3"/>
  <c r="L243" i="3"/>
  <c r="D243" i="3"/>
  <c r="H242" i="3"/>
  <c r="L241" i="3"/>
  <c r="D241" i="3"/>
  <c r="H240" i="3"/>
  <c r="L239" i="3"/>
  <c r="D239" i="3"/>
  <c r="H238" i="3"/>
  <c r="L237" i="3"/>
  <c r="D237" i="3"/>
  <c r="H236" i="3"/>
  <c r="L235" i="3"/>
  <c r="D235" i="3"/>
  <c r="H234" i="3"/>
  <c r="L233" i="3"/>
  <c r="D233" i="3"/>
  <c r="H232" i="3"/>
  <c r="L231" i="3"/>
  <c r="D231" i="3"/>
  <c r="H230" i="3"/>
  <c r="L229" i="3"/>
  <c r="D229" i="3"/>
  <c r="H228" i="3"/>
  <c r="L227" i="3"/>
  <c r="D227" i="3"/>
  <c r="H226" i="3"/>
  <c r="L225" i="3"/>
  <c r="D225" i="3"/>
  <c r="H224" i="3"/>
  <c r="L223" i="3"/>
  <c r="D223" i="3"/>
  <c r="H222" i="3"/>
  <c r="L221" i="3"/>
  <c r="D221" i="3"/>
  <c r="H220" i="3"/>
  <c r="L219" i="3"/>
  <c r="D219" i="3"/>
  <c r="H218" i="3"/>
  <c r="L217" i="3"/>
  <c r="D217" i="3"/>
  <c r="H216" i="3"/>
  <c r="L215" i="3"/>
  <c r="D215" i="3"/>
  <c r="H214" i="3"/>
  <c r="L213" i="3"/>
  <c r="D213" i="3"/>
  <c r="H212" i="3"/>
  <c r="L211" i="3"/>
  <c r="D211" i="3"/>
  <c r="H210" i="3"/>
  <c r="L209" i="3"/>
  <c r="D209" i="3"/>
  <c r="H208" i="3"/>
  <c r="L207" i="3"/>
  <c r="D207" i="3"/>
  <c r="H206" i="3"/>
  <c r="L205" i="3"/>
  <c r="D205" i="3"/>
  <c r="H204" i="3"/>
  <c r="L203" i="3"/>
  <c r="D203" i="3"/>
  <c r="H202" i="3"/>
  <c r="L201" i="3"/>
  <c r="D201" i="3"/>
  <c r="H200" i="3"/>
  <c r="L199" i="3"/>
  <c r="D199" i="3"/>
  <c r="H198" i="3"/>
  <c r="L197" i="3"/>
  <c r="D197" i="3"/>
  <c r="H196" i="3"/>
  <c r="L195" i="3"/>
  <c r="D195" i="3"/>
  <c r="H194" i="3"/>
  <c r="L193" i="3"/>
  <c r="D193" i="3"/>
  <c r="H192" i="3"/>
  <c r="L191" i="3"/>
  <c r="D191" i="3"/>
  <c r="H190" i="3"/>
  <c r="L189" i="3"/>
  <c r="D189" i="3"/>
  <c r="H188" i="3"/>
  <c r="L187" i="3"/>
  <c r="D187" i="3"/>
  <c r="H186" i="3"/>
  <c r="L185" i="3"/>
  <c r="D185" i="3"/>
  <c r="H184" i="3"/>
  <c r="L183" i="3"/>
  <c r="D183" i="3"/>
  <c r="H182" i="3"/>
  <c r="L181" i="3"/>
  <c r="D181" i="3"/>
  <c r="H180" i="3"/>
  <c r="L179" i="3"/>
  <c r="D179" i="3"/>
  <c r="H178" i="3"/>
  <c r="H348" i="3"/>
  <c r="H347" i="3"/>
  <c r="I346" i="3"/>
  <c r="J345" i="3"/>
  <c r="L344" i="3"/>
  <c r="A344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E348" i="3"/>
  <c r="F347" i="3"/>
  <c r="H346" i="3"/>
  <c r="I345" i="3"/>
  <c r="J344" i="3"/>
  <c r="L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D348" i="3"/>
  <c r="E347" i="3"/>
  <c r="F346" i="3"/>
  <c r="H345" i="3"/>
  <c r="I344" i="3"/>
  <c r="J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L177" i="3"/>
  <c r="A177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I177" i="3"/>
  <c r="L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H177" i="3"/>
  <c r="K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G177" i="3"/>
  <c r="J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F177" i="3"/>
  <c r="H176" i="3"/>
  <c r="L175" i="3"/>
  <c r="D175" i="3"/>
  <c r="H174" i="3"/>
  <c r="L173" i="3"/>
  <c r="D173" i="3"/>
  <c r="H172" i="3"/>
  <c r="L171" i="3"/>
  <c r="D171" i="3"/>
  <c r="H170" i="3"/>
  <c r="L169" i="3"/>
  <c r="D169" i="3"/>
  <c r="H168" i="3"/>
  <c r="L167" i="3"/>
  <c r="D167" i="3"/>
  <c r="H166" i="3"/>
  <c r="L165" i="3"/>
  <c r="D165" i="3"/>
  <c r="H164" i="3"/>
  <c r="L163" i="3"/>
  <c r="D163" i="3"/>
  <c r="H162" i="3"/>
  <c r="L161" i="3"/>
  <c r="D161" i="3"/>
  <c r="H160" i="3"/>
  <c r="L159" i="3"/>
  <c r="D159" i="3"/>
  <c r="H158" i="3"/>
  <c r="L157" i="3"/>
  <c r="D157" i="3"/>
  <c r="H156" i="3"/>
  <c r="L155" i="3"/>
  <c r="D155" i="3"/>
  <c r="H154" i="3"/>
  <c r="L153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D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J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I153" i="3"/>
  <c r="A153" i="3"/>
  <c r="E152" i="3"/>
  <c r="I151" i="3"/>
  <c r="A151" i="3"/>
  <c r="E150" i="3"/>
  <c r="I149" i="3"/>
  <c r="A149" i="3"/>
  <c r="E148" i="3"/>
  <c r="I147" i="3"/>
  <c r="A147" i="3"/>
  <c r="E146" i="3"/>
  <c r="I145" i="3"/>
  <c r="A145" i="3"/>
  <c r="E144" i="3"/>
  <c r="I143" i="3"/>
  <c r="A143" i="3"/>
  <c r="E142" i="3"/>
  <c r="I141" i="3"/>
  <c r="A141" i="3"/>
  <c r="E140" i="3"/>
  <c r="I139" i="3"/>
  <c r="A139" i="3"/>
  <c r="E138" i="3"/>
  <c r="I137" i="3"/>
  <c r="A137" i="3"/>
  <c r="E136" i="3"/>
  <c r="I135" i="3"/>
  <c r="A135" i="3"/>
  <c r="E134" i="3"/>
  <c r="I133" i="3"/>
  <c r="A133" i="3"/>
  <c r="E132" i="3"/>
  <c r="I131" i="3"/>
  <c r="A131" i="3"/>
  <c r="E130" i="3"/>
  <c r="I129" i="3"/>
  <c r="A129" i="3"/>
  <c r="E128" i="3"/>
  <c r="I127" i="3"/>
  <c r="A127" i="3"/>
  <c r="E126" i="3"/>
  <c r="I125" i="3"/>
  <c r="A125" i="3"/>
  <c r="E124" i="3"/>
  <c r="I123" i="3"/>
  <c r="A123" i="3"/>
  <c r="E122" i="3"/>
  <c r="I121" i="3"/>
  <c r="A121" i="3"/>
  <c r="E120" i="3"/>
  <c r="I119" i="3"/>
  <c r="A119" i="3"/>
  <c r="E118" i="3"/>
  <c r="I117" i="3"/>
  <c r="A117" i="3"/>
  <c r="E116" i="3"/>
  <c r="I115" i="3"/>
  <c r="A115" i="3"/>
  <c r="E114" i="3"/>
  <c r="I113" i="3"/>
  <c r="A113" i="3"/>
  <c r="E112" i="3"/>
  <c r="I111" i="3"/>
  <c r="A111" i="3"/>
  <c r="E110" i="3"/>
  <c r="I109" i="3"/>
  <c r="A109" i="3"/>
  <c r="E108" i="3"/>
  <c r="I107" i="3"/>
  <c r="A107" i="3"/>
  <c r="E106" i="3"/>
  <c r="I105" i="3"/>
  <c r="A105" i="3"/>
  <c r="E104" i="3"/>
  <c r="I103" i="3"/>
  <c r="A103" i="3"/>
  <c r="E102" i="3"/>
  <c r="I101" i="3"/>
  <c r="A101" i="3"/>
  <c r="E100" i="3"/>
  <c r="I99" i="3"/>
  <c r="A99" i="3"/>
  <c r="E98" i="3"/>
  <c r="I97" i="3"/>
  <c r="A97" i="3"/>
  <c r="E96" i="3"/>
  <c r="I95" i="3"/>
  <c r="A95" i="3"/>
  <c r="E94" i="3"/>
  <c r="I93" i="3"/>
  <c r="A93" i="3"/>
  <c r="E92" i="3"/>
  <c r="I91" i="3"/>
  <c r="A91" i="3"/>
  <c r="E90" i="3"/>
  <c r="I89" i="3"/>
  <c r="A89" i="3"/>
  <c r="E88" i="3"/>
  <c r="I87" i="3"/>
  <c r="A87" i="3"/>
  <c r="E86" i="3"/>
  <c r="I85" i="3"/>
  <c r="A85" i="3"/>
  <c r="E84" i="3"/>
  <c r="I83" i="3"/>
  <c r="A83" i="3"/>
  <c r="E82" i="3"/>
  <c r="I81" i="3"/>
  <c r="A81" i="3"/>
  <c r="E80" i="3"/>
  <c r="I79" i="3"/>
  <c r="A79" i="3"/>
  <c r="E78" i="3"/>
  <c r="I77" i="3"/>
  <c r="A77" i="3"/>
  <c r="E76" i="3"/>
  <c r="I75" i="3"/>
  <c r="A75" i="3"/>
  <c r="E74" i="3"/>
  <c r="I73" i="3"/>
  <c r="A73" i="3"/>
  <c r="E72" i="3"/>
  <c r="I71" i="3"/>
  <c r="A71" i="3"/>
  <c r="E70" i="3"/>
  <c r="I69" i="3"/>
  <c r="A69" i="3"/>
  <c r="E68" i="3"/>
  <c r="I67" i="3"/>
  <c r="A67" i="3"/>
  <c r="E66" i="3"/>
  <c r="I65" i="3"/>
  <c r="A65" i="3"/>
  <c r="E64" i="3"/>
  <c r="I63" i="3"/>
  <c r="A63" i="3"/>
  <c r="E62" i="3"/>
  <c r="I61" i="3"/>
  <c r="A61" i="3"/>
  <c r="E60" i="3"/>
  <c r="I59" i="3"/>
  <c r="A59" i="3"/>
  <c r="E58" i="3"/>
  <c r="I57" i="3"/>
  <c r="A57" i="3"/>
  <c r="E56" i="3"/>
  <c r="I55" i="3"/>
  <c r="A55" i="3"/>
  <c r="E54" i="3"/>
  <c r="I53" i="3"/>
  <c r="A53" i="3"/>
  <c r="E52" i="3"/>
  <c r="I51" i="3"/>
  <c r="A51" i="3"/>
  <c r="E50" i="3"/>
  <c r="I49" i="3"/>
  <c r="A49" i="3"/>
  <c r="E48" i="3"/>
  <c r="I47" i="3"/>
  <c r="A47" i="3"/>
  <c r="E46" i="3"/>
  <c r="I45" i="3"/>
  <c r="A45" i="3"/>
  <c r="E44" i="3"/>
  <c r="I43" i="3"/>
  <c r="A43" i="3"/>
  <c r="E42" i="3"/>
  <c r="I41" i="3"/>
  <c r="A41" i="3"/>
  <c r="E40" i="3"/>
  <c r="I39" i="3"/>
  <c r="A39" i="3"/>
  <c r="E38" i="3"/>
  <c r="I37" i="3"/>
  <c r="A37" i="3"/>
  <c r="E36" i="3"/>
  <c r="I35" i="3"/>
  <c r="A35" i="3"/>
  <c r="E34" i="3"/>
  <c r="I33" i="3"/>
  <c r="A33" i="3"/>
  <c r="E32" i="3"/>
  <c r="I31" i="3"/>
  <c r="A31" i="3"/>
  <c r="E30" i="3"/>
  <c r="I29" i="3"/>
  <c r="A29" i="3"/>
  <c r="E28" i="3"/>
  <c r="I27" i="3"/>
  <c r="A27" i="3"/>
  <c r="E26" i="3"/>
  <c r="I25" i="3"/>
  <c r="A25" i="3"/>
  <c r="E24" i="3"/>
  <c r="I23" i="3"/>
  <c r="A23" i="3"/>
  <c r="E22" i="3"/>
  <c r="I21" i="3"/>
  <c r="A21" i="3"/>
  <c r="E20" i="3"/>
  <c r="I19" i="3"/>
  <c r="A19" i="3"/>
  <c r="E18" i="3"/>
  <c r="I17" i="3"/>
  <c r="A17" i="3"/>
  <c r="E16" i="3"/>
  <c r="I15" i="3"/>
  <c r="A15" i="3"/>
  <c r="E14" i="3"/>
  <c r="I13" i="3"/>
  <c r="A13" i="3"/>
  <c r="E12" i="3"/>
  <c r="I11" i="3"/>
  <c r="A11" i="3"/>
  <c r="E10" i="3"/>
  <c r="I9" i="3"/>
  <c r="A9" i="3"/>
  <c r="E8" i="3"/>
  <c r="I7" i="3"/>
  <c r="H7" i="3"/>
  <c r="I6" i="3"/>
  <c r="A6" i="3"/>
  <c r="E5" i="3"/>
  <c r="I4" i="3"/>
  <c r="A4" i="3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F7" i="3"/>
  <c r="H6" i="3"/>
  <c r="L5" i="3"/>
  <c r="D5" i="3"/>
  <c r="H4" i="3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776" i="1"/>
  <c r="H775" i="1"/>
  <c r="L774" i="1"/>
  <c r="D774" i="1"/>
  <c r="H773" i="1"/>
  <c r="L772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C7" i="3"/>
  <c r="G6" i="3"/>
  <c r="K5" i="3"/>
  <c r="C5" i="3"/>
  <c r="G4" i="3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C776" i="1"/>
  <c r="G775" i="1"/>
  <c r="K774" i="1"/>
  <c r="C774" i="1"/>
  <c r="G773" i="1"/>
  <c r="K772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B7" i="3"/>
  <c r="F6" i="3"/>
  <c r="J5" i="3"/>
  <c r="B5" i="3"/>
  <c r="F4" i="3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J774" i="1"/>
  <c r="B774" i="1"/>
  <c r="F773" i="1"/>
  <c r="J772" i="1"/>
  <c r="B772" i="1"/>
  <c r="F771" i="1"/>
  <c r="J770" i="1"/>
  <c r="B770" i="1"/>
  <c r="F769" i="1"/>
  <c r="J768" i="1"/>
  <c r="B768" i="1"/>
  <c r="F767" i="1"/>
  <c r="J766" i="1"/>
  <c r="B766" i="1"/>
  <c r="F765" i="1"/>
  <c r="J764" i="1"/>
  <c r="B764" i="1"/>
  <c r="F763" i="1"/>
  <c r="J762" i="1"/>
  <c r="B762" i="1"/>
  <c r="F761" i="1"/>
  <c r="J760" i="1"/>
  <c r="B760" i="1"/>
  <c r="F759" i="1"/>
  <c r="J758" i="1"/>
  <c r="B758" i="1"/>
  <c r="F757" i="1"/>
  <c r="J756" i="1"/>
  <c r="B756" i="1"/>
  <c r="F755" i="1"/>
  <c r="J754" i="1"/>
  <c r="B754" i="1"/>
  <c r="F753" i="1"/>
  <c r="J752" i="1"/>
  <c r="B752" i="1"/>
  <c r="F751" i="1"/>
  <c r="J750" i="1"/>
  <c r="B750" i="1"/>
  <c r="F749" i="1"/>
  <c r="J748" i="1"/>
  <c r="B748" i="1"/>
  <c r="F747" i="1"/>
  <c r="J746" i="1"/>
  <c r="B746" i="1"/>
  <c r="F745" i="1"/>
  <c r="J744" i="1"/>
  <c r="B744" i="1"/>
  <c r="F743" i="1"/>
  <c r="J742" i="1"/>
  <c r="B742" i="1"/>
  <c r="F741" i="1"/>
  <c r="J740" i="1"/>
  <c r="B740" i="1"/>
  <c r="F739" i="1"/>
  <c r="J738" i="1"/>
  <c r="B738" i="1"/>
  <c r="F737" i="1"/>
  <c r="J736" i="1"/>
  <c r="B736" i="1"/>
  <c r="F735" i="1"/>
  <c r="J734" i="1"/>
  <c r="B734" i="1"/>
  <c r="F733" i="1"/>
  <c r="J732" i="1"/>
  <c r="B732" i="1"/>
  <c r="F731" i="1"/>
  <c r="J730" i="1"/>
  <c r="B730" i="1"/>
  <c r="F729" i="1"/>
  <c r="J728" i="1"/>
  <c r="B728" i="1"/>
  <c r="F727" i="1"/>
  <c r="J726" i="1"/>
  <c r="B726" i="1"/>
  <c r="F725" i="1"/>
  <c r="J724" i="1"/>
  <c r="B724" i="1"/>
  <c r="F723" i="1"/>
  <c r="J722" i="1"/>
  <c r="B722" i="1"/>
  <c r="F721" i="1"/>
  <c r="J720" i="1"/>
  <c r="B720" i="1"/>
  <c r="F719" i="1"/>
  <c r="J718" i="1"/>
  <c r="B718" i="1"/>
  <c r="F717" i="1"/>
  <c r="J716" i="1"/>
  <c r="B716" i="1"/>
  <c r="F715" i="1"/>
  <c r="J714" i="1"/>
  <c r="B714" i="1"/>
  <c r="F713" i="1"/>
  <c r="J712" i="1"/>
  <c r="B712" i="1"/>
  <c r="F711" i="1"/>
  <c r="J710" i="1"/>
  <c r="B710" i="1"/>
  <c r="F709" i="1"/>
  <c r="J708" i="1"/>
  <c r="B708" i="1"/>
  <c r="F707" i="1"/>
  <c r="J706" i="1"/>
  <c r="B706" i="1"/>
  <c r="F705" i="1"/>
  <c r="J704" i="1"/>
  <c r="B704" i="1"/>
  <c r="A7" i="3"/>
  <c r="E6" i="3"/>
  <c r="I5" i="3"/>
  <c r="A5" i="3"/>
  <c r="E4" i="3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E773" i="1"/>
  <c r="I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L6" i="3"/>
  <c r="D6" i="3"/>
  <c r="H5" i="3"/>
  <c r="L4" i="3"/>
  <c r="D4" i="3"/>
  <c r="H870" i="1"/>
  <c r="L869" i="1"/>
  <c r="D869" i="1"/>
  <c r="H868" i="1"/>
  <c r="L867" i="1"/>
  <c r="D867" i="1"/>
  <c r="H866" i="1"/>
  <c r="L865" i="1"/>
  <c r="D865" i="1"/>
  <c r="H864" i="1"/>
  <c r="L863" i="1"/>
  <c r="D863" i="1"/>
  <c r="H862" i="1"/>
  <c r="L861" i="1"/>
  <c r="D861" i="1"/>
  <c r="H860" i="1"/>
  <c r="L859" i="1"/>
  <c r="D859" i="1"/>
  <c r="H858" i="1"/>
  <c r="L857" i="1"/>
  <c r="D857" i="1"/>
  <c r="H856" i="1"/>
  <c r="L855" i="1"/>
  <c r="D855" i="1"/>
  <c r="H854" i="1"/>
  <c r="L853" i="1"/>
  <c r="D853" i="1"/>
  <c r="H852" i="1"/>
  <c r="L851" i="1"/>
  <c r="D851" i="1"/>
  <c r="H850" i="1"/>
  <c r="L849" i="1"/>
  <c r="D849" i="1"/>
  <c r="H848" i="1"/>
  <c r="L847" i="1"/>
  <c r="D847" i="1"/>
  <c r="H846" i="1"/>
  <c r="L845" i="1"/>
  <c r="D845" i="1"/>
  <c r="H844" i="1"/>
  <c r="L843" i="1"/>
  <c r="D843" i="1"/>
  <c r="H842" i="1"/>
  <c r="L841" i="1"/>
  <c r="D841" i="1"/>
  <c r="H840" i="1"/>
  <c r="L839" i="1"/>
  <c r="D839" i="1"/>
  <c r="H838" i="1"/>
  <c r="L837" i="1"/>
  <c r="D837" i="1"/>
  <c r="H836" i="1"/>
  <c r="L835" i="1"/>
  <c r="D835" i="1"/>
  <c r="H834" i="1"/>
  <c r="L833" i="1"/>
  <c r="D833" i="1"/>
  <c r="H832" i="1"/>
  <c r="L831" i="1"/>
  <c r="D831" i="1"/>
  <c r="H830" i="1"/>
  <c r="L829" i="1"/>
  <c r="D829" i="1"/>
  <c r="H828" i="1"/>
  <c r="L827" i="1"/>
  <c r="D827" i="1"/>
  <c r="H826" i="1"/>
  <c r="L825" i="1"/>
  <c r="D825" i="1"/>
  <c r="H824" i="1"/>
  <c r="L823" i="1"/>
  <c r="D823" i="1"/>
  <c r="H822" i="1"/>
  <c r="L821" i="1"/>
  <c r="D821" i="1"/>
  <c r="H820" i="1"/>
  <c r="L819" i="1"/>
  <c r="D819" i="1"/>
  <c r="H818" i="1"/>
  <c r="L817" i="1"/>
  <c r="D817" i="1"/>
  <c r="H816" i="1"/>
  <c r="L815" i="1"/>
  <c r="D815" i="1"/>
  <c r="H814" i="1"/>
  <c r="L813" i="1"/>
  <c r="D813" i="1"/>
  <c r="H812" i="1"/>
  <c r="L811" i="1"/>
  <c r="D811" i="1"/>
  <c r="H810" i="1"/>
  <c r="L809" i="1"/>
  <c r="D809" i="1"/>
  <c r="H808" i="1"/>
  <c r="L807" i="1"/>
  <c r="D807" i="1"/>
  <c r="H806" i="1"/>
  <c r="L805" i="1"/>
  <c r="D805" i="1"/>
  <c r="H804" i="1"/>
  <c r="L803" i="1"/>
  <c r="D803" i="1"/>
  <c r="H802" i="1"/>
  <c r="L801" i="1"/>
  <c r="D801" i="1"/>
  <c r="H800" i="1"/>
  <c r="L799" i="1"/>
  <c r="D799" i="1"/>
  <c r="H798" i="1"/>
  <c r="L797" i="1"/>
  <c r="D797" i="1"/>
  <c r="H796" i="1"/>
  <c r="L795" i="1"/>
  <c r="D795" i="1"/>
  <c r="H794" i="1"/>
  <c r="L793" i="1"/>
  <c r="D793" i="1"/>
  <c r="H792" i="1"/>
  <c r="L791" i="1"/>
  <c r="D791" i="1"/>
  <c r="H790" i="1"/>
  <c r="L789" i="1"/>
  <c r="D789" i="1"/>
  <c r="H788" i="1"/>
  <c r="L787" i="1"/>
  <c r="D787" i="1"/>
  <c r="H786" i="1"/>
  <c r="L785" i="1"/>
  <c r="D785" i="1"/>
  <c r="H784" i="1"/>
  <c r="L783" i="1"/>
  <c r="D783" i="1"/>
  <c r="H782" i="1"/>
  <c r="L781" i="1"/>
  <c r="D781" i="1"/>
  <c r="H780" i="1"/>
  <c r="L779" i="1"/>
  <c r="D779" i="1"/>
  <c r="H778" i="1"/>
  <c r="L777" i="1"/>
  <c r="D777" i="1"/>
  <c r="H776" i="1"/>
  <c r="L775" i="1"/>
  <c r="D775" i="1"/>
  <c r="H774" i="1"/>
  <c r="L773" i="1"/>
  <c r="D773" i="1"/>
  <c r="H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K6" i="3"/>
  <c r="C6" i="3"/>
  <c r="G5" i="3"/>
  <c r="K4" i="3"/>
  <c r="C4" i="3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J6" i="3"/>
  <c r="B6" i="3"/>
  <c r="F5" i="3"/>
  <c r="J4" i="3"/>
  <c r="B4" i="3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I725" i="1"/>
  <c r="E720" i="1"/>
  <c r="L715" i="1"/>
  <c r="D713" i="1"/>
  <c r="H710" i="1"/>
  <c r="L707" i="1"/>
  <c r="D705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A725" i="1"/>
  <c r="I719" i="1"/>
  <c r="I715" i="1"/>
  <c r="A713" i="1"/>
  <c r="E710" i="1"/>
  <c r="I707" i="1"/>
  <c r="A705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E724" i="1"/>
  <c r="A719" i="1"/>
  <c r="D715" i="1"/>
  <c r="H712" i="1"/>
  <c r="L709" i="1"/>
  <c r="D707" i="1"/>
  <c r="H704" i="1"/>
  <c r="F703" i="1"/>
  <c r="J702" i="1"/>
  <c r="B702" i="1"/>
  <c r="F701" i="1"/>
  <c r="J700" i="1"/>
  <c r="B700" i="1"/>
  <c r="F699" i="1"/>
  <c r="J698" i="1"/>
  <c r="B698" i="1"/>
  <c r="F697" i="1"/>
  <c r="J696" i="1"/>
  <c r="B696" i="1"/>
  <c r="F695" i="1"/>
  <c r="J694" i="1"/>
  <c r="B694" i="1"/>
  <c r="F693" i="1"/>
  <c r="J692" i="1"/>
  <c r="B692" i="1"/>
  <c r="F691" i="1"/>
  <c r="J690" i="1"/>
  <c r="B690" i="1"/>
  <c r="F689" i="1"/>
  <c r="J688" i="1"/>
  <c r="B688" i="1"/>
  <c r="F687" i="1"/>
  <c r="J686" i="1"/>
  <c r="B686" i="1"/>
  <c r="F685" i="1"/>
  <c r="J684" i="1"/>
  <c r="B684" i="1"/>
  <c r="F683" i="1"/>
  <c r="J682" i="1"/>
  <c r="B682" i="1"/>
  <c r="F681" i="1"/>
  <c r="J680" i="1"/>
  <c r="B680" i="1"/>
  <c r="F679" i="1"/>
  <c r="J678" i="1"/>
  <c r="B678" i="1"/>
  <c r="F677" i="1"/>
  <c r="J676" i="1"/>
  <c r="B676" i="1"/>
  <c r="F675" i="1"/>
  <c r="J674" i="1"/>
  <c r="B674" i="1"/>
  <c r="F673" i="1"/>
  <c r="J672" i="1"/>
  <c r="B672" i="1"/>
  <c r="F671" i="1"/>
  <c r="J670" i="1"/>
  <c r="B670" i="1"/>
  <c r="F669" i="1"/>
  <c r="J668" i="1"/>
  <c r="B668" i="1"/>
  <c r="F667" i="1"/>
  <c r="J666" i="1"/>
  <c r="B666" i="1"/>
  <c r="F665" i="1"/>
  <c r="J664" i="1"/>
  <c r="B664" i="1"/>
  <c r="F663" i="1"/>
  <c r="J662" i="1"/>
  <c r="B662" i="1"/>
  <c r="F661" i="1"/>
  <c r="J660" i="1"/>
  <c r="B660" i="1"/>
  <c r="F659" i="1"/>
  <c r="J658" i="1"/>
  <c r="B658" i="1"/>
  <c r="F657" i="1"/>
  <c r="J656" i="1"/>
  <c r="B656" i="1"/>
  <c r="F655" i="1"/>
  <c r="J654" i="1"/>
  <c r="B654" i="1"/>
  <c r="F653" i="1"/>
  <c r="J652" i="1"/>
  <c r="B652" i="1"/>
  <c r="F651" i="1"/>
  <c r="J650" i="1"/>
  <c r="B650" i="1"/>
  <c r="F649" i="1"/>
  <c r="J648" i="1"/>
  <c r="B648" i="1"/>
  <c r="F647" i="1"/>
  <c r="J646" i="1"/>
  <c r="B646" i="1"/>
  <c r="F645" i="1"/>
  <c r="J644" i="1"/>
  <c r="B644" i="1"/>
  <c r="F643" i="1"/>
  <c r="J642" i="1"/>
  <c r="B642" i="1"/>
  <c r="F641" i="1"/>
  <c r="J640" i="1"/>
  <c r="B640" i="1"/>
  <c r="F639" i="1"/>
  <c r="J638" i="1"/>
  <c r="B638" i="1"/>
  <c r="F637" i="1"/>
  <c r="J636" i="1"/>
  <c r="B636" i="1"/>
  <c r="F635" i="1"/>
  <c r="J634" i="1"/>
  <c r="B634" i="1"/>
  <c r="F633" i="1"/>
  <c r="J632" i="1"/>
  <c r="B632" i="1"/>
  <c r="F631" i="1"/>
  <c r="J630" i="1"/>
  <c r="B630" i="1"/>
  <c r="F629" i="1"/>
  <c r="J628" i="1"/>
  <c r="B628" i="1"/>
  <c r="F627" i="1"/>
  <c r="J626" i="1"/>
  <c r="B626" i="1"/>
  <c r="F625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I723" i="1"/>
  <c r="E718" i="1"/>
  <c r="A715" i="1"/>
  <c r="E712" i="1"/>
  <c r="I709" i="1"/>
  <c r="A707" i="1"/>
  <c r="E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A723" i="1"/>
  <c r="I717" i="1"/>
  <c r="H714" i="1"/>
  <c r="L711" i="1"/>
  <c r="D709" i="1"/>
  <c r="H706" i="1"/>
  <c r="A704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D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E722" i="1"/>
  <c r="A717" i="1"/>
  <c r="E714" i="1"/>
  <c r="I711" i="1"/>
  <c r="A709" i="1"/>
  <c r="E706" i="1"/>
  <c r="L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C625" i="1"/>
  <c r="G624" i="1"/>
  <c r="K623" i="1"/>
  <c r="C623" i="1"/>
  <c r="G622" i="1"/>
  <c r="K621" i="1"/>
  <c r="C621" i="1"/>
  <c r="G620" i="1"/>
  <c r="K619" i="1"/>
  <c r="C619" i="1"/>
  <c r="G618" i="1"/>
  <c r="K617" i="1"/>
  <c r="C617" i="1"/>
  <c r="G616" i="1"/>
  <c r="K615" i="1"/>
  <c r="C615" i="1"/>
  <c r="G614" i="1"/>
  <c r="K613" i="1"/>
  <c r="C613" i="1"/>
  <c r="G612" i="1"/>
  <c r="K611" i="1"/>
  <c r="C611" i="1"/>
  <c r="G610" i="1"/>
  <c r="K609" i="1"/>
  <c r="C609" i="1"/>
  <c r="G608" i="1"/>
  <c r="K607" i="1"/>
  <c r="C607" i="1"/>
  <c r="G606" i="1"/>
  <c r="K605" i="1"/>
  <c r="C605" i="1"/>
  <c r="G604" i="1"/>
  <c r="K603" i="1"/>
  <c r="C603" i="1"/>
  <c r="G602" i="1"/>
  <c r="K601" i="1"/>
  <c r="C601" i="1"/>
  <c r="G600" i="1"/>
  <c r="K599" i="1"/>
  <c r="C599" i="1"/>
  <c r="G598" i="1"/>
  <c r="K597" i="1"/>
  <c r="C597" i="1"/>
  <c r="G596" i="1"/>
  <c r="K595" i="1"/>
  <c r="C595" i="1"/>
  <c r="G594" i="1"/>
  <c r="K593" i="1"/>
  <c r="C593" i="1"/>
  <c r="G592" i="1"/>
  <c r="K591" i="1"/>
  <c r="C591" i="1"/>
  <c r="G590" i="1"/>
  <c r="K589" i="1"/>
  <c r="C589" i="1"/>
  <c r="G588" i="1"/>
  <c r="K587" i="1"/>
  <c r="C587" i="1"/>
  <c r="G586" i="1"/>
  <c r="K585" i="1"/>
  <c r="C585" i="1"/>
  <c r="G584" i="1"/>
  <c r="K583" i="1"/>
  <c r="C583" i="1"/>
  <c r="G582" i="1"/>
  <c r="K581" i="1"/>
  <c r="C581" i="1"/>
  <c r="G580" i="1"/>
  <c r="K579" i="1"/>
  <c r="C579" i="1"/>
  <c r="G578" i="1"/>
  <c r="K577" i="1"/>
  <c r="C577" i="1"/>
  <c r="G576" i="1"/>
  <c r="K575" i="1"/>
  <c r="C575" i="1"/>
  <c r="G574" i="1"/>
  <c r="K573" i="1"/>
  <c r="C573" i="1"/>
  <c r="G572" i="1"/>
  <c r="K571" i="1"/>
  <c r="C571" i="1"/>
  <c r="G570" i="1"/>
  <c r="K569" i="1"/>
  <c r="C569" i="1"/>
  <c r="G568" i="1"/>
  <c r="K567" i="1"/>
  <c r="C567" i="1"/>
  <c r="G566" i="1"/>
  <c r="K565" i="1"/>
  <c r="C565" i="1"/>
  <c r="G564" i="1"/>
  <c r="K563" i="1"/>
  <c r="C563" i="1"/>
  <c r="G562" i="1"/>
  <c r="K561" i="1"/>
  <c r="C561" i="1"/>
  <c r="G560" i="1"/>
  <c r="K559" i="1"/>
  <c r="C559" i="1"/>
  <c r="G558" i="1"/>
  <c r="K557" i="1"/>
  <c r="C557" i="1"/>
  <c r="G556" i="1"/>
  <c r="K555" i="1"/>
  <c r="C555" i="1"/>
  <c r="G554" i="1"/>
  <c r="K553" i="1"/>
  <c r="C553" i="1"/>
  <c r="G552" i="1"/>
  <c r="K551" i="1"/>
  <c r="C551" i="1"/>
  <c r="G550" i="1"/>
  <c r="K549" i="1"/>
  <c r="C549" i="1"/>
  <c r="G548" i="1"/>
  <c r="K547" i="1"/>
  <c r="C547" i="1"/>
  <c r="G546" i="1"/>
  <c r="K545" i="1"/>
  <c r="C545" i="1"/>
  <c r="G544" i="1"/>
  <c r="K543" i="1"/>
  <c r="C543" i="1"/>
  <c r="G542" i="1"/>
  <c r="K541" i="1"/>
  <c r="C541" i="1"/>
  <c r="G540" i="1"/>
  <c r="K539" i="1"/>
  <c r="C539" i="1"/>
  <c r="G538" i="1"/>
  <c r="I721" i="1"/>
  <c r="H716" i="1"/>
  <c r="L713" i="1"/>
  <c r="D711" i="1"/>
  <c r="H708" i="1"/>
  <c r="L705" i="1"/>
  <c r="K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A721" i="1"/>
  <c r="E716" i="1"/>
  <c r="I713" i="1"/>
  <c r="A711" i="1"/>
  <c r="E708" i="1"/>
  <c r="I705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K537" i="1"/>
  <c r="C537" i="1"/>
  <c r="G536" i="1"/>
  <c r="K535" i="1"/>
  <c r="C535" i="1"/>
  <c r="G534" i="1"/>
  <c r="K533" i="1"/>
  <c r="C533" i="1"/>
  <c r="G532" i="1"/>
  <c r="K531" i="1"/>
  <c r="C531" i="1"/>
  <c r="G530" i="1"/>
  <c r="K529" i="1"/>
  <c r="C529" i="1"/>
  <c r="G528" i="1"/>
  <c r="K527" i="1"/>
  <c r="C527" i="1"/>
  <c r="G526" i="1"/>
  <c r="K525" i="1"/>
  <c r="C525" i="1"/>
  <c r="G524" i="1"/>
  <c r="K523" i="1"/>
  <c r="C523" i="1"/>
  <c r="G522" i="1"/>
  <c r="K521" i="1"/>
  <c r="C521" i="1"/>
  <c r="G520" i="1"/>
  <c r="K519" i="1"/>
  <c r="C519" i="1"/>
  <c r="G518" i="1"/>
  <c r="K517" i="1"/>
  <c r="C517" i="1"/>
  <c r="G516" i="1"/>
  <c r="K515" i="1"/>
  <c r="C515" i="1"/>
  <c r="G514" i="1"/>
  <c r="K513" i="1"/>
  <c r="C513" i="1"/>
  <c r="G512" i="1"/>
  <c r="K511" i="1"/>
  <c r="C511" i="1"/>
  <c r="G510" i="1"/>
  <c r="K509" i="1"/>
  <c r="C509" i="1"/>
  <c r="G508" i="1"/>
  <c r="K507" i="1"/>
  <c r="C507" i="1"/>
  <c r="G506" i="1"/>
  <c r="K505" i="1"/>
  <c r="C505" i="1"/>
  <c r="G504" i="1"/>
  <c r="K503" i="1"/>
  <c r="C503" i="1"/>
  <c r="G502" i="1"/>
  <c r="K501" i="1"/>
  <c r="C501" i="1"/>
  <c r="G500" i="1"/>
  <c r="K499" i="1"/>
  <c r="C499" i="1"/>
  <c r="G498" i="1"/>
  <c r="K497" i="1"/>
  <c r="C497" i="1"/>
  <c r="G496" i="1"/>
  <c r="K495" i="1"/>
  <c r="C495" i="1"/>
  <c r="G494" i="1"/>
  <c r="K493" i="1"/>
  <c r="C493" i="1"/>
  <c r="G492" i="1"/>
  <c r="K491" i="1"/>
  <c r="C491" i="1"/>
  <c r="G490" i="1"/>
  <c r="K489" i="1"/>
  <c r="C489" i="1"/>
  <c r="G488" i="1"/>
  <c r="K487" i="1"/>
  <c r="C487" i="1"/>
  <c r="G486" i="1"/>
  <c r="K485" i="1"/>
  <c r="C485" i="1"/>
  <c r="G484" i="1"/>
  <c r="K483" i="1"/>
  <c r="C483" i="1"/>
  <c r="G482" i="1"/>
  <c r="K481" i="1"/>
  <c r="C481" i="1"/>
  <c r="G480" i="1"/>
  <c r="K479" i="1"/>
  <c r="C479" i="1"/>
  <c r="G478" i="1"/>
  <c r="K477" i="1"/>
  <c r="C477" i="1"/>
  <c r="G476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F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F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I475" i="1"/>
  <c r="A475" i="1"/>
  <c r="E474" i="1"/>
  <c r="I473" i="1"/>
  <c r="A473" i="1"/>
  <c r="E472" i="1"/>
  <c r="I471" i="1"/>
  <c r="A471" i="1"/>
  <c r="E470" i="1"/>
  <c r="I469" i="1"/>
  <c r="A469" i="1"/>
  <c r="E468" i="1"/>
  <c r="I467" i="1"/>
  <c r="A467" i="1"/>
  <c r="E466" i="1"/>
  <c r="I465" i="1"/>
  <c r="A465" i="1"/>
  <c r="E464" i="1"/>
  <c r="I463" i="1"/>
  <c r="A463" i="1"/>
  <c r="E462" i="1"/>
  <c r="I461" i="1"/>
  <c r="A461" i="1"/>
  <c r="E460" i="1"/>
  <c r="I459" i="1"/>
  <c r="A459" i="1"/>
  <c r="E458" i="1"/>
  <c r="I457" i="1"/>
  <c r="A457" i="1"/>
  <c r="E456" i="1"/>
  <c r="I455" i="1"/>
  <c r="A455" i="1"/>
  <c r="E454" i="1"/>
  <c r="I453" i="1"/>
  <c r="A453" i="1"/>
  <c r="E452" i="1"/>
  <c r="I451" i="1"/>
  <c r="A451" i="1"/>
  <c r="E450" i="1"/>
  <c r="I449" i="1"/>
  <c r="A449" i="1"/>
  <c r="E448" i="1"/>
  <c r="I447" i="1"/>
  <c r="A447" i="1"/>
  <c r="E446" i="1"/>
  <c r="I445" i="1"/>
  <c r="A445" i="1"/>
  <c r="E444" i="1"/>
  <c r="I443" i="1"/>
  <c r="A443" i="1"/>
  <c r="E442" i="1"/>
  <c r="I441" i="1"/>
  <c r="A441" i="1"/>
  <c r="E440" i="1"/>
  <c r="I439" i="1"/>
  <c r="A439" i="1"/>
  <c r="E438" i="1"/>
  <c r="I437" i="1"/>
  <c r="A437" i="1"/>
  <c r="E436" i="1"/>
  <c r="I435" i="1"/>
  <c r="A435" i="1"/>
  <c r="E434" i="1"/>
  <c r="I433" i="1"/>
  <c r="A433" i="1"/>
  <c r="E432" i="1"/>
  <c r="I431" i="1"/>
  <c r="A431" i="1"/>
  <c r="E430" i="1"/>
  <c r="I429" i="1"/>
  <c r="A429" i="1"/>
  <c r="E428" i="1"/>
  <c r="I427" i="1"/>
  <c r="A427" i="1"/>
  <c r="E426" i="1"/>
  <c r="I425" i="1"/>
  <c r="A425" i="1"/>
  <c r="E424" i="1"/>
  <c r="I423" i="1"/>
  <c r="A423" i="1"/>
  <c r="E422" i="1"/>
  <c r="I421" i="1"/>
  <c r="A421" i="1"/>
  <c r="E420" i="1"/>
  <c r="I419" i="1"/>
  <c r="A419" i="1"/>
  <c r="E418" i="1"/>
  <c r="I417" i="1"/>
  <c r="A417" i="1"/>
  <c r="E416" i="1"/>
  <c r="I415" i="1"/>
  <c r="A415" i="1"/>
  <c r="E414" i="1"/>
  <c r="I413" i="1"/>
  <c r="A413" i="1"/>
  <c r="E412" i="1"/>
  <c r="I411" i="1"/>
  <c r="A411" i="1"/>
  <c r="E410" i="1"/>
  <c r="I409" i="1"/>
  <c r="A409" i="1"/>
  <c r="E408" i="1"/>
  <c r="I407" i="1"/>
  <c r="A407" i="1"/>
  <c r="E406" i="1"/>
  <c r="I405" i="1"/>
  <c r="A405" i="1"/>
  <c r="E404" i="1"/>
  <c r="I403" i="1"/>
  <c r="A403" i="1"/>
  <c r="E402" i="1"/>
  <c r="I401" i="1"/>
  <c r="A401" i="1"/>
  <c r="E400" i="1"/>
  <c r="I399" i="1"/>
  <c r="A399" i="1"/>
  <c r="E398" i="1"/>
  <c r="I397" i="1"/>
  <c r="A397" i="1"/>
  <c r="E396" i="1"/>
  <c r="I395" i="1"/>
  <c r="A395" i="1"/>
  <c r="E394" i="1"/>
  <c r="I393" i="1"/>
  <c r="A393" i="1"/>
  <c r="E392" i="1"/>
  <c r="I391" i="1"/>
  <c r="A391" i="1"/>
  <c r="E390" i="1"/>
  <c r="I389" i="1"/>
  <c r="A389" i="1"/>
  <c r="E388" i="1"/>
  <c r="I387" i="1"/>
  <c r="A387" i="1"/>
  <c r="E386" i="1"/>
  <c r="I385" i="1"/>
  <c r="A385" i="1"/>
  <c r="E384" i="1"/>
  <c r="I383" i="1"/>
  <c r="A383" i="1"/>
  <c r="E382" i="1"/>
  <c r="I381" i="1"/>
  <c r="A381" i="1"/>
  <c r="E380" i="1"/>
  <c r="I379" i="1"/>
  <c r="A379" i="1"/>
  <c r="E378" i="1"/>
  <c r="I377" i="1"/>
  <c r="A377" i="1"/>
  <c r="E376" i="1"/>
  <c r="I375" i="1"/>
  <c r="A375" i="1"/>
  <c r="E374" i="1"/>
  <c r="I373" i="1"/>
  <c r="A373" i="1"/>
  <c r="E372" i="1"/>
  <c r="I371" i="1"/>
  <c r="A371" i="1"/>
  <c r="E370" i="1"/>
  <c r="I369" i="1"/>
  <c r="A369" i="1"/>
  <c r="E368" i="1"/>
  <c r="I367" i="1"/>
  <c r="A367" i="1"/>
  <c r="E366" i="1"/>
  <c r="I365" i="1"/>
  <c r="A365" i="1"/>
  <c r="E364" i="1"/>
  <c r="I363" i="1"/>
  <c r="A363" i="1"/>
  <c r="E362" i="1"/>
  <c r="I361" i="1"/>
  <c r="A361" i="1"/>
  <c r="E360" i="1"/>
  <c r="I359" i="1"/>
  <c r="A359" i="1"/>
  <c r="E358" i="1"/>
  <c r="I357" i="1"/>
  <c r="A357" i="1"/>
  <c r="E356" i="1"/>
  <c r="I355" i="1"/>
  <c r="A355" i="1"/>
  <c r="E354" i="1"/>
  <c r="I353" i="1"/>
  <c r="A353" i="1"/>
  <c r="E352" i="1"/>
  <c r="I351" i="1"/>
  <c r="A351" i="1"/>
  <c r="E350" i="1"/>
  <c r="I349" i="1"/>
  <c r="A349" i="1"/>
  <c r="E348" i="1"/>
  <c r="I347" i="1"/>
  <c r="A347" i="1"/>
  <c r="E346" i="1"/>
  <c r="I345" i="1"/>
  <c r="A345" i="1"/>
  <c r="E344" i="1"/>
  <c r="I343" i="1"/>
  <c r="A343" i="1"/>
  <c r="E342" i="1"/>
  <c r="I341" i="1"/>
  <c r="A341" i="1"/>
  <c r="E340" i="1"/>
  <c r="I339" i="1"/>
  <c r="A339" i="1"/>
  <c r="E338" i="1"/>
  <c r="I337" i="1"/>
  <c r="A337" i="1"/>
  <c r="E336" i="1"/>
  <c r="I335" i="1"/>
  <c r="A335" i="1"/>
  <c r="E334" i="1"/>
  <c r="I333" i="1"/>
  <c r="A333" i="1"/>
  <c r="E332" i="1"/>
  <c r="I331" i="1"/>
  <c r="A331" i="1"/>
  <c r="E330" i="1"/>
  <c r="I329" i="1"/>
  <c r="A329" i="1"/>
  <c r="E328" i="1"/>
  <c r="I327" i="1"/>
  <c r="A327" i="1"/>
  <c r="E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K326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J326" i="1"/>
  <c r="B326" i="1"/>
  <c r="F325" i="1"/>
  <c r="J324" i="1"/>
  <c r="B324" i="1"/>
  <c r="F323" i="1"/>
  <c r="J322" i="1"/>
  <c r="B322" i="1"/>
  <c r="F321" i="1"/>
  <c r="J320" i="1"/>
  <c r="B320" i="1"/>
  <c r="F319" i="1"/>
  <c r="J318" i="1"/>
  <c r="B318" i="1"/>
  <c r="F317" i="1"/>
  <c r="J316" i="1"/>
  <c r="B316" i="1"/>
  <c r="F315" i="1"/>
  <c r="J314" i="1"/>
  <c r="B314" i="1"/>
  <c r="F313" i="1"/>
  <c r="J312" i="1"/>
  <c r="B312" i="1"/>
  <c r="F311" i="1"/>
  <c r="J310" i="1"/>
  <c r="B310" i="1"/>
  <c r="F309" i="1"/>
  <c r="J308" i="1"/>
  <c r="B308" i="1"/>
  <c r="F307" i="1"/>
  <c r="J306" i="1"/>
  <c r="B306" i="1"/>
  <c r="F305" i="1"/>
  <c r="J304" i="1"/>
  <c r="B304" i="1"/>
  <c r="F303" i="1"/>
  <c r="J302" i="1"/>
  <c r="B302" i="1"/>
  <c r="F301" i="1"/>
  <c r="J300" i="1"/>
  <c r="B300" i="1"/>
  <c r="F299" i="1"/>
  <c r="J298" i="1"/>
  <c r="B298" i="1"/>
  <c r="F297" i="1"/>
  <c r="J296" i="1"/>
  <c r="B296" i="1"/>
  <c r="F295" i="1"/>
  <c r="J294" i="1"/>
  <c r="B294" i="1"/>
  <c r="F293" i="1"/>
  <c r="J292" i="1"/>
  <c r="B292" i="1"/>
  <c r="F291" i="1"/>
  <c r="J290" i="1"/>
  <c r="B290" i="1"/>
  <c r="F289" i="1"/>
  <c r="J288" i="1"/>
  <c r="B288" i="1"/>
  <c r="F287" i="1"/>
  <c r="J286" i="1"/>
  <c r="B286" i="1"/>
  <c r="F285" i="1"/>
  <c r="J284" i="1"/>
  <c r="B284" i="1"/>
  <c r="F283" i="1"/>
  <c r="J282" i="1"/>
  <c r="B282" i="1"/>
  <c r="F281" i="1"/>
  <c r="J280" i="1"/>
  <c r="B280" i="1"/>
  <c r="F279" i="1"/>
  <c r="J278" i="1"/>
  <c r="B278" i="1"/>
  <c r="F277" i="1"/>
  <c r="J276" i="1"/>
  <c r="B276" i="1"/>
  <c r="F275" i="1"/>
  <c r="J274" i="1"/>
  <c r="B274" i="1"/>
  <c r="F273" i="1"/>
  <c r="J272" i="1"/>
  <c r="B272" i="1"/>
  <c r="F271" i="1"/>
  <c r="J270" i="1"/>
  <c r="B270" i="1"/>
  <c r="F269" i="1"/>
  <c r="J268" i="1"/>
  <c r="B268" i="1"/>
  <c r="F267" i="1"/>
  <c r="J266" i="1"/>
  <c r="B266" i="1"/>
  <c r="F265" i="1"/>
  <c r="J264" i="1"/>
  <c r="B264" i="1"/>
  <c r="F263" i="1"/>
  <c r="J262" i="1"/>
  <c r="B262" i="1"/>
  <c r="F261" i="1"/>
  <c r="J260" i="1"/>
  <c r="B260" i="1"/>
  <c r="F259" i="1"/>
  <c r="J258" i="1"/>
  <c r="B258" i="1"/>
  <c r="F257" i="1"/>
  <c r="J256" i="1"/>
  <c r="B256" i="1"/>
  <c r="F255" i="1"/>
  <c r="J254" i="1"/>
  <c r="B254" i="1"/>
  <c r="F253" i="1"/>
  <c r="J252" i="1"/>
  <c r="B252" i="1"/>
  <c r="F251" i="1"/>
  <c r="J250" i="1"/>
  <c r="B250" i="1"/>
  <c r="F249" i="1"/>
  <c r="J248" i="1"/>
  <c r="B248" i="1"/>
  <c r="F247" i="1"/>
  <c r="J246" i="1"/>
  <c r="B246" i="1"/>
  <c r="F245" i="1"/>
  <c r="J244" i="1"/>
  <c r="B244" i="1"/>
  <c r="F243" i="1"/>
  <c r="J242" i="1"/>
  <c r="B242" i="1"/>
  <c r="F241" i="1"/>
  <c r="J240" i="1"/>
  <c r="B240" i="1"/>
  <c r="F239" i="1"/>
  <c r="J238" i="1"/>
  <c r="B238" i="1"/>
  <c r="F237" i="1"/>
  <c r="J236" i="1"/>
  <c r="B236" i="1"/>
  <c r="F235" i="1"/>
  <c r="J234" i="1"/>
  <c r="B234" i="1"/>
  <c r="F233" i="1"/>
  <c r="J232" i="1"/>
  <c r="B232" i="1"/>
  <c r="F231" i="1"/>
  <c r="J230" i="1"/>
  <c r="B230" i="1"/>
  <c r="F229" i="1"/>
  <c r="J228" i="1"/>
  <c r="B228" i="1"/>
  <c r="F227" i="1"/>
  <c r="J226" i="1"/>
  <c r="B226" i="1"/>
  <c r="F225" i="1"/>
  <c r="J224" i="1"/>
  <c r="B224" i="1"/>
  <c r="F223" i="1"/>
  <c r="J222" i="1"/>
  <c r="B222" i="1"/>
  <c r="F221" i="1"/>
  <c r="J220" i="1"/>
  <c r="B220" i="1"/>
  <c r="F219" i="1"/>
  <c r="J218" i="1"/>
  <c r="B218" i="1"/>
  <c r="F217" i="1"/>
  <c r="J216" i="1"/>
  <c r="B216" i="1"/>
  <c r="F215" i="1"/>
  <c r="J214" i="1"/>
  <c r="B214" i="1"/>
  <c r="F213" i="1"/>
  <c r="J212" i="1"/>
  <c r="B212" i="1"/>
  <c r="F211" i="1"/>
  <c r="J210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E327" i="1"/>
  <c r="I326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K213" i="1"/>
  <c r="A210" i="1"/>
  <c r="B209" i="1"/>
  <c r="C208" i="1"/>
  <c r="E207" i="1"/>
  <c r="F206" i="1"/>
  <c r="G205" i="1"/>
  <c r="I204" i="1"/>
  <c r="J203" i="1"/>
  <c r="K202" i="1"/>
  <c r="A202" i="1"/>
  <c r="B201" i="1"/>
  <c r="C200" i="1"/>
  <c r="E199" i="1"/>
  <c r="F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" i="1"/>
  <c r="C6" i="1"/>
  <c r="G5" i="1"/>
  <c r="K4" i="1"/>
  <c r="C213" i="1"/>
  <c r="K209" i="1"/>
  <c r="A209" i="1"/>
  <c r="B208" i="1"/>
  <c r="C207" i="1"/>
  <c r="E206" i="1"/>
  <c r="F205" i="1"/>
  <c r="G204" i="1"/>
  <c r="I203" i="1"/>
  <c r="J202" i="1"/>
  <c r="K201" i="1"/>
  <c r="A201" i="1"/>
  <c r="B200" i="1"/>
  <c r="C199" i="1"/>
  <c r="E198" i="1"/>
  <c r="F197" i="1"/>
  <c r="J196" i="1"/>
  <c r="B196" i="1"/>
  <c r="F195" i="1"/>
  <c r="J194" i="1"/>
  <c r="B194" i="1"/>
  <c r="F193" i="1"/>
  <c r="J192" i="1"/>
  <c r="B192" i="1"/>
  <c r="F191" i="1"/>
  <c r="J190" i="1"/>
  <c r="B190" i="1"/>
  <c r="F189" i="1"/>
  <c r="J188" i="1"/>
  <c r="B188" i="1"/>
  <c r="F187" i="1"/>
  <c r="J186" i="1"/>
  <c r="B186" i="1"/>
  <c r="F185" i="1"/>
  <c r="J184" i="1"/>
  <c r="B184" i="1"/>
  <c r="F183" i="1"/>
  <c r="J182" i="1"/>
  <c r="B182" i="1"/>
  <c r="F181" i="1"/>
  <c r="J180" i="1"/>
  <c r="B180" i="1"/>
  <c r="F179" i="1"/>
  <c r="J178" i="1"/>
  <c r="B178" i="1"/>
  <c r="F177" i="1"/>
  <c r="J176" i="1"/>
  <c r="B176" i="1"/>
  <c r="F175" i="1"/>
  <c r="J174" i="1"/>
  <c r="B174" i="1"/>
  <c r="F173" i="1"/>
  <c r="J172" i="1"/>
  <c r="B172" i="1"/>
  <c r="F171" i="1"/>
  <c r="J170" i="1"/>
  <c r="B170" i="1"/>
  <c r="F169" i="1"/>
  <c r="J168" i="1"/>
  <c r="B168" i="1"/>
  <c r="F167" i="1"/>
  <c r="J166" i="1"/>
  <c r="B166" i="1"/>
  <c r="F165" i="1"/>
  <c r="J164" i="1"/>
  <c r="B164" i="1"/>
  <c r="F163" i="1"/>
  <c r="J162" i="1"/>
  <c r="B162" i="1"/>
  <c r="F161" i="1"/>
  <c r="J160" i="1"/>
  <c r="B160" i="1"/>
  <c r="F159" i="1"/>
  <c r="J158" i="1"/>
  <c r="B158" i="1"/>
  <c r="F157" i="1"/>
  <c r="J156" i="1"/>
  <c r="B156" i="1"/>
  <c r="F155" i="1"/>
  <c r="J154" i="1"/>
  <c r="B154" i="1"/>
  <c r="F153" i="1"/>
  <c r="J152" i="1"/>
  <c r="B152" i="1"/>
  <c r="F151" i="1"/>
  <c r="J150" i="1"/>
  <c r="B150" i="1"/>
  <c r="F149" i="1"/>
  <c r="J148" i="1"/>
  <c r="B148" i="1"/>
  <c r="F147" i="1"/>
  <c r="J146" i="1"/>
  <c r="B146" i="1"/>
  <c r="F145" i="1"/>
  <c r="J144" i="1"/>
  <c r="B144" i="1"/>
  <c r="F143" i="1"/>
  <c r="J142" i="1"/>
  <c r="B142" i="1"/>
  <c r="F141" i="1"/>
  <c r="J140" i="1"/>
  <c r="B140" i="1"/>
  <c r="F139" i="1"/>
  <c r="J138" i="1"/>
  <c r="B138" i="1"/>
  <c r="F137" i="1"/>
  <c r="J136" i="1"/>
  <c r="B136" i="1"/>
  <c r="F135" i="1"/>
  <c r="J134" i="1"/>
  <c r="B134" i="1"/>
  <c r="F133" i="1"/>
  <c r="J132" i="1"/>
  <c r="B132" i="1"/>
  <c r="F131" i="1"/>
  <c r="J130" i="1"/>
  <c r="B130" i="1"/>
  <c r="F129" i="1"/>
  <c r="J128" i="1"/>
  <c r="B128" i="1"/>
  <c r="F127" i="1"/>
  <c r="J126" i="1"/>
  <c r="B126" i="1"/>
  <c r="F125" i="1"/>
  <c r="J124" i="1"/>
  <c r="B124" i="1"/>
  <c r="F123" i="1"/>
  <c r="J122" i="1"/>
  <c r="B122" i="1"/>
  <c r="F121" i="1"/>
  <c r="J120" i="1"/>
  <c r="B120" i="1"/>
  <c r="F119" i="1"/>
  <c r="J118" i="1"/>
  <c r="B118" i="1"/>
  <c r="F117" i="1"/>
  <c r="J116" i="1"/>
  <c r="B116" i="1"/>
  <c r="F115" i="1"/>
  <c r="J114" i="1"/>
  <c r="B114" i="1"/>
  <c r="F113" i="1"/>
  <c r="J112" i="1"/>
  <c r="B112" i="1"/>
  <c r="F111" i="1"/>
  <c r="J110" i="1"/>
  <c r="B110" i="1"/>
  <c r="F109" i="1"/>
  <c r="J108" i="1"/>
  <c r="B108" i="1"/>
  <c r="F107" i="1"/>
  <c r="J106" i="1"/>
  <c r="B106" i="1"/>
  <c r="F105" i="1"/>
  <c r="J104" i="1"/>
  <c r="B104" i="1"/>
  <c r="F103" i="1"/>
  <c r="J102" i="1"/>
  <c r="B102" i="1"/>
  <c r="F101" i="1"/>
  <c r="J100" i="1"/>
  <c r="B100" i="1"/>
  <c r="F99" i="1"/>
  <c r="J98" i="1"/>
  <c r="B98" i="1"/>
  <c r="F97" i="1"/>
  <c r="J96" i="1"/>
  <c r="B96" i="1"/>
  <c r="F95" i="1"/>
  <c r="J94" i="1"/>
  <c r="B94" i="1"/>
  <c r="F93" i="1"/>
  <c r="J92" i="1"/>
  <c r="B92" i="1"/>
  <c r="F91" i="1"/>
  <c r="J90" i="1"/>
  <c r="B90" i="1"/>
  <c r="F89" i="1"/>
  <c r="J88" i="1"/>
  <c r="B88" i="1"/>
  <c r="F87" i="1"/>
  <c r="J86" i="1"/>
  <c r="B86" i="1"/>
  <c r="F85" i="1"/>
  <c r="J84" i="1"/>
  <c r="B84" i="1"/>
  <c r="F83" i="1"/>
  <c r="J82" i="1"/>
  <c r="B82" i="1"/>
  <c r="F81" i="1"/>
  <c r="J80" i="1"/>
  <c r="B80" i="1"/>
  <c r="F79" i="1"/>
  <c r="J78" i="1"/>
  <c r="B78" i="1"/>
  <c r="F77" i="1"/>
  <c r="J76" i="1"/>
  <c r="B76" i="1"/>
  <c r="F75" i="1"/>
  <c r="J74" i="1"/>
  <c r="B74" i="1"/>
  <c r="F73" i="1"/>
  <c r="J72" i="1"/>
  <c r="B72" i="1"/>
  <c r="F71" i="1"/>
  <c r="J70" i="1"/>
  <c r="B70" i="1"/>
  <c r="F69" i="1"/>
  <c r="J68" i="1"/>
  <c r="B68" i="1"/>
  <c r="F67" i="1"/>
  <c r="J66" i="1"/>
  <c r="B66" i="1"/>
  <c r="F65" i="1"/>
  <c r="J64" i="1"/>
  <c r="B64" i="1"/>
  <c r="F63" i="1"/>
  <c r="J62" i="1"/>
  <c r="B62" i="1"/>
  <c r="F61" i="1"/>
  <c r="J60" i="1"/>
  <c r="B60" i="1"/>
  <c r="F59" i="1"/>
  <c r="J58" i="1"/>
  <c r="B58" i="1"/>
  <c r="F57" i="1"/>
  <c r="J56" i="1"/>
  <c r="B56" i="1"/>
  <c r="F55" i="1"/>
  <c r="J54" i="1"/>
  <c r="B54" i="1"/>
  <c r="F53" i="1"/>
  <c r="J52" i="1"/>
  <c r="B52" i="1"/>
  <c r="F51" i="1"/>
  <c r="J50" i="1"/>
  <c r="B50" i="1"/>
  <c r="F49" i="1"/>
  <c r="J48" i="1"/>
  <c r="B48" i="1"/>
  <c r="F47" i="1"/>
  <c r="J46" i="1"/>
  <c r="B46" i="1"/>
  <c r="F45" i="1"/>
  <c r="J44" i="1"/>
  <c r="B44" i="1"/>
  <c r="F43" i="1"/>
  <c r="J42" i="1"/>
  <c r="B42" i="1"/>
  <c r="F41" i="1"/>
  <c r="J40" i="1"/>
  <c r="B40" i="1"/>
  <c r="F39" i="1"/>
  <c r="J38" i="1"/>
  <c r="B38" i="1"/>
  <c r="F37" i="1"/>
  <c r="J36" i="1"/>
  <c r="B36" i="1"/>
  <c r="F35" i="1"/>
  <c r="J34" i="1"/>
  <c r="B34" i="1"/>
  <c r="F33" i="1"/>
  <c r="J32" i="1"/>
  <c r="B32" i="1"/>
  <c r="F31" i="1"/>
  <c r="J30" i="1"/>
  <c r="B30" i="1"/>
  <c r="F29" i="1"/>
  <c r="J28" i="1"/>
  <c r="B28" i="1"/>
  <c r="F27" i="1"/>
  <c r="J26" i="1"/>
  <c r="B26" i="1"/>
  <c r="F25" i="1"/>
  <c r="J24" i="1"/>
  <c r="B24" i="1"/>
  <c r="F23" i="1"/>
  <c r="J22" i="1"/>
  <c r="B22" i="1"/>
  <c r="F21" i="1"/>
  <c r="J20" i="1"/>
  <c r="B20" i="1"/>
  <c r="F19" i="1"/>
  <c r="J18" i="1"/>
  <c r="B18" i="1"/>
  <c r="F17" i="1"/>
  <c r="J16" i="1"/>
  <c r="B16" i="1"/>
  <c r="F15" i="1"/>
  <c r="J14" i="1"/>
  <c r="B14" i="1"/>
  <c r="F13" i="1"/>
  <c r="J12" i="1"/>
  <c r="B12" i="1"/>
  <c r="F11" i="1"/>
  <c r="J10" i="1"/>
  <c r="B10" i="1"/>
  <c r="F9" i="1"/>
  <c r="J8" i="1"/>
  <c r="B8" i="1"/>
  <c r="F7" i="1"/>
  <c r="J6" i="1"/>
  <c r="B6" i="1"/>
  <c r="F5" i="1"/>
  <c r="J4" i="1"/>
  <c r="G212" i="1"/>
  <c r="J209" i="1"/>
  <c r="K208" i="1"/>
  <c r="A208" i="1"/>
  <c r="B207" i="1"/>
  <c r="C206" i="1"/>
  <c r="E205" i="1"/>
  <c r="F204" i="1"/>
  <c r="G203" i="1"/>
  <c r="I202" i="1"/>
  <c r="J201" i="1"/>
  <c r="K200" i="1"/>
  <c r="A200" i="1"/>
  <c r="B199" i="1"/>
  <c r="C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A8" i="1"/>
  <c r="E7" i="1"/>
  <c r="I6" i="1"/>
  <c r="A6" i="1"/>
  <c r="E5" i="1"/>
  <c r="I4" i="1"/>
  <c r="A4" i="1"/>
  <c r="K211" i="1"/>
  <c r="I209" i="1"/>
  <c r="J208" i="1"/>
  <c r="K207" i="1"/>
  <c r="A207" i="1"/>
  <c r="B206" i="1"/>
  <c r="C205" i="1"/>
  <c r="E204" i="1"/>
  <c r="F203" i="1"/>
  <c r="G202" i="1"/>
  <c r="I201" i="1"/>
  <c r="J200" i="1"/>
  <c r="K199" i="1"/>
  <c r="A199" i="1"/>
  <c r="B198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D7" i="1"/>
  <c r="H6" i="1"/>
  <c r="L5" i="1"/>
  <c r="D5" i="1"/>
  <c r="H4" i="1"/>
  <c r="G4" i="1"/>
  <c r="C211" i="1"/>
  <c r="G209" i="1"/>
  <c r="I208" i="1"/>
  <c r="J207" i="1"/>
  <c r="K206" i="1"/>
  <c r="A206" i="1"/>
  <c r="B205" i="1"/>
  <c r="C204" i="1"/>
  <c r="E203" i="1"/>
  <c r="F202" i="1"/>
  <c r="G201" i="1"/>
  <c r="I200" i="1"/>
  <c r="J199" i="1"/>
  <c r="K198" i="1"/>
  <c r="A198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C7" i="1"/>
  <c r="G6" i="1"/>
  <c r="K5" i="1"/>
  <c r="C5" i="1"/>
  <c r="G210" i="1"/>
  <c r="F209" i="1"/>
  <c r="G208" i="1"/>
  <c r="I207" i="1"/>
  <c r="J206" i="1"/>
  <c r="K205" i="1"/>
  <c r="A205" i="1"/>
  <c r="B204" i="1"/>
  <c r="C203" i="1"/>
  <c r="E202" i="1"/>
  <c r="F201" i="1"/>
  <c r="G200" i="1"/>
  <c r="I199" i="1"/>
  <c r="J198" i="1"/>
  <c r="K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B43" i="1"/>
  <c r="F42" i="1"/>
  <c r="J41" i="1"/>
  <c r="B41" i="1"/>
  <c r="F40" i="1"/>
  <c r="J39" i="1"/>
  <c r="B39" i="1"/>
  <c r="F38" i="1"/>
  <c r="J37" i="1"/>
  <c r="B37" i="1"/>
  <c r="F36" i="1"/>
  <c r="J35" i="1"/>
  <c r="B35" i="1"/>
  <c r="F34" i="1"/>
  <c r="J33" i="1"/>
  <c r="B33" i="1"/>
  <c r="F32" i="1"/>
  <c r="J31" i="1"/>
  <c r="B31" i="1"/>
  <c r="F30" i="1"/>
  <c r="J29" i="1"/>
  <c r="B29" i="1"/>
  <c r="F28" i="1"/>
  <c r="J27" i="1"/>
  <c r="B27" i="1"/>
  <c r="F26" i="1"/>
  <c r="J25" i="1"/>
  <c r="B25" i="1"/>
  <c r="F24" i="1"/>
  <c r="J23" i="1"/>
  <c r="B23" i="1"/>
  <c r="F22" i="1"/>
  <c r="J21" i="1"/>
  <c r="B21" i="1"/>
  <c r="F20" i="1"/>
  <c r="J19" i="1"/>
  <c r="B19" i="1"/>
  <c r="F18" i="1"/>
  <c r="J17" i="1"/>
  <c r="B17" i="1"/>
  <c r="F16" i="1"/>
  <c r="J15" i="1"/>
  <c r="B15" i="1"/>
  <c r="F14" i="1"/>
  <c r="J13" i="1"/>
  <c r="B13" i="1"/>
  <c r="F12" i="1"/>
  <c r="J11" i="1"/>
  <c r="B11" i="1"/>
  <c r="F10" i="1"/>
  <c r="J9" i="1"/>
  <c r="B9" i="1"/>
  <c r="F8" i="1"/>
  <c r="J7" i="1"/>
  <c r="B7" i="1"/>
  <c r="F6" i="1"/>
  <c r="J5" i="1"/>
  <c r="B5" i="1"/>
  <c r="F4" i="1"/>
  <c r="B4" i="1"/>
  <c r="C210" i="1"/>
  <c r="E209" i="1"/>
  <c r="F208" i="1"/>
  <c r="G207" i="1"/>
  <c r="I206" i="1"/>
  <c r="J205" i="1"/>
  <c r="K204" i="1"/>
  <c r="A204" i="1"/>
  <c r="B203" i="1"/>
  <c r="C202" i="1"/>
  <c r="E201" i="1"/>
  <c r="F200" i="1"/>
  <c r="G199" i="1"/>
  <c r="I198" i="1"/>
  <c r="J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I7" i="1"/>
  <c r="A7" i="1"/>
  <c r="E6" i="1"/>
  <c r="I5" i="1"/>
  <c r="A5" i="1"/>
  <c r="E4" i="1"/>
  <c r="B210" i="1"/>
  <c r="C209" i="1"/>
  <c r="E208" i="1"/>
  <c r="F207" i="1"/>
  <c r="G206" i="1"/>
  <c r="I205" i="1"/>
  <c r="J204" i="1"/>
  <c r="K203" i="1"/>
  <c r="A203" i="1"/>
  <c r="B202" i="1"/>
  <c r="C201" i="1"/>
  <c r="E200" i="1"/>
  <c r="F199" i="1"/>
  <c r="G198" i="1"/>
  <c r="I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L6" i="1"/>
  <c r="D6" i="1"/>
  <c r="H5" i="1"/>
  <c r="L4" i="1"/>
  <c r="D4" i="1"/>
  <c r="C4" i="1"/>
  <c r="J2" i="28" l="1"/>
  <c r="J2" i="29"/>
  <c r="J2" i="25"/>
  <c r="J2" i="27"/>
  <c r="J2" i="26"/>
  <c r="J2" i="24"/>
  <c r="J2" i="23"/>
  <c r="J2" i="21"/>
  <c r="J2" i="22"/>
  <c r="J2" i="18"/>
  <c r="J2" i="19"/>
  <c r="J2" i="20"/>
  <c r="J2" i="16"/>
  <c r="J2" i="17"/>
  <c r="J2" i="15"/>
  <c r="J2" i="13"/>
  <c r="J2" i="11"/>
  <c r="J2" i="14"/>
  <c r="J2" i="12"/>
  <c r="J2" i="10"/>
  <c r="J2" i="8"/>
  <c r="J2" i="9"/>
  <c r="J2" i="6"/>
  <c r="J2" i="7"/>
  <c r="J2" i="5"/>
  <c r="J2" i="4"/>
</calcChain>
</file>

<file path=xl/sharedStrings.xml><?xml version="1.0" encoding="utf-8"?>
<sst xmlns="http://schemas.openxmlformats.org/spreadsheetml/2006/main" count="320" uniqueCount="56">
  <si>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</si>
  <si>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</si>
  <si>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</si>
  <si>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</si>
  <si>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</si>
  <si>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</si>
  <si>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</si>
  <si>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</si>
  <si>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</si>
  <si>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</si>
  <si>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</si>
  <si>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</si>
  <si>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</si>
  <si>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</si>
  <si>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</si>
  <si>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</si>
  <si>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</si>
  <si>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</si>
  <si>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NewMF1</t>
  </si>
  <si>
    <t>CreateStageOrder</t>
  </si>
  <si>
    <t>AAPL</t>
  </si>
  <si>
    <t>Buy</t>
  </si>
  <si>
    <t>Allocation2</t>
  </si>
  <si>
    <t>MS</t>
  </si>
  <si>
    <t>Market</t>
  </si>
  <si>
    <t>Blotter</t>
  </si>
  <si>
    <t>TradeNewSubOrder</t>
  </si>
  <si>
    <t>New</t>
  </si>
  <si>
    <t>CreateNewSubOrder</t>
  </si>
  <si>
    <t>AddFillsSubOrder</t>
  </si>
  <si>
    <t>PartiallyFilled</t>
  </si>
  <si>
    <t>EditAddFillsDetails</t>
  </si>
  <si>
    <t>VerifyOrder</t>
  </si>
  <si>
    <t>VerifySubOrder</t>
  </si>
  <si>
    <t>GetDataAllocation</t>
  </si>
  <si>
    <t>Current</t>
  </si>
  <si>
    <t>CheckAllocatedGroups</t>
  </si>
  <si>
    <t>Open</t>
  </si>
  <si>
    <t>Unallocate</t>
  </si>
  <si>
    <t>SelectUnallocatedGroup</t>
  </si>
  <si>
    <t>EnterAccountValuesToAllocate</t>
  </si>
  <si>
    <t>Allocation1</t>
  </si>
  <si>
    <t>PortfolioManagement</t>
  </si>
  <si>
    <t>CheckPortfolioManagement</t>
  </si>
  <si>
    <t>NewMF</t>
  </si>
  <si>
    <t>Long</t>
  </si>
  <si>
    <t>APPLE</t>
  </si>
  <si>
    <t>Equity</t>
  </si>
  <si>
    <t>US</t>
  </si>
  <si>
    <t>SelectTradeOnOrderGrid</t>
  </si>
  <si>
    <t>ReplaceSubOrder</t>
  </si>
  <si>
    <t>CreateReplaceOrder</t>
  </si>
  <si>
    <t>VerifyWorkingSubs</t>
  </si>
  <si>
    <t>Replaced</t>
  </si>
  <si>
    <t>CheckUnallocatedGroups</t>
  </si>
  <si>
    <t>UNALLOCATED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</si>
</sst>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29" t="s">
        <v>0</v>
      </c>
      <c r="B1" s="30"/>
      <c r="C1" s="30"/>
      <c r="D1" s="30"/>
      <c r="E1" s="30"/>
      <c r="F1" s="31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2" t="s">
        <v>1</v>
      </c>
      <c r="B3" s="3"/>
      <c r="C3" s="4"/>
      <c r="D3" s="4"/>
      <c r="E3" s="4"/>
      <c r="F3" s="4"/>
    </row>
    <row r="4" spans="1:12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/>
    <row r="872" spans="1:12" ht="15.75" customHeight="1" x14ac:dyDescent="0.2"/>
    <row r="873" spans="1:12" ht="15.75" customHeight="1" x14ac:dyDescent="0.2"/>
    <row r="874" spans="1:12" ht="15.75" customHeight="1" x14ac:dyDescent="0.2"/>
    <row r="875" spans="1:12" ht="15.75" customHeight="1" x14ac:dyDescent="0.2"/>
    <row r="876" spans="1:12" ht="15.75" customHeight="1" x14ac:dyDescent="0.2"/>
    <row r="877" spans="1:12" ht="15.75" customHeight="1" x14ac:dyDescent="0.2"/>
    <row r="878" spans="1:12" ht="15.75" customHeight="1" x14ac:dyDescent="0.2"/>
    <row r="879" spans="1:12" ht="15.75" customHeight="1" x14ac:dyDescent="0.2"/>
    <row r="880" spans="1:12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2" t="s">
        <v>2</v>
      </c>
      <c r="B1" s="30"/>
      <c r="C1" s="31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29" t="s">
        <v>7</v>
      </c>
      <c r="B1" s="30"/>
      <c r="C1" s="30"/>
      <c r="D1" s="30"/>
      <c r="E1" s="30"/>
      <c r="F1" s="31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IFERROR(__xludf.DUMMYFUNCTION("""COMPUTED_VALUE"""),"MasterFund")</f>
        <v>MasterFund</v>
      </c>
      <c r="C5" s="22" t="str">
        <f ca="1">IFERROR(__xludf.DUMMYFUNCTION("""COMPUTED_VALUE"""),"")</f>
        <v/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18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1000</v>
      </c>
      <c r="E6" s="7"/>
      <c r="F6" s="7" t="s">
        <v>22</v>
      </c>
      <c r="G6" s="7" t="s">
        <v>23</v>
      </c>
      <c r="H6" s="5"/>
      <c r="I6" s="7" t="s">
        <v>24</v>
      </c>
      <c r="J6" s="7">
        <v>500</v>
      </c>
      <c r="K6" s="5"/>
      <c r="L6" s="5"/>
      <c r="M6" s="5"/>
      <c r="N6" s="5"/>
      <c r="O6" s="5"/>
      <c r="AK6" s="6" t="s">
        <v>22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IFERROR(__xludf.DUMMYFUNCTION("""COMPUTED_VALUE"""),"Status (With Rollover)")</f>
        <v>Status (With Rollover)</v>
      </c>
      <c r="AZ5" s="24" t="str">
        <f ca="1">IFERROR(__xludf.DUMMYFUNCTION("""COMPUTED_VALUE"""),"Start of Day Qty")</f>
        <v>Start of Day Qty</v>
      </c>
      <c r="BA5" s="24" t="str">
        <f ca="1">IFERROR(__xludf.DUMMYFUNCTION("""COMPUTED_VALUE"""),"Leaves")</f>
        <v>Leaves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I6" s="6" t="s">
        <v>20</v>
      </c>
      <c r="AJ6" s="6" t="s">
        <v>21</v>
      </c>
      <c r="AK6" s="6" t="s">
        <v>27</v>
      </c>
      <c r="AL6" s="6">
        <v>1000</v>
      </c>
      <c r="AP6" s="6">
        <v>1000</v>
      </c>
      <c r="AQ6" s="6">
        <v>0</v>
      </c>
      <c r="AR6" s="6">
        <v>0</v>
      </c>
      <c r="AS6" s="6" t="s">
        <v>23</v>
      </c>
      <c r="AT6" s="6" t="s">
        <v>22</v>
      </c>
      <c r="AU6" s="6" t="s">
        <v>24</v>
      </c>
      <c r="AV6" s="6">
        <v>0</v>
      </c>
      <c r="AW6" s="6">
        <v>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500</v>
      </c>
      <c r="E6" s="7">
        <v>200</v>
      </c>
      <c r="F6" s="7"/>
      <c r="G6" s="7" t="s">
        <v>23</v>
      </c>
      <c r="H6" s="5"/>
      <c r="I6" s="5"/>
      <c r="J6" s="7">
        <v>800</v>
      </c>
      <c r="K6" s="5"/>
      <c r="L6" s="5"/>
      <c r="M6" s="5"/>
      <c r="N6" s="5"/>
      <c r="O6" s="5"/>
      <c r="AK6" s="6" t="s">
        <v>22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IFERROR(__xludf.DUMMYFUNCTION("""COMPUTED_VALUE"""),"Quantity")</f>
        <v>Quantity</v>
      </c>
      <c r="I5" s="22" t="str">
        <f ca="1">IFERROR(__xludf.DUMMYFUNCTION("""COMPUTED_VALUE"""),"Executed Qty")</f>
        <v>Executed Qty</v>
      </c>
      <c r="J5" s="22" t="str">
        <f ca="1">IFERROR(__xludf.DUMMYFUNCTION("""COMPUTED_VALUE"""),"Limit Price")</f>
        <v>Limit Price</v>
      </c>
      <c r="K5" s="22" t="str">
        <f ca="1">IFERROR(__xludf.DUMMYFUNCTION("""COMPUTED_VALUE"""),"Last Fill Price (Local)")</f>
        <v>Last Fill Price (Local)</v>
      </c>
      <c r="L5" s="22" t="str">
        <f ca="1">IFERROR(__xludf.DUMMYFUNCTION("""COMPUTED_VALUE"""),"Stop Price")</f>
        <v>Stop Price</v>
      </c>
      <c r="M5" s="22" t="str">
        <f ca="1">IFERROR(__xludf.DUMMYFUNCTION("""COMPUTED_VALUE"""),"Avg Fill Price (Local)")</f>
        <v>Avg Fill Price (Local)</v>
      </c>
      <c r="N5" s="22" t="str">
        <f ca="1">IFERROR(__xludf.DUMMYFUNCTION("""COMPUTED_VALUE"""),"Broker")</f>
        <v>Broker</v>
      </c>
      <c r="O5" s="22" t="str">
        <f ca="1">IFERROR(__xludf.DUMMYFUNCTION("""COMPUTED_VALUE"""),"Account")</f>
        <v>Account</v>
      </c>
      <c r="P5" s="22" t="str">
        <f ca="1">IFERROR(__xludf.DUMMYFUNCTION("""COMPUTED_VALUE"""),"OrderID")</f>
        <v>OrderID</v>
      </c>
      <c r="Q5" s="22" t="str">
        <f ca="1">IFERROR(__xludf.DUMMYFUNCTION("""COMPUTED_VALUE"""),"Order Type")</f>
        <v>Order Type</v>
      </c>
      <c r="R5" s="22" t="str">
        <f ca="1">IFERROR(__xludf.DUMMYFUNCTION("""COMPUTED_VALUE"""),"Principal Amount (Local)")</f>
        <v>Principal Amount (Local)</v>
      </c>
      <c r="S5" s="22" t="str">
        <f ca="1">IFERROR(__xludf.DUMMYFUNCTION("""COMPUTED_VALUE"""),"Principal Amount (Base)")</f>
        <v>Principal Amount (Base)</v>
      </c>
      <c r="T5" s="24" t="str">
        <f ca="1">IFERROR(__xludf.DUMMYFUNCTION("""COMPUTED_VALUE"""),"Peg")</f>
        <v>Peg</v>
      </c>
      <c r="U5" s="24" t="str">
        <f ca="1">IFERROR(__xludf.DUMMYFUNCTION("""COMPUTED_VALUE"""),"ParentClOrderID")</f>
        <v>ParentClOrderID</v>
      </c>
      <c r="V5" s="24" t="str">
        <f ca="1">IFERROR(__xludf.DUMMYFUNCTION("""COMPUTED_VALUE"""),"Strike Price")</f>
        <v>Strike Price</v>
      </c>
      <c r="W5" s="24" t="str">
        <f ca="1">IFERROR(__xludf.DUMMYFUNCTION("""COMPUTED_VALUE"""),"Last Shares")</f>
        <v>Last Shares</v>
      </c>
      <c r="X5" s="24" t="str">
        <f ca="1">IFERROR(__xludf.DUMMYFUNCTION("""COMPUTED_VALUE"""),"Working Qty")</f>
        <v>Working Qty</v>
      </c>
      <c r="Y5" s="24" t="str">
        <f ca="1">IFERROR(__xludf.DUMMYFUNCTION("""COMPUTED_VALUE"""),"Bloomberg Symbol")</f>
        <v>Bloomberg Symbol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IFERROR(__xludf.DUMMYFUNCTION("""COMPUTED_VALUE"""),"Asset Class")</f>
        <v>Asset Class</v>
      </c>
      <c r="AC5" s="24" t="str">
        <f ca="1">IFERROR(__xludf.DUMMYFUNCTION("""COMPUTED_VALUE"""),"Underlying Country")</f>
        <v>Underlying Country</v>
      </c>
      <c r="AD5" s="24" t="str">
        <f ca="1">IFERROR(__xludf.DUMMYFUNCTION("""COMPUTED_VALUE"""),"Trader")</f>
        <v>Trader</v>
      </c>
      <c r="AE5" s="24" t="str">
        <f ca="1">IFERROR(__xludf.DUMMYFUNCTION("""COMPUTED_VALUE"""),"User")</f>
        <v>User</v>
      </c>
      <c r="AF5" s="24" t="str">
        <f ca="1">IFERROR(__xludf.DUMMYFUNCTION("""COMPUTED_VALUE"""),"Venue")</f>
        <v>Venue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IFERROR(__xludf.DUMMYFUNCTION("""COMPUTED_VALUE"""),"Process Date")</f>
        <v>Process Date</v>
      </c>
      <c r="AJ5" s="24" t="str">
        <f ca="1">IFERROR(__xludf.DUMMYFUNCTION("""COMPUTED_VALUE"""),"Underlying Symbol")</f>
        <v>Underlying Symbol</v>
      </c>
      <c r="AK5" s="24" t="str">
        <f ca="1">IFERROR(__xludf.DUMMYFUNCTION("""COMPUTED_VALUE"""),"Put/Call")</f>
        <v>Put/Call</v>
      </c>
      <c r="AL5" s="24" t="str">
        <f ca="1">IFERROR(__xludf.DUMMYFUNCTION("""COMPUTED_VALUE"""),"FX Rate")</f>
        <v>FX Rate</v>
      </c>
      <c r="AM5" s="24" t="str">
        <f ca="1">IFERROR(__xludf.DUMMYFUNCTION("""COMPUTED_VALUE"""),"Trade Attribute 1")</f>
        <v>Trade Attribute 1</v>
      </c>
      <c r="AN5" s="24" t="str">
        <f ca="1">IFERROR(__xludf.DUMMYFUNCTION("""COMPUTED_VALUE"""),"Trade Attribute 2")</f>
        <v>Trade Attribute 2</v>
      </c>
      <c r="AO5" s="24" t="str">
        <f ca="1">IFERROR(__xludf.DUMMYFUNCTION("""COMPUTED_VALUE"""),"Trade Attribute 3")</f>
        <v>Trade Attribute 3</v>
      </c>
      <c r="AP5" s="24" t="str">
        <f ca="1">IFERROR(__xludf.DUMMYFUNCTION("""COMPUTED_VALUE"""),"Trade Attribute 4")</f>
        <v>Trade Attribute 4</v>
      </c>
      <c r="AQ5" s="24" t="str">
        <f ca="1">IFERROR(__xludf.DUMMYFUNCTION("""COMPUTED_VALUE"""),"Trade Attribute 5")</f>
        <v>Trade Attribute 5</v>
      </c>
      <c r="AR5" s="24" t="str">
        <f ca="1">IFERROR(__xludf.DUMMYFUNCTION("""COMPUTED_VALUE"""),"Trade Attribute 6")</f>
        <v>Trade Attribute 6</v>
      </c>
      <c r="AS5" s="24" t="str">
        <f ca="1">IFERROR(__xludf.DUMMYFUNCTION("""COMPUTED_VALUE"""),"Internal Comments")</f>
        <v>Internal Comments</v>
      </c>
      <c r="AT5" s="24" t="str">
        <f ca="1">IFERROR(__xludf.DUMMYFUNCTION("""COMPUTED_VALUE"""),"Allocation Scheme Name        ")</f>
        <v xml:space="preserve">Allocation Scheme Name        </v>
      </c>
      <c r="AU5" s="24" t="str">
        <f ca="1">IFERROR(__xludf.DUMMYFUNCTION("""COMPUTED_VALUE"""),"Status (With Rollover)")</f>
        <v>Status (With Rollover)</v>
      </c>
      <c r="AV5" s="24" t="str">
        <f ca="1">IFERROR(__xludf.DUMMYFUNCTION("""COMPUTED_VALUE"""),"Allocation Status")</f>
        <v>Allocation Status</v>
      </c>
      <c r="AW5" s="24" t="str">
        <f ca="1">IFERROR(__xludf.DUMMYFUNCTION("""COMPUTED_VALUE"""),"Source")</f>
        <v>Source</v>
      </c>
      <c r="AX5" s="24" t="str">
        <f ca="1">IFERROR(__xludf.DUMMYFUNCTION("""COMPUTED_VALUE"""),"Strategy")</f>
        <v>Strategy</v>
      </c>
      <c r="AY5" s="24" t="str">
        <f ca="1">IFERROR(__xludf.DUMMYFUNCTION("""COMPUTED_VALUE"""),"Unexecuted Qty")</f>
        <v>Unexecuted Qty</v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800</v>
      </c>
      <c r="C6" s="5"/>
      <c r="D6" s="7" t="s">
        <v>20</v>
      </c>
      <c r="E6" s="25"/>
      <c r="F6" s="7" t="s">
        <v>21</v>
      </c>
      <c r="G6" s="7" t="s">
        <v>30</v>
      </c>
      <c r="H6" s="7">
        <v>500</v>
      </c>
      <c r="I6" s="7">
        <v>200</v>
      </c>
      <c r="J6" s="5"/>
      <c r="K6" s="7">
        <v>800</v>
      </c>
      <c r="L6" s="5"/>
      <c r="M6" s="7">
        <v>800</v>
      </c>
      <c r="N6" s="7" t="s">
        <v>23</v>
      </c>
      <c r="O6" s="7" t="s">
        <v>22</v>
      </c>
      <c r="Q6" s="6" t="s">
        <v>24</v>
      </c>
      <c r="R6" s="6">
        <v>160000</v>
      </c>
      <c r="S6" s="6">
        <v>160000</v>
      </c>
      <c r="AR6" s="6" t="s">
        <v>18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IFERROR(__xludf.DUMMYFUNCTION("""COMPUTED_VALUE"""),"Fill")</f>
        <v>Fill</v>
      </c>
      <c r="C5" s="22" t="str">
        <f ca="1">IFERROR(__xludf.DUMMYFUNCTION("""COMPUTED_VALUE"""),"Last Fill Price (Local)")</f>
        <v>Last Fill Price (Local)</v>
      </c>
      <c r="D5" s="22" t="str">
        <f ca="1">IFERROR(__xludf.DUMMYFUNCTION("""COMPUTED_VALUE"""),"")</f>
        <v/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>
        <v>100</v>
      </c>
      <c r="C6" s="7">
        <v>23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/>
      <c r="E6" s="25"/>
      <c r="F6" s="5"/>
      <c r="G6" s="7">
        <v>200</v>
      </c>
      <c r="H6" s="5"/>
      <c r="I6" s="5"/>
      <c r="J6" s="5"/>
      <c r="K6" s="5"/>
      <c r="L6" s="5"/>
      <c r="M6" s="7" t="s">
        <v>18</v>
      </c>
      <c r="N6" s="5"/>
      <c r="O6" s="5"/>
      <c r="AB6" s="6">
        <v>100</v>
      </c>
      <c r="AI6" s="6" t="s">
        <v>20</v>
      </c>
      <c r="AJ6" s="6" t="s">
        <v>21</v>
      </c>
      <c r="AK6" s="6" t="s">
        <v>30</v>
      </c>
      <c r="AL6" s="6">
        <v>1000</v>
      </c>
      <c r="AM6" s="6">
        <v>300</v>
      </c>
      <c r="AN6" s="6">
        <v>30</v>
      </c>
      <c r="AO6" s="6">
        <v>300</v>
      </c>
      <c r="AP6" s="6">
        <v>500</v>
      </c>
      <c r="AQ6" s="6">
        <v>23</v>
      </c>
      <c r="AR6" s="6">
        <v>541</v>
      </c>
      <c r="AS6" s="6" t="s">
        <v>23</v>
      </c>
      <c r="AT6" s="6" t="s">
        <v>22</v>
      </c>
      <c r="AU6" s="6" t="s">
        <v>24</v>
      </c>
      <c r="AV6" s="26">
        <v>162300</v>
      </c>
      <c r="AW6" s="26">
        <v>162300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7"/>
      <c r="N6" s="5"/>
      <c r="O6" s="5"/>
      <c r="AD6" s="6">
        <v>1</v>
      </c>
      <c r="AI6" s="6" t="s">
        <v>20</v>
      </c>
      <c r="AJ6" s="6" t="s">
        <v>21</v>
      </c>
      <c r="AK6" s="6" t="s">
        <v>30</v>
      </c>
      <c r="AL6" s="6">
        <v>500</v>
      </c>
      <c r="AM6" s="6">
        <v>300</v>
      </c>
      <c r="AO6" s="6">
        <v>23</v>
      </c>
      <c r="AP6" s="6">
        <v>541</v>
      </c>
      <c r="AQ6" s="6" t="s">
        <v>23</v>
      </c>
      <c r="AR6" s="6" t="s">
        <v>22</v>
      </c>
      <c r="AS6" s="6" t="s">
        <v>24</v>
      </c>
      <c r="AT6" s="26">
        <v>162300</v>
      </c>
      <c r="AU6" s="26">
        <v>162300</v>
      </c>
      <c r="AX6" s="6">
        <v>200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45" width="14.42578125" customWidth="1"/>
    <col min="46" max="46" width="18.7109375" customWidth="1"/>
    <col min="47" max="47" width="17.28515625" customWidth="1"/>
    <col min="48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22</v>
      </c>
      <c r="C6" s="5"/>
      <c r="D6" s="7"/>
      <c r="E6" s="7">
        <v>300</v>
      </c>
      <c r="F6" s="5"/>
      <c r="G6" s="5"/>
      <c r="H6" s="7">
        <v>4</v>
      </c>
      <c r="I6" s="7">
        <v>5</v>
      </c>
      <c r="J6" s="5"/>
      <c r="K6" s="7">
        <v>541</v>
      </c>
      <c r="L6" s="7">
        <v>541</v>
      </c>
      <c r="M6" s="5"/>
      <c r="N6" s="5"/>
      <c r="O6" s="7" t="s">
        <v>23</v>
      </c>
      <c r="R6" s="6">
        <v>0</v>
      </c>
      <c r="S6" s="6" t="s">
        <v>37</v>
      </c>
      <c r="AE6" s="6">
        <v>300</v>
      </c>
      <c r="AI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C6" s="6">
        <v>0</v>
      </c>
      <c r="BE6" s="26">
        <v>162300</v>
      </c>
      <c r="BF6" s="26">
        <v>162300</v>
      </c>
      <c r="BJ6" s="6">
        <v>500</v>
      </c>
      <c r="BO6" s="6" t="s">
        <v>21</v>
      </c>
      <c r="BT6" s="6" t="s">
        <v>20</v>
      </c>
      <c r="BU6" s="6">
        <v>3</v>
      </c>
      <c r="BV6" s="6">
        <v>0</v>
      </c>
      <c r="CD6" s="6" t="s">
        <v>18</v>
      </c>
      <c r="CI6" s="6" t="s">
        <v>21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>
        <v>500</v>
      </c>
      <c r="D6" s="7"/>
      <c r="E6" s="7" t="s">
        <v>22</v>
      </c>
      <c r="F6" s="7" t="s">
        <v>21</v>
      </c>
      <c r="G6" s="5"/>
      <c r="H6" s="7"/>
      <c r="I6" s="5"/>
      <c r="J6" s="5"/>
      <c r="K6" s="7">
        <v>541</v>
      </c>
      <c r="L6" s="5"/>
      <c r="M6" s="5"/>
      <c r="N6" s="5"/>
      <c r="O6" s="5"/>
      <c r="P6" s="6" t="s">
        <v>23</v>
      </c>
      <c r="R6" s="6">
        <v>4</v>
      </c>
      <c r="S6" s="6">
        <v>5</v>
      </c>
      <c r="T6" s="6">
        <v>0</v>
      </c>
      <c r="V6" s="6">
        <v>0</v>
      </c>
      <c r="X6" s="6">
        <v>0</v>
      </c>
      <c r="AJ6" s="6">
        <v>1</v>
      </c>
      <c r="AO6" s="6" t="s">
        <v>18</v>
      </c>
      <c r="AT6" s="27">
        <v>162314.09090000001</v>
      </c>
      <c r="AU6" s="27">
        <v>162314.09090000001</v>
      </c>
      <c r="AX6" s="26">
        <v>162300</v>
      </c>
      <c r="AY6" s="26">
        <v>162300</v>
      </c>
      <c r="BJ6" s="6" t="s">
        <v>37</v>
      </c>
      <c r="BN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8" width="14.42578125" customWidth="1"/>
    <col min="19" max="19" width="21" customWidth="1"/>
    <col min="20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1-RJhOo2E5PhyqaiMEjsPi8RpfYBuiSqE9fj_-bRpkKw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IFERROR(__xludf.DUMMYFUNCTION("""COMPUTED_VALUE"""),"Trade Date")</f>
        <v>Trade Date</v>
      </c>
      <c r="G5" s="22" t="str">
        <f ca="1">IFERROR(__xludf.DUMMYFUNCTION("""COMPUTED_VALUE"""),"Net Amount( Local)")</f>
        <v>Net Amount( Local)</v>
      </c>
      <c r="H5" s="22" t="str">
        <f ca="1">IFERROR(__xludf.DUMMYFUNCTION("""COMPUTED_VALUE"""),"Net Amount( Base)")</f>
        <v>Net Amount( Base)</v>
      </c>
      <c r="I5" s="22" t="str">
        <f ca="1">IFERROR(__xludf.DUMMYFUNCTION("""COMPUTED_VALUE"""),"Principal Amount( Local)")</f>
        <v>Principal Amount( Local)</v>
      </c>
      <c r="J5" s="22" t="str">
        <f ca="1">IFERROR(__xludf.DUMMYFUNCTION("""COMPUTED_VALUE"""),"Transaction Type")</f>
        <v>Transaction Type</v>
      </c>
      <c r="K5" s="22" t="str">
        <f ca="1">IFERROR(__xludf.DUMMYFUNCTION("""COMPUTED_VALUE"""),"Principal Amount( Base)")</f>
        <v>Principal Amount( Base)</v>
      </c>
      <c r="L5" s="22" t="str">
        <f ca="1">IFERROR(__xludf.DUMMYFUNCTION("""COMPUTED_VALUE"""),"Execution Time")</f>
        <v>Execution Time</v>
      </c>
      <c r="M5" s="22" t="str">
        <f ca="1">IFERROR(__xludf.DUMMYFUNCTION("""COMPUTED_VALUE"""),"Trading Account")</f>
        <v>Trading Account</v>
      </c>
      <c r="N5" s="22" t="str">
        <f ca="1">IFERROR(__xludf.DUMMYFUNCTION("""COMPUTED_VALUE"""),"Avg Price(Local)")</f>
        <v>Avg Price(Local)</v>
      </c>
      <c r="O5" s="22" t="str">
        <f ca="1">IFERROR(__xludf.DUMMYFUNCTION("""COMPUTED_VALUE"""),"Avg Price(Base)")</f>
        <v>Avg Price(Base)</v>
      </c>
      <c r="P5" s="22" t="str">
        <f ca="1">IFERROR(__xludf.DUMMYFUNCTION("""COMPUTED_VALUE"""),"Broker")</f>
        <v>Broker</v>
      </c>
      <c r="Q5" s="22" t="str">
        <f ca="1">IFERROR(__xludf.DUMMYFUNCTION("""COMPUTED_VALUE"""),"FX Rate")</f>
        <v>FX Rate</v>
      </c>
      <c r="R5" s="22" t="str">
        <f ca="1">IFERROR(__xludf.DUMMYFUNCTION("""COMPUTED_VALUE"""),"Venue")</f>
        <v>Venue</v>
      </c>
      <c r="S5" s="22" t="str">
        <f ca="1">IFERROR(__xludf.DUMMYFUNCTION("""COMPUTED_VALUE"""),"FX Conversion Operator")</f>
        <v>FX Conversion Operator</v>
      </c>
      <c r="T5" s="24" t="str">
        <f ca="1">IFERROR(__xludf.DUMMYFUNCTION("""COMPUTED_VALUE"""),"User")</f>
        <v>User</v>
      </c>
      <c r="U5" s="24" t="str">
        <f ca="1">IFERROR(__xludf.DUMMYFUNCTION("""COMPUTED_VALUE"""),"Asset Category")</f>
        <v>Asset Category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IFERROR(__xludf.DUMMYFUNCTION("""COMPUTED_VALUE"""),"Commission Per Share")</f>
        <v>Commission Per Share</v>
      </c>
      <c r="X5" s="24" t="str">
        <f ca="1">IFERROR(__xludf.DUMMYFUNCTION("""COMPUTED_VALUE"""),"Soft Commission Per Share")</f>
        <v>Soft Commission Per Share</v>
      </c>
      <c r="Y5" s="24" t="str">
        <f ca="1">IFERROR(__xludf.DUMMYFUNCTION("""COMPUTED_VALUE"""),"Total Commission Per Share")</f>
        <v>Total Commission Per Share</v>
      </c>
      <c r="Z5" s="24" t="str">
        <f ca="1">IFERROR(__xludf.DUMMYFUNCTION("""COMPUTED_VALUE"""),"Change Type")</f>
        <v>Change Type</v>
      </c>
      <c r="AA5" s="24" t="str">
        <f ca="1">IFERROR(__xludf.DUMMYFUNCTION("""COMPUTED_VALUE"""),"Trade Attribute 1")</f>
        <v>Trade Attribute 1</v>
      </c>
      <c r="AB5" s="24" t="str">
        <f ca="1">IFERROR(__xludf.DUMMYFUNCTION("""COMPUTED_VALUE"""),"Trade Attribute 2")</f>
        <v>Trade Attribute 2</v>
      </c>
      <c r="AC5" s="24" t="str">
        <f ca="1">IFERROR(__xludf.DUMMYFUNCTION("""COMPUTED_VALUE"""),"Trade Attribute 3")</f>
        <v>Trade Attribute 3</v>
      </c>
      <c r="AD5" s="24" t="str">
        <f ca="1">IFERROR(__xludf.DUMMYFUNCTION("""COMPUTED_VALUE"""),"Trade Attribute 4")</f>
        <v>Trade Attribute 4</v>
      </c>
      <c r="AE5" s="24" t="str">
        <f ca="1">IFERROR(__xludf.DUMMYFUNCTION("""COMPUTED_VALUE"""),"Trade Attribute 5")</f>
        <v>Trade Attribute 5</v>
      </c>
      <c r="AF5" s="24" t="str">
        <f ca="1">IFERROR(__xludf.DUMMYFUNCTION("""COMPUTED_VALUE"""),"Trade Attribute 6")</f>
        <v>Trade Attribute 6</v>
      </c>
      <c r="AG5" s="24" t="str">
        <f ca="1">IFERROR(__xludf.DUMMYFUNCTION("""COMPUTED_VALUE"""),"IsPreAllocated")</f>
        <v>IsPreAllocated</v>
      </c>
      <c r="AH5" s="24" t="str">
        <f ca="1">IFERROR(__xludf.DUMMYFUNCTION("""COMPUTED_VALUE"""),"IsManual Group")</f>
        <v>IsManual Group</v>
      </c>
      <c r="AI5" s="24" t="str">
        <f ca="1">IFERROR(__xludf.DUMMYFUNCTION("""COMPUTED_VALUE"""),"IsAnotherTaxlotAttributesUpdated")</f>
        <v>IsAnotherTaxlotAttributesUpdated</v>
      </c>
      <c r="AJ5" s="24" t="str">
        <f ca="1">IFERROR(__xludf.DUMMYFUNCTION("""COMPUTED_VALUE"""),"ISNDF")</f>
        <v>ISNDF</v>
      </c>
      <c r="AK5" s="24" t="str">
        <f ca="1">IFERROR(__xludf.DUMMYFUNCTION("""COMPUTED_VALUE"""),"M2MProfitLoss")</f>
        <v>M2MProfitLoss</v>
      </c>
      <c r="AL5" s="24" t="str">
        <f ca="1">IFERROR(__xludf.DUMMYFUNCTION("""COMPUTED_VALUE"""),"Put Or Call")</f>
        <v>Put Or Call</v>
      </c>
      <c r="AM5" s="24" t="str">
        <f ca="1">IFERROR(__xludf.DUMMYFUNCTION("""COMPUTED_VALUE"""),"GroupID")</f>
        <v>GroupID</v>
      </c>
      <c r="AN5" s="24" t="str">
        <f ca="1">IFERROR(__xludf.DUMMYFUNCTION("""COMPUTED_VALUE"""),"UnAllocatedQty")</f>
        <v>UnAllocatedQty</v>
      </c>
      <c r="AO5" s="24" t="str">
        <f ca="1">IFERROR(__xludf.DUMMYFUNCTION("""COMPUTED_VALUE"""),"Allocated Qty")</f>
        <v>Allocated Qty</v>
      </c>
      <c r="AP5" s="24" t="str">
        <f ca="1">IFERROR(__xludf.DUMMYFUNCTION("""COMPUTED_VALUE"""),"Commission")</f>
        <v>Commission</v>
      </c>
      <c r="AQ5" s="24" t="str">
        <f ca="1">IFERROR(__xludf.DUMMYFUNCTION("""COMPUTED_VALUE"""),"Soft Commission")</f>
        <v>Soft Commission</v>
      </c>
      <c r="AR5" s="24" t="str">
        <f ca="1">IFERROR(__xludf.DUMMYFUNCTION("""COMPUTED_VALUE"""),"Other Broker Fees")</f>
        <v>Other Broker Fees</v>
      </c>
      <c r="AS5" s="24" t="str">
        <f ca="1">IFERROR(__xludf.DUMMYFUNCTION("""COMPUTED_VALUE"""),"Clearing Broker Fee")</f>
        <v>Clearing Broker Fee</v>
      </c>
      <c r="AT5" s="24" t="str">
        <f ca="1">IFERROR(__xludf.DUMMYFUNCTION("""COMPUTED_VALUE"""),"Total Commission And Fee")</f>
        <v>Total Commission And Fee</v>
      </c>
      <c r="AU5" s="24" t="str">
        <f ca="1">IFERROR(__xludf.DUMMYFUNCTION("""COMPUTED_VALUE"""),"Transaction Levy")</f>
        <v>Transaction Levy</v>
      </c>
      <c r="AV5" s="24" t="str">
        <f ca="1">IFERROR(__xludf.DUMMYFUNCTION("""COMPUTED_VALUE"""),"Stamp Duty")</f>
        <v>Stamp Duty</v>
      </c>
      <c r="AW5" s="24" t="str">
        <f ca="1">IFERROR(__xludf.DUMMYFUNCTION("""COMPUTED_VALUE"""),"AUEC Fee1")</f>
        <v>AUEC Fee1</v>
      </c>
      <c r="AX5" s="24" t="str">
        <f ca="1">IFERROR(__xludf.DUMMYFUNCTION("""COMPUTED_VALUE"""),"Tax On Commissions")</f>
        <v>Tax On Commissions</v>
      </c>
      <c r="AY5" s="24" t="str">
        <f ca="1">IFERROR(__xludf.DUMMYFUNCTION("""COMPUTED_VALUE"""),"AUEC Fee2")</f>
        <v>AUEC Fee2</v>
      </c>
      <c r="AZ5" s="24" t="str">
        <f ca="1">IFERROR(__xludf.DUMMYFUNCTION("""COMPUTED_VALUE"""),"SEC Fee")</f>
        <v>SEC Fee</v>
      </c>
      <c r="BA5" s="24" t="str">
        <f ca="1">IFERROR(__xludf.DUMMYFUNCTION("""COMPUTED_VALUE"""),"OCC Fee")</f>
        <v>OCC Fee</v>
      </c>
      <c r="BB5" s="24" t="str">
        <f ca="1">IFERROR(__xludf.DUMMYFUNCTION("""COMPUTED_VALUE"""),"ORF Fee")</f>
        <v>ORF Fee</v>
      </c>
      <c r="BC5" s="24" t="str">
        <f ca="1">IFERROR(__xludf.DUMMYFUNCTION("""COMPUTED_VALUE"""),"Option Premium Adjustment")</f>
        <v>Option Premium Adjustment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IFERROR(__xludf.DUMMYFUNCTION("""COMPUTED_VALUE"""),"Total Commission")</f>
        <v>Total Commission</v>
      </c>
      <c r="BF5" s="24" t="str">
        <f ca="1">IFERROR(__xludf.DUMMYFUNCTION("""COMPUTED_VALUE"""),"Closing Status")</f>
        <v>Closing Status</v>
      </c>
      <c r="BG5" s="24" t="str">
        <f ca="1">IFERROR(__xludf.DUMMYFUNCTION("""COMPUTED_VALUE"""),"Closing Method")</f>
        <v>Closing Method</v>
      </c>
      <c r="BH5" s="24" t="str">
        <f ca="1">IFERROR(__xludf.DUMMYFUNCTION("""COMPUTED_VALUE"""),"Group Status")</f>
        <v>Group Status</v>
      </c>
      <c r="BI5" s="24" t="str">
        <f ca="1">IFERROR(__xludf.DUMMYFUNCTION("""COMPUTED_VALUE"""),"Allocation Scheme Name")</f>
        <v>Allocation Scheme Name</v>
      </c>
      <c r="BJ5" s="24" t="str">
        <f ca="1">IFERROR(__xludf.DUMMYFUNCTION("""COMPUTED_VALUE"""),"Change Comment")</f>
        <v>Change Comment</v>
      </c>
      <c r="BK5" s="24" t="str">
        <f ca="1">IFERROR(__xludf.DUMMYFUNCTION("""COMPUTED_VALUE"""),"Order Type")</f>
        <v>Order Type</v>
      </c>
      <c r="BL5" s="24" t="str">
        <f ca="1">IFERROR(__xludf.DUMMYFUNCTION("""COMPUTED_VALUE"""),"Underlying")</f>
        <v>Underlying</v>
      </c>
      <c r="BM5" s="24" t="str">
        <f ca="1">IFERROR(__xludf.DUMMYFUNCTION("""COMPUTED_VALUE"""),"Exchange")</f>
        <v>Exchange</v>
      </c>
      <c r="BN5" s="24" t="str">
        <f ca="1">IFERROR(__xludf.DUMMYFUNCTION("""COMPUTED_VALUE"""),"Currency")</f>
        <v>Currency</v>
      </c>
      <c r="BO5" s="24" t="str">
        <f ca="1">IFERROR(__xludf.DUMMYFUNCTION("""COMPUTED_VALUE"""),"AUECID")</f>
        <v>AUECID</v>
      </c>
      <c r="BP5" s="24" t="str">
        <f ca="1">IFERROR(__xludf.DUMMYFUNCTION("""COMPUTED_VALUE"""),"Cum Qty For Sub Order")</f>
        <v>Cum Qty For Sub Order</v>
      </c>
      <c r="BQ5" s="24" t="str">
        <f ca="1">IFERROR(__xludf.DUMMYFUNCTION("""COMPUTED_VALUE"""),"Contract Multiplier")</f>
        <v>Contract Multiplier</v>
      </c>
      <c r="BR5" s="24" t="str">
        <f ca="1">IFERROR(__xludf.DUMMYFUNCTION("""COMPUTED_VALUE"""),"Company")</f>
        <v>Company</v>
      </c>
      <c r="BS5" s="24" t="str">
        <f ca="1">IFERROR(__xludf.DUMMYFUNCTION("""COMPUTED_VALUE"""),"Nirvana Process Date")</f>
        <v>Nirvana Process Date</v>
      </c>
      <c r="BT5" s="24" t="str">
        <f ca="1">IFERROR(__xludf.DUMMYFUNCTION("""COMPUTED_VALUE"""),"Process Date")</f>
        <v>Process Date</v>
      </c>
      <c r="BU5" s="24" t="str">
        <f ca="1">IFERROR(__xludf.DUMMYFUNCTION("""COMPUTED_VALUE"""),"Original Purchase Date")</f>
        <v>Original Purchase Date</v>
      </c>
      <c r="BV5" s="24" t="str">
        <f ca="1">IFERROR(__xludf.DUMMYFUNCTION("""COMPUTED_VALUE"""),"Closing Date")</f>
        <v>Closing Date</v>
      </c>
      <c r="BW5" s="24" t="str">
        <f ca="1">IFERROR(__xludf.DUMMYFUNCTION("""COMPUTED_VALUE"""),"Settlement Date")</f>
        <v>Settlement Date</v>
      </c>
      <c r="BX5" s="24" t="str">
        <f ca="1">IFERROR(__xludf.DUMMYFUNCTION("""COMPUTED_VALUE"""),"Expiration Date")</f>
        <v>Expiration Date</v>
      </c>
      <c r="BY5" s="24" t="str">
        <f ca="1">IFERROR(__xludf.DUMMYFUNCTION("""COMPUTED_VALUE"""),"Description")</f>
        <v>Description</v>
      </c>
      <c r="BZ5" s="24" t="str">
        <f ca="1">IFERROR(__xludf.DUMMYFUNCTION("""COMPUTED_VALUE"""),"Underlying Symbol")</f>
        <v>Underlying Symbol</v>
      </c>
      <c r="CA5" s="24" t="str">
        <f ca="1">IFERROR(__xludf.DUMMYFUNCTION("""COMPUTED_VALUE"""),"Accrued Interest")</f>
        <v>Accrued Interest</v>
      </c>
      <c r="CB5" s="24" t="str">
        <f ca="1">IFERROR(__xludf.DUMMYFUNCTION("""COMPUTED_VALUE"""),"Accrual Basis")</f>
        <v>Accrual Basis</v>
      </c>
      <c r="CC5" s="24" t="str">
        <f ca="1">IFERROR(__xludf.DUMMYFUNCTION("""COMPUTED_VALUE"""),"Bond Type")</f>
        <v>Bond Type</v>
      </c>
      <c r="CD5" s="24" t="str">
        <f ca="1">IFERROR(__xludf.DUMMYFUNCTION("""COMPUTED_VALUE"""),"Coupon Rate")</f>
        <v>Coupon Rate</v>
      </c>
      <c r="CE5" s="24" t="str">
        <f ca="1">IFERROR(__xludf.DUMMYFUNCTION("""COMPUTED_VALUE"""),"Delta")</f>
        <v>Delta</v>
      </c>
      <c r="CF5" s="24" t="str">
        <f ca="1">IFERROR(__xludf.DUMMYFUNCTION("""COMPUTED_VALUE"""),"Bloomberg")</f>
        <v>Bloomberg</v>
      </c>
      <c r="CG5" s="24" t="str">
        <f ca="1">IFERROR(__xludf.DUMMYFUNCTION("""COMPUTED_VALUE"""),"Sedol Symbol")</f>
        <v>Sedol Symbol</v>
      </c>
      <c r="CH5" s="24" t="str">
        <f ca="1">IFERROR(__xludf.DUMMYFUNCTION("""COMPUTED_VALUE"""),"Cusip Symbol")</f>
        <v>Cusip Symbol</v>
      </c>
      <c r="CI5" s="24" t="str">
        <f ca="1">IFERROR(__xludf.DUMMYFUNCTION("""COMPUTED_VALUE"""),"ISIN")</f>
        <v>ISIN</v>
      </c>
      <c r="CJ5" s="24" t="str">
        <f ca="1">IFERROR(__xludf.DUMMYFUNCTION("""COMPUTED_VALUE"""),"OSISSymbol")</f>
        <v>OSISSymbol</v>
      </c>
      <c r="CK5" s="24" t="str">
        <f ca="1">IFERROR(__xludf.DUMMYFUNCTION("""COMPUTED_VALUE"""),"IDCOSymbol")</f>
        <v>IDCOSymbol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IFERROR(__xludf.DUMMYFUNCTION("""COMPUTED_VALUE"""),"Internal Comments")</f>
        <v>Internal Comments</v>
      </c>
      <c r="CN5" s="24" t="str">
        <f ca="1">IFERROR(__xludf.DUMMYFUNCTION("""COMPUTED_VALUE"""),"Proxy Symbol")</f>
        <v>Proxy Symbol</v>
      </c>
      <c r="CO5" s="24" t="str">
        <f ca="1">IFERROR(__xludf.DUMMYFUNCTION("""COMPUTED_VALUE"""),"Transaction Source")</f>
        <v>Transaction Source</v>
      </c>
      <c r="CP5" s="24" t="str">
        <f ca="1">IFERROR(__xludf.DUMMYFUNCTION("""COMPUTED_VALUE"""),"Import File Name")</f>
        <v>Import File Name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IFERROR(__xludf.DUMMYFUNCTION("""COMPUTED_VALUE"""),"Client")</f>
        <v>Client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500</v>
      </c>
      <c r="E6" s="25"/>
      <c r="F6" s="5"/>
      <c r="G6" s="27"/>
      <c r="H6" s="27"/>
      <c r="I6" s="26"/>
      <c r="K6" s="26"/>
      <c r="L6" s="5"/>
      <c r="M6" s="5"/>
      <c r="N6" s="7"/>
      <c r="O6" s="7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1mOtszotVOdqHquQTLi-4CBnAUrtAF2MEABuvYJh_hzw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Percentage")</f>
        <v>Account Percentage</v>
      </c>
      <c r="D5" s="22" t="str">
        <f ca="1">IFERROR(__xludf.DUMMYFUNCTION("""COMPUTED_VALUE"""),"Account Quantity")</f>
        <v>Account Quantity</v>
      </c>
      <c r="E5" s="22" t="str">
        <f ca="1">IFERROR(__xludf.DUMMYFUNCTION("""COMPUTED_VALUE"""),"")</f>
        <v/>
      </c>
      <c r="F5" s="23" t="str">
        <f ca="1">IFERROR(__xludf.DUMMYFUNCTION("""COMPUTED_VALUE"""),"")</f>
        <v/>
      </c>
      <c r="G5" s="22" t="str">
        <f ca="1">IFERROR(__xludf.DUMMYFUNCTION("""COMPUTED_VALUE"""),"")</f>
        <v/>
      </c>
      <c r="H5" s="22" t="str">
        <f ca="1">IFERROR(__xludf.DUMMYFUNCTION("""COMPUTED_VALUE"""),"")</f>
        <v/>
      </c>
      <c r="I5" s="22" t="str">
        <f ca="1">IFERROR(__xludf.DUMMYFUNCTION("""COMPUTED_VALUE"""),"")</f>
        <v/>
      </c>
      <c r="J5" s="22" t="str">
        <f ca="1">IFERROR(__xludf.DUMMYFUNCTION("""COMPUTED_VALUE"""),"")</f>
        <v/>
      </c>
      <c r="K5" s="22" t="str">
        <f ca="1">IFERROR(__xludf.DUMMYFUNCTION("""COMPUTED_VALUE"""),"")</f>
        <v/>
      </c>
      <c r="L5" s="22" t="str">
        <f ca="1">IFERROR(__xludf.DUMMYFUNCTION("""COMPUTED_VALUE"""),"")</f>
        <v/>
      </c>
      <c r="M5" s="22" t="str">
        <f ca="1">IFERROR(__xludf.DUMMYFUNCTION("""COMPUTED_VALUE"""),"")</f>
        <v/>
      </c>
      <c r="N5" s="22" t="str">
        <f ca="1">IFERROR(__xludf.DUMMYFUNCTION("""COMPUTED_VALUE"""),"")</f>
        <v/>
      </c>
      <c r="O5" s="22" t="str">
        <f ca="1">IFERROR(__xludf.DUMMYFUNCTION("""COMPUTED_VALUE"""),"")</f>
        <v/>
      </c>
      <c r="P5" s="22" t="str">
        <f ca="1">IFERROR(__xludf.DUMMYFUNCTION("""COMPUTED_VALUE"""),"")</f>
        <v/>
      </c>
      <c r="Q5" s="22" t="str">
        <f ca="1">IFERROR(__xludf.DUMMYFUNCTION("""COMPUTED_VALUE"""),"")</f>
        <v/>
      </c>
      <c r="R5" s="22" t="str">
        <f ca="1">IFERROR(__xludf.DUMMYFUNCTION("""COMPUTED_VALUE"""),"")</f>
        <v/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41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A1" workbookViewId="0">
      <selection activeCell="BH9" sqref="BH9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20</v>
      </c>
      <c r="D6" s="7">
        <v>300</v>
      </c>
      <c r="E6" s="7" t="s">
        <v>41</v>
      </c>
      <c r="F6" s="7" t="s">
        <v>44</v>
      </c>
      <c r="G6" s="7">
        <v>541</v>
      </c>
      <c r="H6" s="7" t="s">
        <v>45</v>
      </c>
      <c r="I6" s="5"/>
      <c r="J6" s="5"/>
      <c r="K6" s="7">
        <v>0</v>
      </c>
      <c r="L6" s="5"/>
      <c r="M6" s="5"/>
      <c r="N6" s="28">
        <v>-162300</v>
      </c>
      <c r="O6" s="7" t="s">
        <v>46</v>
      </c>
      <c r="Q6" s="28">
        <v>-162300</v>
      </c>
      <c r="T6" s="6" t="s">
        <v>47</v>
      </c>
      <c r="U6" s="6" t="s">
        <v>48</v>
      </c>
      <c r="Y6" s="6">
        <v>1</v>
      </c>
      <c r="AD6" s="6">
        <v>0</v>
      </c>
      <c r="AE6" s="6">
        <v>0</v>
      </c>
      <c r="AF6" s="6">
        <v>300</v>
      </c>
      <c r="AG6" s="6">
        <v>0</v>
      </c>
      <c r="AH6" s="6">
        <v>0</v>
      </c>
      <c r="AI6" s="6">
        <v>0</v>
      </c>
      <c r="AJ6" s="6">
        <v>0</v>
      </c>
      <c r="AK6" s="28">
        <v>-162300</v>
      </c>
      <c r="AN6" s="6" t="s">
        <v>21</v>
      </c>
      <c r="AP6" s="6" t="s">
        <v>45</v>
      </c>
      <c r="AQ6" s="6" t="s">
        <v>20</v>
      </c>
      <c r="AW6" s="28">
        <v>-162300</v>
      </c>
      <c r="AY6" s="6">
        <v>0</v>
      </c>
      <c r="AZ6" s="6">
        <v>0</v>
      </c>
      <c r="BD6" s="28">
        <v>-162300</v>
      </c>
      <c r="BJ6" s="6">
        <v>0</v>
      </c>
      <c r="BK6" s="6">
        <v>0</v>
      </c>
      <c r="BL6" s="6">
        <v>0</v>
      </c>
      <c r="BM6" s="6">
        <v>0</v>
      </c>
      <c r="BO6" s="28">
        <v>-162300</v>
      </c>
      <c r="BR6" s="6" t="s">
        <v>23</v>
      </c>
      <c r="BX6" s="6">
        <v>0</v>
      </c>
      <c r="BY6" s="6">
        <v>0</v>
      </c>
      <c r="BZ6" s="6">
        <v>0</v>
      </c>
      <c r="CA6" s="6">
        <v>0</v>
      </c>
      <c r="CD6" s="28">
        <v>-162300</v>
      </c>
      <c r="CG6" s="28">
        <v>-162300</v>
      </c>
      <c r="CW6" s="6" t="s">
        <v>44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IFERROR(__xludf.DUMMYFUNCTION("""COMPUTED_VALUE"""),"Avg Fill Price (Base)")</f>
        <v>Avg Fill Price (Base)</v>
      </c>
      <c r="C5" s="22" t="str">
        <f ca="1">IFERROR(__xludf.DUMMYFUNCTION("""COMPUTED_VALUE"""),"Transaction Time")</f>
        <v>Transaction Time</v>
      </c>
      <c r="D5" s="22" t="str">
        <f ca="1">IFERROR(__xludf.DUMMYFUNCTION("""COMPUTED_VALUE"""),"Symbol")</f>
        <v>Symbol</v>
      </c>
      <c r="E5" s="22" t="str">
        <f ca="1">IFERROR(__xludf.DUMMYFUNCTION("""COMPUTED_VALUE"""),"Algo")</f>
        <v>Algo</v>
      </c>
      <c r="F5" s="23" t="str">
        <f ca="1">IFERROR(__xludf.DUMMYFUNCTION("""COMPUTED_VALUE"""),"Side")</f>
        <v>Side</v>
      </c>
      <c r="G5" s="22" t="str">
        <f ca="1">IFERROR(__xludf.DUMMYFUNCTION("""COMPUTED_VALUE"""),"Status")</f>
        <v>Status</v>
      </c>
      <c r="H5" s="22" t="str">
        <f ca="1">IFERROR(__xludf.DUMMYFUNCTION("""COMPUTED_VALUE"""),"Target Qty")</f>
        <v>Target Qty</v>
      </c>
      <c r="I5" s="22" t="str">
        <f ca="1">IFERROR(__xludf.DUMMYFUNCTION("""COMPUTED_VALUE"""),"Total Executed Qty")</f>
        <v>Total Executed Qty</v>
      </c>
      <c r="J5" s="22" t="str">
        <f ca="1">IFERROR(__xludf.DUMMYFUNCTION("""COMPUTED_VALUE"""),"% Executed")</f>
        <v>% Executed</v>
      </c>
      <c r="K5" s="22" t="str">
        <f ca="1">IFERROR(__xludf.DUMMYFUNCTION("""COMPUTED_VALUE"""),"Day Executed Qty")</f>
        <v>Day Executed Qty</v>
      </c>
      <c r="L5" s="22" t="str">
        <f ca="1">IFERROR(__xludf.DUMMYFUNCTION("""COMPUTED_VALUE"""),"Uncommitted Qty")</f>
        <v>Uncommitted Qty</v>
      </c>
      <c r="M5" s="22" t="str">
        <f ca="1">IFERROR(__xludf.DUMMYFUNCTION("""COMPUTED_VALUE"""),"Limit Price")</f>
        <v>Limit Price</v>
      </c>
      <c r="N5" s="22" t="str">
        <f ca="1">IFERROR(__xludf.DUMMYFUNCTION("""COMPUTED_VALUE"""),"Last Fill Price (Local)")</f>
        <v>Last Fill Price (Local)</v>
      </c>
      <c r="O5" s="22" t="str">
        <f ca="1">IFERROR(__xludf.DUMMYFUNCTION("""COMPUTED_VALUE"""),"Stop Price")</f>
        <v>Stop Price</v>
      </c>
      <c r="P5" s="22" t="str">
        <f ca="1">IFERROR(__xludf.DUMMYFUNCTION("""COMPUTED_VALUE"""),"Avg Fill Price (Local)")</f>
        <v>Avg Fill Price (Local)</v>
      </c>
      <c r="Q5" s="22" t="str">
        <f ca="1">IFERROR(__xludf.DUMMYFUNCTION("""COMPUTED_VALUE"""),"Broker")</f>
        <v>Broker</v>
      </c>
      <c r="R5" s="22" t="str">
        <f ca="1">IFERROR(__xludf.DUMMYFUNCTION("""COMPUTED_VALUE"""),"Account")</f>
        <v>Account</v>
      </c>
      <c r="S5" s="22" t="str">
        <f ca="1">IFERROR(__xludf.DUMMYFUNCTION("""COMPUTED_VALUE"""),"OrderID")</f>
        <v>OrderID</v>
      </c>
      <c r="T5" s="24" t="str">
        <f ca="1">IFERROR(__xludf.DUMMYFUNCTION("""COMPUTED_VALUE"""),"Order Type")</f>
        <v>Order Type</v>
      </c>
      <c r="U5" s="24" t="str">
        <f ca="1">IFERROR(__xludf.DUMMYFUNCTION("""COMPUTED_VALUE"""),"Principal Amount (Local)")</f>
        <v>Principal Amount (Local)</v>
      </c>
      <c r="V5" s="24" t="str">
        <f ca="1">IFERROR(__xludf.DUMMYFUNCTION("""COMPUTED_VALUE"""),"Principal Amount (Base)")</f>
        <v>Principal Amount (Base)</v>
      </c>
      <c r="W5" s="24" t="str">
        <f ca="1">IFERROR(__xludf.DUMMYFUNCTION("""COMPUTED_VALUE"""),"Peg")</f>
        <v>Peg</v>
      </c>
      <c r="X5" s="24" t="str">
        <f ca="1">IFERROR(__xludf.DUMMYFUNCTION("""COMPUTED_VALUE"""),"ParentClOrderID")</f>
        <v>ParentClOrderID</v>
      </c>
      <c r="Y5" s="24" t="str">
        <f ca="1">IFERROR(__xludf.DUMMYFUNCTION("""COMPUTED_VALUE"""),"Strike Price")</f>
        <v>Strike Price</v>
      </c>
      <c r="Z5" s="24" t="str">
        <f ca="1">IFERROR(__xludf.DUMMYFUNCTION("""COMPUTED_VALUE"""),"Last Shares")</f>
        <v>Last Shares</v>
      </c>
      <c r="AA5" s="24" t="str">
        <f ca="1">IFERROR(__xludf.DUMMYFUNCTION("""COMPUTED_VALUE"""),"Working Qty")</f>
        <v>Working Qty</v>
      </c>
      <c r="AB5" s="24" t="str">
        <f ca="1">IFERROR(__xludf.DUMMYFUNCTION("""COMPUTED_VALUE"""),"Bloomberg Symbol")</f>
        <v>Bloomberg Symbol</v>
      </c>
      <c r="AC5" s="24" t="str">
        <f ca="1">IFERROR(__xludf.DUMMYFUNCTION("""COMPUTED_VALUE"""),"Imported File Name")</f>
        <v>Imported File Name</v>
      </c>
      <c r="AD5" s="24" t="str">
        <f ca="1">IFERROR(__xludf.DUMMYFUNCTION("""COMPUTED_VALUE"""),"Master Fund")</f>
        <v>Master Fund</v>
      </c>
      <c r="AE5" s="24" t="str">
        <f ca="1">IFERROR(__xludf.DUMMYFUNCTION("""COMPUTED_VALUE"""),"Day Average Price")</f>
        <v>Day Average Price</v>
      </c>
      <c r="AF5" s="24" t="str">
        <f ca="1">IFERROR(__xludf.DUMMYFUNCTION("""COMPUTED_VALUE"""),"Asset Class")</f>
        <v>Asset Class</v>
      </c>
      <c r="AG5" s="24" t="str">
        <f ca="1">IFERROR(__xludf.DUMMYFUNCTION("""COMPUTED_VALUE"""),"Underlying Country")</f>
        <v>Underlying Country</v>
      </c>
      <c r="AH5" s="24" t="str">
        <f ca="1">IFERROR(__xludf.DUMMYFUNCTION("""COMPUTED_VALUE"""),"Trader")</f>
        <v>Trader</v>
      </c>
      <c r="AI5" s="24" t="str">
        <f ca="1">IFERROR(__xludf.DUMMYFUNCTION("""COMPUTED_VALUE"""),"User")</f>
        <v>User</v>
      </c>
      <c r="AJ5" s="24" t="str">
        <f ca="1">IFERROR(__xludf.DUMMYFUNCTION("""COMPUTED_VALUE"""),"Venue")</f>
        <v>Venue</v>
      </c>
      <c r="AK5" s="24" t="str">
        <f ca="1">IFERROR(__xludf.DUMMYFUNCTION("""COMPUTED_VALUE"""),"Settlement Currency")</f>
        <v>Settlement Currency</v>
      </c>
      <c r="AL5" s="24" t="str">
        <f ca="1">IFERROR(__xludf.DUMMYFUNCTION("""COMPUTED_VALUE"""),"FX Conversion Operator")</f>
        <v>FX Conversion Operator</v>
      </c>
      <c r="AM5" s="24" t="str">
        <f ca="1">IFERROR(__xludf.DUMMYFUNCTION("""COMPUTED_VALUE"""),"Process Date")</f>
        <v>Process Date</v>
      </c>
      <c r="AN5" s="24" t="str">
        <f ca="1">IFERROR(__xludf.DUMMYFUNCTION("""COMPUTED_VALUE"""),"Underlying Symbol")</f>
        <v>Underlying Symbol</v>
      </c>
      <c r="AO5" s="24" t="str">
        <f ca="1">IFERROR(__xludf.DUMMYFUNCTION("""COMPUTED_VALUE"""),"Put/Call")</f>
        <v>Put/Call</v>
      </c>
      <c r="AP5" s="24" t="str">
        <f ca="1">IFERROR(__xludf.DUMMYFUNCTION("""COMPUTED_VALUE"""),"FX Rate")</f>
        <v>FX Rate</v>
      </c>
      <c r="AQ5" s="24" t="str">
        <f ca="1">IFERROR(__xludf.DUMMYFUNCTION("""COMPUTED_VALUE"""),"Trade Attribute 1")</f>
        <v>Trade Attribute 1</v>
      </c>
      <c r="AR5" s="24" t="str">
        <f ca="1">IFERROR(__xludf.DUMMYFUNCTION("""COMPUTED_VALUE"""),"Trade Attribute 2")</f>
        <v>Trade Attribute 2</v>
      </c>
      <c r="AS5" s="24" t="str">
        <f ca="1">IFERROR(__xludf.DUMMYFUNCTION("""COMPUTED_VALUE"""),"Trade Attribute 3")</f>
        <v>Trade Attribute 3</v>
      </c>
      <c r="AT5" s="24" t="str">
        <f ca="1">IFERROR(__xludf.DUMMYFUNCTION("""COMPUTED_VALUE"""),"Trade Attribute 4")</f>
        <v>Trade Attribute 4</v>
      </c>
      <c r="AU5" s="24" t="str">
        <f ca="1">IFERROR(__xludf.DUMMYFUNCTION("""COMPUTED_VALUE"""),"Trade Attribute 5")</f>
        <v>Trade Attribute 5</v>
      </c>
      <c r="AV5" s="24" t="str">
        <f ca="1">IFERROR(__xludf.DUMMYFUNCTION("""COMPUTED_VALUE"""),"Trade Attribute 6")</f>
        <v>Trade Attribute 6</v>
      </c>
      <c r="AW5" s="24" t="str">
        <f ca="1">IFERROR(__xludf.DUMMYFUNCTION("""COMPUTED_VALUE"""),"Internal Comments")</f>
        <v>Internal Comments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 t="s">
        <v>20</v>
      </c>
      <c r="E6" s="25"/>
      <c r="F6" s="7" t="s">
        <v>21</v>
      </c>
      <c r="G6" s="5"/>
      <c r="H6" s="5"/>
      <c r="I6" s="5"/>
      <c r="J6" s="5"/>
      <c r="K6" s="5"/>
      <c r="L6" s="5"/>
      <c r="M6" s="5"/>
      <c r="N6" s="5"/>
      <c r="O6" s="5"/>
      <c r="Q6" s="6" t="s">
        <v>23</v>
      </c>
      <c r="T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2")</f>
        <v>Trade Attribute 2</v>
      </c>
      <c r="R5" s="22" t="str">
        <f ca="1">IFERROR(__xludf.DUMMYFUNCTION("""COMPUTED_VALUE"""),"Trade Attribute 1")</f>
        <v>Trade Attribute 1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IFERROR(__xludf.DUMMYFUNCTION("""COMPUTED_VALUE"""),"Quantity")</f>
        <v>Quantity</v>
      </c>
      <c r="AM5" s="24" t="str">
        <f ca="1">IFERROR(__xludf.DUMMYFUNCTION("""COMPUTED_VALUE"""),"Executed Qty")</f>
        <v>Executed Qty</v>
      </c>
      <c r="AN5" s="24" t="str">
        <f ca="1">IFERROR(__xludf.DUMMYFUNCTION("""COMPUTED_VALUE"""),"Day Executed Qty")</f>
        <v>Day Executed Qty</v>
      </c>
      <c r="AO5" s="24" t="str">
        <f ca="1">IFERROR(__xludf.DUMMYFUNCTION("""COMPUTED_VALUE"""),"Last Fill Price (Local)")</f>
        <v>Last Fill Price (Local)</v>
      </c>
      <c r="AP5" s="24" t="str">
        <f ca="1">IFERROR(__xludf.DUMMYFUNCTION("""COMPUTED_VALUE"""),"Avg Fill Price (Local)")</f>
        <v>Avg Fill Price (Local)</v>
      </c>
      <c r="AQ5" s="24" t="str">
        <f ca="1">IFERROR(__xludf.DUMMYFUNCTION("""COMPUTED_VALUE"""),"Broker")</f>
        <v>Broker</v>
      </c>
      <c r="AR5" s="24" t="str">
        <f ca="1">IFERROR(__xludf.DUMMYFUNCTION("""COMPUTED_VALUE"""),"Account")</f>
        <v>Account</v>
      </c>
      <c r="AS5" s="24" t="str">
        <f ca="1">IFERROR(__xludf.DUMMYFUNCTION("""COMPUTED_VALUE"""),"Order Type")</f>
        <v>Order Type</v>
      </c>
      <c r="AT5" s="24" t="str">
        <f ca="1">IFERROR(__xludf.DUMMYFUNCTION("""COMPUTED_VALUE"""),"Principal Amount (Local)")</f>
        <v>Principal Amount (Local)</v>
      </c>
      <c r="AU5" s="24" t="str">
        <f ca="1">IFERROR(__xludf.DUMMYFUNCTION("""COMPUTED_VALUE"""),"Principal Amount (Base)")</f>
        <v>Principal Amount (Base)</v>
      </c>
      <c r="AV5" s="24" t="str">
        <f ca="1">IFERROR(__xludf.DUMMYFUNCTION("""COMPUTED_VALUE"""),"Allocation Scheme Name")</f>
        <v>Allocation Scheme Name</v>
      </c>
      <c r="AW5" s="24" t="str">
        <f ca="1">IFERROR(__xludf.DUMMYFUNCTION("""COMPUTED_VALUE"""),"Status (With Rollover)")</f>
        <v>Status (With Rollover)</v>
      </c>
      <c r="AX5" s="24" t="str">
        <f ca="1">IFERROR(__xludf.DUMMYFUNCTION("""COMPUTED_VALUE"""),"Unexecuted Qty")</f>
        <v>Unexecuted Qty</v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7"/>
      <c r="N6" s="5"/>
      <c r="O6" s="5"/>
      <c r="AD6" s="6">
        <v>1</v>
      </c>
      <c r="AI6" s="6" t="s">
        <v>20</v>
      </c>
      <c r="AJ6" s="6" t="s">
        <v>21</v>
      </c>
      <c r="AK6" s="6" t="s">
        <v>30</v>
      </c>
      <c r="AL6" s="6">
        <v>500</v>
      </c>
      <c r="AM6" s="6">
        <v>300</v>
      </c>
      <c r="AO6" s="6">
        <v>23</v>
      </c>
      <c r="AP6" s="6">
        <v>541</v>
      </c>
      <c r="AQ6" s="6" t="s">
        <v>23</v>
      </c>
      <c r="AR6" s="6" t="s">
        <v>41</v>
      </c>
      <c r="AS6" s="6" t="s">
        <v>24</v>
      </c>
      <c r="AT6" s="26">
        <v>162300</v>
      </c>
      <c r="AU6" s="26">
        <v>162300</v>
      </c>
      <c r="AX6" s="6">
        <v>200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1")</f>
        <v>Trade Attribute 1</v>
      </c>
      <c r="N5" s="22" t="str">
        <f ca="1">IFERROR(__xludf.DUMMYFUNCTION("""COMPUTED_VALUE"""),"Trade Attribute 2")</f>
        <v>Trade Attribute 2</v>
      </c>
      <c r="O5" s="22" t="str">
        <f ca="1">IFERROR(__xludf.DUMMYFUNCTION("""COMPUTED_VALUE"""),"Trade Attribute 3")</f>
        <v>Trade Attribute 3</v>
      </c>
      <c r="P5" s="22" t="str">
        <f ca="1">IFERROR(__xludf.DUMMYFUNCTION("""COMPUTED_VALUE"""),"Trade Attribute 4")</f>
        <v>Trade Attribute 4</v>
      </c>
      <c r="Q5" s="22" t="str">
        <f ca="1">IFERROR(__xludf.DUMMYFUNCTION("""COMPUTED_VALUE"""),"Trade Attribute 5")</f>
        <v>Trade Attribute 5</v>
      </c>
      <c r="R5" s="22" t="str">
        <f ca="1">IFERROR(__xludf.DUMMYFUNCTION("""COMPUTED_VALUE"""),"Trade Attribute 6")</f>
        <v>Trade Attribute 6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FxRate Operator")</f>
        <v>Settlement FxRate Operator</v>
      </c>
      <c r="V5" s="24" t="str">
        <f ca="1">IFERROR(__xludf.DUMMYFUNCTION("""COMPUTED_VALUE"""),"Settlement Currency")</f>
        <v>Settlement Currency</v>
      </c>
      <c r="W5" s="24" t="str">
        <f ca="1">IFERROR(__xludf.DUMMYFUNCTION("""COMPUTED_VALUE"""),"Put/Call")</f>
        <v>Put/Call</v>
      </c>
      <c r="X5" s="24" t="str">
        <f ca="1">IFERROR(__xludf.DUMMYFUNCTION("""COMPUTED_VALUE"""),"Process Date")</f>
        <v>Process Date</v>
      </c>
      <c r="Y5" s="24" t="str">
        <f ca="1">IFERROR(__xludf.DUMMYFUNCTION("""COMPUTED_VALUE"""),"Peg")</f>
        <v>Peg</v>
      </c>
      <c r="Z5" s="24" t="str">
        <f ca="1">IFERROR(__xludf.DUMMYFUNCTION("""COMPUTED_VALUE"""),"ParentClOrderID")</f>
        <v>ParentClOrderID</v>
      </c>
      <c r="AA5" s="24" t="str">
        <f ca="1">IFERROR(__xludf.DUMMYFUNCTION("""COMPUTED_VALUE"""),"OrderID")</f>
        <v>OrderID</v>
      </c>
      <c r="AB5" s="24" t="str">
        <f ca="1">IFERROR(__xludf.DUMMYFUNCTION("""COMPUTED_VALUE"""),"Master Fund")</f>
        <v>Master Fund</v>
      </c>
      <c r="AC5" s="24" t="str">
        <f ca="1">IFERROR(__xludf.DUMMYFUNCTION("""COMPUTED_VALUE"""),"Last Shares")</f>
        <v>Last Shares</v>
      </c>
      <c r="AD5" s="24" t="str">
        <f ca="1">IFERROR(__xludf.DUMMYFUNCTION("""COMPUTED_VALUE"""),"Internal Comments")</f>
        <v>Internal Comments</v>
      </c>
      <c r="AE5" s="24" t="str">
        <f ca="1">IFERROR(__xludf.DUMMYFUNCTION("""COMPUTED_VALUE"""),"FX Rate")</f>
        <v>FX Rate</v>
      </c>
      <c r="AF5" s="24" t="str">
        <f ca="1">IFERROR(__xludf.DUMMYFUNCTION("""COMPUTED_VALUE"""),"Imported File Name")</f>
        <v>Imported File Name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IFERROR(__xludf.DUMMYFUNCTION("""COMPUTED_VALUE"""),"Day Average Price")</f>
        <v>Day Average Price</v>
      </c>
      <c r="AI5" s="24" t="str">
        <f ca="1">IFERROR(__xludf.DUMMYFUNCTION("""COMPUTED_VALUE"""),"Asset Class")</f>
        <v>Asset Class</v>
      </c>
      <c r="AJ5" s="24" t="str">
        <f ca="1">IFERROR(__xludf.DUMMYFUNCTION("""COMPUTED_VALUE"""),"Symbol")</f>
        <v>Symbol</v>
      </c>
      <c r="AK5" s="24" t="str">
        <f ca="1">IFERROR(__xludf.DUMMYFUNCTION("""COMPUTED_VALUE"""),"Side")</f>
        <v>Side</v>
      </c>
      <c r="AL5" s="24" t="str">
        <f ca="1">IFERROR(__xludf.DUMMYFUNCTION("""COMPUTED_VALUE"""),"Status")</f>
        <v>Status</v>
      </c>
      <c r="AM5" s="24" t="str">
        <f ca="1">IFERROR(__xludf.DUMMYFUNCTION("""COMPUTED_VALUE"""),"Quantity")</f>
        <v>Quantity</v>
      </c>
      <c r="AN5" s="24" t="str">
        <f ca="1">IFERROR(__xludf.DUMMYFUNCTION("""COMPUTED_VALUE"""),"Executed Qty")</f>
        <v>Executed Qty</v>
      </c>
      <c r="AO5" s="24" t="str">
        <f ca="1">IFERROR(__xludf.DUMMYFUNCTION("""COMPUTED_VALUE"""),"% Executed")</f>
        <v>% Executed</v>
      </c>
      <c r="AP5" s="24" t="str">
        <f ca="1">IFERROR(__xludf.DUMMYFUNCTION("""COMPUTED_VALUE"""),"Day Executed Qty")</f>
        <v>Day Executed Qty</v>
      </c>
      <c r="AQ5" s="24" t="str">
        <f ca="1">IFERROR(__xludf.DUMMYFUNCTION("""COMPUTED_VALUE"""),"Remaining Qty")</f>
        <v>Remaining Qty</v>
      </c>
      <c r="AR5" s="24" t="str">
        <f ca="1">IFERROR(__xludf.DUMMYFUNCTION("""COMPUTED_VALUE"""),"Last Fill Price (Local)")</f>
        <v>Last Fill Price (Local)</v>
      </c>
      <c r="AS5" s="24" t="str">
        <f ca="1">IFERROR(__xludf.DUMMYFUNCTION("""COMPUTED_VALUE"""),"Avg Fill Price (Local)")</f>
        <v>Avg Fill Price (Local)</v>
      </c>
      <c r="AT5" s="24" t="str">
        <f ca="1">IFERROR(__xludf.DUMMYFUNCTION("""COMPUTED_VALUE"""),"Broker")</f>
        <v>Broker</v>
      </c>
      <c r="AU5" s="24" t="str">
        <f ca="1">IFERROR(__xludf.DUMMYFUNCTION("""COMPUTED_VALUE"""),"Account")</f>
        <v>Account</v>
      </c>
      <c r="AV5" s="24" t="str">
        <f ca="1">IFERROR(__xludf.DUMMYFUNCTION("""COMPUTED_VALUE"""),"Order Type")</f>
        <v>Order Type</v>
      </c>
      <c r="AW5" s="24" t="str">
        <f ca="1">IFERROR(__xludf.DUMMYFUNCTION("""COMPUTED_VALUE"""),"Principal Amount (Local)")</f>
        <v>Principal Amount (Local)</v>
      </c>
      <c r="AX5" s="24" t="str">
        <f ca="1">IFERROR(__xludf.DUMMYFUNCTION("""COMPUTED_VALUE"""),"Principal Amount (Base)")</f>
        <v>Principal Amount (Base)</v>
      </c>
      <c r="AY5" s="24" t="str">
        <f ca="1">IFERROR(__xludf.DUMMYFUNCTION("""COMPUTED_VALUE"""),"Settlement FxRate")</f>
        <v>Settlement FxRate</v>
      </c>
      <c r="AZ5" s="24" t="str">
        <f ca="1">IFERROR(__xludf.DUMMYFUNCTION("""COMPUTED_VALUE"""),"Settlement Price")</f>
        <v>Settlement Price</v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541</v>
      </c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  <c r="AE6" s="6">
        <v>1</v>
      </c>
      <c r="AJ6" s="6" t="s">
        <v>20</v>
      </c>
      <c r="AK6" s="6" t="s">
        <v>21</v>
      </c>
      <c r="AL6" s="6" t="s">
        <v>30</v>
      </c>
      <c r="AM6" s="6">
        <v>500</v>
      </c>
      <c r="AN6" s="6">
        <v>300</v>
      </c>
      <c r="AR6" s="6">
        <v>23</v>
      </c>
      <c r="AS6" s="6">
        <v>541</v>
      </c>
      <c r="AT6" s="6" t="s">
        <v>23</v>
      </c>
      <c r="AU6" s="6" t="s">
        <v>41</v>
      </c>
      <c r="AV6" s="6" t="s">
        <v>24</v>
      </c>
      <c r="AW6" s="26">
        <v>162300</v>
      </c>
      <c r="AX6" s="26">
        <v>162300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16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IFERROR(__xludf.DUMMYFUNCTION("""COMPUTED_VALUE"""),"")</f>
        <v/>
      </c>
      <c r="U4" s="20" t="str">
        <f ca="1">IFERROR(__xludf.DUMMYFUNCTION("""COMPUTED_VALUE"""),"")</f>
        <v/>
      </c>
      <c r="V4" s="20" t="str">
        <f ca="1">IFERROR(__xludf.DUMMYFUNCTION("""COMPUTED_VALUE"""),"")</f>
        <v/>
      </c>
      <c r="W4" s="20" t="str">
        <f ca="1">IFERROR(__xludf.DUMMYFUNCTION("""COMPUTED_VALUE"""),"")</f>
        <v/>
      </c>
      <c r="X4" s="20" t="str">
        <f ca="1">IFERROR(__xludf.DUMMYFUNCTION("""COMPUTED_VALUE"""),"")</f>
        <v/>
      </c>
      <c r="Y4" s="20" t="str">
        <f ca="1">IFERROR(__xludf.DUMMYFUNCTION("""COMPUTED_VALUE"""),"")</f>
        <v/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IFERROR(__xludf.DUMMYFUNCTION("""COMPUTED_VALUE"""),"MasterFund")</f>
        <v>MasterFund</v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350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350</v>
      </c>
      <c r="E6" s="7">
        <v>300</v>
      </c>
      <c r="F6" s="7">
        <v>50</v>
      </c>
      <c r="G6" s="7" t="s">
        <v>53</v>
      </c>
      <c r="H6" s="5"/>
      <c r="I6" s="5"/>
      <c r="J6" s="7">
        <v>541</v>
      </c>
      <c r="K6" s="7" t="s">
        <v>23</v>
      </c>
      <c r="L6" s="7" t="s">
        <v>41</v>
      </c>
      <c r="M6" s="7" t="s">
        <v>24</v>
      </c>
      <c r="N6" s="5"/>
      <c r="O6" s="7">
        <v>541</v>
      </c>
      <c r="Y6" s="6">
        <v>1</v>
      </c>
      <c r="AC6" s="26">
        <v>162300</v>
      </c>
      <c r="AD6" s="26">
        <v>162300</v>
      </c>
      <c r="AQ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 t="str">
        <f ca="1">IFERROR(__xludf.DUMMYFUNCTION("""COMPUTED_VALUE"""),"")</f>
        <v/>
      </c>
      <c r="T5" s="24" t="str">
        <f ca="1">IFERROR(__xludf.DUMMYFUNCTION("""COMPUTED_VALUE"""),"")</f>
        <v/>
      </c>
      <c r="U5" s="24" t="str">
        <f ca="1">IFERROR(__xludf.DUMMYFUNCTION("""COMPUTED_VALUE"""),"")</f>
        <v/>
      </c>
      <c r="V5" s="24" t="str">
        <f ca="1">IFERROR(__xludf.DUMMYFUNCTION("""COMPUTED_VALUE"""),"")</f>
        <v/>
      </c>
      <c r="W5" s="24" t="str">
        <f ca="1">IFERROR(__xludf.DUMMYFUNCTION("""COMPUTED_VALUE"""),"")</f>
        <v/>
      </c>
      <c r="X5" s="24" t="str">
        <f ca="1">IFERROR(__xludf.DUMMYFUNCTION("""COMPUTED_VALUE"""),"")</f>
        <v/>
      </c>
      <c r="Y5" s="24" t="str">
        <f ca="1">IFERROR(__xludf.DUMMYFUNCTION("""COMPUTED_VALUE"""),"")</f>
        <v/>
      </c>
      <c r="Z5" s="24" t="str">
        <f ca="1">IFERROR(__xludf.DUMMYFUNCTION("""COMPUTED_VALUE"""),"")</f>
        <v/>
      </c>
      <c r="AA5" s="24" t="str">
        <f ca="1">IFERROR(__xludf.DUMMYFUNCTION("""COMPUTED_VALUE"""),"")</f>
        <v/>
      </c>
      <c r="AB5" s="24" t="str">
        <f ca="1">IFERROR(__xludf.DUMMYFUNCTION("""COMPUTED_VALUE"""),"")</f>
        <v/>
      </c>
      <c r="AC5" s="24" t="str">
        <f ca="1">IFERROR(__xludf.DUMMYFUNCTION("""COMPUTED_VALUE"""),"")</f>
        <v/>
      </c>
      <c r="AD5" s="24" t="str">
        <f ca="1">IFERROR(__xludf.DUMMYFUNCTION("""COMPUTED_VALUE"""),"")</f>
        <v/>
      </c>
      <c r="AE5" s="24" t="str">
        <f ca="1">IFERROR(__xludf.DUMMYFUNCTION("""COMPUTED_VALUE"""),"")</f>
        <v/>
      </c>
      <c r="AF5" s="24" t="str">
        <f ca="1">IFERROR(__xludf.DUMMYFUNCTION("""COMPUTED_VALUE"""),"")</f>
        <v/>
      </c>
      <c r="AG5" s="24" t="str">
        <f ca="1">IFERROR(__xludf.DUMMYFUNCTION("""COMPUTED_VALUE"""),"")</f>
        <v/>
      </c>
      <c r="AH5" s="24" t="str">
        <f ca="1">IFERROR(__xludf.DUMMYFUNCTION("""COMPUTED_VALUE"""),"")</f>
        <v/>
      </c>
      <c r="AI5" s="24" t="str">
        <f ca="1">IFERROR(__xludf.DUMMYFUNCTION("""COMPUTED_VALUE"""),"")</f>
        <v/>
      </c>
      <c r="AJ5" s="24" t="str">
        <f ca="1">IFERROR(__xludf.DUMMYFUNCTION("""COMPUTED_VALUE"""),"")</f>
        <v/>
      </c>
      <c r="AK5" s="24" t="str">
        <f ca="1">IFERROR(__xludf.DUMMYFUNCTION("""COMPUTED_VALUE"""),"")</f>
        <v/>
      </c>
      <c r="AL5" s="24" t="str">
        <f ca="1">IFERROR(__xludf.DUMMYFUNCTION("""COMPUTED_VALUE"""),"")</f>
        <v/>
      </c>
      <c r="AM5" s="24" t="str">
        <f ca="1">IFERROR(__xludf.DUMMYFUNCTION("""COMPUTED_VALUE"""),"")</f>
        <v/>
      </c>
      <c r="AN5" s="24" t="str">
        <f ca="1">IFERROR(__xludf.DUMMYFUNCTION("""COMPUTED_VALUE"""),"")</f>
        <v/>
      </c>
      <c r="AO5" s="24" t="str">
        <f ca="1">IFERROR(__xludf.DUMMYFUNCTION("""COMPUTED_VALUE"""),"")</f>
        <v/>
      </c>
      <c r="AP5" s="24" t="str">
        <f ca="1">IFERROR(__xludf.DUMMYFUNCTION("""COMPUTED_VALUE"""),"")</f>
        <v/>
      </c>
      <c r="AQ5" s="24" t="str">
        <f ca="1">IFERROR(__xludf.DUMMYFUNCTION("""COMPUTED_VALUE"""),"")</f>
        <v/>
      </c>
      <c r="AR5" s="24" t="str">
        <f ca="1">IFERROR(__xludf.DUMMYFUNCTION("""COMPUTED_VALUE"""),"")</f>
        <v/>
      </c>
      <c r="AS5" s="24" t="str">
        <f ca="1">IFERROR(__xludf.DUMMYFUNCTION("""COMPUTED_VALUE"""),"")</f>
        <v/>
      </c>
      <c r="AT5" s="24" t="str">
        <f ca="1">IFERROR(__xludf.DUMMYFUNCTION("""COMPUTED_VALUE"""),"")</f>
        <v/>
      </c>
      <c r="AU5" s="24" t="str">
        <f ca="1">IFERROR(__xludf.DUMMYFUNCTION("""COMPUTED_VALUE"""),"")</f>
        <v/>
      </c>
      <c r="AV5" s="24" t="str">
        <f ca="1">IFERROR(__xludf.DUMMYFUNCTION("""COMPUTED_VALUE"""),"")</f>
        <v/>
      </c>
      <c r="AW5" s="24" t="str">
        <f ca="1">IFERROR(__xludf.DUMMYFUNCTION("""COMPUTED_VALUE"""),"")</f>
        <v/>
      </c>
      <c r="AX5" s="24" t="str">
        <f ca="1">IFERROR(__xludf.DUMMYFUNCTION("""COMPUTED_VALUE"""),"")</f>
        <v/>
      </c>
      <c r="AY5" s="24" t="str">
        <f ca="1">IFERROR(__xludf.DUMMYFUNCTION("""COMPUTED_VALUE"""),"")</f>
        <v/>
      </c>
      <c r="AZ5" s="24" t="str">
        <f ca="1">IFERROR(__xludf.DUMMYFUNCTION("""COMPUTED_VALUE"""),"")</f>
        <v/>
      </c>
      <c r="BA5" s="24" t="str">
        <f ca="1">IFERROR(__xludf.DUMMYFUNCTION("""COMPUTED_VALUE"""),"")</f>
        <v/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35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41</v>
      </c>
      <c r="C6" s="5"/>
      <c r="D6" s="7">
        <v>0</v>
      </c>
      <c r="E6" s="7">
        <v>300</v>
      </c>
      <c r="F6" s="5"/>
      <c r="G6" s="5"/>
      <c r="H6" s="7">
        <v>4</v>
      </c>
      <c r="I6" s="7">
        <v>5</v>
      </c>
      <c r="J6" s="5"/>
      <c r="K6" s="7">
        <v>541</v>
      </c>
      <c r="L6" s="7">
        <v>541</v>
      </c>
      <c r="M6" s="5"/>
      <c r="N6" s="5"/>
      <c r="O6" s="7" t="s">
        <v>23</v>
      </c>
      <c r="R6" s="6">
        <v>0</v>
      </c>
      <c r="S6" s="6" t="s">
        <v>37</v>
      </c>
      <c r="T6" s="6">
        <v>0</v>
      </c>
      <c r="U6" s="6">
        <v>0</v>
      </c>
      <c r="AE6" s="6">
        <v>300</v>
      </c>
      <c r="AI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E6" s="26">
        <v>162300</v>
      </c>
      <c r="BF6" s="26">
        <v>162300</v>
      </c>
      <c r="BJ6" s="6">
        <v>350</v>
      </c>
      <c r="BO6" s="6" t="s">
        <v>21</v>
      </c>
      <c r="BT6" s="6" t="s">
        <v>20</v>
      </c>
      <c r="CD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IFERROR(__xludf.DUMMYFUNCTION("""COMPUTED_VALUE"""),"Quantity")</f>
        <v>Quantity</v>
      </c>
      <c r="D5" s="22" t="str">
        <f ca="1">IFERROR(__xludf.DUMMYFUNCTION("""COMPUTED_VALUE"""),"Trade Date")</f>
        <v>Trade Date</v>
      </c>
      <c r="E5" s="22" t="str">
        <f ca="1">IFERROR(__xludf.DUMMYFUNCTION("""COMPUTED_VALUE"""),"Account Name")</f>
        <v>Account Name</v>
      </c>
      <c r="F5" s="23" t="str">
        <f ca="1">IFERROR(__xludf.DUMMYFUNCTION("""COMPUTED_VALUE"""),"Side")</f>
        <v>Side</v>
      </c>
      <c r="G5" s="22" t="str">
        <f ca="1">IFERROR(__xludf.DUMMYFUNCTION("""COMPUTED_VALUE"""),"Group Status")</f>
        <v>Group Status</v>
      </c>
      <c r="H5" s="22" t="str">
        <f ca="1">IFERROR(__xludf.DUMMYFUNCTION("""COMPUTED_VALUE"""),"Avg Price( Base)")</f>
        <v>Avg Price( Base)</v>
      </c>
      <c r="I5" s="22" t="str">
        <f ca="1">IFERROR(__xludf.DUMMYFUNCTION("""COMPUTED_VALUE"""),"Execution Time")</f>
        <v>Execution Time</v>
      </c>
      <c r="J5" s="22" t="str">
        <f ca="1">IFERROR(__xludf.DUMMYFUNCTION("""COMPUTED_VALUE"""),"Trade Attribute 1")</f>
        <v>Trade Attribute 1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IFERROR(__xludf.DUMMYFUNCTION("""COMPUTED_VALUE"""),"Trade Attribute 2")</f>
        <v>Trade Attribute 2</v>
      </c>
      <c r="M5" s="22" t="str">
        <f ca="1">IFERROR(__xludf.DUMMYFUNCTION("""COMPUTED_VALUE"""),"Accrued Interest")</f>
        <v>Accrued Interest</v>
      </c>
      <c r="N5" s="22" t="str">
        <f ca="1">IFERROR(__xludf.DUMMYFUNCTION("""COMPUTED_VALUE"""),"Commission")</f>
        <v>Commission</v>
      </c>
      <c r="O5" s="22" t="str">
        <f ca="1">IFERROR(__xludf.DUMMYFUNCTION("""COMPUTED_VALUE"""),"Soft Commission")</f>
        <v>Soft Commission</v>
      </c>
      <c r="P5" s="22" t="str">
        <f ca="1">IFERROR(__xludf.DUMMYFUNCTION("""COMPUTED_VALUE"""),"Broker")</f>
        <v>Broker</v>
      </c>
      <c r="Q5" s="22" t="str">
        <f ca="1">IFERROR(__xludf.DUMMYFUNCTION("""COMPUTED_VALUE"""),"Transaction Type")</f>
        <v>Transaction Type</v>
      </c>
      <c r="R5" s="22" t="str">
        <f ca="1">IFERROR(__xludf.DUMMYFUNCTION("""COMPUTED_VALUE"""),"AUEC Fee1")</f>
        <v>AUEC Fee1</v>
      </c>
      <c r="S5" s="22" t="str">
        <f ca="1">IFERROR(__xludf.DUMMYFUNCTION("""COMPUTED_VALUE"""),"AUEC Fee2")</f>
        <v>AUEC Fee2</v>
      </c>
      <c r="T5" s="24" t="str">
        <f ca="1">IFERROR(__xludf.DUMMYFUNCTION("""COMPUTED_VALUE"""),"Clearing Broker Fee")</f>
        <v>Clearing Broker Fee</v>
      </c>
      <c r="U5" s="24" t="str">
        <f ca="1">IFERROR(__xludf.DUMMYFUNCTION("""COMPUTED_VALUE"""),"Other Broker Fees")</f>
        <v>Other Broker Fees</v>
      </c>
      <c r="V5" s="24" t="str">
        <f ca="1">IFERROR(__xludf.DUMMYFUNCTION("""COMPUTED_VALUE"""),"OCC Fee")</f>
        <v>OCC Fee</v>
      </c>
      <c r="W5" s="24" t="str">
        <f ca="1">IFERROR(__xludf.DUMMYFUNCTION("""COMPUTED_VALUE"""),"SEC Fee")</f>
        <v>SEC Fee</v>
      </c>
      <c r="X5" s="24" t="str">
        <f ca="1">IFERROR(__xludf.DUMMYFUNCTION("""COMPUTED_VALUE"""),"ORF Fee")</f>
        <v>ORF Fee</v>
      </c>
      <c r="Y5" s="24" t="str">
        <f ca="1">IFERROR(__xludf.DUMMYFUNCTION("""COMPUTED_VALUE"""),"IsPreAllocated")</f>
        <v>IsPreAllocated</v>
      </c>
      <c r="Z5" s="24" t="str">
        <f ca="1">IFERROR(__xludf.DUMMYFUNCTION("""COMPUTED_VALUE"""),"Stamp Duty")</f>
        <v>Stamp Duty</v>
      </c>
      <c r="AA5" s="24" t="str">
        <f ca="1">IFERROR(__xludf.DUMMYFUNCTION("""COMPUTED_VALUE"""),"IsManual Group")</f>
        <v>IsManual Group</v>
      </c>
      <c r="AB5" s="24" t="str">
        <f ca="1">IFERROR(__xludf.DUMMYFUNCTION("""COMPUTED_VALUE"""),"Tax On Commissions")</f>
        <v>Tax On Commissions</v>
      </c>
      <c r="AC5" s="24" t="str">
        <f ca="1">IFERROR(__xludf.DUMMYFUNCTION("""COMPUTED_VALUE"""),"IsAnotherTaxlotAttributesUpdated")</f>
        <v>IsAnotherTaxlotAttributesUpdated</v>
      </c>
      <c r="AD5" s="24" t="str">
        <f ca="1">IFERROR(__xludf.DUMMYFUNCTION("""COMPUTED_VALUE"""),"ISNDF")</f>
        <v>ISNDF</v>
      </c>
      <c r="AE5" s="24" t="str">
        <f ca="1">IFERROR(__xludf.DUMMYFUNCTION("""COMPUTED_VALUE"""),"Transaction Levy")</f>
        <v>Transaction Levy</v>
      </c>
      <c r="AF5" s="24" t="str">
        <f ca="1">IFERROR(__xludf.DUMMYFUNCTION("""COMPUTED_VALUE"""),"Description")</f>
        <v>Description</v>
      </c>
      <c r="AG5" s="24" t="str">
        <f ca="1">IFERROR(__xludf.DUMMYFUNCTION("""COMPUTED_VALUE"""),"GroupID")</f>
        <v>GroupID</v>
      </c>
      <c r="AH5" s="24" t="str">
        <f ca="1">IFERROR(__xludf.DUMMYFUNCTION("""COMPUTED_VALUE"""),"Internal Comments")</f>
        <v>Internal Comments</v>
      </c>
      <c r="AI5" s="24" t="str">
        <f ca="1">IFERROR(__xludf.DUMMYFUNCTION("""COMPUTED_VALUE"""),"M2MProfitLoss")</f>
        <v>M2MProfitLoss</v>
      </c>
      <c r="AJ5" s="24" t="str">
        <f ca="1">IFERROR(__xludf.DUMMYFUNCTION("""COMPUTED_VALUE"""),"FX Rate")</f>
        <v>FX Rate</v>
      </c>
      <c r="AK5" s="24" t="str">
        <f ca="1">IFERROR(__xludf.DUMMYFUNCTION("""COMPUTED_VALUE"""),"FX Conversion Operator")</f>
        <v>FX Conversion Operator</v>
      </c>
      <c r="AL5" s="24" t="str">
        <f ca="1">IFERROR(__xludf.DUMMYFUNCTION("""COMPUTED_VALUE"""),"Trade Attribute 3")</f>
        <v>Trade Attribute 3</v>
      </c>
      <c r="AM5" s="24" t="str">
        <f ca="1">IFERROR(__xludf.DUMMYFUNCTION("""COMPUTED_VALUE"""),"Trade Attribute 4")</f>
        <v>Trade Attribute 4</v>
      </c>
      <c r="AN5" s="24" t="str">
        <f ca="1">IFERROR(__xludf.DUMMYFUNCTION("""COMPUTED_VALUE"""),"Trade Attribute 5")</f>
        <v>Trade Attribute 5</v>
      </c>
      <c r="AO5" s="24" t="str">
        <f ca="1">IFERROR(__xludf.DUMMYFUNCTION("""COMPUTED_VALUE"""),"Trade Attribute 6")</f>
        <v>Trade Attribute 6</v>
      </c>
      <c r="AP5" s="24" t="str">
        <f ca="1">IFERROR(__xludf.DUMMYFUNCTION("""COMPUTED_VALUE"""),"Put Or Call")</f>
        <v>Put Or Call</v>
      </c>
      <c r="AQ5" s="24" t="str">
        <f ca="1">IFERROR(__xludf.DUMMYFUNCTION("""COMPUTED_VALUE"""),"Allocated Qty")</f>
        <v>Allocated Qty</v>
      </c>
      <c r="AR5" s="24" t="str">
        <f ca="1">IFERROR(__xludf.DUMMYFUNCTION("""COMPUTED_VALUE"""),"Total Commission And Fee")</f>
        <v>Total Commission And Fee</v>
      </c>
      <c r="AS5" s="24" t="str">
        <f ca="1">IFERROR(__xludf.DUMMYFUNCTION("""COMPUTED_VALUE"""),"Executed Qty")</f>
        <v>Executed Qty</v>
      </c>
      <c r="AT5" s="24" t="str">
        <f ca="1">IFERROR(__xludf.DUMMYFUNCTION("""COMPUTED_VALUE"""),"Net Amount( Local)")</f>
        <v>Net Amount( Local)</v>
      </c>
      <c r="AU5" s="24" t="str">
        <f ca="1">IFERROR(__xludf.DUMMYFUNCTION("""COMPUTED_VALUE"""),"Net Amount( Base)")</f>
        <v>Net Amount( Base)</v>
      </c>
      <c r="AV5" s="24" t="str">
        <f ca="1">IFERROR(__xludf.DUMMYFUNCTION("""COMPUTED_VALUE"""),"UnAllocatedQty")</f>
        <v>UnAllocatedQty</v>
      </c>
      <c r="AW5" s="24" t="str">
        <f ca="1">IFERROR(__xludf.DUMMYFUNCTION("""COMPUTED_VALUE"""),"Option Premium Adjustment")</f>
        <v>Option Premium Adjustment</v>
      </c>
      <c r="AX5" s="24" t="str">
        <f ca="1">IFERROR(__xludf.DUMMYFUNCTION("""COMPUTED_VALUE"""),"Principal Amount( Local)")</f>
        <v>Principal Amount( Local)</v>
      </c>
      <c r="AY5" s="24" t="str">
        <f ca="1">IFERROR(__xludf.DUMMYFUNCTION("""COMPUTED_VALUE"""),"Principal Amount( Base)")</f>
        <v>Principal Amount( Base)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IFERROR(__xludf.DUMMYFUNCTION("""COMPUTED_VALUE"""),"User")</f>
        <v>User</v>
      </c>
      <c r="BB5" s="24" t="str">
        <f ca="1">IFERROR(__xludf.DUMMYFUNCTION("""COMPUTED_VALUE"""),"Asset Category")</f>
        <v>Asset Category</v>
      </c>
      <c r="BC5" s="24" t="str">
        <f ca="1">IFERROR(__xludf.DUMMYFUNCTION("""COMPUTED_VALUE"""),"Change Type")</f>
        <v>Change Type</v>
      </c>
      <c r="BD5" s="24" t="str">
        <f ca="1">IFERROR(__xludf.DUMMYFUNCTION("""COMPUTED_VALUE"""),"Strategy Name")</f>
        <v>Strategy Name</v>
      </c>
      <c r="BE5" s="24" t="str">
        <f ca="1">IFERROR(__xludf.DUMMYFUNCTION("""COMPUTED_VALUE"""),"Prana Msg Type")</f>
        <v>Prana Msg Type</v>
      </c>
      <c r="BF5" s="24" t="str">
        <f ca="1">IFERROR(__xludf.DUMMYFUNCTION("""COMPUTED_VALUE"""),"Total Commission")</f>
        <v>Total Commission</v>
      </c>
      <c r="BG5" s="24" t="str">
        <f ca="1">IFERROR(__xludf.DUMMYFUNCTION("""COMPUTED_VALUE"""),"Commission Per Share")</f>
        <v>Commission Per Share</v>
      </c>
      <c r="BH5" s="24" t="str">
        <f ca="1">IFERROR(__xludf.DUMMYFUNCTION("""COMPUTED_VALUE"""),"Soft Commission Per Share")</f>
        <v>Soft Commission Per Share</v>
      </c>
      <c r="BI5" s="24" t="str">
        <f ca="1">IFERROR(__xludf.DUMMYFUNCTION("""COMPUTED_VALUE"""),"Total Commission Per Share")</f>
        <v>Total Commission Per Share</v>
      </c>
      <c r="BJ5" s="24" t="str">
        <f ca="1">IFERROR(__xludf.DUMMYFUNCTION("""COMPUTED_VALUE"""),"Closing Status")</f>
        <v>Closing Status</v>
      </c>
      <c r="BK5" s="24" t="str">
        <f ca="1">IFERROR(__xludf.DUMMYFUNCTION("""COMPUTED_VALUE"""),"Closing Method")</f>
        <v>Closing Method</v>
      </c>
      <c r="BL5" s="24" t="str">
        <f ca="1">IFERROR(__xludf.DUMMYFUNCTION("""COMPUTED_VALUE"""),"Allocation Scheme Name")</f>
        <v>Allocation Scheme Name</v>
      </c>
      <c r="BM5" s="24" t="str">
        <f ca="1">IFERROR(__xludf.DUMMYFUNCTION("""COMPUTED_VALUE"""),"Change Comment")</f>
        <v>Change Comment</v>
      </c>
      <c r="BN5" s="24" t="str">
        <f ca="1">IFERROR(__xludf.DUMMYFUNCTION("""COMPUTED_VALUE"""),"Order Type")</f>
        <v>Order Type</v>
      </c>
      <c r="BO5" s="24" t="str">
        <f ca="1">IFERROR(__xludf.DUMMYFUNCTION("""COMPUTED_VALUE"""),"Underlying")</f>
        <v>Underlying</v>
      </c>
      <c r="BP5" s="24" t="str">
        <f ca="1">IFERROR(__xludf.DUMMYFUNCTION("""COMPUTED_VALUE"""),"Exchange")</f>
        <v>Exchange</v>
      </c>
      <c r="BQ5" s="24" t="str">
        <f ca="1">IFERROR(__xludf.DUMMYFUNCTION("""COMPUTED_VALUE"""),"Currency")</f>
        <v>Currency</v>
      </c>
      <c r="BR5" s="24" t="str">
        <f ca="1">IFERROR(__xludf.DUMMYFUNCTION("""COMPUTED_VALUE"""),"AUECID")</f>
        <v>AUECID</v>
      </c>
      <c r="BS5" s="24" t="str">
        <f ca="1">IFERROR(__xludf.DUMMYFUNCTION("""COMPUTED_VALUE"""),"Trading Account")</f>
        <v>Trading Account</v>
      </c>
      <c r="BT5" s="24" t="str">
        <f ca="1">IFERROR(__xludf.DUMMYFUNCTION("""COMPUTED_VALUE"""),"Venue")</f>
        <v>Venue</v>
      </c>
      <c r="BU5" s="24" t="str">
        <f ca="1">IFERROR(__xludf.DUMMYFUNCTION("""COMPUTED_VALUE"""),"Cum Qty For Sub Order")</f>
        <v>Cum Qty For Sub Order</v>
      </c>
      <c r="BV5" s="24" t="str">
        <f ca="1">IFERROR(__xludf.DUMMYFUNCTION("""COMPUTED_VALUE"""),"Contract Multiplier")</f>
        <v>Contract Multiplier</v>
      </c>
      <c r="BW5" s="24" t="str">
        <f ca="1">IFERROR(__xludf.DUMMYFUNCTION("""COMPUTED_VALUE"""),"Company")</f>
        <v>Company</v>
      </c>
      <c r="BX5" s="24" t="str">
        <f ca="1">IFERROR(__xludf.DUMMYFUNCTION("""COMPUTED_VALUE"""),"Nirvana Process Date")</f>
        <v>Nirvana Process Date</v>
      </c>
      <c r="BY5" s="24" t="str">
        <f ca="1">IFERROR(__xludf.DUMMYFUNCTION("""COMPUTED_VALUE"""),"Process Date")</f>
        <v>Process Date</v>
      </c>
      <c r="BZ5" s="24" t="str">
        <f ca="1">IFERROR(__xludf.DUMMYFUNCTION("""COMPUTED_VALUE"""),"Original Purchase Date")</f>
        <v>Original Purchase Date</v>
      </c>
      <c r="CA5" s="24" t="str">
        <f ca="1">IFERROR(__xludf.DUMMYFUNCTION("""COMPUTED_VALUE"""),"Closing Date")</f>
        <v>Closing Date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IFERROR(__xludf.DUMMYFUNCTION("""COMPUTED_VALUE"""),"Expiration Date")</f>
        <v>Expiration Date</v>
      </c>
      <c r="CD5" s="24" t="str">
        <f ca="1">IFERROR(__xludf.DUMMYFUNCTION("""COMPUTED_VALUE"""),"Underlying Symbol")</f>
        <v>Underlying Symbol</v>
      </c>
      <c r="CE5" s="24" t="str">
        <f ca="1">IFERROR(__xludf.DUMMYFUNCTION("""COMPUTED_VALUE"""),"Accrual Basis")</f>
        <v>Accrual Basis</v>
      </c>
      <c r="CF5" s="24" t="str">
        <f ca="1">IFERROR(__xludf.DUMMYFUNCTION("""COMPUTED_VALUE"""),"Bond Type")</f>
        <v>Bond Type</v>
      </c>
      <c r="CG5" s="24" t="str">
        <f ca="1">IFERROR(__xludf.DUMMYFUNCTION("""COMPUTED_VALUE"""),"Coupon Rate")</f>
        <v>Coupon Rate</v>
      </c>
      <c r="CH5" s="24" t="str">
        <f ca="1">IFERROR(__xludf.DUMMYFUNCTION("""COMPUTED_VALUE"""),"Delta")</f>
        <v>Delta</v>
      </c>
      <c r="CI5" s="24" t="str">
        <f ca="1">IFERROR(__xludf.DUMMYFUNCTION("""COMPUTED_VALUE"""),"Bloomberg")</f>
        <v>Bloomberg</v>
      </c>
      <c r="CJ5" s="24" t="str">
        <f ca="1">IFERROR(__xludf.DUMMYFUNCTION("""COMPUTED_VALUE"""),"Sedol Symbol")</f>
        <v>Sedol Symbol</v>
      </c>
      <c r="CK5" s="24" t="str">
        <f ca="1">IFERROR(__xludf.DUMMYFUNCTION("""COMPUTED_VALUE"""),"Cusip Symbol")</f>
        <v>Cusip Symbol</v>
      </c>
      <c r="CL5" s="24" t="str">
        <f ca="1">IFERROR(__xludf.DUMMYFUNCTION("""COMPUTED_VALUE"""),"ISIN")</f>
        <v>ISIN</v>
      </c>
      <c r="CM5" s="24" t="str">
        <f ca="1">IFERROR(__xludf.DUMMYFUNCTION("""COMPUTED_VALUE"""),"OSISSymbol")</f>
        <v>OSISSymbol</v>
      </c>
      <c r="CN5" s="24" t="str">
        <f ca="1">IFERROR(__xludf.DUMMYFUNCTION("""COMPUTED_VALUE"""),"IDCOSymbol")</f>
        <v>IDCOSymbol</v>
      </c>
      <c r="CO5" s="24" t="str">
        <f ca="1">IFERROR(__xludf.DUMMYFUNCTION("""COMPUTED_VALUE"""),"Underlying Delta")</f>
        <v>Underlying Delta</v>
      </c>
      <c r="CP5" s="24" t="str">
        <f ca="1">IFERROR(__xludf.DUMMYFUNCTION("""COMPUTED_VALUE"""),"Proxy Symbol")</f>
        <v>Proxy Symbol</v>
      </c>
      <c r="CQ5" s="24" t="str">
        <f ca="1">IFERROR(__xludf.DUMMYFUNCTION("""COMPUTED_VALUE"""),"Transaction Source")</f>
        <v>Transaction Source</v>
      </c>
      <c r="CR5" s="24" t="str">
        <f ca="1">IFERROR(__xludf.DUMMYFUNCTION("""COMPUTED_VALUE"""),"Import File Name")</f>
        <v>Import File Name</v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>
        <v>350</v>
      </c>
      <c r="D6" s="7"/>
      <c r="E6" s="7" t="s">
        <v>41</v>
      </c>
      <c r="F6" s="7" t="s">
        <v>21</v>
      </c>
      <c r="G6" s="5"/>
      <c r="H6" s="7"/>
      <c r="I6" s="5"/>
      <c r="J6" s="5"/>
      <c r="K6" s="7">
        <v>541</v>
      </c>
      <c r="L6" s="5"/>
      <c r="M6" s="5"/>
      <c r="N6" s="5"/>
      <c r="O6" s="5"/>
      <c r="P6" s="6" t="s">
        <v>23</v>
      </c>
      <c r="R6" s="6">
        <v>4</v>
      </c>
      <c r="S6" s="6">
        <v>5</v>
      </c>
      <c r="T6" s="6">
        <v>0</v>
      </c>
      <c r="U6" s="6">
        <v>0</v>
      </c>
      <c r="V6" s="6">
        <v>0</v>
      </c>
      <c r="X6" s="6">
        <v>0</v>
      </c>
      <c r="AJ6" s="6">
        <v>1</v>
      </c>
      <c r="AO6" s="6" t="s">
        <v>44</v>
      </c>
      <c r="AQ6" s="6">
        <v>300</v>
      </c>
      <c r="AS6" s="6">
        <v>300</v>
      </c>
      <c r="AT6" s="27">
        <v>162314.09090000001</v>
      </c>
      <c r="AU6" s="27">
        <v>162314.09090000001</v>
      </c>
      <c r="AX6" s="26">
        <v>162300</v>
      </c>
      <c r="AY6" s="26">
        <v>162300</v>
      </c>
      <c r="BN6" s="6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1c7aP-E18Fb8lEVGiXac03BLoNVdUNRzodD2Xjn-9pzU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IFERROR(__xludf.DUMMYFUNCTION("""COMPUTED_VALUE"""),"Accrual Basis")</f>
        <v>Accrual Basis</v>
      </c>
      <c r="C5" s="22" t="str">
        <f ca="1">IFERROR(__xludf.DUMMYFUNCTION("""COMPUTED_VALUE"""),"Accrued Interest")</f>
        <v>Accrued Interest</v>
      </c>
      <c r="D5" s="22" t="str">
        <f ca="1">IFERROR(__xludf.DUMMYFUNCTION("""COMPUTED_VALUE"""),"Allocated Qty")</f>
        <v>Allocated Qty</v>
      </c>
      <c r="E5" s="22" t="str">
        <f ca="1">IFERROR(__xludf.DUMMYFUNCTION("""COMPUTED_VALUE"""),"Allocation Scheme Name")</f>
        <v>Allocation Scheme Name</v>
      </c>
      <c r="F5" s="23" t="str">
        <f ca="1">IFERROR(__xludf.DUMMYFUNCTION("""COMPUTED_VALUE"""),"Asset Category")</f>
        <v>Asset Category</v>
      </c>
      <c r="G5" s="22" t="str">
        <f ca="1">IFERROR(__xludf.DUMMYFUNCTION("""COMPUTED_VALUE"""),"AUEC Fee1")</f>
        <v>AUEC Fee1</v>
      </c>
      <c r="H5" s="22" t="str">
        <f ca="1">IFERROR(__xludf.DUMMYFUNCTION("""COMPUTED_VALUE"""),"AUEC Fee2")</f>
        <v>AUEC Fee2</v>
      </c>
      <c r="I5" s="22" t="str">
        <f ca="1">IFERROR(__xludf.DUMMYFUNCTION("""COMPUTED_VALUE"""),"AUECID")</f>
        <v>AUECID</v>
      </c>
      <c r="J5" s="22" t="str">
        <f ca="1">IFERROR(__xludf.DUMMYFUNCTION("""COMPUTED_VALUE"""),"Avg Price(Base)")</f>
        <v>Avg Price(Base)</v>
      </c>
      <c r="K5" s="22" t="str">
        <f ca="1">IFERROR(__xludf.DUMMYFUNCTION("""COMPUTED_VALUE"""),"Avg Price(Local)")</f>
        <v>Avg Price(Local)</v>
      </c>
      <c r="L5" s="22" t="str">
        <f ca="1">IFERROR(__xludf.DUMMYFUNCTION("""COMPUTED_VALUE"""),"Bloomberg")</f>
        <v>Bloomberg</v>
      </c>
      <c r="M5" s="22" t="str">
        <f ca="1">IFERROR(__xludf.DUMMYFUNCTION("""COMPUTED_VALUE"""),"Bond Type")</f>
        <v>Bond Type</v>
      </c>
      <c r="N5" s="22" t="str">
        <f ca="1">IFERROR(__xludf.DUMMYFUNCTION("""COMPUTED_VALUE"""),"Broker")</f>
        <v>Broker</v>
      </c>
      <c r="O5" s="22" t="str">
        <f ca="1">IFERROR(__xludf.DUMMYFUNCTION("""COMPUTED_VALUE"""),"Change Comment")</f>
        <v>Change Comment</v>
      </c>
      <c r="P5" s="22" t="str">
        <f ca="1">IFERROR(__xludf.DUMMYFUNCTION("""COMPUTED_VALUE"""),"Change Type")</f>
        <v>Change Type</v>
      </c>
      <c r="Q5" s="22" t="str">
        <f ca="1">IFERROR(__xludf.DUMMYFUNCTION("""COMPUTED_VALUE"""),"Clearing Broker Fee")</f>
        <v>Clearing Broker Fee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IFERROR(__xludf.DUMMYFUNCTION("""COMPUTED_VALUE"""),"Execution Time")</f>
        <v>Execution Time</v>
      </c>
      <c r="AG5" s="24" t="str">
        <f ca="1">IFERROR(__xludf.DUMMYFUNCTION("""COMPUTED_VALUE"""),"FX Conversion Operator")</f>
        <v>FX Conversion Operator</v>
      </c>
      <c r="AH5" s="24" t="str">
        <f ca="1">IFERROR(__xludf.DUMMYFUNCTION("""COMPUTED_VALUE"""),"FX Rate")</f>
        <v>FX Rate</v>
      </c>
      <c r="AI5" s="24" t="str">
        <f ca="1">IFERROR(__xludf.DUMMYFUNCTION("""COMPUTED_VALUE"""),"Group Status")</f>
        <v>Group Status</v>
      </c>
      <c r="AJ5" s="24" t="str">
        <f ca="1">IFERROR(__xludf.DUMMYFUNCTION("""COMPUTED_VALUE"""),"GroupID")</f>
        <v>GroupID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IFERROR(__xludf.DUMMYFUNCTION("""COMPUTED_VALUE"""),"Symbol")</f>
        <v>Symbol</v>
      </c>
      <c r="BT5" s="24" t="str">
        <f ca="1">IFERROR(__xludf.DUMMYFUNCTION("""COMPUTED_VALUE"""),"Tax On Commissions")</f>
        <v>Tax On Commissions</v>
      </c>
      <c r="BU5" s="24" t="str">
        <f ca="1">IFERROR(__xludf.DUMMYFUNCTION("""COMPUTED_VALUE"""),"Total Commission")</f>
        <v>Total Commission</v>
      </c>
      <c r="BV5" s="24" t="str">
        <f ca="1">IFERROR(__xludf.DUMMYFUNCTION("""COMPUTED_VALUE"""),"Total Commission And Fee")</f>
        <v>Total Commission And Fee</v>
      </c>
      <c r="BW5" s="24" t="str">
        <f ca="1">IFERROR(__xludf.DUMMYFUNCTION("""COMPUTED_VALUE"""),"Total Commission Per Share")</f>
        <v>Total Commission Per Share</v>
      </c>
      <c r="BX5" s="24" t="str">
        <f ca="1">IFERROR(__xludf.DUMMYFUNCTION("""COMPUTED_VALUE"""),"Trade Attribute 1")</f>
        <v>Trade Attribute 1</v>
      </c>
      <c r="BY5" s="24" t="str">
        <f ca="1">IFERROR(__xludf.DUMMYFUNCTION("""COMPUTED_VALUE"""),"Trade Attribute 2")</f>
        <v>Trade Attribute 2</v>
      </c>
      <c r="BZ5" s="24" t="str">
        <f ca="1">IFERROR(__xludf.DUMMYFUNCTION("""COMPUTED_VALUE"""),"Trade Attribute 3")</f>
        <v>Trade Attribute 3</v>
      </c>
      <c r="CA5" s="24" t="str">
        <f ca="1">IFERROR(__xludf.DUMMYFUNCTION("""COMPUTED_VALUE"""),"Trade Attribute 4")</f>
        <v>Trade Attribute 4</v>
      </c>
      <c r="CB5" s="24" t="str">
        <f ca="1">IFERROR(__xludf.DUMMYFUNCTION("""COMPUTED_VALUE"""),"Trade Attribute 5")</f>
        <v>Trade Attribute 5</v>
      </c>
      <c r="CC5" s="24" t="str">
        <f ca="1">IFERROR(__xludf.DUMMYFUNCTION("""COMPUTED_VALUE"""),"Trade Attribute 6")</f>
        <v>Trade Attribute 6</v>
      </c>
      <c r="CD5" s="24" t="str">
        <f ca="1">IFERROR(__xludf.DUMMYFUNCTION("""COMPUTED_VALUE"""),"Trade Date")</f>
        <v>Trade Date</v>
      </c>
      <c r="CE5" s="24" t="str">
        <f ca="1">IFERROR(__xludf.DUMMYFUNCTION("""COMPUTED_VALUE"""),"Trading Account")</f>
        <v>Trading Account</v>
      </c>
      <c r="CF5" s="24" t="str">
        <f ca="1">IFERROR(__xludf.DUMMYFUNCTION("""COMPUTED_VALUE"""),"Transaction Levy")</f>
        <v>Transaction Levy</v>
      </c>
      <c r="CG5" s="24" t="str">
        <f ca="1">IFERROR(__xludf.DUMMYFUNCTION("""COMPUTED_VALUE"""),"Transaction Source")</f>
        <v>Transaction Source</v>
      </c>
      <c r="CH5" s="24" t="str">
        <f ca="1">IFERROR(__xludf.DUMMYFUNCTION("""COMPUTED_VALUE"""),"Transaction Type")</f>
        <v>Transaction Type</v>
      </c>
      <c r="CI5" s="24" t="str">
        <f ca="1">IFERROR(__xludf.DUMMYFUNCTION("""COMPUTED_VALUE"""),"UnAllocatedQty")</f>
        <v>UnAllocatedQty</v>
      </c>
      <c r="CJ5" s="24" t="str">
        <f ca="1">IFERROR(__xludf.DUMMYFUNCTION("""COMPUTED_VALUE"""),"Underlying")</f>
        <v>Underlying</v>
      </c>
      <c r="CK5" s="24" t="str">
        <f ca="1">IFERROR(__xludf.DUMMYFUNCTION("""COMPUTED_VALUE"""),"Underlying Delta")</f>
        <v>Underlying Delta</v>
      </c>
      <c r="CL5" s="24" t="str">
        <f ca="1">IFERROR(__xludf.DUMMYFUNCTION("""COMPUTED_VALUE"""),"Underlying Symbol")</f>
        <v>Underlying Symbol</v>
      </c>
      <c r="CM5" s="24" t="str">
        <f ca="1">IFERROR(__xludf.DUMMYFUNCTION("""COMPUTED_VALUE"""),"User")</f>
        <v>User</v>
      </c>
      <c r="CN5" s="24" t="str">
        <f ca="1">IFERROR(__xludf.DUMMYFUNCTION("""COMPUTED_VALUE"""),"Venue")</f>
        <v>Venue</v>
      </c>
      <c r="CO5" s="24" t="str">
        <f ca="1">IFERROR(__xludf.DUMMYFUNCTION("""COMPUTED_VALUE"""),"Closing Date")</f>
        <v>Closing Date</v>
      </c>
      <c r="CP5" s="24" t="str">
        <f ca="1">IFERROR(__xludf.DUMMYFUNCTION("""COMPUTED_VALUE"""),"Expiration Date")</f>
        <v>Expiration Date</v>
      </c>
      <c r="CQ5" s="24" t="str">
        <f ca="1">IFERROR(__xludf.DUMMYFUNCTION("""COMPUTED_VALUE"""),"Master Fund")</f>
        <v>Master Fund</v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/>
      <c r="C6" s="5"/>
      <c r="D6" s="7">
        <v>0</v>
      </c>
      <c r="E6" s="25"/>
      <c r="F6" s="5"/>
      <c r="G6" s="7">
        <v>4</v>
      </c>
      <c r="H6" s="7">
        <v>5</v>
      </c>
      <c r="I6" s="5"/>
      <c r="J6" s="7"/>
      <c r="K6" s="7">
        <v>541</v>
      </c>
      <c r="L6" s="5"/>
      <c r="M6" s="5"/>
      <c r="N6" s="7" t="s">
        <v>23</v>
      </c>
      <c r="O6" s="5"/>
      <c r="Q6" s="6">
        <v>0</v>
      </c>
      <c r="T6" s="6">
        <v>0</v>
      </c>
      <c r="U6" s="6">
        <v>0</v>
      </c>
      <c r="AE6" s="6">
        <v>300</v>
      </c>
      <c r="AH6" s="6">
        <v>1</v>
      </c>
      <c r="AT6" s="27">
        <v>162314.09090000001</v>
      </c>
      <c r="AU6" s="27">
        <v>162314.09090000001</v>
      </c>
      <c r="AW6" s="6">
        <v>0</v>
      </c>
      <c r="AX6" s="6">
        <v>0</v>
      </c>
      <c r="AY6" s="6" t="s">
        <v>24</v>
      </c>
      <c r="AZ6" s="6">
        <v>0</v>
      </c>
      <c r="BE6" s="26">
        <v>162300</v>
      </c>
      <c r="BF6" s="26">
        <v>162300</v>
      </c>
      <c r="BJ6" s="6">
        <v>350</v>
      </c>
      <c r="BO6" s="6" t="s">
        <v>21</v>
      </c>
      <c r="BS6" s="6" t="s">
        <v>20</v>
      </c>
      <c r="CC6" s="6" t="s">
        <v>44</v>
      </c>
      <c r="CI6" s="6">
        <v>300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25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 t="str">
        <f ca="1">IFERROR(__xludf.DUMMYFUNCTION("""COMPUTED_VALUE"""),"")</f>
        <v/>
      </c>
      <c r="BC5" s="24" t="str">
        <f ca="1">IFERROR(__xludf.DUMMYFUNCTION("""COMPUTED_VALUE"""),"")</f>
        <v/>
      </c>
      <c r="BD5" s="24" t="str">
        <f ca="1">IFERROR(__xludf.DUMMYFUNCTION("""COMPUTED_VALUE"""),"")</f>
        <v/>
      </c>
      <c r="BE5" s="24" t="str">
        <f ca="1">IFERROR(__xludf.DUMMYFUNCTION("""COMPUTED_VALUE"""),"")</f>
        <v/>
      </c>
      <c r="BF5" s="24" t="str">
        <f ca="1">IFERROR(__xludf.DUMMYFUNCTION("""COMPUTED_VALUE"""),"")</f>
        <v/>
      </c>
      <c r="BG5" s="24" t="str">
        <f ca="1">IFERROR(__xludf.DUMMYFUNCTION("""COMPUTED_VALUE"""),"")</f>
        <v/>
      </c>
      <c r="BH5" s="24" t="str">
        <f ca="1">IFERROR(__xludf.DUMMYFUNCTION("""COMPUTED_VALUE"""),"")</f>
        <v/>
      </c>
      <c r="BI5" s="24" t="str">
        <f ca="1">IFERROR(__xludf.DUMMYFUNCTION("""COMPUTED_VALUE"""),"")</f>
        <v/>
      </c>
      <c r="BJ5" s="24" t="str">
        <f ca="1">IFERROR(__xludf.DUMMYFUNCTION("""COMPUTED_VALUE"""),"")</f>
        <v/>
      </c>
      <c r="BK5" s="24" t="str">
        <f ca="1">IFERROR(__xludf.DUMMYFUNCTION("""COMPUTED_VALUE"""),"")</f>
        <v/>
      </c>
      <c r="BL5" s="24" t="str">
        <f ca="1">IFERROR(__xludf.DUMMYFUNCTION("""COMPUTED_VALUE"""),"")</f>
        <v/>
      </c>
      <c r="BM5" s="24" t="str">
        <f ca="1">IFERROR(__xludf.DUMMYFUNCTION("""COMPUTED_VALUE"""),"")</f>
        <v/>
      </c>
      <c r="BN5" s="24" t="str">
        <f ca="1">IFERROR(__xludf.DUMMYFUNCTION("""COMPUTED_VALUE"""),"")</f>
        <v/>
      </c>
      <c r="BO5" s="24" t="str">
        <f ca="1">IFERROR(__xludf.DUMMYFUNCTION("""COMPUTED_VALUE"""),"")</f>
        <v/>
      </c>
      <c r="BP5" s="24" t="str">
        <f ca="1">IFERROR(__xludf.DUMMYFUNCTION("""COMPUTED_VALUE"""),"")</f>
        <v/>
      </c>
      <c r="BQ5" s="24" t="str">
        <f ca="1">IFERROR(__xludf.DUMMYFUNCTION("""COMPUTED_VALUE"""),"")</f>
        <v/>
      </c>
      <c r="BR5" s="24" t="str">
        <f ca="1">IFERROR(__xludf.DUMMYFUNCTION("""COMPUTED_VALUE"""),"")</f>
        <v/>
      </c>
      <c r="BS5" s="24" t="str">
        <f ca="1">IFERROR(__xludf.DUMMYFUNCTION("""COMPUTED_VALUE"""),"")</f>
        <v/>
      </c>
      <c r="BT5" s="24" t="str">
        <f ca="1">IFERROR(__xludf.DUMMYFUNCTION("""COMPUTED_VALUE"""),"")</f>
        <v/>
      </c>
      <c r="BU5" s="24" t="str">
        <f ca="1">IFERROR(__xludf.DUMMYFUNCTION("""COMPUTED_VALUE"""),"")</f>
        <v/>
      </c>
      <c r="BV5" s="24" t="str">
        <f ca="1">IFERROR(__xludf.DUMMYFUNCTION("""COMPUTED_VALUE"""),"")</f>
        <v/>
      </c>
      <c r="BW5" s="24" t="str">
        <f ca="1">IFERROR(__xludf.DUMMYFUNCTION("""COMPUTED_VALUE"""),"")</f>
        <v/>
      </c>
      <c r="BX5" s="24" t="str">
        <f ca="1">IFERROR(__xludf.DUMMYFUNCTION("""COMPUTED_VALUE"""),"")</f>
        <v/>
      </c>
      <c r="BY5" s="24" t="str">
        <f ca="1">IFERROR(__xludf.DUMMYFUNCTION("""COMPUTED_VALUE"""),"")</f>
        <v/>
      </c>
      <c r="BZ5" s="24" t="str">
        <f ca="1">IFERROR(__xludf.DUMMYFUNCTION("""COMPUTED_VALUE"""),"")</f>
        <v/>
      </c>
      <c r="CA5" s="24" t="str">
        <f ca="1">IFERROR(__xludf.DUMMYFUNCTION("""COMPUTED_VALUE"""),"")</f>
        <v/>
      </c>
      <c r="CB5" s="24" t="str">
        <f ca="1">IFERROR(__xludf.DUMMYFUNCTION("""COMPUTED_VALUE"""),"")</f>
        <v/>
      </c>
      <c r="CC5" s="24" t="str">
        <f ca="1">IFERROR(__xludf.DUMMYFUNCTION("""COMPUTED_VALUE"""),"")</f>
        <v/>
      </c>
      <c r="CD5" s="24" t="str">
        <f ca="1">IFERROR(__xludf.DUMMYFUNCTION("""COMPUTED_VALUE"""),"")</f>
        <v/>
      </c>
      <c r="CE5" s="24" t="str">
        <f ca="1">IFERROR(__xludf.DUMMYFUNCTION("""COMPUTED_VALUE"""),"")</f>
        <v/>
      </c>
      <c r="CF5" s="24" t="str">
        <f ca="1">IFERROR(__xludf.DUMMYFUNCTION("""COMPUTED_VALUE"""),"")</f>
        <v/>
      </c>
      <c r="CG5" s="24" t="str">
        <f ca="1">IFERROR(__xludf.DUMMYFUNCTION("""COMPUTED_VALUE"""),"")</f>
        <v/>
      </c>
      <c r="CH5" s="24" t="str">
        <f ca="1">IFERROR(__xludf.DUMMYFUNCTION("""COMPUTED_VALUE"""),"")</f>
        <v/>
      </c>
      <c r="CI5" s="24" t="str">
        <f ca="1">IFERROR(__xludf.DUMMYFUNCTION("""COMPUTED_VALUE"""),"")</f>
        <v/>
      </c>
      <c r="CJ5" s="24" t="str">
        <f ca="1">IFERROR(__xludf.DUMMYFUNCTION("""COMPUTED_VALUE"""),"")</f>
        <v/>
      </c>
      <c r="CK5" s="24" t="str">
        <f ca="1">IFERROR(__xludf.DUMMYFUNCTION("""COMPUTED_VALUE"""),"")</f>
        <v/>
      </c>
      <c r="CL5" s="24" t="str">
        <f ca="1">IFERROR(__xludf.DUMMYFUNCTION("""COMPUTED_VALUE"""),"")</f>
        <v/>
      </c>
      <c r="CM5" s="24" t="str">
        <f ca="1">IFERROR(__xludf.DUMMYFUNCTION("""COMPUTED_VALUE"""),"")</f>
        <v/>
      </c>
      <c r="CN5" s="24" t="str">
        <f ca="1">IFERROR(__xludf.DUMMYFUNCTION("""COMPUTED_VALUE"""),"")</f>
        <v/>
      </c>
      <c r="CO5" s="24" t="str">
        <f ca="1">IFERROR(__xludf.DUMMYFUNCTION("""COMPUTED_VALUE"""),"")</f>
        <v/>
      </c>
      <c r="CP5" s="24" t="str">
        <f ca="1">IFERROR(__xludf.DUMMYFUNCTION("""COMPUTED_VALUE"""),"")</f>
        <v/>
      </c>
      <c r="CQ5" s="24" t="str">
        <f ca="1">IFERROR(__xludf.DUMMYFUNCTION("""COMPUTED_VALUE"""),"")</f>
        <v/>
      </c>
      <c r="CR5" s="24" t="str">
        <f ca="1">IFERROR(__xludf.DUMMYFUNCTION("""COMPUTED_VALUE"""),"")</f>
        <v/>
      </c>
      <c r="CS5" s="24" t="str">
        <f ca="1">IFERROR(__xludf.DUMMYFUNCTION("""COMPUTED_VALUE"""),"")</f>
        <v/>
      </c>
      <c r="CT5" s="24" t="str">
        <f ca="1">IFERROR(__xludf.DUMMYFUNCTION("""COMPUTED_VALUE"""),"")</f>
        <v/>
      </c>
      <c r="CU5" s="24" t="str">
        <f ca="1">IFERROR(__xludf.DUMMYFUNCTION("""COMPUTED_VALUE"""),"")</f>
        <v/>
      </c>
      <c r="CV5" s="24" t="str">
        <f ca="1">IFERROR(__xludf.DUMMYFUNCTION("""COMPUTED_VALUE"""),"")</f>
        <v/>
      </c>
      <c r="CW5" s="24" t="str">
        <f ca="1">IFERROR(__xludf.DUMMYFUNCTION("""COMPUTED_VALUE"""),"")</f>
        <v/>
      </c>
      <c r="CX5" s="24" t="str">
        <f ca="1">IFERROR(__xludf.DUMMYFUNCTION("""COMPUTED_VALUE"""),"")</f>
        <v/>
      </c>
      <c r="CY5" s="24" t="str">
        <f ca="1">IFERROR(__xludf.DUMMYFUNCTION("""COMPUTED_VALUE"""),"")</f>
        <v/>
      </c>
      <c r="CZ5" s="24" t="str">
        <f ca="1">IFERROR(__xludf.DUMMYFUNCTION("""COMPUTED_VALUE"""),"")</f>
        <v/>
      </c>
      <c r="DA5" s="24" t="str">
        <f ca="1">IFERROR(__xludf.DUMMYFUNCTION("""COMPUTED_VALUE"""),"")</f>
        <v/>
      </c>
      <c r="DB5" s="24" t="str">
        <f ca="1">IFERROR(__xludf.DUMMYFUNCTION("""COMPUTED_VALUE"""),"")</f>
        <v/>
      </c>
      <c r="DC5" s="24" t="str">
        <f ca="1">IFERROR(__xludf.DUMMYFUNCTION("""COMPUTED_VALUE"""),"")</f>
        <v/>
      </c>
      <c r="DD5" s="24" t="str">
        <f ca="1">IFERROR(__xludf.DUMMYFUNCTION("""COMPUTED_VALUE"""),"")</f>
        <v/>
      </c>
      <c r="DE5" s="24" t="str">
        <f ca="1">IFERROR(__xludf.DUMMYFUNCTION("""COMPUTED_VALUE"""),"")</f>
        <v/>
      </c>
      <c r="DF5" s="24" t="str">
        <f ca="1">IFERROR(__xludf.DUMMYFUNCTION("""COMPUTED_VALUE"""),"")</f>
        <v/>
      </c>
      <c r="DG5" s="24" t="str">
        <f ca="1">IFERROR(__xludf.DUMMYFUNCTION("""COMPUTED_VALUE"""),"")</f>
        <v/>
      </c>
      <c r="DH5" s="24" t="str">
        <f ca="1">IFERROR(__xludf.DUMMYFUNCTION("""COMPUTED_VALUE"""),"")</f>
        <v/>
      </c>
      <c r="DI5" s="24" t="str">
        <f ca="1">IFERROR(__xludf.DUMMYFUNCTION("""COMPUTED_VALUE"""),"")</f>
        <v/>
      </c>
      <c r="DJ5" s="24" t="str">
        <f ca="1">IFERROR(__xludf.DUMMYFUNCTION("""COMPUTED_VALUE"""),"")</f>
        <v/>
      </c>
      <c r="DK5" s="24" t="str">
        <f ca="1">IFERROR(__xludf.DUMMYFUNCTION("""COMPUTED_VALUE"""),"")</f>
        <v/>
      </c>
      <c r="DL5" s="24" t="str">
        <f ca="1">IFERROR(__xludf.DUMMYFUNCTION("""COMPUTED_VALUE"""),"")</f>
        <v/>
      </c>
      <c r="DM5" s="24" t="str">
        <f ca="1">IFERROR(__xludf.DUMMYFUNCTION("""COMPUTED_VALUE"""),"")</f>
        <v/>
      </c>
      <c r="DN5" s="24" t="str">
        <f ca="1">IFERROR(__xludf.DUMMYFUNCTION("""COMPUTED_VALUE"""),"")</f>
        <v/>
      </c>
      <c r="DO5" s="24" t="str">
        <f ca="1">IFERROR(__xludf.DUMMYFUNCTION("""COMPUTED_VALUE"""),"")</f>
        <v/>
      </c>
      <c r="DP5" s="24" t="str">
        <f ca="1">IFERROR(__xludf.DUMMYFUNCTION("""COMPUTED_VALUE"""),"")</f>
        <v/>
      </c>
      <c r="DQ5" s="24" t="str">
        <f ca="1">IFERROR(__xludf.DUMMYFUNCTION("""COMPUTED_VALUE"""),"")</f>
        <v/>
      </c>
      <c r="DR5" s="24" t="str">
        <f ca="1">IFERROR(__xludf.DUMMYFUNCTION("""COMPUTED_VALUE"""),"")</f>
        <v/>
      </c>
      <c r="DS5" s="24" t="str">
        <f ca="1">IFERROR(__xludf.DUMMYFUNCTION("""COMPUTED_VALUE"""),"")</f>
        <v/>
      </c>
      <c r="DT5" s="24" t="str">
        <f ca="1">IFERROR(__xludf.DUMMYFUNCTION("""COMPUTED_VALUE"""),"")</f>
        <v/>
      </c>
      <c r="DU5" s="24" t="str">
        <f ca="1">IFERROR(__xludf.DUMMYFUNCTION("""COMPUTED_VALUE"""),"")</f>
        <v/>
      </c>
      <c r="DV5" s="24" t="str">
        <f ca="1">IFERROR(__xludf.DUMMYFUNCTION("""COMPUTED_VALUE"""),"")</f>
        <v/>
      </c>
      <c r="DW5" s="24" t="str">
        <f ca="1">IFERROR(__xludf.DUMMYFUNCTION("""COMPUTED_VALUE"""),"")</f>
        <v/>
      </c>
      <c r="DX5" s="24" t="str">
        <f ca="1">IFERROR(__xludf.DUMMYFUNCTION("""COMPUTED_VALUE"""),"")</f>
        <v/>
      </c>
      <c r="DY5" s="24" t="str">
        <f ca="1">IFERROR(__xludf.DUMMYFUNCTION("""COMPUTED_VALUE"""),"")</f>
        <v/>
      </c>
      <c r="DZ5" s="24" t="str">
        <f ca="1">IFERROR(__xludf.DUMMYFUNCTION("""COMPUTED_VALUE"""),"")</f>
        <v/>
      </c>
      <c r="EA5" s="24" t="str">
        <f ca="1">IFERROR(__xludf.DUMMYFUNCTION("""COMPUTED_VALUE"""),"")</f>
        <v/>
      </c>
      <c r="EB5" s="24" t="str">
        <f ca="1">IFERROR(__xludf.DUMMYFUNCTION("""COMPUTED_VALUE"""),"")</f>
        <v/>
      </c>
      <c r="EC5" s="24" t="str">
        <f ca="1">IFERROR(__xludf.DUMMYFUNCTION("""COMPUTED_VALUE"""),"")</f>
        <v/>
      </c>
      <c r="ED5" s="24" t="str">
        <f ca="1">IFERROR(__xludf.DUMMYFUNCTION("""COMPUTED_VALUE"""),"")</f>
        <v/>
      </c>
      <c r="EE5" s="24" t="str">
        <f ca="1">IFERROR(__xludf.DUMMYFUNCTION("""COMPUTED_VALUE"""),"")</f>
        <v/>
      </c>
      <c r="EF5" s="24" t="str">
        <f ca="1">IFERROR(__xludf.DUMMYFUNCTION("""COMPUTED_VALUE"""),"")</f>
        <v/>
      </c>
      <c r="EG5" s="24" t="str">
        <f ca="1">IFERROR(__xludf.DUMMYFUNCTION("""COMPUTED_VALUE"""),"")</f>
        <v/>
      </c>
      <c r="EH5" s="24" t="str">
        <f ca="1">IFERROR(__xludf.DUMMYFUNCTION("""COMPUTED_VALUE"""),"")</f>
        <v/>
      </c>
      <c r="EI5" s="24" t="str">
        <f ca="1">IFERROR(__xludf.DUMMYFUNCTION("""COMPUTED_VALUE"""),"")</f>
        <v/>
      </c>
      <c r="EJ5" s="24" t="str">
        <f ca="1">IFERROR(__xludf.DUMMYFUNCTION("""COMPUTED_VALUE"""),"")</f>
        <v/>
      </c>
      <c r="EK5" s="24" t="str">
        <f ca="1">IFERROR(__xludf.DUMMYFUNCTION("""COMPUTED_VALUE"""),"")</f>
        <v/>
      </c>
      <c r="EL5" s="24" t="str">
        <f ca="1">IFERROR(__xludf.DUMMYFUNCTION("""COMPUTED_VALUE"""),"")</f>
        <v/>
      </c>
      <c r="EM5" s="24" t="str">
        <f ca="1">IFERROR(__xludf.DUMMYFUNCTION("""COMPUTED_VALUE"""),"")</f>
        <v/>
      </c>
      <c r="EN5" s="24" t="str">
        <f ca="1">IFERROR(__xludf.DUMMYFUNCTION("""COMPUTED_VALUE"""),"")</f>
        <v/>
      </c>
      <c r="EO5" s="24" t="str">
        <f ca="1">IFERROR(__xludf.DUMMYFUNCTION("""COMPUTED_VALUE"""),"")</f>
        <v/>
      </c>
      <c r="EP5" s="24" t="str">
        <f ca="1">IFERROR(__xludf.DUMMYFUNCTION("""COMPUTED_VALUE"""),"")</f>
        <v/>
      </c>
      <c r="EQ5" s="24" t="str">
        <f ca="1">IFERROR(__xludf.DUMMYFUNCTION("""COMPUTED_VALUE"""),"")</f>
        <v/>
      </c>
      <c r="ER5" s="24" t="str">
        <f ca="1">IFERROR(__xludf.DUMMYFUNCTION("""COMPUTED_VALUE"""),"")</f>
        <v/>
      </c>
      <c r="ES5" s="24" t="str">
        <f ca="1">IFERROR(__xludf.DUMMYFUNCTION("""COMPUTED_VALUE"""),"")</f>
        <v/>
      </c>
      <c r="ET5" s="24" t="str">
        <f ca="1">IFERROR(__xludf.DUMMYFUNCTION("""COMPUTED_VALUE"""),"")</f>
        <v/>
      </c>
      <c r="EU5" s="24" t="str">
        <f ca="1">IFERROR(__xludf.DUMMYFUNCTION("""COMPUTED_VALUE"""),"")</f>
        <v/>
      </c>
      <c r="EV5" s="24" t="str">
        <f ca="1">IFERROR(__xludf.DUMMYFUNCTION("""COMPUTED_VALUE"""),"")</f>
        <v/>
      </c>
      <c r="EW5" s="24" t="str">
        <f ca="1">IFERROR(__xludf.DUMMYFUNCTION("""COMPUTED_VALUE"""),"")</f>
        <v/>
      </c>
      <c r="EX5" s="24" t="str">
        <f ca="1">IFERROR(__xludf.DUMMYFUNCTION("""COMPUTED_VALUE"""),"")</f>
        <v/>
      </c>
    </row>
    <row r="6" spans="1:154" ht="15.75" customHeight="1" x14ac:dyDescent="0.2">
      <c r="A6" s="7"/>
      <c r="B6" s="7" t="s">
        <v>20</v>
      </c>
      <c r="C6" s="7" t="s">
        <v>21</v>
      </c>
      <c r="D6" s="7">
        <v>350</v>
      </c>
      <c r="E6" s="7">
        <v>300</v>
      </c>
      <c r="F6" s="7">
        <v>50</v>
      </c>
      <c r="G6" s="7" t="s">
        <v>53</v>
      </c>
      <c r="H6" s="5"/>
      <c r="I6" s="7">
        <v>0</v>
      </c>
      <c r="J6" s="7">
        <v>541</v>
      </c>
      <c r="K6" s="7" t="s">
        <v>23</v>
      </c>
      <c r="L6" s="5"/>
      <c r="M6" s="7" t="s">
        <v>24</v>
      </c>
      <c r="N6" s="5"/>
      <c r="O6" s="7">
        <v>541</v>
      </c>
      <c r="V6" s="6" t="s">
        <v>55</v>
      </c>
      <c r="Y6" s="6">
        <v>1</v>
      </c>
      <c r="AC6" s="26">
        <v>162300</v>
      </c>
      <c r="AD6" s="26">
        <v>162300</v>
      </c>
      <c r="AQ6" s="6" t="s">
        <v>44</v>
      </c>
      <c r="BA6" s="6" t="s">
        <v>44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29" t="s">
        <v>11</v>
      </c>
      <c r="C1" s="30"/>
      <c r="D1" s="30"/>
      <c r="E1" s="30"/>
      <c r="F1" s="30"/>
      <c r="G1" s="30"/>
      <c r="H1" s="31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 t="str">
        <f ca="1">IFERROR(__xludf.DUMMYFUNCTION("""COMPUTED_VALUE"""),"")</f>
        <v/>
      </c>
      <c r="AA4" s="20" t="str">
        <f ca="1">IFERROR(__xludf.DUMMYFUNCTION("""COMPUTED_VALUE"""),"")</f>
        <v/>
      </c>
      <c r="AB4" s="20" t="str">
        <f ca="1">IFERROR(__xludf.DUMMYFUNCTION("""COMPUTED_VALUE"""),"")</f>
        <v/>
      </c>
      <c r="AC4" s="20" t="str">
        <f ca="1">IFERROR(__xludf.DUMMYFUNCTION("""COMPUTED_VALUE"""),"")</f>
        <v/>
      </c>
      <c r="AD4" s="20" t="str">
        <f ca="1">IFERROR(__xludf.DUMMYFUNCTION("""COMPUTED_VALUE"""),"")</f>
        <v/>
      </c>
      <c r="AE4" s="20" t="str">
        <f ca="1">IFERROR(__xludf.DUMMYFUNCTION("""COMPUTED_VALUE"""),"")</f>
        <v/>
      </c>
      <c r="AF4" s="20" t="str">
        <f ca="1">IFERROR(__xludf.DUMMYFUNCTION("""COMPUTED_VALUE"""),"")</f>
        <v/>
      </c>
      <c r="AG4" s="20" t="str">
        <f ca="1">IFERROR(__xludf.DUMMYFUNCTION("""COMPUTED_VALUE"""),"")</f>
        <v/>
      </c>
      <c r="AH4" s="20" t="str">
        <f ca="1">IFERROR(__xludf.DUMMYFUNCTION("""COMPUTED_VALUE"""),"")</f>
        <v/>
      </c>
      <c r="AI4" s="20" t="str">
        <f ca="1">IFERROR(__xludf.DUMMYFUNCTION("""COMPUTED_VALUE"""),"")</f>
        <v/>
      </c>
      <c r="AJ4" s="20" t="str">
        <f ca="1">IFERROR(__xludf.DUMMYFUNCTION("""COMPUTED_VALUE"""),"")</f>
        <v/>
      </c>
      <c r="AK4" s="20" t="str">
        <f ca="1">IFERROR(__xludf.DUMMYFUNCTION("""COMPUTED_VALUE"""),"")</f>
        <v/>
      </c>
      <c r="AL4" s="20" t="str">
        <f ca="1">IFERROR(__xludf.DUMMYFUNCTION("""COMPUTED_VALUE"""),"")</f>
        <v/>
      </c>
      <c r="AM4" s="20" t="str">
        <f ca="1">IFERROR(__xludf.DUMMYFUNCTION("""COMPUTED_VALUE"""),"")</f>
        <v/>
      </c>
      <c r="AN4" s="20" t="str">
        <f ca="1">IFERROR(__xludf.DUMMYFUNCTION("""COMPUTED_VALUE"""),"")</f>
        <v/>
      </c>
      <c r="AO4" s="20" t="str">
        <f ca="1">IFERROR(__xludf.DUMMYFUNCTION("""COMPUTED_VALUE"""),"")</f>
        <v/>
      </c>
      <c r="AP4" s="20" t="str">
        <f ca="1">IFERROR(__xludf.DUMMYFUNCTION("""COMPUTED_VALUE"""),"")</f>
        <v/>
      </c>
      <c r="AQ4" s="20" t="str">
        <f ca="1">IFERROR(__xludf.DUMMYFUNCTION("""COMPUTED_VALUE"""),"")</f>
        <v/>
      </c>
      <c r="AR4" s="20" t="str">
        <f ca="1">IFERROR(__xludf.DUMMYFUNCTION("""COMPUTED_VALUE"""),"")</f>
        <v/>
      </c>
      <c r="AS4" s="20" t="str">
        <f ca="1">IFERROR(__xludf.DUMMYFUNCTION("""COMPUTED_VALUE"""),"")</f>
        <v/>
      </c>
      <c r="AT4" s="20" t="str">
        <f ca="1">IFERROR(__xludf.DUMMYFUNCTION("""COMPUTED_VALUE"""),"")</f>
        <v/>
      </c>
      <c r="AU4" s="20" t="str">
        <f ca="1">IFERROR(__xludf.DUMMYFUNCTION("""COMPUTED_VALUE"""),"")</f>
        <v/>
      </c>
      <c r="AV4" s="20" t="str">
        <f ca="1">IFERROR(__xludf.DUMMYFUNCTION("""COMPUTED_VALUE"""),"")</f>
        <v/>
      </c>
      <c r="AW4" s="20" t="str">
        <f ca="1">IFERROR(__xludf.DUMMYFUNCTION("""COMPUTED_VALUE"""),"")</f>
        <v/>
      </c>
      <c r="AX4" s="20" t="str">
        <f ca="1">IFERROR(__xludf.DUMMYFUNCTION("""COMPUTED_VALUE"""),"")</f>
        <v/>
      </c>
      <c r="AY4" s="20" t="str">
        <f ca="1">IFERROR(__xludf.DUMMYFUNCTION("""COMPUTED_VALUE"""),"")</f>
        <v/>
      </c>
      <c r="AZ4" s="20" t="str">
        <f ca="1">IFERROR(__xludf.DUMMYFUNCTION("""COMPUTED_VALUE"""),"")</f>
        <v/>
      </c>
      <c r="BA4" s="20" t="str">
        <f ca="1">IFERROR(__xludf.DUMMYFUNCTION("""COMPUTED_VALUE"""),"")</f>
        <v/>
      </c>
      <c r="BB4" s="20" t="str">
        <f ca="1">IFERROR(__xludf.DUMMYFUNCTION("""COMPUTED_VALUE"""),"")</f>
        <v/>
      </c>
      <c r="BC4" s="20" t="str">
        <f ca="1">IFERROR(__xludf.DUMMYFUNCTION("""COMPUTED_VALUE"""),"")</f>
        <v/>
      </c>
      <c r="BD4" s="20" t="str">
        <f ca="1">IFERROR(__xludf.DUMMYFUNCTION("""COMPUTED_VALUE"""),"")</f>
        <v/>
      </c>
      <c r="BE4" s="20" t="str">
        <f ca="1">IFERROR(__xludf.DUMMYFUNCTION("""COMPUTED_VALUE"""),"")</f>
        <v/>
      </c>
      <c r="BF4" s="20" t="str">
        <f ca="1">IFERROR(__xludf.DUMMYFUNCTION("""COMPUTED_VALUE"""),"")</f>
        <v/>
      </c>
      <c r="BG4" s="20" t="str">
        <f ca="1">IFERROR(__xludf.DUMMYFUNCTION("""COMPUTED_VALUE"""),"")</f>
        <v/>
      </c>
      <c r="BH4" s="20" t="str">
        <f ca="1">IFERROR(__xludf.DUMMYFUNCTION("""COMPUTED_VALUE"""),"")</f>
        <v/>
      </c>
      <c r="BI4" s="20" t="str">
        <f ca="1">IFERROR(__xludf.DUMMYFUNCTION("""COMPUTED_VALUE"""),"")</f>
        <v/>
      </c>
      <c r="BJ4" s="20" t="str">
        <f ca="1">IFERROR(__xludf.DUMMYFUNCTION("""COMPUTED_VALUE"""),"")</f>
        <v/>
      </c>
      <c r="BK4" s="20" t="str">
        <f ca="1">IFERROR(__xludf.DUMMYFUNCTION("""COMPUTED_VALUE"""),"")</f>
        <v/>
      </c>
      <c r="BL4" s="20" t="str">
        <f ca="1">IFERROR(__xludf.DUMMYFUNCTION("""COMPUTED_VALUE"""),"")</f>
        <v/>
      </c>
      <c r="BM4" s="20" t="str">
        <f ca="1">IFERROR(__xludf.DUMMYFUNCTION("""COMPUTED_VALUE"""),"")</f>
        <v/>
      </c>
      <c r="BN4" s="20" t="str">
        <f ca="1">IFERROR(__xludf.DUMMYFUNCTION("""COMPUTED_VALUE"""),"")</f>
        <v/>
      </c>
      <c r="BO4" s="20" t="str">
        <f ca="1">IFERROR(__xludf.DUMMYFUNCTION("""COMPUTED_VALUE"""),"")</f>
        <v/>
      </c>
      <c r="BP4" s="20" t="str">
        <f ca="1">IFERROR(__xludf.DUMMYFUNCTION("""COMPUTED_VALUE"""),"")</f>
        <v/>
      </c>
      <c r="BQ4" s="20" t="str">
        <f ca="1">IFERROR(__xludf.DUMMYFUNCTION("""COMPUTED_VALUE"""),"")</f>
        <v/>
      </c>
      <c r="BR4" s="20" t="str">
        <f ca="1">IFERROR(__xludf.DUMMYFUNCTION("""COMPUTED_VALUE"""),"")</f>
        <v/>
      </c>
      <c r="BS4" s="20" t="str">
        <f ca="1">IFERROR(__xludf.DUMMYFUNCTION("""COMPUTED_VALUE"""),"")</f>
        <v/>
      </c>
      <c r="BT4" s="20" t="str">
        <f ca="1">IFERROR(__xludf.DUMMYFUNCTION("""COMPUTED_VALUE"""),"")</f>
        <v/>
      </c>
      <c r="BU4" s="20" t="str">
        <f ca="1">IFERROR(__xludf.DUMMYFUNCTION("""COMPUTED_VALUE"""),"")</f>
        <v/>
      </c>
      <c r="BV4" s="20" t="str">
        <f ca="1">IFERROR(__xludf.DUMMYFUNCTION("""COMPUTED_VALUE"""),"")</f>
        <v/>
      </c>
      <c r="BW4" s="20" t="str">
        <f ca="1">IFERROR(__xludf.DUMMYFUNCTION("""COMPUTED_VALUE"""),"")</f>
        <v/>
      </c>
      <c r="BX4" s="20" t="str">
        <f ca="1">IFERROR(__xludf.DUMMYFUNCTION("""COMPUTED_VALUE"""),"")</f>
        <v/>
      </c>
      <c r="BY4" s="20" t="str">
        <f ca="1">IFERROR(__xludf.DUMMYFUNCTION("""COMPUTED_VALUE"""),"")</f>
        <v/>
      </c>
      <c r="BZ4" s="20" t="str">
        <f ca="1">IFERROR(__xludf.DUMMYFUNCTION("""COMPUTED_VALUE"""),"")</f>
        <v/>
      </c>
      <c r="CA4" s="20" t="str">
        <f ca="1">IFERROR(__xludf.DUMMYFUNCTION("""COMPUTED_VALUE"""),"")</f>
        <v/>
      </c>
      <c r="CB4" s="20" t="str">
        <f ca="1">IFERROR(__xludf.DUMMYFUNCTION("""COMPUTED_VALUE"""),"")</f>
        <v/>
      </c>
      <c r="CC4" s="20" t="str">
        <f ca="1">IFERROR(__xludf.DUMMYFUNCTION("""COMPUTED_VALUE"""),"")</f>
        <v/>
      </c>
      <c r="CD4" s="20" t="str">
        <f ca="1">IFERROR(__xludf.DUMMYFUNCTION("""COMPUTED_VALUE"""),"")</f>
        <v/>
      </c>
      <c r="CE4" s="20" t="str">
        <f ca="1">IFERROR(__xludf.DUMMYFUNCTION("""COMPUTED_VALUE"""),"")</f>
        <v/>
      </c>
      <c r="CF4" s="20" t="str">
        <f ca="1">IFERROR(__xludf.DUMMYFUNCTION("""COMPUTED_VALUE"""),"")</f>
        <v/>
      </c>
      <c r="CG4" s="20" t="str">
        <f ca="1">IFERROR(__xludf.DUMMYFUNCTION("""COMPUTED_VALUE"""),"")</f>
        <v/>
      </c>
      <c r="CH4" s="20" t="str">
        <f ca="1">IFERROR(__xludf.DUMMYFUNCTION("""COMPUTED_VALUE"""),"")</f>
        <v/>
      </c>
      <c r="CI4" s="20" t="str">
        <f ca="1">IFERROR(__xludf.DUMMYFUNCTION("""COMPUTED_VALUE"""),"")</f>
        <v/>
      </c>
      <c r="CJ4" s="20" t="str">
        <f ca="1">IFERROR(__xludf.DUMMYFUNCTION("""COMPUTED_VALUE"""),"")</f>
        <v/>
      </c>
      <c r="CK4" s="20" t="str">
        <f ca="1">IFERROR(__xludf.DUMMYFUNCTION("""COMPUTED_VALUE"""),"")</f>
        <v/>
      </c>
      <c r="CL4" s="20" t="str">
        <f ca="1">IFERROR(__xludf.DUMMYFUNCTION("""COMPUTED_VALUE"""),"")</f>
        <v/>
      </c>
      <c r="CM4" s="20" t="str">
        <f ca="1">IFERROR(__xludf.DUMMYFUNCTION("""COMPUTED_VALUE"""),"")</f>
        <v/>
      </c>
      <c r="CN4" s="20" t="str">
        <f ca="1">IFERROR(__xludf.DUMMYFUNCTION("""COMPUTED_VALUE"""),"")</f>
        <v/>
      </c>
      <c r="CO4" s="20" t="str">
        <f ca="1">IFERROR(__xludf.DUMMYFUNCTION("""COMPUTED_VALUE"""),"")</f>
        <v/>
      </c>
      <c r="CP4" s="20" t="str">
        <f ca="1">IFERROR(__xludf.DUMMYFUNCTION("""COMPUTED_VALUE"""),"")</f>
        <v/>
      </c>
      <c r="CQ4" s="20" t="str">
        <f ca="1">IFERROR(__xludf.DUMMYFUNCTION("""COMPUTED_VALUE"""),"")</f>
        <v/>
      </c>
      <c r="CR4" s="20" t="str">
        <f ca="1">IFERROR(__xludf.DUMMYFUNCTION("""COMPUTED_VALUE"""),"")</f>
        <v/>
      </c>
      <c r="CS4" s="20" t="str">
        <f ca="1">IFERROR(__xludf.DUMMYFUNCTION("""COMPUTED_VALUE"""),"")</f>
        <v/>
      </c>
      <c r="CT4" s="20" t="str">
        <f ca="1">IFERROR(__xludf.DUMMYFUNCTION("""COMPUTED_VALUE"""),"")</f>
        <v/>
      </c>
      <c r="CU4" s="20" t="str">
        <f ca="1">IFERROR(__xludf.DUMMYFUNCTION("""COMPUTED_VALUE"""),"")</f>
        <v/>
      </c>
      <c r="CV4" s="20" t="str">
        <f ca="1">IFERROR(__xludf.DUMMYFUNCTION("""COMPUTED_VALUE"""),"")</f>
        <v/>
      </c>
      <c r="CW4" s="20" t="str">
        <f ca="1">IFERROR(__xludf.DUMMYFUNCTION("""COMPUTED_VALUE"""),"")</f>
        <v/>
      </c>
      <c r="CX4" s="20" t="str">
        <f ca="1">IFERROR(__xludf.DUMMYFUNCTION("""COMPUTED_VALUE"""),"")</f>
        <v/>
      </c>
      <c r="CY4" s="20" t="str">
        <f ca="1">IFERROR(__xludf.DUMMYFUNCTION("""COMPUTED_VALUE"""),"")</f>
        <v/>
      </c>
      <c r="CZ4" s="20" t="str">
        <f ca="1">IFERROR(__xludf.DUMMYFUNCTION("""COMPUTED_VALUE"""),"")</f>
        <v/>
      </c>
      <c r="DA4" s="20" t="str">
        <f ca="1">IFERROR(__xludf.DUMMYFUNCTION("""COMPUTED_VALUE"""),"")</f>
        <v/>
      </c>
      <c r="DB4" s="20" t="str">
        <f ca="1">IFERROR(__xludf.DUMMYFUNCTION("""COMPUTED_VALUE"""),"")</f>
        <v/>
      </c>
      <c r="DC4" s="20" t="str">
        <f ca="1">IFERROR(__xludf.DUMMYFUNCTION("""COMPUTED_VALUE"""),"")</f>
        <v/>
      </c>
      <c r="DD4" s="20" t="str">
        <f ca="1">IFERROR(__xludf.DUMMYFUNCTION("""COMPUTED_VALUE"""),"")</f>
        <v/>
      </c>
      <c r="DE4" s="20" t="str">
        <f ca="1">IFERROR(__xludf.DUMMYFUNCTION("""COMPUTED_VALUE"""),"")</f>
        <v/>
      </c>
      <c r="DF4" s="20" t="str">
        <f ca="1">IFERROR(__xludf.DUMMYFUNCTION("""COMPUTED_VALUE"""),"")</f>
        <v/>
      </c>
      <c r="DG4" s="20" t="str">
        <f ca="1">IFERROR(__xludf.DUMMYFUNCTION("""COMPUTED_VALUE"""),"")</f>
        <v/>
      </c>
      <c r="DH4" s="20" t="str">
        <f ca="1">IFERROR(__xludf.DUMMYFUNCTION("""COMPUTED_VALUE"""),"")</f>
        <v/>
      </c>
      <c r="DI4" s="20" t="str">
        <f ca="1">IFERROR(__xludf.DUMMYFUNCTION("""COMPUTED_VALUE"""),"")</f>
        <v/>
      </c>
      <c r="DJ4" s="20" t="str">
        <f ca="1">IFERROR(__xludf.DUMMYFUNCTION("""COMPUTED_VALUE"""),"")</f>
        <v/>
      </c>
      <c r="DK4" s="20" t="str">
        <f ca="1">IFERROR(__xludf.DUMMYFUNCTION("""COMPUTED_VALUE"""),"")</f>
        <v/>
      </c>
      <c r="DL4" s="20" t="str">
        <f ca="1">IFERROR(__xludf.DUMMYFUNCTION("""COMPUTED_VALUE"""),"")</f>
        <v/>
      </c>
      <c r="DM4" s="20" t="str">
        <f ca="1">IFERROR(__xludf.DUMMYFUNCTION("""COMPUTED_VALUE"""),"")</f>
        <v/>
      </c>
      <c r="DN4" s="20" t="str">
        <f ca="1">IFERROR(__xludf.DUMMYFUNCTION("""COMPUTED_VALUE"""),"")</f>
        <v/>
      </c>
      <c r="DO4" s="20" t="str">
        <f ca="1">IFERROR(__xludf.DUMMYFUNCTION("""COMPUTED_VALUE"""),"")</f>
        <v/>
      </c>
      <c r="DP4" s="20" t="str">
        <f ca="1">IFERROR(__xludf.DUMMYFUNCTION("""COMPUTED_VALUE"""),"")</f>
        <v/>
      </c>
      <c r="DQ4" s="20" t="str">
        <f ca="1">IFERROR(__xludf.DUMMYFUNCTION("""COMPUTED_VALUE"""),"")</f>
        <v/>
      </c>
      <c r="DR4" s="20" t="str">
        <f ca="1">IFERROR(__xludf.DUMMYFUNCTION("""COMPUTED_VALUE"""),"")</f>
        <v/>
      </c>
      <c r="DS4" s="20" t="str">
        <f ca="1">IFERROR(__xludf.DUMMYFUNCTION("""COMPUTED_VALUE"""),"")</f>
        <v/>
      </c>
      <c r="DT4" s="20" t="str">
        <f ca="1">IFERROR(__xludf.DUMMYFUNCTION("""COMPUTED_VALUE"""),"")</f>
        <v/>
      </c>
      <c r="DU4" s="20" t="str">
        <f ca="1">IFERROR(__xludf.DUMMYFUNCTION("""COMPUTED_VALUE"""),"")</f>
        <v/>
      </c>
      <c r="DV4" s="20" t="str">
        <f ca="1">IFERROR(__xludf.DUMMYFUNCTION("""COMPUTED_VALUE"""),"")</f>
        <v/>
      </c>
      <c r="DW4" s="20" t="str">
        <f ca="1">IFERROR(__xludf.DUMMYFUNCTION("""COMPUTED_VALUE"""),"")</f>
        <v/>
      </c>
      <c r="DX4" s="20" t="str">
        <f ca="1">IFERROR(__xludf.DUMMYFUNCTION("""COMPUTED_VALUE"""),"")</f>
        <v/>
      </c>
      <c r="DY4" s="20" t="str">
        <f ca="1">IFERROR(__xludf.DUMMYFUNCTION("""COMPUTED_VALUE"""),"")</f>
        <v/>
      </c>
      <c r="DZ4" s="20" t="str">
        <f ca="1">IFERROR(__xludf.DUMMYFUNCTION("""COMPUTED_VALUE"""),"")</f>
        <v/>
      </c>
      <c r="EA4" s="20" t="str">
        <f ca="1">IFERROR(__xludf.DUMMYFUNCTION("""COMPUTED_VALUE"""),"")</f>
        <v/>
      </c>
      <c r="EB4" s="20" t="str">
        <f ca="1">IFERROR(__xludf.DUMMYFUNCTION("""COMPUTED_VALUE"""),"")</f>
        <v/>
      </c>
      <c r="EC4" s="20" t="str">
        <f ca="1">IFERROR(__xludf.DUMMYFUNCTION("""COMPUTED_VALUE"""),"")</f>
        <v/>
      </c>
      <c r="ED4" s="20" t="str">
        <f ca="1">IFERROR(__xludf.DUMMYFUNCTION("""COMPUTED_VALUE"""),"")</f>
        <v/>
      </c>
      <c r="EE4" s="20" t="str">
        <f ca="1">IFERROR(__xludf.DUMMYFUNCTION("""COMPUTED_VALUE"""),"")</f>
        <v/>
      </c>
      <c r="EF4" s="20" t="str">
        <f ca="1">IFERROR(__xludf.DUMMYFUNCTION("""COMPUTED_VALUE"""),"")</f>
        <v/>
      </c>
      <c r="EG4" s="20" t="str">
        <f ca="1">IFERROR(__xludf.DUMMYFUNCTION("""COMPUTED_VALUE"""),"")</f>
        <v/>
      </c>
      <c r="EH4" s="20" t="str">
        <f ca="1">IFERROR(__xludf.DUMMYFUNCTION("""COMPUTED_VALUE"""),"")</f>
        <v/>
      </c>
      <c r="EI4" s="20" t="str">
        <f ca="1">IFERROR(__xludf.DUMMYFUNCTION("""COMPUTED_VALUE"""),"")</f>
        <v/>
      </c>
      <c r="EJ4" s="20" t="str">
        <f ca="1">IFERROR(__xludf.DUMMYFUNCTION("""COMPUTED_VALUE"""),"")</f>
        <v/>
      </c>
      <c r="EK4" s="20" t="str">
        <f ca="1">IFERROR(__xludf.DUMMYFUNCTION("""COMPUTED_VALUE"""),"")</f>
        <v/>
      </c>
      <c r="EL4" s="20" t="str">
        <f ca="1">IFERROR(__xludf.DUMMYFUNCTION("""COMPUTED_VALUE"""),"")</f>
        <v/>
      </c>
      <c r="EM4" s="20" t="str">
        <f ca="1">IFERROR(__xludf.DUMMYFUNCTION("""COMPUTED_VALUE"""),"")</f>
        <v/>
      </c>
      <c r="EN4" s="20" t="str">
        <f ca="1">IFERROR(__xludf.DUMMYFUNCTION("""COMPUTED_VALUE"""),"")</f>
        <v/>
      </c>
      <c r="EO4" s="20" t="str">
        <f ca="1">IFERROR(__xludf.DUMMYFUNCTION("""COMPUTED_VALUE"""),"")</f>
        <v/>
      </c>
      <c r="EP4" s="20" t="str">
        <f ca="1">IFERROR(__xludf.DUMMYFUNCTION("""COMPUTED_VALUE"""),"")</f>
        <v/>
      </c>
      <c r="EQ4" s="20" t="str">
        <f ca="1">IFERROR(__xludf.DUMMYFUNCTION("""COMPUTED_VALUE"""),"")</f>
        <v/>
      </c>
      <c r="ER4" s="20" t="str">
        <f ca="1">IFERROR(__xludf.DUMMYFUNCTION("""COMPUTED_VALUE"""),"")</f>
        <v/>
      </c>
      <c r="ES4" s="20" t="str">
        <f ca="1">IFERROR(__xludf.DUMMYFUNCTION("""COMPUTED_VALUE"""),"")</f>
        <v/>
      </c>
      <c r="ET4" s="20" t="str">
        <f ca="1">IFERROR(__xludf.DUMMYFUNCTION("""COMPUTED_VALUE"""),"")</f>
        <v/>
      </c>
      <c r="EU4" s="20" t="str">
        <f ca="1">IFERROR(__xludf.DUMMYFUNCTION("""COMPUTED_VALUE"""),"")</f>
        <v/>
      </c>
      <c r="EV4" s="20" t="str">
        <f ca="1">IFERROR(__xludf.DUMMYFUNCTION("""COMPUTED_VALUE"""),"")</f>
        <v/>
      </c>
      <c r="EW4" s="20" t="str">
        <f ca="1">IFERROR(__xludf.DUMMYFUNCTION("""COMPUTED_VALUE"""),"")</f>
        <v/>
      </c>
      <c r="EX4" s="20" t="str">
        <f ca="1">IFERROR(__xludf.DUMMYFUNCTION("""COMPUTED_VALUE"""),"")</f>
        <v/>
      </c>
      <c r="EY4" s="20" t="str">
        <f ca="1">IFERROR(__xludf.DUMMYFUNCTION("""COMPUTED_VALUE"""),"")</f>
        <v/>
      </c>
      <c r="EZ4" s="20" t="str">
        <f ca="1">IFERROR(__xludf.DUMMYFUNCTION("""COMPUTED_VALUE"""),"")</f>
        <v/>
      </c>
      <c r="FA4" s="20" t="str">
        <f ca="1">IFERROR(__xludf.DUMMYFUNCTION("""COMPUTED_VALUE"""),"")</f>
        <v/>
      </c>
      <c r="FB4" s="20" t="str">
        <f ca="1">IFERROR(__xludf.DUMMYFUNCTION("""COMPUTED_VALUE"""),"")</f>
        <v/>
      </c>
      <c r="FC4" s="20" t="str">
        <f ca="1">IFERROR(__xludf.DUMMYFUNCTION("""COMPUTED_VALUE"""),"")</f>
        <v/>
      </c>
      <c r="FD4" s="20" t="str">
        <f ca="1">IFERROR(__xludf.DUMMYFUNCTION("""COMPUTED_VALUE"""),"")</f>
        <v/>
      </c>
      <c r="FE4" s="20" t="str">
        <f ca="1">IFERROR(__xludf.DUMMYFUNCTION("""COMPUTED_VALUE"""),"")</f>
        <v/>
      </c>
      <c r="FF4" s="20" t="str">
        <f ca="1">IFERROR(__xludf.DUMMYFUNCTION("""COMPUTED_VALUE"""),"")</f>
        <v/>
      </c>
      <c r="FG4" s="20" t="str">
        <f ca="1">IFERROR(__xludf.DUMMYFUNCTION("""COMPUTED_VALUE"""),"")</f>
        <v/>
      </c>
      <c r="FH4" s="20" t="str">
        <f ca="1">IFERROR(__xludf.DUMMYFUNCTION("""COMPUTED_VALUE"""),"")</f>
        <v/>
      </c>
      <c r="FI4" s="20" t="str">
        <f ca="1">IFERROR(__xludf.DUMMYFUNCTION("""COMPUTED_VALUE"""),"")</f>
        <v/>
      </c>
      <c r="FJ4" s="20" t="str">
        <f ca="1">IFERROR(__xludf.DUMMYFUNCTION("""COMPUTED_VALUE"""),"")</f>
        <v/>
      </c>
      <c r="FK4" s="20" t="str">
        <f ca="1">IFERROR(__xludf.DUMMYFUNCTION("""COMPUTED_VALUE"""),"")</f>
        <v/>
      </c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Outstanding")</f>
        <v>Shares Outstanding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IFERROR(__xludf.DUMMYFUNCTION("""COMPUTED_VALUE"""),"")</f>
        <v/>
      </c>
      <c r="FC5" s="24" t="str">
        <f ca="1">IFERROR(__xludf.DUMMYFUNCTION("""COMPUTED_VALUE"""),"")</f>
        <v/>
      </c>
      <c r="FD5" s="24" t="str">
        <f ca="1">IFERROR(__xludf.DUMMYFUNCTION("""COMPUTED_VALUE"""),"")</f>
        <v/>
      </c>
      <c r="FE5" s="24" t="str">
        <f ca="1">IFERROR(__xludf.DUMMYFUNCTION("""COMPUTED_VALUE"""),"")</f>
        <v/>
      </c>
      <c r="FF5" s="24" t="str">
        <f ca="1">IFERROR(__xludf.DUMMYFUNCTION("""COMPUTED_VALUE"""),"")</f>
        <v/>
      </c>
      <c r="FG5" s="24" t="str">
        <f ca="1">IFERROR(__xludf.DUMMYFUNCTION("""COMPUTED_VALUE"""),"")</f>
        <v/>
      </c>
      <c r="FH5" s="24" t="str">
        <f ca="1">IFERROR(__xludf.DUMMYFUNCTION("""COMPUTED_VALUE"""),"")</f>
        <v/>
      </c>
      <c r="FI5" s="24" t="str">
        <f ca="1">IFERROR(__xludf.DUMMYFUNCTION("""COMPUTED_VALUE"""),"")</f>
        <v/>
      </c>
      <c r="FJ5" s="24" t="str">
        <f ca="1">IFERROR(__xludf.DUMMYFUNCTION("""COMPUTED_VALUE"""),"")</f>
        <v/>
      </c>
      <c r="FK5" s="24" t="str">
        <f ca="1">IFERROR(__xludf.DUMMYFUNCTION("""COMPUTED_VALUE"""),"")</f>
        <v/>
      </c>
    </row>
    <row r="6" spans="1:167" ht="15.75" customHeight="1" x14ac:dyDescent="0.2">
      <c r="A6" s="7"/>
      <c r="B6" s="7"/>
      <c r="C6" s="7" t="s">
        <v>20</v>
      </c>
      <c r="D6" s="7">
        <v>300</v>
      </c>
      <c r="E6" s="25"/>
      <c r="F6" s="7" t="s">
        <v>44</v>
      </c>
      <c r="G6" s="7">
        <v>541</v>
      </c>
      <c r="H6" s="7" t="s">
        <v>45</v>
      </c>
      <c r="I6" s="7">
        <v>0</v>
      </c>
      <c r="J6" s="5"/>
      <c r="K6" s="7">
        <v>0</v>
      </c>
      <c r="L6" s="5"/>
      <c r="M6" s="5"/>
      <c r="N6" s="28">
        <v>-162300</v>
      </c>
      <c r="O6" s="7" t="s">
        <v>46</v>
      </c>
      <c r="Q6" s="28">
        <v>-162300</v>
      </c>
      <c r="T6" s="6" t="s">
        <v>47</v>
      </c>
      <c r="U6" s="6" t="s">
        <v>48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300</v>
      </c>
      <c r="AG6" s="6">
        <v>0</v>
      </c>
      <c r="AH6" s="6">
        <v>0</v>
      </c>
      <c r="AI6" s="6">
        <v>0</v>
      </c>
      <c r="AJ6" s="6">
        <v>0</v>
      </c>
      <c r="AK6" s="28">
        <v>-162300</v>
      </c>
      <c r="AN6" s="6" t="s">
        <v>21</v>
      </c>
      <c r="AP6" s="6" t="s">
        <v>45</v>
      </c>
      <c r="AQ6" s="6" t="s">
        <v>20</v>
      </c>
      <c r="AV6" s="6">
        <v>1</v>
      </c>
      <c r="AW6" s="28">
        <v>-162300</v>
      </c>
      <c r="AX6" s="6">
        <v>0</v>
      </c>
      <c r="AY6" s="6">
        <v>0</v>
      </c>
      <c r="AZ6" s="6">
        <v>0</v>
      </c>
      <c r="BD6" s="28">
        <v>-162300</v>
      </c>
      <c r="BJ6" s="6">
        <v>0</v>
      </c>
      <c r="BK6" s="6">
        <v>0</v>
      </c>
      <c r="BL6" s="6">
        <v>0</v>
      </c>
      <c r="BM6" s="6">
        <v>0</v>
      </c>
      <c r="BO6" s="26">
        <v>-162300</v>
      </c>
      <c r="BP6" s="6">
        <v>0</v>
      </c>
      <c r="BR6" s="6" t="s">
        <v>23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26">
        <v>-162300</v>
      </c>
      <c r="CE6" s="6">
        <v>0</v>
      </c>
      <c r="CF6" s="6">
        <v>0</v>
      </c>
      <c r="CG6" s="26">
        <v>-162300</v>
      </c>
      <c r="CW6" s="6" t="s">
        <v>44</v>
      </c>
    </row>
    <row r="7" spans="1:167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_Modules</vt:lpstr>
      <vt:lpstr>_Settings</vt:lpstr>
      <vt:lpstr>_MasterData</vt:lpstr>
      <vt:lpstr>ShowMasterFundOnTT</vt:lpstr>
      <vt:lpstr>UpdateMasterFundOnTT</vt:lpstr>
      <vt:lpstr>CreateStageOrder</vt:lpstr>
      <vt:lpstr>TradeNewSubOrder</vt:lpstr>
      <vt:lpstr>CreateNewSubOrder</vt:lpstr>
      <vt:lpstr>AddFillsSubOrder</vt:lpstr>
      <vt:lpstr>EditAddFillsDetails</vt:lpstr>
      <vt:lpstr>VerifyOrder</vt:lpstr>
      <vt:lpstr>VerifySubOrder</vt:lpstr>
      <vt:lpstr>GetDataAllocation</vt:lpstr>
      <vt:lpstr>CheckAllocatedGroups</vt:lpstr>
      <vt:lpstr>Unallocate</vt:lpstr>
      <vt:lpstr>SelectUnallocatedGroup</vt:lpstr>
      <vt:lpstr>EnterAccountValuesToAllocate</vt:lpstr>
      <vt:lpstr>CheckPortfolioManagement</vt:lpstr>
      <vt:lpstr>SelectTradeOnOrderGrid</vt:lpstr>
      <vt:lpstr>VerifySubOrder1</vt:lpstr>
      <vt:lpstr>ReplaceSubOrder</vt:lpstr>
      <vt:lpstr>CreateReplaceOrder</vt:lpstr>
      <vt:lpstr>VerifyWorkingSubs</vt:lpstr>
      <vt:lpstr>GetDataAllocation1</vt:lpstr>
      <vt:lpstr>CheckAllocatedGroups1</vt:lpstr>
      <vt:lpstr>Unallocate1</vt:lpstr>
      <vt:lpstr>CheckUnallocatedGroups</vt:lpstr>
      <vt:lpstr>VerifyWorkingSubs1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2021-08-04T10:44:10Z</dcterms:modified>
</cp:coreProperties>
</file>