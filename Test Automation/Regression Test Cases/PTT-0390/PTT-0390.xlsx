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SetDollarAmountPermission" sheetId="5" r:id="rId7"/>
    <sheet state="visible" name="CustomOrderTT" sheetId="6" r:id="rId8"/>
    <sheet state="visible" name="VerifyTT" sheetId="7" r:id="rId9"/>
    <sheet state="visible" name="CalculatePTT" sheetId="8" r:id="rId10"/>
    <sheet state="visible" name="VerifyTT1" sheetId="9" r:id="rId11"/>
    <sheet state="visible" name="GetDailyCash" sheetId="10" r:id="rId12"/>
    <sheet state="visible" name="UpdateMultipleDailyCash" sheetId="11" r:id="rId13"/>
    <sheet state="visible" name="TradePTT" sheetId="12" r:id="rId14"/>
    <sheet state="visible" name="VerifyPTT" sheetId="13" r:id="rId15"/>
  </sheets>
  <definedNames/>
  <calcPr/>
</workbook>
</file>

<file path=xl/sharedStrings.xml><?xml version="1.0" encoding="utf-8"?>
<sst xmlns="http://schemas.openxmlformats.org/spreadsheetml/2006/main" count="135" uniqueCount="70">
  <si>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</si>
  <si>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</si>
  <si>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</si>
  <si>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</si>
  <si>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</si>
  <si>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</si>
  <si>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</si>
  <si>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</si>
  <si>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</si>
  <si>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</si>
  <si>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</si>
  <si>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</si>
  <si>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</si>
  <si>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</si>
  <si>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</si>
  <si>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</si>
  <si>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Symbol</t>
  </si>
  <si>
    <t>TradeBy</t>
  </si>
  <si>
    <t>SAP</t>
  </si>
  <si>
    <t>AMT</t>
  </si>
  <si>
    <t>Admin</t>
  </si>
  <si>
    <t>SetDollarAmountPermission</t>
  </si>
  <si>
    <t>CustomOrderTT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</si>
  <si>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</si>
  <si>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</si>
  <si>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</si>
  <si>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</si>
  <si>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</si>
  <si>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</si>
  <si>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</si>
  <si>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</si>
  <si>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</si>
  <si>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</si>
  <si>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</si>
  <si>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</si>
  <si>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</si>
  <si>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</si>
  <si>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</si>
  <si>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</si>
  <si>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</si>
  <si>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</si>
  <si>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</si>
  <si>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</si>
  <si>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</si>
  <si>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</si>
  <si>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</si>
  <si>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</si>
  <si>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</si>
  <si>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</si>
  <si>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</si>
  <si>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</si>
  <si>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</si>
  <si>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</si>
  <si>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</si>
  <si>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BookAsSwap</t>
  </si>
  <si>
    <t>RoundLot</t>
  </si>
  <si>
    <t>Increment</t>
  </si>
  <si>
    <t>Decrement</t>
  </si>
  <si>
    <t>VerifyTT</t>
  </si>
  <si>
    <t>PTT</t>
  </si>
  <si>
    <t>CalculatePTT</t>
  </si>
  <si>
    <t>AAPL</t>
  </si>
  <si>
    <t>Allocation1</t>
  </si>
  <si>
    <t>DailyValuation</t>
  </si>
  <si>
    <t>GetDailyCash</t>
  </si>
  <si>
    <t>UpdateMultipleDailyCash</t>
  </si>
  <si>
    <t>UDS</t>
  </si>
  <si>
    <t>TradePTT</t>
  </si>
  <si>
    <t>VerifyPTT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</si>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</sst>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IFERROR(__xludf.DUMMYFUNCTION("""COMPUTED_VALUE"""),"TT")</f>
        <v>TT</v>
      </c>
      <c r="C5" s="32" t="str">
        <f>IFERROR(__xludf.DUMMYFUNCTION("""COMPUTED_VALUE"""),"PTT")</f>
        <v>PTT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23</v>
      </c>
      <c r="D5" s="27" t="s">
        <v>24</v>
      </c>
      <c r="E5" s="27" t="s">
        <v>25</v>
      </c>
      <c r="F5" s="35" t="s">
        <v>26</v>
      </c>
      <c r="G5" s="27" t="s">
        <v>27</v>
      </c>
      <c r="H5" s="27" t="s">
        <v>28</v>
      </c>
      <c r="I5" s="27" t="s">
        <v>29</v>
      </c>
      <c r="J5" s="27" t="s">
        <v>30</v>
      </c>
      <c r="K5" s="27" t="s">
        <v>31</v>
      </c>
      <c r="L5" s="27" t="s">
        <v>32</v>
      </c>
      <c r="M5" s="27" t="s">
        <v>33</v>
      </c>
      <c r="N5" s="27" t="s">
        <v>34</v>
      </c>
      <c r="O5" s="27" t="s">
        <v>35</v>
      </c>
      <c r="P5" s="27" t="s">
        <v>36</v>
      </c>
      <c r="Q5" s="27" t="s">
        <v>37</v>
      </c>
      <c r="R5" s="27" t="s">
        <v>38</v>
      </c>
      <c r="S5" s="27" t="s">
        <v>39</v>
      </c>
      <c r="T5" s="36" t="s">
        <v>40</v>
      </c>
      <c r="U5" s="36" t="s">
        <v>41</v>
      </c>
      <c r="V5" s="36" t="s">
        <v>42</v>
      </c>
      <c r="W5" s="36" t="s">
        <v>43</v>
      </c>
      <c r="X5" s="36" t="s">
        <v>44</v>
      </c>
      <c r="Y5" s="36" t="s">
        <v>45</v>
      </c>
      <c r="Z5" s="36" t="s">
        <v>46</v>
      </c>
      <c r="AA5" s="36" t="s">
        <v>47</v>
      </c>
      <c r="AB5" s="36" t="s">
        <v>48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17</v>
      </c>
      <c r="AI5" s="36" t="s">
        <v>54</v>
      </c>
      <c r="AJ5" s="36" t="s">
        <v>55</v>
      </c>
      <c r="AK5" s="36" t="s">
        <v>56</v>
      </c>
      <c r="AL5" s="36" t="s">
        <v>57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18</v>
      </c>
      <c r="C6" s="12">
        <v>-123.0</v>
      </c>
      <c r="D6" s="12">
        <v>10.0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H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IFERROR(__xludf.DUMMYFUNCTION("""COMPUTED_VALUE"""),"MasterFund")</f>
        <v>MasterFund</v>
      </c>
      <c r="AG5" s="34" t="str">
        <f>IFERROR(__xludf.DUMMYFUNCTION("""COMPUTED_VALUE"""),"RoundLotStrip")</f>
        <v>RoundLotStrip</v>
      </c>
      <c r="AH5" s="34" t="str">
        <f>IFERROR(__xludf.DUMMYFUNCTION("""COMPUTED_VALUE"""),"Round Lots")</f>
        <v>Round Lots</v>
      </c>
      <c r="AI5" s="34" t="str">
        <f>IFERROR(__xludf.DUMMYFUNCTION("""COMPUTED_VALUE"""),"Button_Status")</f>
        <v>Button_Status</v>
      </c>
      <c r="AJ5" s="34" t="str">
        <f>IFERROR(__xludf.DUMMYFUNCTION("""COMPUTED_VALUE"""),"Position")</f>
        <v>Position</v>
      </c>
      <c r="AK5" s="34" t="str">
        <f>IFERROR(__xludf.DUMMYFUNCTION("""COMPUTED_VALUE"""),"Symbol Name")</f>
        <v>Symbol Name</v>
      </c>
      <c r="AL5" s="34" t="str">
        <f>IFERROR(__xludf.DUMMYFUNCTION("""COMPUTED_VALUE"""),"Last")</f>
        <v>Last</v>
      </c>
      <c r="AM5" s="34" t="str">
        <f>IFERROR(__xludf.DUMMYFUNCTION("""COMPUTED_VALUE"""),"Change")</f>
        <v>Change</v>
      </c>
      <c r="AN5" s="34" t="str">
        <f>IFERROR(__xludf.DUMMYFUNCTION("""COMPUTED_VALUE"""),"Bid")</f>
        <v>Bid</v>
      </c>
      <c r="AO5" s="34" t="str">
        <f>IFERROR(__xludf.DUMMYFUNCTION("""COMPUTED_VALUE"""),"Ask")</f>
        <v>Ask</v>
      </c>
      <c r="AP5" s="34" t="str">
        <f>IFERROR(__xludf.DUMMYFUNCTION("""COMPUTED_VALUE"""),"Notional(Base)")</f>
        <v>Notional(Base)</v>
      </c>
      <c r="AQ5" s="34" t="str">
        <f>IFERROR(__xludf.DUMMYFUNCTION("""COMPUTED_VALUE"""),"Notional(Local)")</f>
        <v>Notional(Local)</v>
      </c>
      <c r="AR5" s="34" t="str">
        <f>IFERROR(__xludf.DUMMYFUNCTION("""COMPUTED_VALUE"""),"Exposure")</f>
        <v>Exposure</v>
      </c>
      <c r="AS5" s="34" t="str">
        <f>IFERROR(__xludf.DUMMYFUNCTION("""COMPUTED_VALUE"""),"Day P&amp;L")</f>
        <v>Day P&amp;L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18</v>
      </c>
      <c r="C6" s="8"/>
      <c r="D6" s="12">
        <v>23.0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IFERROR(__xludf.DUMMYFUNCTION("""COMPUTED_VALUE"""),"Ticker")</f>
        <v>Ticker</v>
      </c>
      <c r="C5" s="32" t="str">
        <f>IFERROR(__xludf.DUMMYFUNCTION("""COMPUTED_VALUE"""),"Add/Set")</f>
        <v>Add/Set</v>
      </c>
      <c r="D5" s="32" t="str">
        <f>IFERROR(__xludf.DUMMYFUNCTION("""COMPUTED_VALUE"""),"Type")</f>
        <v>Type</v>
      </c>
      <c r="E5" s="32" t="str">
        <f>IFERROR(__xludf.DUMMYFUNCTION("""COMPUTED_VALUE"""),"Target")</f>
        <v>Target</v>
      </c>
      <c r="F5" s="33" t="str">
        <f>IFERROR(__xludf.DUMMYFUNCTION("""COMPUTED_VALUE"""),"Price")</f>
        <v>Price</v>
      </c>
      <c r="G5" s="32" t="str">
        <f>IFERROR(__xludf.DUMMYFUNCTION("""COMPUTED_VALUE"""),"Combined Account Total")</f>
        <v>Combined Account Total</v>
      </c>
      <c r="H5" s="32" t="str">
        <f>IFERROR(__xludf.DUMMYFUNCTION("""COMPUTED_VALUE"""),"MasterFund/Account")</f>
        <v>MasterFund/Account</v>
      </c>
      <c r="I5" s="32" t="str">
        <f>IFERROR(__xludf.DUMMYFUNCTION("""COMPUTED_VALUE"""),"Accounts")</f>
        <v>Accounts</v>
      </c>
      <c r="J5" s="32" t="str">
        <f>IFERROR(__xludf.DUMMYFUNCTION("""COMPUTED_VALUE"""),"Master Funds")</f>
        <v>Master Funds</v>
      </c>
      <c r="K5" s="32" t="str">
        <f>IFERROR(__xludf.DUMMYFUNCTION("""COMPUTED_VALUE"""),"Round Lots")</f>
        <v>Round Lots</v>
      </c>
      <c r="L5" s="32" t="str">
        <f>IFERROR(__xludf.DUMMYFUNCTION("""COMPUTED_VALUE"""),"Use Custodian Broker")</f>
        <v>Use Custodian Broker</v>
      </c>
      <c r="M5" s="32" t="str">
        <f>IFERROR(__xludf.DUMMYFUNCTION("""COMPUTED_VALUE"""),"Broker")</f>
        <v>Broker</v>
      </c>
      <c r="N5" s="32" t="str">
        <f>IFERROR(__xludf.DUMMYFUNCTION("""COMPUTED_VALUE"""),"Venue")</f>
        <v>Venue</v>
      </c>
      <c r="O5" s="32" t="str">
        <f>IFERROR(__xludf.DUMMYFUNCTION("""COMPUTED_VALUE"""),"TIF")</f>
        <v>TIF</v>
      </c>
      <c r="P5" s="32" t="str">
        <f>IFERROR(__xludf.DUMMYFUNCTION("""COMPUTED_VALUE"""),"Order Type")</f>
        <v>Order Type</v>
      </c>
      <c r="Q5" s="32" t="str">
        <f>IFERROR(__xludf.DUMMYFUNCTION("""COMPUTED_VALUE"""),"Stop")</f>
        <v>Stop</v>
      </c>
      <c r="R5" s="32" t="str">
        <f>IFERROR(__xludf.DUMMYFUNCTION("""COMPUTED_VALUE"""),"Limit")</f>
        <v>Limit</v>
      </c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61</v>
      </c>
      <c r="C6" s="12"/>
      <c r="D6" s="12" t="s">
        <v>19</v>
      </c>
      <c r="E6" s="12">
        <v>10.0</v>
      </c>
      <c r="F6" s="12">
        <v>10.0</v>
      </c>
      <c r="G6" s="8"/>
      <c r="H6" s="8"/>
      <c r="I6" s="12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IFERROR(__xludf.DUMMYFUNCTION("""COMPUTED_VALUE"""),"MasterFund")</f>
        <v>MasterFund</v>
      </c>
      <c r="AG5" s="34" t="str">
        <f>IFERROR(__xludf.DUMMYFUNCTION("""COMPUTED_VALUE"""),"RoundLotStrip")</f>
        <v>RoundLotStrip</v>
      </c>
      <c r="AH5" s="34" t="str">
        <f>IFERROR(__xludf.DUMMYFUNCTION("""COMPUTED_VALUE"""),"Round Lots")</f>
        <v>Round Lots</v>
      </c>
      <c r="AI5" s="34" t="str">
        <f>IFERROR(__xludf.DUMMYFUNCTION("""COMPUTED_VALUE"""),"Button_Status")</f>
        <v>Button_Status</v>
      </c>
      <c r="AJ5" s="34" t="str">
        <f>IFERROR(__xludf.DUMMYFUNCTION("""COMPUTED_VALUE"""),"Position")</f>
        <v>Position</v>
      </c>
      <c r="AK5" s="34" t="str">
        <f>IFERROR(__xludf.DUMMYFUNCTION("""COMPUTED_VALUE"""),"Symbol Name")</f>
        <v>Symbol Name</v>
      </c>
      <c r="AL5" s="34" t="str">
        <f>IFERROR(__xludf.DUMMYFUNCTION("""COMPUTED_VALUE"""),"Last")</f>
        <v>Last</v>
      </c>
      <c r="AM5" s="34" t="str">
        <f>IFERROR(__xludf.DUMMYFUNCTION("""COMPUTED_VALUE"""),"Change")</f>
        <v>Change</v>
      </c>
      <c r="AN5" s="34" t="str">
        <f>IFERROR(__xludf.DUMMYFUNCTION("""COMPUTED_VALUE"""),"Bid")</f>
        <v>Bid</v>
      </c>
      <c r="AO5" s="34" t="str">
        <f>IFERROR(__xludf.DUMMYFUNCTION("""COMPUTED_VALUE"""),"Ask")</f>
        <v>Ask</v>
      </c>
      <c r="AP5" s="34" t="str">
        <f>IFERROR(__xludf.DUMMYFUNCTION("""COMPUTED_VALUE"""),"Notional(Base)")</f>
        <v>Notional(Base)</v>
      </c>
      <c r="AQ5" s="34" t="str">
        <f>IFERROR(__xludf.DUMMYFUNCTION("""COMPUTED_VALUE"""),"Notional(Local)")</f>
        <v>Notional(Local)</v>
      </c>
      <c r="AR5" s="34" t="str">
        <f>IFERROR(__xludf.DUMMYFUNCTION("""COMPUTED_VALUE"""),"Exposure")</f>
        <v>Exposure</v>
      </c>
      <c r="AS5" s="34" t="str">
        <f>IFERROR(__xludf.DUMMYFUNCTION("""COMPUTED_VALUE"""),"Day P&amp;L")</f>
        <v>Day P&amp;L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0.0</v>
      </c>
      <c r="AP6" s="9">
        <v>10.0</v>
      </c>
      <c r="AQ6" s="9">
        <v>10.0</v>
      </c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From")</f>
        <v>Copy From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37">
        <f>TODAY()-1</f>
        <v>45763</v>
      </c>
      <c r="C6" s="38">
        <f>TODAY()</f>
        <v>45764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IFERROR(__xludf.DUMMYFUNCTION("""COMPUTED_VALUE"""),"Account")</f>
        <v>Account</v>
      </c>
      <c r="C5" s="32" t="str">
        <f>IFERROR(__xludf.DUMMYFUNCTION("""COMPUTED_VALUE"""),"Local Currency")</f>
        <v>Local Currency</v>
      </c>
      <c r="D5" s="32" t="str">
        <f>IFERROR(__xludf.DUMMYFUNCTION("""COMPUTED_VALUE"""),"Cash Value Local")</f>
        <v>Cash Value Local</v>
      </c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62</v>
      </c>
      <c r="C6" s="12" t="s">
        <v>66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IFERROR(__xludf.DUMMYFUNCTION("""COMPUTED_VALUE"""),"Ticker")</f>
        <v>Ticker</v>
      </c>
      <c r="C5" s="32" t="str">
        <f>IFERROR(__xludf.DUMMYFUNCTION("""COMPUTED_VALUE"""),"Add/Set")</f>
        <v>Add/Set</v>
      </c>
      <c r="D5" s="32" t="str">
        <f>IFERROR(__xludf.DUMMYFUNCTION("""COMPUTED_VALUE"""),"Type")</f>
        <v>Type</v>
      </c>
      <c r="E5" s="32" t="str">
        <f>IFERROR(__xludf.DUMMYFUNCTION("""COMPUTED_VALUE"""),"Target")</f>
        <v>Target</v>
      </c>
      <c r="F5" s="33" t="str">
        <f>IFERROR(__xludf.DUMMYFUNCTION("""COMPUTED_VALUE"""),"Price")</f>
        <v>Price</v>
      </c>
      <c r="G5" s="32" t="str">
        <f>IFERROR(__xludf.DUMMYFUNCTION("""COMPUTED_VALUE"""),"Combined Account Total")</f>
        <v>Combined Account Total</v>
      </c>
      <c r="H5" s="32" t="str">
        <f>IFERROR(__xludf.DUMMYFUNCTION("""COMPUTED_VALUE"""),"MasterFund/Account")</f>
        <v>MasterFund/Account</v>
      </c>
      <c r="I5" s="32" t="str">
        <f>IFERROR(__xludf.DUMMYFUNCTION("""COMPUTED_VALUE"""),"Accounts")</f>
        <v>Accounts</v>
      </c>
      <c r="J5" s="32" t="str">
        <f>IFERROR(__xludf.DUMMYFUNCTION("""COMPUTED_VALUE"""),"MTT POP UP?")</f>
        <v>MTT POP UP?</v>
      </c>
      <c r="K5" s="32" t="str">
        <f>IFERROR(__xludf.DUMMYFUNCTION("""COMPUTED_VALUE"""),"Use Custodian Broker")</f>
        <v>Use Custodian Broker</v>
      </c>
      <c r="L5" s="32" t="str">
        <f>IFERROR(__xludf.DUMMYFUNCTION("""COMPUTED_VALUE"""),"Round Lots")</f>
        <v>Round Lots</v>
      </c>
      <c r="M5" s="32" t="str">
        <f>IFERROR(__xludf.DUMMYFUNCTION("""COMPUTED_VALUE"""),"Broker")</f>
        <v>Broker</v>
      </c>
      <c r="N5" s="32" t="str">
        <f>IFERROR(__xludf.DUMMYFUNCTION("""COMPUTED_VALUE"""),"Venue")</f>
        <v>Venue</v>
      </c>
      <c r="O5" s="32" t="str">
        <f>IFERROR(__xludf.DUMMYFUNCTION("""COMPUTED_VALUE"""),"TIF")</f>
        <v>TIF</v>
      </c>
      <c r="P5" s="32" t="str">
        <f>IFERROR(__xludf.DUMMYFUNCTION("""COMPUTED_VALUE"""),"Order Type")</f>
        <v>Order Type</v>
      </c>
      <c r="Q5" s="32" t="str">
        <f>IFERROR(__xludf.DUMMYFUNCTION("""COMPUTED_VALUE"""),"Stop")</f>
        <v>Stop</v>
      </c>
      <c r="R5" s="32" t="str">
        <f>IFERROR(__xludf.DUMMYFUNCTION("""COMPUTED_VALUE"""),"Limit")</f>
        <v>Limit</v>
      </c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18</v>
      </c>
      <c r="C6" s="12"/>
      <c r="D6" s="12" t="s">
        <v>19</v>
      </c>
      <c r="E6" s="12">
        <v>9920.0</v>
      </c>
      <c r="F6" s="12">
        <v>100.0</v>
      </c>
      <c r="G6" s="8"/>
      <c r="H6" s="8"/>
      <c r="I6" s="12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6.1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 Name")</f>
        <v>Account Name</v>
      </c>
      <c r="C5" s="32" t="str">
        <f>IFERROR(__xludf.DUMMYFUNCTION("""COMPUTED_VALUE"""),"Account NAV")</f>
        <v>Account NAV</v>
      </c>
      <c r="D5" s="32" t="str">
        <f>IFERROR(__xludf.DUMMYFUNCTION("""COMPUTED_VALUE"""),"Starting Position")</f>
        <v>Starting Position</v>
      </c>
      <c r="E5" s="32" t="str">
        <f>IFERROR(__xludf.DUMMYFUNCTION("""COMPUTED_VALUE"""),"Starting Value")</f>
        <v>Starting Value</v>
      </c>
      <c r="F5" s="33" t="str">
        <f>IFERROR(__xludf.DUMMYFUNCTION("""COMPUTED_VALUE"""),"Starting %")</f>
        <v>Starting %</v>
      </c>
      <c r="G5" s="32" t="str">
        <f>IFERROR(__xludf.DUMMYFUNCTION("""COMPUTED_VALUE"""),"% Change")</f>
        <v>% Change</v>
      </c>
      <c r="H5" s="32" t="str">
        <f>IFERROR(__xludf.DUMMYFUNCTION("""COMPUTED_VALUE"""),"Ending %")</f>
        <v>Ending %</v>
      </c>
      <c r="I5" s="32" t="str">
        <f>IFERROR(__xludf.DUMMYFUNCTION("""COMPUTED_VALUE"""),"Trade Quantity")</f>
        <v>Trade Quantity</v>
      </c>
      <c r="J5" s="32" t="str">
        <f>IFERROR(__xludf.DUMMYFUNCTION("""COMPUTED_VALUE"""),"Ending Position")</f>
        <v>Ending Position</v>
      </c>
      <c r="K5" s="32" t="str">
        <f>IFERROR(__xludf.DUMMYFUNCTION("""COMPUTED_VALUE"""),"Ending Value")</f>
        <v>Ending Value</v>
      </c>
      <c r="L5" s="32" t="str">
        <f>IFERROR(__xludf.DUMMYFUNCTION("""COMPUTED_VALUE"""),"% Allocation")</f>
        <v>% Allocation</v>
      </c>
      <c r="M5" s="32" t="str">
        <f>IFERROR(__xludf.DUMMYFUNCTION("""COMPUTED_VALUE"""),"Fx Rate")</f>
        <v>Fx Rate</v>
      </c>
      <c r="N5" s="32" t="str">
        <f>IFERROR(__xludf.DUMMYFUNCTION("""COMPUTED_VALUE"""),"Starting BP")</f>
        <v>Starting BP</v>
      </c>
      <c r="O5" s="32" t="str">
        <f>IFERROR(__xludf.DUMMYFUNCTION("""COMPUTED_VALUE"""),"BP Change")</f>
        <v>BP Change</v>
      </c>
      <c r="P5" s="32" t="str">
        <f>IFERROR(__xludf.DUMMYFUNCTION("""COMPUTED_VALUE"""),"Ending BP")</f>
        <v>Ending BP</v>
      </c>
      <c r="Q5" s="32" t="str">
        <f>IFERROR(__xludf.DUMMYFUNCTION("""COMPUTED_VALUE"""),"MasterFund Name")</f>
        <v>MasterFund Name</v>
      </c>
      <c r="R5" s="32" t="str">
        <f>IFERROR(__xludf.DUMMYFUNCTION("""COMPUTED_VALUE"""),"Order Side")</f>
        <v>Order Side</v>
      </c>
      <c r="S5" s="32" t="str">
        <f>IFERROR(__xludf.DUMMYFUNCTION("""COMPUTED_VALUE"""),"Round Lots")</f>
        <v>Round Lots</v>
      </c>
      <c r="T5" s="34" t="str">
        <f>IFERROR(__xludf.DUMMYFUNCTION("""COMPUTED_VALUE"""),"Verify RoundLots In Input Parameters")</f>
        <v>Verify RoundLots In Input Parameters</v>
      </c>
      <c r="U5" s="34" t="str">
        <f>IFERROR(__xludf.DUMMYFUNCTION("""COMPUTED_VALUE"""),"Change Amt")</f>
        <v>Change Amt</v>
      </c>
      <c r="V5" s="34" t="str">
        <f>IFERROR(__xludf.DUMMYFUNCTION("""COMPUTED_VALUE"""),"Group")</f>
        <v>Group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>
      <c r="B6" s="9" t="s">
        <v>62</v>
      </c>
      <c r="C6" s="9">
        <v>10000.0</v>
      </c>
      <c r="D6" s="9">
        <v>0.0</v>
      </c>
      <c r="I6" s="9">
        <v>99.0</v>
      </c>
      <c r="J6" s="9">
        <v>99.0</v>
      </c>
      <c r="L6" s="9">
        <v>100.0</v>
      </c>
      <c r="R6" s="9" t="s">
        <v>69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