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UpdateGRDefaultRule" sheetId="5" r:id="rId7"/>
    <sheet state="visible" name="SetAccountValueCalculatedPref" sheetId="6" r:id="rId8"/>
    <sheet state="visible" name="SetDefaultRuleCalculatedPref" sheetId="7" r:id="rId9"/>
    <sheet state="visible" name="SetGeneralRuleCalculatedPref" sheetId="8" r:id="rId10"/>
    <sheet state="visible" name="CreateDoneAwayOrder" sheetId="9" r:id="rId11"/>
    <sheet state="visible" name="PricingInput" sheetId="10" r:id="rId12"/>
    <sheet state="visible" name="GetDailyCash" sheetId="11" r:id="rId13"/>
    <sheet state="visible" name="UpdateMultipleDailyCash" sheetId="12" r:id="rId14"/>
    <sheet state="visible" name="UpdateRoundLot" sheetId="13" r:id="rId15"/>
    <sheet state="visible" name="CreateLiveOrder" sheetId="14" r:id="rId16"/>
    <sheet state="visible" name="SelectTrade" sheetId="15" r:id="rId17"/>
    <sheet state="visible" name="AcknowledgeTrade" sheetId="16" r:id="rId18"/>
    <sheet state="visible" name="ExecuteTrade" sheetId="17" r:id="rId19"/>
    <sheet state="visible" name="CheckPortfolioManagement" sheetId="18" r:id="rId20"/>
    <sheet state="visible" name="SelectTrade1" sheetId="19" r:id="rId21"/>
    <sheet state="visible" name="ExecuteTrade1" sheetId="20" r:id="rId22"/>
    <sheet state="visible" name="CheckPortfolioManagement1" sheetId="21" r:id="rId23"/>
    <sheet state="visible" name="SelectTrade2" sheetId="22" r:id="rId24"/>
    <sheet state="visible" name="ExecuteTrade2" sheetId="23" r:id="rId25"/>
    <sheet state="visible" name="CheckPortfolioManagement2" sheetId="24" r:id="rId26"/>
  </sheets>
  <definedNames/>
  <calcPr/>
</workbook>
</file>

<file path=xl/sharedStrings.xml><?xml version="1.0" encoding="utf-8"?>
<sst xmlns="http://schemas.openxmlformats.org/spreadsheetml/2006/main" count="479" uniqueCount="59">
  <si>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</si>
  <si>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</si>
  <si>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</si>
  <si>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</si>
  <si>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</si>
  <si>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</si>
  <si>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</si>
  <si>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</si>
  <si>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</si>
  <si>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</si>
  <si>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</si>
  <si>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</si>
  <si>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</si>
  <si>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</si>
  <si>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</si>
  <si>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</si>
  <si>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leveling</t>
  </si>
  <si>
    <t>UpdateGRDefaultRule</t>
  </si>
  <si>
    <t>Fair Pricing</t>
  </si>
  <si>
    <t>Leveling</t>
  </si>
  <si>
    <t>SetAccountValueCalculatedPref</t>
  </si>
  <si>
    <t>Allocation2</t>
  </si>
  <si>
    <t>Allocation3</t>
  </si>
  <si>
    <t>SetDefaultRuleCalculatedPref</t>
  </si>
  <si>
    <t>Allocation2,Allocation3</t>
  </si>
  <si>
    <t>SetGeneralRuleCalculatedPref</t>
  </si>
  <si>
    <t>Include</t>
  </si>
  <si>
    <t>NASDAQ</t>
  </si>
  <si>
    <t>Equity</t>
  </si>
  <si>
    <t>TradingTicket</t>
  </si>
  <si>
    <t>CreateDoneAwayOrder</t>
  </si>
  <si>
    <t>FRU-TC</t>
  </si>
  <si>
    <t>Buy</t>
  </si>
  <si>
    <t>PricingInput</t>
  </si>
  <si>
    <t>DailyValuation</t>
  </si>
  <si>
    <t>GetDailyCash</t>
  </si>
  <si>
    <t>UpdateMultipleDailyCash</t>
  </si>
  <si>
    <t>USD</t>
  </si>
  <si>
    <t>Admin</t>
  </si>
  <si>
    <t>UpdateRoundLot</t>
  </si>
  <si>
    <t>CreateLiveOrder</t>
  </si>
  <si>
    <t>Simulator</t>
  </si>
  <si>
    <t>SelectTrade</t>
  </si>
  <si>
    <t>AcknowledgeTrade</t>
  </si>
  <si>
    <t>ExecuteTrade</t>
  </si>
  <si>
    <t>PortfolioManagement</t>
  </si>
  <si>
    <t>CheckPortfolioManagement</t>
  </si>
  <si>
    <t/>
  </si>
  <si>
    <t>NewMF1</t>
  </si>
  <si>
    <t>Long</t>
  </si>
  <si>
    <t>MS</t>
  </si>
  <si>
    <t>Strategy Unallocated</t>
  </si>
  <si>
    <t>US</t>
  </si>
  <si>
    <t>TSX</t>
  </si>
  <si>
    <t>CAD</t>
  </si>
  <si>
    <t>Undefined</t>
  </si>
  <si>
    <t>jpearce</t>
  </si>
  <si>
    <t>NewMF</t>
  </si>
  <si>
    <t>FRU CN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</si>
</sst>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6" fontId="14" numFmtId="0" xfId="0" applyAlignment="1" applyFill="1" applyFont="1">
      <alignment horizontal="left" readingOrder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6" fontId="16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18</v>
      </c>
      <c r="C6" s="8"/>
      <c r="D6" s="33" t="s">
        <v>19</v>
      </c>
      <c r="E6" s="34"/>
      <c r="F6" s="8"/>
      <c r="G6" s="33" t="b">
        <v>0</v>
      </c>
      <c r="H6" s="1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21</v>
      </c>
      <c r="D6" s="35">
        <v>50.0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22</v>
      </c>
      <c r="D7" s="36">
        <v>50.0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13"/>
      <c r="C6" s="32"/>
      <c r="D6" s="31" t="s">
        <v>19</v>
      </c>
      <c r="E6" s="37" t="s">
        <v>24</v>
      </c>
      <c r="F6" s="32"/>
      <c r="G6" s="38"/>
      <c r="H6" s="32" t="s">
        <v>16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IFERROR(__xludf.DUMMYFUNCTION("""COMPUTED_VALUE"""),"Exchange Selector")</f>
        <v>Exchange Selector</v>
      </c>
      <c r="C5" s="28" t="str">
        <f>IFERROR(__xludf.DUMMYFUNCTION("""COMPUTED_VALUE"""),"Exchange List")</f>
        <v>Exchange List</v>
      </c>
      <c r="D5" s="28" t="str">
        <f>IFERROR(__xludf.DUMMYFUNCTION("""COMPUTED_VALUE"""),"Asset Selector")</f>
        <v>Asset Selector</v>
      </c>
      <c r="E5" s="28" t="str">
        <f>IFERROR(__xludf.DUMMYFUNCTION("""COMPUTED_VALUE"""),"Asset List")</f>
        <v>Asset List</v>
      </c>
      <c r="F5" s="29" t="str">
        <f>IFERROR(__xludf.DUMMYFUNCTION("""COMPUTED_VALUE"""),"PR Selector")</f>
        <v>PR Selector</v>
      </c>
      <c r="G5" s="28" t="str">
        <f>IFERROR(__xludf.DUMMYFUNCTION("""COMPUTED_VALUE"""),"PR List")</f>
        <v>PR List</v>
      </c>
      <c r="H5" s="28" t="str">
        <f>IFERROR(__xludf.DUMMYFUNCTION("""COMPUTED_VALUE"""),"Order Side Selector")</f>
        <v>Order Side Selector</v>
      </c>
      <c r="I5" s="28" t="str">
        <f>IFERROR(__xludf.DUMMYFUNCTION("""COMPUTED_VALUE"""),"Order Side List")</f>
        <v>Order Side List</v>
      </c>
      <c r="J5" s="28" t="str">
        <f>IFERROR(__xludf.DUMMYFUNCTION("""COMPUTED_VALUE"""),"PreferenceName")</f>
        <v>PreferenceName</v>
      </c>
      <c r="K5" s="28" t="str">
        <f>IFERROR(__xludf.DUMMYFUNCTION("""COMPUTED_VALUE"""),"Update Preference")</f>
        <v>Update Preference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26</v>
      </c>
      <c r="C6" s="33" t="s">
        <v>27</v>
      </c>
      <c r="D6" s="33" t="s">
        <v>26</v>
      </c>
      <c r="E6" s="13" t="s">
        <v>28</v>
      </c>
      <c r="F6" s="8"/>
      <c r="G6" s="33"/>
      <c r="H6" s="8"/>
      <c r="I6" s="8"/>
      <c r="J6" s="13" t="s">
        <v>16</v>
      </c>
      <c r="K6" s="13" t="b">
        <v>1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SetGeneralRuleCalculatedPref!$4:$4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31</v>
      </c>
      <c r="C6" s="32" t="s">
        <v>32</v>
      </c>
      <c r="D6" s="35">
        <v>100.0</v>
      </c>
      <c r="E6" s="32"/>
      <c r="F6" s="32" t="s">
        <v>21</v>
      </c>
      <c r="G6" s="32"/>
      <c r="H6" s="32"/>
      <c r="I6" s="32"/>
      <c r="J6" s="36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3" t="s">
        <v>31</v>
      </c>
      <c r="C7" s="32" t="s">
        <v>32</v>
      </c>
      <c r="D7" s="36">
        <v>1000.0</v>
      </c>
      <c r="E7" s="32"/>
      <c r="F7" s="32" t="s">
        <v>22</v>
      </c>
      <c r="G7" s="32"/>
      <c r="H7" s="32"/>
      <c r="I7" s="32"/>
      <c r="J7" s="36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31</v>
      </c>
      <c r="C6" s="36">
        <v>175.0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>
        <f t="shared" ref="B6:C6" si="1">TODAY()-1</f>
        <v>45197</v>
      </c>
      <c r="C6" s="39">
        <f t="shared" si="1"/>
        <v>45197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 t="s">
        <v>37</v>
      </c>
      <c r="D6" s="35">
        <v>7500.0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2" t="s">
        <v>37</v>
      </c>
      <c r="D7" s="36">
        <v>75000.0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31</v>
      </c>
      <c r="C6" s="40">
        <v>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31</v>
      </c>
      <c r="C6" s="38" t="s">
        <v>32</v>
      </c>
      <c r="D6" s="35">
        <v>1000.0</v>
      </c>
      <c r="E6" s="32"/>
      <c r="F6" s="32" t="s">
        <v>16</v>
      </c>
      <c r="G6" s="32"/>
      <c r="H6" s="32"/>
      <c r="I6" s="32"/>
      <c r="J6" s="36">
        <v>10.0</v>
      </c>
      <c r="K6" s="32"/>
      <c r="L6" s="32"/>
      <c r="M6" s="32"/>
      <c r="N6" s="32"/>
      <c r="O6" s="38">
        <v>0.75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31</v>
      </c>
      <c r="D6" s="13"/>
      <c r="E6" s="34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31</v>
      </c>
      <c r="D6" s="13"/>
      <c r="E6" s="34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" t="s">
        <v>47</v>
      </c>
      <c r="B6" s="8"/>
      <c r="C6" s="8" t="s">
        <v>31</v>
      </c>
      <c r="D6" s="8">
        <v>100.0</v>
      </c>
      <c r="E6" s="8" t="s">
        <v>21</v>
      </c>
      <c r="F6" s="8" t="s">
        <v>48</v>
      </c>
      <c r="G6" s="8">
        <v>10.0</v>
      </c>
      <c r="H6" s="8" t="s">
        <v>49</v>
      </c>
      <c r="I6" s="8"/>
      <c r="J6" s="8"/>
      <c r="K6" s="8"/>
      <c r="L6" s="8"/>
      <c r="M6" s="8"/>
      <c r="N6" s="8"/>
      <c r="O6" s="8" t="s">
        <v>31</v>
      </c>
      <c r="R6" t="s">
        <v>50</v>
      </c>
      <c r="S6" t="s">
        <v>51</v>
      </c>
      <c r="T6" t="s">
        <v>28</v>
      </c>
      <c r="U6" t="s">
        <v>52</v>
      </c>
      <c r="V6" t="s">
        <v>53</v>
      </c>
      <c r="W6" t="s">
        <v>54</v>
      </c>
      <c r="X6">
        <v>1.0</v>
      </c>
      <c r="AN6" t="s">
        <v>32</v>
      </c>
      <c r="AP6" t="s">
        <v>49</v>
      </c>
      <c r="AQ6" t="s">
        <v>31</v>
      </c>
      <c r="AR6">
        <v>175.0</v>
      </c>
      <c r="BE6" t="s">
        <v>28</v>
      </c>
      <c r="BF6" t="s">
        <v>55</v>
      </c>
      <c r="BG6" t="s">
        <v>55</v>
      </c>
      <c r="BH6" t="s">
        <v>55</v>
      </c>
      <c r="BI6" t="s">
        <v>55</v>
      </c>
      <c r="BQ6" t="s">
        <v>56</v>
      </c>
      <c r="BR6" t="s">
        <v>50</v>
      </c>
      <c r="FN6" t="s">
        <v>47</v>
      </c>
      <c r="FO6" t="s">
        <v>47</v>
      </c>
      <c r="FP6" t="s">
        <v>47</v>
      </c>
      <c r="FQ6" t="s">
        <v>47</v>
      </c>
    </row>
    <row r="7" ht="15.75" customHeight="1">
      <c r="A7" s="8" t="s">
        <v>47</v>
      </c>
      <c r="B7" s="8"/>
      <c r="C7" s="8" t="s">
        <v>31</v>
      </c>
      <c r="D7" s="8">
        <v>1000.0</v>
      </c>
      <c r="E7" s="8" t="s">
        <v>22</v>
      </c>
      <c r="F7" s="8" t="s">
        <v>57</v>
      </c>
      <c r="G7" s="8">
        <v>10.0</v>
      </c>
      <c r="H7" s="8" t="s">
        <v>49</v>
      </c>
      <c r="I7" s="8"/>
      <c r="J7" s="8"/>
      <c r="K7" s="8"/>
      <c r="L7" s="8"/>
      <c r="M7" s="8"/>
      <c r="N7" s="8"/>
      <c r="O7" s="8" t="s">
        <v>31</v>
      </c>
      <c r="R7" t="s">
        <v>50</v>
      </c>
      <c r="S7" t="s">
        <v>51</v>
      </c>
      <c r="T7" t="s">
        <v>28</v>
      </c>
      <c r="U7" t="s">
        <v>52</v>
      </c>
      <c r="V7" t="s">
        <v>53</v>
      </c>
      <c r="W7" t="s">
        <v>54</v>
      </c>
      <c r="X7">
        <v>1.0</v>
      </c>
      <c r="AN7" t="s">
        <v>32</v>
      </c>
      <c r="AP7" t="s">
        <v>49</v>
      </c>
      <c r="AQ7" t="s">
        <v>31</v>
      </c>
      <c r="AR7">
        <v>175.0</v>
      </c>
      <c r="BE7" t="s">
        <v>28</v>
      </c>
      <c r="BF7" t="s">
        <v>55</v>
      </c>
      <c r="BG7" t="s">
        <v>55</v>
      </c>
      <c r="BH7" t="s">
        <v>55</v>
      </c>
      <c r="BI7" t="s">
        <v>55</v>
      </c>
      <c r="BQ7" t="s">
        <v>56</v>
      </c>
      <c r="BR7" t="s">
        <v>50</v>
      </c>
      <c r="FN7" t="s">
        <v>47</v>
      </c>
      <c r="FO7" t="s">
        <v>47</v>
      </c>
      <c r="FP7" t="s">
        <v>47</v>
      </c>
      <c r="FQ7" t="s">
        <v>47</v>
      </c>
    </row>
    <row r="8" ht="15.75" customHeight="1">
      <c r="A8" s="8" t="s">
        <v>47</v>
      </c>
      <c r="B8" s="8"/>
      <c r="C8" s="8" t="s">
        <v>31</v>
      </c>
      <c r="D8" s="8">
        <v>10.0</v>
      </c>
      <c r="E8" s="8" t="s">
        <v>22</v>
      </c>
      <c r="F8" s="8" t="s">
        <v>57</v>
      </c>
      <c r="G8" s="8">
        <v>10.0</v>
      </c>
      <c r="H8" s="8" t="s">
        <v>49</v>
      </c>
      <c r="I8" s="8"/>
      <c r="J8" s="8"/>
      <c r="K8" s="8"/>
      <c r="L8" s="8"/>
      <c r="M8" s="8"/>
      <c r="N8" s="8"/>
      <c r="O8" s="8" t="s">
        <v>31</v>
      </c>
      <c r="R8" t="s">
        <v>50</v>
      </c>
      <c r="S8" t="s">
        <v>51</v>
      </c>
      <c r="T8" t="s">
        <v>28</v>
      </c>
      <c r="U8" t="s">
        <v>52</v>
      </c>
      <c r="V8" t="s">
        <v>53</v>
      </c>
      <c r="W8" t="s">
        <v>54</v>
      </c>
      <c r="X8">
        <v>1.0</v>
      </c>
      <c r="AN8" t="s">
        <v>32</v>
      </c>
      <c r="AP8" t="s">
        <v>49</v>
      </c>
      <c r="AQ8" t="s">
        <v>31</v>
      </c>
      <c r="AR8">
        <v>175.0</v>
      </c>
      <c r="BE8" t="s">
        <v>28</v>
      </c>
      <c r="BF8" t="s">
        <v>55</v>
      </c>
      <c r="BG8" t="s">
        <v>55</v>
      </c>
      <c r="BH8" t="s">
        <v>55</v>
      </c>
      <c r="BI8" t="s">
        <v>55</v>
      </c>
      <c r="BQ8" t="s">
        <v>56</v>
      </c>
      <c r="BR8" t="s">
        <v>50</v>
      </c>
      <c r="FN8" t="s">
        <v>47</v>
      </c>
      <c r="FO8" t="s">
        <v>47</v>
      </c>
      <c r="FP8" t="s">
        <v>47</v>
      </c>
      <c r="FQ8" t="s">
        <v>47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33" t="s">
        <v>31</v>
      </c>
      <c r="D6" s="13"/>
      <c r="E6" s="34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90.0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47</v>
      </c>
      <c r="B6" s="31"/>
      <c r="C6" s="41" t="s">
        <v>31</v>
      </c>
      <c r="D6" s="42">
        <v>100.0</v>
      </c>
      <c r="E6" s="41" t="s">
        <v>21</v>
      </c>
      <c r="F6" s="41" t="s">
        <v>48</v>
      </c>
      <c r="G6" s="43">
        <v>10.0</v>
      </c>
      <c r="H6" s="41" t="s">
        <v>49</v>
      </c>
      <c r="I6" s="32"/>
      <c r="J6" s="32"/>
      <c r="K6" s="32"/>
      <c r="L6" s="32"/>
      <c r="M6" s="32"/>
      <c r="N6" s="32"/>
      <c r="O6" s="32" t="s">
        <v>31</v>
      </c>
      <c r="P6" s="32"/>
      <c r="Q6" s="32"/>
      <c r="R6" s="32" t="s">
        <v>50</v>
      </c>
      <c r="S6" s="32" t="s">
        <v>51</v>
      </c>
      <c r="T6" s="32" t="s">
        <v>28</v>
      </c>
      <c r="U6" s="32" t="s">
        <v>52</v>
      </c>
      <c r="V6" s="32" t="s">
        <v>53</v>
      </c>
      <c r="W6" s="32" t="s">
        <v>54</v>
      </c>
      <c r="X6" s="44">
        <v>1.0</v>
      </c>
      <c r="Y6" s="44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41" t="s">
        <v>32</v>
      </c>
      <c r="AO6" s="32"/>
      <c r="AP6" s="32" t="s">
        <v>49</v>
      </c>
      <c r="AQ6" s="32" t="s">
        <v>31</v>
      </c>
      <c r="AR6" s="44">
        <v>175.0</v>
      </c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44">
        <v>1.0</v>
      </c>
      <c r="BD6" s="32"/>
      <c r="BE6" s="32" t="s">
        <v>28</v>
      </c>
      <c r="BF6" s="32" t="s">
        <v>55</v>
      </c>
      <c r="BG6" s="32" t="s">
        <v>55</v>
      </c>
      <c r="BH6" s="32" t="s">
        <v>55</v>
      </c>
      <c r="BI6" s="32" t="s">
        <v>55</v>
      </c>
      <c r="BJ6" s="32"/>
      <c r="BK6" s="32"/>
      <c r="BL6" s="32"/>
      <c r="BM6" s="32"/>
      <c r="BN6" s="32"/>
      <c r="BO6" s="32"/>
      <c r="BP6" s="32"/>
      <c r="BQ6" s="32" t="s">
        <v>56</v>
      </c>
      <c r="BR6" s="32" t="s">
        <v>50</v>
      </c>
      <c r="BS6" s="32"/>
      <c r="BT6" s="32"/>
      <c r="BU6" s="32"/>
      <c r="BV6" s="32"/>
      <c r="BW6" s="32"/>
      <c r="BX6" s="32"/>
      <c r="BY6" s="32"/>
      <c r="BZ6" s="44">
        <v>175.0</v>
      </c>
      <c r="CA6" s="44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7" t="s">
        <v>58</v>
      </c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 t="s">
        <v>47</v>
      </c>
      <c r="FN6" s="32" t="s">
        <v>47</v>
      </c>
      <c r="FO6" s="32" t="s">
        <v>47</v>
      </c>
      <c r="FP6" s="32" t="s">
        <v>47</v>
      </c>
      <c r="FQ6" s="32" t="s">
        <v>47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2" t="s">
        <v>47</v>
      </c>
      <c r="B7" s="32"/>
      <c r="C7" s="32" t="s">
        <v>31</v>
      </c>
      <c r="D7" s="40">
        <v>8.0</v>
      </c>
      <c r="E7" s="32" t="s">
        <v>21</v>
      </c>
      <c r="F7" s="32" t="s">
        <v>48</v>
      </c>
      <c r="G7" s="36">
        <v>10.0</v>
      </c>
      <c r="H7" s="32" t="s">
        <v>49</v>
      </c>
      <c r="I7" s="32"/>
      <c r="J7" s="32"/>
      <c r="K7" s="32"/>
      <c r="L7" s="32"/>
      <c r="M7" s="32"/>
      <c r="N7" s="32"/>
      <c r="O7" s="32" t="s">
        <v>31</v>
      </c>
      <c r="P7" s="32"/>
      <c r="Q7" s="32"/>
      <c r="R7" s="32" t="s">
        <v>50</v>
      </c>
      <c r="S7" s="32" t="s">
        <v>51</v>
      </c>
      <c r="T7" s="32" t="s">
        <v>28</v>
      </c>
      <c r="U7" s="32" t="s">
        <v>52</v>
      </c>
      <c r="V7" s="32" t="s">
        <v>53</v>
      </c>
      <c r="W7" s="32" t="s">
        <v>54</v>
      </c>
      <c r="X7" s="44">
        <v>1.0</v>
      </c>
      <c r="Y7" s="44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 t="s">
        <v>32</v>
      </c>
      <c r="AO7" s="32"/>
      <c r="AP7" s="32" t="s">
        <v>49</v>
      </c>
      <c r="AQ7" s="32" t="s">
        <v>31</v>
      </c>
      <c r="AR7" s="44">
        <v>175.0</v>
      </c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44">
        <v>1.0</v>
      </c>
      <c r="BD7" s="32"/>
      <c r="BE7" s="32" t="s">
        <v>28</v>
      </c>
      <c r="BF7" s="32" t="s">
        <v>55</v>
      </c>
      <c r="BG7" s="32" t="s">
        <v>55</v>
      </c>
      <c r="BH7" s="32" t="s">
        <v>55</v>
      </c>
      <c r="BI7" s="32" t="s">
        <v>55</v>
      </c>
      <c r="BJ7" s="32"/>
      <c r="BK7" s="32"/>
      <c r="BL7" s="32"/>
      <c r="BM7" s="32"/>
      <c r="BN7" s="32"/>
      <c r="BO7" s="32"/>
      <c r="BP7" s="32"/>
      <c r="BQ7" s="32" t="s">
        <v>56</v>
      </c>
      <c r="BR7" s="32" t="s">
        <v>50</v>
      </c>
      <c r="BS7" s="32"/>
      <c r="BT7" s="32"/>
      <c r="BU7" s="32"/>
      <c r="BV7" s="32"/>
      <c r="BW7" s="32"/>
      <c r="BX7" s="32"/>
      <c r="BY7" s="32"/>
      <c r="BZ7" s="44">
        <v>175.0</v>
      </c>
      <c r="CA7" s="44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7" t="s">
        <v>58</v>
      </c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 t="s">
        <v>47</v>
      </c>
      <c r="FN7" s="32" t="s">
        <v>47</v>
      </c>
      <c r="FO7" s="32" t="s">
        <v>47</v>
      </c>
      <c r="FP7" s="32" t="s">
        <v>47</v>
      </c>
      <c r="FQ7" s="32" t="s">
        <v>47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8" t="s">
        <v>47</v>
      </c>
      <c r="B8" s="8"/>
      <c r="C8" s="8" t="s">
        <v>31</v>
      </c>
      <c r="D8" s="8">
        <v>1000.0</v>
      </c>
      <c r="E8" s="8" t="s">
        <v>22</v>
      </c>
      <c r="F8" s="8" t="s">
        <v>57</v>
      </c>
      <c r="G8" s="8">
        <v>10.0</v>
      </c>
      <c r="H8" s="8" t="s">
        <v>49</v>
      </c>
      <c r="I8" s="8"/>
      <c r="J8" s="8"/>
      <c r="K8" s="8"/>
      <c r="L8" s="8"/>
      <c r="M8" s="8"/>
      <c r="N8" s="8"/>
      <c r="O8" s="8" t="s">
        <v>31</v>
      </c>
      <c r="R8" t="s">
        <v>50</v>
      </c>
      <c r="S8" t="s">
        <v>51</v>
      </c>
      <c r="T8" t="s">
        <v>28</v>
      </c>
      <c r="U8" t="s">
        <v>52</v>
      </c>
      <c r="V8" t="s">
        <v>53</v>
      </c>
      <c r="W8" t="s">
        <v>54</v>
      </c>
      <c r="X8">
        <v>1.0</v>
      </c>
      <c r="AN8" t="s">
        <v>32</v>
      </c>
      <c r="AP8" t="s">
        <v>49</v>
      </c>
      <c r="AQ8" t="s">
        <v>31</v>
      </c>
      <c r="AR8">
        <v>175.0</v>
      </c>
      <c r="BC8">
        <v>1.0</v>
      </c>
      <c r="BE8" t="s">
        <v>28</v>
      </c>
      <c r="BF8" t="s">
        <v>55</v>
      </c>
      <c r="BG8" t="s">
        <v>55</v>
      </c>
      <c r="BH8" t="s">
        <v>55</v>
      </c>
      <c r="BI8" t="s">
        <v>55</v>
      </c>
      <c r="BQ8" t="s">
        <v>56</v>
      </c>
      <c r="BR8" t="s">
        <v>50</v>
      </c>
      <c r="BZ8">
        <v>175.0</v>
      </c>
      <c r="CP8" t="s">
        <v>58</v>
      </c>
      <c r="FM8" t="s">
        <v>47</v>
      </c>
      <c r="FN8" t="s">
        <v>47</v>
      </c>
      <c r="FO8" t="s">
        <v>47</v>
      </c>
      <c r="FP8" t="s">
        <v>47</v>
      </c>
      <c r="FQ8" t="s">
        <v>47</v>
      </c>
    </row>
    <row r="9" ht="15.75" customHeight="1">
      <c r="A9" s="8" t="s">
        <v>47</v>
      </c>
      <c r="B9" s="8"/>
      <c r="C9" s="8" t="s">
        <v>31</v>
      </c>
      <c r="D9" s="13">
        <v>92.0</v>
      </c>
      <c r="E9" s="8" t="s">
        <v>22</v>
      </c>
      <c r="F9" s="8" t="s">
        <v>57</v>
      </c>
      <c r="G9" s="8">
        <v>10.0</v>
      </c>
      <c r="H9" s="8" t="s">
        <v>49</v>
      </c>
      <c r="I9" s="8"/>
      <c r="J9" s="8"/>
      <c r="K9" s="8"/>
      <c r="L9" s="8"/>
      <c r="M9" s="8"/>
      <c r="N9" s="8"/>
      <c r="O9" s="8" t="s">
        <v>31</v>
      </c>
      <c r="R9" t="s">
        <v>50</v>
      </c>
      <c r="S9" t="s">
        <v>51</v>
      </c>
      <c r="T9" t="s">
        <v>28</v>
      </c>
      <c r="U9" t="s">
        <v>52</v>
      </c>
      <c r="V9" t="s">
        <v>53</v>
      </c>
      <c r="W9" t="s">
        <v>54</v>
      </c>
      <c r="X9">
        <v>1.0</v>
      </c>
      <c r="AN9" t="s">
        <v>32</v>
      </c>
      <c r="AP9" t="s">
        <v>49</v>
      </c>
      <c r="AQ9" t="s">
        <v>31</v>
      </c>
      <c r="AR9">
        <v>175.0</v>
      </c>
      <c r="BC9">
        <v>1.0</v>
      </c>
      <c r="BE9" t="s">
        <v>28</v>
      </c>
      <c r="BF9" t="s">
        <v>55</v>
      </c>
      <c r="BG9" t="s">
        <v>55</v>
      </c>
      <c r="BH9" t="s">
        <v>55</v>
      </c>
      <c r="BI9" t="s">
        <v>55</v>
      </c>
      <c r="BQ9" t="s">
        <v>56</v>
      </c>
      <c r="BR9" t="s">
        <v>50</v>
      </c>
      <c r="BZ9">
        <v>175.0</v>
      </c>
      <c r="CP9" t="s">
        <v>58</v>
      </c>
      <c r="FM9" t="s">
        <v>47</v>
      </c>
      <c r="FN9" t="s">
        <v>47</v>
      </c>
      <c r="FO9" t="s">
        <v>47</v>
      </c>
      <c r="FP9" t="s">
        <v>47</v>
      </c>
      <c r="FQ9" t="s">
        <v>47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33" t="s">
        <v>31</v>
      </c>
      <c r="D6" s="13"/>
      <c r="E6" s="34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900.0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47</v>
      </c>
      <c r="B6" s="31"/>
      <c r="C6" s="45" t="s">
        <v>31</v>
      </c>
      <c r="D6" s="42">
        <v>100.0</v>
      </c>
      <c r="E6" s="41" t="s">
        <v>21</v>
      </c>
      <c r="F6" s="41" t="s">
        <v>48</v>
      </c>
      <c r="G6" s="43">
        <v>10.0</v>
      </c>
      <c r="H6" s="41" t="s">
        <v>49</v>
      </c>
      <c r="I6" s="32"/>
      <c r="J6" s="32"/>
      <c r="K6" s="32"/>
      <c r="L6" s="32"/>
      <c r="M6" s="32"/>
      <c r="N6" s="32"/>
      <c r="O6" s="32" t="s">
        <v>31</v>
      </c>
      <c r="P6" s="32"/>
      <c r="Q6" s="32"/>
      <c r="R6" s="32" t="s">
        <v>50</v>
      </c>
      <c r="S6" s="32" t="s">
        <v>51</v>
      </c>
      <c r="T6" s="32" t="s">
        <v>28</v>
      </c>
      <c r="U6" s="32" t="s">
        <v>52</v>
      </c>
      <c r="V6" s="32" t="s">
        <v>53</v>
      </c>
      <c r="W6" s="32" t="s">
        <v>54</v>
      </c>
      <c r="X6" s="44"/>
      <c r="Y6" s="44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41" t="s">
        <v>32</v>
      </c>
      <c r="AO6" s="32"/>
      <c r="AP6" s="32" t="s">
        <v>49</v>
      </c>
      <c r="AQ6" s="32" t="s">
        <v>31</v>
      </c>
      <c r="AR6" s="44">
        <v>175.0</v>
      </c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44"/>
      <c r="BD6" s="32"/>
      <c r="BE6" s="32" t="s">
        <v>28</v>
      </c>
      <c r="BF6" s="32" t="s">
        <v>55</v>
      </c>
      <c r="BG6" s="32" t="s">
        <v>55</v>
      </c>
      <c r="BH6" s="32" t="s">
        <v>55</v>
      </c>
      <c r="BI6" s="32" t="s">
        <v>55</v>
      </c>
      <c r="BJ6" s="32"/>
      <c r="BK6" s="32"/>
      <c r="BL6" s="32"/>
      <c r="BM6" s="32"/>
      <c r="BN6" s="32"/>
      <c r="BO6" s="32"/>
      <c r="BP6" s="32"/>
      <c r="BQ6" s="32" t="s">
        <v>56</v>
      </c>
      <c r="BR6" s="32" t="s">
        <v>50</v>
      </c>
      <c r="BS6" s="32"/>
      <c r="BT6" s="32"/>
      <c r="BU6" s="32"/>
      <c r="BV6" s="32"/>
      <c r="BW6" s="32"/>
      <c r="BX6" s="32"/>
      <c r="BY6" s="32"/>
      <c r="BZ6" s="44"/>
      <c r="CA6" s="44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7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 t="s">
        <v>47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2" t="s">
        <v>47</v>
      </c>
      <c r="B7" s="32"/>
      <c r="C7" s="46" t="s">
        <v>31</v>
      </c>
      <c r="D7" s="40">
        <v>88.0</v>
      </c>
      <c r="E7" s="32" t="s">
        <v>21</v>
      </c>
      <c r="F7" s="32" t="s">
        <v>48</v>
      </c>
      <c r="G7" s="36">
        <v>10.0</v>
      </c>
      <c r="H7" s="32" t="s">
        <v>49</v>
      </c>
      <c r="I7" s="32"/>
      <c r="J7" s="32"/>
      <c r="K7" s="32"/>
      <c r="L7" s="32"/>
      <c r="M7" s="32"/>
      <c r="N7" s="32"/>
      <c r="O7" s="32" t="s">
        <v>31</v>
      </c>
      <c r="P7" s="32"/>
      <c r="Q7" s="32"/>
      <c r="R7" s="32" t="s">
        <v>50</v>
      </c>
      <c r="S7" s="32" t="s">
        <v>51</v>
      </c>
      <c r="T7" s="32" t="s">
        <v>28</v>
      </c>
      <c r="U7" s="32" t="s">
        <v>52</v>
      </c>
      <c r="V7" s="32" t="s">
        <v>53</v>
      </c>
      <c r="W7" s="32" t="s">
        <v>54</v>
      </c>
      <c r="X7" s="44"/>
      <c r="Y7" s="44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 t="s">
        <v>32</v>
      </c>
      <c r="AO7" s="32"/>
      <c r="AP7" s="32" t="s">
        <v>49</v>
      </c>
      <c r="AQ7" s="32" t="s">
        <v>31</v>
      </c>
      <c r="AR7" s="44">
        <v>175.0</v>
      </c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44"/>
      <c r="BD7" s="32"/>
      <c r="BE7" s="32" t="s">
        <v>28</v>
      </c>
      <c r="BF7" s="32" t="s">
        <v>55</v>
      </c>
      <c r="BG7" s="32" t="s">
        <v>55</v>
      </c>
      <c r="BH7" s="32" t="s">
        <v>55</v>
      </c>
      <c r="BI7" s="32" t="s">
        <v>55</v>
      </c>
      <c r="BJ7" s="32"/>
      <c r="BK7" s="32"/>
      <c r="BL7" s="32"/>
      <c r="BM7" s="32"/>
      <c r="BN7" s="32"/>
      <c r="BO7" s="32"/>
      <c r="BP7" s="32"/>
      <c r="BQ7" s="32" t="s">
        <v>56</v>
      </c>
      <c r="BR7" s="32" t="s">
        <v>50</v>
      </c>
      <c r="BS7" s="32"/>
      <c r="BT7" s="32"/>
      <c r="BU7" s="32"/>
      <c r="BV7" s="32"/>
      <c r="BW7" s="32"/>
      <c r="BX7" s="32"/>
      <c r="BY7" s="32"/>
      <c r="BZ7" s="44"/>
      <c r="CA7" s="44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7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 t="s">
        <v>47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8" t="s">
        <v>47</v>
      </c>
      <c r="B8" s="8"/>
      <c r="C8" s="8" t="s">
        <v>31</v>
      </c>
      <c r="D8" s="8">
        <v>1000.0</v>
      </c>
      <c r="E8" s="8" t="s">
        <v>22</v>
      </c>
      <c r="F8" s="8" t="s">
        <v>57</v>
      </c>
      <c r="G8" s="8">
        <v>10.0</v>
      </c>
      <c r="H8" s="8" t="s">
        <v>49</v>
      </c>
      <c r="I8" s="8"/>
      <c r="J8" s="8"/>
      <c r="K8" s="8"/>
      <c r="L8" s="8"/>
      <c r="M8" s="8"/>
      <c r="N8" s="8"/>
      <c r="O8" s="8" t="s">
        <v>31</v>
      </c>
      <c r="R8" t="s">
        <v>50</v>
      </c>
      <c r="S8" t="s">
        <v>51</v>
      </c>
      <c r="T8" t="s">
        <v>28</v>
      </c>
      <c r="U8" t="s">
        <v>52</v>
      </c>
      <c r="V8" t="s">
        <v>53</v>
      </c>
      <c r="W8" t="s">
        <v>54</v>
      </c>
      <c r="AN8" t="s">
        <v>32</v>
      </c>
      <c r="AP8" t="s">
        <v>49</v>
      </c>
      <c r="AQ8" t="s">
        <v>31</v>
      </c>
      <c r="AR8">
        <v>175.0</v>
      </c>
      <c r="BE8" t="s">
        <v>28</v>
      </c>
      <c r="BF8" t="s">
        <v>55</v>
      </c>
      <c r="BG8" t="s">
        <v>55</v>
      </c>
      <c r="BH8" t="s">
        <v>55</v>
      </c>
      <c r="BI8" t="s">
        <v>55</v>
      </c>
      <c r="BQ8" t="s">
        <v>56</v>
      </c>
      <c r="BR8" t="s">
        <v>50</v>
      </c>
      <c r="FQ8" t="s">
        <v>47</v>
      </c>
    </row>
    <row r="9" ht="15.75" customHeight="1">
      <c r="A9" s="8" t="s">
        <v>47</v>
      </c>
      <c r="B9" s="8"/>
      <c r="C9" s="8" t="s">
        <v>31</v>
      </c>
      <c r="D9" s="13">
        <v>912.0</v>
      </c>
      <c r="E9" s="8" t="s">
        <v>22</v>
      </c>
      <c r="F9" s="8" t="s">
        <v>57</v>
      </c>
      <c r="G9" s="8">
        <v>10.0</v>
      </c>
      <c r="H9" s="8" t="s">
        <v>49</v>
      </c>
      <c r="I9" s="8"/>
      <c r="J9" s="8"/>
      <c r="K9" s="8"/>
      <c r="L9" s="8"/>
      <c r="M9" s="8"/>
      <c r="N9" s="8"/>
      <c r="O9" s="8" t="s">
        <v>31</v>
      </c>
      <c r="R9" t="s">
        <v>50</v>
      </c>
      <c r="S9" t="s">
        <v>51</v>
      </c>
      <c r="T9" t="s">
        <v>28</v>
      </c>
      <c r="U9" t="s">
        <v>52</v>
      </c>
      <c r="V9" t="s">
        <v>53</v>
      </c>
      <c r="W9" t="s">
        <v>54</v>
      </c>
      <c r="AN9" t="s">
        <v>32</v>
      </c>
      <c r="AP9" t="s">
        <v>49</v>
      </c>
      <c r="AQ9" t="s">
        <v>31</v>
      </c>
      <c r="AR9">
        <v>175.0</v>
      </c>
      <c r="BE9" t="s">
        <v>28</v>
      </c>
      <c r="BF9" t="s">
        <v>55</v>
      </c>
      <c r="BG9" t="s">
        <v>55</v>
      </c>
      <c r="BH9" t="s">
        <v>55</v>
      </c>
      <c r="BI9" t="s">
        <v>55</v>
      </c>
      <c r="BQ9" t="s">
        <v>56</v>
      </c>
      <c r="BR9" t="s">
        <v>50</v>
      </c>
      <c r="FQ9" t="s">
        <v>47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CheckPortfolioManagement2!$4:$4</formula1>
    </dataValidation>
  </dataValidations>
  <drawing r:id="rId1"/>
</worksheet>
</file>