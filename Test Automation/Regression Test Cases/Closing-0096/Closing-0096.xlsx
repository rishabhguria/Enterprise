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tClosingPreference" sheetId="14" r:id="rId16"/>
  </sheets>
  <definedNames/>
  <calcPr/>
</workbook>
</file>

<file path=xl/sharedStrings.xml><?xml version="1.0" encoding="utf-8"?>
<sst xmlns="http://schemas.openxmlformats.org/spreadsheetml/2006/main" count="299" uniqueCount="57">
  <si>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</si>
  <si>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</si>
  <si>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</si>
  <si>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</si>
  <si>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</si>
  <si>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</si>
  <si>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</si>
  <si>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</si>
  <si>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</si>
  <si>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</si>
  <si>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</si>
  <si>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</si>
  <si>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</si>
  <si>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</si>
  <si>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</si>
  <si>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</si>
  <si>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</si>
  <si>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</si>
  <si>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</si>
  <si>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</si>
  <si>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O:AAPL 21K130.10D10</t>
  </si>
  <si>
    <t>Buy to Open</t>
  </si>
  <si>
    <t>O:AAPL 21K130.20D11</t>
  </si>
  <si>
    <t>O:AAPL 21K130.30D12</t>
  </si>
  <si>
    <t>DailyValuation</t>
  </si>
  <si>
    <t>GetMarkPriceData</t>
  </si>
  <si>
    <t>UpdateMarkPrice</t>
  </si>
  <si>
    <t xml:space="preserve">AAPL </t>
  </si>
  <si>
    <t>Closing</t>
  </si>
  <si>
    <t>GetDataClosing</t>
  </si>
  <si>
    <t>Current</t>
  </si>
  <si>
    <t>SelectTradeUnexpiredUnsettled</t>
  </si>
  <si>
    <t>EquityOption</t>
  </si>
  <si>
    <t>ExerciseAssignment</t>
  </si>
  <si>
    <t>Equity</t>
  </si>
  <si>
    <t>VerifyExpiredSettledGrid</t>
  </si>
  <si>
    <t>Exercise</t>
  </si>
  <si>
    <t>Long</t>
  </si>
  <si>
    <t>US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</si>
  <si>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</si>
  <si>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</si>
  <si>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</si>
  <si>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</si>
  <si>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</si>
  <si>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</si>
  <si>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</si>
  <si>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</si>
  <si>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Closed</t>
  </si>
  <si>
    <t>IsExercised</t>
  </si>
  <si>
    <t>C</t>
  </si>
  <si>
    <t>BuytoOpen</t>
  </si>
  <si>
    <t>Sell to Close</t>
  </si>
  <si>
    <t>D</t>
  </si>
  <si>
    <t>Exercise/Assign</t>
  </si>
  <si>
    <t>PortfolioManagement</t>
  </si>
  <si>
    <t>CheckPortfolioManagement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</si>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</sst>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5" numFmtId="164" xfId="0" applyAlignment="1" applyFont="1" applyNumberForma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4" numFmtId="164" xfId="0" applyAlignment="1" applyFont="1" applyNumberForma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2" numFmtId="164" xfId="0" applyFont="1" applyNumberForma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4" fontId="13" numFmtId="0" xfId="0" applyFont="1"/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1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20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23"/>
      <c r="O2" s="8"/>
    </row>
    <row r="3" ht="15.75" customHeight="1">
      <c r="A3" s="24"/>
      <c r="B3" s="5" t="s">
        <v>8</v>
      </c>
      <c r="C3" s="25" t="s">
        <v>12</v>
      </c>
      <c r="D3" s="5" t="s">
        <v>9</v>
      </c>
      <c r="E3" s="25" t="s">
        <v>13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6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IFERROR(__xludf.DUMMYFUNCTION("IF(C3="""","""",Transpose(IMPORTRANGE('_Settings'!$B$3,C3&amp;""!A4:A1000"")))"),"OpenTTFromPST")</f>
        <v>OpenTTFromPST</v>
      </c>
      <c r="C4" s="28" t="str">
        <f>IFERROR(__xludf.DUMMYFUNCTION("""COMPUTED_VALUE"""),"EnterDetailsOnTT")</f>
        <v>EnterDetailsOnTT</v>
      </c>
      <c r="D4" s="28" t="str">
        <f>IFERROR(__xludf.DUMMYFUNCTION("""COMPUTED_VALUE"""),"ValidateSymbolTT")</f>
        <v>ValidateSymbolTT</v>
      </c>
      <c r="E4" s="28" t="str">
        <f>IFERROR(__xludf.DUMMYFUNCTION("""COMPUTED_VALUE"""),"VerifyDataTT")</f>
        <v>VerifyDataTT</v>
      </c>
      <c r="F4" s="28" t="str">
        <f>IFERROR(__xludf.DUMMYFUNCTION("""COMPUTED_VALUE"""),"SetUIPreferencesTT")</f>
        <v>SetUIPreferencesTT</v>
      </c>
      <c r="G4" s="28" t="str">
        <f>IFERROR(__xludf.DUMMYFUNCTION("""COMPUTED_VALUE"""),"SetBrokerWisePreferencesTT")</f>
        <v>SetBrokerWisePreferencesTT</v>
      </c>
      <c r="H4" s="28" t="str">
        <f>IFERROR(__xludf.DUMMYFUNCTION("""COMPUTED_VALUE"""),"TradeNewSub")</f>
        <v>TradeNewSub</v>
      </c>
      <c r="I4" s="28" t="str">
        <f>IFERROR(__xludf.DUMMYFUNCTION("""COMPUTED_VALUE"""),"CreateStageOrder")</f>
        <v>CreateStageOrder</v>
      </c>
      <c r="J4" s="28" t="str">
        <f>IFERROR(__xludf.DUMMYFUNCTION("""COMPUTED_VALUE"""),"CreateReplaceOrder")</f>
        <v>CreateReplaceOrder</v>
      </c>
      <c r="K4" s="28" t="str">
        <f>IFERROR(__xludf.DUMMYFUNCTION("""COMPUTED_VALUE"""),"SetGeneralPreference")</f>
        <v>SetGeneralPreference</v>
      </c>
      <c r="L4" s="28" t="str">
        <f>IFERROR(__xludf.DUMMYFUNCTION("""COMPUTED_VALUE"""),"CreateNewSubOrder")</f>
        <v>CreateNewSubOrder</v>
      </c>
      <c r="M4" s="28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8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 t="str">
        <f>IFERROR(__xludf.DUMMYFUNCTION("""COMPUTED_VALUE"""),"CreateReplaceLiveOrder")</f>
        <v>CreateReplaceLiveOrder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4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5" t="str">
        <f>IFERROR(__xludf.DUMMYFUNCTION("""COMPUTED_VALUE"""),"SoftBasis")</f>
        <v>SoftBasis</v>
      </c>
      <c r="U5" s="35" t="str">
        <f>IFERROR(__xludf.DUMMYFUNCTION("""COMPUTED_VALUE"""),"SoftRate")</f>
        <v>SoftRate</v>
      </c>
      <c r="V5" s="35" t="str">
        <f>IFERROR(__xludf.DUMMYFUNCTION("""COMPUTED_VALUE"""),"TradeAttribute1")</f>
        <v>TradeAttribute1</v>
      </c>
      <c r="W5" s="35" t="str">
        <f>IFERROR(__xludf.DUMMYFUNCTION("""COMPUTED_VALUE"""),"TradeAttribute2")</f>
        <v>TradeAttribute2</v>
      </c>
      <c r="X5" s="35" t="str">
        <f>IFERROR(__xludf.DUMMYFUNCTION("""COMPUTED_VALUE"""),"TradeAttribute3")</f>
        <v>TradeAttribute3</v>
      </c>
      <c r="Y5" s="35" t="str">
        <f>IFERROR(__xludf.DUMMYFUNCTION("""COMPUTED_VALUE"""),"TradeAttribute4")</f>
        <v>TradeAttribute4</v>
      </c>
      <c r="Z5" s="35" t="str">
        <f>IFERROR(__xludf.DUMMYFUNCTION("""COMPUTED_VALUE"""),"TradeAttribute5")</f>
        <v>TradeAttribute5</v>
      </c>
      <c r="AA5" s="35" t="str">
        <f>IFERROR(__xludf.DUMMYFUNCTION("""COMPUTED_VALUE"""),"TradeAttribute6")</f>
        <v>TradeAttribute6</v>
      </c>
      <c r="AB5" s="35" t="str">
        <f>IFERROR(__xludf.DUMMYFUNCTION("""COMPUTED_VALUE"""),"Venue")</f>
        <v>Venue</v>
      </c>
      <c r="AC5" s="35" t="str">
        <f>IFERROR(__xludf.DUMMYFUNCTION("""COMPUTED_VALUE"""),"ExecutionInstructions")</f>
        <v>ExecutionInstructions</v>
      </c>
      <c r="AD5" s="35" t="str">
        <f>IFERROR(__xludf.DUMMYFUNCTION("""COMPUTED_VALUE"""),"HandlingInstructions")</f>
        <v>HandlingInstructions</v>
      </c>
      <c r="AE5" s="35" t="str">
        <f>IFERROR(__xludf.DUMMYFUNCTION("""COMPUTED_VALUE"""),"Trader")</f>
        <v>Trader</v>
      </c>
      <c r="AF5" s="35" t="str">
        <f>IFERROR(__xludf.DUMMYFUNCTION("""COMPUTED_VALUE"""),"SettlementCurrency")</f>
        <v>SettlementCurrency</v>
      </c>
      <c r="AG5" s="35" t="str">
        <f>IFERROR(__xludf.DUMMYFUNCTION("""COMPUTED_VALUE"""),"SettlementFXRate")</f>
        <v>SettlementFXRate</v>
      </c>
      <c r="AH5" s="35" t="str">
        <f>IFERROR(__xludf.DUMMYFUNCTION("""COMPUTED_VALUE"""),"SettlementAmount")</f>
        <v>SettlementAmount</v>
      </c>
      <c r="AI5" s="35" t="str">
        <f>IFERROR(__xludf.DUMMYFUNCTION("""COMPUTED_VALUE"""),"SettlementFXOperator")</f>
        <v>SettlementFXOperator</v>
      </c>
      <c r="AJ5" s="35" t="str">
        <f>IFERROR(__xludf.DUMMYFUNCTION("""COMPUTED_VALUE"""),"SettleByBroker")</f>
        <v>SettleByBroker</v>
      </c>
      <c r="AK5" s="35" t="str">
        <f>IFERROR(__xludf.DUMMYFUNCTION("""COMPUTED_VALUE"""),"Account")</f>
        <v>Account</v>
      </c>
      <c r="AL5" s="35" t="str">
        <f>IFERROR(__xludf.DUMMYFUNCTION("""COMPUTED_VALUE"""),"Account %")</f>
        <v>Account %</v>
      </c>
      <c r="AM5" s="35" t="str">
        <f>IFERROR(__xludf.DUMMYFUNCTION("""COMPUTED_VALUE"""),"Deal In")</f>
        <v>Deal In</v>
      </c>
      <c r="AN5" s="35" t="str">
        <f>IFERROR(__xludf.DUMMYFUNCTION("""COMPUTED_VALUE"""),"ChkBoxBookAsSwap")</f>
        <v>ChkBoxBookAsSwap</v>
      </c>
      <c r="AO5" s="35" t="str">
        <f>IFERROR(__xludf.DUMMYFUNCTION("""COMPUTED_VALUE"""),"PopUpQuantity")</f>
        <v>PopUpQuantity</v>
      </c>
      <c r="AP5" s="35" t="str">
        <f>IFERROR(__xludf.DUMMYFUNCTION("""COMPUTED_VALUE"""),"ShortLocate")</f>
        <v>ShortLocate</v>
      </c>
      <c r="AQ5" s="35" t="str">
        <f>IFERROR(__xludf.DUMMYFUNCTION("""COMPUTED_VALUE"""),"AllowTrade")</f>
        <v>AllowTrade</v>
      </c>
      <c r="AR5" s="35" t="str">
        <f>IFERROR(__xludf.DUMMYFUNCTION("""COMPUTED_VALUE"""),"SharesOutstandingPopUpQty")</f>
        <v>SharesOutstandingPopUpQty</v>
      </c>
      <c r="AS5" s="35" t="str">
        <f>IFERROR(__xludf.DUMMYFUNCTION("""COMPUTED_VALUE"""),"SharesOutstandingPopUp")</f>
        <v>SharesOutstandingPopUp</v>
      </c>
      <c r="AT5" s="35" t="str">
        <f>IFERROR(__xludf.DUMMYFUNCTION("""COMPUTED_VALUE"""),"ResAllowedListPopUp")</f>
        <v>ResAllowedListPopUp</v>
      </c>
      <c r="AU5" s="35" t="str">
        <f>IFERROR(__xludf.DUMMYFUNCTION("""COMPUTED_VALUE"""),"Rate(%)")</f>
        <v>Rate(%)</v>
      </c>
      <c r="AV5" s="35" t="str">
        <f>IFERROR(__xludf.DUMMYFUNCTION("""COMPUTED_VALUE"""),"Interest Rate")</f>
        <v>Interest Rate</v>
      </c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23"/>
      <c r="O6" s="8"/>
    </row>
    <row r="7" ht="15.75" customHeight="1">
      <c r="A7" s="8"/>
      <c r="B7" s="13" t="s">
        <v>20</v>
      </c>
      <c r="C7" s="13" t="s">
        <v>21</v>
      </c>
      <c r="D7" s="13">
        <v>10.0</v>
      </c>
      <c r="E7" s="13">
        <v>10.0</v>
      </c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36">
        <v>44501.0</v>
      </c>
      <c r="O7" s="8"/>
    </row>
    <row r="8" ht="15.75" customHeight="1">
      <c r="A8" s="8"/>
      <c r="B8" s="13" t="s">
        <v>22</v>
      </c>
      <c r="C8" s="13" t="s">
        <v>21</v>
      </c>
      <c r="D8" s="13">
        <v>10.0</v>
      </c>
      <c r="E8" s="13">
        <v>10.0</v>
      </c>
      <c r="F8" s="13" t="s">
        <v>18</v>
      </c>
      <c r="G8" s="13" t="s">
        <v>19</v>
      </c>
      <c r="H8" s="8"/>
      <c r="I8" s="8"/>
      <c r="J8" s="13">
        <v>10.0</v>
      </c>
      <c r="K8" s="8"/>
      <c r="L8" s="8"/>
      <c r="M8" s="8"/>
      <c r="N8" s="36">
        <v>44501.0</v>
      </c>
      <c r="O8" s="8"/>
    </row>
    <row r="9" ht="15.75" customHeight="1">
      <c r="A9" s="8"/>
      <c r="B9" s="13" t="s">
        <v>23</v>
      </c>
      <c r="C9" s="13" t="s">
        <v>21</v>
      </c>
      <c r="D9" s="13">
        <v>10.0</v>
      </c>
      <c r="E9" s="13">
        <v>10.0</v>
      </c>
      <c r="F9" s="13" t="s">
        <v>18</v>
      </c>
      <c r="G9" s="13" t="s">
        <v>19</v>
      </c>
      <c r="H9" s="8"/>
      <c r="I9" s="8"/>
      <c r="J9" s="13">
        <v>10.0</v>
      </c>
      <c r="K9" s="8"/>
      <c r="L9" s="8"/>
      <c r="M9" s="8"/>
      <c r="N9" s="36">
        <v>44501.0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3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23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23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23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3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23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3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3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3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3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3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3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3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23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3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23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3"/>
      <c r="O26" s="8"/>
    </row>
    <row r="27" ht="15.75" customHeight="1">
      <c r="N27" s="37"/>
    </row>
    <row r="28" ht="15.75" customHeight="1">
      <c r="N28" s="37"/>
    </row>
    <row r="29" ht="15.75" customHeight="1">
      <c r="N29" s="37"/>
    </row>
    <row r="30" ht="15.75" customHeight="1">
      <c r="N30" s="37"/>
    </row>
    <row r="31" ht="15.75" customHeight="1">
      <c r="N31" s="37"/>
    </row>
    <row r="32" ht="15.75" customHeight="1">
      <c r="N32" s="37"/>
    </row>
    <row r="33" ht="15.75" customHeight="1">
      <c r="N33" s="37"/>
    </row>
    <row r="34" ht="15.75" customHeight="1">
      <c r="N34" s="37"/>
    </row>
    <row r="35" ht="15.75" customHeight="1">
      <c r="N35" s="37"/>
    </row>
    <row r="36" ht="15.75" customHeight="1">
      <c r="N36" s="37"/>
    </row>
    <row r="37" ht="15.75" customHeight="1">
      <c r="N37" s="37"/>
    </row>
    <row r="38" ht="15.75" customHeight="1">
      <c r="N38" s="37"/>
    </row>
    <row r="39" ht="15.75" customHeight="1">
      <c r="N39" s="37"/>
    </row>
    <row r="40" ht="15.75" customHeight="1">
      <c r="N40" s="37"/>
    </row>
    <row r="41" ht="15.75" customHeight="1">
      <c r="N41" s="37"/>
    </row>
    <row r="42" ht="15.75" customHeight="1">
      <c r="N42" s="37"/>
    </row>
    <row r="43" ht="15.75" customHeight="1">
      <c r="N43" s="37"/>
    </row>
    <row r="44" ht="15.75" customHeight="1">
      <c r="N44" s="37"/>
    </row>
    <row r="45" ht="15.75" customHeight="1">
      <c r="N45" s="37"/>
    </row>
    <row r="46" ht="15.75" customHeight="1">
      <c r="N46" s="37"/>
    </row>
    <row r="47" ht="15.75" customHeight="1">
      <c r="N47" s="37"/>
    </row>
    <row r="48" ht="15.75" customHeight="1">
      <c r="N48" s="37"/>
    </row>
    <row r="49" ht="15.75" customHeight="1">
      <c r="N49" s="37"/>
    </row>
    <row r="50" ht="15.75" customHeight="1">
      <c r="N50" s="37"/>
    </row>
    <row r="51" ht="15.75" customHeight="1">
      <c r="N51" s="37"/>
    </row>
    <row r="52" ht="15.75" customHeight="1">
      <c r="N52" s="37"/>
    </row>
    <row r="53" ht="15.75" customHeight="1">
      <c r="N53" s="37"/>
    </row>
    <row r="54" ht="15.75" customHeight="1">
      <c r="N54" s="37"/>
    </row>
    <row r="55" ht="15.75" customHeight="1">
      <c r="N55" s="37"/>
    </row>
    <row r="56" ht="15.75" customHeight="1">
      <c r="N56" s="37"/>
    </row>
    <row r="57" ht="15.75" customHeight="1">
      <c r="N57" s="37"/>
    </row>
    <row r="58" ht="15.75" customHeight="1">
      <c r="N58" s="37"/>
    </row>
    <row r="59" ht="15.75" customHeight="1">
      <c r="N59" s="37"/>
    </row>
    <row r="60" ht="15.75" customHeight="1">
      <c r="N60" s="37"/>
    </row>
    <row r="61" ht="15.75" customHeight="1">
      <c r="N61" s="37"/>
    </row>
    <row r="62" ht="15.75" customHeight="1">
      <c r="N62" s="37"/>
    </row>
    <row r="63" ht="15.75" customHeight="1">
      <c r="N63" s="37"/>
    </row>
    <row r="64" ht="15.75" customHeight="1">
      <c r="N64" s="37"/>
    </row>
    <row r="65" ht="15.75" customHeight="1">
      <c r="N65" s="37"/>
    </row>
    <row r="66" ht="15.75" customHeight="1">
      <c r="N66" s="37"/>
    </row>
    <row r="67" ht="15.75" customHeight="1">
      <c r="N67" s="37"/>
    </row>
    <row r="68" ht="15.75" customHeight="1">
      <c r="N68" s="37"/>
    </row>
    <row r="69" ht="15.75" customHeight="1">
      <c r="N69" s="37"/>
    </row>
    <row r="70" ht="15.75" customHeight="1">
      <c r="N70" s="37"/>
    </row>
    <row r="71" ht="15.75" customHeight="1">
      <c r="N71" s="37"/>
    </row>
    <row r="72" ht="15.75" customHeight="1">
      <c r="N72" s="37"/>
    </row>
    <row r="73" ht="15.75" customHeight="1">
      <c r="N73" s="37"/>
    </row>
    <row r="74" ht="15.75" customHeight="1">
      <c r="N74" s="37"/>
    </row>
    <row r="75" ht="15.75" customHeight="1">
      <c r="N75" s="37"/>
    </row>
    <row r="76" ht="15.75" customHeight="1">
      <c r="N76" s="37"/>
    </row>
    <row r="77" ht="15.75" customHeight="1">
      <c r="N77" s="37"/>
    </row>
    <row r="78" ht="15.75" customHeight="1">
      <c r="N78" s="37"/>
    </row>
    <row r="79" ht="15.75" customHeight="1">
      <c r="N79" s="37"/>
    </row>
    <row r="80" ht="15.75" customHeight="1">
      <c r="N80" s="37"/>
    </row>
    <row r="81" ht="15.75" customHeight="1">
      <c r="N81" s="37"/>
    </row>
    <row r="82" ht="15.75" customHeight="1">
      <c r="N82" s="37"/>
    </row>
    <row r="83" ht="15.75" customHeight="1">
      <c r="N83" s="37"/>
    </row>
    <row r="84" ht="15.75" customHeight="1">
      <c r="N84" s="37"/>
    </row>
    <row r="85" ht="15.75" customHeight="1">
      <c r="N85" s="37"/>
    </row>
    <row r="86" ht="15.75" customHeight="1">
      <c r="N86" s="37"/>
    </row>
    <row r="87" ht="15.75" customHeight="1">
      <c r="N87" s="37"/>
    </row>
    <row r="88" ht="15.75" customHeight="1">
      <c r="N88" s="37"/>
    </row>
    <row r="89" ht="15.75" customHeight="1">
      <c r="N89" s="37"/>
    </row>
    <row r="90" ht="15.75" customHeight="1">
      <c r="N90" s="37"/>
    </row>
    <row r="91" ht="15.75" customHeight="1">
      <c r="N91" s="37"/>
    </row>
    <row r="92" ht="15.75" customHeight="1">
      <c r="N92" s="37"/>
    </row>
    <row r="93" ht="15.75" customHeight="1">
      <c r="N93" s="37"/>
    </row>
    <row r="94" ht="15.75" customHeight="1">
      <c r="N94" s="37"/>
    </row>
    <row r="95" ht="15.75" customHeight="1">
      <c r="N95" s="37"/>
    </row>
    <row r="96" ht="15.75" customHeight="1">
      <c r="N96" s="37"/>
    </row>
    <row r="97" ht="15.75" customHeight="1">
      <c r="N97" s="37"/>
    </row>
    <row r="98" ht="15.75" customHeight="1">
      <c r="N98" s="37"/>
    </row>
    <row r="99" ht="15.75" customHeight="1">
      <c r="N99" s="37"/>
    </row>
    <row r="100" ht="15.75" customHeight="1">
      <c r="N100" s="3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24</v>
      </c>
      <c r="D3" s="5" t="s">
        <v>9</v>
      </c>
      <c r="E3" s="25" t="s">
        <v>25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8" t="str">
        <f>IFERROR(__xludf.DUMMYFUNCTION("""COMPUTED_VALUE"""),"UpdateForexConversion")</f>
        <v>UpdateForexConversion</v>
      </c>
      <c r="E4" s="28" t="str">
        <f>IFERROR(__xludf.DUMMYFUNCTION("""COMPUTED_VALUE"""),"UpdateMarkPrice")</f>
        <v>UpdateMarkPrice</v>
      </c>
      <c r="F4" s="28" t="str">
        <f>IFERROR(__xludf.DUMMYFUNCTION("""COMPUTED_VALUE"""),"CleanUp")</f>
        <v>CleanUp</v>
      </c>
      <c r="G4" s="28" t="str">
        <f>IFERROR(__xludf.DUMMYFUNCTION("""COMPUTED_VALUE"""),"GetMarkPriceData")</f>
        <v>GetMarkPriceData</v>
      </c>
      <c r="H4" s="28" t="str">
        <f>IFERROR(__xludf.DUMMYFUNCTION("""COMPUTED_VALUE"""),"GetForwardPoints")</f>
        <v>GetForwardPoints</v>
      </c>
      <c r="I4" s="28" t="str">
        <f>IFERROR(__xludf.DUMMYFUNCTION("""COMPUTED_VALUE"""),"UpdateForwardPoints")</f>
        <v>UpdateForwardPoints</v>
      </c>
      <c r="J4" s="28" t="str">
        <f>IFERROR(__xludf.DUMMYFUNCTION("""COMPUTED_VALUE"""),"GetForexConversion")</f>
        <v>GetForexConversion</v>
      </c>
      <c r="K4" s="28" t="str">
        <f>IFERROR(__xludf.DUMMYFUNCTION("""COMPUTED_VALUE"""),"DeleteNAV")</f>
        <v>DeleteNAV</v>
      </c>
      <c r="L4" s="28" t="str">
        <f>IFERROR(__xludf.DUMMYFUNCTION("""COMPUTED_VALUE"""),"GetDailyCash")</f>
        <v>GetDailyCash</v>
      </c>
      <c r="M4" s="28" t="str">
        <f>IFERROR(__xludf.DUMMYFUNCTION("""COMPUTED_VALUE"""),"GetDailyBeta")</f>
        <v>GetDailyBeta</v>
      </c>
      <c r="N4" s="28" t="str">
        <f>IFERROR(__xludf.DUMMYFUNCTION("""COMPUTED_VALUE"""),"GetDailyVolatility")</f>
        <v>GetDailyVolatility</v>
      </c>
      <c r="O4" s="28" t="str">
        <f>IFERROR(__xludf.DUMMYFUNCTION("""COMPUTED_VALUE"""),"GetDailyDividendYield")</f>
        <v>GetDailyDividendYield</v>
      </c>
      <c r="P4" s="30" t="str">
        <f>IFERROR(__xludf.DUMMYFUNCTION("""COMPUTED_VALUE"""),"GetDailyTradingVolume")</f>
        <v>GetDailyTradingVolume</v>
      </c>
      <c r="Q4" s="30" t="str">
        <f>IFERROR(__xludf.DUMMYFUNCTION("""COMPUTED_VALUE"""),"GetDailyOutstandings")</f>
        <v>GetDailyOutstandings</v>
      </c>
      <c r="R4" s="30" t="str">
        <f>IFERROR(__xludf.DUMMYFUNCTION("""COMPUTED_VALUE"""),"GetDailyDelta")</f>
        <v>GetDailyDelta</v>
      </c>
      <c r="S4" s="30" t="str">
        <f>IFERROR(__xludf.DUMMYFUNCTION("""COMPUTED_VALUE"""),"UpdateDailyVolatility")</f>
        <v>UpdateDailyVolatility</v>
      </c>
      <c r="T4" s="30" t="str">
        <f>IFERROR(__xludf.DUMMYFUNCTION("""COMPUTED_VALUE"""),"UpdateDividendYield")</f>
        <v>UpdateDividendYield</v>
      </c>
      <c r="U4" s="30" t="str">
        <f>IFERROR(__xludf.DUMMYFUNCTION("""COMPUTED_VALUE"""),"UpdateTradingVolume")</f>
        <v>UpdateTradingVolume</v>
      </c>
      <c r="V4" s="30" t="str">
        <f>IFERROR(__xludf.DUMMYFUNCTION("""COMPUTED_VALUE"""),"UpdateDailyDelta")</f>
        <v>UpdateDailyDelta</v>
      </c>
      <c r="W4" s="30" t="str">
        <f>IFERROR(__xludf.DUMMYFUNCTION("""COMPUTED_VALUE"""),"UpdateDailyOutstandings")</f>
        <v>UpdateDailyOutstandings</v>
      </c>
      <c r="X4" s="30" t="str">
        <f>IFERROR(__xludf.DUMMYFUNCTION("""COMPUTED_VALUE"""),"UpdateBeta")</f>
        <v>UpdateBeta</v>
      </c>
      <c r="Y4" s="30" t="str">
        <f>IFERROR(__xludf.DUMMYFUNCTION("""COMPUTED_VALUE"""),"UpdateNAV")</f>
        <v>UpdateNAV</v>
      </c>
      <c r="Z4" s="30" t="str">
        <f>IFERROR(__xludf.DUMMYFUNCTION("""COMPUTED_VALUE"""),"UpdateDailyCash")</f>
        <v>UpdateDailyCash</v>
      </c>
      <c r="AA4" s="30" t="str">
        <f>IFERROR(__xludf.DUMMYFUNCTION("""COMPUTED_VALUE"""),"UpdateDailyCreditLimt")</f>
        <v>UpdateDailyCreditLimt</v>
      </c>
      <c r="AB4" s="30" t="str">
        <f>IFERROR(__xludf.DUMMYFUNCTION("""COMPUTED_VALUE"""),"RemoveDailyCreditLimit")</f>
        <v>RemoveDailyCreditLimit</v>
      </c>
      <c r="AC4" s="30" t="str">
        <f>IFERROR(__xludf.DUMMYFUNCTION("""COMPUTED_VALUE"""),"RemoveDailyCash")</f>
        <v>RemoveDailyCash</v>
      </c>
      <c r="AD4" s="30" t="str">
        <f>IFERROR(__xludf.DUMMYFUNCTION("""COMPUTED_VALUE"""),"RemoveNAV")</f>
        <v>RemoveNAV</v>
      </c>
      <c r="AE4" s="30" t="str">
        <f>IFERROR(__xludf.DUMMYFUNCTION("""COMPUTED_VALUE"""),"UpdateForexConversionMonthly")</f>
        <v>UpdateForexConversionMonthly</v>
      </c>
      <c r="AF4" s="30" t="str">
        <f>IFERROR(__xludf.DUMMYFUNCTION("""COMPUTED_VALUE"""),"UpdateMarkPriceMonthly")</f>
        <v>UpdateMarkPriceMonthly</v>
      </c>
      <c r="AG4" s="30" t="str">
        <f>IFERROR(__xludf.DUMMYFUNCTION("""COMPUTED_VALUE"""),"VerifyDailyCash")</f>
        <v>VerifyDailyCash</v>
      </c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38">
        <f t="shared" ref="B6:C6" si="1">today()-1</f>
        <v>44593</v>
      </c>
      <c r="C6" s="38">
        <f t="shared" si="1"/>
        <v>44593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24</v>
      </c>
      <c r="D3" s="5" t="s">
        <v>9</v>
      </c>
      <c r="E3" s="25" t="s">
        <v>26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8" t="str">
        <f>IFERROR(__xludf.DUMMYFUNCTION("""COMPUTED_VALUE"""),"UpdateForexConversion")</f>
        <v>UpdateForexConversion</v>
      </c>
      <c r="E4" s="28" t="str">
        <f>IFERROR(__xludf.DUMMYFUNCTION("""COMPUTED_VALUE"""),"UpdateMarkPrice")</f>
        <v>UpdateMarkPrice</v>
      </c>
      <c r="F4" s="28" t="str">
        <f>IFERROR(__xludf.DUMMYFUNCTION("""COMPUTED_VALUE"""),"CleanUp")</f>
        <v>CleanUp</v>
      </c>
      <c r="G4" s="28" t="str">
        <f>IFERROR(__xludf.DUMMYFUNCTION("""COMPUTED_VALUE"""),"GetMarkPriceData")</f>
        <v>GetMarkPriceData</v>
      </c>
      <c r="H4" s="28" t="str">
        <f>IFERROR(__xludf.DUMMYFUNCTION("""COMPUTED_VALUE"""),"GetForwardPoints")</f>
        <v>GetForwardPoints</v>
      </c>
      <c r="I4" s="28" t="str">
        <f>IFERROR(__xludf.DUMMYFUNCTION("""COMPUTED_VALUE"""),"UpdateForwardPoints")</f>
        <v>UpdateForwardPoints</v>
      </c>
      <c r="J4" s="28" t="str">
        <f>IFERROR(__xludf.DUMMYFUNCTION("""COMPUTED_VALUE"""),"GetForexConversion")</f>
        <v>GetForexConversion</v>
      </c>
      <c r="K4" s="28" t="str">
        <f>IFERROR(__xludf.DUMMYFUNCTION("""COMPUTED_VALUE"""),"DeleteNAV")</f>
        <v>DeleteNAV</v>
      </c>
      <c r="L4" s="28" t="str">
        <f>IFERROR(__xludf.DUMMYFUNCTION("""COMPUTED_VALUE"""),"GetDailyCash")</f>
        <v>GetDailyCash</v>
      </c>
      <c r="M4" s="28" t="str">
        <f>IFERROR(__xludf.DUMMYFUNCTION("""COMPUTED_VALUE"""),"GetDailyBeta")</f>
        <v>GetDailyBeta</v>
      </c>
      <c r="N4" s="28" t="str">
        <f>IFERROR(__xludf.DUMMYFUNCTION("""COMPUTED_VALUE"""),"GetDailyVolatility")</f>
        <v>GetDailyVolatility</v>
      </c>
      <c r="O4" s="28" t="str">
        <f>IFERROR(__xludf.DUMMYFUNCTION("""COMPUTED_VALUE"""),"GetDailyDividendYield")</f>
        <v>GetDailyDividendYield</v>
      </c>
      <c r="P4" s="30" t="str">
        <f>IFERROR(__xludf.DUMMYFUNCTION("""COMPUTED_VALUE"""),"GetDailyTradingVolume")</f>
        <v>GetDailyTradingVolume</v>
      </c>
      <c r="Q4" s="30" t="str">
        <f>IFERROR(__xludf.DUMMYFUNCTION("""COMPUTED_VALUE"""),"GetDailyOutstandings")</f>
        <v>GetDailyOutstandings</v>
      </c>
      <c r="R4" s="30" t="str">
        <f>IFERROR(__xludf.DUMMYFUNCTION("""COMPUTED_VALUE"""),"GetDailyDelta")</f>
        <v>GetDailyDelta</v>
      </c>
      <c r="S4" s="30" t="str">
        <f>IFERROR(__xludf.DUMMYFUNCTION("""COMPUTED_VALUE"""),"UpdateDailyVolatility")</f>
        <v>UpdateDailyVolatility</v>
      </c>
      <c r="T4" s="30" t="str">
        <f>IFERROR(__xludf.DUMMYFUNCTION("""COMPUTED_VALUE"""),"UpdateDividendYield")</f>
        <v>UpdateDividendYield</v>
      </c>
      <c r="U4" s="30" t="str">
        <f>IFERROR(__xludf.DUMMYFUNCTION("""COMPUTED_VALUE"""),"UpdateTradingVolume")</f>
        <v>UpdateTradingVolume</v>
      </c>
      <c r="V4" s="30" t="str">
        <f>IFERROR(__xludf.DUMMYFUNCTION("""COMPUTED_VALUE"""),"UpdateDailyDelta")</f>
        <v>UpdateDailyDelta</v>
      </c>
      <c r="W4" s="30" t="str">
        <f>IFERROR(__xludf.DUMMYFUNCTION("""COMPUTED_VALUE"""),"UpdateDailyOutstandings")</f>
        <v>UpdateDailyOutstandings</v>
      </c>
      <c r="X4" s="30" t="str">
        <f>IFERROR(__xludf.DUMMYFUNCTION("""COMPUTED_VALUE"""),"UpdateBeta")</f>
        <v>UpdateBeta</v>
      </c>
      <c r="Y4" s="30" t="str">
        <f>IFERROR(__xludf.DUMMYFUNCTION("""COMPUTED_VALUE"""),"UpdateNAV")</f>
        <v>UpdateNAV</v>
      </c>
      <c r="Z4" s="30" t="str">
        <f>IFERROR(__xludf.DUMMYFUNCTION("""COMPUTED_VALUE"""),"UpdateDailyCash")</f>
        <v>UpdateDailyCash</v>
      </c>
      <c r="AA4" s="30" t="str">
        <f>IFERROR(__xludf.DUMMYFUNCTION("""COMPUTED_VALUE"""),"UpdateDailyCreditLimt")</f>
        <v>UpdateDailyCreditLimt</v>
      </c>
      <c r="AB4" s="30" t="str">
        <f>IFERROR(__xludf.DUMMYFUNCTION("""COMPUTED_VALUE"""),"RemoveDailyCreditLimit")</f>
        <v>RemoveDailyCreditLimit</v>
      </c>
      <c r="AC4" s="30" t="str">
        <f>IFERROR(__xludf.DUMMYFUNCTION("""COMPUTED_VALUE"""),"RemoveDailyCash")</f>
        <v>RemoveDailyCash</v>
      </c>
      <c r="AD4" s="30" t="str">
        <f>IFERROR(__xludf.DUMMYFUNCTION("""COMPUTED_VALUE"""),"RemoveNAV")</f>
        <v>RemoveNAV</v>
      </c>
      <c r="AE4" s="30" t="str">
        <f>IFERROR(__xludf.DUMMYFUNCTION("""COMPUTED_VALUE"""),"UpdateForexConversionMonthly")</f>
        <v>UpdateForexConversionMonthly</v>
      </c>
      <c r="AF4" s="30" t="str">
        <f>IFERROR(__xludf.DUMMYFUNCTION("""COMPUTED_VALUE"""),"UpdateMarkPriceMonthly")</f>
        <v>UpdateMarkPriceMonthly</v>
      </c>
      <c r="AG4" s="30" t="str">
        <f>IFERROR(__xludf.DUMMYFUNCTION("""COMPUTED_VALUE"""),"VerifyDailyCash")</f>
        <v>VerifyDailyCash</v>
      </c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IFERROR(__xludf.DUMMYFUNCTION("""COMPUTED_VALUE"""),"Price")</f>
        <v>Price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 t="s">
        <v>27</v>
      </c>
      <c r="C6" s="13">
        <v>120.0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28</v>
      </c>
      <c r="D3" s="5" t="s">
        <v>9</v>
      </c>
      <c r="E3" s="25" t="s">
        <v>29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IFERROR(__xludf.DUMMYFUNCTION("IF(C3="""","""",Transpose(IMPORTRANGE('_Settings'!$B$3,C3&amp;""!A4:A1000"")))"),"GetDataClosing")</f>
        <v>GetDataClosing</v>
      </c>
      <c r="C4" s="28" t="str">
        <f>IFERROR(__xludf.DUMMYFUNCTION("""COMPUTED_VALUE"""),"ManualClosing")</f>
        <v>ManualClosing</v>
      </c>
      <c r="D4" s="28" t="str">
        <f>IFERROR(__xludf.DUMMYFUNCTION("""COMPUTED_VALUE"""),"SwapExpire")</f>
        <v>SwapExpire</v>
      </c>
      <c r="E4" s="28" t="str">
        <f>IFERROR(__xludf.DUMMYFUNCTION("""COMPUTED_VALUE"""),"AutomaticClosing")</f>
        <v>AutomaticClosing</v>
      </c>
      <c r="F4" s="28" t="str">
        <f>IFERROR(__xludf.DUMMYFUNCTION("""COMPUTED_VALUE"""),"UnwindClosing")</f>
        <v>UnwindClosing</v>
      </c>
      <c r="G4" s="28" t="str">
        <f>IFERROR(__xludf.DUMMYFUNCTION("""COMPUTED_VALUE"""),"VerifyClosedTrades")</f>
        <v>VerifyClosedTrades</v>
      </c>
      <c r="H4" s="28" t="str">
        <f>IFERROR(__xludf.DUMMYFUNCTION("""COMPUTED_VALUE"""),"VerifyLongPositionsGrid")</f>
        <v>VerifyLongPositionsGrid</v>
      </c>
      <c r="I4" s="28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8" t="str">
        <f>IFERROR(__xludf.DUMMYFUNCTION("""COMPUTED_VALUE"""),"CashSettlementAtCost")</f>
        <v>CashSettlementAtCost</v>
      </c>
      <c r="L4" s="28" t="str">
        <f>IFERROR(__xludf.DUMMYFUNCTION("""COMPUTED_VALUE"""),"CashSettlementAtZeroPrice")</f>
        <v>CashSettlementAtZeroPrice</v>
      </c>
      <c r="M4" s="28" t="str">
        <f>IFERROR(__xludf.DUMMYFUNCTION("""COMPUTED_VALUE"""),"CashSettlementAtClosingDtSpotPx")</f>
        <v>CashSettlementAtClosingDtSpotPx</v>
      </c>
      <c r="N4" s="28" t="str">
        <f>IFERROR(__xludf.DUMMYFUNCTION("""COMPUTED_VALUE"""),"PhysicalSettlement")</f>
        <v>PhysicalSettlement</v>
      </c>
      <c r="O4" s="28" t="str">
        <f>IFERROR(__xludf.DUMMYFUNCTION("""COMPUTED_VALUE"""),"Expire")</f>
        <v>Expire</v>
      </c>
      <c r="P4" s="30" t="str">
        <f>IFERROR(__xludf.DUMMYFUNCTION("""COMPUTED_VALUE"""),"ExerciseAssignment")</f>
        <v>ExerciseAssignment</v>
      </c>
      <c r="Q4" s="30" t="str">
        <f>IFERROR(__xludf.DUMMYFUNCTION("""COMPUTED_VALUE"""),"ExerciseAssignmentAtZero")</f>
        <v>ExerciseAssignmentAtZero</v>
      </c>
      <c r="R4" s="30" t="str">
        <f>IFERROR(__xludf.DUMMYFUNCTION("""COMPUTED_VALUE"""),"SwapExpireAndRollover")</f>
        <v>SwapExpireAndRollover</v>
      </c>
      <c r="S4" s="30" t="str">
        <f>IFERROR(__xludf.DUMMYFUNCTION("""COMPUTED_VALUE"""),"SwapExpire")</f>
        <v>SwapExpire</v>
      </c>
      <c r="T4" s="30" t="str">
        <f>IFERROR(__xludf.DUMMYFUNCTION("""COMPUTED_VALUE"""),"VerifyExpiredSettledGrid")</f>
        <v>VerifyExpiredSettledGrid</v>
      </c>
      <c r="U4" s="30" t="str">
        <f>IFERROR(__xludf.DUMMYFUNCTION("""COMPUTED_VALUE"""),"VerifyUnExpiredUnSettledGrid")</f>
        <v>VerifyUnExpiredUnSettledGrid</v>
      </c>
      <c r="V4" s="30" t="str">
        <f>IFERROR(__xludf.DUMMYFUNCTION("""COMPUTED_VALUE"""),"UnWindTradeSettlement")</f>
        <v>UnWindTradeSettlement</v>
      </c>
      <c r="W4" s="30" t="str">
        <f>IFERROR(__xludf.DUMMYFUNCTION("""COMPUTED_VALUE"""),"CloseOrder")</f>
        <v>CloseOrder</v>
      </c>
      <c r="X4" s="30" t="str">
        <f>IFERROR(__xludf.DUMMYFUNCTION("""COMPUTED_VALUE"""),"VerifyCloseOrder")</f>
        <v>VerifyCloseOrder</v>
      </c>
      <c r="Y4" s="30" t="str">
        <f>IFERROR(__xludf.DUMMYFUNCTION("""COMPUTED_VALUE"""),"UnWindCloseOrder")</f>
        <v>UnWindCloseOrder</v>
      </c>
      <c r="Z4" s="30" t="str">
        <f>IFERROR(__xludf.DUMMYFUNCTION("""COMPUTED_VALUE"""),"ClosingCleanUp")</f>
        <v>ClosingCleanUp</v>
      </c>
      <c r="AA4" s="30" t="str">
        <f>IFERROR(__xludf.DUMMYFUNCTION("""COMPUTED_VALUE"""),"CloseClosingUI")</f>
        <v>CloseClosingUI</v>
      </c>
      <c r="AB4" s="30" t="str">
        <f>IFERROR(__xludf.DUMMYFUNCTION("""COMPUTED_VALUE"""),"SetClosingPreference")</f>
        <v>SetClosingPreference</v>
      </c>
      <c r="AC4" s="30" t="str">
        <f>IFERROR(__xludf.DUMMYFUNCTION("""COMPUTED_VALUE"""),"EditTradeUnexpiredUnsettled")</f>
        <v>EditTradeUnexpiredUnsettled</v>
      </c>
      <c r="AD4" s="30" t="str">
        <f>IFERROR(__xludf.DUMMYFUNCTION("""COMPUTED_VALUE"""),"AutoExercise")</f>
        <v>AutoExercise</v>
      </c>
      <c r="AE4" s="30" t="str">
        <f>IFERROR(__xludf.DUMMYFUNCTION("""COMPUTED_VALUE"""),"EditMultipleCloseQuantity")</f>
        <v>EditMultipleCloseQuantity</v>
      </c>
      <c r="AF4" s="30" t="str">
        <f>IFERROR(__xludf.DUMMYFUNCTION("""COMPUTED_VALUE"""),"ManualCloseOrder")</f>
        <v>ManualCloseOrder</v>
      </c>
      <c r="AG4" s="30" t="str">
        <f>IFERROR(__xludf.DUMMYFUNCTION("""COMPUTED_VALUE"""),"PreviewDataWithFilters")</f>
        <v>PreviewDataWithFilters</v>
      </c>
      <c r="AH4" s="30" t="str">
        <f>IFERROR(__xludf.DUMMYFUNCTION("""COMPUTED_VALUE"""),"CreateClosingTemplate")</f>
        <v>CreateClosingTemplate</v>
      </c>
      <c r="AI4" s="30" t="str">
        <f>IFERROR(__xludf.DUMMYFUNCTION("""COMPUTED_VALUE"""),"CreateUnwindingTemplate")</f>
        <v>CreateUnwindingTemplate</v>
      </c>
      <c r="AJ4" s="30" t="str">
        <f>IFERROR(__xludf.DUMMYFUNCTION("""COMPUTED_VALUE"""),"EditTemplate")</f>
        <v>EditTemplate</v>
      </c>
      <c r="AK4" s="30" t="str">
        <f>IFERROR(__xludf.DUMMYFUNCTION("""COMPUTED_VALUE"""),"DeleteTemplate")</f>
        <v>DeleteTemplate</v>
      </c>
      <c r="AL4" s="30" t="str">
        <f>IFERROR(__xludf.DUMMYFUNCTION("""COMPUTED_VALUE"""),"RunTemplate")</f>
        <v>RunTemplate</v>
      </c>
      <c r="AM4" s="30" t="str">
        <f>IFERROR(__xludf.DUMMYFUNCTION("""COMPUTED_VALUE"""),"SelectAccountWiseAsset")</f>
        <v>SelectAccountWiseAsset</v>
      </c>
      <c r="AN4" s="30" t="str">
        <f>IFERROR(__xludf.DUMMYFUNCTION("""COMPUTED_VALUE"""),"VerifyCTData")</f>
        <v>VerifyCTData</v>
      </c>
      <c r="AO4" s="30" t="str">
        <f>IFERROR(__xludf.DUMMYFUNCTION("""COMPUTED_VALUE"""),"ExerciseAssignmentWithOutSave")</f>
        <v>ExerciseAssignmentWithOutSave</v>
      </c>
      <c r="AP4" s="30" t="str">
        <f>IFERROR(__xludf.DUMMYFUNCTION("""COMPUTED_VALUE"""),"SaveCTData")</f>
        <v>SaveCTData</v>
      </c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2" t="str">
        <f>IFERROR(__xludf.DUMMYFUNCTION("""COMPUTED_VALUE"""),"Account Filter")</f>
        <v>Account Filter</v>
      </c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 t="s">
        <v>30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28</v>
      </c>
      <c r="D3" s="5" t="s">
        <v>9</v>
      </c>
      <c r="E3" s="25" t="s">
        <v>31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IFERROR(__xludf.DUMMYFUNCTION("IF(C3="""","""",Transpose(IMPORTRANGE('_Settings'!$B$3,C3&amp;""!A4:A1000"")))"),"GetDataClosing")</f>
        <v>GetDataClosing</v>
      </c>
      <c r="C4" s="28" t="str">
        <f>IFERROR(__xludf.DUMMYFUNCTION("""COMPUTED_VALUE"""),"ManualClosing")</f>
        <v>ManualClosing</v>
      </c>
      <c r="D4" s="28" t="str">
        <f>IFERROR(__xludf.DUMMYFUNCTION("""COMPUTED_VALUE"""),"SwapExpire")</f>
        <v>SwapExpire</v>
      </c>
      <c r="E4" s="28" t="str">
        <f>IFERROR(__xludf.DUMMYFUNCTION("""COMPUTED_VALUE"""),"AutomaticClosing")</f>
        <v>AutomaticClosing</v>
      </c>
      <c r="F4" s="28" t="str">
        <f>IFERROR(__xludf.DUMMYFUNCTION("""COMPUTED_VALUE"""),"UnwindClosing")</f>
        <v>UnwindClosing</v>
      </c>
      <c r="G4" s="28" t="str">
        <f>IFERROR(__xludf.DUMMYFUNCTION("""COMPUTED_VALUE"""),"VerifyClosedTrades")</f>
        <v>VerifyClosedTrades</v>
      </c>
      <c r="H4" s="28" t="str">
        <f>IFERROR(__xludf.DUMMYFUNCTION("""COMPUTED_VALUE"""),"VerifyLongPositionsGrid")</f>
        <v>VerifyLongPositionsGrid</v>
      </c>
      <c r="I4" s="28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8" t="str">
        <f>IFERROR(__xludf.DUMMYFUNCTION("""COMPUTED_VALUE"""),"CashSettlementAtCost")</f>
        <v>CashSettlementAtCost</v>
      </c>
      <c r="L4" s="28" t="str">
        <f>IFERROR(__xludf.DUMMYFUNCTION("""COMPUTED_VALUE"""),"CashSettlementAtZeroPrice")</f>
        <v>CashSettlementAtZeroPrice</v>
      </c>
      <c r="M4" s="28" t="str">
        <f>IFERROR(__xludf.DUMMYFUNCTION("""COMPUTED_VALUE"""),"CashSettlementAtClosingDtSpotPx")</f>
        <v>CashSettlementAtClosingDtSpotPx</v>
      </c>
      <c r="N4" s="28" t="str">
        <f>IFERROR(__xludf.DUMMYFUNCTION("""COMPUTED_VALUE"""),"PhysicalSettlement")</f>
        <v>PhysicalSettlement</v>
      </c>
      <c r="O4" s="28" t="str">
        <f>IFERROR(__xludf.DUMMYFUNCTION("""COMPUTED_VALUE"""),"Expire")</f>
        <v>Expire</v>
      </c>
      <c r="P4" s="30" t="str">
        <f>IFERROR(__xludf.DUMMYFUNCTION("""COMPUTED_VALUE"""),"ExerciseAssignment")</f>
        <v>ExerciseAssignment</v>
      </c>
      <c r="Q4" s="30" t="str">
        <f>IFERROR(__xludf.DUMMYFUNCTION("""COMPUTED_VALUE"""),"ExerciseAssignmentAtZero")</f>
        <v>ExerciseAssignmentAtZero</v>
      </c>
      <c r="R4" s="30" t="str">
        <f>IFERROR(__xludf.DUMMYFUNCTION("""COMPUTED_VALUE"""),"SwapExpireAndRollover")</f>
        <v>SwapExpireAndRollover</v>
      </c>
      <c r="S4" s="30" t="str">
        <f>IFERROR(__xludf.DUMMYFUNCTION("""COMPUTED_VALUE"""),"SwapExpire")</f>
        <v>SwapExpire</v>
      </c>
      <c r="T4" s="30" t="str">
        <f>IFERROR(__xludf.DUMMYFUNCTION("""COMPUTED_VALUE"""),"VerifyExpiredSettledGrid")</f>
        <v>VerifyExpiredSettledGrid</v>
      </c>
      <c r="U4" s="30" t="str">
        <f>IFERROR(__xludf.DUMMYFUNCTION("""COMPUTED_VALUE"""),"VerifyUnExpiredUnSettledGrid")</f>
        <v>VerifyUnExpiredUnSettledGrid</v>
      </c>
      <c r="V4" s="30" t="str">
        <f>IFERROR(__xludf.DUMMYFUNCTION("""COMPUTED_VALUE"""),"UnWindTradeSettlement")</f>
        <v>UnWindTradeSettlement</v>
      </c>
      <c r="W4" s="30" t="str">
        <f>IFERROR(__xludf.DUMMYFUNCTION("""COMPUTED_VALUE"""),"CloseOrder")</f>
        <v>CloseOrder</v>
      </c>
      <c r="X4" s="30" t="str">
        <f>IFERROR(__xludf.DUMMYFUNCTION("""COMPUTED_VALUE"""),"VerifyCloseOrder")</f>
        <v>VerifyCloseOrder</v>
      </c>
      <c r="Y4" s="30" t="str">
        <f>IFERROR(__xludf.DUMMYFUNCTION("""COMPUTED_VALUE"""),"UnWindCloseOrder")</f>
        <v>UnWindCloseOrder</v>
      </c>
      <c r="Z4" s="30" t="str">
        <f>IFERROR(__xludf.DUMMYFUNCTION("""COMPUTED_VALUE"""),"ClosingCleanUp")</f>
        <v>ClosingCleanUp</v>
      </c>
      <c r="AA4" s="30" t="str">
        <f>IFERROR(__xludf.DUMMYFUNCTION("""COMPUTED_VALUE"""),"CloseClosingUI")</f>
        <v>CloseClosingUI</v>
      </c>
      <c r="AB4" s="30" t="str">
        <f>IFERROR(__xludf.DUMMYFUNCTION("""COMPUTED_VALUE"""),"SetClosingPreference")</f>
        <v>SetClosingPreference</v>
      </c>
      <c r="AC4" s="30" t="str">
        <f>IFERROR(__xludf.DUMMYFUNCTION("""COMPUTED_VALUE"""),"EditTradeUnexpiredUnsettled")</f>
        <v>EditTradeUnexpiredUnsettled</v>
      </c>
      <c r="AD4" s="30" t="str">
        <f>IFERROR(__xludf.DUMMYFUNCTION("""COMPUTED_VALUE"""),"AutoExercise")</f>
        <v>AutoExercise</v>
      </c>
      <c r="AE4" s="30" t="str">
        <f>IFERROR(__xludf.DUMMYFUNCTION("""COMPUTED_VALUE"""),"EditMultipleCloseQuantity")</f>
        <v>EditMultipleCloseQuantity</v>
      </c>
      <c r="AF4" s="30" t="str">
        <f>IFERROR(__xludf.DUMMYFUNCTION("""COMPUTED_VALUE"""),"ManualCloseOrder")</f>
        <v>ManualCloseOrder</v>
      </c>
      <c r="AG4" s="30" t="str">
        <f>IFERROR(__xludf.DUMMYFUNCTION("""COMPUTED_VALUE"""),"PreviewDataWithFilters")</f>
        <v>PreviewDataWithFilters</v>
      </c>
      <c r="AH4" s="30" t="str">
        <f>IFERROR(__xludf.DUMMYFUNCTION("""COMPUTED_VALUE"""),"CreateClosingTemplate")</f>
        <v>CreateClosingTemplate</v>
      </c>
      <c r="AI4" s="30" t="str">
        <f>IFERROR(__xludf.DUMMYFUNCTION("""COMPUTED_VALUE"""),"CreateUnwindingTemplate")</f>
        <v>CreateUnwindingTemplate</v>
      </c>
      <c r="AJ4" s="30" t="str">
        <f>IFERROR(__xludf.DUMMYFUNCTION("""COMPUTED_VALUE"""),"EditTemplate")</f>
        <v>EditTemplate</v>
      </c>
      <c r="AK4" s="30" t="str">
        <f>IFERROR(__xludf.DUMMYFUNCTION("""COMPUTED_VALUE"""),"DeleteTemplate")</f>
        <v>DeleteTemplate</v>
      </c>
      <c r="AL4" s="30" t="str">
        <f>IFERROR(__xludf.DUMMYFUNCTION("""COMPUTED_VALUE"""),"RunTemplate")</f>
        <v>RunTemplate</v>
      </c>
      <c r="AM4" s="30" t="str">
        <f>IFERROR(__xludf.DUMMYFUNCTION("""COMPUTED_VALUE"""),"SelectAccountWiseAsset")</f>
        <v>SelectAccountWiseAsset</v>
      </c>
      <c r="AN4" s="30" t="str">
        <f>IFERROR(__xludf.DUMMYFUNCTION("""COMPUTED_VALUE"""),"VerifyCTData")</f>
        <v>VerifyCTData</v>
      </c>
      <c r="AO4" s="30" t="str">
        <f>IFERROR(__xludf.DUMMYFUNCTION("""COMPUTED_VALUE"""),"ExerciseAssignmentWithOutSave")</f>
        <v>ExerciseAssignmentWithOutSave</v>
      </c>
      <c r="AP4" s="30" t="str">
        <f>IFERROR(__xludf.DUMMYFUNCTION("""COMPUTED_VALUE"""),"SaveCTData")</f>
        <v>SaveCTData</v>
      </c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IFERROR(__xludf.DUMMYFUNCTION("""COMPUTED_VALUE"""),"Account")</f>
        <v>Account</v>
      </c>
      <c r="C5" s="32" t="str">
        <f>IFERROR(__xludf.DUMMYFUNCTION("""COMPUTED_VALUE"""),"AccruedInterest")</f>
        <v>AccruedInterest</v>
      </c>
      <c r="D5" s="32" t="str">
        <f>IFERROR(__xludf.DUMMYFUNCTION("""COMPUTED_VALUE"""),"Analyst")</f>
        <v>Analyst</v>
      </c>
      <c r="E5" s="32" t="str">
        <f>IFERROR(__xludf.DUMMYFUNCTION("""COMPUTED_VALUE"""),"Asset Class")</f>
        <v>Asset Class</v>
      </c>
      <c r="F5" s="33" t="str">
        <f>IFERROR(__xludf.DUMMYFUNCTION("""COMPUTED_VALUE"""),"Asset Derivative")</f>
        <v>Asset Derivative</v>
      </c>
      <c r="G5" s="32" t="str">
        <f>IFERROR(__xludf.DUMMYFUNCTION("""COMPUTED_VALUE"""),"AUECID")</f>
        <v>AUECID</v>
      </c>
      <c r="H5" s="32" t="str">
        <f>IFERROR(__xludf.DUMMYFUNCTION("""COMPUTED_VALUE"""),"AUECModifiedDate")</f>
        <v>AUECModifiedDate</v>
      </c>
      <c r="I5" s="32" t="str">
        <f>IFERROR(__xludf.DUMMYFUNCTION("""COMPUTED_VALUE"""),"Average Price")</f>
        <v>Average Price</v>
      </c>
      <c r="J5" s="32" t="str">
        <f>IFERROR(__xludf.DUMMYFUNCTION("""COMPUTED_VALUE"""),"BloombergSymbol")</f>
        <v>BloombergSymbol</v>
      </c>
      <c r="K5" s="32" t="str">
        <f>IFERROR(__xludf.DUMMYFUNCTION("""COMPUTED_VALUE"""),"Broker")</f>
        <v>Broker</v>
      </c>
      <c r="L5" s="32" t="str">
        <f>IFERROR(__xludf.DUMMYFUNCTION("""COMPUTED_VALUE"""),"CalcBasis")</f>
        <v>CalcBasis</v>
      </c>
      <c r="M5" s="32" t="str">
        <f>IFERROR(__xludf.DUMMYFUNCTION("""COMPUTED_VALUE"""),"CashSettledPrice")</f>
        <v>CashSettledPrice</v>
      </c>
      <c r="N5" s="32" t="str">
        <f>IFERROR(__xludf.DUMMYFUNCTION("""COMPUTED_VALUE"""),"ChangeComment")</f>
        <v>ChangeComment</v>
      </c>
      <c r="O5" s="32" t="str">
        <f>IFERROR(__xludf.DUMMYFUNCTION("""COMPUTED_VALUE"""),"ChangeType")</f>
        <v>ChangeType</v>
      </c>
      <c r="P5" s="32" t="str">
        <f>IFERROR(__xludf.DUMMYFUNCTION("""COMPUTED_VALUE"""),"ClearingBrokerFee")</f>
        <v>ClearingBrokerFee</v>
      </c>
      <c r="Q5" s="32" t="str">
        <f>IFERROR(__xludf.DUMMYFUNCTION("""COMPUTED_VALUE"""),"ClearingFee")</f>
        <v>ClearingFee</v>
      </c>
      <c r="R5" s="32" t="str">
        <f>IFERROR(__xludf.DUMMYFUNCTION("""COMPUTED_VALUE"""),"ClosedTotalCommissionandFees")</f>
        <v>ClosedTotalCommissionandFees</v>
      </c>
      <c r="S5" s="32" t="str">
        <f>IFERROR(__xludf.DUMMYFUNCTION("""COMPUTED_VALUE"""),"ClosingAlgo")</f>
        <v>ClosingAlgo</v>
      </c>
      <c r="T5" s="35" t="str">
        <f>IFERROR(__xludf.DUMMYFUNCTION("""COMPUTED_VALUE"""),"ClosingDate")</f>
        <v>ClosingDate</v>
      </c>
      <c r="U5" s="35" t="str">
        <f>IFERROR(__xludf.DUMMYFUNCTION("""COMPUTED_VALUE"""),"ClosingStatus")</f>
        <v>ClosingStatus</v>
      </c>
      <c r="V5" s="35" t="str">
        <f>IFERROR(__xludf.DUMMYFUNCTION("""COMPUTED_VALUE"""),"Commission")</f>
        <v>Commission</v>
      </c>
      <c r="W5" s="35" t="str">
        <f>IFERROR(__xludf.DUMMYFUNCTION("""COMPUTED_VALUE"""),"CommissionAmt")</f>
        <v>CommissionAmt</v>
      </c>
      <c r="X5" s="35" t="str">
        <f>IFERROR(__xludf.DUMMYFUNCTION("""COMPUTED_VALUE"""),"CommissionRate")</f>
        <v>CommissionRate</v>
      </c>
      <c r="Y5" s="35" t="str">
        <f>IFERROR(__xludf.DUMMYFUNCTION("""COMPUTED_VALUE"""),"CompanyUserName")</f>
        <v>CompanyUserName</v>
      </c>
      <c r="Z5" s="35" t="str">
        <f>IFERROR(__xludf.DUMMYFUNCTION("""COMPUTED_VALUE"""),"ContractMultiplier")</f>
        <v>ContractMultiplier</v>
      </c>
      <c r="AA5" s="35" t="str">
        <f>IFERROR(__xludf.DUMMYFUNCTION("""COMPUTED_VALUE"""),"CountryName")</f>
        <v>CountryName</v>
      </c>
      <c r="AB5" s="35" t="str">
        <f>IFERROR(__xludf.DUMMYFUNCTION("""COMPUTED_VALUE"""),"CountryOfRisk")</f>
        <v>CountryOfRisk</v>
      </c>
      <c r="AC5" s="35" t="str">
        <f>IFERROR(__xludf.DUMMYFUNCTION("""COMPUTED_VALUE"""),"CumQty")</f>
        <v>CumQty</v>
      </c>
      <c r="AD5" s="35" t="str">
        <f>IFERROR(__xludf.DUMMYFUNCTION("""COMPUTED_VALUE"""),"CurrencyID")</f>
        <v>CurrencyID</v>
      </c>
      <c r="AE5" s="35" t="str">
        <f>IFERROR(__xludf.DUMMYFUNCTION("""COMPUTED_VALUE"""),"CurrencyName")</f>
        <v>CurrencyName</v>
      </c>
      <c r="AF5" s="35" t="str">
        <f>IFERROR(__xludf.DUMMYFUNCTION("""COMPUTED_VALUE"""),"CusipSymbol")</f>
        <v>CusipSymbol</v>
      </c>
      <c r="AG5" s="35" t="str">
        <f>IFERROR(__xludf.DUMMYFUNCTION("""COMPUTED_VALUE"""),"CustomUDA1")</f>
        <v>CustomUDA1</v>
      </c>
      <c r="AH5" s="35" t="str">
        <f>IFERROR(__xludf.DUMMYFUNCTION("""COMPUTED_VALUE"""),"CustomUDA2")</f>
        <v>CustomUDA2</v>
      </c>
      <c r="AI5" s="35" t="str">
        <f>IFERROR(__xludf.DUMMYFUNCTION("""COMPUTED_VALUE"""),"CustomUDA3")</f>
        <v>CustomUDA3</v>
      </c>
      <c r="AJ5" s="35" t="str">
        <f>IFERROR(__xludf.DUMMYFUNCTION("""COMPUTED_VALUE"""),"CustomUDA4")</f>
        <v>CustomUDA4</v>
      </c>
      <c r="AK5" s="35" t="str">
        <f>IFERROR(__xludf.DUMMYFUNCTION("""COMPUTED_VALUE"""),"CustomUDA5")</f>
        <v>CustomUDA5</v>
      </c>
      <c r="AL5" s="35" t="str">
        <f>IFERROR(__xludf.DUMMYFUNCTION("""COMPUTED_VALUE"""),"CustomUDA6")</f>
        <v>CustomUDA6</v>
      </c>
      <c r="AM5" s="35" t="str">
        <f>IFERROR(__xludf.DUMMYFUNCTION("""COMPUTED_VALUE"""),"CustomUDA7")</f>
        <v>CustomUDA7</v>
      </c>
      <c r="AN5" s="35" t="str">
        <f>IFERROR(__xludf.DUMMYFUNCTION("""COMPUTED_VALUE"""),"Delta")</f>
        <v>Delta</v>
      </c>
      <c r="AO5" s="35" t="str">
        <f>IFERROR(__xludf.DUMMYFUNCTION("""COMPUTED_VALUE"""),"Description")</f>
        <v>Description</v>
      </c>
      <c r="AP5" s="35" t="str">
        <f>IFERROR(__xludf.DUMMYFUNCTION("""COMPUTED_VALUE"""),"ExchangeName")</f>
        <v>ExchangeName</v>
      </c>
      <c r="AQ5" s="35" t="str">
        <f>IFERROR(__xludf.DUMMYFUNCTION("""COMPUTED_VALUE"""),"ExecutedQty")</f>
        <v>ExecutedQty</v>
      </c>
      <c r="AR5" s="35" t="str">
        <f>IFERROR(__xludf.DUMMYFUNCTION("""COMPUTED_VALUE"""),"ExpirationDate")</f>
        <v>ExpirationDate</v>
      </c>
      <c r="AS5" s="35" t="str">
        <f>IFERROR(__xludf.DUMMYFUNCTION("""COMPUTED_VALUE"""),"ExternalTransID")</f>
        <v>ExternalTransID</v>
      </c>
      <c r="AT5" s="35" t="str">
        <f>IFERROR(__xludf.DUMMYFUNCTION("""COMPUTED_VALUE"""),"FXConversionMethodOperator")</f>
        <v>FXConversionMethodOperator</v>
      </c>
      <c r="AU5" s="35" t="str">
        <f>IFERROR(__xludf.DUMMYFUNCTION("""COMPUTED_VALUE"""),"FXRate")</f>
        <v>FXRate</v>
      </c>
      <c r="AV5" s="35" t="str">
        <f>IFERROR(__xludf.DUMMYFUNCTION("""COMPUTED_VALUE"""),"GroupID")</f>
        <v>GroupID</v>
      </c>
      <c r="AW5" s="35" t="str">
        <f>IFERROR(__xludf.DUMMYFUNCTION("""COMPUTED_VALUE"""),"IDCOSymbol")</f>
        <v>IDCOSymbol</v>
      </c>
      <c r="AX5" s="35" t="str">
        <f>IFERROR(__xludf.DUMMYFUNCTION("""COMPUTED_VALUE"""),"InternalComments")</f>
        <v>InternalComments</v>
      </c>
      <c r="AY5" s="35" t="str">
        <f>IFERROR(__xludf.DUMMYFUNCTION("""COMPUTED_VALUE"""),"IsExerciseAtZero")</f>
        <v>IsExerciseAtZero</v>
      </c>
      <c r="AZ5" s="35" t="str">
        <f>IFERROR(__xludf.DUMMYFUNCTION("""COMPUTED_VALUE"""),"ISINSymbol")</f>
        <v>ISINSymbol</v>
      </c>
      <c r="BA5" s="35" t="str">
        <f>IFERROR(__xludf.DUMMYFUNCTION("""COMPUTED_VALUE"""),"IsNDF")</f>
        <v>IsNDF</v>
      </c>
      <c r="BB5" s="35" t="str">
        <f>IFERROR(__xludf.DUMMYFUNCTION("""COMPUTED_VALUE"""),"IsPosition")</f>
        <v>IsPosition</v>
      </c>
      <c r="BC5" s="35" t="str">
        <f>IFERROR(__xludf.DUMMYFUNCTION("""COMPUTED_VALUE"""),"IsPreAllocated")</f>
        <v>IsPreAllocated</v>
      </c>
      <c r="BD5" s="35" t="str">
        <f>IFERROR(__xludf.DUMMYFUNCTION("""COMPUTED_VALUE"""),"Issuer")</f>
        <v>Issuer</v>
      </c>
      <c r="BE5" s="35" t="str">
        <f>IFERROR(__xludf.DUMMYFUNCTION("""COMPUTED_VALUE"""),"IsSwapped")</f>
        <v>IsSwapped</v>
      </c>
      <c r="BF5" s="35" t="str">
        <f>IFERROR(__xludf.DUMMYFUNCTION("""COMPUTED_VALUE"""),"LeadCurrencyID")</f>
        <v>LeadCurrencyID</v>
      </c>
      <c r="BG5" s="35" t="str">
        <f>IFERROR(__xludf.DUMMYFUNCTION("""COMPUTED_VALUE"""),"LiquidTag")</f>
        <v>LiquidTag</v>
      </c>
      <c r="BH5" s="35" t="str">
        <f>IFERROR(__xludf.DUMMYFUNCTION("""COMPUTED_VALUE"""),"LongOrShort")</f>
        <v>LongOrShort</v>
      </c>
      <c r="BI5" s="35" t="str">
        <f>IFERROR(__xludf.DUMMYFUNCTION("""COMPUTED_VALUE"""),"LotId")</f>
        <v>LotId</v>
      </c>
      <c r="BJ5" s="35" t="str">
        <f>IFERROR(__xludf.DUMMYFUNCTION("""COMPUTED_VALUE"""),"M2MProfitLoss")</f>
        <v>M2MProfitLoss</v>
      </c>
      <c r="BK5" s="35" t="str">
        <f>IFERROR(__xludf.DUMMYFUNCTION("""COMPUTED_VALUE"""),"MarkPrice")</f>
        <v>MarkPrice</v>
      </c>
      <c r="BL5" s="35" t="str">
        <f>IFERROR(__xludf.DUMMYFUNCTION("""COMPUTED_VALUE"""),"MasterFund")</f>
        <v>MasterFund</v>
      </c>
      <c r="BM5" s="35" t="str">
        <f>IFERROR(__xludf.DUMMYFUNCTION("""COMPUTED_VALUE"""),"MiscFees")</f>
        <v>MiscFees</v>
      </c>
      <c r="BN5" s="35" t="str">
        <f>IFERROR(__xludf.DUMMYFUNCTION("""COMPUTED_VALUE"""),"NavLockStatus")</f>
        <v>NavLockStatus</v>
      </c>
      <c r="BO5" s="35" t="str">
        <f>IFERROR(__xludf.DUMMYFUNCTION("""COMPUTED_VALUE"""),"Net Notional")</f>
        <v>Net Notional</v>
      </c>
      <c r="BP5" s="35" t="str">
        <f>IFERROR(__xludf.DUMMYFUNCTION("""COMPUTED_VALUE"""),"NirvanaProcessDate")</f>
        <v>NirvanaProcessDate</v>
      </c>
      <c r="BQ5" s="35" t="str">
        <f>IFERROR(__xludf.DUMMYFUNCTION("""COMPUTED_VALUE"""),"OccFee")</f>
        <v>OccFee</v>
      </c>
      <c r="BR5" s="35" t="str">
        <f>IFERROR(__xludf.DUMMYFUNCTION("""COMPUTED_VALUE"""),"OptionPremiumAdjustment")</f>
        <v>OptionPremiumAdjustment</v>
      </c>
      <c r="BS5" s="35" t="str">
        <f>IFERROR(__xludf.DUMMYFUNCTION("""COMPUTED_VALUE"""),"OrderSideTagValue")</f>
        <v>OrderSideTagValue</v>
      </c>
      <c r="BT5" s="35" t="str">
        <f>IFERROR(__xludf.DUMMYFUNCTION("""COMPUTED_VALUE"""),"OrderType")</f>
        <v>OrderType</v>
      </c>
      <c r="BU5" s="35" t="str">
        <f>IFERROR(__xludf.DUMMYFUNCTION("""COMPUTED_VALUE"""),"OrfFee")</f>
        <v>OrfFee</v>
      </c>
      <c r="BV5" s="35" t="str">
        <f>IFERROR(__xludf.DUMMYFUNCTION("""COMPUTED_VALUE"""),"Original Side")</f>
        <v>Original Side</v>
      </c>
      <c r="BW5" s="35" t="str">
        <f>IFERROR(__xludf.DUMMYFUNCTION("""COMPUTED_VALUE"""),"OriginalPurchase Date")</f>
        <v>OriginalPurchase Date</v>
      </c>
      <c r="BX5" s="35" t="str">
        <f>IFERROR(__xludf.DUMMYFUNCTION("""COMPUTED_VALUE"""),"OSISymbol")</f>
        <v>OSISymbol</v>
      </c>
      <c r="BY5" s="35" t="str">
        <f>IFERROR(__xludf.DUMMYFUNCTION("""COMPUTED_VALUE"""),"OtherBrokerFees")</f>
        <v>OtherBrokerFees</v>
      </c>
      <c r="BZ5" s="35" t="str">
        <f>IFERROR(__xludf.DUMMYFUNCTION("""COMPUTED_VALUE"""),"ParentRowPK")</f>
        <v>ParentRowPK</v>
      </c>
      <c r="CA5" s="35" t="str">
        <f>IFERROR(__xludf.DUMMYFUNCTION("""COMPUTED_VALUE"""),"Percentage")</f>
        <v>Percentage</v>
      </c>
      <c r="CB5" s="35" t="str">
        <f>IFERROR(__xludf.DUMMYFUNCTION("""COMPUTED_VALUE"""),"PositionTag")</f>
        <v>PositionTag</v>
      </c>
      <c r="CC5" s="35" t="str">
        <f>IFERROR(__xludf.DUMMYFUNCTION("""COMPUTED_VALUE"""),"PositionType")</f>
        <v>PositionType</v>
      </c>
      <c r="CD5" s="35" t="str">
        <f>IFERROR(__xludf.DUMMYFUNCTION("""COMPUTED_VALUE"""),"Process Date")</f>
        <v>Process Date</v>
      </c>
      <c r="CE5" s="35" t="str">
        <f>IFERROR(__xludf.DUMMYFUNCTION("""COMPUTED_VALUE"""),"ProxySymbol")</f>
        <v>ProxySymbol</v>
      </c>
      <c r="CF5" s="35" t="str">
        <f>IFERROR(__xludf.DUMMYFUNCTION("""COMPUTED_VALUE"""),"PutOrCall")</f>
        <v>PutOrCall</v>
      </c>
      <c r="CG5" s="35" t="str">
        <f>IFERROR(__xludf.DUMMYFUNCTION("""COMPUTED_VALUE"""),"Quantity")</f>
        <v>Quantity</v>
      </c>
      <c r="CH5" s="35" t="str">
        <f>IFERROR(__xludf.DUMMYFUNCTION("""COMPUTED_VALUE"""),"Region")</f>
        <v>Region</v>
      </c>
      <c r="CI5" s="35" t="str">
        <f>IFERROR(__xludf.DUMMYFUNCTION("""COMPUTED_VALUE"""),"ReutersSymbol")</f>
        <v>ReutersSymbol</v>
      </c>
      <c r="CJ5" s="35" t="str">
        <f>IFERROR(__xludf.DUMMYFUNCTION("""COMPUTED_VALUE"""),"RiskCurrency")</f>
        <v>RiskCurrency</v>
      </c>
      <c r="CK5" s="35" t="str">
        <f>IFERROR(__xludf.DUMMYFUNCTION("""COMPUTED_VALUE"""),"SecFee")</f>
        <v>SecFee</v>
      </c>
      <c r="CL5" s="35" t="str">
        <f>IFERROR(__xludf.DUMMYFUNCTION("""COMPUTED_VALUE"""),"SectorName")</f>
        <v>SectorName</v>
      </c>
      <c r="CM5" s="35" t="str">
        <f>IFERROR(__xludf.DUMMYFUNCTION("""COMPUTED_VALUE"""),"Security Name")</f>
        <v>Security Name</v>
      </c>
      <c r="CN5" s="35" t="str">
        <f>IFERROR(__xludf.DUMMYFUNCTION("""COMPUTED_VALUE"""),"SecurityTypeName")</f>
        <v>SecurityTypeName</v>
      </c>
      <c r="CO5" s="35" t="str">
        <f>IFERROR(__xludf.DUMMYFUNCTION("""COMPUTED_VALUE"""),"SedolSymbol")</f>
        <v>SedolSymbol</v>
      </c>
      <c r="CP5" s="35" t="str">
        <f>IFERROR(__xludf.DUMMYFUNCTION("""COMPUTED_VALUE"""),"SettlCurrAmt")</f>
        <v>SettlCurrAmt</v>
      </c>
      <c r="CQ5" s="35" t="str">
        <f>IFERROR(__xludf.DUMMYFUNCTION("""COMPUTED_VALUE"""),"SettlCurrFxRate")</f>
        <v>SettlCurrFxRate</v>
      </c>
      <c r="CR5" s="35" t="str">
        <f>IFERROR(__xludf.DUMMYFUNCTION("""COMPUTED_VALUE"""),"SettlCurrFxRateCalc")</f>
        <v>SettlCurrFxRateCalc</v>
      </c>
      <c r="CS5" s="35" t="str">
        <f>IFERROR(__xludf.DUMMYFUNCTION("""COMPUTED_VALUE"""),"SettlCurrUnitCost")</f>
        <v>SettlCurrUnitCost</v>
      </c>
      <c r="CT5" s="35" t="str">
        <f>IFERROR(__xludf.DUMMYFUNCTION("""COMPUTED_VALUE"""),"Settlement Mode")</f>
        <v>Settlement Mode</v>
      </c>
      <c r="CU5" s="35" t="str">
        <f>IFERROR(__xludf.DUMMYFUNCTION("""COMPUTED_VALUE"""),"Settlement Qty")</f>
        <v>Settlement Qty</v>
      </c>
      <c r="CV5" s="35" t="str">
        <f>IFERROR(__xludf.DUMMYFUNCTION("""COMPUTED_VALUE"""),"SettlementCurrencyID")</f>
        <v>SettlementCurrencyID</v>
      </c>
      <c r="CW5" s="35" t="str">
        <f>IFERROR(__xludf.DUMMYFUNCTION("""COMPUTED_VALUE"""),"SettlementDate")</f>
        <v>SettlementDate</v>
      </c>
      <c r="CX5" s="35" t="str">
        <f>IFERROR(__xludf.DUMMYFUNCTION("""COMPUTED_VALUE"""),"SideMultiplier")</f>
        <v>SideMultiplier</v>
      </c>
      <c r="CY5" s="35" t="str">
        <f>IFERROR(__xludf.DUMMYFUNCTION("""COMPUTED_VALUE"""),"SoftCommission")</f>
        <v>SoftCommission</v>
      </c>
      <c r="CZ5" s="35" t="str">
        <f>IFERROR(__xludf.DUMMYFUNCTION("""COMPUTED_VALUE"""),"SoftCommissionAmt")</f>
        <v>SoftCommissionAmt</v>
      </c>
      <c r="DA5" s="35" t="str">
        <f>IFERROR(__xludf.DUMMYFUNCTION("""COMPUTED_VALUE"""),"SoftCommissionCalcBasis")</f>
        <v>SoftCommissionCalcBasis</v>
      </c>
      <c r="DB5" s="35" t="str">
        <f>IFERROR(__xludf.DUMMYFUNCTION("""COMPUTED_VALUE"""),"SoftCommissionRate")</f>
        <v>SoftCommissionRate</v>
      </c>
      <c r="DC5" s="35" t="str">
        <f>IFERROR(__xludf.DUMMYFUNCTION("""COMPUTED_VALUE"""),"StampDuty")</f>
        <v>StampDuty</v>
      </c>
      <c r="DD5" s="35" t="str">
        <f>IFERROR(__xludf.DUMMYFUNCTION("""COMPUTED_VALUE"""),"Strategy")</f>
        <v>Strategy</v>
      </c>
      <c r="DE5" s="35" t="str">
        <f>IFERROR(__xludf.DUMMYFUNCTION("""COMPUTED_VALUE"""),"Strike Price")</f>
        <v>Strike Price</v>
      </c>
      <c r="DF5" s="35" t="str">
        <f>IFERROR(__xludf.DUMMYFUNCTION("""COMPUTED_VALUE"""),"SubSectorName")</f>
        <v>SubSectorName</v>
      </c>
      <c r="DG5" s="35" t="str">
        <f>IFERROR(__xludf.DUMMYFUNCTION("""COMPUTED_VALUE"""),"SwapParameters")</f>
        <v>SwapParameters</v>
      </c>
      <c r="DH5" s="35" t="str">
        <f>IFERROR(__xludf.DUMMYFUNCTION("""COMPUTED_VALUE"""),"Symbol")</f>
        <v>Symbol</v>
      </c>
      <c r="DI5" s="35" t="str">
        <f>IFERROR(__xludf.DUMMYFUNCTION("""COMPUTED_VALUE"""),"TaxlotClosingId")</f>
        <v>TaxlotClosingId</v>
      </c>
      <c r="DJ5" s="35" t="str">
        <f>IFERROR(__xludf.DUMMYFUNCTION("""COMPUTED_VALUE"""),"TaxLotID")</f>
        <v>TaxLotID</v>
      </c>
      <c r="DK5" s="35" t="str">
        <f>IFERROR(__xludf.DUMMYFUNCTION("""COMPUTED_VALUE"""),"TaxlotPk")</f>
        <v>TaxlotPk</v>
      </c>
      <c r="DL5" s="35" t="str">
        <f>IFERROR(__xludf.DUMMYFUNCTION("""COMPUTED_VALUE"""),"TaxLotQtyToClose")</f>
        <v>TaxLotQtyToClose</v>
      </c>
      <c r="DM5" s="35" t="str">
        <f>IFERROR(__xludf.DUMMYFUNCTION("""COMPUTED_VALUE"""),"TaxonCommissions")</f>
        <v>TaxonCommissions</v>
      </c>
      <c r="DN5" s="35" t="str">
        <f>IFERROR(__xludf.DUMMYFUNCTION("""COMPUTED_VALUE"""),"TimeOfSaveUTC")</f>
        <v>TimeOfSaveUTC</v>
      </c>
      <c r="DO5" s="35" t="str">
        <f>IFERROR(__xludf.DUMMYFUNCTION("""COMPUTED_VALUE"""),"TotalCommission&amp;Fees")</f>
        <v>TotalCommission&amp;Fees</v>
      </c>
      <c r="DP5" s="35" t="str">
        <f>IFERROR(__xludf.DUMMYFUNCTION("""COMPUTED_VALUE"""),"TotalCommissionandFees")</f>
        <v>TotalCommissionandFees</v>
      </c>
      <c r="DQ5" s="35" t="str">
        <f>IFERROR(__xludf.DUMMYFUNCTION("""COMPUTED_VALUE"""),"Tradedate")</f>
        <v>Tradedate</v>
      </c>
      <c r="DR5" s="35" t="str">
        <f>IFERROR(__xludf.DUMMYFUNCTION("""COMPUTED_VALUE"""),"TradeAttribute1")</f>
        <v>TradeAttribute1</v>
      </c>
      <c r="DS5" s="35" t="str">
        <f>IFERROR(__xludf.DUMMYFUNCTION("""COMPUTED_VALUE"""),"TradeAttribute2")</f>
        <v>TradeAttribute2</v>
      </c>
      <c r="DT5" s="35" t="str">
        <f>IFERROR(__xludf.DUMMYFUNCTION("""COMPUTED_VALUE"""),"TradeAttribute3")</f>
        <v>TradeAttribute3</v>
      </c>
      <c r="DU5" s="35" t="str">
        <f>IFERROR(__xludf.DUMMYFUNCTION("""COMPUTED_VALUE"""),"TradeAttribute4")</f>
        <v>TradeAttribute4</v>
      </c>
      <c r="DV5" s="35" t="str">
        <f>IFERROR(__xludf.DUMMYFUNCTION("""COMPUTED_VALUE"""),"TradeAttribute5")</f>
        <v>TradeAttribute5</v>
      </c>
      <c r="DW5" s="35" t="str">
        <f>IFERROR(__xludf.DUMMYFUNCTION("""COMPUTED_VALUE"""),"TradeAttribute6")</f>
        <v>TradeAttribute6</v>
      </c>
      <c r="DX5" s="35" t="str">
        <f>IFERROR(__xludf.DUMMYFUNCTION("""COMPUTED_VALUE"""),"TradingAccountName")</f>
        <v>TradingAccountName</v>
      </c>
      <c r="DY5" s="35" t="str">
        <f>IFERROR(__xludf.DUMMYFUNCTION("""COMPUTED_VALUE"""),"TransactionLevy")</f>
        <v>TransactionLevy</v>
      </c>
      <c r="DZ5" s="35" t="str">
        <f>IFERROR(__xludf.DUMMYFUNCTION("""COMPUTED_VALUE"""),"TransactionType")</f>
        <v>TransactionType</v>
      </c>
      <c r="EA5" s="35" t="str">
        <f>IFERROR(__xludf.DUMMYFUNCTION("""COMPUTED_VALUE"""),"UcitsEligibleTag")</f>
        <v>UcitsEligibleTag</v>
      </c>
      <c r="EB5" s="35" t="str">
        <f>IFERROR(__xludf.DUMMYFUNCTION("""COMPUTED_VALUE"""),"UDAAsset")</f>
        <v>UDAAsset</v>
      </c>
      <c r="EC5" s="35" t="str">
        <f>IFERROR(__xludf.DUMMYFUNCTION("""COMPUTED_VALUE"""),"UnderlyingDelta")</f>
        <v>UnderlyingDelta</v>
      </c>
      <c r="ED5" s="35" t="str">
        <f>IFERROR(__xludf.DUMMYFUNCTION("""COMPUTED_VALUE"""),"UnderlyingName")</f>
        <v>UnderlyingName</v>
      </c>
      <c r="EE5" s="35" t="str">
        <f>IFERROR(__xludf.DUMMYFUNCTION("""COMPUTED_VALUE"""),"UnderlyingSymbol")</f>
        <v>UnderlyingSymbol</v>
      </c>
      <c r="EF5" s="35" t="str">
        <f>IFERROR(__xludf.DUMMYFUNCTION("""COMPUTED_VALUE"""),"UnitCost")</f>
        <v>UnitCost</v>
      </c>
      <c r="EG5" s="35" t="str">
        <f>IFERROR(__xludf.DUMMYFUNCTION("""COMPUTED_VALUE"""),"UnRealizedPNL")</f>
        <v>UnRealizedPNL</v>
      </c>
      <c r="EH5" s="35" t="str">
        <f>IFERROR(__xludf.DUMMYFUNCTION("""COMPUTED_VALUE"""),"Venue")</f>
        <v>Venue</v>
      </c>
      <c r="EI5" s="35" t="str">
        <f>IFERROR(__xludf.DUMMYFUNCTION("""COMPUTED_VALUE"""),"VsCurrencyID")</f>
        <v>VsCurrencyID</v>
      </c>
      <c r="EJ5" s="35" t="str">
        <f>IFERROR(__xludf.DUMMYFUNCTION("""COMPUTED_VALUE"""),"WorkflowState")</f>
        <v>WorkflowState</v>
      </c>
      <c r="EK5" s="35" t="str">
        <f>IFERROR(__xludf.DUMMYFUNCTION("""COMPUTED_VALUE"""),"AvgPriceBase")</f>
        <v>AvgPriceBase</v>
      </c>
      <c r="EL5" s="35" t="str">
        <f>IFERROR(__xludf.DUMMYFUNCTION("""COMPUTED_VALUE"""),"MarketCap")</f>
        <v>MarketCap</v>
      </c>
      <c r="EM5" s="35" t="str">
        <f>IFERROR(__xludf.DUMMYFUNCTION("""COMPUTED_VALUE"""),"UnitCostBase")</f>
        <v>UnitCostBase</v>
      </c>
      <c r="EN5" s="35" t="str">
        <f>IFERROR(__xludf.DUMMYFUNCTION("""COMPUTED_VALUE"""),"ITM/OTM")</f>
        <v>ITM/OTM</v>
      </c>
      <c r="EO5" s="35" t="str">
        <f>IFERROR(__xludf.DUMMYFUNCTION("""COMPUTED_VALUE"""),"Days to Expiry")</f>
        <v>Days to Expiry</v>
      </c>
      <c r="EP5" s="35" t="str">
        <f>IFERROR(__xludf.DUMMYFUNCTION("""COMPUTED_VALUE"""),"% of Underlying Price")</f>
        <v>% of Underlying Price</v>
      </c>
      <c r="EQ5" s="35" t="str">
        <f>IFERROR(__xludf.DUMMYFUNCTION("""COMPUTED_VALUE"""),"Intrinsic value")</f>
        <v>Intrinsic value</v>
      </c>
      <c r="ER5" s="35" t="str">
        <f>IFERROR(__xludf.DUMMYFUNCTION("""COMPUTED_VALUE"""),"Gain/Loss if Ex./Assign")</f>
        <v>Gain/Loss if Ex./Assign</v>
      </c>
      <c r="ES5" s="35"/>
      <c r="ET5" s="35"/>
      <c r="EU5" s="35"/>
      <c r="EV5" s="35"/>
      <c r="EW5" s="35"/>
      <c r="EX5" s="35"/>
    </row>
    <row r="6" ht="15.75" customHeight="1">
      <c r="A6" s="13"/>
      <c r="B6" s="40" t="s">
        <v>18</v>
      </c>
      <c r="C6" s="41"/>
      <c r="D6" s="42"/>
      <c r="E6" s="43" t="s">
        <v>32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BV6" s="41"/>
      <c r="DH6" s="13" t="s">
        <v>20</v>
      </c>
    </row>
    <row r="7" ht="15.75" customHeight="1">
      <c r="A7" s="8"/>
      <c r="B7" s="44" t="s">
        <v>18</v>
      </c>
      <c r="C7" s="45"/>
      <c r="D7" s="45"/>
      <c r="E7" s="44" t="s">
        <v>32</v>
      </c>
      <c r="F7" s="8"/>
      <c r="G7" s="8"/>
      <c r="H7" s="8"/>
      <c r="I7" s="13">
        <v>10.0</v>
      </c>
      <c r="J7" s="8"/>
      <c r="K7" s="8"/>
      <c r="L7" s="8"/>
      <c r="M7" s="8"/>
      <c r="N7" s="8"/>
      <c r="O7" s="8"/>
      <c r="BV7" s="45"/>
      <c r="DH7" s="13" t="s">
        <v>22</v>
      </c>
    </row>
    <row r="8" ht="15.75" customHeight="1">
      <c r="A8" s="8"/>
      <c r="B8" s="44" t="s">
        <v>18</v>
      </c>
      <c r="C8" s="45"/>
      <c r="D8" s="45"/>
      <c r="E8" s="44" t="s">
        <v>32</v>
      </c>
      <c r="F8" s="8"/>
      <c r="G8" s="8"/>
      <c r="H8" s="8"/>
      <c r="I8" s="13">
        <v>10.0</v>
      </c>
      <c r="J8" s="8"/>
      <c r="K8" s="8"/>
      <c r="L8" s="8"/>
      <c r="M8" s="8"/>
      <c r="N8" s="8"/>
      <c r="O8" s="8"/>
      <c r="BV8" s="45"/>
      <c r="DH8" s="13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28</v>
      </c>
      <c r="D3" s="5" t="s">
        <v>9</v>
      </c>
      <c r="E3" s="25" t="s">
        <v>33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IFERROR(__xludf.DUMMYFUNCTION("IF(C3="""","""",Transpose(IMPORTRANGE('_Settings'!$B$3,C3&amp;""!A4:A1000"")))"),"GetDataClosing")</f>
        <v>GetDataClosing</v>
      </c>
      <c r="C4" s="28" t="str">
        <f>IFERROR(__xludf.DUMMYFUNCTION("""COMPUTED_VALUE"""),"ManualClosing")</f>
        <v>ManualClosing</v>
      </c>
      <c r="D4" s="28" t="str">
        <f>IFERROR(__xludf.DUMMYFUNCTION("""COMPUTED_VALUE"""),"SwapExpire")</f>
        <v>SwapExpire</v>
      </c>
      <c r="E4" s="28" t="str">
        <f>IFERROR(__xludf.DUMMYFUNCTION("""COMPUTED_VALUE"""),"AutomaticClosing")</f>
        <v>AutomaticClosing</v>
      </c>
      <c r="F4" s="28" t="str">
        <f>IFERROR(__xludf.DUMMYFUNCTION("""COMPUTED_VALUE"""),"UnwindClosing")</f>
        <v>UnwindClosing</v>
      </c>
      <c r="G4" s="28" t="str">
        <f>IFERROR(__xludf.DUMMYFUNCTION("""COMPUTED_VALUE"""),"VerifyClosedTrades")</f>
        <v>VerifyClosedTrades</v>
      </c>
      <c r="H4" s="28" t="str">
        <f>IFERROR(__xludf.DUMMYFUNCTION("""COMPUTED_VALUE"""),"VerifyLongPositionsGrid")</f>
        <v>VerifyLongPositionsGrid</v>
      </c>
      <c r="I4" s="28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8" t="str">
        <f>IFERROR(__xludf.DUMMYFUNCTION("""COMPUTED_VALUE"""),"CashSettlementAtCost")</f>
        <v>CashSettlementAtCost</v>
      </c>
      <c r="L4" s="28" t="str">
        <f>IFERROR(__xludf.DUMMYFUNCTION("""COMPUTED_VALUE"""),"CashSettlementAtZeroPrice")</f>
        <v>CashSettlementAtZeroPrice</v>
      </c>
      <c r="M4" s="28" t="str">
        <f>IFERROR(__xludf.DUMMYFUNCTION("""COMPUTED_VALUE"""),"CashSettlementAtClosingDtSpotPx")</f>
        <v>CashSettlementAtClosingDtSpotPx</v>
      </c>
      <c r="N4" s="28" t="str">
        <f>IFERROR(__xludf.DUMMYFUNCTION("""COMPUTED_VALUE"""),"PhysicalSettlement")</f>
        <v>PhysicalSettlement</v>
      </c>
      <c r="O4" s="28" t="str">
        <f>IFERROR(__xludf.DUMMYFUNCTION("""COMPUTED_VALUE"""),"Expire")</f>
        <v>Expire</v>
      </c>
      <c r="P4" s="30" t="str">
        <f>IFERROR(__xludf.DUMMYFUNCTION("""COMPUTED_VALUE"""),"ExerciseAssignment")</f>
        <v>ExerciseAssignment</v>
      </c>
      <c r="Q4" s="30" t="str">
        <f>IFERROR(__xludf.DUMMYFUNCTION("""COMPUTED_VALUE"""),"ExerciseAssignmentAtZero")</f>
        <v>ExerciseAssignmentAtZero</v>
      </c>
      <c r="R4" s="30" t="str">
        <f>IFERROR(__xludf.DUMMYFUNCTION("""COMPUTED_VALUE"""),"SwapExpireAndRollover")</f>
        <v>SwapExpireAndRollover</v>
      </c>
      <c r="S4" s="30" t="str">
        <f>IFERROR(__xludf.DUMMYFUNCTION("""COMPUTED_VALUE"""),"SwapExpire")</f>
        <v>SwapExpire</v>
      </c>
      <c r="T4" s="30" t="str">
        <f>IFERROR(__xludf.DUMMYFUNCTION("""COMPUTED_VALUE"""),"VerifyExpiredSettledGrid")</f>
        <v>VerifyExpiredSettledGrid</v>
      </c>
      <c r="U4" s="30" t="str">
        <f>IFERROR(__xludf.DUMMYFUNCTION("""COMPUTED_VALUE"""),"VerifyUnExpiredUnSettledGrid")</f>
        <v>VerifyUnExpiredUnSettledGrid</v>
      </c>
      <c r="V4" s="30" t="str">
        <f>IFERROR(__xludf.DUMMYFUNCTION("""COMPUTED_VALUE"""),"UnWindTradeSettlement")</f>
        <v>UnWindTradeSettlement</v>
      </c>
      <c r="W4" s="30" t="str">
        <f>IFERROR(__xludf.DUMMYFUNCTION("""COMPUTED_VALUE"""),"CloseOrder")</f>
        <v>CloseOrder</v>
      </c>
      <c r="X4" s="30" t="str">
        <f>IFERROR(__xludf.DUMMYFUNCTION("""COMPUTED_VALUE"""),"VerifyCloseOrder")</f>
        <v>VerifyCloseOrder</v>
      </c>
      <c r="Y4" s="30" t="str">
        <f>IFERROR(__xludf.DUMMYFUNCTION("""COMPUTED_VALUE"""),"UnWindCloseOrder")</f>
        <v>UnWindCloseOrder</v>
      </c>
      <c r="Z4" s="30" t="str">
        <f>IFERROR(__xludf.DUMMYFUNCTION("""COMPUTED_VALUE"""),"ClosingCleanUp")</f>
        <v>ClosingCleanUp</v>
      </c>
      <c r="AA4" s="30" t="str">
        <f>IFERROR(__xludf.DUMMYFUNCTION("""COMPUTED_VALUE"""),"CloseClosingUI")</f>
        <v>CloseClosingUI</v>
      </c>
      <c r="AB4" s="30" t="str">
        <f>IFERROR(__xludf.DUMMYFUNCTION("""COMPUTED_VALUE"""),"SetClosingPreference")</f>
        <v>SetClosingPreference</v>
      </c>
      <c r="AC4" s="30" t="str">
        <f>IFERROR(__xludf.DUMMYFUNCTION("""COMPUTED_VALUE"""),"EditTradeUnexpiredUnsettled")</f>
        <v>EditTradeUnexpiredUnsettled</v>
      </c>
      <c r="AD4" s="30" t="str">
        <f>IFERROR(__xludf.DUMMYFUNCTION("""COMPUTED_VALUE"""),"AutoExercise")</f>
        <v>AutoExercise</v>
      </c>
      <c r="AE4" s="30" t="str">
        <f>IFERROR(__xludf.DUMMYFUNCTION("""COMPUTED_VALUE"""),"EditMultipleCloseQuantity")</f>
        <v>EditMultipleCloseQuantity</v>
      </c>
      <c r="AF4" s="30" t="str">
        <f>IFERROR(__xludf.DUMMYFUNCTION("""COMPUTED_VALUE"""),"ManualCloseOrder")</f>
        <v>ManualCloseOrder</v>
      </c>
      <c r="AG4" s="30" t="str">
        <f>IFERROR(__xludf.DUMMYFUNCTION("""COMPUTED_VALUE"""),"PreviewDataWithFilters")</f>
        <v>PreviewDataWithFilters</v>
      </c>
      <c r="AH4" s="30" t="str">
        <f>IFERROR(__xludf.DUMMYFUNCTION("""COMPUTED_VALUE"""),"CreateClosingTemplate")</f>
        <v>CreateClosingTemplate</v>
      </c>
      <c r="AI4" s="30" t="str">
        <f>IFERROR(__xludf.DUMMYFUNCTION("""COMPUTED_VALUE"""),"CreateUnwindingTemplate")</f>
        <v>CreateUnwindingTemplate</v>
      </c>
      <c r="AJ4" s="30" t="str">
        <f>IFERROR(__xludf.DUMMYFUNCTION("""COMPUTED_VALUE"""),"EditTemplate")</f>
        <v>EditTemplate</v>
      </c>
      <c r="AK4" s="30" t="str">
        <f>IFERROR(__xludf.DUMMYFUNCTION("""COMPUTED_VALUE"""),"DeleteTemplate")</f>
        <v>DeleteTemplate</v>
      </c>
      <c r="AL4" s="30" t="str">
        <f>IFERROR(__xludf.DUMMYFUNCTION("""COMPUTED_VALUE"""),"RunTemplate")</f>
        <v>RunTemplate</v>
      </c>
      <c r="AM4" s="30" t="str">
        <f>IFERROR(__xludf.DUMMYFUNCTION("""COMPUTED_VALUE"""),"SelectAccountWiseAsset")</f>
        <v>SelectAccountWiseAsset</v>
      </c>
      <c r="AN4" s="30" t="str">
        <f>IFERROR(__xludf.DUMMYFUNCTION("""COMPUTED_VALUE"""),"VerifyCTData")</f>
        <v>VerifyCTData</v>
      </c>
      <c r="AO4" s="30" t="str">
        <f>IFERROR(__xludf.DUMMYFUNCTION("""COMPUTED_VALUE"""),"ExerciseAssignmentWithOutSave")</f>
        <v>ExerciseAssignmentWithOutSave</v>
      </c>
      <c r="AP4" s="30" t="str">
        <f>IFERROR(__xludf.DUMMYFUNCTION("""COMPUTED_VALUE"""),"SaveCTData")</f>
        <v>SaveCTData</v>
      </c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IFERROR(__xludf.DUMMYFUNCTION("""COMPUTED_VALUE"""),"Account")</f>
        <v>Account</v>
      </c>
      <c r="C5" s="32" t="str">
        <f>IFERROR(__xludf.DUMMYFUNCTION("""COMPUTED_VALUE"""),"AccountValue")</f>
        <v>AccountValue</v>
      </c>
      <c r="D5" s="32" t="str">
        <f>IFERROR(__xludf.DUMMYFUNCTION("""COMPUTED_VALUE"""),"AccruedInterest")</f>
        <v>AccruedInterest</v>
      </c>
      <c r="E5" s="32" t="str">
        <f>IFERROR(__xludf.DUMMYFUNCTION("""COMPUTED_VALUE"""),"Asset")</f>
        <v>Asset</v>
      </c>
      <c r="F5" s="33" t="str">
        <f>IFERROR(__xludf.DUMMYFUNCTION("""COMPUTED_VALUE"""),"AUEC Fee1")</f>
        <v>AUEC Fee1</v>
      </c>
      <c r="G5" s="32" t="str">
        <f>IFERROR(__xludf.DUMMYFUNCTION("""COMPUTED_VALUE"""),"AUCE Fee2")</f>
        <v>AUCE Fee2</v>
      </c>
      <c r="H5" s="32" t="str">
        <f>IFERROR(__xludf.DUMMYFUNCTION("""COMPUTED_VALUE"""),"AUECID")</f>
        <v>AUECID</v>
      </c>
      <c r="I5" s="32" t="str">
        <f>IFERROR(__xludf.DUMMYFUNCTION("""COMPUTED_VALUE"""),"AUECLocalDateToday")</f>
        <v>AUECLocalDateToday</v>
      </c>
      <c r="J5" s="32" t="str">
        <f>IFERROR(__xludf.DUMMYFUNCTION("""COMPUTED_VALUE"""),"Average Price")</f>
        <v>Average Price</v>
      </c>
      <c r="K5" s="32" t="str">
        <f>IFERROR(__xludf.DUMMYFUNCTION("""COMPUTED_VALUE"""),"AvgPriceRealizedPL")</f>
        <v>AvgPriceRealizedPL</v>
      </c>
      <c r="L5" s="32" t="str">
        <f>IFERROR(__xludf.DUMMYFUNCTION("""COMPUTED_VALUE"""),"Broker")</f>
        <v>Broker</v>
      </c>
      <c r="M5" s="32" t="str">
        <f>IFERROR(__xludf.DUMMYFUNCTION("""COMPUTED_VALUE"""),"Clearing Broker Fee")</f>
        <v>Clearing Broker Fee</v>
      </c>
      <c r="N5" s="32" t="str">
        <f>IFERROR(__xludf.DUMMYFUNCTION("""COMPUTED_VALUE"""),"ClosedQty")</f>
        <v>ClosedQty</v>
      </c>
      <c r="O5" s="32" t="str">
        <f>IFERROR(__xludf.DUMMYFUNCTION("""COMPUTED_VALUE"""),"Commission")</f>
        <v>Commission</v>
      </c>
      <c r="P5" s="32" t="str">
        <f>IFERROR(__xludf.DUMMYFUNCTION("""COMPUTED_VALUE"""),"CostBasisRealizePNL")</f>
        <v>CostBasisRealizePNL</v>
      </c>
      <c r="Q5" s="32" t="str">
        <f>IFERROR(__xludf.DUMMYFUNCTION("""COMPUTED_VALUE"""),"Currency")</f>
        <v>Currency</v>
      </c>
      <c r="R5" s="32" t="str">
        <f>IFERROR(__xludf.DUMMYFUNCTION("""COMPUTED_VALUE"""),"Description")</f>
        <v>Description</v>
      </c>
      <c r="S5" s="32" t="str">
        <f>IFERROR(__xludf.DUMMYFUNCTION("""COMPUTED_VALUE"""),"EndDate")</f>
        <v>EndDate</v>
      </c>
      <c r="T5" s="35" t="str">
        <f>IFERROR(__xludf.DUMMYFUNCTION("""COMPUTED_VALUE"""),"ExchangeID")</f>
        <v>ExchangeID</v>
      </c>
      <c r="U5" s="35" t="str">
        <f>IFERROR(__xludf.DUMMYFUNCTION("""COMPUTED_VALUE"""),"Expiration Date")</f>
        <v>Expiration Date</v>
      </c>
      <c r="V5" s="35" t="str">
        <f>IFERROR(__xludf.DUMMYFUNCTION("""COMPUTED_VALUE"""),"ExpiredQty")</f>
        <v>ExpiredQty</v>
      </c>
      <c r="W5" s="35" t="str">
        <f>IFERROR(__xludf.DUMMYFUNCTION("""COMPUTED_VALUE"""),"ExpiredTaxlotID")</f>
        <v>ExpiredTaxlotID</v>
      </c>
      <c r="X5" s="35" t="str">
        <f>IFERROR(__xludf.DUMMYFUNCTION("""COMPUTED_VALUE"""),"FXRate")</f>
        <v>FXRate</v>
      </c>
      <c r="Y5" s="35" t="str">
        <f>IFERROR(__xludf.DUMMYFUNCTION("""COMPUTED_VALUE"""),"FXRateoperator")</f>
        <v>FXRateoperator</v>
      </c>
      <c r="Z5" s="35" t="str">
        <f>IFERROR(__xludf.DUMMYFUNCTION("""COMPUTED_VALUE"""),"ID")</f>
        <v>ID</v>
      </c>
      <c r="AA5" s="35" t="str">
        <f>IFERROR(__xludf.DUMMYFUNCTION("""COMPUTED_VALUE"""),"If Pay/Recevie Changes")</f>
        <v>If Pay/Recevie Changes</v>
      </c>
      <c r="AB5" s="35" t="str">
        <f>IFERROR(__xludf.DUMMYFUNCTION("""COMPUTED_VALUE"""),"IntPositionType")</f>
        <v>IntPositionType</v>
      </c>
      <c r="AC5" s="35" t="str">
        <f>IFERROR(__xludf.DUMMYFUNCTION("""COMPUTED_VALUE"""),"LeadCurrencyID")</f>
        <v>LeadCurrencyID</v>
      </c>
      <c r="AD5" s="35" t="str">
        <f>IFERROR(__xludf.DUMMYFUNCTION("""COMPUTED_VALUE"""),"Leveraged Factor")</f>
        <v>Leveraged Factor</v>
      </c>
      <c r="AE5" s="35" t="str">
        <f>IFERROR(__xludf.DUMMYFUNCTION("""COMPUTED_VALUE"""),"MarkPriceForMonth")</f>
        <v>MarkPriceForMonth</v>
      </c>
      <c r="AF5" s="35" t="str">
        <f>IFERROR(__xludf.DUMMYFUNCTION("""COMPUTED_VALUE"""),"MonthToDateRealizedProfit")</f>
        <v>MonthToDateRealizedProfit</v>
      </c>
      <c r="AG5" s="35" t="str">
        <f>IFERROR(__xludf.DUMMYFUNCTION("""COMPUTED_VALUE"""),"Multiplier")</f>
        <v>Multiplier</v>
      </c>
      <c r="AH5" s="35" t="str">
        <f>IFERROR(__xludf.DUMMYFUNCTION("""COMPUTED_VALUE"""),"NotionalValue")</f>
        <v>NotionalValue</v>
      </c>
      <c r="AI5" s="35" t="str">
        <f>IFERROR(__xludf.DUMMYFUNCTION("""COMPUTED_VALUE"""),"OCC Fee")</f>
        <v>OCC Fee</v>
      </c>
      <c r="AJ5" s="35" t="str">
        <f>IFERROR(__xludf.DUMMYFUNCTION("""COMPUTED_VALUE"""),"OpenQty")</f>
        <v>OpenQty</v>
      </c>
      <c r="AK5" s="35" t="str">
        <f>IFERROR(__xludf.DUMMYFUNCTION("""COMPUTED_VALUE"""),"Option Activated")</f>
        <v>Option Activated</v>
      </c>
      <c r="AL5" s="35" t="str">
        <f>IFERROR(__xludf.DUMMYFUNCTION("""COMPUTED_VALUE"""),"Option Type")</f>
        <v>Option Type</v>
      </c>
      <c r="AM5" s="35" t="str">
        <f>IFERROR(__xludf.DUMMYFUNCTION("""COMPUTED_VALUE"""),"OptionPremiumAdjustment")</f>
        <v>OptionPremiumAdjustment</v>
      </c>
      <c r="AN5" s="35" t="str">
        <f>IFERROR(__xludf.DUMMYFUNCTION("""COMPUTED_VALUE"""),"ORF Fee")</f>
        <v>ORF Fee</v>
      </c>
      <c r="AO5" s="35" t="str">
        <f>IFERROR(__xludf.DUMMYFUNCTION("""COMPUTED_VALUE"""),"Original Side")</f>
        <v>Original Side</v>
      </c>
      <c r="AP5" s="35" t="str">
        <f>IFERROR(__xludf.DUMMYFUNCTION("""COMPUTED_VALUE"""),"OriginalPurchaseDate")</f>
        <v>OriginalPurchaseDate</v>
      </c>
      <c r="AQ5" s="35" t="str">
        <f>IFERROR(__xludf.DUMMYFUNCTION("""COMPUTED_VALUE"""),"Other Broker Fees")</f>
        <v>Other Broker Fees</v>
      </c>
      <c r="AR5" s="35" t="str">
        <f>IFERROR(__xludf.DUMMYFUNCTION("""COMPUTED_VALUE"""),"ParentTradeDate")</f>
        <v>ParentTradeDate</v>
      </c>
      <c r="AS5" s="35" t="str">
        <f>IFERROR(__xludf.DUMMYFUNCTION("""COMPUTED_VALUE"""),"Pay/Recive")</f>
        <v>Pay/Recive</v>
      </c>
      <c r="AT5" s="35" t="str">
        <f>IFERROR(__xludf.DUMMYFUNCTION("""COMPUTED_VALUE"""),"PositionType")</f>
        <v>PositionType</v>
      </c>
      <c r="AU5" s="35" t="str">
        <f>IFERROR(__xludf.DUMMYFUNCTION("""COMPUTED_VALUE"""),"ProcessDate")</f>
        <v>ProcessDate</v>
      </c>
      <c r="AV5" s="35" t="str">
        <f>IFERROR(__xludf.DUMMYFUNCTION("""COMPUTED_VALUE"""),"QtyCurrency")</f>
        <v>QtyCurrency</v>
      </c>
      <c r="AW5" s="35" t="str">
        <f>IFERROR(__xludf.DUMMYFUNCTION("""COMPUTED_VALUE"""),"Quantity")</f>
        <v>Quantity</v>
      </c>
      <c r="AX5" s="35" t="str">
        <f>IFERROR(__xludf.DUMMYFUNCTION("""COMPUTED_VALUE"""),"RecordType")</f>
        <v>RecordType</v>
      </c>
      <c r="AY5" s="35" t="str">
        <f>IFERROR(__xludf.DUMMYFUNCTION("""COMPUTED_VALUE"""),"SEC Fee")</f>
        <v>SEC Fee</v>
      </c>
      <c r="AZ5" s="35" t="str">
        <f>IFERROR(__xludf.DUMMYFUNCTION("""COMPUTED_VALUE"""),"Settlement Currency")</f>
        <v>Settlement Currency</v>
      </c>
      <c r="BA5" s="35" t="str">
        <f>IFERROR(__xludf.DUMMYFUNCTION("""COMPUTED_VALUE"""),"Settlement Date")</f>
        <v>Settlement Date</v>
      </c>
      <c r="BB5" s="35" t="str">
        <f>IFERROR(__xludf.DUMMYFUNCTION("""COMPUTED_VALUE"""),"Settlement FxRate")</f>
        <v>Settlement FxRate</v>
      </c>
      <c r="BC5" s="35" t="str">
        <f>IFERROR(__xludf.DUMMYFUNCTION("""COMPUTED_VALUE"""),"Settlement FxRate Operator")</f>
        <v>Settlement FxRate Operator</v>
      </c>
      <c r="BD5" s="35" t="str">
        <f>IFERROR(__xludf.DUMMYFUNCTION("""COMPUTED_VALUE"""),"Settlement Price")</f>
        <v>Settlement Price</v>
      </c>
      <c r="BE5" s="35" t="str">
        <f>IFERROR(__xludf.DUMMYFUNCTION("""COMPUTED_VALUE"""),"Side")</f>
        <v>Side</v>
      </c>
      <c r="BF5" s="35" t="str">
        <f>IFERROR(__xludf.DUMMYFUNCTION("""COMPUTED_VALUE"""),"Soft Commission")</f>
        <v>Soft Commission</v>
      </c>
      <c r="BG5" s="35" t="str">
        <f>IFERROR(__xludf.DUMMYFUNCTION("""COMPUTED_VALUE"""),"Stamp Duty")</f>
        <v>Stamp Duty</v>
      </c>
      <c r="BH5" s="35" t="str">
        <f>IFERROR(__xludf.DUMMYFUNCTION("""COMPUTED_VALUE"""),"StartTaxlotID")</f>
        <v>StartTaxlotID</v>
      </c>
      <c r="BI5" s="35" t="str">
        <f>IFERROR(__xludf.DUMMYFUNCTION("""COMPUTED_VALUE"""),"Status")</f>
        <v>Status</v>
      </c>
      <c r="BJ5" s="35" t="str">
        <f>IFERROR(__xludf.DUMMYFUNCTION("""COMPUTED_VALUE"""),"Strategy")</f>
        <v>Strategy</v>
      </c>
      <c r="BK5" s="35" t="str">
        <f>IFERROR(__xludf.DUMMYFUNCTION("""COMPUTED_VALUE"""),"Strike Price")</f>
        <v>Strike Price</v>
      </c>
      <c r="BL5" s="35" t="str">
        <f>IFERROR(__xludf.DUMMYFUNCTION("""COMPUTED_VALUE"""),"Symbol")</f>
        <v>Symbol</v>
      </c>
      <c r="BM5" s="35" t="str">
        <f>IFERROR(__xludf.DUMMYFUNCTION("""COMPUTED_VALUE"""),"SymbolAveragePrice")</f>
        <v>SymbolAveragePrice</v>
      </c>
      <c r="BN5" s="35" t="str">
        <f>IFERROR(__xludf.DUMMYFUNCTION("""COMPUTED_VALUE"""),"Tax On Commissions")</f>
        <v>Tax On Commissions</v>
      </c>
      <c r="BO5" s="35" t="str">
        <f>IFERROR(__xludf.DUMMYFUNCTION("""COMPUTED_VALUE"""),"TaxLotClosingId")</f>
        <v>TaxLotClosingId</v>
      </c>
      <c r="BP5" s="35" t="str">
        <f>IFERROR(__xludf.DUMMYFUNCTION("""COMPUTED_VALUE"""),"Trade Date")</f>
        <v>Trade Date</v>
      </c>
      <c r="BQ5" s="35" t="str">
        <f>IFERROR(__xludf.DUMMYFUNCTION("""COMPUTED_VALUE"""),"Transaction Levy")</f>
        <v>Transaction Levy</v>
      </c>
      <c r="BR5" s="35" t="str">
        <f>IFERROR(__xludf.DUMMYFUNCTION("""COMPUTED_VALUE"""),"Transaction Type")</f>
        <v>Transaction Type</v>
      </c>
      <c r="BS5" s="35" t="str">
        <f>IFERROR(__xludf.DUMMYFUNCTION("""COMPUTED_VALUE"""),"TransactionSource")</f>
        <v>TransactionSource</v>
      </c>
      <c r="BT5" s="35" t="str">
        <f>IFERROR(__xludf.DUMMYFUNCTION("""COMPUTED_VALUE"""),"Underlying Symbol")</f>
        <v>Underlying Symbol</v>
      </c>
      <c r="BU5" s="35" t="str">
        <f>IFERROR(__xludf.DUMMYFUNCTION("""COMPUTED_VALUE"""),"UnderlyingID")</f>
        <v>UnderlyingID</v>
      </c>
      <c r="BV5" s="35" t="str">
        <f>IFERROR(__xludf.DUMMYFUNCTION("""COMPUTED_VALUE"""),"Venue")</f>
        <v>Venue</v>
      </c>
      <c r="BW5" s="35" t="str">
        <f>IFERROR(__xludf.DUMMYFUNCTION("""COMPUTED_VALUE"""),"Settlement Qty")</f>
        <v>Settlement Qty</v>
      </c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40" t="s">
        <v>18</v>
      </c>
      <c r="C6" s="41"/>
      <c r="D6" s="42"/>
      <c r="E6" s="46" t="s">
        <v>34</v>
      </c>
      <c r="F6" s="8"/>
      <c r="G6" s="8"/>
      <c r="H6" s="8"/>
      <c r="I6" s="8"/>
      <c r="J6" s="13">
        <v>130.3</v>
      </c>
      <c r="K6" s="8"/>
      <c r="L6" s="8"/>
      <c r="M6" s="8"/>
      <c r="N6" s="8"/>
      <c r="O6" s="8"/>
      <c r="X6" s="9">
        <v>1.0</v>
      </c>
      <c r="AW6" s="9">
        <v>1000.0</v>
      </c>
      <c r="BL6" s="13" t="s">
        <v>16</v>
      </c>
      <c r="BT6" s="9" t="s">
        <v>16</v>
      </c>
    </row>
    <row r="7" ht="15.75" customHeight="1">
      <c r="A7" s="8"/>
      <c r="B7" s="44" t="s">
        <v>18</v>
      </c>
      <c r="C7" s="45"/>
      <c r="D7" s="45"/>
      <c r="E7" s="46" t="s">
        <v>34</v>
      </c>
      <c r="F7" s="8"/>
      <c r="G7" s="8"/>
      <c r="H7" s="8"/>
      <c r="I7" s="8"/>
      <c r="J7" s="13">
        <v>130.2</v>
      </c>
      <c r="K7" s="8"/>
      <c r="L7" s="8"/>
      <c r="M7" s="8"/>
      <c r="N7" s="8"/>
      <c r="O7" s="8"/>
      <c r="X7" s="9">
        <v>1.0</v>
      </c>
      <c r="AW7" s="9">
        <v>1000.0</v>
      </c>
      <c r="BL7" s="13" t="s">
        <v>16</v>
      </c>
      <c r="BT7" s="9" t="s">
        <v>16</v>
      </c>
    </row>
    <row r="8" ht="15.75" customHeight="1">
      <c r="A8" s="8"/>
      <c r="B8" s="44" t="s">
        <v>18</v>
      </c>
      <c r="C8" s="45"/>
      <c r="D8" s="45"/>
      <c r="E8" s="46" t="s">
        <v>34</v>
      </c>
      <c r="F8" s="8"/>
      <c r="G8" s="8"/>
      <c r="H8" s="8"/>
      <c r="I8" s="8"/>
      <c r="J8" s="13">
        <v>130.1</v>
      </c>
      <c r="K8" s="8"/>
      <c r="L8" s="8"/>
      <c r="M8" s="8"/>
      <c r="N8" s="8"/>
      <c r="O8" s="8"/>
      <c r="X8" s="9">
        <v>1.0</v>
      </c>
      <c r="AW8" s="9">
        <v>1000.0</v>
      </c>
      <c r="BL8" s="13" t="s">
        <v>16</v>
      </c>
      <c r="BT8" s="9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28</v>
      </c>
      <c r="D3" s="5" t="s">
        <v>9</v>
      </c>
      <c r="E3" s="25" t="s">
        <v>35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IFERROR(__xludf.DUMMYFUNCTION("IF(C3="""","""",Transpose(IMPORTRANGE('_Settings'!$B$3,C3&amp;""!A4:A1000"")))"),"GetDataClosing")</f>
        <v>GetDataClosing</v>
      </c>
      <c r="C4" s="28" t="str">
        <f>IFERROR(__xludf.DUMMYFUNCTION("""COMPUTED_VALUE"""),"ManualClosing")</f>
        <v>ManualClosing</v>
      </c>
      <c r="D4" s="28" t="str">
        <f>IFERROR(__xludf.DUMMYFUNCTION("""COMPUTED_VALUE"""),"SwapExpire")</f>
        <v>SwapExpire</v>
      </c>
      <c r="E4" s="28" t="str">
        <f>IFERROR(__xludf.DUMMYFUNCTION("""COMPUTED_VALUE"""),"AutomaticClosing")</f>
        <v>AutomaticClosing</v>
      </c>
      <c r="F4" s="28" t="str">
        <f>IFERROR(__xludf.DUMMYFUNCTION("""COMPUTED_VALUE"""),"UnwindClosing")</f>
        <v>UnwindClosing</v>
      </c>
      <c r="G4" s="28" t="str">
        <f>IFERROR(__xludf.DUMMYFUNCTION("""COMPUTED_VALUE"""),"VerifyClosedTrades")</f>
        <v>VerifyClosedTrades</v>
      </c>
      <c r="H4" s="28" t="str">
        <f>IFERROR(__xludf.DUMMYFUNCTION("""COMPUTED_VALUE"""),"VerifyLongPositionsGrid")</f>
        <v>VerifyLongPositionsGrid</v>
      </c>
      <c r="I4" s="28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8" t="str">
        <f>IFERROR(__xludf.DUMMYFUNCTION("""COMPUTED_VALUE"""),"CashSettlementAtCost")</f>
        <v>CashSettlementAtCost</v>
      </c>
      <c r="L4" s="28" t="str">
        <f>IFERROR(__xludf.DUMMYFUNCTION("""COMPUTED_VALUE"""),"CashSettlementAtZeroPrice")</f>
        <v>CashSettlementAtZeroPrice</v>
      </c>
      <c r="M4" s="28" t="str">
        <f>IFERROR(__xludf.DUMMYFUNCTION("""COMPUTED_VALUE"""),"CashSettlementAtClosingDtSpotPx")</f>
        <v>CashSettlementAtClosingDtSpotPx</v>
      </c>
      <c r="N4" s="28" t="str">
        <f>IFERROR(__xludf.DUMMYFUNCTION("""COMPUTED_VALUE"""),"PhysicalSettlement")</f>
        <v>PhysicalSettlement</v>
      </c>
      <c r="O4" s="28" t="str">
        <f>IFERROR(__xludf.DUMMYFUNCTION("""COMPUTED_VALUE"""),"Expire")</f>
        <v>Expire</v>
      </c>
      <c r="P4" s="30" t="str">
        <f>IFERROR(__xludf.DUMMYFUNCTION("""COMPUTED_VALUE"""),"ExerciseAssignment")</f>
        <v>ExerciseAssignment</v>
      </c>
      <c r="Q4" s="30" t="str">
        <f>IFERROR(__xludf.DUMMYFUNCTION("""COMPUTED_VALUE"""),"ExerciseAssignmentAtZero")</f>
        <v>ExerciseAssignmentAtZero</v>
      </c>
      <c r="R4" s="30" t="str">
        <f>IFERROR(__xludf.DUMMYFUNCTION("""COMPUTED_VALUE"""),"SwapExpireAndRollover")</f>
        <v>SwapExpireAndRollover</v>
      </c>
      <c r="S4" s="30" t="str">
        <f>IFERROR(__xludf.DUMMYFUNCTION("""COMPUTED_VALUE"""),"SwapExpire")</f>
        <v>SwapExpire</v>
      </c>
      <c r="T4" s="30" t="str">
        <f>IFERROR(__xludf.DUMMYFUNCTION("""COMPUTED_VALUE"""),"VerifyExpiredSettledGrid")</f>
        <v>VerifyExpiredSettledGrid</v>
      </c>
      <c r="U4" s="30" t="str">
        <f>IFERROR(__xludf.DUMMYFUNCTION("""COMPUTED_VALUE"""),"VerifyUnExpiredUnSettledGrid")</f>
        <v>VerifyUnExpiredUnSettledGrid</v>
      </c>
      <c r="V4" s="30" t="str">
        <f>IFERROR(__xludf.DUMMYFUNCTION("""COMPUTED_VALUE"""),"UnWindTradeSettlement")</f>
        <v>UnWindTradeSettlement</v>
      </c>
      <c r="W4" s="30" t="str">
        <f>IFERROR(__xludf.DUMMYFUNCTION("""COMPUTED_VALUE"""),"CloseOrder")</f>
        <v>CloseOrder</v>
      </c>
      <c r="X4" s="30" t="str">
        <f>IFERROR(__xludf.DUMMYFUNCTION("""COMPUTED_VALUE"""),"VerifyCloseOrder")</f>
        <v>VerifyCloseOrder</v>
      </c>
      <c r="Y4" s="30" t="str">
        <f>IFERROR(__xludf.DUMMYFUNCTION("""COMPUTED_VALUE"""),"UnWindCloseOrder")</f>
        <v>UnWindCloseOrder</v>
      </c>
      <c r="Z4" s="30" t="str">
        <f>IFERROR(__xludf.DUMMYFUNCTION("""COMPUTED_VALUE"""),"ClosingCleanUp")</f>
        <v>ClosingCleanUp</v>
      </c>
      <c r="AA4" s="30" t="str">
        <f>IFERROR(__xludf.DUMMYFUNCTION("""COMPUTED_VALUE"""),"CloseClosingUI")</f>
        <v>CloseClosingUI</v>
      </c>
      <c r="AB4" s="30" t="str">
        <f>IFERROR(__xludf.DUMMYFUNCTION("""COMPUTED_VALUE"""),"SetClosingPreference")</f>
        <v>SetClosingPreference</v>
      </c>
      <c r="AC4" s="30" t="str">
        <f>IFERROR(__xludf.DUMMYFUNCTION("""COMPUTED_VALUE"""),"EditTradeUnexpiredUnsettled")</f>
        <v>EditTradeUnexpiredUnsettled</v>
      </c>
      <c r="AD4" s="30" t="str">
        <f>IFERROR(__xludf.DUMMYFUNCTION("""COMPUTED_VALUE"""),"AutoExercise")</f>
        <v>AutoExercise</v>
      </c>
      <c r="AE4" s="30" t="str">
        <f>IFERROR(__xludf.DUMMYFUNCTION("""COMPUTED_VALUE"""),"EditMultipleCloseQuantity")</f>
        <v>EditMultipleCloseQuantity</v>
      </c>
      <c r="AF4" s="30" t="str">
        <f>IFERROR(__xludf.DUMMYFUNCTION("""COMPUTED_VALUE"""),"ManualCloseOrder")</f>
        <v>ManualCloseOrder</v>
      </c>
      <c r="AG4" s="30" t="str">
        <f>IFERROR(__xludf.DUMMYFUNCTION("""COMPUTED_VALUE"""),"PreviewDataWithFilters")</f>
        <v>PreviewDataWithFilters</v>
      </c>
      <c r="AH4" s="30" t="str">
        <f>IFERROR(__xludf.DUMMYFUNCTION("""COMPUTED_VALUE"""),"CreateClosingTemplate")</f>
        <v>CreateClosingTemplate</v>
      </c>
      <c r="AI4" s="30" t="str">
        <f>IFERROR(__xludf.DUMMYFUNCTION("""COMPUTED_VALUE"""),"CreateUnwindingTemplate")</f>
        <v>CreateUnwindingTemplate</v>
      </c>
      <c r="AJ4" s="30" t="str">
        <f>IFERROR(__xludf.DUMMYFUNCTION("""COMPUTED_VALUE"""),"EditTemplate")</f>
        <v>EditTemplate</v>
      </c>
      <c r="AK4" s="30" t="str">
        <f>IFERROR(__xludf.DUMMYFUNCTION("""COMPUTED_VALUE"""),"DeleteTemplate")</f>
        <v>DeleteTemplate</v>
      </c>
      <c r="AL4" s="30" t="str">
        <f>IFERROR(__xludf.DUMMYFUNCTION("""COMPUTED_VALUE"""),"RunTemplate")</f>
        <v>RunTemplate</v>
      </c>
      <c r="AM4" s="30" t="str">
        <f>IFERROR(__xludf.DUMMYFUNCTION("""COMPUTED_VALUE"""),"SelectAccountWiseAsset")</f>
        <v>SelectAccountWiseAsset</v>
      </c>
      <c r="AN4" s="30" t="str">
        <f>IFERROR(__xludf.DUMMYFUNCTION("""COMPUTED_VALUE"""),"VerifyCTData")</f>
        <v>VerifyCTData</v>
      </c>
      <c r="AO4" s="30" t="str">
        <f>IFERROR(__xludf.DUMMYFUNCTION("""COMPUTED_VALUE"""),"ExerciseAssignmentWithOutSave")</f>
        <v>ExerciseAssignmentWithOutSave</v>
      </c>
      <c r="AP4" s="30" t="str">
        <f>IFERROR(__xludf.DUMMYFUNCTION("""COMPUTED_VALUE"""),"SaveCTData")</f>
        <v>SaveCTData</v>
      </c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IFERROR(__xludf.DUMMYFUNCTION("""COMPUTED_VALUE"""),"Account")</f>
        <v>Account</v>
      </c>
      <c r="C5" s="32" t="str">
        <f>IFERROR(__xludf.DUMMYFUNCTION("""COMPUTED_VALUE"""),"Asset Class")</f>
        <v>Asset Class</v>
      </c>
      <c r="D5" s="32" t="str">
        <f>IFERROR(__xludf.DUMMYFUNCTION("""COMPUTED_VALUE"""),"checkBox")</f>
        <v>checkBox</v>
      </c>
      <c r="E5" s="32" t="str">
        <f>IFERROR(__xludf.DUMMYFUNCTION("""COMPUTED_VALUE"""),"Close Date")</f>
        <v>Close Date</v>
      </c>
      <c r="F5" s="33" t="str">
        <f>IFERROR(__xludf.DUMMYFUNCTION("""COMPUTED_VALUE"""),"ClosedAveragePrice")</f>
        <v>ClosedAveragePrice</v>
      </c>
      <c r="G5" s="32" t="str">
        <f>IFERROR(__xludf.DUMMYFUNCTION("""COMPUTED_VALUE"""),"ClosedQty")</f>
        <v>ClosedQty</v>
      </c>
      <c r="H5" s="32" t="str">
        <f>IFERROR(__xludf.DUMMYFUNCTION("""COMPUTED_VALUE"""),"Closing Method")</f>
        <v>Closing Method</v>
      </c>
      <c r="I5" s="32" t="str">
        <f>IFERROR(__xludf.DUMMYFUNCTION("""COMPUTED_VALUE"""),"ClosingID")</f>
        <v>ClosingID</v>
      </c>
      <c r="J5" s="32" t="str">
        <f>IFERROR(__xludf.DUMMYFUNCTION("""COMPUTED_VALUE"""),"ClosingMode")</f>
        <v>ClosingMode</v>
      </c>
      <c r="K5" s="32" t="str">
        <f>IFERROR(__xludf.DUMMYFUNCTION("""COMPUTED_VALUE"""),"ClosingPositionTag")</f>
        <v>ClosingPositionTag</v>
      </c>
      <c r="L5" s="32" t="str">
        <f>IFERROR(__xludf.DUMMYFUNCTION("""COMPUTED_VALUE"""),"ClosingSide")</f>
        <v>ClosingSide</v>
      </c>
      <c r="M5" s="32" t="str">
        <f>IFERROR(__xludf.DUMMYFUNCTION("""COMPUTED_VALUE"""),"ClosingTotalCommissionandFees")</f>
        <v>ClosingTotalCommissionandFees</v>
      </c>
      <c r="N5" s="32" t="str">
        <f>IFERROR(__xludf.DUMMYFUNCTION("""COMPUTED_VALUE"""),"Column1")</f>
        <v>Column1</v>
      </c>
      <c r="O5" s="32" t="str">
        <f>IFERROR(__xludf.DUMMYFUNCTION("""COMPUTED_VALUE"""),"CostBasisGrossPNL")</f>
        <v>CostBasisGrossPNL</v>
      </c>
      <c r="P5" s="32" t="str">
        <f>IFERROR(__xludf.DUMMYFUNCTION("""COMPUTED_VALUE"""),"Currency")</f>
        <v>Currency</v>
      </c>
      <c r="Q5" s="32" t="str">
        <f>IFERROR(__xludf.DUMMYFUNCTION("""COMPUTED_VALUE"""),"CurrencyID")</f>
        <v>CurrencyID</v>
      </c>
      <c r="R5" s="32" t="str">
        <f>IFERROR(__xludf.DUMMYFUNCTION("""COMPUTED_VALUE"""),"Exchange")</f>
        <v>Exchange</v>
      </c>
      <c r="S5" s="32" t="str">
        <f>IFERROR(__xludf.DUMMYFUNCTION("""COMPUTED_VALUE"""),"NotionalChange")</f>
        <v>NotionalChange</v>
      </c>
      <c r="T5" s="35" t="str">
        <f>IFERROR(__xludf.DUMMYFUNCTION("""COMPUTED_VALUE"""),"OpenAveragePrice")</f>
        <v>OpenAveragePrice</v>
      </c>
      <c r="U5" s="35" t="str">
        <f>IFERROR(__xludf.DUMMYFUNCTION("""COMPUTED_VALUE"""),"Original Purchase Date")</f>
        <v>Original Purchase Date</v>
      </c>
      <c r="V5" s="35" t="str">
        <f>IFERROR(__xludf.DUMMYFUNCTION("""COMPUTED_VALUE"""),"Position Type")</f>
        <v>Position Type</v>
      </c>
      <c r="W5" s="35" t="str">
        <f>IFERROR(__xludf.DUMMYFUNCTION("""COMPUTED_VALUE"""),"PositionSide")</f>
        <v>PositionSide</v>
      </c>
      <c r="X5" s="35" t="str">
        <f>IFERROR(__xludf.DUMMYFUNCTION("""COMPUTED_VALUE"""),"PositionTotalCommissionandFees")</f>
        <v>PositionTotalCommissionandFees</v>
      </c>
      <c r="Y5" s="35" t="str">
        <f>IFERROR(__xludf.DUMMYFUNCTION("""COMPUTED_VALUE"""),"Realized PNL(C.B.)")</f>
        <v>Realized PNL(C.B.)</v>
      </c>
      <c r="Z5" s="35" t="str">
        <f>IFERROR(__xludf.DUMMYFUNCTION("""COMPUTED_VALUE"""),"Side")</f>
        <v>Side</v>
      </c>
      <c r="AA5" s="35" t="str">
        <f>IFERROR(__xludf.DUMMYFUNCTION("""COMPUTED_VALUE"""),"Strategy")</f>
        <v>Strategy</v>
      </c>
      <c r="AB5" s="35" t="str">
        <f>IFERROR(__xludf.DUMMYFUNCTION("""COMPUTED_VALUE"""),"Symbol")</f>
        <v>Symbol</v>
      </c>
      <c r="AC5" s="35" t="str">
        <f>IFERROR(__xludf.DUMMYFUNCTION("""COMPUTED_VALUE"""),"Taxlot ID")</f>
        <v>Taxlot ID</v>
      </c>
      <c r="AD5" s="35" t="str">
        <f>IFERROR(__xludf.DUMMYFUNCTION("""COMPUTED_VALUE"""),"UnderlyingName")</f>
        <v>UnderlyingName</v>
      </c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47" t="s">
        <v>18</v>
      </c>
      <c r="C6" s="43" t="s">
        <v>32</v>
      </c>
      <c r="D6" s="13"/>
      <c r="E6" s="39"/>
      <c r="F6" s="8"/>
      <c r="G6" s="13">
        <v>10.0</v>
      </c>
      <c r="H6" s="8"/>
      <c r="I6" s="8"/>
      <c r="J6" s="13" t="s">
        <v>36</v>
      </c>
      <c r="K6" s="8"/>
      <c r="L6" s="8"/>
      <c r="M6" s="8"/>
      <c r="N6" s="8"/>
      <c r="O6" s="8"/>
      <c r="V6" s="9" t="s">
        <v>37</v>
      </c>
      <c r="W6" s="9" t="s">
        <v>37</v>
      </c>
      <c r="Z6" s="9" t="s">
        <v>21</v>
      </c>
      <c r="AB6" s="13" t="s">
        <v>20</v>
      </c>
      <c r="AD6" s="9" t="s">
        <v>38</v>
      </c>
    </row>
    <row r="7" ht="15.75" customHeight="1">
      <c r="A7" s="8"/>
      <c r="B7" s="47" t="s">
        <v>18</v>
      </c>
      <c r="C7" s="43" t="s">
        <v>32</v>
      </c>
      <c r="D7" s="13"/>
      <c r="E7" s="39"/>
      <c r="F7" s="8"/>
      <c r="G7" s="13">
        <v>10.0</v>
      </c>
      <c r="H7" s="8"/>
      <c r="I7" s="8"/>
      <c r="J7" s="13" t="s">
        <v>36</v>
      </c>
      <c r="K7" s="8"/>
      <c r="L7" s="8"/>
      <c r="M7" s="8"/>
      <c r="N7" s="8"/>
      <c r="O7" s="8"/>
      <c r="V7" s="9" t="s">
        <v>37</v>
      </c>
      <c r="W7" s="9" t="s">
        <v>37</v>
      </c>
      <c r="Z7" s="9" t="s">
        <v>21</v>
      </c>
      <c r="AB7" s="13" t="s">
        <v>22</v>
      </c>
      <c r="AD7" s="9" t="s">
        <v>38</v>
      </c>
    </row>
    <row r="8" ht="15.75" customHeight="1">
      <c r="A8" s="8"/>
      <c r="B8" s="47" t="s">
        <v>18</v>
      </c>
      <c r="C8" s="43" t="s">
        <v>32</v>
      </c>
      <c r="D8" s="13"/>
      <c r="E8" s="39"/>
      <c r="F8" s="8"/>
      <c r="G8" s="13">
        <v>10.0</v>
      </c>
      <c r="H8" s="8"/>
      <c r="I8" s="8"/>
      <c r="J8" s="13" t="s">
        <v>36</v>
      </c>
      <c r="K8" s="8"/>
      <c r="L8" s="8"/>
      <c r="M8" s="8"/>
      <c r="N8" s="8"/>
      <c r="O8" s="8"/>
      <c r="V8" s="9" t="s">
        <v>37</v>
      </c>
      <c r="W8" s="9" t="s">
        <v>37</v>
      </c>
      <c r="Z8" s="9" t="s">
        <v>21</v>
      </c>
      <c r="AB8" s="13" t="s">
        <v>23</v>
      </c>
      <c r="AD8" s="9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39</v>
      </c>
      <c r="D3" s="5" t="s">
        <v>9</v>
      </c>
      <c r="E3" s="25" t="s">
        <v>40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IFERROR(__xludf.DUMMYFUNCTION("IF(C3="""","""",Transpose(IMPORTRANGE('_Settings'!$B$3,C3&amp;""!A4:A1000"")))"),"Allocate")</f>
        <v>Allocate</v>
      </c>
      <c r="C4" s="28" t="str">
        <f>IFERROR(__xludf.DUMMYFUNCTION("""COMPUTED_VALUE"""),"CheckAllocatedGroups")</f>
        <v>CheckAllocatedGroups</v>
      </c>
      <c r="D4" s="28" t="str">
        <f>IFERROR(__xludf.DUMMYFUNCTION("""COMPUTED_VALUE"""),"GetDataAllocation")</f>
        <v>GetDataAllocation</v>
      </c>
      <c r="E4" s="28" t="str">
        <f>IFERROR(__xludf.DUMMYFUNCTION("""COMPUTED_VALUE"""),"SelectAllocatedGroup")</f>
        <v>SelectAllocatedGroup</v>
      </c>
      <c r="F4" s="28" t="str">
        <f>IFERROR(__xludf.DUMMYFUNCTION("""COMPUTED_VALUE"""),"EditTradesAllocated")</f>
        <v>EditTradesAllocated</v>
      </c>
      <c r="G4" s="28" t="str">
        <f>IFERROR(__xludf.DUMMYFUNCTION("""COMPUTED_VALUE"""),"EditTradesUnallocated")</f>
        <v>EditTradesUnallocated</v>
      </c>
      <c r="H4" s="28" t="str">
        <f>IFERROR(__xludf.DUMMYFUNCTION("""COMPUTED_VALUE"""),"Reallocate")</f>
        <v>Reallocate</v>
      </c>
      <c r="I4" s="28" t="str">
        <f>IFERROR(__xludf.DUMMYFUNCTION("""COMPUTED_VALUE"""),"EditUnallocatedGroupSidePanel")</f>
        <v>EditUnallocatedGroupSidePanel</v>
      </c>
      <c r="J4" s="28" t="str">
        <f>IFERROR(__xludf.DUMMYFUNCTION("""COMPUTED_VALUE"""),"TradeAttributeBulkChange")</f>
        <v>TradeAttributeBulkChange</v>
      </c>
      <c r="K4" s="28" t="str">
        <f>IFERROR(__xludf.DUMMYFUNCTION("""COMPUTED_VALUE"""),"ApplyBulkUpdateOnGroups")</f>
        <v>ApplyBulkUpdateOnGroups</v>
      </c>
      <c r="L4" s="28" t="str">
        <f>IFERROR(__xludf.DUMMYFUNCTION("""COMPUTED_VALUE"""),"ApplyPrefetchFilters")</f>
        <v>ApplyPrefetchFilters</v>
      </c>
      <c r="M4" s="28" t="str">
        <f>IFERROR(__xludf.DUMMYFUNCTION("""COMPUTED_VALUE"""),"GeneralPreferencesDefaultRule")</f>
        <v>GeneralPreferencesDefaultRule</v>
      </c>
      <c r="N4" s="28" t="str">
        <f>IFERROR(__xludf.DUMMYFUNCTION("""COMPUTED_VALUE"""),"GeneralPrefCompanyUserWise")</f>
        <v>GeneralPrefCompanyUserWise</v>
      </c>
      <c r="O4" s="28" t="str">
        <f>IFERROR(__xludf.DUMMYFUNCTION("""COMPUTED_VALUE"""),"RenameTradeAttributes")</f>
        <v>RenameTradeAttributes</v>
      </c>
      <c r="P4" s="30" t="str">
        <f>IFERROR(__xludf.DUMMYFUNCTION("""COMPUTED_VALUE"""),"SetGroupingRules")</f>
        <v>SetGroupingRules</v>
      </c>
      <c r="Q4" s="30" t="str">
        <f>IFERROR(__xludf.DUMMYFUNCTION("""COMPUTED_VALUE"""),"SetMasterFundRatio")</f>
        <v>SetMasterFundRatio</v>
      </c>
      <c r="R4" s="30" t="str">
        <f>IFERROR(__xludf.DUMMYFUNCTION("""COMPUTED_VALUE"""),"CheckFixedPreference")</f>
        <v>CheckFixedPreference</v>
      </c>
      <c r="S4" s="30" t="str">
        <f>IFERROR(__xludf.DUMMYFUNCTION("""COMPUTED_VALUE"""),"GetFixedPreference")</f>
        <v>GetFixedPreference</v>
      </c>
      <c r="T4" s="30" t="str">
        <f>IFERROR(__xludf.DUMMYFUNCTION("""COMPUTED_VALUE"""),"AddCalculatedPreferences")</f>
        <v>AddCalculatedPreferences</v>
      </c>
      <c r="U4" s="30" t="str">
        <f>IFERROR(__xludf.DUMMYFUNCTION("""COMPUTED_VALUE"""),"BulkChangeCalculatedPreferences")</f>
        <v>BulkChangeCalculatedPreferences</v>
      </c>
      <c r="V4" s="30" t="str">
        <f>IFERROR(__xludf.DUMMYFUNCTION("""COMPUTED_VALUE"""),"DeleteCalculatedPreferences")</f>
        <v>DeleteCalculatedPreferences</v>
      </c>
      <c r="W4" s="30" t="str">
        <f>IFERROR(__xludf.DUMMYFUNCTION("""COMPUTED_VALUE"""),"RenameCalculatedPreferences")</f>
        <v>RenameCalculatedPreferences</v>
      </c>
      <c r="X4" s="30" t="str">
        <f>IFERROR(__xludf.DUMMYFUNCTION("""COMPUTED_VALUE"""),"CopyCalculatedPreferences")</f>
        <v>CopyCalculatedPreferences</v>
      </c>
      <c r="Y4" s="30" t="str">
        <f>IFERROR(__xludf.DUMMYFUNCTION("""COMPUTED_VALUE"""),"RunAutoGroup")</f>
        <v>RunAutoGroup</v>
      </c>
      <c r="Z4" s="30" t="str">
        <f>IFERROR(__xludf.DUMMYFUNCTION("""COMPUTED_VALUE"""),"BookOrUpdateSwap")</f>
        <v>BookOrUpdateSwap</v>
      </c>
      <c r="AA4" s="30" t="str">
        <f>IFERROR(__xludf.DUMMYFUNCTION("""COMPUTED_VALUE"""),"RunProrata")</f>
        <v>RunProrata</v>
      </c>
      <c r="AB4" s="30" t="str">
        <f>IFERROR(__xludf.DUMMYFUNCTION("""COMPUTED_VALUE"""),"SetDefaultRuleCalculatedPref")</f>
        <v>SetDefaultRuleCalculatedPref</v>
      </c>
      <c r="AC4" s="30" t="str">
        <f>IFERROR(__xludf.DUMMYFUNCTION("""COMPUTED_VALUE"""),"SetAccountValueCalculatedPref")</f>
        <v>SetAccountValueCalculatedPref</v>
      </c>
      <c r="AD4" s="30" t="str">
        <f>IFERROR(__xludf.DUMMYFUNCTION("""COMPUTED_VALUE"""),"TradeAttributeBulkChangeGroups")</f>
        <v>TradeAttributeBulkChangeGroups</v>
      </c>
      <c r="AE4" s="30" t="str">
        <f>IFERROR(__xludf.DUMMYFUNCTION("""COMPUTED_VALUE"""),"TradeAttributeBulkChangeTaxlots")</f>
        <v>TradeAttributeBulkChangeTaxlots</v>
      </c>
      <c r="AF4" s="30" t="str">
        <f>IFERROR(__xludf.DUMMYFUNCTION("""COMPUTED_VALUE"""),"AddCalculatedPreferenceToolbar")</f>
        <v>AddCalculatedPreferenceToolbar</v>
      </c>
      <c r="AG4" s="30" t="str">
        <f>IFERROR(__xludf.DUMMYFUNCTION("""COMPUTED_VALUE"""),"SetStrategyValueCalculatedPref")</f>
        <v>SetStrategyValueCalculatedPref</v>
      </c>
      <c r="AH4" s="30" t="str">
        <f>IFERROR(__xludf.DUMMYFUNCTION("""COMPUTED_VALUE"""),"ApplyBulkUpdateOnTaxlots")</f>
        <v>ApplyBulkUpdateOnTaxlots</v>
      </c>
      <c r="AI4" s="30" t="str">
        <f>IFERROR(__xludf.DUMMYFUNCTION("""COMPUTED_VALUE"""),"CommissionBulkChangeOnGroups")</f>
        <v>CommissionBulkChangeOnGroups</v>
      </c>
      <c r="AJ4" s="30" t="str">
        <f>IFERROR(__xludf.DUMMYFUNCTION("""COMPUTED_VALUE"""),"CommissionBulkChangeOnTaxlots")</f>
        <v>CommissionBulkChangeOnTaxlots</v>
      </c>
      <c r="AK4" s="30" t="str">
        <f>IFERROR(__xludf.DUMMYFUNCTION("""COMPUTED_VALUE"""),"SelectUnallocatedGroup")</f>
        <v>SelectUnallocatedGroup</v>
      </c>
      <c r="AL4" s="30" t="str">
        <f>IFERROR(__xludf.DUMMYFUNCTION("""COMPUTED_VALUE"""),"EnterAccountValuesToAllocate")</f>
        <v>EnterAccountValuesToAllocate</v>
      </c>
      <c r="AM4" s="30" t="str">
        <f>IFERROR(__xludf.DUMMYFUNCTION("""COMPUTED_VALUE"""),"EnterAllocatePreference")</f>
        <v>EnterAllocatePreference</v>
      </c>
      <c r="AN4" s="30" t="str">
        <f>IFERROR(__xludf.DUMMYFUNCTION("""COMPUTED_VALUE"""),"EnterStrategyValuesToAllocate")</f>
        <v>EnterStrategyValuesToAllocate</v>
      </c>
      <c r="AO4" s="30" t="str">
        <f>IFERROR(__xludf.DUMMYFUNCTION("""COMPUTED_VALUE"""),"CopyCalculatedPreferenceToolbar")</f>
        <v>CopyCalculatedPreferenceToolbar</v>
      </c>
      <c r="AP4" s="30" t="str">
        <f>IFERROR(__xludf.DUMMYFUNCTION("""COMPUTED_VALUE"""),"SetGeneralRuleCalculatedPref")</f>
        <v>SetGeneralRuleCalculatedPref</v>
      </c>
      <c r="AQ4" s="30" t="str">
        <f>IFERROR(__xludf.DUMMYFUNCTION("""COMPUTED_VALUE"""),"ExportAllCalculatedPreferences")</f>
        <v>ExportAllCalculatedPreferences</v>
      </c>
      <c r="AR4" s="30" t="str">
        <f>IFERROR(__xludf.DUMMYFUNCTION("""COMPUTED_VALUE"""),"SaveCalculatedPreferences")</f>
        <v>SaveCalculatedPreferences</v>
      </c>
      <c r="AS4" s="30" t="str">
        <f>IFERROR(__xludf.DUMMYFUNCTION("""COMPUTED_VALUE"""),"CloseCalculatedPreferences")</f>
        <v>CloseCalculatedPreferences</v>
      </c>
      <c r="AT4" s="30" t="str">
        <f>IFERROR(__xludf.DUMMYFUNCTION("""COMPUTED_VALUE"""),"ExportCalculatedPreference")</f>
        <v>ExportCalculatedPreference</v>
      </c>
      <c r="AU4" s="30" t="str">
        <f>IFERROR(__xludf.DUMMYFUNCTION("""COMPUTED_VALUE"""),"ImportCalculatedPreferences")</f>
        <v>ImportCalculatedPreferences</v>
      </c>
      <c r="AV4" s="30" t="str">
        <f>IFERROR(__xludf.DUMMYFUNCTION("""COMPUTED_VALUE"""),"OpenAuditTrailUnallocatedGroup")</f>
        <v>OpenAuditTrailUnallocatedGroup</v>
      </c>
      <c r="AW4" s="30" t="str">
        <f>IFERROR(__xludf.DUMMYFUNCTION("""COMPUTED_VALUE"""),"DeleteCalculatedPreferencesTool")</f>
        <v>DeleteCalculatedPreferencesTool</v>
      </c>
      <c r="AX4" s="30" t="str">
        <f>IFERROR(__xludf.DUMMYFUNCTION("""COMPUTED_VALUE"""),"ImportCalculatedPreferencesTool")</f>
        <v>ImportCalculatedPreferencesTool</v>
      </c>
      <c r="AY4" s="30" t="str">
        <f>IFERROR(__xludf.DUMMYFUNCTION("""COMPUTED_VALUE"""),"ExportAllCalculatedPreferTool")</f>
        <v>ExportAllCalculatedPreferTool</v>
      </c>
      <c r="AZ4" s="30" t="str">
        <f>IFERROR(__xludf.DUMMYFUNCTION("""COMPUTED_VALUE"""),"OpenAuditTrailAllocatedGroup")</f>
        <v>OpenAuditTrailAllocatedGroup</v>
      </c>
      <c r="BA4" s="30" t="str">
        <f>IFERROR(__xludf.DUMMYFUNCTION("""COMPUTED_VALUE"""),"OpenSymbolLookupUnallocateGroup")</f>
        <v>OpenSymbolLookupUnallocateGroup</v>
      </c>
      <c r="BB4" s="30" t="str">
        <f>IFERROR(__xludf.DUMMYFUNCTION("""COMPUTED_VALUE"""),"OpenSymbolLookupAllocatedGroup")</f>
        <v>OpenSymbolLookupAllocatedGroup</v>
      </c>
      <c r="BC4" s="30" t="str">
        <f>IFERROR(__xludf.DUMMYFUNCTION("""COMPUTED_VALUE"""),"DeleteFixedPreference")</f>
        <v>DeleteFixedPreference</v>
      </c>
      <c r="BD4" s="30" t="str">
        <f>IFERROR(__xludf.DUMMYFUNCTION("""COMPUTED_VALUE"""),"EditAllocatedGroupSidePanel")</f>
        <v>EditAllocatedGroupSidePanel</v>
      </c>
      <c r="BE4" s="30" t="str">
        <f>IFERROR(__xludf.DUMMYFUNCTION("""COMPUTED_VALUE"""),"CheckUnallocatedGroups")</f>
        <v>CheckUnallocatedGroups</v>
      </c>
      <c r="BF4" s="30" t="str">
        <f>IFERROR(__xludf.DUMMYFUNCTION("""COMPUTED_VALUE"""),"SetGeneralPreferences")</f>
        <v>SetGeneralPreferences</v>
      </c>
      <c r="BG4" s="30" t="str">
        <f>IFERROR(__xludf.DUMMYFUNCTION("""COMPUTED_VALUE"""),"GroupTrades")</f>
        <v>GroupTrades</v>
      </c>
      <c r="BH4" s="30" t="str">
        <f>IFERROR(__xludf.DUMMYFUNCTION("""COMPUTED_VALUE"""),"UngroupTrades")</f>
        <v>UngroupTrades</v>
      </c>
      <c r="BI4" s="30" t="str">
        <f>IFERROR(__xludf.DUMMYFUNCTION("""COMPUTED_VALUE"""),"DeleteGroup")</f>
        <v>DeleteGroup</v>
      </c>
      <c r="BJ4" s="30" t="str">
        <f>IFERROR(__xludf.DUMMYFUNCTION("""COMPUTED_VALUE"""),"CloseOrder")</f>
        <v>CloseOrder</v>
      </c>
      <c r="BK4" s="30" t="str">
        <f>IFERROR(__xludf.DUMMYFUNCTION("""COMPUTED_VALUE"""),"Unallocate")</f>
        <v>Unallocate</v>
      </c>
      <c r="BL4" s="30" t="str">
        <f>IFERROR(__xludf.DUMMYFUNCTION("""COMPUTED_VALUE"""),"CloseAllocation")</f>
        <v>CloseAllocation</v>
      </c>
      <c r="BM4" s="30" t="str">
        <f>IFERROR(__xludf.DUMMYFUNCTION("""COMPUTED_VALUE"""),"UpdateGRAccountValue")</f>
        <v>UpdateGRAccountValue</v>
      </c>
      <c r="BN4" s="30" t="str">
        <f>IFERROR(__xludf.DUMMYFUNCTION("""COMPUTED_VALUE"""),"UpdateGRStrategyValue")</f>
        <v>UpdateGRStrategyValue</v>
      </c>
      <c r="BO4" s="30" t="str">
        <f>IFERROR(__xludf.DUMMYFUNCTION("""COMPUTED_VALUE"""),"UpdateGRDefaultRule")</f>
        <v>UpdateGRDefaultRule</v>
      </c>
      <c r="BP4" s="30" t="str">
        <f>IFERROR(__xludf.DUMMYFUNCTION("""COMPUTED_VALUE"""),"UpdateGeneralRulePref")</f>
        <v>UpdateGeneralRulePref</v>
      </c>
      <c r="BQ4" s="30" t="str">
        <f>IFERROR(__xludf.DUMMYFUNCTION("""COMPUTED_VALUE"""),"ModifyGRPreferenceValues")</f>
        <v>ModifyGRPreferenceValues</v>
      </c>
      <c r="BR4" s="30" t="str">
        <f>IFERROR(__xludf.DUMMYFUNCTION("""COMPUTED_VALUE"""),"AddMFPreferences")</f>
        <v>AddMFPreferences</v>
      </c>
      <c r="BS4" s="30" t="str">
        <f>IFERROR(__xludf.DUMMYFUNCTION("""COMPUTED_VALUE"""),"AddMFPreferenceToolbar")</f>
        <v>AddMFPreferenceToolbar</v>
      </c>
      <c r="BT4" s="30" t="str">
        <f>IFERROR(__xludf.DUMMYFUNCTION("""COMPUTED_VALUE"""),"DeleteMFPreferences")</f>
        <v>DeleteMFPreferences</v>
      </c>
      <c r="BU4" s="30" t="str">
        <f>IFERROR(__xludf.DUMMYFUNCTION("""COMPUTED_VALUE"""),"DeleteMFPreferenceToolbar")</f>
        <v>DeleteMFPreferenceToolbar</v>
      </c>
      <c r="BV4" s="30" t="str">
        <f>IFERROR(__xludf.DUMMYFUNCTION("""COMPUTED_VALUE"""),"RenameMFPreferences")</f>
        <v>RenameMFPreferences</v>
      </c>
      <c r="BW4" s="30" t="str">
        <f>IFERROR(__xludf.DUMMYFUNCTION("""COMPUTED_VALUE"""),"SaveCloseMFPreference")</f>
        <v>SaveCloseMFPreference</v>
      </c>
      <c r="BX4" s="30" t="str">
        <f>IFERROR(__xludf.DUMMYFUNCTION("""COMPUTED_VALUE"""),"SetMFPrefAccountValues")</f>
        <v>SetMFPrefAccountValues</v>
      </c>
      <c r="BY4" s="30" t="str">
        <f>IFERROR(__xludf.DUMMYFUNCTION("""COMPUTED_VALUE"""),"ModifyMFPrefGeneralRuleValues")</f>
        <v>ModifyMFPrefGeneralRuleValues</v>
      </c>
      <c r="BZ4" s="30" t="str">
        <f>IFERROR(__xludf.DUMMYFUNCTION("""COMPUTED_VALUE"""),"SetMFPrefStrategyValues")</f>
        <v>SetMFPrefStrategyValues</v>
      </c>
      <c r="CA4" s="30" t="str">
        <f>IFERROR(__xludf.DUMMYFUNCTION("""COMPUTED_VALUE"""),"SetMFPrefGeneralRule")</f>
        <v>SetMFPrefGeneralRule</v>
      </c>
      <c r="CB4" s="30" t="str">
        <f>IFERROR(__xludf.DUMMYFUNCTION("""COMPUTED_VALUE"""),"SetMFPrefFundDistribution")</f>
        <v>SetMFPrefFundDistribution</v>
      </c>
      <c r="CC4" s="30" t="str">
        <f>IFERROR(__xludf.DUMMYFUNCTION("""COMPUTED_VALUE"""),"SetMFPreferencesDefaultRule")</f>
        <v>SetMFPreferencesDefaultRule</v>
      </c>
      <c r="CD4" s="30" t="str">
        <f>IFERROR(__xludf.DUMMYFUNCTION("""COMPUTED_VALUE"""),"SetMFPrefFundDefaultRule")</f>
        <v>SetMFPrefFundDefaultRule</v>
      </c>
      <c r="CE4" s="30" t="str">
        <f>IFERROR(__xludf.DUMMYFUNCTION("""COMPUTED_VALUE"""),"ClearPrefetchFilters")</f>
        <v>ClearPrefetchFilters</v>
      </c>
      <c r="CF4" s="30" t="str">
        <f>IFERROR(__xludf.DUMMYFUNCTION("""COMPUTED_VALUE"""),"ExpandCollapseAllUnallocated")</f>
        <v>ExpandCollapseAllUnallocated</v>
      </c>
      <c r="CG4" s="30" t="str">
        <f>IFERROR(__xludf.DUMMYFUNCTION("""COMPUTED_VALUE"""),"ExpandCollapseAllAllocated")</f>
        <v>ExpandCollapseAllAllocated</v>
      </c>
      <c r="CH4" s="30" t="str">
        <f>IFERROR(__xludf.DUMMYFUNCTION("""COMPUTED_VALUE"""),"GenerateCashTransaction")</f>
        <v>GenerateCashTransaction</v>
      </c>
      <c r="CI4" s="30" t="str">
        <f>IFERROR(__xludf.DUMMYFUNCTION("""COMPUTED_VALUE"""),"SaveAllocation")</f>
        <v>SaveAllocation</v>
      </c>
      <c r="CJ4" s="30" t="str">
        <f>IFERROR(__xludf.DUMMYFUNCTION("""COMPUTED_VALUE"""),"UnallocateWithOutSave")</f>
        <v>UnallocateWithOutSave</v>
      </c>
      <c r="CK4" s="30" t="str">
        <f>IFERROR(__xludf.DUMMYFUNCTION("""COMPUTED_VALUE"""),"EditUnallocatedGrid")</f>
        <v>EditUnallocatedGrid</v>
      </c>
      <c r="CL4" s="30" t="str">
        <f>IFERROR(__xludf.DUMMYFUNCTION("""COMPUTED_VALUE"""),"EditAllocatedGrid")</f>
        <v>EditAllocatedGrid</v>
      </c>
      <c r="CM4" s="30" t="str">
        <f>IFERROR(__xludf.DUMMYFUNCTION("""COMPUTED_VALUE"""),"SaveLayoutAllocatedGrid")</f>
        <v>SaveLayoutAllocatedGrid</v>
      </c>
      <c r="CN4" s="30" t="str">
        <f>IFERROR(__xludf.DUMMYFUNCTION("""COMPUTED_VALUE"""),"SaveLayoutUnallocatedGrid")</f>
        <v>SaveLayoutUnallocatedGrid</v>
      </c>
      <c r="CO4" s="30" t="str">
        <f>IFERROR(__xludf.DUMMYFUNCTION("""COMPUTED_VALUE"""),"SaveLayoutAllocationUI")</f>
        <v>SaveLayoutAllocationUI</v>
      </c>
      <c r="CP4" s="30" t="str">
        <f>IFERROR(__xludf.DUMMYFUNCTION("""COMPUTED_VALUE"""),"ClearFiltersAllocatedGrid")</f>
        <v>ClearFiltersAllocatedGrid</v>
      </c>
      <c r="CQ4" s="30" t="str">
        <f>IFERROR(__xludf.DUMMYFUNCTION("""COMPUTED_VALUE"""),"ClearFiltersUnallocatedGrid")</f>
        <v>ClearFiltersUnallocatedGrid</v>
      </c>
      <c r="CR4" s="30" t="str">
        <f>IFERROR(__xludf.DUMMYFUNCTION("""COMPUTED_VALUE"""),"VerifyLayoutAllocatedGrid")</f>
        <v>VerifyLayoutAllocatedGrid</v>
      </c>
      <c r="CS4" s="30" t="str">
        <f>IFERROR(__xludf.DUMMYFUNCTION("""COMPUTED_VALUE"""),"VerifyLayoutUnallocatedGrid")</f>
        <v>VerifyLayoutUnallocatedGrid</v>
      </c>
      <c r="CT4" s="30" t="str">
        <f>IFERROR(__xludf.DUMMYFUNCTION("""COMPUTED_VALUE"""),"CleanUp")</f>
        <v>CleanUp</v>
      </c>
      <c r="CU4" s="30" t="str">
        <f>IFERROR(__xludf.DUMMYFUNCTION("""COMPUTED_VALUE"""),"CheckAllocatedTaxlots")</f>
        <v>CheckAllocatedTaxlots</v>
      </c>
      <c r="CV4" s="30" t="str">
        <f>IFERROR(__xludf.DUMMYFUNCTION("""COMPUTED_VALUE"""),"DisableChecksideForAsset")</f>
        <v>DisableChecksideForAsset</v>
      </c>
      <c r="CW4" s="30" t="str">
        <f>IFERROR(__xludf.DUMMYFUNCTION("""COMPUTED_VALUE"""),"DisableChecksideForAccount")</f>
        <v>DisableChecksideForAccount</v>
      </c>
      <c r="CX4" s="30" t="str">
        <f>IFERROR(__xludf.DUMMYFUNCTION("""COMPUTED_VALUE"""),"DisableChecksideForCounterParty")</f>
        <v>DisableChecksideForCounterParty</v>
      </c>
      <c r="CY4" s="30" t="str">
        <f>IFERROR(__xludf.DUMMYFUNCTION("""COMPUTED_VALUE"""),"DisableCheckside")</f>
        <v>DisableCheckside</v>
      </c>
      <c r="CZ4" s="30" t="str">
        <f>IFERROR(__xludf.DUMMYFUNCTION("""COMPUTED_VALUE"""),"ApplyMasterFundFilter")</f>
        <v>ApplyMasterFundFilter</v>
      </c>
      <c r="DA4" s="30" t="str">
        <f>IFERROR(__xludf.DUMMYFUNCTION("""COMPUTED_VALUE"""),"ShowMasterFundOnTT")</f>
        <v>ShowMasterFundOnTT</v>
      </c>
      <c r="DB4" s="30" t="str">
        <f>IFERROR(__xludf.DUMMYFUNCTION("""COMPUTED_VALUE"""),"ShowMasterFundAsClient")</f>
        <v>ShowMasterFundAsClient</v>
      </c>
      <c r="DC4" s="30" t="str">
        <f>IFERROR(__xludf.DUMMYFUNCTION("""COMPUTED_VALUE"""),"SetBrokerAccountMapping")</f>
        <v>SetBrokerAccountMapping</v>
      </c>
      <c r="DD4" s="30" t="str">
        <f>IFERROR(__xludf.DUMMYFUNCTION("""COMPUTED_VALUE"""),"EditUnallocatedGridWPF")</f>
        <v>EditUnallocatedGridWPF</v>
      </c>
      <c r="DE4" s="30" t="str">
        <f>IFERROR(__xludf.DUMMYFUNCTION("""COMPUTED_VALUE"""),"EditAllocatedGridWPF")</f>
        <v>EditAllocatedGridWPF</v>
      </c>
      <c r="DF4" s="30" t="str">
        <f>IFERROR(__xludf.DUMMYFUNCTION("""COMPUTED_VALUE"""),"EditAllocatedGridTaxlot")</f>
        <v>EditAllocatedGridTaxlot</v>
      </c>
      <c r="DG4" s="30" t="str">
        <f>IFERROR(__xludf.DUMMYFUNCTION("""COMPUTED_VALUE"""),"ExpandCollapseAllocatedGrid")</f>
        <v>ExpandCollapseAllocatedGrid</v>
      </c>
      <c r="DH4" s="30" t="str">
        <f>IFERROR(__xludf.DUMMYFUNCTION("""COMPUTED_VALUE"""),"ExpandCollapseUnallocatedGrid")</f>
        <v>ExpandCollapseUnallocatedGrid</v>
      </c>
      <c r="DI4" s="30" t="str">
        <f>IFERROR(__xludf.DUMMYFUNCTION("""COMPUTED_VALUE"""),"SetTradeAttributePreferences")</f>
        <v>SetTradeAttributePreferences</v>
      </c>
      <c r="DJ4" s="30" t="str">
        <f>IFERROR(__xludf.DUMMYFUNCTION("""COMPUTED_VALUE"""),"EnterCustomAllocatePreference")</f>
        <v>EnterCustomAllocatePreference</v>
      </c>
      <c r="DK4" s="30" t="str">
        <f>IFERROR(__xludf.DUMMYFUNCTION("""COMPUTED_VALUE"""),"SetAutoGroupingPreferences")</f>
        <v>SetAutoGroupingPreferences</v>
      </c>
      <c r="DL4" s="30" t="str">
        <f>IFERROR(__xludf.DUMMYFUNCTION("""COMPUTED_VALUE"""),"SetAutoGroupingAccount")</f>
        <v>SetAutoGroupingAccount</v>
      </c>
      <c r="DM4" s="30" t="str">
        <f>IFERROR(__xludf.DUMMYFUNCTION("""COMPUTED_VALUE"""),"SetAvgPriceRounding")</f>
        <v>SetAvgPriceRounding</v>
      </c>
      <c r="DN4" s="30" t="str">
        <f>IFERROR(__xludf.DUMMYFUNCTION("""COMPUTED_VALUE"""),"IsAllocationOpen")</f>
        <v>IsAllocationOpen</v>
      </c>
      <c r="DO4" s="30" t="str">
        <f>IFERROR(__xludf.DUMMYFUNCTION("""COMPUTED_VALUE"""),"AllocationAuditTrail")</f>
        <v>AllocationAuditTrail</v>
      </c>
      <c r="DP4" s="30" t="str">
        <f>IFERROR(__xludf.DUMMYFUNCTION("""COMPUTED_VALUE"""),"GetAuditTrailData")</f>
        <v>GetAuditTrailData</v>
      </c>
      <c r="DQ4" s="30" t="str">
        <f>IFERROR(__xludf.DUMMYFUNCTION("""COMPUTED_VALUE"""),"CheckAuditTrailData")</f>
        <v>CheckAuditTrailData</v>
      </c>
      <c r="DR4" s="30" t="str">
        <f>IFERROR(__xludf.DUMMYFUNCTION("""COMPUTED_VALUE"""),"Unallocate")</f>
        <v>Unallocate</v>
      </c>
      <c r="DS4" s="30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30" t="str">
        <f>IFERROR(__xludf.DUMMYFUNCTION("""COMPUTED_VALUE"""),"CheckPreferences")</f>
        <v>CheckPreferences</v>
      </c>
      <c r="DV4" s="30" t="str">
        <f>IFERROR(__xludf.DUMMYFUNCTION("""COMPUTED_VALUE"""),"AllocateWithPopUp")</f>
        <v>AllocateWithPopUp</v>
      </c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2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2" t="str">
        <f>IFERROR(__xludf.DUMMYFUNCTION("""COMPUTED_VALUE"""),"Asset")</f>
        <v>Asset</v>
      </c>
      <c r="H5" s="32" t="str">
        <f>IFERROR(__xludf.DUMMYFUNCTION("""COMPUTED_VALUE"""),"Side")</f>
        <v>Side</v>
      </c>
      <c r="I5" s="32" t="str">
        <f>IFERROR(__xludf.DUMMYFUNCTION("""COMPUTED_VALUE"""),"Account")</f>
        <v>Account</v>
      </c>
      <c r="J5" s="32" t="str">
        <f>IFERROR(__xludf.DUMMYFUNCTION("""COMPUTED_VALUE"""),"Broker")</f>
        <v>Broker</v>
      </c>
      <c r="K5" s="32" t="str">
        <f>IFERROR(__xludf.DUMMYFUNCTION("""COMPUTED_VALUE"""),"Currency")</f>
        <v>Currency</v>
      </c>
      <c r="L5" s="32" t="str">
        <f>IFERROR(__xludf.DUMMYFUNCTION("""COMPUTED_VALUE"""),"Exchange")</f>
        <v>Exchange</v>
      </c>
      <c r="M5" s="32" t="str">
        <f>IFERROR(__xludf.DUMMYFUNCTION("""COMPUTED_VALUE"""),"StrategyName")</f>
        <v>StrategyName</v>
      </c>
      <c r="N5" s="32" t="str">
        <f>IFERROR(__xludf.DUMMYFUNCTION("""COMPUTED_VALUE"""),"Underlying")</f>
        <v>Underlying</v>
      </c>
      <c r="O5" s="32" t="str">
        <f>IFERROR(__xludf.DUMMYFUNCTION("""COMPUTED_VALUE"""),"Venue")</f>
        <v>Venue</v>
      </c>
      <c r="P5" s="32" t="str">
        <f>IFERROR(__xludf.DUMMYFUNCTION("""COMPUTED_VALUE"""),"TradingAccount")</f>
        <v>TradingAccount</v>
      </c>
      <c r="Q5" s="32" t="str">
        <f>IFERROR(__xludf.DUMMYFUNCTION("""COMPUTED_VALUE"""),"PreAllocated")</f>
        <v>PreAllocated</v>
      </c>
      <c r="R5" s="32" t="str">
        <f>IFERROR(__xludf.DUMMYFUNCTION("""COMPUTED_VALUE"""),"ManualGroup")</f>
        <v>ManualGroup</v>
      </c>
      <c r="S5" s="32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 t="s">
        <v>41</v>
      </c>
      <c r="C6" s="36">
        <v>44501.0</v>
      </c>
      <c r="D6" s="49">
        <f>Today()</f>
        <v>44594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39</v>
      </c>
      <c r="D3" s="5" t="s">
        <v>9</v>
      </c>
      <c r="E3" s="25" t="s">
        <v>42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IFERROR(__xludf.DUMMYFUNCTION("IF(C3="""","""",Transpose(IMPORTRANGE('_Settings'!$B$3,C3&amp;""!A4:A1000"")))"),"Allocate")</f>
        <v>Allocate</v>
      </c>
      <c r="C4" s="28" t="str">
        <f>IFERROR(__xludf.DUMMYFUNCTION("""COMPUTED_VALUE"""),"CheckAllocatedGroups")</f>
        <v>CheckAllocatedGroups</v>
      </c>
      <c r="D4" s="28" t="str">
        <f>IFERROR(__xludf.DUMMYFUNCTION("""COMPUTED_VALUE"""),"GetDataAllocation")</f>
        <v>GetDataAllocation</v>
      </c>
      <c r="E4" s="28" t="str">
        <f>IFERROR(__xludf.DUMMYFUNCTION("""COMPUTED_VALUE"""),"SelectAllocatedGroup")</f>
        <v>SelectAllocatedGroup</v>
      </c>
      <c r="F4" s="28" t="str">
        <f>IFERROR(__xludf.DUMMYFUNCTION("""COMPUTED_VALUE"""),"EditTradesAllocated")</f>
        <v>EditTradesAllocated</v>
      </c>
      <c r="G4" s="28" t="str">
        <f>IFERROR(__xludf.DUMMYFUNCTION("""COMPUTED_VALUE"""),"EditTradesUnallocated")</f>
        <v>EditTradesUnallocated</v>
      </c>
      <c r="H4" s="28" t="str">
        <f>IFERROR(__xludf.DUMMYFUNCTION("""COMPUTED_VALUE"""),"Reallocate")</f>
        <v>Reallocate</v>
      </c>
      <c r="I4" s="28" t="str">
        <f>IFERROR(__xludf.DUMMYFUNCTION("""COMPUTED_VALUE"""),"EditUnallocatedGroupSidePanel")</f>
        <v>EditUnallocatedGroupSidePanel</v>
      </c>
      <c r="J4" s="28" t="str">
        <f>IFERROR(__xludf.DUMMYFUNCTION("""COMPUTED_VALUE"""),"TradeAttributeBulkChange")</f>
        <v>TradeAttributeBulkChange</v>
      </c>
      <c r="K4" s="28" t="str">
        <f>IFERROR(__xludf.DUMMYFUNCTION("""COMPUTED_VALUE"""),"ApplyBulkUpdateOnGroups")</f>
        <v>ApplyBulkUpdateOnGroups</v>
      </c>
      <c r="L4" s="28" t="str">
        <f>IFERROR(__xludf.DUMMYFUNCTION("""COMPUTED_VALUE"""),"ApplyPrefetchFilters")</f>
        <v>ApplyPrefetchFilters</v>
      </c>
      <c r="M4" s="28" t="str">
        <f>IFERROR(__xludf.DUMMYFUNCTION("""COMPUTED_VALUE"""),"GeneralPreferencesDefaultRule")</f>
        <v>GeneralPreferencesDefaultRule</v>
      </c>
      <c r="N4" s="28" t="str">
        <f>IFERROR(__xludf.DUMMYFUNCTION("""COMPUTED_VALUE"""),"GeneralPrefCompanyUserWise")</f>
        <v>GeneralPrefCompanyUserWise</v>
      </c>
      <c r="O4" s="28" t="str">
        <f>IFERROR(__xludf.DUMMYFUNCTION("""COMPUTED_VALUE"""),"RenameTradeAttributes")</f>
        <v>RenameTradeAttributes</v>
      </c>
      <c r="P4" s="30" t="str">
        <f>IFERROR(__xludf.DUMMYFUNCTION("""COMPUTED_VALUE"""),"SetGroupingRules")</f>
        <v>SetGroupingRules</v>
      </c>
      <c r="Q4" s="30" t="str">
        <f>IFERROR(__xludf.DUMMYFUNCTION("""COMPUTED_VALUE"""),"SetMasterFundRatio")</f>
        <v>SetMasterFundRatio</v>
      </c>
      <c r="R4" s="30" t="str">
        <f>IFERROR(__xludf.DUMMYFUNCTION("""COMPUTED_VALUE"""),"CheckFixedPreference")</f>
        <v>CheckFixedPreference</v>
      </c>
      <c r="S4" s="30" t="str">
        <f>IFERROR(__xludf.DUMMYFUNCTION("""COMPUTED_VALUE"""),"GetFixedPreference")</f>
        <v>GetFixedPreference</v>
      </c>
      <c r="T4" s="30" t="str">
        <f>IFERROR(__xludf.DUMMYFUNCTION("""COMPUTED_VALUE"""),"AddCalculatedPreferences")</f>
        <v>AddCalculatedPreferences</v>
      </c>
      <c r="U4" s="30" t="str">
        <f>IFERROR(__xludf.DUMMYFUNCTION("""COMPUTED_VALUE"""),"BulkChangeCalculatedPreferences")</f>
        <v>BulkChangeCalculatedPreferences</v>
      </c>
      <c r="V4" s="30" t="str">
        <f>IFERROR(__xludf.DUMMYFUNCTION("""COMPUTED_VALUE"""),"DeleteCalculatedPreferences")</f>
        <v>DeleteCalculatedPreferences</v>
      </c>
      <c r="W4" s="30" t="str">
        <f>IFERROR(__xludf.DUMMYFUNCTION("""COMPUTED_VALUE"""),"RenameCalculatedPreferences")</f>
        <v>RenameCalculatedPreferences</v>
      </c>
      <c r="X4" s="30" t="str">
        <f>IFERROR(__xludf.DUMMYFUNCTION("""COMPUTED_VALUE"""),"CopyCalculatedPreferences")</f>
        <v>CopyCalculatedPreferences</v>
      </c>
      <c r="Y4" s="30" t="str">
        <f>IFERROR(__xludf.DUMMYFUNCTION("""COMPUTED_VALUE"""),"RunAutoGroup")</f>
        <v>RunAutoGroup</v>
      </c>
      <c r="Z4" s="30" t="str">
        <f>IFERROR(__xludf.DUMMYFUNCTION("""COMPUTED_VALUE"""),"BookOrUpdateSwap")</f>
        <v>BookOrUpdateSwap</v>
      </c>
      <c r="AA4" s="30" t="str">
        <f>IFERROR(__xludf.DUMMYFUNCTION("""COMPUTED_VALUE"""),"RunProrata")</f>
        <v>RunProrata</v>
      </c>
      <c r="AB4" s="30" t="str">
        <f>IFERROR(__xludf.DUMMYFUNCTION("""COMPUTED_VALUE"""),"SetDefaultRuleCalculatedPref")</f>
        <v>SetDefaultRuleCalculatedPref</v>
      </c>
      <c r="AC4" s="30" t="str">
        <f>IFERROR(__xludf.DUMMYFUNCTION("""COMPUTED_VALUE"""),"SetAccountValueCalculatedPref")</f>
        <v>SetAccountValueCalculatedPref</v>
      </c>
      <c r="AD4" s="30" t="str">
        <f>IFERROR(__xludf.DUMMYFUNCTION("""COMPUTED_VALUE"""),"TradeAttributeBulkChangeGroups")</f>
        <v>TradeAttributeBulkChangeGroups</v>
      </c>
      <c r="AE4" s="30" t="str">
        <f>IFERROR(__xludf.DUMMYFUNCTION("""COMPUTED_VALUE"""),"TradeAttributeBulkChangeTaxlots")</f>
        <v>TradeAttributeBulkChangeTaxlots</v>
      </c>
      <c r="AF4" s="30" t="str">
        <f>IFERROR(__xludf.DUMMYFUNCTION("""COMPUTED_VALUE"""),"AddCalculatedPreferenceToolbar")</f>
        <v>AddCalculatedPreferenceToolbar</v>
      </c>
      <c r="AG4" s="30" t="str">
        <f>IFERROR(__xludf.DUMMYFUNCTION("""COMPUTED_VALUE"""),"SetStrategyValueCalculatedPref")</f>
        <v>SetStrategyValueCalculatedPref</v>
      </c>
      <c r="AH4" s="30" t="str">
        <f>IFERROR(__xludf.DUMMYFUNCTION("""COMPUTED_VALUE"""),"ApplyBulkUpdateOnTaxlots")</f>
        <v>ApplyBulkUpdateOnTaxlots</v>
      </c>
      <c r="AI4" s="30" t="str">
        <f>IFERROR(__xludf.DUMMYFUNCTION("""COMPUTED_VALUE"""),"CommissionBulkChangeOnGroups")</f>
        <v>CommissionBulkChangeOnGroups</v>
      </c>
      <c r="AJ4" s="30" t="str">
        <f>IFERROR(__xludf.DUMMYFUNCTION("""COMPUTED_VALUE"""),"CommissionBulkChangeOnTaxlots")</f>
        <v>CommissionBulkChangeOnTaxlots</v>
      </c>
      <c r="AK4" s="30" t="str">
        <f>IFERROR(__xludf.DUMMYFUNCTION("""COMPUTED_VALUE"""),"SelectUnallocatedGroup")</f>
        <v>SelectUnallocatedGroup</v>
      </c>
      <c r="AL4" s="30" t="str">
        <f>IFERROR(__xludf.DUMMYFUNCTION("""COMPUTED_VALUE"""),"EnterAccountValuesToAllocate")</f>
        <v>EnterAccountValuesToAllocate</v>
      </c>
      <c r="AM4" s="30" t="str">
        <f>IFERROR(__xludf.DUMMYFUNCTION("""COMPUTED_VALUE"""),"EnterAllocatePreference")</f>
        <v>EnterAllocatePreference</v>
      </c>
      <c r="AN4" s="30" t="str">
        <f>IFERROR(__xludf.DUMMYFUNCTION("""COMPUTED_VALUE"""),"EnterStrategyValuesToAllocate")</f>
        <v>EnterStrategyValuesToAllocate</v>
      </c>
      <c r="AO4" s="30" t="str">
        <f>IFERROR(__xludf.DUMMYFUNCTION("""COMPUTED_VALUE"""),"CopyCalculatedPreferenceToolbar")</f>
        <v>CopyCalculatedPreferenceToolbar</v>
      </c>
      <c r="AP4" s="30" t="str">
        <f>IFERROR(__xludf.DUMMYFUNCTION("""COMPUTED_VALUE"""),"SetGeneralRuleCalculatedPref")</f>
        <v>SetGeneralRuleCalculatedPref</v>
      </c>
      <c r="AQ4" s="30" t="str">
        <f>IFERROR(__xludf.DUMMYFUNCTION("""COMPUTED_VALUE"""),"ExportAllCalculatedPreferences")</f>
        <v>ExportAllCalculatedPreferences</v>
      </c>
      <c r="AR4" s="30" t="str">
        <f>IFERROR(__xludf.DUMMYFUNCTION("""COMPUTED_VALUE"""),"SaveCalculatedPreferences")</f>
        <v>SaveCalculatedPreferences</v>
      </c>
      <c r="AS4" s="30" t="str">
        <f>IFERROR(__xludf.DUMMYFUNCTION("""COMPUTED_VALUE"""),"CloseCalculatedPreferences")</f>
        <v>CloseCalculatedPreferences</v>
      </c>
      <c r="AT4" s="30" t="str">
        <f>IFERROR(__xludf.DUMMYFUNCTION("""COMPUTED_VALUE"""),"ExportCalculatedPreference")</f>
        <v>ExportCalculatedPreference</v>
      </c>
      <c r="AU4" s="30" t="str">
        <f>IFERROR(__xludf.DUMMYFUNCTION("""COMPUTED_VALUE"""),"ImportCalculatedPreferences")</f>
        <v>ImportCalculatedPreferences</v>
      </c>
      <c r="AV4" s="30" t="str">
        <f>IFERROR(__xludf.DUMMYFUNCTION("""COMPUTED_VALUE"""),"OpenAuditTrailUnallocatedGroup")</f>
        <v>OpenAuditTrailUnallocatedGroup</v>
      </c>
      <c r="AW4" s="30" t="str">
        <f>IFERROR(__xludf.DUMMYFUNCTION("""COMPUTED_VALUE"""),"DeleteCalculatedPreferencesTool")</f>
        <v>DeleteCalculatedPreferencesTool</v>
      </c>
      <c r="AX4" s="30" t="str">
        <f>IFERROR(__xludf.DUMMYFUNCTION("""COMPUTED_VALUE"""),"ImportCalculatedPreferencesTool")</f>
        <v>ImportCalculatedPreferencesTool</v>
      </c>
      <c r="AY4" s="30" t="str">
        <f>IFERROR(__xludf.DUMMYFUNCTION("""COMPUTED_VALUE"""),"ExportAllCalculatedPreferTool")</f>
        <v>ExportAllCalculatedPreferTool</v>
      </c>
      <c r="AZ4" s="30" t="str">
        <f>IFERROR(__xludf.DUMMYFUNCTION("""COMPUTED_VALUE"""),"OpenAuditTrailAllocatedGroup")</f>
        <v>OpenAuditTrailAllocatedGroup</v>
      </c>
      <c r="BA4" s="30" t="str">
        <f>IFERROR(__xludf.DUMMYFUNCTION("""COMPUTED_VALUE"""),"OpenSymbolLookupUnallocateGroup")</f>
        <v>OpenSymbolLookupUnallocateGroup</v>
      </c>
      <c r="BB4" s="30" t="str">
        <f>IFERROR(__xludf.DUMMYFUNCTION("""COMPUTED_VALUE"""),"OpenSymbolLookupAllocatedGroup")</f>
        <v>OpenSymbolLookupAllocatedGroup</v>
      </c>
      <c r="BC4" s="30" t="str">
        <f>IFERROR(__xludf.DUMMYFUNCTION("""COMPUTED_VALUE"""),"DeleteFixedPreference")</f>
        <v>DeleteFixedPreference</v>
      </c>
      <c r="BD4" s="30" t="str">
        <f>IFERROR(__xludf.DUMMYFUNCTION("""COMPUTED_VALUE"""),"EditAllocatedGroupSidePanel")</f>
        <v>EditAllocatedGroupSidePanel</v>
      </c>
      <c r="BE4" s="30" t="str">
        <f>IFERROR(__xludf.DUMMYFUNCTION("""COMPUTED_VALUE"""),"CheckUnallocatedGroups")</f>
        <v>CheckUnallocatedGroups</v>
      </c>
      <c r="BF4" s="30" t="str">
        <f>IFERROR(__xludf.DUMMYFUNCTION("""COMPUTED_VALUE"""),"SetGeneralPreferences")</f>
        <v>SetGeneralPreferences</v>
      </c>
      <c r="BG4" s="30" t="str">
        <f>IFERROR(__xludf.DUMMYFUNCTION("""COMPUTED_VALUE"""),"GroupTrades")</f>
        <v>GroupTrades</v>
      </c>
      <c r="BH4" s="30" t="str">
        <f>IFERROR(__xludf.DUMMYFUNCTION("""COMPUTED_VALUE"""),"UngroupTrades")</f>
        <v>UngroupTrades</v>
      </c>
      <c r="BI4" s="30" t="str">
        <f>IFERROR(__xludf.DUMMYFUNCTION("""COMPUTED_VALUE"""),"DeleteGroup")</f>
        <v>DeleteGroup</v>
      </c>
      <c r="BJ4" s="30" t="str">
        <f>IFERROR(__xludf.DUMMYFUNCTION("""COMPUTED_VALUE"""),"CloseOrder")</f>
        <v>CloseOrder</v>
      </c>
      <c r="BK4" s="30" t="str">
        <f>IFERROR(__xludf.DUMMYFUNCTION("""COMPUTED_VALUE"""),"Unallocate")</f>
        <v>Unallocate</v>
      </c>
      <c r="BL4" s="30" t="str">
        <f>IFERROR(__xludf.DUMMYFUNCTION("""COMPUTED_VALUE"""),"CloseAllocation")</f>
        <v>CloseAllocation</v>
      </c>
      <c r="BM4" s="30" t="str">
        <f>IFERROR(__xludf.DUMMYFUNCTION("""COMPUTED_VALUE"""),"UpdateGRAccountValue")</f>
        <v>UpdateGRAccountValue</v>
      </c>
      <c r="BN4" s="30" t="str">
        <f>IFERROR(__xludf.DUMMYFUNCTION("""COMPUTED_VALUE"""),"UpdateGRStrategyValue")</f>
        <v>UpdateGRStrategyValue</v>
      </c>
      <c r="BO4" s="30" t="str">
        <f>IFERROR(__xludf.DUMMYFUNCTION("""COMPUTED_VALUE"""),"UpdateGRDefaultRule")</f>
        <v>UpdateGRDefaultRule</v>
      </c>
      <c r="BP4" s="30" t="str">
        <f>IFERROR(__xludf.DUMMYFUNCTION("""COMPUTED_VALUE"""),"UpdateGeneralRulePref")</f>
        <v>UpdateGeneralRulePref</v>
      </c>
      <c r="BQ4" s="30" t="str">
        <f>IFERROR(__xludf.DUMMYFUNCTION("""COMPUTED_VALUE"""),"ModifyGRPreferenceValues")</f>
        <v>ModifyGRPreferenceValues</v>
      </c>
      <c r="BR4" s="30" t="str">
        <f>IFERROR(__xludf.DUMMYFUNCTION("""COMPUTED_VALUE"""),"AddMFPreferences")</f>
        <v>AddMFPreferences</v>
      </c>
      <c r="BS4" s="30" t="str">
        <f>IFERROR(__xludf.DUMMYFUNCTION("""COMPUTED_VALUE"""),"AddMFPreferenceToolbar")</f>
        <v>AddMFPreferenceToolbar</v>
      </c>
      <c r="BT4" s="30" t="str">
        <f>IFERROR(__xludf.DUMMYFUNCTION("""COMPUTED_VALUE"""),"DeleteMFPreferences")</f>
        <v>DeleteMFPreferences</v>
      </c>
      <c r="BU4" s="30" t="str">
        <f>IFERROR(__xludf.DUMMYFUNCTION("""COMPUTED_VALUE"""),"DeleteMFPreferenceToolbar")</f>
        <v>DeleteMFPreferenceToolbar</v>
      </c>
      <c r="BV4" s="30" t="str">
        <f>IFERROR(__xludf.DUMMYFUNCTION("""COMPUTED_VALUE"""),"RenameMFPreferences")</f>
        <v>RenameMFPreferences</v>
      </c>
      <c r="BW4" s="30" t="str">
        <f>IFERROR(__xludf.DUMMYFUNCTION("""COMPUTED_VALUE"""),"SaveCloseMFPreference")</f>
        <v>SaveCloseMFPreference</v>
      </c>
      <c r="BX4" s="30" t="str">
        <f>IFERROR(__xludf.DUMMYFUNCTION("""COMPUTED_VALUE"""),"SetMFPrefAccountValues")</f>
        <v>SetMFPrefAccountValues</v>
      </c>
      <c r="BY4" s="30" t="str">
        <f>IFERROR(__xludf.DUMMYFUNCTION("""COMPUTED_VALUE"""),"ModifyMFPrefGeneralRuleValues")</f>
        <v>ModifyMFPrefGeneralRuleValues</v>
      </c>
      <c r="BZ4" s="30" t="str">
        <f>IFERROR(__xludf.DUMMYFUNCTION("""COMPUTED_VALUE"""),"SetMFPrefStrategyValues")</f>
        <v>SetMFPrefStrategyValues</v>
      </c>
      <c r="CA4" s="30" t="str">
        <f>IFERROR(__xludf.DUMMYFUNCTION("""COMPUTED_VALUE"""),"SetMFPrefGeneralRule")</f>
        <v>SetMFPrefGeneralRule</v>
      </c>
      <c r="CB4" s="30" t="str">
        <f>IFERROR(__xludf.DUMMYFUNCTION("""COMPUTED_VALUE"""),"SetMFPrefFundDistribution")</f>
        <v>SetMFPrefFundDistribution</v>
      </c>
      <c r="CC4" s="30" t="str">
        <f>IFERROR(__xludf.DUMMYFUNCTION("""COMPUTED_VALUE"""),"SetMFPreferencesDefaultRule")</f>
        <v>SetMFPreferencesDefaultRule</v>
      </c>
      <c r="CD4" s="30" t="str">
        <f>IFERROR(__xludf.DUMMYFUNCTION("""COMPUTED_VALUE"""),"SetMFPrefFundDefaultRule")</f>
        <v>SetMFPrefFundDefaultRule</v>
      </c>
      <c r="CE4" s="30" t="str">
        <f>IFERROR(__xludf.DUMMYFUNCTION("""COMPUTED_VALUE"""),"ClearPrefetchFilters")</f>
        <v>ClearPrefetchFilters</v>
      </c>
      <c r="CF4" s="30" t="str">
        <f>IFERROR(__xludf.DUMMYFUNCTION("""COMPUTED_VALUE"""),"ExpandCollapseAllUnallocated")</f>
        <v>ExpandCollapseAllUnallocated</v>
      </c>
      <c r="CG4" s="30" t="str">
        <f>IFERROR(__xludf.DUMMYFUNCTION("""COMPUTED_VALUE"""),"ExpandCollapseAllAllocated")</f>
        <v>ExpandCollapseAllAllocated</v>
      </c>
      <c r="CH4" s="30" t="str">
        <f>IFERROR(__xludf.DUMMYFUNCTION("""COMPUTED_VALUE"""),"GenerateCashTransaction")</f>
        <v>GenerateCashTransaction</v>
      </c>
      <c r="CI4" s="30" t="str">
        <f>IFERROR(__xludf.DUMMYFUNCTION("""COMPUTED_VALUE"""),"SaveAllocation")</f>
        <v>SaveAllocation</v>
      </c>
      <c r="CJ4" s="30" t="str">
        <f>IFERROR(__xludf.DUMMYFUNCTION("""COMPUTED_VALUE"""),"UnallocateWithOutSave")</f>
        <v>UnallocateWithOutSave</v>
      </c>
      <c r="CK4" s="30" t="str">
        <f>IFERROR(__xludf.DUMMYFUNCTION("""COMPUTED_VALUE"""),"EditUnallocatedGrid")</f>
        <v>EditUnallocatedGrid</v>
      </c>
      <c r="CL4" s="30" t="str">
        <f>IFERROR(__xludf.DUMMYFUNCTION("""COMPUTED_VALUE"""),"EditAllocatedGrid")</f>
        <v>EditAllocatedGrid</v>
      </c>
      <c r="CM4" s="30" t="str">
        <f>IFERROR(__xludf.DUMMYFUNCTION("""COMPUTED_VALUE"""),"SaveLayoutAllocatedGrid")</f>
        <v>SaveLayoutAllocatedGrid</v>
      </c>
      <c r="CN4" s="30" t="str">
        <f>IFERROR(__xludf.DUMMYFUNCTION("""COMPUTED_VALUE"""),"SaveLayoutUnallocatedGrid")</f>
        <v>SaveLayoutUnallocatedGrid</v>
      </c>
      <c r="CO4" s="30" t="str">
        <f>IFERROR(__xludf.DUMMYFUNCTION("""COMPUTED_VALUE"""),"SaveLayoutAllocationUI")</f>
        <v>SaveLayoutAllocationUI</v>
      </c>
      <c r="CP4" s="30" t="str">
        <f>IFERROR(__xludf.DUMMYFUNCTION("""COMPUTED_VALUE"""),"ClearFiltersAllocatedGrid")</f>
        <v>ClearFiltersAllocatedGrid</v>
      </c>
      <c r="CQ4" s="30" t="str">
        <f>IFERROR(__xludf.DUMMYFUNCTION("""COMPUTED_VALUE"""),"ClearFiltersUnallocatedGrid")</f>
        <v>ClearFiltersUnallocatedGrid</v>
      </c>
      <c r="CR4" s="30" t="str">
        <f>IFERROR(__xludf.DUMMYFUNCTION("""COMPUTED_VALUE"""),"VerifyLayoutAllocatedGrid")</f>
        <v>VerifyLayoutAllocatedGrid</v>
      </c>
      <c r="CS4" s="30" t="str">
        <f>IFERROR(__xludf.DUMMYFUNCTION("""COMPUTED_VALUE"""),"VerifyLayoutUnallocatedGrid")</f>
        <v>VerifyLayoutUnallocatedGrid</v>
      </c>
      <c r="CT4" s="30" t="str">
        <f>IFERROR(__xludf.DUMMYFUNCTION("""COMPUTED_VALUE"""),"CleanUp")</f>
        <v>CleanUp</v>
      </c>
      <c r="CU4" s="30" t="str">
        <f>IFERROR(__xludf.DUMMYFUNCTION("""COMPUTED_VALUE"""),"CheckAllocatedTaxlots")</f>
        <v>CheckAllocatedTaxlots</v>
      </c>
      <c r="CV4" s="30" t="str">
        <f>IFERROR(__xludf.DUMMYFUNCTION("""COMPUTED_VALUE"""),"DisableChecksideForAsset")</f>
        <v>DisableChecksideForAsset</v>
      </c>
      <c r="CW4" s="30" t="str">
        <f>IFERROR(__xludf.DUMMYFUNCTION("""COMPUTED_VALUE"""),"DisableChecksideForAccount")</f>
        <v>DisableChecksideForAccount</v>
      </c>
      <c r="CX4" s="30" t="str">
        <f>IFERROR(__xludf.DUMMYFUNCTION("""COMPUTED_VALUE"""),"DisableChecksideForCounterParty")</f>
        <v>DisableChecksideForCounterParty</v>
      </c>
      <c r="CY4" s="30" t="str">
        <f>IFERROR(__xludf.DUMMYFUNCTION("""COMPUTED_VALUE"""),"DisableCheckside")</f>
        <v>DisableCheckside</v>
      </c>
      <c r="CZ4" s="30" t="str">
        <f>IFERROR(__xludf.DUMMYFUNCTION("""COMPUTED_VALUE"""),"ApplyMasterFundFilter")</f>
        <v>ApplyMasterFundFilter</v>
      </c>
      <c r="DA4" s="30" t="str">
        <f>IFERROR(__xludf.DUMMYFUNCTION("""COMPUTED_VALUE"""),"ShowMasterFundOnTT")</f>
        <v>ShowMasterFundOnTT</v>
      </c>
      <c r="DB4" s="30" t="str">
        <f>IFERROR(__xludf.DUMMYFUNCTION("""COMPUTED_VALUE"""),"ShowMasterFundAsClient")</f>
        <v>ShowMasterFundAsClient</v>
      </c>
      <c r="DC4" s="30" t="str">
        <f>IFERROR(__xludf.DUMMYFUNCTION("""COMPUTED_VALUE"""),"SetBrokerAccountMapping")</f>
        <v>SetBrokerAccountMapping</v>
      </c>
      <c r="DD4" s="30" t="str">
        <f>IFERROR(__xludf.DUMMYFUNCTION("""COMPUTED_VALUE"""),"EditUnallocatedGridWPF")</f>
        <v>EditUnallocatedGridWPF</v>
      </c>
      <c r="DE4" s="30" t="str">
        <f>IFERROR(__xludf.DUMMYFUNCTION("""COMPUTED_VALUE"""),"EditAllocatedGridWPF")</f>
        <v>EditAllocatedGridWPF</v>
      </c>
      <c r="DF4" s="30" t="str">
        <f>IFERROR(__xludf.DUMMYFUNCTION("""COMPUTED_VALUE"""),"EditAllocatedGridTaxlot")</f>
        <v>EditAllocatedGridTaxlot</v>
      </c>
      <c r="DG4" s="30" t="str">
        <f>IFERROR(__xludf.DUMMYFUNCTION("""COMPUTED_VALUE"""),"ExpandCollapseAllocatedGrid")</f>
        <v>ExpandCollapseAllocatedGrid</v>
      </c>
      <c r="DH4" s="30" t="str">
        <f>IFERROR(__xludf.DUMMYFUNCTION("""COMPUTED_VALUE"""),"ExpandCollapseUnallocatedGrid")</f>
        <v>ExpandCollapseUnallocatedGrid</v>
      </c>
      <c r="DI4" s="30" t="str">
        <f>IFERROR(__xludf.DUMMYFUNCTION("""COMPUTED_VALUE"""),"SetTradeAttributePreferences")</f>
        <v>SetTradeAttributePreferences</v>
      </c>
      <c r="DJ4" s="30" t="str">
        <f>IFERROR(__xludf.DUMMYFUNCTION("""COMPUTED_VALUE"""),"EnterCustomAllocatePreference")</f>
        <v>EnterCustomAllocatePreference</v>
      </c>
      <c r="DK4" s="30" t="str">
        <f>IFERROR(__xludf.DUMMYFUNCTION("""COMPUTED_VALUE"""),"SetAutoGroupingPreferences")</f>
        <v>SetAutoGroupingPreferences</v>
      </c>
      <c r="DL4" s="30" t="str">
        <f>IFERROR(__xludf.DUMMYFUNCTION("""COMPUTED_VALUE"""),"SetAutoGroupingAccount")</f>
        <v>SetAutoGroupingAccount</v>
      </c>
      <c r="DM4" s="30" t="str">
        <f>IFERROR(__xludf.DUMMYFUNCTION("""COMPUTED_VALUE"""),"SetAvgPriceRounding")</f>
        <v>SetAvgPriceRounding</v>
      </c>
      <c r="DN4" s="30" t="str">
        <f>IFERROR(__xludf.DUMMYFUNCTION("""COMPUTED_VALUE"""),"IsAllocationOpen")</f>
        <v>IsAllocationOpen</v>
      </c>
      <c r="DO4" s="30" t="str">
        <f>IFERROR(__xludf.DUMMYFUNCTION("""COMPUTED_VALUE"""),"AllocationAuditTrail")</f>
        <v>AllocationAuditTrail</v>
      </c>
      <c r="DP4" s="30" t="str">
        <f>IFERROR(__xludf.DUMMYFUNCTION("""COMPUTED_VALUE"""),"GetAuditTrailData")</f>
        <v>GetAuditTrailData</v>
      </c>
      <c r="DQ4" s="30" t="str">
        <f>IFERROR(__xludf.DUMMYFUNCTION("""COMPUTED_VALUE"""),"CheckAuditTrailData")</f>
        <v>CheckAuditTrailData</v>
      </c>
      <c r="DR4" s="30" t="str">
        <f>IFERROR(__xludf.DUMMYFUNCTION("""COMPUTED_VALUE"""),"Unallocate")</f>
        <v>Unallocate</v>
      </c>
      <c r="DS4" s="30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30" t="str">
        <f>IFERROR(__xludf.DUMMYFUNCTION("""COMPUTED_VALUE"""),"CheckPreferences")</f>
        <v>CheckPreferences</v>
      </c>
      <c r="DV4" s="30" t="str">
        <f>IFERROR(__xludf.DUMMYFUNCTION("""COMPUTED_VALUE"""),"AllocateWithPopUp")</f>
        <v>AllocateWithPopUp</v>
      </c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 Name")</f>
        <v>Account Name</v>
      </c>
      <c r="C5" s="32" t="str">
        <f>IFERROR(__xludf.DUMMYFUNCTION("""COMPUTED_VALUE"""),"Accrual Basis")</f>
        <v>Accrual Basis</v>
      </c>
      <c r="D5" s="32" t="str">
        <f>IFERROR(__xludf.DUMMYFUNCTION("""COMPUTED_VALUE"""),"Accrued Interest")</f>
        <v>Accrued Interest</v>
      </c>
      <c r="E5" s="32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2" t="str">
        <f>IFERROR(__xludf.DUMMYFUNCTION("""COMPUTED_VALUE"""),"Asset Category")</f>
        <v>Asset Category</v>
      </c>
      <c r="H5" s="32" t="str">
        <f>IFERROR(__xludf.DUMMYFUNCTION("""COMPUTED_VALUE"""),"AUEC Fee1")</f>
        <v>AUEC Fee1</v>
      </c>
      <c r="I5" s="32" t="str">
        <f>IFERROR(__xludf.DUMMYFUNCTION("""COMPUTED_VALUE"""),"AUEC Fee2")</f>
        <v>AUEC Fee2</v>
      </c>
      <c r="J5" s="32" t="str">
        <f>IFERROR(__xludf.DUMMYFUNCTION("""COMPUTED_VALUE"""),"AUECID")</f>
        <v>AUECID</v>
      </c>
      <c r="K5" s="32" t="str">
        <f>IFERROR(__xludf.DUMMYFUNCTION("""COMPUTED_VALUE"""),"Avg Price(Base)")</f>
        <v>Avg Price(Base)</v>
      </c>
      <c r="L5" s="32" t="str">
        <f>IFERROR(__xludf.DUMMYFUNCTION("""COMPUTED_VALUE"""),"Avg Price(Local)")</f>
        <v>Avg Price(Local)</v>
      </c>
      <c r="M5" s="32" t="str">
        <f>IFERROR(__xludf.DUMMYFUNCTION("""COMPUTED_VALUE"""),"Bloomberg")</f>
        <v>Bloomberg</v>
      </c>
      <c r="N5" s="32" t="str">
        <f>IFERROR(__xludf.DUMMYFUNCTION("""COMPUTED_VALUE"""),"Bond Type")</f>
        <v>Bond Type</v>
      </c>
      <c r="O5" s="32" t="str">
        <f>IFERROR(__xludf.DUMMYFUNCTION("""COMPUTED_VALUE"""),"Broker")</f>
        <v>Broker</v>
      </c>
      <c r="P5" s="32" t="str">
        <f>IFERROR(__xludf.DUMMYFUNCTION("""COMPUTED_VALUE"""),"Change Comment")</f>
        <v>Change Comment</v>
      </c>
      <c r="Q5" s="32" t="str">
        <f>IFERROR(__xludf.DUMMYFUNCTION("""COMPUTED_VALUE"""),"Change Type")</f>
        <v>Change Type</v>
      </c>
      <c r="R5" s="32" t="str">
        <f>IFERROR(__xludf.DUMMYFUNCTION("""COMPUTED_VALUE"""),"Clearing Broker Fee")</f>
        <v>Clearing Broker Fee</v>
      </c>
      <c r="S5" s="32" t="str">
        <f>IFERROR(__xludf.DUMMYFUNCTION("""COMPUTED_VALUE"""),"Closing Status")</f>
        <v>Closing Status</v>
      </c>
      <c r="T5" s="35" t="str">
        <f>IFERROR(__xludf.DUMMYFUNCTION("""COMPUTED_VALUE"""),"Commission")</f>
        <v>Commission</v>
      </c>
      <c r="U5" s="35" t="str">
        <f>IFERROR(__xludf.DUMMYFUNCTION("""COMPUTED_VALUE"""),"Commission Per Share")</f>
        <v>Commission Per Share</v>
      </c>
      <c r="V5" s="35" t="str">
        <f>IFERROR(__xludf.DUMMYFUNCTION("""COMPUTED_VALUE"""),"Company")</f>
        <v>Company</v>
      </c>
      <c r="W5" s="35" t="str">
        <f>IFERROR(__xludf.DUMMYFUNCTION("""COMPUTED_VALUE"""),"Contract Multiplier")</f>
        <v>Contract Multiplier</v>
      </c>
      <c r="X5" s="35" t="str">
        <f>IFERROR(__xludf.DUMMYFUNCTION("""COMPUTED_VALUE"""),"Coupon Rate")</f>
        <v>Coupon Rate</v>
      </c>
      <c r="Y5" s="35" t="str">
        <f>IFERROR(__xludf.DUMMYFUNCTION("""COMPUTED_VALUE"""),"Cum Qty For Sub Order")</f>
        <v>Cum Qty For Sub Order</v>
      </c>
      <c r="Z5" s="35" t="str">
        <f>IFERROR(__xludf.DUMMYFUNCTION("""COMPUTED_VALUE"""),"Currency")</f>
        <v>Currency</v>
      </c>
      <c r="AA5" s="35" t="str">
        <f>IFERROR(__xludf.DUMMYFUNCTION("""COMPUTED_VALUE"""),"Cusip Symbol")</f>
        <v>Cusip Symbol</v>
      </c>
      <c r="AB5" s="35" t="str">
        <f>IFERROR(__xludf.DUMMYFUNCTION("""COMPUTED_VALUE"""),"Delta")</f>
        <v>Delta</v>
      </c>
      <c r="AC5" s="35" t="str">
        <f>IFERROR(__xludf.DUMMYFUNCTION("""COMPUTED_VALUE"""),"Description")</f>
        <v>Description</v>
      </c>
      <c r="AD5" s="35" t="str">
        <f>IFERROR(__xludf.DUMMYFUNCTION("""COMPUTED_VALUE"""),"Exchange")</f>
        <v>Exchange</v>
      </c>
      <c r="AE5" s="35" t="str">
        <f>IFERROR(__xludf.DUMMYFUNCTION("""COMPUTED_VALUE"""),"Executed Qty")</f>
        <v>Executed Qty</v>
      </c>
      <c r="AF5" s="35" t="str">
        <f>IFERROR(__xludf.DUMMYFUNCTION("""COMPUTED_VALUE"""),"Exceution Time")</f>
        <v>Exceution Time</v>
      </c>
      <c r="AG5" s="35" t="str">
        <f>IFERROR(__xludf.DUMMYFUNCTION("""COMPUTED_VALUE"""),"Expiration Date")</f>
        <v>Expiration Date</v>
      </c>
      <c r="AH5" s="35" t="str">
        <f>IFERROR(__xludf.DUMMYFUNCTION("""COMPUTED_VALUE"""),"FX Conversion Operator")</f>
        <v>FX Conversion Operator</v>
      </c>
      <c r="AI5" s="35" t="str">
        <f>IFERROR(__xludf.DUMMYFUNCTION("""COMPUTED_VALUE"""),"FX Rate")</f>
        <v>FX Rate</v>
      </c>
      <c r="AJ5" s="35" t="str">
        <f>IFERROR(__xludf.DUMMYFUNCTION("""COMPUTED_VALUE"""),"Group Status")</f>
        <v>Group Status</v>
      </c>
      <c r="AK5" s="35" t="str">
        <f>IFERROR(__xludf.DUMMYFUNCTION("""COMPUTED_VALUE"""),"IDCOSymbol")</f>
        <v>IDCOSymbol</v>
      </c>
      <c r="AL5" s="35" t="str">
        <f>IFERROR(__xludf.DUMMYFUNCTION("""COMPUTED_VALUE"""),"Import File Name")</f>
        <v>Import File Name</v>
      </c>
      <c r="AM5" s="35" t="str">
        <f>IFERROR(__xludf.DUMMYFUNCTION("""COMPUTED_VALUE"""),"Internal Comments")</f>
        <v>Internal Comments</v>
      </c>
      <c r="AN5" s="35" t="str">
        <f>IFERROR(__xludf.DUMMYFUNCTION("""COMPUTED_VALUE"""),"IsAnotherTaxlotAttributesUpdated")</f>
        <v>IsAnotherTaxlotAttributesUpdated</v>
      </c>
      <c r="AO5" s="35" t="str">
        <f>IFERROR(__xludf.DUMMYFUNCTION("""COMPUTED_VALUE"""),"ISIN")</f>
        <v>ISIN</v>
      </c>
      <c r="AP5" s="35" t="str">
        <f>IFERROR(__xludf.DUMMYFUNCTION("""COMPUTED_VALUE"""),"IsManual Group")</f>
        <v>IsManual Group</v>
      </c>
      <c r="AQ5" s="35" t="str">
        <f>IFERROR(__xludf.DUMMYFUNCTION("""COMPUTED_VALUE"""),"ISNDF")</f>
        <v>ISNDF</v>
      </c>
      <c r="AR5" s="35" t="str">
        <f>IFERROR(__xludf.DUMMYFUNCTION("""COMPUTED_VALUE"""),"IsPreAllocated")</f>
        <v>IsPreAllocated</v>
      </c>
      <c r="AS5" s="35" t="str">
        <f>IFERROR(__xludf.DUMMYFUNCTION("""COMPUTED_VALUE"""),"M2MProfitLoss")</f>
        <v>M2MProfitLoss</v>
      </c>
      <c r="AT5" s="35" t="str">
        <f>IFERROR(__xludf.DUMMYFUNCTION("""COMPUTED_VALUE"""),"Net Amount( Base)")</f>
        <v>Net Amount( Base)</v>
      </c>
      <c r="AU5" s="35" t="str">
        <f>IFERROR(__xludf.DUMMYFUNCTION("""COMPUTED_VALUE"""),"Net Amount( Local)")</f>
        <v>Net Amount( Local)</v>
      </c>
      <c r="AV5" s="35" t="str">
        <f>IFERROR(__xludf.DUMMYFUNCTION("""COMPUTED_VALUE"""),"Nirvana Process Date")</f>
        <v>Nirvana Process Date</v>
      </c>
      <c r="AW5" s="35" t="str">
        <f>IFERROR(__xludf.DUMMYFUNCTION("""COMPUTED_VALUE"""),"OCC Fee")</f>
        <v>OCC Fee</v>
      </c>
      <c r="AX5" s="35" t="str">
        <f>IFERROR(__xludf.DUMMYFUNCTION("""COMPUTED_VALUE"""),"Option Premium Adjustment")</f>
        <v>Option Premium Adjustment</v>
      </c>
      <c r="AY5" s="35" t="str">
        <f>IFERROR(__xludf.DUMMYFUNCTION("""COMPUTED_VALUE"""),"Order Type")</f>
        <v>Order Type</v>
      </c>
      <c r="AZ5" s="35" t="str">
        <f>IFERROR(__xludf.DUMMYFUNCTION("""COMPUTED_VALUE"""),"ORF Fee")</f>
        <v>ORF Fee</v>
      </c>
      <c r="BA5" s="35" t="str">
        <f>IFERROR(__xludf.DUMMYFUNCTION("""COMPUTED_VALUE"""),"Original Purchase Date")</f>
        <v>Original Purchase Date</v>
      </c>
      <c r="BB5" s="35" t="str">
        <f>IFERROR(__xludf.DUMMYFUNCTION("""COMPUTED_VALUE"""),"OSISSymbol")</f>
        <v>OSISSymbol</v>
      </c>
      <c r="BC5" s="35" t="str">
        <f>IFERROR(__xludf.DUMMYFUNCTION("""COMPUTED_VALUE"""),"Other Broker Fees")</f>
        <v>Other Broker Fees</v>
      </c>
      <c r="BD5" s="35" t="str">
        <f>IFERROR(__xludf.DUMMYFUNCTION("""COMPUTED_VALUE"""),"Prana Msg Type")</f>
        <v>Prana Msg Type</v>
      </c>
      <c r="BE5" s="35" t="str">
        <f>IFERROR(__xludf.DUMMYFUNCTION("""COMPUTED_VALUE"""),"Principal Amount( Base)")</f>
        <v>Principal Amount( Base)</v>
      </c>
      <c r="BF5" s="35" t="str">
        <f>IFERROR(__xludf.DUMMYFUNCTION("""COMPUTED_VALUE"""),"Principal Amount( Local)")</f>
        <v>Principal Amount( Local)</v>
      </c>
      <c r="BG5" s="35" t="str">
        <f>IFERROR(__xludf.DUMMYFUNCTION("""COMPUTED_VALUE"""),"Process Date")</f>
        <v>Process Date</v>
      </c>
      <c r="BH5" s="35" t="str">
        <f>IFERROR(__xludf.DUMMYFUNCTION("""COMPUTED_VALUE"""),"Proxy Symbol")</f>
        <v>Proxy Symbol</v>
      </c>
      <c r="BI5" s="35" t="str">
        <f>IFERROR(__xludf.DUMMYFUNCTION("""COMPUTED_VALUE"""),"Put Or Call")</f>
        <v>Put Or Call</v>
      </c>
      <c r="BJ5" s="35" t="str">
        <f>IFERROR(__xludf.DUMMYFUNCTION("""COMPUTED_VALUE"""),"Quantity")</f>
        <v>Quantity</v>
      </c>
      <c r="BK5" s="35" t="str">
        <f>IFERROR(__xludf.DUMMYFUNCTION("""COMPUTED_VALUE"""),"SEC Fee")</f>
        <v>SEC Fee</v>
      </c>
      <c r="BL5" s="35" t="str">
        <f>IFERROR(__xludf.DUMMYFUNCTION("""COMPUTED_VALUE"""),"Sedol Symbol")</f>
        <v>Sedol Symbol</v>
      </c>
      <c r="BM5" s="35" t="str">
        <f>IFERROR(__xludf.DUMMYFUNCTION("""COMPUTED_VALUE"""),"Settlement Currency")</f>
        <v>Settlement Currency</v>
      </c>
      <c r="BN5" s="35" t="str">
        <f>IFERROR(__xludf.DUMMYFUNCTION("""COMPUTED_VALUE"""),"Settlement Date")</f>
        <v>Settlement Date</v>
      </c>
      <c r="BO5" s="35" t="str">
        <f>IFERROR(__xludf.DUMMYFUNCTION("""COMPUTED_VALUE"""),"Side")</f>
        <v>Side</v>
      </c>
      <c r="BP5" s="35" t="str">
        <f>IFERROR(__xludf.DUMMYFUNCTION("""COMPUTED_VALUE"""),"Soft Commission")</f>
        <v>Soft Commission</v>
      </c>
      <c r="BQ5" s="35" t="str">
        <f>IFERROR(__xludf.DUMMYFUNCTION("""COMPUTED_VALUE"""),"Soft Commission Per Share")</f>
        <v>Soft Commission Per Share</v>
      </c>
      <c r="BR5" s="35" t="str">
        <f>IFERROR(__xludf.DUMMYFUNCTION("""COMPUTED_VALUE"""),"Stamp Duty")</f>
        <v>Stamp Duty</v>
      </c>
      <c r="BS5" s="35" t="str">
        <f>IFERROR(__xludf.DUMMYFUNCTION("""COMPUTED_VALUE"""),"Strategy Name")</f>
        <v>Strategy Name</v>
      </c>
      <c r="BT5" s="35" t="str">
        <f>IFERROR(__xludf.DUMMYFUNCTION("""COMPUTED_VALUE"""),"Symbol")</f>
        <v>Symbol</v>
      </c>
      <c r="BU5" s="35" t="str">
        <f>IFERROR(__xludf.DUMMYFUNCTION("""COMPUTED_VALUE"""),"Tax On Commissions")</f>
        <v>Tax On Commissions</v>
      </c>
      <c r="BV5" s="35" t="str">
        <f>IFERROR(__xludf.DUMMYFUNCTION("""COMPUTED_VALUE"""),"Total Commission")</f>
        <v>Total Commission</v>
      </c>
      <c r="BW5" s="35" t="str">
        <f>IFERROR(__xludf.DUMMYFUNCTION("""COMPUTED_VALUE"""),"Total Commission And Fee")</f>
        <v>Total Commission And Fee</v>
      </c>
      <c r="BX5" s="35" t="str">
        <f>IFERROR(__xludf.DUMMYFUNCTION("""COMPUTED_VALUE"""),"Total Commission Per Share")</f>
        <v>Total Commission Per Share</v>
      </c>
      <c r="BY5" s="35" t="str">
        <f>IFERROR(__xludf.DUMMYFUNCTION("""COMPUTED_VALUE"""),"Trade Attribute 1")</f>
        <v>Trade Attribute 1</v>
      </c>
      <c r="BZ5" s="35" t="str">
        <f>IFERROR(__xludf.DUMMYFUNCTION("""COMPUTED_VALUE"""),"Trade Attribute 2")</f>
        <v>Trade Attribute 2</v>
      </c>
      <c r="CA5" s="35" t="str">
        <f>IFERROR(__xludf.DUMMYFUNCTION("""COMPUTED_VALUE"""),"Trade Attribute 3")</f>
        <v>Trade Attribute 3</v>
      </c>
      <c r="CB5" s="35" t="str">
        <f>IFERROR(__xludf.DUMMYFUNCTION("""COMPUTED_VALUE"""),"Trade Attribute 4")</f>
        <v>Trade Attribute 4</v>
      </c>
      <c r="CC5" s="35" t="str">
        <f>IFERROR(__xludf.DUMMYFUNCTION("""COMPUTED_VALUE"""),"Trade Attribute 5")</f>
        <v>Trade Attribute 5</v>
      </c>
      <c r="CD5" s="35" t="str">
        <f>IFERROR(__xludf.DUMMYFUNCTION("""COMPUTED_VALUE"""),"Trade Attribute 6")</f>
        <v>Trade Attribute 6</v>
      </c>
      <c r="CE5" s="35" t="str">
        <f>IFERROR(__xludf.DUMMYFUNCTION("""COMPUTED_VALUE"""),"Trade Date")</f>
        <v>Trade Date</v>
      </c>
      <c r="CF5" s="35" t="str">
        <f>IFERROR(__xludf.DUMMYFUNCTION("""COMPUTED_VALUE"""),"Trading Account")</f>
        <v>Trading Account</v>
      </c>
      <c r="CG5" s="35" t="str">
        <f>IFERROR(__xludf.DUMMYFUNCTION("""COMPUTED_VALUE"""),"Transaction Levy")</f>
        <v>Transaction Levy</v>
      </c>
      <c r="CH5" s="35" t="str">
        <f>IFERROR(__xludf.DUMMYFUNCTION("""COMPUTED_VALUE"""),"Transaction Source")</f>
        <v>Transaction Source</v>
      </c>
      <c r="CI5" s="35" t="str">
        <f>IFERROR(__xludf.DUMMYFUNCTION("""COMPUTED_VALUE"""),"Transaction Type")</f>
        <v>Transaction Type</v>
      </c>
      <c r="CJ5" s="35" t="str">
        <f>IFERROR(__xludf.DUMMYFUNCTION("""COMPUTED_VALUE"""),"UnAllocatedQty")</f>
        <v>UnAllocatedQty</v>
      </c>
      <c r="CK5" s="35" t="str">
        <f>IFERROR(__xludf.DUMMYFUNCTION("""COMPUTED_VALUE"""),"Underlying")</f>
        <v>Underlying</v>
      </c>
      <c r="CL5" s="35" t="str">
        <f>IFERROR(__xludf.DUMMYFUNCTION("""COMPUTED_VALUE"""),"Underlying Delta")</f>
        <v>Underlying Delta</v>
      </c>
      <c r="CM5" s="35" t="str">
        <f>IFERROR(__xludf.DUMMYFUNCTION("""COMPUTED_VALUE"""),"Underlying Symbol")</f>
        <v>Underlying Symbol</v>
      </c>
      <c r="CN5" s="35" t="str">
        <f>IFERROR(__xludf.DUMMYFUNCTION("""COMPUTED_VALUE"""),"User")</f>
        <v>User</v>
      </c>
      <c r="CO5" s="35" t="str">
        <f>IFERROR(__xludf.DUMMYFUNCTION("""COMPUTED_VALUE"""),"Venue")</f>
        <v>Venue</v>
      </c>
      <c r="CP5" s="35" t="str">
        <f>IFERROR(__xludf.DUMMYFUNCTION("""COMPUTED_VALUE"""),"Closing Method")</f>
        <v>Closing Method</v>
      </c>
      <c r="CQ5" s="35" t="str">
        <f>IFERROR(__xludf.DUMMYFUNCTION("""COMPUTED_VALUE"""),"Closing Date")</f>
        <v>Closing Date</v>
      </c>
      <c r="CR5" s="35" t="str">
        <f>IFERROR(__xludf.DUMMYFUNCTION("""COMPUTED_VALUE"""),"GroupID")</f>
        <v>GroupID</v>
      </c>
      <c r="CS5" s="35" t="str">
        <f>IFERROR(__xludf.DUMMYFUNCTION("""COMPUTED_VALUE"""),"Client")</f>
        <v>Client</v>
      </c>
      <c r="CT5" s="35" t="str">
        <f>IFERROR(__xludf.DUMMYFUNCTION("""COMPUTED_VALUE"""),"Borrow Broker")</f>
        <v>Borrow Broker</v>
      </c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50" t="s">
        <v>18</v>
      </c>
      <c r="C6" s="8"/>
      <c r="D6" s="13"/>
      <c r="E6" s="51">
        <v>100.0</v>
      </c>
      <c r="F6" s="8"/>
      <c r="G6" s="50" t="s">
        <v>34</v>
      </c>
      <c r="H6" s="8"/>
      <c r="I6" s="8"/>
      <c r="J6" s="8"/>
      <c r="K6" s="51">
        <v>10.0</v>
      </c>
      <c r="L6" s="51">
        <v>10.0</v>
      </c>
      <c r="M6" s="8"/>
      <c r="N6" s="8"/>
      <c r="O6" s="50" t="s">
        <v>19</v>
      </c>
      <c r="S6" s="50" t="s">
        <v>43</v>
      </c>
      <c r="W6" s="51">
        <v>1.0</v>
      </c>
      <c r="AE6" s="51">
        <v>100.0</v>
      </c>
      <c r="AH6" s="50" t="s">
        <v>44</v>
      </c>
      <c r="AI6" s="51">
        <v>1.0</v>
      </c>
      <c r="AJ6" s="50" t="s">
        <v>45</v>
      </c>
      <c r="AT6" s="52">
        <v>1014.0006</v>
      </c>
      <c r="AU6" s="52">
        <v>1014.0006</v>
      </c>
      <c r="AX6" s="51">
        <v>0.0</v>
      </c>
      <c r="AY6" s="50" t="s">
        <v>46</v>
      </c>
      <c r="BE6" s="52">
        <v>1000.0</v>
      </c>
      <c r="BF6" s="52">
        <v>1000.0</v>
      </c>
      <c r="BI6" s="53"/>
      <c r="BJ6" s="51">
        <v>100.0</v>
      </c>
      <c r="BO6" s="50" t="s">
        <v>17</v>
      </c>
      <c r="BT6" s="50" t="s">
        <v>16</v>
      </c>
      <c r="CH6" s="50" t="s">
        <v>12</v>
      </c>
      <c r="CI6" s="50" t="s">
        <v>17</v>
      </c>
      <c r="CM6" s="50" t="s">
        <v>16</v>
      </c>
    </row>
    <row r="7" ht="15.75" customHeight="1">
      <c r="A7" s="8"/>
      <c r="B7" s="50" t="s">
        <v>18</v>
      </c>
      <c r="C7" s="8"/>
      <c r="D7" s="8"/>
      <c r="E7" s="51">
        <v>10.0</v>
      </c>
      <c r="F7" s="8"/>
      <c r="G7" s="50" t="s">
        <v>32</v>
      </c>
      <c r="H7" s="8"/>
      <c r="I7" s="8"/>
      <c r="J7" s="8"/>
      <c r="K7" s="51">
        <v>10.0</v>
      </c>
      <c r="L7" s="51">
        <v>10.0</v>
      </c>
      <c r="M7" s="8"/>
      <c r="N7" s="8"/>
      <c r="O7" s="50" t="s">
        <v>19</v>
      </c>
      <c r="S7" s="50" t="s">
        <v>47</v>
      </c>
      <c r="W7" s="51">
        <v>100.0</v>
      </c>
      <c r="AE7" s="51">
        <v>10.0</v>
      </c>
      <c r="AH7" s="50" t="s">
        <v>44</v>
      </c>
      <c r="AI7" s="51">
        <v>1.0</v>
      </c>
      <c r="AJ7" s="50" t="s">
        <v>48</v>
      </c>
      <c r="AT7" s="52">
        <v>10000.0</v>
      </c>
      <c r="AU7" s="52">
        <v>10000.0</v>
      </c>
      <c r="AX7" s="51">
        <v>0.0</v>
      </c>
      <c r="AY7" s="50" t="s">
        <v>46</v>
      </c>
      <c r="BE7" s="52">
        <v>10000.0</v>
      </c>
      <c r="BF7" s="52">
        <v>10000.0</v>
      </c>
      <c r="BI7" s="50" t="s">
        <v>49</v>
      </c>
      <c r="BJ7" s="51">
        <v>10.0</v>
      </c>
      <c r="BO7" s="50" t="s">
        <v>21</v>
      </c>
      <c r="BT7" s="50" t="s">
        <v>20</v>
      </c>
      <c r="CH7" s="50" t="s">
        <v>12</v>
      </c>
      <c r="CI7" s="50" t="s">
        <v>50</v>
      </c>
      <c r="CM7" s="50" t="s">
        <v>16</v>
      </c>
    </row>
    <row r="8" ht="15.75" customHeight="1">
      <c r="A8" s="8"/>
      <c r="B8" s="50" t="s">
        <v>18</v>
      </c>
      <c r="C8" s="8"/>
      <c r="D8" s="8"/>
      <c r="E8" s="51">
        <v>10.0</v>
      </c>
      <c r="F8" s="8"/>
      <c r="G8" s="50" t="s">
        <v>32</v>
      </c>
      <c r="H8" s="8"/>
      <c r="I8" s="8"/>
      <c r="J8" s="8"/>
      <c r="K8" s="51">
        <v>10.0</v>
      </c>
      <c r="L8" s="51">
        <v>10.0</v>
      </c>
      <c r="M8" s="8"/>
      <c r="N8" s="8"/>
      <c r="O8" s="50" t="s">
        <v>19</v>
      </c>
      <c r="S8" s="50" t="s">
        <v>47</v>
      </c>
      <c r="W8" s="51">
        <v>100.0</v>
      </c>
      <c r="AE8" s="51">
        <v>10.0</v>
      </c>
      <c r="AH8" s="50" t="s">
        <v>44</v>
      </c>
      <c r="AI8" s="51">
        <v>1.0</v>
      </c>
      <c r="AJ8" s="50" t="s">
        <v>48</v>
      </c>
      <c r="AT8" s="52">
        <v>10000.0</v>
      </c>
      <c r="AU8" s="52">
        <v>10000.0</v>
      </c>
      <c r="AX8" s="51">
        <v>0.0</v>
      </c>
      <c r="AY8" s="50" t="s">
        <v>46</v>
      </c>
      <c r="BE8" s="52">
        <v>10000.0</v>
      </c>
      <c r="BF8" s="52">
        <v>10000.0</v>
      </c>
      <c r="BI8" s="50" t="s">
        <v>49</v>
      </c>
      <c r="BJ8" s="51">
        <v>10.0</v>
      </c>
      <c r="BO8" s="50" t="s">
        <v>21</v>
      </c>
      <c r="BT8" s="50" t="s">
        <v>23</v>
      </c>
      <c r="CH8" s="50" t="s">
        <v>12</v>
      </c>
      <c r="CI8" s="50" t="s">
        <v>50</v>
      </c>
      <c r="CM8" s="50" t="s">
        <v>16</v>
      </c>
    </row>
    <row r="9" ht="15.75" customHeight="1">
      <c r="A9" s="8"/>
      <c r="B9" s="50" t="s">
        <v>18</v>
      </c>
      <c r="C9" s="8"/>
      <c r="D9" s="8"/>
      <c r="E9" s="51">
        <v>10.0</v>
      </c>
      <c r="F9" s="8"/>
      <c r="G9" s="50" t="s">
        <v>32</v>
      </c>
      <c r="H9" s="8"/>
      <c r="I9" s="8"/>
      <c r="J9" s="8"/>
      <c r="K9" s="51">
        <v>10.0</v>
      </c>
      <c r="L9" s="51">
        <v>10.0</v>
      </c>
      <c r="M9" s="8"/>
      <c r="N9" s="8"/>
      <c r="O9" s="50" t="s">
        <v>19</v>
      </c>
      <c r="S9" s="50" t="s">
        <v>47</v>
      </c>
      <c r="W9" s="51">
        <v>100.0</v>
      </c>
      <c r="AE9" s="51">
        <v>10.0</v>
      </c>
      <c r="AH9" s="50" t="s">
        <v>44</v>
      </c>
      <c r="AI9" s="51">
        <v>1.0</v>
      </c>
      <c r="AJ9" s="50" t="s">
        <v>48</v>
      </c>
      <c r="AT9" s="52">
        <v>10000.0</v>
      </c>
      <c r="AU9" s="52">
        <v>10000.0</v>
      </c>
      <c r="AX9" s="51">
        <v>0.0</v>
      </c>
      <c r="AY9" s="50" t="s">
        <v>46</v>
      </c>
      <c r="BE9" s="52">
        <v>10000.0</v>
      </c>
      <c r="BF9" s="52">
        <v>10000.0</v>
      </c>
      <c r="BI9" s="50" t="s">
        <v>49</v>
      </c>
      <c r="BJ9" s="51">
        <v>10.0</v>
      </c>
      <c r="BO9" s="50" t="s">
        <v>21</v>
      </c>
      <c r="BT9" s="50" t="s">
        <v>22</v>
      </c>
      <c r="CH9" s="50" t="s">
        <v>12</v>
      </c>
      <c r="CI9" s="50" t="s">
        <v>50</v>
      </c>
      <c r="CM9" s="50" t="s">
        <v>16</v>
      </c>
    </row>
    <row r="10" ht="15.75" customHeight="1">
      <c r="A10" s="8"/>
      <c r="B10" s="50" t="s">
        <v>18</v>
      </c>
      <c r="C10" s="8"/>
      <c r="D10" s="8"/>
      <c r="E10" s="51">
        <v>10.0</v>
      </c>
      <c r="F10" s="8"/>
      <c r="G10" s="50" t="s">
        <v>32</v>
      </c>
      <c r="H10" s="8"/>
      <c r="I10" s="8"/>
      <c r="J10" s="8"/>
      <c r="K10" s="51">
        <v>0.0</v>
      </c>
      <c r="L10" s="51">
        <v>0.0</v>
      </c>
      <c r="M10" s="8"/>
      <c r="N10" s="8"/>
      <c r="O10" s="8"/>
      <c r="S10" s="50" t="s">
        <v>47</v>
      </c>
      <c r="W10" s="51">
        <v>100.0</v>
      </c>
      <c r="AE10" s="51">
        <v>10.0</v>
      </c>
      <c r="AH10" s="50" t="s">
        <v>44</v>
      </c>
      <c r="AI10" s="51">
        <v>1.0</v>
      </c>
      <c r="AJ10" s="50" t="s">
        <v>48</v>
      </c>
      <c r="AT10" s="52">
        <v>10000.0</v>
      </c>
      <c r="AU10" s="52">
        <v>10000.0</v>
      </c>
      <c r="AX10" s="52">
        <v>-10000.0</v>
      </c>
      <c r="BE10" s="51">
        <v>0.0</v>
      </c>
      <c r="BF10" s="51">
        <v>0.0</v>
      </c>
      <c r="BI10" s="50" t="s">
        <v>49</v>
      </c>
      <c r="BJ10" s="51">
        <v>10.0</v>
      </c>
      <c r="BO10" s="50" t="s">
        <v>51</v>
      </c>
      <c r="BT10" s="50" t="s">
        <v>20</v>
      </c>
      <c r="CH10" s="50" t="s">
        <v>28</v>
      </c>
      <c r="CI10" s="50" t="s">
        <v>36</v>
      </c>
      <c r="CM10" s="50" t="s">
        <v>16</v>
      </c>
    </row>
    <row r="11" ht="15.75" customHeight="1">
      <c r="A11" s="8"/>
      <c r="B11" s="50" t="s">
        <v>18</v>
      </c>
      <c r="C11" s="8"/>
      <c r="D11" s="8"/>
      <c r="E11" s="51">
        <v>10.0</v>
      </c>
      <c r="F11" s="8"/>
      <c r="G11" s="50" t="s">
        <v>32</v>
      </c>
      <c r="H11" s="8"/>
      <c r="I11" s="8"/>
      <c r="J11" s="8"/>
      <c r="K11" s="51">
        <v>0.0</v>
      </c>
      <c r="L11" s="51">
        <v>0.0</v>
      </c>
      <c r="M11" s="8"/>
      <c r="N11" s="8"/>
      <c r="O11" s="8"/>
      <c r="S11" s="50" t="s">
        <v>47</v>
      </c>
      <c r="W11" s="51">
        <v>100.0</v>
      </c>
      <c r="AE11" s="51">
        <v>10.0</v>
      </c>
      <c r="AH11" s="50" t="s">
        <v>44</v>
      </c>
      <c r="AI11" s="51">
        <v>1.0</v>
      </c>
      <c r="AJ11" s="50" t="s">
        <v>48</v>
      </c>
      <c r="AT11" s="52">
        <v>10000.0</v>
      </c>
      <c r="AU11" s="52">
        <v>10000.0</v>
      </c>
      <c r="AX11" s="52">
        <v>-10000.0</v>
      </c>
      <c r="BE11" s="51">
        <v>0.0</v>
      </c>
      <c r="BF11" s="51">
        <v>0.0</v>
      </c>
      <c r="BI11" s="50" t="s">
        <v>49</v>
      </c>
      <c r="BJ11" s="51">
        <v>10.0</v>
      </c>
      <c r="BO11" s="50" t="s">
        <v>51</v>
      </c>
      <c r="BT11" s="50" t="s">
        <v>22</v>
      </c>
      <c r="CH11" s="50" t="s">
        <v>28</v>
      </c>
      <c r="CI11" s="50" t="s">
        <v>36</v>
      </c>
      <c r="CM11" s="50" t="s">
        <v>16</v>
      </c>
    </row>
    <row r="12" ht="15.75" customHeight="1">
      <c r="A12" s="8"/>
      <c r="B12" s="50" t="s">
        <v>18</v>
      </c>
      <c r="C12" s="8"/>
      <c r="D12" s="8"/>
      <c r="E12" s="51">
        <v>10.0</v>
      </c>
      <c r="F12" s="8"/>
      <c r="G12" s="50" t="s">
        <v>32</v>
      </c>
      <c r="H12" s="8"/>
      <c r="I12" s="8"/>
      <c r="J12" s="8"/>
      <c r="K12" s="51">
        <v>0.0</v>
      </c>
      <c r="L12" s="51">
        <v>0.0</v>
      </c>
      <c r="M12" s="8"/>
      <c r="N12" s="8"/>
      <c r="O12" s="8"/>
      <c r="S12" s="50" t="s">
        <v>47</v>
      </c>
      <c r="W12" s="51">
        <v>100.0</v>
      </c>
      <c r="AE12" s="51">
        <v>10.0</v>
      </c>
      <c r="AH12" s="50" t="s">
        <v>44</v>
      </c>
      <c r="AI12" s="51">
        <v>1.0</v>
      </c>
      <c r="AJ12" s="50" t="s">
        <v>48</v>
      </c>
      <c r="AT12" s="52">
        <v>10000.0</v>
      </c>
      <c r="AU12" s="52">
        <v>10000.0</v>
      </c>
      <c r="AX12" s="52">
        <v>-10000.0</v>
      </c>
      <c r="BE12" s="51">
        <v>0.0</v>
      </c>
      <c r="BF12" s="51">
        <v>0.0</v>
      </c>
      <c r="BI12" s="50" t="s">
        <v>49</v>
      </c>
      <c r="BJ12" s="51">
        <v>10.0</v>
      </c>
      <c r="BO12" s="50" t="s">
        <v>51</v>
      </c>
      <c r="BT12" s="50" t="s">
        <v>23</v>
      </c>
      <c r="CH12" s="50" t="s">
        <v>28</v>
      </c>
      <c r="CI12" s="50" t="s">
        <v>36</v>
      </c>
      <c r="CM12" s="50" t="s">
        <v>16</v>
      </c>
    </row>
    <row r="13" ht="15.75" customHeight="1">
      <c r="A13" s="8"/>
      <c r="B13" s="50" t="s">
        <v>18</v>
      </c>
      <c r="C13" s="8"/>
      <c r="D13" s="8"/>
      <c r="E13" s="52">
        <v>1000.0</v>
      </c>
      <c r="F13" s="8"/>
      <c r="G13" s="50" t="s">
        <v>34</v>
      </c>
      <c r="H13" s="8"/>
      <c r="I13" s="8"/>
      <c r="J13" s="8"/>
      <c r="K13" s="51">
        <v>130.3</v>
      </c>
      <c r="L13" s="51">
        <v>130.3</v>
      </c>
      <c r="M13" s="8"/>
      <c r="N13" s="8"/>
      <c r="O13" s="8"/>
      <c r="S13" s="50" t="s">
        <v>43</v>
      </c>
      <c r="W13" s="51">
        <v>1.0</v>
      </c>
      <c r="AE13" s="52">
        <v>1000.0</v>
      </c>
      <c r="AH13" s="50" t="s">
        <v>52</v>
      </c>
      <c r="AI13" s="51">
        <v>1.0</v>
      </c>
      <c r="AJ13" s="50" t="s">
        <v>53</v>
      </c>
      <c r="AT13" s="52">
        <v>140300.0</v>
      </c>
      <c r="AU13" s="52">
        <v>140300.0</v>
      </c>
      <c r="AX13" s="52">
        <v>10000.0</v>
      </c>
      <c r="BE13" s="52">
        <v>130300.0</v>
      </c>
      <c r="BF13" s="52">
        <v>130300.0</v>
      </c>
      <c r="BI13" s="53"/>
      <c r="BJ13" s="52">
        <v>1000.0</v>
      </c>
      <c r="BO13" s="50" t="s">
        <v>17</v>
      </c>
      <c r="BT13" s="50" t="s">
        <v>16</v>
      </c>
      <c r="CH13" s="50" t="s">
        <v>28</v>
      </c>
      <c r="CI13" s="50" t="s">
        <v>36</v>
      </c>
      <c r="CM13" s="50" t="s">
        <v>16</v>
      </c>
    </row>
    <row r="14" ht="15.75" customHeight="1">
      <c r="A14" s="8"/>
      <c r="B14" s="50" t="s">
        <v>18</v>
      </c>
      <c r="C14" s="8"/>
      <c r="D14" s="8"/>
      <c r="E14" s="52">
        <v>1000.0</v>
      </c>
      <c r="F14" s="8"/>
      <c r="G14" s="50" t="s">
        <v>34</v>
      </c>
      <c r="H14" s="8"/>
      <c r="I14" s="8"/>
      <c r="J14" s="8"/>
      <c r="K14" s="51">
        <v>130.2</v>
      </c>
      <c r="L14" s="51">
        <v>130.2</v>
      </c>
      <c r="M14" s="8"/>
      <c r="N14" s="8"/>
      <c r="O14" s="8"/>
      <c r="S14" s="50" t="s">
        <v>43</v>
      </c>
      <c r="W14" s="51">
        <v>1.0</v>
      </c>
      <c r="AE14" s="52">
        <v>1000.0</v>
      </c>
      <c r="AH14" s="50" t="s">
        <v>52</v>
      </c>
      <c r="AI14" s="51">
        <v>1.0</v>
      </c>
      <c r="AJ14" s="50" t="s">
        <v>53</v>
      </c>
      <c r="AT14" s="52">
        <v>140200.0</v>
      </c>
      <c r="AU14" s="52">
        <v>140200.0</v>
      </c>
      <c r="AX14" s="52">
        <v>10000.0</v>
      </c>
      <c r="BE14" s="52">
        <v>130200.0</v>
      </c>
      <c r="BF14" s="52">
        <v>130200.0</v>
      </c>
      <c r="BI14" s="53"/>
      <c r="BJ14" s="52">
        <v>1000.0</v>
      </c>
      <c r="BO14" s="50" t="s">
        <v>17</v>
      </c>
      <c r="BT14" s="50" t="s">
        <v>16</v>
      </c>
      <c r="CH14" s="50" t="s">
        <v>28</v>
      </c>
      <c r="CI14" s="50" t="s">
        <v>36</v>
      </c>
      <c r="CM14" s="50" t="s">
        <v>16</v>
      </c>
    </row>
    <row r="15" ht="15.75" customHeight="1">
      <c r="A15" s="8"/>
      <c r="B15" s="50" t="s">
        <v>18</v>
      </c>
      <c r="C15" s="8"/>
      <c r="D15" s="8"/>
      <c r="E15" s="52">
        <v>1000.0</v>
      </c>
      <c r="F15" s="8"/>
      <c r="G15" s="50" t="s">
        <v>34</v>
      </c>
      <c r="H15" s="8"/>
      <c r="I15" s="8"/>
      <c r="J15" s="8"/>
      <c r="K15" s="51">
        <v>130.1</v>
      </c>
      <c r="L15" s="51">
        <v>130.1</v>
      </c>
      <c r="M15" s="8"/>
      <c r="N15" s="8"/>
      <c r="O15" s="8"/>
      <c r="S15" s="50" t="s">
        <v>43</v>
      </c>
      <c r="W15" s="51">
        <v>1.0</v>
      </c>
      <c r="AE15" s="52">
        <v>1000.0</v>
      </c>
      <c r="AH15" s="50" t="s">
        <v>52</v>
      </c>
      <c r="AI15" s="51">
        <v>1.0</v>
      </c>
      <c r="AJ15" s="50" t="s">
        <v>53</v>
      </c>
      <c r="AT15" s="52">
        <v>140100.0</v>
      </c>
      <c r="AU15" s="52">
        <v>140100.0</v>
      </c>
      <c r="AX15" s="52">
        <v>10000.0</v>
      </c>
      <c r="BE15" s="52">
        <v>130100.0</v>
      </c>
      <c r="BF15" s="52">
        <v>130100.0</v>
      </c>
      <c r="BI15" s="53"/>
      <c r="BJ15" s="52">
        <v>1000.0</v>
      </c>
      <c r="BO15" s="50" t="s">
        <v>17</v>
      </c>
      <c r="BT15" s="50" t="s">
        <v>16</v>
      </c>
      <c r="CH15" s="50" t="s">
        <v>28</v>
      </c>
      <c r="CI15" s="50" t="s">
        <v>36</v>
      </c>
      <c r="CM15" s="50" t="s">
        <v>16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54</v>
      </c>
      <c r="D3" s="5" t="s">
        <v>9</v>
      </c>
      <c r="E3" s="25" t="s">
        <v>55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</row>
    <row r="4" ht="15.75" customHeight="1">
      <c r="A4" s="28"/>
      <c r="B4" s="28" t="str">
        <f>IFERROR(__xludf.DUMMYFUNCTION("IF(C3="""","""",Transpose(IMPORTRANGE('_Settings'!$B$3,C3&amp;""!A4:A1000"")))"),"CheckDashboardPM")</f>
        <v>CheckDashboardPM</v>
      </c>
      <c r="C4" s="28" t="str">
        <f>IFERROR(__xludf.DUMMYFUNCTION("""COMPUTED_VALUE"""),"CheckPortfolioManagement")</f>
        <v>CheckPortfolioManagement</v>
      </c>
      <c r="D4" s="28" t="str">
        <f>IFERROR(__xludf.DUMMYFUNCTION("""COMPUTED_VALUE"""),"OpenPSTFromPM")</f>
        <v>OpenPSTFromPM</v>
      </c>
      <c r="E4" s="28" t="str">
        <f>IFERROR(__xludf.DUMMYFUNCTION("""COMPUTED_VALUE"""),"ClosePM")</f>
        <v>ClosePM</v>
      </c>
      <c r="F4" s="28" t="str">
        <f>IFERROR(__xludf.DUMMYFUNCTION("""COMPUTED_VALUE"""),"FilterPM")</f>
        <v>FilterPM</v>
      </c>
      <c r="G4" s="28" t="str">
        <f>IFERROR(__xludf.DUMMYFUNCTION("""COMPUTED_VALUE"""),"GroupRowPM")</f>
        <v>GroupRowPM</v>
      </c>
      <c r="H4" s="28" t="str">
        <f>IFERROR(__xludf.DUMMYFUNCTION("""COMPUTED_VALUE"""),"CheckDashboardWithPM")</f>
        <v>CheckDashboardWithPM</v>
      </c>
      <c r="I4" s="28" t="str">
        <f>IFERROR(__xludf.DUMMYFUNCTION("""COMPUTED_VALUE"""),"RemoveFilterPM")</f>
        <v>RemoveFilterPM</v>
      </c>
      <c r="J4" s="28" t="str">
        <f>IFERROR(__xludf.DUMMYFUNCTION("""COMPUTED_VALUE"""),"CheckSummaryRowsPM")</f>
        <v>CheckSummaryRowsPM</v>
      </c>
      <c r="K4" s="28" t="str">
        <f>IFERROR(__xludf.DUMMYFUNCTION("""COMPUTED_VALUE"""),"OpenPTTFromPM")</f>
        <v>OpenPTTFromPM</v>
      </c>
      <c r="L4" s="28" t="str">
        <f>IFERROR(__xludf.DUMMYFUNCTION("""COMPUTED_VALUE"""),"OpenClosingFromPM")</f>
        <v>OpenClosingFromPM</v>
      </c>
      <c r="M4" s="28" t="str">
        <f>IFERROR(__xludf.DUMMYFUNCTION("""COMPUTED_VALUE"""),"OpenCorporateActionFromPM")</f>
        <v>OpenCorporateActionFromPM</v>
      </c>
      <c r="N4" s="28" t="str">
        <f>IFERROR(__xludf.DUMMYFUNCTION("""COMPUTED_VALUE"""),"OpenDailyValuationFromPM")</f>
        <v>OpenDailyValuationFromPM</v>
      </c>
      <c r="O4" s="28" t="str">
        <f>IFERROR(__xludf.DUMMYFUNCTION("""COMPUTED_VALUE"""),"ClosePositionFromPM")</f>
        <v>ClosePositionFromPM</v>
      </c>
      <c r="P4" s="30" t="str">
        <f>IFERROR(__xludf.DUMMYFUNCTION("""COMPUTED_VALUE"""),"ShowSummaryToolFromPM")</f>
        <v>ShowSummaryToolFromPM</v>
      </c>
      <c r="Q4" s="30" t="str">
        <f>IFERROR(__xludf.DUMMYFUNCTION("""COMPUTED_VALUE"""),"HideSummaryToolFromPM")</f>
        <v>HideSummaryToolFromPM</v>
      </c>
      <c r="R4" s="30" t="str">
        <f>IFERROR(__xludf.DUMMYFUNCTION("""COMPUTED_VALUE"""),"CloseAccountPositionFromPM")</f>
        <v>CloseAccountPositionFromPM</v>
      </c>
      <c r="S4" s="30" t="str">
        <f>IFERROR(__xludf.DUMMYFUNCTION("""COMPUTED_VALUE"""),"CloseSelectedTaxlotsFromPM")</f>
        <v>CloseSelectedTaxlotsFromPM</v>
      </c>
      <c r="T4" s="30" t="str">
        <f>IFERROR(__xludf.DUMMYFUNCTION("""COMPUTED_VALUE"""),"ExpandCollapsePM")</f>
        <v>ExpandCollapsePM</v>
      </c>
      <c r="U4" s="30" t="str">
        <f>IFERROR(__xludf.DUMMYFUNCTION("""COMPUTED_VALUE"""),"AddCustomViewPM")</f>
        <v>AddCustomViewPM</v>
      </c>
      <c r="V4" s="30" t="str">
        <f>IFERROR(__xludf.DUMMYFUNCTION("""COMPUTED_VALUE"""),"AddCustomViewRightClickPM")</f>
        <v>AddCustomViewRightClickPM</v>
      </c>
      <c r="W4" s="30" t="str">
        <f>IFERROR(__xludf.DUMMYFUNCTION("""COMPUTED_VALUE"""),"RenameCustomViewPM")</f>
        <v>RenameCustomViewPM</v>
      </c>
      <c r="X4" s="30" t="str">
        <f>IFERROR(__xludf.DUMMYFUNCTION("""COMPUTED_VALUE"""),"DeleteCustomViewPM")</f>
        <v>DeleteCustomViewPM</v>
      </c>
      <c r="Y4" s="30" t="str">
        <f>IFERROR(__xludf.DUMMYFUNCTION("""COMPUTED_VALUE"""),"OpenCreateTransactionFromPM")</f>
        <v>OpenCreateTransactionFromPM</v>
      </c>
      <c r="Z4" s="30" t="str">
        <f>IFERROR(__xludf.DUMMYFUNCTION("""COMPUTED_VALUE"""),"RemoveGroupingFromPM")</f>
        <v>RemoveGroupingFromPM</v>
      </c>
      <c r="AA4" s="30" t="str">
        <f>IFERROR(__xludf.DUMMYFUNCTION("""COMPUTED_VALUE"""),"IncreasePositionFromPM")</f>
        <v>IncreasePositionFromPM</v>
      </c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IFERROR(__xludf.DUMMYFUNCTION("""COMPUTED_VALUE"""),"Trade Date")</f>
        <v>Trade Date</v>
      </c>
      <c r="C5" s="32" t="str">
        <f>IFERROR(__xludf.DUMMYFUNCTION("""COMPUTED_VALUE"""),"Symbol")</f>
        <v>Symbol</v>
      </c>
      <c r="D5" s="32" t="str">
        <f>IFERROR(__xludf.DUMMYFUNCTION("""COMPUTED_VALUE"""),"Position")</f>
        <v>Position</v>
      </c>
      <c r="E5" s="32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32" t="str">
        <f>IFERROR(__xludf.DUMMYFUNCTION("""COMPUTED_VALUE"""),"Cost Basis")</f>
        <v>Cost Basis</v>
      </c>
      <c r="H5" s="32" t="str">
        <f>IFERROR(__xludf.DUMMYFUNCTION("""COMPUTED_VALUE"""),"Position Side")</f>
        <v>Position Side</v>
      </c>
      <c r="I5" s="32" t="str">
        <f>IFERROR(__xludf.DUMMYFUNCTION("""COMPUTED_VALUE"""),"Market Value (Base)")</f>
        <v>Market Value (Base)</v>
      </c>
      <c r="J5" s="32" t="str">
        <f>IFERROR(__xludf.DUMMYFUNCTION("""COMPUTED_VALUE"""),"% Day P&amp;L (Gross MV)")</f>
        <v>% Day P&amp;L (Gross MV)</v>
      </c>
      <c r="K5" s="32" t="str">
        <f>IFERROR(__xludf.DUMMYFUNCTION("""COMPUTED_VALUE"""),"Net Exposure (Base)")</f>
        <v>Net Exposure (Base)</v>
      </c>
      <c r="L5" s="32" t="str">
        <f>IFERROR(__xludf.DUMMYFUNCTION("""COMPUTED_VALUE"""),"Beta Adj. Gross Exposure (Base)")</f>
        <v>Beta Adj. Gross Exposure (Base)</v>
      </c>
      <c r="M5" s="32" t="str">
        <f>IFERROR(__xludf.DUMMYFUNCTION("""COMPUTED_VALUE"""),"Beta Adj. Gross Exposure (Underlying) (Base)")</f>
        <v>Beta Adj. Gross Exposure (Underlying) (Base)</v>
      </c>
      <c r="N5" s="32" t="str">
        <f>IFERROR(__xludf.DUMMYFUNCTION("""COMPUTED_VALUE"""),"Day P&amp;L (Base)")</f>
        <v>Day P&amp;L (Base)</v>
      </c>
      <c r="O5" s="32" t="str">
        <f>IFERROR(__xludf.DUMMYFUNCTION("""COMPUTED_VALUE"""),"Security Name")</f>
        <v>Security Name</v>
      </c>
      <c r="P5" s="32" t="str">
        <f>IFERROR(__xludf.DUMMYFUNCTION("""COMPUTED_VALUE"""),"Closing Mark")</f>
        <v>Closing Mark</v>
      </c>
      <c r="Q5" s="32" t="str">
        <f>IFERROR(__xludf.DUMMYFUNCTION("""COMPUTED_VALUE"""),"Cost Basis P&amp;L (Base)")</f>
        <v>Cost Basis P&amp;L (Base)</v>
      </c>
      <c r="R5" s="32" t="str">
        <f>IFERROR(__xludf.DUMMYFUNCTION("""COMPUTED_VALUE"""),"Prime Broker")</f>
        <v>Prime Broker</v>
      </c>
      <c r="S5" s="32" t="str">
        <f>IFERROR(__xludf.DUMMYFUNCTION("""COMPUTED_VALUE"""),"Strategy")</f>
        <v>Strategy</v>
      </c>
      <c r="T5" s="35" t="str">
        <f>IFERROR(__xludf.DUMMYFUNCTION("""COMPUTED_VALUE"""),"Asset Class")</f>
        <v>Asset Class</v>
      </c>
      <c r="U5" s="35" t="str">
        <f>IFERROR(__xludf.DUMMYFUNCTION("""COMPUTED_VALUE"""),"Underlying")</f>
        <v>Underlying</v>
      </c>
      <c r="V5" s="35" t="str">
        <f>IFERROR(__xludf.DUMMYFUNCTION("""COMPUTED_VALUE"""),"Exchange")</f>
        <v>Exchange</v>
      </c>
      <c r="W5" s="35" t="str">
        <f>IFERROR(__xludf.DUMMYFUNCTION("""COMPUTED_VALUE"""),"Trade Currency")</f>
        <v>Trade Currency</v>
      </c>
      <c r="X5" s="35" t="str">
        <f>IFERROR(__xludf.DUMMYFUNCTION("""COMPUTED_VALUE"""),"Multiplier")</f>
        <v>Multiplier</v>
      </c>
      <c r="Y5" s="35" t="str">
        <f>IFERROR(__xludf.DUMMYFUNCTION("""COMPUTED_VALUE"""),"FX Rate")</f>
        <v>FX Rate</v>
      </c>
      <c r="Z5" s="35" t="str">
        <f>IFERROR(__xludf.DUMMYFUNCTION("""COMPUTED_VALUE"""),"Vs Currency")</f>
        <v>Vs Currency</v>
      </c>
      <c r="AA5" s="35" t="str">
        <f>IFERROR(__xludf.DUMMYFUNCTION("""COMPUTED_VALUE"""),"Lead Currency")</f>
        <v>Lead Currency</v>
      </c>
      <c r="AB5" s="35" t="str">
        <f>IFERROR(__xludf.DUMMYFUNCTION("""COMPUTED_VALUE"""),"Dividend Yield (%)")</f>
        <v>Dividend Yield (%)</v>
      </c>
      <c r="AC5" s="35" t="str">
        <f>IFERROR(__xludf.DUMMYFUNCTION("""COMPUTED_VALUE"""),"% Change")</f>
        <v>% Change</v>
      </c>
      <c r="AD5" s="35" t="str">
        <f>IFERROR(__xludf.DUMMYFUNCTION("""COMPUTED_VALUE"""),"Net Exposure (Local)")</f>
        <v>Net Exposure (Local)</v>
      </c>
      <c r="AE5" s="35" t="str">
        <f>IFERROR(__xludf.DUMMYFUNCTION("""COMPUTED_VALUE"""),"Exposure (Local)")</f>
        <v>Exposure (Local)</v>
      </c>
      <c r="AF5" s="35" t="str">
        <f>IFERROR(__xludf.DUMMYFUNCTION("""COMPUTED_VALUE"""),"Delta Adj. Position")</f>
        <v>Delta Adj. Position</v>
      </c>
      <c r="AG5" s="35" t="str">
        <f>IFERROR(__xludf.DUMMYFUNCTION("""COMPUTED_VALUE"""),"Exposure (Base)")</f>
        <v>Exposure (Base)</v>
      </c>
      <c r="AH5" s="35" t="str">
        <f>IFERROR(__xludf.DUMMYFUNCTION("""COMPUTED_VALUE"""),"Beta Adj. Exposure (Local)")</f>
        <v>Beta Adj. Exposure (Local)</v>
      </c>
      <c r="AI5" s="35" t="str">
        <f>IFERROR(__xludf.DUMMYFUNCTION("""COMPUTED_VALUE"""),"Beta Adj. Exposure (Base)")</f>
        <v>Beta Adj. Exposure (Base)</v>
      </c>
      <c r="AJ5" s="35" t="str">
        <f>IFERROR(__xludf.DUMMYFUNCTION("""COMPUTED_VALUE"""),"Exposure (BP)(Base)")</f>
        <v>Exposure (BP)(Base)</v>
      </c>
      <c r="AK5" s="35" t="str">
        <f>IFERROR(__xludf.DUMMYFUNCTION("""COMPUTED_VALUE"""),"Day P&amp;L (Local)")</f>
        <v>Day P&amp;L (Local)</v>
      </c>
      <c r="AL5" s="35" t="str">
        <f>IFERROR(__xludf.DUMMYFUNCTION("""COMPUTED_VALUE"""),"Delta")</f>
        <v>Delta</v>
      </c>
      <c r="AM5" s="35" t="str">
        <f>IFERROR(__xludf.DUMMYFUNCTION("""COMPUTED_VALUE"""),"Leveraged Factor")</f>
        <v>Leveraged Factor</v>
      </c>
      <c r="AN5" s="35" t="str">
        <f>IFERROR(__xludf.DUMMYFUNCTION("""COMPUTED_VALUE"""),"Order Side")</f>
        <v>Order Side</v>
      </c>
      <c r="AO5" s="35" t="str">
        <f>IFERROR(__xludf.DUMMYFUNCTION("""COMPUTED_VALUE"""),"Master Strategy")</f>
        <v>Master Strategy</v>
      </c>
      <c r="AP5" s="35" t="str">
        <f>IFERROR(__xludf.DUMMYFUNCTION("""COMPUTED_VALUE"""),"Transaction Side")</f>
        <v>Transaction Side</v>
      </c>
      <c r="AQ5" s="35" t="str">
        <f>IFERROR(__xludf.DUMMYFUNCTION("""COMPUTED_VALUE"""),"Underlying Symbol")</f>
        <v>Underlying Symbol</v>
      </c>
      <c r="AR5" s="35" t="str">
        <f>IFERROR(__xludf.DUMMYFUNCTION("""COMPUTED_VALUE"""),"Underlying Price")</f>
        <v>Underlying Price</v>
      </c>
      <c r="AS5" s="35" t="str">
        <f>IFERROR(__xludf.DUMMYFUNCTION("""COMPUTED_VALUE"""),"Side Multiplier")</f>
        <v>Side Multiplier</v>
      </c>
      <c r="AT5" s="35" t="str">
        <f>IFERROR(__xludf.DUMMYFUNCTION("""COMPUTED_VALUE"""),"Description")</f>
        <v>Description</v>
      </c>
      <c r="AU5" s="35" t="str">
        <f>IFERROR(__xludf.DUMMYFUNCTION("""COMPUTED_VALUE"""),"Internal Comments")</f>
        <v>Internal Comments</v>
      </c>
      <c r="AV5" s="35" t="str">
        <f>IFERROR(__xludf.DUMMYFUNCTION("""COMPUTED_VALUE"""),"FX Rate On Trade Date")</f>
        <v>FX Rate On Trade Date</v>
      </c>
      <c r="AW5" s="35" t="str">
        <f>IFERROR(__xludf.DUMMYFUNCTION("""COMPUTED_VALUE"""),"Cost Basis P&amp;L (Local)")</f>
        <v>Cost Basis P&amp;L (Local)</v>
      </c>
      <c r="AX5" s="35" t="str">
        <f>IFERROR(__xludf.DUMMYFUNCTION("""COMPUTED_VALUE"""),"Day Interest")</f>
        <v>Day Interest</v>
      </c>
      <c r="AY5" s="35" t="str">
        <f>IFERROR(__xludf.DUMMYFUNCTION("""COMPUTED_VALUE"""),"Total Interest")</f>
        <v>Total Interest</v>
      </c>
      <c r="AZ5" s="35" t="str">
        <f>IFERROR(__xludf.DUMMYFUNCTION("""COMPUTED_VALUE"""),"Market Value (Local)")</f>
        <v>Market Value (Local)</v>
      </c>
      <c r="BA5" s="35" t="str">
        <f>IFERROR(__xludf.DUMMYFUNCTION("""COMPUTED_VALUE"""),"% Gain/Loss Day")</f>
        <v>% Gain/Loss Day</v>
      </c>
      <c r="BB5" s="35" t="str">
        <f>IFERROR(__xludf.DUMMYFUNCTION("""COMPUTED_VALUE"""),"Update Time (Last Price)")</f>
        <v>Update Time (Last Price)</v>
      </c>
      <c r="BC5" s="35" t="str">
        <f>IFERROR(__xludf.DUMMYFUNCTION("""COMPUTED_VALUE"""),"Beta")</f>
        <v>Beta</v>
      </c>
      <c r="BD5" s="35" t="str">
        <f>IFERROR(__xludf.DUMMYFUNCTION("""COMPUTED_VALUE"""),"Cash Impact (Local)")</f>
        <v>Cash Impact (Local)</v>
      </c>
      <c r="BE5" s="35" t="str">
        <f>IFERROR(__xludf.DUMMYFUNCTION("""COMPUTED_VALUE"""),"User Asset")</f>
        <v>User Asset</v>
      </c>
      <c r="BF5" s="35" t="str">
        <f>IFERROR(__xludf.DUMMYFUNCTION("""COMPUTED_VALUE"""),"Security Type")</f>
        <v>Security Type</v>
      </c>
      <c r="BG5" s="35" t="str">
        <f>IFERROR(__xludf.DUMMYFUNCTION("""COMPUTED_VALUE"""),"Sector")</f>
        <v>Sector</v>
      </c>
      <c r="BH5" s="35" t="str">
        <f>IFERROR(__xludf.DUMMYFUNCTION("""COMPUTED_VALUE"""),"Sub Sector")</f>
        <v>Sub Sector</v>
      </c>
      <c r="BI5" s="35" t="str">
        <f>IFERROR(__xludf.DUMMYFUNCTION("""COMPUTED_VALUE"""),"Country")</f>
        <v>Country</v>
      </c>
      <c r="BJ5" s="35" t="str">
        <f>IFERROR(__xludf.DUMMYFUNCTION("""COMPUTED_VALUE"""),"Market Cap")</f>
        <v>Market Cap</v>
      </c>
      <c r="BK5" s="35" t="str">
        <f>IFERROR(__xludf.DUMMYFUNCTION("""COMPUTED_VALUE"""),"Shares Outstanding (MM)")</f>
        <v>Shares Outstanding (MM)</v>
      </c>
      <c r="BL5" s="35" t="str">
        <f>IFERROR(__xludf.DUMMYFUNCTION("""COMPUTED_VALUE"""),"Avg Volume 20 Day")</f>
        <v>Avg Volume 20 Day</v>
      </c>
      <c r="BM5" s="35" t="str">
        <f>IFERROR(__xludf.DUMMYFUNCTION("""COMPUTED_VALUE"""),"% Avg Volume (Delta Adj.)")</f>
        <v>% Avg Volume (Delta Adj.)</v>
      </c>
      <c r="BN5" s="35" t="str">
        <f>IFERROR(__xludf.DUMMYFUNCTION("""COMPUTED_VALUE"""),"Ex Dividend Date")</f>
        <v>Ex Dividend Date</v>
      </c>
      <c r="BO5" s="35" t="str">
        <f>IFERROR(__xludf.DUMMYFUNCTION("""COMPUTED_VALUE"""),"Cash Impact (Base)")</f>
        <v>Cash Impact (Base)</v>
      </c>
      <c r="BP5" s="35" t="str">
        <f>IFERROR(__xludf.DUMMYFUNCTION("""COMPUTED_VALUE"""),"Volatility (%)")</f>
        <v>Volatility (%)</v>
      </c>
      <c r="BQ5" s="35" t="str">
        <f>IFERROR(__xludf.DUMMYFUNCTION("""COMPUTED_VALUE"""),"User")</f>
        <v>User</v>
      </c>
      <c r="BR5" s="35" t="str">
        <f>IFERROR(__xludf.DUMMYFUNCTION("""COMPUTED_VALUE"""),"Broker")</f>
        <v>Broker</v>
      </c>
      <c r="BS5" s="35" t="str">
        <f>IFERROR(__xludf.DUMMYFUNCTION("""COMPUTED_VALUE"""),"Earned Dividend (Local)")</f>
        <v>Earned Dividend (Local)</v>
      </c>
      <c r="BT5" s="35" t="str">
        <f>IFERROR(__xludf.DUMMYFUNCTION("""COMPUTED_VALUE"""),"Earned Dividend (Base)")</f>
        <v>Earned Dividend (Base)</v>
      </c>
      <c r="BU5" s="35" t="str">
        <f>IFERROR(__xludf.DUMMYFUNCTION("""COMPUTED_VALUE"""),"Put/Call")</f>
        <v>Put/Call</v>
      </c>
      <c r="BV5" s="35" t="str">
        <f>IFERROR(__xludf.DUMMYFUNCTION("""COMPUTED_VALUE"""),"Expiration Date")</f>
        <v>Expiration Date</v>
      </c>
      <c r="BW5" s="35" t="str">
        <f>IFERROR(__xludf.DUMMYFUNCTION("""COMPUTED_VALUE"""),"Strike Price")</f>
        <v>Strike Price</v>
      </c>
      <c r="BX5" s="35" t="str">
        <f>IFERROR(__xludf.DUMMYFUNCTION("""COMPUTED_VALUE"""),"Gross Exposure (Base)")</f>
        <v>Gross Exposure (Base)</v>
      </c>
      <c r="BY5" s="35" t="str">
        <f>IFERROR(__xludf.DUMMYFUNCTION("""COMPUTED_VALUE"""),"Gross Market Value (Base)")</f>
        <v>Gross Market Value (Base)</v>
      </c>
      <c r="BZ5" s="35" t="str">
        <f>IFERROR(__xludf.DUMMYFUNCTION("""COMPUTED_VALUE"""),"Px Selected Feed (Local)")</f>
        <v>Px Selected Feed (Local)</v>
      </c>
      <c r="CA5" s="35" t="str">
        <f>IFERROR(__xludf.DUMMYFUNCTION("""COMPUTED_VALUE"""),"Px Selected Feed (Base)")</f>
        <v>Px Selected Feed (Base)</v>
      </c>
      <c r="CB5" s="35" t="str">
        <f>IFERROR(__xludf.DUMMYFUNCTION("""COMPUTED_VALUE"""),"Settlement Date")</f>
        <v>Settlement Date</v>
      </c>
      <c r="CC5" s="35" t="str">
        <f>IFERROR(__xludf.DUMMYFUNCTION("""COMPUTED_VALUE"""),"% Avg Volume")</f>
        <v>% Avg Volume</v>
      </c>
      <c r="CD5" s="35" t="str">
        <f>IFERROR(__xludf.DUMMYFUNCTION("""COMPUTED_VALUE"""),"Day P&amp;L (Base)(Price Gain)")</f>
        <v>Day P&amp;L (Base)(Price Gain)</v>
      </c>
      <c r="CE5" s="35" t="str">
        <f>IFERROR(__xludf.DUMMYFUNCTION("""COMPUTED_VALUE"""),"Day P&amp;L (Base)(FX Gain)")</f>
        <v>Day P&amp;L (Base)(FX Gain)</v>
      </c>
      <c r="CF5" s="35" t="str">
        <f>IFERROR(__xludf.DUMMYFUNCTION("""COMPUTED_VALUE"""),"Cost Basis P&amp;L (Base)(FX Gain)")</f>
        <v>Cost Basis P&amp;L (Base)(FX Gain)</v>
      </c>
      <c r="CG5" s="35" t="str">
        <f>IFERROR(__xludf.DUMMYFUNCTION("""COMPUTED_VALUE"""),"Cost Basis P&amp;L (Base)(Price Gain)")</f>
        <v>Cost Basis P&amp;L (Base)(Price Gain)</v>
      </c>
      <c r="CH5" s="35" t="str">
        <f>IFERROR(__xludf.DUMMYFUNCTION("""COMPUTED_VALUE"""),"% Gain/Loss Cost")</f>
        <v>% Gain/Loss Cost</v>
      </c>
      <c r="CI5" s="35" t="str">
        <f>IFERROR(__xludf.DUMMYFUNCTION("""COMPUTED_VALUE"""),"Underlying Value (Options)")</f>
        <v>Underlying Value (Options)</v>
      </c>
      <c r="CJ5" s="35" t="str">
        <f>IFERROR(__xludf.DUMMYFUNCTION("""COMPUTED_VALUE"""),"Avg Volume 20 Day (Underlying Symbol)")</f>
        <v>Avg Volume 20 Day (Underlying Symbol)</v>
      </c>
      <c r="CK5" s="35" t="str">
        <f>IFERROR(__xludf.DUMMYFUNCTION("""COMPUTED_VALUE"""),"IsStaleData")</f>
        <v>IsStaleData</v>
      </c>
      <c r="CL5" s="35" t="str">
        <f>IFERROR(__xludf.DUMMYFUNCTION("""COMPUTED_VALUE"""),"IDCO")</f>
        <v>IDCO</v>
      </c>
      <c r="CM5" s="35" t="str">
        <f>IFERROR(__xludf.DUMMYFUNCTION("""COMPUTED_VALUE"""),"OSI")</f>
        <v>OSI</v>
      </c>
      <c r="CN5" s="35" t="str">
        <f>IFERROR(__xludf.DUMMYFUNCTION("""COMPUTED_VALUE"""),"SEDOL")</f>
        <v>SEDOL</v>
      </c>
      <c r="CO5" s="35" t="str">
        <f>IFERROR(__xludf.DUMMYFUNCTION("""COMPUTED_VALUE"""),"CUSIP")</f>
        <v>CUSIP</v>
      </c>
      <c r="CP5" s="35" t="str">
        <f>IFERROR(__xludf.DUMMYFUNCTION("""COMPUTED_VALUE"""),"Bloomberg")</f>
        <v>Bloomberg</v>
      </c>
      <c r="CQ5" s="35" t="str">
        <f>IFERROR(__xludf.DUMMYFUNCTION("""COMPUTED_VALUE"""),"ISIN")</f>
        <v>ISIN</v>
      </c>
      <c r="CR5" s="35" t="str">
        <f>IFERROR(__xludf.DUMMYFUNCTION("""COMPUTED_VALUE"""),"Start Trade Date")</f>
        <v>Start Trade Date</v>
      </c>
      <c r="CS5" s="35" t="str">
        <f>IFERROR(__xludf.DUMMYFUNCTION("""COMPUTED_VALUE"""),"Cost Basis (Break Even)")</f>
        <v>Cost Basis (Break Even)</v>
      </c>
      <c r="CT5" s="35" t="str">
        <f>IFERROR(__xludf.DUMMYFUNCTION("""COMPUTED_VALUE"""),"Trade Attribute 3")</f>
        <v>Trade Attribute 3</v>
      </c>
      <c r="CU5" s="35" t="str">
        <f>IFERROR(__xludf.DUMMYFUNCTION("""COMPUTED_VALUE"""),"Trade Attribute 4")</f>
        <v>Trade Attribute 4</v>
      </c>
      <c r="CV5" s="35" t="str">
        <f>IFERROR(__xludf.DUMMYFUNCTION("""COMPUTED_VALUE"""),"Trade Attribute 5")</f>
        <v>Trade Attribute 5</v>
      </c>
      <c r="CW5" s="35" t="str">
        <f>IFERROR(__xludf.DUMMYFUNCTION("""COMPUTED_VALUE"""),"Trade Attribute 6")</f>
        <v>Trade Attribute 6</v>
      </c>
      <c r="CX5" s="35" t="str">
        <f>IFERROR(__xludf.DUMMYFUNCTION("""COMPUTED_VALUE"""),"Proxy Symbol")</f>
        <v>Proxy Symbol</v>
      </c>
      <c r="CY5" s="35" t="str">
        <f>IFERROR(__xludf.DUMMYFUNCTION("""COMPUTED_VALUE"""),"Pricing Source")</f>
        <v>Pricing Source</v>
      </c>
      <c r="CZ5" s="35" t="str">
        <f>IFERROR(__xludf.DUMMYFUNCTION("""COMPUTED_VALUE"""),"Delta Source")</f>
        <v>Delta Source</v>
      </c>
      <c r="DA5" s="35" t="str">
        <f>IFERROR(__xludf.DUMMYFUNCTION("""COMPUTED_VALUE"""),"Gross Exposure (Local)")</f>
        <v>Gross Exposure (Local)</v>
      </c>
      <c r="DB5" s="35" t="str">
        <f>IFERROR(__xludf.DUMMYFUNCTION("""COMPUTED_VALUE"""),"% Day P&amp;L (Net MV)")</f>
        <v>% Day P&amp;L (Net MV)</v>
      </c>
      <c r="DC5" s="35" t="str">
        <f>IFERROR(__xludf.DUMMYFUNCTION("""COMPUTED_VALUE"""),"Expiration Month")</f>
        <v>Expiration Month</v>
      </c>
      <c r="DD5" s="35" t="str">
        <f>IFERROR(__xludf.DUMMYFUNCTION("""COMPUTED_VALUE"""),"Delta Adj. Position (LME)")</f>
        <v>Delta Adj. Position (LME)</v>
      </c>
      <c r="DE5" s="35" t="str">
        <f>IFERROR(__xludf.DUMMYFUNCTION("""COMPUTED_VALUE"""),"Premium")</f>
        <v>Premium</v>
      </c>
      <c r="DF5" s="35" t="str">
        <f>IFERROR(__xludf.DUMMYFUNCTION("""COMPUTED_VALUE"""),"Premium $")</f>
        <v>Premium $</v>
      </c>
      <c r="DG5" s="35" t="str">
        <f>IFERROR(__xludf.DUMMYFUNCTION("""COMPUTED_VALUE"""),"Forward Points")</f>
        <v>Forward Points</v>
      </c>
      <c r="DH5" s="35" t="str">
        <f>IFERROR(__xludf.DUMMYFUNCTION("""COMPUTED_VALUE"""),"Closing Mark (Underlying)")</f>
        <v>Closing Mark (Underlying)</v>
      </c>
      <c r="DI5" s="35" t="str">
        <f>IFERROR(__xludf.DUMMYFUNCTION("""COMPUTED_VALUE"""),"% Change (Underlying Price)")</f>
        <v>% Change (Underlying Price)</v>
      </c>
      <c r="DJ5" s="35" t="str">
        <f>IFERROR(__xludf.DUMMYFUNCTION("""COMPUTED_VALUE"""),"Transaction Type")</f>
        <v>Transaction Type</v>
      </c>
      <c r="DK5" s="35" t="str">
        <f>IFERROR(__xludf.DUMMYFUNCTION("""COMPUTED_VALUE"""),"Closing Market Value (Local)")</f>
        <v>Closing Market Value (Local)</v>
      </c>
      <c r="DL5" s="35" t="str">
        <f>IFERROR(__xludf.DUMMYFUNCTION("""COMPUTED_VALUE"""),"Closing Market Value (Base)")</f>
        <v>Closing Market Value (Base)</v>
      </c>
      <c r="DM5" s="35" t="str">
        <f>IFERROR(__xludf.DUMMYFUNCTION("""COMPUTED_VALUE"""),"Closing FX Rate")</f>
        <v>Closing FX Rate</v>
      </c>
      <c r="DN5" s="35" t="str">
        <f>IFERROR(__xludf.DUMMYFUNCTION("""COMPUTED_VALUE"""),"Change In Underlying Price")</f>
        <v>Change In Underlying Price</v>
      </c>
      <c r="DO5" s="35" t="str">
        <f>IFERROR(__xludf.DUMMYFUNCTION("""COMPUTED_VALUE"""),"RIC")</f>
        <v>RIC</v>
      </c>
      <c r="DP5" s="35" t="str">
        <f>IFERROR(__xludf.DUMMYFUNCTION("""COMPUTED_VALUE"""),"Position Side Exposure (Boxed)")</f>
        <v>Position Side Exposure (Boxed)</v>
      </c>
      <c r="DQ5" s="35" t="str">
        <f>IFERROR(__xludf.DUMMYFUNCTION("""COMPUTED_VALUE"""),"Analyst")</f>
        <v>Analyst</v>
      </c>
      <c r="DR5" s="35" t="str">
        <f>IFERROR(__xludf.DUMMYFUNCTION("""COMPUTED_VALUE"""),"Country Of Risk")</f>
        <v>Country Of Risk</v>
      </c>
      <c r="DS5" s="35" t="str">
        <f>IFERROR(__xludf.DUMMYFUNCTION("""COMPUTED_VALUE"""),"Custom UDA1")</f>
        <v>Custom UDA1</v>
      </c>
      <c r="DT5" s="35" t="str">
        <f>IFERROR(__xludf.DUMMYFUNCTION("""COMPUTED_VALUE"""),"Custom UDA2")</f>
        <v>Custom UDA2</v>
      </c>
      <c r="DU5" s="35" t="str">
        <f>IFERROR(__xludf.DUMMYFUNCTION("""COMPUTED_VALUE"""),"Custom UDA3")</f>
        <v>Custom UDA3</v>
      </c>
      <c r="DV5" s="35" t="str">
        <f>IFERROR(__xludf.DUMMYFUNCTION("""COMPUTED_VALUE"""),"Custom UDA4")</f>
        <v>Custom UDA4</v>
      </c>
      <c r="DW5" s="35" t="str">
        <f>IFERROR(__xludf.DUMMYFUNCTION("""COMPUTED_VALUE"""),"Custom UDA5")</f>
        <v>Custom UDA5</v>
      </c>
      <c r="DX5" s="35" t="str">
        <f>IFERROR(__xludf.DUMMYFUNCTION("""COMPUTED_VALUE"""),"Custom UDA6")</f>
        <v>Custom UDA6</v>
      </c>
      <c r="DY5" s="35" t="str">
        <f>IFERROR(__xludf.DUMMYFUNCTION("""COMPUTED_VALUE"""),"Custom UDA7")</f>
        <v>Custom UDA7</v>
      </c>
      <c r="DZ5" s="35" t="str">
        <f>IFERROR(__xludf.DUMMYFUNCTION("""COMPUTED_VALUE"""),"Issuer")</f>
        <v>Issuer</v>
      </c>
      <c r="EA5" s="35" t="str">
        <f>IFERROR(__xludf.DUMMYFUNCTION("""COMPUTED_VALUE"""),"Liquid Tag")</f>
        <v>Liquid Tag</v>
      </c>
      <c r="EB5" s="35" t="str">
        <f>IFERROR(__xludf.DUMMYFUNCTION("""COMPUTED_VALUE"""),"Market Cap UDA")</f>
        <v>Market Cap UDA</v>
      </c>
      <c r="EC5" s="35" t="str">
        <f>IFERROR(__xludf.DUMMYFUNCTION("""COMPUTED_VALUE"""),"Region")</f>
        <v>Region</v>
      </c>
      <c r="ED5" s="35" t="str">
        <f>IFERROR(__xludf.DUMMYFUNCTION("""COMPUTED_VALUE"""),"Risk Currency")</f>
        <v>Risk Currency</v>
      </c>
      <c r="EE5" s="35" t="str">
        <f>IFERROR(__xludf.DUMMYFUNCTION("""COMPUTED_VALUE"""),"UCITS Eligible Tag")</f>
        <v>UCITS Eligible Tag</v>
      </c>
      <c r="EF5" s="35" t="str">
        <f>IFERROR(__xludf.DUMMYFUNCTION("""COMPUTED_VALUE"""),"FX Rate (Display)")</f>
        <v>FX Rate (Display)</v>
      </c>
      <c r="EG5" s="35" t="str">
        <f>IFERROR(__xludf.DUMMYFUNCTION("""COMPUTED_VALUE"""),"% Net Exposure (Base)")</f>
        <v>% Net Exposure (Base)</v>
      </c>
      <c r="EH5" s="35" t="str">
        <f>IFERROR(__xludf.DUMMYFUNCTION("""COMPUTED_VALUE"""),"% Gross Exposure (Base)")</f>
        <v>% Gross Exposure (Base)</v>
      </c>
      <c r="EI5" s="35" t="str">
        <f>IFERROR(__xludf.DUMMYFUNCTION("""COMPUTED_VALUE"""),"% Exposure (Base)")</f>
        <v>% Exposure (Base)</v>
      </c>
      <c r="EJ5" s="35" t="str">
        <f>IFERROR(__xludf.DUMMYFUNCTION("""COMPUTED_VALUE"""),"% Gross Exposure (Underlying) (Base)")</f>
        <v>% Gross Exposure (Underlying) (Base)</v>
      </c>
      <c r="EK5" s="35" t="str">
        <f>IFERROR(__xludf.DUMMYFUNCTION("""COMPUTED_VALUE"""),"% Beta Adj. Gross Exposure (Base)")</f>
        <v>% Beta Adj. Gross Exposure (Base)</v>
      </c>
      <c r="EL5" s="35" t="str">
        <f>IFERROR(__xludf.DUMMYFUNCTION("""COMPUTED_VALUE"""),"Position Side Exposure (Underlying)")</f>
        <v>Position Side Exposure (Underlying)</v>
      </c>
      <c r="EM5" s="35" t="str">
        <f>IFERROR(__xludf.DUMMYFUNCTION("""COMPUTED_VALUE"""),"Gross Exposure (Underlying) (Base)")</f>
        <v>Gross Exposure (Underlying) (Base)</v>
      </c>
      <c r="EN5" s="35" t="str">
        <f>IFERROR(__xludf.DUMMYFUNCTION("""COMPUTED_VALUE"""),"Gross Exposure (Underlying)")</f>
        <v>Gross Exposure (Underlying)</v>
      </c>
      <c r="EO5" s="35" t="str">
        <f>IFERROR(__xludf.DUMMYFUNCTION("""COMPUTED_VALUE"""),"Day Return")</f>
        <v>Day Return</v>
      </c>
      <c r="EP5" s="35" t="str">
        <f>IFERROR(__xludf.DUMMYFUNCTION("""COMPUTED_VALUE"""),"Start of Day NAV")</f>
        <v>Start of Day NAV</v>
      </c>
      <c r="EQ5" s="35" t="str">
        <f>IFERROR(__xludf.DUMMYFUNCTION("""COMPUTED_VALUE"""),"% Gross Market Value (Base)")</f>
        <v>% Gross Market Value (Base)</v>
      </c>
      <c r="ER5" s="35" t="str">
        <f>IFERROR(__xludf.DUMMYFUNCTION("""COMPUTED_VALUE"""),"Beta Adj. Gross Exposure (Underlying) (Local)")</f>
        <v>Beta Adj. Gross Exposure (Underlying) (Local)</v>
      </c>
      <c r="ES5" s="35" t="str">
        <f>IFERROR(__xludf.DUMMYFUNCTION("""COMPUTED_VALUE"""),"NAV")</f>
        <v>NAV</v>
      </c>
      <c r="ET5" s="35" t="str">
        <f>IFERROR(__xludf.DUMMYFUNCTION("""COMPUTED_VALUE"""),"% P&amp;L Contribution")</f>
        <v>% P&amp;L Contribution</v>
      </c>
      <c r="EU5" s="35" t="str">
        <f>IFERROR(__xludf.DUMMYFUNCTION("""COMPUTED_VALUE"""),"% Net Market Value (Base)")</f>
        <v>% Net Market Value (Base)</v>
      </c>
      <c r="EV5" s="35" t="str">
        <f>IFERROR(__xludf.DUMMYFUNCTION("""COMPUTED_VALUE"""),"Position Side Exposure")</f>
        <v>Position Side Exposure</v>
      </c>
      <c r="EW5" s="35" t="str">
        <f>IFERROR(__xludf.DUMMYFUNCTION("""COMPUTED_VALUE"""),"NAV (Touch)")</f>
        <v>NAV (Touch)</v>
      </c>
      <c r="EX5" s="35" t="str">
        <f>IFERROR(__xludf.DUMMYFUNCTION("""COMPUTED_VALUE"""),"IgnorePropertyChangeEvents")</f>
        <v>IgnorePropertyChangeEvents</v>
      </c>
      <c r="EY5" s="35" t="str">
        <f>IFERROR(__xludf.DUMMYFUNCTION("""COMPUTED_VALUE"""),"Trade Attribute 1")</f>
        <v>Trade Attribute 1</v>
      </c>
      <c r="EZ5" s="35" t="str">
        <f>IFERROR(__xludf.DUMMYFUNCTION("""COMPUTED_VALUE"""),"Trade Attribute 2")</f>
        <v>Trade Attribute 2</v>
      </c>
      <c r="FA5" s="35" t="str">
        <f>IFERROR(__xludf.DUMMYFUNCTION("""COMPUTED_VALUE"""),"Client")</f>
        <v>Client</v>
      </c>
      <c r="FB5" s="35" t="str">
        <f>IFERROR(__xludf.DUMMYFUNCTION("""COMPUTED_VALUE"""),"IsCustomViewTab")</f>
        <v>IsCustomViewTab</v>
      </c>
      <c r="FC5" s="35" t="str">
        <f>IFERROR(__xludf.DUMMYFUNCTION("""COMPUTED_VALUE"""),"ITM/OTM")</f>
        <v>ITM/OTM</v>
      </c>
      <c r="FD5" s="35" t="str">
        <f>IFERROR(__xludf.DUMMYFUNCTION("""COMPUTED_VALUE"""),"Days to Expiry")</f>
        <v>Days to Expiry</v>
      </c>
      <c r="FE5" s="35" t="str">
        <f>IFERROR(__xludf.DUMMYFUNCTION("""COMPUTED_VALUE"""),"% of Underlying Price")</f>
        <v>% of Underlying Price</v>
      </c>
      <c r="FF5" s="35" t="str">
        <f>IFERROR(__xludf.DUMMYFUNCTION("""COMPUTED_VALUE"""),"Intrinsic value")</f>
        <v>Intrinsic value</v>
      </c>
      <c r="FG5" s="35" t="str">
        <f>IFERROR(__xludf.DUMMYFUNCTION("""COMPUTED_VALUE"""),"Gain/Loss if Ex./Assign")</f>
        <v>Gain/Loss if Ex./Assign</v>
      </c>
      <c r="FH5" s="35" t="str">
        <f>IFERROR(__xludf.DUMMYFUNCTION("""COMPUTED_VALUE"""),"Day Traded Position")</f>
        <v>Day Traded Position</v>
      </c>
      <c r="FI5" s="35"/>
      <c r="FJ5" s="35"/>
      <c r="FK5" s="35"/>
      <c r="FL5" s="35"/>
      <c r="FM5" s="35"/>
      <c r="FN5" s="35"/>
      <c r="FO5" s="35"/>
      <c r="FP5" s="35"/>
      <c r="FQ5" s="35"/>
      <c r="FR5" s="35"/>
    </row>
    <row r="6" ht="15.75" customHeight="1">
      <c r="A6" s="13"/>
      <c r="B6" s="13"/>
      <c r="C6" s="50" t="s">
        <v>16</v>
      </c>
      <c r="D6" s="51">
        <v>100.0</v>
      </c>
      <c r="E6" s="50" t="s">
        <v>18</v>
      </c>
      <c r="F6" s="8"/>
      <c r="G6" s="51">
        <v>10.0</v>
      </c>
      <c r="H6" s="50" t="s">
        <v>37</v>
      </c>
      <c r="I6" s="8"/>
      <c r="J6" s="8"/>
      <c r="K6" s="8"/>
      <c r="L6" s="8"/>
      <c r="M6" s="8"/>
      <c r="N6" s="8"/>
      <c r="O6" s="8"/>
      <c r="T6" s="50" t="s">
        <v>34</v>
      </c>
      <c r="U6" s="50" t="s">
        <v>38</v>
      </c>
      <c r="X6" s="51">
        <v>1.0</v>
      </c>
      <c r="Y6" s="51">
        <v>1.0</v>
      </c>
      <c r="AN6" s="50" t="s">
        <v>17</v>
      </c>
      <c r="AP6" s="50" t="s">
        <v>37</v>
      </c>
      <c r="AQ6" s="50" t="s">
        <v>16</v>
      </c>
    </row>
    <row r="7" ht="15.75" customHeight="1">
      <c r="A7" s="8"/>
      <c r="B7" s="8"/>
      <c r="C7" s="50" t="s">
        <v>16</v>
      </c>
      <c r="D7" s="54">
        <v>1000.0</v>
      </c>
      <c r="E7" s="50" t="s">
        <v>18</v>
      </c>
      <c r="F7" s="8"/>
      <c r="G7" s="51">
        <v>130.3</v>
      </c>
      <c r="H7" s="50" t="s">
        <v>37</v>
      </c>
      <c r="I7" s="8"/>
      <c r="J7" s="8"/>
      <c r="K7" s="8"/>
      <c r="L7" s="8"/>
      <c r="M7" s="8"/>
      <c r="N7" s="8"/>
      <c r="O7" s="8"/>
      <c r="T7" s="50" t="s">
        <v>34</v>
      </c>
      <c r="U7" s="50" t="s">
        <v>38</v>
      </c>
      <c r="X7" s="51">
        <v>1.0</v>
      </c>
      <c r="Y7" s="51">
        <v>1.0</v>
      </c>
      <c r="AN7" s="50" t="s">
        <v>17</v>
      </c>
      <c r="AP7" s="50" t="s">
        <v>37</v>
      </c>
      <c r="AQ7" s="50" t="s">
        <v>16</v>
      </c>
    </row>
    <row r="8" ht="15.75" customHeight="1">
      <c r="A8" s="8"/>
      <c r="B8" s="8"/>
      <c r="C8" s="50" t="s">
        <v>16</v>
      </c>
      <c r="D8" s="54">
        <v>1000.0</v>
      </c>
      <c r="E8" s="50" t="s">
        <v>18</v>
      </c>
      <c r="F8" s="8"/>
      <c r="G8" s="51">
        <v>130.2</v>
      </c>
      <c r="H8" s="50" t="s">
        <v>37</v>
      </c>
      <c r="I8" s="8"/>
      <c r="J8" s="8"/>
      <c r="K8" s="8"/>
      <c r="L8" s="8"/>
      <c r="M8" s="8"/>
      <c r="N8" s="8"/>
      <c r="O8" s="8"/>
      <c r="T8" s="50" t="s">
        <v>34</v>
      </c>
      <c r="U8" s="50" t="s">
        <v>38</v>
      </c>
      <c r="X8" s="51">
        <v>1.0</v>
      </c>
      <c r="Y8" s="51">
        <v>1.0</v>
      </c>
      <c r="AN8" s="50" t="s">
        <v>17</v>
      </c>
      <c r="AP8" s="50" t="s">
        <v>37</v>
      </c>
      <c r="AQ8" s="50" t="s">
        <v>16</v>
      </c>
    </row>
    <row r="9" ht="15.75" customHeight="1">
      <c r="A9" s="8"/>
      <c r="B9" s="8"/>
      <c r="C9" s="50" t="s">
        <v>16</v>
      </c>
      <c r="D9" s="54">
        <v>1000.0</v>
      </c>
      <c r="E9" s="50" t="s">
        <v>18</v>
      </c>
      <c r="F9" s="8"/>
      <c r="G9" s="51">
        <v>130.1</v>
      </c>
      <c r="H9" s="50" t="s">
        <v>37</v>
      </c>
      <c r="I9" s="8"/>
      <c r="J9" s="8"/>
      <c r="K9" s="8"/>
      <c r="L9" s="8"/>
      <c r="M9" s="8"/>
      <c r="N9" s="8"/>
      <c r="O9" s="8"/>
      <c r="T9" s="50" t="s">
        <v>34</v>
      </c>
      <c r="U9" s="50" t="s">
        <v>38</v>
      </c>
      <c r="X9" s="51">
        <v>1.0</v>
      </c>
      <c r="Y9" s="51">
        <v>1.0</v>
      </c>
      <c r="AN9" s="50" t="s">
        <v>17</v>
      </c>
      <c r="AP9" s="50" t="s">
        <v>37</v>
      </c>
      <c r="AQ9" s="50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9.0"/>
    <col customWidth="1" min="11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4"/>
      <c r="B3" s="5" t="s">
        <v>8</v>
      </c>
      <c r="C3" s="25" t="s">
        <v>28</v>
      </c>
      <c r="D3" s="5" t="s">
        <v>9</v>
      </c>
      <c r="E3" s="25" t="s">
        <v>56</v>
      </c>
      <c r="F3" s="5" t="s">
        <v>14</v>
      </c>
      <c r="G3" s="14" t="s">
        <v>15</v>
      </c>
      <c r="H3" s="5"/>
      <c r="I3" s="24"/>
      <c r="J3" s="24"/>
      <c r="K3" s="24"/>
      <c r="L3" s="24"/>
      <c r="M3" s="24"/>
      <c r="N3" s="24"/>
      <c r="O3" s="2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</row>
    <row r="4" ht="15.75" customHeight="1">
      <c r="A4" s="28"/>
      <c r="B4" s="28" t="str">
        <f>IFERROR(__xludf.DUMMYFUNCTION("IF(C3="""","""",Transpose(IMPORTRANGE('_Settings'!$B$3,C3&amp;""!A4:A1000"")))"),"GetDataClosing")</f>
        <v>GetDataClosing</v>
      </c>
      <c r="C4" s="28" t="str">
        <f>IFERROR(__xludf.DUMMYFUNCTION("""COMPUTED_VALUE"""),"ManualClosing")</f>
        <v>ManualClosing</v>
      </c>
      <c r="D4" s="28" t="str">
        <f>IFERROR(__xludf.DUMMYFUNCTION("""COMPUTED_VALUE"""),"SwapExpire")</f>
        <v>SwapExpire</v>
      </c>
      <c r="E4" s="28" t="str">
        <f>IFERROR(__xludf.DUMMYFUNCTION("""COMPUTED_VALUE"""),"AutomaticClosing")</f>
        <v>AutomaticClosing</v>
      </c>
      <c r="F4" s="28" t="str">
        <f>IFERROR(__xludf.DUMMYFUNCTION("""COMPUTED_VALUE"""),"UnwindClosing")</f>
        <v>UnwindClosing</v>
      </c>
      <c r="G4" s="28" t="str">
        <f>IFERROR(__xludf.DUMMYFUNCTION("""COMPUTED_VALUE"""),"VerifyClosedTrades")</f>
        <v>VerifyClosedTrades</v>
      </c>
      <c r="H4" s="28" t="str">
        <f>IFERROR(__xludf.DUMMYFUNCTION("""COMPUTED_VALUE"""),"VerifyLongPositionsGrid")</f>
        <v>VerifyLongPositionsGrid</v>
      </c>
      <c r="I4" s="28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8" t="str">
        <f>IFERROR(__xludf.DUMMYFUNCTION("""COMPUTED_VALUE"""),"CashSettlementAtCost")</f>
        <v>CashSettlementAtCost</v>
      </c>
      <c r="L4" s="28" t="str">
        <f>IFERROR(__xludf.DUMMYFUNCTION("""COMPUTED_VALUE"""),"CashSettlementAtZeroPrice")</f>
        <v>CashSettlementAtZeroPrice</v>
      </c>
      <c r="M4" s="28" t="str">
        <f>IFERROR(__xludf.DUMMYFUNCTION("""COMPUTED_VALUE"""),"CashSettlementAtClosingDtSpotPx")</f>
        <v>CashSettlementAtClosingDtSpotPx</v>
      </c>
      <c r="N4" s="28" t="str">
        <f>IFERROR(__xludf.DUMMYFUNCTION("""COMPUTED_VALUE"""),"PhysicalSettlement")</f>
        <v>PhysicalSettlement</v>
      </c>
      <c r="O4" s="28" t="str">
        <f>IFERROR(__xludf.DUMMYFUNCTION("""COMPUTED_VALUE"""),"Expire")</f>
        <v>Expire</v>
      </c>
      <c r="P4" s="30" t="str">
        <f>IFERROR(__xludf.DUMMYFUNCTION("""COMPUTED_VALUE"""),"ExerciseAssignment")</f>
        <v>ExerciseAssignment</v>
      </c>
      <c r="Q4" s="30" t="str">
        <f>IFERROR(__xludf.DUMMYFUNCTION("""COMPUTED_VALUE"""),"ExerciseAssignmentAtZero")</f>
        <v>ExerciseAssignmentAtZero</v>
      </c>
      <c r="R4" s="30" t="str">
        <f>IFERROR(__xludf.DUMMYFUNCTION("""COMPUTED_VALUE"""),"SwapExpireAndRollover")</f>
        <v>SwapExpireAndRollover</v>
      </c>
      <c r="S4" s="30" t="str">
        <f>IFERROR(__xludf.DUMMYFUNCTION("""COMPUTED_VALUE"""),"SwapExpire")</f>
        <v>SwapExpire</v>
      </c>
      <c r="T4" s="30" t="str">
        <f>IFERROR(__xludf.DUMMYFUNCTION("""COMPUTED_VALUE"""),"VerifyExpiredSettledGrid")</f>
        <v>VerifyExpiredSettledGrid</v>
      </c>
      <c r="U4" s="30" t="str">
        <f>IFERROR(__xludf.DUMMYFUNCTION("""COMPUTED_VALUE"""),"VerifyUnExpiredUnSettledGrid")</f>
        <v>VerifyUnExpiredUnSettledGrid</v>
      </c>
      <c r="V4" s="30" t="str">
        <f>IFERROR(__xludf.DUMMYFUNCTION("""COMPUTED_VALUE"""),"UnWindTradeSettlement")</f>
        <v>UnWindTradeSettlement</v>
      </c>
      <c r="W4" s="30" t="str">
        <f>IFERROR(__xludf.DUMMYFUNCTION("""COMPUTED_VALUE"""),"CloseOrder")</f>
        <v>CloseOrder</v>
      </c>
      <c r="X4" s="30" t="str">
        <f>IFERROR(__xludf.DUMMYFUNCTION("""COMPUTED_VALUE"""),"VerifyCloseOrder")</f>
        <v>VerifyCloseOrder</v>
      </c>
      <c r="Y4" s="30" t="str">
        <f>IFERROR(__xludf.DUMMYFUNCTION("""COMPUTED_VALUE"""),"UnWindCloseOrder")</f>
        <v>UnWindCloseOrder</v>
      </c>
      <c r="Z4" s="30" t="str">
        <f>IFERROR(__xludf.DUMMYFUNCTION("""COMPUTED_VALUE"""),"ClosingCleanUp")</f>
        <v>ClosingCleanUp</v>
      </c>
      <c r="AA4" s="30" t="str">
        <f>IFERROR(__xludf.DUMMYFUNCTION("""COMPUTED_VALUE"""),"CloseClosingUI")</f>
        <v>CloseClosingUI</v>
      </c>
      <c r="AB4" s="30" t="str">
        <f>IFERROR(__xludf.DUMMYFUNCTION("""COMPUTED_VALUE"""),"SetClosingPreference")</f>
        <v>SetClosingPreference</v>
      </c>
      <c r="AC4" s="30" t="str">
        <f>IFERROR(__xludf.DUMMYFUNCTION("""COMPUTED_VALUE"""),"EditTradeUnexpiredUnsettled")</f>
        <v>EditTradeUnexpiredUnsettled</v>
      </c>
      <c r="AD4" s="30" t="str">
        <f>IFERROR(__xludf.DUMMYFUNCTION("""COMPUTED_VALUE"""),"AutoExercise")</f>
        <v>AutoExercise</v>
      </c>
      <c r="AE4" s="30" t="str">
        <f>IFERROR(__xludf.DUMMYFUNCTION("""COMPUTED_VALUE"""),"EditMultipleCloseQuantity")</f>
        <v>EditMultipleCloseQuantity</v>
      </c>
      <c r="AF4" s="30" t="str">
        <f>IFERROR(__xludf.DUMMYFUNCTION("""COMPUTED_VALUE"""),"ManualCloseOrder")</f>
        <v>ManualCloseOrder</v>
      </c>
      <c r="AG4" s="30" t="str">
        <f>IFERROR(__xludf.DUMMYFUNCTION("""COMPUTED_VALUE"""),"PreviewDataWithFilters")</f>
        <v>PreviewDataWithFilters</v>
      </c>
      <c r="AH4" s="30" t="str">
        <f>IFERROR(__xludf.DUMMYFUNCTION("""COMPUTED_VALUE"""),"CreateClosingTemplate")</f>
        <v>CreateClosingTemplate</v>
      </c>
      <c r="AI4" s="30" t="str">
        <f>IFERROR(__xludf.DUMMYFUNCTION("""COMPUTED_VALUE"""),"CreateUnwindingTemplate")</f>
        <v>CreateUnwindingTemplate</v>
      </c>
      <c r="AJ4" s="30" t="str">
        <f>IFERROR(__xludf.DUMMYFUNCTION("""COMPUTED_VALUE"""),"EditTemplate")</f>
        <v>EditTemplate</v>
      </c>
      <c r="AK4" s="30" t="str">
        <f>IFERROR(__xludf.DUMMYFUNCTION("""COMPUTED_VALUE"""),"DeleteTemplate")</f>
        <v>DeleteTemplate</v>
      </c>
      <c r="AL4" s="30" t="str">
        <f>IFERROR(__xludf.DUMMYFUNCTION("""COMPUTED_VALUE"""),"RunTemplate")</f>
        <v>RunTemplate</v>
      </c>
      <c r="AM4" s="30" t="str">
        <f>IFERROR(__xludf.DUMMYFUNCTION("""COMPUTED_VALUE"""),"SelectAccountWiseAsset")</f>
        <v>SelectAccountWiseAsset</v>
      </c>
      <c r="AN4" s="30" t="str">
        <f>IFERROR(__xludf.DUMMYFUNCTION("""COMPUTED_VALUE"""),"VerifyCTData")</f>
        <v>VerifyCTData</v>
      </c>
      <c r="AO4" s="30" t="str">
        <f>IFERROR(__xludf.DUMMYFUNCTION("""COMPUTED_VALUE"""),"ExerciseAssignmentWithOutSave")</f>
        <v>ExerciseAssignmentWithOutSave</v>
      </c>
      <c r="AP4" s="30" t="str">
        <f>IFERROR(__xludf.DUMMYFUNCTION("""COMPUTED_VALUE"""),"SaveCTData")</f>
        <v>SaveCTData</v>
      </c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IFERROR(__xludf.DUMMYFUNCTION("""COMPUTED_VALUE"""),"Method")</f>
        <v>Method</v>
      </c>
      <c r="C5" s="32" t="str">
        <f>IFERROR(__xludf.DUMMYFUNCTION("""COMPUTED_VALUE"""),"Global Algorithm")</f>
        <v>Global Algorithm</v>
      </c>
      <c r="D5" s="32" t="str">
        <f>IFERROR(__xludf.DUMMYFUNCTION("""COMPUTED_VALUE"""),"Secondary Sort Criteria")</f>
        <v>Secondary Sort Criteria</v>
      </c>
      <c r="E5" s="32" t="str">
        <f>IFERROR(__xludf.DUMMYFUNCTION("""COMPUTED_VALUE"""),"Override Global Algorithm")</f>
        <v>Override Global Algorithm</v>
      </c>
      <c r="F5" s="33" t="str">
        <f>IFERROR(__xludf.DUMMYFUNCTION("""COMPUTED_VALUE"""),"Can close Sell Short with Buy and Buy to Open")</f>
        <v>Can close Sell Short with Buy and Buy to Open</v>
      </c>
      <c r="G5" s="32" t="str">
        <f>IFERROR(__xludf.DUMMYFUNCTION("""COMPUTED_VALUE"""),"Can close Sell with Buy to Close")</f>
        <v>Can close Sell with Buy to Close</v>
      </c>
      <c r="H5" s="32" t="str">
        <f>IFERROR(__xludf.DUMMYFUNCTION("""COMPUTED_VALUE"""),"Fetch Data Automatically")</f>
        <v>Fetch Data Automatically</v>
      </c>
      <c r="I5" s="32" t="str">
        <f>IFERROR(__xludf.DUMMYFUNCTION("""COMPUTED_VALUE"""),"Auto Close Stategy")</f>
        <v>Auto Close Stategy</v>
      </c>
      <c r="J5" s="32" t="str">
        <f>IFERROR(__xludf.DUMMYFUNCTION("""COMPUTED_VALUE"""),"Exercise/Assign CheckSide Validation")</f>
        <v>Exercise/Assign CheckSide Validation</v>
      </c>
      <c r="K5" s="32" t="str">
        <f>IFERROR(__xludf.DUMMYFUNCTION("""COMPUTED_VALUE"""),"Long Term Tax Rate (%)")</f>
        <v>Long Term Tax Rate (%)</v>
      </c>
      <c r="L5" s="32" t="str">
        <f>IFERROR(__xludf.DUMMYFUNCTION("""COMPUTED_VALUE"""),"Short Term Tax Rate (%)")</f>
        <v>Short Term Tax Rate (%)</v>
      </c>
      <c r="M5" s="32" t="str">
        <f>IFERROR(__xludf.DUMMYFUNCTION("""COMPUTED_VALUE"""),"Quantity round off digits")</f>
        <v>Quantity round off digits</v>
      </c>
      <c r="N5" s="32" t="str">
        <f>IFERROR(__xludf.DUMMYFUNCTION("""COMPUTED_VALUE"""),"Price round off digits")</f>
        <v>Price round off digits</v>
      </c>
      <c r="O5" s="32" t="str">
        <f>IFERROR(__xludf.DUMMYFUNCTION("""COMPUTED_VALUE"""),"Closing Field")</f>
        <v>Closing Field</v>
      </c>
      <c r="P5" s="32"/>
      <c r="Q5" s="32"/>
      <c r="R5" s="32"/>
      <c r="S5" s="32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