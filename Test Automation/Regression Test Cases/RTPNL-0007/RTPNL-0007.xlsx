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LinkDashboardTabs" sheetId="10" r:id="rId12"/>
    <sheet state="visible" name="SelectRowAtSLAggregation" sheetId="11" r:id="rId13"/>
    <sheet state="visible" name="CheckRealTimeSymbolFundMonitor" sheetId="12" r:id="rId14"/>
    <sheet state="visible" name="CheckRealTimeSymAccountMonitor" sheetId="13" r:id="rId15"/>
    <sheet state="visible" name="OpenRTPNL" sheetId="14" r:id="rId16"/>
  </sheets>
  <definedNames/>
  <calcPr/>
</workbook>
</file>

<file path=xl/sharedStrings.xml><?xml version="1.0" encoding="utf-8"?>
<sst xmlns="http://schemas.openxmlformats.org/spreadsheetml/2006/main" count="146" uniqueCount="49">
  <si>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</si>
  <si>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</si>
  <si>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</si>
  <si>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</si>
  <si>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</si>
  <si>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</si>
  <si>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</si>
  <si>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</si>
  <si>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</si>
  <si>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</si>
  <si>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</si>
  <si>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</si>
  <si>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</si>
  <si>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</si>
  <si>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</si>
  <si>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</si>
  <si>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</si>
  <si>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</si>
  <si>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</si>
  <si>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MSFT</t>
  </si>
  <si>
    <t>IBM</t>
  </si>
  <si>
    <t>Allocation2</t>
  </si>
  <si>
    <t>DailyValuation</t>
  </si>
  <si>
    <t>GetDailyCash</t>
  </si>
  <si>
    <t>UpdateMultipleDailyCash</t>
  </si>
  <si>
    <t>Allocation1</t>
  </si>
  <si>
    <t>USD</t>
  </si>
  <si>
    <t>GetMarkPriceData</t>
  </si>
  <si>
    <t>UpdateMarkPrice</t>
  </si>
  <si>
    <t>PricingInput</t>
  </si>
  <si>
    <t>RTPNL</t>
  </si>
  <si>
    <t>LinkDashboardTabs</t>
  </si>
  <si>
    <t>Nirvana,PM</t>
  </si>
  <si>
    <t>SymbolLevelAggregation,RealTimeSymbolFundMonitor</t>
  </si>
  <si>
    <t>orange</t>
  </si>
  <si>
    <t>FundLevelAggregation,AccountLevelAggregation</t>
  </si>
  <si>
    <t>purple</t>
  </si>
  <si>
    <t>SelectRowAtSLAggregation</t>
  </si>
  <si>
    <t>APPLE</t>
  </si>
  <si>
    <t>CheckRealTimeSymbolFundMonitor</t>
  </si>
  <si>
    <t>NewMF</t>
  </si>
  <si>
    <t>Equity</t>
  </si>
  <si>
    <t>long</t>
  </si>
  <si>
    <t>NEGATIVE</t>
  </si>
  <si>
    <t>Symbol</t>
  </si>
  <si>
    <t>CheckRealTimeSymAccountMonitor</t>
  </si>
  <si>
    <t>NewMF1</t>
  </si>
  <si>
    <t>OpenRTPNL</t>
  </si>
  <si>
    <t>SummaryDashboard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</si>
</sst>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1F1F1F"/>
      <name val="&quot;Google Sans&quot;"/>
    </font>
    <font>
      <color rgb="FF000000"/>
      <name val="Calibri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horizontal="left" readingOrder="0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  <xf borderId="0" fillId="6" fontId="15" numFmtId="0" xfId="0" applyAlignment="1" applyFont="1">
      <alignment horizontal="left" readingOrder="0"/>
    </xf>
    <xf borderId="0" fillId="6" fontId="16" numFmtId="0" xfId="0" applyAlignment="1" applyFont="1">
      <alignment horizontal="left" readingOrder="0"/>
    </xf>
    <xf borderId="0" fillId="6" fontId="16" numFmtId="3" xfId="0" applyAlignment="1" applyFont="1" applyNumberFormat="1">
      <alignment horizontal="left"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IFERROR(__xludf.DUMMYFUNCTION("""COMPUTED_VALUE"""),"FilterOnPMGrid")</f>
        <v>FilterOnPMGrid</v>
      </c>
      <c r="C718" t="str">
        <f>IFERROR(__xludf.DUMMYFUNCTION("""COMPUTED_VALUE"""),"1OnY_eV7vu0MtlRaBMhR1l7tKqVsiYrP5hnKFtBWEOJY")</f>
        <v>1OnY_eV7vu0MtlRaBMhR1l7tKqVsiYrP5hnKFtBWEOJY</v>
      </c>
    </row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1" t="s">
        <v>17</v>
      </c>
      <c r="D6" s="32">
        <v>1000.0</v>
      </c>
      <c r="E6" s="30"/>
      <c r="F6" s="30"/>
      <c r="G6" s="30"/>
      <c r="H6" s="30"/>
      <c r="I6" s="30"/>
      <c r="J6" s="32">
        <v>10.0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3" t="s">
        <v>18</v>
      </c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0"/>
      <c r="B7" s="34" t="s">
        <v>19</v>
      </c>
      <c r="C7" s="31" t="s">
        <v>17</v>
      </c>
      <c r="D7" s="32">
        <v>1000.0</v>
      </c>
      <c r="E7" s="30"/>
      <c r="F7" s="30"/>
      <c r="G7" s="30"/>
      <c r="H7" s="30"/>
      <c r="I7" s="30"/>
      <c r="J7" s="32">
        <v>10.0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5" t="s">
        <v>18</v>
      </c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30"/>
      <c r="B8" s="34" t="s">
        <v>20</v>
      </c>
      <c r="C8" s="31" t="s">
        <v>17</v>
      </c>
      <c r="D8" s="32">
        <v>1000.0</v>
      </c>
      <c r="E8" s="30"/>
      <c r="F8" s="33" t="s">
        <v>21</v>
      </c>
      <c r="G8" s="30"/>
      <c r="H8" s="30"/>
      <c r="I8" s="30"/>
      <c r="J8" s="32">
        <v>10.0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5" t="s">
        <v>18</v>
      </c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ht="15.75" customHeight="1">
      <c r="A9" s="30"/>
      <c r="B9" s="31" t="s">
        <v>16</v>
      </c>
      <c r="C9" s="31" t="s">
        <v>17</v>
      </c>
      <c r="D9" s="32">
        <v>1000.0</v>
      </c>
      <c r="E9" s="30"/>
      <c r="F9" s="30"/>
      <c r="G9" s="30"/>
      <c r="H9" s="30"/>
      <c r="I9" s="30"/>
      <c r="J9" s="32">
        <v>10.0</v>
      </c>
      <c r="K9" s="30"/>
      <c r="L9" s="30"/>
      <c r="M9" s="30"/>
      <c r="N9" s="36">
        <f>TODAY()-1</f>
        <v>45433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5" t="s">
        <v>18</v>
      </c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7">
        <f>TODAY()-1</f>
        <v>45433</v>
      </c>
      <c r="C6" s="37">
        <f>TODAY()</f>
        <v>45434</v>
      </c>
      <c r="D6" s="30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">
        <v>25</v>
      </c>
      <c r="C6" s="31" t="s">
        <v>26</v>
      </c>
      <c r="D6" s="32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21</v>
      </c>
      <c r="C7" s="31" t="s">
        <v>26</v>
      </c>
      <c r="D7" s="38">
        <v>200000.0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7">
        <f t="shared" ref="B6:C6" si="1">TODAY()</f>
        <v>45434</v>
      </c>
      <c r="C6" s="37">
        <f t="shared" si="1"/>
        <v>45434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">
        <v>16</v>
      </c>
      <c r="C6" s="32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8">
        <v>500.0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20</v>
      </c>
      <c r="C8" s="38">
        <v>400.0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">
        <v>16</v>
      </c>
      <c r="C6" s="32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>
        <v>55.0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1.88"/>
    <col customWidth="1" min="3" max="3" width="49.2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">
        <v>32</v>
      </c>
      <c r="C6" s="39" t="s">
        <v>33</v>
      </c>
      <c r="D6" s="31" t="s">
        <v>34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32</v>
      </c>
      <c r="C7" s="31" t="s">
        <v>35</v>
      </c>
      <c r="D7" s="31" t="s">
        <v>36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40"/>
      <c r="D8" s="30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LinkDashboardTabs!$4:$4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 t="s">
        <v>16</v>
      </c>
      <c r="C6" s="38" t="s">
        <v>38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SelectRowAtSLAggregation!$4:$4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IFERROR(__xludf.DUMMYFUNCTION("""COMPUTED_VALUE"""),"Asset Class")</f>
        <v>Asset Class</v>
      </c>
      <c r="F5" s="28" t="str">
        <f>IFERROR(__xludf.DUMMYFUNCTION("""COMPUTED_VALUE"""),"Position")</f>
        <v>Position</v>
      </c>
      <c r="G5" s="27" t="str">
        <f>IFERROR(__xludf.DUMMYFUNCTION("""COMPUTED_VALUE"""),"Position Side")</f>
        <v>Position Side</v>
      </c>
      <c r="H5" s="27" t="str">
        <f>IFERROR(__xludf.DUMMYFUNCTION("""COMPUTED_VALUE"""),"Px Selected Feed (Local)")</f>
        <v>Px Selected Feed (Local)</v>
      </c>
      <c r="I5" s="27" t="str">
        <f>IFERROR(__xludf.DUMMYFUNCTION("""COMPUTED_VALUE"""),"Px Selected Feed (Base)")</f>
        <v>Px Selected Feed (Base)</v>
      </c>
      <c r="J5" s="27" t="str">
        <f>IFERROR(__xludf.DUMMYFUNCTION("""COMPUTED_VALUE"""),"Market Value (Base)")</f>
        <v>Market Value (Base)</v>
      </c>
      <c r="K5" s="27" t="str">
        <f>IFERROR(__xludf.DUMMYFUNCTION("""COMPUTED_VALUE"""),"% Net Market Value (Base)")</f>
        <v>% Net Market Value (Base)</v>
      </c>
      <c r="L5" s="27" t="str">
        <f>IFERROR(__xludf.DUMMYFUNCTION("""COMPUTED_VALUE"""),"Cost Basis P&amp;L (Base)")</f>
        <v>Cost Basis P&amp;L (Base)</v>
      </c>
      <c r="M5" s="27" t="str">
        <f>IFERROR(__xludf.DUMMYFUNCTION("""COMPUTED_VALUE"""),"% Gain/Loss Cost")</f>
        <v>% Gain/Loss Cost</v>
      </c>
      <c r="N5" s="27" t="str">
        <f>IFERROR(__xludf.DUMMYFUNCTION("""COMPUTED_VALUE"""),"Day P&amp;L (Base)")</f>
        <v>Day P&amp;L (Base)</v>
      </c>
      <c r="O5" s="27" t="str">
        <f>IFERROR(__xludf.DUMMYFUNCTION("""COMPUTED_VALUE"""),"% Gain/Loss Day")</f>
        <v>% Gain/Loss Day</v>
      </c>
      <c r="P5" s="27" t="str">
        <f>IFERROR(__xludf.DUMMYFUNCTION("""COMPUTED_VALUE"""),"Exposure (Base)")</f>
        <v>Exposure (Base)</v>
      </c>
      <c r="Q5" s="27" t="str">
        <f>IFERROR(__xludf.DUMMYFUNCTION("""COMPUTED_VALUE"""),"% Exposure (Base)")</f>
        <v>% Exposure (Base)</v>
      </c>
      <c r="R5" s="27" t="str">
        <f>IFERROR(__xludf.DUMMYFUNCTION("""COMPUTED_VALUE"""),"Live Feed Provider Ticker")</f>
        <v>Live Feed Provider Ticker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 t="s">
        <v>16</v>
      </c>
      <c r="C6" s="38" t="s">
        <v>38</v>
      </c>
      <c r="D6" s="12" t="s">
        <v>40</v>
      </c>
      <c r="E6" s="12" t="s">
        <v>41</v>
      </c>
      <c r="F6" s="41">
        <v>2000.0</v>
      </c>
      <c r="G6" s="12" t="s">
        <v>42</v>
      </c>
      <c r="H6" s="12">
        <v>20.0</v>
      </c>
      <c r="I6" s="12">
        <v>20.0</v>
      </c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S7" s="9" t="s">
        <v>43</v>
      </c>
      <c r="T7" s="27" t="s">
        <v>44</v>
      </c>
      <c r="U7" s="9" t="s">
        <v>19</v>
      </c>
    </row>
    <row r="8" ht="15.75" customHeight="1">
      <c r="A8" s="8"/>
      <c r="B8" s="12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CheckRealTimeSymbolFundMonitor!$4:$4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 t="s">
        <v>16</v>
      </c>
      <c r="C6" s="38" t="s">
        <v>16</v>
      </c>
      <c r="D6" s="12" t="s">
        <v>40</v>
      </c>
      <c r="E6" s="12" t="s">
        <v>25</v>
      </c>
      <c r="F6" s="12" t="s">
        <v>41</v>
      </c>
      <c r="G6" s="41">
        <v>2000.0</v>
      </c>
      <c r="H6" s="12" t="s">
        <v>42</v>
      </c>
      <c r="I6" s="12">
        <v>20.0</v>
      </c>
      <c r="J6" s="12">
        <v>20.0</v>
      </c>
      <c r="K6" s="41">
        <v>40000.0</v>
      </c>
      <c r="L6" s="8"/>
      <c r="M6" s="8"/>
      <c r="N6" s="8"/>
      <c r="O6" s="8"/>
    </row>
    <row r="7" ht="15.75" customHeight="1">
      <c r="A7" s="8"/>
      <c r="B7" s="12" t="s">
        <v>20</v>
      </c>
      <c r="C7" s="12" t="s">
        <v>20</v>
      </c>
      <c r="D7" s="42" t="s">
        <v>46</v>
      </c>
      <c r="E7" s="43" t="s">
        <v>25</v>
      </c>
      <c r="F7" s="12" t="s">
        <v>41</v>
      </c>
      <c r="G7" s="41">
        <v>1000.0</v>
      </c>
      <c r="H7" s="43" t="s">
        <v>42</v>
      </c>
      <c r="I7" s="12">
        <v>60.0</v>
      </c>
      <c r="J7" s="12">
        <v>60.0</v>
      </c>
      <c r="K7" s="41">
        <v>60000.0</v>
      </c>
      <c r="L7" s="8"/>
      <c r="M7" s="8"/>
      <c r="N7" s="8"/>
      <c r="O7" s="8"/>
    </row>
    <row r="8" ht="15.75" customHeight="1">
      <c r="A8" s="8"/>
      <c r="B8" s="12" t="s">
        <v>19</v>
      </c>
      <c r="C8" s="12"/>
      <c r="D8" s="43" t="s">
        <v>40</v>
      </c>
      <c r="E8" s="43" t="s">
        <v>25</v>
      </c>
      <c r="F8" s="12" t="s">
        <v>41</v>
      </c>
      <c r="G8" s="44">
        <v>1000.0</v>
      </c>
      <c r="H8" s="43" t="s">
        <v>42</v>
      </c>
      <c r="I8" s="12">
        <v>55.0</v>
      </c>
      <c r="J8" s="12">
        <v>55.0</v>
      </c>
      <c r="K8" s="41">
        <v>55000.0</v>
      </c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48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