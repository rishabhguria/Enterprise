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SelectTrade" sheetId="6" r:id="rId8"/>
    <sheet state="visible" name="ExecuteTrade" sheetId="7" r:id="rId9"/>
    <sheet state="visible" name="AcknowledgeTrade" sheetId="8" r:id="rId10"/>
    <sheet state="visible" name="TradeNewSubOrder" sheetId="9" r:id="rId11"/>
    <sheet state="visible" name="CancelSubOrder" sheetId="10" r:id="rId12"/>
    <sheet state="visible" name="SelectTradeOnOrderGrid" sheetId="11" r:id="rId13"/>
    <sheet state="visible" name="CheckAllocatedGroups" sheetId="12" r:id="rId14"/>
    <sheet state="visible" name="VerifySubOrder" sheetId="13" r:id="rId15"/>
    <sheet state="visible" name="CheckPortfolioManagement" sheetId="14" r:id="rId16"/>
    <sheet state="visible" name="CustomOrderTT2" sheetId="15" r:id="rId17"/>
    <sheet state="visible" name="SelectTrade1" sheetId="16" r:id="rId18"/>
    <sheet state="visible" name="SelectTradeOnOrderGrid1" sheetId="17" r:id="rId19"/>
    <sheet state="visible" name="ReplaceSubOrder" sheetId="18" r:id="rId20"/>
    <sheet state="visible" name="CreateReplaceOrder" sheetId="19" r:id="rId21"/>
    <sheet state="visible" name="AcknowledgeTrade1" sheetId="20" r:id="rId22"/>
    <sheet state="visible" name="VerifySubOrder1" sheetId="21" r:id="rId23"/>
    <sheet state="visible" name="CheckAllocatedGroups1" sheetId="22" r:id="rId24"/>
    <sheet state="visible" name="CheckPortfolioManagement1" sheetId="23" r:id="rId25"/>
    <sheet state="visible" name="Copy of Data" sheetId="24" r:id="rId26"/>
  </sheets>
  <calcPr fullCalcOnLoad="1" fullPrecision="1"/>
</workbook>
</file>

<file path=xl/sharedStrings.xml><?xml version="1.0" encoding="utf-8"?>
<sst xmlns="http://schemas.openxmlformats.org/spreadsheetml/2006/main" count="81" uniqueCount="81">
  <si>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</si>
  <si>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</si>
  <si>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</si>
  <si>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</si>
  <si>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</si>
  <si>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</si>
  <si>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</si>
  <si>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</si>
  <si>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</si>
  <si>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</si>
  <si>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</si>
  <si>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</si>
  <si>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</si>
  <si>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</si>
  <si>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</si>
  <si>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</si>
  <si>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</si>
  <si>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</si>
  <si>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</si>
  <si>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</si>
  <si>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Simulator</t>
  </si>
  <si>
    <t>SelectTrade</t>
  </si>
  <si>
    <t>ExecuteTrade</t>
  </si>
  <si>
    <t>AcknowledgeTrade</t>
  </si>
  <si>
    <t>Blotter</t>
  </si>
  <si>
    <t>TradeNewSubOrder</t>
  </si>
  <si>
    <t>CancelSubOrder</t>
  </si>
  <si>
    <t>SelectTradeOnOrderGrid</t>
  </si>
  <si>
    <t>Allocation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</si>
  <si>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</si>
  <si>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</si>
  <si>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</si>
  <si>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</si>
  <si>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</si>
  <si>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</si>
  <si>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</si>
  <si>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</si>
  <si>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</si>
  <si>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</si>
  <si>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</si>
  <si>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</si>
  <si>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</si>
  <si>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</si>
  <si>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</si>
  <si>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DefaultNotes</t>
  </si>
  <si>
    <t>Limit</t>
  </si>
  <si>
    <t>InternalOrder</t>
  </si>
  <si>
    <t>Strategy Unallocated</t>
  </si>
  <si>
    <t>GCCAP1</t>
  </si>
  <si>
    <t>US</t>
  </si>
  <si>
    <t>jpearce</t>
  </si>
  <si>
    <t>NONE</t>
  </si>
  <si>
    <t>NewMF</t>
  </si>
  <si>
    <t>VerifySubOrder</t>
  </si>
  <si>
    <t>Cancelled</t>
  </si>
  <si>
    <t>PendingNew</t>
  </si>
  <si>
    <t>PortfolioManagement</t>
  </si>
  <si>
    <t>CheckPortfolioManagement</t>
  </si>
  <si>
    <t>Long</t>
  </si>
  <si>
    <t>FIMAT</t>
  </si>
  <si>
    <t>New Hedge</t>
  </si>
  <si>
    <t>Small Cap</t>
  </si>
  <si>
    <t>Default</t>
  </si>
  <si>
    <t>Undefined</t>
  </si>
  <si>
    <t>test1</t>
  </si>
  <si>
    <t>india</t>
  </si>
  <si>
    <t>test 1</t>
  </si>
  <si>
    <t>Yes</t>
  </si>
  <si>
    <t>MSFT</t>
  </si>
  <si>
    <t>ReplaceSubOrder</t>
  </si>
  <si>
    <t>PartiallyFilled</t>
  </si>
  <si>
    <t>CreateReplaceOrder</t>
  </si>
  <si>
    <t>MSFT US EQUITY</t>
  </si>
  <si>
    <t>MICROSOFT INC</t>
  </si>
  <si>
    <t>Equity General</t>
  </si>
  <si>
    <t>Information Technology</t>
  </si>
  <si>
    <t>UNITED STATES</t>
  </si>
  <si>
    <t>NA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</si>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</sst>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9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  <xf numFmtId="14" applyNumberFormat="1" fontId="3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/>
    <xf numFmtId="0" fontId="14" applyFont="1" fillId="0" borderId="0" xfId="0" applyAlignment="1">
      <alignment wrapText="1"/>
    </xf>
    <xf numFmtId="164" applyNumberFormat="1" fontId="2" applyFont="1" fillId="0" borderId="0" xfId="0"/>
    <xf numFmtId="0" fontId="3" applyFont="1" fillId="0" borderId="0" xfId="0" applyAlignment="1">
      <alignment horizontal="right"/>
    </xf>
    <xf numFmtId="0" fontId="3" applyFont="1" fillId="0" borderId="0" xfId="0" applyAlignment="1">
      <alignment horizontal="center"/>
    </xf>
    <xf numFmtId="164" applyNumberFormat="1" fontId="3" applyFont="1" fillId="0" borderId="0" xfId="0" applyAlignment="1"/>
    <xf numFmtId="14" applyNumberFormat="1" fontId="3" applyFont="1" fillId="0" borderId="0" xfId="0" applyAlignment="1"/>
    <xf numFmtId="0" fontId="3" applyFont="1" fillId="0" borderId="0" xfId="0" applyAlignment="1">
      <alignment horizontal="center"/>
    </xf>
    <xf numFmtId="0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3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IFERROR(__xludf.DUMMYFUNCTION("""COMPUTED_VALUE"""),"SaveLayoutPM")</f>
        <v>SaveLayoutPM</v>
      </c>
      <c r="C663" s="0" t="str">
        <f>IFERROR(__xludf.DUMMYFUNCTION("""COMPUTED_VALUE"""),"18bINF8LvIWUr1rFpe1vpLTKdPT6dJi-B14KFcAVwyfQ")</f>
        <v>18bINF8LvIWUr1rFpe1vpLTKdPT6dJi-B14KFcAVwyfQ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IFERROR(__xludf.DUMMYFUNCTION("""COMPUTED_VALUE"""),"Rebalancer")</f>
        <v>Rebalancer</v>
      </c>
      <c r="B668" s="0" t="str">
        <f>IFERROR(__xludf.DUMMYFUNCTION("""COMPUTED_VALUE"""),"VerifyBuySellList")</f>
        <v>VerifyBuySellList</v>
      </c>
      <c r="C668" s="0" t="str">
        <f>IFERROR(__xludf.DUMMYFUNCTION("""COMPUTED_VALUE"""),"1O2u9vu9lB8RTOcsD20GdbXlSWEbt310TUvIkuLxRuBg")</f>
        <v>1O2u9vu9lB8RTOcsD20GdbXlSWEbt310TUvIkuLxRuBg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IFERROR(__xludf.DUMMYFUNCTION("""COMPUTED_VALUE"""),"Admin")</f>
        <v>Admin</v>
      </c>
      <c r="B678" s="0" t="str">
        <f>IFERROR(__xludf.DUMMYFUNCTION("""COMPUTED_VALUE"""),"SetAuecExecutingBroker")</f>
        <v>SetAuecExecutingBroker</v>
      </c>
      <c r="C678" s="0" t="str">
        <f>IFERROR(__xludf.DUMMYFUNCTION("""COMPUTED_VALUE"""),"1FOtSQ752PHH-4nayG7R-PaG921WCWKVU8Lsl4pC6Mr0")</f>
        <v>1FOtSQ752PHH-4nayG7R-PaG921WCWKVU8Lsl4pC6Mr0</v>
      </c>
    </row>
    <row r="679" ht="15.75" customHeight="1">
      <c r="A679" s="0" t="str">
        <f>IFERROR(__xludf.DUMMYFUNCTION("""COMPUTED_VALUE"""),"AuditTrail")</f>
        <v>AuditTrail</v>
      </c>
      <c r="B679" s="0" t="str">
        <f>IFERROR(__xludf.DUMMYFUNCTION("""COMPUTED_VALUE"""),"GetDataFromAuditTrail")</f>
        <v>GetDataFromAuditTrail</v>
      </c>
      <c r="C679" s="0" t="str">
        <f>IFERROR(__xludf.DUMMYFUNCTION("""COMPUTED_VALUE"""),"1tNXZNqCj-1qo8Li9Rf4t_XiY-dX6itH2UAbOSe3-Mxc")</f>
        <v>1tNXZNqCj-1qo8Li9Rf4t_XiY-dX6itH2UAbOSe3-Mxc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IFERROR(__xludf.DUMMYFUNCTION("""COMPUTED_VALUE"""),"VerifyAuditTrail")</f>
        <v>VerifyAuditTrail</v>
      </c>
      <c r="C680" s="0" t="str">
        <f>IFERROR(__xludf.DUMMYFUNCTION("""COMPUTED_VALUE"""),"1yv4ikffZOFZ-OOoWF_aNEGZA8dcvqtzobkyZjf8TDRs")</f>
        <v>1yv4ikffZOFZ-OOoWF_aNEGZA8dcvqtzobkyZjf8TDRs</v>
      </c>
    </row>
    <row r="681" ht="15.75" customHeight="1">
      <c r="A681" s="0" t="str">
        <f>IFERROR(__xludf.DUMMYFUNCTION("""COMPUTED_VALUE"""),"Simulator")</f>
        <v>Simulator</v>
      </c>
      <c r="B681" s="0" t="str">
        <f>IFERROR(__xludf.DUMMYFUNCTION("""COMPUTED_VALUE"""),"DoneForDay")</f>
        <v>DoneForDay</v>
      </c>
      <c r="C681" s="0" t="str">
        <f>IFERROR(__xludf.DUMMYFUNCTION("""COMPUTED_VALUE"""),"Undefined")</f>
        <v>Undefined</v>
      </c>
    </row>
    <row r="682" ht="15.75" customHeight="1">
      <c r="A682" s="0" t="str">
        <f>IFERROR(__xludf.DUMMYFUNCTION("""COMPUTED_VALUE"""),"Blotter")</f>
        <v>Blotter</v>
      </c>
      <c r="B682" s="0" t="str">
        <f>IFERROR(__xludf.DUMMYFUNCTION("""COMPUTED_VALUE"""),"AddOrRemoveColumnFromBlotter")</f>
        <v>AddOrRemoveColumnFromBlotter</v>
      </c>
      <c r="C682" s="0" t="str">
        <f>IFERROR(__xludf.DUMMYFUNCTION("""COMPUTED_VALUE"""),"1AImtOGYKAeR3YFeq_UoGYWtzjfmt90mMudYE0gCcfuY")</f>
        <v>1AImtOGYKAeR3YFeq_UoGYWtzjfmt90mMudYE0gCcfuY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IFERROR(__xludf.DUMMYFUNCTION("""COMPUTED_VALUE"""),"ApplyFilterOnBlotter")</f>
        <v>ApplyFilterOnBlotter</v>
      </c>
      <c r="C683" s="0" t="str">
        <f>IFERROR(__xludf.DUMMYFUNCTION("""COMPUTED_VALUE"""),"1HwDVyMvyOdl2-ZD1QqhAZuwUuRJSMW_PlBPxaE_76EI")</f>
        <v>1HwDVyMvyOdl2-ZD1QqhAZuwUuRJSMW_PlBPxaE_76EI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IFERROR(__xludf.DUMMYFUNCTION("""COMPUTED_VALUE"""),"SortGridOnBlotter")</f>
        <v>SortGridOnBlotter</v>
      </c>
      <c r="C684" s="0" t="str">
        <f>IFERROR(__xludf.DUMMYFUNCTION("""COMPUTED_VALUE"""),"1MvLrWPS7fBH0YzOrBIt5TdlPdCiRTwsVXBfvicm6qvY")</f>
        <v>1MvLrWPS7fBH0YzOrBIt5TdlPdCiRTwsVXBfvicm6qvY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IFERROR(__xludf.DUMMYFUNCTION("""COMPUTED_VALUE"""),"VerifyDataIndexWise")</f>
        <v>VerifyDataIndexWise</v>
      </c>
      <c r="C685" s="0" t="str">
        <f>IFERROR(__xludf.DUMMYFUNCTION("""COMPUTED_VALUE"""),"18hzviv5ObHcdclDM2TEFd2OQL7r5vS4oemcrzjwtOSk")</f>
        <v>18hzviv5ObHcdclDM2TEFd2OQL7r5vS4oemcrzjwtOSk</v>
      </c>
    </row>
    <row r="686" ht="15.75" customHeight="1">
      <c r="A686" s="0" t="str">
        <f>IFERROR(__xludf.DUMMYFUNCTION("""COMPUTED_VALUE"""),"RTPNL")</f>
        <v>RTPNL</v>
      </c>
      <c r="B686" s="0" t="str">
        <f>IFERROR(__xludf.DUMMYFUNCTION("""COMPUTED_VALUE"""),"SavePage")</f>
        <v>SavePage</v>
      </c>
      <c r="C686" s="0" t="str">
        <f>IFERROR(__xludf.DUMMYFUNCTION("""COMPUTED_VALUE"""),"1_uQYVoc5DS6NYv0EYGKjax2jWsfgKobFEjxJkQjLL3w")</f>
        <v>1_uQYVoc5DS6NYv0EYGKjax2jWsfgKobFEjxJkQjLL3w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IFERROR(__xludf.DUMMYFUNCTION("""COMPUTED_VALUE"""),"SaveLayoutBlotter")</f>
        <v>SaveLayoutBlotter</v>
      </c>
      <c r="C687" s="0" t="str">
        <f>IFERROR(__xludf.DUMMYFUNCTION("""COMPUTED_VALUE"""),"Undefined")</f>
        <v>Undefined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IFERROR(__xludf.DUMMYFUNCTION("""COMPUTED_VALUE"""),"ConfigureWidget")</f>
        <v>ConfigureWidget</v>
      </c>
      <c r="C688" s="0" t="str">
        <f>IFERROR(__xludf.DUMMYFUNCTION("""COMPUTED_VALUE"""),"1W6yBhMOu0wchoi8WJBVKvPLgngkTy6xSOF5JPGpCiJM")</f>
        <v>1W6yBhMOu0wchoi8WJBVKvPLgngkTy6xSOF5JPGpCiJM</v>
      </c>
    </row>
    <row r="689" ht="15.75" customHeight="1">
      <c r="A689" s="0" t="str">
        <f>IFERROR(__xludf.DUMMYFUNCTION("""COMPUTED_VALUE"""),"CreateTransaction")</f>
        <v>CreateTransaction</v>
      </c>
      <c r="B689" s="0" t="str">
        <f>IFERROR(__xludf.DUMMYFUNCTION("""COMPUTED_VALUE"""),"VerifyCTNavLockPopup")</f>
        <v>VerifyCTNavLockPopup</v>
      </c>
      <c r="C689" s="0" t="str">
        <f>IFERROR(__xludf.DUMMYFUNCTION("""COMPUTED_VALUE"""),"144sdIKvp1IYBLo1BR5xnXjJV08MEYXOtOle_BzmZysU")</f>
        <v>144sdIKvp1IYBLo1BR5xnXjJV08MEYXOtOle_BzmZysU</v>
      </c>
    </row>
    <row r="690" ht="15.75" customHeight="1">
      <c r="A690" s="0" t="str">
        <f>IFERROR(__xludf.DUMMYFUNCTION("""COMPUTED_VALUE"""),"DailyValuation")</f>
        <v>DailyValuation</v>
      </c>
      <c r="B690" s="0" t="str">
        <f>IFERROR(__xludf.DUMMYFUNCTION("""COMPUTED_VALUE"""),"VerifyDVNavLockPopup")</f>
        <v>VerifyDVNavLockPopup</v>
      </c>
      <c r="C690" s="0" t="str">
        <f>IFERROR(__xludf.DUMMYFUNCTION("""COMPUTED_VALUE"""),"1rXDKRADphBVDpGsYUs6Jq5ugHFrpJ_qRur3VkVbGwV4")</f>
        <v>1rXDKRADphBVDpGsYUs6Jq5ugHFrpJ_qRur3VkVbGwV4</v>
      </c>
    </row>
    <row r="691" ht="15.75" customHeight="1">
      <c r="A691" s="0" t="str">
        <f>IFERROR(__xludf.DUMMYFUNCTION("""COMPUTED_VALUE"""),"GeneralLedger")</f>
        <v>GeneralLedger</v>
      </c>
      <c r="B691" s="0" t="str">
        <f>IFERROR(__xludf.DUMMYFUNCTION("""COMPUTED_VALUE"""),"VerifyGLNavLockPopup")</f>
        <v>VerifyGLNavLockPopup</v>
      </c>
      <c r="C691" s="0" t="str">
        <f>IFERROR(__xludf.DUMMYFUNCTION("""COMPUTED_VALUE"""),"13qCmJnkjFZw_O4n_dVKtJg-5eOkymkypG_MjQGuuNAo")</f>
        <v>13qCmJnkjFZw_O4n_dVKtJg-5eOkymkypG_MjQGuuNAo</v>
      </c>
    </row>
    <row r="692" ht="15.75" customHeight="1">
      <c r="A692" s="0" t="str">
        <f>IFERROR(__xludf.DUMMYFUNCTION("""COMPUTED_VALUE"""),"Import")</f>
        <v>Import</v>
      </c>
      <c r="B692" s="0" t="str">
        <f>IFERROR(__xludf.DUMMYFUNCTION("""COMPUTED_VALUE"""),"VerifyImportNavLockPopup")</f>
        <v>VerifyImportNavLockPopup</v>
      </c>
      <c r="C692" s="0" t="str">
        <f>IFERROR(__xludf.DUMMYFUNCTION("""COMPUTED_VALUE"""),"1pXdTBlTEvtcQUfX_APkVY3rRe3gVlj4Sk_Jyd6F4sNM")</f>
        <v>1pXdTBlTEvtcQUfX_APkVY3rRe3gVlj4Sk_Jyd6F4sNM</v>
      </c>
    </row>
    <row r="693" ht="15.75" customHeight="1">
      <c r="A693" s="0" t="str">
        <f>IFERROR(__xludf.DUMMYFUNCTION("""COMPUTED_VALUE"""),"MultiTradingTicket")</f>
        <v>MultiTradingTicket</v>
      </c>
      <c r="B693" s="0" t="str">
        <f>IFERROR(__xludf.DUMMYFUNCTION("""COMPUTED_VALUE"""),"VerifyMTTNavLockPopup")</f>
        <v>VerifyMTTNavLockPopup</v>
      </c>
      <c r="C693" s="0" t="str">
        <f>IFERROR(__xludf.DUMMYFUNCTION("""COMPUTED_VALUE"""),"1hzuWfGgMcTuN77JdNWDiNq95xYqAIxYrqdk47goXdlc")</f>
        <v>1hzuWfGgMcTuN77JdNWDiNq95xYqAIxYrqdk47goXdlc</v>
      </c>
    </row>
    <row r="694" ht="15.75" customHeight="1">
      <c r="A694" s="0" t="str">
        <f>IFERROR(__xludf.DUMMYFUNCTION("""COMPUTED_VALUE"""),"PricingInput")</f>
        <v>PricingInput</v>
      </c>
      <c r="B694" s="0" t="str">
        <f>IFERROR(__xludf.DUMMYFUNCTION("""COMPUTED_VALUE"""),"VerifyPINavLockPopup")</f>
        <v>VerifyPINavLockPopup</v>
      </c>
      <c r="C694" s="0" t="str">
        <f>IFERROR(__xludf.DUMMYFUNCTION("""COMPUTED_VALUE"""),"1MqKw1Z4nex0wIRjcW-Lhchpv8ZsSNuruz2cszeIP01M")</f>
        <v>1MqKw1Z4nex0wIRjcW-Lhchpv8ZsSNuruz2cszeIP01M</v>
      </c>
    </row>
    <row r="695" ht="15.75" customHeight="1">
      <c r="A695" s="0" t="str">
        <f>IFERROR(__xludf.DUMMYFUNCTION("""COMPUTED_VALUE"""),"ShortLocate")</f>
        <v>ShortLocate</v>
      </c>
      <c r="B695" s="0" t="str">
        <f>IFERROR(__xludf.DUMMYFUNCTION("""COMPUTED_VALUE"""),"VerifySLNavLockPopup")</f>
        <v>VerifySLNavLockPopup</v>
      </c>
      <c r="C695" s="0" t="str">
        <f>IFERROR(__xludf.DUMMYFUNCTION("""COMPUTED_VALUE"""),"1sBI9JpwaQW2KTgfDWaY7h3xdvzXzeqjaP8_Vml6QbTo")</f>
        <v>1sBI9JpwaQW2KTgfDWaY7h3xdvzXzeqjaP8_Vml6QbTo</v>
      </c>
    </row>
    <row r="696" ht="15.75" customHeight="1">
      <c r="A696" s="0" t="str">
        <f>IFERROR(__xludf.DUMMYFUNCTION("""COMPUTED_VALUE"""),"TradingTicket")</f>
        <v>TradingTicket</v>
      </c>
      <c r="B696" s="0" t="str">
        <f>IFERROR(__xludf.DUMMYFUNCTION("""COMPUTED_VALUE"""),"VerifyTTNavLockPopup")</f>
        <v>VerifyTTNavLockPopup</v>
      </c>
      <c r="C696" s="0" t="str">
        <f>IFERROR(__xludf.DUMMYFUNCTION("""COMPUTED_VALUE"""),"15lRx1SPPsy7nykR6nVYUadOnwKG80Q6OfxTDuQ_dvXI")</f>
        <v>15lRx1SPPsy7nykR6nVYUadOnwKG80Q6OfxTDuQ_dvXI</v>
      </c>
    </row>
    <row r="697" ht="15.75" customHeight="1">
      <c r="A697" s="0" t="str">
        <f>IFERROR(__xludf.DUMMYFUNCTION("""COMPUTED_VALUE"""),"Blotter")</f>
        <v>Blotter</v>
      </c>
      <c r="B697" s="0" t="str">
        <f>IFERROR(__xludf.DUMMYFUNCTION("""COMPUTED_VALUE"""),"VerifyBlotterNavLockPopup")</f>
        <v>VerifyBlotterNavLockPopup</v>
      </c>
      <c r="C697" s="0" t="str">
        <f>IFERROR(__xludf.DUMMYFUNCTION("""COMPUTED_VALUE"""),"1NXDngJ54gfiJxrqVxgbEYZ7hW3c4kquifXR6Lg7EK5Y")</f>
        <v>1NXDngJ54gfiJxrqVxgbEYZ7hW3c4kquifXR6Lg7EK5Y</v>
      </c>
    </row>
    <row r="698" ht="15.75" customHeight="1">
      <c r="A698" s="0" t="str">
        <f>IFERROR(__xludf.DUMMYFUNCTION("""COMPUTED_VALUE"""),"Closing")</f>
        <v>Closing</v>
      </c>
      <c r="B698" s="0" t="str">
        <f>IFERROR(__xludf.DUMMYFUNCTION("""COMPUTED_VALUE"""),"VerifyClosingNavLockPopup")</f>
        <v>VerifyClosingNavLockPopup</v>
      </c>
      <c r="C698" s="0" t="str">
        <f>IFERROR(__xludf.DUMMYFUNCTION("""COMPUTED_VALUE"""),"1AR0JbTGvV_W-vRVG60LJNAab-sFlfdBFwEtZpVYEMPo")</f>
        <v>1AR0JbTGvV_W-vRVG60LJNAab-sFlfdBFwEtZpVYEMPo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IFERROR(__xludf.DUMMYFUNCTION("""COMPUTED_VALUE"""),"ChangeWidgetView")</f>
        <v>ChangeWidgetView</v>
      </c>
      <c r="C699" s="0" t="str">
        <f>IFERROR(__xludf.DUMMYFUNCTION("""COMPUTED_VALUE"""),"1PKf_qqqp1j7_MkyduQmNqqaKdDFTgjuq1ApwaDumMj0")</f>
        <v>1PKf_qqqp1j7_MkyduQmNqqaKdDFTgjuq1ApwaDumMj0</v>
      </c>
    </row>
    <row r="700" ht="15.75" customHeight="1">
      <c r="A700" s="0" t="str">
        <f>IFERROR(__xludf.DUMMYFUNCTION("""COMPUTED_VALUE"""),"Blotter")</f>
        <v>Blotter</v>
      </c>
      <c r="B700" s="0" t="str">
        <f>IFERROR(__xludf.DUMMYFUNCTION("""COMPUTED_VALUE"""),"CustomTabActions")</f>
        <v>CustomTabActions</v>
      </c>
      <c r="C700" s="0" t="str">
        <f>IFERROR(__xludf.DUMMYFUNCTION("""COMPUTED_VALUE"""),"163hnSm9KTeABqdRxsfyyCsrxGVcrGd0nCGT4WqLsJ9Q")</f>
        <v>163hnSm9KTeABqdRxsfyyCsrxGVcrGd0nCGT4WqLsJ9Q</v>
      </c>
    </row>
    <row r="701" ht="15.75" customHeight="1">
      <c r="A701" s="0" t="str">
        <f>IFERROR(__xludf.DUMMYFUNCTION("""COMPUTED_VALUE"""),"Blotter")</f>
        <v>Blotter</v>
      </c>
      <c r="B701" s="0" t="str">
        <f>IFERROR(__xludf.DUMMYFUNCTION("""COMPUTED_VALUE"""),"VerifyAllocationWindow")</f>
        <v>VerifyAllocationWindow</v>
      </c>
      <c r="C701" s="0" t="str">
        <f>IFERROR(__xludf.DUMMYFUNCTION("""COMPUTED_VALUE"""),"1DUwxSUq_47EK60XmK3LOdCXa1fkWqWJE9bLuGS3ccv4")</f>
        <v>1DUwxSUq_47EK60XmK3LOdCXa1fkWqWJE9bLuGS3ccv4</v>
      </c>
    </row>
    <row r="702" ht="15.75" customHeight="1">
      <c r="A702" s="0" t="str">
        <f>IFERROR(__xludf.DUMMYFUNCTION("""COMPUTED_VALUE"""),"OpenFin")</f>
        <v>OpenFin</v>
      </c>
      <c r="B702" s="0" t="str">
        <f>IFERROR(__xludf.DUMMYFUNCTION("""COMPUTED_VALUE"""),"SavePageView")</f>
        <v>SavePageView</v>
      </c>
      <c r="C702" s="0" t="str">
        <f>IFERROR(__xludf.DUMMYFUNCTION("""COMPUTED_VALUE"""),"1wFFzsxWBm8VT5o4pz2dFosHS72pEaQuVZFVkiVeZE9w")</f>
        <v>1wFFzsxWBm8VT5o4pz2dFosHS72pEaQuVZFVkiVeZE9w</v>
      </c>
    </row>
    <row r="703" ht="15.75" customHeight="1">
      <c r="A703" s="0" t="str">
        <f>IFERROR(__xludf.DUMMYFUNCTION("""COMPUTED_VALUE"""),"OpenFin")</f>
        <v>OpenFin</v>
      </c>
      <c r="B703" s="0" t="str">
        <f>IFERROR(__xludf.DUMMYFUNCTION("""COMPUTED_VALUE"""),"ActionOnPageFromSearch")</f>
        <v>ActionOnPageFromSearch</v>
      </c>
      <c r="C703" s="0" t="str">
        <f>IFERROR(__xludf.DUMMYFUNCTION("""COMPUTED_VALUE"""),"1jCpG4ETPp9dfvh-Ymdex8Mb3Taz9sYrOR-1uBd5Ceyc")</f>
        <v>1jCpG4ETPp9dfvh-Ymdex8Mb3Taz9sYrOR-1uBd5Ceyc</v>
      </c>
    </row>
    <row r="704" ht="15.75" customHeight="1">
      <c r="A704" s="0" t="str">
        <f>IFERROR(__xludf.DUMMYFUNCTION("""COMPUTED_VALUE"""),"OpenFin")</f>
        <v>OpenFin</v>
      </c>
      <c r="B704" s="0" t="str">
        <f>IFERROR(__xludf.DUMMYFUNCTION("""COMPUTED_VALUE"""),"ChangeThemeOnModule")</f>
        <v>ChangeThemeOnModule</v>
      </c>
      <c r="C704" s="0" t="str">
        <f>IFERROR(__xludf.DUMMYFUNCTION("""COMPUTED_VALUE"""),"1KKiVG313VPgZZadw3-GZ4Cbt7wTwEPpmyGsp3MHFp9Q")</f>
        <v>1KKiVG313VPgZZadw3-GZ4Cbt7wTwEPpmyGsp3MHFp9Q</v>
      </c>
    </row>
    <row r="705" ht="15.75" customHeight="1">
      <c r="A705" s="0" t="str">
        <f>IFERROR(__xludf.DUMMYFUNCTION("""COMPUTED_VALUE"""),"OpenFin")</f>
        <v>OpenFin</v>
      </c>
      <c r="B705" s="0" t="str">
        <f>IFERROR(__xludf.DUMMYFUNCTION("""COMPUTED_VALUE"""),"CloseService")</f>
        <v>CloseService</v>
      </c>
      <c r="C705" s="0" t="str">
        <f>IFERROR(__xludf.DUMMYFUNCTION("""COMPUTED_VALUE"""),"1YXPx62dgEZ9yV5qKkFLgWipyvziAW1SJVEqhiNHEONM")</f>
        <v>1YXPx62dgEZ9yV5qKkFLgWipyvziAW1SJVEqhiNHEONM</v>
      </c>
    </row>
    <row r="706" ht="15.75" customHeight="1">
      <c r="A706" s="0" t="str">
        <f>IFERROR(__xludf.DUMMYFUNCTION("""COMPUTED_VALUE"""),"OpenFin")</f>
        <v>OpenFin</v>
      </c>
      <c r="B706" s="0" t="str">
        <f>IFERROR(__xludf.DUMMYFUNCTION("""COMPUTED_VALUE"""),"LogOutSamsara")</f>
        <v>LogOutSamsara</v>
      </c>
      <c r="C706" s="0" t="str">
        <f>IFERROR(__xludf.DUMMYFUNCTION("""COMPUTED_VALUE"""),"1AHqtQRX4cdwOByK5Ip_T2FJlZFaU23rmiDk0afFhfaY")</f>
        <v>1AHqtQRX4cdwOByK5Ip_T2FJlZFaU23rmiDk0afFhfaY</v>
      </c>
    </row>
    <row r="707" ht="15.75" customHeight="1">
      <c r="A707" s="0" t="str">
        <f>IFERROR(__xludf.DUMMYFUNCTION("""COMPUTED_VALUE"""),"QTT")</f>
        <v>QTT</v>
      </c>
      <c r="B707" s="0" t="str">
        <f>IFERROR(__xludf.DUMMYFUNCTION("""COMPUTED_VALUE"""),"TradeQTT")</f>
        <v>TradeQTT</v>
      </c>
      <c r="C707" s="0" t="str">
        <f>IFERROR(__xludf.DUMMYFUNCTION("""COMPUTED_VALUE"""),"1-5lKqkX57JBaCsmy3TeMGKEVsjNdXnqCttYvBHsfJ14")</f>
        <v>1-5lKqkX57JBaCsmy3TeMGKEVsjNdXnqCttYvBHsfJ14</v>
      </c>
    </row>
    <row r="708" ht="15.75" customHeight="1">
      <c r="A708" s="0" t="str">
        <f>IFERROR(__xludf.DUMMYFUNCTION("""COMPUTED_VALUE"""),"QTT")</f>
        <v>QTT</v>
      </c>
      <c r="B708" s="0" t="str">
        <f>IFERROR(__xludf.DUMMYFUNCTION("""COMPUTED_VALUE"""),"UseOrVerifyHotKeys")</f>
        <v>UseOrVerifyHotKeys</v>
      </c>
      <c r="C708" s="0" t="str">
        <f>IFERROR(__xludf.DUMMYFUNCTION("""COMPUTED_VALUE"""),"1ajjcbjqpEui4y62RzfJ-6ARI0W8GAhrdUmWCOsG_ovE")</f>
        <v>1ajjcbjqpEui4y62RzfJ-6ARI0W8GAhrdUmWCOsG_ovE</v>
      </c>
    </row>
    <row r="709" ht="15.75" customHeight="1">
      <c r="A709" s="0" t="str">
        <f>IFERROR(__xludf.DUMMYFUNCTION("""COMPUTED_VALUE"""),"QTT")</f>
        <v>QTT</v>
      </c>
      <c r="B709" s="0" t="str">
        <f>IFERROR(__xludf.DUMMYFUNCTION("""COMPUTED_VALUE"""),"BookmarkOrVerifyHotKeyinHamberg")</f>
        <v>BookmarkOrVerifyHotKeyinHamberg</v>
      </c>
      <c r="C709" s="0" t="str">
        <f>IFERROR(__xludf.DUMMYFUNCTION("""COMPUTED_VALUE"""),"1fqeJETrWs5bkb8u-VXsfp35T-5kIzPjT669RuSWt6gg")</f>
        <v>1fqeJETrWs5bkb8u-VXsfp35T-5kIzPjT669RuSWt6gg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IFERROR(__xludf.DUMMYFUNCTION("""COMPUTED_VALUE"""),"ShortLocateFromTT")</f>
        <v>ShortLocateFromTT</v>
      </c>
      <c r="C710" s="0" t="str">
        <f>IFERROR(__xludf.DUMMYFUNCTION("""COMPUTED_VALUE"""),"1saPgjE09_MBiqASRTSQboRMwRdUlFv6nzTocBZeFm-I")</f>
        <v>1saPgjE09_MBiqASRTSQboRMwRdUlFv6nzTocBZeFm-I</v>
      </c>
    </row>
    <row r="711" ht="15.75" customHeight="1">
      <c r="A711" s="0" t="str">
        <f>IFERROR(__xludf.DUMMYFUNCTION("""COMPUTED_VALUE"""),"TradingTicket")</f>
        <v>TradingTicket</v>
      </c>
      <c r="B711" s="0" t="str">
        <f>IFERROR(__xludf.DUMMYFUNCTION("""COMPUTED_VALUE"""),"VerifyShortLocateWindowOnTT")</f>
        <v>VerifyShortLocateWindowOnTT</v>
      </c>
      <c r="C711" s="0" t="str">
        <f>IFERROR(__xludf.DUMMYFUNCTION("""COMPUTED_VALUE"""),"1ljyVPm21FKmOvEmG0-JvPMTBuyG89a_7EGFToCoHgI4")</f>
        <v>1ljyVPm21FKmOvEmG0-JvPMTBuyG89a_7EGFToCoHgI4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IFERROR(__xludf.DUMMYFUNCTION("""COMPUTED_VALUE"""),"RenameTabs")</f>
        <v>RenameTabs</v>
      </c>
      <c r="C712" s="0" t="str">
        <f>IFERROR(__xludf.DUMMYFUNCTION("""COMPUTED_VALUE"""),"1K7LcioEl1sTwLRhqHc9go_7jNmUIRZNy9zBQLMgtBw8")</f>
        <v>1K7LcioEl1sTwLRhqHc9go_7jNmUIRZNy9zBQLMgtBw8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IFERROR(__xludf.DUMMYFUNCTION("""COMPUTED_VALUE"""),"ResizeEnsure")</f>
        <v>ResizeEnsure</v>
      </c>
      <c r="C713" s="0" t="str">
        <f>IFERROR(__xludf.DUMMYFUNCTION("""COMPUTED_VALUE"""),"1-peVyQ_nIwd8owwmtDtNW-yx12KQx2nHeYee6duB46M")</f>
        <v>1-peVyQ_nIwd8owwmtDtNW-yx12KQx2nHeYee6duB46M</v>
      </c>
    </row>
    <row r="714" ht="15.75" customHeight="1">
      <c r="A714" s="0" t="str">
        <f>IFERROR(__xludf.DUMMYFUNCTION("""COMPUTED_VALUE"""),"Admin")</f>
        <v>Admin</v>
      </c>
      <c r="B714" s="0" t="str">
        <f>IFERROR(__xludf.DUMMYFUNCTION("""COMPUTED_VALUE"""),"ClearRTPNLtabs")</f>
        <v>ClearRTPNLtabs</v>
      </c>
      <c r="C714" s="0" t="str">
        <f>IFERROR(__xludf.DUMMYFUNCTION("""COMPUTED_VALUE"""),"Undefined")</f>
        <v>Undefined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IFERROR(__xludf.DUMMYFUNCTION("""COMPUTED_VALUE"""),"AddTabRTPNL")</f>
        <v>AddTabRTPNL</v>
      </c>
      <c r="C715" s="0" t="str">
        <f>IFERROR(__xludf.DUMMYFUNCTION("""COMPUTED_VALUE"""),"18kG7vS-CfSLW8Q-ho416lyPlP36XJPPHA0cRbCk3vjU")</f>
        <v>18kG7vS-CfSLW8Q-ho416lyPlP36XJPPHA0cRbCk3vjU</v>
      </c>
    </row>
    <row r="716" ht="15.75" customHeight="1">
      <c r="A716" s="0" t="str">
        <f>IFERROR(__xludf.DUMMYFUNCTION("""COMPUTED_VALUE"""),"PortfolioManagement")</f>
        <v>PortfolioManagement</v>
      </c>
      <c r="B716" s="0" t="str">
        <f>IFERROR(__xludf.DUMMYFUNCTION("""COMPUTED_VALUE"""),"SelectTradeOnPM")</f>
        <v>SelectTradeOnPM</v>
      </c>
      <c r="C716" s="0" t="str">
        <f>IFERROR(__xludf.DUMMYFUNCTION("""COMPUTED_VALUE"""),"1_tBJjps2mULQyHra_AnC6BBvPbOko3FAY-kc11l7eTg")</f>
        <v>1_tBJjps2mULQyHra_AnC6BBvPbOko3FAY-kc11l7eTg</v>
      </c>
    </row>
    <row r="717" ht="15.75" customHeight="1">
      <c r="A717" s="0" t="str">
        <f>IFERROR(__xludf.DUMMYFUNCTION("""COMPUTED_VALUE"""),"Unknown")</f>
        <v>Unknown</v>
      </c>
      <c r="B717" s="0" t="str">
        <f>IFERROR(__xludf.DUMMYFUNCTION("""COMPUTED_VALUE"""),"RightClickOperations")</f>
        <v>RightClickOperations</v>
      </c>
      <c r="C717" s="0" t="str">
        <f>IFERROR(__xludf.DUMMYFUNCTION("""COMPUTED_VALUE"""),"17jhCujI-0V0U3n5lzlkc-azSuwCa7rf-4KwcSInm9ts")</f>
        <v>17jhCujI-0V0U3n5lzlkc-azSuwCa7rf-4KwcSInm9ts</v>
      </c>
    </row>
    <row r="718" ht="15.75" customHeight="1">
      <c r="A718" s="0" t="str">
        <f>IFERROR(__xludf.DUMMYFUNCTION("""COMPUTED_VALUE"""),"Unknown")</f>
        <v>Unknown</v>
      </c>
      <c r="B718" s="0" t="str">
        <f>IFERROR(__xludf.DUMMYFUNCTION("""COMPUTED_VALUE"""),"RightClickAndClickOperations")</f>
        <v>RightClickAndClickOperations</v>
      </c>
      <c r="C718" s="0" t="str">
        <f>IFERROR(__xludf.DUMMYFUNCTION("""COMPUTED_VALUE"""),"1e9jtl9r57SkbYm3S4wbHtvkeG2KExZEiFSIkkRSaq-8")</f>
        <v>1e9jtl9r57SkbYm3S4wbHtvkeG2KExZEiFSIkkRSaq-8</v>
      </c>
    </row>
    <row r="719" ht="15.75" customHeight="1">
      <c r="A719" s="0" t="str">
        <f>IFERROR(__xludf.DUMMYFUNCTION("""COMPUTED_VALUE"""),"Blotter")</f>
        <v>Blotter</v>
      </c>
      <c r="B719" s="0" t="str">
        <f>IFERROR(__xludf.DUMMYFUNCTION("""COMPUTED_VALUE"""),"BlotterToolBarAction")</f>
        <v>BlotterToolBarAction</v>
      </c>
      <c r="C719" s="0" t="str">
        <f>IFERROR(__xludf.DUMMYFUNCTION("""COMPUTED_VALUE"""),"1bI1kIBxH6qy8zi5tx46rN3vNgbmxbdwtAo1inrXDALs")</f>
        <v>1bI1kIBxH6qy8zi5tx46rN3vNgbmxbdwtAo1inrXDALs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IFERROR(__xludf.DUMMYFUNCTION("""COMPUTED_VALUE"""),"MergeTT")</f>
        <v>MergeTT</v>
      </c>
      <c r="C720" s="0" t="str">
        <f>IFERROR(__xludf.DUMMYFUNCTION("""COMPUTED_VALUE"""),"1BEiRPdwHXsXVZ0ioude04Me5qSQ_YU6xh1ZwMWgExVU")</f>
        <v>1BEiRPdwHXsXVZ0ioude04Me5qSQ_YU6xh1ZwMWgExVU</v>
      </c>
    </row>
    <row r="721" ht="15.75" customHeight="1">
      <c r="A721" s="0" t="str">
        <f>IFERROR(__xludf.DUMMYFUNCTION("""COMPUTED_VALUE"""),"PortfolioManagement")</f>
        <v>PortfolioManagement</v>
      </c>
      <c r="B721" s="0" t="str">
        <f>IFERROR(__xludf.DUMMYFUNCTION("""COMPUTED_VALUE"""),"OperationsonPM")</f>
        <v>OperationsonPM</v>
      </c>
      <c r="C721" s="0" t="str">
        <f>IFERROR(__xludf.DUMMYFUNCTION("""COMPUTED_VALUE"""),"13hKVogBv66c752V1EGUyqXp4dGESQOZLmMqIB56fbAs")</f>
        <v>13hKVogBv66c752V1EGUyqXp4dGESQOZLmMqIB56fbAs</v>
      </c>
    </row>
    <row r="722" ht="15.75" customHeight="1">
      <c r="A722" s="0" t="str">
        <f>IFERROR(__xludf.DUMMYFUNCTION("""COMPUTED_VALUE"""),"Rebalancer")</f>
        <v>Rebalancer</v>
      </c>
      <c r="B722" s="0" t="str">
        <f>IFERROR(__xludf.DUMMYFUNCTION("""COMPUTED_VALUE"""),"CreateOrViewModelPortfolio")</f>
        <v>CreateOrViewModelPortfolio</v>
      </c>
      <c r="C722" s="0" t="str">
        <f>IFERROR(__xludf.DUMMYFUNCTION("""COMPUTED_VALUE"""),"1vejknW_QiO0r5pMzMjOGCCsgwLVes4a3Ubx1l-0Mg1k")</f>
        <v>1vejknW_QiO0r5pMzMjOGCCsgwLVes4a3Ubx1l-0Mg1k</v>
      </c>
    </row>
    <row r="723" ht="15.75" customHeight="1">
      <c r="A723" s="0" t="str">
        <f>IFERROR(__xludf.DUMMYFUNCTION("""COMPUTED_VALUE"""),"Rebalancer")</f>
        <v>Rebalancer</v>
      </c>
      <c r="B723" s="0" t="str">
        <f>IFERROR(__xludf.DUMMYFUNCTION("""COMPUTED_VALUE"""),"VerifyModelPortfolio")</f>
        <v>VerifyModelPortfolio</v>
      </c>
      <c r="C723" s="0" t="str">
        <f>IFERROR(__xludf.DUMMYFUNCTION("""COMPUTED_VALUE"""),"1Tza5cx7NJ2J8vr_f6DC-KPhnXCzf7l1m0EERc6z_T-U")</f>
        <v>1Tza5cx7NJ2J8vr_f6DC-KPhnXCzf7l1m0EERc6z_T-U</v>
      </c>
    </row>
    <row r="724" ht="15.75" customHeight="1">
      <c r="A724" s="0" t="str">
        <f>IFERROR(__xludf.DUMMYFUNCTION("""COMPUTED_VALUE"""),"Allocation")</f>
        <v>Allocation</v>
      </c>
      <c r="B724" s="0" t="str">
        <f>IFERROR(__xludf.DUMMYFUNCTION("""COMPUTED_VALUE"""),"ReviewExistingPositions")</f>
        <v>ReviewExistingPositions</v>
      </c>
      <c r="C724" s="0" t="str">
        <f>IFERROR(__xludf.DUMMYFUNCTION("""COMPUTED_VALUE"""),"1KwYoTdpeW6LDhzloVKHp5buZqc8IjXEShjwnUx45Ql8")</f>
        <v>1KwYoTdpeW6LDhzloVKHp5buZqc8IjXEShjwnUx45Ql8</v>
      </c>
    </row>
    <row r="725" ht="15.75" customHeight="1">
      <c r="A725" s="0" t="str">
        <f>IFERROR(__xludf.DUMMYFUNCTION("""COMPUTED_VALUE"""),"PTT")</f>
        <v>PTT</v>
      </c>
      <c r="B725" s="0" t="str">
        <f>IFERROR(__xludf.DUMMYFUNCTION("""COMPUTED_VALUE"""),"OperationsonPTT")</f>
        <v>OperationsonPTT</v>
      </c>
      <c r="C725" s="0" t="str">
        <f>IFERROR(__xludf.DUMMYFUNCTION("""COMPUTED_VALUE"""),"1J40rCXEDilLEF_x0Wkeeg1lwGfejucV1VSY9UcyeSlw")</f>
        <v>1J40rCXEDilLEF_x0Wkeeg1lwGfejucV1VSY9UcyeSlw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IFERROR(__xludf.DUMMYFUNCTION("""COMPUTED_VALUE"""),"CheckSummaryDashboard")</f>
        <v>CheckSummaryDashboard</v>
      </c>
      <c r="C726" s="0" t="str">
        <f>IFERROR(__xludf.DUMMYFUNCTION("""COMPUTED_VALUE"""),"19yZ--qYnhGSO8AdhnHqcmGmViOWMDkup5wR8bA3T2Os")</f>
        <v>19yZ--qYnhGSO8AdhnHqcmGmViOWMDkup5wR8bA3T2Os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IFERROR(__xludf.DUMMYFUNCTION("""COMPUTED_VALUE"""),"CheckFundLevelAggregation")</f>
        <v>CheckFundLevelAggregation</v>
      </c>
      <c r="C727" s="0" t="str">
        <f>IFERROR(__xludf.DUMMYFUNCTION("""COMPUTED_VALUE"""),"1onoHaI0svf2S0wDmLkCePbLXTpyPt2uzhxg7tVdRMeI")</f>
        <v>1onoHaI0svf2S0wDmLkCePbLXTpyPt2uzhxg7tVdRMeI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IFERROR(__xludf.DUMMYFUNCTION("""COMPUTED_VALUE"""),"CheckAccountLevelAggregation")</f>
        <v>CheckAccountLevelAggregation</v>
      </c>
      <c r="C728" s="0" t="str">
        <f>IFERROR(__xludf.DUMMYFUNCTION("""COMPUTED_VALUE"""),"1wpk-GXi0GZ8cadXtuW18V6GfYany_8NjDMShh2aobZ4")</f>
        <v>1wpk-GXi0GZ8cadXtuW18V6GfYany_8NjDMShh2aobZ4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IFERROR(__xludf.DUMMYFUNCTION("""COMPUTED_VALUE"""),"CheckSymbolLevelAggregation")</f>
        <v>CheckSymbolLevelAggregation</v>
      </c>
      <c r="C729" s="0" t="str">
        <f>IFERROR(__xludf.DUMMYFUNCTION("""COMPUTED_VALUE"""),"1j6_k8vwocZ8wAvUMMfdx9IKldUmmqzRN2HCaaoFysqc")</f>
        <v>1j6_k8vwocZ8wAvUMMfdx9IKldUmmqzRN2HCaaoFysqc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IFERROR(__xludf.DUMMYFUNCTION("""COMPUTED_VALUE"""),"CheckRealTimeSymbolFundMonitor")</f>
        <v>CheckRealTimeSymbolFundMonitor</v>
      </c>
      <c r="C730" s="0" t="str">
        <f>IFERROR(__xludf.DUMMYFUNCTION("""COMPUTED_VALUE"""),"1YeAroYmlm8GLwEhMTsKLli9Lc6cZEoPatK76WOit8ho")</f>
        <v>1YeAroYmlm8GLwEhMTsKLli9Lc6cZEoPatK76WOit8ho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IFERROR(__xludf.DUMMYFUNCTION("""COMPUTED_VALUE"""),"CheckRealTimeSymAccountMonitor")</f>
        <v>CheckRealTimeSymAccountMonitor</v>
      </c>
      <c r="C731" s="0" t="str">
        <f>IFERROR(__xludf.DUMMYFUNCTION("""COMPUTED_VALUE"""),"1YWIN_lFXkJFac_sw0d58YkjeJOr7Xa3JotKO9BAEG3Q")</f>
        <v>1YWIN_lFXkJFac_sw0d58YkjeJOr7Xa3JotKO9BAEG3Q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IFERROR(__xludf.DUMMYFUNCTION("""COMPUTED_VALUE"""),"OpenRTPNL")</f>
        <v>OpenRTPNL</v>
      </c>
      <c r="C732" s="0" t="str">
        <f>IFERROR(__xludf.DUMMYFUNCTION("""COMPUTED_VALUE"""),"1j-FWEidBpUuPYcE4AbSAw08LdLumr0SQSFYFcyX2SkM")</f>
        <v>1j-FWEidBpUuPYcE4AbSAw08LdLumr0SQSFYFcyX2SkM</v>
      </c>
    </row>
    <row r="733" ht="15.75" customHeight="1">
      <c r="A733" s="0" t="str">
        <f>IFERROR(__xludf.DUMMYFUNCTION("""COMPUTED_VALUE"""),"PricingInput")</f>
        <v>PricingInput</v>
      </c>
      <c r="B733" s="0" t="str">
        <f>IFERROR(__xludf.DUMMYFUNCTION("""COMPUTED_VALUE"""),"UpdatePricingInput")</f>
        <v>UpdatePricingInput</v>
      </c>
      <c r="C733" s="0" t="str">
        <f>IFERROR(__xludf.DUMMYFUNCTION("""COMPUTED_VALUE"""),"1CG9iYOkRKzlGEsKh7QuEyMdGRQea_W4KDWwlnjE2BdE")</f>
        <v>1CG9iYOkRKzlGEsKh7QuEyMdGRQea_W4KDWwlnjE2BdE</v>
      </c>
    </row>
    <row r="734" ht="15.75" customHeight="1">
      <c r="A734" s="0" t="str">
        <f>IFERROR(__xludf.DUMMYFUNCTION("""COMPUTED_VALUE"""),"DailyValuation")</f>
        <v>DailyValuation</v>
      </c>
      <c r="B734" s="0" t="str">
        <f>IFERROR(__xludf.DUMMYFUNCTION("""COMPUTED_VALUE"""),"UpdateMPAndFC")</f>
        <v>UpdateMPAndFC</v>
      </c>
      <c r="C734" s="0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</v>
      </c>
      <c r="D6" s="31"/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6">
        <v>50</v>
      </c>
      <c r="Y6" s="37">
        <f>TODAY()+2</f>
        <v>45857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6EB98C3-1D63-4D7F-B6F8-1FC38492F94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CC3DD53-BE21-4BB8-84E5-3EEBE00CDAA6}">
          <x14:formula1>
            <xm:f>CustomOrderTT!$4:$4</xm:f>
          </x14:formula1>
          <xm:sqref>E3</xm:sqref>
        </x14:dataValidation>
        <x14:dataValidation type="list" allowBlank="1" showInputMessage="1" showErrorMessage="1" prompt="Choose an available module" xr:uid="{CF42A543-45A5-426B-ADE3-3197777AE45B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5931A93-C1F6-4FE9-8E4B-17BA7F398C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CB6A33E-CF5E-4645-AA9C-A299D5B8E43C}">
          <x14:formula1>
            <xm:f>CustomOrderTT1!$4:$4</xm:f>
          </x14:formula1>
          <xm:sqref>E3</xm:sqref>
        </x14:dataValidation>
        <x14:dataValidation type="list" allowBlank="1" showInputMessage="1" showErrorMessage="1" prompt="Choose an available module" xr:uid="{0EB16280-1DC8-4D58-8A38-563A667F01A3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0C66FBF-2205-40EA-9C0C-52BA8C864FC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B3FBDF5-2448-48A3-9FD7-C2BC26B5F2E7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4516B3AA-6AE5-4A76-BF63-4418AD300F27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15</v>
      </c>
      <c r="C6" s="33">
        <v>10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BC8DDF8-D8BC-4763-8BF3-B42037A2493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8BC09B5-16E8-4107-94C7-68689B9480E9}">
          <x14:formula1>
            <xm:f>ExecuteTrade!$4:$4</xm:f>
          </x14:formula1>
          <xm:sqref>E3</xm:sqref>
        </x14:dataValidation>
        <x14:dataValidation type="list" allowBlank="1" showInputMessage="1" showErrorMessage="1" prompt="Choose an available module" xr:uid="{B6CF4EC6-D819-4527-BEF9-367596BF2C95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C142312-AA3C-407E-B3FC-0E516340D53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6653EA2-CDDC-4084-9467-6CCA12B66A04}">
          <x14:formula1>
            <xm:f>AcknowledgeTrade!$4:$4</xm:f>
          </x14:formula1>
          <xm:sqref>E3</xm:sqref>
        </x14:dataValidation>
        <x14:dataValidation type="list" allowBlank="1" showInputMessage="1" showErrorMessage="1" prompt="Choose an available module" xr:uid="{A8B87BA9-BE16-4FD5-BA2E-B112DBF17AFE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6ADC75A-810C-4DBC-B6E6-96BF976DE72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6F1E226-29C5-42D7-B52B-38358080D843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6B66D414-1ED2-4513-A8B5-B23F3F8D5760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4FCE35D-CE43-4AC2-AFBA-4D4D52B8B32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7BBB7FC-7576-4448-94A0-E49AEEB53A29}">
          <x14:formula1>
            <xm:f>CancelSubOrder!$4:$4</xm:f>
          </x14:formula1>
          <xm:sqref>E3</xm:sqref>
        </x14:dataValidation>
        <x14:dataValidation type="list" allowBlank="1" showInputMessage="1" showErrorMessage="1" prompt="Choose an available module" xr:uid="{05C9D023-2377-4E65-B4E5-588CED6FCC5B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9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AE580E0-4155-46AF-8566-F55B3758EAE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A77E95A-A25D-4646-B918-FCE78104D180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00C1EEF8-DD3B-4E7C-9554-05F412007162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30</v>
      </c>
      <c r="B6" s="40" t="s">
        <v>31</v>
      </c>
      <c r="C6" s="8" t="s">
        <v>32</v>
      </c>
      <c r="D6" s="40">
        <v>0</v>
      </c>
      <c r="E6" s="8">
        <v>10</v>
      </c>
      <c r="F6" s="8" t="s">
        <v>33</v>
      </c>
      <c r="G6" s="8" t="s">
        <v>34</v>
      </c>
      <c r="H6" s="8">
        <v>4</v>
      </c>
      <c r="I6" s="8">
        <v>5</v>
      </c>
      <c r="J6" s="8">
        <v>1</v>
      </c>
      <c r="K6" s="8">
        <v>15</v>
      </c>
      <c r="L6" s="8">
        <v>15</v>
      </c>
      <c r="M6" s="8" t="s">
        <v>35</v>
      </c>
      <c r="N6" s="8" t="s">
        <v>36</v>
      </c>
      <c r="O6" s="8" t="s">
        <v>37</v>
      </c>
      <c r="Q6" s="0">
        <v>3</v>
      </c>
      <c r="R6" s="0">
        <v>0</v>
      </c>
      <c r="S6" s="0" t="s">
        <v>38</v>
      </c>
      <c r="T6" s="0">
        <v>0</v>
      </c>
      <c r="U6" s="0">
        <v>0</v>
      </c>
      <c r="V6" s="0" t="s">
        <v>39</v>
      </c>
      <c r="W6" s="0">
        <v>1</v>
      </c>
      <c r="X6" s="0">
        <v>0</v>
      </c>
      <c r="Y6" s="0" t="s">
        <v>30</v>
      </c>
      <c r="Z6" s="0" t="s">
        <v>40</v>
      </c>
      <c r="AA6" s="0" t="s">
        <v>16</v>
      </c>
      <c r="AB6" s="0">
        <v>1</v>
      </c>
      <c r="AD6" s="0" t="s">
        <v>41</v>
      </c>
      <c r="AE6" s="0">
        <v>10</v>
      </c>
      <c r="AF6" s="0" t="s">
        <v>30</v>
      </c>
      <c r="AH6" s="0" t="s">
        <v>42</v>
      </c>
      <c r="AI6" s="0">
        <v>1</v>
      </c>
      <c r="AJ6" s="0" t="s">
        <v>43</v>
      </c>
      <c r="AM6" s="0" t="s">
        <v>44</v>
      </c>
      <c r="AN6" s="0" t="b">
        <v>0</v>
      </c>
      <c r="AP6" s="0" t="b">
        <v>0</v>
      </c>
      <c r="AQ6" s="0" t="b">
        <v>0</v>
      </c>
      <c r="AR6" s="0" t="b">
        <v>1</v>
      </c>
      <c r="AS6" s="0">
        <v>0</v>
      </c>
      <c r="AT6" s="0">
        <v>164.0001</v>
      </c>
      <c r="AU6" s="0">
        <v>164.0001</v>
      </c>
      <c r="AW6" s="0">
        <v>0</v>
      </c>
      <c r="AX6" s="0">
        <v>0</v>
      </c>
      <c r="AY6" s="0" t="s">
        <v>45</v>
      </c>
      <c r="AZ6" s="0">
        <v>0</v>
      </c>
      <c r="BC6" s="0">
        <v>0</v>
      </c>
      <c r="BD6" s="0" t="s">
        <v>46</v>
      </c>
      <c r="BE6" s="0">
        <v>150</v>
      </c>
      <c r="BF6" s="0">
        <v>150</v>
      </c>
      <c r="BJ6" s="0">
        <v>50</v>
      </c>
      <c r="BK6" s="0">
        <v>0</v>
      </c>
      <c r="BL6" s="0" t="s">
        <v>30</v>
      </c>
      <c r="BM6" s="0" t="s">
        <v>40</v>
      </c>
      <c r="BO6" s="0" t="s">
        <v>18</v>
      </c>
      <c r="BP6" s="0">
        <v>0</v>
      </c>
      <c r="BQ6" s="0">
        <v>0</v>
      </c>
      <c r="BR6" s="0">
        <v>0.0001</v>
      </c>
      <c r="BS6" s="0" t="s">
        <v>47</v>
      </c>
      <c r="BT6" s="0" t="s">
        <v>16</v>
      </c>
      <c r="BU6" s="0">
        <v>3</v>
      </c>
      <c r="BV6" s="0">
        <v>0</v>
      </c>
      <c r="BW6" s="0">
        <v>14.0001</v>
      </c>
      <c r="BX6" s="0">
        <v>0</v>
      </c>
      <c r="CF6" s="0" t="s">
        <v>48</v>
      </c>
      <c r="CG6" s="0">
        <v>2</v>
      </c>
      <c r="CH6" s="41" t="s">
        <v>12</v>
      </c>
      <c r="CI6" s="0" t="s">
        <v>18</v>
      </c>
      <c r="CJ6" s="0">
        <v>0</v>
      </c>
      <c r="CK6" s="0" t="s">
        <v>49</v>
      </c>
      <c r="CL6" s="0">
        <v>1</v>
      </c>
      <c r="CM6" s="0" t="s">
        <v>16</v>
      </c>
      <c r="CN6" s="0" t="s">
        <v>50</v>
      </c>
      <c r="CO6" s="0" t="s">
        <v>41</v>
      </c>
      <c r="CP6" s="0" t="s">
        <v>51</v>
      </c>
      <c r="CS6" s="0" t="s">
        <v>30</v>
      </c>
      <c r="CW6" s="0">
        <v>0</v>
      </c>
      <c r="CX6" s="0" t="s">
        <v>52</v>
      </c>
      <c r="CY6" s="9" t="b">
        <v>1</v>
      </c>
      <c r="CZ6" s="0" t="s">
        <v>30</v>
      </c>
      <c r="DA6" s="0" t="s">
        <v>30</v>
      </c>
      <c r="DB6" s="0" t="s">
        <v>30</v>
      </c>
      <c r="DC6" s="0" t="s">
        <v>30</v>
      </c>
      <c r="DD6" s="0" t="s">
        <v>30</v>
      </c>
      <c r="DE6" s="0" t="s">
        <v>30</v>
      </c>
      <c r="DF6" s="0" t="s">
        <v>30</v>
      </c>
      <c r="DG6" s="0" t="s">
        <v>30</v>
      </c>
      <c r="DH6" s="0" t="s">
        <v>30</v>
      </c>
      <c r="DI6" s="0" t="s">
        <v>30</v>
      </c>
      <c r="DJ6" s="0" t="s">
        <v>30</v>
      </c>
      <c r="DK6" s="0" t="s">
        <v>30</v>
      </c>
      <c r="DL6" s="0" t="s">
        <v>30</v>
      </c>
      <c r="DM6" s="0" t="s">
        <v>30</v>
      </c>
      <c r="DN6" s="0" t="s">
        <v>30</v>
      </c>
      <c r="DO6" s="0" t="s">
        <v>30</v>
      </c>
      <c r="DP6" s="0" t="s">
        <v>30</v>
      </c>
      <c r="DQ6" s="0" t="s">
        <v>30</v>
      </c>
      <c r="DR6" s="0" t="s">
        <v>30</v>
      </c>
      <c r="DS6" s="0" t="s">
        <v>30</v>
      </c>
      <c r="DT6" s="0" t="s">
        <v>30</v>
      </c>
      <c r="DU6" s="0" t="s">
        <v>30</v>
      </c>
      <c r="DV6" s="0" t="s">
        <v>30</v>
      </c>
      <c r="DW6" s="0" t="s">
        <v>30</v>
      </c>
      <c r="DX6" s="0" t="s">
        <v>30</v>
      </c>
      <c r="DY6" s="0" t="s">
        <v>30</v>
      </c>
      <c r="DZ6" s="0" t="s">
        <v>30</v>
      </c>
      <c r="EA6" s="0" t="s">
        <v>30</v>
      </c>
      <c r="EB6" s="0" t="s">
        <v>30</v>
      </c>
      <c r="EC6" s="0" t="s">
        <v>30</v>
      </c>
      <c r="ED6" s="0" t="s">
        <v>30</v>
      </c>
      <c r="EE6" s="0" t="s">
        <v>30</v>
      </c>
      <c r="EF6" s="0" t="s">
        <v>30</v>
      </c>
      <c r="EG6" s="0" t="s">
        <v>30</v>
      </c>
      <c r="EH6" s="0" t="s">
        <v>30</v>
      </c>
      <c r="EI6" s="0" t="s">
        <v>30</v>
      </c>
      <c r="EJ6" s="0" t="s">
        <v>30</v>
      </c>
      <c r="EK6" s="0" t="s">
        <v>30</v>
      </c>
      <c r="EL6" s="0" t="s">
        <v>30</v>
      </c>
      <c r="EM6" s="0" t="s">
        <v>30</v>
      </c>
      <c r="EN6" s="0" t="s">
        <v>30</v>
      </c>
      <c r="EO6" s="0" t="s">
        <v>30</v>
      </c>
      <c r="EP6" s="0" t="s">
        <v>30</v>
      </c>
      <c r="EQ6" s="0" t="s">
        <v>30</v>
      </c>
      <c r="ER6" s="0" t="s">
        <v>30</v>
      </c>
      <c r="ES6" s="0" t="s">
        <v>30</v>
      </c>
      <c r="ET6" s="0" t="s">
        <v>30</v>
      </c>
      <c r="EU6" s="0" t="s">
        <v>30</v>
      </c>
      <c r="EV6" s="0" t="s">
        <v>30</v>
      </c>
      <c r="EW6" s="0" t="s">
        <v>30</v>
      </c>
      <c r="EX6" s="0" t="s">
        <v>30</v>
      </c>
      <c r="FA6" s="0" t="s">
        <v>30</v>
      </c>
      <c r="FB6" s="0" t="s">
        <v>30</v>
      </c>
      <c r="FC6" s="0" t="s">
        <v>30</v>
      </c>
      <c r="FD6" s="0" t="s">
        <v>30</v>
      </c>
      <c r="FE6" s="0" t="s">
        <v>30</v>
      </c>
      <c r="FF6" s="0" t="s">
        <v>30</v>
      </c>
      <c r="FG6" s="0" t="s">
        <v>30</v>
      </c>
      <c r="FH6" s="0" t="s">
        <v>30</v>
      </c>
      <c r="FI6" s="0" t="s">
        <v>30</v>
      </c>
      <c r="FK6" s="0" t="s">
        <v>30</v>
      </c>
      <c r="FL6" s="0" t="s">
        <v>30</v>
      </c>
      <c r="FM6" s="0" t="s">
        <v>30</v>
      </c>
      <c r="FN6" s="0" t="s">
        <v>30</v>
      </c>
      <c r="FO6" s="0" t="s">
        <v>30</v>
      </c>
      <c r="FP6" s="0" t="s">
        <v>30</v>
      </c>
      <c r="FQ6" s="0" t="s">
        <v>30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6E3F170-C231-4484-A522-232B4C1EDF9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36130A3-7EB6-4519-9529-8E998E6BC690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71BDADA7-F132-4672-A5CD-FFE8FEA2617C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30</v>
      </c>
      <c r="B6" s="40"/>
      <c r="C6" s="8" t="s">
        <v>30</v>
      </c>
      <c r="D6" s="40">
        <v>15</v>
      </c>
      <c r="E6" s="8" t="s">
        <v>30</v>
      </c>
      <c r="F6" s="8" t="s">
        <v>30</v>
      </c>
      <c r="G6" s="8"/>
      <c r="H6" s="8" t="s">
        <v>30</v>
      </c>
      <c r="I6" s="8" t="s">
        <v>30</v>
      </c>
      <c r="J6" s="8" t="s">
        <v>16</v>
      </c>
      <c r="K6" s="8" t="s">
        <v>30</v>
      </c>
      <c r="L6" s="8" t="s">
        <v>30</v>
      </c>
      <c r="M6" s="8"/>
      <c r="N6" s="8"/>
      <c r="O6" s="8"/>
      <c r="Q6" s="0" t="s">
        <v>30</v>
      </c>
      <c r="R6" s="0" t="s">
        <v>30</v>
      </c>
      <c r="T6" s="0" t="s">
        <v>30</v>
      </c>
      <c r="U6" s="0" t="s">
        <v>40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  <c r="AC6" s="0" t="s">
        <v>44</v>
      </c>
      <c r="AD6" s="0" t="s">
        <v>30</v>
      </c>
      <c r="AE6" s="0" t="s">
        <v>30</v>
      </c>
      <c r="AF6" s="0" t="s">
        <v>30</v>
      </c>
      <c r="AG6" s="0">
        <v>15</v>
      </c>
      <c r="AH6" s="0" t="s">
        <v>30</v>
      </c>
      <c r="AI6" s="0" t="s">
        <v>16</v>
      </c>
      <c r="AJ6" s="0" t="s">
        <v>18</v>
      </c>
      <c r="AK6" s="0" t="s">
        <v>54</v>
      </c>
      <c r="AL6" s="0">
        <v>50</v>
      </c>
      <c r="AQ6" s="0" t="s">
        <v>37</v>
      </c>
      <c r="AR6" s="0" t="s">
        <v>31</v>
      </c>
      <c r="AS6" s="0" t="s">
        <v>45</v>
      </c>
      <c r="AT6" s="0">
        <v>150</v>
      </c>
      <c r="AU6" s="0">
        <v>150</v>
      </c>
      <c r="AV6" s="0" t="s">
        <v>33</v>
      </c>
      <c r="AW6" s="0" t="s">
        <v>30</v>
      </c>
      <c r="AX6" s="0" t="s">
        <v>30</v>
      </c>
      <c r="AY6" s="0" t="s">
        <v>30</v>
      </c>
      <c r="AZ6" s="0" t="s">
        <v>50</v>
      </c>
      <c r="BA6" s="0">
        <v>100</v>
      </c>
      <c r="BB6" s="0" t="s">
        <v>30</v>
      </c>
      <c r="BC6" s="0" t="s">
        <v>30</v>
      </c>
      <c r="BD6" s="0" t="s">
        <v>30</v>
      </c>
      <c r="BE6" s="0" t="s">
        <v>30</v>
      </c>
      <c r="BF6" s="0" t="s">
        <v>30</v>
      </c>
      <c r="BG6" s="0" t="s">
        <v>30</v>
      </c>
      <c r="BH6" s="0" t="s">
        <v>30</v>
      </c>
      <c r="BI6" s="0" t="s">
        <v>30</v>
      </c>
      <c r="BJ6" s="0" t="s">
        <v>30</v>
      </c>
      <c r="BK6" s="0" t="s">
        <v>30</v>
      </c>
      <c r="BL6" s="0" t="s">
        <v>30</v>
      </c>
      <c r="BM6" s="0" t="s">
        <v>30</v>
      </c>
      <c r="BN6" s="0" t="s">
        <v>30</v>
      </c>
      <c r="BO6" s="0" t="s">
        <v>30</v>
      </c>
      <c r="BP6" s="0" t="s">
        <v>30</v>
      </c>
      <c r="BQ6" s="0" t="s">
        <v>30</v>
      </c>
      <c r="BR6" s="0" t="s">
        <v>30</v>
      </c>
      <c r="BS6" s="0" t="s">
        <v>30</v>
      </c>
      <c r="BT6" s="0" t="s">
        <v>30</v>
      </c>
      <c r="BU6" s="0" t="s">
        <v>30</v>
      </c>
      <c r="BV6" s="0" t="s">
        <v>30</v>
      </c>
      <c r="BW6" s="0" t="s">
        <v>30</v>
      </c>
      <c r="BX6" s="0" t="s">
        <v>30</v>
      </c>
      <c r="BY6" s="0" t="s">
        <v>30</v>
      </c>
      <c r="BZ6" s="0" t="s">
        <v>30</v>
      </c>
      <c r="CA6" s="0" t="s">
        <v>30</v>
      </c>
      <c r="CB6" s="0" t="s">
        <v>30</v>
      </c>
      <c r="CC6" s="0" t="s">
        <v>30</v>
      </c>
      <c r="CD6" s="0" t="s">
        <v>30</v>
      </c>
      <c r="CE6" s="0" t="s">
        <v>30</v>
      </c>
      <c r="CF6" s="0" t="s">
        <v>30</v>
      </c>
      <c r="CG6" s="0" t="s">
        <v>30</v>
      </c>
      <c r="CH6" s="0" t="s">
        <v>30</v>
      </c>
      <c r="CI6" s="0" t="s">
        <v>30</v>
      </c>
      <c r="CJ6" s="0" t="s">
        <v>30</v>
      </c>
      <c r="CK6" s="0" t="s">
        <v>30</v>
      </c>
      <c r="CL6" s="0" t="s">
        <v>30</v>
      </c>
      <c r="CM6" s="0" t="s">
        <v>30</v>
      </c>
      <c r="CN6" s="0" t="s">
        <v>30</v>
      </c>
      <c r="CO6" s="0" t="s">
        <v>30</v>
      </c>
      <c r="CP6" s="0" t="s">
        <v>30</v>
      </c>
      <c r="CQ6" s="0" t="s">
        <v>30</v>
      </c>
      <c r="CR6" s="0" t="s">
        <v>30</v>
      </c>
      <c r="CS6" s="0" t="s">
        <v>30</v>
      </c>
      <c r="CT6" s="0" t="s">
        <v>30</v>
      </c>
      <c r="CU6" s="0" t="s">
        <v>30</v>
      </c>
      <c r="CV6" s="0" t="s">
        <v>30</v>
      </c>
      <c r="CW6" s="0" t="s">
        <v>30</v>
      </c>
      <c r="CX6" s="0" t="s">
        <v>30</v>
      </c>
      <c r="CY6" s="0" t="s">
        <v>30</v>
      </c>
      <c r="CZ6" s="0" t="s">
        <v>30</v>
      </c>
      <c r="DA6" s="0" t="s">
        <v>30</v>
      </c>
      <c r="DB6" s="0" t="s">
        <v>30</v>
      </c>
      <c r="DC6" s="0" t="s">
        <v>30</v>
      </c>
      <c r="DD6" s="0" t="s">
        <v>30</v>
      </c>
      <c r="DE6" s="0" t="s">
        <v>30</v>
      </c>
      <c r="DF6" s="0" t="s">
        <v>30</v>
      </c>
      <c r="DG6" s="0" t="s">
        <v>30</v>
      </c>
      <c r="DH6" s="0" t="s">
        <v>30</v>
      </c>
      <c r="DI6" s="0" t="s">
        <v>30</v>
      </c>
      <c r="DJ6" s="0" t="s">
        <v>30</v>
      </c>
      <c r="DK6" s="0" t="s">
        <v>30</v>
      </c>
      <c r="DL6" s="0" t="s">
        <v>30</v>
      </c>
      <c r="DM6" s="0" t="s">
        <v>30</v>
      </c>
      <c r="DN6" s="0" t="s">
        <v>30</v>
      </c>
      <c r="DO6" s="0" t="s">
        <v>30</v>
      </c>
      <c r="DP6" s="0" t="s">
        <v>30</v>
      </c>
      <c r="DQ6" s="0" t="s">
        <v>30</v>
      </c>
      <c r="DR6" s="0" t="s">
        <v>30</v>
      </c>
      <c r="DS6" s="0" t="s">
        <v>30</v>
      </c>
      <c r="DT6" s="0" t="s">
        <v>30</v>
      </c>
      <c r="DU6" s="0" t="s">
        <v>30</v>
      </c>
      <c r="DV6" s="0" t="s">
        <v>30</v>
      </c>
      <c r="DW6" s="0" t="s">
        <v>30</v>
      </c>
      <c r="DX6" s="0" t="s">
        <v>30</v>
      </c>
      <c r="DY6" s="0" t="s">
        <v>30</v>
      </c>
      <c r="DZ6" s="0" t="s">
        <v>30</v>
      </c>
      <c r="EA6" s="0" t="s">
        <v>30</v>
      </c>
      <c r="EB6" s="0" t="s">
        <v>30</v>
      </c>
      <c r="EC6" s="0" t="s">
        <v>30</v>
      </c>
      <c r="ED6" s="0" t="s">
        <v>30</v>
      </c>
      <c r="EE6" s="0" t="s">
        <v>30</v>
      </c>
      <c r="EF6" s="0" t="s">
        <v>30</v>
      </c>
      <c r="EG6" s="0" t="s">
        <v>30</v>
      </c>
      <c r="EH6" s="0" t="s">
        <v>30</v>
      </c>
      <c r="EI6" s="0" t="s">
        <v>30</v>
      </c>
      <c r="EJ6" s="0" t="s">
        <v>30</v>
      </c>
      <c r="EK6" s="0" t="s">
        <v>30</v>
      </c>
      <c r="EL6" s="0" t="s">
        <v>30</v>
      </c>
      <c r="EM6" s="0" t="s">
        <v>30</v>
      </c>
      <c r="EN6" s="0" t="s">
        <v>30</v>
      </c>
      <c r="EO6" s="0" t="s">
        <v>30</v>
      </c>
      <c r="EP6" s="0" t="s">
        <v>30</v>
      </c>
      <c r="EQ6" s="0" t="s">
        <v>30</v>
      </c>
      <c r="ER6" s="0" t="s">
        <v>30</v>
      </c>
      <c r="ES6" s="0" t="s">
        <v>30</v>
      </c>
      <c r="ET6" s="0" t="s">
        <v>30</v>
      </c>
      <c r="EU6" s="0" t="s">
        <v>30</v>
      </c>
      <c r="EV6" s="0" t="s">
        <v>30</v>
      </c>
      <c r="EW6" s="0" t="s">
        <v>30</v>
      </c>
      <c r="EX6" s="0" t="s">
        <v>30</v>
      </c>
      <c r="EY6" s="0" t="s">
        <v>30</v>
      </c>
      <c r="EZ6" s="0" t="s">
        <v>30</v>
      </c>
      <c r="FA6" s="0" t="s">
        <v>30</v>
      </c>
      <c r="FB6" s="0" t="s">
        <v>30</v>
      </c>
      <c r="FC6" s="0" t="s">
        <v>30</v>
      </c>
      <c r="FD6" s="0" t="s">
        <v>30</v>
      </c>
      <c r="FE6" s="0" t="s">
        <v>30</v>
      </c>
      <c r="FF6" s="0" t="s">
        <v>30</v>
      </c>
      <c r="FG6" s="0" t="s">
        <v>30</v>
      </c>
      <c r="FH6" s="0" t="s">
        <v>30</v>
      </c>
      <c r="FI6" s="0" t="s">
        <v>30</v>
      </c>
      <c r="FK6" s="0" t="s">
        <v>30</v>
      </c>
      <c r="FL6" s="0" t="s">
        <v>30</v>
      </c>
      <c r="FM6" s="0" t="s">
        <v>30</v>
      </c>
      <c r="FN6" s="0" t="s">
        <v>30</v>
      </c>
      <c r="FO6" s="0" t="s">
        <v>30</v>
      </c>
      <c r="FP6" s="0" t="s">
        <v>30</v>
      </c>
      <c r="FQ6" s="0" t="s">
        <v>30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30</v>
      </c>
      <c r="B7" s="8"/>
      <c r="C7" s="8" t="s">
        <v>30</v>
      </c>
      <c r="D7" s="40"/>
      <c r="E7" s="8" t="s">
        <v>30</v>
      </c>
      <c r="F7" s="8" t="s">
        <v>30</v>
      </c>
      <c r="G7" s="8">
        <v>40</v>
      </c>
      <c r="H7" s="8" t="s">
        <v>30</v>
      </c>
      <c r="I7" s="8" t="s">
        <v>30</v>
      </c>
      <c r="J7" s="8" t="s">
        <v>16</v>
      </c>
      <c r="K7" s="8" t="s">
        <v>30</v>
      </c>
      <c r="L7" s="8" t="s">
        <v>30</v>
      </c>
      <c r="M7" s="8"/>
      <c r="N7" s="8"/>
      <c r="O7" s="8"/>
      <c r="Q7" s="0" t="s">
        <v>30</v>
      </c>
      <c r="R7" s="0" t="s">
        <v>30</v>
      </c>
      <c r="T7" s="0" t="s">
        <v>30</v>
      </c>
      <c r="U7" s="0" t="s">
        <v>40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  <c r="AC7" s="0" t="s">
        <v>44</v>
      </c>
      <c r="AD7" s="0" t="s">
        <v>30</v>
      </c>
      <c r="AE7" s="0" t="s">
        <v>30</v>
      </c>
      <c r="AF7" s="0" t="s">
        <v>30</v>
      </c>
      <c r="AH7" s="0" t="s">
        <v>30</v>
      </c>
      <c r="AI7" s="0" t="s">
        <v>16</v>
      </c>
      <c r="AJ7" s="0" t="s">
        <v>18</v>
      </c>
      <c r="AK7" s="0" t="s">
        <v>55</v>
      </c>
      <c r="AL7" s="0">
        <v>40</v>
      </c>
      <c r="AQ7" s="0" t="s">
        <v>37</v>
      </c>
      <c r="AS7" s="0" t="s">
        <v>45</v>
      </c>
      <c r="AW7" s="0" t="s">
        <v>30</v>
      </c>
      <c r="AX7" s="0" t="s">
        <v>30</v>
      </c>
      <c r="AY7" s="0" t="s">
        <v>30</v>
      </c>
      <c r="AZ7" s="0" t="s">
        <v>50</v>
      </c>
      <c r="BB7" s="0" t="s">
        <v>30</v>
      </c>
      <c r="BC7" s="0" t="s">
        <v>30</v>
      </c>
      <c r="BD7" s="0" t="s">
        <v>30</v>
      </c>
      <c r="BE7" s="0" t="s">
        <v>30</v>
      </c>
      <c r="BF7" s="0" t="s">
        <v>30</v>
      </c>
      <c r="BG7" s="0" t="s">
        <v>30</v>
      </c>
      <c r="BH7" s="0" t="s">
        <v>30</v>
      </c>
      <c r="BI7" s="0" t="s">
        <v>30</v>
      </c>
      <c r="BJ7" s="0" t="s">
        <v>30</v>
      </c>
      <c r="BK7" s="0" t="s">
        <v>30</v>
      </c>
      <c r="BL7" s="0" t="s">
        <v>30</v>
      </c>
      <c r="BM7" s="0" t="s">
        <v>30</v>
      </c>
      <c r="BN7" s="0" t="s">
        <v>30</v>
      </c>
      <c r="BO7" s="0" t="s">
        <v>30</v>
      </c>
      <c r="BP7" s="0" t="s">
        <v>30</v>
      </c>
      <c r="BQ7" s="0" t="s">
        <v>30</v>
      </c>
      <c r="BR7" s="0" t="s">
        <v>30</v>
      </c>
      <c r="BS7" s="0" t="s">
        <v>30</v>
      </c>
      <c r="BT7" s="0" t="s">
        <v>30</v>
      </c>
      <c r="BU7" s="0" t="s">
        <v>30</v>
      </c>
      <c r="BV7" s="0" t="s">
        <v>30</v>
      </c>
      <c r="BW7" s="0" t="s">
        <v>30</v>
      </c>
      <c r="BX7" s="0" t="s">
        <v>30</v>
      </c>
      <c r="BY7" s="0" t="s">
        <v>30</v>
      </c>
      <c r="BZ7" s="0" t="s">
        <v>30</v>
      </c>
      <c r="CA7" s="0" t="s">
        <v>30</v>
      </c>
      <c r="CB7" s="0" t="s">
        <v>30</v>
      </c>
      <c r="CC7" s="0" t="s">
        <v>30</v>
      </c>
      <c r="CD7" s="0" t="s">
        <v>30</v>
      </c>
      <c r="CE7" s="0" t="s">
        <v>30</v>
      </c>
      <c r="CF7" s="0" t="s">
        <v>30</v>
      </c>
      <c r="CG7" s="0" t="s">
        <v>30</v>
      </c>
      <c r="CH7" s="0" t="s">
        <v>30</v>
      </c>
      <c r="CI7" s="0" t="s">
        <v>30</v>
      </c>
      <c r="CJ7" s="0" t="s">
        <v>30</v>
      </c>
      <c r="CK7" s="0" t="s">
        <v>30</v>
      </c>
      <c r="CL7" s="0" t="s">
        <v>30</v>
      </c>
      <c r="CM7" s="0" t="s">
        <v>30</v>
      </c>
      <c r="CN7" s="0" t="s">
        <v>30</v>
      </c>
      <c r="CO7" s="0" t="s">
        <v>30</v>
      </c>
      <c r="CP7" s="0" t="s">
        <v>30</v>
      </c>
      <c r="CQ7" s="0" t="s">
        <v>30</v>
      </c>
      <c r="CR7" s="0" t="s">
        <v>30</v>
      </c>
      <c r="CS7" s="0" t="s">
        <v>30</v>
      </c>
      <c r="CT7" s="0" t="s">
        <v>30</v>
      </c>
      <c r="CU7" s="0" t="s">
        <v>30</v>
      </c>
      <c r="CV7" s="0" t="s">
        <v>30</v>
      </c>
      <c r="CW7" s="0" t="s">
        <v>30</v>
      </c>
      <c r="CX7" s="0" t="s">
        <v>30</v>
      </c>
      <c r="CY7" s="0" t="s">
        <v>30</v>
      </c>
      <c r="CZ7" s="0" t="s">
        <v>30</v>
      </c>
      <c r="DA7" s="0" t="s">
        <v>30</v>
      </c>
      <c r="DB7" s="0" t="s">
        <v>30</v>
      </c>
      <c r="DC7" s="0" t="s">
        <v>30</v>
      </c>
      <c r="DD7" s="0" t="s">
        <v>30</v>
      </c>
      <c r="DE7" s="0" t="s">
        <v>30</v>
      </c>
      <c r="DF7" s="0" t="s">
        <v>30</v>
      </c>
      <c r="DG7" s="0" t="s">
        <v>30</v>
      </c>
      <c r="DH7" s="0" t="s">
        <v>30</v>
      </c>
      <c r="DI7" s="0" t="s">
        <v>30</v>
      </c>
      <c r="DJ7" s="0" t="s">
        <v>30</v>
      </c>
      <c r="DK7" s="0" t="s">
        <v>30</v>
      </c>
      <c r="DL7" s="0" t="s">
        <v>30</v>
      </c>
      <c r="DM7" s="0" t="s">
        <v>30</v>
      </c>
      <c r="DN7" s="0" t="s">
        <v>30</v>
      </c>
      <c r="DO7" s="0" t="s">
        <v>30</v>
      </c>
      <c r="DP7" s="0" t="s">
        <v>30</v>
      </c>
      <c r="DQ7" s="0" t="s">
        <v>30</v>
      </c>
      <c r="DR7" s="0" t="s">
        <v>30</v>
      </c>
      <c r="DS7" s="0" t="s">
        <v>30</v>
      </c>
      <c r="DT7" s="0" t="s">
        <v>30</v>
      </c>
      <c r="DU7" s="0" t="s">
        <v>30</v>
      </c>
      <c r="DV7" s="0" t="s">
        <v>30</v>
      </c>
      <c r="DW7" s="0" t="s">
        <v>30</v>
      </c>
      <c r="DX7" s="0" t="s">
        <v>30</v>
      </c>
      <c r="DY7" s="0" t="s">
        <v>30</v>
      </c>
      <c r="DZ7" s="0" t="s">
        <v>30</v>
      </c>
      <c r="EA7" s="0" t="s">
        <v>30</v>
      </c>
      <c r="EB7" s="0" t="s">
        <v>30</v>
      </c>
      <c r="EC7" s="0" t="s">
        <v>30</v>
      </c>
      <c r="ED7" s="0" t="s">
        <v>30</v>
      </c>
      <c r="EE7" s="0" t="s">
        <v>30</v>
      </c>
      <c r="EF7" s="0" t="s">
        <v>30</v>
      </c>
      <c r="EG7" s="0" t="s">
        <v>30</v>
      </c>
      <c r="EH7" s="0" t="s">
        <v>30</v>
      </c>
      <c r="EI7" s="0" t="s">
        <v>30</v>
      </c>
      <c r="EJ7" s="0" t="s">
        <v>30</v>
      </c>
      <c r="EK7" s="0" t="s">
        <v>30</v>
      </c>
      <c r="EL7" s="0" t="s">
        <v>30</v>
      </c>
      <c r="EM7" s="0" t="s">
        <v>30</v>
      </c>
      <c r="EN7" s="0" t="s">
        <v>30</v>
      </c>
      <c r="EO7" s="0" t="s">
        <v>30</v>
      </c>
      <c r="EP7" s="0" t="s">
        <v>30</v>
      </c>
      <c r="EQ7" s="0" t="s">
        <v>30</v>
      </c>
      <c r="ER7" s="0" t="s">
        <v>30</v>
      </c>
      <c r="ES7" s="0" t="s">
        <v>30</v>
      </c>
      <c r="ET7" s="0" t="s">
        <v>30</v>
      </c>
      <c r="EU7" s="0" t="s">
        <v>30</v>
      </c>
      <c r="EV7" s="0" t="s">
        <v>30</v>
      </c>
      <c r="EW7" s="0" t="s">
        <v>30</v>
      </c>
      <c r="EX7" s="0" t="s">
        <v>30</v>
      </c>
      <c r="EY7" s="0" t="s">
        <v>30</v>
      </c>
      <c r="EZ7" s="0" t="s">
        <v>30</v>
      </c>
      <c r="FA7" s="0" t="s">
        <v>30</v>
      </c>
      <c r="FB7" s="0" t="s">
        <v>30</v>
      </c>
      <c r="FC7" s="0" t="s">
        <v>30</v>
      </c>
      <c r="FD7" s="0" t="s">
        <v>30</v>
      </c>
      <c r="FE7" s="0" t="s">
        <v>30</v>
      </c>
      <c r="FF7" s="0" t="s">
        <v>30</v>
      </c>
      <c r="FG7" s="0" t="s">
        <v>30</v>
      </c>
      <c r="FH7" s="0" t="s">
        <v>30</v>
      </c>
      <c r="FI7" s="0" t="s">
        <v>30</v>
      </c>
      <c r="FK7" s="0" t="s">
        <v>30</v>
      </c>
      <c r="FL7" s="0" t="s">
        <v>30</v>
      </c>
      <c r="FM7" s="0" t="s">
        <v>30</v>
      </c>
      <c r="FN7" s="0" t="s">
        <v>30</v>
      </c>
      <c r="FO7" s="0" t="s">
        <v>30</v>
      </c>
      <c r="FP7" s="0" t="s">
        <v>30</v>
      </c>
      <c r="FQ7" s="0" t="s">
        <v>30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DB524D5-7647-4847-AC9A-58726BF0FA2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9C08DFA-28F9-4581-BE01-FA338E36F1A5}">
          <x14:formula1>
            <xm:f>VerifySubOrder!$4:$4</xm:f>
          </x14:formula1>
          <xm:sqref>E3</xm:sqref>
        </x14:dataValidation>
        <x14:dataValidation type="list" allowBlank="1" showInputMessage="1" showErrorMessage="1" prompt="Choose an available module" xr:uid="{F59FEEA6-3B98-4121-BCF5-44A0F2835576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30</v>
      </c>
      <c r="B6" s="43"/>
      <c r="C6" s="35" t="s">
        <v>16</v>
      </c>
      <c r="D6" s="43">
        <v>10</v>
      </c>
      <c r="E6" s="35" t="s">
        <v>31</v>
      </c>
      <c r="F6" s="35" t="s">
        <v>52</v>
      </c>
      <c r="G6" s="36">
        <v>15</v>
      </c>
      <c r="H6" s="35" t="s">
        <v>58</v>
      </c>
      <c r="I6" s="36"/>
      <c r="J6" s="36"/>
      <c r="K6" s="36"/>
      <c r="L6" s="36"/>
      <c r="M6" s="36"/>
      <c r="N6" s="36">
        <v>-150</v>
      </c>
      <c r="O6" s="35" t="s">
        <v>39</v>
      </c>
      <c r="P6" s="35"/>
      <c r="Q6" s="36">
        <v>-150</v>
      </c>
      <c r="R6" s="35" t="s">
        <v>59</v>
      </c>
      <c r="S6" s="35" t="s">
        <v>47</v>
      </c>
      <c r="T6" s="35" t="s">
        <v>34</v>
      </c>
      <c r="U6" s="35" t="s">
        <v>49</v>
      </c>
      <c r="V6" s="35" t="s">
        <v>41</v>
      </c>
      <c r="W6" s="35" t="s">
        <v>40</v>
      </c>
      <c r="X6" s="36">
        <v>1</v>
      </c>
      <c r="Y6" s="36">
        <v>1</v>
      </c>
      <c r="Z6" s="35"/>
      <c r="AA6" s="35"/>
      <c r="AB6" s="36"/>
      <c r="AC6" s="36"/>
      <c r="AD6" s="36"/>
      <c r="AE6" s="36"/>
      <c r="AF6" s="36">
        <v>10</v>
      </c>
      <c r="AG6" s="36"/>
      <c r="AH6" s="36"/>
      <c r="AI6" s="36"/>
      <c r="AJ6" s="36"/>
      <c r="AK6" s="36">
        <v>-150</v>
      </c>
      <c r="AL6" s="36">
        <v>1</v>
      </c>
      <c r="AM6" s="36">
        <v>1</v>
      </c>
      <c r="AN6" s="35" t="s">
        <v>18</v>
      </c>
      <c r="AO6" s="35"/>
      <c r="AP6" s="35" t="s">
        <v>58</v>
      </c>
      <c r="AQ6" s="35" t="s">
        <v>16</v>
      </c>
      <c r="AR6" s="36">
        <v>0</v>
      </c>
      <c r="AS6" s="36">
        <v>1</v>
      </c>
      <c r="AT6" s="35"/>
      <c r="AU6" s="35" t="s">
        <v>44</v>
      </c>
      <c r="AV6" s="36">
        <v>1</v>
      </c>
      <c r="AW6" s="36">
        <v>-150</v>
      </c>
      <c r="AX6" s="36"/>
      <c r="AY6" s="36"/>
      <c r="AZ6" s="36"/>
      <c r="BA6" s="36"/>
      <c r="BB6" s="36"/>
      <c r="BC6" s="36">
        <v>1</v>
      </c>
      <c r="BD6" s="36">
        <v>-150</v>
      </c>
      <c r="BE6" s="35" t="s">
        <v>34</v>
      </c>
      <c r="BF6" s="35" t="s">
        <v>60</v>
      </c>
      <c r="BG6" s="35" t="s">
        <v>61</v>
      </c>
      <c r="BH6" s="35"/>
      <c r="BI6" s="36">
        <v>5</v>
      </c>
      <c r="BJ6" s="36"/>
      <c r="BK6" s="36"/>
      <c r="BL6" s="36"/>
      <c r="BM6" s="36"/>
      <c r="BN6" s="36"/>
      <c r="BO6" s="36">
        <v>-150</v>
      </c>
      <c r="BP6" s="36">
        <v>0</v>
      </c>
      <c r="BQ6" s="35" t="s">
        <v>50</v>
      </c>
      <c r="BR6" s="35" t="s">
        <v>37</v>
      </c>
      <c r="BS6" s="36"/>
      <c r="BT6" s="36"/>
      <c r="BU6" s="35" t="s">
        <v>34</v>
      </c>
      <c r="BV6" s="35"/>
      <c r="BW6" s="36"/>
      <c r="BX6" s="36"/>
      <c r="BY6" s="36"/>
      <c r="BZ6" s="36"/>
      <c r="CA6" s="36"/>
      <c r="CB6" s="36"/>
      <c r="CC6" s="36"/>
      <c r="CD6" s="36">
        <v>-150</v>
      </c>
      <c r="CE6" s="36"/>
      <c r="CF6" s="36"/>
      <c r="CG6" s="36">
        <v>-150</v>
      </c>
      <c r="CH6" s="36">
        <v>-100</v>
      </c>
      <c r="CI6" s="36"/>
      <c r="CJ6" s="36"/>
      <c r="CK6" s="44" t="b">
        <v>0</v>
      </c>
      <c r="CL6" s="35"/>
      <c r="CM6" s="35"/>
      <c r="CN6" s="35" t="s">
        <v>16</v>
      </c>
      <c r="CO6" s="35" t="s">
        <v>16</v>
      </c>
      <c r="CP6" s="35" t="s">
        <v>35</v>
      </c>
      <c r="CQ6" s="35"/>
      <c r="CR6" s="36"/>
      <c r="CS6" s="36">
        <v>15</v>
      </c>
      <c r="CT6" s="35"/>
      <c r="CU6" s="35"/>
      <c r="CV6" s="35"/>
      <c r="CW6" s="35"/>
      <c r="CX6" s="35"/>
      <c r="CY6" s="35" t="s">
        <v>43</v>
      </c>
      <c r="CZ6" s="35" t="s">
        <v>62</v>
      </c>
      <c r="DA6" s="36"/>
      <c r="DB6" s="36"/>
      <c r="DC6" s="36"/>
      <c r="DD6" s="36">
        <v>10</v>
      </c>
      <c r="DE6" s="36"/>
      <c r="DF6" s="36"/>
      <c r="DG6" s="36"/>
      <c r="DH6" s="35" t="s">
        <v>63</v>
      </c>
      <c r="DI6" s="36">
        <v>0</v>
      </c>
      <c r="DJ6" s="35" t="s">
        <v>18</v>
      </c>
      <c r="DK6" s="36"/>
      <c r="DL6" s="36"/>
      <c r="DM6" s="36">
        <v>1</v>
      </c>
      <c r="DN6" s="36">
        <v>0</v>
      </c>
      <c r="DO6" s="35"/>
      <c r="DP6" s="35" t="s">
        <v>58</v>
      </c>
      <c r="DQ6" s="35" t="s">
        <v>64</v>
      </c>
      <c r="DR6" s="35" t="s">
        <v>65</v>
      </c>
      <c r="DS6" s="35" t="s">
        <v>64</v>
      </c>
      <c r="DT6" s="35" t="s">
        <v>64</v>
      </c>
      <c r="DU6" s="35" t="s">
        <v>66</v>
      </c>
      <c r="DV6" s="35" t="s">
        <v>64</v>
      </c>
      <c r="DW6" s="35" t="s">
        <v>64</v>
      </c>
      <c r="DX6" s="35" t="s">
        <v>64</v>
      </c>
      <c r="DY6" s="35" t="s">
        <v>64</v>
      </c>
      <c r="DZ6" s="35" t="s">
        <v>39</v>
      </c>
      <c r="EA6" s="35" t="s">
        <v>66</v>
      </c>
      <c r="EB6" s="35" t="s">
        <v>64</v>
      </c>
      <c r="EC6" s="35" t="s">
        <v>64</v>
      </c>
      <c r="ED6" s="35" t="s">
        <v>40</v>
      </c>
      <c r="EE6" s="35" t="s">
        <v>67</v>
      </c>
      <c r="EF6" s="36"/>
      <c r="EG6" s="36"/>
      <c r="EH6" s="36"/>
      <c r="EI6" s="36"/>
      <c r="EJ6" s="35" t="s">
        <v>30</v>
      </c>
      <c r="EK6" s="35" t="s">
        <v>30</v>
      </c>
      <c r="EL6" s="35" t="s">
        <v>30</v>
      </c>
      <c r="EM6" s="35" t="s">
        <v>30</v>
      </c>
      <c r="EN6" s="35" t="s">
        <v>30</v>
      </c>
      <c r="EO6" s="35" t="s">
        <v>30</v>
      </c>
      <c r="EP6" s="35" t="s">
        <v>30</v>
      </c>
      <c r="EQ6" s="35" t="s">
        <v>30</v>
      </c>
      <c r="ER6" s="35" t="s">
        <v>30</v>
      </c>
      <c r="ES6" s="35" t="s">
        <v>30</v>
      </c>
      <c r="ET6" s="35" t="s">
        <v>30</v>
      </c>
      <c r="EU6" s="35" t="s">
        <v>30</v>
      </c>
      <c r="EV6" s="35" t="s">
        <v>30</v>
      </c>
      <c r="EW6" s="35" t="s">
        <v>30</v>
      </c>
      <c r="EX6" s="35" t="s">
        <v>30</v>
      </c>
      <c r="EY6" s="35" t="s">
        <v>30</v>
      </c>
      <c r="EZ6" s="35" t="s">
        <v>30</v>
      </c>
      <c r="FA6" s="35" t="s">
        <v>30</v>
      </c>
      <c r="FB6" s="35" t="s">
        <v>30</v>
      </c>
      <c r="FC6" s="35"/>
      <c r="FD6" s="36"/>
      <c r="FE6" s="35"/>
      <c r="FF6" s="36"/>
      <c r="FG6" s="36"/>
      <c r="FH6" s="36">
        <v>10</v>
      </c>
      <c r="FI6" s="35" t="s">
        <v>30</v>
      </c>
      <c r="FJ6" s="35"/>
      <c r="FK6" s="35" t="s">
        <v>30</v>
      </c>
      <c r="FL6" s="35" t="s">
        <v>30</v>
      </c>
      <c r="FM6" s="36">
        <v>0</v>
      </c>
      <c r="FN6" s="36">
        <v>0</v>
      </c>
      <c r="FO6" s="36">
        <v>0</v>
      </c>
      <c r="FP6" s="36">
        <v>0</v>
      </c>
      <c r="FQ6" s="36">
        <v>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322AAA9-B5AE-4B5E-9D87-4A490CECC88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ED82B8B-2F96-42A1-BD68-96B43F7A64BB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31AA9E78-2256-4BFD-83C5-ED35701CF523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68</v>
      </c>
      <c r="C6" s="33">
        <v>50</v>
      </c>
      <c r="D6" s="31"/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6">
        <v>50</v>
      </c>
      <c r="Y6" s="37">
        <f>TODAY()</f>
        <v>45855</v>
      </c>
      <c r="Z6" s="46">
        <f>TODAY()-1</f>
        <v>45854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F6C4823-5E26-4A16-917D-88A38435447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C60ED30-6077-451F-81B8-AD2BFB8AF3DE}">
          <x14:formula1>
            <xm:f>CustomOrderTT2!$4:$4</xm:f>
          </x14:formula1>
          <xm:sqref>E3</xm:sqref>
        </x14:dataValidation>
        <x14:dataValidation type="list" allowBlank="1" showInputMessage="1" showErrorMessage="1" prompt="Choose an available module" xr:uid="{3E9D6997-0982-4852-8400-32FE3B8F3BA3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68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9C20356-E4BB-4494-BDF6-A7063834556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E666445-F4C5-4C8C-866E-29FB2926AE3E}">
          <x14:formula1>
            <xm:f>SelectTrade1!$4:$4</xm:f>
          </x14:formula1>
          <xm:sqref>E3</xm:sqref>
        </x14:dataValidation>
        <x14:dataValidation type="list" allowBlank="1" showInputMessage="1" showErrorMessage="1" prompt="Choose an available module" xr:uid="{EBC32243-9C62-45E2-9B0F-CB6F85BB3583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68</v>
      </c>
      <c r="E6" s="39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102958-97D2-43AB-88E8-D7E9185DCF4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84270CE-EB52-4C1D-A79C-98539FA4200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5772DC3-C969-4C9E-90BF-30A24F38E15F}">
          <x14:formula1>
            <xm:f>SelectTradeOnOrderGrid1!$4:$4</xm:f>
          </x14:formula1>
          <xm:sqref>E3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68</v>
      </c>
      <c r="AK6" s="35" t="s">
        <v>18</v>
      </c>
      <c r="AL6" s="35" t="s">
        <v>70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85FD51E-CE1D-4BFF-8D05-70A7B4E773A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68FD0F3-CE76-479D-A647-EEB18ADAA7A6}">
          <x14:formula1>
            <xm:f>ReplaceSubOrder!$4:$4</xm:f>
          </x14:formula1>
          <xm:sqref>E3</xm:sqref>
        </x14:dataValidation>
        <x14:dataValidation type="list" allowBlank="1" showInputMessage="1" showErrorMessage="1" prompt="Choose an available module" xr:uid="{E17E5BC5-E682-41BB-A299-39E6BB63C03B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68</v>
      </c>
      <c r="C6" s="34" t="s">
        <v>18</v>
      </c>
      <c r="D6" s="38">
        <v>200</v>
      </c>
      <c r="E6" s="35"/>
      <c r="F6" s="35"/>
      <c r="G6" s="35"/>
      <c r="H6" s="35"/>
      <c r="I6" s="35"/>
      <c r="J6" s="35"/>
      <c r="K6" s="35"/>
      <c r="L6" s="33">
        <v>50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14513A1-A34E-43DC-8366-992B226DA67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7C68492-5D8E-48D7-96AD-613FCB33341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99894CF-67A8-44C1-BCA4-0C6E057C6330}">
          <x14:formula1>
            <xm:f>CreateReplaceOrder!$4:$4</xm:f>
          </x14:formula1>
          <xm:sqref>E3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68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601B952-0D9D-4277-A384-D1E30DA2296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AE1E017-E6F5-44D9-816D-D2B38C7AFDA5}">
          <x14:formula1>
            <xm:f>AcknowledgeTrade1!$4:$4</xm:f>
          </x14:formula1>
          <xm:sqref>E3</xm:sqref>
        </x14:dataValidation>
        <x14:dataValidation type="list" allowBlank="1" showInputMessage="1" showErrorMessage="1" prompt="Choose an available module" xr:uid="{9D99BF2E-AE59-4F4A-9EC7-5D3F9273937B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30</v>
      </c>
      <c r="B6" s="31"/>
      <c r="C6" s="35"/>
      <c r="D6" s="38">
        <v>15</v>
      </c>
      <c r="E6" s="34" t="s">
        <v>72</v>
      </c>
      <c r="F6" s="35"/>
      <c r="G6" s="33">
        <v>180</v>
      </c>
      <c r="H6" s="34" t="s">
        <v>41</v>
      </c>
      <c r="I6" s="35"/>
      <c r="J6" s="34" t="s">
        <v>68</v>
      </c>
      <c r="K6" s="34" t="s">
        <v>49</v>
      </c>
      <c r="L6" s="34" t="s">
        <v>48</v>
      </c>
      <c r="M6" s="35"/>
      <c r="N6" s="35"/>
      <c r="O6" s="35"/>
      <c r="P6" s="35"/>
      <c r="Q6" s="35"/>
      <c r="R6" s="35"/>
      <c r="S6" s="35"/>
      <c r="T6" s="35"/>
      <c r="U6" s="35" t="s">
        <v>40</v>
      </c>
      <c r="V6" s="35"/>
      <c r="W6" s="35"/>
      <c r="X6" s="35"/>
      <c r="Y6" s="35"/>
      <c r="Z6" s="35"/>
      <c r="AA6" s="35" t="s">
        <v>52</v>
      </c>
      <c r="AB6" s="35"/>
      <c r="AC6" s="35" t="s">
        <v>44</v>
      </c>
      <c r="AD6" s="36">
        <v>1</v>
      </c>
      <c r="AE6" s="35"/>
      <c r="AF6" s="35" t="s">
        <v>42</v>
      </c>
      <c r="AG6" s="35"/>
      <c r="AH6" s="35"/>
      <c r="AI6" s="35" t="s">
        <v>68</v>
      </c>
      <c r="AJ6" s="35" t="s">
        <v>18</v>
      </c>
      <c r="AK6" s="35"/>
      <c r="AL6" s="36">
        <v>200</v>
      </c>
      <c r="AM6" s="36">
        <v>20</v>
      </c>
      <c r="AN6" s="35"/>
      <c r="AO6" s="35"/>
      <c r="AP6" s="35"/>
      <c r="AQ6" s="35" t="s">
        <v>37</v>
      </c>
      <c r="AR6" s="35" t="s">
        <v>31</v>
      </c>
      <c r="AS6" s="35" t="s">
        <v>45</v>
      </c>
      <c r="AT6" s="36">
        <v>300</v>
      </c>
      <c r="AU6" s="36">
        <v>300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 t="s">
        <v>30</v>
      </c>
      <c r="BJ6" s="35" t="s">
        <v>30</v>
      </c>
      <c r="BK6" s="35" t="s">
        <v>30</v>
      </c>
      <c r="BL6" s="35" t="s">
        <v>30</v>
      </c>
      <c r="BM6" s="35" t="s">
        <v>30</v>
      </c>
      <c r="BN6" s="35" t="s">
        <v>30</v>
      </c>
      <c r="BO6" s="35" t="s">
        <v>30</v>
      </c>
      <c r="BP6" s="35" t="s">
        <v>30</v>
      </c>
      <c r="BQ6" s="35" t="s">
        <v>30</v>
      </c>
      <c r="BR6" s="35" t="s">
        <v>30</v>
      </c>
      <c r="BS6" s="35" t="s">
        <v>30</v>
      </c>
      <c r="BT6" s="35" t="s">
        <v>30</v>
      </c>
      <c r="BU6" s="35" t="s">
        <v>30</v>
      </c>
      <c r="BV6" s="35" t="s">
        <v>30</v>
      </c>
      <c r="BW6" s="35" t="s">
        <v>30</v>
      </c>
      <c r="BX6" s="35" t="s">
        <v>30</v>
      </c>
      <c r="BY6" s="35" t="s">
        <v>30</v>
      </c>
      <c r="BZ6" s="35" t="s">
        <v>30</v>
      </c>
      <c r="CA6" s="35" t="s">
        <v>30</v>
      </c>
      <c r="CB6" s="35" t="s">
        <v>30</v>
      </c>
      <c r="CC6" s="35" t="s">
        <v>30</v>
      </c>
      <c r="CD6" s="35" t="s">
        <v>30</v>
      </c>
      <c r="CE6" s="35" t="s">
        <v>30</v>
      </c>
      <c r="CF6" s="35" t="s">
        <v>30</v>
      </c>
      <c r="CG6" s="35" t="s">
        <v>30</v>
      </c>
      <c r="CH6" s="35" t="s">
        <v>30</v>
      </c>
      <c r="CI6" s="35" t="s">
        <v>30</v>
      </c>
      <c r="CJ6" s="35" t="s">
        <v>30</v>
      </c>
      <c r="CK6" s="35" t="s">
        <v>30</v>
      </c>
      <c r="CL6" s="35" t="s">
        <v>30</v>
      </c>
      <c r="CM6" s="35" t="s">
        <v>30</v>
      </c>
      <c r="CN6" s="35" t="s">
        <v>30</v>
      </c>
      <c r="CO6" s="35" t="s">
        <v>30</v>
      </c>
      <c r="CP6" s="35" t="s">
        <v>30</v>
      </c>
      <c r="CQ6" s="35" t="s">
        <v>30</v>
      </c>
      <c r="CR6" s="35" t="s">
        <v>30</v>
      </c>
      <c r="CS6" s="35" t="s">
        <v>30</v>
      </c>
      <c r="CT6" s="35" t="s">
        <v>30</v>
      </c>
      <c r="CU6" s="35" t="s">
        <v>30</v>
      </c>
      <c r="CV6" s="35" t="s">
        <v>30</v>
      </c>
      <c r="CW6" s="35" t="s">
        <v>30</v>
      </c>
      <c r="CX6" s="35" t="s">
        <v>30</v>
      </c>
      <c r="CY6" s="35" t="s">
        <v>30</v>
      </c>
      <c r="CZ6" s="35" t="s">
        <v>30</v>
      </c>
      <c r="DA6" s="35" t="s">
        <v>30</v>
      </c>
      <c r="DB6" s="35" t="s">
        <v>30</v>
      </c>
      <c r="DC6" s="35" t="s">
        <v>30</v>
      </c>
      <c r="DD6" s="35" t="s">
        <v>30</v>
      </c>
      <c r="DE6" s="35" t="s">
        <v>30</v>
      </c>
      <c r="DF6" s="35" t="s">
        <v>30</v>
      </c>
      <c r="DG6" s="35" t="s">
        <v>30</v>
      </c>
      <c r="DH6" s="35" t="s">
        <v>30</v>
      </c>
      <c r="DI6" s="35" t="s">
        <v>30</v>
      </c>
      <c r="DJ6" s="35" t="s">
        <v>30</v>
      </c>
      <c r="DK6" s="35" t="s">
        <v>30</v>
      </c>
      <c r="DL6" s="35" t="s">
        <v>30</v>
      </c>
      <c r="DM6" s="35" t="s">
        <v>30</v>
      </c>
      <c r="DN6" s="35" t="s">
        <v>30</v>
      </c>
      <c r="DO6" s="35" t="s">
        <v>30</v>
      </c>
      <c r="DP6" s="35" t="s">
        <v>30</v>
      </c>
      <c r="DQ6" s="35" t="s">
        <v>30</v>
      </c>
      <c r="DR6" s="35" t="s">
        <v>30</v>
      </c>
      <c r="DS6" s="35" t="s">
        <v>30</v>
      </c>
      <c r="DT6" s="35" t="s">
        <v>30</v>
      </c>
      <c r="DU6" s="35" t="s">
        <v>30</v>
      </c>
      <c r="DV6" s="35" t="s">
        <v>30</v>
      </c>
      <c r="DW6" s="35" t="s">
        <v>30</v>
      </c>
      <c r="DX6" s="35" t="s">
        <v>30</v>
      </c>
      <c r="DY6" s="35" t="s">
        <v>30</v>
      </c>
      <c r="DZ6" s="35" t="s">
        <v>30</v>
      </c>
      <c r="EA6" s="35" t="s">
        <v>30</v>
      </c>
      <c r="EB6" s="35" t="s">
        <v>30</v>
      </c>
      <c r="EC6" s="35" t="s">
        <v>30</v>
      </c>
      <c r="ED6" s="35" t="s">
        <v>30</v>
      </c>
      <c r="EE6" s="35" t="s">
        <v>30</v>
      </c>
      <c r="EF6" s="35" t="s">
        <v>30</v>
      </c>
      <c r="EG6" s="35" t="s">
        <v>30</v>
      </c>
      <c r="EH6" s="35" t="s">
        <v>30</v>
      </c>
      <c r="EI6" s="35" t="s">
        <v>30</v>
      </c>
      <c r="EJ6" s="35" t="s">
        <v>30</v>
      </c>
      <c r="EK6" s="35" t="s">
        <v>30</v>
      </c>
      <c r="EL6" s="35" t="s">
        <v>30</v>
      </c>
      <c r="EM6" s="35" t="s">
        <v>30</v>
      </c>
      <c r="EN6" s="35" t="s">
        <v>30</v>
      </c>
      <c r="EO6" s="35" t="s">
        <v>30</v>
      </c>
      <c r="EP6" s="35" t="s">
        <v>30</v>
      </c>
      <c r="EQ6" s="35" t="s">
        <v>30</v>
      </c>
      <c r="ER6" s="35" t="s">
        <v>30</v>
      </c>
      <c r="ES6" s="35" t="s">
        <v>30</v>
      </c>
      <c r="ET6" s="35" t="s">
        <v>30</v>
      </c>
      <c r="EU6" s="35" t="s">
        <v>30</v>
      </c>
      <c r="EV6" s="35" t="s">
        <v>30</v>
      </c>
      <c r="EW6" s="35" t="s">
        <v>30</v>
      </c>
      <c r="EX6" s="35" t="s">
        <v>30</v>
      </c>
      <c r="EY6" s="35" t="s">
        <v>30</v>
      </c>
      <c r="EZ6" s="35" t="s">
        <v>30</v>
      </c>
      <c r="FA6" s="35" t="s">
        <v>30</v>
      </c>
      <c r="FB6" s="35" t="s">
        <v>30</v>
      </c>
      <c r="FC6" s="35" t="s">
        <v>30</v>
      </c>
      <c r="FD6" s="35" t="s">
        <v>30</v>
      </c>
      <c r="FE6" s="35" t="s">
        <v>30</v>
      </c>
      <c r="FF6" s="35" t="s">
        <v>30</v>
      </c>
      <c r="FG6" s="35" t="s">
        <v>30</v>
      </c>
      <c r="FH6" s="35" t="s">
        <v>30</v>
      </c>
      <c r="FI6" s="35" t="s">
        <v>30</v>
      </c>
      <c r="FJ6" s="35" t="s">
        <v>30</v>
      </c>
      <c r="FK6" s="35" t="s">
        <v>30</v>
      </c>
      <c r="FL6" s="35" t="s">
        <v>30</v>
      </c>
      <c r="FM6" s="35" t="s">
        <v>30</v>
      </c>
      <c r="FN6" s="35" t="s">
        <v>30</v>
      </c>
      <c r="FO6" s="35" t="s">
        <v>30</v>
      </c>
      <c r="FP6" s="35" t="s">
        <v>30</v>
      </c>
      <c r="FQ6" s="35" t="s">
        <v>30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13F2D3C-3221-4D1C-B9EA-6827C877B86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75D4F56-0CA3-4830-B308-9C2FEF79F0D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7117067-429B-445E-8FB8-7C688B0D627D}">
          <x14:formula1>
            <xm:f>VerifySubOrder1!$4:$4</xm:f>
          </x14:formula1>
          <xm:sqref>E3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30</v>
      </c>
      <c r="B6" s="32" t="s">
        <v>31</v>
      </c>
      <c r="C6" s="34" t="s">
        <v>32</v>
      </c>
      <c r="D6" s="38">
        <v>0</v>
      </c>
      <c r="E6" s="33">
        <v>10</v>
      </c>
      <c r="F6" s="34" t="s">
        <v>33</v>
      </c>
      <c r="G6" s="34" t="s">
        <v>34</v>
      </c>
      <c r="H6" s="33">
        <v>4</v>
      </c>
      <c r="I6" s="33">
        <v>5</v>
      </c>
      <c r="J6" s="33">
        <v>1</v>
      </c>
      <c r="K6" s="33">
        <v>15</v>
      </c>
      <c r="L6" s="33">
        <v>15</v>
      </c>
      <c r="M6" s="34" t="s">
        <v>35</v>
      </c>
      <c r="N6" s="34" t="s">
        <v>36</v>
      </c>
      <c r="O6" s="34" t="s">
        <v>37</v>
      </c>
      <c r="P6" s="35"/>
      <c r="Q6" s="36">
        <v>3</v>
      </c>
      <c r="R6" s="36">
        <v>0</v>
      </c>
      <c r="S6" s="35" t="s">
        <v>38</v>
      </c>
      <c r="T6" s="36">
        <v>0</v>
      </c>
      <c r="U6" s="36">
        <v>0</v>
      </c>
      <c r="V6" s="35" t="s">
        <v>39</v>
      </c>
      <c r="W6" s="36">
        <v>1</v>
      </c>
      <c r="X6" s="36">
        <v>0</v>
      </c>
      <c r="Y6" s="35" t="s">
        <v>30</v>
      </c>
      <c r="Z6" s="35" t="s">
        <v>40</v>
      </c>
      <c r="AA6" s="36" t="s">
        <v>16</v>
      </c>
      <c r="AB6" s="36">
        <v>1</v>
      </c>
      <c r="AC6" s="35"/>
      <c r="AD6" s="35" t="s">
        <v>41</v>
      </c>
      <c r="AE6" s="36">
        <v>10</v>
      </c>
      <c r="AF6" s="35" t="s">
        <v>30</v>
      </c>
      <c r="AG6" s="35"/>
      <c r="AH6" s="35" t="s">
        <v>42</v>
      </c>
      <c r="AI6" s="36">
        <v>1</v>
      </c>
      <c r="AJ6" s="35" t="s">
        <v>43</v>
      </c>
      <c r="AK6" s="35"/>
      <c r="AL6" s="35"/>
      <c r="AM6" s="35" t="s">
        <v>44</v>
      </c>
      <c r="AN6" s="44" t="b">
        <v>0</v>
      </c>
      <c r="AO6" s="35"/>
      <c r="AP6" s="44" t="b">
        <v>0</v>
      </c>
      <c r="AQ6" s="44" t="b">
        <v>0</v>
      </c>
      <c r="AR6" s="44" t="b">
        <v>1</v>
      </c>
      <c r="AS6" s="36">
        <v>0</v>
      </c>
      <c r="AT6" s="36">
        <v>164.0001</v>
      </c>
      <c r="AU6" s="36">
        <v>164.0001</v>
      </c>
      <c r="AV6" s="35"/>
      <c r="AW6" s="36">
        <v>0</v>
      </c>
      <c r="AX6" s="36">
        <v>0</v>
      </c>
      <c r="AY6" s="35" t="s">
        <v>45</v>
      </c>
      <c r="AZ6" s="36">
        <v>0</v>
      </c>
      <c r="BA6" s="35"/>
      <c r="BB6" s="35"/>
      <c r="BC6" s="36">
        <v>0</v>
      </c>
      <c r="BD6" s="35" t="s">
        <v>46</v>
      </c>
      <c r="BE6" s="36">
        <v>150</v>
      </c>
      <c r="BF6" s="36">
        <v>150</v>
      </c>
      <c r="BG6" s="35"/>
      <c r="BH6" s="35"/>
      <c r="BI6" s="35"/>
      <c r="BJ6" s="36">
        <v>50</v>
      </c>
      <c r="BK6" s="36">
        <v>0</v>
      </c>
      <c r="BL6" s="35" t="s">
        <v>30</v>
      </c>
      <c r="BM6" s="35" t="s">
        <v>40</v>
      </c>
      <c r="BN6" s="35"/>
      <c r="BO6" s="35" t="s">
        <v>18</v>
      </c>
      <c r="BP6" s="36">
        <v>0</v>
      </c>
      <c r="BQ6" s="36">
        <v>0</v>
      </c>
      <c r="BR6" s="36">
        <v>0.0001</v>
      </c>
      <c r="BS6" s="35" t="s">
        <v>47</v>
      </c>
      <c r="BT6" s="35" t="s">
        <v>16</v>
      </c>
      <c r="BU6" s="36">
        <v>3</v>
      </c>
      <c r="BV6" s="36">
        <v>0</v>
      </c>
      <c r="BW6" s="36">
        <v>14.0001</v>
      </c>
      <c r="BX6" s="36">
        <v>0</v>
      </c>
      <c r="BY6" s="35"/>
      <c r="BZ6" s="35"/>
      <c r="CA6" s="35"/>
      <c r="CB6" s="35"/>
      <c r="CC6" s="35"/>
      <c r="CD6" s="35"/>
      <c r="CE6" s="35"/>
      <c r="CF6" s="35" t="s">
        <v>48</v>
      </c>
      <c r="CG6" s="36">
        <v>2</v>
      </c>
      <c r="CH6" s="41" t="s">
        <v>12</v>
      </c>
      <c r="CI6" s="35" t="s">
        <v>18</v>
      </c>
      <c r="CJ6" s="36">
        <v>0</v>
      </c>
      <c r="CK6" s="35" t="s">
        <v>49</v>
      </c>
      <c r="CL6" s="36">
        <v>1</v>
      </c>
      <c r="CM6" s="35" t="s">
        <v>16</v>
      </c>
      <c r="CN6" s="35" t="s">
        <v>50</v>
      </c>
      <c r="CO6" s="35" t="s">
        <v>41</v>
      </c>
      <c r="CP6" s="35" t="s">
        <v>51</v>
      </c>
      <c r="CQ6" s="35"/>
      <c r="CR6" s="35"/>
      <c r="CS6" s="35" t="s">
        <v>30</v>
      </c>
      <c r="CT6" s="35"/>
      <c r="CU6" s="35"/>
      <c r="CV6" s="35"/>
      <c r="CW6" s="36">
        <v>0</v>
      </c>
      <c r="CX6" s="35" t="s">
        <v>52</v>
      </c>
      <c r="CY6" s="47" t="b">
        <v>1</v>
      </c>
      <c r="CZ6" s="35" t="s">
        <v>30</v>
      </c>
      <c r="DA6" s="35" t="s">
        <v>30</v>
      </c>
      <c r="DB6" s="35" t="s">
        <v>30</v>
      </c>
      <c r="DC6" s="35" t="s">
        <v>30</v>
      </c>
      <c r="DD6" s="35" t="s">
        <v>30</v>
      </c>
      <c r="DE6" s="35" t="s">
        <v>30</v>
      </c>
      <c r="DF6" s="35" t="s">
        <v>30</v>
      </c>
      <c r="DG6" s="35" t="s">
        <v>30</v>
      </c>
      <c r="DH6" s="35" t="s">
        <v>30</v>
      </c>
      <c r="DI6" s="35" t="s">
        <v>30</v>
      </c>
      <c r="DJ6" s="35" t="s">
        <v>30</v>
      </c>
      <c r="DK6" s="35" t="s">
        <v>30</v>
      </c>
      <c r="DL6" s="35" t="s">
        <v>30</v>
      </c>
      <c r="DM6" s="35" t="s">
        <v>30</v>
      </c>
      <c r="DN6" s="35" t="s">
        <v>30</v>
      </c>
      <c r="DO6" s="35" t="s">
        <v>30</v>
      </c>
      <c r="DP6" s="35" t="s">
        <v>30</v>
      </c>
      <c r="DQ6" s="35" t="s">
        <v>30</v>
      </c>
      <c r="DR6" s="35" t="s">
        <v>30</v>
      </c>
      <c r="DS6" s="35" t="s">
        <v>30</v>
      </c>
      <c r="DT6" s="35" t="s">
        <v>30</v>
      </c>
      <c r="DU6" s="35" t="s">
        <v>30</v>
      </c>
      <c r="DV6" s="35" t="s">
        <v>30</v>
      </c>
      <c r="DW6" s="35" t="s">
        <v>30</v>
      </c>
      <c r="DX6" s="35" t="s">
        <v>30</v>
      </c>
      <c r="DY6" s="35" t="s">
        <v>30</v>
      </c>
      <c r="DZ6" s="35" t="s">
        <v>30</v>
      </c>
      <c r="EA6" s="35" t="s">
        <v>30</v>
      </c>
      <c r="EB6" s="35" t="s">
        <v>30</v>
      </c>
      <c r="EC6" s="35" t="s">
        <v>30</v>
      </c>
      <c r="ED6" s="35" t="s">
        <v>30</v>
      </c>
      <c r="EE6" s="35" t="s">
        <v>30</v>
      </c>
      <c r="EF6" s="35" t="s">
        <v>30</v>
      </c>
      <c r="EG6" s="35" t="s">
        <v>30</v>
      </c>
      <c r="EH6" s="35" t="s">
        <v>30</v>
      </c>
      <c r="EI6" s="35" t="s">
        <v>30</v>
      </c>
      <c r="EJ6" s="35" t="s">
        <v>30</v>
      </c>
      <c r="EK6" s="35" t="s">
        <v>30</v>
      </c>
      <c r="EL6" s="35" t="s">
        <v>30</v>
      </c>
      <c r="EM6" s="35" t="s">
        <v>30</v>
      </c>
      <c r="EN6" s="35" t="s">
        <v>30</v>
      </c>
      <c r="EO6" s="35" t="s">
        <v>30</v>
      </c>
      <c r="EP6" s="35" t="s">
        <v>30</v>
      </c>
      <c r="EQ6" s="35" t="s">
        <v>30</v>
      </c>
      <c r="ER6" s="35" t="s">
        <v>30</v>
      </c>
      <c r="ES6" s="35" t="s">
        <v>30</v>
      </c>
      <c r="ET6" s="35" t="s">
        <v>30</v>
      </c>
      <c r="EU6" s="35" t="s">
        <v>30</v>
      </c>
      <c r="EV6" s="35" t="s">
        <v>30</v>
      </c>
      <c r="EW6" s="35" t="s">
        <v>30</v>
      </c>
      <c r="EX6" s="35" t="s">
        <v>30</v>
      </c>
      <c r="EY6" s="35" t="s">
        <v>30</v>
      </c>
      <c r="EZ6" s="35" t="s">
        <v>30</v>
      </c>
      <c r="FA6" s="35" t="s">
        <v>30</v>
      </c>
      <c r="FB6" s="35" t="s">
        <v>30</v>
      </c>
      <c r="FC6" s="35" t="s">
        <v>30</v>
      </c>
      <c r="FD6" s="35" t="s">
        <v>30</v>
      </c>
      <c r="FE6" s="35" t="s">
        <v>30</v>
      </c>
      <c r="FF6" s="35" t="s">
        <v>30</v>
      </c>
      <c r="FG6" s="35" t="s">
        <v>30</v>
      </c>
      <c r="FH6" s="35" t="s">
        <v>30</v>
      </c>
      <c r="FI6" s="35" t="s">
        <v>30</v>
      </c>
      <c r="FJ6" s="35" t="s">
        <v>30</v>
      </c>
      <c r="FK6" s="35" t="s">
        <v>30</v>
      </c>
      <c r="FL6" s="35" t="s">
        <v>30</v>
      </c>
      <c r="FM6" s="35" t="s">
        <v>30</v>
      </c>
      <c r="FN6" s="35" t="s">
        <v>30</v>
      </c>
      <c r="FO6" s="35" t="s">
        <v>30</v>
      </c>
      <c r="FP6" s="35" t="s">
        <v>30</v>
      </c>
      <c r="FQ6" s="35" t="s">
        <v>30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30</v>
      </c>
      <c r="B7" s="8" t="s">
        <v>31</v>
      </c>
      <c r="C7" s="8" t="s">
        <v>32</v>
      </c>
      <c r="D7" s="8">
        <v>0</v>
      </c>
      <c r="E7" s="8">
        <v>20</v>
      </c>
      <c r="F7" s="8" t="s">
        <v>33</v>
      </c>
      <c r="G7" s="8" t="s">
        <v>34</v>
      </c>
      <c r="H7" s="8">
        <v>4</v>
      </c>
      <c r="I7" s="8">
        <v>5</v>
      </c>
      <c r="J7" s="8">
        <v>1</v>
      </c>
      <c r="K7" s="8">
        <v>15</v>
      </c>
      <c r="L7" s="8">
        <v>15</v>
      </c>
      <c r="M7" s="8" t="s">
        <v>72</v>
      </c>
      <c r="N7" s="8" t="s">
        <v>36</v>
      </c>
      <c r="O7" s="8" t="s">
        <v>37</v>
      </c>
      <c r="Q7" s="0">
        <v>3</v>
      </c>
      <c r="R7" s="0">
        <v>0</v>
      </c>
      <c r="S7" s="0" t="s">
        <v>38</v>
      </c>
      <c r="T7" s="0">
        <v>0</v>
      </c>
      <c r="U7" s="0">
        <v>0</v>
      </c>
      <c r="V7" s="0" t="s">
        <v>73</v>
      </c>
      <c r="W7" s="0">
        <v>1</v>
      </c>
      <c r="X7" s="0">
        <v>0</v>
      </c>
      <c r="Y7" s="0" t="s">
        <v>30</v>
      </c>
      <c r="Z7" s="0" t="s">
        <v>40</v>
      </c>
      <c r="AA7" s="0">
        <v>594918104</v>
      </c>
      <c r="AB7" s="0">
        <v>1</v>
      </c>
      <c r="AD7" s="0" t="s">
        <v>41</v>
      </c>
      <c r="AE7" s="0">
        <v>20</v>
      </c>
      <c r="AF7" s="0" t="s">
        <v>30</v>
      </c>
      <c r="AH7" s="0" t="s">
        <v>42</v>
      </c>
      <c r="AI7" s="0">
        <v>1</v>
      </c>
      <c r="AJ7" s="0" t="s">
        <v>43</v>
      </c>
      <c r="AM7" s="0" t="s">
        <v>44</v>
      </c>
      <c r="AN7" s="0" t="b">
        <v>0</v>
      </c>
      <c r="AP7" s="0" t="b">
        <v>0</v>
      </c>
      <c r="AQ7" s="0" t="b">
        <v>0</v>
      </c>
      <c r="AR7" s="0" t="b">
        <v>1</v>
      </c>
      <c r="AS7" s="0">
        <v>0</v>
      </c>
      <c r="AT7" s="0">
        <v>314.0002</v>
      </c>
      <c r="AU7" s="0">
        <v>314.0002</v>
      </c>
      <c r="AW7" s="0">
        <v>0</v>
      </c>
      <c r="AX7" s="0">
        <v>0</v>
      </c>
      <c r="AY7" s="0" t="s">
        <v>45</v>
      </c>
      <c r="AZ7" s="0">
        <v>0</v>
      </c>
      <c r="BC7" s="0">
        <v>0</v>
      </c>
      <c r="BD7" s="0" t="s">
        <v>46</v>
      </c>
      <c r="BE7" s="0">
        <v>300</v>
      </c>
      <c r="BF7" s="0">
        <v>300</v>
      </c>
      <c r="BJ7" s="0">
        <v>200</v>
      </c>
      <c r="BK7" s="0">
        <v>0</v>
      </c>
      <c r="BL7" s="0" t="s">
        <v>30</v>
      </c>
      <c r="BM7" s="0" t="s">
        <v>40</v>
      </c>
      <c r="BO7" s="0" t="s">
        <v>18</v>
      </c>
      <c r="BP7" s="0">
        <v>0</v>
      </c>
      <c r="BQ7" s="0">
        <v>0</v>
      </c>
      <c r="BR7" s="0">
        <v>0.0002</v>
      </c>
      <c r="BS7" s="0" t="s">
        <v>47</v>
      </c>
      <c r="BT7" s="0" t="s">
        <v>68</v>
      </c>
      <c r="BU7" s="0">
        <v>3</v>
      </c>
      <c r="BV7" s="0">
        <v>0</v>
      </c>
      <c r="BW7" s="0">
        <v>14.0002</v>
      </c>
      <c r="BX7" s="0">
        <v>0</v>
      </c>
      <c r="CF7" s="0" t="s">
        <v>48</v>
      </c>
      <c r="CG7" s="0">
        <v>2</v>
      </c>
      <c r="CH7" s="41" t="s">
        <v>12</v>
      </c>
      <c r="CI7" s="0" t="s">
        <v>18</v>
      </c>
      <c r="CJ7" s="0">
        <v>0</v>
      </c>
      <c r="CK7" s="0" t="s">
        <v>49</v>
      </c>
      <c r="CL7" s="0">
        <v>1</v>
      </c>
      <c r="CM7" s="0" t="s">
        <v>68</v>
      </c>
      <c r="CN7" s="0" t="s">
        <v>50</v>
      </c>
      <c r="CO7" s="0" t="s">
        <v>41</v>
      </c>
      <c r="CP7" s="0" t="s">
        <v>51</v>
      </c>
      <c r="CS7" s="0" t="s">
        <v>30</v>
      </c>
      <c r="CW7" s="0">
        <v>0</v>
      </c>
      <c r="CX7" s="0" t="s">
        <v>52</v>
      </c>
      <c r="CY7" s="0" t="s">
        <v>30</v>
      </c>
      <c r="CZ7" s="0" t="s">
        <v>30</v>
      </c>
      <c r="DA7" s="0" t="s">
        <v>30</v>
      </c>
      <c r="DB7" s="0" t="s">
        <v>30</v>
      </c>
      <c r="DC7" s="0" t="s">
        <v>30</v>
      </c>
      <c r="DD7" s="0" t="s">
        <v>30</v>
      </c>
      <c r="DE7" s="0" t="s">
        <v>30</v>
      </c>
      <c r="DF7" s="0" t="s">
        <v>30</v>
      </c>
      <c r="DG7" s="0" t="s">
        <v>30</v>
      </c>
      <c r="DH7" s="0" t="s">
        <v>30</v>
      </c>
      <c r="DI7" s="0" t="s">
        <v>30</v>
      </c>
      <c r="DJ7" s="0" t="s">
        <v>30</v>
      </c>
      <c r="DK7" s="0" t="s">
        <v>30</v>
      </c>
      <c r="DL7" s="0" t="s">
        <v>30</v>
      </c>
      <c r="DM7" s="0" t="s">
        <v>30</v>
      </c>
      <c r="DN7" s="0" t="s">
        <v>30</v>
      </c>
      <c r="DO7" s="0" t="s">
        <v>30</v>
      </c>
      <c r="DP7" s="0" t="s">
        <v>30</v>
      </c>
      <c r="DQ7" s="0" t="s">
        <v>30</v>
      </c>
      <c r="DR7" s="0" t="s">
        <v>30</v>
      </c>
      <c r="DS7" s="0" t="s">
        <v>30</v>
      </c>
      <c r="DT7" s="0" t="s">
        <v>30</v>
      </c>
      <c r="DU7" s="0" t="s">
        <v>30</v>
      </c>
      <c r="DV7" s="0" t="s">
        <v>30</v>
      </c>
      <c r="DW7" s="0" t="s">
        <v>30</v>
      </c>
      <c r="DX7" s="0" t="s">
        <v>30</v>
      </c>
      <c r="DY7" s="0" t="s">
        <v>30</v>
      </c>
      <c r="DZ7" s="0" t="s">
        <v>30</v>
      </c>
      <c r="EA7" s="0" t="s">
        <v>30</v>
      </c>
      <c r="EB7" s="0" t="s">
        <v>30</v>
      </c>
      <c r="EC7" s="0" t="s">
        <v>30</v>
      </c>
      <c r="ED7" s="0" t="s">
        <v>30</v>
      </c>
      <c r="EE7" s="0" t="s">
        <v>30</v>
      </c>
      <c r="EF7" s="0" t="s">
        <v>30</v>
      </c>
      <c r="EG7" s="0" t="s">
        <v>30</v>
      </c>
      <c r="EH7" s="0" t="s">
        <v>30</v>
      </c>
      <c r="EI7" s="0" t="s">
        <v>30</v>
      </c>
      <c r="EJ7" s="0" t="s">
        <v>30</v>
      </c>
      <c r="EK7" s="0" t="s">
        <v>30</v>
      </c>
      <c r="EL7" s="0" t="s">
        <v>30</v>
      </c>
      <c r="EM7" s="0" t="s">
        <v>30</v>
      </c>
      <c r="EN7" s="0" t="s">
        <v>30</v>
      </c>
      <c r="EO7" s="0" t="s">
        <v>30</v>
      </c>
      <c r="EP7" s="0" t="s">
        <v>30</v>
      </c>
      <c r="EQ7" s="0" t="s">
        <v>30</v>
      </c>
      <c r="ER7" s="0" t="s">
        <v>30</v>
      </c>
      <c r="ES7" s="0" t="s">
        <v>30</v>
      </c>
      <c r="ET7" s="0" t="s">
        <v>30</v>
      </c>
      <c r="EU7" s="0" t="s">
        <v>30</v>
      </c>
      <c r="EV7" s="0" t="s">
        <v>30</v>
      </c>
      <c r="EW7" s="0" t="s">
        <v>30</v>
      </c>
      <c r="EX7" s="0" t="s">
        <v>30</v>
      </c>
      <c r="EY7" s="0" t="s">
        <v>30</v>
      </c>
      <c r="EZ7" s="0" t="s">
        <v>30</v>
      </c>
      <c r="FA7" s="0" t="s">
        <v>30</v>
      </c>
      <c r="FB7" s="0" t="s">
        <v>30</v>
      </c>
      <c r="FC7" s="0" t="s">
        <v>30</v>
      </c>
      <c r="FD7" s="0" t="s">
        <v>30</v>
      </c>
      <c r="FE7" s="0" t="s">
        <v>30</v>
      </c>
      <c r="FF7" s="0" t="s">
        <v>30</v>
      </c>
      <c r="FG7" s="0" t="s">
        <v>30</v>
      </c>
      <c r="FH7" s="0" t="s">
        <v>30</v>
      </c>
      <c r="FI7" s="0" t="s">
        <v>30</v>
      </c>
      <c r="FJ7" s="0" t="s">
        <v>30</v>
      </c>
      <c r="FK7" s="0" t="s">
        <v>30</v>
      </c>
      <c r="FL7" s="0" t="s">
        <v>30</v>
      </c>
      <c r="FM7" s="0" t="s">
        <v>30</v>
      </c>
      <c r="FN7" s="0" t="s">
        <v>30</v>
      </c>
      <c r="FO7" s="0" t="s">
        <v>30</v>
      </c>
      <c r="FP7" s="0" t="s">
        <v>30</v>
      </c>
      <c r="FQ7" s="0" t="s">
        <v>30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AC34EC4-6575-48A0-BC07-6B666BBA619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86154E7-90E7-4282-AC81-364C6513EB43}">
          <x14:formula1>
            <xm:f>CheckAllocatedGroups1!$4:$4</xm:f>
          </x14:formula1>
          <xm:sqref>E3</xm:sqref>
        </x14:dataValidation>
        <x14:dataValidation type="list" allowBlank="1" showInputMessage="1" showErrorMessage="1" prompt="Choose an available module" xr:uid="{A93AC8BC-F7A4-4F51-A43E-DA2A804DF45B}">
          <x14:formula1>
            <xm:f>'_Modules'!$A$4:$A$1000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30</v>
      </c>
      <c r="B6" s="31"/>
      <c r="C6" s="34" t="s">
        <v>68</v>
      </c>
      <c r="D6" s="38">
        <v>20</v>
      </c>
      <c r="E6" s="34" t="s">
        <v>31</v>
      </c>
      <c r="F6" s="34" t="s">
        <v>52</v>
      </c>
      <c r="G6" s="33">
        <v>15</v>
      </c>
      <c r="H6" s="34" t="s">
        <v>58</v>
      </c>
      <c r="I6" s="35"/>
      <c r="J6" s="35"/>
      <c r="K6" s="35"/>
      <c r="L6" s="35"/>
      <c r="M6" s="35"/>
      <c r="N6" s="33">
        <v>-300</v>
      </c>
      <c r="O6" s="34" t="s">
        <v>73</v>
      </c>
      <c r="P6" s="35"/>
      <c r="Q6" s="36">
        <v>-300</v>
      </c>
      <c r="R6" s="35" t="s">
        <v>59</v>
      </c>
      <c r="S6" s="35" t="s">
        <v>47</v>
      </c>
      <c r="T6" s="35" t="s">
        <v>34</v>
      </c>
      <c r="U6" s="35" t="s">
        <v>49</v>
      </c>
      <c r="V6" s="35" t="s">
        <v>41</v>
      </c>
      <c r="W6" s="35" t="s">
        <v>40</v>
      </c>
      <c r="X6" s="36">
        <v>1</v>
      </c>
      <c r="Y6" s="36">
        <v>1</v>
      </c>
      <c r="Z6" s="35"/>
      <c r="AA6" s="35"/>
      <c r="AB6" s="35"/>
      <c r="AC6" s="35"/>
      <c r="AD6" s="35"/>
      <c r="AE6" s="35"/>
      <c r="AF6" s="36">
        <v>20</v>
      </c>
      <c r="AG6" s="35"/>
      <c r="AH6" s="35"/>
      <c r="AI6" s="35"/>
      <c r="AJ6" s="35"/>
      <c r="AK6" s="36">
        <v>-300</v>
      </c>
      <c r="AL6" s="36">
        <v>1</v>
      </c>
      <c r="AM6" s="36">
        <v>1</v>
      </c>
      <c r="AN6" s="35" t="s">
        <v>18</v>
      </c>
      <c r="AO6" s="35"/>
      <c r="AP6" s="35" t="s">
        <v>58</v>
      </c>
      <c r="AQ6" s="35" t="s">
        <v>68</v>
      </c>
      <c r="AR6" s="36">
        <v>0</v>
      </c>
      <c r="AS6" s="36">
        <v>1</v>
      </c>
      <c r="AT6" s="35"/>
      <c r="AU6" s="35" t="s">
        <v>44</v>
      </c>
      <c r="AV6" s="36">
        <v>1</v>
      </c>
      <c r="AW6" s="36">
        <v>-300</v>
      </c>
      <c r="AX6" s="35"/>
      <c r="AY6" s="35"/>
      <c r="AZ6" s="35"/>
      <c r="BA6" s="35"/>
      <c r="BB6" s="35"/>
      <c r="BC6" s="36">
        <v>1</v>
      </c>
      <c r="BD6" s="36">
        <v>-300</v>
      </c>
      <c r="BE6" s="35" t="s">
        <v>34</v>
      </c>
      <c r="BF6" s="35" t="s">
        <v>74</v>
      </c>
      <c r="BG6" s="48" t="s">
        <v>75</v>
      </c>
      <c r="BH6" s="35"/>
      <c r="BI6" s="35"/>
      <c r="BJ6" s="35"/>
      <c r="BK6" s="35"/>
      <c r="BL6" s="35"/>
      <c r="BM6" s="35"/>
      <c r="BN6" s="35"/>
      <c r="BO6" s="36">
        <v>-300</v>
      </c>
      <c r="BP6" s="36">
        <v>0</v>
      </c>
      <c r="BQ6" s="35" t="s">
        <v>50</v>
      </c>
      <c r="BR6" s="35" t="s">
        <v>37</v>
      </c>
      <c r="BS6" s="35"/>
      <c r="BT6" s="35"/>
      <c r="BU6" s="35" t="s">
        <v>34</v>
      </c>
      <c r="BV6" s="35"/>
      <c r="BW6" s="35"/>
      <c r="BX6" s="35"/>
      <c r="BY6" s="35"/>
      <c r="BZ6" s="35"/>
      <c r="CA6" s="35"/>
      <c r="CB6" s="35"/>
      <c r="CC6" s="35"/>
      <c r="CD6" s="36">
        <v>-300</v>
      </c>
      <c r="CE6" s="35"/>
      <c r="CF6" s="35"/>
      <c r="CG6" s="36">
        <v>-300</v>
      </c>
      <c r="CH6" s="36">
        <v>-100</v>
      </c>
      <c r="CI6" s="35"/>
      <c r="CJ6" s="35"/>
      <c r="CK6" s="44" t="b">
        <v>0</v>
      </c>
      <c r="CL6" s="35"/>
      <c r="CM6" s="35"/>
      <c r="CN6" s="36">
        <v>2588173</v>
      </c>
      <c r="CO6" s="36">
        <v>594918104</v>
      </c>
      <c r="CP6" s="48" t="s">
        <v>72</v>
      </c>
      <c r="CQ6" s="35"/>
      <c r="CR6" s="35"/>
      <c r="CS6" s="36">
        <v>15</v>
      </c>
      <c r="CT6" s="35"/>
      <c r="CU6" s="35"/>
      <c r="CV6" s="35"/>
      <c r="CW6" s="35"/>
      <c r="CX6" s="35"/>
      <c r="CY6" s="35" t="s">
        <v>43</v>
      </c>
      <c r="CZ6" s="35" t="s">
        <v>62</v>
      </c>
      <c r="DA6" s="35"/>
      <c r="DB6" s="35"/>
      <c r="DC6" s="35"/>
      <c r="DD6" s="36">
        <v>20</v>
      </c>
      <c r="DE6" s="35"/>
      <c r="DF6" s="35"/>
      <c r="DG6" s="35"/>
      <c r="DH6" s="35"/>
      <c r="DI6" s="35"/>
      <c r="DJ6" s="35" t="s">
        <v>18</v>
      </c>
      <c r="DK6" s="35"/>
      <c r="DL6" s="35"/>
      <c r="DM6" s="36">
        <v>1</v>
      </c>
      <c r="DN6" s="36">
        <v>0</v>
      </c>
      <c r="DO6" s="35"/>
      <c r="DP6" s="35" t="s">
        <v>58</v>
      </c>
      <c r="DQ6" s="35" t="s">
        <v>63</v>
      </c>
      <c r="DR6" s="48" t="s">
        <v>76</v>
      </c>
      <c r="DS6" s="35"/>
      <c r="DT6" s="35"/>
      <c r="DU6" s="35"/>
      <c r="DV6" s="35"/>
      <c r="DW6" s="35"/>
      <c r="DX6" s="35"/>
      <c r="DY6" s="35"/>
      <c r="DZ6" s="35" t="s">
        <v>73</v>
      </c>
      <c r="EA6" s="35" t="s">
        <v>67</v>
      </c>
      <c r="EB6" s="35"/>
      <c r="EC6" s="35"/>
      <c r="ED6" s="35" t="s">
        <v>40</v>
      </c>
      <c r="EE6" s="35" t="s">
        <v>67</v>
      </c>
      <c r="EF6" s="35"/>
      <c r="EG6" s="35"/>
      <c r="EH6" s="35"/>
      <c r="EI6" s="35"/>
      <c r="EJ6" s="35"/>
      <c r="EK6" s="35" t="s">
        <v>30</v>
      </c>
      <c r="EL6" s="35" t="s">
        <v>30</v>
      </c>
      <c r="EM6" s="35" t="s">
        <v>30</v>
      </c>
      <c r="EN6" s="35" t="s">
        <v>30</v>
      </c>
      <c r="EO6" s="35" t="s">
        <v>30</v>
      </c>
      <c r="EP6" s="35" t="s">
        <v>30</v>
      </c>
      <c r="EQ6" s="35" t="s">
        <v>30</v>
      </c>
      <c r="ER6" s="35" t="s">
        <v>30</v>
      </c>
      <c r="ES6" s="35" t="s">
        <v>30</v>
      </c>
      <c r="ET6" s="35" t="s">
        <v>30</v>
      </c>
      <c r="EU6" s="35" t="s">
        <v>30</v>
      </c>
      <c r="EV6" s="35" t="s">
        <v>30</v>
      </c>
      <c r="EW6" s="35" t="s">
        <v>30</v>
      </c>
      <c r="EX6" s="35" t="s">
        <v>30</v>
      </c>
      <c r="EY6" s="35" t="s">
        <v>30</v>
      </c>
      <c r="EZ6" s="35" t="s">
        <v>30</v>
      </c>
      <c r="FA6" s="35" t="s">
        <v>30</v>
      </c>
      <c r="FB6" s="35" t="s">
        <v>30</v>
      </c>
      <c r="FC6" s="35" t="s">
        <v>77</v>
      </c>
      <c r="FD6" s="35"/>
      <c r="FE6" s="35"/>
      <c r="FF6" s="35"/>
      <c r="FG6" s="35"/>
      <c r="FH6" s="36">
        <v>20</v>
      </c>
      <c r="FI6" s="35" t="s">
        <v>30</v>
      </c>
      <c r="FJ6" s="35"/>
      <c r="FK6" s="35" t="s">
        <v>30</v>
      </c>
      <c r="FL6" s="35" t="s">
        <v>30</v>
      </c>
      <c r="FM6" s="36">
        <v>0</v>
      </c>
      <c r="FN6" s="36">
        <v>0</v>
      </c>
      <c r="FO6" s="36">
        <v>0</v>
      </c>
      <c r="FP6" s="36">
        <v>0</v>
      </c>
      <c r="FQ6" s="36">
        <v>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89A089-A365-4983-BC60-57CF8AAF401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B381F9F-E067-4615-B9AD-A415010F7BA9}">
          <x14:formula1>
            <xm:f>CheckPortfolioManagement1!$4:$4</xm:f>
          </x14:formula1>
          <xm:sqref>E3</xm:sqref>
        </x14:dataValidation>
        <x14:dataValidation type="list" allowBlank="1" showInputMessage="1" showErrorMessage="1" prompt="Choose an available module" xr:uid="{C1D87885-0FDE-402C-864A-C88ABE489007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79</v>
      </c>
      <c r="C6" s="8"/>
      <c r="D6" s="13" t="s">
        <v>80</v>
      </c>
      <c r="E6" s="39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0CDD69A-C4B7-428D-B8F4-270133A8A4F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A4BB972-2DF2-44A9-A5FE-C18CE514D214}">
          <x14:formula1>
            <xm:f>'Copy of Data'!$4:$4</xm:f>
          </x14:formula1>
          <xm:sqref>E3</xm:sqref>
        </x14:dataValidation>
        <x14:dataValidation type="list" allowBlank="1" showInputMessage="1" showErrorMessage="1" prompt="Choose an available module" xr:uid="{3E86E8E6-24D9-4D2B-93E7-8DBB12EC8B24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