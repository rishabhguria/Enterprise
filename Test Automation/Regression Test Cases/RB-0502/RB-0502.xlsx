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OrViewModelPortfolio" sheetId="4" r:id="rId6"/>
  </sheets>
  <definedNames/>
  <calcPr/>
</workbook>
</file>

<file path=xl/sharedStrings.xml><?xml version="1.0" encoding="utf-8"?>
<sst xmlns="http://schemas.openxmlformats.org/spreadsheetml/2006/main" count="22" uniqueCount="20">
  <si>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</si>
  <si>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</si>
  <si>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</si>
  <si>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</si>
  <si>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</si>
  <si>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</si>
  <si>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</si>
  <si>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</si>
  <si>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</si>
  <si>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</si>
  <si>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</si>
  <si>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</si>
  <si>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</si>
  <si>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CreateOrViewModelPortfolio</t>
  </si>
  <si>
    <t>Data Format</t>
  </si>
  <si>
    <t>Input Format</t>
  </si>
  <si>
    <t>customPortfolio</t>
  </si>
  <si>
    <t>Account</t>
  </si>
  <si>
    <t>Allocation1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</si>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</sst>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IFERROR(__xludf.DUMMYFUNCTION("""COMPUTED_VALUE"""),"Portfolio Name")</f>
        <v>Portfolio Name</v>
      </c>
      <c r="C5" s="28" t="str">
        <f>IFERROR(__xludf.DUMMYFUNCTION("""COMPUTED_VALUE"""),"Portfolio Type")</f>
        <v>Portfolio Type</v>
      </c>
      <c r="D5" s="28" t="str">
        <f>IFERROR(__xludf.DUMMYFUNCTION("""COMPUTED_VALUE"""),"Position Type")</f>
        <v>Position Type</v>
      </c>
      <c r="E5" s="28" t="str">
        <f>IFERROR(__xludf.DUMMYFUNCTION("""COMPUTED_VALUE"""),"Model Type")</f>
        <v>Model Type</v>
      </c>
      <c r="F5" s="29" t="str">
        <f>IFERROR(__xludf.DUMMYFUNCTION("""COMPUTED_VALUE"""),"Account")</f>
        <v>Account</v>
      </c>
      <c r="G5" s="28" t="str">
        <f>IFERROR(__xludf.DUMMYFUNCTION("""COMPUTED_VALUE"""),"MasterFund")</f>
        <v>MasterFund</v>
      </c>
      <c r="H5" s="28" t="str">
        <f>IFERROR(__xludf.DUMMYFUNCTION("""COMPUTED_VALUE"""),"Custom Group")</f>
        <v>Custom Group</v>
      </c>
      <c r="I5" s="28" t="str">
        <f>IFERROR(__xludf.DUMMYFUNCTION("""COMPUTED_VALUE"""),"ImportModelPortfolioPath")</f>
        <v>ImportModelPortfolioPath</v>
      </c>
      <c r="J5" s="28" t="str">
        <f>IFERROR(__xludf.DUMMYFUNCTION("""COMPUTED_VALUE"""),"Use Tolerance")</f>
        <v>Use Tolerance</v>
      </c>
      <c r="K5" s="28" t="str">
        <f>IFERROR(__xludf.DUMMYFUNCTION("""COMPUTED_VALUE"""),"In Percentage/In BPS")</f>
        <v>In Percentage/In BPS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1"/>
      <c r="E6" s="31"/>
      <c r="F6" s="33" t="s">
        <v>18</v>
      </c>
      <c r="G6" s="34"/>
      <c r="H6" s="34"/>
      <c r="I6" s="34"/>
      <c r="J6" s="32" t="s">
        <v>19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CreateOrViewModelPortfolio!$4:$4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