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3"/>
    <sheet state="visible" name="_Modules" sheetId="2" r:id="rId4"/>
    <sheet state="visible" name="_Settings" sheetId="3" r:id="rId5"/>
    <sheet state="visible" name="_MasterData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DoneAwayUsingMTT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<sst xmlns="http://schemas.openxmlformats.org/spreadsheetml/2006/main" count="469" uniqueCount="249">
  <si>
    <t>Modules Info</t>
  </si>
  <si>
    <t>Settings</t>
  </si>
  <si>
    <t>Data</t>
  </si>
  <si>
    <t>Module Step Setting File</t>
  </si>
  <si>
    <t>15TZcyNzdODZnAEMI7Zyq6CaL1BTvFkhtTgtMBwN7UQA</t>
  </si>
  <si>
    <t>Modules</t>
  </si>
  <si>
    <t>Master Data Settings File</t>
  </si>
  <si>
    <t>1Nt_rf5DtgjbN9Ag4AMMlUkZYROxKZLH5m54YOl7tRT0</t>
  </si>
  <si>
    <t>Module</t>
  </si>
  <si>
    <t>GeneralLedger</t>
  </si>
  <si>
    <t>Step</t>
  </si>
  <si>
    <t>GetDividendData</t>
  </si>
  <si>
    <t>Data Format</t>
  </si>
  <si>
    <t>Input Format</t>
  </si>
  <si>
    <t>EnterCashDividends</t>
  </si>
  <si>
    <t>EnterNonTradingTransaction</t>
  </si>
  <si>
    <t>VerifyCash</t>
  </si>
  <si>
    <t>VerifyActivityTabData</t>
  </si>
  <si>
    <t>VerifyTradingTransactionData</t>
  </si>
  <si>
    <t>GetTransactionData</t>
  </si>
  <si>
    <t>GetTradingTransaction</t>
  </si>
  <si>
    <t>GetActivityData</t>
  </si>
  <si>
    <t>VerifyTradingTransaction</t>
  </si>
  <si>
    <t>GetRevaluationData</t>
  </si>
  <si>
    <t>VerifyActivity</t>
  </si>
  <si>
    <t>GetAccountDetails</t>
  </si>
  <si>
    <t>Master Data Info</t>
  </si>
  <si>
    <t>GetNonTradingTransactio</t>
  </si>
  <si>
    <t>GetNonTradingTransaction</t>
  </si>
  <si>
    <t>VerifyNonTradingTransaction</t>
  </si>
  <si>
    <t>VerifyRevaluationData</t>
  </si>
  <si>
    <t>VerifyDividend</t>
  </si>
  <si>
    <t>GetOpeningBalance</t>
  </si>
  <si>
    <t>GetOpeningBalanceData</t>
  </si>
  <si>
    <t>GetAccountBalance</t>
  </si>
  <si>
    <t>SelectNonTradingTransaction</t>
  </si>
  <si>
    <t>SelectNonTradingTranItem</t>
  </si>
  <si>
    <t>DeleteNonTradingTransaction</t>
  </si>
  <si>
    <t>DeleteNonTradingTranItem</t>
  </si>
  <si>
    <t>AddNonTradingTransaction</t>
  </si>
  <si>
    <t>AddNonTradingTranItem</t>
  </si>
  <si>
    <t>VerifyOpeningBalance</t>
  </si>
  <si>
    <t>VerifyOpeningBalanceData</t>
  </si>
  <si>
    <t>SelectOpeningBalanceTransaction</t>
  </si>
  <si>
    <t>SelectOpeningBalanceTranItem</t>
  </si>
  <si>
    <t>EditNonTradingTransaction</t>
  </si>
  <si>
    <t>EditNonTradingTranItem</t>
  </si>
  <si>
    <t>DeleteOpeningBalanceTransaction</t>
  </si>
  <si>
    <t>DeleteOpeningBalanceTranItem</t>
  </si>
  <si>
    <t>GetDayEndCash</t>
  </si>
  <si>
    <t>CalculateDayEndCash</t>
  </si>
  <si>
    <t>VerifyDayEndCash</t>
  </si>
  <si>
    <t>RunRevaluation</t>
  </si>
  <si>
    <t>GetCashTransaction</t>
  </si>
  <si>
    <t>SelectCashTransaction</t>
  </si>
  <si>
    <t>DeleteCashTransaction</t>
  </si>
  <si>
    <t>EditCashTransaction</t>
  </si>
  <si>
    <t>AddCashTransaction</t>
  </si>
  <si>
    <t>AddOpeningBalanceTransaction</t>
  </si>
  <si>
    <t>AddOpeningBalanceTranItem</t>
  </si>
  <si>
    <t>GetDailyCalculationsData</t>
  </si>
  <si>
    <t>CalculateDailyCalculations</t>
  </si>
  <si>
    <t>EditOpeningBalanceTranItem</t>
  </si>
  <si>
    <t>EditOpeningBalanceTransaction</t>
  </si>
  <si>
    <t>VerifyDailyCalTransactions</t>
  </si>
  <si>
    <t>CloseGeneralLedger</t>
  </si>
  <si>
    <t>VerifyAccountDetails</t>
  </si>
  <si>
    <t>UpdateDailyVolatility</t>
  </si>
  <si>
    <t>Master Data Sheet</t>
  </si>
  <si>
    <t>TradingTicket</t>
  </si>
  <si>
    <t>CreateStageOrder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</si>
  <si>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</si>
  <si>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</si>
  <si>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</si>
  <si>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</si>
  <si>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</si>
  <si>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</si>
  <si>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</si>
  <si>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</si>
  <si>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</si>
  <si>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</si>
  <si>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</si>
  <si>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</si>
  <si>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</si>
  <si>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MSFT</t>
  </si>
  <si>
    <t>Buy</t>
  </si>
  <si>
    <t>Allocation1</t>
  </si>
  <si>
    <t>Sell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</si>
  <si>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</si>
  <si>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</si>
  <si>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</si>
  <si>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</si>
  <si>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</si>
  <si>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</si>
  <si>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</si>
  <si>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</si>
  <si>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</si>
  <si>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</si>
  <si>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</si>
  <si>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</si>
  <si>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</si>
  <si>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</si>
  <si>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</si>
  <si>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</si>
  <si>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</si>
  <si>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</si>
  <si>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</si>
  <si>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</si>
  <si>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</si>
  <si>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</si>
  <si>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</si>
  <si>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</si>
  <si>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</si>
  <si>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</si>
  <si>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</si>
  <si>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</si>
  <si>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</si>
  <si>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</si>
  <si>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</si>
  <si>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</si>
  <si>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</si>
  <si>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</si>
  <si>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</si>
  <si>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</si>
  <si>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</si>
  <si>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</si>
  <si>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</si>
  <si>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</si>
  <si>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</si>
  <si>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</si>
  <si>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</si>
  <si>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New</t>
  </si>
  <si>
    <t>SelectTradeUsingMTT</t>
  </si>
  <si>
    <t>GetPriceUsingMTT</t>
  </si>
  <si>
    <t>DoneAwayUsingMTT</t>
  </si>
  <si>
    <t>SendOrderUsingMTT</t>
  </si>
  <si>
    <t>BulkChangeTradeDoneAway</t>
  </si>
  <si>
    <t xml:space="preserve">MSFT 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</si>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</sst>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color rgb="FF000000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2" fontId="2" numFmtId="0" xfId="0" applyFont="1"/>
    <xf borderId="0" fillId="0" fontId="4" numFmtId="0" xfId="0" applyAlignment="1" applyFont="1">
      <alignment shrinkToFit="0" wrapText="0"/>
    </xf>
    <xf borderId="3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3" fillId="3" fontId="6" numFmtId="0" xfId="0" applyAlignment="1" applyBorder="1" applyFont="1">
      <alignment shrinkToFit="0" wrapText="0"/>
    </xf>
    <xf borderId="3" fillId="3" fontId="4" numFmtId="0" xfId="0" applyAlignment="1" applyBorder="1" applyFont="1">
      <alignment shrinkToFit="0" wrapText="0"/>
    </xf>
    <xf borderId="0" fillId="4" fontId="7" numFmtId="0" xfId="0" applyFill="1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3" fillId="3" fontId="8" numFmtId="0" xfId="0" applyAlignment="1" applyBorder="1" applyFont="1">
      <alignment shrinkToFit="0" wrapText="0"/>
    </xf>
    <xf borderId="0" fillId="3" fontId="9" numFmtId="0" xfId="0" applyFont="1"/>
    <xf borderId="0" fillId="5" fontId="10" numFmtId="0" xfId="0" applyAlignment="1" applyFill="1" applyFont="1">
      <alignment shrinkToFit="0" wrapText="0"/>
    </xf>
    <xf borderId="0" fillId="5" fontId="11" numFmtId="0" xfId="0" applyFont="1"/>
    <xf borderId="1" fillId="2" fontId="1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vertical="bottom"/>
    </xf>
    <xf borderId="4" fillId="3" fontId="5" numFmtId="0" xfId="0" applyAlignment="1" applyBorder="1" applyFont="1">
      <alignment shrinkToFit="0" vertical="bottom" wrapText="0"/>
    </xf>
    <xf borderId="5" fillId="3" fontId="12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vertical="bottom"/>
    </xf>
    <xf borderId="0" fillId="6" fontId="5" numFmtId="0" xfId="0" applyAlignment="1" applyFill="1" applyFont="1">
      <alignment shrinkToFit="0" wrapText="0"/>
    </xf>
    <xf borderId="3" fillId="6" fontId="5" numFmtId="0" xfId="0" applyAlignment="1" applyBorder="1" applyFont="1">
      <alignment shrinkToFit="0" wrapText="0"/>
    </xf>
    <xf borderId="0" fillId="6" fontId="9" numFmtId="0" xfId="0" applyFont="1"/>
    <xf borderId="0" fillId="0" fontId="2" numFmtId="0" xfId="0" applyAlignment="1" applyFont="1">
      <alignment readingOrder="0"/>
    </xf>
    <xf borderId="3" fillId="3" fontId="8" numFmtId="0" xfId="0" applyAlignment="1" applyBorder="1" applyFont="1">
      <alignment readingOrder="0" shrinkToFit="0" wrapText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80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9</v>
      </c>
      <c r="D3" s="7" t="s">
        <v>10</v>
      </c>
      <c r="E3" s="15" t="s">
        <v>11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17</v>
      </c>
      <c r="I4" s="17" t="s">
        <v>18</v>
      </c>
      <c r="J4" s="17" t="s">
        <v>19</v>
      </c>
      <c r="K4" s="17" t="s">
        <v>20</v>
      </c>
      <c r="L4" s="17" t="s">
        <v>21</v>
      </c>
      <c r="M4" s="17" t="s">
        <v>22</v>
      </c>
      <c r="N4" s="17" t="s">
        <v>23</v>
      </c>
      <c r="O4" s="17" t="s">
        <v>24</v>
      </c>
      <c r="P4" s="18" t="s">
        <v>25</v>
      </c>
      <c r="Q4" s="18" t="s">
        <v>25</v>
      </c>
      <c r="R4" s="18" t="s">
        <v>27</v>
      </c>
      <c r="S4" s="18" t="s">
        <v>28</v>
      </c>
      <c r="T4" s="18" t="s">
        <v>11</v>
      </c>
      <c r="U4" s="18" t="s">
        <v>29</v>
      </c>
      <c r="V4" s="18" t="s">
        <v>29</v>
      </c>
      <c r="W4" s="18" t="s">
        <v>30</v>
      </c>
      <c r="X4" s="18" t="s">
        <v>31</v>
      </c>
      <c r="Y4" s="18" t="s">
        <v>32</v>
      </c>
      <c r="Z4" s="18" t="s">
        <v>33</v>
      </c>
      <c r="AA4" s="18" t="s">
        <v>34</v>
      </c>
      <c r="AB4" s="18" t="s">
        <v>35</v>
      </c>
      <c r="AC4" s="18" t="s">
        <v>36</v>
      </c>
      <c r="AD4" s="18" t="s">
        <v>37</v>
      </c>
      <c r="AE4" s="18" t="s">
        <v>38</v>
      </c>
      <c r="AF4" s="18" t="s">
        <v>39</v>
      </c>
      <c r="AG4" s="18" t="s">
        <v>40</v>
      </c>
      <c r="AH4" s="18" t="s">
        <v>41</v>
      </c>
      <c r="AI4" s="18" t="s">
        <v>42</v>
      </c>
      <c r="AJ4" s="18" t="s">
        <v>43</v>
      </c>
      <c r="AK4" s="18" t="s">
        <v>43</v>
      </c>
      <c r="AL4" s="18" t="s">
        <v>43</v>
      </c>
      <c r="AM4" s="18" t="s">
        <v>43</v>
      </c>
      <c r="AN4" s="18" t="s">
        <v>44</v>
      </c>
      <c r="AO4" s="18" t="s">
        <v>45</v>
      </c>
      <c r="AP4" s="18" t="s">
        <v>45</v>
      </c>
      <c r="AQ4" s="18" t="s">
        <v>46</v>
      </c>
      <c r="AR4" s="18" t="s">
        <v>47</v>
      </c>
      <c r="AS4" s="18" t="s">
        <v>47</v>
      </c>
      <c r="AT4" s="18" t="s">
        <v>48</v>
      </c>
      <c r="AU4" s="18" t="s">
        <v>49</v>
      </c>
      <c r="AV4" s="18" t="s">
        <v>50</v>
      </c>
      <c r="AW4" s="18" t="s">
        <v>51</v>
      </c>
      <c r="AX4" s="18" t="s">
        <v>52</v>
      </c>
      <c r="AY4" s="18" t="s">
        <v>50</v>
      </c>
      <c r="AZ4" s="18" t="s">
        <v>53</v>
      </c>
      <c r="BA4" s="18" t="s">
        <v>54</v>
      </c>
      <c r="BB4" s="18" t="s">
        <v>55</v>
      </c>
      <c r="BC4" s="18" t="s">
        <v>56</v>
      </c>
      <c r="BD4" s="18" t="s">
        <v>57</v>
      </c>
      <c r="BE4" s="18" t="s">
        <v>58</v>
      </c>
      <c r="BF4" s="18" t="s">
        <v>59</v>
      </c>
      <c r="BG4" s="18" t="s">
        <v>60</v>
      </c>
      <c r="BH4" s="18" t="s">
        <v>61</v>
      </c>
      <c r="BI4" s="18" t="s">
        <v>45</v>
      </c>
      <c r="BJ4" s="18" t="s">
        <v>62</v>
      </c>
      <c r="BK4" s="18" t="s">
        <v>63</v>
      </c>
      <c r="BL4" s="18" t="s">
        <v>64</v>
      </c>
      <c r="BM4" s="18" t="s">
        <v>65</v>
      </c>
      <c r="BN4" s="18" t="s">
        <v>66</v>
      </c>
      <c r="BO4" s="18" t="s">
        <v>46</v>
      </c>
      <c r="BP4" s="18" t="s">
        <v>47</v>
      </c>
      <c r="BQ4" s="18" t="s">
        <v>58</v>
      </c>
      <c r="BR4" s="18" t="s">
        <v>67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IFERROR(__xludf.DUMMYFUNCTION("""COMPUTED_VALUE"""),"MasterFund")</f>
        <v>MasterFund</v>
      </c>
      <c r="C5" s="25" t="str">
        <f>IFERROR(__xludf.DUMMYFUNCTION("""COMPUTED_VALUE"""),"Accounts")</f>
        <v>Accounts</v>
      </c>
      <c r="D5" s="25" t="str">
        <f>IFERROR(__xludf.DUMMYFUNCTION("""COMPUTED_VALUE"""),"From")</f>
        <v>From</v>
      </c>
      <c r="E5" s="25" t="str">
        <f>IFERROR(__xludf.DUMMYFUNCTION("""COMPUTED_VALUE"""),"To")</f>
        <v>To</v>
      </c>
      <c r="F5" s="25" t="str">
        <f>IFERROR(__xludf.DUMMYFUNCTION("""COMPUTED_VALUE"""),"")</f>
        <v/>
      </c>
      <c r="G5" s="25" t="str">
        <f>IFERROR(__xludf.DUMMYFUNCTION("""COMPUTED_VALUE"""),"")</f>
        <v/>
      </c>
      <c r="H5" s="25" t="str">
        <f>IFERROR(__xludf.DUMMYFUNCTION("""COMPUTED_VALUE"""),"")</f>
        <v/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6" t="str">
        <f>IFERROR(__xludf.DUMMYFUNCTION("""COMPUTED_VALUE"""),"")</f>
        <v/>
      </c>
      <c r="U5" s="26" t="str">
        <f>IFERROR(__xludf.DUMMYFUNCTION("""COMPUTED_VALUE"""),"")</f>
        <v/>
      </c>
      <c r="V5" s="26" t="str">
        <f>IFERROR(__xludf.DUMMYFUNCTION("""COMPUTED_VALUE"""),"")</f>
        <v/>
      </c>
      <c r="W5" s="26" t="str">
        <f>IFERROR(__xludf.DUMMYFUNCTION("""COMPUTED_VALUE"""),"")</f>
        <v/>
      </c>
      <c r="X5" s="26" t="str">
        <f>IFERROR(__xludf.DUMMYFUNCTION("""COMPUTED_VALUE"""),"")</f>
        <v/>
      </c>
      <c r="Y5" s="26" t="str">
        <f>IFERROR(__xludf.DUMMYFUNCTION("""COMPUTED_VALUE"""),"")</f>
        <v/>
      </c>
      <c r="Z5" s="26" t="str">
        <f>IFERROR(__xludf.DUMMYFUNCTION("""COMPUTED_VALUE"""),"")</f>
        <v/>
      </c>
      <c r="AA5" s="26" t="str">
        <f>IFERROR(__xludf.DUMMYFUNCTION("""COMPUTED_VALUE"""),"")</f>
        <v/>
      </c>
      <c r="AB5" s="26" t="str">
        <f>IFERROR(__xludf.DUMMYFUNCTION("""COMPUTED_VALUE"""),"")</f>
        <v/>
      </c>
      <c r="AC5" s="26" t="str">
        <f>IFERROR(__xludf.DUMMYFUNCTION("""COMPUTED_VALUE"""),"")</f>
        <v/>
      </c>
      <c r="AD5" s="26" t="str">
        <f>IFERROR(__xludf.DUMMYFUNCTION("""COMPUTED_VALUE"""),"")</f>
        <v/>
      </c>
      <c r="AE5" s="26" t="str">
        <f>IFERROR(__xludf.DUMMYFUNCTION("""COMPUTED_VALUE"""),"")</f>
        <v/>
      </c>
      <c r="AF5" s="26" t="str">
        <f>IFERROR(__xludf.DUMMYFUNCTION("""COMPUTED_VALUE"""),"")</f>
        <v/>
      </c>
      <c r="AG5" s="26" t="str">
        <f>IFERROR(__xludf.DUMMYFUNCTION("""COMPUTED_VALUE"""),"")</f>
        <v/>
      </c>
      <c r="AH5" s="26" t="str">
        <f>IFERROR(__xludf.DUMMYFUNCTION("""COMPUTED_VALUE"""),"")</f>
        <v/>
      </c>
      <c r="AI5" s="26" t="str">
        <f>IFERROR(__xludf.DUMMYFUNCTION("""COMPUTED_VALUE"""),"")</f>
        <v/>
      </c>
      <c r="AJ5" s="26" t="str">
        <f>IFERROR(__xludf.DUMMYFUNCTION("""COMPUTED_VALUE"""),"")</f>
        <v/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  <c r="BL5" s="26" t="str">
        <f>IFERROR(__xludf.DUMMYFUNCTION("""COMPUTED_VALUE"""),"")</f>
        <v/>
      </c>
      <c r="BM5" s="26" t="str">
        <f>IFERROR(__xludf.DUMMYFUNCTION("""COMPUTED_VALUE"""),"")</f>
        <v/>
      </c>
      <c r="BN5" s="26" t="str">
        <f>IFERROR(__xludf.DUMMYFUNCTION("""COMPUTED_VALUE"""),"")</f>
        <v/>
      </c>
      <c r="BO5" s="26" t="str">
        <f>IFERROR(__xludf.DUMMYFUNCTION("""COMPUTED_VALUE"""),"")</f>
        <v/>
      </c>
      <c r="BP5" s="26" t="str">
        <f>IFERROR(__xludf.DUMMYFUNCTION("""COMPUTED_VALUE"""),"")</f>
        <v/>
      </c>
      <c r="BQ5" s="26" t="str">
        <f>IFERROR(__xludf.DUMMYFUNCTION("""COMPUTED_VALUE"""),"")</f>
        <v/>
      </c>
      <c r="BR5" s="26" t="str">
        <f>IFERROR(__xludf.DUMMYFUNCTION("""COMPUTED_VALUE"""),"")</f>
        <v/>
      </c>
      <c r="BS5" s="26" t="str">
        <f>IFERROR(__xludf.DUMMYFUNCTION("""COMPUTED_VALUE"""),"")</f>
        <v/>
      </c>
      <c r="BT5" s="26" t="str">
        <f>IFERROR(__xludf.DUMMYFUNCTION("""COMPUTED_VALUE"""),"")</f>
        <v/>
      </c>
      <c r="BU5" s="26" t="str">
        <f>IFERROR(__xludf.DUMMYFUNCTION("""COMPUTED_VALUE"""),"")</f>
        <v/>
      </c>
      <c r="BV5" s="26" t="str">
        <f>IFERROR(__xludf.DUMMYFUNCTION("""COMPUTED_VALUE"""),"")</f>
        <v/>
      </c>
      <c r="BW5" s="26" t="str">
        <f>IFERROR(__xludf.DUMMYFUNCTION("""COMPUTED_VALUE"""),"")</f>
        <v/>
      </c>
      <c r="BX5" s="26" t="str">
        <f>IFERROR(__xludf.DUMMYFUNCTION("""COMPUTED_VALUE"""),"")</f>
        <v/>
      </c>
      <c r="BY5" s="26" t="str">
        <f>IFERROR(__xludf.DUMMYFUNCTION("""COMPUTED_VALUE"""),"")</f>
        <v/>
      </c>
      <c r="BZ5" s="26" t="str">
        <f>IFERROR(__xludf.DUMMYFUNCTION("""COMPUTED_VALUE"""),"")</f>
        <v/>
      </c>
      <c r="CA5" s="26" t="str">
        <f>IFERROR(__xludf.DUMMYFUNCTION("""COMPUTED_VALUE"""),"")</f>
        <v/>
      </c>
      <c r="CB5" s="26" t="str">
        <f>IFERROR(__xludf.DUMMYFUNCTION("""COMPUTED_VALUE"""),"")</f>
        <v/>
      </c>
    </row>
    <row r="6" ht="15.75" customHeight="1">
      <c r="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1" t="s">
        <v>0</v>
      </c>
      <c r="B1" s="3"/>
      <c r="C1" s="3"/>
      <c r="D1" s="3"/>
      <c r="E1" s="3"/>
      <c r="F1" s="3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0"/>
      <c r="D3" s="10"/>
      <c r="E3" s="10"/>
      <c r="F3" s="10"/>
    </row>
    <row r="4" ht="15.75" customHeight="1">
      <c r="A4" s="6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4" t="s">
        <v>1</v>
      </c>
      <c r="B1" s="3"/>
      <c r="C1" s="3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7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19" t="s">
        <v>26</v>
      </c>
      <c r="B1" s="3"/>
      <c r="C1" s="3"/>
      <c r="D1" s="3"/>
      <c r="E1" s="3"/>
      <c r="F1" s="3"/>
    </row>
    <row r="2">
      <c r="A2" s="20"/>
      <c r="B2" s="20"/>
      <c r="C2" s="20"/>
      <c r="D2" s="20"/>
      <c r="E2" s="20"/>
      <c r="F2" s="20"/>
    </row>
    <row r="3">
      <c r="A3" s="21" t="s">
        <v>8</v>
      </c>
      <c r="B3" s="22" t="s">
        <v>10</v>
      </c>
      <c r="C3" s="22" t="s">
        <v>68</v>
      </c>
      <c r="D3" s="23"/>
      <c r="E3" s="23"/>
      <c r="F3" s="2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 ht="15.75" customHeight="1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 ht="15.75" customHeight="1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 ht="15.75" customHeight="1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 ht="15.75" customHeight="1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 ht="15.75" customHeight="1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 ht="15.75" customHeight="1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 ht="15.75" customHeight="1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 ht="15.75" customHeight="1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 ht="15.75" customHeight="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 ht="15.75" customHeight="1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 ht="15.75" customHeight="1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 ht="15.75" customHeight="1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 ht="15.75" customHeight="1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 ht="15.75" customHeight="1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 ht="15.75" customHeight="1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 ht="15.75" customHeight="1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 ht="15.75" customHeight="1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 ht="15.75" customHeight="1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 ht="15.75" customHeight="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 ht="15.75" customHeight="1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 ht="15.75" customHeight="1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 ht="15.75" customHeight="1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 ht="15.75" customHeight="1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 ht="15.75" customHeight="1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 ht="15.75" customHeight="1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 ht="15.75" customHeight="1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 ht="15.75" customHeight="1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 ht="15.75" customHeight="1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 ht="15.75" customHeight="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 ht="15.75" customHeight="1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 ht="15.75" customHeight="1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 ht="15.75" customHeight="1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 ht="15.75" customHeight="1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 ht="15.75" customHeight="1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 ht="15.75" customHeight="1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 ht="15.75" customHeight="1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 ht="15.75" customHeight="1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 ht="15.75" customHeight="1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 ht="15.75" customHeight="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 ht="15.75" customHeight="1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 ht="15.75" customHeight="1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 ht="15.75" customHeight="1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 ht="15.75" customHeight="1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 ht="15.75" customHeight="1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 ht="15.75" customHeight="1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 ht="15.75" customHeight="1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 ht="15.75" customHeight="1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 ht="15.75" customHeight="1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 ht="15.75" customHeight="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 ht="15.75" customHeight="1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 ht="15.75" customHeight="1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 ht="15.75" customHeight="1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 ht="15.75" customHeight="1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 ht="15.75" customHeight="1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 ht="15.75" customHeight="1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 ht="15.75" customHeight="1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 ht="15.75" customHeight="1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 ht="15.75" customHeight="1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 ht="15.75" customHeight="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 ht="15.75" customHeight="1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 ht="15.75" customHeight="1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 ht="15.75" customHeight="1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 ht="15.75" customHeight="1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 ht="15.75" customHeight="1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 ht="15.75" customHeight="1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 ht="15.75" customHeight="1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 ht="15.75" customHeight="1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 ht="15.75" customHeight="1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 ht="15.75" customHeight="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 ht="15.75" customHeight="1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 ht="15.75" customHeight="1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 ht="15.75" customHeight="1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 ht="15.75" customHeight="1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 ht="15.75" customHeight="1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 ht="15.75" customHeight="1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 ht="15.75" customHeight="1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 ht="15.75" customHeight="1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 ht="15.75" customHeight="1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69</v>
      </c>
      <c r="D3" s="7" t="s">
        <v>10</v>
      </c>
      <c r="E3" s="15" t="s">
        <v>70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71</v>
      </c>
      <c r="D4" s="17" t="s">
        <v>72</v>
      </c>
      <c r="E4" s="17" t="s">
        <v>73</v>
      </c>
      <c r="F4" s="17" t="s">
        <v>74</v>
      </c>
      <c r="G4" s="17" t="s">
        <v>75</v>
      </c>
      <c r="H4" s="17" t="s">
        <v>76</v>
      </c>
      <c r="I4" s="17" t="s">
        <v>70</v>
      </c>
      <c r="J4" s="17" t="s">
        <v>77</v>
      </c>
      <c r="K4" s="17" t="s">
        <v>77</v>
      </c>
      <c r="L4" s="17" t="s">
        <v>78</v>
      </c>
      <c r="M4" s="17" t="s">
        <v>79</v>
      </c>
      <c r="N4" s="17" t="s">
        <v>80</v>
      </c>
      <c r="O4" s="17" t="s">
        <v>81</v>
      </c>
      <c r="P4" s="18" t="s">
        <v>82</v>
      </c>
      <c r="Q4" s="18" t="s">
        <v>83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5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6" t="str">
        <f>IFERROR(__xludf.DUMMYFUNCTION("""COMPUTED_VALUE"""),"SoftBasis")</f>
        <v>SoftBasis</v>
      </c>
      <c r="U5" s="26" t="str">
        <f>IFERROR(__xludf.DUMMYFUNCTION("""COMPUTED_VALUE"""),"SoftRate")</f>
        <v>SoftRate</v>
      </c>
      <c r="V5" s="26" t="str">
        <f>IFERROR(__xludf.DUMMYFUNCTION("""COMPUTED_VALUE"""),"TradeAttribute1")</f>
        <v>TradeAttribute1</v>
      </c>
      <c r="W5" s="26" t="str">
        <f>IFERROR(__xludf.DUMMYFUNCTION("""COMPUTED_VALUE"""),"TradeAttribute2")</f>
        <v>TradeAttribute2</v>
      </c>
      <c r="X5" s="26" t="str">
        <f>IFERROR(__xludf.DUMMYFUNCTION("""COMPUTED_VALUE"""),"TradeAttribute3")</f>
        <v>TradeAttribute3</v>
      </c>
      <c r="Y5" s="26" t="str">
        <f>IFERROR(__xludf.DUMMYFUNCTION("""COMPUTED_VALUE"""),"TradeAttribute4")</f>
        <v>TradeAttribute4</v>
      </c>
      <c r="Z5" s="26" t="str">
        <f>IFERROR(__xludf.DUMMYFUNCTION("""COMPUTED_VALUE"""),"TradeAttribute5")</f>
        <v>TradeAttribute5</v>
      </c>
      <c r="AA5" s="26" t="str">
        <f>IFERROR(__xludf.DUMMYFUNCTION("""COMPUTED_VALUE"""),"TradeAttribute6")</f>
        <v>TradeAttribute6</v>
      </c>
      <c r="AB5" s="26" t="str">
        <f>IFERROR(__xludf.DUMMYFUNCTION("""COMPUTED_VALUE"""),"Venue")</f>
        <v>Venue</v>
      </c>
      <c r="AC5" s="26" t="str">
        <f>IFERROR(__xludf.DUMMYFUNCTION("""COMPUTED_VALUE"""),"ExecutionInstructions")</f>
        <v>ExecutionInstructions</v>
      </c>
      <c r="AD5" s="26" t="str">
        <f>IFERROR(__xludf.DUMMYFUNCTION("""COMPUTED_VALUE"""),"HandlingInstructions")</f>
        <v>HandlingInstructions</v>
      </c>
      <c r="AE5" s="26" t="str">
        <f>IFERROR(__xludf.DUMMYFUNCTION("""COMPUTED_VALUE"""),"Trader")</f>
        <v>Trader</v>
      </c>
      <c r="AF5" s="26" t="str">
        <f>IFERROR(__xludf.DUMMYFUNCTION("""COMPUTED_VALUE"""),"SettlementCurrency")</f>
        <v>SettlementCurrency</v>
      </c>
      <c r="AG5" s="26" t="str">
        <f>IFERROR(__xludf.DUMMYFUNCTION("""COMPUTED_VALUE"""),"SettlementFXRate")</f>
        <v>SettlementFXRate</v>
      </c>
      <c r="AH5" s="26" t="str">
        <f>IFERROR(__xludf.DUMMYFUNCTION("""COMPUTED_VALUE"""),"SettlementAmount")</f>
        <v>SettlementAmount</v>
      </c>
      <c r="AI5" s="26" t="str">
        <f>IFERROR(__xludf.DUMMYFUNCTION("""COMPUTED_VALUE"""),"SettlementFXOperator")</f>
        <v>SettlementFXOperator</v>
      </c>
      <c r="AJ5" s="26" t="str">
        <f>IFERROR(__xludf.DUMMYFUNCTION("""COMPUTED_VALUE"""),"SettleByBroker")</f>
        <v>SettleByBroker</v>
      </c>
      <c r="AK5" s="26" t="str">
        <f>IFERROR(__xludf.DUMMYFUNCTION("""COMPUTED_VALUE"""),"Account")</f>
        <v>Account</v>
      </c>
      <c r="AL5" s="26" t="str">
        <f>IFERROR(__xludf.DUMMYFUNCTION("""COMPUTED_VALUE"""),"Account %")</f>
        <v>Account %</v>
      </c>
      <c r="AM5" s="26" t="str">
        <f>IFERROR(__xludf.DUMMYFUNCTION("""COMPUTED_VALUE"""),"Deal In")</f>
        <v>Deal In</v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</row>
    <row r="6" ht="15.75" customHeight="1">
      <c r="A6" s="6"/>
      <c r="B6" t="s">
        <v>84</v>
      </c>
      <c r="C6" t="s">
        <v>85</v>
      </c>
      <c r="D6">
        <v>20000.0</v>
      </c>
      <c r="E6">
        <v>20000.0</v>
      </c>
      <c r="F6" t="s">
        <v>86</v>
      </c>
    </row>
    <row r="7" ht="15.75" customHeight="1">
      <c r="A7" s="6"/>
      <c r="B7" s="6" t="s">
        <v>84</v>
      </c>
      <c r="C7" s="6" t="s">
        <v>87</v>
      </c>
      <c r="D7" s="6">
        <v>10000.0</v>
      </c>
      <c r="E7" s="6">
        <v>10000.0</v>
      </c>
      <c r="F7" s="27" t="s">
        <v>86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28" t="s">
        <v>88</v>
      </c>
      <c r="D3" s="7" t="s">
        <v>10</v>
      </c>
      <c r="E3" s="28" t="s">
        <v>89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90</v>
      </c>
      <c r="D4" s="17" t="s">
        <v>91</v>
      </c>
      <c r="E4" s="17" t="s">
        <v>92</v>
      </c>
      <c r="F4" s="17" t="s">
        <v>93</v>
      </c>
      <c r="G4" s="17" t="s">
        <v>94</v>
      </c>
      <c r="H4" s="17" t="s">
        <v>95</v>
      </c>
      <c r="I4" s="17" t="s">
        <v>96</v>
      </c>
      <c r="J4" s="17" t="s">
        <v>97</v>
      </c>
      <c r="K4" s="17" t="s">
        <v>98</v>
      </c>
      <c r="L4" s="17" t="s">
        <v>99</v>
      </c>
      <c r="M4" s="17" t="s">
        <v>100</v>
      </c>
      <c r="N4" s="17" t="s">
        <v>101</v>
      </c>
      <c r="O4" s="17" t="s">
        <v>102</v>
      </c>
      <c r="P4" s="18" t="s">
        <v>103</v>
      </c>
      <c r="Q4" s="18" t="s">
        <v>104</v>
      </c>
      <c r="R4" s="18" t="s">
        <v>104</v>
      </c>
      <c r="S4" s="18" t="s">
        <v>104</v>
      </c>
      <c r="T4" s="18" t="s">
        <v>105</v>
      </c>
      <c r="U4" s="18" t="s">
        <v>106</v>
      </c>
      <c r="V4" s="18" t="s">
        <v>107</v>
      </c>
      <c r="W4" s="18" t="s">
        <v>108</v>
      </c>
      <c r="X4" s="18" t="s">
        <v>109</v>
      </c>
      <c r="Y4" s="18" t="s">
        <v>110</v>
      </c>
      <c r="Z4" s="18" t="s">
        <v>111</v>
      </c>
      <c r="AA4" s="18" t="s">
        <v>112</v>
      </c>
      <c r="AB4" s="18" t="s">
        <v>113</v>
      </c>
      <c r="AC4" s="18" t="s">
        <v>105</v>
      </c>
      <c r="AD4" s="18" t="s">
        <v>105</v>
      </c>
      <c r="AE4" s="18" t="s">
        <v>114</v>
      </c>
      <c r="AF4" s="18" t="s">
        <v>115</v>
      </c>
      <c r="AG4" s="18" t="s">
        <v>116</v>
      </c>
      <c r="AH4" s="18" t="s">
        <v>117</v>
      </c>
      <c r="AI4" s="18" t="s">
        <v>100</v>
      </c>
      <c r="AJ4" s="18" t="s">
        <v>117</v>
      </c>
      <c r="AK4" s="18" t="s">
        <v>115</v>
      </c>
      <c r="AL4" s="18" t="s">
        <v>118</v>
      </c>
      <c r="AM4" s="18" t="s">
        <v>119</v>
      </c>
      <c r="AN4" s="18" t="s">
        <v>120</v>
      </c>
      <c r="AO4" s="18" t="s">
        <v>121</v>
      </c>
      <c r="AP4" s="18" t="s">
        <v>122</v>
      </c>
      <c r="AQ4" s="18" t="s">
        <v>123</v>
      </c>
      <c r="AR4" s="18" t="s">
        <v>124</v>
      </c>
      <c r="AS4" s="18" t="s">
        <v>125</v>
      </c>
      <c r="AT4" s="18" t="s">
        <v>126</v>
      </c>
      <c r="AU4" s="18" t="s">
        <v>127</v>
      </c>
      <c r="AV4" s="18" t="s">
        <v>128</v>
      </c>
      <c r="AW4" s="18" t="s">
        <v>128</v>
      </c>
      <c r="AX4" s="18" t="s">
        <v>129</v>
      </c>
      <c r="AY4" s="18" t="s">
        <v>89</v>
      </c>
      <c r="AZ4" s="18" t="s">
        <v>114</v>
      </c>
      <c r="BA4" s="18" t="s">
        <v>130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Currency")</f>
        <v>Settlement Currency</v>
      </c>
      <c r="V5" s="26" t="str">
        <f>IFERROR(__xludf.DUMMYFUNCTION("""COMPUTED_VALUE"""),"Put/Call")</f>
        <v>Put/Call</v>
      </c>
      <c r="W5" s="26" t="str">
        <f>IFERROR(__xludf.DUMMYFUNCTION("""COMPUTED_VALUE"""),"Process Date")</f>
        <v>Process Date</v>
      </c>
      <c r="X5" s="26" t="str">
        <f>IFERROR(__xludf.DUMMYFUNCTION("""COMPUTED_VALUE"""),"Peg")</f>
        <v>Peg</v>
      </c>
      <c r="Y5" s="26" t="str">
        <f>IFERROR(__xludf.DUMMYFUNCTION("""COMPUTED_VALUE"""),"ParentClOrderID")</f>
        <v>ParentClOrderID</v>
      </c>
      <c r="Z5" s="26" t="str">
        <f>IFERROR(__xludf.DUMMYFUNCTION("""COMPUTED_VALUE"""),"OrderID")</f>
        <v>OrderID</v>
      </c>
      <c r="AA5" s="26" t="str">
        <f>IFERROR(__xludf.DUMMYFUNCTION("""COMPUTED_VALUE"""),"Master Fund")</f>
        <v>Master Fund</v>
      </c>
      <c r="AB5" s="26" t="str">
        <f>IFERROR(__xludf.DUMMYFUNCTION("""COMPUTED_VALUE"""),"Last Shares")</f>
        <v>Last Shares</v>
      </c>
      <c r="AC5" s="26" t="str">
        <f>IFERROR(__xludf.DUMMYFUNCTION("""COMPUTED_VALUE"""),"Internal Comments")</f>
        <v>Internal Comments</v>
      </c>
      <c r="AD5" s="26" t="str">
        <f>IFERROR(__xludf.DUMMYFUNCTION("""COMPUTED_VALUE"""),"FX Rate")</f>
        <v>FX Rate</v>
      </c>
      <c r="AE5" s="26" t="str">
        <f>IFERROR(__xludf.DUMMYFUNCTION("""COMPUTED_VALUE"""),"Imported File Name")</f>
        <v>Imported File Name</v>
      </c>
      <c r="AF5" s="26" t="str">
        <f>IFERROR(__xludf.DUMMYFUNCTION("""COMPUTED_VALUE"""),"FX Conversion Operator")</f>
        <v>FX Conversion Operator</v>
      </c>
      <c r="AG5" s="26" t="str">
        <f>IFERROR(__xludf.DUMMYFUNCTION("""COMPUTED_VALUE"""),"Day Average Price")</f>
        <v>Day Average Price</v>
      </c>
      <c r="AH5" s="26" t="str">
        <f>IFERROR(__xludf.DUMMYFUNCTION("""COMPUTED_VALUE"""),"Asset Class")</f>
        <v>Asset Class</v>
      </c>
      <c r="AI5" s="26" t="str">
        <f>IFERROR(__xludf.DUMMYFUNCTION("""COMPUTED_VALUE"""),"Symbol")</f>
        <v>Symbol</v>
      </c>
      <c r="AJ5" s="26" t="str">
        <f>IFERROR(__xludf.DUMMYFUNCTION("""COMPUTED_VALUE"""),"Side")</f>
        <v>Side</v>
      </c>
      <c r="AK5" s="26" t="str">
        <f>IFERROR(__xludf.DUMMYFUNCTION("""COMPUTED_VALUE"""),"Status")</f>
        <v>Status</v>
      </c>
      <c r="AL5" s="26" t="str">
        <f>IFERROR(__xludf.DUMMYFUNCTION("""COMPUTED_VALUE"""),"Quantity")</f>
        <v>Quantity</v>
      </c>
      <c r="AM5" s="26" t="str">
        <f>IFERROR(__xludf.DUMMYFUNCTION("""COMPUTED_VALUE"""),"Executed Qty")</f>
        <v>Executed Qty</v>
      </c>
      <c r="AN5" s="26" t="str">
        <f>IFERROR(__xludf.DUMMYFUNCTION("""COMPUTED_VALUE"""),"% Executed")</f>
        <v>% Executed</v>
      </c>
      <c r="AO5" s="26" t="str">
        <f>IFERROR(__xludf.DUMMYFUNCTION("""COMPUTED_VALUE"""),"Day Executed Qty")</f>
        <v>Day Executed Qty</v>
      </c>
      <c r="AP5" s="26" t="str">
        <f>IFERROR(__xludf.DUMMYFUNCTION("""COMPUTED_VALUE"""),"Remaining Qty")</f>
        <v>Remaining Qty</v>
      </c>
      <c r="AQ5" s="26" t="str">
        <f>IFERROR(__xludf.DUMMYFUNCTION("""COMPUTED_VALUE"""),"Last Fill Price (Local)")</f>
        <v>Last Fill Price (Local)</v>
      </c>
      <c r="AR5" s="26" t="str">
        <f>IFERROR(__xludf.DUMMYFUNCTION("""COMPUTED_VALUE"""),"Avg Fill Price (Local)")</f>
        <v>Avg Fill Price (Local)</v>
      </c>
      <c r="AS5" s="26" t="str">
        <f>IFERROR(__xludf.DUMMYFUNCTION("""COMPUTED_VALUE"""),"Broker")</f>
        <v>Broker</v>
      </c>
      <c r="AT5" s="26" t="str">
        <f>IFERROR(__xludf.DUMMYFUNCTION("""COMPUTED_VALUE"""),"Account")</f>
        <v>Account</v>
      </c>
      <c r="AU5" s="26" t="str">
        <f>IFERROR(__xludf.DUMMYFUNCTION("""COMPUTED_VALUE"""),"Order Type")</f>
        <v>Order Type</v>
      </c>
      <c r="AV5" s="26" t="str">
        <f>IFERROR(__xludf.DUMMYFUNCTION("""COMPUTED_VALUE"""),"Principal Amount (Local)")</f>
        <v>Principal Amount (Local)</v>
      </c>
      <c r="AW5" s="26" t="str">
        <f>IFERROR(__xludf.DUMMYFUNCTION("""COMPUTED_VALUE"""),"Principal Amount (Base)")</f>
        <v>Principal Amount (Base)</v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</row>
    <row r="6" ht="15.75" customHeight="1">
      <c r="A6" s="6"/>
      <c r="AI6" t="s">
        <v>84</v>
      </c>
      <c r="AJ6" t="s">
        <v>85</v>
      </c>
      <c r="AK6" s="27" t="s">
        <v>131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t="s">
        <v>84</v>
      </c>
      <c r="AJ7" t="s">
        <v>87</v>
      </c>
      <c r="AK7" s="27" t="s">
        <v>131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110</v>
      </c>
      <c r="D3" s="7" t="s">
        <v>10</v>
      </c>
      <c r="E3" s="15" t="s">
        <v>132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132</v>
      </c>
      <c r="D4" s="17" t="s">
        <v>133</v>
      </c>
      <c r="E4" s="17" t="s">
        <v>134</v>
      </c>
      <c r="F4" s="17" t="s">
        <v>135</v>
      </c>
      <c r="G4" s="17" t="s">
        <v>136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IFERROR(__xludf.DUMMYFUNCTION("""COMPUTED_VALUE"""),"Account")</f>
        <v>Account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</row>
    <row r="6" ht="15.75" customHeight="1">
      <c r="A6" s="6"/>
      <c r="B6" t="s">
        <v>137</v>
      </c>
      <c r="C6" t="s">
        <v>85</v>
      </c>
      <c r="D6">
        <v>20000.0</v>
      </c>
    </row>
    <row r="7" ht="15.75" customHeight="1">
      <c r="A7" s="6"/>
      <c r="B7" s="29" t="s">
        <v>84</v>
      </c>
      <c r="C7" s="29" t="s">
        <v>87</v>
      </c>
      <c r="D7" s="30">
        <v>10000.0</v>
      </c>
      <c r="E7" s="31"/>
      <c r="F7" s="31"/>
      <c r="G7" s="29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2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110</v>
      </c>
      <c r="D3" s="7" t="s">
        <v>10</v>
      </c>
      <c r="E3" s="15" t="s">
        <v>138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132</v>
      </c>
      <c r="D4" s="17" t="s">
        <v>133</v>
      </c>
      <c r="E4" s="17" t="s">
        <v>134</v>
      </c>
      <c r="F4" s="17" t="s">
        <v>135</v>
      </c>
      <c r="G4" s="17" t="s">
        <v>136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IFERROR(__xludf.DUMMYFUNCTION("""COMPUTED_VALUE"""),"Account")</f>
        <v>Account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</row>
    <row r="6" ht="15.75" customHeight="1">
      <c r="A6" s="6"/>
      <c r="B6" t="s">
        <v>84</v>
      </c>
      <c r="C6" t="s">
        <v>85</v>
      </c>
      <c r="D6">
        <v>10000.0</v>
      </c>
    </row>
    <row r="7" ht="15.75" customHeight="1">
      <c r="A7" s="6"/>
      <c r="B7" s="29"/>
      <c r="C7" s="29"/>
      <c r="D7" s="30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88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110</v>
      </c>
      <c r="D3" s="7" t="s">
        <v>10</v>
      </c>
      <c r="E3" s="15" t="s">
        <v>134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132</v>
      </c>
      <c r="D4" s="17" t="s">
        <v>133</v>
      </c>
      <c r="E4" s="17" t="s">
        <v>134</v>
      </c>
      <c r="F4" s="17" t="s">
        <v>135</v>
      </c>
      <c r="G4" s="17" t="s">
        <v>136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  <c r="BL5" s="26" t="str">
        <f>IFERROR(__xludf.DUMMYFUNCTION("""COMPUTED_VALUE"""),"")</f>
        <v/>
      </c>
      <c r="BM5" s="26" t="str">
        <f>IFERROR(__xludf.DUMMYFUNCTION("""COMPUTED_VALUE"""),"")</f>
        <v/>
      </c>
      <c r="BN5" s="26" t="str">
        <f>IFERROR(__xludf.DUMMYFUNCTION("""COMPUTED_VALUE"""),"")</f>
        <v/>
      </c>
      <c r="BO5" s="26" t="str">
        <f>IFERROR(__xludf.DUMMYFUNCTION("""COMPUTED_VALUE"""),"")</f>
        <v/>
      </c>
      <c r="BP5" s="26" t="str">
        <f>IFERROR(__xludf.DUMMYFUNCTION("""COMPUTED_VALUE"""),"")</f>
        <v/>
      </c>
      <c r="BQ5" s="26" t="str">
        <f>IFERROR(__xludf.DUMMYFUNCTION("""COMPUTED_VALUE"""),"")</f>
        <v/>
      </c>
      <c r="BR5" s="26" t="str">
        <f>IFERROR(__xludf.DUMMYFUNCTION("""COMPUTED_VALUE"""),"")</f>
        <v/>
      </c>
      <c r="BS5" s="26" t="str">
        <f>IFERROR(__xludf.DUMMYFUNCTION("""COMPUTED_VALUE"""),"")</f>
        <v/>
      </c>
      <c r="BT5" s="26" t="str">
        <f>IFERROR(__xludf.DUMMYFUNCTION("""COMPUTED_VALUE"""),"")</f>
        <v/>
      </c>
      <c r="BU5" s="26" t="str">
        <f>IFERROR(__xludf.DUMMYFUNCTION("""COMPUTED_VALUE"""),"")</f>
        <v/>
      </c>
      <c r="BV5" s="26" t="str">
        <f>IFERROR(__xludf.DUMMYFUNCTION("""COMPUTED_VALUE"""),"")</f>
        <v/>
      </c>
      <c r="BW5" s="26" t="str">
        <f>IFERROR(__xludf.DUMMYFUNCTION("""COMPUTED_VALUE"""),"")</f>
        <v/>
      </c>
      <c r="BX5" s="26" t="str">
        <f>IFERROR(__xludf.DUMMYFUNCTION("""COMPUTED_VALUE"""),"")</f>
        <v/>
      </c>
      <c r="BY5" s="26" t="str">
        <f>IFERROR(__xludf.DUMMYFUNCTION("""COMPUTED_VALUE"""),"")</f>
        <v/>
      </c>
      <c r="BZ5" s="26" t="str">
        <f>IFERROR(__xludf.DUMMYFUNCTION("""COMPUTED_VALUE"""),"")</f>
        <v/>
      </c>
      <c r="CA5" s="26" t="str">
        <f>IFERROR(__xludf.DUMMYFUNCTION("""COMPUTED_VALUE"""),"")</f>
        <v/>
      </c>
      <c r="CB5" s="26" t="str">
        <f>IFERROR(__xludf.DUMMYFUNCTION("""COMPUTED_VALUE"""),"")</f>
        <v/>
      </c>
      <c r="CC5" s="26" t="str">
        <f>IFERROR(__xludf.DUMMYFUNCTION("""COMPUTED_VALUE"""),"")</f>
        <v/>
      </c>
      <c r="CD5" s="26" t="str">
        <f>IFERROR(__xludf.DUMMYFUNCTION("""COMPUTED_VALUE"""),"")</f>
        <v/>
      </c>
      <c r="CE5" s="26" t="str">
        <f>IFERROR(__xludf.DUMMYFUNCTION("""COMPUTED_VALUE"""),"")</f>
        <v/>
      </c>
      <c r="CF5" s="26" t="str">
        <f>IFERROR(__xludf.DUMMYFUNCTION("""COMPUTED_VALUE"""),"")</f>
        <v/>
      </c>
      <c r="CG5" s="26" t="str">
        <f>IFERROR(__xludf.DUMMYFUNCTION("""COMPUTED_VALUE"""),"")</f>
        <v/>
      </c>
      <c r="CH5" s="26" t="str">
        <f>IFERROR(__xludf.DUMMYFUNCTION("""COMPUTED_VALUE"""),"")</f>
        <v/>
      </c>
      <c r="CI5" s="26" t="str">
        <f>IFERROR(__xludf.DUMMYFUNCTION("""COMPUTED_VALUE"""),"")</f>
        <v/>
      </c>
      <c r="CJ5" s="26" t="str">
        <f>IFERROR(__xludf.DUMMYFUNCTION("""COMPUTED_VALUE"""),"")</f>
        <v/>
      </c>
    </row>
    <row r="6" ht="15.75" customHeight="1">
      <c r="A6" s="6"/>
      <c r="B6" t="s">
        <v>84</v>
      </c>
      <c r="C6" t="s">
        <v>85</v>
      </c>
      <c r="D6">
        <v>10000.0</v>
      </c>
    </row>
    <row r="7" ht="15.75" customHeight="1">
      <c r="A7" s="6"/>
      <c r="B7" s="29" t="s">
        <v>84</v>
      </c>
      <c r="C7" s="29" t="s">
        <v>87</v>
      </c>
      <c r="D7" s="30">
        <v>10000.0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BZ12" s="3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BZ13" s="33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BZ14" s="33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BZ15" s="33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BZ16" s="33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BZ17" s="33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BZ18" s="33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BZ19" s="33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BZ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139</v>
      </c>
      <c r="D3" s="7" t="s">
        <v>10</v>
      </c>
      <c r="E3" s="15" t="s">
        <v>140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141</v>
      </c>
      <c r="D4" s="17" t="s">
        <v>140</v>
      </c>
      <c r="E4" s="17" t="s">
        <v>142</v>
      </c>
      <c r="F4" s="17" t="s">
        <v>143</v>
      </c>
      <c r="G4" s="17" t="s">
        <v>144</v>
      </c>
      <c r="H4" s="17" t="s">
        <v>145</v>
      </c>
      <c r="I4" s="17" t="s">
        <v>146</v>
      </c>
      <c r="J4" s="17" t="s">
        <v>147</v>
      </c>
      <c r="K4" s="17" t="s">
        <v>148</v>
      </c>
      <c r="L4" s="17" t="s">
        <v>149</v>
      </c>
      <c r="M4" s="17" t="s">
        <v>150</v>
      </c>
      <c r="N4" s="17" t="s">
        <v>151</v>
      </c>
      <c r="O4" s="17" t="s">
        <v>152</v>
      </c>
      <c r="P4" s="18" t="s">
        <v>153</v>
      </c>
      <c r="Q4" s="18" t="s">
        <v>154</v>
      </c>
      <c r="R4" s="18" t="s">
        <v>155</v>
      </c>
      <c r="S4" s="18" t="s">
        <v>156</v>
      </c>
      <c r="T4" s="18" t="s">
        <v>157</v>
      </c>
      <c r="U4" s="18" t="s">
        <v>158</v>
      </c>
      <c r="V4" s="18" t="s">
        <v>159</v>
      </c>
      <c r="W4" s="18" t="s">
        <v>160</v>
      </c>
      <c r="X4" s="18" t="s">
        <v>161</v>
      </c>
      <c r="Y4" s="18" t="s">
        <v>162</v>
      </c>
      <c r="Z4" s="18" t="s">
        <v>163</v>
      </c>
      <c r="AA4" s="18" t="s">
        <v>164</v>
      </c>
      <c r="AB4" s="18" t="s">
        <v>165</v>
      </c>
      <c r="AC4" s="18" t="s">
        <v>166</v>
      </c>
      <c r="AD4" s="18" t="s">
        <v>148</v>
      </c>
      <c r="AE4" s="18" t="s">
        <v>167</v>
      </c>
      <c r="AF4" s="18" t="s">
        <v>168</v>
      </c>
      <c r="AG4" s="18" t="s">
        <v>169</v>
      </c>
      <c r="AH4" s="18" t="s">
        <v>170</v>
      </c>
      <c r="AI4" s="18" t="s">
        <v>171</v>
      </c>
      <c r="AJ4" s="18" t="s">
        <v>172</v>
      </c>
      <c r="AK4" s="18" t="s">
        <v>173</v>
      </c>
      <c r="AL4" s="18" t="s">
        <v>174</v>
      </c>
      <c r="AM4" s="18" t="s">
        <v>175</v>
      </c>
      <c r="AN4" s="18" t="s">
        <v>176</v>
      </c>
      <c r="AO4" s="18" t="s">
        <v>177</v>
      </c>
      <c r="AP4" s="18" t="s">
        <v>178</v>
      </c>
      <c r="AQ4" s="18" t="s">
        <v>179</v>
      </c>
      <c r="AR4" s="18" t="s">
        <v>180</v>
      </c>
      <c r="AS4" s="18" t="s">
        <v>181</v>
      </c>
      <c r="AT4" s="18" t="s">
        <v>182</v>
      </c>
      <c r="AU4" s="18" t="s">
        <v>183</v>
      </c>
      <c r="AV4" s="18" t="s">
        <v>184</v>
      </c>
      <c r="AW4" s="18" t="s">
        <v>185</v>
      </c>
      <c r="AX4" s="18" t="s">
        <v>186</v>
      </c>
      <c r="AY4" s="18" t="s">
        <v>187</v>
      </c>
      <c r="AZ4" s="18" t="s">
        <v>188</v>
      </c>
      <c r="BA4" s="18" t="s">
        <v>189</v>
      </c>
      <c r="BB4" s="18" t="s">
        <v>190</v>
      </c>
      <c r="BC4" s="18" t="s">
        <v>191</v>
      </c>
      <c r="BD4" s="18" t="s">
        <v>192</v>
      </c>
      <c r="BE4" s="18" t="s">
        <v>193</v>
      </c>
      <c r="BF4" s="18" t="s">
        <v>194</v>
      </c>
      <c r="BG4" s="18" t="s">
        <v>195</v>
      </c>
      <c r="BH4" s="18" t="s">
        <v>196</v>
      </c>
      <c r="BI4" s="18" t="s">
        <v>197</v>
      </c>
      <c r="BJ4" s="18" t="s">
        <v>198</v>
      </c>
      <c r="BK4" s="18" t="s">
        <v>130</v>
      </c>
      <c r="BL4" s="18" t="s">
        <v>199</v>
      </c>
      <c r="BM4" s="18" t="s">
        <v>200</v>
      </c>
      <c r="BN4" s="18" t="s">
        <v>201</v>
      </c>
      <c r="BO4" s="18" t="s">
        <v>202</v>
      </c>
      <c r="BP4" s="18" t="s">
        <v>203</v>
      </c>
      <c r="BQ4" s="18" t="s">
        <v>204</v>
      </c>
      <c r="BR4" s="18" t="s">
        <v>205</v>
      </c>
      <c r="BS4" s="18" t="s">
        <v>206</v>
      </c>
      <c r="BT4" s="18" t="s">
        <v>207</v>
      </c>
      <c r="BU4" s="18" t="s">
        <v>208</v>
      </c>
      <c r="BV4" s="18" t="s">
        <v>209</v>
      </c>
      <c r="BW4" s="18" t="s">
        <v>210</v>
      </c>
      <c r="BX4" s="18" t="s">
        <v>141</v>
      </c>
      <c r="BY4" s="18" t="s">
        <v>211</v>
      </c>
      <c r="BZ4" s="18" t="s">
        <v>212</v>
      </c>
      <c r="CA4" s="18" t="s">
        <v>213</v>
      </c>
      <c r="CB4" s="18" t="s">
        <v>214</v>
      </c>
      <c r="CC4" s="18" t="s">
        <v>215</v>
      </c>
      <c r="CD4" s="18" t="s">
        <v>216</v>
      </c>
      <c r="CE4" s="18" t="s">
        <v>217</v>
      </c>
      <c r="CF4" s="18" t="s">
        <v>218</v>
      </c>
      <c r="CG4" s="18" t="s">
        <v>219</v>
      </c>
      <c r="CH4" s="18" t="s">
        <v>220</v>
      </c>
      <c r="CI4" s="18" t="s">
        <v>221</v>
      </c>
      <c r="CJ4" s="18" t="s">
        <v>222</v>
      </c>
      <c r="CK4" s="18" t="s">
        <v>223</v>
      </c>
      <c r="CL4" s="18" t="s">
        <v>224</v>
      </c>
      <c r="CM4" s="18" t="s">
        <v>225</v>
      </c>
      <c r="CN4" s="18" t="s">
        <v>226</v>
      </c>
      <c r="CO4" s="18" t="s">
        <v>227</v>
      </c>
      <c r="CP4" s="18" t="s">
        <v>228</v>
      </c>
      <c r="CQ4" s="18" t="s">
        <v>229</v>
      </c>
      <c r="CR4" s="18" t="s">
        <v>230</v>
      </c>
      <c r="CS4" s="18" t="s">
        <v>231</v>
      </c>
      <c r="CT4" s="18" t="s">
        <v>232</v>
      </c>
      <c r="CU4" s="18" t="s">
        <v>233</v>
      </c>
      <c r="CV4" s="18" t="s">
        <v>234</v>
      </c>
      <c r="CW4" s="18" t="s">
        <v>235</v>
      </c>
      <c r="CX4" s="18" t="s">
        <v>236</v>
      </c>
      <c r="CY4" s="18" t="s">
        <v>237</v>
      </c>
      <c r="CZ4" s="18"/>
      <c r="DA4" s="18"/>
      <c r="DB4" s="18"/>
      <c r="DC4" s="18"/>
      <c r="DD4" s="18"/>
      <c r="DE4" s="18"/>
      <c r="DF4" s="18"/>
      <c r="DG4" s="18"/>
      <c r="DH4" s="18"/>
      <c r="DI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5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 t="str">
        <f>IFERROR(__xludf.DUMMYFUNCTION("""COMPUTED_VALUE"""),"")</f>
        <v/>
      </c>
      <c r="T5" s="26" t="str">
        <f>IFERROR(__xludf.DUMMYFUNCTION("""COMPUTED_VALUE"""),"")</f>
        <v/>
      </c>
      <c r="U5" s="26" t="str">
        <f>IFERROR(__xludf.DUMMYFUNCTION("""COMPUTED_VALUE"""),"")</f>
        <v/>
      </c>
      <c r="V5" s="26" t="str">
        <f>IFERROR(__xludf.DUMMYFUNCTION("""COMPUTED_VALUE"""),"")</f>
        <v/>
      </c>
      <c r="W5" s="26" t="str">
        <f>IFERROR(__xludf.DUMMYFUNCTION("""COMPUTED_VALUE"""),"")</f>
        <v/>
      </c>
      <c r="X5" s="26" t="str">
        <f>IFERROR(__xludf.DUMMYFUNCTION("""COMPUTED_VALUE"""),"")</f>
        <v/>
      </c>
      <c r="Y5" s="26" t="str">
        <f>IFERROR(__xludf.DUMMYFUNCTION("""COMPUTED_VALUE"""),"")</f>
        <v/>
      </c>
      <c r="Z5" s="26" t="str">
        <f>IFERROR(__xludf.DUMMYFUNCTION("""COMPUTED_VALUE"""),"")</f>
        <v/>
      </c>
      <c r="AA5" s="26" t="str">
        <f>IFERROR(__xludf.DUMMYFUNCTION("""COMPUTED_VALUE"""),"")</f>
        <v/>
      </c>
      <c r="AB5" s="26" t="str">
        <f>IFERROR(__xludf.DUMMYFUNCTION("""COMPUTED_VALUE"""),"")</f>
        <v/>
      </c>
      <c r="AC5" s="26" t="str">
        <f>IFERROR(__xludf.DUMMYFUNCTION("""COMPUTED_VALUE"""),"")</f>
        <v/>
      </c>
      <c r="AD5" s="26" t="str">
        <f>IFERROR(__xludf.DUMMYFUNCTION("""COMPUTED_VALUE"""),"")</f>
        <v/>
      </c>
      <c r="AE5" s="26" t="str">
        <f>IFERROR(__xludf.DUMMYFUNCTION("""COMPUTED_VALUE"""),"")</f>
        <v/>
      </c>
      <c r="AF5" s="26" t="str">
        <f>IFERROR(__xludf.DUMMYFUNCTION("""COMPUTED_VALUE"""),"")</f>
        <v/>
      </c>
      <c r="AG5" s="26" t="str">
        <f>IFERROR(__xludf.DUMMYFUNCTION("""COMPUTED_VALUE"""),"")</f>
        <v/>
      </c>
      <c r="AH5" s="26" t="str">
        <f>IFERROR(__xludf.DUMMYFUNCTION("""COMPUTED_VALUE"""),"")</f>
        <v/>
      </c>
      <c r="AI5" s="26" t="str">
        <f>IFERROR(__xludf.DUMMYFUNCTION("""COMPUTED_VALUE"""),"")</f>
        <v/>
      </c>
      <c r="AJ5" s="26" t="str">
        <f>IFERROR(__xludf.DUMMYFUNCTION("""COMPUTED_VALUE"""),"")</f>
        <v/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  <c r="BL5" s="26" t="str">
        <f>IFERROR(__xludf.DUMMYFUNCTION("""COMPUTED_VALUE"""),"")</f>
        <v/>
      </c>
      <c r="BM5" s="26" t="str">
        <f>IFERROR(__xludf.DUMMYFUNCTION("""COMPUTED_VALUE"""),"")</f>
        <v/>
      </c>
      <c r="BN5" s="26" t="str">
        <f>IFERROR(__xludf.DUMMYFUNCTION("""COMPUTED_VALUE"""),"")</f>
        <v/>
      </c>
      <c r="BO5" s="26" t="str">
        <f>IFERROR(__xludf.DUMMYFUNCTION("""COMPUTED_VALUE"""),"")</f>
        <v/>
      </c>
      <c r="BP5" s="26" t="str">
        <f>IFERROR(__xludf.DUMMYFUNCTION("""COMPUTED_VALUE"""),"")</f>
        <v/>
      </c>
      <c r="BQ5" s="26" t="str">
        <f>IFERROR(__xludf.DUMMYFUNCTION("""COMPUTED_VALUE"""),"")</f>
        <v/>
      </c>
      <c r="BR5" s="26" t="str">
        <f>IFERROR(__xludf.DUMMYFUNCTION("""COMPUTED_VALUE"""),"")</f>
        <v/>
      </c>
      <c r="BS5" s="26" t="str">
        <f>IFERROR(__xludf.DUMMYFUNCTION("""COMPUTED_VALUE"""),"")</f>
        <v/>
      </c>
      <c r="BT5" s="26" t="str">
        <f>IFERROR(__xludf.DUMMYFUNCTION("""COMPUTED_VALUE"""),"")</f>
        <v/>
      </c>
      <c r="BU5" s="26" t="str">
        <f>IFERROR(__xludf.DUMMYFUNCTION("""COMPUTED_VALUE"""),"")</f>
        <v/>
      </c>
      <c r="BV5" s="26" t="str">
        <f>IFERROR(__xludf.DUMMYFUNCTION("""COMPUTED_VALUE"""),"")</f>
        <v/>
      </c>
      <c r="BW5" s="26" t="str">
        <f>IFERROR(__xludf.DUMMYFUNCTION("""COMPUTED_VALUE"""),"")</f>
        <v/>
      </c>
      <c r="BX5" s="26" t="str">
        <f>IFERROR(__xludf.DUMMYFUNCTION("""COMPUTED_VALUE"""),"")</f>
        <v/>
      </c>
      <c r="BY5" s="26" t="str">
        <f>IFERROR(__xludf.DUMMYFUNCTION("""COMPUTED_VALUE"""),"")</f>
        <v/>
      </c>
      <c r="BZ5" s="26" t="str">
        <f>IFERROR(__xludf.DUMMYFUNCTION("""COMPUTED_VALUE"""),"")</f>
        <v/>
      </c>
      <c r="CA5" s="26" t="str">
        <f>IFERROR(__xludf.DUMMYFUNCTION("""COMPUTED_VALUE"""),"")</f>
        <v/>
      </c>
      <c r="CB5" s="26" t="str">
        <f>IFERROR(__xludf.DUMMYFUNCTION("""COMPUTED_VALUE"""),"")</f>
        <v/>
      </c>
      <c r="CC5" s="26" t="str">
        <f>IFERROR(__xludf.DUMMYFUNCTION("""COMPUTED_VALUE"""),"")</f>
        <v/>
      </c>
      <c r="CD5" s="26" t="str">
        <f>IFERROR(__xludf.DUMMYFUNCTION("""COMPUTED_VALUE"""),"")</f>
        <v/>
      </c>
      <c r="CE5" s="26" t="str">
        <f>IFERROR(__xludf.DUMMYFUNCTION("""COMPUTED_VALUE"""),"")</f>
        <v/>
      </c>
      <c r="CF5" s="26" t="str">
        <f>IFERROR(__xludf.DUMMYFUNCTION("""COMPUTED_VALUE"""),"")</f>
        <v/>
      </c>
      <c r="CG5" s="26" t="str">
        <f>IFERROR(__xludf.DUMMYFUNCTION("""COMPUTED_VALUE"""),"")</f>
        <v/>
      </c>
      <c r="CH5" s="26" t="str">
        <f>IFERROR(__xludf.DUMMYFUNCTION("""COMPUTED_VALUE"""),"")</f>
        <v/>
      </c>
      <c r="CI5" s="26" t="str">
        <f>IFERROR(__xludf.DUMMYFUNCTION("""COMPUTED_VALUE"""),"")</f>
        <v/>
      </c>
      <c r="CJ5" s="26" t="str">
        <f>IFERROR(__xludf.DUMMYFUNCTION("""COMPUTED_VALUE"""),"")</f>
        <v/>
      </c>
      <c r="CK5" s="26" t="str">
        <f>IFERROR(__xludf.DUMMYFUNCTION("""COMPUTED_VALUE"""),"")</f>
        <v/>
      </c>
      <c r="CL5" s="26" t="str">
        <f>IFERROR(__xludf.DUMMYFUNCTION("""COMPUTED_VALUE"""),"")</f>
        <v/>
      </c>
      <c r="CM5" s="26" t="str">
        <f>IFERROR(__xludf.DUMMYFUNCTION("""COMPUTED_VALUE"""),"")</f>
        <v/>
      </c>
      <c r="CN5" s="26" t="str">
        <f>IFERROR(__xludf.DUMMYFUNCTION("""COMPUTED_VALUE"""),"")</f>
        <v/>
      </c>
      <c r="CO5" s="26" t="str">
        <f>IFERROR(__xludf.DUMMYFUNCTION("""COMPUTED_VALUE"""),"")</f>
        <v/>
      </c>
      <c r="CP5" s="26" t="str">
        <f>IFERROR(__xludf.DUMMYFUNCTION("""COMPUTED_VALUE"""),"")</f>
        <v/>
      </c>
      <c r="CQ5" s="26" t="str">
        <f>IFERROR(__xludf.DUMMYFUNCTION("""COMPUTED_VALUE"""),"")</f>
        <v/>
      </c>
      <c r="CR5" s="26" t="str">
        <f>IFERROR(__xludf.DUMMYFUNCTION("""COMPUTED_VALUE"""),"")</f>
        <v/>
      </c>
      <c r="CS5" s="26" t="str">
        <f>IFERROR(__xludf.DUMMYFUNCTION("""COMPUTED_VALUE"""),"")</f>
        <v/>
      </c>
      <c r="CT5" s="26" t="str">
        <f>IFERROR(__xludf.DUMMYFUNCTION("""COMPUTED_VALUE"""),"")</f>
        <v/>
      </c>
      <c r="CU5" s="26" t="str">
        <f>IFERROR(__xludf.DUMMYFUNCTION("""COMPUTED_VALUE"""),"")</f>
        <v/>
      </c>
      <c r="CV5" s="26" t="str">
        <f>IFERROR(__xludf.DUMMYFUNCTION("""COMPUTED_VALUE"""),"")</f>
        <v/>
      </c>
      <c r="CW5" s="26" t="str">
        <f>IFERROR(__xludf.DUMMYFUNCTION("""COMPUTED_VALUE"""),"")</f>
        <v/>
      </c>
      <c r="CX5" s="26" t="str">
        <f>IFERROR(__xludf.DUMMYFUNCTION("""COMPUTED_VALUE"""),"")</f>
        <v/>
      </c>
      <c r="CY5" s="26" t="str">
        <f>IFERROR(__xludf.DUMMYFUNCTION("""COMPUTED_VALUE"""),"")</f>
        <v/>
      </c>
      <c r="CZ5" s="26" t="str">
        <f>IFERROR(__xludf.DUMMYFUNCTION("""COMPUTED_VALUE"""),"")</f>
        <v/>
      </c>
      <c r="DA5" s="26" t="str">
        <f>IFERROR(__xludf.DUMMYFUNCTION("""COMPUTED_VALUE"""),"")</f>
        <v/>
      </c>
      <c r="DB5" s="26" t="str">
        <f>IFERROR(__xludf.DUMMYFUNCTION("""COMPUTED_VALUE"""),"")</f>
        <v/>
      </c>
      <c r="DC5" s="26" t="str">
        <f>IFERROR(__xludf.DUMMYFUNCTION("""COMPUTED_VALUE"""),"")</f>
        <v/>
      </c>
      <c r="DD5" s="26" t="str">
        <f>IFERROR(__xludf.DUMMYFUNCTION("""COMPUTED_VALUE"""),"")</f>
        <v/>
      </c>
      <c r="DE5" s="26" t="str">
        <f>IFERROR(__xludf.DUMMYFUNCTION("""COMPUTED_VALUE"""),"")</f>
        <v/>
      </c>
      <c r="DF5" s="26" t="str">
        <f>IFERROR(__xludf.DUMMYFUNCTION("""COMPUTED_VALUE"""),"")</f>
        <v/>
      </c>
      <c r="DG5" s="26" t="str">
        <f>IFERROR(__xludf.DUMMYFUNCTION("""COMPUTED_VALUE"""),"")</f>
        <v/>
      </c>
      <c r="DH5" s="26" t="str">
        <f>IFERROR(__xludf.DUMMYFUNCTION("""COMPUTED_VALUE"""),"")</f>
        <v/>
      </c>
      <c r="DI5" s="26" t="str">
        <f>IFERROR(__xludf.DUMMYFUNCTION("""COMPUTED_VALUE"""),"")</f>
        <v/>
      </c>
    </row>
    <row r="6" ht="15.75" customHeight="1">
      <c r="A6" s="6"/>
      <c r="B6" t="s">
        <v>238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139</v>
      </c>
      <c r="D3" s="7" t="s">
        <v>10</v>
      </c>
      <c r="E3" s="15" t="s">
        <v>202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141</v>
      </c>
      <c r="D4" s="17" t="s">
        <v>140</v>
      </c>
      <c r="E4" s="17" t="s">
        <v>142</v>
      </c>
      <c r="F4" s="17" t="s">
        <v>143</v>
      </c>
      <c r="G4" s="17" t="s">
        <v>144</v>
      </c>
      <c r="H4" s="17" t="s">
        <v>145</v>
      </c>
      <c r="I4" s="17" t="s">
        <v>146</v>
      </c>
      <c r="J4" s="17" t="s">
        <v>147</v>
      </c>
      <c r="K4" s="17" t="s">
        <v>148</v>
      </c>
      <c r="L4" s="17" t="s">
        <v>149</v>
      </c>
      <c r="M4" s="17" t="s">
        <v>150</v>
      </c>
      <c r="N4" s="17" t="s">
        <v>151</v>
      </c>
      <c r="O4" s="17" t="s">
        <v>152</v>
      </c>
      <c r="P4" s="18" t="s">
        <v>153</v>
      </c>
      <c r="Q4" s="18" t="s">
        <v>154</v>
      </c>
      <c r="R4" s="18" t="s">
        <v>155</v>
      </c>
      <c r="S4" s="18" t="s">
        <v>156</v>
      </c>
      <c r="T4" s="18" t="s">
        <v>157</v>
      </c>
      <c r="U4" s="18" t="s">
        <v>158</v>
      </c>
      <c r="V4" s="18" t="s">
        <v>159</v>
      </c>
      <c r="W4" s="18" t="s">
        <v>160</v>
      </c>
      <c r="X4" s="18" t="s">
        <v>161</v>
      </c>
      <c r="Y4" s="18" t="s">
        <v>162</v>
      </c>
      <c r="Z4" s="18" t="s">
        <v>163</v>
      </c>
      <c r="AA4" s="18" t="s">
        <v>164</v>
      </c>
      <c r="AB4" s="18" t="s">
        <v>165</v>
      </c>
      <c r="AC4" s="18" t="s">
        <v>166</v>
      </c>
      <c r="AD4" s="18" t="s">
        <v>148</v>
      </c>
      <c r="AE4" s="18" t="s">
        <v>167</v>
      </c>
      <c r="AF4" s="18" t="s">
        <v>168</v>
      </c>
      <c r="AG4" s="18" t="s">
        <v>169</v>
      </c>
      <c r="AH4" s="18" t="s">
        <v>170</v>
      </c>
      <c r="AI4" s="18" t="s">
        <v>171</v>
      </c>
      <c r="AJ4" s="18" t="s">
        <v>172</v>
      </c>
      <c r="AK4" s="18" t="s">
        <v>173</v>
      </c>
      <c r="AL4" s="18" t="s">
        <v>174</v>
      </c>
      <c r="AM4" s="18" t="s">
        <v>175</v>
      </c>
      <c r="AN4" s="18" t="s">
        <v>176</v>
      </c>
      <c r="AO4" s="18" t="s">
        <v>177</v>
      </c>
      <c r="AP4" s="18" t="s">
        <v>178</v>
      </c>
      <c r="AQ4" s="18" t="s">
        <v>179</v>
      </c>
      <c r="AR4" s="18" t="s">
        <v>180</v>
      </c>
      <c r="AS4" s="18" t="s">
        <v>181</v>
      </c>
      <c r="AT4" s="18" t="s">
        <v>182</v>
      </c>
      <c r="AU4" s="18" t="s">
        <v>183</v>
      </c>
      <c r="AV4" s="18" t="s">
        <v>184</v>
      </c>
      <c r="AW4" s="18" t="s">
        <v>185</v>
      </c>
      <c r="AX4" s="18" t="s">
        <v>186</v>
      </c>
      <c r="AY4" s="18" t="s">
        <v>187</v>
      </c>
      <c r="AZ4" s="18" t="s">
        <v>188</v>
      </c>
      <c r="BA4" s="18" t="s">
        <v>189</v>
      </c>
      <c r="BB4" s="18" t="s">
        <v>190</v>
      </c>
      <c r="BC4" s="18" t="s">
        <v>191</v>
      </c>
      <c r="BD4" s="18" t="s">
        <v>192</v>
      </c>
      <c r="BE4" s="18" t="s">
        <v>193</v>
      </c>
      <c r="BF4" s="18" t="s">
        <v>194</v>
      </c>
      <c r="BG4" s="18" t="s">
        <v>195</v>
      </c>
      <c r="BH4" s="18" t="s">
        <v>196</v>
      </c>
      <c r="BI4" s="18" t="s">
        <v>197</v>
      </c>
      <c r="BJ4" s="18" t="s">
        <v>198</v>
      </c>
      <c r="BK4" s="18" t="s">
        <v>130</v>
      </c>
      <c r="BL4" s="18" t="s">
        <v>199</v>
      </c>
      <c r="BM4" s="18" t="s">
        <v>200</v>
      </c>
      <c r="BN4" s="18" t="s">
        <v>201</v>
      </c>
      <c r="BO4" s="18" t="s">
        <v>202</v>
      </c>
      <c r="BP4" s="18" t="s">
        <v>203</v>
      </c>
      <c r="BQ4" s="18" t="s">
        <v>204</v>
      </c>
      <c r="BR4" s="18" t="s">
        <v>205</v>
      </c>
      <c r="BS4" s="18" t="s">
        <v>206</v>
      </c>
      <c r="BT4" s="18" t="s">
        <v>207</v>
      </c>
      <c r="BU4" s="18" t="s">
        <v>208</v>
      </c>
      <c r="BV4" s="18" t="s">
        <v>209</v>
      </c>
      <c r="BW4" s="18" t="s">
        <v>210</v>
      </c>
      <c r="BX4" s="18" t="s">
        <v>141</v>
      </c>
      <c r="BY4" s="18" t="s">
        <v>211</v>
      </c>
      <c r="BZ4" s="18" t="s">
        <v>212</v>
      </c>
      <c r="CA4" s="18" t="s">
        <v>213</v>
      </c>
      <c r="CB4" s="18" t="s">
        <v>214</v>
      </c>
      <c r="CC4" s="18" t="s">
        <v>215</v>
      </c>
      <c r="CD4" s="18" t="s">
        <v>216</v>
      </c>
      <c r="CE4" s="18" t="s">
        <v>217</v>
      </c>
      <c r="CF4" s="18" t="s">
        <v>218</v>
      </c>
      <c r="CG4" s="18" t="s">
        <v>219</v>
      </c>
      <c r="CH4" s="18" t="s">
        <v>220</v>
      </c>
      <c r="CI4" s="18" t="s">
        <v>221</v>
      </c>
      <c r="CJ4" s="18" t="s">
        <v>222</v>
      </c>
      <c r="CK4" s="18" t="s">
        <v>223</v>
      </c>
      <c r="CL4" s="18" t="s">
        <v>224</v>
      </c>
      <c r="CM4" s="18" t="s">
        <v>225</v>
      </c>
      <c r="CN4" s="18" t="s">
        <v>226</v>
      </c>
      <c r="CO4" s="18" t="s">
        <v>227</v>
      </c>
      <c r="CP4" s="18" t="s">
        <v>228</v>
      </c>
      <c r="CQ4" s="18" t="s">
        <v>229</v>
      </c>
      <c r="CR4" s="18" t="s">
        <v>230</v>
      </c>
      <c r="CS4" s="18" t="s">
        <v>231</v>
      </c>
      <c r="CT4" s="18" t="s">
        <v>232</v>
      </c>
      <c r="CU4" s="18" t="s">
        <v>233</v>
      </c>
      <c r="CV4" s="18" t="s">
        <v>234</v>
      </c>
      <c r="CW4" s="18" t="s">
        <v>235</v>
      </c>
      <c r="CX4" s="18" t="s">
        <v>236</v>
      </c>
      <c r="CY4" s="18" t="s">
        <v>237</v>
      </c>
      <c r="CZ4" s="18"/>
      <c r="DA4" s="18"/>
      <c r="DB4" s="18"/>
      <c r="DC4" s="18"/>
      <c r="DD4" s="18"/>
      <c r="DE4" s="18"/>
      <c r="DF4" s="18"/>
      <c r="DG4" s="18"/>
      <c r="DH4" s="18"/>
      <c r="DI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5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6" t="str">
        <f>IFERROR(__xludf.DUMMYFUNCTION("""COMPUTED_VALUE"""),"Commission")</f>
        <v>Commission</v>
      </c>
      <c r="U5" s="26" t="str">
        <f>IFERROR(__xludf.DUMMYFUNCTION("""COMPUTED_VALUE"""),"Commission Per Share")</f>
        <v>Commission Per Share</v>
      </c>
      <c r="V5" s="26" t="str">
        <f>IFERROR(__xludf.DUMMYFUNCTION("""COMPUTED_VALUE"""),"Company")</f>
        <v>Company</v>
      </c>
      <c r="W5" s="26" t="str">
        <f>IFERROR(__xludf.DUMMYFUNCTION("""COMPUTED_VALUE"""),"Contract Multiplier")</f>
        <v>Contract Multiplier</v>
      </c>
      <c r="X5" s="26" t="str">
        <f>IFERROR(__xludf.DUMMYFUNCTION("""COMPUTED_VALUE"""),"Coupon Rate")</f>
        <v>Coupon Rate</v>
      </c>
      <c r="Y5" s="26" t="str">
        <f>IFERROR(__xludf.DUMMYFUNCTION("""COMPUTED_VALUE"""),"Cum Qty For Sub Order")</f>
        <v>Cum Qty For Sub Order</v>
      </c>
      <c r="Z5" s="26" t="str">
        <f>IFERROR(__xludf.DUMMYFUNCTION("""COMPUTED_VALUE"""),"Currency")</f>
        <v>Currency</v>
      </c>
      <c r="AA5" s="26" t="str">
        <f>IFERROR(__xludf.DUMMYFUNCTION("""COMPUTED_VALUE"""),"Cusip Symbol")</f>
        <v>Cusip Symbol</v>
      </c>
      <c r="AB5" s="26" t="str">
        <f>IFERROR(__xludf.DUMMYFUNCTION("""COMPUTED_VALUE"""),"Delta")</f>
        <v>Delta</v>
      </c>
      <c r="AC5" s="26" t="str">
        <f>IFERROR(__xludf.DUMMYFUNCTION("""COMPUTED_VALUE"""),"Description")</f>
        <v>Description</v>
      </c>
      <c r="AD5" s="26" t="str">
        <f>IFERROR(__xludf.DUMMYFUNCTION("""COMPUTED_VALUE"""),"Exchange")</f>
        <v>Exchange</v>
      </c>
      <c r="AE5" s="26" t="str">
        <f>IFERROR(__xludf.DUMMYFUNCTION("""COMPUTED_VALUE"""),"Executed Qty")</f>
        <v>Executed Qty</v>
      </c>
      <c r="AF5" s="26" t="str">
        <f>IFERROR(__xludf.DUMMYFUNCTION("""COMPUTED_VALUE"""),"Exceution Time")</f>
        <v>Exceution Time</v>
      </c>
      <c r="AG5" s="26" t="str">
        <f>IFERROR(__xludf.DUMMYFUNCTION("""COMPUTED_VALUE"""),"Expiration Date")</f>
        <v>Expiration Date</v>
      </c>
      <c r="AH5" s="26" t="str">
        <f>IFERROR(__xludf.DUMMYFUNCTION("""COMPUTED_VALUE"""),"FX Conversion Operator")</f>
        <v>FX Conversion Operator</v>
      </c>
      <c r="AI5" s="26" t="str">
        <f>IFERROR(__xludf.DUMMYFUNCTION("""COMPUTED_VALUE"""),"FX Rate")</f>
        <v>FX Rate</v>
      </c>
      <c r="AJ5" s="26" t="str">
        <f>IFERROR(__xludf.DUMMYFUNCTION("""COMPUTED_VALUE"""),"Group Status")</f>
        <v>Group Status</v>
      </c>
      <c r="AK5" s="26" t="str">
        <f>IFERROR(__xludf.DUMMYFUNCTION("""COMPUTED_VALUE"""),"IDCOSymbol")</f>
        <v>IDCOSymbol</v>
      </c>
      <c r="AL5" s="26" t="str">
        <f>IFERROR(__xludf.DUMMYFUNCTION("""COMPUTED_VALUE"""),"Import File Name")</f>
        <v>Import File Name</v>
      </c>
      <c r="AM5" s="26" t="str">
        <f>IFERROR(__xludf.DUMMYFUNCTION("""COMPUTED_VALUE"""),"Internal Comments")</f>
        <v>Internal Comments</v>
      </c>
      <c r="AN5" s="26" t="str">
        <f>IFERROR(__xludf.DUMMYFUNCTION("""COMPUTED_VALUE"""),"IsAnotherTaxlotAttributesUpdated")</f>
        <v>IsAnotherTaxlotAttributesUpdated</v>
      </c>
      <c r="AO5" s="26" t="str">
        <f>IFERROR(__xludf.DUMMYFUNCTION("""COMPUTED_VALUE"""),"ISIN")</f>
        <v>ISIN</v>
      </c>
      <c r="AP5" s="26" t="str">
        <f>IFERROR(__xludf.DUMMYFUNCTION("""COMPUTED_VALUE"""),"IsManualGroup")</f>
        <v>IsManualGroup</v>
      </c>
      <c r="AQ5" s="26" t="str">
        <f>IFERROR(__xludf.DUMMYFUNCTION("""COMPUTED_VALUE"""),"ISNDF")</f>
        <v>ISNDF</v>
      </c>
      <c r="AR5" s="26" t="str">
        <f>IFERROR(__xludf.DUMMYFUNCTION("""COMPUTED_VALUE"""),"IsPreAllocated")</f>
        <v>IsPreAllocated</v>
      </c>
      <c r="AS5" s="26" t="str">
        <f>IFERROR(__xludf.DUMMYFUNCTION("""COMPUTED_VALUE"""),"M2MProfitLoss")</f>
        <v>M2MProfitLoss</v>
      </c>
      <c r="AT5" s="26" t="str">
        <f>IFERROR(__xludf.DUMMYFUNCTION("""COMPUTED_VALUE"""),"Net Amount( Base)")</f>
        <v>Net Amount( Base)</v>
      </c>
      <c r="AU5" s="26" t="str">
        <f>IFERROR(__xludf.DUMMYFUNCTION("""COMPUTED_VALUE"""),"Net Amount( Local)")</f>
        <v>Net Amount( Local)</v>
      </c>
      <c r="AV5" s="26" t="str">
        <f>IFERROR(__xludf.DUMMYFUNCTION("""COMPUTED_VALUE"""),"Nirvana Process Date")</f>
        <v>Nirvana Process Date</v>
      </c>
      <c r="AW5" s="26" t="str">
        <f>IFERROR(__xludf.DUMMYFUNCTION("""COMPUTED_VALUE"""),"OCC Fee")</f>
        <v>OCC Fee</v>
      </c>
      <c r="AX5" s="26" t="str">
        <f>IFERROR(__xludf.DUMMYFUNCTION("""COMPUTED_VALUE"""),"Option Premium Adjustment")</f>
        <v>Option Premium Adjustment</v>
      </c>
      <c r="AY5" s="26" t="str">
        <f>IFERROR(__xludf.DUMMYFUNCTION("""COMPUTED_VALUE"""),"Order Type")</f>
        <v>Order Type</v>
      </c>
      <c r="AZ5" s="26" t="str">
        <f>IFERROR(__xludf.DUMMYFUNCTION("""COMPUTED_VALUE"""),"ORF Fee")</f>
        <v>ORF Fee</v>
      </c>
      <c r="BA5" s="26" t="str">
        <f>IFERROR(__xludf.DUMMYFUNCTION("""COMPUTED_VALUE"""),"Original Purchase Date")</f>
        <v>Original Purchase Date</v>
      </c>
      <c r="BB5" s="26" t="str">
        <f>IFERROR(__xludf.DUMMYFUNCTION("""COMPUTED_VALUE"""),"OSISSymbol")</f>
        <v>OSISSymbol</v>
      </c>
      <c r="BC5" s="26" t="str">
        <f>IFERROR(__xludf.DUMMYFUNCTION("""COMPUTED_VALUE"""),"Other Broker Fees")</f>
        <v>Other Broker Fees</v>
      </c>
      <c r="BD5" s="26" t="str">
        <f>IFERROR(__xludf.DUMMYFUNCTION("""COMPUTED_VALUE"""),"Prana Msg Type")</f>
        <v>Prana Msg Type</v>
      </c>
      <c r="BE5" s="26" t="str">
        <f>IFERROR(__xludf.DUMMYFUNCTION("""COMPUTED_VALUE"""),"Principal Amount( Base)")</f>
        <v>Principal Amount( Base)</v>
      </c>
      <c r="BF5" s="26" t="str">
        <f>IFERROR(__xludf.DUMMYFUNCTION("""COMPUTED_VALUE"""),"Principal Amount( Local)")</f>
        <v>Principal Amount( Local)</v>
      </c>
      <c r="BG5" s="26" t="str">
        <f>IFERROR(__xludf.DUMMYFUNCTION("""COMPUTED_VALUE"""),"Process Date")</f>
        <v>Process Date</v>
      </c>
      <c r="BH5" s="26" t="str">
        <f>IFERROR(__xludf.DUMMYFUNCTION("""COMPUTED_VALUE"""),"Proxy Symbol")</f>
        <v>Proxy Symbol</v>
      </c>
      <c r="BI5" s="26" t="str">
        <f>IFERROR(__xludf.DUMMYFUNCTION("""COMPUTED_VALUE"""),"Put Or Call")</f>
        <v>Put Or Call</v>
      </c>
      <c r="BJ5" s="26" t="str">
        <f>IFERROR(__xludf.DUMMYFUNCTION("""COMPUTED_VALUE"""),"Quantity")</f>
        <v>Quantity</v>
      </c>
      <c r="BK5" s="26" t="str">
        <f>IFERROR(__xludf.DUMMYFUNCTION("""COMPUTED_VALUE"""),"SEC Fee")</f>
        <v>SEC Fee</v>
      </c>
      <c r="BL5" s="26" t="str">
        <f>IFERROR(__xludf.DUMMYFUNCTION("""COMPUTED_VALUE"""),"Sedol Symbol")</f>
        <v>Sedol Symbol</v>
      </c>
      <c r="BM5" s="26" t="str">
        <f>IFERROR(__xludf.DUMMYFUNCTION("""COMPUTED_VALUE"""),"Settlement Currency")</f>
        <v>Settlement Currency</v>
      </c>
      <c r="BN5" s="26" t="str">
        <f>IFERROR(__xludf.DUMMYFUNCTION("""COMPUTED_VALUE"""),"Settlement Date")</f>
        <v>Settlement Date</v>
      </c>
      <c r="BO5" s="26" t="str">
        <f>IFERROR(__xludf.DUMMYFUNCTION("""COMPUTED_VALUE"""),"Side")</f>
        <v>Side</v>
      </c>
      <c r="BP5" s="26" t="str">
        <f>IFERROR(__xludf.DUMMYFUNCTION("""COMPUTED_VALUE"""),"Soft Commission")</f>
        <v>Soft Commission</v>
      </c>
      <c r="BQ5" s="26" t="str">
        <f>IFERROR(__xludf.DUMMYFUNCTION("""COMPUTED_VALUE"""),"Soft Commission Per Share")</f>
        <v>Soft Commission Per Share</v>
      </c>
      <c r="BR5" s="26" t="str">
        <f>IFERROR(__xludf.DUMMYFUNCTION("""COMPUTED_VALUE"""),"Stamp Duty")</f>
        <v>Stamp Duty</v>
      </c>
      <c r="BS5" s="26" t="str">
        <f>IFERROR(__xludf.DUMMYFUNCTION("""COMPUTED_VALUE"""),"Strategy Name")</f>
        <v>Strategy Name</v>
      </c>
      <c r="BT5" s="26" t="str">
        <f>IFERROR(__xludf.DUMMYFUNCTION("""COMPUTED_VALUE"""),"Symbol")</f>
        <v>Symbol</v>
      </c>
      <c r="BU5" s="26" t="str">
        <f>IFERROR(__xludf.DUMMYFUNCTION("""COMPUTED_VALUE"""),"Tax On Commissions")</f>
        <v>Tax On Commissions</v>
      </c>
      <c r="BV5" s="26" t="str">
        <f>IFERROR(__xludf.DUMMYFUNCTION("""COMPUTED_VALUE"""),"Total Commission")</f>
        <v>Total Commission</v>
      </c>
      <c r="BW5" s="26" t="str">
        <f>IFERROR(__xludf.DUMMYFUNCTION("""COMPUTED_VALUE"""),"Total Commission And Fee")</f>
        <v>Total Commission And Fee</v>
      </c>
      <c r="BX5" s="26" t="str">
        <f>IFERROR(__xludf.DUMMYFUNCTION("""COMPUTED_VALUE"""),"Total Commission Per Share")</f>
        <v>Total Commission Per Share</v>
      </c>
      <c r="BY5" s="26" t="str">
        <f>IFERROR(__xludf.DUMMYFUNCTION("""COMPUTED_VALUE"""),"Trade Attribute 1")</f>
        <v>Trade Attribute 1</v>
      </c>
      <c r="BZ5" s="26" t="str">
        <f>IFERROR(__xludf.DUMMYFUNCTION("""COMPUTED_VALUE"""),"Trade Attribute 2")</f>
        <v>Trade Attribute 2</v>
      </c>
      <c r="CA5" s="26" t="str">
        <f>IFERROR(__xludf.DUMMYFUNCTION("""COMPUTED_VALUE"""),"Trade Attribute 3")</f>
        <v>Trade Attribute 3</v>
      </c>
      <c r="CB5" s="26" t="str">
        <f>IFERROR(__xludf.DUMMYFUNCTION("""COMPUTED_VALUE"""),"Trade Attribute 4")</f>
        <v>Trade Attribute 4</v>
      </c>
      <c r="CC5" s="26" t="str">
        <f>IFERROR(__xludf.DUMMYFUNCTION("""COMPUTED_VALUE"""),"Trade Attribute 5")</f>
        <v>Trade Attribute 5</v>
      </c>
      <c r="CD5" s="26" t="str">
        <f>IFERROR(__xludf.DUMMYFUNCTION("""COMPUTED_VALUE"""),"Trade Attribute 6")</f>
        <v>Trade Attribute 6</v>
      </c>
      <c r="CE5" s="26" t="str">
        <f>IFERROR(__xludf.DUMMYFUNCTION("""COMPUTED_VALUE"""),"Trade Date")</f>
        <v>Trade Date</v>
      </c>
      <c r="CF5" s="26" t="str">
        <f>IFERROR(__xludf.DUMMYFUNCTION("""COMPUTED_VALUE"""),"Trading Account")</f>
        <v>Trading Account</v>
      </c>
      <c r="CG5" s="26" t="str">
        <f>IFERROR(__xludf.DUMMYFUNCTION("""COMPUTED_VALUE"""),"Transaction Levy")</f>
        <v>Transaction Levy</v>
      </c>
      <c r="CH5" s="26" t="str">
        <f>IFERROR(__xludf.DUMMYFUNCTION("""COMPUTED_VALUE"""),"Transaction Source")</f>
        <v>Transaction Source</v>
      </c>
      <c r="CI5" s="26" t="str">
        <f>IFERROR(__xludf.DUMMYFUNCTION("""COMPUTED_VALUE"""),"Transaction Type")</f>
        <v>Transaction Type</v>
      </c>
      <c r="CJ5" s="26" t="str">
        <f>IFERROR(__xludf.DUMMYFUNCTION("""COMPUTED_VALUE"""),"UnAllocatedQty")</f>
        <v>UnAllocatedQty</v>
      </c>
      <c r="CK5" s="26" t="str">
        <f>IFERROR(__xludf.DUMMYFUNCTION("""COMPUTED_VALUE"""),"Underlying")</f>
        <v>Underlying</v>
      </c>
      <c r="CL5" s="26" t="str">
        <f>IFERROR(__xludf.DUMMYFUNCTION("""COMPUTED_VALUE"""),"Underlying Delta")</f>
        <v>Underlying Delta</v>
      </c>
      <c r="CM5" s="26" t="str">
        <f>IFERROR(__xludf.DUMMYFUNCTION("""COMPUTED_VALUE"""),"Underlying Symbol")</f>
        <v>Underlying Symbol</v>
      </c>
      <c r="CN5" s="26" t="str">
        <f>IFERROR(__xludf.DUMMYFUNCTION("""COMPUTED_VALUE"""),"User")</f>
        <v>User</v>
      </c>
      <c r="CO5" s="26" t="str">
        <f>IFERROR(__xludf.DUMMYFUNCTION("""COMPUTED_VALUE"""),"Venue")</f>
        <v>Venue</v>
      </c>
      <c r="CP5" s="26" t="str">
        <f>IFERROR(__xludf.DUMMYFUNCTION("""COMPUTED_VALUE"""),"Closing Method")</f>
        <v>Closing Method</v>
      </c>
      <c r="CQ5" s="26" t="str">
        <f>IFERROR(__xludf.DUMMYFUNCTION("""COMPUTED_VALUE"""),"Closing Date")</f>
        <v>Closing Date</v>
      </c>
      <c r="CR5" s="26" t="str">
        <f>IFERROR(__xludf.DUMMYFUNCTION("""COMPUTED_VALUE"""),"GroupID")</f>
        <v>GroupID</v>
      </c>
      <c r="CS5" s="26" t="str">
        <f>IFERROR(__xludf.DUMMYFUNCTION("""COMPUTED_VALUE"""),"")</f>
        <v/>
      </c>
      <c r="CT5" s="26" t="str">
        <f>IFERROR(__xludf.DUMMYFUNCTION("""COMPUTED_VALUE"""),"")</f>
        <v/>
      </c>
      <c r="CU5" s="26" t="str">
        <f>IFERROR(__xludf.DUMMYFUNCTION("""COMPUTED_VALUE"""),"")</f>
        <v/>
      </c>
      <c r="CV5" s="26" t="str">
        <f>IFERROR(__xludf.DUMMYFUNCTION("""COMPUTED_VALUE"""),"")</f>
        <v/>
      </c>
      <c r="CW5" s="26" t="str">
        <f>IFERROR(__xludf.DUMMYFUNCTION("""COMPUTED_VALUE"""),"")</f>
        <v/>
      </c>
      <c r="CX5" s="26" t="str">
        <f>IFERROR(__xludf.DUMMYFUNCTION("""COMPUTED_VALUE"""),"")</f>
        <v/>
      </c>
      <c r="CY5" s="26" t="str">
        <f>IFERROR(__xludf.DUMMYFUNCTION("""COMPUTED_VALUE"""),"")</f>
        <v/>
      </c>
      <c r="CZ5" s="26" t="str">
        <f>IFERROR(__xludf.DUMMYFUNCTION("""COMPUTED_VALUE"""),"")</f>
        <v/>
      </c>
      <c r="DA5" s="26" t="str">
        <f>IFERROR(__xludf.DUMMYFUNCTION("""COMPUTED_VALUE"""),"")</f>
        <v/>
      </c>
      <c r="DB5" s="26" t="str">
        <f>IFERROR(__xludf.DUMMYFUNCTION("""COMPUTED_VALUE"""),"")</f>
        <v/>
      </c>
      <c r="DC5" s="26" t="str">
        <f>IFERROR(__xludf.DUMMYFUNCTION("""COMPUTED_VALUE"""),"")</f>
        <v/>
      </c>
      <c r="DD5" s="26" t="str">
        <f>IFERROR(__xludf.DUMMYFUNCTION("""COMPUTED_VALUE"""),"")</f>
        <v/>
      </c>
      <c r="DE5" s="26" t="str">
        <f>IFERROR(__xludf.DUMMYFUNCTION("""COMPUTED_VALUE"""),"")</f>
        <v/>
      </c>
      <c r="DF5" s="26" t="str">
        <f>IFERROR(__xludf.DUMMYFUNCTION("""COMPUTED_VALUE"""),"")</f>
        <v/>
      </c>
      <c r="DG5" s="26" t="str">
        <f>IFERROR(__xludf.DUMMYFUNCTION("""COMPUTED_VALUE"""),"")</f>
        <v/>
      </c>
      <c r="DH5" s="26" t="str">
        <f>IFERROR(__xludf.DUMMYFUNCTION("""COMPUTED_VALUE"""),"")</f>
        <v/>
      </c>
      <c r="DI5" s="26" t="str">
        <f>IFERROR(__xludf.DUMMYFUNCTION("""COMPUTED_VALUE"""),"")</f>
        <v/>
      </c>
    </row>
    <row r="6" ht="15.75" customHeight="1">
      <c r="A6" s="6"/>
      <c r="B6" t="s">
        <v>86</v>
      </c>
      <c r="BO6" t="s">
        <v>85</v>
      </c>
      <c r="BT6" t="s">
        <v>84</v>
      </c>
    </row>
    <row r="7" ht="15.75" customHeight="1">
      <c r="A7" s="6"/>
      <c r="B7" s="27" t="s">
        <v>86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O7" s="6" t="s">
        <v>87</v>
      </c>
      <c r="BT7" s="6" t="s">
        <v>84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2"/>
      <c r="B1" s="1" t="s">
        <v>2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2" t="str">
        <f> VLOOKUP($E$3,'_MasterData'!B4:D1000,3,FALSE)</f>
        <v>#N/A</v>
      </c>
      <c r="K2" s="13"/>
      <c r="L2" s="6"/>
      <c r="M2" s="6"/>
      <c r="N2" s="6"/>
      <c r="O2" s="6"/>
    </row>
    <row r="3" ht="15.75" customHeight="1">
      <c r="A3" s="14"/>
      <c r="B3" s="7" t="s">
        <v>8</v>
      </c>
      <c r="C3" s="15" t="s">
        <v>239</v>
      </c>
      <c r="D3" s="7" t="s">
        <v>10</v>
      </c>
      <c r="E3" s="15" t="s">
        <v>240</v>
      </c>
      <c r="F3" s="7" t="s">
        <v>12</v>
      </c>
      <c r="G3" s="15" t="s">
        <v>13</v>
      </c>
      <c r="H3" s="7"/>
      <c r="I3" s="14"/>
      <c r="J3" s="14"/>
      <c r="K3" s="14"/>
      <c r="L3" s="14"/>
      <c r="M3" s="14"/>
      <c r="N3" s="14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240</v>
      </c>
      <c r="D4" s="17" t="s">
        <v>241</v>
      </c>
      <c r="E4" s="17" t="s">
        <v>242</v>
      </c>
      <c r="F4" s="17" t="s">
        <v>243</v>
      </c>
      <c r="G4" s="17" t="s">
        <v>244</v>
      </c>
      <c r="H4" s="17" t="s">
        <v>245</v>
      </c>
      <c r="I4" s="17" t="s">
        <v>246</v>
      </c>
      <c r="J4" s="17" t="s">
        <v>247</v>
      </c>
      <c r="K4" s="17" t="s">
        <v>248</v>
      </c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5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6" t="str">
        <f>IFERROR(__xludf.DUMMYFUNCTION("""COMPUTED_VALUE"""),"Asset Class")</f>
        <v>Asset Class</v>
      </c>
      <c r="U5" s="26" t="str">
        <f>IFERROR(__xludf.DUMMYFUNCTION("""COMPUTED_VALUE"""),"Underlying")</f>
        <v>Underlying</v>
      </c>
      <c r="V5" s="26" t="str">
        <f>IFERROR(__xludf.DUMMYFUNCTION("""COMPUTED_VALUE"""),"Exchange")</f>
        <v>Exchange</v>
      </c>
      <c r="W5" s="26" t="str">
        <f>IFERROR(__xludf.DUMMYFUNCTION("""COMPUTED_VALUE"""),"Trade Currency")</f>
        <v>Trade Currency</v>
      </c>
      <c r="X5" s="26" t="str">
        <f>IFERROR(__xludf.DUMMYFUNCTION("""COMPUTED_VALUE"""),"Multiplier")</f>
        <v>Multiplier</v>
      </c>
      <c r="Y5" s="26" t="str">
        <f>IFERROR(__xludf.DUMMYFUNCTION("""COMPUTED_VALUE"""),"FX Rate")</f>
        <v>FX Rate</v>
      </c>
      <c r="Z5" s="26" t="str">
        <f>IFERROR(__xludf.DUMMYFUNCTION("""COMPUTED_VALUE"""),"Vs Currency")</f>
        <v>Vs Currency</v>
      </c>
      <c r="AA5" s="26" t="str">
        <f>IFERROR(__xludf.DUMMYFUNCTION("""COMPUTED_VALUE"""),"Lead Currency")</f>
        <v>Lead Currency</v>
      </c>
      <c r="AB5" s="26" t="str">
        <f>IFERROR(__xludf.DUMMYFUNCTION("""COMPUTED_VALUE"""),"Dividend Yield (%)")</f>
        <v>Dividend Yield (%)</v>
      </c>
      <c r="AC5" s="26" t="str">
        <f>IFERROR(__xludf.DUMMYFUNCTION("""COMPUTED_VALUE"""),"% Change")</f>
        <v>% Change</v>
      </c>
      <c r="AD5" s="26" t="str">
        <f>IFERROR(__xludf.DUMMYFUNCTION("""COMPUTED_VALUE"""),"Net Exposure (Local)")</f>
        <v>Net Exposure (Local)</v>
      </c>
      <c r="AE5" s="26" t="str">
        <f>IFERROR(__xludf.DUMMYFUNCTION("""COMPUTED_VALUE"""),"Exposure (Local)")</f>
        <v>Exposure (Local)</v>
      </c>
      <c r="AF5" s="26" t="str">
        <f>IFERROR(__xludf.DUMMYFUNCTION("""COMPUTED_VALUE"""),"Delta Adj. Position")</f>
        <v>Delta Adj. Position</v>
      </c>
      <c r="AG5" s="26" t="str">
        <f>IFERROR(__xludf.DUMMYFUNCTION("""COMPUTED_VALUE"""),"Exposure (Base)")</f>
        <v>Exposure (Base)</v>
      </c>
      <c r="AH5" s="26" t="str">
        <f>IFERROR(__xludf.DUMMYFUNCTION("""COMPUTED_VALUE"""),"Beta Adj. Exposure (Local)")</f>
        <v>Beta Adj. Exposure (Local)</v>
      </c>
      <c r="AI5" s="26" t="str">
        <f>IFERROR(__xludf.DUMMYFUNCTION("""COMPUTED_VALUE"""),"Beta Adj. Exposure (Base)")</f>
        <v>Beta Adj. Exposure (Base)</v>
      </c>
      <c r="AJ5" s="26" t="str">
        <f>IFERROR(__xludf.DUMMYFUNCTION("""COMPUTED_VALUE"""),"Exposure (BP)(Base)")</f>
        <v>Exposure (BP)(Base)</v>
      </c>
      <c r="AK5" s="26" t="str">
        <f>IFERROR(__xludf.DUMMYFUNCTION("""COMPUTED_VALUE"""),"Day P&amp;L (Local)")</f>
        <v>Day P&amp;L (Local)</v>
      </c>
      <c r="AL5" s="26" t="str">
        <f>IFERROR(__xludf.DUMMYFUNCTION("""COMPUTED_VALUE"""),"Delta")</f>
        <v>Delta</v>
      </c>
      <c r="AM5" s="26" t="str">
        <f>IFERROR(__xludf.DUMMYFUNCTION("""COMPUTED_VALUE"""),"Leveraged Factor")</f>
        <v>Leveraged Factor</v>
      </c>
      <c r="AN5" s="26" t="str">
        <f>IFERROR(__xludf.DUMMYFUNCTION("""COMPUTED_VALUE"""),"Order Side")</f>
        <v>Order Side</v>
      </c>
      <c r="AO5" s="26" t="str">
        <f>IFERROR(__xludf.DUMMYFUNCTION("""COMPUTED_VALUE"""),"Master Strategy")</f>
        <v>Master Strategy</v>
      </c>
      <c r="AP5" s="26" t="str">
        <f>IFERROR(__xludf.DUMMYFUNCTION("""COMPUTED_VALUE"""),"Transaction Side")</f>
        <v>Transaction Side</v>
      </c>
      <c r="AQ5" s="26" t="str">
        <f>IFERROR(__xludf.DUMMYFUNCTION("""COMPUTED_VALUE"""),"Underlying Symbol")</f>
        <v>Underlying Symbol</v>
      </c>
      <c r="AR5" s="26" t="str">
        <f>IFERROR(__xludf.DUMMYFUNCTION("""COMPUTED_VALUE"""),"Underlying Price")</f>
        <v>Underlying Price</v>
      </c>
      <c r="AS5" s="26" t="str">
        <f>IFERROR(__xludf.DUMMYFUNCTION("""COMPUTED_VALUE"""),"Side Multiplier")</f>
        <v>Side Multiplier</v>
      </c>
      <c r="AT5" s="26" t="str">
        <f>IFERROR(__xludf.DUMMYFUNCTION("""COMPUTED_VALUE"""),"Description")</f>
        <v>Description</v>
      </c>
      <c r="AU5" s="26" t="str">
        <f>IFERROR(__xludf.DUMMYFUNCTION("""COMPUTED_VALUE"""),"Internal Comments")</f>
        <v>Internal Comments</v>
      </c>
      <c r="AV5" s="26" t="str">
        <f>IFERROR(__xludf.DUMMYFUNCTION("""COMPUTED_VALUE"""),"FX Rate On Trade Date")</f>
        <v>FX Rate On Trade Date</v>
      </c>
      <c r="AW5" s="26" t="str">
        <f>IFERROR(__xludf.DUMMYFUNCTION("""COMPUTED_VALUE"""),"Cost Basis P&amp;L (Local)")</f>
        <v>Cost Basis P&amp;L (Local)</v>
      </c>
      <c r="AX5" s="26" t="str">
        <f>IFERROR(__xludf.DUMMYFUNCTION("""COMPUTED_VALUE"""),"Day Interest")</f>
        <v>Day Interest</v>
      </c>
      <c r="AY5" s="26" t="str">
        <f>IFERROR(__xludf.DUMMYFUNCTION("""COMPUTED_VALUE"""),"Total Interest")</f>
        <v>Total Interest</v>
      </c>
      <c r="AZ5" s="26" t="str">
        <f>IFERROR(__xludf.DUMMYFUNCTION("""COMPUTED_VALUE"""),"Market Value (Local)")</f>
        <v>Market Value (Local)</v>
      </c>
      <c r="BA5" s="26" t="str">
        <f>IFERROR(__xludf.DUMMYFUNCTION("""COMPUTED_VALUE"""),"% Gain/Loss Day")</f>
        <v>% Gain/Loss Day</v>
      </c>
      <c r="BB5" s="26" t="str">
        <f>IFERROR(__xludf.DUMMYFUNCTION("""COMPUTED_VALUE"""),"Update Time (Last Price)")</f>
        <v>Update Time (Last Price)</v>
      </c>
      <c r="BC5" s="26" t="str">
        <f>IFERROR(__xludf.DUMMYFUNCTION("""COMPUTED_VALUE"""),"Beta")</f>
        <v>Beta</v>
      </c>
      <c r="BD5" s="26" t="str">
        <f>IFERROR(__xludf.DUMMYFUNCTION("""COMPUTED_VALUE"""),"Cash Impact (Local)")</f>
        <v>Cash Impact (Local)</v>
      </c>
      <c r="BE5" s="26" t="str">
        <f>IFERROR(__xludf.DUMMYFUNCTION("""COMPUTED_VALUE"""),"User Asset")</f>
        <v>User Asset</v>
      </c>
      <c r="BF5" s="26" t="str">
        <f>IFERROR(__xludf.DUMMYFUNCTION("""COMPUTED_VALUE"""),"Security Type")</f>
        <v>Security Type</v>
      </c>
      <c r="BG5" s="26" t="str">
        <f>IFERROR(__xludf.DUMMYFUNCTION("""COMPUTED_VALUE"""),"Sector")</f>
        <v>Sector</v>
      </c>
      <c r="BH5" s="26" t="str">
        <f>IFERROR(__xludf.DUMMYFUNCTION("""COMPUTED_VALUE"""),"Sub Sector")</f>
        <v>Sub Sector</v>
      </c>
      <c r="BI5" s="26" t="str">
        <f>IFERROR(__xludf.DUMMYFUNCTION("""COMPUTED_VALUE"""),"Country")</f>
        <v>Country</v>
      </c>
      <c r="BJ5" s="26" t="str">
        <f>IFERROR(__xludf.DUMMYFUNCTION("""COMPUTED_VALUE"""),"Market Cap")</f>
        <v>Market Cap</v>
      </c>
      <c r="BK5" s="26" t="str">
        <f>IFERROR(__xludf.DUMMYFUNCTION("""COMPUTED_VALUE"""),"Shares Outstanding")</f>
        <v>Shares Outstanding</v>
      </c>
      <c r="BL5" s="26" t="str">
        <f>IFERROR(__xludf.DUMMYFUNCTION("""COMPUTED_VALUE"""),"Avg Volume 20 Day")</f>
        <v>Avg Volume 20 Day</v>
      </c>
      <c r="BM5" s="26" t="str">
        <f>IFERROR(__xludf.DUMMYFUNCTION("""COMPUTED_VALUE"""),"% Avg Volume (Delta Adj.)")</f>
        <v>% Avg Volume (Delta Adj.)</v>
      </c>
      <c r="BN5" s="26" t="str">
        <f>IFERROR(__xludf.DUMMYFUNCTION("""COMPUTED_VALUE"""),"Ex Dividend Date")</f>
        <v>Ex Dividend Date</v>
      </c>
      <c r="BO5" s="26" t="str">
        <f>IFERROR(__xludf.DUMMYFUNCTION("""COMPUTED_VALUE"""),"Cash Impact (Base)")</f>
        <v>Cash Impact (Base)</v>
      </c>
      <c r="BP5" s="26" t="str">
        <f>IFERROR(__xludf.DUMMYFUNCTION("""COMPUTED_VALUE"""),"Volatility (%)")</f>
        <v>Volatility (%)</v>
      </c>
      <c r="BQ5" s="26" t="str">
        <f>IFERROR(__xludf.DUMMYFUNCTION("""COMPUTED_VALUE"""),"User")</f>
        <v>User</v>
      </c>
      <c r="BR5" s="26" t="str">
        <f>IFERROR(__xludf.DUMMYFUNCTION("""COMPUTED_VALUE"""),"Broker")</f>
        <v>Broker</v>
      </c>
      <c r="BS5" s="26" t="str">
        <f>IFERROR(__xludf.DUMMYFUNCTION("""COMPUTED_VALUE"""),"Earned Dividend (Local)")</f>
        <v>Earned Dividend (Local)</v>
      </c>
      <c r="BT5" s="26" t="str">
        <f>IFERROR(__xludf.DUMMYFUNCTION("""COMPUTED_VALUE"""),"Earned Dividend (Base)")</f>
        <v>Earned Dividend (Base)</v>
      </c>
      <c r="BU5" s="26" t="str">
        <f>IFERROR(__xludf.DUMMYFUNCTION("""COMPUTED_VALUE"""),"Put/Call")</f>
        <v>Put/Call</v>
      </c>
      <c r="BV5" s="26" t="str">
        <f>IFERROR(__xludf.DUMMYFUNCTION("""COMPUTED_VALUE"""),"Expiration Date")</f>
        <v>Expiration Date</v>
      </c>
      <c r="BW5" s="26" t="str">
        <f>IFERROR(__xludf.DUMMYFUNCTION("""COMPUTED_VALUE"""),"Strike Price")</f>
        <v>Strike Price</v>
      </c>
      <c r="BX5" s="26" t="str">
        <f>IFERROR(__xludf.DUMMYFUNCTION("""COMPUTED_VALUE"""),"Gross Exposure (Base)")</f>
        <v>Gross Exposure (Base)</v>
      </c>
      <c r="BY5" s="26" t="str">
        <f>IFERROR(__xludf.DUMMYFUNCTION("""COMPUTED_VALUE"""),"Gross Market Value (Base)")</f>
        <v>Gross Market Value (Base)</v>
      </c>
      <c r="BZ5" s="26" t="str">
        <f>IFERROR(__xludf.DUMMYFUNCTION("""COMPUTED_VALUE"""),"Px Selected Feed (Local)")</f>
        <v>Px Selected Feed (Local)</v>
      </c>
      <c r="CA5" s="26" t="str">
        <f>IFERROR(__xludf.DUMMYFUNCTION("""COMPUTED_VALUE"""),"Px Selected Feed (Base)")</f>
        <v>Px Selected Feed (Base)</v>
      </c>
      <c r="CB5" s="26" t="str">
        <f>IFERROR(__xludf.DUMMYFUNCTION("""COMPUTED_VALUE"""),"Settlement Date")</f>
        <v>Settlement Date</v>
      </c>
      <c r="CC5" s="26" t="str">
        <f>IFERROR(__xludf.DUMMYFUNCTION("""COMPUTED_VALUE"""),"% Avg Volume")</f>
        <v>% Avg Volume</v>
      </c>
      <c r="CD5" s="26" t="str">
        <f>IFERROR(__xludf.DUMMYFUNCTION("""COMPUTED_VALUE"""),"Day P&amp;L (Base)(Price Gain)")</f>
        <v>Day P&amp;L (Base)(Price Gain)</v>
      </c>
      <c r="CE5" s="26" t="str">
        <f>IFERROR(__xludf.DUMMYFUNCTION("""COMPUTED_VALUE"""),"Day P&amp;L (Base)(FX Gain)")</f>
        <v>Day P&amp;L (Base)(FX Gain)</v>
      </c>
      <c r="CF5" s="26" t="str">
        <f>IFERROR(__xludf.DUMMYFUNCTION("""COMPUTED_VALUE"""),"Cost Basis P&amp;L (Base)(FX Gain)")</f>
        <v>Cost Basis P&amp;L (Base)(FX Gain)</v>
      </c>
      <c r="CG5" s="26" t="str">
        <f>IFERROR(__xludf.DUMMYFUNCTION("""COMPUTED_VALUE"""),"Cost Basis P&amp;L (Base)(Price Gain)")</f>
        <v>Cost Basis P&amp;L (Base)(Price Gain)</v>
      </c>
      <c r="CH5" s="26" t="str">
        <f>IFERROR(__xludf.DUMMYFUNCTION("""COMPUTED_VALUE"""),"% Gain/Loss Cost")</f>
        <v>% Gain/Loss Cost</v>
      </c>
      <c r="CI5" s="26" t="str">
        <f>IFERROR(__xludf.DUMMYFUNCTION("""COMPUTED_VALUE"""),"Underlying Value (Options)")</f>
        <v>Underlying Value (Options)</v>
      </c>
      <c r="CJ5" s="26" t="str">
        <f>IFERROR(__xludf.DUMMYFUNCTION("""COMPUTED_VALUE"""),"Avg Volume 20 Day (Underlying Symbol)")</f>
        <v>Avg Volume 20 Day (Underlying Symbol)</v>
      </c>
      <c r="CK5" s="26" t="str">
        <f>IFERROR(__xludf.DUMMYFUNCTION("""COMPUTED_VALUE"""),"IsStaleData")</f>
        <v>IsStaleData</v>
      </c>
      <c r="CL5" s="26" t="str">
        <f>IFERROR(__xludf.DUMMYFUNCTION("""COMPUTED_VALUE"""),"IDCO")</f>
        <v>IDCO</v>
      </c>
      <c r="CM5" s="26" t="str">
        <f>IFERROR(__xludf.DUMMYFUNCTION("""COMPUTED_VALUE"""),"OSI")</f>
        <v>OSI</v>
      </c>
      <c r="CN5" s="26" t="str">
        <f>IFERROR(__xludf.DUMMYFUNCTION("""COMPUTED_VALUE"""),"SEDOL")</f>
        <v>SEDOL</v>
      </c>
      <c r="CO5" s="26" t="str">
        <f>IFERROR(__xludf.DUMMYFUNCTION("""COMPUTED_VALUE"""),"CUSIP")</f>
        <v>CUSIP</v>
      </c>
      <c r="CP5" s="26" t="str">
        <f>IFERROR(__xludf.DUMMYFUNCTION("""COMPUTED_VALUE"""),"Bloomberg")</f>
        <v>Bloomberg</v>
      </c>
      <c r="CQ5" s="26" t="str">
        <f>IFERROR(__xludf.DUMMYFUNCTION("""COMPUTED_VALUE"""),"ISIN")</f>
        <v>ISIN</v>
      </c>
      <c r="CR5" s="26" t="str">
        <f>IFERROR(__xludf.DUMMYFUNCTION("""COMPUTED_VALUE"""),"Start Trade Date")</f>
        <v>Start Trade Date</v>
      </c>
      <c r="CS5" s="26" t="str">
        <f>IFERROR(__xludf.DUMMYFUNCTION("""COMPUTED_VALUE"""),"Cost Basis (Break Even)")</f>
        <v>Cost Basis (Break Even)</v>
      </c>
      <c r="CT5" s="26" t="str">
        <f>IFERROR(__xludf.DUMMYFUNCTION("""COMPUTED_VALUE"""),"Trade Attribute 3")</f>
        <v>Trade Attribute 3</v>
      </c>
      <c r="CU5" s="26" t="str">
        <f>IFERROR(__xludf.DUMMYFUNCTION("""COMPUTED_VALUE"""),"Trade Attribute 4")</f>
        <v>Trade Attribute 4</v>
      </c>
      <c r="CV5" s="26" t="str">
        <f>IFERROR(__xludf.DUMMYFUNCTION("""COMPUTED_VALUE"""),"Trade Attribute 5")</f>
        <v>Trade Attribute 5</v>
      </c>
      <c r="CW5" s="26" t="str">
        <f>IFERROR(__xludf.DUMMYFUNCTION("""COMPUTED_VALUE"""),"Trade Attribute 6")</f>
        <v>Trade Attribute 6</v>
      </c>
      <c r="CX5" s="26" t="str">
        <f>IFERROR(__xludf.DUMMYFUNCTION("""COMPUTED_VALUE"""),"Proxy Symbol")</f>
        <v>Proxy Symbol</v>
      </c>
      <c r="CY5" s="26" t="str">
        <f>IFERROR(__xludf.DUMMYFUNCTION("""COMPUTED_VALUE"""),"Pricing Source")</f>
        <v>Pricing Source</v>
      </c>
      <c r="CZ5" s="26" t="str">
        <f>IFERROR(__xludf.DUMMYFUNCTION("""COMPUTED_VALUE"""),"Delta Source")</f>
        <v>Delta Source</v>
      </c>
      <c r="DA5" s="26" t="str">
        <f>IFERROR(__xludf.DUMMYFUNCTION("""COMPUTED_VALUE"""),"Gross Exposure (Local)")</f>
        <v>Gross Exposure (Local)</v>
      </c>
      <c r="DB5" s="26" t="str">
        <f>IFERROR(__xludf.DUMMYFUNCTION("""COMPUTED_VALUE"""),"% Day P&amp;L (Net MV)")</f>
        <v>% Day P&amp;L (Net MV)</v>
      </c>
      <c r="DC5" s="26" t="str">
        <f>IFERROR(__xludf.DUMMYFUNCTION("""COMPUTED_VALUE"""),"Expiration Month")</f>
        <v>Expiration Month</v>
      </c>
      <c r="DD5" s="26" t="str">
        <f>IFERROR(__xludf.DUMMYFUNCTION("""COMPUTED_VALUE"""),"Delta Adj. Position (LME)")</f>
        <v>Delta Adj. Position (LME)</v>
      </c>
      <c r="DE5" s="26" t="str">
        <f>IFERROR(__xludf.DUMMYFUNCTION("""COMPUTED_VALUE"""),"Premium")</f>
        <v>Premium</v>
      </c>
      <c r="DF5" s="26" t="str">
        <f>IFERROR(__xludf.DUMMYFUNCTION("""COMPUTED_VALUE"""),"Premium $")</f>
        <v>Premium $</v>
      </c>
      <c r="DG5" s="26" t="str">
        <f>IFERROR(__xludf.DUMMYFUNCTION("""COMPUTED_VALUE"""),"Forward Points")</f>
        <v>Forward Points</v>
      </c>
      <c r="DH5" s="26" t="str">
        <f>IFERROR(__xludf.DUMMYFUNCTION("""COMPUTED_VALUE"""),"Closing Mark (Underlying)")</f>
        <v>Closing Mark (Underlying)</v>
      </c>
      <c r="DI5" s="26" t="str">
        <f>IFERROR(__xludf.DUMMYFUNCTION("""COMPUTED_VALUE"""),"% Change (Underlying Price)")</f>
        <v>% Change (Underlying Price)</v>
      </c>
      <c r="DJ5" s="26" t="str">
        <f>IFERROR(__xludf.DUMMYFUNCTION("""COMPUTED_VALUE"""),"Transaction Type")</f>
        <v>Transaction Type</v>
      </c>
      <c r="DK5" s="26" t="str">
        <f>IFERROR(__xludf.DUMMYFUNCTION("""COMPUTED_VALUE"""),"Closing Market Value (Local)")</f>
        <v>Closing Market Value (Local)</v>
      </c>
      <c r="DL5" s="26" t="str">
        <f>IFERROR(__xludf.DUMMYFUNCTION("""COMPUTED_VALUE"""),"Closing Market Value (Base)")</f>
        <v>Closing Market Value (Base)</v>
      </c>
      <c r="DM5" s="26" t="str">
        <f>IFERROR(__xludf.DUMMYFUNCTION("""COMPUTED_VALUE"""),"Closing FX Rate")</f>
        <v>Closing FX Rate</v>
      </c>
      <c r="DN5" s="26" t="str">
        <f>IFERROR(__xludf.DUMMYFUNCTION("""COMPUTED_VALUE"""),"Change In Underlying Price")</f>
        <v>Change In Underlying Price</v>
      </c>
      <c r="DO5" s="26" t="str">
        <f>IFERROR(__xludf.DUMMYFUNCTION("""COMPUTED_VALUE"""),"RIC")</f>
        <v>RIC</v>
      </c>
      <c r="DP5" s="26" t="str">
        <f>IFERROR(__xludf.DUMMYFUNCTION("""COMPUTED_VALUE"""),"Position Side Exposure (Boxed)")</f>
        <v>Position Side Exposure (Boxed)</v>
      </c>
      <c r="DQ5" s="26" t="str">
        <f>IFERROR(__xludf.DUMMYFUNCTION("""COMPUTED_VALUE"""),"Analyst")</f>
        <v>Analyst</v>
      </c>
      <c r="DR5" s="26" t="str">
        <f>IFERROR(__xludf.DUMMYFUNCTION("""COMPUTED_VALUE"""),"Country Of Risk")</f>
        <v>Country Of Risk</v>
      </c>
      <c r="DS5" s="26" t="str">
        <f>IFERROR(__xludf.DUMMYFUNCTION("""COMPUTED_VALUE"""),"Custom UDA1")</f>
        <v>Custom UDA1</v>
      </c>
      <c r="DT5" s="26" t="str">
        <f>IFERROR(__xludf.DUMMYFUNCTION("""COMPUTED_VALUE"""),"Custom UDA2")</f>
        <v>Custom UDA2</v>
      </c>
      <c r="DU5" s="26" t="str">
        <f>IFERROR(__xludf.DUMMYFUNCTION("""COMPUTED_VALUE"""),"Custom UDA3")</f>
        <v>Custom UDA3</v>
      </c>
      <c r="DV5" s="26" t="str">
        <f>IFERROR(__xludf.DUMMYFUNCTION("""COMPUTED_VALUE"""),"Custom UDA4")</f>
        <v>Custom UDA4</v>
      </c>
      <c r="DW5" s="26" t="str">
        <f>IFERROR(__xludf.DUMMYFUNCTION("""COMPUTED_VALUE"""),"Custom UDA5")</f>
        <v>Custom UDA5</v>
      </c>
      <c r="DX5" s="26" t="str">
        <f>IFERROR(__xludf.DUMMYFUNCTION("""COMPUTED_VALUE"""),"Custom UDA6")</f>
        <v>Custom UDA6</v>
      </c>
      <c r="DY5" s="26" t="str">
        <f>IFERROR(__xludf.DUMMYFUNCTION("""COMPUTED_VALUE"""),"Custom UDA7")</f>
        <v>Custom UDA7</v>
      </c>
      <c r="DZ5" s="26" t="str">
        <f>IFERROR(__xludf.DUMMYFUNCTION("""COMPUTED_VALUE"""),"Issuer")</f>
        <v>Issuer</v>
      </c>
      <c r="EA5" s="26" t="str">
        <f>IFERROR(__xludf.DUMMYFUNCTION("""COMPUTED_VALUE"""),"Liquid Tag")</f>
        <v>Liquid Tag</v>
      </c>
      <c r="EB5" s="26" t="str">
        <f>IFERROR(__xludf.DUMMYFUNCTION("""COMPUTED_VALUE"""),"Market Cap UDA")</f>
        <v>Market Cap UDA</v>
      </c>
      <c r="EC5" s="26" t="str">
        <f>IFERROR(__xludf.DUMMYFUNCTION("""COMPUTED_VALUE"""),"Region")</f>
        <v>Region</v>
      </c>
      <c r="ED5" s="26" t="str">
        <f>IFERROR(__xludf.DUMMYFUNCTION("""COMPUTED_VALUE"""),"Risk Currency")</f>
        <v>Risk Currency</v>
      </c>
      <c r="EE5" s="26" t="str">
        <f>IFERROR(__xludf.DUMMYFUNCTION("""COMPUTED_VALUE"""),"UCITS Eligible Tag")</f>
        <v>UCITS Eligible Tag</v>
      </c>
      <c r="EF5" s="26" t="str">
        <f>IFERROR(__xludf.DUMMYFUNCTION("""COMPUTED_VALUE"""),"FX Rate (Display)")</f>
        <v>FX Rate (Display)</v>
      </c>
      <c r="EG5" s="26" t="str">
        <f>IFERROR(__xludf.DUMMYFUNCTION("""COMPUTED_VALUE"""),"% Net Exposure (Base)")</f>
        <v>% Net Exposure (Base)</v>
      </c>
      <c r="EH5" s="26" t="str">
        <f>IFERROR(__xludf.DUMMYFUNCTION("""COMPUTED_VALUE"""),"% Gross Exposure (Base)")</f>
        <v>% Gross Exposure (Base)</v>
      </c>
      <c r="EI5" s="26" t="str">
        <f>IFERROR(__xludf.DUMMYFUNCTION("""COMPUTED_VALUE"""),"% Exposure (Base)")</f>
        <v>% Exposure (Base)</v>
      </c>
      <c r="EJ5" s="26" t="str">
        <f>IFERROR(__xludf.DUMMYFUNCTION("""COMPUTED_VALUE"""),"% Gross Exposure (Underlying) (Base)")</f>
        <v>% Gross Exposure (Underlying) (Base)</v>
      </c>
      <c r="EK5" s="26" t="str">
        <f>IFERROR(__xludf.DUMMYFUNCTION("""COMPUTED_VALUE"""),"% Beta Adj. Gross Exposure (Base)")</f>
        <v>% Beta Adj. Gross Exposure (Base)</v>
      </c>
      <c r="EL5" s="26" t="str">
        <f>IFERROR(__xludf.DUMMYFUNCTION("""COMPUTED_VALUE"""),"Position Side Exposure (Underlying)")</f>
        <v>Position Side Exposure (Underlying)</v>
      </c>
      <c r="EM5" s="26" t="str">
        <f>IFERROR(__xludf.DUMMYFUNCTION("""COMPUTED_VALUE"""),"Gross Exposure (Underlying) (Base)")</f>
        <v>Gross Exposure (Underlying) (Base)</v>
      </c>
      <c r="EN5" s="26" t="str">
        <f>IFERROR(__xludf.DUMMYFUNCTION("""COMPUTED_VALUE"""),"Gross Exposure (Underlying)")</f>
        <v>Gross Exposure (Underlying)</v>
      </c>
      <c r="EO5" s="26" t="str">
        <f>IFERROR(__xludf.DUMMYFUNCTION("""COMPUTED_VALUE"""),"Day Return")</f>
        <v>Day Return</v>
      </c>
      <c r="EP5" s="26" t="str">
        <f>IFERROR(__xludf.DUMMYFUNCTION("""COMPUTED_VALUE"""),"Start of Day NAV")</f>
        <v>Start of Day NAV</v>
      </c>
      <c r="EQ5" s="26" t="str">
        <f>IFERROR(__xludf.DUMMYFUNCTION("""COMPUTED_VALUE"""),"% Gross Market Value (Base)")</f>
        <v>% Gross Market Value (Base)</v>
      </c>
      <c r="ER5" s="26" t="str">
        <f>IFERROR(__xludf.DUMMYFUNCTION("""COMPUTED_VALUE"""),"Beta Adj. Gross Exposure (Underlying) (Local)")</f>
        <v>Beta Adj. Gross Exposure (Underlying) (Local)</v>
      </c>
      <c r="ES5" s="26" t="str">
        <f>IFERROR(__xludf.DUMMYFUNCTION("""COMPUTED_VALUE"""),"NAV")</f>
        <v>NAV</v>
      </c>
      <c r="ET5" s="26" t="str">
        <f>IFERROR(__xludf.DUMMYFUNCTION("""COMPUTED_VALUE"""),"% P&amp;L Contribution")</f>
        <v>% P&amp;L Contribution</v>
      </c>
      <c r="EU5" s="26" t="str">
        <f>IFERROR(__xludf.DUMMYFUNCTION("""COMPUTED_VALUE"""),"% Net Market Value (Base)")</f>
        <v>% Net Market Value (Base)</v>
      </c>
      <c r="EV5" s="26" t="str">
        <f>IFERROR(__xludf.DUMMYFUNCTION("""COMPUTED_VALUE"""),"Position Side Exposure")</f>
        <v>Position Side Exposure</v>
      </c>
      <c r="EW5" s="26" t="str">
        <f>IFERROR(__xludf.DUMMYFUNCTION("""COMPUTED_VALUE"""),"NAV (Touch)")</f>
        <v>NAV (Touch)</v>
      </c>
      <c r="EX5" s="26" t="str">
        <f>IFERROR(__xludf.DUMMYFUNCTION("""COMPUTED_VALUE"""),"IgnorePropertyChangeEvents")</f>
        <v>IgnorePropertyChangeEvents</v>
      </c>
      <c r="EY5" s="26" t="str">
        <f>IFERROR(__xludf.DUMMYFUNCTION("""COMPUTED_VALUE"""),"Trade Attribute 1")</f>
        <v>Trade Attribute 1</v>
      </c>
      <c r="EZ5" s="26" t="str">
        <f>IFERROR(__xludf.DUMMYFUNCTION("""COMPUTED_VALUE"""),"Trade Attribute 2")</f>
        <v>Trade Attribute 2</v>
      </c>
      <c r="FA5" s="26" t="str">
        <f>IFERROR(__xludf.DUMMYFUNCTION("""COMPUTED_VALUE"""),"")</f>
        <v/>
      </c>
      <c r="FB5" s="26" t="str">
        <f>IFERROR(__xludf.DUMMYFUNCTION("""COMPUTED_VALUE"""),"")</f>
        <v/>
      </c>
      <c r="FC5" s="26" t="str">
        <f>IFERROR(__xludf.DUMMYFUNCTION("""COMPUTED_VALUE"""),"")</f>
        <v/>
      </c>
      <c r="FD5" s="26" t="str">
        <f>IFERROR(__xludf.DUMMYFUNCTION("""COMPUTED_VALUE"""),"")</f>
        <v/>
      </c>
      <c r="FE5" s="26" t="str">
        <f>IFERROR(__xludf.DUMMYFUNCTION("""COMPUTED_VALUE"""),"")</f>
        <v/>
      </c>
      <c r="FF5" s="26" t="str">
        <f>IFERROR(__xludf.DUMMYFUNCTION("""COMPUTED_VALUE"""),"")</f>
        <v/>
      </c>
      <c r="FG5" s="26" t="str">
        <f>IFERROR(__xludf.DUMMYFUNCTION("""COMPUTED_VALUE"""),"")</f>
        <v/>
      </c>
      <c r="FH5" s="26" t="str">
        <f>IFERROR(__xludf.DUMMYFUNCTION("""COMPUTED_VALUE"""),"")</f>
        <v/>
      </c>
      <c r="FI5" s="26" t="str">
        <f>IFERROR(__xludf.DUMMYFUNCTION("""COMPUTED_VALUE"""),"")</f>
        <v/>
      </c>
      <c r="FJ5" s="26" t="str">
        <f>IFERROR(__xludf.DUMMYFUNCTION("""COMPUTED_VALUE"""),"")</f>
        <v/>
      </c>
      <c r="FK5" s="26" t="str">
        <f>IFERROR(__xludf.DUMMYFUNCTION("""COMPUTED_VALUE"""),"")</f>
        <v/>
      </c>
      <c r="FL5" s="26" t="str">
        <f>IFERROR(__xludf.DUMMYFUNCTION("""COMPUTED_VALUE"""),"")</f>
        <v/>
      </c>
      <c r="FM5" s="26" t="str">
        <f>IFERROR(__xludf.DUMMYFUNCTION("""COMPUTED_VALUE"""),"")</f>
        <v/>
      </c>
    </row>
    <row r="6" ht="15.75" customHeight="1">
      <c r="A6" s="6"/>
      <c r="C6" t="s">
        <v>84</v>
      </c>
      <c r="D6" s="27">
        <v>10000.0</v>
      </c>
      <c r="E6" t="s">
        <v>86</v>
      </c>
      <c r="AN6" t="s">
        <v>85</v>
      </c>
    </row>
    <row r="7" ht="15.75" customHeight="1">
      <c r="A7" s="6"/>
      <c r="B7" s="6"/>
      <c r="C7" s="6" t="s">
        <v>84</v>
      </c>
      <c r="D7" s="9">
        <v>-10000.0</v>
      </c>
      <c r="E7" s="27" t="s">
        <v>86</v>
      </c>
      <c r="F7" s="6"/>
      <c r="G7" s="6"/>
      <c r="H7" s="6"/>
      <c r="I7" s="6"/>
      <c r="J7" s="6"/>
      <c r="K7" s="6"/>
      <c r="L7" s="6"/>
      <c r="M7" s="6"/>
      <c r="N7" s="6"/>
      <c r="O7" s="6"/>
      <c r="AN7" s="6" t="s">
        <v>87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