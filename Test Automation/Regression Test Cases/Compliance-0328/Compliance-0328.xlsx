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PreTradeCompliancePermission" sheetId="4" r:id="rId6"/>
    <sheet state="visible" name="CreateDoneAwayOrder" sheetId="5" r:id="rId7"/>
    <sheet state="visible" name="SelectAllocatedGroup" sheetId="6" r:id="rId8"/>
    <sheet state="visible" name="Unallocate" sheetId="7" r:id="rId9"/>
    <sheet state="visible" name="CreateComplianceOrder" sheetId="8" r:id="rId10"/>
    <sheet state="visible" name="VerifyComplianceOrder" sheetId="9" r:id="rId11"/>
  </sheets>
  <definedNames/>
  <calcPr/>
</workbook>
</file>

<file path=xl/sharedStrings.xml><?xml version="1.0" encoding="utf-8"?>
<sst xmlns="http://schemas.openxmlformats.org/spreadsheetml/2006/main" count="77" uniqueCount="34">
  <si>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</si>
  <si>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</si>
  <si>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</si>
  <si>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</si>
  <si>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</si>
  <si>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</si>
  <si>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</si>
  <si>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</si>
  <si>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</si>
  <si>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</si>
  <si>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</si>
  <si>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</si>
  <si>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</si>
  <si>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SetPreTradeCompliancePermission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</si>
  <si>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</si>
  <si>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</si>
  <si>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</si>
  <si>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</si>
  <si>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</si>
  <si>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</si>
  <si>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</si>
  <si>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MS</t>
  </si>
  <si>
    <t>Day</t>
  </si>
  <si>
    <t>Yes</t>
  </si>
  <si>
    <t>Allocation</t>
  </si>
  <si>
    <t>SelectAllocatedGroup</t>
  </si>
  <si>
    <t>Unallocate</t>
  </si>
  <si>
    <t>CreateComplianceOrder</t>
  </si>
  <si>
    <t>DoneAway</t>
  </si>
  <si>
    <t>VerifyComplianceOrder</t>
  </si>
  <si>
    <t>Soft Alert</t>
  </si>
  <si>
    <t>QuantityGrater2500</t>
  </si>
  <si>
    <t>Enter Summary</t>
  </si>
  <si>
    <t>Allocation1-MSFT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</si>
</sst>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6" fontId="13" numFmtId="0" xfId="0" applyAlignment="1" applyBorder="1" applyFill="1" applyFont="1">
      <alignment readingOrder="0" shrinkToFit="0" vertical="bottom" wrapText="0"/>
    </xf>
    <xf borderId="5" fillId="7" fontId="13" numFmtId="0" xfId="0" applyAlignment="1" applyBorder="1" applyFill="1" applyFont="1">
      <alignment readingOrder="0" shrinkToFit="0" vertical="bottom" wrapText="0"/>
    </xf>
    <xf borderId="5" fillId="7" fontId="13" numFmtId="4" xfId="0" applyAlignment="1" applyBorder="1" applyFont="1" applyNumberFormat="1">
      <alignment readingOrder="0" shrinkToFit="0" vertical="bottom" wrapText="0"/>
    </xf>
    <xf borderId="5" fillId="7" fontId="1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IFERROR(__xludf.DUMMYFUNCTION("""COMPUTED_VALUE"""),"Trading")</f>
        <v>Trading</v>
      </c>
      <c r="C5" s="27" t="str">
        <f>IFERROR(__xludf.DUMMYFUNCTION("""COMPUTED_VALUE"""),"Manual Trading")</f>
        <v>Manual Trading</v>
      </c>
      <c r="D5" s="27" t="str">
        <f>IFERROR(__xludf.DUMMYFUNCTION("""COMPUTED_VALUE"""),"Staging")</f>
        <v>Staging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SetPreTradeCompliancePermission!$4:$4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999.0</v>
      </c>
      <c r="E6" s="12">
        <v>999.0</v>
      </c>
      <c r="F6" s="12" t="s">
        <v>20</v>
      </c>
      <c r="G6" s="12" t="s">
        <v>21</v>
      </c>
      <c r="H6" s="12" t="s">
        <v>22</v>
      </c>
      <c r="I6" s="8"/>
      <c r="J6" s="12">
        <v>10.0</v>
      </c>
      <c r="K6" s="8"/>
      <c r="L6" s="8"/>
      <c r="M6" s="8"/>
      <c r="N6" s="31">
        <f t="shared" ref="N6:N7" si="1">today()</f>
        <v>45889</v>
      </c>
      <c r="O6" s="8"/>
      <c r="AQ6" s="9" t="s">
        <v>23</v>
      </c>
    </row>
    <row r="7" ht="15.75" customHeight="1">
      <c r="A7" s="12"/>
      <c r="B7" s="12" t="s">
        <v>18</v>
      </c>
      <c r="C7" s="12" t="s">
        <v>19</v>
      </c>
      <c r="D7" s="12">
        <v>1001.0</v>
      </c>
      <c r="E7" s="12">
        <v>1001.0</v>
      </c>
      <c r="F7" s="12" t="s">
        <v>20</v>
      </c>
      <c r="G7" s="12" t="s">
        <v>21</v>
      </c>
      <c r="H7" s="12" t="s">
        <v>22</v>
      </c>
      <c r="I7" s="8"/>
      <c r="J7" s="12">
        <v>10.0</v>
      </c>
      <c r="K7" s="8"/>
      <c r="L7" s="8"/>
      <c r="M7" s="8"/>
      <c r="N7" s="31">
        <f t="shared" si="1"/>
        <v>45889</v>
      </c>
      <c r="O7" s="8"/>
      <c r="AQ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999.0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999.0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2000.0</v>
      </c>
      <c r="E6" s="12">
        <v>2000.0</v>
      </c>
      <c r="F6" s="12" t="s">
        <v>20</v>
      </c>
      <c r="G6" s="12" t="s">
        <v>21</v>
      </c>
      <c r="H6" s="8"/>
      <c r="I6" s="8"/>
      <c r="J6" s="12">
        <v>2.0</v>
      </c>
      <c r="K6" s="8"/>
      <c r="L6" s="8"/>
      <c r="M6" s="8"/>
      <c r="N6" s="31">
        <f>today()</f>
        <v>45889</v>
      </c>
      <c r="O6" s="8"/>
      <c r="AX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6.0"/>
    <col customWidth="1" min="4" max="4" width="14.13"/>
    <col customWidth="1" min="5" max="5" width="19.38"/>
    <col customWidth="1" min="6" max="6" width="14.25"/>
    <col customWidth="1" min="7" max="7" width="20.63"/>
    <col customWidth="1" min="8" max="8" width="50.63"/>
    <col customWidth="1" min="9" max="9" width="10.3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30</v>
      </c>
      <c r="C6" s="33" t="s">
        <v>31</v>
      </c>
      <c r="D6" s="33" t="s">
        <v>32</v>
      </c>
      <c r="E6" s="33" t="s">
        <v>33</v>
      </c>
      <c r="F6" s="34">
        <v>2500.0</v>
      </c>
      <c r="G6" s="34">
        <v>3001.0</v>
      </c>
      <c r="H6" s="33"/>
      <c r="I6" s="35"/>
      <c r="J6" s="8"/>
      <c r="K6" s="12" t="s">
        <v>23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