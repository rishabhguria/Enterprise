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ComplianceOrder" sheetId="4" r:id="rId6"/>
    <sheet state="visible" name="VerifyComplianceOrder" sheetId="5" r:id="rId7"/>
    <sheet state="visible" name="CreateComplianceOrder1" sheetId="6" r:id="rId8"/>
    <sheet state="visible" name="VerifyComplianceOrder1" sheetId="7" r:id="rId9"/>
  </sheets>
  <definedNames/>
  <calcPr/>
</workbook>
</file>

<file path=xl/sharedStrings.xml><?xml version="1.0" encoding="utf-8"?>
<sst xmlns="http://schemas.openxmlformats.org/spreadsheetml/2006/main" count="63" uniqueCount="30">
  <si>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</si>
  <si>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</si>
  <si>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</si>
  <si>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</si>
  <si>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</si>
  <si>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</si>
  <si>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</si>
  <si>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</si>
  <si>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</si>
  <si>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</si>
  <si>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</si>
  <si>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</si>
  <si>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</si>
  <si>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CreateComplianceOrder</t>
  </si>
  <si>
    <t>Data Format</t>
  </si>
  <si>
    <t>Input Format</t>
  </si>
  <si>
    <t>JPM</t>
  </si>
  <si>
    <t>Buy</t>
  </si>
  <si>
    <t>DoneAway</t>
  </si>
  <si>
    <t>VerifyComplianceOrder</t>
  </si>
  <si>
    <t>Soft</t>
  </si>
  <si>
    <t>Test5</t>
  </si>
  <si>
    <t>If Sub Sector equals to "NASDAQ 100 E- Mini" or sub Sector equals to "S&amp;P500 E- Mini", Then block the trade.</t>
  </si>
  <si>
    <t>NASDAQ 100 E-Mini</t>
  </si>
  <si>
    <t>N/A</t>
  </si>
  <si>
    <t>subSector: NASDAQ 100 E-Mini</t>
  </si>
  <si>
    <t>Yes</t>
  </si>
  <si>
    <t>PNC</t>
  </si>
  <si>
    <t>S&amp;P500 E-Mini</t>
  </si>
  <si>
    <t>subSector: S&amp;P500 E-Mini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</si>
</sst>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Arial"/>
    </font>
    <font>
      <sz val="9.0"/>
      <color rgb="FF000000"/>
      <name val="&quot;Segoe UI&quot;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6" fontId="13" numFmtId="0" xfId="0" applyAlignment="1" applyFill="1" applyFont="1">
      <alignment horizontal="left" readingOrder="0" shrinkToFit="0" vertical="top" wrapText="0"/>
    </xf>
    <xf borderId="0" fillId="7" fontId="14" numFmtId="0" xfId="0" applyAlignment="1" applyFill="1" applyFont="1">
      <alignment horizontal="left" readingOrder="0" shrinkToFit="0" vertical="top" wrapText="0"/>
    </xf>
    <xf borderId="0" fillId="7" fontId="15" numFmtId="0" xfId="0" applyAlignment="1" applyFont="1">
      <alignment horizontal="left" readingOrder="0" shrinkToFit="0" vertical="top" wrapText="0"/>
    </xf>
    <xf borderId="0" fillId="7" fontId="15" numFmtId="0" xfId="0" applyAlignment="1" applyFont="1">
      <alignment horizontal="left" shrinkToFit="0" vertical="top" wrapText="0"/>
    </xf>
    <xf borderId="0" fillId="0" fontId="16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>
      <c r="A611" t="str">
        <f>IFERROR(__xludf.DUMMYFUNCTION("""COMPUTED_VALUE"""),"DailyValuation")</f>
        <v>DailyValuation</v>
      </c>
      <c r="B611" t="str">
        <f>IFERROR(__xludf.DUMMYFUNCTION("""COMPUTED_VALUE"""),"EnableBlankMarkPrices")</f>
        <v>EnableBlankMarkPrices</v>
      </c>
      <c r="C611" t="str">
        <f>IFERROR(__xludf.DUMMYFUNCTION("""COMPUTED_VALUE"""),"19T3Ip9Ag9oh_4E_0q4NRbzAn0DDkiZg1BwITA3HmUNQ")</f>
        <v>19T3Ip9Ag9oh_4E_0q4NRbzAn0DDkiZg1BwITA3HmUNQ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IFERROR(__xludf.DUMMYFUNCTION("""COMPUTED_VALUE"""),"UpateSymbolBlankMP")</f>
        <v>UpateSymbolBlankMP</v>
      </c>
      <c r="C612" t="str">
        <f>IFERROR(__xludf.DUMMYFUNCTION("""COMPUTED_VALUE"""),"1bJNniaZjxf79auZhh3SEyweKOO8AuCuCtRbzkni2UY0")</f>
        <v>1bJNniaZjxf79auZhh3SEyweKOO8AuCuCtRbzkni2UY0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IFERROR(__xludf.DUMMYFUNCTION("""COMPUTED_VALUE"""),"UpdateBlankMP")</f>
        <v>UpdateBlankMP</v>
      </c>
      <c r="C613" t="str">
        <f>IFERROR(__xludf.DUMMYFUNCTION("""COMPUTED_VALUE"""),"1pLjxOOSstcP9sjwtrHb5MPDjdncwkEw6pM4-Z2FTcMM")</f>
        <v>1pLjxOOSstcP9sjwtrHb5MPDjdncwkEw6pM4-Z2FTcMM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IFERROR(__xludf.DUMMYFUNCTION("""COMPUTED_VALUE"""),"FilterBlankMP")</f>
        <v>FilterBlankMP</v>
      </c>
      <c r="C614" t="str">
        <f>IFERROR(__xludf.DUMMYFUNCTION("""COMPUTED_VALUE"""),"1mc1s4SmA1y4VP6gk13_0zQWH3SwcgqbvUdYJgmA50Uk")</f>
        <v>1mc1s4SmA1y4VP6gk13_0zQWH3SwcgqbvUdYJgmA50Uk</v>
      </c>
    </row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2.0</v>
      </c>
      <c r="K6" s="8"/>
      <c r="L6" s="8"/>
      <c r="M6" s="8"/>
      <c r="N6" s="8"/>
      <c r="O6" s="8"/>
      <c r="AX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20</v>
      </c>
      <c r="C6" s="33" t="s">
        <v>21</v>
      </c>
      <c r="D6" s="13" t="s">
        <v>22</v>
      </c>
      <c r="E6" s="13" t="s">
        <v>23</v>
      </c>
      <c r="F6" s="34" t="s">
        <v>24</v>
      </c>
      <c r="G6" s="34" t="s">
        <v>24</v>
      </c>
      <c r="H6" s="34" t="s">
        <v>25</v>
      </c>
      <c r="I6" s="35"/>
      <c r="J6" s="8"/>
      <c r="K6" s="13" t="s">
        <v>26</v>
      </c>
      <c r="L6" s="8"/>
      <c r="M6" s="13" t="s">
        <v>18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2.0</v>
      </c>
      <c r="K6" s="8"/>
      <c r="L6" s="8"/>
      <c r="M6" s="8"/>
      <c r="N6" s="8"/>
      <c r="O6" s="8"/>
      <c r="AX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20</v>
      </c>
      <c r="C6" s="34" t="s">
        <v>21</v>
      </c>
      <c r="D6" s="13" t="s">
        <v>22</v>
      </c>
      <c r="E6" s="33" t="s">
        <v>28</v>
      </c>
      <c r="F6" s="34" t="s">
        <v>24</v>
      </c>
      <c r="G6" s="34" t="s">
        <v>24</v>
      </c>
      <c r="H6" s="33" t="s">
        <v>29</v>
      </c>
      <c r="I6" s="35"/>
      <c r="J6" s="36"/>
      <c r="K6" s="13" t="s">
        <v>26</v>
      </c>
      <c r="L6" s="8"/>
      <c r="M6" s="13" t="s">
        <v>18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