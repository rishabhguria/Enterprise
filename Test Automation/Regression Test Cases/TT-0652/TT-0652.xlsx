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TCompliancePreference" sheetId="4" r:id="rId6"/>
    <sheet state="visible" name="CreateStageOrder" sheetId="5" r:id="rId7"/>
    <sheet state="visible" name="TradeNewSubOrder" sheetId="6" r:id="rId8"/>
    <sheet state="visible" name="CreateLiveOrder" sheetId="7" r:id="rId9"/>
    <sheet state="visible" name="SelectTrade" sheetId="8" r:id="rId10"/>
    <sheet state="visible" name="AcknowledgeTrade" sheetId="9" r:id="rId11"/>
    <sheet state="visible" name="ExecuteTrade" sheetId="10" r:id="rId12"/>
    <sheet state="visible" name="CheckAllocatedGroups" sheetId="11" r:id="rId13"/>
    <sheet state="visible" name="CheckPortfolioManagement" sheetId="12" r:id="rId14"/>
    <sheet state="visible" name="TradeNewSubOrder1" sheetId="13" r:id="rId15"/>
    <sheet state="visible" name="CreateLiveOrder1" sheetId="14" r:id="rId16"/>
    <sheet state="visible" name="SelectTrade1" sheetId="15" r:id="rId17"/>
    <sheet state="visible" name="AcknowledgeTrade1" sheetId="16" r:id="rId18"/>
    <sheet state="visible" name="ExecuteTrade1" sheetId="17" r:id="rId19"/>
  </sheets>
  <definedNames/>
  <calcPr/>
</workbook>
</file>

<file path=xl/sharedStrings.xml><?xml version="1.0" encoding="utf-8"?>
<sst xmlns="http://schemas.openxmlformats.org/spreadsheetml/2006/main" count="311" uniqueCount="69">
  <si>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</si>
  <si>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</si>
  <si>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</si>
  <si>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</si>
  <si>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</si>
  <si>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</si>
  <si>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</si>
  <si>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</si>
  <si>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</si>
  <si>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</si>
  <si>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</si>
  <si>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</si>
  <si>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</si>
  <si>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SetTTCompliancePreference</t>
  </si>
  <si>
    <t>Data Format</t>
  </si>
  <si>
    <t>Input Format</t>
  </si>
  <si>
    <t>CreateStageOrder</t>
  </si>
  <si>
    <t>IBM</t>
  </si>
  <si>
    <t>Buy</t>
  </si>
  <si>
    <t>Allocation1</t>
  </si>
  <si>
    <t>Day</t>
  </si>
  <si>
    <t>Blotter</t>
  </si>
  <si>
    <t>TradeNewSubOrder</t>
  </si>
  <si>
    <t>New</t>
  </si>
  <si>
    <t>MS</t>
  </si>
  <si>
    <t>CreateLiveOrder</t>
  </si>
  <si>
    <t>Simulator</t>
  </si>
  <si>
    <t>SelectTrade</t>
  </si>
  <si>
    <t>AcknowledgeTrade</t>
  </si>
  <si>
    <t>ExecuteTrade</t>
  </si>
  <si>
    <t>Allocation</t>
  </si>
  <si>
    <t>CheckAllocatedGroups</t>
  </si>
  <si>
    <t/>
  </si>
  <si>
    <t>Actual_365</t>
  </si>
  <si>
    <t>Manual</t>
  </si>
  <si>
    <t>Equity</t>
  </si>
  <si>
    <t>IBM US EQUITY</t>
  </si>
  <si>
    <t>Treasury</t>
  </si>
  <si>
    <t>Open</t>
  </si>
  <si>
    <t>USD</t>
  </si>
  <si>
    <t>NYSE</t>
  </si>
  <si>
    <t>M</t>
  </si>
  <si>
    <t>None</t>
  </si>
  <si>
    <t>DefaultNotes</t>
  </si>
  <si>
    <t>US4592001014</t>
  </si>
  <si>
    <t>Market</t>
  </si>
  <si>
    <t>InternalOrder</t>
  </si>
  <si>
    <t>Strategy Unallocated</t>
  </si>
  <si>
    <t>GCCAP1</t>
  </si>
  <si>
    <t>US</t>
  </si>
  <si>
    <t>jpearce</t>
  </si>
  <si>
    <t>NASDAQ</t>
  </si>
  <si>
    <t>NONE</t>
  </si>
  <si>
    <t>NewMF</t>
  </si>
  <si>
    <t>PortfolioManagement</t>
  </si>
  <si>
    <t>CheckPortfolioManagement</t>
  </si>
  <si>
    <t>Long</t>
  </si>
  <si>
    <t>Undefined</t>
  </si>
  <si>
    <t>FIMAT</t>
  </si>
  <si>
    <t>Equity General</t>
  </si>
  <si>
    <t>Technology</t>
  </si>
  <si>
    <t>USA</t>
  </si>
  <si>
    <t>Default</t>
  </si>
  <si>
    <t>IBM.N</t>
  </si>
  <si>
    <t>UK</t>
  </si>
  <si>
    <t>Yes</t>
  </si>
  <si>
    <t>NA</t>
  </si>
  <si>
    <t>SAP</t>
  </si>
  <si>
    <t>Good Till Date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</si>
</sst>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7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7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7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7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IFERROR(__xludf.DUMMYFUNCTION("""COMPUTED_VALUE"""),"PopUpTargetQty")</f>
        <v>PopUpTargetQty</v>
      </c>
      <c r="C5" s="28" t="str">
        <f>IFERROR(__xludf.DUMMYFUNCTION("""COMPUTED_VALUE"""),"PopUpNewOrder")</f>
        <v>PopUpNewOrder</v>
      </c>
      <c r="D5" s="28" t="str">
        <f>IFERROR(__xludf.DUMMYFUNCTION("""COMPUTED_VALUE"""),"PopUpCXL")</f>
        <v>PopUpCXL</v>
      </c>
      <c r="E5" s="28" t="str">
        <f>IFERROR(__xludf.DUMMYFUNCTION("""COMPUTED_VALUE"""),"PopUpReplace")</f>
        <v>PopUpReplace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b">
        <v>1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SetTTCompliancePreference!$4:$4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18</v>
      </c>
      <c r="D6" s="13">
        <v>100.0</v>
      </c>
      <c r="E6" s="31"/>
      <c r="F6" s="13" t="s">
        <v>19</v>
      </c>
      <c r="G6" s="8"/>
      <c r="H6" s="13" t="s">
        <v>20</v>
      </c>
      <c r="I6" s="8"/>
      <c r="J6" s="13">
        <v>10.0</v>
      </c>
      <c r="K6" s="8"/>
      <c r="L6" s="8"/>
      <c r="M6" s="8"/>
      <c r="N6" s="8"/>
      <c r="O6" s="8"/>
    </row>
    <row r="7" ht="15.75" customHeight="1">
      <c r="A7" s="13"/>
      <c r="B7" s="13"/>
      <c r="C7" s="13"/>
      <c r="D7" s="13"/>
      <c r="E7" s="31"/>
      <c r="F7" s="13"/>
      <c r="G7" s="8"/>
      <c r="H7" s="13"/>
      <c r="I7" s="8"/>
      <c r="J7" s="13"/>
      <c r="K7" s="8"/>
      <c r="L7" s="13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17</v>
      </c>
      <c r="AJ6" s="9" t="s">
        <v>18</v>
      </c>
      <c r="AK6" s="9" t="s">
        <v>23</v>
      </c>
      <c r="AL6" s="9">
        <v>100.0</v>
      </c>
      <c r="AS6" s="9" t="s">
        <v>24</v>
      </c>
      <c r="AT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 t="str">
        <f>IFERROR(__xludf.DUMMYFUNCTION("""COMPUTED_VALUE"""),"SendClickOnNO")</f>
        <v>SendClickOnNO</v>
      </c>
      <c r="BC5" s="30" t="str">
        <f>IFERROR(__xludf.DUMMYFUNCTION("""COMPUTED_VALUE"""),"PendingApprovalPopUp")</f>
        <v>PendingApprovalPopUp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18</v>
      </c>
      <c r="D6" s="13">
        <v>100.0</v>
      </c>
      <c r="E6" s="31"/>
      <c r="F6" s="13" t="s">
        <v>19</v>
      </c>
      <c r="G6" s="8"/>
      <c r="H6" s="13" t="s">
        <v>20</v>
      </c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17</v>
      </c>
      <c r="D6" s="13"/>
      <c r="E6" s="31"/>
      <c r="F6" s="8"/>
      <c r="G6" s="13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17</v>
      </c>
      <c r="D6" s="13"/>
      <c r="E6" s="31"/>
      <c r="F6" s="8"/>
      <c r="G6" s="13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100.0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2" t="s">
        <v>32</v>
      </c>
      <c r="B6" s="32" t="s">
        <v>19</v>
      </c>
      <c r="C6" s="8" t="s">
        <v>33</v>
      </c>
      <c r="D6" s="32">
        <v>0.0</v>
      </c>
      <c r="E6" s="8">
        <v>100.0</v>
      </c>
      <c r="F6" s="8" t="s">
        <v>34</v>
      </c>
      <c r="G6" s="8" t="s">
        <v>35</v>
      </c>
      <c r="H6" s="8">
        <v>9.0</v>
      </c>
      <c r="I6" s="8">
        <v>0.0</v>
      </c>
      <c r="J6" s="8">
        <v>15.0</v>
      </c>
      <c r="K6" s="8">
        <v>10.0</v>
      </c>
      <c r="L6" s="8">
        <v>10.0</v>
      </c>
      <c r="M6" s="8" t="s">
        <v>36</v>
      </c>
      <c r="N6" s="8" t="s">
        <v>37</v>
      </c>
      <c r="O6" s="8" t="s">
        <v>24</v>
      </c>
      <c r="Q6">
        <v>3.0</v>
      </c>
      <c r="R6">
        <v>0.0</v>
      </c>
      <c r="S6" t="s">
        <v>38</v>
      </c>
      <c r="T6">
        <v>0.0</v>
      </c>
      <c r="U6">
        <v>0.0</v>
      </c>
      <c r="V6" t="s">
        <v>17</v>
      </c>
      <c r="W6">
        <v>1.0</v>
      </c>
      <c r="X6">
        <v>0.0</v>
      </c>
      <c r="Y6" t="s">
        <v>32</v>
      </c>
      <c r="Z6" t="s">
        <v>39</v>
      </c>
      <c r="AA6">
        <v>4.59200101E8</v>
      </c>
      <c r="AB6">
        <v>1.0</v>
      </c>
      <c r="AD6" t="s">
        <v>40</v>
      </c>
      <c r="AE6">
        <v>100.0</v>
      </c>
      <c r="AF6" t="s">
        <v>32</v>
      </c>
      <c r="AH6" t="s">
        <v>41</v>
      </c>
      <c r="AI6">
        <v>1.0</v>
      </c>
      <c r="AJ6" t="s">
        <v>42</v>
      </c>
      <c r="AM6" t="s">
        <v>43</v>
      </c>
      <c r="AN6" t="b">
        <v>0</v>
      </c>
      <c r="AO6" t="s">
        <v>44</v>
      </c>
      <c r="AP6" t="b">
        <v>0</v>
      </c>
      <c r="AQ6" t="b">
        <v>0</v>
      </c>
      <c r="AR6" t="b">
        <v>1</v>
      </c>
      <c r="AS6">
        <v>0.0</v>
      </c>
      <c r="AT6">
        <v>1010.175</v>
      </c>
      <c r="AU6">
        <v>1010.175</v>
      </c>
      <c r="AW6">
        <v>0.0</v>
      </c>
      <c r="AX6">
        <v>0.0</v>
      </c>
      <c r="AY6" t="s">
        <v>45</v>
      </c>
      <c r="AZ6">
        <v>0.0</v>
      </c>
      <c r="BC6">
        <v>0.0</v>
      </c>
      <c r="BD6" t="s">
        <v>46</v>
      </c>
      <c r="BE6">
        <v>1000.0</v>
      </c>
      <c r="BF6">
        <v>1000.0</v>
      </c>
      <c r="BJ6">
        <v>100.0</v>
      </c>
      <c r="BK6">
        <v>0.0</v>
      </c>
      <c r="BL6" t="s">
        <v>32</v>
      </c>
      <c r="BM6" t="s">
        <v>39</v>
      </c>
      <c r="BO6" t="s">
        <v>18</v>
      </c>
      <c r="BP6">
        <v>0.0</v>
      </c>
      <c r="BQ6">
        <v>0.0</v>
      </c>
      <c r="BR6">
        <v>0.175</v>
      </c>
      <c r="BS6" t="s">
        <v>47</v>
      </c>
      <c r="BT6" t="s">
        <v>17</v>
      </c>
      <c r="BU6">
        <v>1.0</v>
      </c>
      <c r="BV6">
        <v>0.0</v>
      </c>
      <c r="BW6">
        <v>10.175</v>
      </c>
      <c r="BX6">
        <v>0.0</v>
      </c>
      <c r="CF6" t="s">
        <v>48</v>
      </c>
      <c r="CG6">
        <v>0.0</v>
      </c>
      <c r="CH6" s="9" t="s">
        <v>12</v>
      </c>
      <c r="CI6" t="s">
        <v>18</v>
      </c>
      <c r="CJ6">
        <v>0.0</v>
      </c>
      <c r="CK6" t="s">
        <v>49</v>
      </c>
      <c r="CL6">
        <v>1.0</v>
      </c>
      <c r="CM6" t="s">
        <v>17</v>
      </c>
      <c r="CN6" t="s">
        <v>50</v>
      </c>
      <c r="CO6" t="s">
        <v>51</v>
      </c>
      <c r="CP6" t="s">
        <v>52</v>
      </c>
      <c r="CS6" t="s">
        <v>32</v>
      </c>
      <c r="CW6">
        <v>0.0</v>
      </c>
      <c r="CX6" t="s">
        <v>53</v>
      </c>
      <c r="CY6" t="s">
        <v>32</v>
      </c>
      <c r="CZ6" t="s">
        <v>32</v>
      </c>
      <c r="DA6" t="s">
        <v>32</v>
      </c>
      <c r="DB6" t="s">
        <v>32</v>
      </c>
      <c r="DC6" t="s">
        <v>32</v>
      </c>
      <c r="DD6" t="s">
        <v>32</v>
      </c>
      <c r="DE6" t="s">
        <v>32</v>
      </c>
      <c r="DF6" t="s">
        <v>32</v>
      </c>
      <c r="DG6" t="s">
        <v>32</v>
      </c>
      <c r="DH6" t="s">
        <v>32</v>
      </c>
      <c r="DI6" t="s">
        <v>32</v>
      </c>
      <c r="DJ6" t="s">
        <v>32</v>
      </c>
      <c r="DK6" t="s">
        <v>32</v>
      </c>
      <c r="DL6" t="s">
        <v>32</v>
      </c>
      <c r="DM6" t="s">
        <v>32</v>
      </c>
      <c r="DN6" t="s">
        <v>32</v>
      </c>
      <c r="DO6" t="s">
        <v>32</v>
      </c>
      <c r="DP6" t="s">
        <v>32</v>
      </c>
      <c r="DQ6" t="s">
        <v>32</v>
      </c>
      <c r="DR6" t="s">
        <v>32</v>
      </c>
      <c r="DS6" t="s">
        <v>32</v>
      </c>
      <c r="DT6" t="s">
        <v>32</v>
      </c>
      <c r="DU6" t="s">
        <v>32</v>
      </c>
      <c r="DV6" t="s">
        <v>32</v>
      </c>
      <c r="DW6" t="s">
        <v>32</v>
      </c>
      <c r="DX6" t="s">
        <v>32</v>
      </c>
      <c r="DY6" t="s">
        <v>32</v>
      </c>
      <c r="DZ6" t="s">
        <v>32</v>
      </c>
      <c r="EA6" t="s">
        <v>32</v>
      </c>
      <c r="EB6" t="s">
        <v>32</v>
      </c>
      <c r="EC6" t="s">
        <v>32</v>
      </c>
      <c r="ED6" t="s">
        <v>32</v>
      </c>
      <c r="EE6" t="s">
        <v>32</v>
      </c>
      <c r="EF6" t="s">
        <v>32</v>
      </c>
      <c r="EG6" t="s">
        <v>32</v>
      </c>
      <c r="EH6" t="s">
        <v>32</v>
      </c>
      <c r="EI6" t="s">
        <v>32</v>
      </c>
      <c r="EJ6" t="s">
        <v>32</v>
      </c>
      <c r="EK6" t="s">
        <v>32</v>
      </c>
      <c r="EL6" t="s">
        <v>32</v>
      </c>
      <c r="EM6" t="s">
        <v>32</v>
      </c>
      <c r="EN6" t="s">
        <v>32</v>
      </c>
      <c r="EO6" t="s">
        <v>32</v>
      </c>
      <c r="EP6" t="s">
        <v>32</v>
      </c>
      <c r="EQ6" t="s">
        <v>32</v>
      </c>
      <c r="ER6" t="s">
        <v>32</v>
      </c>
      <c r="ES6" t="s">
        <v>32</v>
      </c>
      <c r="ET6" t="s">
        <v>32</v>
      </c>
      <c r="EU6" t="s">
        <v>32</v>
      </c>
      <c r="EV6" t="s">
        <v>32</v>
      </c>
      <c r="EW6" t="s">
        <v>32</v>
      </c>
      <c r="EX6" t="s">
        <v>32</v>
      </c>
      <c r="FA6" t="s">
        <v>32</v>
      </c>
      <c r="FB6" t="s">
        <v>32</v>
      </c>
      <c r="FC6" t="s">
        <v>32</v>
      </c>
      <c r="FD6" t="s">
        <v>32</v>
      </c>
      <c r="FE6" t="s">
        <v>32</v>
      </c>
      <c r="FF6" t="s">
        <v>32</v>
      </c>
      <c r="FG6" t="s">
        <v>32</v>
      </c>
      <c r="FH6" t="s">
        <v>32</v>
      </c>
      <c r="FI6" t="s">
        <v>32</v>
      </c>
      <c r="FK6" t="s">
        <v>32</v>
      </c>
      <c r="FL6" t="s">
        <v>32</v>
      </c>
      <c r="FM6" t="s">
        <v>32</v>
      </c>
      <c r="FN6" t="s">
        <v>32</v>
      </c>
      <c r="FO6" t="s">
        <v>32</v>
      </c>
      <c r="FP6" t="s">
        <v>32</v>
      </c>
      <c r="FQ6" t="s">
        <v>32</v>
      </c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54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 t="str">
        <f>IFERROR(__xludf.DUMMYFUNCTION("""COMPUTED_VALUE"""),"ViewSettings")</f>
        <v>ViewSettings</v>
      </c>
      <c r="AF4" s="26" t="str">
        <f>IFERROR(__xludf.DUMMYFUNCTION("""COMPUTED_VALUE"""),"SaveLayoutPM")</f>
        <v>SaveLayoutPM</v>
      </c>
      <c r="AG4" s="26" t="str">
        <f>IFERROR(__xludf.DUMMYFUNCTION("""COMPUTED_VALUE"""),"OpenCustomView")</f>
        <v>OpenCustomView</v>
      </c>
      <c r="AH4" s="26" t="str">
        <f>IFERROR(__xludf.DUMMYFUNCTION("""COMPUTED_VALUE"""),"CheckCustomViewRowSummary")</f>
        <v>CheckCustomViewRowSummary</v>
      </c>
      <c r="AI4" s="26" t="str">
        <f>IFERROR(__xludf.DUMMYFUNCTION("""COMPUTED_VALUE"""),"OpenTaxlotDetails")</f>
        <v>OpenTaxlotDetails</v>
      </c>
      <c r="AJ4" s="26" t="str">
        <f>IFERROR(__xludf.DUMMYFUNCTION("""COMPUTED_VALUE"""),"CheckTaxlotDetails")</f>
        <v>CheckTaxlotDetails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 t="str">
        <f>IFERROR(__xludf.DUMMYFUNCTION("""COMPUTED_VALUE"""),"MandatoryColumn")</f>
        <v>MandatoryColumn</v>
      </c>
      <c r="FM5" s="30" t="str">
        <f>IFERROR(__xludf.DUMMYFUNCTION("""COMPUTED_VALUE"""),"Px Last")</f>
        <v>Px Last</v>
      </c>
      <c r="FN5" s="30" t="str">
        <f>IFERROR(__xludf.DUMMYFUNCTION("""COMPUTED_VALUE"""),"Px Ask")</f>
        <v>Px Ask</v>
      </c>
      <c r="FO5" s="30" t="str">
        <f>IFERROR(__xludf.DUMMYFUNCTION("""COMPUTED_VALUE"""),"Px Bid")</f>
        <v>Px Bid</v>
      </c>
      <c r="FP5" s="30" t="str">
        <f>IFERROR(__xludf.DUMMYFUNCTION("""COMPUTED_VALUE"""),"Px Mid")</f>
        <v>Px Mid</v>
      </c>
      <c r="FQ5" s="30" t="str">
        <f>IFERROR(__xludf.DUMMYFUNCTION("""COMPUTED_VALUE"""),"Closing Price")</f>
        <v>Closing Price</v>
      </c>
      <c r="FR5" s="30" t="str">
        <f>IFERROR(__xludf.DUMMYFUNCTION("""COMPUTED_VALUE"""),"Total Volume")</f>
        <v>Total Volume</v>
      </c>
      <c r="FS5" s="30" t="str">
        <f>IFERROR(__xludf.DUMMYFUNCTION("""COMPUTED_VALUE"""),"Custom UDA8")</f>
        <v>Custom UDA8</v>
      </c>
      <c r="FT5" s="30" t="str">
        <f>IFERROR(__xludf.DUMMYFUNCTION("""COMPUTED_VALUE"""),"Custom UDA9")</f>
        <v>Custom UDA9</v>
      </c>
      <c r="FU5" s="30" t="str">
        <f>IFERROR(__xludf.DUMMYFUNCTION("""COMPUTED_VALUE"""),"Custom UDA10")</f>
        <v>Custom UDA10</v>
      </c>
      <c r="FV5" s="30" t="str">
        <f>IFERROR(__xludf.DUMMYFUNCTION("""COMPUTED_VALUE"""),"Custom UDA11")</f>
        <v>Custom UDA11</v>
      </c>
      <c r="FW5" s="30" t="str">
        <f>IFERROR(__xludf.DUMMYFUNCTION("""COMPUTED_VALUE"""),"Custom UDA12")</f>
        <v>Custom UDA12</v>
      </c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8" t="s">
        <v>32</v>
      </c>
      <c r="B6" s="8"/>
      <c r="C6" s="8" t="s">
        <v>17</v>
      </c>
      <c r="D6" s="8">
        <v>100.0</v>
      </c>
      <c r="E6" s="8" t="s">
        <v>19</v>
      </c>
      <c r="F6" s="8" t="s">
        <v>53</v>
      </c>
      <c r="G6" s="8">
        <v>10.0</v>
      </c>
      <c r="H6" s="8" t="s">
        <v>56</v>
      </c>
      <c r="I6" s="8">
        <v>0.0</v>
      </c>
      <c r="J6" s="8">
        <v>0.0</v>
      </c>
      <c r="K6" s="8">
        <v>0.0</v>
      </c>
      <c r="L6" s="8">
        <v>0.0</v>
      </c>
      <c r="M6" s="8">
        <v>0.0</v>
      </c>
      <c r="N6" s="8">
        <v>-1000.0</v>
      </c>
      <c r="O6" s="8" t="s">
        <v>17</v>
      </c>
      <c r="P6" t="s">
        <v>57</v>
      </c>
      <c r="Q6">
        <v>-1000.0</v>
      </c>
      <c r="R6" t="s">
        <v>58</v>
      </c>
      <c r="S6" t="s">
        <v>47</v>
      </c>
      <c r="T6" t="s">
        <v>35</v>
      </c>
      <c r="U6" t="s">
        <v>49</v>
      </c>
      <c r="V6" t="s">
        <v>40</v>
      </c>
      <c r="W6" t="s">
        <v>39</v>
      </c>
      <c r="X6">
        <v>1.0</v>
      </c>
      <c r="Y6">
        <v>1.0</v>
      </c>
      <c r="AB6">
        <v>0.0</v>
      </c>
      <c r="AC6">
        <v>0.0</v>
      </c>
      <c r="AD6">
        <v>0.0</v>
      </c>
      <c r="AE6">
        <v>0.0</v>
      </c>
      <c r="AF6">
        <v>100.0</v>
      </c>
      <c r="AG6">
        <v>0.0</v>
      </c>
      <c r="AH6">
        <v>0.0</v>
      </c>
      <c r="AI6">
        <v>0.0</v>
      </c>
      <c r="AJ6">
        <v>0.0</v>
      </c>
      <c r="AK6">
        <v>-1000.0</v>
      </c>
      <c r="AL6">
        <v>1.0</v>
      </c>
      <c r="AM6">
        <v>1.0</v>
      </c>
      <c r="AN6" t="s">
        <v>18</v>
      </c>
      <c r="AP6" t="s">
        <v>56</v>
      </c>
      <c r="AQ6" t="s">
        <v>17</v>
      </c>
      <c r="AR6">
        <v>0.0</v>
      </c>
      <c r="AS6">
        <v>1.0</v>
      </c>
      <c r="AU6" t="s">
        <v>43</v>
      </c>
      <c r="AV6">
        <v>1.0</v>
      </c>
      <c r="AW6">
        <v>-1000.0</v>
      </c>
      <c r="AX6">
        <v>0.0</v>
      </c>
      <c r="AY6">
        <v>0.0</v>
      </c>
      <c r="AZ6">
        <v>0.0</v>
      </c>
      <c r="BA6">
        <v>-100.0</v>
      </c>
      <c r="BC6">
        <v>1.0</v>
      </c>
      <c r="BD6">
        <v>-1000.0</v>
      </c>
      <c r="BE6" t="s">
        <v>35</v>
      </c>
      <c r="BF6" t="s">
        <v>59</v>
      </c>
      <c r="BG6" t="s">
        <v>60</v>
      </c>
      <c r="BH6" t="s">
        <v>57</v>
      </c>
      <c r="BI6" t="s">
        <v>61</v>
      </c>
      <c r="BJ6">
        <v>0.0</v>
      </c>
      <c r="BK6">
        <v>0.0</v>
      </c>
      <c r="BL6">
        <v>0.0</v>
      </c>
      <c r="BM6">
        <v>0.0</v>
      </c>
      <c r="BO6">
        <v>-1000.0</v>
      </c>
      <c r="BP6">
        <v>0.0</v>
      </c>
      <c r="BQ6" t="s">
        <v>50</v>
      </c>
      <c r="BR6" t="s">
        <v>24</v>
      </c>
      <c r="BS6">
        <v>0.0</v>
      </c>
      <c r="BT6">
        <v>0.0</v>
      </c>
      <c r="BU6" t="s">
        <v>35</v>
      </c>
      <c r="BW6">
        <v>0.0</v>
      </c>
      <c r="BX6">
        <v>0.0</v>
      </c>
      <c r="BY6">
        <v>0.0</v>
      </c>
      <c r="BZ6">
        <v>0.0</v>
      </c>
      <c r="CA6">
        <v>0.0</v>
      </c>
      <c r="CC6">
        <v>0.0</v>
      </c>
      <c r="CD6">
        <v>-1000.0</v>
      </c>
      <c r="CE6">
        <v>0.0</v>
      </c>
      <c r="CF6">
        <v>0.0</v>
      </c>
      <c r="CG6">
        <v>-1000.0</v>
      </c>
      <c r="CH6">
        <v>-100.0</v>
      </c>
      <c r="CI6">
        <v>0.0</v>
      </c>
      <c r="CJ6">
        <v>0.0</v>
      </c>
      <c r="CK6" t="b">
        <v>0</v>
      </c>
      <c r="CN6">
        <v>2005973.0</v>
      </c>
      <c r="CO6">
        <v>4.59200101E8</v>
      </c>
      <c r="CP6" t="s">
        <v>36</v>
      </c>
      <c r="CS6">
        <v>10.0</v>
      </c>
      <c r="CY6" t="s">
        <v>42</v>
      </c>
      <c r="CZ6" t="s">
        <v>62</v>
      </c>
      <c r="DA6">
        <v>0.0</v>
      </c>
      <c r="DB6">
        <v>0.0</v>
      </c>
      <c r="DD6">
        <v>100.0</v>
      </c>
      <c r="DE6">
        <v>0.0</v>
      </c>
      <c r="DF6">
        <v>0.0</v>
      </c>
      <c r="DG6">
        <v>0.0</v>
      </c>
      <c r="DH6" t="s">
        <v>57</v>
      </c>
      <c r="DI6">
        <v>0.0</v>
      </c>
      <c r="DJ6" t="s">
        <v>18</v>
      </c>
      <c r="DK6">
        <v>0.0</v>
      </c>
      <c r="DL6">
        <v>0.0</v>
      </c>
      <c r="DM6">
        <v>1.0</v>
      </c>
      <c r="DN6">
        <v>0.0</v>
      </c>
      <c r="DO6" t="s">
        <v>63</v>
      </c>
      <c r="DP6" t="s">
        <v>56</v>
      </c>
      <c r="DQ6" t="s">
        <v>57</v>
      </c>
      <c r="DR6" t="s">
        <v>64</v>
      </c>
      <c r="DS6" t="s">
        <v>57</v>
      </c>
      <c r="DT6" t="s">
        <v>57</v>
      </c>
      <c r="DU6" t="s">
        <v>57</v>
      </c>
      <c r="DV6" t="s">
        <v>57</v>
      </c>
      <c r="DW6" t="s">
        <v>57</v>
      </c>
      <c r="DX6" t="s">
        <v>57</v>
      </c>
      <c r="DY6" t="s">
        <v>57</v>
      </c>
      <c r="DZ6" t="s">
        <v>17</v>
      </c>
      <c r="EA6" t="s">
        <v>65</v>
      </c>
      <c r="EB6" t="s">
        <v>57</v>
      </c>
      <c r="EC6" t="s">
        <v>57</v>
      </c>
      <c r="ED6" t="s">
        <v>39</v>
      </c>
      <c r="EE6" t="s">
        <v>65</v>
      </c>
      <c r="EF6">
        <v>0.0</v>
      </c>
      <c r="EG6">
        <v>0.0</v>
      </c>
      <c r="EH6">
        <v>0.0</v>
      </c>
      <c r="EI6">
        <v>0.0</v>
      </c>
      <c r="EJ6" t="s">
        <v>32</v>
      </c>
      <c r="EK6" t="s">
        <v>32</v>
      </c>
      <c r="EL6" t="s">
        <v>32</v>
      </c>
      <c r="EM6" t="s">
        <v>32</v>
      </c>
      <c r="EN6" t="s">
        <v>32</v>
      </c>
      <c r="EO6" t="s">
        <v>32</v>
      </c>
      <c r="EP6" t="s">
        <v>32</v>
      </c>
      <c r="EQ6" t="s">
        <v>32</v>
      </c>
      <c r="ER6" t="s">
        <v>32</v>
      </c>
      <c r="ES6" t="s">
        <v>32</v>
      </c>
      <c r="ET6" t="s">
        <v>32</v>
      </c>
      <c r="EU6" t="s">
        <v>32</v>
      </c>
      <c r="EV6" t="s">
        <v>32</v>
      </c>
      <c r="EW6" t="s">
        <v>32</v>
      </c>
      <c r="EX6" t="s">
        <v>32</v>
      </c>
      <c r="EY6" t="s">
        <v>32</v>
      </c>
      <c r="EZ6" t="s">
        <v>32</v>
      </c>
      <c r="FA6" t="s">
        <v>32</v>
      </c>
      <c r="FB6" t="s">
        <v>32</v>
      </c>
      <c r="FC6" t="s">
        <v>66</v>
      </c>
      <c r="FD6">
        <v>0.0</v>
      </c>
      <c r="FE6" t="s">
        <v>32</v>
      </c>
      <c r="FF6">
        <v>0.0</v>
      </c>
      <c r="FG6">
        <v>0.0</v>
      </c>
      <c r="FH6">
        <v>100.0</v>
      </c>
      <c r="FI6" t="s">
        <v>32</v>
      </c>
      <c r="FK6" t="s">
        <v>32</v>
      </c>
      <c r="FL6" t="s">
        <v>32</v>
      </c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67</v>
      </c>
      <c r="AJ6" s="9" t="s">
        <v>18</v>
      </c>
      <c r="AK6" s="9" t="s">
        <v>23</v>
      </c>
      <c r="AL6" s="9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 t="str">
        <f>IFERROR(__xludf.DUMMYFUNCTION("""COMPUTED_VALUE"""),"SendClickOnNO")</f>
        <v>SendClickOnNO</v>
      </c>
      <c r="BC5" s="30" t="str">
        <f>IFERROR(__xludf.DUMMYFUNCTION("""COMPUTED_VALUE"""),"PendingApprovalPopUp")</f>
        <v>PendingApprovalPopUp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67</v>
      </c>
      <c r="C6" s="13" t="s">
        <v>18</v>
      </c>
      <c r="D6" s="13">
        <v>100.0</v>
      </c>
      <c r="E6" s="31"/>
      <c r="F6" s="13" t="s">
        <v>19</v>
      </c>
      <c r="G6" s="8"/>
      <c r="H6" s="13" t="s">
        <v>68</v>
      </c>
      <c r="I6" s="8"/>
      <c r="J6" s="13">
        <v>2.0</v>
      </c>
      <c r="K6" s="8"/>
      <c r="L6" s="13">
        <v>2.0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67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67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100.0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ExecuteTrade1!$4:$4</formula1>
    </dataValidation>
  </dataValidations>
  <drawing r:id="rId1"/>
</worksheet>
</file>