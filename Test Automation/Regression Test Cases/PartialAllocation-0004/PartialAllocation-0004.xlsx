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llocatePreference" sheetId="6" r:id="rId8"/>
    <sheet state="visible" name="EnterAccountValuesToAllocate" sheetId="7" r:id="rId9"/>
    <sheet state="visible" name="CheckAllocatedGroups" sheetId="8" r:id="rId10"/>
    <sheet state="visible" name="CheckUnallocatedGroups" sheetId="9" r:id="rId11"/>
    <sheet state="visible" name="GetDataAllocation" sheetId="10" r:id="rId12"/>
    <sheet state="visible" name="GetDataClosing" sheetId="11" r:id="rId13"/>
    <sheet state="visible" name="VerifyLongPositionsGrid" sheetId="12" r:id="rId14"/>
    <sheet state="visible" name="GetActivityData" sheetId="13" r:id="rId15"/>
    <sheet state="visible" name="VerifyShortPositionsGrid" sheetId="14" r:id="rId16"/>
    <sheet state="visible" name="VerifyActivity" sheetId="15" r:id="rId17"/>
    <sheet state="visible" name="CheckPortfolioManagement" sheetId="16" r:id="rId18"/>
    <sheet state="visible" name="SetGeneralPreferences" sheetId="17" r:id="rId19"/>
  </sheets>
  <definedNames/>
  <calcPr/>
</workbook>
</file>

<file path=xl/sharedStrings.xml><?xml version="1.0" encoding="utf-8"?>
<sst xmlns="http://schemas.openxmlformats.org/spreadsheetml/2006/main" count="245" uniqueCount="59">
  <si>
    <t>Master Data Info</t>
  </si>
  <si>
    <t>Settings</t>
  </si>
  <si>
    <t>Modules Info</t>
  </si>
  <si>
    <t>Module</t>
  </si>
  <si>
    <t>Module Step Setting File</t>
  </si>
  <si>
    <t>Modules</t>
  </si>
  <si>
    <t>1mQ5wEgXb-MhIU0Or9e66NOlU7WFsZsSgRXGfsykMW9I</t>
  </si>
  <si>
    <t>Master Data Settings File</t>
  </si>
  <si>
    <t>1Nt_rf5DtgjbN9Ag4AMMlUkZYROxKZLH5m54YOl7tRT0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</si>
  <si>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</si>
  <si>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</si>
  <si>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</si>
  <si>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</si>
  <si>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</si>
  <si>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</si>
  <si>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</si>
  <si>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</si>
  <si>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</si>
  <si>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</si>
  <si>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</si>
  <si>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</si>
  <si>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</si>
  <si>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</si>
  <si>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</si>
  <si>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</si>
  <si>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</si>
  <si>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</si>
  <si>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</si>
  <si>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</si>
  <si>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Allocation</t>
  </si>
  <si>
    <t>SelectUnallocatedGroup</t>
  </si>
  <si>
    <t>EnterAllocatePreference</t>
  </si>
  <si>
    <t>Calculated</t>
  </si>
  <si>
    <t>Current Preference</t>
  </si>
  <si>
    <t>EnterAccountValuesToAllocate</t>
  </si>
  <si>
    <t>Allocation1</t>
  </si>
  <si>
    <t>Allocation2</t>
  </si>
  <si>
    <t>CheckAllocatedGroups</t>
  </si>
  <si>
    <t>CheckUnallocatedGroups</t>
  </si>
  <si>
    <t>GetDataAllocation</t>
  </si>
  <si>
    <t>Current</t>
  </si>
  <si>
    <t>Closing</t>
  </si>
  <si>
    <t>GetDataClosing</t>
  </si>
  <si>
    <t>VerifyLongPositionsGrid</t>
  </si>
  <si>
    <t>GeneralLedger</t>
  </si>
  <si>
    <t>GetActivityData</t>
  </si>
  <si>
    <t>SelectAll</t>
  </si>
  <si>
    <t>Allocation1,Allocation2,Allocation3,OFFSHORE</t>
  </si>
  <si>
    <t>No</t>
  </si>
  <si>
    <t>Yes</t>
  </si>
  <si>
    <t>VerifyShortPositionsGrid</t>
  </si>
  <si>
    <t>VerifyActivity</t>
  </si>
  <si>
    <t>EquityL</t>
  </si>
  <si>
    <t>USD</t>
  </si>
  <si>
    <t>Allocation3</t>
  </si>
  <si>
    <t>EquityS</t>
  </si>
  <si>
    <t>PortfolioManagement</t>
  </si>
  <si>
    <t>CheckPortfolioManagement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</si>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</sst>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top/>
      <bottom/>
    </border>
    <border>
      <left/>
      <right/>
      <bottom/>
    </border>
    <border>
      <right/>
      <bottom/>
    </border>
    <border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vertical="bottom" wrapText="0"/>
    </xf>
    <xf borderId="3" fillId="0" fontId="3" numFmtId="0" xfId="0" applyBorder="1" applyFont="1"/>
    <xf borderId="4" fillId="0" fontId="4" numFmtId="0" xfId="0" applyAlignment="1" applyBorder="1" applyFont="1">
      <alignment vertical="bottom"/>
    </xf>
    <xf borderId="0" fillId="0" fontId="5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5" fillId="3" fontId="6" numFmtId="0" xfId="0" applyAlignment="1" applyBorder="1" applyFill="1" applyFont="1">
      <alignment shrinkToFit="0" wrapText="0"/>
    </xf>
    <xf borderId="0" fillId="0" fontId="5" numFmtId="0" xfId="0" applyAlignment="1" applyFont="1">
      <alignment readingOrder="0" shrinkToFit="0" wrapText="0"/>
    </xf>
    <xf borderId="5" fillId="3" fontId="6" numFmtId="0" xfId="0" applyAlignment="1" applyBorder="1" applyFont="1">
      <alignment readingOrder="0" shrinkToFit="0" wrapText="0"/>
    </xf>
    <xf borderId="6" fillId="3" fontId="6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shrinkToFit="0" vertical="bottom" wrapText="0"/>
    </xf>
    <xf borderId="7" fillId="3" fontId="4" numFmtId="0" xfId="0" applyAlignment="1" applyBorder="1" applyFont="1">
      <alignment vertical="bottom"/>
    </xf>
    <xf borderId="5" fillId="3" fontId="5" numFmtId="0" xfId="0" applyAlignment="1" applyBorder="1" applyFont="1">
      <alignment shrinkToFit="0" wrapText="0"/>
    </xf>
    <xf borderId="5" fillId="3" fontId="4" numFmtId="0" xfId="0" applyAlignment="1" applyBorder="1" applyFont="1">
      <alignment readingOrder="0" shrinkToFit="0" wrapText="0"/>
    </xf>
    <xf borderId="5" fillId="3" fontId="4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5" fillId="3" fontId="9" numFmtId="0" xfId="0" applyAlignment="1" applyBorder="1" applyFont="1">
      <alignment readingOrder="0" shrinkToFit="0" wrapText="0"/>
    </xf>
    <xf borderId="5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5" fillId="6" fontId="6" numFmtId="0" xfId="0" applyAlignment="1" applyBorder="1" applyFont="1">
      <alignment shrinkToFit="0" wrapText="0"/>
    </xf>
    <xf borderId="0" fillId="6" fontId="10" numFmtId="0" xfId="0" applyFont="1"/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5" fillId="6" fontId="6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8" fillId="0" fontId="5" numFmtId="14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8" fillId="0" fontId="4" numFmtId="0" xfId="0" applyAlignment="1" applyBorder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5"/>
    </row>
    <row r="2" ht="15.75" customHeight="1">
      <c r="A2" s="8"/>
      <c r="B2" s="8"/>
      <c r="C2" s="8"/>
      <c r="D2" s="8"/>
      <c r="E2" s="8"/>
      <c r="F2" s="8"/>
    </row>
    <row r="3" ht="15.75" customHeight="1">
      <c r="A3" s="9" t="s">
        <v>5</v>
      </c>
      <c r="B3" s="16"/>
      <c r="C3" s="17"/>
      <c r="D3" s="17"/>
      <c r="E3" s="17"/>
      <c r="F3" s="17"/>
    </row>
    <row r="4" ht="15.75" customHeight="1">
      <c r="A4" s="7" t="str">
        <f>IFERROR(__xludf.DUMMYFUNCTION("IMPORTRANGE('_Settings'!B3,""Modules!A4:L1000"")"),"Allocation")</f>
        <v>Allocation</v>
      </c>
      <c r="B4" s="8" t="str">
        <f>IFERROR(__xludf.DUMMYFUNCTION("""COMPUTED_VALUE"""),"Allocate")</f>
        <v>Allocate</v>
      </c>
      <c r="C4" s="8" t="str">
        <f>IFERROR(__xludf.DUMMYFUNCTION("""COMPUTED_VALUE"""),"1g8wLprruaWRC_5pQcovqkv8ZCiMt5fspCOACibdkz7g")</f>
        <v>1g8wLprruaWRC_5pQcovqkv8ZCiMt5fspCOACibdkz7g</v>
      </c>
      <c r="D4" s="8" t="str">
        <f>IFERROR(__xludf.DUMMYFUNCTION("""COMPUTED_VALUE"""),"")</f>
        <v/>
      </c>
      <c r="E4" s="8" t="str">
        <f>IFERROR(__xludf.DUMMYFUNCTION("""COMPUTED_VALUE"""),"")</f>
        <v/>
      </c>
      <c r="F4" s="8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8" t="str">
        <f>IFERROR(__xludf.DUMMYFUNCTION("""COMPUTED_VALUE"""),"CheckAllocatedGroups")</f>
        <v>CheckAllocatedGroups</v>
      </c>
      <c r="C5" s="8" t="str">
        <f>IFERROR(__xludf.DUMMYFUNCTION("""COMPUTED_VALUE"""),"1aecq-HMDoDkIInONjPC11z5TBFHyJhv4ro66e2ZOphg")</f>
        <v>1aecq-HMDoDkIInONjPC11z5TBFHyJhv4ro66e2ZOphg</v>
      </c>
      <c r="D5" s="8" t="str">
        <f>IFERROR(__xludf.DUMMYFUNCTION("""COMPUTED_VALUE"""),"")</f>
        <v/>
      </c>
      <c r="E5" s="8" t="str">
        <f>IFERROR(__xludf.DUMMYFUNCTION("""COMPUTED_VALUE"""),"")</f>
        <v/>
      </c>
      <c r="F5" s="8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8" t="str">
        <f>IFERROR(__xludf.DUMMYFUNCTION("""COMPUTED_VALUE"""),"Allocation")</f>
        <v>Allocation</v>
      </c>
      <c r="B6" s="8" t="str">
        <f>IFERROR(__xludf.DUMMYFUNCTION("""COMPUTED_VALUE"""),"Unallocate")</f>
        <v>Unallocate</v>
      </c>
      <c r="C6" s="8" t="str">
        <f>IFERROR(__xludf.DUMMYFUNCTION("""COMPUTED_VALUE"""),"1eDZq-_vllq4jwvwpk9qGnwQUhlb-sFvyFKPBriT2dA0")</f>
        <v>1eDZq-_vllq4jwvwpk9qGnwQUhlb-sFvyFKPBriT2dA0</v>
      </c>
      <c r="D6" s="8" t="str">
        <f>IFERROR(__xludf.DUMMYFUNCTION("""COMPUTED_VALUE"""),"")</f>
        <v/>
      </c>
      <c r="E6" s="8" t="str">
        <f>IFERROR(__xludf.DUMMYFUNCTION("""COMPUTED_VALUE"""),"")</f>
        <v/>
      </c>
      <c r="F6" s="8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8" t="str">
        <f>IFERROR(__xludf.DUMMYFUNCTION("""COMPUTED_VALUE"""),"Allocation")</f>
        <v>Allocation</v>
      </c>
      <c r="B7" s="8" t="str">
        <f>IFERROR(__xludf.DUMMYFUNCTION("""COMPUTED_VALUE"""),"GetDataAllocation")</f>
        <v>GetDataAllocation</v>
      </c>
      <c r="C7" s="8" t="str">
        <f>IFERROR(__xludf.DUMMYFUNCTION("""COMPUTED_VALUE"""),"1FBTO3wCB7odq-jpQMbYHgSrAL5-rFO2_kp9Kr2iXqXE")</f>
        <v>1FBTO3wCB7odq-jpQMbYHgSrAL5-rFO2_kp9Kr2iXqXE</v>
      </c>
      <c r="D7" s="8" t="str">
        <f>IFERROR(__xludf.DUMMYFUNCTION("""COMPUTED_VALUE"""),"")</f>
        <v/>
      </c>
      <c r="E7" s="8" t="str">
        <f>IFERROR(__xludf.DUMMYFUNCTION("""COMPUTED_VALUE"""),"")</f>
        <v/>
      </c>
      <c r="F7" s="8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8" t="str">
        <f>IFERROR(__xludf.DUMMYFUNCTION("""COMPUTED_VALUE"""),"Allocation")</f>
        <v>Allocation</v>
      </c>
      <c r="B8" s="8" t="str">
        <f>IFERROR(__xludf.DUMMYFUNCTION("""COMPUTED_VALUE"""),"SelectAllocatedGroup")</f>
        <v>SelectAllocatedGroup</v>
      </c>
      <c r="C8" s="8" t="str">
        <f>IFERROR(__xludf.DUMMYFUNCTION("""COMPUTED_VALUE"""),"1G0ZkXDrIDX_loGmAyLs_Shy8hExtTELtFXERbX-HdPo")</f>
        <v>1G0ZkXDrIDX_loGmAyLs_Shy8hExtTELtFXERbX-HdPo</v>
      </c>
      <c r="D8" s="8" t="str">
        <f>IFERROR(__xludf.DUMMYFUNCTION("""COMPUTED_VALUE"""),"")</f>
        <v/>
      </c>
      <c r="E8" s="8" t="str">
        <f>IFERROR(__xludf.DUMMYFUNCTION("""COMPUTED_VALUE"""),"")</f>
        <v/>
      </c>
      <c r="F8" s="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8" t="str">
        <f>IFERROR(__xludf.DUMMYFUNCTION("""COMPUTED_VALUE"""),"Allocation")</f>
        <v>Allocation</v>
      </c>
      <c r="B9" s="8" t="str">
        <f>IFERROR(__xludf.DUMMYFUNCTION("""COMPUTED_VALUE"""),"EditTradesAllocated")</f>
        <v>EditTradesAllocated</v>
      </c>
      <c r="C9" s="8" t="str">
        <f>IFERROR(__xludf.DUMMYFUNCTION("""COMPUTED_VALUE"""),"1YgVZ1jEVgjUF1Dp8FAj_W_zLEZCyqvNMlWJIg0Tmkq4")</f>
        <v>1YgVZ1jEVgjUF1Dp8FAj_W_zLEZCyqvNMlWJIg0Tmkq4</v>
      </c>
      <c r="D9" s="8" t="str">
        <f>IFERROR(__xludf.DUMMYFUNCTION("""COMPUTED_VALUE"""),"")</f>
        <v/>
      </c>
      <c r="E9" s="8" t="str">
        <f>IFERROR(__xludf.DUMMYFUNCTION("""COMPUTED_VALUE"""),"")</f>
        <v/>
      </c>
      <c r="F9" s="8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8" t="str">
        <f>IFERROR(__xludf.DUMMYFUNCTION("""COMPUTED_VALUE"""),"Allocation")</f>
        <v>Allocation</v>
      </c>
      <c r="B10" s="8" t="str">
        <f>IFERROR(__xludf.DUMMYFUNCTION("""COMPUTED_VALUE"""),"EditTradesUnallocated")</f>
        <v>EditTradesUnallocated</v>
      </c>
      <c r="C10" s="8" t="str">
        <f>IFERROR(__xludf.DUMMYFUNCTION("""COMPUTED_VALUE"""),"1MyB61T39MDAUyQqCUJLATzUT2f5UlE8nFq4ltWy_DJ4")</f>
        <v>1MyB61T39MDAUyQqCUJLATzUT2f5UlE8nFq4ltWy_DJ4</v>
      </c>
      <c r="D10" s="8" t="str">
        <f>IFERROR(__xludf.DUMMYFUNCTION("""COMPUTED_VALUE"""),"")</f>
        <v/>
      </c>
      <c r="E10" s="8" t="str">
        <f>IFERROR(__xludf.DUMMYFUNCTION("""COMPUTED_VALUE"""),"")</f>
        <v/>
      </c>
      <c r="F10" s="8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8" t="str">
        <f>IFERROR(__xludf.DUMMYFUNCTION("""COMPUTED_VALUE"""),"Allocation")</f>
        <v>Allocation</v>
      </c>
      <c r="B11" s="8" t="str">
        <f>IFERROR(__xludf.DUMMYFUNCTION("""COMPUTED_VALUE"""),"Reallocate")</f>
        <v>Reallocate</v>
      </c>
      <c r="C11" s="8" t="str">
        <f>IFERROR(__xludf.DUMMYFUNCTION("""COMPUTED_VALUE"""),"undefined")</f>
        <v>undefined</v>
      </c>
      <c r="D11" s="8" t="str">
        <f>IFERROR(__xludf.DUMMYFUNCTION("""COMPUTED_VALUE"""),"")</f>
        <v/>
      </c>
      <c r="E11" s="8" t="str">
        <f>IFERROR(__xludf.DUMMYFUNCTION("""COMPUTED_VALUE"""),"")</f>
        <v/>
      </c>
      <c r="F11" s="8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8" t="str">
        <f>IFERROR(__xludf.DUMMYFUNCTION("""COMPUTED_VALUE"""),"Blotter")</f>
        <v>Blotter</v>
      </c>
      <c r="B12" s="8" t="str">
        <f>IFERROR(__xludf.DUMMYFUNCTION("""COMPUTED_VALUE"""),"ReplaceFillsOnBlotter")</f>
        <v>ReplaceFillsOnBlotter</v>
      </c>
      <c r="C12" s="8" t="str">
        <f>IFERROR(__xludf.DUMMYFUNCTION("""COMPUTED_VALUE"""),"undefined")</f>
        <v>undefined</v>
      </c>
      <c r="D12" s="8" t="str">
        <f>IFERROR(__xludf.DUMMYFUNCTION("""COMPUTED_VALUE"""),"")</f>
        <v/>
      </c>
      <c r="E12" s="8" t="str">
        <f>IFERROR(__xludf.DUMMYFUNCTION("""COMPUTED_VALUE"""),"")</f>
        <v/>
      </c>
      <c r="F12" s="8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8" t="str">
        <f>IFERROR(__xludf.DUMMYFUNCTION("""COMPUTED_VALUE"""),"Blotter")</f>
        <v>Blotter</v>
      </c>
      <c r="B13" s="8" t="str">
        <f>IFERROR(__xludf.DUMMYFUNCTION("""COMPUTED_VALUE"""),"CheckBlotter")</f>
        <v>CheckBlotter</v>
      </c>
      <c r="C13" s="8" t="str">
        <f>IFERROR(__xludf.DUMMYFUNCTION("""COMPUTED_VALUE"""),"16qheLbvgC92hKxalWDlpWfHBMyDDVqHERUCc7bQiO2A")</f>
        <v>16qheLbvgC92hKxalWDlpWfHBMyDDVqHERUCc7bQiO2A</v>
      </c>
      <c r="D13" s="8" t="str">
        <f>IFERROR(__xludf.DUMMYFUNCTION("""COMPUTED_VALUE"""),"")</f>
        <v/>
      </c>
      <c r="E13" s="8" t="str">
        <f>IFERROR(__xludf.DUMMYFUNCTION("""COMPUTED_VALUE"""),"")</f>
        <v/>
      </c>
      <c r="F13" s="8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8" t="str">
        <f>IFERROR(__xludf.DUMMYFUNCTION("""COMPUTED_VALUE"""),"GeneralLedger")</f>
        <v>GeneralLedger</v>
      </c>
      <c r="B14" s="8" t="str">
        <f>IFERROR(__xludf.DUMMYFUNCTION("""COMPUTED_VALUE"""),"GetDataCash")</f>
        <v>GetDataCash</v>
      </c>
      <c r="C14" s="8" t="str">
        <f>IFERROR(__xludf.DUMMYFUNCTION("""COMPUTED_VALUE"""),"1zLd3ju-mV8f6PZiQUYLU-cAgAUwLwyoIAKuu0WgG2zI")</f>
        <v>1zLd3ju-mV8f6PZiQUYLU-cAgAUwLwyoIAKuu0WgG2zI</v>
      </c>
      <c r="D14" s="8" t="str">
        <f>IFERROR(__xludf.DUMMYFUNCTION("""COMPUTED_VALUE"""),"")</f>
        <v/>
      </c>
      <c r="E14" s="8" t="str">
        <f>IFERROR(__xludf.DUMMYFUNCTION("""COMPUTED_VALUE"""),"")</f>
        <v/>
      </c>
      <c r="F14" s="8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8" t="str">
        <f>IFERROR(__xludf.DUMMYFUNCTION("""COMPUTED_VALUE"""),"GeneralLedger")</f>
        <v>GeneralLedger</v>
      </c>
      <c r="B15" s="8" t="str">
        <f>IFERROR(__xludf.DUMMYFUNCTION("""COMPUTED_VALUE"""),"EnterCashDividends")</f>
        <v>EnterCashDividends</v>
      </c>
      <c r="C15" s="8" t="str">
        <f>IFERROR(__xludf.DUMMYFUNCTION("""COMPUTED_VALUE"""),"1sjDsI5FIL_l_G6osMJQ7e8auBgYd3R3JDaKWKV_8Og0")</f>
        <v>1sjDsI5FIL_l_G6osMJQ7e8auBgYd3R3JDaKWKV_8Og0</v>
      </c>
      <c r="D15" s="8" t="str">
        <f>IFERROR(__xludf.DUMMYFUNCTION("""COMPUTED_VALUE"""),"")</f>
        <v/>
      </c>
      <c r="E15" s="8" t="str">
        <f>IFERROR(__xludf.DUMMYFUNCTION("""COMPUTED_VALUE"""),"")</f>
        <v/>
      </c>
      <c r="F15" s="8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8" t="str">
        <f>IFERROR(__xludf.DUMMYFUNCTION("""COMPUTED_VALUE"""),"GeneralLedger")</f>
        <v>GeneralLedger</v>
      </c>
      <c r="B16" s="8" t="str">
        <f>IFERROR(__xludf.DUMMYFUNCTION("""COMPUTED_VALUE"""),"EnterNonTradingTransaction")</f>
        <v>EnterNonTradingTransaction</v>
      </c>
      <c r="C16" s="8" t="str">
        <f>IFERROR(__xludf.DUMMYFUNCTION("""COMPUTED_VALUE"""),"1xn1P_Z-3N4d2BC1SUPly2HiVZazly5ZQcS18BfaTyho")</f>
        <v>1xn1P_Z-3N4d2BC1SUPly2HiVZazly5ZQcS18BfaTyho</v>
      </c>
      <c r="D16" s="8" t="str">
        <f>IFERROR(__xludf.DUMMYFUNCTION("""COMPUTED_VALUE"""),"")</f>
        <v/>
      </c>
      <c r="E16" s="8" t="str">
        <f>IFERROR(__xludf.DUMMYFUNCTION("""COMPUTED_VALUE"""),"")</f>
        <v/>
      </c>
      <c r="F16" s="8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8" t="str">
        <f>IFERROR(__xludf.DUMMYFUNCTION("""COMPUTED_VALUE"""),"GeneralLedger")</f>
        <v>GeneralLedger</v>
      </c>
      <c r="B17" s="8" t="str">
        <f>IFERROR(__xludf.DUMMYFUNCTION("""COMPUTED_VALUE"""),"VerifyCash")</f>
        <v>VerifyCash</v>
      </c>
      <c r="C17" s="8" t="str">
        <f>IFERROR(__xludf.DUMMYFUNCTION("""COMPUTED_VALUE"""),"1vlvYPsiFAWjsnFrbkGn_fAvkwF00V3e7htalalU6QN4")</f>
        <v>1vlvYPsiFAWjsnFrbkGn_fAvkwF00V3e7htalalU6QN4</v>
      </c>
      <c r="D17" s="8" t="str">
        <f>IFERROR(__xludf.DUMMYFUNCTION("""COMPUTED_VALUE"""),"")</f>
        <v/>
      </c>
      <c r="E17" s="8" t="str">
        <f>IFERROR(__xludf.DUMMYFUNCTION("""COMPUTED_VALUE"""),"")</f>
        <v/>
      </c>
      <c r="F17" s="8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8" t="str">
        <f>IFERROR(__xludf.DUMMYFUNCTION("""COMPUTED_VALUE"""),"GeneralLedger")</f>
        <v>GeneralLedger</v>
      </c>
      <c r="B18" s="8" t="str">
        <f>IFERROR(__xludf.DUMMYFUNCTION("""COMPUTED_VALUE"""),"VerifyActivity")</f>
        <v>VerifyActivity</v>
      </c>
      <c r="C18" s="8" t="str">
        <f>IFERROR(__xludf.DUMMYFUNCTION("""COMPUTED_VALUE"""),"1o2rCg2FuoAOT5Pl8i4iFP_TwpPm0UB1dd49GbpkytfM")</f>
        <v>1o2rCg2FuoAOT5Pl8i4iFP_TwpPm0UB1dd49GbpkytfM</v>
      </c>
      <c r="D18" s="8" t="str">
        <f>IFERROR(__xludf.DUMMYFUNCTION("""COMPUTED_VALUE"""),"")</f>
        <v/>
      </c>
      <c r="E18" s="8" t="str">
        <f>IFERROR(__xludf.DUMMYFUNCTION("""COMPUTED_VALUE"""),"")</f>
        <v/>
      </c>
      <c r="F18" s="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8" t="str">
        <f>IFERROR(__xludf.DUMMYFUNCTION("""COMPUTED_VALUE"""),"GeneralLedger")</f>
        <v>GeneralLedger</v>
      </c>
      <c r="B19" s="8" t="str">
        <f>IFERROR(__xludf.DUMMYFUNCTION("""COMPUTED_VALUE"""),"VerifyTradingTransaction")</f>
        <v>VerifyTradingTransaction</v>
      </c>
      <c r="C19" s="8" t="str">
        <f>IFERROR(__xludf.DUMMYFUNCTION("""COMPUTED_VALUE"""),"1_v2niCJ9VGNvgEBpvz030BFqEISSUhYRHyWcAJAn_Eg")</f>
        <v>1_v2niCJ9VGNvgEBpvz030BFqEISSUhYRHyWcAJAn_Eg</v>
      </c>
      <c r="D19" s="8" t="str">
        <f>IFERROR(__xludf.DUMMYFUNCTION("""COMPUTED_VALUE"""),"")</f>
        <v/>
      </c>
      <c r="E19" s="8" t="str">
        <f>IFERROR(__xludf.DUMMYFUNCTION("""COMPUTED_VALUE"""),"")</f>
        <v/>
      </c>
      <c r="F19" s="8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8" t="str">
        <f>IFERROR(__xludf.DUMMYFUNCTION("""COMPUTED_VALUE"""),"GeneralLedger")</f>
        <v>GeneralLedger</v>
      </c>
      <c r="B20" s="8" t="str">
        <f>IFERROR(__xludf.DUMMYFUNCTION("""COMPUTED_VALUE"""),"VerifyRevaluationData")</f>
        <v>VerifyRevaluationData</v>
      </c>
      <c r="C20" s="8" t="str">
        <f>IFERROR(__xludf.DUMMYFUNCTION("""COMPUTED_VALUE"""),"1hsRs1-LY0akTrMe91ArnbLtk6GUy_bKxVwMYCaiMs-8")</f>
        <v>1hsRs1-LY0akTrMe91ArnbLtk6GUy_bKxVwMYCaiMs-8</v>
      </c>
      <c r="D20" s="8" t="str">
        <f>IFERROR(__xludf.DUMMYFUNCTION("""COMPUTED_VALUE"""),"")</f>
        <v/>
      </c>
      <c r="E20" s="8" t="str">
        <f>IFERROR(__xludf.DUMMYFUNCTION("""COMPUTED_VALUE"""),"")</f>
        <v/>
      </c>
      <c r="F20" s="8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8" t="str">
        <f>IFERROR(__xludf.DUMMYFUNCTION("""COMPUTED_VALUE"""),"CorporateAction")</f>
        <v>CorporateAction</v>
      </c>
      <c r="B21" s="8" t="str">
        <f>IFERROR(__xludf.DUMMYFUNCTION("""COMPUTED_VALUE"""),"CorporateAction")</f>
        <v>CorporateAction</v>
      </c>
      <c r="C21" s="8" t="str">
        <f>IFERROR(__xludf.DUMMYFUNCTION("""COMPUTED_VALUE"""),"14rwUHTx4auE_hf60WN-tNOx3atNg7QGvErWNwVQIRqE")</f>
        <v>14rwUHTx4auE_hf60WN-tNOx3atNg7QGvErWNwVQIRqE</v>
      </c>
      <c r="D21" s="8" t="str">
        <f>IFERROR(__xludf.DUMMYFUNCTION("""COMPUTED_VALUE"""),"")</f>
        <v/>
      </c>
      <c r="E21" s="8" t="str">
        <f>IFERROR(__xludf.DUMMYFUNCTION("""COMPUTED_VALUE"""),"")</f>
        <v/>
      </c>
      <c r="F21" s="8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8" t="str">
        <f>IFERROR(__xludf.DUMMYFUNCTION("""COMPUTED_VALUE"""),"CreateTransaction")</f>
        <v>CreateTransaction</v>
      </c>
      <c r="B22" s="8" t="str">
        <f>IFERROR(__xludf.DUMMYFUNCTION("""COMPUTED_VALUE"""),"CreateTransaction")</f>
        <v>CreateTransaction</v>
      </c>
      <c r="C22" s="8" t="str">
        <f>IFERROR(__xludf.DUMMYFUNCTION("""COMPUTED_VALUE"""),"1amshi8Ns36lsDpccBK0y_9bL_pQ2rHdGNYypcgzceUg")</f>
        <v>1amshi8Ns36lsDpccBK0y_9bL_pQ2rHdGNYypcgzceUg</v>
      </c>
      <c r="D22" s="8" t="str">
        <f>IFERROR(__xludf.DUMMYFUNCTION("""COMPUTED_VALUE"""),"")</f>
        <v/>
      </c>
      <c r="E22" s="8" t="str">
        <f>IFERROR(__xludf.DUMMYFUNCTION("""COMPUTED_VALUE"""),"")</f>
        <v/>
      </c>
      <c r="F22" s="8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8" t="str">
        <f>IFERROR(__xludf.DUMMYFUNCTION("""COMPUTED_VALUE"""),"DailyValuation")</f>
        <v>DailyValuation</v>
      </c>
      <c r="B23" s="8" t="str">
        <f>IFERROR(__xludf.DUMMYFUNCTION("""COMPUTED_VALUE"""),"UpdateBeta")</f>
        <v>UpdateBeta</v>
      </c>
      <c r="C23" s="8" t="str">
        <f>IFERROR(__xludf.DUMMYFUNCTION("""COMPUTED_VALUE"""),"1YKttwHsdIskNDoo0Sl7HF2DWikROW-KA05qfT3GLIyI")</f>
        <v>1YKttwHsdIskNDoo0Sl7HF2DWikROW-KA05qfT3GLIyI</v>
      </c>
      <c r="D23" s="8" t="str">
        <f>IFERROR(__xludf.DUMMYFUNCTION("""COMPUTED_VALUE"""),"")</f>
        <v/>
      </c>
      <c r="E23" s="8" t="str">
        <f>IFERROR(__xludf.DUMMYFUNCTION("""COMPUTED_VALUE"""),"")</f>
        <v/>
      </c>
      <c r="F23" s="8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8" t="str">
        <f>IFERROR(__xludf.DUMMYFUNCTION("""COMPUTED_VALUE"""),"DailyValuation")</f>
        <v>DailyValuation</v>
      </c>
      <c r="B24" s="8" t="str">
        <f>IFERROR(__xludf.DUMMYFUNCTION("""COMPUTED_VALUE"""),"UpdateDailyCash")</f>
        <v>UpdateDailyCash</v>
      </c>
      <c r="C24" s="8" t="str">
        <f>IFERROR(__xludf.DUMMYFUNCTION("""COMPUTED_VALUE"""),"1YJ2rTp-OqQTGjubvs_cBC6fl0l94pyHI2eaLJzbddS4")</f>
        <v>1YJ2rTp-OqQTGjubvs_cBC6fl0l94pyHI2eaLJzbddS4</v>
      </c>
      <c r="D24" s="8" t="str">
        <f>IFERROR(__xludf.DUMMYFUNCTION("""COMPUTED_VALUE"""),"")</f>
        <v/>
      </c>
      <c r="E24" s="8" t="str">
        <f>IFERROR(__xludf.DUMMYFUNCTION("""COMPUTED_VALUE"""),"")</f>
        <v/>
      </c>
      <c r="F24" s="8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8" t="str">
        <f>IFERROR(__xludf.DUMMYFUNCTION("""COMPUTED_VALUE"""),"DailyValuation")</f>
        <v>DailyValuation</v>
      </c>
      <c r="B25" s="8" t="str">
        <f>IFERROR(__xludf.DUMMYFUNCTION("""COMPUTED_VALUE"""),"UpdateForexConversion")</f>
        <v>UpdateForexConversion</v>
      </c>
      <c r="C25" s="8" t="str">
        <f>IFERROR(__xludf.DUMMYFUNCTION("""COMPUTED_VALUE"""),"1mLyEfNTVFd65cnE6GfgCRD6TdpKg1BgqNIDjHCFzyO4")</f>
        <v>1mLyEfNTVFd65cnE6GfgCRD6TdpKg1BgqNIDjHCFzyO4</v>
      </c>
      <c r="D25" s="8" t="str">
        <f>IFERROR(__xludf.DUMMYFUNCTION("""COMPUTED_VALUE"""),"")</f>
        <v/>
      </c>
      <c r="E25" s="8" t="str">
        <f>IFERROR(__xludf.DUMMYFUNCTION("""COMPUTED_VALUE"""),"")</f>
        <v/>
      </c>
      <c r="F25" s="8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8" t="str">
        <f>IFERROR(__xludf.DUMMYFUNCTION("""COMPUTED_VALUE"""),"DailyValuation")</f>
        <v>DailyValuation</v>
      </c>
      <c r="B26" s="8" t="str">
        <f>IFERROR(__xludf.DUMMYFUNCTION("""COMPUTED_VALUE"""),"UpdateMarkPrice")</f>
        <v>UpdateMarkPrice</v>
      </c>
      <c r="C26" s="8" t="str">
        <f>IFERROR(__xludf.DUMMYFUNCTION("""COMPUTED_VALUE"""),"1M8d9TyOhMnA65NSIYvS6dR68SH5RL6oKahd6uz7yp6c")</f>
        <v>1M8d9TyOhMnA65NSIYvS6dR68SH5RL6oKahd6uz7yp6c</v>
      </c>
      <c r="D26" s="8" t="str">
        <f>IFERROR(__xludf.DUMMYFUNCTION("""COMPUTED_VALUE"""),"")</f>
        <v/>
      </c>
      <c r="E26" s="8" t="str">
        <f>IFERROR(__xludf.DUMMYFUNCTION("""COMPUTED_VALUE"""),"")</f>
        <v/>
      </c>
      <c r="F26" s="8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8" t="str">
        <f>IFERROR(__xludf.DUMMYFUNCTION("""COMPUTED_VALUE"""),"Import")</f>
        <v>Import</v>
      </c>
      <c r="B27" s="8" t="str">
        <f>IFERROR(__xludf.DUMMYFUNCTION("""COMPUTED_VALUE"""),"Import")</f>
        <v>Import</v>
      </c>
      <c r="C27" s="8" t="str">
        <f>IFERROR(__xludf.DUMMYFUNCTION("""COMPUTED_VALUE"""),"1Q5uOVYo1NMRks6hQRJuV8XWMPb6VFEAbSzpgP1dot1I")</f>
        <v>1Q5uOVYo1NMRks6hQRJuV8XWMPb6VFEAbSzpgP1dot1I</v>
      </c>
      <c r="D27" s="8" t="str">
        <f>IFERROR(__xludf.DUMMYFUNCTION("""COMPUTED_VALUE"""),"")</f>
        <v/>
      </c>
      <c r="E27" s="8" t="str">
        <f>IFERROR(__xludf.DUMMYFUNCTION("""COMPUTED_VALUE"""),"")</f>
        <v/>
      </c>
      <c r="F27" s="8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8" t="str">
        <f>IFERROR(__xludf.DUMMYFUNCTION("""COMPUTED_VALUE"""),"PortfolioManagement")</f>
        <v>PortfolioManagement</v>
      </c>
      <c r="B28" s="8" t="str">
        <f>IFERROR(__xludf.DUMMYFUNCTION("""COMPUTED_VALUE"""),"CheckDashboardPM")</f>
        <v>CheckDashboardPM</v>
      </c>
      <c r="C28" s="8" t="str">
        <f>IFERROR(__xludf.DUMMYFUNCTION("""COMPUTED_VALUE"""),"1iqfUyYqyebXIeNBGljH7-T8whBcywTlkBBU3dBZV06s")</f>
        <v>1iqfUyYqyebXIeNBGljH7-T8whBcywTlkBBU3dBZV06s</v>
      </c>
      <c r="D28" s="8" t="str">
        <f>IFERROR(__xludf.DUMMYFUNCTION("""COMPUTED_VALUE"""),"")</f>
        <v/>
      </c>
      <c r="E28" s="8" t="str">
        <f>IFERROR(__xludf.DUMMYFUNCTION("""COMPUTED_VALUE"""),"")</f>
        <v/>
      </c>
      <c r="F28" s="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8" t="str">
        <f>IFERROR(__xludf.DUMMYFUNCTION("""COMPUTED_VALUE"""),"PortfolioManagement")</f>
        <v>PortfolioManagement</v>
      </c>
      <c r="B29" s="8" t="str">
        <f>IFERROR(__xludf.DUMMYFUNCTION("""COMPUTED_VALUE"""),"CheckPortfolioManagement")</f>
        <v>CheckPortfolioManagement</v>
      </c>
      <c r="C29" s="8" t="str">
        <f>IFERROR(__xludf.DUMMYFUNCTION("""COMPUTED_VALUE"""),"1u0XMlZJy_Slp7uXMwirinW7StOOdTcWD-D8V07sO0VA")</f>
        <v>1u0XMlZJy_Slp7uXMwirinW7StOOdTcWD-D8V07sO0VA</v>
      </c>
      <c r="D29" s="8" t="str">
        <f>IFERROR(__xludf.DUMMYFUNCTION("""COMPUTED_VALUE"""),"")</f>
        <v/>
      </c>
      <c r="E29" s="8" t="str">
        <f>IFERROR(__xludf.DUMMYFUNCTION("""COMPUTED_VALUE"""),"")</f>
        <v/>
      </c>
      <c r="F29" s="8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8" t="str">
        <f>IFERROR(__xludf.DUMMYFUNCTION("""COMPUTED_VALUE"""),"PricingInput")</f>
        <v>PricingInput</v>
      </c>
      <c r="B30" s="8" t="str">
        <f>IFERROR(__xludf.DUMMYFUNCTION("""COMPUTED_VALUE"""),"PricingInput")</f>
        <v>PricingInput</v>
      </c>
      <c r="C30" s="8" t="str">
        <f>IFERROR(__xludf.DUMMYFUNCTION("""COMPUTED_VALUE"""),"1mh3Z5PifhJ3yzX8TPeoc3H3nteNiA0V2tWFse0rVChE")</f>
        <v>1mh3Z5PifhJ3yzX8TPeoc3H3nteNiA0V2tWFse0rVChE</v>
      </c>
      <c r="D30" s="8" t="str">
        <f>IFERROR(__xludf.DUMMYFUNCTION("""COMPUTED_VALUE"""),"")</f>
        <v/>
      </c>
      <c r="E30" s="8" t="str">
        <f>IFERROR(__xludf.DUMMYFUNCTION("""COMPUTED_VALUE"""),"")</f>
        <v/>
      </c>
      <c r="F30" s="8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8" t="str">
        <f>IFERROR(__xludf.DUMMYFUNCTION("""COMPUTED_VALUE"""),"PricingInput")</f>
        <v>PricingInput</v>
      </c>
      <c r="B31" s="8" t="str">
        <f>IFERROR(__xludf.DUMMYFUNCTION("""COMPUTED_VALUE"""),"UpdateSharesOutstanding")</f>
        <v>UpdateSharesOutstanding</v>
      </c>
      <c r="C31" s="8" t="str">
        <f>IFERROR(__xludf.DUMMYFUNCTION("""COMPUTED_VALUE"""),"1vmZ6v1OyZ8SSi8bqqjK3ap3KtM_yPA_SEcIQgYiRInY")</f>
        <v>1vmZ6v1OyZ8SSi8bqqjK3ap3KtM_yPA_SEcIQgYiRInY</v>
      </c>
      <c r="D31" s="8" t="str">
        <f>IFERROR(__xludf.DUMMYFUNCTION("""COMPUTED_VALUE"""),"")</f>
        <v/>
      </c>
      <c r="E31" s="8" t="str">
        <f>IFERROR(__xludf.DUMMYFUNCTION("""COMPUTED_VALUE"""),"")</f>
        <v/>
      </c>
      <c r="F31" s="8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8" t="str">
        <f>IFERROR(__xludf.DUMMYFUNCTION("""COMPUTED_VALUE"""),"SymbolLookup")</f>
        <v>SymbolLookup</v>
      </c>
      <c r="B32" s="8" t="str">
        <f>IFERROR(__xludf.DUMMYFUNCTION("""COMPUTED_VALUE"""),"VerifySymbolLookUp")</f>
        <v>VerifySymbolLookUp</v>
      </c>
      <c r="C32" s="8" t="str">
        <f>IFERROR(__xludf.DUMMYFUNCTION("""COMPUTED_VALUE"""),"1OiI1Pi_JAFOFi8ByMaD3_qqEXSv6yQMo_u6aGTozbl8")</f>
        <v>1OiI1Pi_JAFOFi8ByMaD3_qqEXSv6yQMo_u6aGTozbl8</v>
      </c>
      <c r="D32" s="8" t="str">
        <f>IFERROR(__xludf.DUMMYFUNCTION("""COMPUTED_VALUE"""),"")</f>
        <v/>
      </c>
      <c r="E32" s="8" t="str">
        <f>IFERROR(__xludf.DUMMYFUNCTION("""COMPUTED_VALUE"""),"")</f>
        <v/>
      </c>
      <c r="F32" s="8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8" t="str">
        <f>IFERROR(__xludf.DUMMYFUNCTION("""COMPUTED_VALUE"""),"SymbolLookup")</f>
        <v>SymbolLookup</v>
      </c>
      <c r="B33" s="8" t="str">
        <f>IFERROR(__xludf.DUMMYFUNCTION("""COMPUTED_VALUE"""),"SymbolLookupFromTT")</f>
        <v>SymbolLookupFromTT</v>
      </c>
      <c r="C33" s="8" t="str">
        <f>IFERROR(__xludf.DUMMYFUNCTION("""COMPUTED_VALUE"""),"1ubfvE9sHq5KpJ9NazeH96CrVMJqAuol5Ya9GPjxWrgI")</f>
        <v>1ubfvE9sHq5KpJ9NazeH96CrVMJqAuol5Ya9GPjxWrgI</v>
      </c>
      <c r="D33" s="8" t="str">
        <f>IFERROR(__xludf.DUMMYFUNCTION("""COMPUTED_VALUE"""),"")</f>
        <v/>
      </c>
      <c r="E33" s="8" t="str">
        <f>IFERROR(__xludf.DUMMYFUNCTION("""COMPUTED_VALUE"""),"")</f>
        <v/>
      </c>
      <c r="F33" s="8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" t="s">
        <v>1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0" t="s">
        <v>6</v>
      </c>
      <c r="C3" s="7"/>
    </row>
    <row r="4" ht="15.75" customHeight="1">
      <c r="A4" s="11" t="s">
        <v>7</v>
      </c>
      <c r="B4" s="10" t="s">
        <v>8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4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2" t="s">
        <v>3</v>
      </c>
      <c r="B3" s="13" t="s">
        <v>9</v>
      </c>
      <c r="C3" s="13" t="s">
        <v>10</v>
      </c>
      <c r="D3" s="14"/>
      <c r="E3" s="14"/>
      <c r="F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1b5S4Xpp4fgZ1ez6cK92QFnVBylqz8jhwxdAyEvwDqUI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12</v>
      </c>
      <c r="D3" s="9" t="s">
        <v>9</v>
      </c>
      <c r="E3" s="23" t="s">
        <v>13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B6" s="31" t="s">
        <v>16</v>
      </c>
      <c r="C6" s="31" t="s">
        <v>17</v>
      </c>
      <c r="D6" s="31">
        <v>400.0</v>
      </c>
      <c r="E6" s="31">
        <v>400.0</v>
      </c>
      <c r="F6" s="31"/>
      <c r="J6" s="31">
        <v>1.0</v>
      </c>
      <c r="AK6" s="31" t="s">
        <v>18</v>
      </c>
      <c r="AL6" s="32" t="s">
        <v>19</v>
      </c>
    </row>
    <row r="7" ht="15.75" customHeight="1">
      <c r="A7" s="7"/>
      <c r="B7" s="10" t="s">
        <v>20</v>
      </c>
      <c r="C7" s="31" t="s">
        <v>17</v>
      </c>
      <c r="D7" s="31">
        <v>400.0</v>
      </c>
      <c r="E7" s="31">
        <v>400.0</v>
      </c>
      <c r="F7" s="31"/>
      <c r="J7" s="31">
        <v>1.0</v>
      </c>
      <c r="K7" s="7"/>
      <c r="L7" s="7"/>
      <c r="M7" s="7"/>
      <c r="N7" s="7"/>
      <c r="O7" s="7"/>
      <c r="AK7" s="31" t="s">
        <v>21</v>
      </c>
      <c r="AL7" s="32" t="s">
        <v>22</v>
      </c>
    </row>
    <row r="8" ht="15.75" customHeight="1">
      <c r="A8" s="7"/>
      <c r="B8" s="10" t="s">
        <v>23</v>
      </c>
      <c r="C8" s="31" t="s">
        <v>17</v>
      </c>
      <c r="D8" s="31">
        <v>400.0</v>
      </c>
      <c r="E8" s="31">
        <v>400.0</v>
      </c>
      <c r="F8" s="31" t="s">
        <v>24</v>
      </c>
      <c r="J8" s="31">
        <v>1.0</v>
      </c>
      <c r="K8" s="7"/>
      <c r="L8" s="7"/>
      <c r="M8" s="7"/>
      <c r="N8" s="7"/>
      <c r="O8" s="7"/>
      <c r="AL8" s="31"/>
    </row>
    <row r="9" ht="15.75" customHeight="1">
      <c r="A9" s="7"/>
      <c r="B9" s="10" t="s">
        <v>16</v>
      </c>
      <c r="C9" s="10" t="s">
        <v>17</v>
      </c>
      <c r="D9" s="10">
        <v>100.0</v>
      </c>
      <c r="E9" s="10">
        <v>100.0</v>
      </c>
      <c r="F9" s="10" t="s">
        <v>25</v>
      </c>
      <c r="G9" s="7"/>
      <c r="H9" s="7"/>
      <c r="I9" s="7"/>
      <c r="J9" s="10">
        <v>1.0</v>
      </c>
      <c r="K9" s="7"/>
      <c r="L9" s="7"/>
      <c r="M9" s="7"/>
      <c r="N9" s="7"/>
      <c r="O9" s="7"/>
    </row>
    <row r="10" ht="15.75" customHeight="1">
      <c r="A10" s="7"/>
      <c r="B10" s="10" t="s">
        <v>20</v>
      </c>
      <c r="C10" s="10" t="s">
        <v>26</v>
      </c>
      <c r="D10" s="10">
        <v>600.0</v>
      </c>
      <c r="E10" s="10">
        <v>600.0</v>
      </c>
      <c r="F10" s="10" t="s">
        <v>25</v>
      </c>
      <c r="G10" s="7"/>
      <c r="H10" s="7"/>
      <c r="I10" s="7"/>
      <c r="J10" s="10">
        <v>1.0</v>
      </c>
      <c r="K10" s="7"/>
      <c r="L10" s="7"/>
      <c r="M10" s="7"/>
      <c r="N10" s="7"/>
      <c r="O10" s="7"/>
    </row>
    <row r="11" ht="15.75" customHeight="1">
      <c r="A11" s="7"/>
      <c r="B11" s="10" t="s">
        <v>23</v>
      </c>
      <c r="C11" s="10" t="s">
        <v>26</v>
      </c>
      <c r="D11" s="10">
        <v>400.0</v>
      </c>
      <c r="E11" s="10">
        <v>400.0</v>
      </c>
      <c r="F11" s="10" t="s">
        <v>25</v>
      </c>
      <c r="G11" s="7"/>
      <c r="H11" s="7"/>
      <c r="I11" s="7"/>
      <c r="J11" s="10">
        <v>1.0</v>
      </c>
      <c r="K11" s="7"/>
      <c r="L11" s="7"/>
      <c r="M11" s="7"/>
      <c r="N11" s="7"/>
      <c r="O11" s="7"/>
    </row>
    <row r="12" ht="15.75" customHeight="1">
      <c r="A12" s="7"/>
      <c r="B12" s="10" t="s">
        <v>27</v>
      </c>
      <c r="C12" s="10" t="s">
        <v>28</v>
      </c>
      <c r="D12" s="10">
        <v>100.0</v>
      </c>
      <c r="E12" s="10">
        <v>100.0</v>
      </c>
      <c r="F12" s="10" t="s">
        <v>25</v>
      </c>
      <c r="G12" s="7"/>
      <c r="H12" s="7"/>
      <c r="I12" s="7"/>
      <c r="J12" s="10">
        <v>1.0</v>
      </c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1-RJhOo2E5PhyqaiMEjsPi8RpfYBuiSqE9fj_-bRpkKw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29</v>
      </c>
      <c r="D3" s="9" t="s">
        <v>9</v>
      </c>
      <c r="E3" s="23" t="s">
        <v>30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9" t="str">
        <f>IFERROR(__xludf.DUMMYFUNCTION("""COMPUTED_VALUE"""),"Net Amount( Local)")</f>
        <v>Net Amount( Local)</v>
      </c>
      <c r="H5" s="29" t="str">
        <f>IFERROR(__xludf.DUMMYFUNCTION("""COMPUTED_VALUE"""),"Net Amount( Base)")</f>
        <v>Net Amount( Base)</v>
      </c>
      <c r="I5" s="29" t="str">
        <f>IFERROR(__xludf.DUMMYFUNCTION("""COMPUTED_VALUE"""),"Principal Amount( Local)")</f>
        <v>Principal Amount( Local)</v>
      </c>
      <c r="J5" s="29" t="str">
        <f>IFERROR(__xludf.DUMMYFUNCTION("""COMPUTED_VALUE"""),"Transaction Type")</f>
        <v>Transaction Type</v>
      </c>
      <c r="K5" s="29" t="str">
        <f>IFERROR(__xludf.DUMMYFUNCTION("""COMPUTED_VALUE"""),"Principal Amount( Base)")</f>
        <v>Principal Amount( Base)</v>
      </c>
      <c r="L5" s="29" t="str">
        <f>IFERROR(__xludf.DUMMYFUNCTION("""COMPUTED_VALUE"""),"Execution Time")</f>
        <v>Execution Time</v>
      </c>
      <c r="M5" s="29" t="str">
        <f>IFERROR(__xludf.DUMMYFUNCTION("""COMPUTED_VALUE"""),"Trading Account")</f>
        <v>Trading Account</v>
      </c>
      <c r="N5" s="29" t="str">
        <f>IFERROR(__xludf.DUMMYFUNCTION("""COMPUTED_VALUE"""),"Avg Price(Local)")</f>
        <v>Avg Price(Local)</v>
      </c>
      <c r="O5" s="29" t="str">
        <f>IFERROR(__xludf.DUMMYFUNCTION("""COMPUTED_VALUE"""),"Avg Price(Base)")</f>
        <v>Avg Price(Base)</v>
      </c>
      <c r="P5" s="29" t="str">
        <f>IFERROR(__xludf.DUMMYFUNCTION("""COMPUTED_VALUE"""),"Broker")</f>
        <v>Broker</v>
      </c>
      <c r="Q5" s="29" t="str">
        <f>IFERROR(__xludf.DUMMYFUNCTION("""COMPUTED_VALUE"""),"FX Rate")</f>
        <v>FX Rate</v>
      </c>
      <c r="R5" s="29" t="str">
        <f>IFERROR(__xludf.DUMMYFUNCTION("""COMPUTED_VALUE"""),"Venue")</f>
        <v>Venue</v>
      </c>
      <c r="S5" s="29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B6" s="10" t="s">
        <v>16</v>
      </c>
      <c r="C6" s="10" t="s">
        <v>17</v>
      </c>
      <c r="D6" s="10">
        <v>100.0</v>
      </c>
      <c r="E6" s="10">
        <v>100.0</v>
      </c>
      <c r="O6" s="31">
        <v>1.0</v>
      </c>
    </row>
    <row r="7" ht="15.75" customHeight="1">
      <c r="A7" s="7"/>
      <c r="B7" s="10" t="s">
        <v>20</v>
      </c>
      <c r="C7" s="10" t="s">
        <v>26</v>
      </c>
      <c r="D7" s="10">
        <v>600.0</v>
      </c>
      <c r="E7" s="10">
        <v>600.0</v>
      </c>
      <c r="F7" s="7"/>
      <c r="G7" s="7"/>
      <c r="H7" s="7"/>
      <c r="I7" s="7"/>
      <c r="J7" s="7"/>
      <c r="K7" s="7"/>
      <c r="L7" s="7"/>
      <c r="M7" s="7"/>
      <c r="N7" s="7"/>
      <c r="O7" s="10">
        <v>1.0</v>
      </c>
    </row>
    <row r="8" ht="15.75" customHeight="1">
      <c r="A8" s="7"/>
      <c r="B8" s="10" t="s">
        <v>23</v>
      </c>
      <c r="C8" s="10" t="s">
        <v>26</v>
      </c>
      <c r="D8" s="10">
        <v>400.0</v>
      </c>
      <c r="E8" s="10">
        <v>400.0</v>
      </c>
      <c r="F8" s="7"/>
      <c r="G8" s="7"/>
      <c r="H8" s="7"/>
      <c r="I8" s="7"/>
      <c r="J8" s="7"/>
      <c r="K8" s="7"/>
      <c r="L8" s="7"/>
      <c r="M8" s="7"/>
      <c r="N8" s="7"/>
      <c r="O8" s="10">
        <v>1.0</v>
      </c>
    </row>
    <row r="9" ht="15.75" customHeight="1">
      <c r="A9" s="7"/>
      <c r="B9" s="10" t="s">
        <v>27</v>
      </c>
      <c r="C9" s="10" t="s">
        <v>28</v>
      </c>
      <c r="D9" s="10">
        <v>100.0</v>
      </c>
      <c r="E9" s="10">
        <v>100.0</v>
      </c>
      <c r="F9" s="7"/>
      <c r="G9" s="7"/>
      <c r="H9" s="7"/>
      <c r="I9" s="7"/>
      <c r="J9" s="7"/>
      <c r="K9" s="7"/>
      <c r="L9" s="7"/>
      <c r="M9" s="7"/>
      <c r="N9" s="7"/>
      <c r="O9" s="10">
        <v>1.0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29</v>
      </c>
      <c r="D3" s="9" t="s">
        <v>9</v>
      </c>
      <c r="E3" s="23" t="s">
        <v>31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IFERROR(__xludf.DUMMYFUNCTION("""COMPUTED_VALUE"""),"PreferenceType")</f>
        <v>PreferenceType</v>
      </c>
      <c r="C5" s="29" t="str">
        <f>IFERROR(__xludf.DUMMYFUNCTION("""COMPUTED_VALUE"""),"PreferenceName")</f>
        <v>PreferenceName</v>
      </c>
      <c r="D5" s="29" t="str">
        <f>IFERROR(__xludf.DUMMYFUNCTION("""COMPUTED_VALUE"""),"PTTPrefNeeded")</f>
        <v>PTTPrefNeeded</v>
      </c>
      <c r="E5" s="29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9" t="str">
        <f>IFERROR(__xludf.DUMMYFUNCTION("""COMPUTED_VALUE"""),"RemainderAllocationTo")</f>
        <v>RemainderAllocationTo</v>
      </c>
      <c r="H5" s="29" t="str">
        <f>IFERROR(__xludf.DUMMYFUNCTION("""COMPUTED_VALUE"""),"Target%AsOf")</f>
        <v>Target%AsOf</v>
      </c>
      <c r="I5" s="29" t="str">
        <f>IFERROR(__xludf.DUMMYFUNCTION("""COMPUTED_VALUE"""),"AccountsForProrata")</f>
        <v>AccountsForProrata</v>
      </c>
      <c r="J5" s="29" t="str">
        <f>IFERROR(__xludf.DUMMYFUNCTION("""COMPUTED_VALUE"""),"DateUptoDays")</f>
        <v>DateUptoDays</v>
      </c>
      <c r="K5" s="29" t="str">
        <f>IFERROR(__xludf.DUMMYFUNCTION("""COMPUTED_VALUE"""),"MatchClosingTransactions")</f>
        <v>MatchClosingTransactions</v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B6" s="31" t="s">
        <v>32</v>
      </c>
      <c r="H6" s="31" t="s">
        <v>33</v>
      </c>
      <c r="I6" s="31"/>
      <c r="K6" s="31" t="b">
        <v>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1mOtszotVOdqHquQTLi-4CBnAUrtAF2MEABuvYJh_hzw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29</v>
      </c>
      <c r="D3" s="9" t="s">
        <v>9</v>
      </c>
      <c r="E3" s="23" t="s">
        <v>34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IFERROR(__xludf.DUMMYFUNCTION("""COMPUTED_VALUE"""),"Account Percentage")</f>
        <v>Account Percentage</v>
      </c>
      <c r="D5" s="29" t="str">
        <f>IFERROR(__xludf.DUMMYFUNCTION("""COMPUTED_VALUE"""),"Account Quantity")</f>
        <v>Account Quantity</v>
      </c>
      <c r="E5" s="29" t="str">
        <f>IFERROR(__xludf.DUMMYFUNCTION("""COMPUTED_VALUE"""),"")</f>
        <v/>
      </c>
      <c r="F5" s="29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B6" s="31" t="s">
        <v>35</v>
      </c>
      <c r="C6" s="31">
        <v>50.0</v>
      </c>
    </row>
    <row r="7" ht="15.75" customHeight="1">
      <c r="A7" s="7"/>
      <c r="B7" s="10" t="s">
        <v>36</v>
      </c>
      <c r="C7" s="10">
        <v>50.0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29</v>
      </c>
      <c r="D3" s="9" t="s">
        <v>9</v>
      </c>
      <c r="E3" s="23" t="s">
        <v>37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K6" s="31">
        <v>1.0</v>
      </c>
      <c r="L6" s="31">
        <v>1.0</v>
      </c>
      <c r="BJ6" s="31">
        <v>100.0</v>
      </c>
      <c r="BO6" s="31" t="s">
        <v>17</v>
      </c>
      <c r="BT6" s="31" t="s">
        <v>16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10">
        <v>1.0</v>
      </c>
      <c r="L7" s="10">
        <v>1.0</v>
      </c>
      <c r="M7" s="7"/>
      <c r="N7" s="7"/>
      <c r="O7" s="7"/>
      <c r="BJ7" s="31">
        <v>100.0</v>
      </c>
      <c r="BO7" s="31" t="s">
        <v>28</v>
      </c>
      <c r="BT7" s="31" t="s">
        <v>27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1c7aP-E18Fb8lEVGiXac03BLoNVdUNRzodD2Xjn-9pzU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29</v>
      </c>
      <c r="D3" s="9" t="s">
        <v>9</v>
      </c>
      <c r="E3" s="23" t="s">
        <v>38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IFERROR(__xludf.DUMMYFUNCTION("""COMPUTED_VALUE"""),"Accrual Basis")</f>
        <v>Accrual Basis</v>
      </c>
      <c r="C5" s="29" t="str">
        <f>IFERROR(__xludf.DUMMYFUNCTION("""COMPUTED_VALUE"""),"Accrued Interest")</f>
        <v>Accrued Interest</v>
      </c>
      <c r="D5" s="29" t="str">
        <f>IFERROR(__xludf.DUMMYFUNCTION("""COMPUTED_VALUE"""),"Allocated Qty")</f>
        <v>Allocated Qty</v>
      </c>
      <c r="E5" s="29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9" t="str">
        <f>IFERROR(__xludf.DUMMYFUNCTION("""COMPUTED_VALUE"""),"AUEC Fee1")</f>
        <v>AUEC Fee1</v>
      </c>
      <c r="H5" s="29" t="str">
        <f>IFERROR(__xludf.DUMMYFUNCTION("""COMPUTED_VALUE"""),"AUEC Fee2")</f>
        <v>AUEC Fee2</v>
      </c>
      <c r="I5" s="29" t="str">
        <f>IFERROR(__xludf.DUMMYFUNCTION("""COMPUTED_VALUE"""),"AUECID")</f>
        <v>AUECID</v>
      </c>
      <c r="J5" s="29" t="str">
        <f>IFERROR(__xludf.DUMMYFUNCTION("""COMPUTED_VALUE"""),"Avg Price(Base)")</f>
        <v>Avg Price(Base)</v>
      </c>
      <c r="K5" s="29" t="str">
        <f>IFERROR(__xludf.DUMMYFUNCTION("""COMPUTED_VALUE"""),"Avg Price(Local)")</f>
        <v>Avg Price(Local)</v>
      </c>
      <c r="L5" s="29" t="str">
        <f>IFERROR(__xludf.DUMMYFUNCTION("""COMPUTED_VALUE"""),"Bloomberg")</f>
        <v>Bloomberg</v>
      </c>
      <c r="M5" s="29" t="str">
        <f>IFERROR(__xludf.DUMMYFUNCTION("""COMPUTED_VALUE"""),"Bond Type")</f>
        <v>Bond Type</v>
      </c>
      <c r="N5" s="29" t="str">
        <f>IFERROR(__xludf.DUMMYFUNCTION("""COMPUTED_VALUE"""),"Broker")</f>
        <v>Broker</v>
      </c>
      <c r="O5" s="29" t="str">
        <f>IFERROR(__xludf.DUMMYFUNCTION("""COMPUTED_VALUE"""),"Change Comment")</f>
        <v>Change Comment</v>
      </c>
      <c r="P5" s="29" t="str">
        <f>IFERROR(__xludf.DUMMYFUNCTION("""COMPUTED_VALUE"""),"Change Type")</f>
        <v>Change Type</v>
      </c>
      <c r="Q5" s="29" t="str">
        <f>IFERROR(__xludf.DUMMYFUNCTION("""COMPUTED_VALUE"""),"Clearing Broker Fee")</f>
        <v>Clearing Broker Fee</v>
      </c>
      <c r="R5" s="29" t="str">
        <f>IFERROR(__xludf.DUMMYFUNCTION("""COMPUTED_VALUE"""),"Closing Method")</f>
        <v>Closing Method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J6" s="31">
        <v>1.0</v>
      </c>
      <c r="K6" s="31">
        <v>1.0</v>
      </c>
      <c r="AE6" s="31">
        <v>600.0</v>
      </c>
      <c r="BJ6" s="31">
        <v>600.0</v>
      </c>
      <c r="BO6" s="31" t="s">
        <v>26</v>
      </c>
      <c r="BS6" s="31" t="s">
        <v>20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10">
        <v>1.0</v>
      </c>
      <c r="K7" s="10">
        <v>1.0</v>
      </c>
      <c r="L7" s="7"/>
      <c r="M7" s="7"/>
      <c r="N7" s="7"/>
      <c r="O7" s="7"/>
      <c r="AE7" s="31">
        <v>400.0</v>
      </c>
      <c r="BJ7" s="31">
        <v>400.0</v>
      </c>
      <c r="BO7" s="31" t="s">
        <v>26</v>
      </c>
      <c r="BS7" s="31" t="s">
        <v>23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29</v>
      </c>
      <c r="D3" s="9" t="s">
        <v>9</v>
      </c>
      <c r="E3" s="23" t="s">
        <v>39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3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s">
        <v>40</v>
      </c>
      <c r="C6" s="7"/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41</v>
      </c>
      <c r="D3" s="9" t="s">
        <v>9</v>
      </c>
      <c r="E3" s="23" t="s">
        <v>42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IFERROR(__xludf.DUMMYFUNCTION("""COMPUTED_VALUE"""),"Account Filter")</f>
        <v>Account Filter</v>
      </c>
      <c r="F5" s="33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s">
        <v>40</v>
      </c>
      <c r="C6" s="7"/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41</v>
      </c>
      <c r="D3" s="9" t="s">
        <v>9</v>
      </c>
      <c r="E3" s="23" t="s">
        <v>43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3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s">
        <v>35</v>
      </c>
      <c r="C6" s="7"/>
      <c r="D6" s="10"/>
      <c r="E6" s="34"/>
      <c r="F6" s="7"/>
      <c r="G6" s="7"/>
      <c r="H6" s="7"/>
      <c r="I6" s="10">
        <v>1.0</v>
      </c>
      <c r="J6" s="7"/>
      <c r="K6" s="7"/>
      <c r="L6" s="7"/>
      <c r="M6" s="10">
        <v>50.0</v>
      </c>
      <c r="N6" s="7"/>
      <c r="O6" s="7"/>
      <c r="P6" s="31" t="s">
        <v>17</v>
      </c>
      <c r="R6" s="31" t="s">
        <v>16</v>
      </c>
    </row>
    <row r="7" ht="15.75" customHeight="1">
      <c r="A7" s="7"/>
      <c r="B7" s="10" t="s">
        <v>36</v>
      </c>
      <c r="C7" s="7"/>
      <c r="D7" s="7"/>
      <c r="E7" s="7"/>
      <c r="F7" s="7"/>
      <c r="G7" s="7"/>
      <c r="H7" s="7"/>
      <c r="I7" s="10">
        <v>1.0</v>
      </c>
      <c r="J7" s="7"/>
      <c r="K7" s="7"/>
      <c r="L7" s="7"/>
      <c r="M7" s="10">
        <v>50.0</v>
      </c>
      <c r="N7" s="7"/>
      <c r="O7" s="7"/>
      <c r="P7" s="31" t="s">
        <v>17</v>
      </c>
      <c r="R7" s="31" t="s">
        <v>16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44</v>
      </c>
      <c r="D3" s="9" t="s">
        <v>9</v>
      </c>
      <c r="E3" s="23" t="s">
        <v>45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IFERROR(__xludf.DUMMYFUNCTION("""COMPUTED_VALUE"""),"MasterFund")</f>
        <v>MasterFund</v>
      </c>
      <c r="C5" s="29" t="str">
        <f>IFERROR(__xludf.DUMMYFUNCTION("""COMPUTED_VALUE"""),"Accounts")</f>
        <v>Accounts</v>
      </c>
      <c r="D5" s="29" t="str">
        <f>IFERROR(__xludf.DUMMYFUNCTION("""COMPUTED_VALUE"""),"From")</f>
        <v>From</v>
      </c>
      <c r="E5" s="29" t="str">
        <f>IFERROR(__xludf.DUMMYFUNCTION("""COMPUTED_VALUE"""),"To")</f>
        <v>To</v>
      </c>
      <c r="F5" s="33" t="str">
        <f>IFERROR(__xludf.DUMMYFUNCTION("""COMPUTED_VALUE"""),"SettlementDate")</f>
        <v>SettlementDate</v>
      </c>
      <c r="G5" s="29" t="str">
        <f>IFERROR(__xludf.DUMMYFUNCTION("""COMPUTED_VALUE"""),"TradeDate")</f>
        <v>TradeDate</v>
      </c>
      <c r="H5" s="29" t="str">
        <f>IFERROR(__xludf.DUMMYFUNCTION("""COMPUTED_VALUE"""),"All")</f>
        <v>All</v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5"/>
      <c r="B6" s="36" t="s">
        <v>46</v>
      </c>
      <c r="C6" s="37" t="s">
        <v>47</v>
      </c>
      <c r="D6" s="38">
        <f t="shared" ref="D6:E6" si="1">TODAY()</f>
        <v>43634</v>
      </c>
      <c r="E6" s="38">
        <f t="shared" si="1"/>
        <v>43634</v>
      </c>
      <c r="F6" s="39" t="s">
        <v>48</v>
      </c>
      <c r="G6" s="39" t="s">
        <v>49</v>
      </c>
      <c r="H6" s="39" t="s">
        <v>48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41</v>
      </c>
      <c r="D3" s="9" t="s">
        <v>9</v>
      </c>
      <c r="E3" s="23" t="s">
        <v>50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3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s">
        <v>35</v>
      </c>
      <c r="C6" s="7"/>
      <c r="D6" s="10"/>
      <c r="E6" s="34"/>
      <c r="F6" s="7"/>
      <c r="G6" s="7"/>
      <c r="H6" s="7"/>
      <c r="I6" s="10">
        <v>1.0</v>
      </c>
      <c r="J6" s="7"/>
      <c r="K6" s="7"/>
      <c r="L6" s="7"/>
      <c r="M6" s="10">
        <v>50.0</v>
      </c>
      <c r="N6" s="7"/>
      <c r="O6" s="7"/>
      <c r="P6" s="31" t="s">
        <v>28</v>
      </c>
      <c r="R6" s="31" t="s">
        <v>27</v>
      </c>
    </row>
    <row r="7" ht="15.75" customHeight="1">
      <c r="A7" s="7"/>
      <c r="B7" s="10" t="s">
        <v>36</v>
      </c>
      <c r="C7" s="7"/>
      <c r="D7" s="7"/>
      <c r="E7" s="7"/>
      <c r="F7" s="7"/>
      <c r="G7" s="7"/>
      <c r="H7" s="7"/>
      <c r="I7" s="10">
        <v>1.0</v>
      </c>
      <c r="J7" s="7"/>
      <c r="K7" s="7"/>
      <c r="L7" s="7"/>
      <c r="M7" s="10">
        <v>50.0</v>
      </c>
      <c r="N7" s="7"/>
      <c r="O7" s="7"/>
      <c r="P7" s="31" t="s">
        <v>28</v>
      </c>
      <c r="R7" s="31" t="s">
        <v>27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44</v>
      </c>
      <c r="D3" s="9" t="s">
        <v>9</v>
      </c>
      <c r="E3" s="23" t="s">
        <v>51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IFERROR(__xludf.DUMMYFUNCTION("""COMPUTED_VALUE"""),"Activity Source")</f>
        <v>Activity Source</v>
      </c>
      <c r="D5" s="29" t="str">
        <f>IFERROR(__xludf.DUMMYFUNCTION("""COMPUTED_VALUE"""),"ActivityType")</f>
        <v>ActivityType</v>
      </c>
      <c r="E5" s="29" t="str">
        <f>IFERROR(__xludf.DUMMYFUNCTION("""COMPUTED_VALUE"""),"Net Amount(Local)")</f>
        <v>Net Amount(Local)</v>
      </c>
      <c r="F5" s="33" t="str">
        <f>IFERROR(__xludf.DUMMYFUNCTION("""COMPUTED_VALUE"""),"AUEC Fee1")</f>
        <v>AUEC Fee1</v>
      </c>
      <c r="G5" s="29" t="str">
        <f>IFERROR(__xludf.DUMMYFUNCTION("""COMPUTED_VALUE"""),"AUEC Fee2")</f>
        <v>AUEC Fee2</v>
      </c>
      <c r="H5" s="29" t="str">
        <f>IFERROR(__xludf.DUMMYFUNCTION("""COMPUTED_VALUE"""),"Balance Type")</f>
        <v>Balance Type</v>
      </c>
      <c r="I5" s="29" t="str">
        <f>IFERROR(__xludf.DUMMYFUNCTION("""COMPUTED_VALUE"""),"Clearing Broker Fees")</f>
        <v>Clearing Broker Fees</v>
      </c>
      <c r="J5" s="29" t="str">
        <f>IFERROR(__xludf.DUMMYFUNCTION("""COMPUTED_VALUE"""),"Commission")</f>
        <v>Commission</v>
      </c>
      <c r="K5" s="29" t="str">
        <f>IFERROR(__xludf.DUMMYFUNCTION("""COMPUTED_VALUE"""),"Currency")</f>
        <v>Currency</v>
      </c>
      <c r="L5" s="29" t="str">
        <f>IFERROR(__xludf.DUMMYFUNCTION("""COMPUTED_VALUE"""),"Description")</f>
        <v>Description</v>
      </c>
      <c r="M5" s="29" t="str">
        <f>IFERROR(__xludf.DUMMYFUNCTION("""COMPUTED_VALUE"""),"Entry Date")</f>
        <v>Entry Date</v>
      </c>
      <c r="N5" s="29" t="str">
        <f>IFERROR(__xludf.DUMMYFUNCTION("""COMPUTED_VALUE"""),"FX Conversion Method Operator")</f>
        <v>FX Conversion Method Operator</v>
      </c>
      <c r="O5" s="29" t="str">
        <f>IFERROR(__xludf.DUMMYFUNCTION("""COMPUTED_VALUE"""),"Fx Rate")</f>
        <v>Fx Rate</v>
      </c>
      <c r="P5" s="29" t="str">
        <f>IFERROR(__xludf.DUMMYFUNCTION("""COMPUTED_VALUE"""),"Lead Currency")</f>
        <v>Lead Currency</v>
      </c>
      <c r="Q5" s="29" t="str">
        <f>IFERROR(__xludf.DUMMYFUNCTION("""COMPUTED_VALUE"""),"Modify date")</f>
        <v>Modify date</v>
      </c>
      <c r="R5" s="29" t="str">
        <f>IFERROR(__xludf.DUMMYFUNCTION("""COMPUTED_VALUE"""),"OCC Fee")</f>
        <v>OCC Fee</v>
      </c>
      <c r="S5" s="29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5"/>
      <c r="B6" s="36" t="s">
        <v>35</v>
      </c>
      <c r="C6" s="37"/>
      <c r="D6" s="36" t="s">
        <v>52</v>
      </c>
      <c r="E6" s="37"/>
      <c r="F6" s="37"/>
      <c r="G6" s="37"/>
      <c r="H6" s="37"/>
      <c r="I6" s="37"/>
      <c r="J6" s="37"/>
      <c r="K6" s="37" t="s">
        <v>53</v>
      </c>
      <c r="L6" s="37"/>
      <c r="M6" s="37"/>
      <c r="N6" s="37"/>
      <c r="O6" s="37"/>
      <c r="P6" s="37"/>
      <c r="Q6" s="37"/>
      <c r="R6" s="37"/>
      <c r="S6" s="37"/>
      <c r="T6" s="40"/>
      <c r="U6" s="40"/>
      <c r="V6" s="41">
        <v>100.0</v>
      </c>
      <c r="W6" s="40"/>
      <c r="X6" s="40"/>
      <c r="Y6" s="40"/>
      <c r="Z6" s="40"/>
      <c r="AA6" s="40"/>
      <c r="AB6" s="40" t="s">
        <v>16</v>
      </c>
      <c r="AC6" s="40"/>
      <c r="AD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36</v>
      </c>
      <c r="C7" s="40"/>
      <c r="D7" s="40" t="s">
        <v>52</v>
      </c>
      <c r="E7" s="40"/>
      <c r="F7" s="40"/>
      <c r="G7" s="40"/>
      <c r="H7" s="40"/>
      <c r="I7" s="40"/>
      <c r="J7" s="40"/>
      <c r="K7" s="40" t="s">
        <v>53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1">
        <v>100.0</v>
      </c>
      <c r="W7" s="40"/>
      <c r="X7" s="40"/>
      <c r="Y7" s="40"/>
      <c r="Z7" s="40"/>
      <c r="AA7" s="40"/>
      <c r="AB7" s="40" t="s">
        <v>16</v>
      </c>
      <c r="AC7" s="40"/>
      <c r="AD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54</v>
      </c>
      <c r="C8" s="40"/>
      <c r="D8" s="40" t="s">
        <v>52</v>
      </c>
      <c r="E8" s="40"/>
      <c r="F8" s="40"/>
      <c r="G8" s="40"/>
      <c r="H8" s="40"/>
      <c r="I8" s="40"/>
      <c r="J8" s="40"/>
      <c r="K8" s="40" t="s">
        <v>53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1">
        <v>200.0</v>
      </c>
      <c r="W8" s="40"/>
      <c r="X8" s="40"/>
      <c r="Y8" s="40"/>
      <c r="Z8" s="40"/>
      <c r="AA8" s="40"/>
      <c r="AB8" s="40" t="s">
        <v>16</v>
      </c>
      <c r="AC8" s="40"/>
      <c r="AD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35</v>
      </c>
      <c r="C9" s="40"/>
      <c r="D9" s="40" t="s">
        <v>52</v>
      </c>
      <c r="E9" s="40"/>
      <c r="F9" s="40"/>
      <c r="G9" s="40"/>
      <c r="H9" s="40"/>
      <c r="I9" s="40"/>
      <c r="J9" s="40"/>
      <c r="K9" s="40" t="s">
        <v>53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1">
        <v>100.0</v>
      </c>
      <c r="W9" s="40"/>
      <c r="X9" s="40"/>
      <c r="Y9" s="40"/>
      <c r="Z9" s="40"/>
      <c r="AA9" s="40"/>
      <c r="AB9" s="40" t="s">
        <v>20</v>
      </c>
      <c r="AC9" s="40"/>
      <c r="AD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 t="s">
        <v>36</v>
      </c>
      <c r="C10" s="40"/>
      <c r="D10" s="40" t="s">
        <v>52</v>
      </c>
      <c r="E10" s="40"/>
      <c r="F10" s="40"/>
      <c r="G10" s="40"/>
      <c r="H10" s="40"/>
      <c r="I10" s="40"/>
      <c r="J10" s="40"/>
      <c r="K10" s="40" t="s">
        <v>53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1">
        <v>300.0</v>
      </c>
      <c r="W10" s="40"/>
      <c r="X10" s="40"/>
      <c r="Y10" s="40"/>
      <c r="Z10" s="40"/>
      <c r="AA10" s="40"/>
      <c r="AB10" s="40" t="s">
        <v>20</v>
      </c>
      <c r="AC10" s="40"/>
      <c r="AD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 t="s">
        <v>24</v>
      </c>
      <c r="C11" s="40"/>
      <c r="D11" s="40" t="s">
        <v>52</v>
      </c>
      <c r="E11" s="40"/>
      <c r="F11" s="40"/>
      <c r="G11" s="40"/>
      <c r="H11" s="40"/>
      <c r="I11" s="40"/>
      <c r="J11" s="40"/>
      <c r="K11" s="40" t="s">
        <v>53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1">
        <v>400.0</v>
      </c>
      <c r="W11" s="40"/>
      <c r="X11" s="40"/>
      <c r="Y11" s="40"/>
      <c r="Z11" s="40"/>
      <c r="AA11" s="40"/>
      <c r="AB11" s="40" t="s">
        <v>23</v>
      </c>
      <c r="AC11" s="40"/>
      <c r="AD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 t="s">
        <v>35</v>
      </c>
      <c r="C12" s="40"/>
      <c r="D12" s="40" t="s">
        <v>52</v>
      </c>
      <c r="E12" s="40"/>
      <c r="F12" s="40"/>
      <c r="G12" s="40"/>
      <c r="H12" s="40"/>
      <c r="I12" s="40"/>
      <c r="J12" s="40"/>
      <c r="K12" s="40" t="s">
        <v>53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2">
        <v>50.0</v>
      </c>
      <c r="W12" s="40"/>
      <c r="X12" s="40"/>
      <c r="Y12" s="40"/>
      <c r="Z12" s="40"/>
      <c r="AA12" s="40"/>
      <c r="AB12" s="40" t="s">
        <v>16</v>
      </c>
      <c r="AC12" s="40"/>
      <c r="AD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40" t="s">
        <v>36</v>
      </c>
      <c r="C13" s="40"/>
      <c r="D13" s="40" t="s">
        <v>52</v>
      </c>
      <c r="E13" s="40"/>
      <c r="F13" s="40"/>
      <c r="G13" s="40"/>
      <c r="H13" s="40"/>
      <c r="I13" s="40"/>
      <c r="J13" s="40"/>
      <c r="K13" s="40" t="s">
        <v>53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2">
        <v>50.0</v>
      </c>
      <c r="W13" s="40"/>
      <c r="X13" s="40"/>
      <c r="Y13" s="40"/>
      <c r="Z13" s="40"/>
      <c r="AA13" s="40"/>
      <c r="AB13" s="40" t="s">
        <v>16</v>
      </c>
      <c r="AC13" s="40"/>
      <c r="AD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43" t="s">
        <v>35</v>
      </c>
      <c r="C14" s="40"/>
      <c r="D14" s="43" t="s">
        <v>55</v>
      </c>
      <c r="E14" s="40"/>
      <c r="F14" s="40"/>
      <c r="G14" s="40"/>
      <c r="H14" s="40"/>
      <c r="I14" s="40"/>
      <c r="J14" s="40"/>
      <c r="K14" s="40" t="s">
        <v>53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1">
        <v>50.0</v>
      </c>
      <c r="W14" s="40"/>
      <c r="X14" s="40"/>
      <c r="Y14" s="40"/>
      <c r="Z14" s="40"/>
      <c r="AA14" s="40"/>
      <c r="AB14" s="43" t="s">
        <v>27</v>
      </c>
      <c r="AC14" s="40"/>
      <c r="AD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43" t="s">
        <v>36</v>
      </c>
      <c r="C15" s="40"/>
      <c r="D15" s="43" t="s">
        <v>55</v>
      </c>
      <c r="E15" s="40"/>
      <c r="F15" s="40"/>
      <c r="G15" s="40"/>
      <c r="H15" s="40"/>
      <c r="I15" s="40"/>
      <c r="J15" s="40"/>
      <c r="K15" s="43" t="s">
        <v>53</v>
      </c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3">
        <v>50.0</v>
      </c>
      <c r="W15" s="40"/>
      <c r="X15" s="40"/>
      <c r="Y15" s="40"/>
      <c r="Z15" s="40"/>
      <c r="AA15" s="40"/>
      <c r="AB15" s="43" t="s">
        <v>27</v>
      </c>
      <c r="AC15" s="40"/>
      <c r="AD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</row>
    <row r="18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</row>
    <row r="19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56</v>
      </c>
      <c r="D3" s="9" t="s">
        <v>9</v>
      </c>
      <c r="E3" s="23" t="s">
        <v>57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</row>
    <row r="4" ht="15.75" customHeight="1">
      <c r="A4" s="26"/>
      <c r="B4" s="26" t="str">
        <f>IFERROR(__xludf.DUMMYFUNCTION("IF(C3="""","""",Transpose(IMPORTRANGE('_Settings'!$B$3,C3&amp;""!A4:A1000"")))"),"CheckDashboardPM")</f>
        <v>CheckDashboardPM</v>
      </c>
      <c r="C4" s="26" t="str">
        <f>IFERROR(__xludf.DUMMYFUNCTION("""COMPUTED_VALUE"""),"CheckPortfolioManagement")</f>
        <v>CheckPortfolioManagement</v>
      </c>
      <c r="D4" s="26" t="str">
        <f>IFERROR(__xludf.DUMMYFUNCTION("""COMPUTED_VALUE"""),"OpenPSTFromPM")</f>
        <v>OpenPSTFromPM</v>
      </c>
      <c r="E4" s="26" t="str">
        <f>IFERROR(__xludf.DUMMYFUNCTION("""COMPUTED_VALUE"""),"ClosePM")</f>
        <v>ClosePM</v>
      </c>
      <c r="F4" s="26" t="str">
        <f>IFERROR(__xludf.DUMMYFUNCTION("""COMPUTED_VALUE"""),"FilterPM")</f>
        <v>FilterPM</v>
      </c>
      <c r="G4" s="26" t="str">
        <f>IFERROR(__xludf.DUMMYFUNCTION("""COMPUTED_VALUE"""),"GroupRowPM")</f>
        <v>GroupRowPM</v>
      </c>
      <c r="H4" s="26" t="str">
        <f>IFERROR(__xludf.DUMMYFUNCTION("""COMPUTED_VALUE"""),"CheckDashboardWithPM")</f>
        <v>CheckDashboardWithPM</v>
      </c>
      <c r="I4" s="26" t="str">
        <f>IFERROR(__xludf.DUMMYFUNCTION("""COMPUTED_VALUE"""),"RemoveFilterPM")</f>
        <v>RemoveFilterPM</v>
      </c>
      <c r="J4" s="26" t="str">
        <f>IFERROR(__xludf.DUMMYFUNCTION("""COMPUTED_VALUE"""),"CheckSummaryRowsPM")</f>
        <v>CheckSummaryRowsPM</v>
      </c>
      <c r="K4" s="26" t="str">
        <f>IFERROR(__xludf.DUMMYFUNCTION("""COMPUTED_VALUE"""),"OpenPTTFromPM")</f>
        <v>OpenPTTFromPM</v>
      </c>
      <c r="L4" s="26" t="str">
        <f>IFERROR(__xludf.DUMMYFUNCTION("""COMPUTED_VALUE"""),"OpenCreateTransactionFromPM")</f>
        <v>OpenCreateTransactionFromPM</v>
      </c>
      <c r="M4" s="26" t="str">
        <f>IFERROR(__xludf.DUMMYFUNCTION("""COMPUTED_VALUE"""),"OpenClosingFromPM")</f>
        <v>OpenClosingFromPM</v>
      </c>
      <c r="N4" s="26" t="str">
        <f>IFERROR(__xludf.DUMMYFUNCTION("""COMPUTED_VALUE"""),"OpenCorporateActionFromPM")</f>
        <v>OpenCorporateActionFromPM</v>
      </c>
      <c r="O4" s="26" t="str">
        <f>IFERROR(__xludf.DUMMYFUNCTION("""COMPUTED_VALUE"""),"OpenDailyValuationFromPM")</f>
        <v>OpenDailyValuationFromPM</v>
      </c>
      <c r="P4" s="27" t="str">
        <f>IFERROR(__xludf.DUMMYFUNCTION("""COMPUTED_VALUE"""),"ClosePositionFromPM")</f>
        <v>ClosePositionFromPM</v>
      </c>
      <c r="Q4" s="27" t="str">
        <f>IFERROR(__xludf.DUMMYFUNCTION("""COMPUTED_VALUE"""),"ShowSummaryToolFromPM")</f>
        <v>ShowSummaryToolFromPM</v>
      </c>
      <c r="R4" s="27" t="str">
        <f>IFERROR(__xludf.DUMMYFUNCTION("""COMPUTED_VALUE"""),"HideSummaryToolFromPM")</f>
        <v>HideSummaryToolFromPM</v>
      </c>
      <c r="S4" s="27" t="str">
        <f>IFERROR(__xludf.DUMMYFUNCTION("""COMPUTED_VALUE"""),"CloseAccountPositionFromPM")</f>
        <v>CloseAccountPositionFromPM</v>
      </c>
      <c r="T4" s="27" t="str">
        <f>IFERROR(__xludf.DUMMYFUNCTION("""COMPUTED_VALUE"""),"CloseSelectedTaxlotsFromPM")</f>
        <v>CloseSelectedTaxlotsFromPM</v>
      </c>
      <c r="U4" s="27" t="str">
        <f>IFERROR(__xludf.DUMMYFUNCTION("""COMPUTED_VALUE"""),"ExpandCollapsePM")</f>
        <v>ExpandCollapsePM</v>
      </c>
      <c r="V4" s="27" t="str">
        <f>IFERROR(__xludf.DUMMYFUNCTION("""COMPUTED_VALUE"""),"AddCustomViewPM")</f>
        <v>AddCustomViewPM</v>
      </c>
      <c r="W4" s="27" t="str">
        <f>IFERROR(__xludf.DUMMYFUNCTION("""COMPUTED_VALUE"""),"AddCustomViewRightClickPM")</f>
        <v>AddCustomViewRightClickPM</v>
      </c>
      <c r="X4" s="27" t="str">
        <f>IFERROR(__xludf.DUMMYFUNCTION("""COMPUTED_VALUE"""),"RenameCustomViewPM")</f>
        <v>RenameCustomViewPM</v>
      </c>
      <c r="Y4" s="27" t="str">
        <f>IFERROR(__xludf.DUMMYFUNCTION("""COMPUTED_VALUE"""),"DeleteCustomViewPM")</f>
        <v>DeleteCustomViewPM</v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  <c r="EY4" s="27" t="str">
        <f>IFERROR(__xludf.DUMMYFUNCTION("""COMPUTED_VALUE"""),"")</f>
        <v/>
      </c>
      <c r="EZ4" s="27" t="str">
        <f>IFERROR(__xludf.DUMMYFUNCTION("""COMPUTED_VALUE"""),"")</f>
        <v/>
      </c>
      <c r="FA4" s="27" t="str">
        <f>IFERROR(__xludf.DUMMYFUNCTION("""COMPUTED_VALUE"""),"")</f>
        <v/>
      </c>
      <c r="FB4" s="27" t="str">
        <f>IFERROR(__xludf.DUMMYFUNCTION("""COMPUTED_VALUE"""),"")</f>
        <v/>
      </c>
      <c r="FC4" s="27" t="str">
        <f>IFERROR(__xludf.DUMMYFUNCTION("""COMPUTED_VALUE"""),"")</f>
        <v/>
      </c>
      <c r="FD4" s="27" t="str">
        <f>IFERROR(__xludf.DUMMYFUNCTION("""COMPUTED_VALUE"""),"")</f>
        <v/>
      </c>
      <c r="FE4" s="27" t="str">
        <f>IFERROR(__xludf.DUMMYFUNCTION("""COMPUTED_VALUE"""),"")</f>
        <v/>
      </c>
      <c r="FF4" s="27" t="str">
        <f>IFERROR(__xludf.DUMMYFUNCTION("""COMPUTED_VALUE"""),"")</f>
        <v/>
      </c>
      <c r="FG4" s="27" t="str">
        <f>IFERROR(__xludf.DUMMYFUNCTION("""COMPUTED_VALUE"""),"")</f>
        <v/>
      </c>
      <c r="FH4" s="27" t="str">
        <f>IFERROR(__xludf.DUMMYFUNCTION("""COMPUTED_VALUE"""),"")</f>
        <v/>
      </c>
      <c r="FI4" s="27" t="str">
        <f>IFERROR(__xludf.DUMMYFUNCTION("""COMPUTED_VALUE"""),"")</f>
        <v/>
      </c>
      <c r="FJ4" s="27" t="str">
        <f>IFERROR(__xludf.DUMMYFUNCTION("""COMPUTED_VALUE"""),"")</f>
        <v/>
      </c>
      <c r="FK4" s="27" t="str">
        <f>IFERROR(__xludf.DUMMYFUNCTION("""COMPUTED_VALUE"""),"")</f>
        <v/>
      </c>
      <c r="FL4" s="27" t="str">
        <f>IFERROR(__xludf.DUMMYFUNCTION("""COMPUTED_VALUE"""),"")</f>
        <v/>
      </c>
      <c r="FM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3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IFERROR(__xludf.DUMMYFUNCTION("""COMPUTED_VALUE"""),"")</f>
        <v/>
      </c>
      <c r="FB5" s="30" t="str">
        <f>IFERROR(__xludf.DUMMYFUNCTION("""COMPUTED_VALUE"""),"")</f>
        <v/>
      </c>
      <c r="FC5" s="30" t="str">
        <f>IFERROR(__xludf.DUMMYFUNCTION("""COMPUTED_VALUE"""),"")</f>
        <v/>
      </c>
      <c r="FD5" s="30" t="str">
        <f>IFERROR(__xludf.DUMMYFUNCTION("""COMPUTED_VALUE"""),"")</f>
        <v/>
      </c>
      <c r="FE5" s="30" t="str">
        <f>IFERROR(__xludf.DUMMYFUNCTION("""COMPUTED_VALUE"""),"")</f>
        <v/>
      </c>
      <c r="FF5" s="30" t="str">
        <f>IFERROR(__xludf.DUMMYFUNCTION("""COMPUTED_VALUE"""),"")</f>
        <v/>
      </c>
      <c r="FG5" s="30" t="str">
        <f>IFERROR(__xludf.DUMMYFUNCTION("""COMPUTED_VALUE"""),"")</f>
        <v/>
      </c>
      <c r="FH5" s="30" t="str">
        <f>IFERROR(__xludf.DUMMYFUNCTION("""COMPUTED_VALUE"""),"")</f>
        <v/>
      </c>
      <c r="FI5" s="30" t="str">
        <f>IFERROR(__xludf.DUMMYFUNCTION("""COMPUTED_VALUE"""),"")</f>
        <v/>
      </c>
      <c r="FJ5" s="30" t="str">
        <f>IFERROR(__xludf.DUMMYFUNCTION("""COMPUTED_VALUE"""),"")</f>
        <v/>
      </c>
      <c r="FK5" s="30" t="str">
        <f>IFERROR(__xludf.DUMMYFUNCTION("""COMPUTED_VALUE"""),"")</f>
        <v/>
      </c>
      <c r="FL5" s="30" t="str">
        <f>IFERROR(__xludf.DUMMYFUNCTION("""COMPUTED_VALUE"""),"")</f>
        <v/>
      </c>
      <c r="FM5" s="30" t="str">
        <f>IFERROR(__xludf.DUMMYFUNCTION("""COMPUTED_VALUE"""),"")</f>
        <v/>
      </c>
    </row>
    <row r="6" ht="15.75" customHeight="1">
      <c r="A6" s="35"/>
      <c r="B6" s="36"/>
      <c r="C6" s="37" t="s">
        <v>16</v>
      </c>
      <c r="D6" s="44">
        <v>100.0</v>
      </c>
      <c r="E6" s="37" t="s">
        <v>35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 t="s">
        <v>17</v>
      </c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</row>
    <row r="7" ht="15.75" customHeight="1">
      <c r="A7" s="40"/>
      <c r="B7" s="40"/>
      <c r="C7" s="40" t="s">
        <v>16</v>
      </c>
      <c r="D7" s="41">
        <v>100.0</v>
      </c>
      <c r="E7" s="40" t="s">
        <v>36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 t="s">
        <v>17</v>
      </c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</row>
    <row r="8" ht="15.75" customHeight="1">
      <c r="A8" s="40"/>
      <c r="B8" s="40"/>
      <c r="C8" s="40" t="s">
        <v>16</v>
      </c>
      <c r="D8" s="41">
        <v>200.0</v>
      </c>
      <c r="E8" s="40" t="s">
        <v>54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 t="s">
        <v>17</v>
      </c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</row>
    <row r="9" ht="15.75" customHeight="1">
      <c r="A9" s="40"/>
      <c r="B9" s="40"/>
      <c r="C9" s="40" t="s">
        <v>20</v>
      </c>
      <c r="D9" s="41">
        <v>100.0</v>
      </c>
      <c r="E9" s="40" t="s">
        <v>35</v>
      </c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 t="s">
        <v>17</v>
      </c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</row>
    <row r="10" ht="15.75" customHeight="1">
      <c r="A10" s="40"/>
      <c r="B10" s="40"/>
      <c r="C10" s="40" t="s">
        <v>20</v>
      </c>
      <c r="D10" s="41">
        <v>300.0</v>
      </c>
      <c r="E10" s="40" t="s">
        <v>36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 t="s">
        <v>17</v>
      </c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</row>
    <row r="11" ht="15.75" customHeight="1">
      <c r="A11" s="40"/>
      <c r="B11" s="40"/>
      <c r="C11" s="40" t="s">
        <v>23</v>
      </c>
      <c r="D11" s="41">
        <v>400.0</v>
      </c>
      <c r="E11" s="40" t="s">
        <v>24</v>
      </c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 t="s">
        <v>17</v>
      </c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</row>
    <row r="12" ht="15.75" customHeight="1">
      <c r="A12" s="40"/>
      <c r="B12" s="40"/>
      <c r="C12" s="40" t="s">
        <v>16</v>
      </c>
      <c r="D12" s="45">
        <v>50.0</v>
      </c>
      <c r="E12" s="40" t="s">
        <v>35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 t="s">
        <v>17</v>
      </c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</row>
    <row r="13" ht="15.75" customHeight="1">
      <c r="A13" s="40"/>
      <c r="B13" s="40"/>
      <c r="C13" s="40" t="s">
        <v>16</v>
      </c>
      <c r="D13" s="45">
        <v>50.0</v>
      </c>
      <c r="E13" s="40" t="s">
        <v>36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 t="s">
        <v>17</v>
      </c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</row>
    <row r="14" ht="15.75" customHeight="1">
      <c r="A14" s="40"/>
      <c r="B14" s="40"/>
      <c r="C14" s="40" t="s">
        <v>20</v>
      </c>
      <c r="D14" s="46">
        <v>-600.0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 t="s">
        <v>26</v>
      </c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</row>
    <row r="15" ht="15.75" customHeight="1">
      <c r="A15" s="40"/>
      <c r="B15" s="40"/>
      <c r="C15" s="40" t="s">
        <v>23</v>
      </c>
      <c r="D15" s="46">
        <v>-400.0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 t="s">
        <v>26</v>
      </c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</row>
    <row r="16" ht="15.75" customHeight="1">
      <c r="A16" s="40"/>
      <c r="B16" s="40"/>
      <c r="C16" s="40" t="s">
        <v>27</v>
      </c>
      <c r="D16" s="45">
        <v>-50.0</v>
      </c>
      <c r="E16" s="43" t="s">
        <v>35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 t="s">
        <v>28</v>
      </c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</row>
    <row r="17" ht="15.75" customHeight="1">
      <c r="A17" s="40"/>
      <c r="B17" s="40"/>
      <c r="C17" s="43" t="s">
        <v>27</v>
      </c>
      <c r="D17" s="43">
        <v>-50.0</v>
      </c>
      <c r="E17" s="43" t="s">
        <v>36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3" t="s">
        <v>28</v>
      </c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</row>
    <row r="18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1lI4loUxqzsE3IjuxIjsVY3cB4J_eTKFPPDuXngut4FE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29</v>
      </c>
      <c r="D3" s="9" t="s">
        <v>9</v>
      </c>
      <c r="E3" s="23" t="s">
        <v>58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3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b">
        <v>1</v>
      </c>
      <c r="C6" s="7"/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