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CustomOrderTT" sheetId="5" r:id="rId7"/>
    <sheet state="visible" name="PricingInput" sheetId="6" r:id="rId8"/>
    <sheet state="visible" name="CustomOrderTT1" sheetId="7" r:id="rId9"/>
    <sheet state="visible" name="VerifyBlotter" sheetId="8" r:id="rId10"/>
    <sheet state="visible" name="SetUIPreferencesTT" sheetId="9" r:id="rId11"/>
  </sheets>
  <definedNames/>
  <calcPr/>
</workbook>
</file>

<file path=xl/sharedStrings.xml><?xml version="1.0" encoding="utf-8"?>
<sst xmlns="http://schemas.openxmlformats.org/spreadsheetml/2006/main" count="684" uniqueCount="114">
  <si>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</si>
  <si>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</si>
  <si>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</si>
  <si>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</si>
  <si>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</si>
  <si>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</si>
  <si>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</si>
  <si>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</si>
  <si>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</si>
  <si>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</si>
  <si>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</si>
  <si>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</si>
  <si>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</si>
  <si>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</si>
  <si>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</si>
  <si>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</si>
  <si>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ES H4</t>
  </si>
  <si>
    <t>ES Z4</t>
  </si>
  <si>
    <t>TradingTicket</t>
  </si>
  <si>
    <t>CustomOrderTT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</si>
  <si>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</si>
  <si>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</si>
  <si>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</si>
  <si>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</si>
  <si>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</si>
  <si>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</si>
  <si>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</si>
  <si>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</si>
  <si>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</si>
  <si>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</si>
  <si>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</si>
  <si>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</si>
  <si>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</si>
  <si>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</si>
  <si>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</si>
  <si>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</si>
  <si>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</si>
  <si>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</si>
  <si>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</si>
  <si>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</si>
  <si>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</si>
  <si>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</si>
  <si>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</si>
  <si>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</si>
  <si>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</si>
  <si>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</si>
  <si>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</si>
  <si>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</si>
  <si>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</si>
  <si>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</si>
  <si>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</si>
  <si>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</si>
  <si>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</si>
  <si>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BookAsSwap</t>
  </si>
  <si>
    <t>DoneAway</t>
  </si>
  <si>
    <t>PricingInput</t>
  </si>
  <si>
    <t>CreateDoneAwayOrder</t>
  </si>
  <si>
    <t>RoundLot</t>
  </si>
  <si>
    <t>Increment</t>
  </si>
  <si>
    <t>Decrement</t>
  </si>
  <si>
    <t>CreateOrder</t>
  </si>
  <si>
    <t>AMT</t>
  </si>
  <si>
    <t>Yes</t>
  </si>
  <si>
    <t>Blotter</t>
  </si>
  <si>
    <t>VerifyOrder</t>
  </si>
  <si>
    <t>Limit Price</t>
  </si>
  <si>
    <t>Stop Price</t>
  </si>
  <si>
    <t>OrderID</t>
  </si>
  <si>
    <t>Expiry Date</t>
  </si>
  <si>
    <t>Status</t>
  </si>
  <si>
    <t>Peg</t>
  </si>
  <si>
    <t>ParentClOrderID</t>
  </si>
  <si>
    <t>Transaction Time</t>
  </si>
  <si>
    <t>Allocation Scheme Name</t>
  </si>
  <si>
    <t>Strike Price</t>
  </si>
  <si>
    <t>Last Shares</t>
  </si>
  <si>
    <t>Last Fill Price (Local)</t>
  </si>
  <si>
    <t>Working Qty</t>
  </si>
  <si>
    <t>Uncommitted Qty</t>
  </si>
  <si>
    <t>Algo</t>
  </si>
  <si>
    <t>Bloomberg Symbol</t>
  </si>
  <si>
    <t>Principal Amount (Local)</t>
  </si>
  <si>
    <t>Principal Amount (Base)</t>
  </si>
  <si>
    <t>Master Fund</t>
  </si>
  <si>
    <t>% Executed</t>
  </si>
  <si>
    <t>Day Executed Qty</t>
  </si>
  <si>
    <t>Day Average Price</t>
  </si>
  <si>
    <t>Leaves</t>
  </si>
  <si>
    <t>Side</t>
  </si>
  <si>
    <t>Target Qty</t>
  </si>
  <si>
    <t>Avg Fill Price (Local)</t>
  </si>
  <si>
    <t>Avg Fill Price (Base)</t>
  </si>
  <si>
    <t>Asset Class</t>
  </si>
  <si>
    <t>Underlying Country</t>
  </si>
  <si>
    <t>Trader</t>
  </si>
  <si>
    <t>Current User</t>
  </si>
  <si>
    <t>Actual User</t>
  </si>
  <si>
    <t>Total Executed Qty</t>
  </si>
  <si>
    <t>FX Conversion Operator</t>
  </si>
  <si>
    <t>Process Date</t>
  </si>
  <si>
    <t>Underlying Symbol</t>
  </si>
  <si>
    <t>FX Rate</t>
  </si>
  <si>
    <t>Internal Comments</t>
  </si>
  <si>
    <t>Transaction Source</t>
  </si>
  <si>
    <t>Borrow Rate(%)</t>
  </si>
  <si>
    <t/>
  </si>
  <si>
    <t>New</t>
  </si>
  <si>
    <t>ES H4 INDEX</t>
  </si>
  <si>
    <t>Buy</t>
  </si>
  <si>
    <t>Future</t>
  </si>
  <si>
    <t>jpearce</t>
  </si>
  <si>
    <t>MS</t>
  </si>
  <si>
    <t>NASDAQ</t>
  </si>
  <si>
    <t>SetUIPreferencesTT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</si>
</sst>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FFFFFF"/>
      <name val="Arial"/>
    </font>
    <font>
      <sz val="11.0"/>
      <name val="Calibri"/>
    </font>
    <font>
      <sz val="11.0"/>
      <color rgb="FFFFFFFF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24262A"/>
        <bgColor rgb="FF24262A"/>
      </patternFill>
    </fill>
    <fill>
      <patternFill patternType="solid">
        <fgColor rgb="FF1E1F23"/>
        <bgColor rgb="FF1E1F23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383A40"/>
      </left>
      <right style="thin">
        <color rgb="FF383A40"/>
      </right>
      <top style="thin">
        <color rgb="FF383A40"/>
      </top>
      <bottom style="thin">
        <color rgb="FF383A4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5" fontId="3" numFmtId="0" xfId="0" applyAlignment="1" applyFont="1">
      <alignment vertical="bottom"/>
    </xf>
    <xf borderId="4" fillId="5" fontId="4" numFmtId="0" xfId="0" applyAlignment="1" applyBorder="1" applyFont="1">
      <alignment vertical="bottom"/>
    </xf>
    <xf borderId="4" fillId="5" fontId="4" numFmtId="0" xfId="0" applyAlignment="1" applyBorder="1" applyFont="1">
      <alignment vertical="bottom"/>
    </xf>
    <xf borderId="0" fillId="5" fontId="13" numFmtId="0" xfId="0" applyAlignment="1" applyFont="1">
      <alignment vertical="bottom"/>
    </xf>
    <xf borderId="0" fillId="5" fontId="1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5" fillId="6" fontId="15" numFmtId="0" xfId="0" applyAlignment="1" applyBorder="1" applyFill="1" applyFont="1">
      <alignment horizontal="right" vertical="bottom"/>
    </xf>
    <xf borderId="5" fillId="6" fontId="15" numFmtId="0" xfId="0" applyAlignment="1" applyBorder="1" applyFont="1">
      <alignment readingOrder="0" shrinkToFit="0" vertical="bottom" wrapText="0"/>
    </xf>
    <xf borderId="0" fillId="0" fontId="2" numFmtId="164" xfId="0" applyFont="1" applyNumberFormat="1"/>
    <xf borderId="5" fillId="7" fontId="15" numFmtId="0" xfId="0" applyAlignment="1" applyBorder="1" applyFill="1" applyFont="1">
      <alignment horizontal="right" vertical="bottom"/>
    </xf>
    <xf borderId="5" fillId="7" fontId="15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 Update")</f>
        <v>Symbol Update</v>
      </c>
      <c r="C5" s="27" t="str">
        <f>IFERROR(__xludf.DUMMYFUNCTION("""COMPUTED_VALUE"""),"RoundLot")</f>
        <v>RoundLot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20.0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17</v>
      </c>
      <c r="C7" s="12">
        <v>30.0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UpdateRoundLot!$4:$4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1"/>
      <c r="B5" s="32" t="s">
        <v>20</v>
      </c>
      <c r="C5" s="32" t="s">
        <v>21</v>
      </c>
      <c r="D5" s="32" t="s">
        <v>22</v>
      </c>
      <c r="E5" s="32" t="s">
        <v>23</v>
      </c>
      <c r="F5" s="33" t="s">
        <v>24</v>
      </c>
      <c r="G5" s="32" t="s">
        <v>25</v>
      </c>
      <c r="H5" s="32" t="s">
        <v>26</v>
      </c>
      <c r="I5" s="32" t="s">
        <v>27</v>
      </c>
      <c r="J5" s="32" t="s">
        <v>28</v>
      </c>
      <c r="K5" s="32" t="s">
        <v>29</v>
      </c>
      <c r="L5" s="32" t="s">
        <v>30</v>
      </c>
      <c r="M5" s="32" t="s">
        <v>31</v>
      </c>
      <c r="N5" s="32" t="s">
        <v>32</v>
      </c>
      <c r="O5" s="32" t="s">
        <v>33</v>
      </c>
      <c r="P5" s="32" t="s">
        <v>34</v>
      </c>
      <c r="Q5" s="32" t="s">
        <v>35</v>
      </c>
      <c r="R5" s="32" t="s">
        <v>36</v>
      </c>
      <c r="S5" s="32" t="s">
        <v>37</v>
      </c>
      <c r="T5" s="34" t="s">
        <v>38</v>
      </c>
      <c r="U5" s="34" t="s">
        <v>39</v>
      </c>
      <c r="V5" s="34" t="s">
        <v>40</v>
      </c>
      <c r="W5" s="34" t="s">
        <v>41</v>
      </c>
      <c r="X5" s="34" t="s">
        <v>42</v>
      </c>
      <c r="Y5" s="34" t="s">
        <v>43</v>
      </c>
      <c r="Z5" s="34" t="s">
        <v>44</v>
      </c>
      <c r="AA5" s="34" t="s">
        <v>45</v>
      </c>
      <c r="AB5" s="34" t="s">
        <v>46</v>
      </c>
      <c r="AC5" s="34" t="s">
        <v>47</v>
      </c>
      <c r="AD5" s="34" t="s">
        <v>48</v>
      </c>
      <c r="AE5" s="34" t="s">
        <v>49</v>
      </c>
      <c r="AF5" s="34" t="s">
        <v>50</v>
      </c>
      <c r="AG5" s="34" t="s">
        <v>51</v>
      </c>
      <c r="AH5" s="34" t="s">
        <v>52</v>
      </c>
      <c r="AI5" s="34" t="s">
        <v>53</v>
      </c>
      <c r="AJ5" s="35"/>
      <c r="AK5" s="35"/>
      <c r="AL5" s="35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2"/>
      <c r="B6" s="12" t="s">
        <v>16</v>
      </c>
      <c r="C6" s="12">
        <v>1000.0</v>
      </c>
      <c r="D6" s="12">
        <v>150.0</v>
      </c>
      <c r="E6" s="12" t="s">
        <v>54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17</v>
      </c>
      <c r="C7" s="12">
        <v>240.0</v>
      </c>
      <c r="D7" s="12">
        <v>50.0</v>
      </c>
      <c r="E7" s="12" t="s">
        <v>54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12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150.0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17</v>
      </c>
      <c r="C7" s="12">
        <v>50.0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1"/>
      <c r="B5" s="32" t="s">
        <v>20</v>
      </c>
      <c r="C5" s="32" t="s">
        <v>21</v>
      </c>
      <c r="D5" s="32" t="s">
        <v>22</v>
      </c>
      <c r="E5" s="32" t="s">
        <v>23</v>
      </c>
      <c r="F5" s="33" t="s">
        <v>24</v>
      </c>
      <c r="G5" s="32" t="s">
        <v>25</v>
      </c>
      <c r="H5" s="32" t="s">
        <v>26</v>
      </c>
      <c r="I5" s="32" t="s">
        <v>27</v>
      </c>
      <c r="J5" s="32" t="s">
        <v>28</v>
      </c>
      <c r="K5" s="32" t="s">
        <v>29</v>
      </c>
      <c r="L5" s="32" t="s">
        <v>30</v>
      </c>
      <c r="M5" s="32" t="s">
        <v>31</v>
      </c>
      <c r="N5" s="32" t="s">
        <v>32</v>
      </c>
      <c r="O5" s="32" t="s">
        <v>33</v>
      </c>
      <c r="P5" s="32" t="s">
        <v>34</v>
      </c>
      <c r="Q5" s="32" t="s">
        <v>35</v>
      </c>
      <c r="R5" s="32" t="s">
        <v>36</v>
      </c>
      <c r="S5" s="32" t="s">
        <v>37</v>
      </c>
      <c r="T5" s="34" t="s">
        <v>38</v>
      </c>
      <c r="U5" s="34" t="s">
        <v>39</v>
      </c>
      <c r="V5" s="34" t="s">
        <v>40</v>
      </c>
      <c r="W5" s="34" t="s">
        <v>41</v>
      </c>
      <c r="X5" s="34" t="s">
        <v>42</v>
      </c>
      <c r="Y5" s="34" t="s">
        <v>43</v>
      </c>
      <c r="Z5" s="34" t="s">
        <v>44</v>
      </c>
      <c r="AA5" s="34" t="s">
        <v>45</v>
      </c>
      <c r="AB5" s="34" t="s">
        <v>46</v>
      </c>
      <c r="AC5" s="34" t="s">
        <v>47</v>
      </c>
      <c r="AD5" s="34" t="s">
        <v>48</v>
      </c>
      <c r="AE5" s="34" t="s">
        <v>49</v>
      </c>
      <c r="AF5" s="34" t="s">
        <v>50</v>
      </c>
      <c r="AG5" s="34" t="s">
        <v>51</v>
      </c>
      <c r="AH5" s="34" t="s">
        <v>52</v>
      </c>
      <c r="AI5" s="34" t="s">
        <v>53</v>
      </c>
      <c r="AJ5" s="35" t="s">
        <v>57</v>
      </c>
      <c r="AK5" s="35" t="s">
        <v>58</v>
      </c>
      <c r="AL5" s="35" t="s">
        <v>59</v>
      </c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2"/>
      <c r="B6" s="12" t="s">
        <v>16</v>
      </c>
      <c r="C6" s="12">
        <v>2000.0</v>
      </c>
      <c r="D6" s="12">
        <v>10.0</v>
      </c>
      <c r="E6" s="12" t="s">
        <v>60</v>
      </c>
      <c r="F6" s="8"/>
      <c r="G6" s="8"/>
      <c r="H6" s="8"/>
      <c r="I6" s="8"/>
      <c r="J6" s="8"/>
      <c r="K6" s="8"/>
      <c r="L6" s="8"/>
      <c r="M6" s="8"/>
      <c r="N6" s="8"/>
      <c r="O6" s="8"/>
      <c r="AH6" s="9" t="s">
        <v>61</v>
      </c>
    </row>
    <row r="7" ht="15.75" customHeight="1">
      <c r="A7" s="8"/>
      <c r="B7" s="12" t="s">
        <v>16</v>
      </c>
      <c r="C7" s="12">
        <v>2000.0</v>
      </c>
      <c r="D7" s="12">
        <v>10.0</v>
      </c>
      <c r="E7" s="12" t="s">
        <v>60</v>
      </c>
      <c r="F7" s="8"/>
      <c r="G7" s="8"/>
      <c r="H7" s="8"/>
      <c r="I7" s="8"/>
      <c r="J7" s="8"/>
      <c r="K7" s="8"/>
      <c r="L7" s="8"/>
      <c r="M7" s="8"/>
      <c r="N7" s="8"/>
      <c r="O7" s="8"/>
      <c r="AH7" s="9" t="s">
        <v>61</v>
      </c>
      <c r="AK7" s="9" t="s">
        <v>62</v>
      </c>
    </row>
    <row r="8" ht="15.75" customHeight="1">
      <c r="A8" s="8"/>
      <c r="B8" s="12" t="s">
        <v>16</v>
      </c>
      <c r="C8" s="12">
        <v>2000.0</v>
      </c>
      <c r="D8" s="12">
        <v>10.0</v>
      </c>
      <c r="E8" s="12" t="s">
        <v>60</v>
      </c>
      <c r="F8" s="8"/>
      <c r="G8" s="8"/>
      <c r="H8" s="8"/>
      <c r="I8" s="8"/>
      <c r="J8" s="8"/>
      <c r="K8" s="8"/>
      <c r="L8" s="8"/>
      <c r="M8" s="8"/>
      <c r="N8" s="8"/>
      <c r="O8" s="8"/>
      <c r="AH8" s="9" t="s">
        <v>61</v>
      </c>
      <c r="AL8" s="9" t="s">
        <v>62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63</v>
      </c>
      <c r="D3" s="5" t="s">
        <v>9</v>
      </c>
      <c r="E3" s="22" t="s">
        <v>64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36"/>
      <c r="B5" s="37" t="s">
        <v>65</v>
      </c>
      <c r="C5" s="37" t="s">
        <v>66</v>
      </c>
      <c r="D5" s="37" t="s">
        <v>67</v>
      </c>
      <c r="E5" s="37" t="s">
        <v>68</v>
      </c>
      <c r="F5" s="38" t="s">
        <v>69</v>
      </c>
      <c r="G5" s="37" t="s">
        <v>70</v>
      </c>
      <c r="H5" s="37" t="s">
        <v>71</v>
      </c>
      <c r="I5" s="37" t="s">
        <v>72</v>
      </c>
      <c r="J5" s="37" t="s">
        <v>73</v>
      </c>
      <c r="K5" s="37" t="s">
        <v>74</v>
      </c>
      <c r="L5" s="37" t="s">
        <v>75</v>
      </c>
      <c r="M5" s="37" t="s">
        <v>76</v>
      </c>
      <c r="N5" s="37" t="s">
        <v>77</v>
      </c>
      <c r="O5" s="37" t="s">
        <v>78</v>
      </c>
      <c r="P5" s="37" t="s">
        <v>79</v>
      </c>
      <c r="Q5" s="37" t="s">
        <v>80</v>
      </c>
      <c r="R5" s="37" t="s">
        <v>81</v>
      </c>
      <c r="S5" s="37" t="s">
        <v>82</v>
      </c>
      <c r="T5" s="37" t="s">
        <v>83</v>
      </c>
      <c r="U5" s="37" t="s">
        <v>34</v>
      </c>
      <c r="V5" s="37" t="s">
        <v>84</v>
      </c>
      <c r="W5" s="37" t="s">
        <v>85</v>
      </c>
      <c r="X5" s="37" t="s">
        <v>86</v>
      </c>
      <c r="Y5" s="37" t="s">
        <v>87</v>
      </c>
      <c r="Z5" s="37" t="s">
        <v>88</v>
      </c>
      <c r="AA5" s="37" t="s">
        <v>40</v>
      </c>
      <c r="AB5" s="37" t="s">
        <v>20</v>
      </c>
      <c r="AC5" s="37" t="s">
        <v>89</v>
      </c>
      <c r="AD5" s="37" t="s">
        <v>90</v>
      </c>
      <c r="AE5" s="37" t="s">
        <v>91</v>
      </c>
      <c r="AF5" s="37" t="s">
        <v>92</v>
      </c>
      <c r="AG5" s="37" t="s">
        <v>93</v>
      </c>
      <c r="AH5" s="37" t="s">
        <v>94</v>
      </c>
      <c r="AI5" s="37" t="s">
        <v>95</v>
      </c>
      <c r="AJ5" s="37" t="s">
        <v>96</v>
      </c>
      <c r="AK5" s="37" t="s">
        <v>45</v>
      </c>
      <c r="AL5" s="37" t="s">
        <v>48</v>
      </c>
      <c r="AM5" s="37" t="s">
        <v>97</v>
      </c>
      <c r="AN5" s="37" t="s">
        <v>98</v>
      </c>
      <c r="AO5" s="37" t="s">
        <v>99</v>
      </c>
      <c r="AP5" s="37" t="s">
        <v>100</v>
      </c>
      <c r="AQ5" s="37" t="s">
        <v>101</v>
      </c>
      <c r="AR5" s="37" t="s">
        <v>102</v>
      </c>
      <c r="AS5" s="37" t="s">
        <v>103</v>
      </c>
      <c r="AT5" s="37" t="s">
        <v>104</v>
      </c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  <c r="EY5" s="31"/>
      <c r="EZ5" s="31"/>
      <c r="FA5" s="31"/>
      <c r="FB5" s="31"/>
      <c r="FC5" s="31"/>
      <c r="FD5" s="31"/>
      <c r="FE5" s="31"/>
      <c r="FF5" s="31"/>
      <c r="FG5" s="31"/>
      <c r="FH5" s="31"/>
      <c r="FI5" s="31"/>
      <c r="FJ5" s="31"/>
      <c r="FK5" s="31"/>
      <c r="FL5" s="31"/>
      <c r="FM5" s="31"/>
      <c r="FN5" s="31"/>
      <c r="FO5" s="31"/>
      <c r="FP5" s="31"/>
      <c r="FQ5" s="31"/>
      <c r="FR5" s="31"/>
      <c r="FS5" s="31"/>
      <c r="FT5" s="31"/>
      <c r="FU5" s="31"/>
      <c r="FV5" s="31"/>
      <c r="FW5" s="31"/>
      <c r="FX5" s="31"/>
      <c r="FY5" s="31"/>
      <c r="FZ5" s="31"/>
      <c r="GA5" s="31"/>
      <c r="GB5" s="31"/>
      <c r="GC5" s="31"/>
      <c r="GD5" s="31"/>
      <c r="GE5" s="31"/>
      <c r="GF5" s="31"/>
      <c r="GG5" s="31"/>
      <c r="GH5" s="31"/>
      <c r="GI5" s="31"/>
      <c r="GJ5" s="31"/>
      <c r="GK5" s="31"/>
      <c r="GL5" s="31"/>
      <c r="GM5" s="31"/>
      <c r="GN5" s="31"/>
      <c r="GO5" s="31"/>
      <c r="GP5" s="31"/>
      <c r="GQ5" s="31"/>
      <c r="GR5" s="31"/>
      <c r="GS5" s="31"/>
      <c r="GT5" s="31"/>
      <c r="GU5" s="31"/>
      <c r="GV5" s="31"/>
      <c r="GW5" s="31"/>
      <c r="GX5" s="31"/>
      <c r="GY5" s="31"/>
      <c r="GZ5" s="31"/>
      <c r="HA5" s="31"/>
      <c r="HB5" s="31"/>
      <c r="HC5" s="31"/>
      <c r="HD5" s="31"/>
      <c r="HE5" s="31"/>
      <c r="HF5" s="31"/>
      <c r="HG5" s="31"/>
      <c r="HH5" s="31"/>
      <c r="HI5" s="31"/>
      <c r="HJ5" s="31"/>
      <c r="HK5" s="31"/>
      <c r="HL5" s="31"/>
      <c r="HM5" s="31"/>
      <c r="HN5" s="31"/>
      <c r="HO5" s="31"/>
      <c r="HP5" s="31"/>
      <c r="HQ5" s="31"/>
      <c r="HR5" s="31"/>
      <c r="HS5" s="31"/>
      <c r="HT5" s="31"/>
      <c r="HU5" s="31"/>
      <c r="HV5" s="31"/>
      <c r="HW5" s="31"/>
      <c r="HX5" s="31"/>
      <c r="HY5" s="31"/>
      <c r="HZ5" s="31"/>
      <c r="IA5" s="31"/>
      <c r="IB5" s="31"/>
      <c r="IC5" s="31"/>
      <c r="ID5" s="31"/>
      <c r="IE5" s="31"/>
      <c r="IF5" s="31"/>
      <c r="IG5" s="31"/>
      <c r="IH5" s="31"/>
      <c r="II5" s="31"/>
      <c r="IJ5" s="31"/>
      <c r="IK5" s="31"/>
      <c r="IL5" s="31"/>
      <c r="IM5" s="31"/>
      <c r="IN5" s="31"/>
      <c r="IO5" s="31"/>
      <c r="IP5" s="31"/>
      <c r="IQ5" s="31"/>
      <c r="IR5" s="31"/>
      <c r="IS5" s="31"/>
      <c r="IT5" s="31"/>
      <c r="IU5" s="31"/>
      <c r="IV5" s="31"/>
      <c r="IW5" s="31"/>
      <c r="IX5" s="31"/>
      <c r="IY5" s="31"/>
      <c r="IZ5" s="31"/>
      <c r="JA5" s="31"/>
      <c r="JB5" s="31"/>
      <c r="JC5" s="31"/>
      <c r="JD5" s="31"/>
      <c r="JE5" s="31"/>
      <c r="JF5" s="31"/>
      <c r="JG5" s="31"/>
      <c r="JH5" s="31"/>
      <c r="JI5" s="31"/>
      <c r="JJ5" s="31"/>
      <c r="JK5" s="31"/>
      <c r="JL5" s="31"/>
      <c r="JM5" s="31"/>
      <c r="JN5" s="31"/>
      <c r="JO5" s="31"/>
      <c r="JP5" s="31"/>
      <c r="JQ5" s="31"/>
      <c r="JR5" s="31"/>
      <c r="JS5" s="31"/>
      <c r="JT5" s="31"/>
      <c r="JU5" s="31"/>
      <c r="JV5" s="31"/>
      <c r="JW5" s="31"/>
      <c r="JX5" s="31"/>
      <c r="JY5" s="31"/>
      <c r="JZ5" s="31"/>
      <c r="KA5" s="31"/>
      <c r="KB5" s="31"/>
      <c r="KC5" s="31"/>
      <c r="KD5" s="31"/>
      <c r="KE5" s="31"/>
      <c r="KF5" s="31"/>
      <c r="KG5" s="31"/>
      <c r="KH5" s="31"/>
      <c r="KI5" s="31"/>
      <c r="KJ5" s="31"/>
      <c r="KK5" s="31"/>
      <c r="KL5" s="31"/>
      <c r="KM5" s="31"/>
      <c r="KN5" s="31"/>
      <c r="KO5" s="31"/>
      <c r="KP5" s="31"/>
      <c r="KQ5" s="31"/>
      <c r="KR5" s="31"/>
      <c r="KS5" s="31"/>
      <c r="KT5" s="31"/>
      <c r="KU5" s="31"/>
      <c r="KV5" s="31"/>
      <c r="KW5" s="31"/>
      <c r="KX5" s="31"/>
      <c r="KY5" s="31"/>
      <c r="KZ5" s="31"/>
      <c r="LA5" s="31"/>
      <c r="LB5" s="31"/>
      <c r="LC5" s="31"/>
      <c r="LD5" s="31"/>
      <c r="LE5" s="31"/>
      <c r="LF5" s="31"/>
      <c r="LG5" s="31"/>
      <c r="LH5" s="31"/>
      <c r="LI5" s="31"/>
      <c r="LJ5" s="31"/>
      <c r="LK5" s="31"/>
      <c r="LL5" s="31"/>
      <c r="LM5" s="31"/>
      <c r="LN5" s="31"/>
      <c r="LO5" s="31"/>
      <c r="LP5" s="31"/>
      <c r="LQ5" s="31"/>
      <c r="LR5" s="31"/>
      <c r="LS5" s="31"/>
      <c r="LT5" s="31"/>
      <c r="LU5" s="31"/>
      <c r="LV5" s="31"/>
      <c r="LW5" s="31"/>
      <c r="LX5" s="31"/>
      <c r="LY5" s="31"/>
      <c r="LZ5" s="31"/>
      <c r="MA5" s="31"/>
      <c r="MB5" s="31"/>
      <c r="MC5" s="31"/>
      <c r="MD5" s="31"/>
      <c r="ME5" s="31"/>
      <c r="MF5" s="31"/>
      <c r="MG5" s="31"/>
      <c r="MH5" s="31"/>
      <c r="MI5" s="31"/>
      <c r="MJ5" s="31"/>
      <c r="MK5" s="31"/>
      <c r="ML5" s="31"/>
      <c r="MM5" s="31"/>
      <c r="MN5" s="31"/>
      <c r="MO5" s="31"/>
      <c r="MP5" s="31"/>
      <c r="MQ5" s="31"/>
      <c r="MR5" s="31"/>
      <c r="MS5" s="31"/>
      <c r="MT5" s="31"/>
      <c r="MU5" s="31"/>
      <c r="MV5" s="31"/>
      <c r="MW5" s="31"/>
      <c r="MX5" s="31"/>
      <c r="MY5" s="31"/>
      <c r="MZ5" s="31"/>
      <c r="NA5" s="31"/>
      <c r="NB5" s="31"/>
      <c r="NC5" s="31"/>
      <c r="ND5" s="31"/>
      <c r="NE5" s="31"/>
      <c r="NF5" s="31"/>
      <c r="NG5" s="31"/>
      <c r="NH5" s="31"/>
      <c r="NI5" s="31"/>
      <c r="NJ5" s="31"/>
      <c r="NK5" s="31"/>
      <c r="NL5" s="31"/>
      <c r="NM5" s="31"/>
      <c r="NN5" s="31"/>
      <c r="NO5" s="31"/>
      <c r="NP5" s="31"/>
      <c r="NQ5" s="31"/>
      <c r="NR5" s="31"/>
      <c r="NS5" s="31"/>
      <c r="NT5" s="31"/>
      <c r="NU5" s="31"/>
      <c r="NV5" s="31"/>
      <c r="NW5" s="31"/>
      <c r="NX5" s="31"/>
      <c r="NY5" s="31"/>
      <c r="NZ5" s="31"/>
      <c r="OA5" s="31"/>
      <c r="OB5" s="31"/>
      <c r="OC5" s="31"/>
      <c r="OD5" s="31"/>
      <c r="OE5" s="31"/>
      <c r="OF5" s="31"/>
      <c r="OG5" s="31"/>
      <c r="OH5" s="31"/>
      <c r="OI5" s="31"/>
      <c r="OJ5" s="31"/>
      <c r="OK5" s="31"/>
      <c r="OL5" s="31"/>
      <c r="OM5" s="31"/>
      <c r="ON5" s="31"/>
      <c r="OO5" s="31"/>
      <c r="OP5" s="31"/>
      <c r="OQ5" s="31"/>
      <c r="OR5" s="31"/>
      <c r="OS5" s="31"/>
      <c r="OT5" s="31"/>
      <c r="OU5" s="31"/>
      <c r="OV5" s="31"/>
      <c r="OW5" s="31"/>
      <c r="OX5" s="31"/>
      <c r="OY5" s="31"/>
      <c r="OZ5" s="31"/>
      <c r="PA5" s="31"/>
      <c r="PB5" s="31"/>
      <c r="PC5" s="31"/>
      <c r="PD5" s="31"/>
      <c r="PE5" s="31"/>
      <c r="PF5" s="31"/>
      <c r="PG5" s="31"/>
      <c r="PH5" s="31"/>
      <c r="PI5" s="31"/>
      <c r="PJ5" s="31"/>
      <c r="PK5" s="31"/>
      <c r="PL5" s="31"/>
      <c r="PM5" s="31"/>
      <c r="PN5" s="31"/>
      <c r="PO5" s="31"/>
      <c r="PP5" s="31"/>
      <c r="PQ5" s="31"/>
      <c r="PR5" s="31"/>
      <c r="PS5" s="31"/>
      <c r="PT5" s="31"/>
      <c r="PU5" s="31"/>
      <c r="PV5" s="31"/>
      <c r="PW5" s="31"/>
      <c r="PX5" s="31"/>
      <c r="PY5" s="31"/>
      <c r="PZ5" s="31"/>
      <c r="QA5" s="31"/>
      <c r="QB5" s="31"/>
      <c r="QC5" s="31"/>
      <c r="QD5" s="31"/>
      <c r="QE5" s="31"/>
      <c r="QF5" s="31"/>
      <c r="QG5" s="31"/>
      <c r="QH5" s="31"/>
      <c r="QI5" s="31"/>
      <c r="QJ5" s="31"/>
      <c r="QK5" s="31"/>
      <c r="QL5" s="31"/>
      <c r="QM5" s="31"/>
      <c r="QN5" s="31"/>
      <c r="QO5" s="31"/>
      <c r="QP5" s="31"/>
      <c r="QQ5" s="31"/>
      <c r="QR5" s="31"/>
      <c r="QS5" s="31"/>
      <c r="QT5" s="31"/>
      <c r="QU5" s="31"/>
      <c r="QV5" s="31"/>
      <c r="QW5" s="31"/>
      <c r="QX5" s="31"/>
      <c r="QY5" s="31"/>
      <c r="QZ5" s="31"/>
      <c r="RA5" s="31"/>
      <c r="RB5" s="31"/>
      <c r="RC5" s="31"/>
      <c r="RD5" s="31"/>
      <c r="RE5" s="31"/>
      <c r="RF5" s="31"/>
      <c r="RG5" s="31"/>
      <c r="RH5" s="31"/>
      <c r="RI5" s="31"/>
      <c r="RJ5" s="31"/>
      <c r="RK5" s="31"/>
      <c r="RL5" s="31"/>
      <c r="RM5" s="31"/>
      <c r="RN5" s="31"/>
      <c r="RO5" s="31"/>
      <c r="RP5" s="31"/>
      <c r="RQ5" s="31"/>
      <c r="RR5" s="31"/>
      <c r="RS5" s="31"/>
      <c r="RT5" s="31"/>
      <c r="RU5" s="31"/>
      <c r="RV5" s="31"/>
      <c r="RW5" s="31"/>
      <c r="RX5" s="31"/>
      <c r="RY5" s="31"/>
      <c r="RZ5" s="31"/>
      <c r="SA5" s="31"/>
      <c r="SB5" s="31"/>
      <c r="SC5" s="31"/>
      <c r="SD5" s="31"/>
      <c r="SE5" s="31"/>
      <c r="SF5" s="31"/>
      <c r="SG5" s="31"/>
      <c r="SH5" s="31"/>
      <c r="SI5" s="31"/>
      <c r="SJ5" s="31"/>
      <c r="SK5" s="31"/>
      <c r="SL5" s="31"/>
      <c r="SM5" s="31"/>
      <c r="SN5" s="31"/>
      <c r="SO5" s="31"/>
      <c r="SP5" s="31"/>
      <c r="SQ5" s="31"/>
      <c r="SR5" s="31"/>
      <c r="SS5" s="31"/>
      <c r="ST5" s="31"/>
      <c r="SU5" s="31"/>
      <c r="SV5" s="31"/>
      <c r="SW5" s="31"/>
      <c r="SX5" s="31"/>
      <c r="SY5" s="31"/>
      <c r="SZ5" s="31"/>
      <c r="TA5" s="31"/>
      <c r="TB5" s="31"/>
      <c r="TC5" s="31"/>
      <c r="TD5" s="31"/>
      <c r="TE5" s="31"/>
      <c r="TF5" s="31"/>
      <c r="TG5" s="31"/>
      <c r="TH5" s="31"/>
      <c r="TI5" s="31"/>
      <c r="TJ5" s="31"/>
      <c r="TK5" s="31"/>
      <c r="TL5" s="31"/>
      <c r="TM5" s="31"/>
      <c r="TN5" s="31"/>
      <c r="TO5" s="31"/>
      <c r="TP5" s="31"/>
      <c r="TQ5" s="31"/>
      <c r="TR5" s="31"/>
      <c r="TS5" s="31"/>
      <c r="TT5" s="31"/>
      <c r="TU5" s="31"/>
      <c r="TV5" s="31"/>
      <c r="TW5" s="31"/>
      <c r="TX5" s="31"/>
      <c r="TY5" s="31"/>
      <c r="TZ5" s="31"/>
      <c r="UA5" s="31"/>
      <c r="UB5" s="31"/>
      <c r="UC5" s="31"/>
      <c r="UD5" s="31"/>
      <c r="UE5" s="31"/>
      <c r="UF5" s="31"/>
      <c r="UG5" s="31"/>
      <c r="UH5" s="31"/>
      <c r="UI5" s="31"/>
      <c r="UJ5" s="31"/>
      <c r="UK5" s="31"/>
      <c r="UL5" s="31"/>
      <c r="UM5" s="31"/>
      <c r="UN5" s="31"/>
      <c r="UO5" s="31"/>
      <c r="UP5" s="31"/>
      <c r="UQ5" s="31"/>
      <c r="UR5" s="31"/>
      <c r="US5" s="31"/>
      <c r="UT5" s="31"/>
      <c r="UU5" s="31"/>
      <c r="UV5" s="31"/>
      <c r="UW5" s="31"/>
      <c r="UX5" s="31"/>
      <c r="UY5" s="31"/>
      <c r="UZ5" s="31"/>
      <c r="VA5" s="31"/>
      <c r="VB5" s="31"/>
      <c r="VC5" s="31"/>
      <c r="VD5" s="31"/>
      <c r="VE5" s="31"/>
      <c r="VF5" s="31"/>
      <c r="VG5" s="31"/>
      <c r="VH5" s="31"/>
      <c r="VI5" s="31"/>
      <c r="VJ5" s="31"/>
      <c r="VK5" s="31"/>
      <c r="VL5" s="31"/>
      <c r="VM5" s="31"/>
      <c r="VN5" s="31"/>
      <c r="VO5" s="31"/>
      <c r="VP5" s="31"/>
      <c r="VQ5" s="31"/>
      <c r="VR5" s="31"/>
      <c r="VS5" s="31"/>
      <c r="VT5" s="31"/>
      <c r="VU5" s="31"/>
      <c r="VV5" s="31"/>
      <c r="VW5" s="31"/>
      <c r="VX5" s="31"/>
      <c r="VY5" s="31"/>
      <c r="VZ5" s="31"/>
      <c r="WA5" s="31"/>
      <c r="WB5" s="31"/>
      <c r="WC5" s="31"/>
      <c r="WD5" s="31"/>
      <c r="WE5" s="31"/>
      <c r="WF5" s="31"/>
      <c r="WG5" s="31"/>
      <c r="WH5" s="31"/>
      <c r="WI5" s="31"/>
      <c r="WJ5" s="31"/>
      <c r="WK5" s="31"/>
      <c r="WL5" s="31"/>
      <c r="WM5" s="31"/>
      <c r="WN5" s="31"/>
      <c r="WO5" s="31"/>
      <c r="WP5" s="31"/>
      <c r="WQ5" s="31"/>
      <c r="WR5" s="31"/>
      <c r="WS5" s="31"/>
      <c r="WT5" s="31"/>
      <c r="WU5" s="31"/>
      <c r="WV5" s="31"/>
      <c r="WW5" s="31"/>
      <c r="WX5" s="31"/>
      <c r="WY5" s="31"/>
      <c r="WZ5" s="31"/>
      <c r="XA5" s="31"/>
      <c r="XB5" s="31"/>
      <c r="XC5" s="31"/>
      <c r="XD5" s="31"/>
      <c r="XE5" s="31"/>
      <c r="XF5" s="31"/>
      <c r="XG5" s="31"/>
      <c r="XH5" s="31"/>
      <c r="XI5" s="31"/>
      <c r="XJ5" s="31"/>
      <c r="XK5" s="31"/>
      <c r="XL5" s="31"/>
      <c r="XM5" s="31"/>
      <c r="XN5" s="31"/>
      <c r="XO5" s="31"/>
      <c r="XP5" s="31"/>
      <c r="XQ5" s="31"/>
      <c r="XR5" s="31"/>
      <c r="XS5" s="31"/>
      <c r="XT5" s="31"/>
      <c r="XU5" s="31"/>
      <c r="XV5" s="31"/>
      <c r="XW5" s="31"/>
      <c r="XX5" s="31"/>
      <c r="XY5" s="31"/>
      <c r="XZ5" s="31"/>
      <c r="YA5" s="31"/>
      <c r="YB5" s="31"/>
      <c r="YC5" s="31"/>
      <c r="YD5" s="31"/>
      <c r="YE5" s="31"/>
      <c r="YF5" s="31"/>
      <c r="YG5" s="31"/>
      <c r="YH5" s="31"/>
      <c r="YI5" s="31"/>
      <c r="YJ5" s="31"/>
      <c r="YK5" s="31"/>
      <c r="YL5" s="31"/>
      <c r="YM5" s="31"/>
      <c r="YN5" s="31"/>
      <c r="YO5" s="31"/>
      <c r="YP5" s="31"/>
      <c r="YQ5" s="31"/>
      <c r="YR5" s="31"/>
      <c r="YS5" s="31"/>
      <c r="YT5" s="31"/>
      <c r="YU5" s="31"/>
      <c r="YV5" s="31"/>
      <c r="YW5" s="31"/>
      <c r="YX5" s="31"/>
      <c r="YY5" s="31"/>
      <c r="YZ5" s="31"/>
      <c r="ZA5" s="31"/>
      <c r="ZB5" s="31"/>
      <c r="ZC5" s="31"/>
      <c r="ZD5" s="31"/>
      <c r="ZE5" s="31"/>
      <c r="ZF5" s="31"/>
      <c r="ZG5" s="31"/>
      <c r="ZH5" s="31"/>
      <c r="ZI5" s="31"/>
      <c r="ZJ5" s="31"/>
      <c r="ZK5" s="31"/>
      <c r="ZL5" s="31"/>
      <c r="ZM5" s="31"/>
      <c r="ZN5" s="31"/>
      <c r="ZO5" s="31"/>
      <c r="ZP5" s="31"/>
      <c r="ZQ5" s="31"/>
      <c r="ZR5" s="31"/>
      <c r="ZS5" s="31"/>
      <c r="ZT5" s="31"/>
      <c r="ZU5" s="31"/>
      <c r="ZV5" s="31"/>
      <c r="ZW5" s="31"/>
      <c r="ZX5" s="31"/>
      <c r="ZY5" s="31"/>
      <c r="ZZ5" s="31"/>
      <c r="AAA5" s="31"/>
      <c r="AAB5" s="31"/>
      <c r="AAC5" s="31"/>
      <c r="AAD5" s="31"/>
      <c r="AAE5" s="31"/>
      <c r="AAF5" s="31"/>
      <c r="AAG5" s="31"/>
      <c r="AAH5" s="31"/>
      <c r="AAI5" s="31"/>
      <c r="AAJ5" s="31"/>
      <c r="AAK5" s="31"/>
      <c r="AAL5" s="31"/>
      <c r="AAM5" s="31"/>
      <c r="AAN5" s="31"/>
      <c r="AAO5" s="31"/>
      <c r="AAP5" s="31"/>
      <c r="AAQ5" s="31"/>
      <c r="AAR5" s="31"/>
      <c r="AAS5" s="31"/>
      <c r="AAT5" s="31"/>
      <c r="AAU5" s="31"/>
      <c r="AAV5" s="31"/>
      <c r="AAW5" s="31"/>
      <c r="AAX5" s="31"/>
      <c r="AAY5" s="31"/>
      <c r="AAZ5" s="31"/>
      <c r="ABA5" s="31"/>
      <c r="ABB5" s="31"/>
      <c r="ABC5" s="31"/>
      <c r="ABD5" s="31"/>
      <c r="ABE5" s="31"/>
      <c r="ABF5" s="31"/>
      <c r="ABG5" s="31"/>
      <c r="ABH5" s="31"/>
      <c r="ABI5" s="31"/>
      <c r="ABJ5" s="31"/>
      <c r="ABK5" s="31"/>
      <c r="ABL5" s="31"/>
      <c r="ABM5" s="31"/>
      <c r="ABN5" s="31"/>
      <c r="ABO5" s="31"/>
      <c r="ABP5" s="31"/>
      <c r="ABQ5" s="31"/>
      <c r="ABR5" s="31"/>
      <c r="ABS5" s="31"/>
      <c r="ABT5" s="31"/>
      <c r="ABU5" s="31"/>
      <c r="ABV5" s="31"/>
      <c r="ABW5" s="31"/>
      <c r="ABX5" s="31"/>
      <c r="ABY5" s="31"/>
      <c r="ABZ5" s="31"/>
      <c r="ACA5" s="31"/>
      <c r="ACB5" s="31"/>
      <c r="ACC5" s="31"/>
      <c r="ACD5" s="31"/>
      <c r="ACE5" s="31"/>
      <c r="ACF5" s="31"/>
      <c r="ACG5" s="31"/>
      <c r="ACH5" s="31"/>
      <c r="ACI5" s="31"/>
      <c r="ACJ5" s="31"/>
      <c r="ACK5" s="31"/>
      <c r="ACL5" s="31"/>
      <c r="ACM5" s="31"/>
      <c r="ACN5" s="31"/>
      <c r="ACO5" s="31"/>
      <c r="ACP5" s="31"/>
      <c r="ACQ5" s="31"/>
      <c r="ACR5" s="31"/>
      <c r="ACS5" s="31"/>
      <c r="ACT5" s="31"/>
      <c r="ACU5" s="31"/>
      <c r="ACV5" s="31"/>
      <c r="ACW5" s="31"/>
      <c r="ACX5" s="31"/>
      <c r="ACY5" s="31"/>
      <c r="ACZ5" s="31"/>
      <c r="ADA5" s="31"/>
      <c r="ADB5" s="31"/>
      <c r="ADC5" s="31"/>
      <c r="ADD5" s="31"/>
      <c r="ADE5" s="31"/>
      <c r="ADF5" s="31"/>
      <c r="ADG5" s="31"/>
      <c r="ADH5" s="31"/>
      <c r="ADI5" s="31"/>
      <c r="ADJ5" s="31"/>
      <c r="ADK5" s="31"/>
      <c r="ADL5" s="31"/>
      <c r="ADM5" s="31"/>
      <c r="ADN5" s="31"/>
      <c r="ADO5" s="31"/>
      <c r="ADP5" s="31"/>
      <c r="ADQ5" s="31"/>
      <c r="ADR5" s="31"/>
      <c r="ADS5" s="31"/>
      <c r="ADT5" s="31"/>
      <c r="ADU5" s="31"/>
      <c r="ADV5" s="31"/>
      <c r="ADW5" s="31"/>
      <c r="ADX5" s="31"/>
      <c r="ADY5" s="31"/>
      <c r="ADZ5" s="31"/>
      <c r="AEA5" s="31"/>
      <c r="AEB5" s="31"/>
      <c r="AEC5" s="31"/>
      <c r="AED5" s="31"/>
      <c r="AEE5" s="31"/>
      <c r="AEF5" s="31"/>
      <c r="AEG5" s="31"/>
      <c r="AEH5" s="31"/>
      <c r="AEI5" s="31"/>
      <c r="AEJ5" s="31"/>
      <c r="AEK5" s="31"/>
      <c r="AEL5" s="31"/>
      <c r="AEM5" s="31"/>
      <c r="AEN5" s="31"/>
      <c r="AEO5" s="31"/>
      <c r="AEP5" s="31"/>
      <c r="AEQ5" s="31"/>
      <c r="AER5" s="31"/>
      <c r="AES5" s="31"/>
      <c r="AET5" s="31"/>
      <c r="AEU5" s="31"/>
      <c r="AEV5" s="31"/>
      <c r="AEW5" s="31"/>
      <c r="AEX5" s="31"/>
      <c r="AEY5" s="31"/>
      <c r="AEZ5" s="31"/>
      <c r="AFA5" s="31"/>
      <c r="AFB5" s="31"/>
      <c r="AFC5" s="31"/>
      <c r="AFD5" s="31"/>
      <c r="AFE5" s="31"/>
      <c r="AFF5" s="31"/>
      <c r="AFG5" s="31"/>
      <c r="AFH5" s="31"/>
      <c r="AFI5" s="31"/>
      <c r="AFJ5" s="31"/>
      <c r="AFK5" s="31"/>
      <c r="AFL5" s="31"/>
      <c r="AFM5" s="31"/>
      <c r="AFN5" s="31"/>
      <c r="AFO5" s="31"/>
      <c r="AFP5" s="31"/>
      <c r="AFQ5" s="31"/>
      <c r="AFR5" s="31"/>
      <c r="AFS5" s="31"/>
      <c r="AFT5" s="31"/>
      <c r="AFU5" s="31"/>
      <c r="AFV5" s="31"/>
      <c r="AFW5" s="31"/>
      <c r="AFX5" s="31"/>
      <c r="AFY5" s="31"/>
      <c r="AFZ5" s="31"/>
      <c r="AGA5" s="31"/>
      <c r="AGB5" s="31"/>
      <c r="AGC5" s="31"/>
      <c r="AGD5" s="31"/>
      <c r="AGE5" s="31"/>
      <c r="AGF5" s="31"/>
      <c r="AGG5" s="31"/>
      <c r="AGH5" s="31"/>
      <c r="AGI5" s="31"/>
      <c r="AGJ5" s="31"/>
      <c r="AGK5" s="31"/>
      <c r="AGL5" s="31"/>
      <c r="AGM5" s="31"/>
      <c r="AGN5" s="31"/>
      <c r="AGO5" s="31"/>
      <c r="AGP5" s="31"/>
      <c r="AGQ5" s="31"/>
      <c r="AGR5" s="31"/>
      <c r="AGS5" s="31"/>
      <c r="AGT5" s="31"/>
      <c r="AGU5" s="31"/>
      <c r="AGV5" s="31"/>
      <c r="AGW5" s="31"/>
      <c r="AGX5" s="31"/>
      <c r="AGY5" s="31"/>
      <c r="AGZ5" s="31"/>
      <c r="AHA5" s="31"/>
      <c r="AHB5" s="31"/>
      <c r="AHC5" s="31"/>
      <c r="AHD5" s="31"/>
      <c r="AHE5" s="31"/>
      <c r="AHF5" s="31"/>
      <c r="AHG5" s="31"/>
      <c r="AHH5" s="31"/>
      <c r="AHI5" s="31"/>
      <c r="AHJ5" s="31"/>
      <c r="AHK5" s="31"/>
      <c r="AHL5" s="31"/>
      <c r="AHM5" s="31"/>
      <c r="AHN5" s="31"/>
      <c r="AHO5" s="31"/>
      <c r="AHP5" s="31"/>
      <c r="AHQ5" s="31"/>
      <c r="AHR5" s="31"/>
      <c r="AHS5" s="31"/>
      <c r="AHT5" s="31"/>
      <c r="AHU5" s="31"/>
      <c r="AHV5" s="31"/>
      <c r="AHW5" s="31"/>
      <c r="AHX5" s="31"/>
      <c r="AHY5" s="31"/>
      <c r="AHZ5" s="31"/>
      <c r="AIA5" s="31"/>
      <c r="AIB5" s="31"/>
      <c r="AIC5" s="31"/>
      <c r="AID5" s="31"/>
      <c r="AIE5" s="31"/>
      <c r="AIF5" s="31"/>
      <c r="AIG5" s="31"/>
      <c r="AIH5" s="31"/>
      <c r="AII5" s="31"/>
      <c r="AIJ5" s="31"/>
      <c r="AIK5" s="31"/>
      <c r="AIL5" s="31"/>
      <c r="AIM5" s="31"/>
      <c r="AIN5" s="31"/>
      <c r="AIO5" s="31"/>
      <c r="AIP5" s="31"/>
      <c r="AIQ5" s="31"/>
      <c r="AIR5" s="31"/>
      <c r="AIS5" s="31"/>
      <c r="AIT5" s="31"/>
      <c r="AIU5" s="31"/>
      <c r="AIV5" s="31"/>
      <c r="AIW5" s="31"/>
      <c r="AIX5" s="31"/>
      <c r="AIY5" s="31"/>
      <c r="AIZ5" s="31"/>
      <c r="AJA5" s="31"/>
      <c r="AJB5" s="31"/>
      <c r="AJC5" s="31"/>
      <c r="AJD5" s="31"/>
      <c r="AJE5" s="31"/>
      <c r="AJF5" s="31"/>
      <c r="AJG5" s="31"/>
      <c r="AJH5" s="31"/>
      <c r="AJI5" s="31"/>
      <c r="AJJ5" s="31"/>
      <c r="AJK5" s="31"/>
      <c r="AJL5" s="31"/>
      <c r="AJM5" s="31"/>
      <c r="AJN5" s="31"/>
      <c r="AJO5" s="31"/>
      <c r="AJP5" s="31"/>
      <c r="AJQ5" s="31"/>
      <c r="AJR5" s="31"/>
      <c r="AJS5" s="31"/>
      <c r="AJT5" s="31"/>
      <c r="AJU5" s="31"/>
      <c r="AJV5" s="31"/>
      <c r="AJW5" s="31"/>
      <c r="AJX5" s="31"/>
      <c r="AJY5" s="31"/>
      <c r="AJZ5" s="31"/>
      <c r="AKA5" s="31"/>
      <c r="AKB5" s="31"/>
      <c r="AKC5" s="31"/>
      <c r="AKD5" s="31"/>
      <c r="AKE5" s="31"/>
      <c r="AKF5" s="31"/>
      <c r="AKG5" s="31"/>
      <c r="AKH5" s="31"/>
      <c r="AKI5" s="31"/>
      <c r="AKJ5" s="31"/>
      <c r="AKK5" s="31"/>
      <c r="AKL5" s="31"/>
      <c r="AKM5" s="31"/>
      <c r="AKN5" s="31"/>
      <c r="AKO5" s="31"/>
      <c r="AKP5" s="31"/>
      <c r="AKQ5" s="31"/>
      <c r="AKR5" s="31"/>
      <c r="AKS5" s="31"/>
      <c r="AKT5" s="31"/>
      <c r="AKU5" s="31"/>
      <c r="AKV5" s="31"/>
      <c r="AKW5" s="31"/>
      <c r="AKX5" s="31"/>
      <c r="AKY5" s="31"/>
      <c r="AKZ5" s="31"/>
      <c r="ALA5" s="31"/>
      <c r="ALB5" s="31"/>
      <c r="ALC5" s="31"/>
      <c r="ALD5" s="31"/>
      <c r="ALE5" s="31"/>
      <c r="ALF5" s="31"/>
      <c r="ALG5" s="31"/>
      <c r="ALH5" s="31"/>
      <c r="ALI5" s="31"/>
      <c r="ALJ5" s="31"/>
      <c r="ALK5" s="31"/>
      <c r="ALL5" s="31"/>
      <c r="ALM5" s="31"/>
      <c r="ALN5" s="31"/>
      <c r="ALO5" s="31"/>
      <c r="ALP5" s="31"/>
      <c r="ALQ5" s="31"/>
      <c r="ALR5" s="31"/>
      <c r="ALS5" s="31"/>
      <c r="ALT5" s="31"/>
      <c r="ALU5" s="31"/>
      <c r="ALV5" s="31"/>
      <c r="ALW5" s="31"/>
      <c r="ALX5" s="31"/>
      <c r="ALY5" s="31"/>
      <c r="ALZ5" s="31"/>
      <c r="AMA5" s="31"/>
      <c r="AMB5" s="31"/>
      <c r="AMC5" s="31"/>
      <c r="AMD5" s="31"/>
      <c r="AME5" s="31"/>
      <c r="AMF5" s="31"/>
      <c r="AMG5" s="31"/>
      <c r="AMH5" s="31"/>
      <c r="AMI5" s="31"/>
      <c r="AMJ5" s="31"/>
      <c r="AMK5" s="31"/>
      <c r="AML5" s="31"/>
    </row>
    <row r="6" ht="15.75" customHeight="1">
      <c r="A6" s="8" t="s">
        <v>105</v>
      </c>
      <c r="B6" s="8" t="s">
        <v>105</v>
      </c>
      <c r="C6" s="8" t="s">
        <v>105</v>
      </c>
      <c r="D6" s="8" t="s">
        <v>105</v>
      </c>
      <c r="E6" s="8"/>
      <c r="F6" s="8" t="s">
        <v>106</v>
      </c>
      <c r="G6" s="8" t="s">
        <v>105</v>
      </c>
      <c r="H6" s="8" t="s">
        <v>105</v>
      </c>
      <c r="I6" s="8"/>
      <c r="J6" s="8"/>
      <c r="K6" s="8" t="s">
        <v>105</v>
      </c>
      <c r="L6" s="8" t="s">
        <v>105</v>
      </c>
      <c r="M6" s="8" t="s">
        <v>105</v>
      </c>
      <c r="N6" s="8"/>
      <c r="O6" s="8" t="s">
        <v>105</v>
      </c>
      <c r="Q6" t="s">
        <v>107</v>
      </c>
      <c r="R6" t="s">
        <v>105</v>
      </c>
      <c r="S6" t="s">
        <v>105</v>
      </c>
      <c r="T6" t="s">
        <v>105</v>
      </c>
      <c r="W6" t="s">
        <v>105</v>
      </c>
      <c r="X6" t="s">
        <v>105</v>
      </c>
      <c r="Y6" t="s">
        <v>105</v>
      </c>
      <c r="Z6" t="s">
        <v>108</v>
      </c>
      <c r="AA6" t="s">
        <v>105</v>
      </c>
      <c r="AB6" t="s">
        <v>16</v>
      </c>
      <c r="AC6" s="39">
        <v>4.0</v>
      </c>
      <c r="AD6" t="s">
        <v>105</v>
      </c>
      <c r="AE6" t="s">
        <v>105</v>
      </c>
      <c r="AF6" t="s">
        <v>109</v>
      </c>
      <c r="AG6" t="s">
        <v>105</v>
      </c>
      <c r="AH6" t="s">
        <v>105</v>
      </c>
      <c r="AI6" s="40" t="s">
        <v>110</v>
      </c>
      <c r="AJ6" s="40" t="s">
        <v>110</v>
      </c>
      <c r="AK6" t="s">
        <v>111</v>
      </c>
      <c r="AL6" t="s">
        <v>112</v>
      </c>
      <c r="AM6" t="s">
        <v>105</v>
      </c>
      <c r="AN6" t="s">
        <v>105</v>
      </c>
      <c r="AO6" t="s">
        <v>105</v>
      </c>
      <c r="AP6" t="s">
        <v>105</v>
      </c>
      <c r="AQ6" t="s">
        <v>105</v>
      </c>
      <c r="AR6" t="s">
        <v>105</v>
      </c>
      <c r="AS6" t="s">
        <v>18</v>
      </c>
      <c r="AT6" t="s">
        <v>105</v>
      </c>
      <c r="AU6" t="s">
        <v>105</v>
      </c>
      <c r="AV6" t="s">
        <v>105</v>
      </c>
      <c r="AW6" t="s">
        <v>105</v>
      </c>
      <c r="AX6" t="s">
        <v>105</v>
      </c>
      <c r="AY6" t="s">
        <v>105</v>
      </c>
      <c r="AZ6" t="s">
        <v>105</v>
      </c>
      <c r="BA6" t="s">
        <v>105</v>
      </c>
      <c r="BB6" t="s">
        <v>105</v>
      </c>
      <c r="BC6" t="s">
        <v>105</v>
      </c>
      <c r="BD6" t="s">
        <v>105</v>
      </c>
      <c r="BE6" t="s">
        <v>105</v>
      </c>
      <c r="BF6" t="s">
        <v>105</v>
      </c>
      <c r="BG6" t="s">
        <v>105</v>
      </c>
      <c r="BH6" t="s">
        <v>105</v>
      </c>
      <c r="BI6" t="s">
        <v>105</v>
      </c>
      <c r="BJ6" t="s">
        <v>105</v>
      </c>
      <c r="BK6" t="s">
        <v>105</v>
      </c>
      <c r="BL6" t="s">
        <v>105</v>
      </c>
      <c r="BM6" t="s">
        <v>105</v>
      </c>
      <c r="BN6" t="s">
        <v>105</v>
      </c>
      <c r="BO6" t="s">
        <v>105</v>
      </c>
      <c r="BP6" t="s">
        <v>105</v>
      </c>
      <c r="BQ6" t="s">
        <v>105</v>
      </c>
      <c r="BR6" t="s">
        <v>105</v>
      </c>
      <c r="BS6" t="s">
        <v>105</v>
      </c>
      <c r="BT6" t="s">
        <v>105</v>
      </c>
      <c r="BU6" t="s">
        <v>105</v>
      </c>
      <c r="BV6" t="s">
        <v>105</v>
      </c>
      <c r="BW6" t="s">
        <v>105</v>
      </c>
      <c r="BX6" t="s">
        <v>105</v>
      </c>
      <c r="BY6" t="s">
        <v>105</v>
      </c>
      <c r="BZ6" t="s">
        <v>105</v>
      </c>
      <c r="CA6" t="s">
        <v>105</v>
      </c>
      <c r="CB6" t="s">
        <v>105</v>
      </c>
      <c r="CC6" t="s">
        <v>105</v>
      </c>
      <c r="CD6" t="s">
        <v>105</v>
      </c>
      <c r="CE6" t="s">
        <v>105</v>
      </c>
      <c r="CF6" t="s">
        <v>105</v>
      </c>
      <c r="CG6" t="s">
        <v>105</v>
      </c>
      <c r="CH6" t="s">
        <v>105</v>
      </c>
      <c r="CI6" t="s">
        <v>105</v>
      </c>
      <c r="CJ6" t="s">
        <v>105</v>
      </c>
      <c r="CK6" t="s">
        <v>105</v>
      </c>
      <c r="CL6" t="s">
        <v>105</v>
      </c>
      <c r="CM6" t="s">
        <v>105</v>
      </c>
      <c r="CN6" t="s">
        <v>105</v>
      </c>
      <c r="CO6" t="s">
        <v>105</v>
      </c>
      <c r="CP6" t="s">
        <v>105</v>
      </c>
      <c r="CQ6" t="s">
        <v>105</v>
      </c>
      <c r="CR6" t="s">
        <v>105</v>
      </c>
      <c r="CS6" t="s">
        <v>105</v>
      </c>
      <c r="CT6" t="s">
        <v>105</v>
      </c>
      <c r="CU6" t="s">
        <v>105</v>
      </c>
      <c r="CV6" t="s">
        <v>105</v>
      </c>
      <c r="CW6" t="s">
        <v>105</v>
      </c>
      <c r="CX6" t="s">
        <v>105</v>
      </c>
      <c r="CY6" t="s">
        <v>105</v>
      </c>
      <c r="CZ6" t="s">
        <v>105</v>
      </c>
      <c r="DA6" t="s">
        <v>105</v>
      </c>
      <c r="DB6" t="s">
        <v>105</v>
      </c>
      <c r="DC6" t="s">
        <v>105</v>
      </c>
      <c r="DD6" t="s">
        <v>105</v>
      </c>
      <c r="DE6" t="s">
        <v>105</v>
      </c>
      <c r="DF6" t="s">
        <v>105</v>
      </c>
      <c r="DG6" t="s">
        <v>105</v>
      </c>
      <c r="DH6" t="s">
        <v>105</v>
      </c>
      <c r="DI6" t="s">
        <v>105</v>
      </c>
      <c r="DJ6" t="s">
        <v>105</v>
      </c>
      <c r="DK6" t="s">
        <v>105</v>
      </c>
      <c r="DL6" t="s">
        <v>105</v>
      </c>
      <c r="DM6" t="s">
        <v>105</v>
      </c>
      <c r="DN6" t="s">
        <v>105</v>
      </c>
      <c r="DO6" t="s">
        <v>105</v>
      </c>
      <c r="DP6" t="s">
        <v>105</v>
      </c>
      <c r="DQ6" t="s">
        <v>105</v>
      </c>
      <c r="DR6" t="s">
        <v>105</v>
      </c>
      <c r="DS6" t="s">
        <v>105</v>
      </c>
      <c r="DT6" t="s">
        <v>105</v>
      </c>
      <c r="DU6" t="s">
        <v>105</v>
      </c>
      <c r="DV6" t="s">
        <v>105</v>
      </c>
      <c r="DW6" t="s">
        <v>105</v>
      </c>
      <c r="DX6" t="s">
        <v>105</v>
      </c>
      <c r="DY6" t="s">
        <v>105</v>
      </c>
      <c r="DZ6" t="s">
        <v>105</v>
      </c>
      <c r="EA6" t="s">
        <v>105</v>
      </c>
      <c r="EB6" t="s">
        <v>105</v>
      </c>
      <c r="EC6" t="s">
        <v>105</v>
      </c>
      <c r="ED6" t="s">
        <v>105</v>
      </c>
      <c r="EE6" t="s">
        <v>105</v>
      </c>
      <c r="EF6" t="s">
        <v>105</v>
      </c>
      <c r="EG6" t="s">
        <v>105</v>
      </c>
      <c r="EH6" t="s">
        <v>105</v>
      </c>
      <c r="EI6" t="s">
        <v>105</v>
      </c>
      <c r="EJ6" t="s">
        <v>105</v>
      </c>
      <c r="EK6" t="s">
        <v>105</v>
      </c>
      <c r="EL6" t="s">
        <v>105</v>
      </c>
      <c r="EM6" t="s">
        <v>105</v>
      </c>
      <c r="EN6" t="s">
        <v>105</v>
      </c>
      <c r="EO6" t="s">
        <v>105</v>
      </c>
      <c r="EP6" t="s">
        <v>105</v>
      </c>
      <c r="EQ6" t="s">
        <v>105</v>
      </c>
      <c r="ER6" t="s">
        <v>105</v>
      </c>
      <c r="ES6" t="s">
        <v>105</v>
      </c>
      <c r="ET6" t="s">
        <v>105</v>
      </c>
      <c r="EU6" t="s">
        <v>105</v>
      </c>
      <c r="EV6" t="s">
        <v>105</v>
      </c>
      <c r="EW6" t="s">
        <v>105</v>
      </c>
      <c r="EX6" t="s">
        <v>105</v>
      </c>
      <c r="EY6" t="s">
        <v>105</v>
      </c>
      <c r="EZ6" t="s">
        <v>105</v>
      </c>
      <c r="FA6" t="s">
        <v>105</v>
      </c>
      <c r="FB6" t="s">
        <v>105</v>
      </c>
      <c r="FC6" t="s">
        <v>105</v>
      </c>
      <c r="FD6" t="s">
        <v>105</v>
      </c>
      <c r="FE6" t="s">
        <v>105</v>
      </c>
      <c r="FF6" t="s">
        <v>105</v>
      </c>
      <c r="FG6" t="s">
        <v>105</v>
      </c>
      <c r="FH6" t="s">
        <v>105</v>
      </c>
      <c r="FI6" t="s">
        <v>105</v>
      </c>
      <c r="FJ6" t="s">
        <v>105</v>
      </c>
      <c r="FK6" t="s">
        <v>105</v>
      </c>
      <c r="FL6" t="s">
        <v>105</v>
      </c>
      <c r="FM6" t="s">
        <v>105</v>
      </c>
      <c r="FN6" t="s">
        <v>105</v>
      </c>
      <c r="FO6" t="s">
        <v>105</v>
      </c>
      <c r="FP6" t="s">
        <v>105</v>
      </c>
      <c r="FQ6" t="s">
        <v>105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  <c r="AML6" s="41"/>
    </row>
    <row r="7" ht="15.75" customHeight="1">
      <c r="A7" s="8" t="s">
        <v>105</v>
      </c>
      <c r="B7" s="8" t="s">
        <v>105</v>
      </c>
      <c r="C7" s="8" t="s">
        <v>105</v>
      </c>
      <c r="D7" s="8" t="s">
        <v>105</v>
      </c>
      <c r="E7" s="8"/>
      <c r="F7" s="8" t="s">
        <v>106</v>
      </c>
      <c r="G7" s="8" t="s">
        <v>105</v>
      </c>
      <c r="H7" s="8" t="s">
        <v>105</v>
      </c>
      <c r="I7" s="8"/>
      <c r="J7" s="8"/>
      <c r="K7" s="8" t="s">
        <v>105</v>
      </c>
      <c r="L7" s="8" t="s">
        <v>105</v>
      </c>
      <c r="M7" s="8" t="s">
        <v>105</v>
      </c>
      <c r="N7" s="8"/>
      <c r="O7" s="8" t="s">
        <v>105</v>
      </c>
      <c r="Q7" t="s">
        <v>107</v>
      </c>
      <c r="R7" t="s">
        <v>105</v>
      </c>
      <c r="S7" t="s">
        <v>105</v>
      </c>
      <c r="T7" t="s">
        <v>105</v>
      </c>
      <c r="W7" t="s">
        <v>105</v>
      </c>
      <c r="X7" t="s">
        <v>105</v>
      </c>
      <c r="Y7" t="s">
        <v>105</v>
      </c>
      <c r="Z7" t="s">
        <v>108</v>
      </c>
      <c r="AA7" t="s">
        <v>105</v>
      </c>
      <c r="AB7" t="s">
        <v>16</v>
      </c>
      <c r="AC7" s="42">
        <v>4.0</v>
      </c>
      <c r="AD7" t="s">
        <v>105</v>
      </c>
      <c r="AE7" t="s">
        <v>105</v>
      </c>
      <c r="AF7" t="s">
        <v>109</v>
      </c>
      <c r="AG7" t="s">
        <v>105</v>
      </c>
      <c r="AH7" t="s">
        <v>105</v>
      </c>
      <c r="AI7" s="43" t="s">
        <v>110</v>
      </c>
      <c r="AJ7" s="43" t="s">
        <v>110</v>
      </c>
      <c r="AK7" t="s">
        <v>111</v>
      </c>
      <c r="AL7" t="s">
        <v>112</v>
      </c>
      <c r="AM7" t="s">
        <v>105</v>
      </c>
      <c r="AN7" t="s">
        <v>105</v>
      </c>
      <c r="AO7" t="s">
        <v>105</v>
      </c>
      <c r="AP7" t="s">
        <v>105</v>
      </c>
      <c r="AQ7" t="s">
        <v>105</v>
      </c>
      <c r="AR7" t="s">
        <v>105</v>
      </c>
      <c r="AS7" t="s">
        <v>18</v>
      </c>
      <c r="AT7" t="s">
        <v>105</v>
      </c>
      <c r="AU7" t="s">
        <v>105</v>
      </c>
      <c r="AV7" t="s">
        <v>105</v>
      </c>
      <c r="AW7" t="s">
        <v>105</v>
      </c>
      <c r="AX7" t="s">
        <v>105</v>
      </c>
      <c r="AY7" t="s">
        <v>105</v>
      </c>
      <c r="AZ7" t="s">
        <v>105</v>
      </c>
      <c r="BA7" t="s">
        <v>105</v>
      </c>
      <c r="BB7" t="s">
        <v>105</v>
      </c>
      <c r="BC7" t="s">
        <v>105</v>
      </c>
      <c r="BD7" t="s">
        <v>105</v>
      </c>
      <c r="BE7" t="s">
        <v>105</v>
      </c>
      <c r="BF7" t="s">
        <v>105</v>
      </c>
      <c r="BG7" t="s">
        <v>105</v>
      </c>
      <c r="BH7" t="s">
        <v>105</v>
      </c>
      <c r="BI7" t="s">
        <v>105</v>
      </c>
      <c r="BJ7" t="s">
        <v>105</v>
      </c>
      <c r="BK7" t="s">
        <v>105</v>
      </c>
      <c r="BL7" t="s">
        <v>105</v>
      </c>
      <c r="BM7" t="s">
        <v>105</v>
      </c>
      <c r="BN7" t="s">
        <v>105</v>
      </c>
      <c r="BO7" t="s">
        <v>105</v>
      </c>
      <c r="BP7" t="s">
        <v>105</v>
      </c>
      <c r="BQ7" t="s">
        <v>105</v>
      </c>
      <c r="BR7" t="s">
        <v>105</v>
      </c>
      <c r="BS7" t="s">
        <v>105</v>
      </c>
      <c r="BT7" t="s">
        <v>105</v>
      </c>
      <c r="BU7" t="s">
        <v>105</v>
      </c>
      <c r="BV7" t="s">
        <v>105</v>
      </c>
      <c r="BW7" t="s">
        <v>105</v>
      </c>
      <c r="BX7" t="s">
        <v>105</v>
      </c>
      <c r="BY7" t="s">
        <v>105</v>
      </c>
      <c r="BZ7" t="s">
        <v>105</v>
      </c>
      <c r="CA7" t="s">
        <v>105</v>
      </c>
      <c r="CB7" t="s">
        <v>105</v>
      </c>
      <c r="CC7" t="s">
        <v>105</v>
      </c>
      <c r="CD7" t="s">
        <v>105</v>
      </c>
      <c r="CE7" t="s">
        <v>105</v>
      </c>
      <c r="CF7" t="s">
        <v>105</v>
      </c>
      <c r="CG7" t="s">
        <v>105</v>
      </c>
      <c r="CH7" t="s">
        <v>105</v>
      </c>
      <c r="CI7" t="s">
        <v>105</v>
      </c>
      <c r="CJ7" t="s">
        <v>105</v>
      </c>
      <c r="CK7" t="s">
        <v>105</v>
      </c>
      <c r="CL7" t="s">
        <v>105</v>
      </c>
      <c r="CM7" t="s">
        <v>105</v>
      </c>
      <c r="CN7" t="s">
        <v>105</v>
      </c>
      <c r="CO7" t="s">
        <v>105</v>
      </c>
      <c r="CP7" t="s">
        <v>105</v>
      </c>
      <c r="CQ7" t="s">
        <v>105</v>
      </c>
      <c r="CR7" t="s">
        <v>105</v>
      </c>
      <c r="CS7" t="s">
        <v>105</v>
      </c>
      <c r="CT7" t="s">
        <v>105</v>
      </c>
      <c r="CU7" t="s">
        <v>105</v>
      </c>
      <c r="CV7" t="s">
        <v>105</v>
      </c>
      <c r="CW7" t="s">
        <v>105</v>
      </c>
      <c r="CX7" t="s">
        <v>105</v>
      </c>
      <c r="CY7" t="s">
        <v>105</v>
      </c>
      <c r="CZ7" t="s">
        <v>105</v>
      </c>
      <c r="DA7" t="s">
        <v>105</v>
      </c>
      <c r="DB7" t="s">
        <v>105</v>
      </c>
      <c r="DC7" t="s">
        <v>105</v>
      </c>
      <c r="DD7" t="s">
        <v>105</v>
      </c>
      <c r="DE7" t="s">
        <v>105</v>
      </c>
      <c r="DF7" t="s">
        <v>105</v>
      </c>
      <c r="DG7" t="s">
        <v>105</v>
      </c>
      <c r="DH7" t="s">
        <v>105</v>
      </c>
      <c r="DI7" t="s">
        <v>105</v>
      </c>
      <c r="DJ7" t="s">
        <v>105</v>
      </c>
      <c r="DK7" t="s">
        <v>105</v>
      </c>
      <c r="DL7" t="s">
        <v>105</v>
      </c>
      <c r="DM7" t="s">
        <v>105</v>
      </c>
      <c r="DN7" t="s">
        <v>105</v>
      </c>
      <c r="DO7" t="s">
        <v>105</v>
      </c>
      <c r="DP7" t="s">
        <v>105</v>
      </c>
      <c r="DQ7" t="s">
        <v>105</v>
      </c>
      <c r="DR7" t="s">
        <v>105</v>
      </c>
      <c r="DS7" t="s">
        <v>105</v>
      </c>
      <c r="DT7" t="s">
        <v>105</v>
      </c>
      <c r="DU7" t="s">
        <v>105</v>
      </c>
      <c r="DV7" t="s">
        <v>105</v>
      </c>
      <c r="DW7" t="s">
        <v>105</v>
      </c>
      <c r="DX7" t="s">
        <v>105</v>
      </c>
      <c r="DY7" t="s">
        <v>105</v>
      </c>
      <c r="DZ7" t="s">
        <v>105</v>
      </c>
      <c r="EA7" t="s">
        <v>105</v>
      </c>
      <c r="EB7" t="s">
        <v>105</v>
      </c>
      <c r="EC7" t="s">
        <v>105</v>
      </c>
      <c r="ED7" t="s">
        <v>105</v>
      </c>
      <c r="EE7" t="s">
        <v>105</v>
      </c>
      <c r="EF7" t="s">
        <v>105</v>
      </c>
      <c r="EG7" t="s">
        <v>105</v>
      </c>
      <c r="EH7" t="s">
        <v>105</v>
      </c>
      <c r="EI7" t="s">
        <v>105</v>
      </c>
      <c r="EJ7" t="s">
        <v>105</v>
      </c>
      <c r="EK7" t="s">
        <v>105</v>
      </c>
      <c r="EL7" t="s">
        <v>105</v>
      </c>
      <c r="EM7" t="s">
        <v>105</v>
      </c>
      <c r="EN7" t="s">
        <v>105</v>
      </c>
      <c r="EO7" t="s">
        <v>105</v>
      </c>
      <c r="EP7" t="s">
        <v>105</v>
      </c>
      <c r="EQ7" t="s">
        <v>105</v>
      </c>
      <c r="ER7" t="s">
        <v>105</v>
      </c>
      <c r="ES7" t="s">
        <v>105</v>
      </c>
      <c r="ET7" t="s">
        <v>105</v>
      </c>
      <c r="EU7" t="s">
        <v>105</v>
      </c>
      <c r="EV7" t="s">
        <v>105</v>
      </c>
      <c r="EW7" t="s">
        <v>105</v>
      </c>
      <c r="EX7" t="s">
        <v>105</v>
      </c>
      <c r="EY7" t="s">
        <v>105</v>
      </c>
      <c r="EZ7" t="s">
        <v>105</v>
      </c>
      <c r="FA7" t="s">
        <v>105</v>
      </c>
      <c r="FB7" t="s">
        <v>105</v>
      </c>
      <c r="FC7" t="s">
        <v>105</v>
      </c>
      <c r="FD7" t="s">
        <v>105</v>
      </c>
      <c r="FE7" t="s">
        <v>105</v>
      </c>
      <c r="FF7" t="s">
        <v>105</v>
      </c>
      <c r="FG7" t="s">
        <v>105</v>
      </c>
      <c r="FH7" t="s">
        <v>105</v>
      </c>
      <c r="FI7" t="s">
        <v>105</v>
      </c>
      <c r="FJ7" t="s">
        <v>105</v>
      </c>
      <c r="FK7" t="s">
        <v>105</v>
      </c>
      <c r="FL7" t="s">
        <v>105</v>
      </c>
      <c r="FM7" t="s">
        <v>105</v>
      </c>
      <c r="FN7" t="s">
        <v>105</v>
      </c>
      <c r="FO7" t="s">
        <v>105</v>
      </c>
      <c r="FP7" t="s">
        <v>105</v>
      </c>
      <c r="FQ7" t="s">
        <v>105</v>
      </c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  <c r="GL7" s="41"/>
      <c r="GM7" s="41"/>
      <c r="GN7" s="41"/>
      <c r="GO7" s="41"/>
      <c r="GP7" s="41"/>
      <c r="GQ7" s="41"/>
      <c r="GR7" s="41"/>
      <c r="GS7" s="41"/>
      <c r="GT7" s="41"/>
      <c r="GU7" s="41"/>
      <c r="GV7" s="41"/>
      <c r="GW7" s="41"/>
      <c r="GX7" s="41"/>
      <c r="GY7" s="41"/>
      <c r="GZ7" s="41"/>
      <c r="HA7" s="41"/>
      <c r="HB7" s="41"/>
      <c r="HC7" s="41"/>
      <c r="HD7" s="41"/>
      <c r="HE7" s="41"/>
      <c r="HF7" s="41"/>
      <c r="HG7" s="41"/>
      <c r="HH7" s="41"/>
      <c r="HI7" s="41"/>
      <c r="HJ7" s="41"/>
      <c r="HK7" s="41"/>
      <c r="HL7" s="41"/>
      <c r="HM7" s="41"/>
      <c r="HN7" s="41"/>
      <c r="HO7" s="41"/>
      <c r="HP7" s="41"/>
      <c r="HQ7" s="41"/>
      <c r="HR7" s="41"/>
      <c r="HS7" s="41"/>
      <c r="HT7" s="41"/>
      <c r="HU7" s="41"/>
      <c r="HV7" s="41"/>
      <c r="HW7" s="41"/>
      <c r="HX7" s="41"/>
      <c r="HY7" s="41"/>
      <c r="HZ7" s="41"/>
      <c r="IA7" s="41"/>
      <c r="IB7" s="41"/>
      <c r="IC7" s="41"/>
      <c r="ID7" s="41"/>
      <c r="IE7" s="41"/>
      <c r="IF7" s="41"/>
      <c r="IG7" s="41"/>
      <c r="IH7" s="41"/>
      <c r="II7" s="41"/>
      <c r="IJ7" s="41"/>
      <c r="IK7" s="41"/>
      <c r="IL7" s="41"/>
      <c r="IM7" s="41"/>
      <c r="IN7" s="41"/>
      <c r="IO7" s="41"/>
      <c r="IP7" s="41"/>
      <c r="IQ7" s="41"/>
      <c r="IR7" s="41"/>
      <c r="IS7" s="41"/>
      <c r="IT7" s="41"/>
      <c r="IU7" s="41"/>
      <c r="IV7" s="41"/>
      <c r="IW7" s="41"/>
      <c r="IX7" s="41"/>
      <c r="IY7" s="41"/>
      <c r="IZ7" s="41"/>
      <c r="JA7" s="41"/>
      <c r="JB7" s="41"/>
      <c r="JC7" s="41"/>
      <c r="JD7" s="41"/>
      <c r="JE7" s="41"/>
      <c r="JF7" s="41"/>
      <c r="JG7" s="41"/>
      <c r="JH7" s="41"/>
      <c r="JI7" s="41"/>
      <c r="JJ7" s="41"/>
      <c r="JK7" s="41"/>
      <c r="JL7" s="41"/>
      <c r="JM7" s="41"/>
      <c r="JN7" s="41"/>
      <c r="JO7" s="41"/>
      <c r="JP7" s="41"/>
      <c r="JQ7" s="41"/>
      <c r="JR7" s="41"/>
      <c r="JS7" s="41"/>
      <c r="JT7" s="41"/>
      <c r="JU7" s="41"/>
      <c r="JV7" s="41"/>
      <c r="JW7" s="41"/>
      <c r="JX7" s="41"/>
      <c r="JY7" s="41"/>
      <c r="JZ7" s="41"/>
      <c r="KA7" s="41"/>
      <c r="KB7" s="41"/>
      <c r="KC7" s="41"/>
      <c r="KD7" s="41"/>
      <c r="KE7" s="41"/>
      <c r="KF7" s="41"/>
      <c r="KG7" s="41"/>
      <c r="KH7" s="41"/>
      <c r="KI7" s="41"/>
      <c r="KJ7" s="41"/>
      <c r="KK7" s="41"/>
      <c r="KL7" s="41"/>
      <c r="KM7" s="41"/>
      <c r="KN7" s="41"/>
      <c r="KO7" s="41"/>
      <c r="KP7" s="41"/>
      <c r="KQ7" s="41"/>
      <c r="KR7" s="41"/>
      <c r="KS7" s="41"/>
      <c r="KT7" s="41"/>
      <c r="KU7" s="41"/>
      <c r="KV7" s="41"/>
      <c r="KW7" s="41"/>
      <c r="KX7" s="41"/>
      <c r="KY7" s="41"/>
      <c r="KZ7" s="41"/>
      <c r="LA7" s="41"/>
      <c r="LB7" s="41"/>
      <c r="LC7" s="41"/>
      <c r="LD7" s="41"/>
      <c r="LE7" s="41"/>
      <c r="LF7" s="41"/>
      <c r="LG7" s="41"/>
      <c r="LH7" s="41"/>
      <c r="LI7" s="41"/>
      <c r="LJ7" s="41"/>
      <c r="LK7" s="41"/>
      <c r="LL7" s="41"/>
      <c r="LM7" s="41"/>
      <c r="LN7" s="41"/>
      <c r="LO7" s="41"/>
      <c r="LP7" s="41"/>
      <c r="LQ7" s="41"/>
      <c r="LR7" s="41"/>
      <c r="LS7" s="41"/>
      <c r="LT7" s="41"/>
      <c r="LU7" s="41"/>
      <c r="LV7" s="41"/>
      <c r="LW7" s="41"/>
      <c r="LX7" s="41"/>
      <c r="LY7" s="41"/>
      <c r="LZ7" s="41"/>
      <c r="MA7" s="41"/>
      <c r="MB7" s="41"/>
      <c r="MC7" s="41"/>
      <c r="MD7" s="41"/>
      <c r="ME7" s="41"/>
      <c r="MF7" s="41"/>
      <c r="MG7" s="41"/>
      <c r="MH7" s="41"/>
      <c r="MI7" s="41"/>
      <c r="MJ7" s="41"/>
      <c r="MK7" s="41"/>
      <c r="ML7" s="41"/>
      <c r="MM7" s="41"/>
      <c r="MN7" s="41"/>
      <c r="MO7" s="41"/>
      <c r="MP7" s="41"/>
      <c r="MQ7" s="41"/>
      <c r="MR7" s="41"/>
      <c r="MS7" s="41"/>
      <c r="MT7" s="41"/>
      <c r="MU7" s="41"/>
      <c r="MV7" s="41"/>
      <c r="MW7" s="41"/>
      <c r="MX7" s="41"/>
      <c r="MY7" s="41"/>
      <c r="MZ7" s="41"/>
      <c r="NA7" s="41"/>
      <c r="NB7" s="41"/>
      <c r="NC7" s="41"/>
      <c r="ND7" s="41"/>
      <c r="NE7" s="41"/>
      <c r="NF7" s="41"/>
      <c r="NG7" s="41"/>
      <c r="NH7" s="41"/>
      <c r="NI7" s="41"/>
      <c r="NJ7" s="41"/>
      <c r="NK7" s="41"/>
      <c r="NL7" s="41"/>
      <c r="NM7" s="41"/>
      <c r="NN7" s="41"/>
      <c r="NO7" s="41"/>
      <c r="NP7" s="41"/>
      <c r="NQ7" s="41"/>
      <c r="NR7" s="41"/>
      <c r="NS7" s="41"/>
      <c r="NT7" s="41"/>
      <c r="NU7" s="41"/>
      <c r="NV7" s="41"/>
      <c r="NW7" s="41"/>
      <c r="NX7" s="41"/>
      <c r="NY7" s="41"/>
      <c r="NZ7" s="41"/>
      <c r="OA7" s="41"/>
      <c r="OB7" s="41"/>
      <c r="OC7" s="41"/>
      <c r="OD7" s="41"/>
      <c r="OE7" s="41"/>
      <c r="OF7" s="41"/>
      <c r="OG7" s="41"/>
      <c r="OH7" s="41"/>
      <c r="OI7" s="41"/>
      <c r="OJ7" s="41"/>
      <c r="OK7" s="41"/>
      <c r="OL7" s="41"/>
      <c r="OM7" s="41"/>
      <c r="ON7" s="41"/>
      <c r="OO7" s="41"/>
      <c r="OP7" s="41"/>
      <c r="OQ7" s="41"/>
      <c r="OR7" s="41"/>
      <c r="OS7" s="41"/>
      <c r="OT7" s="41"/>
      <c r="OU7" s="41"/>
      <c r="OV7" s="41"/>
      <c r="OW7" s="41"/>
      <c r="OX7" s="41"/>
      <c r="OY7" s="41"/>
      <c r="OZ7" s="41"/>
      <c r="PA7" s="41"/>
      <c r="PB7" s="41"/>
      <c r="PC7" s="41"/>
      <c r="PD7" s="41"/>
      <c r="PE7" s="41"/>
      <c r="PF7" s="41"/>
      <c r="PG7" s="41"/>
      <c r="PH7" s="41"/>
      <c r="PI7" s="41"/>
      <c r="PJ7" s="41"/>
      <c r="PK7" s="41"/>
      <c r="PL7" s="41"/>
      <c r="PM7" s="41"/>
      <c r="PN7" s="41"/>
      <c r="PO7" s="41"/>
      <c r="PP7" s="41"/>
      <c r="PQ7" s="41"/>
      <c r="PR7" s="41"/>
      <c r="PS7" s="41"/>
      <c r="PT7" s="41"/>
      <c r="PU7" s="41"/>
      <c r="PV7" s="41"/>
      <c r="PW7" s="41"/>
      <c r="PX7" s="41"/>
      <c r="PY7" s="41"/>
      <c r="PZ7" s="41"/>
      <c r="QA7" s="41"/>
      <c r="QB7" s="41"/>
      <c r="QC7" s="41"/>
      <c r="QD7" s="41"/>
      <c r="QE7" s="41"/>
      <c r="QF7" s="41"/>
      <c r="QG7" s="41"/>
      <c r="QH7" s="41"/>
      <c r="QI7" s="41"/>
      <c r="QJ7" s="41"/>
      <c r="QK7" s="41"/>
      <c r="QL7" s="41"/>
      <c r="QM7" s="41"/>
      <c r="QN7" s="41"/>
      <c r="QO7" s="41"/>
      <c r="QP7" s="41"/>
      <c r="QQ7" s="41"/>
      <c r="QR7" s="41"/>
      <c r="QS7" s="41"/>
      <c r="QT7" s="41"/>
      <c r="QU7" s="41"/>
      <c r="QV7" s="41"/>
      <c r="QW7" s="41"/>
      <c r="QX7" s="41"/>
      <c r="QY7" s="41"/>
      <c r="QZ7" s="41"/>
      <c r="RA7" s="41"/>
      <c r="RB7" s="41"/>
      <c r="RC7" s="41"/>
      <c r="RD7" s="41"/>
      <c r="RE7" s="41"/>
      <c r="RF7" s="41"/>
      <c r="RG7" s="41"/>
      <c r="RH7" s="41"/>
      <c r="RI7" s="41"/>
      <c r="RJ7" s="41"/>
      <c r="RK7" s="41"/>
      <c r="RL7" s="41"/>
      <c r="RM7" s="41"/>
      <c r="RN7" s="41"/>
      <c r="RO7" s="41"/>
      <c r="RP7" s="41"/>
      <c r="RQ7" s="41"/>
      <c r="RR7" s="41"/>
      <c r="RS7" s="41"/>
      <c r="RT7" s="41"/>
      <c r="RU7" s="41"/>
      <c r="RV7" s="41"/>
      <c r="RW7" s="41"/>
      <c r="RX7" s="41"/>
      <c r="RY7" s="41"/>
      <c r="RZ7" s="41"/>
      <c r="SA7" s="41"/>
      <c r="SB7" s="41"/>
      <c r="SC7" s="41"/>
      <c r="SD7" s="41"/>
      <c r="SE7" s="41"/>
      <c r="SF7" s="41"/>
      <c r="SG7" s="41"/>
      <c r="SH7" s="41"/>
      <c r="SI7" s="41"/>
      <c r="SJ7" s="41"/>
      <c r="SK7" s="41"/>
      <c r="SL7" s="41"/>
      <c r="SM7" s="41"/>
      <c r="SN7" s="41"/>
      <c r="SO7" s="41"/>
      <c r="SP7" s="41"/>
      <c r="SQ7" s="41"/>
      <c r="SR7" s="41"/>
      <c r="SS7" s="41"/>
      <c r="ST7" s="41"/>
      <c r="SU7" s="41"/>
      <c r="SV7" s="41"/>
      <c r="SW7" s="41"/>
      <c r="SX7" s="41"/>
      <c r="SY7" s="41"/>
      <c r="SZ7" s="41"/>
      <c r="TA7" s="41"/>
      <c r="TB7" s="41"/>
      <c r="TC7" s="41"/>
      <c r="TD7" s="41"/>
      <c r="TE7" s="41"/>
      <c r="TF7" s="41"/>
      <c r="TG7" s="41"/>
      <c r="TH7" s="41"/>
      <c r="TI7" s="41"/>
      <c r="TJ7" s="41"/>
      <c r="TK7" s="41"/>
      <c r="TL7" s="41"/>
      <c r="TM7" s="41"/>
      <c r="TN7" s="41"/>
      <c r="TO7" s="41"/>
      <c r="TP7" s="41"/>
      <c r="TQ7" s="41"/>
      <c r="TR7" s="41"/>
      <c r="TS7" s="41"/>
      <c r="TT7" s="41"/>
      <c r="TU7" s="41"/>
      <c r="TV7" s="41"/>
      <c r="TW7" s="41"/>
      <c r="TX7" s="41"/>
      <c r="TY7" s="41"/>
      <c r="TZ7" s="41"/>
      <c r="UA7" s="41"/>
      <c r="UB7" s="41"/>
      <c r="UC7" s="41"/>
      <c r="UD7" s="41"/>
      <c r="UE7" s="41"/>
      <c r="UF7" s="41"/>
      <c r="UG7" s="41"/>
      <c r="UH7" s="41"/>
      <c r="UI7" s="41"/>
      <c r="UJ7" s="41"/>
      <c r="UK7" s="41"/>
      <c r="UL7" s="41"/>
      <c r="UM7" s="41"/>
      <c r="UN7" s="41"/>
      <c r="UO7" s="41"/>
      <c r="UP7" s="41"/>
      <c r="UQ7" s="41"/>
      <c r="UR7" s="41"/>
      <c r="US7" s="41"/>
      <c r="UT7" s="41"/>
      <c r="UU7" s="41"/>
      <c r="UV7" s="41"/>
      <c r="UW7" s="41"/>
      <c r="UX7" s="41"/>
      <c r="UY7" s="41"/>
      <c r="UZ7" s="41"/>
      <c r="VA7" s="41"/>
      <c r="VB7" s="41"/>
      <c r="VC7" s="41"/>
      <c r="VD7" s="41"/>
      <c r="VE7" s="41"/>
      <c r="VF7" s="41"/>
      <c r="VG7" s="41"/>
      <c r="VH7" s="41"/>
      <c r="VI7" s="41"/>
      <c r="VJ7" s="41"/>
      <c r="VK7" s="41"/>
      <c r="VL7" s="41"/>
      <c r="VM7" s="41"/>
      <c r="VN7" s="41"/>
      <c r="VO7" s="41"/>
      <c r="VP7" s="41"/>
      <c r="VQ7" s="41"/>
      <c r="VR7" s="41"/>
      <c r="VS7" s="41"/>
      <c r="VT7" s="41"/>
      <c r="VU7" s="41"/>
      <c r="VV7" s="41"/>
      <c r="VW7" s="41"/>
      <c r="VX7" s="41"/>
      <c r="VY7" s="41"/>
      <c r="VZ7" s="41"/>
      <c r="WA7" s="41"/>
      <c r="WB7" s="41"/>
      <c r="WC7" s="41"/>
      <c r="WD7" s="41"/>
      <c r="WE7" s="41"/>
      <c r="WF7" s="41"/>
      <c r="WG7" s="41"/>
      <c r="WH7" s="41"/>
      <c r="WI7" s="41"/>
      <c r="WJ7" s="41"/>
      <c r="WK7" s="41"/>
      <c r="WL7" s="41"/>
      <c r="WM7" s="41"/>
      <c r="WN7" s="41"/>
      <c r="WO7" s="41"/>
      <c r="WP7" s="41"/>
      <c r="WQ7" s="41"/>
      <c r="WR7" s="41"/>
      <c r="WS7" s="41"/>
      <c r="WT7" s="41"/>
      <c r="WU7" s="41"/>
      <c r="WV7" s="41"/>
      <c r="WW7" s="41"/>
      <c r="WX7" s="41"/>
      <c r="WY7" s="41"/>
      <c r="WZ7" s="41"/>
      <c r="XA7" s="41"/>
      <c r="XB7" s="41"/>
      <c r="XC7" s="41"/>
      <c r="XD7" s="41"/>
      <c r="XE7" s="41"/>
      <c r="XF7" s="41"/>
      <c r="XG7" s="41"/>
      <c r="XH7" s="41"/>
      <c r="XI7" s="41"/>
      <c r="XJ7" s="41"/>
      <c r="XK7" s="41"/>
      <c r="XL7" s="41"/>
      <c r="XM7" s="41"/>
      <c r="XN7" s="41"/>
      <c r="XO7" s="41"/>
      <c r="XP7" s="41"/>
      <c r="XQ7" s="41"/>
      <c r="XR7" s="41"/>
      <c r="XS7" s="41"/>
      <c r="XT7" s="41"/>
      <c r="XU7" s="41"/>
      <c r="XV7" s="41"/>
      <c r="XW7" s="41"/>
      <c r="XX7" s="41"/>
      <c r="XY7" s="41"/>
      <c r="XZ7" s="41"/>
      <c r="YA7" s="41"/>
      <c r="YB7" s="41"/>
      <c r="YC7" s="41"/>
      <c r="YD7" s="41"/>
      <c r="YE7" s="41"/>
      <c r="YF7" s="41"/>
      <c r="YG7" s="41"/>
      <c r="YH7" s="41"/>
      <c r="YI7" s="41"/>
      <c r="YJ7" s="41"/>
      <c r="YK7" s="41"/>
      <c r="YL7" s="41"/>
      <c r="YM7" s="41"/>
      <c r="YN7" s="41"/>
      <c r="YO7" s="41"/>
      <c r="YP7" s="41"/>
      <c r="YQ7" s="41"/>
      <c r="YR7" s="41"/>
      <c r="YS7" s="41"/>
      <c r="YT7" s="41"/>
      <c r="YU7" s="41"/>
      <c r="YV7" s="41"/>
      <c r="YW7" s="41"/>
      <c r="YX7" s="41"/>
      <c r="YY7" s="41"/>
      <c r="YZ7" s="41"/>
      <c r="ZA7" s="41"/>
      <c r="ZB7" s="41"/>
      <c r="ZC7" s="41"/>
      <c r="ZD7" s="41"/>
      <c r="ZE7" s="41"/>
      <c r="ZF7" s="41"/>
      <c r="ZG7" s="41"/>
      <c r="ZH7" s="41"/>
      <c r="ZI7" s="41"/>
      <c r="ZJ7" s="41"/>
      <c r="ZK7" s="41"/>
      <c r="ZL7" s="41"/>
      <c r="ZM7" s="41"/>
      <c r="ZN7" s="41"/>
      <c r="ZO7" s="41"/>
      <c r="ZP7" s="41"/>
      <c r="ZQ7" s="41"/>
      <c r="ZR7" s="41"/>
      <c r="ZS7" s="41"/>
      <c r="ZT7" s="41"/>
      <c r="ZU7" s="41"/>
      <c r="ZV7" s="41"/>
      <c r="ZW7" s="41"/>
      <c r="ZX7" s="41"/>
      <c r="ZY7" s="41"/>
      <c r="ZZ7" s="41"/>
      <c r="AAA7" s="41"/>
      <c r="AAB7" s="41"/>
      <c r="AAC7" s="41"/>
      <c r="AAD7" s="41"/>
      <c r="AAE7" s="41"/>
      <c r="AAF7" s="41"/>
      <c r="AAG7" s="41"/>
      <c r="AAH7" s="41"/>
      <c r="AAI7" s="41"/>
      <c r="AAJ7" s="41"/>
      <c r="AAK7" s="41"/>
      <c r="AAL7" s="41"/>
      <c r="AAM7" s="41"/>
      <c r="AAN7" s="41"/>
      <c r="AAO7" s="41"/>
      <c r="AAP7" s="41"/>
      <c r="AAQ7" s="41"/>
      <c r="AAR7" s="41"/>
      <c r="AAS7" s="41"/>
      <c r="AAT7" s="41"/>
      <c r="AAU7" s="41"/>
      <c r="AAV7" s="41"/>
      <c r="AAW7" s="41"/>
      <c r="AAX7" s="41"/>
      <c r="AAY7" s="41"/>
      <c r="AAZ7" s="41"/>
      <c r="ABA7" s="41"/>
      <c r="ABB7" s="41"/>
      <c r="ABC7" s="41"/>
      <c r="ABD7" s="41"/>
      <c r="ABE7" s="41"/>
      <c r="ABF7" s="41"/>
      <c r="ABG7" s="41"/>
      <c r="ABH7" s="41"/>
      <c r="ABI7" s="41"/>
      <c r="ABJ7" s="41"/>
      <c r="ABK7" s="41"/>
      <c r="ABL7" s="41"/>
      <c r="ABM7" s="41"/>
      <c r="ABN7" s="41"/>
      <c r="ABO7" s="41"/>
      <c r="ABP7" s="41"/>
      <c r="ABQ7" s="41"/>
      <c r="ABR7" s="41"/>
      <c r="ABS7" s="41"/>
      <c r="ABT7" s="41"/>
      <c r="ABU7" s="41"/>
      <c r="ABV7" s="41"/>
      <c r="ABW7" s="41"/>
      <c r="ABX7" s="41"/>
      <c r="ABY7" s="41"/>
      <c r="ABZ7" s="41"/>
      <c r="ACA7" s="41"/>
      <c r="ACB7" s="41"/>
      <c r="ACC7" s="41"/>
      <c r="ACD7" s="41"/>
      <c r="ACE7" s="41"/>
      <c r="ACF7" s="41"/>
      <c r="ACG7" s="41"/>
      <c r="ACH7" s="41"/>
      <c r="ACI7" s="41"/>
      <c r="ACJ7" s="41"/>
      <c r="ACK7" s="41"/>
      <c r="ACL7" s="41"/>
      <c r="ACM7" s="41"/>
      <c r="ACN7" s="41"/>
      <c r="ACO7" s="41"/>
      <c r="ACP7" s="41"/>
      <c r="ACQ7" s="41"/>
      <c r="ACR7" s="41"/>
      <c r="ACS7" s="41"/>
      <c r="ACT7" s="41"/>
      <c r="ACU7" s="41"/>
      <c r="ACV7" s="41"/>
      <c r="ACW7" s="41"/>
      <c r="ACX7" s="41"/>
      <c r="ACY7" s="41"/>
      <c r="ACZ7" s="41"/>
      <c r="ADA7" s="41"/>
      <c r="ADB7" s="41"/>
      <c r="ADC7" s="41"/>
      <c r="ADD7" s="41"/>
      <c r="ADE7" s="41"/>
      <c r="ADF7" s="41"/>
      <c r="ADG7" s="41"/>
      <c r="ADH7" s="41"/>
      <c r="ADI7" s="41"/>
      <c r="ADJ7" s="41"/>
      <c r="ADK7" s="41"/>
      <c r="ADL7" s="41"/>
      <c r="ADM7" s="41"/>
      <c r="ADN7" s="41"/>
      <c r="ADO7" s="41"/>
      <c r="ADP7" s="41"/>
      <c r="ADQ7" s="41"/>
      <c r="ADR7" s="41"/>
      <c r="ADS7" s="41"/>
      <c r="ADT7" s="41"/>
      <c r="ADU7" s="41"/>
      <c r="ADV7" s="41"/>
      <c r="ADW7" s="41"/>
      <c r="ADX7" s="41"/>
      <c r="ADY7" s="41"/>
      <c r="ADZ7" s="41"/>
      <c r="AEA7" s="41"/>
      <c r="AEB7" s="41"/>
      <c r="AEC7" s="41"/>
      <c r="AED7" s="41"/>
      <c r="AEE7" s="41"/>
      <c r="AEF7" s="41"/>
      <c r="AEG7" s="41"/>
      <c r="AEH7" s="41"/>
      <c r="AEI7" s="41"/>
      <c r="AEJ7" s="41"/>
      <c r="AEK7" s="41"/>
      <c r="AEL7" s="41"/>
      <c r="AEM7" s="41"/>
      <c r="AEN7" s="41"/>
      <c r="AEO7" s="41"/>
      <c r="AEP7" s="41"/>
      <c r="AEQ7" s="41"/>
      <c r="AER7" s="41"/>
      <c r="AES7" s="41"/>
      <c r="AET7" s="41"/>
      <c r="AEU7" s="41"/>
      <c r="AEV7" s="41"/>
      <c r="AEW7" s="41"/>
      <c r="AEX7" s="41"/>
      <c r="AEY7" s="41"/>
      <c r="AEZ7" s="41"/>
      <c r="AFA7" s="41"/>
      <c r="AFB7" s="41"/>
      <c r="AFC7" s="41"/>
      <c r="AFD7" s="41"/>
      <c r="AFE7" s="41"/>
      <c r="AFF7" s="41"/>
      <c r="AFG7" s="41"/>
      <c r="AFH7" s="41"/>
      <c r="AFI7" s="41"/>
      <c r="AFJ7" s="41"/>
      <c r="AFK7" s="41"/>
      <c r="AFL7" s="41"/>
      <c r="AFM7" s="41"/>
      <c r="AFN7" s="41"/>
      <c r="AFO7" s="41"/>
      <c r="AFP7" s="41"/>
      <c r="AFQ7" s="41"/>
      <c r="AFR7" s="41"/>
      <c r="AFS7" s="41"/>
      <c r="AFT7" s="41"/>
      <c r="AFU7" s="41"/>
      <c r="AFV7" s="41"/>
      <c r="AFW7" s="41"/>
      <c r="AFX7" s="41"/>
      <c r="AFY7" s="41"/>
      <c r="AFZ7" s="41"/>
      <c r="AGA7" s="41"/>
      <c r="AGB7" s="41"/>
      <c r="AGC7" s="41"/>
      <c r="AGD7" s="41"/>
      <c r="AGE7" s="41"/>
      <c r="AGF7" s="41"/>
      <c r="AGG7" s="41"/>
      <c r="AGH7" s="41"/>
      <c r="AGI7" s="41"/>
      <c r="AGJ7" s="41"/>
      <c r="AGK7" s="41"/>
      <c r="AGL7" s="41"/>
      <c r="AGM7" s="41"/>
      <c r="AGN7" s="41"/>
      <c r="AGO7" s="41"/>
      <c r="AGP7" s="41"/>
      <c r="AGQ7" s="41"/>
      <c r="AGR7" s="41"/>
      <c r="AGS7" s="41"/>
      <c r="AGT7" s="41"/>
      <c r="AGU7" s="41"/>
      <c r="AGV7" s="41"/>
      <c r="AGW7" s="41"/>
      <c r="AGX7" s="41"/>
      <c r="AGY7" s="41"/>
      <c r="AGZ7" s="41"/>
      <c r="AHA7" s="41"/>
      <c r="AHB7" s="41"/>
      <c r="AHC7" s="41"/>
      <c r="AHD7" s="41"/>
      <c r="AHE7" s="41"/>
      <c r="AHF7" s="41"/>
      <c r="AHG7" s="41"/>
      <c r="AHH7" s="41"/>
      <c r="AHI7" s="41"/>
      <c r="AHJ7" s="41"/>
      <c r="AHK7" s="41"/>
      <c r="AHL7" s="41"/>
      <c r="AHM7" s="41"/>
      <c r="AHN7" s="41"/>
      <c r="AHO7" s="41"/>
      <c r="AHP7" s="41"/>
      <c r="AHQ7" s="41"/>
      <c r="AHR7" s="41"/>
      <c r="AHS7" s="41"/>
      <c r="AHT7" s="41"/>
      <c r="AHU7" s="41"/>
      <c r="AHV7" s="41"/>
      <c r="AHW7" s="41"/>
      <c r="AHX7" s="41"/>
      <c r="AHY7" s="41"/>
      <c r="AHZ7" s="41"/>
      <c r="AIA7" s="41"/>
      <c r="AIB7" s="41"/>
      <c r="AIC7" s="41"/>
      <c r="AID7" s="41"/>
      <c r="AIE7" s="41"/>
      <c r="AIF7" s="41"/>
      <c r="AIG7" s="41"/>
      <c r="AIH7" s="41"/>
      <c r="AII7" s="41"/>
      <c r="AIJ7" s="41"/>
      <c r="AIK7" s="41"/>
      <c r="AIL7" s="41"/>
      <c r="AIM7" s="41"/>
      <c r="AIN7" s="41"/>
      <c r="AIO7" s="41"/>
      <c r="AIP7" s="41"/>
      <c r="AIQ7" s="41"/>
      <c r="AIR7" s="41"/>
      <c r="AIS7" s="41"/>
      <c r="AIT7" s="41"/>
      <c r="AIU7" s="41"/>
      <c r="AIV7" s="41"/>
      <c r="AIW7" s="41"/>
      <c r="AIX7" s="41"/>
      <c r="AIY7" s="41"/>
      <c r="AIZ7" s="41"/>
      <c r="AJA7" s="41"/>
      <c r="AJB7" s="41"/>
      <c r="AJC7" s="41"/>
      <c r="AJD7" s="41"/>
      <c r="AJE7" s="41"/>
      <c r="AJF7" s="41"/>
      <c r="AJG7" s="41"/>
      <c r="AJH7" s="41"/>
      <c r="AJI7" s="41"/>
      <c r="AJJ7" s="41"/>
      <c r="AJK7" s="41"/>
      <c r="AJL7" s="41"/>
      <c r="AJM7" s="41"/>
      <c r="AJN7" s="41"/>
      <c r="AJO7" s="41"/>
      <c r="AJP7" s="41"/>
      <c r="AJQ7" s="41"/>
      <c r="AJR7" s="41"/>
      <c r="AJS7" s="41"/>
      <c r="AJT7" s="41"/>
      <c r="AJU7" s="41"/>
      <c r="AJV7" s="41"/>
      <c r="AJW7" s="41"/>
      <c r="AJX7" s="41"/>
      <c r="AJY7" s="41"/>
      <c r="AJZ7" s="41"/>
      <c r="AKA7" s="41"/>
      <c r="AKB7" s="41"/>
      <c r="AKC7" s="41"/>
      <c r="AKD7" s="41"/>
      <c r="AKE7" s="41"/>
      <c r="AKF7" s="41"/>
      <c r="AKG7" s="41"/>
      <c r="AKH7" s="41"/>
      <c r="AKI7" s="41"/>
      <c r="AKJ7" s="41"/>
      <c r="AKK7" s="41"/>
      <c r="AKL7" s="41"/>
      <c r="AKM7" s="41"/>
      <c r="AKN7" s="41"/>
      <c r="AKO7" s="41"/>
      <c r="AKP7" s="41"/>
      <c r="AKQ7" s="41"/>
      <c r="AKR7" s="41"/>
      <c r="AKS7" s="41"/>
      <c r="AKT7" s="41"/>
      <c r="AKU7" s="41"/>
      <c r="AKV7" s="41"/>
      <c r="AKW7" s="41"/>
      <c r="AKX7" s="41"/>
      <c r="AKY7" s="41"/>
      <c r="AKZ7" s="41"/>
      <c r="ALA7" s="41"/>
      <c r="ALB7" s="41"/>
      <c r="ALC7" s="41"/>
      <c r="ALD7" s="41"/>
      <c r="ALE7" s="41"/>
      <c r="ALF7" s="41"/>
      <c r="ALG7" s="41"/>
      <c r="ALH7" s="41"/>
      <c r="ALI7" s="41"/>
      <c r="ALJ7" s="41"/>
      <c r="ALK7" s="41"/>
      <c r="ALL7" s="41"/>
      <c r="ALM7" s="41"/>
      <c r="ALN7" s="41"/>
      <c r="ALO7" s="41"/>
      <c r="ALP7" s="41"/>
      <c r="ALQ7" s="41"/>
      <c r="ALR7" s="41"/>
      <c r="ALS7" s="41"/>
      <c r="ALT7" s="41"/>
      <c r="ALU7" s="41"/>
      <c r="ALV7" s="41"/>
      <c r="ALW7" s="41"/>
      <c r="ALX7" s="41"/>
      <c r="ALY7" s="41"/>
      <c r="ALZ7" s="41"/>
      <c r="AMA7" s="41"/>
      <c r="AMB7" s="41"/>
      <c r="AMC7" s="41"/>
      <c r="AMD7" s="41"/>
      <c r="AME7" s="41"/>
      <c r="AMF7" s="41"/>
      <c r="AMG7" s="41"/>
      <c r="AMH7" s="41"/>
      <c r="AMI7" s="41"/>
      <c r="AMJ7" s="41"/>
      <c r="AMK7" s="41"/>
      <c r="AML7" s="41"/>
    </row>
    <row r="8" ht="15.75" customHeight="1">
      <c r="A8" s="8" t="s">
        <v>105</v>
      </c>
      <c r="B8" s="8" t="s">
        <v>105</v>
      </c>
      <c r="C8" s="8" t="s">
        <v>105</v>
      </c>
      <c r="D8" s="8" t="s">
        <v>105</v>
      </c>
      <c r="E8" s="8"/>
      <c r="F8" s="8" t="s">
        <v>106</v>
      </c>
      <c r="G8" s="8" t="s">
        <v>105</v>
      </c>
      <c r="H8" s="8" t="s">
        <v>105</v>
      </c>
      <c r="I8" s="8"/>
      <c r="J8" s="8"/>
      <c r="K8" s="8" t="s">
        <v>105</v>
      </c>
      <c r="L8" s="8" t="s">
        <v>105</v>
      </c>
      <c r="M8" s="8" t="s">
        <v>105</v>
      </c>
      <c r="N8" s="8"/>
      <c r="O8" s="8" t="s">
        <v>105</v>
      </c>
      <c r="Q8" t="s">
        <v>107</v>
      </c>
      <c r="R8" t="s">
        <v>105</v>
      </c>
      <c r="S8" t="s">
        <v>105</v>
      </c>
      <c r="T8" t="s">
        <v>105</v>
      </c>
      <c r="W8" t="s">
        <v>105</v>
      </c>
      <c r="X8" t="s">
        <v>105</v>
      </c>
      <c r="Y8" t="s">
        <v>105</v>
      </c>
      <c r="Z8" t="s">
        <v>108</v>
      </c>
      <c r="AA8" t="s">
        <v>105</v>
      </c>
      <c r="AB8" t="s">
        <v>16</v>
      </c>
      <c r="AC8" s="39">
        <v>3.0</v>
      </c>
      <c r="AD8" t="s">
        <v>105</v>
      </c>
      <c r="AE8" t="s">
        <v>105</v>
      </c>
      <c r="AF8" t="s">
        <v>109</v>
      </c>
      <c r="AG8" t="s">
        <v>105</v>
      </c>
      <c r="AH8" t="s">
        <v>105</v>
      </c>
      <c r="AI8" s="40" t="s">
        <v>110</v>
      </c>
      <c r="AJ8" s="40" t="s">
        <v>110</v>
      </c>
      <c r="AK8" t="s">
        <v>111</v>
      </c>
      <c r="AL8" t="s">
        <v>112</v>
      </c>
      <c r="AM8" t="s">
        <v>105</v>
      </c>
      <c r="AN8" t="s">
        <v>105</v>
      </c>
      <c r="AO8" t="s">
        <v>105</v>
      </c>
      <c r="AP8" t="s">
        <v>105</v>
      </c>
      <c r="AQ8" t="s">
        <v>105</v>
      </c>
      <c r="AR8" t="s">
        <v>105</v>
      </c>
      <c r="AS8" t="s">
        <v>18</v>
      </c>
      <c r="AT8" t="s">
        <v>105</v>
      </c>
      <c r="AU8" t="s">
        <v>105</v>
      </c>
      <c r="AV8" t="s">
        <v>105</v>
      </c>
      <c r="AW8" t="s">
        <v>105</v>
      </c>
      <c r="AX8" t="s">
        <v>105</v>
      </c>
      <c r="AY8" t="s">
        <v>105</v>
      </c>
      <c r="AZ8" t="s">
        <v>105</v>
      </c>
      <c r="BA8" t="s">
        <v>105</v>
      </c>
      <c r="BB8" t="s">
        <v>105</v>
      </c>
      <c r="BC8" t="s">
        <v>105</v>
      </c>
      <c r="BD8" t="s">
        <v>105</v>
      </c>
      <c r="BE8" t="s">
        <v>105</v>
      </c>
      <c r="BF8" t="s">
        <v>105</v>
      </c>
      <c r="BG8" t="s">
        <v>105</v>
      </c>
      <c r="BH8" t="s">
        <v>105</v>
      </c>
      <c r="BI8" t="s">
        <v>105</v>
      </c>
      <c r="BJ8" t="s">
        <v>105</v>
      </c>
      <c r="BK8" t="s">
        <v>105</v>
      </c>
      <c r="BL8" t="s">
        <v>105</v>
      </c>
      <c r="BM8" t="s">
        <v>105</v>
      </c>
      <c r="BN8" t="s">
        <v>105</v>
      </c>
      <c r="BO8" t="s">
        <v>105</v>
      </c>
      <c r="BP8" t="s">
        <v>105</v>
      </c>
      <c r="BQ8" t="s">
        <v>105</v>
      </c>
      <c r="BR8" t="s">
        <v>105</v>
      </c>
      <c r="BS8" t="s">
        <v>105</v>
      </c>
      <c r="BT8" t="s">
        <v>105</v>
      </c>
      <c r="BU8" t="s">
        <v>105</v>
      </c>
      <c r="BV8" t="s">
        <v>105</v>
      </c>
      <c r="BW8" t="s">
        <v>105</v>
      </c>
      <c r="BX8" t="s">
        <v>105</v>
      </c>
      <c r="BY8" t="s">
        <v>105</v>
      </c>
      <c r="BZ8" t="s">
        <v>105</v>
      </c>
      <c r="CA8" t="s">
        <v>105</v>
      </c>
      <c r="CB8" t="s">
        <v>105</v>
      </c>
      <c r="CC8" t="s">
        <v>105</v>
      </c>
      <c r="CD8" t="s">
        <v>105</v>
      </c>
      <c r="CE8" t="s">
        <v>105</v>
      </c>
      <c r="CF8" t="s">
        <v>105</v>
      </c>
      <c r="CG8" t="s">
        <v>105</v>
      </c>
      <c r="CH8" t="s">
        <v>105</v>
      </c>
      <c r="CI8" t="s">
        <v>105</v>
      </c>
      <c r="CJ8" t="s">
        <v>105</v>
      </c>
      <c r="CK8" t="s">
        <v>105</v>
      </c>
      <c r="CL8" t="s">
        <v>105</v>
      </c>
      <c r="CM8" t="s">
        <v>105</v>
      </c>
      <c r="CN8" t="s">
        <v>105</v>
      </c>
      <c r="CO8" t="s">
        <v>105</v>
      </c>
      <c r="CP8" t="s">
        <v>105</v>
      </c>
      <c r="CQ8" t="s">
        <v>105</v>
      </c>
      <c r="CR8" t="s">
        <v>105</v>
      </c>
      <c r="CS8" t="s">
        <v>105</v>
      </c>
      <c r="CT8" t="s">
        <v>105</v>
      </c>
      <c r="CU8" t="s">
        <v>105</v>
      </c>
      <c r="CV8" t="s">
        <v>105</v>
      </c>
      <c r="CW8" t="s">
        <v>105</v>
      </c>
      <c r="CX8" t="s">
        <v>105</v>
      </c>
      <c r="CY8" t="s">
        <v>105</v>
      </c>
      <c r="CZ8" t="s">
        <v>105</v>
      </c>
      <c r="DA8" t="s">
        <v>105</v>
      </c>
      <c r="DB8" t="s">
        <v>105</v>
      </c>
      <c r="DC8" t="s">
        <v>105</v>
      </c>
      <c r="DD8" t="s">
        <v>105</v>
      </c>
      <c r="DE8" t="s">
        <v>105</v>
      </c>
      <c r="DF8" t="s">
        <v>105</v>
      </c>
      <c r="DG8" t="s">
        <v>105</v>
      </c>
      <c r="DH8" t="s">
        <v>105</v>
      </c>
      <c r="DI8" t="s">
        <v>105</v>
      </c>
      <c r="DJ8" t="s">
        <v>105</v>
      </c>
      <c r="DK8" t="s">
        <v>105</v>
      </c>
      <c r="DL8" t="s">
        <v>105</v>
      </c>
      <c r="DM8" t="s">
        <v>105</v>
      </c>
      <c r="DN8" t="s">
        <v>105</v>
      </c>
      <c r="DO8" t="s">
        <v>105</v>
      </c>
      <c r="DP8" t="s">
        <v>105</v>
      </c>
      <c r="DQ8" t="s">
        <v>105</v>
      </c>
      <c r="DR8" t="s">
        <v>105</v>
      </c>
      <c r="DS8" t="s">
        <v>105</v>
      </c>
      <c r="DT8" t="s">
        <v>105</v>
      </c>
      <c r="DU8" t="s">
        <v>105</v>
      </c>
      <c r="DV8" t="s">
        <v>105</v>
      </c>
      <c r="DW8" t="s">
        <v>105</v>
      </c>
      <c r="DX8" t="s">
        <v>105</v>
      </c>
      <c r="DY8" t="s">
        <v>105</v>
      </c>
      <c r="DZ8" t="s">
        <v>105</v>
      </c>
      <c r="EA8" t="s">
        <v>105</v>
      </c>
      <c r="EB8" t="s">
        <v>105</v>
      </c>
      <c r="EC8" t="s">
        <v>105</v>
      </c>
      <c r="ED8" t="s">
        <v>105</v>
      </c>
      <c r="EE8" t="s">
        <v>105</v>
      </c>
      <c r="EF8" t="s">
        <v>105</v>
      </c>
      <c r="EG8" t="s">
        <v>105</v>
      </c>
      <c r="EH8" t="s">
        <v>105</v>
      </c>
      <c r="EI8" t="s">
        <v>105</v>
      </c>
      <c r="EJ8" t="s">
        <v>105</v>
      </c>
      <c r="EK8" t="s">
        <v>105</v>
      </c>
      <c r="EL8" t="s">
        <v>105</v>
      </c>
      <c r="EM8" t="s">
        <v>105</v>
      </c>
      <c r="EN8" t="s">
        <v>105</v>
      </c>
      <c r="EO8" t="s">
        <v>105</v>
      </c>
      <c r="EP8" t="s">
        <v>105</v>
      </c>
      <c r="EQ8" t="s">
        <v>105</v>
      </c>
      <c r="ER8" t="s">
        <v>105</v>
      </c>
      <c r="ES8" t="s">
        <v>105</v>
      </c>
      <c r="ET8" t="s">
        <v>105</v>
      </c>
      <c r="EU8" t="s">
        <v>105</v>
      </c>
      <c r="EV8" t="s">
        <v>105</v>
      </c>
      <c r="EW8" t="s">
        <v>105</v>
      </c>
      <c r="EX8" t="s">
        <v>105</v>
      </c>
      <c r="EY8" t="s">
        <v>105</v>
      </c>
      <c r="EZ8" t="s">
        <v>105</v>
      </c>
      <c r="FA8" t="s">
        <v>105</v>
      </c>
      <c r="FB8" t="s">
        <v>105</v>
      </c>
      <c r="FC8" t="s">
        <v>105</v>
      </c>
      <c r="FD8" t="s">
        <v>105</v>
      </c>
      <c r="FE8" t="s">
        <v>105</v>
      </c>
      <c r="FF8" t="s">
        <v>105</v>
      </c>
      <c r="FG8" t="s">
        <v>105</v>
      </c>
      <c r="FH8" t="s">
        <v>105</v>
      </c>
      <c r="FI8" t="s">
        <v>105</v>
      </c>
      <c r="FJ8" t="s">
        <v>105</v>
      </c>
      <c r="FK8" t="s">
        <v>105</v>
      </c>
      <c r="FL8" t="s">
        <v>105</v>
      </c>
      <c r="FM8" t="s">
        <v>105</v>
      </c>
      <c r="FN8" t="s">
        <v>105</v>
      </c>
      <c r="FO8" t="s">
        <v>105</v>
      </c>
      <c r="FP8" t="s">
        <v>105</v>
      </c>
      <c r="FQ8" t="s">
        <v>105</v>
      </c>
      <c r="FR8" s="41"/>
      <c r="FS8" s="41"/>
      <c r="FT8" s="41"/>
      <c r="FU8" s="41"/>
      <c r="FV8" s="41"/>
      <c r="FW8" s="41"/>
      <c r="FX8" s="41"/>
      <c r="FY8" s="41"/>
      <c r="FZ8" s="41"/>
      <c r="GA8" s="41"/>
      <c r="GB8" s="41"/>
      <c r="GC8" s="41"/>
      <c r="GD8" s="41"/>
      <c r="GE8" s="41"/>
      <c r="GF8" s="41"/>
      <c r="GG8" s="41"/>
      <c r="GH8" s="41"/>
      <c r="GI8" s="41"/>
      <c r="GJ8" s="41"/>
      <c r="GK8" s="41"/>
      <c r="GL8" s="41"/>
      <c r="GM8" s="41"/>
      <c r="GN8" s="41"/>
      <c r="GO8" s="41"/>
      <c r="GP8" s="41"/>
      <c r="GQ8" s="41"/>
      <c r="GR8" s="41"/>
      <c r="GS8" s="41"/>
      <c r="GT8" s="41"/>
      <c r="GU8" s="41"/>
      <c r="GV8" s="41"/>
      <c r="GW8" s="41"/>
      <c r="GX8" s="41"/>
      <c r="GY8" s="41"/>
      <c r="GZ8" s="41"/>
      <c r="HA8" s="41"/>
      <c r="HB8" s="41"/>
      <c r="HC8" s="41"/>
      <c r="HD8" s="41"/>
      <c r="HE8" s="41"/>
      <c r="HF8" s="41"/>
      <c r="HG8" s="41"/>
      <c r="HH8" s="41"/>
      <c r="HI8" s="41"/>
      <c r="HJ8" s="41"/>
      <c r="HK8" s="41"/>
      <c r="HL8" s="41"/>
      <c r="HM8" s="41"/>
      <c r="HN8" s="41"/>
      <c r="HO8" s="41"/>
      <c r="HP8" s="41"/>
      <c r="HQ8" s="41"/>
      <c r="HR8" s="41"/>
      <c r="HS8" s="41"/>
      <c r="HT8" s="41"/>
      <c r="HU8" s="41"/>
      <c r="HV8" s="41"/>
      <c r="HW8" s="41"/>
      <c r="HX8" s="41"/>
      <c r="HY8" s="41"/>
      <c r="HZ8" s="41"/>
      <c r="IA8" s="41"/>
      <c r="IB8" s="41"/>
      <c r="IC8" s="41"/>
      <c r="ID8" s="41"/>
      <c r="IE8" s="41"/>
      <c r="IF8" s="41"/>
      <c r="IG8" s="41"/>
      <c r="IH8" s="41"/>
      <c r="II8" s="41"/>
      <c r="IJ8" s="41"/>
      <c r="IK8" s="41"/>
      <c r="IL8" s="41"/>
      <c r="IM8" s="41"/>
      <c r="IN8" s="41"/>
      <c r="IO8" s="41"/>
      <c r="IP8" s="41"/>
      <c r="IQ8" s="41"/>
      <c r="IR8" s="41"/>
      <c r="IS8" s="41"/>
      <c r="IT8" s="41"/>
      <c r="IU8" s="41"/>
      <c r="IV8" s="41"/>
      <c r="IW8" s="41"/>
      <c r="IX8" s="41"/>
      <c r="IY8" s="41"/>
      <c r="IZ8" s="41"/>
      <c r="JA8" s="41"/>
      <c r="JB8" s="41"/>
      <c r="JC8" s="41"/>
      <c r="JD8" s="41"/>
      <c r="JE8" s="41"/>
      <c r="JF8" s="41"/>
      <c r="JG8" s="41"/>
      <c r="JH8" s="41"/>
      <c r="JI8" s="41"/>
      <c r="JJ8" s="41"/>
      <c r="JK8" s="41"/>
      <c r="JL8" s="41"/>
      <c r="JM8" s="41"/>
      <c r="JN8" s="41"/>
      <c r="JO8" s="41"/>
      <c r="JP8" s="41"/>
      <c r="JQ8" s="41"/>
      <c r="JR8" s="41"/>
      <c r="JS8" s="41"/>
      <c r="JT8" s="41"/>
      <c r="JU8" s="41"/>
      <c r="JV8" s="41"/>
      <c r="JW8" s="41"/>
      <c r="JX8" s="41"/>
      <c r="JY8" s="41"/>
      <c r="JZ8" s="41"/>
      <c r="KA8" s="41"/>
      <c r="KB8" s="41"/>
      <c r="KC8" s="41"/>
      <c r="KD8" s="41"/>
      <c r="KE8" s="41"/>
      <c r="KF8" s="41"/>
      <c r="KG8" s="41"/>
      <c r="KH8" s="41"/>
      <c r="KI8" s="41"/>
      <c r="KJ8" s="41"/>
      <c r="KK8" s="41"/>
      <c r="KL8" s="41"/>
      <c r="KM8" s="41"/>
      <c r="KN8" s="41"/>
      <c r="KO8" s="41"/>
      <c r="KP8" s="41"/>
      <c r="KQ8" s="41"/>
      <c r="KR8" s="41"/>
      <c r="KS8" s="41"/>
      <c r="KT8" s="41"/>
      <c r="KU8" s="41"/>
      <c r="KV8" s="41"/>
      <c r="KW8" s="41"/>
      <c r="KX8" s="41"/>
      <c r="KY8" s="41"/>
      <c r="KZ8" s="41"/>
      <c r="LA8" s="41"/>
      <c r="LB8" s="41"/>
      <c r="LC8" s="41"/>
      <c r="LD8" s="41"/>
      <c r="LE8" s="41"/>
      <c r="LF8" s="41"/>
      <c r="LG8" s="41"/>
      <c r="LH8" s="41"/>
      <c r="LI8" s="41"/>
      <c r="LJ8" s="41"/>
      <c r="LK8" s="41"/>
      <c r="LL8" s="41"/>
      <c r="LM8" s="41"/>
      <c r="LN8" s="41"/>
      <c r="LO8" s="41"/>
      <c r="LP8" s="41"/>
      <c r="LQ8" s="41"/>
      <c r="LR8" s="41"/>
      <c r="LS8" s="41"/>
      <c r="LT8" s="41"/>
      <c r="LU8" s="41"/>
      <c r="LV8" s="41"/>
      <c r="LW8" s="41"/>
      <c r="LX8" s="41"/>
      <c r="LY8" s="41"/>
      <c r="LZ8" s="41"/>
      <c r="MA8" s="41"/>
      <c r="MB8" s="41"/>
      <c r="MC8" s="41"/>
      <c r="MD8" s="41"/>
      <c r="ME8" s="41"/>
      <c r="MF8" s="41"/>
      <c r="MG8" s="41"/>
      <c r="MH8" s="41"/>
      <c r="MI8" s="41"/>
      <c r="MJ8" s="41"/>
      <c r="MK8" s="41"/>
      <c r="ML8" s="41"/>
      <c r="MM8" s="41"/>
      <c r="MN8" s="41"/>
      <c r="MO8" s="41"/>
      <c r="MP8" s="41"/>
      <c r="MQ8" s="41"/>
      <c r="MR8" s="41"/>
      <c r="MS8" s="41"/>
      <c r="MT8" s="41"/>
      <c r="MU8" s="41"/>
      <c r="MV8" s="41"/>
      <c r="MW8" s="41"/>
      <c r="MX8" s="41"/>
      <c r="MY8" s="41"/>
      <c r="MZ8" s="41"/>
      <c r="NA8" s="41"/>
      <c r="NB8" s="41"/>
      <c r="NC8" s="41"/>
      <c r="ND8" s="41"/>
      <c r="NE8" s="41"/>
      <c r="NF8" s="41"/>
      <c r="NG8" s="41"/>
      <c r="NH8" s="41"/>
      <c r="NI8" s="41"/>
      <c r="NJ8" s="41"/>
      <c r="NK8" s="41"/>
      <c r="NL8" s="41"/>
      <c r="NM8" s="41"/>
      <c r="NN8" s="41"/>
      <c r="NO8" s="41"/>
      <c r="NP8" s="41"/>
      <c r="NQ8" s="41"/>
      <c r="NR8" s="41"/>
      <c r="NS8" s="41"/>
      <c r="NT8" s="41"/>
      <c r="NU8" s="41"/>
      <c r="NV8" s="41"/>
      <c r="NW8" s="41"/>
      <c r="NX8" s="41"/>
      <c r="NY8" s="41"/>
      <c r="NZ8" s="41"/>
      <c r="OA8" s="41"/>
      <c r="OB8" s="41"/>
      <c r="OC8" s="41"/>
      <c r="OD8" s="41"/>
      <c r="OE8" s="41"/>
      <c r="OF8" s="41"/>
      <c r="OG8" s="41"/>
      <c r="OH8" s="41"/>
      <c r="OI8" s="41"/>
      <c r="OJ8" s="41"/>
      <c r="OK8" s="41"/>
      <c r="OL8" s="41"/>
      <c r="OM8" s="41"/>
      <c r="ON8" s="41"/>
      <c r="OO8" s="41"/>
      <c r="OP8" s="41"/>
      <c r="OQ8" s="41"/>
      <c r="OR8" s="41"/>
      <c r="OS8" s="41"/>
      <c r="OT8" s="41"/>
      <c r="OU8" s="41"/>
      <c r="OV8" s="41"/>
      <c r="OW8" s="41"/>
      <c r="OX8" s="41"/>
      <c r="OY8" s="41"/>
      <c r="OZ8" s="41"/>
      <c r="PA8" s="41"/>
      <c r="PB8" s="41"/>
      <c r="PC8" s="41"/>
      <c r="PD8" s="41"/>
      <c r="PE8" s="41"/>
      <c r="PF8" s="41"/>
      <c r="PG8" s="41"/>
      <c r="PH8" s="41"/>
      <c r="PI8" s="41"/>
      <c r="PJ8" s="41"/>
      <c r="PK8" s="41"/>
      <c r="PL8" s="41"/>
      <c r="PM8" s="41"/>
      <c r="PN8" s="41"/>
      <c r="PO8" s="41"/>
      <c r="PP8" s="41"/>
      <c r="PQ8" s="41"/>
      <c r="PR8" s="41"/>
      <c r="PS8" s="41"/>
      <c r="PT8" s="41"/>
      <c r="PU8" s="41"/>
      <c r="PV8" s="41"/>
      <c r="PW8" s="41"/>
      <c r="PX8" s="41"/>
      <c r="PY8" s="41"/>
      <c r="PZ8" s="41"/>
      <c r="QA8" s="41"/>
      <c r="QB8" s="41"/>
      <c r="QC8" s="41"/>
      <c r="QD8" s="41"/>
      <c r="QE8" s="41"/>
      <c r="QF8" s="41"/>
      <c r="QG8" s="41"/>
      <c r="QH8" s="41"/>
      <c r="QI8" s="41"/>
      <c r="QJ8" s="41"/>
      <c r="QK8" s="41"/>
      <c r="QL8" s="41"/>
      <c r="QM8" s="41"/>
      <c r="QN8" s="41"/>
      <c r="QO8" s="41"/>
      <c r="QP8" s="41"/>
      <c r="QQ8" s="41"/>
      <c r="QR8" s="41"/>
      <c r="QS8" s="41"/>
      <c r="QT8" s="41"/>
      <c r="QU8" s="41"/>
      <c r="QV8" s="41"/>
      <c r="QW8" s="41"/>
      <c r="QX8" s="41"/>
      <c r="QY8" s="41"/>
      <c r="QZ8" s="41"/>
      <c r="RA8" s="41"/>
      <c r="RB8" s="41"/>
      <c r="RC8" s="41"/>
      <c r="RD8" s="41"/>
      <c r="RE8" s="41"/>
      <c r="RF8" s="41"/>
      <c r="RG8" s="41"/>
      <c r="RH8" s="41"/>
      <c r="RI8" s="41"/>
      <c r="RJ8" s="41"/>
      <c r="RK8" s="41"/>
      <c r="RL8" s="41"/>
      <c r="RM8" s="41"/>
      <c r="RN8" s="41"/>
      <c r="RO8" s="41"/>
      <c r="RP8" s="41"/>
      <c r="RQ8" s="41"/>
      <c r="RR8" s="41"/>
      <c r="RS8" s="41"/>
      <c r="RT8" s="41"/>
      <c r="RU8" s="41"/>
      <c r="RV8" s="41"/>
      <c r="RW8" s="41"/>
      <c r="RX8" s="41"/>
      <c r="RY8" s="41"/>
      <c r="RZ8" s="41"/>
      <c r="SA8" s="41"/>
      <c r="SB8" s="41"/>
      <c r="SC8" s="41"/>
      <c r="SD8" s="41"/>
      <c r="SE8" s="41"/>
      <c r="SF8" s="41"/>
      <c r="SG8" s="41"/>
      <c r="SH8" s="41"/>
      <c r="SI8" s="41"/>
      <c r="SJ8" s="41"/>
      <c r="SK8" s="41"/>
      <c r="SL8" s="41"/>
      <c r="SM8" s="41"/>
      <c r="SN8" s="41"/>
      <c r="SO8" s="41"/>
      <c r="SP8" s="41"/>
      <c r="SQ8" s="41"/>
      <c r="SR8" s="41"/>
      <c r="SS8" s="41"/>
      <c r="ST8" s="41"/>
      <c r="SU8" s="41"/>
      <c r="SV8" s="41"/>
      <c r="SW8" s="41"/>
      <c r="SX8" s="41"/>
      <c r="SY8" s="41"/>
      <c r="SZ8" s="41"/>
      <c r="TA8" s="41"/>
      <c r="TB8" s="41"/>
      <c r="TC8" s="41"/>
      <c r="TD8" s="41"/>
      <c r="TE8" s="41"/>
      <c r="TF8" s="41"/>
      <c r="TG8" s="41"/>
      <c r="TH8" s="41"/>
      <c r="TI8" s="41"/>
      <c r="TJ8" s="41"/>
      <c r="TK8" s="41"/>
      <c r="TL8" s="41"/>
      <c r="TM8" s="41"/>
      <c r="TN8" s="41"/>
      <c r="TO8" s="41"/>
      <c r="TP8" s="41"/>
      <c r="TQ8" s="41"/>
      <c r="TR8" s="41"/>
      <c r="TS8" s="41"/>
      <c r="TT8" s="41"/>
      <c r="TU8" s="41"/>
      <c r="TV8" s="41"/>
      <c r="TW8" s="41"/>
      <c r="TX8" s="41"/>
      <c r="TY8" s="41"/>
      <c r="TZ8" s="41"/>
      <c r="UA8" s="41"/>
      <c r="UB8" s="41"/>
      <c r="UC8" s="41"/>
      <c r="UD8" s="41"/>
      <c r="UE8" s="41"/>
      <c r="UF8" s="41"/>
      <c r="UG8" s="41"/>
      <c r="UH8" s="41"/>
      <c r="UI8" s="41"/>
      <c r="UJ8" s="41"/>
      <c r="UK8" s="41"/>
      <c r="UL8" s="41"/>
      <c r="UM8" s="41"/>
      <c r="UN8" s="41"/>
      <c r="UO8" s="41"/>
      <c r="UP8" s="41"/>
      <c r="UQ8" s="41"/>
      <c r="UR8" s="41"/>
      <c r="US8" s="41"/>
      <c r="UT8" s="41"/>
      <c r="UU8" s="41"/>
      <c r="UV8" s="41"/>
      <c r="UW8" s="41"/>
      <c r="UX8" s="41"/>
      <c r="UY8" s="41"/>
      <c r="UZ8" s="41"/>
      <c r="VA8" s="41"/>
      <c r="VB8" s="41"/>
      <c r="VC8" s="41"/>
      <c r="VD8" s="41"/>
      <c r="VE8" s="41"/>
      <c r="VF8" s="41"/>
      <c r="VG8" s="41"/>
      <c r="VH8" s="41"/>
      <c r="VI8" s="41"/>
      <c r="VJ8" s="41"/>
      <c r="VK8" s="41"/>
      <c r="VL8" s="41"/>
      <c r="VM8" s="41"/>
      <c r="VN8" s="41"/>
      <c r="VO8" s="41"/>
      <c r="VP8" s="41"/>
      <c r="VQ8" s="41"/>
      <c r="VR8" s="41"/>
      <c r="VS8" s="41"/>
      <c r="VT8" s="41"/>
      <c r="VU8" s="41"/>
      <c r="VV8" s="41"/>
      <c r="VW8" s="41"/>
      <c r="VX8" s="41"/>
      <c r="VY8" s="41"/>
      <c r="VZ8" s="41"/>
      <c r="WA8" s="41"/>
      <c r="WB8" s="41"/>
      <c r="WC8" s="41"/>
      <c r="WD8" s="41"/>
      <c r="WE8" s="41"/>
      <c r="WF8" s="41"/>
      <c r="WG8" s="41"/>
      <c r="WH8" s="41"/>
      <c r="WI8" s="41"/>
      <c r="WJ8" s="41"/>
      <c r="WK8" s="41"/>
      <c r="WL8" s="41"/>
      <c r="WM8" s="41"/>
      <c r="WN8" s="41"/>
      <c r="WO8" s="41"/>
      <c r="WP8" s="41"/>
      <c r="WQ8" s="41"/>
      <c r="WR8" s="41"/>
      <c r="WS8" s="41"/>
      <c r="WT8" s="41"/>
      <c r="WU8" s="41"/>
      <c r="WV8" s="41"/>
      <c r="WW8" s="41"/>
      <c r="WX8" s="41"/>
      <c r="WY8" s="41"/>
      <c r="WZ8" s="41"/>
      <c r="XA8" s="41"/>
      <c r="XB8" s="41"/>
      <c r="XC8" s="41"/>
      <c r="XD8" s="41"/>
      <c r="XE8" s="41"/>
      <c r="XF8" s="41"/>
      <c r="XG8" s="41"/>
      <c r="XH8" s="41"/>
      <c r="XI8" s="41"/>
      <c r="XJ8" s="41"/>
      <c r="XK8" s="41"/>
      <c r="XL8" s="41"/>
      <c r="XM8" s="41"/>
      <c r="XN8" s="41"/>
      <c r="XO8" s="41"/>
      <c r="XP8" s="41"/>
      <c r="XQ8" s="41"/>
      <c r="XR8" s="41"/>
      <c r="XS8" s="41"/>
      <c r="XT8" s="41"/>
      <c r="XU8" s="41"/>
      <c r="XV8" s="41"/>
      <c r="XW8" s="41"/>
      <c r="XX8" s="41"/>
      <c r="XY8" s="41"/>
      <c r="XZ8" s="41"/>
      <c r="YA8" s="41"/>
      <c r="YB8" s="41"/>
      <c r="YC8" s="41"/>
      <c r="YD8" s="41"/>
      <c r="YE8" s="41"/>
      <c r="YF8" s="41"/>
      <c r="YG8" s="41"/>
      <c r="YH8" s="41"/>
      <c r="YI8" s="41"/>
      <c r="YJ8" s="41"/>
      <c r="YK8" s="41"/>
      <c r="YL8" s="41"/>
      <c r="YM8" s="41"/>
      <c r="YN8" s="41"/>
      <c r="YO8" s="41"/>
      <c r="YP8" s="41"/>
      <c r="YQ8" s="41"/>
      <c r="YR8" s="41"/>
      <c r="YS8" s="41"/>
      <c r="YT8" s="41"/>
      <c r="YU8" s="41"/>
      <c r="YV8" s="41"/>
      <c r="YW8" s="41"/>
      <c r="YX8" s="41"/>
      <c r="YY8" s="41"/>
      <c r="YZ8" s="41"/>
      <c r="ZA8" s="41"/>
      <c r="ZB8" s="41"/>
      <c r="ZC8" s="41"/>
      <c r="ZD8" s="41"/>
      <c r="ZE8" s="41"/>
      <c r="ZF8" s="41"/>
      <c r="ZG8" s="41"/>
      <c r="ZH8" s="41"/>
      <c r="ZI8" s="41"/>
      <c r="ZJ8" s="41"/>
      <c r="ZK8" s="41"/>
      <c r="ZL8" s="41"/>
      <c r="ZM8" s="41"/>
      <c r="ZN8" s="41"/>
      <c r="ZO8" s="41"/>
      <c r="ZP8" s="41"/>
      <c r="ZQ8" s="41"/>
      <c r="ZR8" s="41"/>
      <c r="ZS8" s="41"/>
      <c r="ZT8" s="41"/>
      <c r="ZU8" s="41"/>
      <c r="ZV8" s="41"/>
      <c r="ZW8" s="41"/>
      <c r="ZX8" s="41"/>
      <c r="ZY8" s="41"/>
      <c r="ZZ8" s="41"/>
      <c r="AAA8" s="41"/>
      <c r="AAB8" s="41"/>
      <c r="AAC8" s="41"/>
      <c r="AAD8" s="41"/>
      <c r="AAE8" s="41"/>
      <c r="AAF8" s="41"/>
      <c r="AAG8" s="41"/>
      <c r="AAH8" s="41"/>
      <c r="AAI8" s="41"/>
      <c r="AAJ8" s="41"/>
      <c r="AAK8" s="41"/>
      <c r="AAL8" s="41"/>
      <c r="AAM8" s="41"/>
      <c r="AAN8" s="41"/>
      <c r="AAO8" s="41"/>
      <c r="AAP8" s="41"/>
      <c r="AAQ8" s="41"/>
      <c r="AAR8" s="41"/>
      <c r="AAS8" s="41"/>
      <c r="AAT8" s="41"/>
      <c r="AAU8" s="41"/>
      <c r="AAV8" s="41"/>
      <c r="AAW8" s="41"/>
      <c r="AAX8" s="41"/>
      <c r="AAY8" s="41"/>
      <c r="AAZ8" s="41"/>
      <c r="ABA8" s="41"/>
      <c r="ABB8" s="41"/>
      <c r="ABC8" s="41"/>
      <c r="ABD8" s="41"/>
      <c r="ABE8" s="41"/>
      <c r="ABF8" s="41"/>
      <c r="ABG8" s="41"/>
      <c r="ABH8" s="41"/>
      <c r="ABI8" s="41"/>
      <c r="ABJ8" s="41"/>
      <c r="ABK8" s="41"/>
      <c r="ABL8" s="41"/>
      <c r="ABM8" s="41"/>
      <c r="ABN8" s="41"/>
      <c r="ABO8" s="41"/>
      <c r="ABP8" s="41"/>
      <c r="ABQ8" s="41"/>
      <c r="ABR8" s="41"/>
      <c r="ABS8" s="41"/>
      <c r="ABT8" s="41"/>
      <c r="ABU8" s="41"/>
      <c r="ABV8" s="41"/>
      <c r="ABW8" s="41"/>
      <c r="ABX8" s="41"/>
      <c r="ABY8" s="41"/>
      <c r="ABZ8" s="41"/>
      <c r="ACA8" s="41"/>
      <c r="ACB8" s="41"/>
      <c r="ACC8" s="41"/>
      <c r="ACD8" s="41"/>
      <c r="ACE8" s="41"/>
      <c r="ACF8" s="41"/>
      <c r="ACG8" s="41"/>
      <c r="ACH8" s="41"/>
      <c r="ACI8" s="41"/>
      <c r="ACJ8" s="41"/>
      <c r="ACK8" s="41"/>
      <c r="ACL8" s="41"/>
      <c r="ACM8" s="41"/>
      <c r="ACN8" s="41"/>
      <c r="ACO8" s="41"/>
      <c r="ACP8" s="41"/>
      <c r="ACQ8" s="41"/>
      <c r="ACR8" s="41"/>
      <c r="ACS8" s="41"/>
      <c r="ACT8" s="41"/>
      <c r="ACU8" s="41"/>
      <c r="ACV8" s="41"/>
      <c r="ACW8" s="41"/>
      <c r="ACX8" s="41"/>
      <c r="ACY8" s="41"/>
      <c r="ACZ8" s="41"/>
      <c r="ADA8" s="41"/>
      <c r="ADB8" s="41"/>
      <c r="ADC8" s="41"/>
      <c r="ADD8" s="41"/>
      <c r="ADE8" s="41"/>
      <c r="ADF8" s="41"/>
      <c r="ADG8" s="41"/>
      <c r="ADH8" s="41"/>
      <c r="ADI8" s="41"/>
      <c r="ADJ8" s="41"/>
      <c r="ADK8" s="41"/>
      <c r="ADL8" s="41"/>
      <c r="ADM8" s="41"/>
      <c r="ADN8" s="41"/>
      <c r="ADO8" s="41"/>
      <c r="ADP8" s="41"/>
      <c r="ADQ8" s="41"/>
      <c r="ADR8" s="41"/>
      <c r="ADS8" s="41"/>
      <c r="ADT8" s="41"/>
      <c r="ADU8" s="41"/>
      <c r="ADV8" s="41"/>
      <c r="ADW8" s="41"/>
      <c r="ADX8" s="41"/>
      <c r="ADY8" s="41"/>
      <c r="ADZ8" s="41"/>
      <c r="AEA8" s="41"/>
      <c r="AEB8" s="41"/>
      <c r="AEC8" s="41"/>
      <c r="AED8" s="41"/>
      <c r="AEE8" s="41"/>
      <c r="AEF8" s="41"/>
      <c r="AEG8" s="41"/>
      <c r="AEH8" s="41"/>
      <c r="AEI8" s="41"/>
      <c r="AEJ8" s="41"/>
      <c r="AEK8" s="41"/>
      <c r="AEL8" s="41"/>
      <c r="AEM8" s="41"/>
      <c r="AEN8" s="41"/>
      <c r="AEO8" s="41"/>
      <c r="AEP8" s="41"/>
      <c r="AEQ8" s="41"/>
      <c r="AER8" s="41"/>
      <c r="AES8" s="41"/>
      <c r="AET8" s="41"/>
      <c r="AEU8" s="41"/>
      <c r="AEV8" s="41"/>
      <c r="AEW8" s="41"/>
      <c r="AEX8" s="41"/>
      <c r="AEY8" s="41"/>
      <c r="AEZ8" s="41"/>
      <c r="AFA8" s="41"/>
      <c r="AFB8" s="41"/>
      <c r="AFC8" s="41"/>
      <c r="AFD8" s="41"/>
      <c r="AFE8" s="41"/>
      <c r="AFF8" s="41"/>
      <c r="AFG8" s="41"/>
      <c r="AFH8" s="41"/>
      <c r="AFI8" s="41"/>
      <c r="AFJ8" s="41"/>
      <c r="AFK8" s="41"/>
      <c r="AFL8" s="41"/>
      <c r="AFM8" s="41"/>
      <c r="AFN8" s="41"/>
      <c r="AFO8" s="41"/>
      <c r="AFP8" s="41"/>
      <c r="AFQ8" s="41"/>
      <c r="AFR8" s="41"/>
      <c r="AFS8" s="41"/>
      <c r="AFT8" s="41"/>
      <c r="AFU8" s="41"/>
      <c r="AFV8" s="41"/>
      <c r="AFW8" s="41"/>
      <c r="AFX8" s="41"/>
      <c r="AFY8" s="41"/>
      <c r="AFZ8" s="41"/>
      <c r="AGA8" s="41"/>
      <c r="AGB8" s="41"/>
      <c r="AGC8" s="41"/>
      <c r="AGD8" s="41"/>
      <c r="AGE8" s="41"/>
      <c r="AGF8" s="41"/>
      <c r="AGG8" s="41"/>
      <c r="AGH8" s="41"/>
      <c r="AGI8" s="41"/>
      <c r="AGJ8" s="41"/>
      <c r="AGK8" s="41"/>
      <c r="AGL8" s="41"/>
      <c r="AGM8" s="41"/>
      <c r="AGN8" s="41"/>
      <c r="AGO8" s="41"/>
      <c r="AGP8" s="41"/>
      <c r="AGQ8" s="41"/>
      <c r="AGR8" s="41"/>
      <c r="AGS8" s="41"/>
      <c r="AGT8" s="41"/>
      <c r="AGU8" s="41"/>
      <c r="AGV8" s="41"/>
      <c r="AGW8" s="41"/>
      <c r="AGX8" s="41"/>
      <c r="AGY8" s="41"/>
      <c r="AGZ8" s="41"/>
      <c r="AHA8" s="41"/>
      <c r="AHB8" s="41"/>
      <c r="AHC8" s="41"/>
      <c r="AHD8" s="41"/>
      <c r="AHE8" s="41"/>
      <c r="AHF8" s="41"/>
      <c r="AHG8" s="41"/>
      <c r="AHH8" s="41"/>
      <c r="AHI8" s="41"/>
      <c r="AHJ8" s="41"/>
      <c r="AHK8" s="41"/>
      <c r="AHL8" s="41"/>
      <c r="AHM8" s="41"/>
      <c r="AHN8" s="41"/>
      <c r="AHO8" s="41"/>
      <c r="AHP8" s="41"/>
      <c r="AHQ8" s="41"/>
      <c r="AHR8" s="41"/>
      <c r="AHS8" s="41"/>
      <c r="AHT8" s="41"/>
      <c r="AHU8" s="41"/>
      <c r="AHV8" s="41"/>
      <c r="AHW8" s="41"/>
      <c r="AHX8" s="41"/>
      <c r="AHY8" s="41"/>
      <c r="AHZ8" s="41"/>
      <c r="AIA8" s="41"/>
      <c r="AIB8" s="41"/>
      <c r="AIC8" s="41"/>
      <c r="AID8" s="41"/>
      <c r="AIE8" s="41"/>
      <c r="AIF8" s="41"/>
      <c r="AIG8" s="41"/>
      <c r="AIH8" s="41"/>
      <c r="AII8" s="41"/>
      <c r="AIJ8" s="41"/>
      <c r="AIK8" s="41"/>
      <c r="AIL8" s="41"/>
      <c r="AIM8" s="41"/>
      <c r="AIN8" s="41"/>
      <c r="AIO8" s="41"/>
      <c r="AIP8" s="41"/>
      <c r="AIQ8" s="41"/>
      <c r="AIR8" s="41"/>
      <c r="AIS8" s="41"/>
      <c r="AIT8" s="41"/>
      <c r="AIU8" s="41"/>
      <c r="AIV8" s="41"/>
      <c r="AIW8" s="41"/>
      <c r="AIX8" s="41"/>
      <c r="AIY8" s="41"/>
      <c r="AIZ8" s="41"/>
      <c r="AJA8" s="41"/>
      <c r="AJB8" s="41"/>
      <c r="AJC8" s="41"/>
      <c r="AJD8" s="41"/>
      <c r="AJE8" s="41"/>
      <c r="AJF8" s="41"/>
      <c r="AJG8" s="41"/>
      <c r="AJH8" s="41"/>
      <c r="AJI8" s="41"/>
      <c r="AJJ8" s="41"/>
      <c r="AJK8" s="41"/>
      <c r="AJL8" s="41"/>
      <c r="AJM8" s="41"/>
      <c r="AJN8" s="41"/>
      <c r="AJO8" s="41"/>
      <c r="AJP8" s="41"/>
      <c r="AJQ8" s="41"/>
      <c r="AJR8" s="41"/>
      <c r="AJS8" s="41"/>
      <c r="AJT8" s="41"/>
      <c r="AJU8" s="41"/>
      <c r="AJV8" s="41"/>
      <c r="AJW8" s="41"/>
      <c r="AJX8" s="41"/>
      <c r="AJY8" s="41"/>
      <c r="AJZ8" s="41"/>
      <c r="AKA8" s="41"/>
      <c r="AKB8" s="41"/>
      <c r="AKC8" s="41"/>
      <c r="AKD8" s="41"/>
      <c r="AKE8" s="41"/>
      <c r="AKF8" s="41"/>
      <c r="AKG8" s="41"/>
      <c r="AKH8" s="41"/>
      <c r="AKI8" s="41"/>
      <c r="AKJ8" s="41"/>
      <c r="AKK8" s="41"/>
      <c r="AKL8" s="41"/>
      <c r="AKM8" s="41"/>
      <c r="AKN8" s="41"/>
      <c r="AKO8" s="41"/>
      <c r="AKP8" s="41"/>
      <c r="AKQ8" s="41"/>
      <c r="AKR8" s="41"/>
      <c r="AKS8" s="41"/>
      <c r="AKT8" s="41"/>
      <c r="AKU8" s="41"/>
      <c r="AKV8" s="41"/>
      <c r="AKW8" s="41"/>
      <c r="AKX8" s="41"/>
      <c r="AKY8" s="41"/>
      <c r="AKZ8" s="41"/>
      <c r="ALA8" s="41"/>
      <c r="ALB8" s="41"/>
      <c r="ALC8" s="41"/>
      <c r="ALD8" s="41"/>
      <c r="ALE8" s="41"/>
      <c r="ALF8" s="41"/>
      <c r="ALG8" s="41"/>
      <c r="ALH8" s="41"/>
      <c r="ALI8" s="41"/>
      <c r="ALJ8" s="41"/>
      <c r="ALK8" s="41"/>
      <c r="ALL8" s="41"/>
      <c r="ALM8" s="41"/>
      <c r="ALN8" s="41"/>
      <c r="ALO8" s="41"/>
      <c r="ALP8" s="41"/>
      <c r="ALQ8" s="41"/>
      <c r="ALR8" s="41"/>
      <c r="ALS8" s="41"/>
      <c r="ALT8" s="41"/>
      <c r="ALU8" s="41"/>
      <c r="ALV8" s="41"/>
      <c r="ALW8" s="41"/>
      <c r="ALX8" s="41"/>
      <c r="ALY8" s="41"/>
      <c r="ALZ8" s="41"/>
      <c r="AMA8" s="41"/>
      <c r="AMB8" s="41"/>
      <c r="AMC8" s="41"/>
      <c r="AMD8" s="41"/>
      <c r="AME8" s="41"/>
      <c r="AMF8" s="41"/>
      <c r="AMG8" s="41"/>
      <c r="AMH8" s="41"/>
      <c r="AMI8" s="41"/>
      <c r="AMJ8" s="41"/>
      <c r="AMK8" s="41"/>
      <c r="AML8" s="41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IFERROR(__xludf.DUMMYFUNCTION("""COMPUTED_VALUE"""),"Broker")</f>
        <v>Broker</v>
      </c>
      <c r="C5" s="27" t="str">
        <f>IFERROR(__xludf.DUMMYFUNCTION("""COMPUTED_VALUE"""),"Venue")</f>
        <v>Venue</v>
      </c>
      <c r="D5" s="27" t="str">
        <f>IFERROR(__xludf.DUMMYFUNCTION("""COMPUTED_VALUE"""),"Order Type")</f>
        <v>Order Type</v>
      </c>
      <c r="E5" s="27" t="str">
        <f>IFERROR(__xludf.DUMMYFUNCTION("""COMPUTED_VALUE"""),"TIF")</f>
        <v>TIF</v>
      </c>
      <c r="F5" s="28" t="str">
        <f>IFERROR(__xludf.DUMMYFUNCTION("""COMPUTED_VALUE"""),"Handling Instruction")</f>
        <v>Handling Instruction</v>
      </c>
      <c r="G5" s="27" t="str">
        <f>IFERROR(__xludf.DUMMYFUNCTION("""COMPUTED_VALUE"""),"Execution Instruction")</f>
        <v>Execution Instruction</v>
      </c>
      <c r="H5" s="27" t="str">
        <f>IFERROR(__xludf.DUMMYFUNCTION("""COMPUTED_VALUE"""),"Strategy")</f>
        <v>Strategy</v>
      </c>
      <c r="I5" s="27" t="str">
        <f>IFERROR(__xludf.DUMMYFUNCTION("""COMPUTED_VALUE"""),"Account")</f>
        <v>Account</v>
      </c>
      <c r="J5" s="27" t="str">
        <f>IFERROR(__xludf.DUMMYFUNCTION("""COMPUTED_VALUE"""),"Settlement Currency")</f>
        <v>Settlement Currency</v>
      </c>
      <c r="K5" s="27" t="str">
        <f>IFERROR(__xludf.DUMMYFUNCTION("""COMPUTED_VALUE"""),"Trader")</f>
        <v>Trader</v>
      </c>
      <c r="L5" s="27" t="str">
        <f>IFERROR(__xludf.DUMMYFUNCTION("""COMPUTED_VALUE"""),"Default Quantity")</f>
        <v>Default Quantity</v>
      </c>
      <c r="M5" s="27" t="str">
        <f>IFERROR(__xludf.DUMMYFUNCTION("""COMPUTED_VALUE"""),"Apply Round Lots")</f>
        <v>Apply Round Lots</v>
      </c>
      <c r="N5" s="27" t="str">
        <f>IFERROR(__xludf.DUMMYFUNCTION("""COMPUTED_VALUE"""),"Quantity")</f>
        <v>Quantity</v>
      </c>
      <c r="O5" s="27" t="str">
        <f>IFERROR(__xludf.DUMMYFUNCTION("""COMPUTED_VALUE"""),"Increase On Quantity")</f>
        <v>Increase On Quantity</v>
      </c>
      <c r="P5" s="27" t="str">
        <f>IFERROR(__xludf.DUMMYFUNCTION("""COMPUTED_VALUE"""),"Increase On Stop")</f>
        <v>Increase On Stop</v>
      </c>
      <c r="Q5" s="27" t="str">
        <f>IFERROR(__xludf.DUMMYFUNCTION("""COMPUTED_VALUE"""),"Increase On Limit")</f>
        <v>Increase On Limit</v>
      </c>
      <c r="R5" s="27" t="str">
        <f>IFERROR(__xludf.DUMMYFUNCTION("""COMPUTED_VALUE"""),"Broker_Enable?")</f>
        <v>Broker_Enable?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12" t="s">
        <v>62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SetUIPreferencesTT!$4:$4</formula1>
    </dataValidation>
  </dataValidations>
  <drawing r:id="rId1"/>
</worksheet>
</file>