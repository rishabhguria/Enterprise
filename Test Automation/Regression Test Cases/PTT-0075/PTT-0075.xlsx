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spreadsheetml.sharedStrings+xml" PartName="/xl/sharedStrings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name="_Modules" sheetId="1" r:id="rId3"/>
    <sheet name="_Settings" sheetId="2" r:id="rId4"/>
    <sheet name="_MasterData" sheetId="3" r:id="rId5"/>
    <sheet name="SetDollarAmountPermission" sheetId="4" r:id="rId6"/>
    <sheet name="CreateDoneAwayOrder" sheetId="5" r:id="rId7"/>
    <sheet name="GetDailyCash" sheetId="6" r:id="rId8"/>
    <sheet name="UpdateMultipleDailyCash" sheetId="7" r:id="rId9"/>
    <sheet name="PricingInput" sheetId="8" r:id="rId10"/>
    <sheet name="CalculatePTT" sheetId="9" r:id="rId11"/>
    <sheet name="VerifyPTT" sheetId="10" r:id="rId12"/>
    <sheet name="TradePTT" sheetId="11" r:id="rId13"/>
    <sheet name="CreateDoneAwayOrder1" sheetId="12" r:id="rId14"/>
    <sheet name="CalculatePTT1" sheetId="13" r:id="rId15"/>
    <sheet name="VerifyPTT1" sheetId="14" r:id="rId16"/>
    <sheet name="TradePTT1" sheetId="15" r:id="rId17"/>
    <sheet name="CreateDoneAwayOrder2" sheetId="16" r:id="rId18"/>
    <sheet name="CheckPortfolioManagement" sheetId="17" r:id="rId19"/>
  </sheets>
  <calcPr fullCalcOnLoad="1"/>
</workbook>
</file>

<file path=xl/sharedStrings.xml><?xml version="1.0" encoding="utf-8"?>
<sst xmlns="http://schemas.openxmlformats.org/spreadsheetml/2006/main" count="45" uniqueCount="45">
  <si>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</si>
  <si>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</si>
  <si>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</si>
  <si>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</si>
  <si>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</si>
  <si>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</si>
  <si>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</si>
  <si>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</si>
  <si>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</si>
  <si>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</si>
  <si>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</si>
  <si>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</si>
  <si>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</si>
  <si>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SetDollarAmountPermission</t>
  </si>
  <si>
    <t>Data Format</t>
  </si>
  <si>
    <t>Input Format</t>
  </si>
  <si>
    <t>TradingTicket</t>
  </si>
  <si>
    <t>CreateDoneAwayOrder</t>
  </si>
  <si>
    <t>AAPL</t>
  </si>
  <si>
    <t>Buy</t>
  </si>
  <si>
    <t>Allocation1</t>
  </si>
  <si>
    <t>MS</t>
  </si>
  <si>
    <t>Allocation2</t>
  </si>
  <si>
    <t>rt</t>
  </si>
  <si>
    <t>DailyValuation</t>
  </si>
  <si>
    <t>GetDailyCash</t>
  </si>
  <si>
    <t>UpdateMultipleDailyCash</t>
  </si>
  <si>
    <t>USD</t>
  </si>
  <si>
    <t>PricingInput</t>
  </si>
  <si>
    <t>PTT</t>
  </si>
  <si>
    <t>CalculatePTT</t>
  </si>
  <si>
    <t>Set</t>
  </si>
  <si>
    <t>$ Amount</t>
  </si>
  <si>
    <t>Yes</t>
  </si>
  <si>
    <t>Account</t>
  </si>
  <si>
    <t>Allocation1,Allocation2</t>
  </si>
  <si>
    <t>VerifyPTT</t>
  </si>
  <si>
    <t/>
  </si>
  <si>
    <t>TradePTT</t>
  </si>
  <si>
    <t>PortfolioManagement</t>
  </si>
  <si>
    <t>CheckPortfolioManagement</t>
  </si>
  <si>
    <t>NewMF</t>
  </si>
  <si>
    <t>Long</t>
  </si>
  <si>
    <t>NewMF1</t>
  </si>
  <si>
    <t>NewMF2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</si>
</sst>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m/d/yyyy h:mm"/>
    <numFmt numFmtId="166" formatCode="m/d/yyyy h:mm:ss am/pm"/>
  </numFmts>
  <fonts count="15">
    <font>
      <sz val="10"/>
      <color rgb="FF000000"/>
      <name val="Arial"/>
    </font>
    <font>
      <b/>
      <sz val="14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"/>
      <color rgb="FF000000"/>
      <name val="Calibri"/>
    </font>
    <font>
      <sz val="11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</borders>
  <cellStyleXfs count="1">
    <xf fontId="0" fillId="0" borderId="0"/>
  </cellStyleXfs>
  <cellXfs count="79">
    <xf fontId="0" applyFont="1" fillId="0" applyFill="1" borderId="0" applyBorder="1" xfId="0"/>
    <xf fontId="1" applyFont="1" fillId="2" applyFill="1" borderId="1" applyBorder="1" xfId="0">
      <alignment horizontal="center"/>
    </xf>
    <xf fontId="2" applyFont="1" fillId="0" applyFill="1" borderId="2" applyBorder="1" xfId="0"/>
    <xf fontId="2" applyFont="1" fillId="0" applyFill="1" borderId="3" applyBorder="1" xfId="0"/>
    <xf fontId="3" applyFont="1" fillId="0" applyFill="1" borderId="0" applyBorder="1" xfId="0"/>
    <xf fontId="4" applyFont="1" fillId="3" applyFill="1" borderId="4" applyBorder="1" xfId="0"/>
    <xf fontId="3" applyFont="1" fillId="3" applyFill="1" borderId="4" applyBorder="1" xfId="0"/>
    <xf fontId="3" applyFont="1" fillId="3" applyFill="1" borderId="4" applyBorder="1" xfId="0"/>
    <xf fontId="5" applyFont="1" fillId="0" applyFill="1" borderId="0" applyBorder="1" xfId="0"/>
    <xf fontId="2" applyFont="1" fillId="0" applyFill="1" borderId="0" applyBorder="1" xfId="0"/>
    <xf fontId="6" applyFont="1" fillId="2" applyFill="1" borderId="1" applyBorder="1" xfId="0">
      <alignment horizontal="center"/>
    </xf>
    <xf fontId="5" applyFont="1" fillId="0" applyFill="1" borderId="0" applyBorder="1" xfId="0"/>
    <xf fontId="4" applyFont="1" fillId="3" applyFill="1" borderId="4" applyBorder="1" xfId="0"/>
    <xf fontId="5" applyFont="1" fillId="0" applyFill="1" borderId="0" applyBorder="1" xfId="0"/>
    <xf fontId="7" applyFont="1" fillId="3" applyFill="1" borderId="4" applyBorder="1" xfId="0"/>
    <xf fontId="1" applyFont="1" fillId="2" applyFill="1" borderId="1" applyBorder="1" xfId="0">
      <alignment horizontal="center"/>
    </xf>
    <xf fontId="8" applyFont="1" fillId="3" applyFill="1" borderId="4" applyBorder="1" xfId="0"/>
    <xf fontId="8" applyFont="1" fillId="3" applyFill="1" borderId="4" applyBorder="1" xfId="0"/>
    <xf fontId="9" applyFont="1" fillId="0" applyFill="1" borderId="0" applyBorder="1" xfId="0"/>
    <xf fontId="1" applyFont="1" fillId="2" applyFill="1" borderId="0" applyBorder="1" xfId="0">
      <alignment horizontal="center"/>
    </xf>
    <xf fontId="2" applyFont="1" fillId="2" applyFill="1" borderId="0" applyBorder="1" xfId="0"/>
    <xf fontId="7" applyFont="1" fillId="0" applyFill="1" borderId="0" applyBorder="1" xfId="0"/>
    <xf fontId="4" applyFont="1" fillId="3" applyFill="1" borderId="0" applyBorder="1" xfId="0"/>
    <xf fontId="7" applyFont="1" fillId="3" applyFill="1" borderId="4" applyBorder="1" xfId="0"/>
    <xf fontId="10" applyFont="1" fillId="3" applyFill="1" borderId="0" applyBorder="1" xfId="0"/>
    <xf fontId="11" applyFont="1" fillId="4" applyFill="1" borderId="0" applyBorder="1" xfId="0"/>
    <xf fontId="12" applyFont="1" fillId="4" applyFill="1" borderId="0" applyBorder="1" xfId="0"/>
    <xf fontId="4" applyFont="1" fillId="5" applyFill="1" borderId="0" applyBorder="1" xfId="0"/>
    <xf fontId="4" applyFont="1" fillId="5" applyFill="1" borderId="4" applyBorder="1" xfId="0"/>
    <xf fontId="4" applyFont="1" fillId="5" applyFill="1" borderId="4" applyBorder="1" xfId="0"/>
    <xf fontId="10" applyFont="1" fillId="5" applyFill="1" borderId="0" applyBorder="1" xfId="0"/>
    <xf fontId="5" applyFont="1" fillId="0" applyFill="1" borderId="0" applyBorder="1" xfId="0"/>
    <xf fontId="3" applyFont="1" fillId="0" applyFill="1" borderId="0" applyBorder="1" xfId="0"/>
    <xf fontId="3" applyFont="1" fillId="0" applyFill="1" borderId="5" applyBorder="1" xfId="0"/>
    <xf fontId="3" applyFont="1" fillId="0" applyFill="1" borderId="5" applyBorder="1" xfId="0"/>
    <xf fontId="5" applyFont="1" fillId="0" applyFill="1" borderId="5" applyBorder="1" xfId="0">
      <alignment horizontal="right"/>
    </xf>
    <xf fontId="5" applyFont="1" fillId="0" applyFill="1" borderId="5" applyBorder="1" xfId="0">
      <alignment horizontal="right"/>
    </xf>
    <xf fontId="3" applyFont="1" fillId="0" applyFill="1" borderId="0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3" applyFont="1" fillId="0" applyFill="1" borderId="6" applyBorder="1" xfId="0"/>
    <xf numFmtId="14" applyNumberFormat="1" fontId="5" applyFont="1" fillId="0" applyFill="1" borderId="5" applyBorder="1" xfId="0">
      <alignment horizontal="right"/>
    </xf>
    <xf fontId="3" applyFont="1" fillId="0" applyFill="1" borderId="7" applyBorder="1" xfId="0"/>
    <xf fontId="3" applyFont="1" fillId="0" applyFill="1" borderId="6" applyBorder="1" xfId="0"/>
    <xf fontId="5" applyFont="1" fillId="0" applyFill="1" borderId="6" applyBorder="1" xfId="0">
      <alignment horizontal="right"/>
    </xf>
    <xf fontId="3" applyFont="1" fillId="0" applyFill="1" borderId="8" applyBorder="1" xfId="0"/>
    <xf fontId="3" applyFont="1" fillId="0" applyFill="1" borderId="7" applyBorder="1" xfId="0"/>
    <xf fontId="5" applyFont="1" fillId="0" applyFill="1" borderId="7" applyBorder="1" xfId="0">
      <alignment horizontal="right"/>
    </xf>
    <xf fontId="5" applyFont="1" fillId="0" applyFill="1" borderId="0" applyBorder="1" xfId="0"/>
    <xf fontId="5" applyFont="1" fillId="0" applyFill="1" borderId="9" applyBorder="1" xfId="0"/>
    <xf fontId="13" applyFont="1" fillId="0" applyFill="1" borderId="0" applyBorder="1" xfId="0"/>
    <xf fontId="13" applyFont="1" fillId="0" applyFill="1" borderId="0" applyBorder="1" xfId="0">
      <alignment horizontal="right"/>
    </xf>
    <xf fontId="3" applyFont="1" fillId="0" applyFill="1" borderId="5" applyBorder="1" xfId="0">
      <alignment horizontal="right"/>
    </xf>
    <xf fontId="3" applyFont="1" fillId="0" applyFill="1" borderId="5" applyBorder="1" xfId="0">
      <alignment horizontal="right"/>
    </xf>
    <xf numFmtId="164" applyNumberFormat="1" fontId="3" applyFont="1" fillId="0" applyFill="1" borderId="0" applyBorder="1" xfId="0"/>
    <xf numFmtId="164" applyNumberFormat="1" fontId="3" applyFont="1" fillId="0" applyFill="1" borderId="5" applyBorder="1" xfId="0"/>
    <xf fontId="3" applyFont="1" fillId="0" applyFill="1" borderId="0" applyBorder="1" xfId="0">
      <alignment horizontal="right"/>
    </xf>
    <xf fontId="3" applyFont="1" fillId="0" applyFill="1" borderId="5" applyBorder="1" xfId="0"/>
    <xf fontId="5" applyFont="1" fillId="0" applyFill="1" borderId="5" applyBorder="1" xfId="0">
      <alignment horizontal="right"/>
    </xf>
    <xf fontId="3" applyFont="1" fillId="0" applyFill="1" borderId="5" applyBorder="1" xfId="0"/>
    <xf fontId="3" applyFont="1" fillId="0" applyFill="1" borderId="9" applyBorder="1" xfId="0"/>
    <xf fontId="3" applyFont="1" fillId="0" applyFill="1" borderId="6" applyBorder="1" xfId="0">
      <alignment horizontal="right"/>
    </xf>
    <xf fontId="3" applyFont="1" fillId="0" applyFill="1" borderId="6" applyBorder="1" xfId="0">
      <alignment horizontal="right"/>
    </xf>
    <xf numFmtId="164" applyNumberFormat="1" fontId="3" applyFont="1" fillId="0" applyFill="1" borderId="9" applyBorder="1" xfId="0"/>
    <xf numFmtId="164" applyNumberFormat="1" fontId="3" applyFont="1" fillId="0" applyFill="1" borderId="6" applyBorder="1" xfId="0"/>
    <xf fontId="5" applyFont="1" fillId="0" applyFill="1" borderId="0" applyBorder="1" xfId="0"/>
    <xf fontId="5" applyFont="1" fillId="0" applyFill="1" borderId="0" applyBorder="1" xfId="0">
      <alignment horizontal="right"/>
    </xf>
    <xf fontId="5" applyFont="1" fillId="0" applyFill="1" borderId="0" applyBorder="1" xfId="0">
      <alignment horizontal="right"/>
    </xf>
    <xf fontId="5" applyFont="1" fillId="0" applyFill="1" borderId="0" applyBorder="1" xfId="0"/>
    <xf numFmtId="3" applyNumberFormat="1" fontId="13" applyFont="1" fillId="0" applyFill="1" borderId="0" applyBorder="1" xfId="0">
      <alignment horizontal="right"/>
    </xf>
    <xf numFmtId="165" applyNumberFormat="1" fontId="13" applyFont="1" fillId="0" applyFill="1" borderId="0" applyBorder="1" xfId="0">
      <alignment horizontal="right"/>
    </xf>
    <xf fontId="14" applyFont="1" fillId="0" applyFill="1" borderId="0" applyBorder="1" xfId="0"/>
    <xf numFmtId="3" applyNumberFormat="1" fontId="13" applyFont="1" fillId="0" applyFill="1" borderId="0" applyBorder="1" xfId="0">
      <alignment horizontal="right"/>
    </xf>
    <xf fontId="13" applyFont="1" fillId="0" applyFill="1" borderId="0" applyBorder="1" xfId="0"/>
    <xf fontId="13" applyFont="1" fillId="0" applyFill="1" borderId="0" applyBorder="1" xfId="0">
      <alignment horizontal="right"/>
    </xf>
    <xf numFmtId="3" applyNumberFormat="1" fontId="13" applyFont="1" fillId="0" applyFill="1" borderId="0" applyBorder="1" xfId="0"/>
    <xf numFmtId="3" applyNumberFormat="1" fontId="3" applyFont="1" fillId="0" applyFill="1" borderId="0" applyBorder="1" xfId="0"/>
    <xf numFmtId="166" applyNumberFormat="1" fontId="3" applyFont="1" fillId="0" applyFill="1" borderId="0" applyBorder="1" xfId="0"/>
    <xf fontId="13" applyFont="1" fillId="0" applyFill="1" borderId="0" applyBorder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0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8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9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0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1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2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3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4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5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6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17.xml.rels><?xml version="1.0" encoding="UTF-8" standalone="yes"?>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F643"/>
  <sheetViews>
    <sheetView workbookViewId="0"/>
  </sheetViews>
  <sheetFormatPr customHeight="1" defaultColWidth="15.13" defaultRowHeight="15.0"/>
  <cols>
    <col min="1" max="1" width="16.38" customWidth="1"/>
    <col min="2" max="2" width="23.5" customWidth="1"/>
    <col min="3" max="3" width="44.13" customWidth="1"/>
    <col min="4" max="26" width="12.63" customWidth="1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s="0" t="str">
        <f>IFERROR(__xludf.DUMMYFUNCTION("""COMPUTED_VALUE"""),"SymbolLookup")</f>
        <v>SymbolLookup</v>
      </c>
      <c r="B34" s="0" t="str">
        <f>IFERROR(__xludf.DUMMYFUNCTION("""COMPUTED_VALUE"""),"SymbolLookupFromTT")</f>
        <v>SymbolLookupFromTT</v>
      </c>
      <c r="C34" s="0" t="str">
        <f>IFERROR(__xludf.DUMMYFUNCTION("""COMPUTED_VALUE"""),"1gDvMDcnV_Cq-gd3uSiTszH4Q8IYBAMQu9lTMq8Rpy3o")</f>
        <v>1gDvMDcnV_Cq-gd3uSiTszH4Q8IYBAMQu9lTMq8Rpy3o</v>
      </c>
    </row>
    <row r="35" ht="15.75" customHeight="1">
      <c r="A35" s="0" t="str">
        <f>IFERROR(__xludf.DUMMYFUNCTION("""COMPUTED_VALUE"""),"SymbolLookup")</f>
        <v>SymbolLookup</v>
      </c>
      <c r="B35" s="0" t="str">
        <f>IFERROR(__xludf.DUMMYFUNCTION("""COMPUTED_VALUE"""),"UpdateUDA")</f>
        <v>UpdateUDA</v>
      </c>
      <c r="C35" s="0" t="str">
        <f>IFERROR(__xludf.DUMMYFUNCTION("""COMPUTED_VALUE"""),"1dhqVPgdlk0qqXkJ78cDzBf_Mq3MegKBc6RXPw3xiPrw")</f>
        <v>1dhqVPgdlk0qqXkJ78cDzBf_Mq3MegKBc6RXPw3xiPrw</v>
      </c>
    </row>
    <row r="36" ht="15.75" customHeight="1">
      <c r="A36" s="0" t="str">
        <f>IFERROR(__xludf.DUMMYFUNCTION("""COMPUTED_VALUE"""),"SymbolLookup")</f>
        <v>SymbolLookup</v>
      </c>
      <c r="B36" s="0" t="str">
        <f>IFERROR(__xludf.DUMMYFUNCTION("""COMPUTED_VALUE"""),"GetSymbol")</f>
        <v>GetSymbol</v>
      </c>
      <c r="C36" s="0" t="str">
        <f>IFERROR(__xludf.DUMMYFUNCTION("""COMPUTED_VALUE"""),"173hAXGieMVvXY5pe0UbKu68RfryU3RaXKikGhyg-rOo")</f>
        <v>173hAXGieMVvXY5pe0UbKu68RfryU3RaXKikGhyg-rOo</v>
      </c>
    </row>
    <row r="37" ht="15.75" customHeight="1">
      <c r="A37" s="0" t="str">
        <f>IFERROR(__xludf.DUMMYFUNCTION("""COMPUTED_VALUE"""),"SymbolLookup")</f>
        <v>SymbolLookup</v>
      </c>
      <c r="B37" s="0" t="str">
        <f>IFERROR(__xludf.DUMMYFUNCTION("""COMPUTED_VALUE"""),"GetDataSymbolLookup")</f>
        <v>GetDataSymbolLookup</v>
      </c>
      <c r="C37" s="0" t="str">
        <f>IFERROR(__xludf.DUMMYFUNCTION("""COMPUTED_VALUE"""),"1NAyBh7MvMUe-ymIgaMjhvCcTdXRrdfoOqa5k2oEkEtY")</f>
        <v>1NAyBh7MvMUe-ymIgaMjhvCcTdXRrdfoOqa5k2oEkEtY</v>
      </c>
    </row>
    <row r="38" ht="15.75" customHeight="1">
      <c r="A38" s="0" t="str">
        <f>IFERROR(__xludf.DUMMYFUNCTION("""COMPUTED_VALUE"""),"SymbolLookup")</f>
        <v>SymbolLookup</v>
      </c>
      <c r="B38" s="0" t="str">
        <f>IFERROR(__xludf.DUMMYFUNCTION("""COMPUTED_VALUE"""),"DeleteValidateSymbol")</f>
        <v>DeleteValidateSymbol</v>
      </c>
      <c r="C38" s="0" t="str">
        <f>IFERROR(__xludf.DUMMYFUNCTION("""COMPUTED_VALUE"""),"1WIb_XXxmZPR_GUhoObQfZ6l1pKvOl5CWOE5mnz2ftU0")</f>
        <v>1WIb_XXxmZPR_GUhoObQfZ6l1pKvOl5CWOE5mnz2ftU0</v>
      </c>
    </row>
    <row r="39" ht="15.75" customHeight="1">
      <c r="A39" s="0" t="str">
        <f>IFERROR(__xludf.DUMMYFUNCTION("""COMPUTED_VALUE"""),"ThirdParty")</f>
        <v>ThirdParty</v>
      </c>
      <c r="B39" s="0" t="str">
        <f>IFERROR(__xludf.DUMMYFUNCTION("""COMPUTED_VALUE"""),"GenerateThirdParty")</f>
        <v>GenerateThirdParty</v>
      </c>
      <c r="C39" s="0" t="str">
        <f>IFERROR(__xludf.DUMMYFUNCTION("""COMPUTED_VALUE"""),"1MME0WB8RmCV2QKgHuWbTvubmaZmPuF0knOKGp2GUg7o")</f>
        <v>1MME0WB8RmCV2QKgHuWbTvubmaZmPuF0knOKGp2GUg7o</v>
      </c>
    </row>
    <row r="40" ht="15.75" customHeight="1">
      <c r="A40" s="0" t="str">
        <f>IFERROR(__xludf.DUMMYFUNCTION("""COMPUTED_VALUE"""),"ThirdParty")</f>
        <v>ThirdParty</v>
      </c>
      <c r="B40" s="0" t="str">
        <f>IFERROR(__xludf.DUMMYFUNCTION("""COMPUTED_VALUE"""),"SendThirdParty")</f>
        <v>SendThirdParty</v>
      </c>
      <c r="C40" s="0" t="str">
        <f>IFERROR(__xludf.DUMMYFUNCTION("""COMPUTED_VALUE"""),"1Rq8zeuYkGxaBxmemqN7Z1OVWnaheHVEDxVozT52myRI")</f>
        <v>1Rq8zeuYkGxaBxmemqN7Z1OVWnaheHVEDxVozT52myRI</v>
      </c>
    </row>
    <row r="41" ht="15.75" customHeight="1">
      <c r="A41" s="0" t="str">
        <f>IFERROR(__xludf.DUMMYFUNCTION("""COMPUTED_VALUE"""),"ThirdParty")</f>
        <v>ThirdParty</v>
      </c>
      <c r="B41" s="0" t="str">
        <f>IFERROR(__xludf.DUMMYFUNCTION("""COMPUTED_VALUE"""),"ViewThirdParty")</f>
        <v>ViewThirdParty</v>
      </c>
      <c r="C41" s="0" t="str">
        <f>IFERROR(__xludf.DUMMYFUNCTION("""COMPUTED_VALUE"""),"1UalkAEsbJcZQAzEnT3T29et4u4PKQ3n66SBTt1HPqVc")</f>
        <v>1UalkAEsbJcZQAzEnT3T29et4u4PKQ3n66SBTt1HPqVc</v>
      </c>
    </row>
    <row r="42" ht="15.75" customHeight="1">
      <c r="A42" s="0" t="str">
        <f>IFERROR(__xludf.DUMMYFUNCTION("""COMPUTED_VALUE"""),"ThirdParty")</f>
        <v>ThirdParty</v>
      </c>
      <c r="B42" s="0" t="str">
        <f>IFERROR(__xludf.DUMMYFUNCTION("""COMPUTED_VALUE"""),"SelectThirdPartyName")</f>
        <v>SelectThirdPartyName</v>
      </c>
      <c r="C42" s="0" t="str">
        <f>IFERROR(__xludf.DUMMYFUNCTION("""COMPUTED_VALUE"""),"1Ed9yVUP6QBHgE31eiooLDUHG0Yf2VM_w3I1hshQOHqI")</f>
        <v>1Ed9yVUP6QBHgE31eiooLDUHG0Yf2VM_w3I1hshQOHqI</v>
      </c>
    </row>
    <row r="43" ht="15.75" customHeight="1">
      <c r="A43" s="0" t="str">
        <f>IFERROR(__xludf.DUMMYFUNCTION("""COMPUTED_VALUE"""),"ThirdParty")</f>
        <v>ThirdParty</v>
      </c>
      <c r="B43" s="0" t="str">
        <f>IFERROR(__xludf.DUMMYFUNCTION("""COMPUTED_VALUE"""),"VerifyThirdPartyData")</f>
        <v>VerifyThirdPartyData</v>
      </c>
      <c r="C43" s="0" t="str">
        <f>IFERROR(__xludf.DUMMYFUNCTION("""COMPUTED_VALUE"""),"1bnzX2PjXEMH6TjD42kz9rbl4I5pggAPDV-6J94ie3aA")</f>
        <v>1bnzX2PjXEMH6TjD42kz9rbl4I5pggAPDV-6J94ie3aA</v>
      </c>
    </row>
    <row r="44" ht="15.75" customHeight="1">
      <c r="A44" s="0" t="str">
        <f>IFERROR(__xludf.DUMMYFUNCTION("""COMPUTED_VALUE"""),"CorporateAction")</f>
        <v>CorporateAction</v>
      </c>
      <c r="B44" s="0" t="str">
        <f>IFERROR(__xludf.DUMMYFUNCTION("""COMPUTED_VALUE"""),"CleanUp")</f>
        <v>CleanUp</v>
      </c>
      <c r="C44" s="0" t="str">
        <f>IFERROR(__xludf.DUMMYFUNCTION("""COMPUTED_VALUE"""),"Undefined")</f>
        <v>Undefined</v>
      </c>
    </row>
    <row r="45" ht="15.75" customHeight="1">
      <c r="A45" s="0" t="str">
        <f>IFERROR(__xludf.DUMMYFUNCTION("""COMPUTED_VALUE"""),"PST")</f>
        <v>PST</v>
      </c>
      <c r="B45" s="0" t="str">
        <f>IFERROR(__xludf.DUMMYFUNCTION("""COMPUTED_VALUE"""),"RunPST")</f>
        <v>RunPST</v>
      </c>
      <c r="C45" s="0" t="str">
        <f>IFERROR(__xludf.DUMMYFUNCTION("""COMPUTED_VALUE"""),"1eDn4ID4lZ0g9L9LBEwFIV1KSKirbl2wBD7JMSOogsJo")</f>
        <v>1eDn4ID4lZ0g9L9LBEwFIV1KSKirbl2wBD7JMSOogsJo</v>
      </c>
    </row>
    <row r="46" ht="15.75" customHeight="1">
      <c r="A46" s="0" t="str">
        <f>IFERROR(__xludf.DUMMYFUNCTION("""COMPUTED_VALUE"""),"PST")</f>
        <v>PST</v>
      </c>
      <c r="B46" s="0" t="str">
        <f>IFERROR(__xludf.DUMMYFUNCTION("""COMPUTED_VALUE"""),"PSTInputData")</f>
        <v>PSTInputData</v>
      </c>
      <c r="C46" s="0" t="str">
        <f>IFERROR(__xludf.DUMMYFUNCTION("""COMPUTED_VALUE"""),"1GqarmBj5COJ9oiY8JkODcW4vDrpW1y5yTk4660Wu__c")</f>
        <v>1GqarmBj5COJ9oiY8JkODcW4vDrpW1y5yTk4660Wu__c</v>
      </c>
    </row>
    <row r="47" ht="15.75" customHeight="1">
      <c r="A47" s="0" t="str">
        <f>IFERROR(__xludf.DUMMYFUNCTION("""COMPUTED_VALUE"""),"PST")</f>
        <v>PST</v>
      </c>
      <c r="B47" s="0" t="str">
        <f>IFERROR(__xludf.DUMMYFUNCTION("""COMPUTED_VALUE"""),"PSTVerifyData")</f>
        <v>PSTVerifyData</v>
      </c>
      <c r="C47" s="0" t="str">
        <f>IFERROR(__xludf.DUMMYFUNCTION("""COMPUTED_VALUE"""),"1rwYlyzQAuduSi0Gp4ROixwt3o0bs2AhQbAT7dJTM9RA")</f>
        <v>1rwYlyzQAuduSi0Gp4ROixwt3o0bs2AhQbAT7dJTM9RA</v>
      </c>
    </row>
    <row r="48" ht="15.75" customHeight="1">
      <c r="A48" s="0" t="str">
        <f>IFERROR(__xludf.DUMMYFUNCTION("""COMPUTED_VALUE"""),"PST")</f>
        <v>PST</v>
      </c>
      <c r="B48" s="0" t="str">
        <f>IFERROR(__xludf.DUMMYFUNCTION("""COMPUTED_VALUE"""),"PSTFunctionalities")</f>
        <v>PSTFunctionalities</v>
      </c>
      <c r="C48" s="0" t="str">
        <f>IFERROR(__xludf.DUMMYFUNCTION("""COMPUTED_VALUE"""),"11JwOBclgqclhwteK8-8D_f6-5WV6K0OQ-E6BB9CezgE")</f>
        <v>11JwOBclgqclhwteK8-8D_f6-5WV6K0OQ-E6BB9CezgE</v>
      </c>
    </row>
    <row r="49" ht="15.75" customHeight="1">
      <c r="A49" s="0" t="str">
        <f>IFERROR(__xludf.DUMMYFUNCTION("""COMPUTED_VALUE"""),"PortfolioManagement")</f>
        <v>PortfolioManagement</v>
      </c>
      <c r="B49" s="0" t="str">
        <f>IFERROR(__xludf.DUMMYFUNCTION("""COMPUTED_VALUE"""),"OpenPSTFromPM")</f>
        <v>OpenPSTFromPM</v>
      </c>
      <c r="C49" s="0" t="str">
        <f>IFERROR(__xludf.DUMMYFUNCTION("""COMPUTED_VALUE"""),"1LaxsbJKMKgHz6nuJt-mWzImc-fRNbTvmrGGX97yHQ3M")</f>
        <v>1LaxsbJKMKgHz6nuJt-mWzImc-fRNbTvmrGGX97yHQ3M</v>
      </c>
    </row>
    <row r="50" ht="15.75" customHeight="1">
      <c r="A50" s="0" t="str">
        <f>IFERROR(__xludf.DUMMYFUNCTION("""COMPUTED_VALUE"""),"TradingTicket")</f>
        <v>TradingTicket</v>
      </c>
      <c r="B50" s="0" t="str">
        <f>IFERROR(__xludf.DUMMYFUNCTION("""COMPUTED_VALUE"""),"OpenTTFromPST")</f>
        <v>OpenTTFromPST</v>
      </c>
      <c r="C50" s="0" t="str">
        <f>IFERROR(__xludf.DUMMYFUNCTION("""COMPUTED_VALUE"""),"1FjuLUHGwTLVNcZ31dqziB6PhJgIoI87PrQYnS_MxI6w")</f>
        <v>1FjuLUHGwTLVNcZ31dqziB6PhJgIoI87PrQYnS_MxI6w</v>
      </c>
    </row>
    <row r="51" ht="15.75" customHeight="1">
      <c r="A51" s="0" t="str">
        <f>IFERROR(__xludf.DUMMYFUNCTION("""COMPUTED_VALUE"""),"CorporateAction")</f>
        <v>CorporateAction</v>
      </c>
      <c r="B51" s="0" t="str">
        <f>IFERROR(__xludf.DUMMYFUNCTION("""COMPUTED_VALUE"""),"CashDividend")</f>
        <v>CashDividend</v>
      </c>
      <c r="C51" s="0" t="str">
        <f>IFERROR(__xludf.DUMMYFUNCTION("""COMPUTED_VALUE"""),"Undefined")</f>
        <v>Undefined</v>
      </c>
    </row>
    <row r="52" ht="15.75" customHeight="1">
      <c r="A52" s="0" t="str">
        <f>IFERROR(__xludf.DUMMYFUNCTION("""COMPUTED_VALUE"""),"CorporateAction")</f>
        <v>CorporateAction</v>
      </c>
      <c r="B52" s="0" t="str">
        <f>IFERROR(__xludf.DUMMYFUNCTION("""COMPUTED_VALUE"""),"Exchange")</f>
        <v>Exchange</v>
      </c>
      <c r="C52" s="0" t="str">
        <f>IFERROR(__xludf.DUMMYFUNCTION("""COMPUTED_VALUE"""),"Undefined")</f>
        <v>Undefined</v>
      </c>
    </row>
    <row r="53" ht="15.75" customHeight="1">
      <c r="A53" s="0" t="str">
        <f>IFERROR(__xludf.DUMMYFUNCTION("""COMPUTED_VALUE"""),"CorporateAction")</f>
        <v>CorporateAction</v>
      </c>
      <c r="B53" s="0" t="str">
        <f>IFERROR(__xludf.DUMMYFUNCTION("""COMPUTED_VALUE"""),"Merger")</f>
        <v>Merger</v>
      </c>
      <c r="C53" s="0" t="str">
        <f>IFERROR(__xludf.DUMMYFUNCTION("""COMPUTED_VALUE"""),"Undefined")</f>
        <v>Undefined</v>
      </c>
    </row>
    <row r="54" ht="15.75" customHeight="1">
      <c r="A54" s="0" t="str">
        <f>IFERROR(__xludf.DUMMYFUNCTION("""COMPUTED_VALUE"""),"CorporateAction")</f>
        <v>CorporateAction</v>
      </c>
      <c r="B54" s="0" t="str">
        <f>IFERROR(__xludf.DUMMYFUNCTION("""COMPUTED_VALUE"""),"NameChange")</f>
        <v>NameChange</v>
      </c>
      <c r="C54" s="0" t="str">
        <f>IFERROR(__xludf.DUMMYFUNCTION("""COMPUTED_VALUE"""),"Undefined")</f>
        <v>Undefined</v>
      </c>
    </row>
    <row r="55" ht="15.75" customHeight="1">
      <c r="A55" s="0" t="str">
        <f>IFERROR(__xludf.DUMMYFUNCTION("""COMPUTED_VALUE"""),"CorporateAction")</f>
        <v>CorporateAction</v>
      </c>
      <c r="B55" s="0" t="str">
        <f>IFERROR(__xludf.DUMMYFUNCTION("""COMPUTED_VALUE"""),"SpinOff")</f>
        <v>SpinOff</v>
      </c>
      <c r="C55" s="0" t="str">
        <f>IFERROR(__xludf.DUMMYFUNCTION("""COMPUTED_VALUE"""),"1qMBNCqmLroUbEfWZ7WurEo9lsZVM23zrfZgeqSulKQE")</f>
        <v>1qMBNCqmLroUbEfWZ7WurEo9lsZVM23zrfZgeqSulKQE</v>
      </c>
    </row>
    <row r="56" ht="15.75" customHeight="1">
      <c r="A56" s="0" t="str">
        <f>IFERROR(__xludf.DUMMYFUNCTION("""COMPUTED_VALUE"""),"CorporateAction")</f>
        <v>CorporateAction</v>
      </c>
      <c r="B56" s="0" t="str">
        <f>IFERROR(__xludf.DUMMYFUNCTION("""COMPUTED_VALUE"""),"Split")</f>
        <v>Split</v>
      </c>
      <c r="C56" s="0" t="str">
        <f>IFERROR(__xludf.DUMMYFUNCTION("""COMPUTED_VALUE"""),"Undefined")</f>
        <v>Undefined</v>
      </c>
    </row>
    <row r="57" ht="15.75" customHeight="1">
      <c r="A57" s="0" t="str">
        <f>IFERROR(__xludf.DUMMYFUNCTION("""COMPUTED_VALUE"""),"CorporateAction")</f>
        <v>CorporateAction</v>
      </c>
      <c r="B57" s="0" t="str">
        <f>IFERROR(__xludf.DUMMYFUNCTION("""COMPUTED_VALUE"""),"StockDividend")</f>
        <v>StockDividend</v>
      </c>
      <c r="C57" s="0" t="str">
        <f>IFERROR(__xludf.DUMMYFUNCTION("""COMPUTED_VALUE"""),"Undefined")</f>
        <v>Undefined</v>
      </c>
    </row>
    <row r="58" ht="15.75" customHeight="1">
      <c r="A58" s="0" t="str">
        <f>IFERROR(__xludf.DUMMYFUNCTION("""COMPUTED_VALUE"""),"TradingTicket")</f>
        <v>TradingTicket</v>
      </c>
      <c r="B58" s="0" t="str">
        <f>IFERROR(__xludf.DUMMYFUNCTION("""COMPUTED_VALUE"""),"EnterDetailsOnTT")</f>
        <v>EnterDetailsOnTT</v>
      </c>
      <c r="C58" s="0" t="str">
        <f>IFERROR(__xludf.DUMMYFUNCTION("""COMPUTED_VALUE"""),"1G2yAwEmGug4VRRGiVJM3yHe88F7UHCmwLdFo2-Xj4bA")</f>
        <v>1G2yAwEmGug4VRRGiVJM3yHe88F7UHCmwLdFo2-Xj4bA</v>
      </c>
    </row>
    <row r="59" ht="15.75" customHeight="1">
      <c r="A59" s="0" t="str">
        <f>IFERROR(__xludf.DUMMYFUNCTION("""COMPUTED_VALUE"""),"DailyValuation")</f>
        <v>DailyValuation</v>
      </c>
      <c r="B59" s="0" t="str">
        <f>IFERROR(__xludf.DUMMYFUNCTION("""COMPUTED_VALUE"""),"CleanUp")</f>
        <v>CleanUp</v>
      </c>
      <c r="C59" s="0" t="str">
        <f>IFERROR(__xludf.DUMMYFUNCTION("""COMPUTED_VALUE"""),"Undefined")</f>
        <v>Undefined</v>
      </c>
    </row>
    <row r="60" ht="15.75" customHeight="1">
      <c r="A60" s="0" t="str">
        <f>IFERROR(__xludf.DUMMYFUNCTION("""COMPUTED_VALUE"""),"Allocation")</f>
        <v>Allocation</v>
      </c>
      <c r="B60" s="0" t="str">
        <f>IFERROR(__xludf.DUMMYFUNCTION("""COMPUTED_VALUE"""),"EditUnallocatedGroupSidePanel")</f>
        <v>EditUnallocatedGroupSidePanel</v>
      </c>
      <c r="C60" s="0" t="str">
        <f>IFERROR(__xludf.DUMMYFUNCTION("""COMPUTED_VALUE"""),"1sN4dA0wRDbkiqDmGZD3fRqB5XP8vsNgVSKTClqF2aqA")</f>
        <v>1sN4dA0wRDbkiqDmGZD3fRqB5XP8vsNgVSKTClqF2aqA</v>
      </c>
    </row>
    <row r="61" ht="15.75" customHeight="1">
      <c r="A61" s="0" t="str">
        <f>IFERROR(__xludf.DUMMYFUNCTION("""COMPUTED_VALUE"""),"Allocation")</f>
        <v>Allocation</v>
      </c>
      <c r="B61" s="0" t="str">
        <f>IFERROR(__xludf.DUMMYFUNCTION("""COMPUTED_VALUE"""),"TradeAttributeBulkChange")</f>
        <v>TradeAttributeBulkChange</v>
      </c>
      <c r="C61" s="0" t="str">
        <f>IFERROR(__xludf.DUMMYFUNCTION("""COMPUTED_VALUE"""),"1iFwUbi4eWTRVGpAAB27Nc1Ubu4j6hxNuLgSZZV6c_E4")</f>
        <v>1iFwUbi4eWTRVGpAAB27Nc1Ubu4j6hxNuLgSZZV6c_E4</v>
      </c>
    </row>
    <row r="62" ht="15.75" customHeight="1">
      <c r="A62" s="0" t="str">
        <f>IFERROR(__xludf.DUMMYFUNCTION("""COMPUTED_VALUE"""),"Allocation")</f>
        <v>Allocation</v>
      </c>
      <c r="B62" s="0" t="str">
        <f>IFERROR(__xludf.DUMMYFUNCTION("""COMPUTED_VALUE"""),"ApplyBulkUpdateOnGroups")</f>
        <v>ApplyBulkUpdateOnGroups</v>
      </c>
      <c r="C62" s="0" t="str">
        <f>IFERROR(__xludf.DUMMYFUNCTION("""COMPUTED_VALUE"""),"1XV7WEkcXTDuOgwDoGhKvy8HU-K-3479ZHAEZBvsa_tc")</f>
        <v>1XV7WEkcXTDuOgwDoGhKvy8HU-K-3479ZHAEZBvsa_tc</v>
      </c>
    </row>
    <row r="63" ht="15.75" customHeight="1">
      <c r="A63" s="0" t="str">
        <f>IFERROR(__xludf.DUMMYFUNCTION("""COMPUTED_VALUE"""),"Allocation")</f>
        <v>Allocation</v>
      </c>
      <c r="B63" s="0" t="str">
        <f>IFERROR(__xludf.DUMMYFUNCTION("""COMPUTED_VALUE"""),"ApplyPrefetchFilters")</f>
        <v>ApplyPrefetchFilters</v>
      </c>
      <c r="C63" s="0" t="str">
        <f>IFERROR(__xludf.DUMMYFUNCTION("""COMPUTED_VALUE"""),"1sQmxpKX5ogSXiV1qHf6NVjQl8QoUTsuD2rJ4pzqABAg")</f>
        <v>1sQmxpKX5ogSXiV1qHf6NVjQl8QoUTsuD2rJ4pzqABAg</v>
      </c>
    </row>
    <row r="64" ht="15.75" customHeight="1">
      <c r="A64" s="0" t="str">
        <f>IFERROR(__xludf.DUMMYFUNCTION("""COMPUTED_VALUE"""),"Allocation")</f>
        <v>Allocation</v>
      </c>
      <c r="B64" s="0" t="str">
        <f>IFERROR(__xludf.DUMMYFUNCTION("""COMPUTED_VALUE"""),"GeneralPreferencesDefaultRule")</f>
        <v>GeneralPreferencesDefaultRule</v>
      </c>
      <c r="C64" s="0" t="str">
        <f>IFERROR(__xludf.DUMMYFUNCTION("""COMPUTED_VALUE"""),"1WOXvZZCIiWWwLt85sMAJs5lA2Sd5seftlo0-PMFepo4")</f>
        <v>1WOXvZZCIiWWwLt85sMAJs5lA2Sd5seftlo0-PMFepo4</v>
      </c>
    </row>
    <row r="65" ht="15.75" customHeight="1">
      <c r="A65" s="0" t="str">
        <f>IFERROR(__xludf.DUMMYFUNCTION("""COMPUTED_VALUE"""),"Allocation")</f>
        <v>Allocation</v>
      </c>
      <c r="B65" s="0" t="str">
        <f>IFERROR(__xludf.DUMMYFUNCTION("""COMPUTED_VALUE"""),"GeneralPrefCompanyUserWise")</f>
        <v>GeneralPrefCompanyUserWise</v>
      </c>
      <c r="C65" s="0" t="str">
        <f>IFERROR(__xludf.DUMMYFUNCTION("""COMPUTED_VALUE"""),"13pRCCWisWUdYIzGghxtJvmhlBsj5sDr94g6VDPP0q-o")</f>
        <v>13pRCCWisWUdYIzGghxtJvmhlBsj5sDr94g6VDPP0q-o</v>
      </c>
    </row>
    <row r="66" ht="15.75" customHeight="1">
      <c r="A66" s="0" t="str">
        <f>IFERROR(__xludf.DUMMYFUNCTION("""COMPUTED_VALUE"""),"Allocation")</f>
        <v>Allocation</v>
      </c>
      <c r="B66" s="0" t="str">
        <f>IFERROR(__xludf.DUMMYFUNCTION("""COMPUTED_VALUE"""),"RenameTradeAttributes")</f>
        <v>RenameTradeAttributes</v>
      </c>
      <c r="C66" s="0" t="str">
        <f>IFERROR(__xludf.DUMMYFUNCTION("""COMPUTED_VALUE"""),"1npQSl0FjE4Lw1QD6s0yIpLzJ-rj0nbumIonEIRbWZwA")</f>
        <v>1npQSl0FjE4Lw1QD6s0yIpLzJ-rj0nbumIonEIRbWZwA</v>
      </c>
    </row>
    <row r="67" ht="15.75" customHeight="1">
      <c r="A67" s="0" t="str">
        <f>IFERROR(__xludf.DUMMYFUNCTION("""COMPUTED_VALUE"""),"Allocation")</f>
        <v>Allocation</v>
      </c>
      <c r="B67" s="0" t="str">
        <f>IFERROR(__xludf.DUMMYFUNCTION("""COMPUTED_VALUE"""),"SetGroupingRules")</f>
        <v>SetGroupingRules</v>
      </c>
      <c r="C67" s="0" t="str">
        <f>IFERROR(__xludf.DUMMYFUNCTION("""COMPUTED_VALUE"""),"1-pEik0paMvKDzhMzUpCB2FadNd3tINN9bPXcpr5W9hI")</f>
        <v>1-pEik0paMvKDzhMzUpCB2FadNd3tINN9bPXcpr5W9hI</v>
      </c>
    </row>
    <row r="68" ht="15.75" customHeight="1">
      <c r="A68" s="0" t="str">
        <f>IFERROR(__xludf.DUMMYFUNCTION("""COMPUTED_VALUE"""),"Allocation")</f>
        <v>Allocation</v>
      </c>
      <c r="B68" s="0" t="str">
        <f>IFERROR(__xludf.DUMMYFUNCTION("""COMPUTED_VALUE"""),"SetMasterFundRatio")</f>
        <v>SetMasterFundRatio</v>
      </c>
      <c r="C68" s="0" t="str">
        <f>IFERROR(__xludf.DUMMYFUNCTION("""COMPUTED_VALUE"""),"1G5A2JHuXFwIAKeFyFP_6qaRbfVnU9mvHz6q_tG-5I3M")</f>
        <v>1G5A2JHuXFwIAKeFyFP_6qaRbfVnU9mvHz6q_tG-5I3M</v>
      </c>
    </row>
    <row r="69" ht="15.75" customHeight="1">
      <c r="A69" s="0" t="str">
        <f>IFERROR(__xludf.DUMMYFUNCTION("""COMPUTED_VALUE"""),"Allocation")</f>
        <v>Allocation</v>
      </c>
      <c r="B69" s="0" t="str">
        <f>IFERROR(__xludf.DUMMYFUNCTION("""COMPUTED_VALUE"""),"CheckFixedPreference")</f>
        <v>CheckFixedPreference</v>
      </c>
      <c r="C69" s="0" t="str">
        <f>IFERROR(__xludf.DUMMYFUNCTION("""COMPUTED_VALUE"""),"1Qf7-OMFYaQTpiT3A76WLvhP_zTcAvN-GlTkEKWQI6CI")</f>
        <v>1Qf7-OMFYaQTpiT3A76WLvhP_zTcAvN-GlTkEKWQI6CI</v>
      </c>
    </row>
    <row r="70" ht="15.75" customHeight="1">
      <c r="A70" s="0" t="str">
        <f>IFERROR(__xludf.DUMMYFUNCTION("""COMPUTED_VALUE"""),"Allocation")</f>
        <v>Allocation</v>
      </c>
      <c r="B70" s="0" t="str">
        <f>IFERROR(__xludf.DUMMYFUNCTION("""COMPUTED_VALUE"""),"GetFixedPreference")</f>
        <v>GetFixedPreference</v>
      </c>
      <c r="C70" s="0" t="str">
        <f>IFERROR(__xludf.DUMMYFUNCTION("""COMPUTED_VALUE"""),"1X2GLgKZ0jCCf9C8tNz4LZTT8MEJ0rPmHVf74CRF92nI")</f>
        <v>1X2GLgKZ0jCCf9C8tNz4LZTT8MEJ0rPmHVf74CRF92nI</v>
      </c>
    </row>
    <row r="71" ht="15.75" customHeight="1">
      <c r="A71" s="0" t="str">
        <f>IFERROR(__xludf.DUMMYFUNCTION("""COMPUTED_VALUE"""),"Allocation")</f>
        <v>Allocation</v>
      </c>
      <c r="B71" s="0" t="str">
        <f>IFERROR(__xludf.DUMMYFUNCTION("""COMPUTED_VALUE"""),"AddCalculatedPreferences")</f>
        <v>AddCalculatedPreferences</v>
      </c>
      <c r="C71" s="0" t="str">
        <f>IFERROR(__xludf.DUMMYFUNCTION("""COMPUTED_VALUE"""),"1e3JDW1yEKYP-8ma-BqYu0whzm4Ze8aVDK3dsCw79llk")</f>
        <v>1e3JDW1yEKYP-8ma-BqYu0whzm4Ze8aVDK3dsCw79llk</v>
      </c>
    </row>
    <row r="72" ht="15.75" customHeight="1">
      <c r="A72" s="0" t="str">
        <f>IFERROR(__xludf.DUMMYFUNCTION("""COMPUTED_VALUE"""),"Allocation")</f>
        <v>Allocation</v>
      </c>
      <c r="B72" s="0" t="str">
        <f>IFERROR(__xludf.DUMMYFUNCTION("""COMPUTED_VALUE"""),"BulkChangeCalculatedPreferences")</f>
        <v>BulkChangeCalculatedPreferences</v>
      </c>
      <c r="C72" s="0" t="str">
        <f>IFERROR(__xludf.DUMMYFUNCTION("""COMPUTED_VALUE"""),"1eR96defw9DNiXlrKjqRh3R-qg9Pp1BeoNro96zMlcU0")</f>
        <v>1eR96defw9DNiXlrKjqRh3R-qg9Pp1BeoNro96zMlcU0</v>
      </c>
    </row>
    <row r="73" ht="15.75" customHeight="1">
      <c r="A73" s="0" t="str">
        <f>IFERROR(__xludf.DUMMYFUNCTION("""COMPUTED_VALUE"""),"Allocation")</f>
        <v>Allocation</v>
      </c>
      <c r="B73" s="0" t="str">
        <f>IFERROR(__xludf.DUMMYFUNCTION("""COMPUTED_VALUE"""),"DeleteCalculatedPreferences")</f>
        <v>DeleteCalculatedPreferences</v>
      </c>
      <c r="C73" s="0" t="str">
        <f>IFERROR(__xludf.DUMMYFUNCTION("""COMPUTED_VALUE"""),"1SYzOFlwMP7q1fa9ftG5nF3Q9-tr0BByrF1knPegiHxE")</f>
        <v>1SYzOFlwMP7q1fa9ftG5nF3Q9-tr0BByrF1knPegiHxE</v>
      </c>
    </row>
    <row r="74" ht="15.75" customHeight="1">
      <c r="A74" s="0" t="str">
        <f>IFERROR(__xludf.DUMMYFUNCTION("""COMPUTED_VALUE"""),"Allocation")</f>
        <v>Allocation</v>
      </c>
      <c r="B74" s="0" t="str">
        <f>IFERROR(__xludf.DUMMYFUNCTION("""COMPUTED_VALUE"""),"RenameCalculatedPreferences")</f>
        <v>RenameCalculatedPreferences</v>
      </c>
      <c r="C74" s="0" t="str">
        <f>IFERROR(__xludf.DUMMYFUNCTION("""COMPUTED_VALUE"""),"1oCPrKMTa-3fxaM06t7r0xjhAywYxptxUUWlM6IrpjIM")</f>
        <v>1oCPrKMTa-3fxaM06t7r0xjhAywYxptxUUWlM6IrpjIM</v>
      </c>
    </row>
    <row r="75" ht="15.75" customHeight="1">
      <c r="A75" s="0" t="str">
        <f>IFERROR(__xludf.DUMMYFUNCTION("""COMPUTED_VALUE"""),"Allocation")</f>
        <v>Allocation</v>
      </c>
      <c r="B75" s="0" t="str">
        <f>IFERROR(__xludf.DUMMYFUNCTION("""COMPUTED_VALUE"""),"CopyCalculatedPreferences")</f>
        <v>CopyCalculatedPreferences</v>
      </c>
      <c r="C75" s="0" t="str">
        <f>IFERROR(__xludf.DUMMYFUNCTION("""COMPUTED_VALUE"""),"1Juj0ekcKQL6KCq8ujd84mA8LXjLIO7F5-pt1BH073k4")</f>
        <v>1Juj0ekcKQL6KCq8ujd84mA8LXjLIO7F5-pt1BH073k4</v>
      </c>
    </row>
    <row r="76" ht="15.75" customHeight="1">
      <c r="A76" s="0" t="str">
        <f>IFERROR(__xludf.DUMMYFUNCTION("""COMPUTED_VALUE"""),"Allocation")</f>
        <v>Allocation</v>
      </c>
      <c r="B76" s="0" t="str">
        <f>IFERROR(__xludf.DUMMYFUNCTION("""COMPUTED_VALUE"""),"RunAutoGroup")</f>
        <v>RunAutoGroup</v>
      </c>
      <c r="C76" s="0" t="str">
        <f>IFERROR(__xludf.DUMMYFUNCTION("""COMPUTED_VALUE"""),"1TxDikOKco3kj-fpVp_swFmHRjk9xUFlp6SC01FXKsUA")</f>
        <v>1TxDikOKco3kj-fpVp_swFmHRjk9xUFlp6SC01FXKsUA</v>
      </c>
    </row>
    <row r="77" ht="15.75" customHeight="1">
      <c r="A77" s="0" t="str">
        <f>IFERROR(__xludf.DUMMYFUNCTION("""COMPUTED_VALUE"""),"Allocation")</f>
        <v>Allocation</v>
      </c>
      <c r="B77" s="0" t="str">
        <f>IFERROR(__xludf.DUMMYFUNCTION("""COMPUTED_VALUE"""),"BookOrUpdateSwap")</f>
        <v>BookOrUpdateSwap</v>
      </c>
      <c r="C77" s="0" t="str">
        <f>IFERROR(__xludf.DUMMYFUNCTION("""COMPUTED_VALUE"""),"1MIFnyUZMyR5a_8yHN1aP-GaxtBQUxu1tPzzD93BRKG4")</f>
        <v>1MIFnyUZMyR5a_8yHN1aP-GaxtBQUxu1tPzzD93BRKG4</v>
      </c>
    </row>
    <row r="78" ht="15.75" customHeight="1">
      <c r="A78" s="0" t="str">
        <f>IFERROR(__xludf.DUMMYFUNCTION("""COMPUTED_VALUE"""),"Allocation")</f>
        <v>Allocation</v>
      </c>
      <c r="B78" s="0" t="str">
        <f>IFERROR(__xludf.DUMMYFUNCTION("""COMPUTED_VALUE"""),"RunProrata")</f>
        <v>RunProrata</v>
      </c>
      <c r="C78" s="0" t="str">
        <f>IFERROR(__xludf.DUMMYFUNCTION("""COMPUTED_VALUE"""),"1UcA_Bp3Tg0bduC_hG_ymQO8Nl0fC8zwr0dqhn3G0X7w")</f>
        <v>1UcA_Bp3Tg0bduC_hG_ymQO8Nl0fC8zwr0dqhn3G0X7w</v>
      </c>
    </row>
    <row r="79" ht="15.75" customHeight="1">
      <c r="A79" s="0" t="str">
        <f>IFERROR(__xludf.DUMMYFUNCTION("""COMPUTED_VALUE"""),"Allocation")</f>
        <v>Allocation</v>
      </c>
      <c r="B79" s="0" t="str">
        <f>IFERROR(__xludf.DUMMYFUNCTION("""COMPUTED_VALUE"""),"SetDefaultRuleCalculatedPref")</f>
        <v>SetDefaultRuleCalculatedPref</v>
      </c>
      <c r="C79" s="0" t="str">
        <f>IFERROR(__xludf.DUMMYFUNCTION("""COMPUTED_VALUE"""),"1b3teGR3SeddkzmOAOI70zt3TPTIueqIXMb0_64vLmhg")</f>
        <v>1b3teGR3SeddkzmOAOI70zt3TPTIueqIXMb0_64vLmhg</v>
      </c>
    </row>
    <row r="80" ht="15.75" customHeight="1">
      <c r="A80" s="0" t="str">
        <f>IFERROR(__xludf.DUMMYFUNCTION("""COMPUTED_VALUE"""),"Admin")</f>
        <v>Admin</v>
      </c>
      <c r="B80" s="0" t="str">
        <f>IFERROR(__xludf.DUMMYFUNCTION("""COMPUTED_VALUE"""),"SetTTUIPreferences")</f>
        <v>SetTTUIPreferences</v>
      </c>
      <c r="C80" s="0" t="str">
        <f>IFERROR(__xludf.DUMMYFUNCTION("""COMPUTED_VALUE"""),"1x3db-DRDI09f9JOxbjTsFLBMBLSyw9w2LJAcwA_jthE")</f>
        <v>1x3db-DRDI09f9JOxbjTsFLBMBLSyw9w2LJAcwA_jthE</v>
      </c>
    </row>
    <row r="81" ht="15.75" customHeight="1">
      <c r="A81" s="0" t="str">
        <f>IFERROR(__xludf.DUMMYFUNCTION("""COMPUTED_VALUE"""),"Admin")</f>
        <v>Admin</v>
      </c>
      <c r="B81" s="0" t="str">
        <f>IFERROR(__xludf.DUMMYFUNCTION("""COMPUTED_VALUE"""),"TTPermissionLevel")</f>
        <v>TTPermissionLevel</v>
      </c>
      <c r="C81" s="0" t="str">
        <f>IFERROR(__xludf.DUMMYFUNCTION("""COMPUTED_VALUE"""),"1eWGWoFECkbD-qbHWTGCUT8Fyg7YSEuxVBQShAfH-4G8")</f>
        <v>1eWGWoFECkbD-qbHWTGCUT8Fyg7YSEuxVBQShAfH-4G8</v>
      </c>
    </row>
    <row r="82" ht="15.75" customHeight="1">
      <c r="A82" s="0" t="str">
        <f>IFERROR(__xludf.DUMMYFUNCTION("""COMPUTED_VALUE"""),"TradingTicket")</f>
        <v>TradingTicket</v>
      </c>
      <c r="B82" s="0" t="str">
        <f>IFERROR(__xludf.DUMMYFUNCTION("""COMPUTED_VALUE"""),"ValidateSymbolTT")</f>
        <v>ValidateSymbolTT</v>
      </c>
      <c r="C82" s="0" t="str">
        <f>IFERROR(__xludf.DUMMYFUNCTION("""COMPUTED_VALUE"""),"19tHMRXibaAxm7XMdcCTWHQ4bfVUBpa3dYIoVg7LgjMU")</f>
        <v>19tHMRXibaAxm7XMdcCTWHQ4bfVUBpa3dYIoVg7LgjMU</v>
      </c>
    </row>
    <row r="83" ht="15.75" customHeight="1">
      <c r="A83" s="0" t="str">
        <f>IFERROR(__xludf.DUMMYFUNCTION("""COMPUTED_VALUE"""),"TradingTicket")</f>
        <v>TradingTicket</v>
      </c>
      <c r="B83" s="0" t="str">
        <f>IFERROR(__xludf.DUMMYFUNCTION("""COMPUTED_VALUE"""),"VerifyDataTT")</f>
        <v>VerifyDataTT</v>
      </c>
      <c r="C83" s="0" t="str">
        <f>IFERROR(__xludf.DUMMYFUNCTION("""COMPUTED_VALUE"""),"Undefined")</f>
        <v>Undefined</v>
      </c>
    </row>
    <row r="84" ht="15.75" customHeight="1">
      <c r="A84" s="0" t="str">
        <f>IFERROR(__xludf.DUMMYFUNCTION("""COMPUTED_VALUE"""),"TradingTicket")</f>
        <v>TradingTicket</v>
      </c>
      <c r="B84" s="0" t="str">
        <f>IFERROR(__xludf.DUMMYFUNCTION("""COMPUTED_VALUE"""),"SetUIPreferencesTT")</f>
        <v>SetUIPreferencesTT</v>
      </c>
      <c r="C84" s="0" t="str">
        <f>IFERROR(__xludf.DUMMYFUNCTION("""COMPUTED_VALUE"""),"15dCu2cI6h2zz7EyE3HRTPJXretS_8rJXb6kEecm2wE4")</f>
        <v>15dCu2cI6h2zz7EyE3HRTPJXretS_8rJXb6kEecm2wE4</v>
      </c>
    </row>
    <row r="85" ht="15.75" customHeight="1">
      <c r="A85" s="0" t="str">
        <f>IFERROR(__xludf.DUMMYFUNCTION("""COMPUTED_VALUE"""),"TradingTicket")</f>
        <v>TradingTicket</v>
      </c>
      <c r="B85" s="0" t="str">
        <f>IFERROR(__xludf.DUMMYFUNCTION("""COMPUTED_VALUE"""),"SetBrokerWisePreferencesTT")</f>
        <v>SetBrokerWisePreferencesTT</v>
      </c>
      <c r="C85" s="0" t="str">
        <f>IFERROR(__xludf.DUMMYFUNCTION("""COMPUTED_VALUE"""),"1ox4TNNK5MqyA6BJGrZngJ2D4HejJ2lRtDKIKyPqu-tQ")</f>
        <v>1ox4TNNK5MqyA6BJGrZngJ2D4HejJ2lRtDKIKyPqu-tQ</v>
      </c>
    </row>
    <row r="86" ht="15.75" customHeight="1">
      <c r="A86" s="0" t="str">
        <f>IFERROR(__xludf.DUMMYFUNCTION("""COMPUTED_VALUE"""),"TradingTicket")</f>
        <v>TradingTicket</v>
      </c>
      <c r="B86" s="0" t="str">
        <f>IFERROR(__xludf.DUMMYFUNCTION("""COMPUTED_VALUE"""),"VerifyComplianceOrder")</f>
        <v>VerifyComplianceOrder</v>
      </c>
      <c r="C86" s="0" t="str">
        <f>IFERROR(__xludf.DUMMYFUNCTION("""COMPUTED_VALUE"""),"1H1jKHI5sFjF2JGI5Hsg2bL9f8P4Efy6KU_cClE3r75U")</f>
        <v>1H1jKHI5sFjF2JGI5Hsg2bL9f8P4Efy6KU_cClE3r75U</v>
      </c>
    </row>
    <row r="87" ht="15.75" customHeight="1">
      <c r="A87" s="0" t="str">
        <f>IFERROR(__xludf.DUMMYFUNCTION("""COMPUTED_VALUE"""),"Blotter")</f>
        <v>Blotter</v>
      </c>
      <c r="B87" s="0" t="str">
        <f>IFERROR(__xludf.DUMMYFUNCTION("""COMPUTED_VALUE"""),"BlotterFunctionalities")</f>
        <v>BlotterFunctionalities</v>
      </c>
      <c r="C87" s="0" t="str">
        <f>IFERROR(__xludf.DUMMYFUNCTION("""COMPUTED_VALUE"""),"1SOn4_JJeoHJYkiaVBjxfn5Lb7mA_qhKHshd3opLPQ1I")</f>
        <v>1SOn4_JJeoHJYkiaVBjxfn5Lb7mA_qhKHshd3opLPQ1I</v>
      </c>
    </row>
    <row r="88" ht="15.75" customHeight="1">
      <c r="A88" s="0" t="str">
        <f>IFERROR(__xludf.DUMMYFUNCTION("""COMPUTED_VALUE"""),"TradingTicket")</f>
        <v>TradingTicket</v>
      </c>
      <c r="B88" s="0" t="str">
        <f>IFERROR(__xludf.DUMMYFUNCTION("""COMPUTED_VALUE"""),"TradeNewSub")</f>
        <v>TradeNewSub</v>
      </c>
      <c r="C88" s="0" t="str">
        <f>IFERROR(__xludf.DUMMYFUNCTION("""COMPUTED_VALUE"""),"1IorkfR8EskF9Rg56tJ2oKYZpqvMIZEs2668wybtTQB4")</f>
        <v>1IorkfR8EskF9Rg56tJ2oKYZpqvMIZEs2668wybtTQB4</v>
      </c>
    </row>
    <row r="89" ht="15.75" customHeight="1">
      <c r="A89" s="0" t="str">
        <f>IFERROR(__xludf.DUMMYFUNCTION("""COMPUTED_VALUE"""),"GeneralLedger")</f>
        <v>GeneralLedger</v>
      </c>
      <c r="B89" s="0" t="str">
        <f>IFERROR(__xludf.DUMMYFUNCTION("""COMPUTED_VALUE"""),"GetTradingTransaction")</f>
        <v>GetTradingTransaction</v>
      </c>
      <c r="C89" s="0" t="str">
        <f>IFERROR(__xludf.DUMMYFUNCTION("""COMPUTED_VALUE"""),"1psefeS-lWFS-teA6LWf_DI6EUG6mtcOuqu918FZCTQU")</f>
        <v>1psefeS-lWFS-teA6LWf_DI6EUG6mtcOuqu918FZCTQU</v>
      </c>
    </row>
    <row r="90" ht="15.75" customHeight="1">
      <c r="A90" s="0" t="str">
        <f>IFERROR(__xludf.DUMMYFUNCTION("""COMPUTED_VALUE"""),"GeneralLedger")</f>
        <v>GeneralLedger</v>
      </c>
      <c r="B90" s="0" t="str">
        <f>IFERROR(__xludf.DUMMYFUNCTION("""COMPUTED_VALUE"""),"GetActivityData")</f>
        <v>GetActivityData</v>
      </c>
      <c r="C90" s="0" t="str">
        <f>IFERROR(__xludf.DUMMYFUNCTION("""COMPUTED_VALUE"""),"1rznTwdTAEkrPH0xYZH81RkQ1wUryJGoM9CMoeL4nmcQ")</f>
        <v>1rznTwdTAEkrPH0xYZH81RkQ1wUryJGoM9CMoeL4nmcQ</v>
      </c>
    </row>
    <row r="91" ht="15.75" customHeight="1">
      <c r="A91" s="0" t="str">
        <f>IFERROR(__xludf.DUMMYFUNCTION("""COMPUTED_VALUE"""),"Allocation")</f>
        <v>Allocation</v>
      </c>
      <c r="B91" s="0" t="str">
        <f>IFERROR(__xludf.DUMMYFUNCTION("""COMPUTED_VALUE"""),"SetAccountValueCalculatedPref")</f>
        <v>SetAccountValueCalculatedPref</v>
      </c>
      <c r="C91" s="0" t="str">
        <f>IFERROR(__xludf.DUMMYFUNCTION("""COMPUTED_VALUE"""),"1_z8RqXBRujVk2nmOKATscV8OMNcUKi2JifkR1W7KdRE")</f>
        <v>1_z8RqXBRujVk2nmOKATscV8OMNcUKi2JifkR1W7KdRE</v>
      </c>
    </row>
    <row r="92" ht="15.75" customHeight="1">
      <c r="A92" s="0" t="str">
        <f>IFERROR(__xludf.DUMMYFUNCTION("""COMPUTED_VALUE"""),"Allocation")</f>
        <v>Allocation</v>
      </c>
      <c r="B92" s="0" t="str">
        <f>IFERROR(__xludf.DUMMYFUNCTION("""COMPUTED_VALUE"""),"TradeAttributeBulkChangeGroups")</f>
        <v>TradeAttributeBulkChangeGroups</v>
      </c>
      <c r="C92" s="0" t="str">
        <f>IFERROR(__xludf.DUMMYFUNCTION("""COMPUTED_VALUE"""),"1PWEqwYA12VgsLsj6lvnqrW4sngZuq-sjrmnpL9peQPo")</f>
        <v>1PWEqwYA12VgsLsj6lvnqrW4sngZuq-sjrmnpL9peQPo</v>
      </c>
    </row>
    <row r="93" ht="15.75" customHeight="1">
      <c r="A93" s="0" t="str">
        <f>IFERROR(__xludf.DUMMYFUNCTION("""COMPUTED_VALUE"""),"Allocation")</f>
        <v>Allocation</v>
      </c>
      <c r="B93" s="0" t="str">
        <f>IFERROR(__xludf.DUMMYFUNCTION("""COMPUTED_VALUE"""),"TradeAttributeBulkChangeTaxlots")</f>
        <v>TradeAttributeBulkChangeTaxlots</v>
      </c>
      <c r="C93" s="0" t="str">
        <f>IFERROR(__xludf.DUMMYFUNCTION("""COMPUTED_VALUE"""),"1qWD23r6S8L6qNcKOENcBsVpBS_5raHBTtvCMOf8rwRo")</f>
        <v>1qWD23r6S8L6qNcKOENcBsVpBS_5raHBTtvCMOf8rwRo</v>
      </c>
    </row>
    <row r="94" ht="15.75" customHeight="1">
      <c r="A94" s="0" t="str">
        <f>IFERROR(__xludf.DUMMYFUNCTION("""COMPUTED_VALUE"""),"Allocation")</f>
        <v>Allocation</v>
      </c>
      <c r="B94" s="0" t="str">
        <f>IFERROR(__xludf.DUMMYFUNCTION("""COMPUTED_VALUE"""),"AddCalculatedPreferenceToolbar")</f>
        <v>AddCalculatedPreferenceToolbar</v>
      </c>
      <c r="C94" s="0" t="str">
        <f>IFERROR(__xludf.DUMMYFUNCTION("""COMPUTED_VALUE"""),"1ih6B6H3dMqTN2qoqiNuco5rugaDHzlFQvUiQTafq1-Y")</f>
        <v>1ih6B6H3dMqTN2qoqiNuco5rugaDHzlFQvUiQTafq1-Y</v>
      </c>
    </row>
    <row r="95" ht="15.75" customHeight="1">
      <c r="A95" s="0" t="str">
        <f>IFERROR(__xludf.DUMMYFUNCTION("""COMPUTED_VALUE"""),"GeneralLedger")</f>
        <v>GeneralLedger</v>
      </c>
      <c r="B95" s="0" t="str">
        <f>IFERROR(__xludf.DUMMYFUNCTION("""COMPUTED_VALUE"""),"GetRevaluationData")</f>
        <v>GetRevaluationData</v>
      </c>
      <c r="C95" s="0" t="str">
        <f>IFERROR(__xludf.DUMMYFUNCTION("""COMPUTED_VALUE"""),"105kp1yXOdHuKObnT282Gjsr9VcKIYY9fVt3jwRMQivk")</f>
        <v>105kp1yXOdHuKObnT282Gjsr9VcKIYY9fVt3jwRMQivk</v>
      </c>
    </row>
    <row r="96" ht="15.75" customHeight="1">
      <c r="A96" s="0" t="str">
        <f>IFERROR(__xludf.DUMMYFUNCTION("""COMPUTED_VALUE"""),"Allocation")</f>
        <v>Allocation</v>
      </c>
      <c r="B96" s="0" t="str">
        <f>IFERROR(__xludf.DUMMYFUNCTION("""COMPUTED_VALUE"""),"SetStrategyValueCalculatedPref")</f>
        <v>SetStrategyValueCalculatedPref</v>
      </c>
      <c r="C96" s="0" t="str">
        <f>IFERROR(__xludf.DUMMYFUNCTION("""COMPUTED_VALUE"""),"155MwUZO0qphL6P5-kiOzXA9wszW7MLyU3r6cueRluPE")</f>
        <v>155MwUZO0qphL6P5-kiOzXA9wszW7MLyU3r6cueRluPE</v>
      </c>
    </row>
    <row r="97" ht="15.75" customHeight="1">
      <c r="A97" s="0" t="str">
        <f>IFERROR(__xludf.DUMMYFUNCTION("""COMPUTED_VALUE"""),"GeneralLedger")</f>
        <v>GeneralLedger</v>
      </c>
      <c r="B97" s="0" t="str">
        <f>IFERROR(__xludf.DUMMYFUNCTION("""COMPUTED_VALUE"""),"GetAccountDetails")</f>
        <v>GetAccountDetails</v>
      </c>
      <c r="C97" s="0" t="str">
        <f>IFERROR(__xludf.DUMMYFUNCTION("""COMPUTED_VALUE"""),"1Me9UTDrd2996RjhiWBMkCi9mXdb5L42QQfdj510IoVM")</f>
        <v>1Me9UTDrd2996RjhiWBMkCi9mXdb5L42QQfdj510IoVM</v>
      </c>
    </row>
    <row r="98" ht="15.75" customHeight="1">
      <c r="A98" s="0" t="str">
        <f>IFERROR(__xludf.DUMMYFUNCTION("""COMPUTED_VALUE"""),"Allocation")</f>
        <v>Allocation</v>
      </c>
      <c r="B98" s="0" t="str">
        <f>IFERROR(__xludf.DUMMYFUNCTION("""COMPUTED_VALUE"""),"ApplyBulkUpdateOnTaxlots")</f>
        <v>ApplyBulkUpdateOnTaxlots</v>
      </c>
      <c r="C98" s="0" t="str">
        <f>IFERROR(__xludf.DUMMYFUNCTION("""COMPUTED_VALUE"""),"1kSbyPWCAETWkagyJeACNwFnEDTZGBY7V9VzLov8MtUE")</f>
        <v>1kSbyPWCAETWkagyJeACNwFnEDTZGBY7V9VzLov8MtUE</v>
      </c>
    </row>
    <row r="99" ht="15.75" customHeight="1">
      <c r="A99" s="0" t="str">
        <f>IFERROR(__xludf.DUMMYFUNCTION("""COMPUTED_VALUE"""),"GeneralLedger")</f>
        <v>GeneralLedger</v>
      </c>
      <c r="B99" s="0" t="str">
        <f>IFERROR(__xludf.DUMMYFUNCTION("""COMPUTED_VALUE"""),"GetNonTradingTransaction")</f>
        <v>GetNonTradingTransaction</v>
      </c>
      <c r="C99" s="0" t="str">
        <f>IFERROR(__xludf.DUMMYFUNCTION("""COMPUTED_VALUE"""),"1HUC5rEPCZfFcwW21tVUh6_8T3y5OGGZm3qS66vN0_Bc")</f>
        <v>1HUC5rEPCZfFcwW21tVUh6_8T3y5OGGZm3qS66vN0_Bc</v>
      </c>
    </row>
    <row r="100" ht="15.75" customHeight="1">
      <c r="A100" s="0" t="str">
        <f>IFERROR(__xludf.DUMMYFUNCTION("""COMPUTED_VALUE"""),"Allocation")</f>
        <v>Allocation</v>
      </c>
      <c r="B100" s="0" t="str">
        <f>IFERROR(__xludf.DUMMYFUNCTION("""COMPUTED_VALUE"""),"CommissionBulkChangeOnGroups")</f>
        <v>CommissionBulkChangeOnGroups</v>
      </c>
      <c r="C100" s="0" t="str">
        <f>IFERROR(__xludf.DUMMYFUNCTION("""COMPUTED_VALUE"""),"1nqghloueAtXKgiCD7E97C4HJhoG52Mgd5lseF3sy40Y")</f>
        <v>1nqghloueAtXKgiCD7E97C4HJhoG52Mgd5lseF3sy40Y</v>
      </c>
    </row>
    <row r="101" ht="15.75" customHeight="1">
      <c r="A101" s="0" t="str">
        <f>IFERROR(__xludf.DUMMYFUNCTION("""COMPUTED_VALUE"""),"GeneralLedger")</f>
        <v>GeneralLedger</v>
      </c>
      <c r="B101" s="0" t="str">
        <f>IFERROR(__xludf.DUMMYFUNCTION("""COMPUTED_VALUE"""),"GetDividendData")</f>
        <v>GetDividendData</v>
      </c>
      <c r="C101" s="0" t="str">
        <f>IFERROR(__xludf.DUMMYFUNCTION("""COMPUTED_VALUE"""),"1U4lTeqJHZq-7DOC_oNjNvpvqxZzMTAVQzmbDBSE3iSw")</f>
        <v>1U4lTeqJHZq-7DOC_oNjNvpvqxZzMTAVQzmbDBSE3iSw</v>
      </c>
    </row>
    <row r="102" ht="15.75" customHeight="1">
      <c r="A102" s="0" t="str">
        <f>IFERROR(__xludf.DUMMYFUNCTION("""COMPUTED_VALUE"""),"Allocation")</f>
        <v>Allocation</v>
      </c>
      <c r="B102" s="0" t="str">
        <f>IFERROR(__xludf.DUMMYFUNCTION("""COMPUTED_VALUE"""),"CommissionBulkChangeOnTaxlots")</f>
        <v>CommissionBulkChangeOnTaxlots</v>
      </c>
      <c r="C102" s="0" t="str">
        <f>IFERROR(__xludf.DUMMYFUNCTION("""COMPUTED_VALUE"""),"1_7vsYYCvTxkAYqYXjLmISGV0viOCb9khDDddgaDCzbE")</f>
        <v>1_7vsYYCvTxkAYqYXjLmISGV0viOCb9khDDddgaDCzbE</v>
      </c>
    </row>
    <row r="103" ht="15.75" customHeight="1">
      <c r="A103" s="0" t="str">
        <f>IFERROR(__xludf.DUMMYFUNCTION("""COMPUTED_VALUE"""),"GeneralLedger")</f>
        <v>GeneralLedger</v>
      </c>
      <c r="B103" s="0" t="str">
        <f>IFERROR(__xludf.DUMMYFUNCTION("""COMPUTED_VALUE"""),"VerifyNonTradingTransaction")</f>
        <v>VerifyNonTradingTransaction</v>
      </c>
      <c r="C103" s="0" t="str">
        <f>IFERROR(__xludf.DUMMYFUNCTION("""COMPUTED_VALUE"""),"1O0bP5QXQjQiDANZIp9Obrifa55tdLvVLynbjdLFGE3g")</f>
        <v>1O0bP5QXQjQiDANZIp9Obrifa55tdLvVLynbjdLFGE3g</v>
      </c>
    </row>
    <row r="104" ht="15.75" customHeight="1">
      <c r="A104" s="0" t="str">
        <f>IFERROR(__xludf.DUMMYFUNCTION("""COMPUTED_VALUE"""),"Allocation")</f>
        <v>Allocation</v>
      </c>
      <c r="B104" s="0" t="str">
        <f>IFERROR(__xludf.DUMMYFUNCTION("""COMPUTED_VALUE"""),"SelectUnallocatedGroup")</f>
        <v>SelectUnallocatedGroup</v>
      </c>
      <c r="C104" s="0" t="str">
        <f>IFERROR(__xludf.DUMMYFUNCTION("""COMPUTED_VALUE"""),"1o4oo91ek1Mn_DDe4KMGTI4QP4Tr2a7dk4W6GhZrx8C0")</f>
        <v>1o4oo91ek1Mn_DDe4KMGTI4QP4Tr2a7dk4W6GhZrx8C0</v>
      </c>
    </row>
    <row r="105" ht="15.75" customHeight="1">
      <c r="A105" s="0" t="str">
        <f>IFERROR(__xludf.DUMMYFUNCTION("""COMPUTED_VALUE"""),"GeneralLedger")</f>
        <v>GeneralLedger</v>
      </c>
      <c r="B105" s="0" t="str">
        <f>IFERROR(__xludf.DUMMYFUNCTION("""COMPUTED_VALUE"""),"VerifyDividend")</f>
        <v>VerifyDividend</v>
      </c>
      <c r="C105" s="0" t="str">
        <f>IFERROR(__xludf.DUMMYFUNCTION("""COMPUTED_VALUE"""),"1rqUHYcdAPy30n3DVnBbBC1G7pAs0HVw8bk6U4wElamU")</f>
        <v>1rqUHYcdAPy30n3DVnBbBC1G7pAs0HVw8bk6U4wElamU</v>
      </c>
    </row>
    <row r="106" ht="15.75" customHeight="1">
      <c r="A106" s="0" t="str">
        <f>IFERROR(__xludf.DUMMYFUNCTION("""COMPUTED_VALUE"""),"Allocation")</f>
        <v>Allocation</v>
      </c>
      <c r="B106" s="0" t="str">
        <f>IFERROR(__xludf.DUMMYFUNCTION("""COMPUTED_VALUE"""),"EnterAccountValuesToAllocate")</f>
        <v>EnterAccountValuesToAllocate</v>
      </c>
      <c r="C106" s="0" t="str">
        <f>IFERROR(__xludf.DUMMYFUNCTION("""COMPUTED_VALUE"""),"1_xxunJZv--OoaMu--vIqANsrHbGnp7zgAejiREqgC9o")</f>
        <v>1_xxunJZv--OoaMu--vIqANsrHbGnp7zgAejiREqgC9o</v>
      </c>
    </row>
    <row r="107" ht="15.75" customHeight="1">
      <c r="A107" s="0" t="str">
        <f>IFERROR(__xludf.DUMMYFUNCTION("""COMPUTED_VALUE"""),"GeneralLedger")</f>
        <v>GeneralLedger</v>
      </c>
      <c r="B107" s="0" t="str">
        <f>IFERROR(__xludf.DUMMYFUNCTION("""COMPUTED_VALUE"""),"GetOpeningBalanceData")</f>
        <v>GetOpeningBalanceData</v>
      </c>
      <c r="C107" s="0" t="str">
        <f>IFERROR(__xludf.DUMMYFUNCTION("""COMPUTED_VALUE"""),"1szTOtKIGVoQMbhobEgnUxaIGXhP5R27tXCm0Kr5COss")</f>
        <v>1szTOtKIGVoQMbhobEgnUxaIGXhP5R27tXCm0Kr5COss</v>
      </c>
    </row>
    <row r="108" ht="15.75" customHeight="1">
      <c r="A108" s="0" t="str">
        <f>IFERROR(__xludf.DUMMYFUNCTION("""COMPUTED_VALUE"""),"Allocation")</f>
        <v>Allocation</v>
      </c>
      <c r="B108" s="0" t="str">
        <f>IFERROR(__xludf.DUMMYFUNCTION("""COMPUTED_VALUE"""),"EnterAllocatePreference")</f>
        <v>EnterAllocatePreference</v>
      </c>
      <c r="C108" s="0" t="str">
        <f>IFERROR(__xludf.DUMMYFUNCTION("""COMPUTED_VALUE"""),"19kT9xClnQROyvkZyFnUNnYg5PZsgZfC-L8n5MQshEKw")</f>
        <v>19kT9xClnQROyvkZyFnUNnYg5PZsgZfC-L8n5MQshEKw</v>
      </c>
    </row>
    <row r="109" ht="15.75" customHeight="1">
      <c r="A109" s="0" t="str">
        <f>IFERROR(__xludf.DUMMYFUNCTION("""COMPUTED_VALUE"""),"GeneralLedger")</f>
        <v>GeneralLedger</v>
      </c>
      <c r="B109" s="0" t="str">
        <f>IFERROR(__xludf.DUMMYFUNCTION("""COMPUTED_VALUE"""),"GetAccountBalance")</f>
        <v>GetAccountBalance</v>
      </c>
      <c r="C109" s="0" t="str">
        <f>IFERROR(__xludf.DUMMYFUNCTION("""COMPUTED_VALUE"""),"14i8_M9tTYQnmPA2vP4WK8Gc1mKSw08Q2z6JEQNMQ2jA")</f>
        <v>14i8_M9tTYQnmPA2vP4WK8Gc1mKSw08Q2z6JEQNMQ2jA</v>
      </c>
    </row>
    <row r="110" ht="15.75" customHeight="1">
      <c r="A110" s="0" t="str">
        <f>IFERROR(__xludf.DUMMYFUNCTION("""COMPUTED_VALUE"""),"Expnl")</f>
        <v>Expnl</v>
      </c>
      <c r="B110" s="0" t="str">
        <f>IFERROR(__xludf.DUMMYFUNCTION("""COMPUTED_VALUE"""),"RestartExpnl")</f>
        <v>RestartExpnl</v>
      </c>
      <c r="C110" s="0" t="str">
        <f>IFERROR(__xludf.DUMMYFUNCTION("""COMPUTED_VALUE"""),"1XudD6Nj0wqCZAKVseYGTPtKQwNCe9E1uqJVw4IlOpus")</f>
        <v>1XudD6Nj0wqCZAKVseYGTPtKQwNCe9E1uqJVw4IlOpus</v>
      </c>
    </row>
    <row r="111" ht="15.75" customHeight="1">
      <c r="A111" s="0" t="str">
        <f>IFERROR(__xludf.DUMMYFUNCTION("""COMPUTED_VALUE"""),"PortfolioManagement")</f>
        <v>PortfolioManagement</v>
      </c>
      <c r="B111" s="0" t="str">
        <f>IFERROR(__xludf.DUMMYFUNCTION("""COMPUTED_VALUE"""),"ClosePM")</f>
        <v>ClosePM</v>
      </c>
      <c r="C111" s="0" t="str">
        <f>IFERROR(__xludf.DUMMYFUNCTION("""COMPUTED_VALUE"""),"Undefined")</f>
        <v>Undefined</v>
      </c>
    </row>
    <row r="112" ht="15.75" customHeight="1">
      <c r="A112" s="0" t="str">
        <f>IFERROR(__xludf.DUMMYFUNCTION("""COMPUTED_VALUE"""),"Allocation")</f>
        <v>Allocation</v>
      </c>
      <c r="B112" s="0" t="str">
        <f>IFERROR(__xludf.DUMMYFUNCTION("""COMPUTED_VALUE"""),"EnterStrategyValuesToAllocate")</f>
        <v>EnterStrategyValuesToAllocate</v>
      </c>
      <c r="C112" s="0" t="str">
        <f>IFERROR(__xludf.DUMMYFUNCTION("""COMPUTED_VALUE"""),"1Zsko4640_o83_hPa401AVs4ihF17JntIpyHAOhJZX6E")</f>
        <v>1Zsko4640_o83_hPa401AVs4ihF17JntIpyHAOhJZX6E</v>
      </c>
    </row>
    <row r="113" ht="15.75" customHeight="1">
      <c r="A113" s="0" t="str">
        <f>IFERROR(__xludf.DUMMYFUNCTION("""COMPUTED_VALUE"""),"GeneralLedger")</f>
        <v>GeneralLedger</v>
      </c>
      <c r="B113" s="0" t="str">
        <f>IFERROR(__xludf.DUMMYFUNCTION("""COMPUTED_VALUE"""),"SelectNonTradingTransaction")</f>
        <v>SelectNonTradingTransaction</v>
      </c>
      <c r="C113" s="0" t="str">
        <f>IFERROR(__xludf.DUMMYFUNCTION("""COMPUTED_VALUE"""),"13CpGgA7xAiUMopTzEjt2gG1RljXAXIuKfHjB9r5e5x4")</f>
        <v>13CpGgA7xAiUMopTzEjt2gG1RljXAXIuKfHjB9r5e5x4</v>
      </c>
    </row>
    <row r="114" ht="15.75" customHeight="1">
      <c r="A114" s="0" t="str">
        <f>IFERROR(__xludf.DUMMYFUNCTION("""COMPUTED_VALUE"""),"GeneralLedger")</f>
        <v>GeneralLedger</v>
      </c>
      <c r="B114" s="0" t="str">
        <f>IFERROR(__xludf.DUMMYFUNCTION("""COMPUTED_VALUE"""),"SelectNonTradingTranItem")</f>
        <v>SelectNonTradingTranItem</v>
      </c>
      <c r="C114" s="0" t="str">
        <f>IFERROR(__xludf.DUMMYFUNCTION("""COMPUTED_VALUE"""),"1UZ09M0xmOuNjWYpsoghYu3B-9Dp1XeyMl6CRaUgL7PU")</f>
        <v>1UZ09M0xmOuNjWYpsoghYu3B-9Dp1XeyMl6CRaUgL7PU</v>
      </c>
    </row>
    <row r="115" ht="15.75" customHeight="1">
      <c r="A115" s="0" t="str">
        <f>IFERROR(__xludf.DUMMYFUNCTION("""COMPUTED_VALUE"""),"Allocation")</f>
        <v>Allocation</v>
      </c>
      <c r="B115" s="0" t="str">
        <f>IFERROR(__xludf.DUMMYFUNCTION("""COMPUTED_VALUE"""),"CopyCalculatedPreferenceToolbar")</f>
        <v>CopyCalculatedPreferenceToolbar</v>
      </c>
      <c r="C115" s="0" t="str">
        <f>IFERROR(__xludf.DUMMYFUNCTION("""COMPUTED_VALUE"""),"1l11hWn_7rpljZexuNHkg5KleyKXo_4jx1d21BZRdJLg")</f>
        <v>1l11hWn_7rpljZexuNHkg5KleyKXo_4jx1d21BZRdJLg</v>
      </c>
    </row>
    <row r="116" ht="15.75" customHeight="1">
      <c r="A116" s="0" t="str">
        <f>IFERROR(__xludf.DUMMYFUNCTION("""COMPUTED_VALUE"""),"Allocation")</f>
        <v>Allocation</v>
      </c>
      <c r="B116" s="0" t="str">
        <f>IFERROR(__xludf.DUMMYFUNCTION("""COMPUTED_VALUE"""),"SetGeneralRuleCalculatedPref")</f>
        <v>SetGeneralRuleCalculatedPref</v>
      </c>
      <c r="C116" s="0" t="str">
        <f>IFERROR(__xludf.DUMMYFUNCTION("""COMPUTED_VALUE"""),"1R_5SIhO5vmNiNTSvxGDIsDQW7k4dpl_tTORq2eMqTMQ")</f>
        <v>1R_5SIhO5vmNiNTSvxGDIsDQW7k4dpl_tTORq2eMqTMQ</v>
      </c>
    </row>
    <row r="117" ht="15.75" customHeight="1">
      <c r="A117" s="0" t="str">
        <f>IFERROR(__xludf.DUMMYFUNCTION("""COMPUTED_VALUE"""),"GeneralLedger")</f>
        <v>GeneralLedger</v>
      </c>
      <c r="B117" s="0" t="str">
        <f>IFERROR(__xludf.DUMMYFUNCTION("""COMPUTED_VALUE"""),"DeleteNonTradingTransaction")</f>
        <v>DeleteNonTradingTransaction</v>
      </c>
      <c r="C117" s="0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s="0" t="str">
        <f>IFERROR(__xludf.DUMMYFUNCTION("""COMPUTED_VALUE"""),"DeleteNonTradingTranItem")</f>
        <v>DeleteNonTradingTranItem</v>
      </c>
      <c r="C118" s="0" t="str">
        <f>IFERROR(__xludf.DUMMYFUNCTION("""COMPUTED_VALUE"""),"1YQ4eqVgAhL_mqQU2z2kvxzIhWYpzfuAfnqY561FQoSE")</f>
        <v>1YQ4eqVgAhL_mqQU2z2kvxzIhWYpzfuAfnqY561FQoSE</v>
      </c>
    </row>
    <row r="119" ht="15.75" customHeight="1">
      <c r="A119" s="0" t="str">
        <f>IFERROR(__xludf.DUMMYFUNCTION("""COMPUTED_VALUE"""),"Allocation")</f>
        <v>Allocation</v>
      </c>
      <c r="B119" s="0" t="str">
        <f>IFERROR(__xludf.DUMMYFUNCTION("""COMPUTED_VALUE"""),"ExportAllCalculatedPreferences")</f>
        <v>ExportAllCalculatedPreferences</v>
      </c>
      <c r="C119" s="0" t="str">
        <f>IFERROR(__xludf.DUMMYFUNCTION("""COMPUTED_VALUE"""),"1McqZVOvpDAyyblkMX74qXcQoiQxkSLybROu-ztjMQIc")</f>
        <v>1McqZVOvpDAyyblkMX74qXcQoiQxkSLybROu-ztjMQIc</v>
      </c>
    </row>
    <row r="120" ht="15.75" customHeight="1">
      <c r="A120" s="0" t="str">
        <f>IFERROR(__xludf.DUMMYFUNCTION("""COMPUTED_VALUE"""),"GeneralLedger")</f>
        <v>GeneralLedger</v>
      </c>
      <c r="B120" s="0" t="str">
        <f>IFERROR(__xludf.DUMMYFUNCTION("""COMPUTED_VALUE"""),"AddNonTradingTransaction")</f>
        <v>AddNonTradingTransaction</v>
      </c>
      <c r="C120" s="0" t="str">
        <f>IFERROR(__xludf.DUMMYFUNCTION("""COMPUTED_VALUE"""),"1P841AyLOX69wx-NB44lpyuRlaUGV1cMYqaugaIGxr5Q")</f>
        <v>1P841AyLOX69wx-NB44lpyuRlaUGV1cMYqaugaIGxr5Q</v>
      </c>
    </row>
    <row r="121" ht="15.75" customHeight="1">
      <c r="A121" s="0" t="str">
        <f>IFERROR(__xludf.DUMMYFUNCTION("""COMPUTED_VALUE"""),"GeneralLedger")</f>
        <v>GeneralLedger</v>
      </c>
      <c r="B121" s="0" t="str">
        <f>IFERROR(__xludf.DUMMYFUNCTION("""COMPUTED_VALUE"""),"AddNonTradingTranItem")</f>
        <v>AddNonTradingTranItem</v>
      </c>
      <c r="C121" s="0" t="str">
        <f>IFERROR(__xludf.DUMMYFUNCTION("""COMPUTED_VALUE"""),"1fEUUuW7bCEL3WiGDSZKRox2hDLlMEtVBUR46151jGvw")</f>
        <v>1fEUUuW7bCEL3WiGDSZKRox2hDLlMEtVBUR46151jGvw</v>
      </c>
    </row>
    <row r="122" ht="15.75" customHeight="1">
      <c r="A122" s="0" t="str">
        <f>IFERROR(__xludf.DUMMYFUNCTION("""COMPUTED_VALUE"""),"Allocation")</f>
        <v>Allocation</v>
      </c>
      <c r="B122" s="0" t="str">
        <f>IFERROR(__xludf.DUMMYFUNCTION("""COMPUTED_VALUE"""),"SaveCalculatedPreferences")</f>
        <v>SaveCalculatedPreferences</v>
      </c>
      <c r="C122" s="0" t="str">
        <f>IFERROR(__xludf.DUMMYFUNCTION("""COMPUTED_VALUE"""),"Undefined")</f>
        <v>Undefined</v>
      </c>
    </row>
    <row r="123" ht="15.75" customHeight="1">
      <c r="A123" s="0" t="str">
        <f>IFERROR(__xludf.DUMMYFUNCTION("""COMPUTED_VALUE"""),"GeneralLedger")</f>
        <v>GeneralLedger</v>
      </c>
      <c r="B123" s="0" t="str">
        <f>IFERROR(__xludf.DUMMYFUNCTION("""COMPUTED_VALUE"""),"VerifyOpeningBalanceData")</f>
        <v>VerifyOpeningBalanceData</v>
      </c>
      <c r="C123" s="0" t="str">
        <f>IFERROR(__xludf.DUMMYFUNCTION("""COMPUTED_VALUE"""),"1fYqc0dGDB6VLPr77gmUss7eBXhlUYc0GLttj6ffr-Kg")</f>
        <v>1fYqc0dGDB6VLPr77gmUss7eBXhlUYc0GLttj6ffr-Kg</v>
      </c>
    </row>
    <row r="124" ht="15.75" customHeight="1">
      <c r="A124" s="0" t="str">
        <f>IFERROR(__xludf.DUMMYFUNCTION("""COMPUTED_VALUE"""),"GeneralLedger")</f>
        <v>GeneralLedger</v>
      </c>
      <c r="B124" s="0" t="str">
        <f>IFERROR(__xludf.DUMMYFUNCTION("""COMPUTED_VALUE"""),"SelectOpeningBalanceTransaction")</f>
        <v>SelectOpeningBalanceTransaction</v>
      </c>
      <c r="C124" s="0" t="str">
        <f>IFERROR(__xludf.DUMMYFUNCTION("""COMPUTED_VALUE"""),"1WebIwh6H8t2c0-92bwEKV5DshdjoRQmVPIJVFLHmnls")</f>
        <v>1WebIwh6H8t2c0-92bwEKV5DshdjoRQmVPIJVFLHmnls</v>
      </c>
    </row>
    <row r="125" ht="15.75" customHeight="1">
      <c r="A125" s="0" t="str">
        <f>IFERROR(__xludf.DUMMYFUNCTION("""COMPUTED_VALUE"""),"TradingTicket")</f>
        <v>TradingTicket</v>
      </c>
      <c r="B125" s="0" t="str">
        <f>IFERROR(__xludf.DUMMYFUNCTION("""COMPUTED_VALUE"""),"CreateStageOrder ")</f>
        <v>CreateStageOrder </v>
      </c>
      <c r="C125" s="0" t="str">
        <f>IFERROR(__xludf.DUMMYFUNCTION("""COMPUTED_VALUE"""),"19L_mzuhDLQ5wPlLAxlOHp1eRSS4zc0D4J6BOKCagXpw")</f>
        <v>19L_mzuhDLQ5wPlLAxlOHp1eRSS4zc0D4J6BOKCagXpw</v>
      </c>
    </row>
    <row r="126" ht="15.75" customHeight="1">
      <c r="A126" s="0" t="str">
        <f>IFERROR(__xludf.DUMMYFUNCTION("""COMPUTED_VALUE"""),"Blotter")</f>
        <v>Blotter</v>
      </c>
      <c r="B126" s="0" t="str">
        <f>IFERROR(__xludf.DUMMYFUNCTION("""COMPUTED_VALUE"""),"TransferToUserWorkingSubs")</f>
        <v>TransferToUserWorkingSubs</v>
      </c>
      <c r="C126" s="0" t="str">
        <f>IFERROR(__xludf.DUMMYFUNCTION("""COMPUTED_VALUE"""),"1SYHCL9X3kLj_YpZgCZTrllmRvVgAsjam3MbM-5vKhuQ")</f>
        <v>1SYHCL9X3kLj_YpZgCZTrllmRvVgAsjam3MbM-5vKhuQ</v>
      </c>
    </row>
    <row r="127" ht="15.75" customHeight="1">
      <c r="A127" s="0" t="str">
        <f>IFERROR(__xludf.DUMMYFUNCTION("""COMPUTED_VALUE"""),"Blotter")</f>
        <v>Blotter</v>
      </c>
      <c r="B127" s="0" t="str">
        <f>IFERROR(__xludf.DUMMYFUNCTION("""COMPUTED_VALUE"""),"CancelWorkingSubs")</f>
        <v>CancelWorkingSubs</v>
      </c>
      <c r="C127" s="0" t="str">
        <f>IFERROR(__xludf.DUMMYFUNCTION("""COMPUTED_VALUE"""),"1O_QhVVvq9XcwVG6eOk1KDiQEBXDVkfHIoF5OQ05ChQM")</f>
        <v>1O_QhVVvq9XcwVG6eOk1KDiQEBXDVkfHIoF5OQ05ChQM</v>
      </c>
    </row>
    <row r="128" ht="15.75" customHeight="1">
      <c r="A128" s="0" t="str">
        <f>IFERROR(__xludf.DUMMYFUNCTION("""COMPUTED_VALUE"""),"Blotter")</f>
        <v>Blotter</v>
      </c>
      <c r="B128" s="0" t="str">
        <f>IFERROR(__xludf.DUMMYFUNCTION("""COMPUTED_VALUE"""),"ReplaceWorkingSubs")</f>
        <v>ReplaceWorkingSubs</v>
      </c>
      <c r="C128" s="0" t="str">
        <f>IFERROR(__xludf.DUMMYFUNCTION("""COMPUTED_VALUE"""),"1WZoxOuHE4Qt6q835PwLh8-0EnNhekv7piYE-Kd-vnjg")</f>
        <v>1WZoxOuHE4Qt6q835PwLh8-0EnNhekv7piYE-Kd-vnjg</v>
      </c>
    </row>
    <row r="129" ht="15.75" customHeight="1">
      <c r="A129" s="0" t="str">
        <f>IFERROR(__xludf.DUMMYFUNCTION("""COMPUTED_VALUE"""),"Expnl")</f>
        <v>Expnl</v>
      </c>
      <c r="B129" s="0" t="str">
        <f>IFERROR(__xludf.DUMMYFUNCTION("""COMPUTED_VALUE"""),"UpdateExpnlConfig")</f>
        <v>UpdateExpnlConfig</v>
      </c>
      <c r="C129" s="0" t="str">
        <f>IFERROR(__xludf.DUMMYFUNCTION("""COMPUTED_VALUE"""),"1V8BI4yfIyQECE1JcMRsApfmTPthAoYudd5HOhx1IeZ4")</f>
        <v>1V8BI4yfIyQECE1JcMRsApfmTPthAoYudd5HOhx1IeZ4</v>
      </c>
    </row>
    <row r="130" ht="15.75" customHeight="1">
      <c r="A130" s="0" t="str">
        <f>IFERROR(__xludf.DUMMYFUNCTION("""COMPUTED_VALUE"""),"Blotter")</f>
        <v>Blotter</v>
      </c>
      <c r="B130" s="0" t="str">
        <f>IFERROR(__xludf.DUMMYFUNCTION("""COMPUTED_VALUE"""),"ViewAllocationDetailsWorkingSub")</f>
        <v>ViewAllocationDetailsWorkingSub</v>
      </c>
      <c r="C130" s="0" t="str">
        <f>IFERROR(__xludf.DUMMYFUNCTION("""COMPUTED_VALUE"""),"1C9lg9oeUsmJEC3FDEmDYEDxYEZ48vhTvBpc_7jzrG-A")</f>
        <v>1C9lg9oeUsmJEC3FDEmDYEDxYEZ48vhTvBpc_7jzrG-A</v>
      </c>
    </row>
    <row r="131" ht="15.75" customHeight="1">
      <c r="A131" s="0" t="str">
        <f>IFERROR(__xludf.DUMMYFUNCTION("""COMPUTED_VALUE"""),"Blotter")</f>
        <v>Blotter</v>
      </c>
      <c r="B131" s="0" t="str">
        <f>IFERROR(__xludf.DUMMYFUNCTION("""COMPUTED_VALUE"""),"SelectTradeOnOrderGrid")</f>
        <v>SelectTradeOnOrderGrid</v>
      </c>
      <c r="C131" s="0" t="str">
        <f>IFERROR(__xludf.DUMMYFUNCTION("""COMPUTED_VALUE"""),"1pIqb45gaTMZAVl6ZTIr9XBk4KURb-nsLncnz6oXfhbs")</f>
        <v>1pIqb45gaTMZAVl6ZTIr9XBk4KURb-nsLncnz6oXfhbs</v>
      </c>
    </row>
    <row r="132" ht="15.75" customHeight="1">
      <c r="A132" s="0" t="str">
        <f>IFERROR(__xludf.DUMMYFUNCTION("""COMPUTED_VALUE"""),"Blotter")</f>
        <v>Blotter</v>
      </c>
      <c r="B132" s="0" t="str">
        <f>IFERROR(__xludf.DUMMYFUNCTION("""COMPUTED_VALUE"""),"ShowDetailsForAlgoTradeSubOrder")</f>
        <v>ShowDetailsForAlgoTradeSubOrder</v>
      </c>
      <c r="C132" s="0" t="str">
        <f>IFERROR(__xludf.DUMMYFUNCTION("""COMPUTED_VALUE"""),"1m-tuubYj3kpg3IX2REfAJAcN1l96k6ONTKyiKvxjX2Y")</f>
        <v>1m-tuubYj3kpg3IX2REfAJAcN1l96k6ONTKyiKvxjX2Y</v>
      </c>
    </row>
    <row r="133" ht="15.75" customHeight="1">
      <c r="A133" s="0" t="str">
        <f>IFERROR(__xludf.DUMMYFUNCTION("""COMPUTED_VALUE"""),"Blotter")</f>
        <v>Blotter</v>
      </c>
      <c r="B133" s="0" t="str">
        <f>IFERROR(__xludf.DUMMYFUNCTION("""COMPUTED_VALUE"""),"SelectTradeOrderBlotter")</f>
        <v>SelectTradeOrderBlotter</v>
      </c>
      <c r="C133" s="0" t="str">
        <f>IFERROR(__xludf.DUMMYFUNCTION("""COMPUTED_VALUE"""),"16c7e_rK3O0Zi9I0WlDJ908i_nRkDa4gzAI-9qAWkMGU")</f>
        <v>16c7e_rK3O0Zi9I0WlDJ908i_nRkDa4gzAI-9qAWkMGU</v>
      </c>
    </row>
    <row r="134" ht="15.75" customHeight="1">
      <c r="A134" s="0" t="str">
        <f>IFERROR(__xludf.DUMMYFUNCTION("""COMPUTED_VALUE"""),"Blotter")</f>
        <v>Blotter</v>
      </c>
      <c r="B134" s="0" t="str">
        <f>IFERROR(__xludf.DUMMYFUNCTION("""COMPUTED_VALUE"""),"AddFillsWorkingSubs")</f>
        <v>AddFillsWorkingSubs</v>
      </c>
      <c r="C134" s="0" t="str">
        <f>IFERROR(__xludf.DUMMYFUNCTION("""COMPUTED_VALUE"""),"1NsatpolfnrnOWuJS48_OImvxU5HT7tC5tpa6K_1j4nw")</f>
        <v>1NsatpolfnrnOWuJS48_OImvxU5HT7tC5tpa6K_1j4nw</v>
      </c>
    </row>
    <row r="135" ht="15.75" customHeight="1">
      <c r="A135" s="0" t="str">
        <f>IFERROR(__xludf.DUMMYFUNCTION("""COMPUTED_VALUE"""),"Blotter")</f>
        <v>Blotter</v>
      </c>
      <c r="B135" s="0" t="str">
        <f>IFERROR(__xludf.DUMMYFUNCTION("""COMPUTED_VALUE"""),"EditAddFillsDetails")</f>
        <v>EditAddFillsDetails</v>
      </c>
      <c r="C135" s="0" t="str">
        <f>IFERROR(__xludf.DUMMYFUNCTION("""COMPUTED_VALUE"""),"1wzlYzJ1XCTaoLeP4tjkY8-ZhqlYA9IRvRsKXraPyMT4")</f>
        <v>1wzlYzJ1XCTaoLeP4tjkY8-ZhqlYA9IRvRsKXraPyMT4</v>
      </c>
    </row>
    <row r="136" ht="15.75" customHeight="1">
      <c r="A136" s="0" t="str">
        <f>IFERROR(__xludf.DUMMYFUNCTION("""COMPUTED_VALUE"""),"Blotter")</f>
        <v>Blotter</v>
      </c>
      <c r="B136" s="0" t="str">
        <f>IFERROR(__xludf.DUMMYFUNCTION("""COMPUTED_VALUE"""),"ShowDetailsForAlgoTradeWorkingSubs")</f>
        <v>ShowDetailsForAlgoTradeWorkingSubs</v>
      </c>
      <c r="C136" s="0" t="str">
        <f>IFERROR(__xludf.DUMMYFUNCTION("""COMPUTED_VALUE"""),"1uzLHi4CNBx0MyhR8WKVB_6WHQpiBXI6BeN8IK55J1co")</f>
        <v>1uzLHi4CNBx0MyhR8WKVB_6WHQpiBXI6BeN8IK55J1co</v>
      </c>
    </row>
    <row r="137" ht="15.75" customHeight="1">
      <c r="A137" s="0" t="str">
        <f>IFERROR(__xludf.DUMMYFUNCTION("""COMPUTED_VALUE"""),"Closing")</f>
        <v>Closing</v>
      </c>
      <c r="B137" s="0" t="str">
        <f>IFERROR(__xludf.DUMMYFUNCTION("""COMPUTED_VALUE"""),"SwapExpire")</f>
        <v>SwapExpire</v>
      </c>
      <c r="C137" s="0" t="str">
        <f>IFERROR(__xludf.DUMMYFUNCTION("""COMPUTED_VALUE"""),"1Ch8ljdOLO5qpDv9DppYdH0GSLe_dObZX8Z4007tRKtk")</f>
        <v>1Ch8ljdOLO5qpDv9DppYdH0GSLe_dObZX8Z4007tRKtk</v>
      </c>
    </row>
    <row r="138" ht="15.75" customHeight="1">
      <c r="A138" s="0" t="str">
        <f>IFERROR(__xludf.DUMMYFUNCTION("""COMPUTED_VALUE"""),"Blotter")</f>
        <v>Blotter</v>
      </c>
      <c r="B138" s="0" t="str">
        <f>IFERROR(__xludf.DUMMYFUNCTION("""COMPUTED_VALUE"""),"VerifyWorkingSubs")</f>
        <v>VerifyWorkingSubs</v>
      </c>
      <c r="C138" s="0" t="str">
        <f>IFERROR(__xludf.DUMMYFUNCTION("""COMPUTED_VALUE"""),"1bWNa-3AC2rjiVCHfnFAnV1_niiebvWSmqy0pa2Y3A1U")</f>
        <v>1bWNa-3AC2rjiVCHfnFAnV1_niiebvWSmqy0pa2Y3A1U</v>
      </c>
    </row>
    <row r="139" ht="15.75" customHeight="1">
      <c r="A139" s="0" t="str">
        <f>IFERROR(__xludf.DUMMYFUNCTION("""COMPUTED_VALUE"""),"Blotter")</f>
        <v>Blotter</v>
      </c>
      <c r="B139" s="0" t="str">
        <f>IFERROR(__xludf.DUMMYFUNCTION("""COMPUTED_VALUE"""),"TransferToUserOrder")</f>
        <v>TransferToUserOrder</v>
      </c>
      <c r="C139" s="0" t="str">
        <f>IFERROR(__xludf.DUMMYFUNCTION("""COMPUTED_VALUE"""),"1P2MumATI6sYkJ-NV9pAkg1QlFtz454tMWNv0omhAY0U")</f>
        <v>1P2MumATI6sYkJ-NV9pAkg1QlFtz454tMWNv0omhAY0U</v>
      </c>
    </row>
    <row r="140" ht="15.75" customHeight="1">
      <c r="A140" s="0" t="str">
        <f>IFERROR(__xludf.DUMMYFUNCTION("""COMPUTED_VALUE"""),"Allocation")</f>
        <v>Allocation</v>
      </c>
      <c r="B140" s="0" t="str">
        <f>IFERROR(__xludf.DUMMYFUNCTION("""COMPUTED_VALUE"""),"CloseCalculatedPreferences")</f>
        <v>CloseCalculatedPreferences</v>
      </c>
      <c r="C140" s="0" t="str">
        <f>IFERROR(__xludf.DUMMYFUNCTION("""COMPUTED_VALUE"""),"Undefined")</f>
        <v>Undefined</v>
      </c>
    </row>
    <row r="141" ht="15.75" customHeight="1">
      <c r="A141" s="0" t="str">
        <f>IFERROR(__xludf.DUMMYFUNCTION("""COMPUTED_VALUE"""),"TradingTicket")</f>
        <v>TradingTicket</v>
      </c>
      <c r="B141" s="0" t="str">
        <f>IFERROR(__xludf.DUMMYFUNCTION("""COMPUTED_VALUE"""),"CreateReplaceOrder")</f>
        <v>CreateReplaceOrder</v>
      </c>
      <c r="C141" s="0" t="str">
        <f>IFERROR(__xludf.DUMMYFUNCTION("""COMPUTED_VALUE"""),"18AeAxxP9aKc0LkOM-a21d3p-tmpinB6dTkwcwxQslJ4")</f>
        <v>18AeAxxP9aKc0LkOM-a21d3p-tmpinB6dTkwcwxQslJ4</v>
      </c>
    </row>
    <row r="142" ht="15.75" customHeight="1">
      <c r="A142" s="0" t="str">
        <f>IFERROR(__xludf.DUMMYFUNCTION("""COMPUTED_VALUE"""),"Blotter")</f>
        <v>Blotter</v>
      </c>
      <c r="B142" s="0" t="str">
        <f>IFERROR(__xludf.DUMMYFUNCTION("""COMPUTED_VALUE"""),"EditOrder")</f>
        <v>EditOrder</v>
      </c>
      <c r="C142" s="0" t="str">
        <f>IFERROR(__xludf.DUMMYFUNCTION("""COMPUTED_VALUE"""),"1Vd5K36QAgnLOt0ytUkYptPSTuOBM4MelFsNL6C-vyXQ")</f>
        <v>1Vd5K36QAgnLOt0ytUkYptPSTuOBM4MelFsNL6C-vyXQ</v>
      </c>
    </row>
    <row r="143" ht="15.75" customHeight="1">
      <c r="A143" s="0" t="str">
        <f>IFERROR(__xludf.DUMMYFUNCTION("""COMPUTED_VALUE"""),"Blotter")</f>
        <v>Blotter</v>
      </c>
      <c r="B143" s="0" t="str">
        <f>IFERROR(__xludf.DUMMYFUNCTION("""COMPUTED_VALUE"""),"SelectTradeSubOrderBlotter")</f>
        <v>SelectTradeSubOrderBlotter</v>
      </c>
      <c r="C143" s="0" t="str">
        <f>IFERROR(__xludf.DUMMYFUNCTION("""COMPUTED_VALUE"""),"1Kn7RmQ6euNcNOy6NDUbPzjJlZhiqP-WxVYqXlDo2C6U")</f>
        <v>1Kn7RmQ6euNcNOy6NDUbPzjJlZhiqP-WxVYqXlDo2C6U</v>
      </c>
    </row>
    <row r="144" ht="15.75" customHeight="1">
      <c r="A144" s="0" t="str">
        <f>IFERROR(__xludf.DUMMYFUNCTION("""COMPUTED_VALUE"""),"Blotter")</f>
        <v>Blotter</v>
      </c>
      <c r="B144" s="0" t="str">
        <f>IFERROR(__xludf.DUMMYFUNCTION("""COMPUTED_VALUE"""),"VerifyOrder")</f>
        <v>VerifyOrder</v>
      </c>
      <c r="C144" s="0" t="str">
        <f>IFERROR(__xludf.DUMMYFUNCTION("""COMPUTED_VALUE"""),"1p-jiDGPGYwCR90lkSnOJde0bJTbS9VRZ-owO733geR8")</f>
        <v>1p-jiDGPGYwCR90lkSnOJde0bJTbS9VRZ-owO733geR8</v>
      </c>
    </row>
    <row r="145" ht="15.75" customHeight="1">
      <c r="A145" s="0" t="str">
        <f>IFERROR(__xludf.DUMMYFUNCTION("""COMPUTED_VALUE"""),"Blotter")</f>
        <v>Blotter</v>
      </c>
      <c r="B145" s="0" t="str">
        <f>IFERROR(__xludf.DUMMYFUNCTION("""COMPUTED_VALUE"""),"VerifySubOrder")</f>
        <v>VerifySubOrder</v>
      </c>
      <c r="C145" s="0" t="str">
        <f>IFERROR(__xludf.DUMMYFUNCTION("""COMPUTED_VALUE"""),"1TafQ5l2I9Hkp5-ghxq8hrHGyq-Oxs6F71aj4qMJyg5c")</f>
        <v>1TafQ5l2I9Hkp5-ghxq8hrHGyq-Oxs6F71aj4qMJyg5c</v>
      </c>
    </row>
    <row r="146" ht="15.75" customHeight="1">
      <c r="A146" s="0" t="str">
        <f>IFERROR(__xludf.DUMMYFUNCTION("""COMPUTED_VALUE"""),"Blotter")</f>
        <v>Blotter</v>
      </c>
      <c r="B146" s="0" t="str">
        <f>IFERROR(__xludf.DUMMYFUNCTION("""COMPUTED_VALUE"""),"RemoveSelectedOrders")</f>
        <v>RemoveSelectedOrders</v>
      </c>
      <c r="C146" s="0" t="str">
        <f>IFERROR(__xludf.DUMMYFUNCTION("""COMPUTED_VALUE"""),"1J3iMkZUt2VcZ66ADaKSSINJ5EJabuIdY1zSwd6M45wM")</f>
        <v>1J3iMkZUt2VcZ66ADaKSSINJ5EJabuIdY1zSwd6M45wM</v>
      </c>
    </row>
    <row r="147" ht="15.75" customHeight="1">
      <c r="A147" s="0" t="str">
        <f>IFERROR(__xludf.DUMMYFUNCTION("""COMPUTED_VALUE"""),"Blotter")</f>
        <v>Blotter</v>
      </c>
      <c r="B147" s="0" t="str">
        <f>IFERROR(__xludf.DUMMYFUNCTION("""COMPUTED_VALUE"""),"CancelAllSelectedSubs")</f>
        <v>CancelAllSelectedSubs</v>
      </c>
      <c r="C147" s="0" t="str">
        <f>IFERROR(__xludf.DUMMYFUNCTION("""COMPUTED_VALUE"""),"179OBcD6MtBcn4KEI2yimM-WbOG9HdQPq_M4QYKWxCWE")</f>
        <v>179OBcD6MtBcn4KEI2yimM-WbOG9HdQPq_M4QYKWxCWE</v>
      </c>
    </row>
    <row r="148" ht="15.75" customHeight="1">
      <c r="A148" s="0" t="str">
        <f>IFERROR(__xludf.DUMMYFUNCTION("""COMPUTED_VALUE"""),"Blotter")</f>
        <v>Blotter</v>
      </c>
      <c r="B148" s="0" t="str">
        <f>IFERROR(__xludf.DUMMYFUNCTION("""COMPUTED_VALUE"""),"MultiTradingTicket")</f>
        <v>MultiTradingTicket</v>
      </c>
      <c r="C148" s="0" t="str">
        <f>IFERROR(__xludf.DUMMYFUNCTION("""COMPUTED_VALUE"""),"13Mz382SvngJftLB83NIojgoFXnAjqYRnP5Vbj9lh-rA")</f>
        <v>13Mz382SvngJftLB83NIojgoFXnAjqYRnP5Vbj9lh-rA</v>
      </c>
    </row>
    <row r="149" ht="15.75" customHeight="1">
      <c r="A149" s="0" t="str">
        <f>IFERROR(__xludf.DUMMYFUNCTION("""COMPUTED_VALUE"""),"Blotter")</f>
        <v>Blotter</v>
      </c>
      <c r="B149" s="0" t="str">
        <f>IFERROR(__xludf.DUMMYFUNCTION("""COMPUTED_VALUE"""),"AuditTrailOrderBlotter")</f>
        <v>AuditTrailOrderBlotter</v>
      </c>
      <c r="C149" s="0" t="str">
        <f>IFERROR(__xludf.DUMMYFUNCTION("""COMPUTED_VALUE"""),"1IuRqDm9SdGbwaATc_E-eFeQdhAmE2zhtBB3igLL_Md4")</f>
        <v>1IuRqDm9SdGbwaATc_E-eFeQdhAmE2zhtBB3igLL_Md4</v>
      </c>
    </row>
    <row r="150" ht="15.75" customHeight="1">
      <c r="A150" s="0" t="str">
        <f>IFERROR(__xludf.DUMMYFUNCTION("""COMPUTED_VALUE"""),"Blotter")</f>
        <v>Blotter</v>
      </c>
      <c r="B150" s="0" t="str">
        <f>IFERROR(__xludf.DUMMYFUNCTION("""COMPUTED_VALUE"""),"TradeNewSubOrder")</f>
        <v>TradeNewSubOrder</v>
      </c>
      <c r="C150" s="0" t="str">
        <f>IFERROR(__xludf.DUMMYFUNCTION("""COMPUTED_VALUE"""),"1UHeoJyRun4tW18yAwGHn5G5F3bVCz5YfTdVoKPsPhio")</f>
        <v>1UHeoJyRun4tW18yAwGHn5G5F3bVCz5YfTdVoKPsPhio</v>
      </c>
    </row>
    <row r="151" ht="15.75" customHeight="1">
      <c r="A151" s="0" t="str">
        <f>IFERROR(__xludf.DUMMYFUNCTION("""COMPUTED_VALUE"""),"Blotter")</f>
        <v>Blotter</v>
      </c>
      <c r="B151" s="0" t="str">
        <f>IFERROR(__xludf.DUMMYFUNCTION("""COMPUTED_VALUE"""),"RemoveStageOrder")</f>
        <v>RemoveStageOrder</v>
      </c>
      <c r="C151" s="0" t="str">
        <f>IFERROR(__xludf.DUMMYFUNCTION("""COMPUTED_VALUE"""),"19q7R-0jpTlv8r84XWOTVvpxM4KAqBUjmWW6bBepm980")</f>
        <v>19q7R-0jpTlv8r84XWOTVvpxM4KAqBUjmWW6bBepm980</v>
      </c>
    </row>
    <row r="152" ht="15.75" customHeight="1">
      <c r="A152" s="0" t="str">
        <f>IFERROR(__xludf.DUMMYFUNCTION("""COMPUTED_VALUE"""),"TradingTicket")</f>
        <v>TradingTicket</v>
      </c>
      <c r="B152" s="0" t="str">
        <f>IFERROR(__xludf.DUMMYFUNCTION("""COMPUTED_VALUE"""),"SetGeneralPreference")</f>
        <v>SetGeneralPreference</v>
      </c>
      <c r="C152" s="0" t="str">
        <f>IFERROR(__xludf.DUMMYFUNCTION("""COMPUTED_VALUE"""),"1_gksmHNJnLr9h_WVPZU3z30gw7YXBg5xb6ekKca50wE")</f>
        <v>1_gksmHNJnLr9h_WVPZU3z30gw7YXBg5xb6ekKca50wE</v>
      </c>
    </row>
    <row r="153" ht="15.75" customHeight="1">
      <c r="A153" s="0" t="str">
        <f>IFERROR(__xludf.DUMMYFUNCTION("""COMPUTED_VALUE"""),"Allocation")</f>
        <v>Allocation</v>
      </c>
      <c r="B153" s="0" t="str">
        <f>IFERROR(__xludf.DUMMYFUNCTION("""COMPUTED_VALUE"""),"ExportCalculatedPreference")</f>
        <v>ExportCalculatedPreference</v>
      </c>
      <c r="C153" s="0" t="str">
        <f>IFERROR(__xludf.DUMMYFUNCTION("""COMPUTED_VALUE"""),"12SdpCUJEukku3_4FXm4sTQG2YnlN1FabyPasyveh6Dw")</f>
        <v>12SdpCUJEukku3_4FXm4sTQG2YnlN1FabyPasyveh6Dw</v>
      </c>
    </row>
    <row r="154" ht="15.75" customHeight="1">
      <c r="A154" s="0" t="str">
        <f>IFERROR(__xludf.DUMMYFUNCTION("""COMPUTED_VALUE"""),"GeneralLedger")</f>
        <v>GeneralLedger</v>
      </c>
      <c r="B154" s="0" t="str">
        <f>IFERROR(__xludf.DUMMYFUNCTION("""COMPUTED_VALUE"""),"SelectOpeningBalanceTranItem")</f>
        <v>SelectOpeningBalanceTranItem</v>
      </c>
      <c r="C154" s="0" t="str">
        <f>IFERROR(__xludf.DUMMYFUNCTION("""COMPUTED_VALUE"""),"1V0qkYxwmCcH2Rlv3ntrESGxjt8CqDUtCWLpF5NLEkms")</f>
        <v>1V0qkYxwmCcH2Rlv3ntrESGxjt8CqDUtCWLpF5NLEkms</v>
      </c>
    </row>
    <row r="155" ht="15.75" customHeight="1">
      <c r="A155" s="0" t="str">
        <f>IFERROR(__xludf.DUMMYFUNCTION("""COMPUTED_VALUE"""),"PricingInput")</f>
        <v>PricingInput</v>
      </c>
      <c r="B155" s="0" t="str">
        <f>IFERROR(__xludf.DUMMYFUNCTION("""COMPUTED_VALUE"""),"EODTPreferences")</f>
        <v>EODTPreferences</v>
      </c>
      <c r="C155" s="0" t="str">
        <f>IFERROR(__xludf.DUMMYFUNCTION("""COMPUTED_VALUE"""),"1C2CqSypfxVefrec-UaZokCKMFMAIxUNiNEksS0cQC9U")</f>
        <v>1C2CqSypfxVefrec-UaZokCKMFMAIxUNiNEksS0cQC9U</v>
      </c>
    </row>
    <row r="156" ht="15.75" customHeight="1">
      <c r="A156" s="0" t="str">
        <f>IFERROR(__xludf.DUMMYFUNCTION("""COMPUTED_VALUE"""),"PricingInput")</f>
        <v>PricingInput</v>
      </c>
      <c r="B156" s="0" t="str">
        <f>IFERROR(__xludf.DUMMYFUNCTION("""COMPUTED_VALUE"""),"LiveData")</f>
        <v>LiveData</v>
      </c>
      <c r="C156" s="0" t="str">
        <f>IFERROR(__xludf.DUMMYFUNCTION("""COMPUTED_VALUE"""),"1qTWgd0vjJZEbzPL7hyO9Ya7BIHhBEh6QZh1zrIXWpQU")</f>
        <v>1qTWgd0vjJZEbzPL7hyO9Ya7BIHhBEh6QZh1zrIXWpQU</v>
      </c>
    </row>
    <row r="157" ht="15.75" customHeight="1">
      <c r="A157" s="0" t="str">
        <f>IFERROR(__xludf.DUMMYFUNCTION("""COMPUTED_VALUE"""),"GeneralLedger")</f>
        <v>GeneralLedger</v>
      </c>
      <c r="B157" s="0" t="str">
        <f>IFERROR(__xludf.DUMMYFUNCTION("""COMPUTED_VALUE"""),"EditNonTradingTransaction")</f>
        <v>EditNonTradingTransaction</v>
      </c>
      <c r="C157" s="0" t="str">
        <f>IFERROR(__xludf.DUMMYFUNCTION("""COMPUTED_VALUE"""),"1WmisSfIxG2dETBBICN9Eopb2Zv5RAlXVeuJrc4fJW4g")</f>
        <v>1WmisSfIxG2dETBBICN9Eopb2Zv5RAlXVeuJrc4fJW4g</v>
      </c>
    </row>
    <row r="158" ht="15.75" customHeight="1">
      <c r="A158" s="0" t="str">
        <f>IFERROR(__xludf.DUMMYFUNCTION("""COMPUTED_VALUE"""),"GeneralLedger")</f>
        <v>GeneralLedger</v>
      </c>
      <c r="B158" s="0" t="str">
        <f>IFERROR(__xludf.DUMMYFUNCTION("""COMPUTED_VALUE"""),"EditNonTradingTranItem")</f>
        <v>EditNonTradingTranItem</v>
      </c>
      <c r="C158" s="0" t="str">
        <f>IFERROR(__xludf.DUMMYFUNCTION("""COMPUTED_VALUE"""),"1e5H-E0bLrEbyATTG2-Q8bJEJjiq7I3m-fVl6pCGecHY")</f>
        <v>1e5H-E0bLrEbyATTG2-Q8bJEJjiq7I3m-fVl6pCGecHY</v>
      </c>
    </row>
    <row r="159" ht="15.75" customHeight="1">
      <c r="A159" s="0" t="str">
        <f>IFERROR(__xludf.DUMMYFUNCTION("""COMPUTED_VALUE"""),"GeneralLedger")</f>
        <v>GeneralLedger</v>
      </c>
      <c r="B159" s="0" t="str">
        <f>IFERROR(__xludf.DUMMYFUNCTION("""COMPUTED_VALUE"""),"DeleteOpeningBalanceTransaction")</f>
        <v>DeleteOpeningBalanceTransaction</v>
      </c>
      <c r="C159" s="0" t="str">
        <f>IFERROR(__xludf.DUMMYFUNCTION("""COMPUTED_VALUE"""),"1MvfhsW88dxVl3ZUBRUYKI_kaV1VM3uvoAiEBGKh80jc")</f>
        <v>1MvfhsW88dxVl3ZUBRUYKI_kaV1VM3uvoAiEBGKh80jc</v>
      </c>
    </row>
    <row r="160" ht="15.75" customHeight="1">
      <c r="A160" s="0" t="str">
        <f>IFERROR(__xludf.DUMMYFUNCTION("""COMPUTED_VALUE"""),"GeneralLedger")</f>
        <v>GeneralLedger</v>
      </c>
      <c r="B160" s="0" t="str">
        <f>IFERROR(__xludf.DUMMYFUNCTION("""COMPUTED_VALUE"""),"DeleteOpeningBalanceTranItem")</f>
        <v>DeleteOpeningBalanceTranItem</v>
      </c>
      <c r="C160" s="0" t="str">
        <f>IFERROR(__xludf.DUMMYFUNCTION("""COMPUTED_VALUE"""),"11WwR-OgN8B5mzAatud8VLIETSaP2cgH0N18z_22aKgM")</f>
        <v>11WwR-OgN8B5mzAatud8VLIETSaP2cgH0N18z_22aKgM</v>
      </c>
    </row>
    <row r="161" ht="15.75" customHeight="1">
      <c r="A161" s="0" t="str">
        <f>IFERROR(__xludf.DUMMYFUNCTION("""COMPUTED_VALUE"""),"Allocation")</f>
        <v>Allocation</v>
      </c>
      <c r="B161" s="0" t="str">
        <f>IFERROR(__xludf.DUMMYFUNCTION("""COMPUTED_VALUE"""),"ImportCalculatedPreferences")</f>
        <v>ImportCalculatedPreferences</v>
      </c>
      <c r="C161" s="0" t="str">
        <f>IFERROR(__xludf.DUMMYFUNCTION("""COMPUTED_VALUE"""),"12i9wrB43t1Z92_jmrsnfeEq7d6hFZLuijrf1vuyfCko")</f>
        <v>12i9wrB43t1Z92_jmrsnfeEq7d6hFZLuijrf1vuyfCko</v>
      </c>
    </row>
    <row r="162" ht="15.75" customHeight="1">
      <c r="A162" s="0" t="str">
        <f>IFERROR(__xludf.DUMMYFUNCTION("""COMPUTED_VALUE"""),"GeneralLedger")</f>
        <v>GeneralLedger</v>
      </c>
      <c r="B162" s="0" t="str">
        <f>IFERROR(__xludf.DUMMYFUNCTION("""COMPUTED_VALUE"""),"GetDayEndCash")</f>
        <v>GetDayEndCash</v>
      </c>
      <c r="C162" s="0" t="str">
        <f>IFERROR(__xludf.DUMMYFUNCTION("""COMPUTED_VALUE"""),"1s50OqXSYiKWrnT8nYaGDzYThTJTAHIyFoV9ohpgHPgY")</f>
        <v>1s50OqXSYiKWrnT8nYaGDzYThTJTAHIyFoV9ohpgHPgY</v>
      </c>
    </row>
    <row r="163" ht="15.75" customHeight="1">
      <c r="A163" s="0" t="str">
        <f>IFERROR(__xludf.DUMMYFUNCTION("""COMPUTED_VALUE"""),"GeneralLedger")</f>
        <v>GeneralLedger</v>
      </c>
      <c r="B163" s="0" t="str">
        <f>IFERROR(__xludf.DUMMYFUNCTION("""COMPUTED_VALUE"""),"VerifyDayEndCash")</f>
        <v>VerifyDayEndCash</v>
      </c>
      <c r="C163" s="0" t="str">
        <f>IFERROR(__xludf.DUMMYFUNCTION("""COMPUTED_VALUE"""),"1s_0rGgUmKN57rRoq55juTGojQ5Fitk0m-U_OTDoirHA")</f>
        <v>1s_0rGgUmKN57rRoq55juTGojQ5Fitk0m-U_OTDoirHA</v>
      </c>
    </row>
    <row r="164" ht="15.75" customHeight="1">
      <c r="A164" s="0" t="str">
        <f>IFERROR(__xludf.DUMMYFUNCTION("""COMPUTED_VALUE"""),"Allocation")</f>
        <v>Allocation</v>
      </c>
      <c r="B164" s="0" t="str">
        <f>IFERROR(__xludf.DUMMYFUNCTION("""COMPUTED_VALUE"""),"OpenAuditTrailUnallocatedGroup")</f>
        <v>OpenAuditTrailUnallocatedGroup</v>
      </c>
      <c r="C164" s="0" t="str">
        <f>IFERROR(__xludf.DUMMYFUNCTION("""COMPUTED_VALUE"""),"1ZIhvRGHTU76uT9xqOXXJRFi1H1sbFljHmLeOicgscVU")</f>
        <v>1ZIhvRGHTU76uT9xqOXXJRFi1H1sbFljHmLeOicgscVU</v>
      </c>
    </row>
    <row r="165" ht="15.75" customHeight="1">
      <c r="A165" s="0" t="str">
        <f>IFERROR(__xludf.DUMMYFUNCTION("""COMPUTED_VALUE"""),"Allocation")</f>
        <v>Allocation</v>
      </c>
      <c r="B165" s="0" t="str">
        <f>IFERROR(__xludf.DUMMYFUNCTION("""COMPUTED_VALUE"""),"DeleteCalculatedPreferencesTool")</f>
        <v>DeleteCalculatedPreferencesTool</v>
      </c>
      <c r="C165" s="0" t="str">
        <f>IFERROR(__xludf.DUMMYFUNCTION("""COMPUTED_VALUE"""),"1dFC-TZzOuqwhb_lRy1ppdZVR5YELDGJURNyboYEsnco")</f>
        <v>1dFC-TZzOuqwhb_lRy1ppdZVR5YELDGJURNyboYEsnco</v>
      </c>
    </row>
    <row r="166" ht="15.75" customHeight="1">
      <c r="A166" s="0" t="str">
        <f>IFERROR(__xludf.DUMMYFUNCTION("""COMPUTED_VALUE"""),"Allocation")</f>
        <v>Allocation</v>
      </c>
      <c r="B166" s="0" t="str">
        <f>IFERROR(__xludf.DUMMYFUNCTION("""COMPUTED_VALUE"""),"ImportCalculatedPreferencesTool")</f>
        <v>ImportCalculatedPreferencesTool</v>
      </c>
      <c r="C166" s="0" t="str">
        <f>IFERROR(__xludf.DUMMYFUNCTION("""COMPUTED_VALUE"""),"1rWzqQSM4eQ-4N76g_1QP-9cfgPs0Z0ZIXVExsfMleuM")</f>
        <v>1rWzqQSM4eQ-4N76g_1QP-9cfgPs0Z0ZIXVExsfMleuM</v>
      </c>
    </row>
    <row r="167" ht="15.75" customHeight="1">
      <c r="A167" s="0" t="str">
        <f>IFERROR(__xludf.DUMMYFUNCTION("""COMPUTED_VALUE"""),"GeneralLedger")</f>
        <v>GeneralLedger</v>
      </c>
      <c r="B167" s="0" t="str">
        <f>IFERROR(__xludf.DUMMYFUNCTION("""COMPUTED_VALUE"""),"RunRevaluation")</f>
        <v>RunRevaluation</v>
      </c>
      <c r="C167" s="0" t="str">
        <f>IFERROR(__xludf.DUMMYFUNCTION("""COMPUTED_VALUE"""),"1TDDqb6Jok6OvWUFmx4I0wMt8-yhtBiM7TnVQKCoYxTA")</f>
        <v>1TDDqb6Jok6OvWUFmx4I0wMt8-yhtBiM7TnVQKCoYxTA</v>
      </c>
    </row>
    <row r="168" ht="15.75" customHeight="1">
      <c r="A168" s="0" t="str">
        <f>IFERROR(__xludf.DUMMYFUNCTION("""COMPUTED_VALUE"""),"GeneralLedger")</f>
        <v>GeneralLedger</v>
      </c>
      <c r="B168" s="0" t="str">
        <f>IFERROR(__xludf.DUMMYFUNCTION("""COMPUTED_VALUE"""),"CalculateDayEndCash")</f>
        <v>CalculateDayEndCash</v>
      </c>
      <c r="C168" s="0" t="str">
        <f>IFERROR(__xludf.DUMMYFUNCTION("""COMPUTED_VALUE"""),"Undefined")</f>
        <v>Undefined</v>
      </c>
    </row>
    <row r="169" ht="15.75" customHeight="1">
      <c r="A169" s="0" t="str">
        <f>IFERROR(__xludf.DUMMYFUNCTION("""COMPUTED_VALUE"""),"Allocation")</f>
        <v>Allocation</v>
      </c>
      <c r="B169" s="0" t="str">
        <f>IFERROR(__xludf.DUMMYFUNCTION("""COMPUTED_VALUE"""),"ExportAllCalculatedPreferTool")</f>
        <v>ExportAllCalculatedPreferTool</v>
      </c>
      <c r="C169" s="0" t="str">
        <f>IFERROR(__xludf.DUMMYFUNCTION("""COMPUTED_VALUE"""),"1T2Ras3k5fDjACI972XeavE_8pgs6THSrI1HhB1ye48s")</f>
        <v>1T2Ras3k5fDjACI972XeavE_8pgs6THSrI1HhB1ye48s</v>
      </c>
    </row>
    <row r="170" ht="15.75" customHeight="1">
      <c r="A170" s="0" t="str">
        <f>IFERROR(__xludf.DUMMYFUNCTION("""COMPUTED_VALUE"""),"Allocation")</f>
        <v>Allocation</v>
      </c>
      <c r="B170" s="0" t="str">
        <f>IFERROR(__xludf.DUMMYFUNCTION("""COMPUTED_VALUE"""),"OpenAuditTrailAllocatedGroup")</f>
        <v>OpenAuditTrailAllocatedGroup</v>
      </c>
      <c r="C170" s="0" t="str">
        <f>IFERROR(__xludf.DUMMYFUNCTION("""COMPUTED_VALUE"""),"1YcVp-kfCDUoegdhsKsCe_PMzE3_cIy1wejc4JCzTgEw")</f>
        <v>1YcVp-kfCDUoegdhsKsCe_PMzE3_cIy1wejc4JCzTgEw</v>
      </c>
    </row>
    <row r="171" ht="15.75" customHeight="1">
      <c r="A171" s="0" t="str">
        <f>IFERROR(__xludf.DUMMYFUNCTION("""COMPUTED_VALUE"""),"Allocation")</f>
        <v>Allocation</v>
      </c>
      <c r="B171" s="0" t="str">
        <f>IFERROR(__xludf.DUMMYFUNCTION("""COMPUTED_VALUE"""),"OpenSymbolLookupUnallocateGroup")</f>
        <v>OpenSymbolLookupUnallocateGroup</v>
      </c>
      <c r="C171" s="0" t="str">
        <f>IFERROR(__xludf.DUMMYFUNCTION("""COMPUTED_VALUE"""),"1PzyY_nfLYU66GT9Elm7rbepVT4M0Aao_ExWURbHlXso")</f>
        <v>1PzyY_nfLYU66GT9Elm7rbepVT4M0Aao_ExWURbHlXso</v>
      </c>
    </row>
    <row r="172" ht="15.75" customHeight="1">
      <c r="A172" s="0" t="str">
        <f>IFERROR(__xludf.DUMMYFUNCTION("""COMPUTED_VALUE"""),"Allocation")</f>
        <v>Allocation</v>
      </c>
      <c r="B172" s="0" t="str">
        <f>IFERROR(__xludf.DUMMYFUNCTION("""COMPUTED_VALUE"""),"OpenSymbolLookupAllocatedGroup")</f>
        <v>OpenSymbolLookupAllocatedGroup</v>
      </c>
      <c r="C172" s="0" t="str">
        <f>IFERROR(__xludf.DUMMYFUNCTION("""COMPUTED_VALUE"""),"1Z_dQvfdgkluFyhKo149XBcbe0Kth-fg0fOFf4_u2E-4")</f>
        <v>1Z_dQvfdgkluFyhKo149XBcbe0Kth-fg0fOFf4_u2E-4</v>
      </c>
    </row>
    <row r="173" ht="15.75" customHeight="1">
      <c r="A173" s="0" t="str">
        <f>IFERROR(__xludf.DUMMYFUNCTION("""COMPUTED_VALUE"""),"Allocation")</f>
        <v>Allocation</v>
      </c>
      <c r="B173" s="0" t="str">
        <f>IFERROR(__xludf.DUMMYFUNCTION("""COMPUTED_VALUE"""),"DeleteFixedPreference")</f>
        <v>DeleteFixedPreference</v>
      </c>
      <c r="C173" s="0" t="str">
        <f>IFERROR(__xludf.DUMMYFUNCTION("""COMPUTED_VALUE"""),"1RZplEfcQQUVd1Ggv65V_0dKqsLpnMuOaVEaLnQ7ckpE")</f>
        <v>1RZplEfcQQUVd1Ggv65V_0dKqsLpnMuOaVEaLnQ7ckpE</v>
      </c>
    </row>
    <row r="174" ht="15.75" customHeight="1">
      <c r="A174" s="0" t="str">
        <f>IFERROR(__xludf.DUMMYFUNCTION("""COMPUTED_VALUE"""),"Blotter")</f>
        <v>Blotter</v>
      </c>
      <c r="B174" s="0" t="str">
        <f>IFERROR(__xludf.DUMMYFUNCTION("""COMPUTED_VALUE"""),"TransferToUserSubOrder")</f>
        <v>TransferToUserSubOrder</v>
      </c>
      <c r="C174" s="0" t="str">
        <f>IFERROR(__xludf.DUMMYFUNCTION("""COMPUTED_VALUE"""),"1_ZLPKYyCpcCv90izwkS7MZMbhNEXzuAQiOx8npro20g")</f>
        <v>1_ZLPKYyCpcCv90izwkS7MZMbhNEXzuAQiOx8npro20g</v>
      </c>
    </row>
    <row r="175" ht="15.75" customHeight="1">
      <c r="A175" s="0" t="str">
        <f>IFERROR(__xludf.DUMMYFUNCTION("""COMPUTED_VALUE"""),"Blotter")</f>
        <v>Blotter</v>
      </c>
      <c r="B175" s="0" t="str">
        <f>IFERROR(__xludf.DUMMYFUNCTION("""COMPUTED_VALUE"""),"DetailsForAlgoTradeOrder")</f>
        <v>DetailsForAlgoTradeOrder</v>
      </c>
      <c r="C175" s="0" t="str">
        <f>IFERROR(__xludf.DUMMYFUNCTION("""COMPUTED_VALUE"""),"1AS722xjcIKYd_PpocpO2JLwR2JMqFfBPkVK39Q2XMxE")</f>
        <v>1AS722xjcIKYd_PpocpO2JLwR2JMqFfBPkVK39Q2XMxE</v>
      </c>
    </row>
    <row r="176" ht="15.75" customHeight="1">
      <c r="A176" s="0" t="str">
        <f>IFERROR(__xludf.DUMMYFUNCTION("""COMPUTED_VALUE"""),"Blotter")</f>
        <v>Blotter</v>
      </c>
      <c r="B176" s="0" t="str">
        <f>IFERROR(__xludf.DUMMYFUNCTION("""COMPUTED_VALUE"""),"AddFillsSubOrder")</f>
        <v>AddFillsSubOrder</v>
      </c>
      <c r="C176" s="0" t="str">
        <f>IFERROR(__xludf.DUMMYFUNCTION("""COMPUTED_VALUE"""),"1r-tyec_fx-pIqzGddgSbcLuJdAU-B20ZTaGzahpBV2w")</f>
        <v>1r-tyec_fx-pIqzGddgSbcLuJdAU-B20ZTaGzahpBV2w</v>
      </c>
    </row>
    <row r="177" ht="15.75" customHeight="1">
      <c r="A177" s="0" t="str">
        <f>IFERROR(__xludf.DUMMYFUNCTION("""COMPUTED_VALUE"""),"Blotter")</f>
        <v>Blotter</v>
      </c>
      <c r="B177" s="0" t="str">
        <f>IFERROR(__xludf.DUMMYFUNCTION("""COMPUTED_VALUE"""),"ViewAllocationDetailsSubOrder")</f>
        <v>ViewAllocationDetailsSubOrder</v>
      </c>
      <c r="C177" s="0" t="str">
        <f>IFERROR(__xludf.DUMMYFUNCTION("""COMPUTED_VALUE"""),"1PRG5_5qrohtjUlpAk-DjC1B6M75OdF99hA2vEgdD_Uw")</f>
        <v>1PRG5_5qrohtjUlpAk-DjC1B6M75OdF99hA2vEgdD_Uw</v>
      </c>
    </row>
    <row r="178" ht="15.75" customHeight="1">
      <c r="A178" s="0" t="str">
        <f>IFERROR(__xludf.DUMMYFUNCTION("""COMPUTED_VALUE"""),"GeneralLedger")</f>
        <v>GeneralLedger</v>
      </c>
      <c r="B178" s="0" t="str">
        <f>IFERROR(__xludf.DUMMYFUNCTION("""COMPUTED_VALUE"""),"GetCashTransaction")</f>
        <v>GetCashTransaction</v>
      </c>
      <c r="C178" s="0" t="str">
        <f>IFERROR(__xludf.DUMMYFUNCTION("""COMPUTED_VALUE"""),"1U9O1ZNQe03mFGPQ67ySm3ZLNJbWXRqnbI-8ZV30Jyz4")</f>
        <v>1U9O1ZNQe03mFGPQ67ySm3ZLNJbWXRqnbI-8ZV30Jyz4</v>
      </c>
    </row>
    <row r="179" ht="15.75" customHeight="1">
      <c r="A179" s="0" t="str">
        <f>IFERROR(__xludf.DUMMYFUNCTION("""COMPUTED_VALUE"""),"GeneralLedger")</f>
        <v>GeneralLedger</v>
      </c>
      <c r="B179" s="0" t="str">
        <f>IFERROR(__xludf.DUMMYFUNCTION("""COMPUTED_VALUE"""),"SelectCashTransaction")</f>
        <v>SelectCashTransaction</v>
      </c>
      <c r="C179" s="0" t="str">
        <f>IFERROR(__xludf.DUMMYFUNCTION("""COMPUTED_VALUE"""),"157yMc4dFxYWky5rc3_ip4Q-PBeeptVpZvBUznJzbfjE")</f>
        <v>157yMc4dFxYWky5rc3_ip4Q-PBeeptVpZvBUznJzbfjE</v>
      </c>
    </row>
    <row r="180" ht="15.75" customHeight="1">
      <c r="A180" s="0" t="str">
        <f>IFERROR(__xludf.DUMMYFUNCTION("""COMPUTED_VALUE"""),"GeneralLedger")</f>
        <v>GeneralLedger</v>
      </c>
      <c r="B180" s="0" t="str">
        <f>IFERROR(__xludf.DUMMYFUNCTION("""COMPUTED_VALUE"""),"DeleteCashTransaction")</f>
        <v>DeleteCashTransaction</v>
      </c>
      <c r="C180" s="0" t="str">
        <f>IFERROR(__xludf.DUMMYFUNCTION("""COMPUTED_VALUE"""),"1qeXbjcZPeClkYAwZmHJs2rG7V0JsRRg6mw5SmjAQHTE")</f>
        <v>1qeXbjcZPeClkYAwZmHJs2rG7V0JsRRg6mw5SmjAQHTE</v>
      </c>
    </row>
    <row r="181" ht="15.75" customHeight="1">
      <c r="A181" s="0" t="str">
        <f>IFERROR(__xludf.DUMMYFUNCTION("""COMPUTED_VALUE"""),"GeneralLedger")</f>
        <v>GeneralLedger</v>
      </c>
      <c r="B181" s="0" t="str">
        <f>IFERROR(__xludf.DUMMYFUNCTION("""COMPUTED_VALUE"""),"EditCashTransaction")</f>
        <v>EditCashTransaction</v>
      </c>
      <c r="C181" s="0" t="str">
        <f>IFERROR(__xludf.DUMMYFUNCTION("""COMPUTED_VALUE"""),"1lMHtKGRo9R39-rGVJg8v2Vp15-3oz56OtDPZn55yAvA")</f>
        <v>1lMHtKGRo9R39-rGVJg8v2Vp15-3oz56OtDPZn55yAvA</v>
      </c>
    </row>
    <row r="182" ht="15.75" customHeight="1">
      <c r="A182" s="0" t="str">
        <f>IFERROR(__xludf.DUMMYFUNCTION("""COMPUTED_VALUE"""),"GeneralLedger")</f>
        <v>GeneralLedger</v>
      </c>
      <c r="B182" s="0" t="str">
        <f>IFERROR(__xludf.DUMMYFUNCTION("""COMPUTED_VALUE"""),"AddCashTransaction")</f>
        <v>AddCashTransaction</v>
      </c>
      <c r="C182" s="0" t="str">
        <f>IFERROR(__xludf.DUMMYFUNCTION("""COMPUTED_VALUE"""),"1_UOfRF0S9c4jZDCW6MVXmTaalhrK1N7Qp-p7qITvrb4")</f>
        <v>1_UOfRF0S9c4jZDCW6MVXmTaalhrK1N7Qp-p7qITvrb4</v>
      </c>
    </row>
    <row r="183" ht="15.75" customHeight="1">
      <c r="A183" s="0" t="str">
        <f>IFERROR(__xludf.DUMMYFUNCTION("""COMPUTED_VALUE"""),"Allocation")</f>
        <v>Allocation</v>
      </c>
      <c r="B183" s="0" t="str">
        <f>IFERROR(__xludf.DUMMYFUNCTION("""COMPUTED_VALUE"""),"EditAllocatedGroupSidePanel")</f>
        <v>EditAllocatedGroupSidePanel</v>
      </c>
      <c r="C183" s="0" t="str">
        <f>IFERROR(__xludf.DUMMYFUNCTION("""COMPUTED_VALUE"""),"1hHq4PASBEElrCZSeU0tjApkvEqoqk_kzbqRw1XNza9I")</f>
        <v>1hHq4PASBEElrCZSeU0tjApkvEqoqk_kzbqRw1XNza9I</v>
      </c>
    </row>
    <row r="184" ht="15.75" customHeight="1">
      <c r="A184" s="0" t="str">
        <f>IFERROR(__xludf.DUMMYFUNCTION("""COMPUTED_VALUE"""),"DailyValuation")</f>
        <v>DailyValuation</v>
      </c>
      <c r="B184" s="0" t="str">
        <f>IFERROR(__xludf.DUMMYFUNCTION("""COMPUTED_VALUE"""),"GetMarkPriceData")</f>
        <v>GetMarkPriceData</v>
      </c>
      <c r="C184" s="0" t="str">
        <f>IFERROR(__xludf.DUMMYFUNCTION("""COMPUTED_VALUE"""),"1pHb0k1fYZKumDsM-GMxxgG_-LpX7T8zxKSXMXqWTh3o")</f>
        <v>1pHb0k1fYZKumDsM-GMxxgG_-LpX7T8zxKSXMXqWTh3o</v>
      </c>
    </row>
    <row r="185" ht="15.75" customHeight="1">
      <c r="A185" s="0" t="str">
        <f>IFERROR(__xludf.DUMMYFUNCTION("""COMPUTED_VALUE"""),"DailyValuation")</f>
        <v>DailyValuation</v>
      </c>
      <c r="B185" s="0" t="str">
        <f>IFERROR(__xludf.DUMMYFUNCTION("""COMPUTED_VALUE"""),"GetForwardPoints")</f>
        <v>GetForwardPoints</v>
      </c>
      <c r="C185" s="0" t="str">
        <f>IFERROR(__xludf.DUMMYFUNCTION("""COMPUTED_VALUE"""),"12tr3nHtXwkFq8bzK-zX9KhfXrHqVcRxmWSgThepFUAU")</f>
        <v>12tr3nHtXwkFq8bzK-zX9KhfXrHqVcRxmWSgThepFUAU</v>
      </c>
    </row>
    <row r="186" ht="15.75" customHeight="1">
      <c r="A186" s="0" t="str">
        <f>IFERROR(__xludf.DUMMYFUNCTION("""COMPUTED_VALUE"""),"DailyValuation")</f>
        <v>DailyValuation</v>
      </c>
      <c r="B186" s="0" t="str">
        <f>IFERROR(__xludf.DUMMYFUNCTION("""COMPUTED_VALUE"""),"UpdateForwardPoints")</f>
        <v>UpdateForwardPoints</v>
      </c>
      <c r="C186" s="0" t="str">
        <f>IFERROR(__xludf.DUMMYFUNCTION("""COMPUTED_VALUE"""),"1cbxy6VdPjCKlq1CYH-5uKvOCKpxB1FDLj3t8SOJ-Lic")</f>
        <v>1cbxy6VdPjCKlq1CYH-5uKvOCKpxB1FDLj3t8SOJ-Lic</v>
      </c>
    </row>
    <row r="187" ht="15.75" customHeight="1">
      <c r="A187" s="0" t="str">
        <f>IFERROR(__xludf.DUMMYFUNCTION("""COMPUTED_VALUE"""),"DailyValuation")</f>
        <v>DailyValuation</v>
      </c>
      <c r="B187" s="0" t="str">
        <f>IFERROR(__xludf.DUMMYFUNCTION("""COMPUTED_VALUE"""),"GetForexConversion")</f>
        <v>GetForexConversion</v>
      </c>
      <c r="C187" s="0" t="str">
        <f>IFERROR(__xludf.DUMMYFUNCTION("""COMPUTED_VALUE"""),"1VwGGAbs40-P3TWEPuxpd84Kd482ffeBen_bvUeH5XLs")</f>
        <v>1VwGGAbs40-P3TWEPuxpd84Kd482ffeBen_bvUeH5XLs</v>
      </c>
    </row>
    <row r="188" ht="15.75" customHeight="1">
      <c r="A188" s="0" t="str">
        <f>IFERROR(__xludf.DUMMYFUNCTION("""COMPUTED_VALUE"""),"DailyValuation")</f>
        <v>DailyValuation</v>
      </c>
      <c r="B188" s="0" t="str">
        <f>IFERROR(__xludf.DUMMYFUNCTION("""COMPUTED_VALUE"""),"DeleteNAV")</f>
        <v>DeleteNAV</v>
      </c>
      <c r="C188" s="0" t="str">
        <f>IFERROR(__xludf.DUMMYFUNCTION("""COMPUTED_VALUE"""),"1ZXcPQzGoPQ5lCt0SIdxE4Wn22XxZZBrghVN8TQa_PA8")</f>
        <v>1ZXcPQzGoPQ5lCt0SIdxE4Wn22XxZZBrghVN8TQa_PA8</v>
      </c>
    </row>
    <row r="189" ht="15.75" customHeight="1">
      <c r="A189" s="0" t="str">
        <f>IFERROR(__xludf.DUMMYFUNCTION("""COMPUTED_VALUE"""),"Allocation")</f>
        <v>Allocation</v>
      </c>
      <c r="B189" s="0" t="str">
        <f>IFERROR(__xludf.DUMMYFUNCTION("""COMPUTED_VALUE"""),"CheckUnallocatedGroups")</f>
        <v>CheckUnallocatedGroups</v>
      </c>
      <c r="C189" s="0" t="str">
        <f>IFERROR(__xludf.DUMMYFUNCTION("""COMPUTED_VALUE"""),"1pfMfohF1Z5TFRSXZGi_8kDUwu6rKdB84lDXAsFAROuo")</f>
        <v>1pfMfohF1Z5TFRSXZGi_8kDUwu6rKdB84lDXAsFAROuo</v>
      </c>
    </row>
    <row r="190" ht="15.75" customHeight="1">
      <c r="A190" s="0" t="str">
        <f>IFERROR(__xludf.DUMMYFUNCTION("""COMPUTED_VALUE"""),"DailyValuation")</f>
        <v>DailyValuation</v>
      </c>
      <c r="B190" s="0" t="str">
        <f>IFERROR(__xludf.DUMMYFUNCTION("""COMPUTED_VALUE"""),"GetDailyCash")</f>
        <v>GetDailyCash</v>
      </c>
      <c r="C190" s="0" t="str">
        <f>IFERROR(__xludf.DUMMYFUNCTION("""COMPUTED_VALUE"""),"1U-4IfRlC3qUMRnRVCAR_hKALXnY1sI4xOCfuq1PlavE")</f>
        <v>1U-4IfRlC3qUMRnRVCAR_hKALXnY1sI4xOCfuq1PlavE</v>
      </c>
    </row>
    <row r="191" ht="15.75" customHeight="1">
      <c r="A191" s="0" t="str">
        <f>IFERROR(__xludf.DUMMYFUNCTION("""COMPUTED_VALUE"""),"Allocation")</f>
        <v>Allocation</v>
      </c>
      <c r="B191" s="0" t="str">
        <f>IFERROR(__xludf.DUMMYFUNCTION("""COMPUTED_VALUE"""),"SetGeneralPreferences")</f>
        <v>SetGeneralPreferences</v>
      </c>
      <c r="C191" s="0" t="str">
        <f>IFERROR(__xludf.DUMMYFUNCTION("""COMPUTED_VALUE"""),"1ch-af2kKdJm7_QNV7VeJuxk-LrNEXnkjKpb6t0Dug3c")</f>
        <v>1ch-af2kKdJm7_QNV7VeJuxk-LrNEXnkjKpb6t0Dug3c</v>
      </c>
    </row>
    <row r="192" ht="15.75" customHeight="1">
      <c r="A192" s="0" t="str">
        <f>IFERROR(__xludf.DUMMYFUNCTION("""COMPUTED_VALUE"""),"DailyValuation")</f>
        <v>DailyValuation</v>
      </c>
      <c r="B192" s="0" t="str">
        <f>IFERROR(__xludf.DUMMYFUNCTION("""COMPUTED_VALUE"""),"GetDailyBeta")</f>
        <v>GetDailyBeta</v>
      </c>
      <c r="C192" s="0" t="str">
        <f>IFERROR(__xludf.DUMMYFUNCTION("""COMPUTED_VALUE"""),"1wWqxRP1qZT537GjecxDT1YzzgNpudY5jHpZOp2gu3Ys")</f>
        <v>1wWqxRP1qZT537GjecxDT1YzzgNpudY5jHpZOp2gu3Ys</v>
      </c>
    </row>
    <row r="193" ht="15.75" customHeight="1">
      <c r="A193" s="0" t="str">
        <f>IFERROR(__xludf.DUMMYFUNCTION("""COMPUTED_VALUE"""),"DailyValuation")</f>
        <v>DailyValuation</v>
      </c>
      <c r="B193" s="0" t="str">
        <f>IFERROR(__xludf.DUMMYFUNCTION("""COMPUTED_VALUE"""),"GetDailyVolatility")</f>
        <v>GetDailyVolatility</v>
      </c>
      <c r="C193" s="0" t="str">
        <f>IFERROR(__xludf.DUMMYFUNCTION("""COMPUTED_VALUE"""),"1VkaV63Kp_-m9xakgvN4nwjFQliVbH-uDTupRnx4k5U0")</f>
        <v>1VkaV63Kp_-m9xakgvN4nwjFQliVbH-uDTupRnx4k5U0</v>
      </c>
    </row>
    <row r="194" ht="15.75" customHeight="1">
      <c r="A194" s="0" t="str">
        <f>IFERROR(__xludf.DUMMYFUNCTION("""COMPUTED_VALUE"""),"DailyValuation")</f>
        <v>DailyValuation</v>
      </c>
      <c r="B194" s="0" t="str">
        <f>IFERROR(__xludf.DUMMYFUNCTION("""COMPUTED_VALUE"""),"GetDailyDividendYield")</f>
        <v>GetDailyDividendYield</v>
      </c>
      <c r="C194" s="0" t="str">
        <f>IFERROR(__xludf.DUMMYFUNCTION("""COMPUTED_VALUE"""),"1yDZte754Sm0fLUnothHlWsZVXFoWOOh4q4YiAbmaN6A")</f>
        <v>1yDZte754Sm0fLUnothHlWsZVXFoWOOh4q4YiAbmaN6A</v>
      </c>
    </row>
    <row r="195" ht="15.75" customHeight="1">
      <c r="A195" s="0" t="str">
        <f>IFERROR(__xludf.DUMMYFUNCTION("""COMPUTED_VALUE"""),"DailyValuation")</f>
        <v>DailyValuation</v>
      </c>
      <c r="B195" s="0" t="str">
        <f>IFERROR(__xludf.DUMMYFUNCTION("""COMPUTED_VALUE"""),"GetDailyTradingVolume")</f>
        <v>GetDailyTradingVolume</v>
      </c>
      <c r="C195" s="0" t="str">
        <f>IFERROR(__xludf.DUMMYFUNCTION("""COMPUTED_VALUE"""),"1CcDYZea7aWB5x3R1FD5XPCk14XdXJmtBfwMqrKIo5P8")</f>
        <v>1CcDYZea7aWB5x3R1FD5XPCk14XdXJmtBfwMqrKIo5P8</v>
      </c>
    </row>
    <row r="196" ht="15.75" customHeight="1">
      <c r="A196" s="0" t="str">
        <f>IFERROR(__xludf.DUMMYFUNCTION("""COMPUTED_VALUE"""),"DailyValuation")</f>
        <v>DailyValuation</v>
      </c>
      <c r="B196" s="0" t="str">
        <f>IFERROR(__xludf.DUMMYFUNCTION("""COMPUTED_VALUE"""),"GetDailyOutstandings")</f>
        <v>GetDailyOutstandings</v>
      </c>
      <c r="C196" s="0" t="str">
        <f>IFERROR(__xludf.DUMMYFUNCTION("""COMPUTED_VALUE"""),"1IiJr_OFZwBuXGoSVJLT-iESeCoaaWmoNTh6qdlxCYp8")</f>
        <v>1IiJr_OFZwBuXGoSVJLT-iESeCoaaWmoNTh6qdlxCYp8</v>
      </c>
    </row>
    <row r="197" ht="15.75" customHeight="1">
      <c r="A197" s="0" t="str">
        <f>IFERROR(__xludf.DUMMYFUNCTION("""COMPUTED_VALUE"""),"Allocation")</f>
        <v>Allocation</v>
      </c>
      <c r="B197" s="0" t="str">
        <f>IFERROR(__xludf.DUMMYFUNCTION("""COMPUTED_VALUE"""),"GroupTrades")</f>
        <v>GroupTrades</v>
      </c>
      <c r="C197" s="0" t="str">
        <f>IFERROR(__xludf.DUMMYFUNCTION("""COMPUTED_VALUE"""),"1U2asF2q2-aZLq6UJkzTZA2eUVbNqPzpMApCuwatTcT8")</f>
        <v>1U2asF2q2-aZLq6UJkzTZA2eUVbNqPzpMApCuwatTcT8</v>
      </c>
    </row>
    <row r="198" ht="15.75" customHeight="1">
      <c r="A198" s="0" t="str">
        <f>IFERROR(__xludf.DUMMYFUNCTION("""COMPUTED_VALUE"""),"Allocation")</f>
        <v>Allocation</v>
      </c>
      <c r="B198" s="0" t="str">
        <f>IFERROR(__xludf.DUMMYFUNCTION("""COMPUTED_VALUE"""),"UngroupTrades")</f>
        <v>UngroupTrades</v>
      </c>
      <c r="C198" s="0" t="str">
        <f>IFERROR(__xludf.DUMMYFUNCTION("""COMPUTED_VALUE"""),"1azHuhW2QGS0U6YxkL00Txr4JY62dACA7LLHadkRZziQ")</f>
        <v>1azHuhW2QGS0U6YxkL00Txr4JY62dACA7LLHadkRZziQ</v>
      </c>
    </row>
    <row r="199" ht="15.75" customHeight="1">
      <c r="A199" s="0" t="str">
        <f>IFERROR(__xludf.DUMMYFUNCTION("""COMPUTED_VALUE"""),"Allocation")</f>
        <v>Allocation</v>
      </c>
      <c r="B199" s="0" t="str">
        <f>IFERROR(__xludf.DUMMYFUNCTION("""COMPUTED_VALUE"""),"DeleteGroup")</f>
        <v>DeleteGroup</v>
      </c>
      <c r="C199" s="0" t="str">
        <f>IFERROR(__xludf.DUMMYFUNCTION("""COMPUTED_VALUE"""),"1V8imeRfJQChz23ycPrmDDSrmAMiwTobLSV9OD1bH-ME")</f>
        <v>1V8imeRfJQChz23ycPrmDDSrmAMiwTobLSV9OD1bH-ME</v>
      </c>
    </row>
    <row r="200" ht="15.75" customHeight="1">
      <c r="A200" s="0" t="str">
        <f>IFERROR(__xludf.DUMMYFUNCTION("""COMPUTED_VALUE"""),"Allocation")</f>
        <v>Allocation</v>
      </c>
      <c r="B200" s="0" t="str">
        <f>IFERROR(__xludf.DUMMYFUNCTION("""COMPUTED_VALUE"""),"CloseOrder")</f>
        <v>CloseOrder</v>
      </c>
      <c r="C200" s="0" t="str">
        <f>IFERROR(__xludf.DUMMYFUNCTION("""COMPUTED_VALUE"""),"18PQbi1ps1nA6V6t9zvfGRiJCtqCe0Uh1GTuATjDjRFU")</f>
        <v>18PQbi1ps1nA6V6t9zvfGRiJCtqCe0Uh1GTuATjDjRFU</v>
      </c>
    </row>
    <row r="201" ht="15.75" customHeight="1">
      <c r="A201" s="0" t="str">
        <f>IFERROR(__xludf.DUMMYFUNCTION("""COMPUTED_VALUE"""),"Allocation")</f>
        <v>Allocation</v>
      </c>
      <c r="B201" s="0" t="str">
        <f>IFERROR(__xludf.DUMMYFUNCTION("""COMPUTED_VALUE"""),"Unallocate")</f>
        <v>Unallocate</v>
      </c>
      <c r="C201" s="0" t="str">
        <f>IFERROR(__xludf.DUMMYFUNCTION("""COMPUTED_VALUE"""),"1ygZhQ5BPNveZ0IXpSzWUoJb1-CWbPI5yquJ9p2XgS_A")</f>
        <v>1ygZhQ5BPNveZ0IXpSzWUoJb1-CWbPI5yquJ9p2XgS_A</v>
      </c>
    </row>
    <row r="202" ht="15.75" customHeight="1">
      <c r="A202" s="0" t="str">
        <f>IFERROR(__xludf.DUMMYFUNCTION("""COMPUTED_VALUE"""),"DailyValuation")</f>
        <v>DailyValuation</v>
      </c>
      <c r="B202" s="0" t="str">
        <f>IFERROR(__xludf.DUMMYFUNCTION("""COMPUTED_VALUE"""),"GetDailyDelta")</f>
        <v>GetDailyDelta</v>
      </c>
      <c r="C202" s="0" t="str">
        <f>IFERROR(__xludf.DUMMYFUNCTION("""COMPUTED_VALUE"""),"1t6rdR9qbfOeXuejoH6-sBwI1bEWh_0AoKUHuMjTKafo")</f>
        <v>1t6rdR9qbfOeXuejoH6-sBwI1bEWh_0AoKUHuMjTKafo</v>
      </c>
    </row>
    <row r="203" ht="15.75" customHeight="1">
      <c r="A203" s="0" t="str">
        <f>IFERROR(__xludf.DUMMYFUNCTION("""COMPUTED_VALUE"""),"DailyValuation")</f>
        <v>DailyValuation</v>
      </c>
      <c r="B203" s="0" t="str">
        <f>IFERROR(__xludf.DUMMYFUNCTION("""COMPUTED_VALUE"""),"UpdateDailyVolatility")</f>
        <v>UpdateDailyVolatility</v>
      </c>
      <c r="C203" s="0" t="str">
        <f>IFERROR(__xludf.DUMMYFUNCTION("""COMPUTED_VALUE"""),"1xOQEqNJ31jaKfw8cBs7M5YCMT7FCefB_iA4lkNg82js")</f>
        <v>1xOQEqNJ31jaKfw8cBs7M5YCMT7FCefB_iA4lkNg82js</v>
      </c>
    </row>
    <row r="204" ht="15.75" customHeight="1">
      <c r="A204" s="0" t="str">
        <f>IFERROR(__xludf.DUMMYFUNCTION("""COMPUTED_VALUE"""),"GeneralLedger")</f>
        <v>GeneralLedger</v>
      </c>
      <c r="B204" s="0" t="str">
        <f>IFERROR(__xludf.DUMMYFUNCTION("""COMPUTED_VALUE"""),"AddOpeningBalanceTransaction")</f>
        <v>AddOpeningBalanceTransaction</v>
      </c>
      <c r="C204" s="0" t="str">
        <f>IFERROR(__xludf.DUMMYFUNCTION("""COMPUTED_VALUE"""),"1JROeUyPo81jRm3vqYwqsMl1H0kBJhkmxJV8gZyip19Q")</f>
        <v>1JROeUyPo81jRm3vqYwqsMl1H0kBJhkmxJV8gZyip19Q</v>
      </c>
    </row>
    <row r="205" ht="15.75" customHeight="1">
      <c r="A205" s="0" t="str">
        <f>IFERROR(__xludf.DUMMYFUNCTION("""COMPUTED_VALUE"""),"GeneralLedger")</f>
        <v>GeneralLedger</v>
      </c>
      <c r="B205" s="0" t="str">
        <f>IFERROR(__xludf.DUMMYFUNCTION("""COMPUTED_VALUE"""),"AddOpeningBalanceTranItem")</f>
        <v>AddOpeningBalanceTranItem</v>
      </c>
      <c r="C205" s="0" t="str">
        <f>IFERROR(__xludf.DUMMYFUNCTION("""COMPUTED_VALUE"""),"12owFpcC343n8bWFq_cmWVlxZQTmpEiqxbdSc8TdfgEw")</f>
        <v>12owFpcC343n8bWFq_cmWVlxZQTmpEiqxbdSc8TdfgEw</v>
      </c>
    </row>
    <row r="206" ht="15.75" customHeight="1">
      <c r="A206" s="0" t="str">
        <f>IFERROR(__xludf.DUMMYFUNCTION("""COMPUTED_VALUE"""),"Blotter")</f>
        <v>Blotter</v>
      </c>
      <c r="B206" s="0" t="str">
        <f>IFERROR(__xludf.DUMMYFUNCTION("""COMPUTED_VALUE"""),"CancelAllSubs")</f>
        <v>CancelAllSubs</v>
      </c>
      <c r="C206" s="0" t="str">
        <f>IFERROR(__xludf.DUMMYFUNCTION("""COMPUTED_VALUE"""),"1sDEuT-X92-7VkSoQJG80zx85OLZfb4OJklyeYXjn00w")</f>
        <v>1sDEuT-X92-7VkSoQJG80zx85OLZfb4OJklyeYXjn00w</v>
      </c>
    </row>
    <row r="207" ht="15.75" customHeight="1">
      <c r="A207" s="0" t="str">
        <f>IFERROR(__xludf.DUMMYFUNCTION("""COMPUTED_VALUE"""),"Blotter")</f>
        <v>Blotter</v>
      </c>
      <c r="B207" s="0" t="str">
        <f>IFERROR(__xludf.DUMMYFUNCTION("""COMPUTED_VALUE"""),"CancelSubOrder")</f>
        <v>CancelSubOrder</v>
      </c>
      <c r="C207" s="0" t="str">
        <f>IFERROR(__xludf.DUMMYFUNCTION("""COMPUTED_VALUE"""),"1g_US2vYcZyFbH88JB_z0oKsrXpyeYv1qZRWzpU4UgoM")</f>
        <v>1g_US2vYcZyFbH88JB_z0oKsrXpyeYv1qZRWzpU4UgoM</v>
      </c>
    </row>
    <row r="208" ht="15.75" customHeight="1">
      <c r="A208" s="0" t="str">
        <f>IFERROR(__xludf.DUMMYFUNCTION("""COMPUTED_VALUE"""),"Blotter")</f>
        <v>Blotter</v>
      </c>
      <c r="B208" s="0" t="str">
        <f>IFERROR(__xludf.DUMMYFUNCTION("""COMPUTED_VALUE"""),"EditStageOrder")</f>
        <v>EditStageOrder</v>
      </c>
      <c r="C208" s="0" t="str">
        <f>IFERROR(__xludf.DUMMYFUNCTION("""COMPUTED_VALUE"""),"11epgwU0jWDfsHzxAEUws_p-DkKq5wLTVrJRQztotJjU")</f>
        <v>11epgwU0jWDfsHzxAEUws_p-DkKq5wLTVrJRQztotJjU</v>
      </c>
    </row>
    <row r="209" ht="15.75" customHeight="1">
      <c r="A209" s="0" t="str">
        <f>IFERROR(__xludf.DUMMYFUNCTION("""COMPUTED_VALUE"""),"Blotter")</f>
        <v>Blotter</v>
      </c>
      <c r="B209" s="0" t="str">
        <f>IFERROR(__xludf.DUMMYFUNCTION("""COMPUTED_VALUE"""),"ReplaceSubOrder")</f>
        <v>ReplaceSubOrder</v>
      </c>
      <c r="C209" s="0" t="str">
        <f>IFERROR(__xludf.DUMMYFUNCTION("""COMPUTED_VALUE"""),"19tR0THpqi92bFoT67A4MgCZbfdZtGuYVK1wFx1a6hwo")</f>
        <v>19tR0THpqi92bFoT67A4MgCZbfdZtGuYVK1wFx1a6hwo</v>
      </c>
    </row>
    <row r="210" ht="15.75" customHeight="1">
      <c r="A210" s="0" t="str">
        <f>IFERROR(__xludf.DUMMYFUNCTION("""COMPUTED_VALUE"""),"Blotter")</f>
        <v>Blotter</v>
      </c>
      <c r="B210" s="0" t="str">
        <f>IFERROR(__xludf.DUMMYFUNCTION("""COMPUTED_VALUE"""),"SelectTradeWorkingSubsBlotter")</f>
        <v>SelectTradeWorkingSubsBlotter</v>
      </c>
      <c r="C210" s="0" t="str">
        <f>IFERROR(__xludf.DUMMYFUNCTION("""COMPUTED_VALUE"""),"1u7slY1ab8D2XeXM53lB7bN6QKwuw3IYd0Uezr9zLB70")</f>
        <v>1u7slY1ab8D2XeXM53lB7bN6QKwuw3IYd0Uezr9zLB70</v>
      </c>
    </row>
    <row r="211" ht="15.75" customHeight="1">
      <c r="A211" s="0" t="str">
        <f>IFERROR(__xludf.DUMMYFUNCTION("""COMPUTED_VALUE"""),"Blotter")</f>
        <v>Blotter</v>
      </c>
      <c r="B211" s="0" t="str">
        <f>IFERROR(__xludf.DUMMYFUNCTION("""COMPUTED_VALUE"""),"VerifyAlgoDetails")</f>
        <v>VerifyAlgoDetails</v>
      </c>
      <c r="C211" s="0" t="str">
        <f>IFERROR(__xludf.DUMMYFUNCTION("""COMPUTED_VALUE"""),"1l5zTPCkdGLabcDuCPPiDIGH_EGN_2xuth7vkyyaCe9E")</f>
        <v>1l5zTPCkdGLabcDuCPPiDIGH_EGN_2xuth7vkyyaCe9E</v>
      </c>
    </row>
    <row r="212" ht="15.75" customHeight="1">
      <c r="A212" s="0" t="str">
        <f>IFERROR(__xludf.DUMMYFUNCTION("""COMPUTED_VALUE"""),"Blotter")</f>
        <v>Blotter</v>
      </c>
      <c r="B212" s="0" t="str">
        <f>IFERROR(__xludf.DUMMYFUNCTION("""COMPUTED_VALUE"""),"VerifyTransferToUserOrder")</f>
        <v>VerifyTransferToUserOrder</v>
      </c>
      <c r="C212" s="0" t="str">
        <f>IFERROR(__xludf.DUMMYFUNCTION("""COMPUTED_VALUE"""),"1NMIbm0wDsBqrDHS0Aoctj5TYT8IIncVXBEr7jRlTKX8")</f>
        <v>1NMIbm0wDsBqrDHS0Aoctj5TYT8IIncVXBEr7jRlTKX8</v>
      </c>
    </row>
    <row r="213" ht="15.75" customHeight="1">
      <c r="A213" s="0" t="str">
        <f>IFERROR(__xludf.DUMMYFUNCTION("""COMPUTED_VALUE"""),"Blotter")</f>
        <v>Blotter</v>
      </c>
      <c r="B213" s="0" t="str">
        <f>IFERROR(__xludf.DUMMYFUNCTION("""COMPUTED_VALUE"""),"VerifyTransferToUserSubOdr")</f>
        <v>VerifyTransferToUserSubOdr</v>
      </c>
      <c r="C213" s="0" t="str">
        <f>IFERROR(__xludf.DUMMYFUNCTION("""COMPUTED_VALUE"""),"1x3CBu_5bjY_MnaanR3C8FZLu7-9IkDv52367LRcP7lY")</f>
        <v>1x3CBu_5bjY_MnaanR3C8FZLu7-9IkDv52367LRcP7lY</v>
      </c>
    </row>
    <row r="214" ht="15.75" customHeight="1">
      <c r="A214" s="0" t="str">
        <f>IFERROR(__xludf.DUMMYFUNCTION("""COMPUTED_VALUE"""),"Blotter")</f>
        <v>Blotter</v>
      </c>
      <c r="B214" s="0" t="str">
        <f>IFERROR(__xludf.DUMMYFUNCTION("""COMPUTED_VALUE"""),"VerifyTransferToUserWorkSub")</f>
        <v>VerifyTransferToUserWorkSub</v>
      </c>
      <c r="C214" s="0" t="str">
        <f>IFERROR(__xludf.DUMMYFUNCTION("""COMPUTED_VALUE"""),"1moqW_Avii95AiWD080nTWw5DOlaf1npl8FoxJYdN1CQ")</f>
        <v>1moqW_Avii95AiWD080nTWw5DOlaf1npl8FoxJYdN1CQ</v>
      </c>
    </row>
    <row r="215" ht="15.75" customHeight="1">
      <c r="A215" s="0" t="str">
        <f>IFERROR(__xludf.DUMMYFUNCTION("""COMPUTED_VALUE"""),"Blotter")</f>
        <v>Blotter</v>
      </c>
      <c r="B215" s="0" t="str">
        <f>IFERROR(__xludf.DUMMYFUNCTION("""COMPUTED_VALUE"""),"SaveLayoutOrderGrid")</f>
        <v>SaveLayoutOrderGrid</v>
      </c>
      <c r="C215" s="0" t="str">
        <f>IFERROR(__xludf.DUMMYFUNCTION("""COMPUTED_VALUE"""),"1f-tHMdwxYv41Vtbgl8usVHR6_T_uXK9iU0Jvj6byf54")</f>
        <v>1f-tHMdwxYv41Vtbgl8usVHR6_T_uXK9iU0Jvj6byf54</v>
      </c>
    </row>
    <row r="216" ht="15.75" customHeight="1">
      <c r="A216" s="0" t="str">
        <f>IFERROR(__xludf.DUMMYFUNCTION("""COMPUTED_VALUE"""),"DailyValuation")</f>
        <v>DailyValuation</v>
      </c>
      <c r="B216" s="0" t="str">
        <f>IFERROR(__xludf.DUMMYFUNCTION("""COMPUTED_VALUE"""),"UpdateDividendYield")</f>
        <v>UpdateDividendYield</v>
      </c>
      <c r="C216" s="0" t="str">
        <f>IFERROR(__xludf.DUMMYFUNCTION("""COMPUTED_VALUE"""),"1v7x__YSHVrzfUigPB6cJL0n6H5tfL-dG0jQDSNwK77w")</f>
        <v>1v7x__YSHVrzfUigPB6cJL0n6H5tfL-dG0jQDSNwK77w</v>
      </c>
    </row>
    <row r="217" ht="15.75" customHeight="1">
      <c r="A217" s="0" t="str">
        <f>IFERROR(__xludf.DUMMYFUNCTION("""COMPUTED_VALUE"""),"DailyValuation")</f>
        <v>DailyValuation</v>
      </c>
      <c r="B217" s="0" t="str">
        <f>IFERROR(__xludf.DUMMYFUNCTION("""COMPUTED_VALUE"""),"UpdateTradingVolume")</f>
        <v>UpdateTradingVolume</v>
      </c>
      <c r="C217" s="0" t="str">
        <f>IFERROR(__xludf.DUMMYFUNCTION("""COMPUTED_VALUE"""),"1C_WPdfJ5Y6XiI6PQIaQC_kYRA1cyB4pILSmTaQXBjt4")</f>
        <v>1C_WPdfJ5Y6XiI6PQIaQC_kYRA1cyB4pILSmTaQXBjt4</v>
      </c>
    </row>
    <row r="218" ht="15.75" customHeight="1">
      <c r="A218" s="0" t="str">
        <f>IFERROR(__xludf.DUMMYFUNCTION("""COMPUTED_VALUE"""),"DailyValuation")</f>
        <v>DailyValuation</v>
      </c>
      <c r="B218" s="0" t="str">
        <f>IFERROR(__xludf.DUMMYFUNCTION("""COMPUTED_VALUE"""),"UpdateDailyDelta")</f>
        <v>UpdateDailyDelta</v>
      </c>
      <c r="C218" s="0" t="str">
        <f>IFERROR(__xludf.DUMMYFUNCTION("""COMPUTED_VALUE"""),"1W8cpbOsbEL0O66_8nq5ID6snA8EoJQojgueScqnJeds")</f>
        <v>1W8cpbOsbEL0O66_8nq5ID6snA8EoJQojgueScqnJeds</v>
      </c>
    </row>
    <row r="219" ht="15.75" customHeight="1">
      <c r="A219" s="0" t="str">
        <f>IFERROR(__xludf.DUMMYFUNCTION("""COMPUTED_VALUE"""),"DailyValuation")</f>
        <v>DailyValuation</v>
      </c>
      <c r="B219" s="0" t="str">
        <f>IFERROR(__xludf.DUMMYFUNCTION("""COMPUTED_VALUE"""),"UpdateDailyOutstandings")</f>
        <v>UpdateDailyOutstandings</v>
      </c>
      <c r="C219" s="0" t="str">
        <f>IFERROR(__xludf.DUMMYFUNCTION("""COMPUTED_VALUE"""),"1S-1Yd6wHzPfXlddWYHNVJ59ndiC9mBcoDpJ24XG_wEs")</f>
        <v>1S-1Yd6wHzPfXlddWYHNVJ59ndiC9mBcoDpJ24XG_wEs</v>
      </c>
    </row>
    <row r="220" ht="15.75" customHeight="1">
      <c r="A220" s="0" t="str">
        <f>IFERROR(__xludf.DUMMYFUNCTION("""COMPUTED_VALUE"""),"Closing")</f>
        <v>Closing</v>
      </c>
      <c r="B220" s="0" t="str">
        <f>IFERROR(__xludf.DUMMYFUNCTION("""COMPUTED_VALUE"""),"GetDataClosing")</f>
        <v>GetDataClosing</v>
      </c>
      <c r="C220" s="0" t="str">
        <f>IFERROR(__xludf.DUMMYFUNCTION("""COMPUTED_VALUE"""),"1_NT03sUSvuLe4_tGLyzUnjVgc0h0wP1QyFRqz5J0AQs")</f>
        <v>1_NT03sUSvuLe4_tGLyzUnjVgc0h0wP1QyFRqz5J0AQs</v>
      </c>
    </row>
    <row r="221" ht="15.75" customHeight="1">
      <c r="A221" s="0" t="str">
        <f>IFERROR(__xludf.DUMMYFUNCTION("""COMPUTED_VALUE"""),"Closing")</f>
        <v>Closing</v>
      </c>
      <c r="B221" s="0" t="str">
        <f>IFERROR(__xludf.DUMMYFUNCTION("""COMPUTED_VALUE"""),"ManualClosing")</f>
        <v>ManualClosing</v>
      </c>
      <c r="C221" s="0" t="str">
        <f>IFERROR(__xludf.DUMMYFUNCTION("""COMPUTED_VALUE"""),"1NsF8mN2Zlx2L1ZUQo3cwyNVoYdFbhQ1U5KK4lQjqyj8")</f>
        <v>1NsF8mN2Zlx2L1ZUQo3cwyNVoYdFbhQ1U5KK4lQjqyj8</v>
      </c>
    </row>
    <row r="222" ht="15.75" customHeight="1">
      <c r="A222" s="0" t="str">
        <f>IFERROR(__xludf.DUMMYFUNCTION("""COMPUTED_VALUE"""),"Closing")</f>
        <v>Closing</v>
      </c>
      <c r="B222" s="0" t="str">
        <f>IFERROR(__xludf.DUMMYFUNCTION("""COMPUTED_VALUE"""),"AutomaticClosing")</f>
        <v>AutomaticClosing</v>
      </c>
      <c r="C222" s="0" t="str">
        <f>IFERROR(__xludf.DUMMYFUNCTION("""COMPUTED_VALUE"""),"1TAvTYpcE3pQc_4LWO3rdsALNXiihqGoq5C7VuUqnyGI")</f>
        <v>1TAvTYpcE3pQc_4LWO3rdsALNXiihqGoq5C7VuUqnyGI</v>
      </c>
    </row>
    <row r="223" ht="15.75" customHeight="1">
      <c r="A223" s="0" t="str">
        <f>IFERROR(__xludf.DUMMYFUNCTION("""COMPUTED_VALUE"""),"Closing")</f>
        <v>Closing</v>
      </c>
      <c r="B223" s="0" t="str">
        <f>IFERROR(__xludf.DUMMYFUNCTION("""COMPUTED_VALUE"""),"UnwindClosing")</f>
        <v>UnwindClosing</v>
      </c>
      <c r="C223" s="0" t="str">
        <f>IFERROR(__xludf.DUMMYFUNCTION("""COMPUTED_VALUE"""),"1n5b-erBJJNMUcxydpftL5PGG7ARm-uGjDncl8Qx2sLo")</f>
        <v>1n5b-erBJJNMUcxydpftL5PGG7ARm-uGjDncl8Qx2sLo</v>
      </c>
    </row>
    <row r="224" ht="15.75" customHeight="1">
      <c r="A224" s="0" t="str">
        <f>IFERROR(__xludf.DUMMYFUNCTION("""COMPUTED_VALUE"""),"Closing")</f>
        <v>Closing</v>
      </c>
      <c r="B224" s="0" t="str">
        <f>IFERROR(__xludf.DUMMYFUNCTION("""COMPUTED_VALUE"""),"VerifyClosedTrades")</f>
        <v>VerifyClosedTrades</v>
      </c>
      <c r="C224" s="0" t="str">
        <f>IFERROR(__xludf.DUMMYFUNCTION("""COMPUTED_VALUE"""),"1oZ2JeM-TEXzpPQK7aQoL3fUJwhe037lPXwowIAhJJXM")</f>
        <v>1oZ2JeM-TEXzpPQK7aQoL3fUJwhe037lPXwowIAhJJXM</v>
      </c>
    </row>
    <row r="225" ht="15.75" customHeight="1">
      <c r="A225" s="0" t="str">
        <f>IFERROR(__xludf.DUMMYFUNCTION("""COMPUTED_VALUE"""),"Closing")</f>
        <v>Closing</v>
      </c>
      <c r="B225" s="0" t="str">
        <f>IFERROR(__xludf.DUMMYFUNCTION("""COMPUTED_VALUE"""),"VerifyLongPositionsGrid")</f>
        <v>VerifyLongPositionsGrid</v>
      </c>
      <c r="C225" s="0" t="str">
        <f>IFERROR(__xludf.DUMMYFUNCTION("""COMPUTED_VALUE"""),"1n66-ge1M-RYaB4fzMAeKVE4b9J93Ec6FE8prEnrbrUY")</f>
        <v>1n66-ge1M-RYaB4fzMAeKVE4b9J93Ec6FE8prEnrbrUY</v>
      </c>
    </row>
    <row r="226" ht="15.75" customHeight="1">
      <c r="A226" s="0" t="str">
        <f>IFERROR(__xludf.DUMMYFUNCTION("""COMPUTED_VALUE"""),"Closing")</f>
        <v>Closing</v>
      </c>
      <c r="B226" s="0" t="str">
        <f>IFERROR(__xludf.DUMMYFUNCTION("""COMPUTED_VALUE"""),"VerifyShortPositionsGrid")</f>
        <v>VerifyShortPositionsGrid</v>
      </c>
      <c r="C226" s="0" t="str">
        <f>IFERROR(__xludf.DUMMYFUNCTION("""COMPUTED_VALUE"""),"147WeBw6VRRHCzDjjEVkUG93H71mx9_6u7JDqSzExZfQ")</f>
        <v>147WeBw6VRRHCzDjjEVkUG93H71mx9_6u7JDqSzExZfQ</v>
      </c>
    </row>
    <row r="227" ht="15.75" customHeight="1">
      <c r="A227" s="0" t="str">
        <f>IFERROR(__xludf.DUMMYFUNCTION("""COMPUTED_VALUE"""),"Closing")</f>
        <v>Closing</v>
      </c>
      <c r="B227" s="0" t="str">
        <f>IFERROR(__xludf.DUMMYFUNCTION("""COMPUTED_VALUE"""),"SelectTradeUnexpiredUnsettled")</f>
        <v>SelectTradeUnexpiredUnsettled</v>
      </c>
      <c r="C227" s="0" t="str">
        <f>IFERROR(__xludf.DUMMYFUNCTION("""COMPUTED_VALUE"""),"1FObt5ouO_Fd-1C35ZJOB1hwrDeISMD1uqyNw6Muc52E")</f>
        <v>1FObt5ouO_Fd-1C35ZJOB1hwrDeISMD1uqyNw6Muc52E</v>
      </c>
    </row>
    <row r="228" ht="15.75" customHeight="1">
      <c r="A228" s="0" t="str">
        <f>IFERROR(__xludf.DUMMYFUNCTION("""COMPUTED_VALUE"""),"Closing")</f>
        <v>Closing</v>
      </c>
      <c r="B228" s="0" t="str">
        <f>IFERROR(__xludf.DUMMYFUNCTION("""COMPUTED_VALUE"""),"CashSettlementAtCost")</f>
        <v>CashSettlementAtCost</v>
      </c>
      <c r="C228" s="0" t="str">
        <f>IFERROR(__xludf.DUMMYFUNCTION("""COMPUTED_VALUE"""),"1awz_EN5JaDo7-X8Cf7oYlxG4f8ZrsYEG1oL1QBkQb8o")</f>
        <v>1awz_EN5JaDo7-X8Cf7oYlxG4f8ZrsYEG1oL1QBkQb8o</v>
      </c>
    </row>
    <row r="229" ht="15.75" customHeight="1">
      <c r="A229" s="0" t="str">
        <f>IFERROR(__xludf.DUMMYFUNCTION("""COMPUTED_VALUE"""),"Closing")</f>
        <v>Closing</v>
      </c>
      <c r="B229" s="0" t="str">
        <f>IFERROR(__xludf.DUMMYFUNCTION("""COMPUTED_VALUE"""),"CashSettlementAtZeroPrice")</f>
        <v>CashSettlementAtZeroPrice</v>
      </c>
      <c r="C229" s="0" t="str">
        <f>IFERROR(__xludf.DUMMYFUNCTION("""COMPUTED_VALUE"""),"1txP1PJigV4vdVbKFMO3GMi5BhiLWeUOneGt9yA7DphY")</f>
        <v>1txP1PJigV4vdVbKFMO3GMi5BhiLWeUOneGt9yA7DphY</v>
      </c>
    </row>
    <row r="230" ht="15.75" customHeight="1">
      <c r="A230" s="0" t="str">
        <f>IFERROR(__xludf.DUMMYFUNCTION("""COMPUTED_VALUE"""),"Closing")</f>
        <v>Closing</v>
      </c>
      <c r="B230" s="0" t="str">
        <f>IFERROR(__xludf.DUMMYFUNCTION("""COMPUTED_VALUE"""),"CashSettlementAtClosingDtSpotPx")</f>
        <v>CashSettlementAtClosingDtSpotPx</v>
      </c>
      <c r="C230" s="0" t="str">
        <f>IFERROR(__xludf.DUMMYFUNCTION("""COMPUTED_VALUE"""),"1if6Ixw7Wo72s71jewq4kGd3bUrRBHD3uxb6oVEU8m4M")</f>
        <v>1if6Ixw7Wo72s71jewq4kGd3bUrRBHD3uxb6oVEU8m4M</v>
      </c>
    </row>
    <row r="231" ht="15.75" customHeight="1">
      <c r="A231" s="0" t="str">
        <f>IFERROR(__xludf.DUMMYFUNCTION("""COMPUTED_VALUE"""),"Closing")</f>
        <v>Closing</v>
      </c>
      <c r="B231" s="0" t="str">
        <f>IFERROR(__xludf.DUMMYFUNCTION("""COMPUTED_VALUE"""),"PhysicalSettlement")</f>
        <v>PhysicalSettlement</v>
      </c>
      <c r="C231" s="0" t="str">
        <f>IFERROR(__xludf.DUMMYFUNCTION("""COMPUTED_VALUE"""),"1j0_OFQL6cAngAn_f8e2c9s48kIx6T1DMB1HtKzhVgxM")</f>
        <v>1j0_OFQL6cAngAn_f8e2c9s48kIx6T1DMB1HtKzhVgxM</v>
      </c>
    </row>
    <row r="232" ht="15.75" customHeight="1">
      <c r="A232" s="0" t="str">
        <f>IFERROR(__xludf.DUMMYFUNCTION("""COMPUTED_VALUE"""),"Closing")</f>
        <v>Closing</v>
      </c>
      <c r="B232" s="0" t="str">
        <f>IFERROR(__xludf.DUMMYFUNCTION("""COMPUTED_VALUE"""),"Expire")</f>
        <v>Expire</v>
      </c>
      <c r="C232" s="0" t="str">
        <f>IFERROR(__xludf.DUMMYFUNCTION("""COMPUTED_VALUE"""),"1uTXnR3b0dBBJ12poieg819Sw5X7A31DAefoPTF8HvS8")</f>
        <v>1uTXnR3b0dBBJ12poieg819Sw5X7A31DAefoPTF8HvS8</v>
      </c>
    </row>
    <row r="233" ht="15.75" customHeight="1">
      <c r="A233" s="0" t="str">
        <f>IFERROR(__xludf.DUMMYFUNCTION("""COMPUTED_VALUE"""),"Closing")</f>
        <v>Closing</v>
      </c>
      <c r="B233" s="0" t="str">
        <f>IFERROR(__xludf.DUMMYFUNCTION("""COMPUTED_VALUE"""),"ExerciseAssignment")</f>
        <v>ExerciseAssignment</v>
      </c>
      <c r="C233" s="0" t="str">
        <f>IFERROR(__xludf.DUMMYFUNCTION("""COMPUTED_VALUE"""),"1bA6aaAVKiSAEQCN3NhxCUAsXZXF9JFxOfu0VhfUugtE")</f>
        <v>1bA6aaAVKiSAEQCN3NhxCUAsXZXF9JFxOfu0VhfUugtE</v>
      </c>
    </row>
    <row r="234" ht="15.75" customHeight="1">
      <c r="A234" s="0" t="str">
        <f>IFERROR(__xludf.DUMMYFUNCTION("""COMPUTED_VALUE"""),"Closing")</f>
        <v>Closing</v>
      </c>
      <c r="B234" s="0" t="str">
        <f>IFERROR(__xludf.DUMMYFUNCTION("""COMPUTED_VALUE"""),"ExerciseAssignmentAtZero")</f>
        <v>ExerciseAssignmentAtZero</v>
      </c>
      <c r="C234" s="0" t="str">
        <f>IFERROR(__xludf.DUMMYFUNCTION("""COMPUTED_VALUE"""),"1kqk3qr2A_0HgAfwasm4ONZYUjKRgUd9wRoNg3NH_CQs")</f>
        <v>1kqk3qr2A_0HgAfwasm4ONZYUjKRgUd9wRoNg3NH_CQs</v>
      </c>
    </row>
    <row r="235" ht="15.75" customHeight="1">
      <c r="A235" s="0" t="str">
        <f>IFERROR(__xludf.DUMMYFUNCTION("""COMPUTED_VALUE"""),"Closing")</f>
        <v>Closing</v>
      </c>
      <c r="B235" s="0" t="str">
        <f>IFERROR(__xludf.DUMMYFUNCTION("""COMPUTED_VALUE"""),"SwapExpireAndRollover")</f>
        <v>SwapExpireAndRollover</v>
      </c>
      <c r="C235" s="0" t="str">
        <f>IFERROR(__xludf.DUMMYFUNCTION("""COMPUTED_VALUE"""),"1ZgJYe9feHH1JnnrqSkw7W1JoIKEcT_NnlnQtzP0MXSc")</f>
        <v>1ZgJYe9feHH1JnnrqSkw7W1JoIKEcT_NnlnQtzP0MXSc</v>
      </c>
    </row>
    <row r="236" ht="15.75" customHeight="1">
      <c r="A236" s="0" t="str">
        <f>IFERROR(__xludf.DUMMYFUNCTION("""COMPUTED_VALUE"""),"Closing")</f>
        <v>Closing</v>
      </c>
      <c r="B236" s="0" t="str">
        <f>IFERROR(__xludf.DUMMYFUNCTION("""COMPUTED_VALUE"""),"SwapExpire")</f>
        <v>SwapExpire</v>
      </c>
      <c r="C236" s="0" t="str">
        <f>IFERROR(__xludf.DUMMYFUNCTION("""COMPUTED_VALUE"""),"1Ch8ljdOLO5qpDv9DppYdH0GSLe_dObZX8Z4007tRKtk")</f>
        <v>1Ch8ljdOLO5qpDv9DppYdH0GSLe_dObZX8Z4007tRKtk</v>
      </c>
    </row>
    <row r="237" ht="15.75" customHeight="1">
      <c r="A237" s="0" t="str">
        <f>IFERROR(__xludf.DUMMYFUNCTION("""COMPUTED_VALUE"""),"Closing")</f>
        <v>Closing</v>
      </c>
      <c r="B237" s="0" t="str">
        <f>IFERROR(__xludf.DUMMYFUNCTION("""COMPUTED_VALUE"""),"VerifyExpiredSettledGrid")</f>
        <v>VerifyExpiredSettledGrid</v>
      </c>
      <c r="C237" s="0" t="str">
        <f>IFERROR(__xludf.DUMMYFUNCTION("""COMPUTED_VALUE"""),"1Y7iTcrm1lcqAexGSYgLsLlCOYw223ra4LBG0yn-I2bY")</f>
        <v>1Y7iTcrm1lcqAexGSYgLsLlCOYw223ra4LBG0yn-I2bY</v>
      </c>
    </row>
    <row r="238" ht="15.75" customHeight="1">
      <c r="A238" s="0" t="str">
        <f>IFERROR(__xludf.DUMMYFUNCTION("""COMPUTED_VALUE"""),"Closing")</f>
        <v>Closing</v>
      </c>
      <c r="B238" s="0" t="str">
        <f>IFERROR(__xludf.DUMMYFUNCTION("""COMPUTED_VALUE"""),"VerifyUnExpiredUnSettledGrid")</f>
        <v>VerifyUnExpiredUnSettledGrid</v>
      </c>
      <c r="C238" s="0" t="str">
        <f>IFERROR(__xludf.DUMMYFUNCTION("""COMPUTED_VALUE"""),"1L2S89q_MaWf4uZDOO7k9zl1iHulikAZk9KJ78CUobIc")</f>
        <v>1L2S89q_MaWf4uZDOO7k9zl1iHulikAZk9KJ78CUobIc</v>
      </c>
    </row>
    <row r="239" ht="15.75" customHeight="1">
      <c r="A239" s="0" t="str">
        <f>IFERROR(__xludf.DUMMYFUNCTION("""COMPUTED_VALUE"""),"Closing")</f>
        <v>Closing</v>
      </c>
      <c r="B239" s="0" t="str">
        <f>IFERROR(__xludf.DUMMYFUNCTION("""COMPUTED_VALUE"""),"UnWindTradeSettlement")</f>
        <v>UnWindTradeSettlement</v>
      </c>
      <c r="C239" s="0" t="str">
        <f>IFERROR(__xludf.DUMMYFUNCTION("""COMPUTED_VALUE"""),"1r8av4OWUDi-9UDzyWe0DRs-rlCS90W4iepyl32hgsu0")</f>
        <v>1r8av4OWUDi-9UDzyWe0DRs-rlCS90W4iepyl32hgsu0</v>
      </c>
    </row>
    <row r="240" ht="15.75" customHeight="1">
      <c r="A240" s="0" t="str">
        <f>IFERROR(__xludf.DUMMYFUNCTION("""COMPUTED_VALUE"""),"Closing")</f>
        <v>Closing</v>
      </c>
      <c r="B240" s="0" t="str">
        <f>IFERROR(__xludf.DUMMYFUNCTION("""COMPUTED_VALUE"""),"CloseOrder")</f>
        <v>CloseOrder</v>
      </c>
      <c r="C240" s="0" t="str">
        <f>IFERROR(__xludf.DUMMYFUNCTION("""COMPUTED_VALUE"""),"1L4oOTgickdBKDs0CYP74xqSVxT5XAemsQon_0M_wIY4")</f>
        <v>1L4oOTgickdBKDs0CYP74xqSVxT5XAemsQon_0M_wIY4</v>
      </c>
    </row>
    <row r="241" ht="15.75" customHeight="1">
      <c r="A241" s="0" t="str">
        <f>IFERROR(__xludf.DUMMYFUNCTION("""COMPUTED_VALUE"""),"Closing")</f>
        <v>Closing</v>
      </c>
      <c r="B241" s="0" t="str">
        <f>IFERROR(__xludf.DUMMYFUNCTION("""COMPUTED_VALUE"""),"VerifyCloseOrder")</f>
        <v>VerifyCloseOrder</v>
      </c>
      <c r="C241" s="0" t="str">
        <f>IFERROR(__xludf.DUMMYFUNCTION("""COMPUTED_VALUE"""),"1wVhrU78CBgt-9aXoQMxmex2szYfOWevs1reuZQwcSlU")</f>
        <v>1wVhrU78CBgt-9aXoQMxmex2szYfOWevs1reuZQwcSlU</v>
      </c>
    </row>
    <row r="242" ht="15.75" customHeight="1">
      <c r="A242" s="0" t="str">
        <f>IFERROR(__xludf.DUMMYFUNCTION("""COMPUTED_VALUE"""),"Closing")</f>
        <v>Closing</v>
      </c>
      <c r="B242" s="0" t="str">
        <f>IFERROR(__xludf.DUMMYFUNCTION("""COMPUTED_VALUE"""),"UnWindCloseOrder")</f>
        <v>UnWindCloseOrder</v>
      </c>
      <c r="C242" s="0" t="str">
        <f>IFERROR(__xludf.DUMMYFUNCTION("""COMPUTED_VALUE"""),"1h8Riwp0PTUKBHWNb4d5NQ9Foe2ig0mS3tu7vxq74C6A")</f>
        <v>1h8Riwp0PTUKBHWNb4d5NQ9Foe2ig0mS3tu7vxq74C6A</v>
      </c>
    </row>
    <row r="243" ht="15.75" customHeight="1">
      <c r="A243" s="0" t="str">
        <f>IFERROR(__xludf.DUMMYFUNCTION("""COMPUTED_VALUE"""),"Closing")</f>
        <v>Closing</v>
      </c>
      <c r="B243" s="0" t="str">
        <f>IFERROR(__xludf.DUMMYFUNCTION("""COMPUTED_VALUE"""),"ClosingCleanUp")</f>
        <v>ClosingCleanUp</v>
      </c>
      <c r="C243" s="0" t="str">
        <f>IFERROR(__xludf.DUMMYFUNCTION("""COMPUTED_VALUE"""),"1_1ie9PGDigjyhcBrTgIzPawnFkZMYxHtKWtsPu9B_3c")</f>
        <v>1_1ie9PGDigjyhcBrTgIzPawnFkZMYxHtKWtsPu9B_3c</v>
      </c>
    </row>
    <row r="244" ht="15.75" customHeight="1">
      <c r="A244" s="0" t="str">
        <f>IFERROR(__xludf.DUMMYFUNCTION("""COMPUTED_VALUE"""),"Closing")</f>
        <v>Closing</v>
      </c>
      <c r="B244" s="0" t="str">
        <f>IFERROR(__xludf.DUMMYFUNCTION("""COMPUTED_VALUE"""),"CloseClosingUI")</f>
        <v>CloseClosingUI</v>
      </c>
      <c r="C244" s="0" t="str">
        <f>IFERROR(__xludf.DUMMYFUNCTION("""COMPUTED_VALUE"""),"1KiRs-Mdk_DhlHcSNlHArhVLFJzMKzKu1kat_TZ71jkQ")</f>
        <v>1KiRs-Mdk_DhlHcSNlHArhVLFJzMKzKu1kat_TZ71jkQ</v>
      </c>
    </row>
    <row r="245" ht="15.75" customHeight="1">
      <c r="A245" s="0" t="str">
        <f>IFERROR(__xludf.DUMMYFUNCTION("""COMPUTED_VALUE"""),"GeneralLedger")</f>
        <v>GeneralLedger</v>
      </c>
      <c r="B245" s="0" t="str">
        <f>IFERROR(__xludf.DUMMYFUNCTION("""COMPUTED_VALUE"""),"GetDailyCalculationsData")</f>
        <v>GetDailyCalculationsData</v>
      </c>
      <c r="C245" s="0" t="str">
        <f>IFERROR(__xludf.DUMMYFUNCTION("""COMPUTED_VALUE"""),"1pIJnQCXHxy82ZF8KgUVRHcagp8aZHkkagJfnU-cLYRo")</f>
        <v>1pIJnQCXHxy82ZF8KgUVRHcagp8aZHkkagJfnU-cLYRo</v>
      </c>
    </row>
    <row r="246" ht="15.75" customHeight="1">
      <c r="A246" s="0" t="str">
        <f>IFERROR(__xludf.DUMMYFUNCTION("""COMPUTED_VALUE"""),"GeneralLedger")</f>
        <v>GeneralLedger</v>
      </c>
      <c r="B246" s="0" t="str">
        <f>IFERROR(__xludf.DUMMYFUNCTION("""COMPUTED_VALUE"""),"CalculateDailyCalculations")</f>
        <v>CalculateDailyCalculations</v>
      </c>
      <c r="C246" s="0" t="str">
        <f>IFERROR(__xludf.DUMMYFUNCTION("""COMPUTED_VALUE"""),"Undefined")</f>
        <v>Undefined</v>
      </c>
    </row>
    <row r="247" ht="15.75" customHeight="1">
      <c r="A247" s="0" t="str">
        <f>IFERROR(__xludf.DUMMYFUNCTION("""COMPUTED_VALUE"""),"GeneralLedger")</f>
        <v>GeneralLedger</v>
      </c>
      <c r="B247" s="0" t="str">
        <f>IFERROR(__xludf.DUMMYFUNCTION("""COMPUTED_VALUE"""),"EditOpeningBalanceTransaction")</f>
        <v>EditOpeningBalanceTransaction</v>
      </c>
      <c r="C247" s="0" t="str">
        <f>IFERROR(__xludf.DUMMYFUNCTION("""COMPUTED_VALUE"""),"1wqhiyeuGFjr-d-douLAdeAoIl9zOMj0hG7J2an8e7EA")</f>
        <v>1wqhiyeuGFjr-d-douLAdeAoIl9zOMj0hG7J2an8e7EA</v>
      </c>
    </row>
    <row r="248" ht="15.75" customHeight="1">
      <c r="A248" s="0" t="str">
        <f>IFERROR(__xludf.DUMMYFUNCTION("""COMPUTED_VALUE"""),"GeneralLedger")</f>
        <v>GeneralLedger</v>
      </c>
      <c r="B248" s="0" t="str">
        <f>IFERROR(__xludf.DUMMYFUNCTION("""COMPUTED_VALUE"""),"EditOpeningBalanceTranItem")</f>
        <v>EditOpeningBalanceTranItem</v>
      </c>
      <c r="C248" s="0" t="str">
        <f>IFERROR(__xludf.DUMMYFUNCTION("""COMPUTED_VALUE"""),"1yTjsXnh8twOBshtRTYPboRkkXpXN8T2vC7KUsimL2Ec")</f>
        <v>1yTjsXnh8twOBshtRTYPboRkkXpXN8T2vC7KUsimL2Ec</v>
      </c>
    </row>
    <row r="249" ht="15.75" customHeight="1">
      <c r="A249" s="0" t="str">
        <f>IFERROR(__xludf.DUMMYFUNCTION("""COMPUTED_VALUE"""),"DailyValuation")</f>
        <v>DailyValuation</v>
      </c>
      <c r="B249" s="0" t="str">
        <f>IFERROR(__xludf.DUMMYFUNCTION("""COMPUTED_VALUE"""),"UpdateBeta")</f>
        <v>UpdateBeta</v>
      </c>
      <c r="C249" s="0" t="str">
        <f>IFERROR(__xludf.DUMMYFUNCTION("""COMPUTED_VALUE"""),"14bzYQBiZIs2a3lfzwT4TROCDnXpt72UALcJjBTZdEAk")</f>
        <v>14bzYQBiZIs2a3lfzwT4TROCDnXpt72UALcJjBTZdEAk</v>
      </c>
    </row>
    <row r="250" ht="15.75" customHeight="1">
      <c r="A250" s="0" t="str">
        <f>IFERROR(__xludf.DUMMYFUNCTION("""COMPUTED_VALUE"""),"DailyValuation")</f>
        <v>DailyValuation</v>
      </c>
      <c r="B250" s="0" t="str">
        <f>IFERROR(__xludf.DUMMYFUNCTION("""COMPUTED_VALUE"""),"UpdateNAV")</f>
        <v>UpdateNAV</v>
      </c>
      <c r="C250" s="0" t="str">
        <f>IFERROR(__xludf.DUMMYFUNCTION("""COMPUTED_VALUE"""),"13mmaXGk97gVSQ6zDXJnzFolB9Xj-Wrq5OulWkf9iQjA")</f>
        <v>13mmaXGk97gVSQ6zDXJnzFolB9Xj-Wrq5OulWkf9iQjA</v>
      </c>
    </row>
    <row r="251" ht="15.75" customHeight="1">
      <c r="A251" s="0" t="str">
        <f>IFERROR(__xludf.DUMMYFUNCTION("""COMPUTED_VALUE"""),"DailyValuation")</f>
        <v>DailyValuation</v>
      </c>
      <c r="B251" s="0" t="str">
        <f>IFERROR(__xludf.DUMMYFUNCTION("""COMPUTED_VALUE"""),"UpdateDailyCash")</f>
        <v>UpdateDailyCash</v>
      </c>
      <c r="C251" s="0" t="str">
        <f>IFERROR(__xludf.DUMMYFUNCTION("""COMPUTED_VALUE"""),"1qlSfNvUHenegqRyv9ZFeKA5gN-iwbykaaRHcYfx0vR8")</f>
        <v>1qlSfNvUHenegqRyv9ZFeKA5gN-iwbykaaRHcYfx0vR8</v>
      </c>
    </row>
    <row r="252" ht="15.75" customHeight="1">
      <c r="A252" s="0" t="str">
        <f>IFERROR(__xludf.DUMMYFUNCTION("""COMPUTED_VALUE"""),"GeneralLedger")</f>
        <v>GeneralLedger</v>
      </c>
      <c r="B252" s="0" t="str">
        <f>IFERROR(__xludf.DUMMYFUNCTION("""COMPUTED_VALUE"""),"VerifyDailyCalTransactions")</f>
        <v>VerifyDailyCalTransactions</v>
      </c>
      <c r="C252" s="0" t="str">
        <f>IFERROR(__xludf.DUMMYFUNCTION("""COMPUTED_VALUE"""),"10wpUsik3kWUK9FdBcY3wa_rIK92CGwBAPxPW94n8RI0")</f>
        <v>10wpUsik3kWUK9FdBcY3wa_rIK92CGwBAPxPW94n8RI0</v>
      </c>
    </row>
    <row r="253" ht="15.75" customHeight="1">
      <c r="A253" s="0" t="str">
        <f>IFERROR(__xludf.DUMMYFUNCTION("""COMPUTED_VALUE"""),"DailyValuation")</f>
        <v>DailyValuation</v>
      </c>
      <c r="B253" s="0" t="str">
        <f>IFERROR(__xludf.DUMMYFUNCTION("""COMPUTED_VALUE"""),"UpdateDailyCreditLimt")</f>
        <v>UpdateDailyCreditLimt</v>
      </c>
      <c r="C253" s="0" t="str">
        <f>IFERROR(__xludf.DUMMYFUNCTION("""COMPUTED_VALUE"""),"1WMfqGkZABhjGZzyIgr3hBp-ZTraQiBbIVqdAP3KAOGo")</f>
        <v>1WMfqGkZABhjGZzyIgr3hBp-ZTraQiBbIVqdAP3KAOGo</v>
      </c>
    </row>
    <row r="254" ht="15.75" customHeight="1">
      <c r="A254" s="0" t="str">
        <f>IFERROR(__xludf.DUMMYFUNCTION("""COMPUTED_VALUE"""),"DailyValuation")</f>
        <v>DailyValuation</v>
      </c>
      <c r="B254" s="0" t="str">
        <f>IFERROR(__xludf.DUMMYFUNCTION("""COMPUTED_VALUE"""),"RemoveDailyCreditLimit")</f>
        <v>RemoveDailyCreditLimit</v>
      </c>
      <c r="C254" s="0" t="str">
        <f>IFERROR(__xludf.DUMMYFUNCTION("""COMPUTED_VALUE"""),"1PWZIcowZzyQZ43yBopMfNLylAaq2RlmTxS0-Y7SK0KI")</f>
        <v>1PWZIcowZzyQZ43yBopMfNLylAaq2RlmTxS0-Y7SK0KI</v>
      </c>
    </row>
    <row r="255" ht="15.75" customHeight="1">
      <c r="A255" s="0" t="str">
        <f>IFERROR(__xludf.DUMMYFUNCTION("""COMPUTED_VALUE"""),"DailyValuation")</f>
        <v>DailyValuation</v>
      </c>
      <c r="B255" s="0" t="str">
        <f>IFERROR(__xludf.DUMMYFUNCTION("""COMPUTED_VALUE"""),"RemoveDailyCash")</f>
        <v>RemoveDailyCash</v>
      </c>
      <c r="C255" s="0" t="str">
        <f>IFERROR(__xludf.DUMMYFUNCTION("""COMPUTED_VALUE"""),"1K-Bl5yG-Q_sgro0guK9BOk2wSxZk_7rHH7Lj7Qp_H2U")</f>
        <v>1K-Bl5yG-Q_sgro0guK9BOk2wSxZk_7rHH7Lj7Qp_H2U</v>
      </c>
    </row>
    <row r="256" ht="15.75" customHeight="1">
      <c r="A256" s="0" t="str">
        <f>IFERROR(__xludf.DUMMYFUNCTION("""COMPUTED_VALUE"""),"DailyValuation")</f>
        <v>DailyValuation</v>
      </c>
      <c r="B256" s="0" t="str">
        <f>IFERROR(__xludf.DUMMYFUNCTION("""COMPUTED_VALUE"""),"RemoveNAV")</f>
        <v>RemoveNAV</v>
      </c>
      <c r="C256" s="0" t="str">
        <f>IFERROR(__xludf.DUMMYFUNCTION("""COMPUTED_VALUE"""),"1iKNzN1CKH1HHjrGq7o2kZo9f76Pk7b7qYuTxqOHQZzE")</f>
        <v>1iKNzN1CKH1HHjrGq7o2kZo9f76Pk7b7qYuTxqOHQZzE</v>
      </c>
    </row>
    <row r="257" ht="15.75" customHeight="1">
      <c r="A257" s="0" t="str">
        <f>IFERROR(__xludf.DUMMYFUNCTION("""COMPUTED_VALUE"""),"PortfolioManagement")</f>
        <v>PortfolioManagement</v>
      </c>
      <c r="B257" s="0" t="str">
        <f>IFERROR(__xludf.DUMMYFUNCTION("""COMPUTED_VALUE"""),"FilterPM")</f>
        <v>FilterPM</v>
      </c>
      <c r="C257" s="0" t="str">
        <f>IFERROR(__xludf.DUMMYFUNCTION("""COMPUTED_VALUE"""),"1lo4DMzd6cjmA4-4d7dLNuKsGBW61BpeW2eCf7oK-9og")</f>
        <v>1lo4DMzd6cjmA4-4d7dLNuKsGBW61BpeW2eCf7oK-9og</v>
      </c>
    </row>
    <row r="258" ht="15.75" customHeight="1">
      <c r="A258" s="0" t="str">
        <f>IFERROR(__xludf.DUMMYFUNCTION("""COMPUTED_VALUE"""),"PortfolioManagement")</f>
        <v>PortfolioManagement</v>
      </c>
      <c r="B258" s="0" t="str">
        <f>IFERROR(__xludf.DUMMYFUNCTION("""COMPUTED_VALUE"""),"GroupRowPM")</f>
        <v>GroupRowPM</v>
      </c>
      <c r="C258" s="0" t="str">
        <f>IFERROR(__xludf.DUMMYFUNCTION("""COMPUTED_VALUE"""),"1pgA3lsv5kfGNh9RHELfgbcW6XvdfbOLjdTg2dR5EYAU")</f>
        <v>1pgA3lsv5kfGNh9RHELfgbcW6XvdfbOLjdTg2dR5EYAU</v>
      </c>
    </row>
    <row r="259" ht="15.75" customHeight="1">
      <c r="A259" s="0" t="str">
        <f>IFERROR(__xludf.DUMMYFUNCTION("""COMPUTED_VALUE"""),"Allocation")</f>
        <v>Allocation</v>
      </c>
      <c r="B259" s="0" t="str">
        <f>IFERROR(__xludf.DUMMYFUNCTION("""COMPUTED_VALUE"""),"CloseAllocation")</f>
        <v>CloseAllocation</v>
      </c>
      <c r="C259" s="0" t="str">
        <f>IFERROR(__xludf.DUMMYFUNCTION("""COMPUTED_VALUE"""),"Undefined")</f>
        <v>Undefined</v>
      </c>
    </row>
    <row r="260" ht="15.75" customHeight="1">
      <c r="A260" s="0" t="str">
        <f>IFERROR(__xludf.DUMMYFUNCTION("""COMPUTED_VALUE"""),"PortfolioManagement")</f>
        <v>PortfolioManagement</v>
      </c>
      <c r="B260" s="0" t="str">
        <f>IFERROR(__xludf.DUMMYFUNCTION("""COMPUTED_VALUE"""),"CheckDashboardWithPM")</f>
        <v>CheckDashboardWithPM</v>
      </c>
      <c r="C260" s="0" t="str">
        <f>IFERROR(__xludf.DUMMYFUNCTION("""COMPUTED_VALUE"""),"Undefined")</f>
        <v>Undefined</v>
      </c>
    </row>
    <row r="261" ht="15.75" customHeight="1">
      <c r="A261" s="0" t="str">
        <f>IFERROR(__xludf.DUMMYFUNCTION("""COMPUTED_VALUE"""),"PortfolioManagement")</f>
        <v>PortfolioManagement</v>
      </c>
      <c r="B261" s="0" t="str">
        <f>IFERROR(__xludf.DUMMYFUNCTION("""COMPUTED_VALUE"""),"RemoveFilterPM")</f>
        <v>RemoveFilterPM</v>
      </c>
      <c r="C261" s="0" t="str">
        <f>IFERROR(__xludf.DUMMYFUNCTION("""COMPUTED_VALUE"""),"Undefined")</f>
        <v>Undefined</v>
      </c>
    </row>
    <row r="262" ht="15.75" customHeight="1">
      <c r="A262" s="0" t="str">
        <f>IFERROR(__xludf.DUMMYFUNCTION("""COMPUTED_VALUE"""),"PortfolioManagement")</f>
        <v>PortfolioManagement</v>
      </c>
      <c r="B262" s="0" t="str">
        <f>IFERROR(__xludf.DUMMYFUNCTION("""COMPUTED_VALUE"""),"CheckSummaryRowsPM")</f>
        <v>CheckSummaryRowsPM</v>
      </c>
      <c r="C262" s="0" t="str">
        <f>IFERROR(__xludf.DUMMYFUNCTION("""COMPUTED_VALUE"""),"18xKZpSz1Db7JKLK-skQuvwxZf_NdSC71Y9j-EFPSnbQ")</f>
        <v>18xKZpSz1Db7JKLK-skQuvwxZf_NdSC71Y9j-EFPSnbQ</v>
      </c>
    </row>
    <row r="263" ht="15.75" customHeight="1">
      <c r="A263" s="0" t="str">
        <f>IFERROR(__xludf.DUMMYFUNCTION("""COMPUTED_VALUE"""),"GeneralLedger")</f>
        <v>GeneralLedger</v>
      </c>
      <c r="B263" s="0" t="str">
        <f>IFERROR(__xludf.DUMMYFUNCTION("""COMPUTED_VALUE"""),"CloseGeneralLedger")</f>
        <v>CloseGeneralLedger</v>
      </c>
      <c r="C263" s="0" t="str">
        <f>IFERROR(__xludf.DUMMYFUNCTION("""COMPUTED_VALUE"""),"Undefined")</f>
        <v>Undefined</v>
      </c>
    </row>
    <row r="264" ht="15.75" customHeight="1">
      <c r="A264" s="0" t="str">
        <f>IFERROR(__xludf.DUMMYFUNCTION("""COMPUTED_VALUE"""),"Blotter")</f>
        <v>Blotter</v>
      </c>
      <c r="B264" s="0" t="str">
        <f>IFERROR(__xludf.DUMMYFUNCTION("""COMPUTED_VALUE"""),"ReplaceStageOrder")</f>
        <v>ReplaceStageOrder</v>
      </c>
      <c r="C264" s="0" t="str">
        <f>IFERROR(__xludf.DUMMYFUNCTION("""COMPUTED_VALUE"""),"1-oDkMaOdHN8EaXZIPTt5fr6PNuottX0kRXE8vmlhi0M")</f>
        <v>1-oDkMaOdHN8EaXZIPTt5fr6PNuottX0kRXE8vmlhi0M</v>
      </c>
    </row>
    <row r="265" ht="15.75" customHeight="1">
      <c r="A265" s="0" t="str">
        <f>IFERROR(__xludf.DUMMYFUNCTION("""COMPUTED_VALUE"""),"GeneralLedger")</f>
        <v>GeneralLedger</v>
      </c>
      <c r="B265" s="0" t="str">
        <f>IFERROR(__xludf.DUMMYFUNCTION("""COMPUTED_VALUE"""),"VerifyAccountDetails")</f>
        <v>VerifyAccountDetails</v>
      </c>
      <c r="C265" s="0" t="str">
        <f>IFERROR(__xludf.DUMMYFUNCTION("""COMPUTED_VALUE"""),"11lQbu7XGSf0C5u04fqQXzcjWfa8v7VnskbBQpcCwy_o")</f>
        <v>11lQbu7XGSf0C5u04fqQXzcjWfa8v7VnskbBQpcCwy_o</v>
      </c>
    </row>
    <row r="266" ht="15.75" customHeight="1">
      <c r="A266" s="0" t="str">
        <f>IFERROR(__xludf.DUMMYFUNCTION("""COMPUTED_VALUE"""),"TradingTicket")</f>
        <v>TradingTicket</v>
      </c>
      <c r="B266" s="0" t="str">
        <f>IFERROR(__xludf.DUMMYFUNCTION("""COMPUTED_VALUE"""),"CreateNewSubOrder")</f>
        <v>CreateNewSubOrder</v>
      </c>
      <c r="C266" s="0" t="str">
        <f>IFERROR(__xludf.DUMMYFUNCTION("""COMPUTED_VALUE"""),"1RZrP677SP63N91bZw2_Jkjen0Emt_iknfC5GljLySfA")</f>
        <v>1RZrP677SP63N91bZw2_Jkjen0Emt_iknfC5GljLySfA</v>
      </c>
    </row>
    <row r="267" ht="15.75" customHeight="1">
      <c r="A267" s="0" t="str">
        <f>IFERROR(__xludf.DUMMYFUNCTION("""COMPUTED_VALUE"""),"CreateTransaction")</f>
        <v>CreateTransaction</v>
      </c>
      <c r="B267" s="0" t="str">
        <f>IFERROR(__xludf.DUMMYFUNCTION("""COMPUTED_VALUE"""),"AddNewTransaction")</f>
        <v>AddNewTransaction</v>
      </c>
      <c r="C267" s="0" t="str">
        <f>IFERROR(__xludf.DUMMYFUNCTION("""COMPUTED_VALUE"""),"1MnHnb-l2FXZIx21V59Pn6jwBL3jngTBLnGBTJFgQ-Ac")</f>
        <v>1MnHnb-l2FXZIx21V59Pn6jwBL3jngTBLnGBTJFgQ-Ac</v>
      </c>
    </row>
    <row r="268" ht="15.75" customHeight="1">
      <c r="A268" s="0" t="str">
        <f>IFERROR(__xludf.DUMMYFUNCTION("""COMPUTED_VALUE"""),"TradingTicket")</f>
        <v>TradingTicket</v>
      </c>
      <c r="B268" s="0" t="str">
        <f>IFERROR(__xludf.DUMMYFUNCTION("""COMPUTED_VALUE"""),"TradeBloomberg")</f>
        <v>TradeBloomberg</v>
      </c>
      <c r="C268" s="0" t="str">
        <f>IFERROR(__xludf.DUMMYFUNCTION("""COMPUTED_VALUE"""),"1igxH2dPQGq9u7PuOMV2GHwxFfHVL1KzVtINO6ZbdDOk")</f>
        <v>1igxH2dPQGq9u7PuOMV2GHwxFfHVL1KzVtINO6ZbdDOk</v>
      </c>
    </row>
    <row r="269" ht="15.75" customHeight="1">
      <c r="A269" s="0" t="str">
        <f>IFERROR(__xludf.DUMMYFUNCTION("""COMPUTED_VALUE"""),"TradingTicket")</f>
        <v>TradingTicket</v>
      </c>
      <c r="B269" s="0" t="str">
        <f>IFERROR(__xludf.DUMMYFUNCTION("""COMPUTED_VALUE"""),"ClickSymbolLookup")</f>
        <v>ClickSymbolLookup</v>
      </c>
      <c r="C269" s="0" t="str">
        <f>IFERROR(__xludf.DUMMYFUNCTION("""COMPUTED_VALUE"""),"1_Bm_U_dCrJ0O95Ye84SVu3C35Bm-_zVESf68LNiMCZg")</f>
        <v>1_Bm_U_dCrJ0O95Ye84SVu3C35Bm-_zVESf68LNiMCZg</v>
      </c>
    </row>
    <row r="270" ht="15.75" customHeight="1">
      <c r="A270" s="0" t="str">
        <f>IFERROR(__xludf.DUMMYFUNCTION("""COMPUTED_VALUE"""),"PricingServer")</f>
        <v>PricingServer</v>
      </c>
      <c r="B270" s="0" t="str">
        <f>IFERROR(__xludf.DUMMYFUNCTION("""COMPUTED_VALUE"""),"RestartPricingServer")</f>
        <v>RestartPricingServer</v>
      </c>
      <c r="C270" s="0" t="str">
        <f>IFERROR(__xludf.DUMMYFUNCTION("""COMPUTED_VALUE"""),"1k3a_zG703e90jYbfBz_iHma7miT_nDAo2-jitint-XA")</f>
        <v>1k3a_zG703e90jYbfBz_iHma7miT_nDAo2-jitint-XA</v>
      </c>
    </row>
    <row r="271" ht="15.75" customHeight="1">
      <c r="A271" s="0" t="str">
        <f>IFERROR(__xludf.DUMMYFUNCTION("""COMPUTED_VALUE"""),"TradeServer")</f>
        <v>TradeServer</v>
      </c>
      <c r="B271" s="0" t="str">
        <f>IFERROR(__xludf.DUMMYFUNCTION("""COMPUTED_VALUE"""),"RestartServer")</f>
        <v>RestartServer</v>
      </c>
      <c r="C271" s="0" t="str">
        <f>IFERROR(__xludf.DUMMYFUNCTION("""COMPUTED_VALUE"""),"1MfgZTAXl6-DPer9VdHbo42n6sPuMFimLowm4iDrtYBI")</f>
        <v>1MfgZTAXl6-DPer9VdHbo42n6sPuMFimLowm4iDrtYBI</v>
      </c>
    </row>
    <row r="272" ht="15.75" customHeight="1">
      <c r="A272" s="0" t="str">
        <f>IFERROR(__xludf.DUMMYFUNCTION("""COMPUTED_VALUE"""),"PranaClient")</f>
        <v>PranaClient</v>
      </c>
      <c r="B272" s="0" t="str">
        <f>IFERROR(__xludf.DUMMYFUNCTION("""COMPUTED_VALUE"""),"RestartClient")</f>
        <v>RestartClient</v>
      </c>
      <c r="C272" s="0" t="str">
        <f>IFERROR(__xludf.DUMMYFUNCTION("""COMPUTED_VALUE"""),"1TkGJ89cY994clB-HD-UJNYqO5eDGSgcM1fC_LiASQLE")</f>
        <v>1TkGJ89cY994clB-HD-UJNYqO5eDGSgcM1fC_LiASQLE</v>
      </c>
    </row>
    <row r="273" ht="15.75" customHeight="1">
      <c r="A273" s="0" t="str">
        <f>IFERROR(__xludf.DUMMYFUNCTION("""COMPUTED_VALUE"""),"PTT")</f>
        <v>PTT</v>
      </c>
      <c r="B273" s="0" t="str">
        <f>IFERROR(__xludf.DUMMYFUNCTION("""COMPUTED_VALUE"""),"CalculatePTT")</f>
        <v>CalculatePTT</v>
      </c>
      <c r="C273" s="0" t="str">
        <f>IFERROR(__xludf.DUMMYFUNCTION("""COMPUTED_VALUE"""),"1yHP4_99wm3NtNEt8v0-IjBSsqD_IeK0TrVbe411pPPY")</f>
        <v>1yHP4_99wm3NtNEt8v0-IjBSsqD_IeK0TrVbe411pPPY</v>
      </c>
    </row>
    <row r="274" ht="15.75" customHeight="1">
      <c r="A274" s="0" t="str">
        <f>IFERROR(__xludf.DUMMYFUNCTION("""COMPUTED_VALUE"""),"PTT")</f>
        <v>PTT</v>
      </c>
      <c r="B274" s="0" t="str">
        <f>IFERROR(__xludf.DUMMYFUNCTION("""COMPUTED_VALUE"""),"TradeUsingPTT")</f>
        <v>TradeUsingPTT</v>
      </c>
      <c r="C274" s="0" t="str">
        <f>IFERROR(__xludf.DUMMYFUNCTION("""COMPUTED_VALUE"""),"1824j5jyCdsYtwCFE1rcBhAGlXsh5bjIsayUXkGUuMpA")</f>
        <v>1824j5jyCdsYtwCFE1rcBhAGlXsh5bjIsayUXkGUuMpA</v>
      </c>
    </row>
    <row r="275" ht="15.75" customHeight="1">
      <c r="A275" s="0" t="str">
        <f>IFERROR(__xludf.DUMMYFUNCTION("""COMPUTED_VALUE"""),"PTT")</f>
        <v>PTT</v>
      </c>
      <c r="B275" s="0" t="str">
        <f>IFERROR(__xludf.DUMMYFUNCTION("""COMPUTED_VALUE"""),"VerifyPTTCompliance")</f>
        <v>VerifyPTTCompliance</v>
      </c>
      <c r="C275" s="0" t="str">
        <f>IFERROR(__xludf.DUMMYFUNCTION("""COMPUTED_VALUE"""),"1yei-AbmUpfNZz4VT2JbIDaKDIJzO7hZwvaUFib1oTyU")</f>
        <v>1yei-AbmUpfNZz4VT2JbIDaKDIJzO7hZwvaUFib1oTyU</v>
      </c>
    </row>
    <row r="276" ht="15.75" customHeight="1">
      <c r="A276" s="0" t="str">
        <f>IFERROR(__xludf.DUMMYFUNCTION("""COMPUTED_VALUE"""),"PTT")</f>
        <v>PTT</v>
      </c>
      <c r="B276" s="0" t="str">
        <f>IFERROR(__xludf.DUMMYFUNCTION("""COMPUTED_VALUE"""),"StageOrderUsingPTT")</f>
        <v>StageOrderUsingPTT</v>
      </c>
      <c r="C276" s="0" t="str">
        <f>IFERROR(__xludf.DUMMYFUNCTION("""COMPUTED_VALUE"""),"1u1w8ItMzM1YYZrH2R4RqLkUrIog6pmIGeXUsy-3e_ZA")</f>
        <v>1u1w8ItMzM1YYZrH2R4RqLkUrIog6pmIGeXUsy-3e_ZA</v>
      </c>
    </row>
    <row r="277" ht="15.75" customHeight="1">
      <c r="A277" s="0" t="str">
        <f>IFERROR(__xludf.DUMMYFUNCTION("""COMPUTED_VALUE"""),"PTT")</f>
        <v>PTT</v>
      </c>
      <c r="B277" s="0" t="str">
        <f>IFERROR(__xludf.DUMMYFUNCTION("""COMPUTED_VALUE"""),"CreateOrderPTT")</f>
        <v>CreateOrderPTT</v>
      </c>
      <c r="C277" s="0" t="str">
        <f>IFERROR(__xludf.DUMMYFUNCTION("""COMPUTED_VALUE"""),"1EbdeLHTIKN4RoLAyfGnlPPL3QVcvg2-CXPpGl0RGN44")</f>
        <v>1EbdeLHTIKN4RoLAyfGnlPPL3QVcvg2-CXPpGl0RGN44</v>
      </c>
    </row>
    <row r="278" ht="15.75" customHeight="1">
      <c r="A278" s="0" t="str">
        <f>IFERROR(__xludf.DUMMYFUNCTION("""COMPUTED_VALUE"""),"PTT")</f>
        <v>PTT</v>
      </c>
      <c r="B278" s="0" t="str">
        <f>IFERROR(__xludf.DUMMYFUNCTION("""COMPUTED_VALUE"""),"TradePTT")</f>
        <v>TradePTT</v>
      </c>
      <c r="C278" s="0" t="str">
        <f>IFERROR(__xludf.DUMMYFUNCTION("""COMPUTED_VALUE"""),"1pJFZ4nCBnJDUZQAqiaY6J68G36x1oN7JuKzRtRA-0zc")</f>
        <v>1pJFZ4nCBnJDUZQAqiaY6J68G36x1oN7JuKzRtRA-0zc</v>
      </c>
    </row>
    <row r="279" ht="15.75" customHeight="1">
      <c r="A279" s="0" t="str">
        <f>IFERROR(__xludf.DUMMYFUNCTION("""COMPUTED_VALUE"""),"PTT")</f>
        <v>PTT</v>
      </c>
      <c r="B279" s="0" t="str">
        <f>IFERROR(__xludf.DUMMYFUNCTION("""COMPUTED_VALUE"""),"VerifyPTT")</f>
        <v>VerifyPTT</v>
      </c>
      <c r="C279" s="0" t="str">
        <f>IFERROR(__xludf.DUMMYFUNCTION("""COMPUTED_VALUE"""),"1_DLMzeonBUhfhJl5AJqMD8mt1Z4T5mgBI7fF7cbQFWs")</f>
        <v>1_DLMzeonBUhfhJl5AJqMD8mt1Z4T5mgBI7fF7cbQFWs</v>
      </c>
    </row>
    <row r="280" ht="15.75" customHeight="1">
      <c r="A280" s="0" t="str">
        <f>IFERROR(__xludf.DUMMYFUNCTION("""COMPUTED_VALUE"""),"PortfolioManagement")</f>
        <v>PortfolioManagement</v>
      </c>
      <c r="B280" s="0" t="str">
        <f>IFERROR(__xludf.DUMMYFUNCTION("""COMPUTED_VALUE"""),"OpenPTTFromPM")</f>
        <v>OpenPTTFromPM</v>
      </c>
      <c r="C280" s="0" t="str">
        <f>IFERROR(__xludf.DUMMYFUNCTION("""COMPUTED_VALUE"""),"1GRj9e94k8ieHylVePoJ-nbC4owLOnPd7BKuaFvCouaI")</f>
        <v>1GRj9e94k8ieHylVePoJ-nbC4owLOnPd7BKuaFvCouaI</v>
      </c>
    </row>
    <row r="281" ht="15.75" customHeight="1">
      <c r="A281" s="0" t="str">
        <f>IFERROR(__xludf.DUMMYFUNCTION("""COMPUTED_VALUE"""),"PTT")</f>
        <v>PTT</v>
      </c>
      <c r="B281" s="0" t="str">
        <f>IFERROR(__xludf.DUMMYFUNCTION("""COMPUTED_VALUE"""),"OpenMultiTTFromPTT")</f>
        <v>OpenMultiTTFromPTT</v>
      </c>
      <c r="C281" s="0" t="str">
        <f>IFERROR(__xludf.DUMMYFUNCTION("""COMPUTED_VALUE"""),"1e52wyc2ELTM7QWL7k_ZT3-JQQ8Kf4qrLMW0R_fjW7Qc")</f>
        <v>1e52wyc2ELTM7QWL7k_ZT3-JQQ8Kf4qrLMW0R_fjW7Qc</v>
      </c>
    </row>
    <row r="282" ht="15.75" customHeight="1">
      <c r="A282" s="0" t="str">
        <f>IFERROR(__xludf.DUMMYFUNCTION("""COMPUTED_VALUE"""),"PTT")</f>
        <v>PTT</v>
      </c>
      <c r="B282" s="0" t="str">
        <f>IFERROR(__xludf.DUMMYFUNCTION("""COMPUTED_VALUE"""),"SelectMultiTT")</f>
        <v>SelectMultiTT</v>
      </c>
      <c r="C282" s="0" t="str">
        <f>IFERROR(__xludf.DUMMYFUNCTION("""COMPUTED_VALUE"""),"1kwb8DPg_4i30YSR_tr8LD3r1jIWVTgBzMVprGkITggA")</f>
        <v>1kwb8DPg_4i30YSR_tr8LD3r1jIWVTgBzMVprGkITggA</v>
      </c>
    </row>
    <row r="283" ht="15.75" customHeight="1">
      <c r="A283" s="0" t="str">
        <f>IFERROR(__xludf.DUMMYFUNCTION("""COMPUTED_VALUE"""),"PTT")</f>
        <v>PTT</v>
      </c>
      <c r="B283" s="0" t="str">
        <f>IFERROR(__xludf.DUMMYFUNCTION("""COMPUTED_VALUE"""),"EditMultiTT")</f>
        <v>EditMultiTT</v>
      </c>
      <c r="C283" s="0" t="str">
        <f>IFERROR(__xludf.DUMMYFUNCTION("""COMPUTED_VALUE"""),"1wbgmqX9Wp9SZWfRgJAummbN_5spSjp-tG3G1lreoQKk")</f>
        <v>1wbgmqX9Wp9SZWfRgJAummbN_5spSjp-tG3G1lreoQKk</v>
      </c>
    </row>
    <row r="284" ht="15.75" customHeight="1">
      <c r="A284" s="0" t="str">
        <f>IFERROR(__xludf.DUMMYFUNCTION("""COMPUTED_VALUE"""),"MultiTradingTicket")</f>
        <v>MultiTradingTicket</v>
      </c>
      <c r="B284" s="0" t="str">
        <f>IFERROR(__xludf.DUMMYFUNCTION("""COMPUTED_VALUE"""),"EditTradeUsingMTT")</f>
        <v>EditTradeUsingMTT</v>
      </c>
      <c r="C284" s="0" t="str">
        <f>IFERROR(__xludf.DUMMYFUNCTION("""COMPUTED_VALUE"""),"1FQlM2ubifDakZ2t9YEosDOTBdf06YZcr9_nTRuQDt2Q")</f>
        <v>1FQlM2ubifDakZ2t9YEosDOTBdf06YZcr9_nTRuQDt2Q</v>
      </c>
    </row>
    <row r="285" ht="15.75" customHeight="1">
      <c r="A285" s="0" t="str">
        <f>IFERROR(__xludf.DUMMYFUNCTION("""COMPUTED_VALUE"""),"MultiTradingTicket")</f>
        <v>MultiTradingTicket</v>
      </c>
      <c r="B285" s="0" t="str">
        <f>IFERROR(__xludf.DUMMYFUNCTION("""COMPUTED_VALUE"""),"SelectTradeUsingMTT")</f>
        <v>SelectTradeUsingMTT</v>
      </c>
      <c r="C285" s="0" t="str">
        <f>IFERROR(__xludf.DUMMYFUNCTION("""COMPUTED_VALUE"""),"1iacfEsOlPHPGZ6nQjKZ7USkjh5EdozTXI9wUlBmEE4k")</f>
        <v>1iacfEsOlPHPGZ6nQjKZ7USkjh5EdozTXI9wUlBmEE4k</v>
      </c>
    </row>
    <row r="286" ht="15.75" customHeight="1">
      <c r="A286" s="0" t="str">
        <f>IFERROR(__xludf.DUMMYFUNCTION("""COMPUTED_VALUE"""),"MultiTradingTicket")</f>
        <v>MultiTradingTicket</v>
      </c>
      <c r="B286" s="0" t="str">
        <f>IFERROR(__xludf.DUMMYFUNCTION("""COMPUTED_VALUE"""),"GetPriceUsingMTT")</f>
        <v>GetPriceUsingMTT</v>
      </c>
      <c r="C286" s="0" t="str">
        <f>IFERROR(__xludf.DUMMYFUNCTION("""COMPUTED_VALUE"""),"13sqL2ynaexfP9lWe37uE-qHPdf1jgMi_dGKwnz6usMQ")</f>
        <v>13sqL2ynaexfP9lWe37uE-qHPdf1jgMi_dGKwnz6usMQ</v>
      </c>
    </row>
    <row r="287" ht="15.75" customHeight="1">
      <c r="A287" s="0" t="str">
        <f>IFERROR(__xludf.DUMMYFUNCTION("""COMPUTED_VALUE"""),"MultiTradingTicket")</f>
        <v>MultiTradingTicket</v>
      </c>
      <c r="B287" s="0" t="str">
        <f>IFERROR(__xludf.DUMMYFUNCTION("""COMPUTED_VALUE"""),"DoneAwayUsingMTT")</f>
        <v>DoneAwayUsingMTT</v>
      </c>
      <c r="C287" s="0" t="str">
        <f>IFERROR(__xludf.DUMMYFUNCTION("""COMPUTED_VALUE"""),"1X_Cc-k1Zsfie7xcaz_9nQ2vWDlJ47gL_5qoTESaishI")</f>
        <v>1X_Cc-k1Zsfie7xcaz_9nQ2vWDlJ47gL_5qoTESaishI</v>
      </c>
    </row>
    <row r="288" ht="15.75" customHeight="1">
      <c r="A288" s="0" t="str">
        <f>IFERROR(__xludf.DUMMYFUNCTION("""COMPUTED_VALUE"""),"MultiTradingTicket")</f>
        <v>MultiTradingTicket</v>
      </c>
      <c r="B288" s="0" t="str">
        <f>IFERROR(__xludf.DUMMYFUNCTION("""COMPUTED_VALUE"""),"SendOrderUsingMTT")</f>
        <v>SendOrderUsingMTT</v>
      </c>
      <c r="C288" s="0" t="str">
        <f>IFERROR(__xludf.DUMMYFUNCTION("""COMPUTED_VALUE"""),"1ZvOomDY73mDwy_2FkmlYUkc7eFVBtku_M6XrhU6zAMQ")</f>
        <v>1ZvOomDY73mDwy_2FkmlYUkc7eFVBtku_M6XrhU6zAMQ</v>
      </c>
    </row>
    <row r="289" ht="15.75" customHeight="1">
      <c r="A289" s="0" t="str">
        <f>IFERROR(__xludf.DUMMYFUNCTION("""COMPUTED_VALUE"""),"Allocation")</f>
        <v>Allocation</v>
      </c>
      <c r="B289" s="0" t="str">
        <f>IFERROR(__xludf.DUMMYFUNCTION("""COMPUTED_VALUE"""),"UpdateGRAccountValue")</f>
        <v>UpdateGRAccountValue</v>
      </c>
      <c r="C289" s="0" t="str">
        <f>IFERROR(__xludf.DUMMYFUNCTION("""COMPUTED_VALUE"""),"1lFz3FRcCczoccbDWuOrmoeTNI3Wt72tV40C0B_Fdulo")</f>
        <v>1lFz3FRcCczoccbDWuOrmoeTNI3Wt72tV40C0B_Fdulo</v>
      </c>
    </row>
    <row r="290" ht="15.75" customHeight="1">
      <c r="A290" s="0" t="str">
        <f>IFERROR(__xludf.DUMMYFUNCTION("""COMPUTED_VALUE"""),"MultiTradingTicket")</f>
        <v>MultiTradingTicket</v>
      </c>
      <c r="B290" s="0" t="str">
        <f>IFERROR(__xludf.DUMMYFUNCTION("""COMPUTED_VALUE"""),"BulkChangeTradeDoneAway")</f>
        <v>BulkChangeTradeDoneAway</v>
      </c>
      <c r="C290" s="0" t="str">
        <f>IFERROR(__xludf.DUMMYFUNCTION("""COMPUTED_VALUE"""),"1vJUuWNjZCta9Nc4XEHCHO5jwABRogxaKkvSksrCc1y4")</f>
        <v>1vJUuWNjZCta9Nc4XEHCHO5jwABRogxaKkvSksrCc1y4</v>
      </c>
    </row>
    <row r="291" ht="15.75" customHeight="1">
      <c r="A291" s="0" t="str">
        <f>IFERROR(__xludf.DUMMYFUNCTION("""COMPUTED_VALUE"""),"Allocation")</f>
        <v>Allocation</v>
      </c>
      <c r="B291" s="0" t="str">
        <f>IFERROR(__xludf.DUMMYFUNCTION("""COMPUTED_VALUE"""),"UpdateGRStrategyValue")</f>
        <v>UpdateGRStrategyValue</v>
      </c>
      <c r="C291" s="0" t="str">
        <f>IFERROR(__xludf.DUMMYFUNCTION("""COMPUTED_VALUE"""),"1AMJDRnPPFGSypYHzJlk3Nkh0AERQpMOKwpNzmwWYf3k")</f>
        <v>1AMJDRnPPFGSypYHzJlk3Nkh0AERQpMOKwpNzmwWYf3k</v>
      </c>
    </row>
    <row r="292" ht="15.75" customHeight="1">
      <c r="A292" s="0" t="str">
        <f>IFERROR(__xludf.DUMMYFUNCTION("""COMPUTED_VALUE"""),"Allocation")</f>
        <v>Allocation</v>
      </c>
      <c r="B292" s="0" t="str">
        <f>IFERROR(__xludf.DUMMYFUNCTION("""COMPUTED_VALUE"""),"UpdateGRDefaultRule")</f>
        <v>UpdateGRDefaultRule</v>
      </c>
      <c r="C292" s="0" t="str">
        <f>IFERROR(__xludf.DUMMYFUNCTION("""COMPUTED_VALUE"""),"1x73ZveKV63dLEGp1JA9RvvtDZiF2PeXvK6rEa4ECUUg")</f>
        <v>1x73ZveKV63dLEGp1JA9RvvtDZiF2PeXvK6rEa4ECUUg</v>
      </c>
    </row>
    <row r="293" ht="15.75" customHeight="1">
      <c r="A293" s="0" t="str">
        <f>IFERROR(__xludf.DUMMYFUNCTION("""COMPUTED_VALUE"""),"Allocation")</f>
        <v>Allocation</v>
      </c>
      <c r="B293" s="0" t="str">
        <f>IFERROR(__xludf.DUMMYFUNCTION("""COMPUTED_VALUE"""),"UpdateGeneralRulePref")</f>
        <v>UpdateGeneralRulePref</v>
      </c>
      <c r="C293" s="0" t="str">
        <f>IFERROR(__xludf.DUMMYFUNCTION("""COMPUTED_VALUE"""),"Undefined")</f>
        <v>Undefined</v>
      </c>
    </row>
    <row r="294" ht="15.75" customHeight="1">
      <c r="A294" s="0" t="str">
        <f>IFERROR(__xludf.DUMMYFUNCTION("""COMPUTED_VALUE"""),"Blotter")</f>
        <v>Blotter</v>
      </c>
      <c r="B294" s="0" t="str">
        <f>IFERROR(__xludf.DUMMYFUNCTION("""COMPUTED_VALUE"""),"MultiTradingTicketFromBlotter")</f>
        <v>MultiTradingTicketFromBlotter</v>
      </c>
      <c r="C294" s="0" t="str">
        <f>IFERROR(__xludf.DUMMYFUNCTION("""COMPUTED_VALUE"""),"19n2Z-CCAzNZctQndnPqhAilz4AHqd4Hew_NupZSf3AA")</f>
        <v>19n2Z-CCAzNZctQndnPqhAilz4AHqd4Hew_NupZSf3AA</v>
      </c>
    </row>
    <row r="295" ht="15.75" customHeight="1">
      <c r="A295" s="0" t="str">
        <f>IFERROR(__xludf.DUMMYFUNCTION("""COMPUTED_VALUE"""),"CleanUp")</f>
        <v>CleanUp</v>
      </c>
      <c r="B295" s="0" t="str">
        <f>IFERROR(__xludf.DUMMYFUNCTION("""COMPUTED_VALUE"""),"DeleteClientData")</f>
        <v>DeleteClientData</v>
      </c>
      <c r="C295" s="0" t="str">
        <f>IFERROR(__xludf.DUMMYFUNCTION("""COMPUTED_VALUE"""),"1Lz82jeHUZGtvibY9vO7baLqlJAO5OFAL6yO4JpHFkAo")</f>
        <v>1Lz82jeHUZGtvibY9vO7baLqlJAO5OFAL6yO4JpHFkAo</v>
      </c>
    </row>
    <row r="296" ht="15.75" customHeight="1">
      <c r="A296" s="0" t="str">
        <f>IFERROR(__xludf.DUMMYFUNCTION("""COMPUTED_VALUE"""),"Allocation")</f>
        <v>Allocation</v>
      </c>
      <c r="B296" s="0" t="str">
        <f>IFERROR(__xludf.DUMMYFUNCTION("""COMPUTED_VALUE"""),"ModifyGRPreferenceValues")</f>
        <v>ModifyGRPreferenceValues</v>
      </c>
      <c r="C296" s="0" t="str">
        <f>IFERROR(__xludf.DUMMYFUNCTION("""COMPUTED_VALUE"""),"Undefined")</f>
        <v>Undefined</v>
      </c>
    </row>
    <row r="297" ht="15.75" customHeight="1">
      <c r="A297" s="0" t="str">
        <f>IFERROR(__xludf.DUMMYFUNCTION("""COMPUTED_VALUE"""),"Allocation")</f>
        <v>Allocation</v>
      </c>
      <c r="B297" s="0" t="str">
        <f>IFERROR(__xludf.DUMMYFUNCTION("""COMPUTED_VALUE"""),"AddMFPreferences")</f>
        <v>AddMFPreferences</v>
      </c>
      <c r="C297" s="0" t="str">
        <f>IFERROR(__xludf.DUMMYFUNCTION("""COMPUTED_VALUE"""),"1AksWVHEmnBxwC-L3YrZrbvNzH0SfJRQe4Dy7NrKt6qU")</f>
        <v>1AksWVHEmnBxwC-L3YrZrbvNzH0SfJRQe4Dy7NrKt6qU</v>
      </c>
    </row>
    <row r="298" ht="15.75" customHeight="1">
      <c r="A298" s="0" t="str">
        <f>IFERROR(__xludf.DUMMYFUNCTION("""COMPUTED_VALUE"""),"Allocation")</f>
        <v>Allocation</v>
      </c>
      <c r="B298" s="0" t="str">
        <f>IFERROR(__xludf.DUMMYFUNCTION("""COMPUTED_VALUE"""),"AddMFPreferenceToolbar")</f>
        <v>AddMFPreferenceToolbar</v>
      </c>
      <c r="C298" s="0" t="str">
        <f>IFERROR(__xludf.DUMMYFUNCTION("""COMPUTED_VALUE"""),"1s4ugOdWq4GlEglv4uvOceAxijOR8vwwy9sfLCQSJsPI")</f>
        <v>1s4ugOdWq4GlEglv4uvOceAxijOR8vwwy9sfLCQSJsPI</v>
      </c>
    </row>
    <row r="299" ht="15.75" customHeight="1">
      <c r="A299" s="0" t="str">
        <f>IFERROR(__xludf.DUMMYFUNCTION("""COMPUTED_VALUE"""),"Allocation")</f>
        <v>Allocation</v>
      </c>
      <c r="B299" s="0" t="str">
        <f>IFERROR(__xludf.DUMMYFUNCTION("""COMPUTED_VALUE"""),"DeleteMFPreferences")</f>
        <v>DeleteMFPreferences</v>
      </c>
      <c r="C299" s="0" t="str">
        <f>IFERROR(__xludf.DUMMYFUNCTION("""COMPUTED_VALUE"""),"1kF8Cp9ixfKWT-O7A_ykr8O24ot4jIuMf7Cny33fw3tE")</f>
        <v>1kF8Cp9ixfKWT-O7A_ykr8O24ot4jIuMf7Cny33fw3tE</v>
      </c>
    </row>
    <row r="300" ht="15.75" customHeight="1">
      <c r="A300" s="0" t="str">
        <f>IFERROR(__xludf.DUMMYFUNCTION("""COMPUTED_VALUE"""),"Allocation")</f>
        <v>Allocation</v>
      </c>
      <c r="B300" s="0" t="str">
        <f>IFERROR(__xludf.DUMMYFUNCTION("""COMPUTED_VALUE"""),"DeleteMFPreferenceToolbar")</f>
        <v>DeleteMFPreferenceToolbar</v>
      </c>
      <c r="C300" s="0" t="str">
        <f>IFERROR(__xludf.DUMMYFUNCTION("""COMPUTED_VALUE"""),"1CgwWCnwId8fIOzVPEbCjbP0EmIDkblROsvVu3kqYqG8")</f>
        <v>1CgwWCnwId8fIOzVPEbCjbP0EmIDkblROsvVu3kqYqG8</v>
      </c>
    </row>
    <row r="301" ht="15.75" customHeight="1">
      <c r="A301" s="0" t="str">
        <f>IFERROR(__xludf.DUMMYFUNCTION("""COMPUTED_VALUE"""),"Allocation")</f>
        <v>Allocation</v>
      </c>
      <c r="B301" s="0" t="str">
        <f>IFERROR(__xludf.DUMMYFUNCTION("""COMPUTED_VALUE"""),"RenameMFPreferences")</f>
        <v>RenameMFPreferences</v>
      </c>
      <c r="C301" s="0" t="str">
        <f>IFERROR(__xludf.DUMMYFUNCTION("""COMPUTED_VALUE"""),"1LgeTTI9drsJb1V9MtKWU3N5XU-_UpbynXkgneV6bnSU")</f>
        <v>1LgeTTI9drsJb1V9MtKWU3N5XU-_UpbynXkgneV6bnSU</v>
      </c>
    </row>
    <row r="302" ht="15.75" customHeight="1">
      <c r="A302" s="0" t="str">
        <f>IFERROR(__xludf.DUMMYFUNCTION("""COMPUTED_VALUE"""),"Allocation")</f>
        <v>Allocation</v>
      </c>
      <c r="B302" s="0" t="str">
        <f>IFERROR(__xludf.DUMMYFUNCTION("""COMPUTED_VALUE"""),"SaveCloseMFPreference")</f>
        <v>SaveCloseMFPreference</v>
      </c>
      <c r="C302" s="0" t="str">
        <f>IFERROR(__xludf.DUMMYFUNCTION("""COMPUTED_VALUE"""),"Undefined")</f>
        <v>Undefined</v>
      </c>
    </row>
    <row r="303" ht="15.75" customHeight="1">
      <c r="A303" s="0" t="str">
        <f>IFERROR(__xludf.DUMMYFUNCTION("""COMPUTED_VALUE"""),"Allocation")</f>
        <v>Allocation</v>
      </c>
      <c r="B303" s="0" t="str">
        <f>IFERROR(__xludf.DUMMYFUNCTION("""COMPUTED_VALUE"""),"SetMFPrefAccountValues")</f>
        <v>SetMFPrefAccountValues</v>
      </c>
      <c r="C303" s="0" t="str">
        <f>IFERROR(__xludf.DUMMYFUNCTION("""COMPUTED_VALUE"""),"1ICA8c_OKdesVMDcE_s1raBD2JqcZdspbl-jQG5DX7vA")</f>
        <v>1ICA8c_OKdesVMDcE_s1raBD2JqcZdspbl-jQG5DX7vA</v>
      </c>
    </row>
    <row r="304" ht="15.75" customHeight="1">
      <c r="A304" s="0" t="str">
        <f>IFERROR(__xludf.DUMMYFUNCTION("""COMPUTED_VALUE"""),"Allocation")</f>
        <v>Allocation</v>
      </c>
      <c r="B304" s="0" t="str">
        <f>IFERROR(__xludf.DUMMYFUNCTION("""COMPUTED_VALUE"""),"ModifyMFPrefGeneralRuleValues")</f>
        <v>ModifyMFPrefGeneralRuleValues</v>
      </c>
      <c r="C304" s="0" t="str">
        <f>IFERROR(__xludf.DUMMYFUNCTION("""COMPUTED_VALUE"""),"Undefined")</f>
        <v>Undefined</v>
      </c>
    </row>
    <row r="305" ht="15.75" customHeight="1">
      <c r="A305" s="0" t="str">
        <f>IFERROR(__xludf.DUMMYFUNCTION("""COMPUTED_VALUE"""),"Allocation")</f>
        <v>Allocation</v>
      </c>
      <c r="B305" s="0" t="str">
        <f>IFERROR(__xludf.DUMMYFUNCTION("""COMPUTED_VALUE"""),"SetMFPrefStrategyValues")</f>
        <v>SetMFPrefStrategyValues</v>
      </c>
      <c r="C305" s="0" t="str">
        <f>IFERROR(__xludf.DUMMYFUNCTION("""COMPUTED_VALUE"""),"1Nend9TmgX0Jkh8tsL--LHqNCMB0QE7KGu0lM4MrvJx8")</f>
        <v>1Nend9TmgX0Jkh8tsL--LHqNCMB0QE7KGu0lM4MrvJx8</v>
      </c>
    </row>
    <row r="306" ht="15.75" customHeight="1">
      <c r="A306" s="0" t="str">
        <f>IFERROR(__xludf.DUMMYFUNCTION("""COMPUTED_VALUE"""),"Allocation")</f>
        <v>Allocation</v>
      </c>
      <c r="B306" s="0" t="str">
        <f>IFERROR(__xludf.DUMMYFUNCTION("""COMPUTED_VALUE"""),"SetMFPrefGeneralRule")</f>
        <v>SetMFPrefGeneralRule</v>
      </c>
      <c r="C306" s="0" t="str">
        <f>IFERROR(__xludf.DUMMYFUNCTION("""COMPUTED_VALUE"""),"1OkFtbYrIDPpC3pMP--6KPjkSbZDpo31jp348DsVbjWk")</f>
        <v>1OkFtbYrIDPpC3pMP--6KPjkSbZDpo31jp348DsVbjWk</v>
      </c>
    </row>
    <row r="307" ht="15.75" customHeight="1">
      <c r="A307" s="0" t="str">
        <f>IFERROR(__xludf.DUMMYFUNCTION("""COMPUTED_VALUE"""),"Allocation")</f>
        <v>Allocation</v>
      </c>
      <c r="B307" s="0" t="str">
        <f>IFERROR(__xludf.DUMMYFUNCTION("""COMPUTED_VALUE"""),"SetMFPrefFundDistribution")</f>
        <v>SetMFPrefFundDistribution</v>
      </c>
      <c r="C307" s="0" t="str">
        <f>IFERROR(__xludf.DUMMYFUNCTION("""COMPUTED_VALUE"""),"1sNOuaTOrp-Ppia2ZUARA48WLB5S-7ja2Q0cjsdZu1cc")</f>
        <v>1sNOuaTOrp-Ppia2ZUARA48WLB5S-7ja2Q0cjsdZu1cc</v>
      </c>
    </row>
    <row r="308" ht="15.75" customHeight="1">
      <c r="A308" s="0" t="str">
        <f>IFERROR(__xludf.DUMMYFUNCTION("""COMPUTED_VALUE"""),"Allocation")</f>
        <v>Allocation</v>
      </c>
      <c r="B308" s="0" t="str">
        <f>IFERROR(__xludf.DUMMYFUNCTION("""COMPUTED_VALUE"""),"SetMFPreferencesDefaultRule")</f>
        <v>SetMFPreferencesDefaultRule</v>
      </c>
      <c r="C308" s="0" t="str">
        <f>IFERROR(__xludf.DUMMYFUNCTION("""COMPUTED_VALUE"""),"1SseU888nr5JryggSHE9VBdTiZug_v-cOJmjdm-vO3sQ")</f>
        <v>1SseU888nr5JryggSHE9VBdTiZug_v-cOJmjdm-vO3sQ</v>
      </c>
    </row>
    <row r="309" ht="15.75" customHeight="1">
      <c r="A309" s="0" t="str">
        <f>IFERROR(__xludf.DUMMYFUNCTION("""COMPUTED_VALUE"""),"Allocation")</f>
        <v>Allocation</v>
      </c>
      <c r="B309" s="0" t="str">
        <f>IFERROR(__xludf.DUMMYFUNCTION("""COMPUTED_VALUE"""),"SetMFPrefFundDefaultRule")</f>
        <v>SetMFPrefFundDefaultRule</v>
      </c>
      <c r="C309" s="0" t="str">
        <f>IFERROR(__xludf.DUMMYFUNCTION("""COMPUTED_VALUE"""),"1HfizE5szbvAqgcrnlAlRZlGwJnDpLifnRSpo_rNHclE")</f>
        <v>1HfizE5szbvAqgcrnlAlRZlGwJnDpLifnRSpo_rNHclE</v>
      </c>
    </row>
    <row r="310" ht="15.75" customHeight="1">
      <c r="A310" s="0" t="str">
        <f>IFERROR(__xludf.DUMMYFUNCTION("""COMPUTED_VALUE"""),"PTT")</f>
        <v>PTT</v>
      </c>
      <c r="B310" s="0" t="str">
        <f>IFERROR(__xludf.DUMMYFUNCTION("""COMPUTED_VALUE"""),"SetAccountFactor")</f>
        <v>SetAccountFactor</v>
      </c>
      <c r="C310" s="0" t="str">
        <f>IFERROR(__xludf.DUMMYFUNCTION("""COMPUTED_VALUE"""),"18dn1sQFfRDKOAHwu3DueV8YA7DVB7FDzA7y_am44ADk")</f>
        <v>18dn1sQFfRDKOAHwu3DueV8YA7DVB7FDzA7y_am44ADk</v>
      </c>
    </row>
    <row r="311" ht="15.75" customHeight="1">
      <c r="A311" s="0" t="str">
        <f>IFERROR(__xludf.DUMMYFUNCTION("""COMPUTED_VALUE"""),"Allocation")</f>
        <v>Allocation</v>
      </c>
      <c r="B311" s="0" t="str">
        <f>IFERROR(__xludf.DUMMYFUNCTION("""COMPUTED_VALUE"""),"ClearPrefetchFilters")</f>
        <v>ClearPrefetchFilters</v>
      </c>
      <c r="C311" s="0" t="str">
        <f>IFERROR(__xludf.DUMMYFUNCTION("""COMPUTED_VALUE"""),"Undefined")</f>
        <v>Undefined</v>
      </c>
    </row>
    <row r="312" ht="15.75" customHeight="1">
      <c r="A312" s="0" t="str">
        <f>IFERROR(__xludf.DUMMYFUNCTION("""COMPUTED_VALUE"""),"Allocation")</f>
        <v>Allocation</v>
      </c>
      <c r="B312" s="0" t="str">
        <f>IFERROR(__xludf.DUMMYFUNCTION("""COMPUTED_VALUE"""),"ExpandCollapseAllUnallocated")</f>
        <v>ExpandCollapseAllUnallocated</v>
      </c>
      <c r="C312" s="0" t="str">
        <f>IFERROR(__xludf.DUMMYFUNCTION("""COMPUTED_VALUE"""),"1ochAcIa6jxqrTKXkyAIMtaQp8GfBZfq8KAPLV0y7yvU")</f>
        <v>1ochAcIa6jxqrTKXkyAIMtaQp8GfBZfq8KAPLV0y7yvU</v>
      </c>
    </row>
    <row r="313" ht="15.75" customHeight="1">
      <c r="A313" s="0" t="str">
        <f>IFERROR(__xludf.DUMMYFUNCTION("""COMPUTED_VALUE"""),"Allocation")</f>
        <v>Allocation</v>
      </c>
      <c r="B313" s="0" t="str">
        <f>IFERROR(__xludf.DUMMYFUNCTION("""COMPUTED_VALUE"""),"ExpandCollapseAllAllocated")</f>
        <v>ExpandCollapseAllAllocated</v>
      </c>
      <c r="C313" s="0" t="str">
        <f>IFERROR(__xludf.DUMMYFUNCTION("""COMPUTED_VALUE"""),"1PUqbTX2rRI0cNPNL7NJ1fKh-Jy0Q9mQVBO0nXiQtUlc")</f>
        <v>1PUqbTX2rRI0cNPNL7NJ1fKh-Jy0Q9mQVBO0nXiQtUlc</v>
      </c>
    </row>
    <row r="314" ht="15.75" customHeight="1">
      <c r="A314" s="0" t="str">
        <f>IFERROR(__xludf.DUMMYFUNCTION("""COMPUTED_VALUE"""),"Allocation")</f>
        <v>Allocation</v>
      </c>
      <c r="B314" s="0" t="str">
        <f>IFERROR(__xludf.DUMMYFUNCTION("""COMPUTED_VALUE"""),"GenerateCashTransaction")</f>
        <v>GenerateCashTransaction</v>
      </c>
      <c r="C314" s="0" t="str">
        <f>IFERROR(__xludf.DUMMYFUNCTION("""COMPUTED_VALUE"""),"1XFWL8Sv_tc7--6q-PVtJAyjWEb-HcxsbKKtSdB3jRJY")</f>
        <v>1XFWL8Sv_tc7--6q-PVtJAyjWEb-HcxsbKKtSdB3jRJY</v>
      </c>
    </row>
    <row r="315" ht="15.75" customHeight="1">
      <c r="A315" s="0" t="str">
        <f>IFERROR(__xludf.DUMMYFUNCTION("""COMPUTED_VALUE"""),"Allocation")</f>
        <v>Allocation</v>
      </c>
      <c r="B315" s="0" t="str">
        <f>IFERROR(__xludf.DUMMYFUNCTION("""COMPUTED_VALUE"""),"SaveAllocation")</f>
        <v>SaveAllocation</v>
      </c>
      <c r="C315" s="0" t="str">
        <f>IFERROR(__xludf.DUMMYFUNCTION("""COMPUTED_VALUE"""),"Undefined")</f>
        <v>Undefined</v>
      </c>
    </row>
    <row r="316" ht="15.75" customHeight="1">
      <c r="A316" s="0" t="str">
        <f>IFERROR(__xludf.DUMMYFUNCTION("""COMPUTED_VALUE"""),"Allocation")</f>
        <v>Allocation</v>
      </c>
      <c r="B316" s="0" t="str">
        <f>IFERROR(__xludf.DUMMYFUNCTION("""COMPUTED_VALUE"""),"UnallocateWithOutSave")</f>
        <v>UnallocateWithOutSave</v>
      </c>
      <c r="C316" s="0" t="str">
        <f>IFERROR(__xludf.DUMMYFUNCTION("""COMPUTED_VALUE"""),"1rdEWSy_MOHkYaq5akux-7N0yuwWEIIprojEJYWvhiRo")</f>
        <v>1rdEWSy_MOHkYaq5akux-7N0yuwWEIIprojEJYWvhiRo</v>
      </c>
    </row>
    <row r="317" ht="15.75" customHeight="1">
      <c r="A317" s="0" t="str">
        <f>IFERROR(__xludf.DUMMYFUNCTION("""COMPUTED_VALUE"""),"TradeServer")</f>
        <v>TradeServer</v>
      </c>
      <c r="B317" s="0" t="str">
        <f>IFERROR(__xludf.DUMMYFUNCTION("""COMPUTED_VALUE"""),"UpdateServerConfig")</f>
        <v>UpdateServerConfig</v>
      </c>
      <c r="C317" s="0" t="str">
        <f>IFERROR(__xludf.DUMMYFUNCTION("""COMPUTED_VALUE"""),"1h5l007iy5WesxdhwZzCT3YK9aNRB6rnqf82fKK-qWhA")</f>
        <v>1h5l007iy5WesxdhwZzCT3YK9aNRB6rnqf82fKK-qWhA</v>
      </c>
    </row>
    <row r="318" ht="15.75" customHeight="1">
      <c r="A318" s="0" t="str">
        <f>IFERROR(__xludf.DUMMYFUNCTION("""COMPUTED_VALUE"""),"PricingServer")</f>
        <v>PricingServer</v>
      </c>
      <c r="B318" s="0" t="str">
        <f>IFERROR(__xludf.DUMMYFUNCTION("""COMPUTED_VALUE"""),"UpdatePricingConfig")</f>
        <v>UpdatePricingConfig</v>
      </c>
      <c r="C318" s="0" t="str">
        <f>IFERROR(__xludf.DUMMYFUNCTION("""COMPUTED_VALUE"""),"1ixTeJ65ywBUTH41BRto926xFAKoLo3WSj5TxpKyxMCI")</f>
        <v>1ixTeJ65ywBUTH41BRto926xFAKoLo3WSj5TxpKyxMCI</v>
      </c>
    </row>
    <row r="319" ht="15.75" customHeight="1">
      <c r="A319" s="0" t="str">
        <f>IFERROR(__xludf.DUMMYFUNCTION("""COMPUTED_VALUE"""),"PranaClient")</f>
        <v>PranaClient</v>
      </c>
      <c r="B319" s="0" t="str">
        <f>IFERROR(__xludf.DUMMYFUNCTION("""COMPUTED_VALUE"""),"UpdateClientConfig")</f>
        <v>UpdateClientConfig</v>
      </c>
      <c r="C319" s="0" t="str">
        <f>IFERROR(__xludf.DUMMYFUNCTION("""COMPUTED_VALUE"""),"1LE8gxOzR6SvbLuSropjBzTYDDoubnt2wbweARCuf3LU")</f>
        <v>1LE8gxOzR6SvbLuSropjBzTYDDoubnt2wbweARCuf3LU</v>
      </c>
    </row>
    <row r="320" ht="15.75" customHeight="1">
      <c r="A320" s="0" t="str">
        <f>IFERROR(__xludf.DUMMYFUNCTION("""COMPUTED_VALUE"""),"PortfolioManagement")</f>
        <v>PortfolioManagement</v>
      </c>
      <c r="B320" s="0" t="str">
        <f>IFERROR(__xludf.DUMMYFUNCTION("""COMPUTED_VALUE"""),"OpenClosingFromPM")</f>
        <v>OpenClosingFromPM</v>
      </c>
      <c r="C320" s="0" t="str">
        <f>IFERROR(__xludf.DUMMYFUNCTION("""COMPUTED_VALUE"""),"Undefined")</f>
        <v>Undefined</v>
      </c>
    </row>
    <row r="321" ht="15.75" customHeight="1">
      <c r="A321" s="0" t="str">
        <f>IFERROR(__xludf.DUMMYFUNCTION("""COMPUTED_VALUE"""),"PortfolioManagement")</f>
        <v>PortfolioManagement</v>
      </c>
      <c r="B321" s="0" t="str">
        <f>IFERROR(__xludf.DUMMYFUNCTION("""COMPUTED_VALUE"""),"OpenCorporateActionFromPM")</f>
        <v>OpenCorporateActionFromPM</v>
      </c>
      <c r="C321" s="0" t="str">
        <f>IFERROR(__xludf.DUMMYFUNCTION("""COMPUTED_VALUE"""),"Undefined")</f>
        <v>Undefined</v>
      </c>
    </row>
    <row r="322" ht="15.75" customHeight="1">
      <c r="A322" s="0" t="str">
        <f>IFERROR(__xludf.DUMMYFUNCTION("""COMPUTED_VALUE"""),"PortfolioManagement")</f>
        <v>PortfolioManagement</v>
      </c>
      <c r="B322" s="0" t="str">
        <f>IFERROR(__xludf.DUMMYFUNCTION("""COMPUTED_VALUE"""),"OpenDailyValuationFromPM")</f>
        <v>OpenDailyValuationFromPM</v>
      </c>
      <c r="C322" s="0" t="str">
        <f>IFERROR(__xludf.DUMMYFUNCTION("""COMPUTED_VALUE"""),"Undefined")</f>
        <v>Undefined</v>
      </c>
    </row>
    <row r="323" ht="15.75" customHeight="1">
      <c r="A323" s="0" t="str">
        <f>IFERROR(__xludf.DUMMYFUNCTION("""COMPUTED_VALUE"""),"PortfolioManagement")</f>
        <v>PortfolioManagement</v>
      </c>
      <c r="B323" s="0" t="str">
        <f>IFERROR(__xludf.DUMMYFUNCTION("""COMPUTED_VALUE"""),"ClosePositionFromPM")</f>
        <v>ClosePositionFromPM</v>
      </c>
      <c r="C323" s="0" t="str">
        <f>IFERROR(__xludf.DUMMYFUNCTION("""COMPUTED_VALUE"""),"121YPApuObrizJgYF5sgfQP5hMExkoSYkCPrW-Ew_ldk")</f>
        <v>121YPApuObrizJgYF5sgfQP5hMExkoSYkCPrW-Ew_ldk</v>
      </c>
    </row>
    <row r="324" ht="15.75" customHeight="1">
      <c r="A324" s="0" t="str">
        <f>IFERROR(__xludf.DUMMYFUNCTION("""COMPUTED_VALUE"""),"PortfolioManagement")</f>
        <v>PortfolioManagement</v>
      </c>
      <c r="B324" s="0" t="str">
        <f>IFERROR(__xludf.DUMMYFUNCTION("""COMPUTED_VALUE"""),"ShowSummaryToolFromPM")</f>
        <v>ShowSummaryToolFromPM</v>
      </c>
      <c r="C324" s="0" t="str">
        <f>IFERROR(__xludf.DUMMYFUNCTION("""COMPUTED_VALUE"""),"Undefined")</f>
        <v>Undefined</v>
      </c>
    </row>
    <row r="325" ht="15.75" customHeight="1">
      <c r="A325" s="0" t="str">
        <f>IFERROR(__xludf.DUMMYFUNCTION("""COMPUTED_VALUE"""),"PortfolioManagement")</f>
        <v>PortfolioManagement</v>
      </c>
      <c r="B325" s="0" t="str">
        <f>IFERROR(__xludf.DUMMYFUNCTION("""COMPUTED_VALUE"""),"HideSummaryToolFromPM")</f>
        <v>HideSummaryToolFromPM</v>
      </c>
      <c r="C325" s="0" t="str">
        <f>IFERROR(__xludf.DUMMYFUNCTION("""COMPUTED_VALUE"""),"Undefined")</f>
        <v>Undefined</v>
      </c>
    </row>
    <row r="326" ht="15.75" customHeight="1">
      <c r="A326" s="0" t="str">
        <f>IFERROR(__xludf.DUMMYFUNCTION("""COMPUTED_VALUE"""),"PortfolioManagement")</f>
        <v>PortfolioManagement</v>
      </c>
      <c r="B326" s="0" t="str">
        <f>IFERROR(__xludf.DUMMYFUNCTION("""COMPUTED_VALUE"""),"CloseAccountPositionFromPM")</f>
        <v>CloseAccountPositionFromPM</v>
      </c>
      <c r="C326" s="0" t="str">
        <f>IFERROR(__xludf.DUMMYFUNCTION("""COMPUTED_VALUE"""),"10LRFkXyhAzpYLr41wTB8e5wmi1IZIGFBMZPeDp64XK0")</f>
        <v>10LRFkXyhAzpYLr41wTB8e5wmi1IZIGFBMZPeDp64XK0</v>
      </c>
    </row>
    <row r="327" ht="15.75" customHeight="1">
      <c r="A327" s="0" t="str">
        <f>IFERROR(__xludf.DUMMYFUNCTION("""COMPUTED_VALUE"""),"PortfolioManagement")</f>
        <v>PortfolioManagement</v>
      </c>
      <c r="B327" s="0" t="str">
        <f>IFERROR(__xludf.DUMMYFUNCTION("""COMPUTED_VALUE"""),"CloseSelectedTaxlotsFromPM")</f>
        <v>CloseSelectedTaxlotsFromPM</v>
      </c>
      <c r="C327" s="0" t="str">
        <f>IFERROR(__xludf.DUMMYFUNCTION("""COMPUTED_VALUE"""),"1vJSNFM5zkHc9zBvl1ymJquJpvovmW3E_RSN3pozpWns")</f>
        <v>1vJSNFM5zkHc9zBvl1ymJquJpvovmW3E_RSN3pozpWns</v>
      </c>
    </row>
    <row r="328" ht="15.75" customHeight="1">
      <c r="A328" s="0" t="str">
        <f>IFERROR(__xludf.DUMMYFUNCTION("""COMPUTED_VALUE"""),"PortfolioManagement")</f>
        <v>PortfolioManagement</v>
      </c>
      <c r="B328" s="0" t="str">
        <f>IFERROR(__xludf.DUMMYFUNCTION("""COMPUTED_VALUE"""),"ExpandCollapsePM")</f>
        <v>ExpandCollapsePM</v>
      </c>
      <c r="C328" s="0" t="str">
        <f>IFERROR(__xludf.DUMMYFUNCTION("""COMPUTED_VALUE"""),"1kNeqOSQLa6o8vkFZaArRKZabtB_GXZBV_Al1s8DHf50")</f>
        <v>1kNeqOSQLa6o8vkFZaArRKZabtB_GXZBV_Al1s8DHf50</v>
      </c>
    </row>
    <row r="329" ht="15.75" customHeight="1">
      <c r="A329" s="0" t="str">
        <f>IFERROR(__xludf.DUMMYFUNCTION("""COMPUTED_VALUE"""),"PortfolioManagement")</f>
        <v>PortfolioManagement</v>
      </c>
      <c r="B329" s="0" t="str">
        <f>IFERROR(__xludf.DUMMYFUNCTION("""COMPUTED_VALUE"""),"AddCustomViewPM")</f>
        <v>AddCustomViewPM</v>
      </c>
      <c r="C329" s="0" t="str">
        <f>IFERROR(__xludf.DUMMYFUNCTION("""COMPUTED_VALUE"""),"1WARVnQ0kPZNSKX8kRaPiqFQVReKwU7ReLEjyOvwThEk")</f>
        <v>1WARVnQ0kPZNSKX8kRaPiqFQVReKwU7ReLEjyOvwThEk</v>
      </c>
    </row>
    <row r="330" ht="15.75" customHeight="1">
      <c r="A330" s="0" t="str">
        <f>IFERROR(__xludf.DUMMYFUNCTION("""COMPUTED_VALUE"""),"PortfolioManagement")</f>
        <v>PortfolioManagement</v>
      </c>
      <c r="B330" s="0" t="str">
        <f>IFERROR(__xludf.DUMMYFUNCTION("""COMPUTED_VALUE"""),"AddCustomViewRightClickPM")</f>
        <v>AddCustomViewRightClickPM</v>
      </c>
      <c r="C330" s="0" t="str">
        <f>IFERROR(__xludf.DUMMYFUNCTION("""COMPUTED_VALUE"""),"1221yqGeEHt8OWBppipf5Q2xZ7hMYHBO7XKQ1Hp4-_1k")</f>
        <v>1221yqGeEHt8OWBppipf5Q2xZ7hMYHBO7XKQ1Hp4-_1k</v>
      </c>
    </row>
    <row r="331" ht="15.75" customHeight="1">
      <c r="A331" s="0" t="str">
        <f>IFERROR(__xludf.DUMMYFUNCTION("""COMPUTED_VALUE"""),"PortfolioManagement")</f>
        <v>PortfolioManagement</v>
      </c>
      <c r="B331" s="0" t="str">
        <f>IFERROR(__xludf.DUMMYFUNCTION("""COMPUTED_VALUE"""),"RenameCustomViewPM")</f>
        <v>RenameCustomViewPM</v>
      </c>
      <c r="C331" s="0" t="str">
        <f>IFERROR(__xludf.DUMMYFUNCTION("""COMPUTED_VALUE"""),"1saPHdgxC5QXYmLAufIbglxhQ01_MTtBMgX000SwjhFY")</f>
        <v>1saPHdgxC5QXYmLAufIbglxhQ01_MTtBMgX000SwjhFY</v>
      </c>
    </row>
    <row r="332" ht="15.75" customHeight="1">
      <c r="A332" s="0" t="str">
        <f>IFERROR(__xludf.DUMMYFUNCTION("""COMPUTED_VALUE"""),"PortfolioManagement")</f>
        <v>PortfolioManagement</v>
      </c>
      <c r="B332" s="0" t="str">
        <f>IFERROR(__xludf.DUMMYFUNCTION("""COMPUTED_VALUE"""),"DeleteCustomViewPM")</f>
        <v>DeleteCustomViewPM</v>
      </c>
      <c r="C332" s="0" t="str">
        <f>IFERROR(__xludf.DUMMYFUNCTION("""COMPUTED_VALUE"""),"1_EYKIDrS0AWuMJMgbTbeqmEwSkf7_gL_EAGl7D2-Ggk")</f>
        <v>1_EYKIDrS0AWuMJMgbTbeqmEwSkf7_gL_EAGl7D2-Ggk</v>
      </c>
    </row>
    <row r="333" ht="15.75" customHeight="1">
      <c r="A333" s="0" t="str">
        <f>IFERROR(__xludf.DUMMYFUNCTION("""COMPUTED_VALUE"""),"Closing")</f>
        <v>Closing</v>
      </c>
      <c r="B333" s="0" t="str">
        <f>IFERROR(__xludf.DUMMYFUNCTION("""COMPUTED_VALUE"""),"SetClosingPreference")</f>
        <v>SetClosingPreference</v>
      </c>
      <c r="C333" s="0" t="str">
        <f>IFERROR(__xludf.DUMMYFUNCTION("""COMPUTED_VALUE"""),"1cplMQV_xOYFJ8djnU96c9xg2GdJ6on6353kFnCvM4ig")</f>
        <v>1cplMQV_xOYFJ8djnU96c9xg2GdJ6on6353kFnCvM4ig</v>
      </c>
    </row>
    <row r="334" ht="15.75" customHeight="1">
      <c r="A334" s="0" t="str">
        <f>IFERROR(__xludf.DUMMYFUNCTION("""COMPUTED_VALUE"""),"CreateTransaction")</f>
        <v>CreateTransaction</v>
      </c>
      <c r="B334" s="0" t="str">
        <f>IFERROR(__xludf.DUMMYFUNCTION("""COMPUTED_VALUE"""),"SaveTransaction")</f>
        <v>SaveTransaction</v>
      </c>
      <c r="C334" s="0" t="str">
        <f>IFERROR(__xludf.DUMMYFUNCTION("""COMPUTED_VALUE"""),"Undefined")</f>
        <v>Undefined</v>
      </c>
    </row>
    <row r="335" ht="15.75" customHeight="1">
      <c r="A335" s="0" t="str">
        <f>IFERROR(__xludf.DUMMYFUNCTION("""COMPUTED_VALUE"""),"Allocation")</f>
        <v>Allocation</v>
      </c>
      <c r="B335" s="0" t="str">
        <f>IFERROR(__xludf.DUMMYFUNCTION("""COMPUTED_VALUE"""),"EditUnallocatedGrid")</f>
        <v>EditUnallocatedGrid</v>
      </c>
      <c r="C335" s="0" t="str">
        <f>IFERROR(__xludf.DUMMYFUNCTION("""COMPUTED_VALUE"""),"1ZILedE8lKyjaVDMMusXelzpLvtoQCjqNJqFoXOUTp4I")</f>
        <v>1ZILedE8lKyjaVDMMusXelzpLvtoQCjqNJqFoXOUTp4I</v>
      </c>
    </row>
    <row r="336" ht="15.75" customHeight="1">
      <c r="A336" s="0" t="str">
        <f>IFERROR(__xludf.DUMMYFUNCTION("""COMPUTED_VALUE"""),"Allocation")</f>
        <v>Allocation</v>
      </c>
      <c r="B336" s="0" t="str">
        <f>IFERROR(__xludf.DUMMYFUNCTION("""COMPUTED_VALUE"""),"EditAllocatedGrid")</f>
        <v>EditAllocatedGrid</v>
      </c>
      <c r="C336" s="0" t="str">
        <f>IFERROR(__xludf.DUMMYFUNCTION("""COMPUTED_VALUE"""),"19QWlDxD5eijFqhVbgkdX7QOLXkQ9taESRekiHpQgMcU")</f>
        <v>19QWlDxD5eijFqhVbgkdX7QOLXkQ9taESRekiHpQgMcU</v>
      </c>
    </row>
    <row r="337" ht="15.75" customHeight="1">
      <c r="A337" s="0" t="str">
        <f>IFERROR(__xludf.DUMMYFUNCTION("""COMPUTED_VALUE"""),"PTT")</f>
        <v>PTT</v>
      </c>
      <c r="B337" s="0" t="str">
        <f>IFERROR(__xludf.DUMMYFUNCTION("""COMPUTED_VALUE"""),"SetPTTPreference")</f>
        <v>SetPTTPreference</v>
      </c>
      <c r="C337" s="0" t="str">
        <f>IFERROR(__xludf.DUMMYFUNCTION("""COMPUTED_VALUE"""),"1Baqp1iuVr1x4qDwfwIaTJvW6VzT4ZWfbjwZ_EWPzpzY")</f>
        <v>1Baqp1iuVr1x4qDwfwIaTJvW6VzT4ZWfbjwZ_EWPzpzY</v>
      </c>
    </row>
    <row r="338" ht="15.75" customHeight="1">
      <c r="A338" s="0" t="str">
        <f>IFERROR(__xludf.DUMMYFUNCTION("""COMPUTED_VALUE"""),"PTT")</f>
        <v>PTT</v>
      </c>
      <c r="B338" s="0" t="str">
        <f>IFERROR(__xludf.DUMMYFUNCTION("""COMPUTED_VALUE"""),"SetLongShortPTTPreference")</f>
        <v>SetLongShortPTTPreference</v>
      </c>
      <c r="C338" s="0" t="str">
        <f>IFERROR(__xludf.DUMMYFUNCTION("""COMPUTED_VALUE"""),"1_lCMnn8iZS0bQEHszxmzf23ats0dIWEEckwO9fjPCeE")</f>
        <v>1_lCMnn8iZS0bQEHszxmzf23ats0dIWEEckwO9fjPCeE</v>
      </c>
    </row>
    <row r="339" ht="15.75" customHeight="1">
      <c r="A339" s="0" t="str">
        <f>IFERROR(__xludf.DUMMYFUNCTION("""COMPUTED_VALUE"""),"TradingTicket")</f>
        <v>TradingTicket</v>
      </c>
      <c r="B339" s="0" t="str">
        <f>IFERROR(__xludf.DUMMYFUNCTION("""COMPUTED_VALUE"""),"VerifyTT")</f>
        <v>VerifyTT</v>
      </c>
      <c r="C339" s="0" t="str">
        <f>IFERROR(__xludf.DUMMYFUNCTION("""COMPUTED_VALUE"""),"13oTZo0AjsgJNWyNhqVmwouwYywOEGfdiPe94wMNxXqo")</f>
        <v>13oTZo0AjsgJNWyNhqVmwouwYywOEGfdiPe94wMNxXqo</v>
      </c>
    </row>
    <row r="340" ht="15.75" customHeight="1">
      <c r="A340" s="0" t="str">
        <f>IFERROR(__xludf.DUMMYFUNCTION("""COMPUTED_VALUE"""),"Allocation")</f>
        <v>Allocation</v>
      </c>
      <c r="B340" s="0" t="str">
        <f>IFERROR(__xludf.DUMMYFUNCTION("""COMPUTED_VALUE"""),"SaveLayoutAllocatedGrid")</f>
        <v>SaveLayoutAllocatedGrid</v>
      </c>
      <c r="C340" s="0" t="str">
        <f>IFERROR(__xludf.DUMMYFUNCTION("""COMPUTED_VALUE"""),"1rucb3CcDlDDXwMhjXDHQWofStRKKouzl7PSb2_F37FA")</f>
        <v>1rucb3CcDlDDXwMhjXDHQWofStRKKouzl7PSb2_F37FA</v>
      </c>
    </row>
    <row r="341" ht="15.75" customHeight="1">
      <c r="A341" s="0" t="str">
        <f>IFERROR(__xludf.DUMMYFUNCTION("""COMPUTED_VALUE"""),"Allocation")</f>
        <v>Allocation</v>
      </c>
      <c r="B341" s="0" t="str">
        <f>IFERROR(__xludf.DUMMYFUNCTION("""COMPUTED_VALUE"""),"SaveLayoutUnallocatedGrid")</f>
        <v>SaveLayoutUnallocatedGrid</v>
      </c>
      <c r="C341" s="0" t="str">
        <f>IFERROR(__xludf.DUMMYFUNCTION("""COMPUTED_VALUE"""),"1dixy47vGD4ZYjt9U_ih3BSiZbzPzvIDLtlafZIpeyC4")</f>
        <v>1dixy47vGD4ZYjt9U_ih3BSiZbzPzvIDLtlafZIpeyC4</v>
      </c>
    </row>
    <row r="342" ht="15.75" customHeight="1">
      <c r="A342" s="0" t="str">
        <f>IFERROR(__xludf.DUMMYFUNCTION("""COMPUTED_VALUE"""),"Allocation")</f>
        <v>Allocation</v>
      </c>
      <c r="B342" s="0" t="str">
        <f>IFERROR(__xludf.DUMMYFUNCTION("""COMPUTED_VALUE"""),"SaveLayoutAllocationUI")</f>
        <v>SaveLayoutAllocationUI</v>
      </c>
      <c r="C342" s="0" t="str">
        <f>IFERROR(__xludf.DUMMYFUNCTION("""COMPUTED_VALUE"""),"1S-6rMK11n-3mFrONpo_U4rlR4O69j6bQAGuGNcrrS6A")</f>
        <v>1S-6rMK11n-3mFrONpo_U4rlR4O69j6bQAGuGNcrrS6A</v>
      </c>
    </row>
    <row r="343" ht="15.75" customHeight="1">
      <c r="A343" s="0" t="str">
        <f>IFERROR(__xludf.DUMMYFUNCTION("""COMPUTED_VALUE"""),"Allocation")</f>
        <v>Allocation</v>
      </c>
      <c r="B343" s="0" t="str">
        <f>IFERROR(__xludf.DUMMYFUNCTION("""COMPUTED_VALUE"""),"ClearFiltersAllocatedGrid")</f>
        <v>ClearFiltersAllocatedGrid</v>
      </c>
      <c r="C343" s="0" t="str">
        <f>IFERROR(__xludf.DUMMYFUNCTION("""COMPUTED_VALUE"""),"Undefined")</f>
        <v>Undefined</v>
      </c>
    </row>
    <row r="344" ht="15.75" customHeight="1">
      <c r="A344" s="0" t="str">
        <f>IFERROR(__xludf.DUMMYFUNCTION("""COMPUTED_VALUE"""),"Allocation")</f>
        <v>Allocation</v>
      </c>
      <c r="B344" s="0" t="str">
        <f>IFERROR(__xludf.DUMMYFUNCTION("""COMPUTED_VALUE"""),"ClearFiltersUnallocatedGrid")</f>
        <v>ClearFiltersUnallocatedGrid</v>
      </c>
      <c r="C344" s="0" t="str">
        <f>IFERROR(__xludf.DUMMYFUNCTION("""COMPUTED_VALUE"""),"Undefined")</f>
        <v>Undefined</v>
      </c>
    </row>
    <row r="345" ht="15.75" customHeight="1">
      <c r="A345" s="0" t="str">
        <f>IFERROR(__xludf.DUMMYFUNCTION("""COMPUTED_VALUE"""),"Allocation")</f>
        <v>Allocation</v>
      </c>
      <c r="B345" s="0" t="str">
        <f>IFERROR(__xludf.DUMMYFUNCTION("""COMPUTED_VALUE"""),"VerifyLayoutAllocatedGrid")</f>
        <v>VerifyLayoutAllocatedGrid</v>
      </c>
      <c r="C345" s="0" t="str">
        <f>IFERROR(__xludf.DUMMYFUNCTION("""COMPUTED_VALUE"""),"11nzl66L5rtvJi9vTz487iVKURd3BfoYcknfycWFT-fU")</f>
        <v>11nzl66L5rtvJi9vTz487iVKURd3BfoYcknfycWFT-fU</v>
      </c>
    </row>
    <row r="346" ht="15.75" customHeight="1">
      <c r="A346" s="0" t="str">
        <f>IFERROR(__xludf.DUMMYFUNCTION("""COMPUTED_VALUE"""),"Allocation")</f>
        <v>Allocation</v>
      </c>
      <c r="B346" s="0" t="str">
        <f>IFERROR(__xludf.DUMMYFUNCTION("""COMPUTED_VALUE"""),"VerifyLayoutUnallocatedGrid")</f>
        <v>VerifyLayoutUnallocatedGrid</v>
      </c>
      <c r="C346" s="0" t="str">
        <f>IFERROR(__xludf.DUMMYFUNCTION("""COMPUTED_VALUE"""),"1dD8vrEBSx_3diJl50IJ7yG6cl8wP386vXzl21YBIEPg")</f>
        <v>1dD8vrEBSx_3diJl50IJ7yG6cl8wP386vXzl21YBIEPg</v>
      </c>
    </row>
    <row r="347" ht="15.75" customHeight="1">
      <c r="A347" s="0" t="str">
        <f>IFERROR(__xludf.DUMMYFUNCTION("""COMPUTED_VALUE"""),"DailyValuation")</f>
        <v>DailyValuation</v>
      </c>
      <c r="B347" s="0" t="str">
        <f>IFERROR(__xludf.DUMMYFUNCTION("""COMPUTED_VALUE"""),"UpdateForexConversionMonthly")</f>
        <v>UpdateForexConversionMonthly</v>
      </c>
      <c r="C347" s="0" t="str">
        <f>IFERROR(__xludf.DUMMYFUNCTION("""COMPUTED_VALUE"""),"1MCpJWwFXEogB1VlqUXy1Ww954nX83LPwb4Qy6-fZMp8")</f>
        <v>1MCpJWwFXEogB1VlqUXy1Ww954nX83LPwb4Qy6-fZMp8</v>
      </c>
    </row>
    <row r="348" ht="15.75" customHeight="1">
      <c r="A348" s="0" t="str">
        <f>IFERROR(__xludf.DUMMYFUNCTION("""COMPUTED_VALUE"""),"GeneralLedger")</f>
        <v>GeneralLedger</v>
      </c>
      <c r="B348" s="0" t="str">
        <f>IFERROR(__xludf.DUMMYFUNCTION("""COMPUTED_VALUE"""),"SaveTransaction")</f>
        <v>SaveTransaction</v>
      </c>
      <c r="C348" s="0" t="str">
        <f>IFERROR(__xludf.DUMMYFUNCTION("""COMPUTED_VALUE"""),"Undefined")</f>
        <v>Undefined</v>
      </c>
    </row>
    <row r="349" ht="15.75" customHeight="1">
      <c r="A349" s="0" t="str">
        <f>IFERROR(__xludf.DUMMYFUNCTION("""COMPUTED_VALUE"""),"DailyValuation")</f>
        <v>DailyValuation</v>
      </c>
      <c r="B349" s="0" t="str">
        <f>IFERROR(__xludf.DUMMYFUNCTION("""COMPUTED_VALUE"""),"UpdateMarkPriceMonthly")</f>
        <v>UpdateMarkPriceMonthly</v>
      </c>
      <c r="C349" s="0" t="str">
        <f>IFERROR(__xludf.DUMMYFUNCTION("""COMPUTED_VALUE"""),"1gKeBaYxaZTHXY5r3gp7mJKZhpLEFv3B0eTcgmwO2faY")</f>
        <v>1gKeBaYxaZTHXY5r3gp7mJKZhpLEFv3B0eTcgmwO2faY</v>
      </c>
    </row>
    <row r="350" ht="15.75" customHeight="1">
      <c r="A350" s="0" t="str">
        <f>IFERROR(__xludf.DUMMYFUNCTION("""COMPUTED_VALUE"""),"Allocation")</f>
        <v>Allocation</v>
      </c>
      <c r="B350" s="0" t="str">
        <f>IFERROR(__xludf.DUMMYFUNCTION("""COMPUTED_VALUE"""),"CleanUp")</f>
        <v>CleanUp</v>
      </c>
      <c r="C350" s="0" t="str">
        <f>IFERROR(__xludf.DUMMYFUNCTION("""COMPUTED_VALUE"""),"1gjchR0Aowyhj6YMJ5EMxZmG6NvilqGkSR93seXN-MEo")</f>
        <v>1gjchR0Aowyhj6YMJ5EMxZmG6NvilqGkSR93seXN-MEo</v>
      </c>
    </row>
    <row r="351" ht="15.75" customHeight="1">
      <c r="A351" s="0" t="str">
        <f>IFERROR(__xludf.DUMMYFUNCTION("""COMPUTED_VALUE"""),"Allocation")</f>
        <v>Allocation</v>
      </c>
      <c r="B351" s="0" t="str">
        <f>IFERROR(__xludf.DUMMYFUNCTION("""COMPUTED_VALUE"""),"CheckAllocatedTaxlots")</f>
        <v>CheckAllocatedTaxlots</v>
      </c>
      <c r="C351" s="0" t="str">
        <f>IFERROR(__xludf.DUMMYFUNCTION("""COMPUTED_VALUE"""),"1v_Yhw10id_6Cs6P4bR6iDeu8RDRjtyjgz19lxjEw6Ng")</f>
        <v>1v_Yhw10id_6Cs6P4bR6iDeu8RDRjtyjgz19lxjEw6Ng</v>
      </c>
    </row>
    <row r="352" ht="15.75" customHeight="1">
      <c r="A352" s="0" t="str">
        <f>IFERROR(__xludf.DUMMYFUNCTION("""COMPUTED_VALUE"""),"Closing")</f>
        <v>Closing</v>
      </c>
      <c r="B352" s="0" t="str">
        <f>IFERROR(__xludf.DUMMYFUNCTION("""COMPUTED_VALUE"""),"EditTradeUnexpiredUnsettled")</f>
        <v>EditTradeUnexpiredUnsettled</v>
      </c>
      <c r="C352" s="0" t="str">
        <f>IFERROR(__xludf.DUMMYFUNCTION("""COMPUTED_VALUE"""),"1Mk2JLd9CmSbDVOmTJu58VWjrwhxNKoopJHemupq4qBs")</f>
        <v>1Mk2JLd9CmSbDVOmTJu58VWjrwhxNKoopJHemupq4qBs</v>
      </c>
    </row>
    <row r="353" ht="15.75" customHeight="1">
      <c r="A353" s="0" t="str">
        <f>IFERROR(__xludf.DUMMYFUNCTION("""COMPUTED_VALUE"""),"ThirdParty")</f>
        <v>ThirdParty</v>
      </c>
      <c r="B353" s="0" t="str">
        <f>IFERROR(__xludf.DUMMYFUNCTION("""COMPUTED_VALUE"""),"VerifyThirdPartyView")</f>
        <v>VerifyThirdPartyView</v>
      </c>
      <c r="C353" s="0" t="str">
        <f>IFERROR(__xludf.DUMMYFUNCTION("""COMPUTED_VALUE"""),"118wRv0r1kNYT6nexs-UFGKd_eWq769gwdBDpcAfrJMc")</f>
        <v>118wRv0r1kNYT6nexs-UFGKd_eWq769gwdBDpcAfrJMc</v>
      </c>
    </row>
    <row r="354" ht="15.75" customHeight="1">
      <c r="A354" s="0" t="str">
        <f>IFERROR(__xludf.DUMMYFUNCTION("""COMPUTED_VALUE"""),"Compliance")</f>
        <v>Compliance</v>
      </c>
      <c r="B354" s="0" t="str">
        <f>IFERROR(__xludf.DUMMYFUNCTION("""COMPUTED_VALUE"""),"CheckCompliance")</f>
        <v>CheckCompliance</v>
      </c>
      <c r="C354" s="0" t="str">
        <f>IFERROR(__xludf.DUMMYFUNCTION("""COMPUTED_VALUE"""),"1SsqNYuLQYnAQojY1ScqgFlAVNPt1c0Du5CgtRfS4XTs")</f>
        <v>1SsqNYuLQYnAQojY1ScqgFlAVNPt1c0Du5CgtRfS4XTs</v>
      </c>
    </row>
    <row r="355" ht="15.75" customHeight="1">
      <c r="A355" s="0" t="str">
        <f>IFERROR(__xludf.DUMMYFUNCTION("""COMPUTED_VALUE"""),"Compliance")</f>
        <v>Compliance</v>
      </c>
      <c r="B355" s="0" t="str">
        <f>IFERROR(__xludf.DUMMYFUNCTION("""COMPUTED_VALUE"""),"VerifyAccountDivisorWindow")</f>
        <v>VerifyAccountDivisorWindow</v>
      </c>
      <c r="C355" s="0" t="str">
        <f>IFERROR(__xludf.DUMMYFUNCTION("""COMPUTED_VALUE"""),"1nWJ7MmdctU6UHdtDMBx4cO0Za1AVHgWqATvU2HaIrN0")</f>
        <v>1nWJ7MmdctU6UHdtDMBx4cO0Za1AVHgWqATvU2HaIrN0</v>
      </c>
    </row>
    <row r="356" ht="15.75" customHeight="1">
      <c r="A356" s="0" t="str">
        <f>IFERROR(__xludf.DUMMYFUNCTION("""COMPUTED_VALUE"""),"Compliance")</f>
        <v>Compliance</v>
      </c>
      <c r="B356" s="0" t="str">
        <f>IFERROR(__xludf.DUMMYFUNCTION("""COMPUTED_VALUE"""),"VerifyAccountSymbolDivisorWindow")</f>
        <v>VerifyAccountSymbolDivisorWindow</v>
      </c>
      <c r="C356" s="0" t="str">
        <f>IFERROR(__xludf.DUMMYFUNCTION("""COMPUTED_VALUE"""),"1XEkR9NvAEC2bh6wfHaqLzZiNwp5p6N_DuThzwLCpi_k")</f>
        <v>1XEkR9NvAEC2bh6wfHaqLzZiNwp5p6N_DuThzwLCpi_k</v>
      </c>
    </row>
    <row r="357" ht="15.75" customHeight="1">
      <c r="A357" s="0" t="str">
        <f>IFERROR(__xludf.DUMMYFUNCTION("""COMPUTED_VALUE"""),"Compliance")</f>
        <v>Compliance</v>
      </c>
      <c r="B357" s="0" t="str">
        <f>IFERROR(__xludf.DUMMYFUNCTION("""COMPUTED_VALUE"""),"VerifyAggregationAccountSymbolWithNav")</f>
        <v>VerifyAggregationAccountSymbolWithNav</v>
      </c>
      <c r="C357" s="0" t="str">
        <f>IFERROR(__xludf.DUMMYFUNCTION("""COMPUTED_VALUE"""),"1wa6cXAbpdMTz-hsF4yUayu1Tnpnl9Kbq__2Vi33WjNM")</f>
        <v>1wa6cXAbpdMTz-hsF4yUayu1Tnpnl9Kbq__2Vi33WjNM</v>
      </c>
    </row>
    <row r="358" ht="15.75" customHeight="1">
      <c r="A358" s="0" t="str">
        <f>IFERROR(__xludf.DUMMYFUNCTION("""COMPUTED_VALUE"""),"Compliance")</f>
        <v>Compliance</v>
      </c>
      <c r="B358" s="0" t="str">
        <f>IFERROR(__xludf.DUMMYFUNCTION("""COMPUTED_VALUE"""),"VerifyAggregationAccountWithNav")</f>
        <v>VerifyAggregationAccountWithNav</v>
      </c>
      <c r="C358" s="0" t="str">
        <f>IFERROR(__xludf.DUMMYFUNCTION("""COMPUTED_VALUE"""),"1_rVRnADrf7Ggj_HNj9UdEOl7VoPKVA5LDHVnB3Llwac")</f>
        <v>1_rVRnADrf7Ggj_HNj9UdEOl7VoPKVA5LDHVnB3Llwac</v>
      </c>
    </row>
    <row r="359" ht="15.75" customHeight="1">
      <c r="A359" s="0" t="str">
        <f>IFERROR(__xludf.DUMMYFUNCTION("""COMPUTED_VALUE"""),"Compliance")</f>
        <v>Compliance</v>
      </c>
      <c r="B359" s="0" t="str">
        <f>IFERROR(__xludf.DUMMYFUNCTION("""COMPUTED_VALUE"""),"VerifyAggregationMasterFundSymbolWithNav")</f>
        <v>VerifyAggregationMasterFundSymbolWithNav</v>
      </c>
      <c r="C359" s="0" t="str">
        <f>IFERROR(__xludf.DUMMYFUNCTION("""COMPUTED_VALUE"""),"1v9DEhh9RUUR50m2cY_9XHSOZSpjev0D_FC7YxL6Dx-M")</f>
        <v>1v9DEhh9RUUR50m2cY_9XHSOZSpjev0D_FC7YxL6Dx-M</v>
      </c>
    </row>
    <row r="360" ht="15.75" customHeight="1">
      <c r="A360" s="0" t="str">
        <f>IFERROR(__xludf.DUMMYFUNCTION("""COMPUTED_VALUE"""),"Compliance")</f>
        <v>Compliance</v>
      </c>
      <c r="B360" s="0" t="str">
        <f>IFERROR(__xludf.DUMMYFUNCTION("""COMPUTED_VALUE"""),"VerifyAggregationMasterFundUnderlyingSymbolWithNav")</f>
        <v>VerifyAggregationMasterFundUnderlyingSymbolWithNav</v>
      </c>
      <c r="C360" s="0" t="str">
        <f>IFERROR(__xludf.DUMMYFUNCTION("""COMPUTED_VALUE"""),"1_l1dXRaSvBu8xSpL_0LuTGDpZT2uwv7HrTTqPpX1zh0")</f>
        <v>1_l1dXRaSvBu8xSpL_0LuTGDpZT2uwv7HrTTqPpX1zh0</v>
      </c>
    </row>
    <row r="361" ht="15.75" customHeight="1">
      <c r="A361" s="0" t="str">
        <f>IFERROR(__xludf.DUMMYFUNCTION("""COMPUTED_VALUE"""),"Compliance")</f>
        <v>Compliance</v>
      </c>
      <c r="B361" s="0" t="str">
        <f>IFERROR(__xludf.DUMMYFUNCTION("""COMPUTED_VALUE"""),"VerifyAggregationMasterFundWithNav")</f>
        <v>VerifyAggregationMasterFundWithNav</v>
      </c>
      <c r="C361" s="0" t="str">
        <f>IFERROR(__xludf.DUMMYFUNCTION("""COMPUTED_VALUE"""),"1bukvmw7uDn5EWU749u99t380wnpilFiwB3NEfjqNUko")</f>
        <v>1bukvmw7uDn5EWU749u99t380wnpilFiwB3NEfjqNUko</v>
      </c>
    </row>
    <row r="362" ht="15.75" customHeight="1">
      <c r="A362" s="0" t="str">
        <f>IFERROR(__xludf.DUMMYFUNCTION("""COMPUTED_VALUE"""),"Compliance")</f>
        <v>Compliance</v>
      </c>
      <c r="B362" s="0" t="str">
        <f>IFERROR(__xludf.DUMMYFUNCTION("""COMPUTED_VALUE"""),"VerifyAggregationSectorWithNav")</f>
        <v>VerifyAggregationSectorWithNav</v>
      </c>
      <c r="C362" s="0" t="str">
        <f>IFERROR(__xludf.DUMMYFUNCTION("""COMPUTED_VALUE"""),"1Fv-QPc8yv7ZaNdT1FlDCX7eIaQQMAYX7KS5-P986RCQ")</f>
        <v>1Fv-QPc8yv7ZaNdT1FlDCX7eIaQQMAYX7KS5-P986RCQ</v>
      </c>
    </row>
    <row r="363" ht="15.75" customHeight="1">
      <c r="A363" s="0" t="str">
        <f>IFERROR(__xludf.DUMMYFUNCTION("""COMPUTED_VALUE"""),"Compliance")</f>
        <v>Compliance</v>
      </c>
      <c r="B363" s="0" t="str">
        <f>IFERROR(__xludf.DUMMYFUNCTION("""COMPUTED_VALUE"""),"VerifyAggregationUnderlyingSymbolWithNav")</f>
        <v>VerifyAggregationUnderlyingSymbolWithNav</v>
      </c>
      <c r="C363" s="0" t="str">
        <f>IFERROR(__xludf.DUMMYFUNCTION("""COMPUTED_VALUE"""),"1lb3zBRstb1VKpx0rM4A2DDz_IQHBTzL0OUyXXa4H2AU")</f>
        <v>1lb3zBRstb1VKpx0rM4A2DDz_IQHBTzL0OUyXXa4H2AU</v>
      </c>
    </row>
    <row r="364" ht="15.75" customHeight="1">
      <c r="A364" s="0" t="str">
        <f>IFERROR(__xludf.DUMMYFUNCTION("""COMPUTED_VALUE"""),"Compliance")</f>
        <v>Compliance</v>
      </c>
      <c r="B364" s="0" t="str">
        <f>IFERROR(__xludf.DUMMYFUNCTION("""COMPUTED_VALUE"""),"VerifyAuecWindow")</f>
        <v>VerifyAuecWindow</v>
      </c>
      <c r="C364" s="0" t="str">
        <f>IFERROR(__xludf.DUMMYFUNCTION("""COMPUTED_VALUE"""),"1EhWPzRJ5WEwpWzc-SX3LVcLgYlPDIKzkNS-LD2bNahk")</f>
        <v>1EhWPzRJ5WEwpWzc-SX3LVcLgYlPDIKzkNS-LD2bNahk</v>
      </c>
    </row>
    <row r="365" ht="15.75" customHeight="1">
      <c r="A365" s="0" t="str">
        <f>IFERROR(__xludf.DUMMYFUNCTION("""COMPUTED_VALUE"""),"Compliance")</f>
        <v>Compliance</v>
      </c>
      <c r="B365" s="0" t="str">
        <f>IFERROR(__xludf.DUMMYFUNCTION("""COMPUTED_VALUE"""),"VerifyBetaWindow")</f>
        <v>VerifyBetaWindow</v>
      </c>
      <c r="C365" s="0" t="str">
        <f>IFERROR(__xludf.DUMMYFUNCTION("""COMPUTED_VALUE"""),"1vnD8kKYEQArpqSXLRpqKdW0bWfXfMAye26LmcRtOGI4")</f>
        <v>1vnD8kKYEQArpqSXLRpqKdW0bWfXfMAye26LmcRtOGI4</v>
      </c>
    </row>
    <row r="366" ht="15.75" customHeight="1">
      <c r="A366" s="0" t="str">
        <f>IFERROR(__xludf.DUMMYFUNCTION("""COMPUTED_VALUE"""),"Compliance")</f>
        <v>Compliance</v>
      </c>
      <c r="B366" s="0" t="str">
        <f>IFERROR(__xludf.DUMMYFUNCTION("""COMPUTED_VALUE"""),"VerifyCustomSymbolDataWindow")</f>
        <v>VerifyCustomSymbolDataWindow</v>
      </c>
      <c r="C366" s="0" t="str">
        <f>IFERROR(__xludf.DUMMYFUNCTION("""COMPUTED_VALUE"""),"1xency978Yhb2ZeNxG-Gp8xcJ8QjKX9kP348vEmQ2gwA")</f>
        <v>1xency978Yhb2ZeNxG-Gp8xcJ8QjKX9kP348vEmQ2gwA</v>
      </c>
    </row>
    <row r="367" ht="15.75" customHeight="1">
      <c r="A367" s="0" t="str">
        <f>IFERROR(__xludf.DUMMYFUNCTION("""COMPUTED_VALUE"""),"Compliance")</f>
        <v>Compliance</v>
      </c>
      <c r="B367" s="0" t="str">
        <f>IFERROR(__xludf.DUMMYFUNCTION("""COMPUTED_VALUE"""),"VerifyDayEndCashAccountWindow")</f>
        <v>VerifyDayEndCashAccountWindow</v>
      </c>
      <c r="C367" s="0" t="str">
        <f>IFERROR(__xludf.DUMMYFUNCTION("""COMPUTED_VALUE"""),"1qPMFAgMRzEYcCWAk5IayLOH_U1htslpfkeJMVPWbpLQ")</f>
        <v>1qPMFAgMRzEYcCWAk5IayLOH_U1htslpfkeJMVPWbpLQ</v>
      </c>
    </row>
    <row r="368" ht="15.75" customHeight="1">
      <c r="A368" s="0" t="str">
        <f>IFERROR(__xludf.DUMMYFUNCTION("""COMPUTED_VALUE"""),"Compliance")</f>
        <v>Compliance</v>
      </c>
      <c r="B368" s="0" t="str">
        <f>IFERROR(__xludf.DUMMYFUNCTION("""COMPUTED_VALUE"""),"VerifyDbNavWindow")</f>
        <v>VerifyDbNavWindow</v>
      </c>
      <c r="C368" s="0" t="str">
        <f>IFERROR(__xludf.DUMMYFUNCTION("""COMPUTED_VALUE"""),"1KIH7eWcCPPCZqRVbqOvdvQQatjP_INfvJUbzjGTz7fE")</f>
        <v>1KIH7eWcCPPCZqRVbqOvdvQQatjP_INfvJUbzjGTz7fE</v>
      </c>
    </row>
    <row r="369" ht="15.75" customHeight="1">
      <c r="A369" s="0" t="str">
        <f>IFERROR(__xludf.DUMMYFUNCTION("""COMPUTED_VALUE"""),"Compliance")</f>
        <v>Compliance</v>
      </c>
      <c r="B369" s="0" t="str">
        <f>IFERROR(__xludf.DUMMYFUNCTION("""COMPUTED_VALUE"""),"VerifyGlobalDivisorWindow")</f>
        <v>VerifyGlobalDivisorWindow</v>
      </c>
      <c r="C369" s="0" t="str">
        <f>IFERROR(__xludf.DUMMYFUNCTION("""COMPUTED_VALUE"""),"11KuCDI7q37RrZjNhVRB_sRU4JrklHajDN-nvioCXIow")</f>
        <v>11KuCDI7q37RrZjNhVRB_sRU4JrklHajDN-nvioCXIow</v>
      </c>
    </row>
    <row r="370" ht="15.75" customHeight="1">
      <c r="A370" s="0" t="str">
        <f>IFERROR(__xludf.DUMMYFUNCTION("""COMPUTED_VALUE"""),"Compliance")</f>
        <v>Compliance</v>
      </c>
      <c r="B370" s="0" t="str">
        <f>IFERROR(__xludf.DUMMYFUNCTION("""COMPUTED_VALUE"""),"VerifyPmCalculationPreferenceWindow")</f>
        <v>VerifyPmCalculationPreferenceWindow</v>
      </c>
      <c r="C370" s="0" t="str">
        <f>IFERROR(__xludf.DUMMYFUNCTION("""COMPUTED_VALUE"""),"1tHuAZIaBkKFsAt4wQU_f2q5uJEGZ6DbWQnO08Rx4g5Y")</f>
        <v>1tHuAZIaBkKFsAt4wQU_f2q5uJEGZ6DbWQnO08Rx4g5Y</v>
      </c>
    </row>
    <row r="371" ht="15.75" customHeight="1">
      <c r="A371" s="0" t="str">
        <f>IFERROR(__xludf.DUMMYFUNCTION("""COMPUTED_VALUE"""),"Compliance")</f>
        <v>Compliance</v>
      </c>
      <c r="B371" s="0" t="str">
        <f>IFERROR(__xludf.DUMMYFUNCTION("""COMPUTED_VALUE"""),"VerifyRowCalculationBaseWindow")</f>
        <v>VerifyRowCalculationBaseWindow</v>
      </c>
      <c r="C371" s="0" t="str">
        <f>IFERROR(__xludf.DUMMYFUNCTION("""COMPUTED_VALUE"""),"1LloNg0BgixU9tpWx4HUT43bl1SpVE4381HnFlsajvaQ")</f>
        <v>1LloNg0BgixU9tpWx4HUT43bl1SpVE4381HnFlsajvaQ</v>
      </c>
    </row>
    <row r="372" ht="15.75" customHeight="1">
      <c r="A372" s="0" t="str">
        <f>IFERROR(__xludf.DUMMYFUNCTION("""COMPUTED_VALUE"""),"Compliance")</f>
        <v>Compliance</v>
      </c>
      <c r="B372" s="0" t="str">
        <f>IFERROR(__xludf.DUMMYFUNCTION("""COMPUTED_VALUE"""),"VerifySecurityWindow")</f>
        <v>VerifySecurityWindow</v>
      </c>
      <c r="C372" s="0" t="str">
        <f>IFERROR(__xludf.DUMMYFUNCTION("""COMPUTED_VALUE"""),"1C0AkzcituMMrkQqJg0M_n6cswWPjROFn0jqkTPCHfis")</f>
        <v>1C0AkzcituMMrkQqJg0M_n6cswWPjROFn0jqkTPCHfis</v>
      </c>
    </row>
    <row r="373" ht="15.75" customHeight="1">
      <c r="A373" s="0" t="str">
        <f>IFERROR(__xludf.DUMMYFUNCTION("""COMPUTED_VALUE"""),"Compliance")</f>
        <v>Compliance</v>
      </c>
      <c r="B373" s="0" t="str">
        <f>IFERROR(__xludf.DUMMYFUNCTION("""COMPUTED_VALUE"""),"VerifySymbolDataWindow")</f>
        <v>VerifySymbolDataWindow</v>
      </c>
      <c r="C373" s="0" t="str">
        <f>IFERROR(__xludf.DUMMYFUNCTION("""COMPUTED_VALUE"""),"1WOYWuhLyuq1ul6GF5dWAdvSkpKBaWmcsEY0pPRgeOWM")</f>
        <v>1WOYWuhLyuq1ul6GF5dWAdvSkpKBaWmcsEY0pPRgeOWM</v>
      </c>
    </row>
    <row r="374" ht="15.75" customHeight="1">
      <c r="A374" s="0" t="str">
        <f>IFERROR(__xludf.DUMMYFUNCTION("""COMPUTED_VALUE"""),"Compliance")</f>
        <v>Compliance</v>
      </c>
      <c r="B374" s="0" t="str">
        <f>IFERROR(__xludf.DUMMYFUNCTION("""COMPUTED_VALUE"""),"VerifySymbolDivisorWindow")</f>
        <v>VerifySymbolDivisorWindow</v>
      </c>
      <c r="C374" s="0" t="str">
        <f>IFERROR(__xludf.DUMMYFUNCTION("""COMPUTED_VALUE"""),"1e9Xd2rI7lHFWIFLmRoe5LtT9y4BSPW6sfCjWP0lcVso")</f>
        <v>1e9Xd2rI7lHFWIFLmRoe5LtT9y4BSPW6sfCjWP0lcVso</v>
      </c>
    </row>
    <row r="375" ht="15.75" customHeight="1">
      <c r="A375" s="0" t="str">
        <f>IFERROR(__xludf.DUMMYFUNCTION("""COMPUTED_VALUE"""),"Compliance")</f>
        <v>Compliance</v>
      </c>
      <c r="B375" s="0" t="str">
        <f>IFERROR(__xludf.DUMMYFUNCTION("""COMPUTED_VALUE"""),"VerifyTaxlotWindow")</f>
        <v>VerifyTaxlotWindow</v>
      </c>
      <c r="C375" s="0" t="str">
        <f>IFERROR(__xludf.DUMMYFUNCTION("""COMPUTED_VALUE"""),"1X0RghwSavvuWnxK9psKDA7-qI86K-IaBKRJ1fVYnJbY")</f>
        <v>1X0RghwSavvuWnxK9psKDA7-qI86K-IaBKRJ1fVYnJbY</v>
      </c>
    </row>
    <row r="376" ht="15.75" customHeight="1">
      <c r="A376" s="0" t="str">
        <f>IFERROR(__xludf.DUMMYFUNCTION("""COMPUTED_VALUE"""),"Compliance")</f>
        <v>Compliance</v>
      </c>
      <c r="B376" s="0" t="str">
        <f>IFERROR(__xludf.DUMMYFUNCTION("""COMPUTED_VALUE"""),"RestartEsper")</f>
        <v>RestartEsper</v>
      </c>
      <c r="C376" s="0" t="str">
        <f>IFERROR(__xludf.DUMMYFUNCTION("""COMPUTED_VALUE"""),"Undefined")</f>
        <v>Undefined</v>
      </c>
    </row>
    <row r="377" ht="15.75" customHeight="1">
      <c r="A377" s="0" t="str">
        <f>IFERROR(__xludf.DUMMYFUNCTION("""COMPUTED_VALUE"""),"Compliance")</f>
        <v>Compliance</v>
      </c>
      <c r="B377" s="0" t="str">
        <f>IFERROR(__xludf.DUMMYFUNCTION("""COMPUTED_VALUE"""),"VerifyAccountNavPreferenceWindow")</f>
        <v>VerifyAccountNavPreferenceWindow</v>
      </c>
      <c r="C377" s="0" t="str">
        <f>IFERROR(__xludf.DUMMYFUNCTION("""COMPUTED_VALUE"""),"1nlqDVTvG9tGHVZU_R5Kpe2ScGFiP2pODIjUgp62eOcg")</f>
        <v>1nlqDVTvG9tGHVZU_R5Kpe2ScGFiP2pODIjUgp62eOcg</v>
      </c>
    </row>
    <row r="378" ht="15.75" customHeight="1">
      <c r="A378" s="0" t="str">
        <f>IFERROR(__xludf.DUMMYFUNCTION("""COMPUTED_VALUE"""),"Compliance")</f>
        <v>Compliance</v>
      </c>
      <c r="B378" s="0" t="str">
        <f>IFERROR(__xludf.DUMMYFUNCTION("""COMPUTED_VALUE""")," VerifyAggregationAccountUnderlyingSymbolWithNav")</f>
        <v> VerifyAggregationAccountUnderlyingSymbolWithNav</v>
      </c>
      <c r="C378" s="0" t="str">
        <f>IFERROR(__xludf.DUMMYFUNCTION("""COMPUTED_VALUE"""),"1td6xh2jOVJ_tOP88gOQ7VzA7zC3W0ZUyud3q5jhH1eM")</f>
        <v>1td6xh2jOVJ_tOP88gOQ7VzA7zC3W0ZUyud3q5jhH1eM</v>
      </c>
    </row>
    <row r="379" ht="15.75" customHeight="1">
      <c r="A379" s="0" t="str">
        <f>IFERROR(__xludf.DUMMYFUNCTION("""COMPUTED_VALUE"""),"Compliance")</f>
        <v>Compliance</v>
      </c>
      <c r="B379" s="0" t="str">
        <f>IFERROR(__xludf.DUMMYFUNCTION("""COMPUTED_VALUE"""),"VerifyAggregationAssetWithNav")</f>
        <v>VerifyAggregationAssetWithNav</v>
      </c>
      <c r="C379" s="0" t="str">
        <f>IFERROR(__xludf.DUMMYFUNCTION("""COMPUTED_VALUE"""),"11IOPX3JerrbITJGj2KKdtGuSCn7wqoda4D14yJors8g")</f>
        <v>11IOPX3JerrbITJGj2KKdtGuSCn7wqoda4D14yJors8g</v>
      </c>
    </row>
    <row r="380" ht="15.75" customHeight="1">
      <c r="A380" s="0" t="str">
        <f>IFERROR(__xludf.DUMMYFUNCTION("""COMPUTED_VALUE"""),"Compliance")</f>
        <v>Compliance</v>
      </c>
      <c r="B380" s="0" t="str">
        <f>IFERROR(__xludf.DUMMYFUNCTION("""COMPUTED_VALUE"""),"VerifyAggregationSymbolWithNav")</f>
        <v>VerifyAggregationSymbolWithNav</v>
      </c>
      <c r="C380" s="0" t="str">
        <f>IFERROR(__xludf.DUMMYFUNCTION("""COMPUTED_VALUE"""),"10pZ09xnUx2pqa5QZzEljxvSOWUoO4MpFFlj3IgHixAY")</f>
        <v>10pZ09xnUx2pqa5QZzEljxvSOWUoO4MpFFlj3IgHixAY</v>
      </c>
    </row>
    <row r="381" ht="15.75" customHeight="1">
      <c r="A381" s="0" t="str">
        <f>IFERROR(__xludf.DUMMYFUNCTION("""COMPUTED_VALUE"""),"Compliance")</f>
        <v>Compliance</v>
      </c>
      <c r="B381" s="0" t="str">
        <f>IFERROR(__xludf.DUMMYFUNCTION("""COMPUTED_VALUE"""),"VerifyAggregationSubSectorWithNav")</f>
        <v>VerifyAggregationSubSectorWithNav</v>
      </c>
      <c r="C381" s="0" t="str">
        <f>IFERROR(__xludf.DUMMYFUNCTION("""COMPUTED_VALUE"""),"1lLMwkGATnotz4Fwa-o2i_-buFLFRD1fPDjBRCRge2g8")</f>
        <v>1lLMwkGATnotz4Fwa-o2i_-buFLFRD1fPDjBRCRge2g8</v>
      </c>
    </row>
    <row r="382" ht="15.75" customHeight="1">
      <c r="A382" s="0" t="str">
        <f>IFERROR(__xludf.DUMMYFUNCTION("""COMPUTED_VALUE"""),"Compliance")</f>
        <v>Compliance</v>
      </c>
      <c r="B382" s="0" t="str">
        <f>IFERROR(__xludf.DUMMYFUNCTION("""COMPUTED_VALUE"""),"VerifyAggregationGlobalWithNav")</f>
        <v>VerifyAggregationGlobalWithNav</v>
      </c>
      <c r="C382" s="0" t="str">
        <f>IFERROR(__xludf.DUMMYFUNCTION("""COMPUTED_VALUE"""),"1AvL03tSx1mQR9FO4i7ta-0KC1RPfLKkELFYsFU7pHz0")</f>
        <v>1AvL03tSx1mQR9FO4i7ta-0KC1RPfLKkELFYsFU7pHz0</v>
      </c>
    </row>
    <row r="383" ht="15.75" customHeight="1">
      <c r="A383" s="0" t="str">
        <f>IFERROR(__xludf.DUMMYFUNCTION("""COMPUTED_VALUE"""),"Compliance")</f>
        <v>Compliance</v>
      </c>
      <c r="B383" s="0" t="str">
        <f>IFERROR(__xludf.DUMMYFUNCTION("""COMPUTED_VALUE""")," VerifyAggregationGlobalWithNav")</f>
        <v> VerifyAggregationGlobalWithNav</v>
      </c>
      <c r="C383" s="0" t="str">
        <f>IFERROR(__xludf.DUMMYFUNCTION("""COMPUTED_VALUE"""),"1AvL03tSx1mQR9FO4i7ta-0KC1RPfLKkELFYsFU7pHz0")</f>
        <v>1AvL03tSx1mQR9FO4i7ta-0KC1RPfLKkELFYsFU7pHz0</v>
      </c>
    </row>
    <row r="384" ht="15.75" customHeight="1">
      <c r="A384" s="0" t="str">
        <f>IFERROR(__xludf.DUMMYFUNCTION("""COMPUTED_VALUE"""),"Compliance")</f>
        <v>Compliance</v>
      </c>
      <c r="B384" s="0" t="str">
        <f>IFERROR(__xludf.DUMMYFUNCTION("""COMPUTED_VALUE"""),"VerifyGlobalDivisorWindow")</f>
        <v>VerifyGlobalDivisorWindow</v>
      </c>
      <c r="C384" s="0" t="str">
        <f>IFERROR(__xludf.DUMMYFUNCTION("""COMPUTED_VALUE"""),"11KuCDI7q37RrZjNhVRB_sRU4JrklHajDN-nvioCXIow")</f>
        <v>11KuCDI7q37RrZjNhVRB_sRU4JrklHajDN-nvioCXIow</v>
      </c>
    </row>
    <row r="385" ht="15.75" customHeight="1">
      <c r="A385" s="0" t="str">
        <f>IFERROR(__xludf.DUMMYFUNCTION("""COMPUTED_VALUE"""),"Compliance")</f>
        <v>Compliance</v>
      </c>
      <c r="B385" s="0" t="str">
        <f>IFERROR(__xludf.DUMMYFUNCTION("""COMPUTED_VALUE""")," VerifyAccrualForAccountWindow")</f>
        <v> VerifyAccrualForAccountWindow</v>
      </c>
      <c r="C385" s="0" t="str">
        <f>IFERROR(__xludf.DUMMYFUNCTION("""COMPUTED_VALUE"""),"1UibESJzXseK9_-c9HjMbuHTeklThYekhSZ72rmoM1T8")</f>
        <v>1UibESJzXseK9_-c9HjMbuHTeklThYekhSZ72rmoM1T8</v>
      </c>
    </row>
    <row r="386" ht="15.75" customHeight="1">
      <c r="A386" s="0" t="str">
        <f>IFERROR(__xludf.DUMMYFUNCTION("""COMPUTED_VALUE"""),"Compliance")</f>
        <v>Compliance</v>
      </c>
      <c r="B386" s="0" t="str">
        <f>IFERROR(__xludf.DUMMYFUNCTION("""COMPUTED_VALUE"""),"VerifyGlobalDivisorWindow")</f>
        <v>VerifyGlobalDivisorWindow</v>
      </c>
      <c r="C386" s="0" t="str">
        <f>IFERROR(__xludf.DUMMYFUNCTION("""COMPUTED_VALUE"""),"11KuCDI7q37RrZjNhVRB_sRU4JrklHajDN-nvioCXIow")</f>
        <v>11KuCDI7q37RrZjNhVRB_sRU4JrklHajDN-nvioCXIow</v>
      </c>
    </row>
    <row r="387" ht="15.75" customHeight="1">
      <c r="A387" s="0" t="str">
        <f>IFERROR(__xludf.DUMMYFUNCTION("""COMPUTED_VALUE"""),"Compliance")</f>
        <v>Compliance</v>
      </c>
      <c r="B387" s="0" t="str">
        <f>IFERROR(__xludf.DUMMYFUNCTION("""COMPUTED_VALUE"""),"VerifyMasterFundDivisorWindow")</f>
        <v>VerifyMasterFundDivisorWindow</v>
      </c>
      <c r="C387" s="0" t="str">
        <f>IFERROR(__xludf.DUMMYFUNCTION("""COMPUTED_VALUE"""),"1MjAfg4F6NQuUAQUFW37k3htPnyMxWHWagiOU-lnvmGI")</f>
        <v>1MjAfg4F6NQuUAQUFW37k3htPnyMxWHWagiOU-lnvmGI</v>
      </c>
    </row>
    <row r="388" ht="15.75" customHeight="1">
      <c r="A388" s="0" t="str">
        <f>IFERROR(__xludf.DUMMYFUNCTION("""COMPUTED_VALUE"""),"Compliance")</f>
        <v>Compliance</v>
      </c>
      <c r="B388" s="0" t="str">
        <f>IFERROR(__xludf.DUMMYFUNCTION("""COMPUTED_VALUE"""),"VerifyMasterFundSymbolDivisorWindow")</f>
        <v>VerifyMasterFundSymbolDivisorWindow</v>
      </c>
      <c r="C388" s="0" t="str">
        <f>IFERROR(__xludf.DUMMYFUNCTION("""COMPUTED_VALUE"""),"12jSVbeEJpxmA75PPUiLNi7NaIc00WbgI34Q6rhSS0Ds")</f>
        <v>12jSVbeEJpxmA75PPUiLNi7NaIc00WbgI34Q6rhSS0Ds</v>
      </c>
    </row>
    <row r="389" ht="15.75" customHeight="1">
      <c r="A389" s="0" t="str">
        <f>IFERROR(__xludf.DUMMYFUNCTION("""COMPUTED_VALUE"""),"Rebalancer")</f>
        <v>Rebalancer</v>
      </c>
      <c r="B389" s="0" t="str">
        <f>IFERROR(__xludf.DUMMYFUNCTION("""COMPUTED_VALUE"""),"FetchAccountPositions")</f>
        <v>FetchAccountPositions</v>
      </c>
      <c r="C389" s="0" t="str">
        <f>IFERROR(__xludf.DUMMYFUNCTION("""COMPUTED_VALUE"""),"16zBwty-rTFSFJMyCqyxtBb2FiCbKptl_JuviIETsEjc")</f>
        <v>16zBwty-rTFSFJMyCqyxtBb2FiCbKptl_JuviIETsEjc</v>
      </c>
    </row>
    <row r="390" ht="15.75" customHeight="1">
      <c r="A390" s="0" t="str">
        <f>IFERROR(__xludf.DUMMYFUNCTION("""COMPUTED_VALUE"""),"Rebalancer")</f>
        <v>Rebalancer</v>
      </c>
      <c r="B390" s="0" t="str">
        <f>IFERROR(__xludf.DUMMYFUNCTION("""COMPUTED_VALUE"""),"AddCash")</f>
        <v>AddCash</v>
      </c>
      <c r="C390" s="0" t="str">
        <f>IFERROR(__xludf.DUMMYFUNCTION("""COMPUTED_VALUE"""),"1uD1wJYx80LMyhlbMy1CctqDOk9brp6uU03OlbnDuAe4")</f>
        <v>1uD1wJYx80LMyhlbMy1CctqDOk9brp6uU03OlbnDuAe4</v>
      </c>
    </row>
    <row r="391" ht="15.75" customHeight="1">
      <c r="A391" s="0" t="str">
        <f>IFERROR(__xludf.DUMMYFUNCTION("""COMPUTED_VALUE"""),"Rebalancer")</f>
        <v>Rebalancer</v>
      </c>
      <c r="B391" s="0" t="str">
        <f>IFERROR(__xludf.DUMMYFUNCTION("""COMPUTED_VALUE"""),"VerifyGridData")</f>
        <v>VerifyGridData</v>
      </c>
      <c r="C391" s="0" t="str">
        <f>IFERROR(__xludf.DUMMYFUNCTION("""COMPUTED_VALUE"""),"1m6MOQNhKkVt1jpFum_tComrSd-dEbwpLJ09ma9hwHJ0")</f>
        <v>1m6MOQNhKkVt1jpFum_tComrSd-dEbwpLJ09ma9hwHJ0</v>
      </c>
    </row>
    <row r="392" ht="15.75" customHeight="1">
      <c r="A392" s="0" t="str">
        <f>IFERROR(__xludf.DUMMYFUNCTION("""COMPUTED_VALUE"""),"Rebalancer")</f>
        <v>Rebalancer</v>
      </c>
      <c r="B392" s="0" t="str">
        <f>IFERROR(__xludf.DUMMYFUNCTION("""COMPUTED_VALUE"""),"RunRebalance")</f>
        <v>RunRebalance</v>
      </c>
      <c r="C392" s="0" t="str">
        <f>IFERROR(__xludf.DUMMYFUNCTION("""COMPUTED_VALUE"""),"1z6sLqoF1dgSy-5wTE_wKZTVXhp9JEOqwje341a02WpA")</f>
        <v>1z6sLqoF1dgSy-5wTE_wKZTVXhp9JEOqwje341a02WpA</v>
      </c>
    </row>
    <row r="393" ht="15.75" customHeight="1">
      <c r="A393" s="0" t="str">
        <f>IFERROR(__xludf.DUMMYFUNCTION("""COMPUTED_VALUE"""),"Rebalancer")</f>
        <v>Rebalancer</v>
      </c>
      <c r="B393" s="0" t="str">
        <f>IFERROR(__xludf.DUMMYFUNCTION("""COMPUTED_VALUE"""),"EnableComplianceTab")</f>
        <v>EnableComplianceTab</v>
      </c>
      <c r="C393" s="0" t="str">
        <f>IFERROR(__xludf.DUMMYFUNCTION("""COMPUTED_VALUE"""),"Undefined")</f>
        <v>Undefined</v>
      </c>
    </row>
    <row r="394" ht="15.75" customHeight="1">
      <c r="A394" s="0" t="str">
        <f>IFERROR(__xludf.DUMMYFUNCTION("""COMPUTED_VALUE"""),"Rebalancer")</f>
        <v>Rebalancer</v>
      </c>
      <c r="B394" s="0" t="str">
        <f>IFERROR(__xludf.DUMMYFUNCTION("""COMPUTED_VALUE"""),"RebalancePreference")</f>
        <v>RebalancePreference</v>
      </c>
      <c r="C394" s="0" t="str">
        <f>IFERROR(__xludf.DUMMYFUNCTION("""COMPUTED_VALUE"""),"1OuZKBdhFXWj4geXHEAw683kkB5iaP1xy85nS7Y_bfc8")</f>
        <v>1OuZKBdhFXWj4geXHEAw683kkB5iaP1xy85nS7Y_bfc8</v>
      </c>
    </row>
    <row r="395" ht="15.75" customHeight="1">
      <c r="A395" s="0" t="str">
        <f>IFERROR(__xludf.DUMMYFUNCTION("""COMPUTED_VALUE"""),"Rebalancer")</f>
        <v>Rebalancer</v>
      </c>
      <c r="B395" s="0" t="str">
        <f>IFERROR(__xludf.DUMMYFUNCTION("""COMPUTED_VALUE"""),"ImportModelPortfolio")</f>
        <v>ImportModelPortfolio</v>
      </c>
      <c r="C395" s="0" t="str">
        <f>IFERROR(__xludf.DUMMYFUNCTION("""COMPUTED_VALUE"""),"1acRsUVfXLMARgfUMygVmnq-Xn9oHJ7aBMct5mdqEBsA")</f>
        <v>1acRsUVfXLMARgfUMygVmnq-Xn9oHJ7aBMct5mdqEBsA</v>
      </c>
    </row>
    <row r="396" ht="15.75" customHeight="1">
      <c r="A396" s="0" t="str">
        <f>IFERROR(__xludf.DUMMYFUNCTION("""COMPUTED_VALUE"""),"Simulator")</f>
        <v>Simulator</v>
      </c>
      <c r="B396" s="0" t="str">
        <f>IFERROR(__xludf.DUMMYFUNCTION("""COMPUTED_VALUE"""),"SelectTrade")</f>
        <v>SelectTrade</v>
      </c>
      <c r="C396" s="0" t="str">
        <f>IFERROR(__xludf.DUMMYFUNCTION("""COMPUTED_VALUE"""),"1lkSiBclw-Nrw61K0j2t1vOsiLqNO8ejgCPuA23bupec")</f>
        <v>1lkSiBclw-Nrw61K0j2t1vOsiLqNO8ejgCPuA23bupec</v>
      </c>
    </row>
    <row r="397" ht="15.75" customHeight="1">
      <c r="A397" s="0" t="str">
        <f>IFERROR(__xludf.DUMMYFUNCTION("""COMPUTED_VALUE"""),"Simulator")</f>
        <v>Simulator</v>
      </c>
      <c r="B397" s="0" t="str">
        <f>IFERROR(__xludf.DUMMYFUNCTION("""COMPUTED_VALUE"""),"AcknowledgeTrade")</f>
        <v>AcknowledgeTrade</v>
      </c>
      <c r="C397" s="0" t="str">
        <f>IFERROR(__xludf.DUMMYFUNCTION("""COMPUTED_VALUE"""),"1KZmCs4XZYKInO0g2s3RZpteE670ImER8luciQluLB8Q")</f>
        <v>1KZmCs4XZYKInO0g2s3RZpteE670ImER8luciQluLB8Q</v>
      </c>
    </row>
    <row r="398" ht="15.75" customHeight="1">
      <c r="A398" s="0" t="str">
        <f>IFERROR(__xludf.DUMMYFUNCTION("""COMPUTED_VALUE"""),"Simulator")</f>
        <v>Simulator</v>
      </c>
      <c r="B398" s="0" t="str">
        <f>IFERROR(__xludf.DUMMYFUNCTION("""COMPUTED_VALUE"""),"RejectTrade")</f>
        <v>RejectTrade</v>
      </c>
      <c r="C398" s="0" t="str">
        <f>IFERROR(__xludf.DUMMYFUNCTION("""COMPUTED_VALUE"""),"1Kga6eZygJKjrpwyXiE7s-uRu_0SsnmwvP5tlfNUz67E")</f>
        <v>1Kga6eZygJKjrpwyXiE7s-uRu_0SsnmwvP5tlfNUz67E</v>
      </c>
    </row>
    <row r="399" ht="15.75" customHeight="1">
      <c r="A399" s="0" t="str">
        <f>IFERROR(__xludf.DUMMYFUNCTION("""COMPUTED_VALUE"""),"Simulator")</f>
        <v>Simulator</v>
      </c>
      <c r="B399" s="0" t="str">
        <f>IFERROR(__xludf.DUMMYFUNCTION("""COMPUTED_VALUE"""),"ExecuteTrade")</f>
        <v>ExecuteTrade</v>
      </c>
      <c r="C399" s="0" t="str">
        <f>IFERROR(__xludf.DUMMYFUNCTION("""COMPUTED_VALUE"""),"1wokLkQCDTR1Moa2-CJdvv9EBpX8uIBke1ynZq7Am8Qo")</f>
        <v>1wokLkQCDTR1Moa2-CJdvv9EBpX8uIBke1ynZq7Am8Qo</v>
      </c>
    </row>
    <row r="400" ht="15.75" customHeight="1">
      <c r="A400" s="0" t="str">
        <f>IFERROR(__xludf.DUMMYFUNCTION("""COMPUTED_VALUE"""),"Simulator")</f>
        <v>Simulator</v>
      </c>
      <c r="B400" s="0" t="str">
        <f>IFERROR(__xludf.DUMMYFUNCTION("""COMPUTED_VALUE"""),"CancelTrade")</f>
        <v>CancelTrade</v>
      </c>
      <c r="C400" s="0" t="str">
        <f>IFERROR(__xludf.DUMMYFUNCTION("""COMPUTED_VALUE"""),"1GDmvU5vTnCfl5qfCk6XuxvygpiC0858nHCMz3cF2Th8")</f>
        <v>1GDmvU5vTnCfl5qfCk6XuxvygpiC0858nHCMz3cF2Th8</v>
      </c>
    </row>
    <row r="401" ht="15.75" customHeight="1">
      <c r="A401" s="0" t="str">
        <f>IFERROR(__xludf.DUMMYFUNCTION("""COMPUTED_VALUE"""),"Simulator")</f>
        <v>Simulator</v>
      </c>
      <c r="B401" s="0" t="str">
        <f>IFERROR(__xludf.DUMMYFUNCTION("""COMPUTED_VALUE"""),"OpenLiveTT")</f>
        <v>OpenLiveTT</v>
      </c>
      <c r="C401" s="0" t="str">
        <f>IFERROR(__xludf.DUMMYFUNCTION("""COMPUTED_VALUE"""),"1LsvDJHpVcibXPqLhnrrvp6d6K4W1s7PURcprihlc9WE")</f>
        <v>1LsvDJHpVcibXPqLhnrrvp6d6K4W1s7PURcprihlc9WE</v>
      </c>
    </row>
    <row r="402" ht="15.75" customHeight="1">
      <c r="A402" s="0" t="str">
        <f>IFERROR(__xludf.DUMMYFUNCTION("""COMPUTED_VALUE"""),"TradingTicket")</f>
        <v>TradingTicket</v>
      </c>
      <c r="B402" s="0" t="str">
        <f>IFERROR(__xludf.DUMMYFUNCTION("""COMPUTED_VALUE"""),"CreateLiveOrder")</f>
        <v>CreateLiveOrder</v>
      </c>
      <c r="C402" s="0" t="str">
        <f>IFERROR(__xludf.DUMMYFUNCTION("""COMPUTED_VALUE"""),"15NzWGpqvL8MMBvyvBoyZPbRw6m8dVQhvejNQYv6xMAo")</f>
        <v>15NzWGpqvL8MMBvyvBoyZPbRw6m8dVQhvejNQYv6xMAo</v>
      </c>
    </row>
    <row r="403" ht="15.75" customHeight="1">
      <c r="A403" s="0" t="str">
        <f>IFERROR(__xludf.DUMMYFUNCTION("""COMPUTED_VALUE"""),"Simulator")</f>
        <v>Simulator</v>
      </c>
      <c r="B403" s="0" t="str">
        <f>IFERROR(__xludf.DUMMYFUNCTION("""COMPUTED_VALUE"""),"SetManualResponse ")</f>
        <v>SetManualResponse </v>
      </c>
      <c r="C403" s="0" t="str">
        <f>IFERROR(__xludf.DUMMYFUNCTION("""COMPUTED_VALUE"""),"Undefined")</f>
        <v>Undefined</v>
      </c>
    </row>
    <row r="404" ht="15.75" customHeight="1">
      <c r="A404" s="0" t="str">
        <f>IFERROR(__xludf.DUMMYFUNCTION("""COMPUTED_VALUE"""),"Simulator")</f>
        <v>Simulator</v>
      </c>
      <c r="B404" s="0" t="str">
        <f>IFERROR(__xludf.DUMMYFUNCTION("""COMPUTED_VALUE"""),"ClearUI")</f>
        <v>ClearUI</v>
      </c>
      <c r="C404" s="0" t="str">
        <f>IFERROR(__xludf.DUMMYFUNCTION("""COMPUTED_VALUE"""),"1pm8fmqh314rXSGDiLAdwO0bk-M2SwTJobffwoZFZfZw")</f>
        <v>1pm8fmqh314rXSGDiLAdwO0bk-M2SwTJobffwoZFZfZw</v>
      </c>
    </row>
    <row r="405" ht="15.75" customHeight="1">
      <c r="A405" s="0" t="str">
        <f>IFERROR(__xludf.DUMMYFUNCTION("""COMPUTED_VALUE"""),"Rebalancer")</f>
        <v>Rebalancer</v>
      </c>
      <c r="B405" s="0" t="str">
        <f>IFERROR(__xludf.DUMMYFUNCTION("""COMPUTED_VALUE"""),"RebalanceAcrossSecurities")</f>
        <v>RebalanceAcrossSecurities</v>
      </c>
      <c r="C405" s="0" t="str">
        <f>IFERROR(__xludf.DUMMYFUNCTION("""COMPUTED_VALUE"""),"1hj7paFEdaJfp8zCVq4BI5XPlCE2BysKhNQY5CdXDN44")</f>
        <v>1hj7paFEdaJfp8zCVq4BI5XPlCE2BysKhNQY5CdXDN44</v>
      </c>
    </row>
    <row r="406" ht="15.75" customHeight="1">
      <c r="A406" s="0" t="str">
        <f>IFERROR(__xludf.DUMMYFUNCTION("""COMPUTED_VALUE"""),"Rebalancer")</f>
        <v>Rebalancer</v>
      </c>
      <c r="B406" s="0" t="str">
        <f>IFERROR(__xludf.DUMMYFUNCTION("""COMPUTED_VALUE"""),"CheckBasketCompliance")</f>
        <v>CheckBasketCompliance</v>
      </c>
      <c r="C406" s="0" t="str">
        <f>IFERROR(__xludf.DUMMYFUNCTION("""COMPUTED_VALUE"""),"1TJXKyPI71JpDJp6PJy2JOx4mnjeYvDigctM4hrexDvM")</f>
        <v>1TJXKyPI71JpDJp6PJy2JOx4mnjeYvDigctM4hrexDvM</v>
      </c>
    </row>
    <row r="407" ht="15.75" customHeight="1">
      <c r="A407" s="0" t="str">
        <f>IFERROR(__xludf.DUMMYFUNCTION("""COMPUTED_VALUE"""),"Rebalancer")</f>
        <v>Rebalancer</v>
      </c>
      <c r="B407" s="0" t="str">
        <f>IFERROR(__xludf.DUMMYFUNCTION("""COMPUTED_VALUE"""),"ClearCalculations")</f>
        <v>ClearCalculations</v>
      </c>
      <c r="C407" s="0" t="str">
        <f>IFERROR(__xludf.DUMMYFUNCTION("""COMPUTED_VALUE"""),"1ctMlkyXd7Fyoxty8UQ8vXNA2lmrIfMbc3leGsnW7ne0")</f>
        <v>1ctMlkyXd7Fyoxty8UQ8vXNA2lmrIfMbc3leGsnW7ne0</v>
      </c>
    </row>
    <row r="408" ht="15.75" customHeight="1">
      <c r="A408" s="0" t="str">
        <f>IFERROR(__xludf.DUMMYFUNCTION("""COMPUTED_VALUE"""),"Rebalancer")</f>
        <v>Rebalancer</v>
      </c>
      <c r="B408" s="0" t="str">
        <f>IFERROR(__xludf.DUMMYFUNCTION("""COMPUTED_VALUE"""),"ModifyRebalance")</f>
        <v>ModifyRebalance</v>
      </c>
      <c r="C408" s="0" t="str">
        <f>IFERROR(__xludf.DUMMYFUNCTION("""COMPUTED_VALUE"""),"14V-PVFSEtii0bJelGOw8nDeNWqcO5GO2gi1hoqmJbFU")</f>
        <v>14V-PVFSEtii0bJelGOw8nDeNWqcO5GO2gi1hoqmJbFU</v>
      </c>
    </row>
    <row r="409" ht="15.75" customHeight="1">
      <c r="A409" s="0" t="str">
        <f>IFERROR(__xludf.DUMMYFUNCTION("""COMPUTED_VALUE"""),"ThirdParty")</f>
        <v>ThirdParty</v>
      </c>
      <c r="B409" s="0" t="str">
        <f>IFERROR(__xludf.DUMMYFUNCTION("""COMPUTED_VALUE"""),"SelectThirdParty")</f>
        <v>SelectThirdParty</v>
      </c>
      <c r="C409" s="0" t="str">
        <f>IFERROR(__xludf.DUMMYFUNCTION("""COMPUTED_VALUE"""),"1wKEUsTX7MrGti2S1TEzF0iJk4vRZB1LxyQL9WgMGYrY")</f>
        <v>1wKEUsTX7MrGti2S1TEzF0iJk4vRZB1LxyQL9WgMGYrY</v>
      </c>
    </row>
    <row r="410" ht="15.75" customHeight="1">
      <c r="A410" s="0" t="str">
        <f>IFERROR(__xludf.DUMMYFUNCTION("""COMPUTED_VALUE"""),"ThirdParty")</f>
        <v>ThirdParty</v>
      </c>
      <c r="B410" s="0" t="str">
        <f>IFERROR(__xludf.DUMMYFUNCTION("""COMPUTED_VALUE"""),"ViewThirdParty")</f>
        <v>ViewThirdParty</v>
      </c>
      <c r="C410" s="0" t="str">
        <f>IFERROR(__xludf.DUMMYFUNCTION("""COMPUTED_VALUE"""),"1UalkAEsbJcZQAzEnT3T29et4u4PKQ3n66SBTt1HPqVc")</f>
        <v>1UalkAEsbJcZQAzEnT3T29et4u4PKQ3n66SBTt1HPqVc</v>
      </c>
    </row>
    <row r="411" ht="15.75" customHeight="1">
      <c r="A411" s="0" t="str">
        <f>IFERROR(__xludf.DUMMYFUNCTION("""COMPUTED_VALUE"""),"ThirdParty")</f>
        <v>ThirdParty</v>
      </c>
      <c r="B411" s="0" t="str">
        <f>IFERROR(__xludf.DUMMYFUNCTION("""COMPUTED_VALUE"""),"ThirdPartyGenerate")</f>
        <v>ThirdPartyGenerate</v>
      </c>
      <c r="C411" s="0" t="str">
        <f>IFERROR(__xludf.DUMMYFUNCTION("""COMPUTED_VALUE"""),"1DvEoe2QroRweeE3U1wG41DK1tPqNY7Qfs3ZfLQeMbgA")</f>
        <v>1DvEoe2QroRweeE3U1wG41DK1tPqNY7Qfs3ZfLQeMbgA</v>
      </c>
    </row>
    <row r="412" ht="15.75" customHeight="1">
      <c r="A412" s="0" t="str">
        <f>IFERROR(__xludf.DUMMYFUNCTION("""COMPUTED_VALUE"""),"ThirdParty")</f>
        <v>ThirdParty</v>
      </c>
      <c r="B412" s="0" t="str">
        <f>IFERROR(__xludf.DUMMYFUNCTION("""COMPUTED_VALUE"""),"VerifyThirdPartyView")</f>
        <v>VerifyThirdPartyView</v>
      </c>
      <c r="C412" s="0" t="str">
        <f>IFERROR(__xludf.DUMMYFUNCTION("""COMPUTED_VALUE"""),"118wRv0r1kNYT6nexs-UFGKd_eWq769gwdBDpcAfrJMc")</f>
        <v>118wRv0r1kNYT6nexs-UFGKd_eWq769gwdBDpcAfrJMc</v>
      </c>
    </row>
    <row r="413" ht="15.75" customHeight="1">
      <c r="A413" s="0" t="str">
        <f>IFERROR(__xludf.DUMMYFUNCTION("""COMPUTED_VALUE"""),"ThirdParty")</f>
        <v>ThirdParty</v>
      </c>
      <c r="B413" s="0" t="str">
        <f>IFERROR(__xludf.DUMMYFUNCTION("""COMPUTED_VALUE"""),"VerifyThirdPartyGenerate")</f>
        <v>VerifyThirdPartyGenerate</v>
      </c>
      <c r="C413" s="0" t="str">
        <f>IFERROR(__xludf.DUMMYFUNCTION("""COMPUTED_VALUE"""),"1bvzvGTpSSz8jFgbBJV7s2zMg9ku9TwcOoI2gD8mXZeI")</f>
        <v>1bvzvGTpSSz8jFgbBJV7s2zMg9ku9TwcOoI2gD8mXZeI</v>
      </c>
    </row>
    <row r="414" ht="15.75" customHeight="1">
      <c r="A414" s="0" t="str">
        <f>IFERROR(__xludf.DUMMYFUNCTION("""COMPUTED_VALUE"""),"ThirdParty")</f>
        <v>ThirdParty</v>
      </c>
      <c r="B414" s="0" t="str">
        <f>IFERROR(__xludf.DUMMYFUNCTION("""COMPUTED_VALUE"""),"VerifyThirdPartySend")</f>
        <v>VerifyThirdPartySend</v>
      </c>
      <c r="C414" s="0" t="str">
        <f>IFERROR(__xludf.DUMMYFUNCTION("""COMPUTED_VALUE"""),"1Uss7PL0z4ynwsEaU-5ZugX8DJ-4eQWi9JELroKHVjks")</f>
        <v>1Uss7PL0z4ynwsEaU-5ZugX8DJ-4eQWi9JELroKHVjks</v>
      </c>
    </row>
    <row r="415" ht="15.75" customHeight="1">
      <c r="A415" s="0" t="str">
        <f>IFERROR(__xludf.DUMMYFUNCTION("""COMPUTED_VALUE"""),"ThirdParty")</f>
        <v>ThirdParty</v>
      </c>
      <c r="B415" s="0" t="str">
        <f>IFERROR(__xludf.DUMMYFUNCTION("""COMPUTED_VALUE"""),"ThirdPartySend")</f>
        <v>ThirdPartySend</v>
      </c>
      <c r="C415" s="0" t="str">
        <f>IFERROR(__xludf.DUMMYFUNCTION("""COMPUTED_VALUE"""),"10lROCv8vZU4pHDAKFRaGDjYVmJmDXRVY6aLP5O0hPiU")</f>
        <v>10lROCv8vZU4pHDAKFRaGDjYVmJmDXRVY6aLP5O0hPiU</v>
      </c>
    </row>
    <row r="416" ht="15.75" customHeight="1">
      <c r="A416" s="0" t="str">
        <f>IFERROR(__xludf.DUMMYFUNCTION("""COMPUTED_VALUE"""),"Blotter")</f>
        <v>Blotter</v>
      </c>
      <c r="B416" s="0" t="str">
        <f>IFERROR(__xludf.DUMMYFUNCTION("""COMPUTED_VALUE"""),"VerifyViewAllocationDetails")</f>
        <v>VerifyViewAllocationDetails</v>
      </c>
      <c r="C416" s="0" t="str">
        <f>IFERROR(__xludf.DUMMYFUNCTION("""COMPUTED_VALUE"""),"1N0pdLUTdwOkDe6Oxo1hLVvtHrAW845GKRDRrNw2nQsA")</f>
        <v>1N0pdLUTdwOkDe6Oxo1hLVvtHrAW845GKRDRrNw2nQsA</v>
      </c>
    </row>
    <row r="417" ht="15.75" customHeight="1">
      <c r="A417" s="0" t="str">
        <f>IFERROR(__xludf.DUMMYFUNCTION("""COMPUTED_VALUE"""),"PTT")</f>
        <v>PTT</v>
      </c>
      <c r="B417" s="0" t="str">
        <f>IFERROR(__xludf.DUMMYFUNCTION("""COMPUTED_VALUE"""),"SelectPTTRecord")</f>
        <v>SelectPTTRecord</v>
      </c>
      <c r="C417" s="0" t="str">
        <f>IFERROR(__xludf.DUMMYFUNCTION("""COMPUTED_VALUE"""),"1XeFP2lm7tB6wETfm2dDqZYoeAfXyeA1KjbojdrZ69vE")</f>
        <v>1XeFP2lm7tB6wETfm2dDqZYoeAfXyeA1KjbojdrZ69vE</v>
      </c>
    </row>
    <row r="418" ht="15.75" customHeight="1">
      <c r="A418" s="0" t="str">
        <f>IFERROR(__xludf.DUMMYFUNCTION("""COMPUTED_VALUE"""),"PTT")</f>
        <v>PTT</v>
      </c>
      <c r="B418" s="0" t="str">
        <f>IFERROR(__xludf.DUMMYFUNCTION("""COMPUTED_VALUE"""),"EditPTTRecord")</f>
        <v>EditPTTRecord</v>
      </c>
      <c r="C418" s="0" t="str">
        <f>IFERROR(__xludf.DUMMYFUNCTION("""COMPUTED_VALUE"""),"1bZD_br9hnE6AoS35Ty0SStxuCVDXYGgzotj5gsTsrUg")</f>
        <v>1bZD_br9hnE6AoS35Ty0SStxuCVDXYGgzotj5gsTsrUg</v>
      </c>
    </row>
    <row r="419" ht="15.75" customHeight="1">
      <c r="A419" s="0" t="str">
        <f>IFERROR(__xludf.DUMMYFUNCTION("""COMPUTED_VALUE"""),"PTT")</f>
        <v>PTT</v>
      </c>
      <c r="B419" s="0" t="str">
        <f>IFERROR(__xludf.DUMMYFUNCTION("""COMPUTED_VALUE"""),"CreateOrderAfterEditPTT")</f>
        <v>CreateOrderAfterEditPTT</v>
      </c>
      <c r="C419" s="0" t="str">
        <f>IFERROR(__xludf.DUMMYFUNCTION("""COMPUTED_VALUE"""),"1KsDVAM-jGZBkXQCAjl-IKGN6XcMkdTfUj_E_EYUPpqE")</f>
        <v>1KsDVAM-jGZBkXQCAjl-IKGN6XcMkdTfUj_E_EYUPpqE</v>
      </c>
    </row>
    <row r="420" ht="15.75" customHeight="1">
      <c r="A420" s="0" t="str">
        <f>IFERROR(__xludf.DUMMYFUNCTION("""COMPUTED_VALUE"""),"PTT")</f>
        <v>PTT</v>
      </c>
      <c r="B420" s="0" t="str">
        <f>IFERROR(__xludf.DUMMYFUNCTION("""COMPUTED_VALUE"""),"EditPTTWPFGrid")</f>
        <v>EditPTTWPFGrid</v>
      </c>
      <c r="C420" s="0" t="str">
        <f>IFERROR(__xludf.DUMMYFUNCTION("""COMPUTED_VALUE"""),"1ZN6M0c0ta4_uysjU0LRmcc9chF9IgYpFmqSwGW6bPCY")</f>
        <v>1ZN6M0c0ta4_uysjU0LRmcc9chF9IgYpFmqSwGW6bPCY</v>
      </c>
    </row>
    <row r="421" ht="15.75" customHeight="1">
      <c r="A421" s="0" t="str">
        <f>IFERROR(__xludf.DUMMYFUNCTION("""COMPUTED_VALUE"""),"Blotter")</f>
        <v>Blotter</v>
      </c>
      <c r="B421" s="0" t="str">
        <f>IFERROR(__xludf.DUMMYFUNCTION("""COMPUTED_VALUE"""),"GoToAllocation")</f>
        <v>GoToAllocation</v>
      </c>
      <c r="C421" s="0" t="str">
        <f>IFERROR(__xludf.DUMMYFUNCTION("""COMPUTED_VALUE"""),"1I3StwH3fzwwbh9YvrnDvP_ICtYYZrMPHOthgqOvVOQc")</f>
        <v>1I3StwH3fzwwbh9YvrnDvP_ICtYYZrMPHOthgqOvVOQc</v>
      </c>
    </row>
    <row r="422" ht="15.75" customHeight="1">
      <c r="A422" s="0" t="str">
        <f>IFERROR(__xludf.DUMMYFUNCTION("""COMPUTED_VALUE"""),"Simulator")</f>
        <v>Simulator</v>
      </c>
      <c r="B422" s="0" t="str">
        <f>IFERROR(__xludf.DUMMYFUNCTION("""COMPUTED_VALUE"""),"CloseSimulator")</f>
        <v>CloseSimulator</v>
      </c>
      <c r="C422" s="0" t="str">
        <f>IFERROR(__xludf.DUMMYFUNCTION("""COMPUTED_VALUE"""),"Undefined")</f>
        <v>Undefined</v>
      </c>
    </row>
    <row r="423" ht="15.75" customHeight="1">
      <c r="A423" s="0" t="str">
        <f>IFERROR(__xludf.DUMMYFUNCTION("""COMPUTED_VALUE"""),"GeneralLedger")</f>
        <v>GeneralLedger</v>
      </c>
      <c r="B423" s="0" t="str">
        <f>IFERROR(__xludf.DUMMYFUNCTION("""COMPUTED_VALUE"""),"VerifyCashTransaction")</f>
        <v>VerifyCashTransaction</v>
      </c>
      <c r="C423" s="0" t="str">
        <f>IFERROR(__xludf.DUMMYFUNCTION("""COMPUTED_VALUE"""),"1Urp2F7pMdEwHLyPetR0SnA22v2OTvsTN73e1Eyzzg08")</f>
        <v>1Urp2F7pMdEwHLyPetR0SnA22v2OTvsTN73e1Eyzzg08</v>
      </c>
    </row>
    <row r="424" ht="15.75" customHeight="1">
      <c r="A424" s="0" t="str">
        <f>IFERROR(__xludf.DUMMYFUNCTION("""COMPUTED_VALUE"""),"Rebalancer")</f>
        <v>Rebalancer</v>
      </c>
      <c r="B424" s="0" t="str">
        <f>IFERROR(__xludf.DUMMYFUNCTION("""COMPUTED_VALUE"""),"ModelPortfolio")</f>
        <v>ModelPortfolio</v>
      </c>
      <c r="C424" s="0" t="str">
        <f>IFERROR(__xludf.DUMMYFUNCTION("""COMPUTED_VALUE"""),"1BbwKnMbWwdBYCEpdFconwZ_xILH2kPX-Qj3vt8xntk8")</f>
        <v>1BbwKnMbWwdBYCEpdFconwZ_xILH2kPX-Qj3vt8xntk8</v>
      </c>
    </row>
    <row r="425" ht="15.75" customHeight="1">
      <c r="A425" s="0" t="str">
        <f>IFERROR(__xludf.DUMMYFUNCTION("""COMPUTED_VALUE"""),"DailyValuation")</f>
        <v>DailyValuation</v>
      </c>
      <c r="B425" s="0" t="str">
        <f>IFERROR(__xludf.DUMMYFUNCTION("""COMPUTED_VALUE"""),"VerifyDailyCash")</f>
        <v>VerifyDailyCash</v>
      </c>
      <c r="C425" s="0" t="str">
        <f>IFERROR(__xludf.DUMMYFUNCTION("""COMPUTED_VALUE"""),"1p7JeAcaHVG_A1SPdHgM-evd78CkJgoJkRTeDWckd4RI")</f>
        <v>1p7JeAcaHVG_A1SPdHgM-evd78CkJgoJkRTeDWckd4RI</v>
      </c>
    </row>
    <row r="426" ht="15.75" customHeight="1">
      <c r="A426" s="0" t="str">
        <f>IFERROR(__xludf.DUMMYFUNCTION("""COMPUTED_VALUE"""),"Admin")</f>
        <v>Admin</v>
      </c>
      <c r="B426" s="0" t="str">
        <f>IFERROR(__xludf.DUMMYFUNCTION("""COMPUTED_VALUE"""),"SetCheckSide")</f>
        <v>SetCheckSide</v>
      </c>
      <c r="C426" s="0" t="str">
        <f>IFERROR(__xludf.DUMMYFUNCTION("""COMPUTED_VALUE"""),"1LLz3d9Ay0qFO2Tla_12_h2xvLhss_jI9DSuQFTlU_-4")</f>
        <v>1LLz3d9Ay0qFO2Tla_12_h2xvLhss_jI9DSuQFTlU_-4</v>
      </c>
    </row>
    <row r="427" ht="15.75" customHeight="1">
      <c r="A427" s="0" t="str">
        <f>IFERROR(__xludf.DUMMYFUNCTION("""COMPUTED_VALUE"""),"CorporateAction")</f>
        <v>CorporateAction</v>
      </c>
      <c r="B427" s="0" t="str">
        <f>IFERROR(__xludf.DUMMYFUNCTION("""COMPUTED_VALUE"""),"OpenSpinOff")</f>
        <v>OpenSpinOff</v>
      </c>
      <c r="C427" s="0" t="str">
        <f>IFERROR(__xludf.DUMMYFUNCTION("""COMPUTED_VALUE"""),"1U-BRH15bKLYYFZT4KsAnHYfSvzq2OYUbyJ1Q899SsZo")</f>
        <v>1U-BRH15bKLYYFZT4KsAnHYfSvzq2OYUbyJ1Q899SsZo</v>
      </c>
    </row>
    <row r="428" ht="15.75" customHeight="1">
      <c r="A428" s="0" t="str">
        <f>IFERROR(__xludf.DUMMYFUNCTION("""COMPUTED_VALUE"""),"CorporateAction")</f>
        <v>CorporateAction</v>
      </c>
      <c r="B428" s="0" t="str">
        <f>IFERROR(__xludf.DUMMYFUNCTION("""COMPUTED_VALUE"""),"VerifyAndApplyCorpAction")</f>
        <v>VerifyAndApplyCorpAction</v>
      </c>
      <c r="C428" s="0" t="str">
        <f>IFERROR(__xludf.DUMMYFUNCTION("""COMPUTED_VALUE"""),"1AigkCEPlVCiWI2_hOeywoNapLN_03Q3acTp_JCEFIOQ")</f>
        <v>1AigkCEPlVCiWI2_hOeywoNapLN_03Q3acTp_JCEFIOQ</v>
      </c>
    </row>
    <row r="429" ht="15.75" customHeight="1">
      <c r="A429" s="0" t="str">
        <f>IFERROR(__xludf.DUMMYFUNCTION("""COMPUTED_VALUE"""),"CorporateAction ")</f>
        <v>CorporateAction </v>
      </c>
      <c r="B429" s="0" t="str">
        <f>IFERROR(__xludf.DUMMYFUNCTION("""COMPUTED_VALUE"""),"VerifyAndSaveCorpAction")</f>
        <v>VerifyAndSaveCorpAction</v>
      </c>
      <c r="C429" s="0" t="str">
        <f>IFERROR(__xludf.DUMMYFUNCTION("""COMPUTED_VALUE"""),"1C7e-MCh1gT21XsWE5Tb7VqU31f42EtVA62RnW2VwOPQ")</f>
        <v>1C7e-MCh1gT21XsWE5Tb7VqU31f42EtVA62RnW2VwOPQ</v>
      </c>
    </row>
    <row r="430" ht="15.75" customHeight="1">
      <c r="A430" s="0" t="str">
        <f>IFERROR(__xludf.DUMMYFUNCTION("""COMPUTED_VALUE"""),"Allocation")</f>
        <v>Allocation</v>
      </c>
      <c r="B430" s="0" t="str">
        <f>IFERROR(__xludf.DUMMYFUNCTION("""COMPUTED_VALUE"""),"DisableChecksideForAsset")</f>
        <v>DisableChecksideForAsset</v>
      </c>
      <c r="C430" s="0" t="str">
        <f>IFERROR(__xludf.DUMMYFUNCTION("""COMPUTED_VALUE"""),"1RfBjyCTLzPEw44vo9RFEbPNENo_b3MvJETDgJ_nbkSM")</f>
        <v>1RfBjyCTLzPEw44vo9RFEbPNENo_b3MvJETDgJ_nbkSM</v>
      </c>
    </row>
    <row r="431" ht="15.75" customHeight="1">
      <c r="A431" s="0" t="str">
        <f>IFERROR(__xludf.DUMMYFUNCTION("""COMPUTED_VALUE"""),"Allocation")</f>
        <v>Allocation</v>
      </c>
      <c r="B431" s="0" t="str">
        <f>IFERROR(__xludf.DUMMYFUNCTION("""COMPUTED_VALUE"""),"DisableChecksideForAccount")</f>
        <v>DisableChecksideForAccount</v>
      </c>
      <c r="C431" s="0" t="str">
        <f>IFERROR(__xludf.DUMMYFUNCTION("""COMPUTED_VALUE"""),"11m6ioGVfQ91nl6h-xQws9I_OKyCH0bSRW5XRwmAkUaI")</f>
        <v>11m6ioGVfQ91nl6h-xQws9I_OKyCH0bSRW5XRwmAkUaI</v>
      </c>
    </row>
    <row r="432" ht="15.75" customHeight="1">
      <c r="A432" s="0" t="str">
        <f>IFERROR(__xludf.DUMMYFUNCTION("""COMPUTED_VALUE"""),"Allocation")</f>
        <v>Allocation</v>
      </c>
      <c r="B432" s="0" t="str">
        <f>IFERROR(__xludf.DUMMYFUNCTION("""COMPUTED_VALUE"""),"DisableChecksideForCounterParty")</f>
        <v>DisableChecksideForCounterParty</v>
      </c>
      <c r="C432" s="0" t="str">
        <f>IFERROR(__xludf.DUMMYFUNCTION("""COMPUTED_VALUE"""),"1y3920luel_XKEL-2MDmGAmxE3KlfO7vibX7k3zEiD9Q")</f>
        <v>1y3920luel_XKEL-2MDmGAmxE3KlfO7vibX7k3zEiD9Q</v>
      </c>
    </row>
    <row r="433" ht="15.75" customHeight="1">
      <c r="A433" s="0" t="str">
        <f>IFERROR(__xludf.DUMMYFUNCTION("""COMPUTED_VALUE"""),"Allocation")</f>
        <v>Allocation</v>
      </c>
      <c r="B433" s="0" t="str">
        <f>IFERROR(__xludf.DUMMYFUNCTION("""COMPUTED_VALUE"""),"DisableCheckside")</f>
        <v>DisableCheckside</v>
      </c>
      <c r="C433" s="0" t="str">
        <f>IFERROR(__xludf.DUMMYFUNCTION("""COMPUTED_VALUE"""),"1h5qvpgDwc493Hj-H0wWhM1iGSyxbWrc_X9wqtwjDzjw")</f>
        <v>1h5qvpgDwc493Hj-H0wWhM1iGSyxbWrc_X9wqtwjDzjw</v>
      </c>
    </row>
    <row r="434" ht="15.75" customHeight="1">
      <c r="A434" s="0" t="str">
        <f>IFERROR(__xludf.DUMMYFUNCTION("""COMPUTED_VALUE"""),"Allocation")</f>
        <v>Allocation</v>
      </c>
      <c r="B434" s="0" t="str">
        <f>IFERROR(__xludf.DUMMYFUNCTION("""COMPUTED_VALUE"""),"ApplyMasterFundFilter")</f>
        <v>ApplyMasterFundFilter</v>
      </c>
      <c r="C434" s="0" t="str">
        <f>IFERROR(__xludf.DUMMYFUNCTION("""COMPUTED_VALUE"""),"1T-KlzOWiZhplDNh7jZx1mhTu8M9hH3oMPjY-e5YW0xo")</f>
        <v>1T-KlzOWiZhplDNh7jZx1mhTu8M9hH3oMPjY-e5YW0xo</v>
      </c>
    </row>
    <row r="435" ht="15.75" customHeight="1">
      <c r="A435" s="0" t="str">
        <f>IFERROR(__xludf.DUMMYFUNCTION("""COMPUTED_VALUE"""),"TradingTicket")</f>
        <v>TradingTicket</v>
      </c>
      <c r="B435" s="0" t="str">
        <f>IFERROR(__xludf.DUMMYFUNCTION("""COMPUTED_VALUE"""),"UpdateMasterFundOnTT")</f>
        <v>UpdateMasterFundOnTT</v>
      </c>
      <c r="C435" s="0" t="str">
        <f>IFERROR(__xludf.DUMMYFUNCTION("""COMPUTED_VALUE"""),"1N4y3bAhW2tDoINGw83G-QdXBeLDO0PKtGSW5-tKN3js")</f>
        <v>1N4y3bAhW2tDoINGw83G-QdXBeLDO0PKtGSW5-tKN3js</v>
      </c>
    </row>
    <row r="436" ht="15.75" customHeight="1">
      <c r="A436" s="0" t="str">
        <f>IFERROR(__xludf.DUMMYFUNCTION("""COMPUTED_VALUE"""),"Allocation")</f>
        <v>Allocation</v>
      </c>
      <c r="B436" s="0" t="str">
        <f>IFERROR(__xludf.DUMMYFUNCTION("""COMPUTED_VALUE"""),"ShowMasterFundOnTT")</f>
        <v>ShowMasterFundOnTT</v>
      </c>
      <c r="C436" s="0" t="str">
        <f>IFERROR(__xludf.DUMMYFUNCTION("""COMPUTED_VALUE"""),"1iwI9tV-bzTDjn_UTMv4g-Fow5pL0wNDuxL4_vgERgxw")</f>
        <v>1iwI9tV-bzTDjn_UTMv4g-Fow5pL0wNDuxL4_vgERgxw</v>
      </c>
    </row>
    <row r="437" ht="15.75" customHeight="1">
      <c r="A437" s="0" t="str">
        <f>IFERROR(__xludf.DUMMYFUNCTION("""COMPUTED_VALUE"""),"Allocation")</f>
        <v>Allocation</v>
      </c>
      <c r="B437" s="0" t="str">
        <f>IFERROR(__xludf.DUMMYFUNCTION("""COMPUTED_VALUE"""),"ShowMasterFundAsClient")</f>
        <v>ShowMasterFundAsClient</v>
      </c>
      <c r="C437" s="0" t="str">
        <f>IFERROR(__xludf.DUMMYFUNCTION("""COMPUTED_VALUE"""),"1HEkSiTQJoo7hAoCQeG1OliZY3I1tX5067K2-bEPpUxg")</f>
        <v>1HEkSiTQJoo7hAoCQeG1OliZY3I1tX5067K2-bEPpUxg</v>
      </c>
    </row>
    <row r="438" ht="15.75" customHeight="1">
      <c r="A438" s="0" t="str">
        <f>IFERROR(__xludf.DUMMYFUNCTION("""COMPUTED_VALUE"""),"Allocation")</f>
        <v>Allocation</v>
      </c>
      <c r="B438" s="0" t="str">
        <f>IFERROR(__xludf.DUMMYFUNCTION("""COMPUTED_VALUE"""),"SetBrokerAccountMapping")</f>
        <v>SetBrokerAccountMapping</v>
      </c>
      <c r="C438" s="0" t="str">
        <f>IFERROR(__xludf.DUMMYFUNCTION("""COMPUTED_VALUE"""),"1-jAH0BUHYr2W4UnUXp9EOBGtAxXgCqMhloL3-aVw-xA")</f>
        <v>1-jAH0BUHYr2W4UnUXp9EOBGtAxXgCqMhloL3-aVw-xA</v>
      </c>
    </row>
    <row r="439" ht="15.75" customHeight="1">
      <c r="A439" s="0" t="str">
        <f>IFERROR(__xludf.DUMMYFUNCTION("""COMPUTED_VALUE"""),"Allocation")</f>
        <v>Allocation</v>
      </c>
      <c r="B439" s="0" t="str">
        <f>IFERROR(__xludf.DUMMYFUNCTION("""COMPUTED_VALUE"""),"EditUnallocatedGridWPF")</f>
        <v>EditUnallocatedGridWPF</v>
      </c>
      <c r="C439" s="0" t="str">
        <f>IFERROR(__xludf.DUMMYFUNCTION("""COMPUTED_VALUE"""),"1WjO2793DSB3AexrCH-5fVAyD2T9Kn-TpIQtV-sN3fXM")</f>
        <v>1WjO2793DSB3AexrCH-5fVAyD2T9Kn-TpIQtV-sN3fXM</v>
      </c>
    </row>
    <row r="440" ht="15.75" customHeight="1">
      <c r="A440" s="0" t="str">
        <f>IFERROR(__xludf.DUMMYFUNCTION("""COMPUTED_VALUE"""),"Allocation")</f>
        <v>Allocation</v>
      </c>
      <c r="B440" s="0" t="str">
        <f>IFERROR(__xludf.DUMMYFUNCTION("""COMPUTED_VALUE"""),"EditAllocatedGridWPF")</f>
        <v>EditAllocatedGridWPF</v>
      </c>
      <c r="C440" s="0" t="str">
        <f>IFERROR(__xludf.DUMMYFUNCTION("""COMPUTED_VALUE"""),"1FZKuHmBcm_XpFiBPl_RDPdJ0LU4pfInz2KIRBirG4RA")</f>
        <v>1FZKuHmBcm_XpFiBPl_RDPdJ0LU4pfInz2KIRBirG4RA</v>
      </c>
    </row>
    <row r="441" ht="15.75" customHeight="1">
      <c r="A441" s="0" t="str">
        <f>IFERROR(__xludf.DUMMYFUNCTION("""COMPUTED_VALUE"""),"Admin")</f>
        <v>Admin</v>
      </c>
      <c r="B441" s="0" t="str">
        <f>IFERROR(__xludf.DUMMYFUNCTION("""COMPUTED_VALUE"""),"SetRollover")</f>
        <v>SetRollover</v>
      </c>
      <c r="C441" s="0" t="str">
        <f>IFERROR(__xludf.DUMMYFUNCTION("""COMPUTED_VALUE"""),"1IsN0Cfhu8GLrkUalboK5NrRy7btTAbLYUuekJ2Ma6Yg")</f>
        <v>1IsN0Cfhu8GLrkUalboK5NrRy7btTAbLYUuekJ2Ma6Yg</v>
      </c>
    </row>
    <row r="442" ht="15.75" customHeight="1">
      <c r="A442" s="0" t="str">
        <f>IFERROR(__xludf.DUMMYFUNCTION("""COMPUTED_VALUE"""),"Blotter")</f>
        <v>Blotter</v>
      </c>
      <c r="B442" s="0" t="str">
        <f>IFERROR(__xludf.DUMMYFUNCTION("""COMPUTED_VALUE"""),"VerifyRollover")</f>
        <v>VerifyRollover</v>
      </c>
      <c r="C442" s="0" t="str">
        <f>IFERROR(__xludf.DUMMYFUNCTION("""COMPUTED_VALUE"""),"1LK99kRJ1Jix1IHxif4J6qr7zVjtU8vqt4IThBtuOVf4")</f>
        <v>1LK99kRJ1Jix1IHxif4J6qr7zVjtU8vqt4IThBtuOVf4</v>
      </c>
    </row>
    <row r="443" ht="15.75" customHeight="1">
      <c r="A443" s="0" t="str">
        <f>IFERROR(__xludf.DUMMYFUNCTION("""COMPUTED_VALUE"""),"Allocation")</f>
        <v>Allocation</v>
      </c>
      <c r="B443" s="0" t="str">
        <f>IFERROR(__xludf.DUMMYFUNCTION("""COMPUTED_VALUE"""),"EditAllocatedGridTaxlot")</f>
        <v>EditAllocatedGridTaxlot</v>
      </c>
      <c r="C443" s="0" t="str">
        <f>IFERROR(__xludf.DUMMYFUNCTION("""COMPUTED_VALUE"""),"1BFSIhQB5TYAg8_M-Mo1tG8w-M1mRnNY_0PslvrGE6V0")</f>
        <v>1BFSIhQB5TYAg8_M-Mo1tG8w-M1mRnNY_0PslvrGE6V0</v>
      </c>
    </row>
    <row r="444" ht="15.75" customHeight="1">
      <c r="A444" s="0" t="str">
        <f>IFERROR(__xludf.DUMMYFUNCTION("""COMPUTED_VALUE"""),"Allocation")</f>
        <v>Allocation</v>
      </c>
      <c r="B444" s="0" t="str">
        <f>IFERROR(__xludf.DUMMYFUNCTION("""COMPUTED_VALUE"""),"ExpandCollapseAllocatedGrid")</f>
        <v>ExpandCollapseAllocatedGrid</v>
      </c>
      <c r="C444" s="0" t="str">
        <f>IFERROR(__xludf.DUMMYFUNCTION("""COMPUTED_VALUE"""),"1qQZFllfIgVu8YI6RYgRzVq7hDp1kHBoOsvq3lGCpsu0")</f>
        <v>1qQZFllfIgVu8YI6RYgRzVq7hDp1kHBoOsvq3lGCpsu0</v>
      </c>
    </row>
    <row r="445" ht="15.75" customHeight="1">
      <c r="A445" s="0" t="str">
        <f>IFERROR(__xludf.DUMMYFUNCTION("""COMPUTED_VALUE"""),"Allocation")</f>
        <v>Allocation</v>
      </c>
      <c r="B445" s="0" t="str">
        <f>IFERROR(__xludf.DUMMYFUNCTION("""COMPUTED_VALUE"""),"ExpandCollapseUnallocatedGrid")</f>
        <v>ExpandCollapseUnallocatedGrid</v>
      </c>
      <c r="C445" s="0" t="str">
        <f>IFERROR(__xludf.DUMMYFUNCTION("""COMPUTED_VALUE"""),"1UD0TjK90W_15S50XezLY8jX9yJZvWP_kzf3zvGKH6Lo")</f>
        <v>1UD0TjK90W_15S50XezLY8jX9yJZvWP_kzf3zvGKH6Lo</v>
      </c>
    </row>
    <row r="446" ht="15.75" customHeight="1">
      <c r="A446" s="0" t="str">
        <f>IFERROR(__xludf.DUMMYFUNCTION("""COMPUTED_VALUE"""),"Blotter")</f>
        <v>Blotter</v>
      </c>
      <c r="B446" s="0" t="str">
        <f>IFERROR(__xludf.DUMMYFUNCTION("""COMPUTED_VALUE"""),"VerifySubOrderAfterRollover")</f>
        <v>VerifySubOrderAfterRollover</v>
      </c>
      <c r="C446" s="0" t="str">
        <f>IFERROR(__xludf.DUMMYFUNCTION("""COMPUTED_VALUE"""),"1d2n7uTbGUAG0Fw_-hVLgvR5bPSacMCQFYb_9Aqwi25c")</f>
        <v>1d2n7uTbGUAG0Fw_-hVLgvR5bPSacMCQFYb_9Aqwi25c</v>
      </c>
    </row>
    <row r="447" ht="15.75" customHeight="1">
      <c r="A447" s="0" t="str">
        <f>IFERROR(__xludf.DUMMYFUNCTION("""COMPUTED_VALUE"""),"Import")</f>
        <v>Import</v>
      </c>
      <c r="B447" s="0" t="str">
        <f>IFERROR(__xludf.DUMMYFUNCTION("""COMPUTED_VALUE"""),"SelectTransactionImportType")</f>
        <v>SelectTransactionImportType</v>
      </c>
      <c r="C447" s="0" t="str">
        <f>IFERROR(__xludf.DUMMYFUNCTION("""COMPUTED_VALUE"""),"1Ug5aDJXZ2MYzdZjiy87TkbK0iURa_OwZ6nFZNhxoHGY")</f>
        <v>1Ug5aDJXZ2MYzdZjiy87TkbK0iURa_OwZ6nFZNhxoHGY</v>
      </c>
    </row>
    <row r="448" ht="15.75" customHeight="1">
      <c r="A448" s="0" t="str">
        <f>IFERROR(__xludf.DUMMYFUNCTION("""COMPUTED_VALUE"""),"Import")</f>
        <v>Import</v>
      </c>
      <c r="B448" s="0" t="str">
        <f>IFERROR(__xludf.DUMMYFUNCTION("""COMPUTED_VALUE"""),"SelectAllOnImport")</f>
        <v>SelectAllOnImport</v>
      </c>
      <c r="C448" s="0" t="str">
        <f>IFERROR(__xludf.DUMMYFUNCTION("""COMPUTED_VALUE"""),"15kH24bHLnChO_IakP1yWGQ4NHnPUcWr-qrx2hCLl0Rs")</f>
        <v>15kH24bHLnChO_IakP1yWGQ4NHnPUcWr-qrx2hCLl0Rs</v>
      </c>
    </row>
    <row r="449" ht="15.75" customHeight="1">
      <c r="A449" s="0" t="str">
        <f>IFERROR(__xludf.DUMMYFUNCTION("""COMPUTED_VALUE"""),"Import")</f>
        <v>Import</v>
      </c>
      <c r="B449" s="0" t="str">
        <f>IFERROR(__xludf.DUMMYFUNCTION("""COMPUTED_VALUE"""),"SelectMarkPriceImportType")</f>
        <v>SelectMarkPriceImportType</v>
      </c>
      <c r="C449" s="0" t="str">
        <f>IFERROR(__xludf.DUMMYFUNCTION("""COMPUTED_VALUE"""),"1u361oGPG-Jq-p0fQA91MqPpn9RXhbu_kuvkRTxMFWxM")</f>
        <v>1u361oGPG-Jq-p0fQA91MqPpn9RXhbu_kuvkRTxMFWxM</v>
      </c>
    </row>
    <row r="450" ht="15.75" customHeight="1">
      <c r="A450" s="0" t="str">
        <f>IFERROR(__xludf.DUMMYFUNCTION("""COMPUTED_VALUE"""),"Import")</f>
        <v>Import</v>
      </c>
      <c r="B450" s="0" t="str">
        <f>IFERROR(__xludf.DUMMYFUNCTION("""COMPUTED_VALUE"""),"SelectForexImportType")</f>
        <v>SelectForexImportType</v>
      </c>
      <c r="C450" s="0" t="str">
        <f>IFERROR(__xludf.DUMMYFUNCTION("""COMPUTED_VALUE"""),"1VuEhlxb0Ntlbh7FJ4BwgZpb9ydlc_jleqg7A8gRSuOE")</f>
        <v>1VuEhlxb0Ntlbh7FJ4BwgZpb9ydlc_jleqg7A8gRSuOE</v>
      </c>
    </row>
    <row r="451" ht="15.75" customHeight="1">
      <c r="A451" s="0" t="str">
        <f>IFERROR(__xludf.DUMMYFUNCTION("""COMPUTED_VALUE"""),"Import")</f>
        <v>Import</v>
      </c>
      <c r="B451" s="0" t="str">
        <f>IFERROR(__xludf.DUMMYFUNCTION("""COMPUTED_VALUE"""),"SelectDoubleEntryCashImportType")</f>
        <v>SelectDoubleEntryCashImportType</v>
      </c>
      <c r="C451" s="0" t="str">
        <f>IFERROR(__xludf.DUMMYFUNCTION("""COMPUTED_VALUE"""),"1w4_aAJj7RTcH4PfJ4aGD-0Fx9fQcCz5rUlLhFvihhzU")</f>
        <v>1w4_aAJj7RTcH4PfJ4aGD-0Fx9fQcCz5rUlLhFvihhzU</v>
      </c>
    </row>
    <row r="452" ht="15.75" customHeight="1">
      <c r="A452" s="0" t="str">
        <f>IFERROR(__xludf.DUMMYFUNCTION("""COMPUTED_VALUE"""),"Import")</f>
        <v>Import</v>
      </c>
      <c r="B452" s="0" t="str">
        <f>IFERROR(__xludf.DUMMYFUNCTION("""COMPUTED_VALUE"""),"SelectActivitiesImportType")</f>
        <v>SelectActivitiesImportType</v>
      </c>
      <c r="C452" s="0" t="str">
        <f>IFERROR(__xludf.DUMMYFUNCTION("""COMPUTED_VALUE"""),"1QRxHDbBMkMUkH0F8WiORPd2loUWwUte9XykaaWPOOig")</f>
        <v>1QRxHDbBMkMUkH0F8WiORPd2loUWwUte9XykaaWPOOig</v>
      </c>
    </row>
    <row r="453" ht="15.75" customHeight="1">
      <c r="A453" s="0" t="str">
        <f>IFERROR(__xludf.DUMMYFUNCTION("""COMPUTED_VALUE"""),"TradingTicket")</f>
        <v>TradingTicket</v>
      </c>
      <c r="B453" s="0" t="str">
        <f>IFERROR(__xludf.DUMMYFUNCTION("""COMPUTED_VALUE"""),"SetTTCompliancePreference")</f>
        <v>SetTTCompliancePreference</v>
      </c>
      <c r="C453" s="0" t="str">
        <f>IFERROR(__xludf.DUMMYFUNCTION("""COMPUTED_VALUE"""),"1gOOiQiJSKveyRw21YYv0m2VV5trx-l9sZqzNVA40Sc8")</f>
        <v>1gOOiQiJSKveyRw21YYv0m2VV5trx-l9sZqzNVA40Sc8</v>
      </c>
    </row>
    <row r="454" ht="15.75" customHeight="1">
      <c r="A454" s="0" t="str">
        <f>IFERROR(__xludf.DUMMYFUNCTION("""COMPUTED_VALUE"""),"Rebalancer")</f>
        <v>Rebalancer</v>
      </c>
      <c r="B454" s="0" t="str">
        <f>IFERROR(__xludf.DUMMYFUNCTION("""COMPUTED_VALUE"""),"LockandUnlockGridData")</f>
        <v>LockandUnlockGridData</v>
      </c>
      <c r="C454" s="0" t="str">
        <f>IFERROR(__xludf.DUMMYFUNCTION("""COMPUTED_VALUE"""),"1DO2kiuySeBrdw-FrV0IYgBcHEHdO56ih8X2yodtEv_w")</f>
        <v>1DO2kiuySeBrdw-FrV0IYgBcHEHdO56ih8X2yodtEv_w</v>
      </c>
    </row>
    <row r="455" ht="15.75" customHeight="1">
      <c r="A455" s="0" t="str">
        <f>IFERROR(__xludf.DUMMYFUNCTION("""COMPUTED_VALUE"""),"Allocation")</f>
        <v>Allocation</v>
      </c>
      <c r="B455" s="0" t="str">
        <f>IFERROR(__xludf.DUMMYFUNCTION("""COMPUTED_VALUE"""),"SetTradeAttributePreferences")</f>
        <v>SetTradeAttributePreferences</v>
      </c>
      <c r="C455" s="0" t="str">
        <f>IFERROR(__xludf.DUMMYFUNCTION("""COMPUTED_VALUE"""),"1dN2leQSssJt9dSc9XBrW1dbIBOLPLbP7aD2QXcqVoYI")</f>
        <v>1dN2leQSssJt9dSc9XBrW1dbIBOLPLbP7aD2QXcqVoYI</v>
      </c>
    </row>
    <row r="456" ht="15.75" customHeight="1">
      <c r="A456" s="0" t="str">
        <f>IFERROR(__xludf.DUMMYFUNCTION("""COMPUTED_VALUE"""),"GeneralLedger")</f>
        <v>GeneralLedger</v>
      </c>
      <c r="B456" s="0" t="str">
        <f>IFERROR(__xludf.DUMMYFUNCTION("""COMPUTED_VALUE"""),"VerifyAccountBalances")</f>
        <v>VerifyAccountBalances</v>
      </c>
      <c r="C456" s="0" t="str">
        <f>IFERROR(__xludf.DUMMYFUNCTION("""COMPUTED_VALUE"""),"1_Bb0NJhmEZf0GRznXLKybd9VevZ8za-sCX4G7B4qtsM")</f>
        <v>1_Bb0NJhmEZf0GRznXLKybd9VevZ8za-sCX4G7B4qtsM</v>
      </c>
    </row>
    <row r="457" ht="15.75" customHeight="1">
      <c r="A457" s="0" t="str">
        <f>IFERROR(__xludf.DUMMYFUNCTION("""COMPUTED_VALUE"""),"Rebalancer")</f>
        <v>Rebalancer</v>
      </c>
      <c r="B457" s="0" t="str">
        <f>IFERROR(__xludf.DUMMYFUNCTION("""COMPUTED_VALUE"""),"RefreshGridData")</f>
        <v>RefreshGridData</v>
      </c>
      <c r="C457" s="0" t="str">
        <f>IFERROR(__xludf.DUMMYFUNCTION("""COMPUTED_VALUE"""),"1eXT2UFbktlYGRbqw2LWDBJOU8xuu3DfP6EZDAMps2jg")</f>
        <v>1eXT2UFbktlYGRbqw2LWDBJOU8xuu3DfP6EZDAMps2jg</v>
      </c>
    </row>
    <row r="458" ht="15.75" customHeight="1">
      <c r="A458" s="0" t="str">
        <f>IFERROR(__xludf.DUMMYFUNCTION("""COMPUTED_VALUE"""),"GeneralLedger")</f>
        <v>GeneralLedger</v>
      </c>
      <c r="B458" s="0" t="str">
        <f>IFERROR(__xludf.DUMMYFUNCTION("""COMPUTED_VALUE"""),"AddMultipleOpeningBalTranItem")</f>
        <v>AddMultipleOpeningBalTranItem</v>
      </c>
      <c r="C458" s="0" t="str">
        <f>IFERROR(__xludf.DUMMYFUNCTION("""COMPUTED_VALUE"""),"11A7t3ReNCtqF9GmtCIeyqSvuLyXTOIz6Z7rrR1rcLxU")</f>
        <v>11A7t3ReNCtqF9GmtCIeyqSvuLyXTOIz6Z7rrR1rcLxU</v>
      </c>
    </row>
    <row r="459" ht="15.75" customHeight="1">
      <c r="A459" s="0" t="str">
        <f>IFERROR(__xludf.DUMMYFUNCTION("""COMPUTED_VALUE"""),"Import")</f>
        <v>Import</v>
      </c>
      <c r="B459" s="0" t="str">
        <f>IFERROR(__xludf.DUMMYFUNCTION("""COMPUTED_VALUE"""),"ApplyFilterOnImport")</f>
        <v>ApplyFilterOnImport</v>
      </c>
      <c r="C459" s="0" t="str">
        <f>IFERROR(__xludf.DUMMYFUNCTION("""COMPUTED_VALUE"""),"1X_Y_CvwjwEfeRv6rV15vWdCxvbtSeiwVqa6n3rAtKrs")</f>
        <v>1X_Y_CvwjwEfeRv6rV15vWdCxvbtSeiwVqa6n3rAtKrs</v>
      </c>
    </row>
    <row r="460" ht="15.75" customHeight="1">
      <c r="A460" s="0" t="str">
        <f>IFERROR(__xludf.DUMMYFUNCTION("""COMPUTED_VALUE"""),"Rebalancer")</f>
        <v>Rebalancer</v>
      </c>
      <c r="B460" s="0" t="str">
        <f>IFERROR(__xludf.DUMMYFUNCTION("""COMPUTED_VALUE"""),"SendtoStaging")</f>
        <v>SendtoStaging</v>
      </c>
      <c r="C460" s="0" t="str">
        <f>IFERROR(__xludf.DUMMYFUNCTION("""COMPUTED_VALUE"""),"1Xnuh_Wo19bTeQK24IGGha1PcZfjhUkK-31O4OTo-8gk")</f>
        <v>1Xnuh_Wo19bTeQK24IGGha1PcZfjhUkK-31O4OTo-8gk</v>
      </c>
    </row>
    <row r="461" ht="15.75" customHeight="1">
      <c r="A461" s="0" t="str">
        <f>IFERROR(__xludf.DUMMYFUNCTION("""COMPUTED_VALUE"""),"Rebalancer")</f>
        <v>Rebalancer</v>
      </c>
      <c r="B461" s="0" t="str">
        <f>IFERROR(__xludf.DUMMYFUNCTION("""COMPUTED_VALUE"""),"SendToStagingExport")</f>
        <v>SendToStagingExport</v>
      </c>
      <c r="C461" s="0" t="str">
        <f>IFERROR(__xludf.DUMMYFUNCTION("""COMPUTED_VALUE"""),"1OPD3lVtYSDe_XHE5HwEohhSSru0N2Ct-tsJMahW36gA")</f>
        <v>1OPD3lVtYSDe_XHE5HwEohhSSru0N2Ct-tsJMahW36gA</v>
      </c>
    </row>
    <row r="462" ht="15.75" customHeight="1">
      <c r="A462" s="0" t="str">
        <f>IFERROR(__xludf.DUMMYFUNCTION("""COMPUTED_VALUE"""),"PTT")</f>
        <v>PTT</v>
      </c>
      <c r="B462" s="0" t="str">
        <f>IFERROR(__xludf.DUMMYFUNCTION("""COMPUTED_VALUE"""),"SetDefaultSymbology")</f>
        <v>SetDefaultSymbology</v>
      </c>
      <c r="C462" s="0" t="str">
        <f>IFERROR(__xludf.DUMMYFUNCTION("""COMPUTED_VALUE"""),"1KdWYL-9o3T_s8hnOZgoqVlgZifoowhBftf1dB8UUEjA")</f>
        <v>1KdWYL-9o3T_s8hnOZgoqVlgZifoowhBftf1dB8UUEjA</v>
      </c>
    </row>
    <row r="463" ht="15.75" customHeight="1">
      <c r="A463" s="0" t="str">
        <f>IFERROR(__xludf.DUMMYFUNCTION("""COMPUTED_VALUE"""),"Allocation")</f>
        <v>Allocation</v>
      </c>
      <c r="B463" s="0" t="str">
        <f>IFERROR(__xludf.DUMMYFUNCTION("""COMPUTED_VALUE"""),"EnterCustomAllocatePreference")</f>
        <v>EnterCustomAllocatePreference</v>
      </c>
      <c r="C463" s="0" t="str">
        <f>IFERROR(__xludf.DUMMYFUNCTION("""COMPUTED_VALUE"""),"1kexOrwBiHtqG3kWPF004vh7Uh_fsxYODz7FwJELyxHs")</f>
        <v>1kexOrwBiHtqG3kWPF004vh7Uh_fsxYODz7FwJELyxHs</v>
      </c>
    </row>
    <row r="464" ht="15.75" customHeight="1">
      <c r="A464" s="0" t="str">
        <f>IFERROR(__xludf.DUMMYFUNCTION("""COMPUTED_VALUE"""),"PTT")</f>
        <v>PTT</v>
      </c>
      <c r="B464" s="0" t="str">
        <f>IFERROR(__xludf.DUMMYFUNCTION("""COMPUTED_VALUE"""),"EditPTTAccountLevelWPF")</f>
        <v>EditPTTAccountLevelWPF</v>
      </c>
      <c r="C464" s="0" t="str">
        <f>IFERROR(__xludf.DUMMYFUNCTION("""COMPUTED_VALUE"""),"1FOz3pvVXQqHqNaQZoj1ZAwoakpNcXbTzmGBaHQHWAHg")</f>
        <v>1FOz3pvVXQqHqNaQZoj1ZAwoakpNcXbTzmGBaHQHWAHg</v>
      </c>
    </row>
    <row r="465" ht="15.75" customHeight="1">
      <c r="A465" s="0" t="str">
        <f>IFERROR(__xludf.DUMMYFUNCTION("""COMPUTED_VALUE"""),"PortfolioManagement")</f>
        <v>PortfolioManagement</v>
      </c>
      <c r="B465" s="0" t="str">
        <f>IFERROR(__xludf.DUMMYFUNCTION("""COMPUTED_VALUE"""),"OpenCreateTransactionFromPM")</f>
        <v>OpenCreateTransactionFromPM</v>
      </c>
      <c r="C465" s="0" t="str">
        <f>IFERROR(__xludf.DUMMYFUNCTION("""COMPUTED_VALUE"""),"1P5WpmZxUJFZHJeXXrd3NNkBg8pOhlyvhikvYTRi0xJw")</f>
        <v>1P5WpmZxUJFZHJeXXrd3NNkBg8pOhlyvhikvYTRi0xJw</v>
      </c>
    </row>
    <row r="466" ht="15.75" customHeight="1">
      <c r="A466" s="0" t="str">
        <f>IFERROR(__xludf.DUMMYFUNCTION("""COMPUTED_VALUE"""),"Allocation")</f>
        <v>Allocation</v>
      </c>
      <c r="B466" s="0" t="str">
        <f>IFERROR(__xludf.DUMMYFUNCTION("""COMPUTED_VALUE"""),"SetAutoGroupingPreferences")</f>
        <v>SetAutoGroupingPreferences</v>
      </c>
      <c r="C466" s="0" t="str">
        <f>IFERROR(__xludf.DUMMYFUNCTION("""COMPUTED_VALUE"""),"1AhbrxQBzlUvYhZ04Lc7wrtynsHI_0KCLcf8QD3l6tpk")</f>
        <v>1AhbrxQBzlUvYhZ04Lc7wrtynsHI_0KCLcf8QD3l6tpk</v>
      </c>
    </row>
    <row r="467" ht="15.75" customHeight="1">
      <c r="A467" s="0" t="str">
        <f>IFERROR(__xludf.DUMMYFUNCTION("""COMPUTED_VALUE"""),"Allocation")</f>
        <v>Allocation</v>
      </c>
      <c r="B467" s="0" t="str">
        <f>IFERROR(__xludf.DUMMYFUNCTION("""COMPUTED_VALUE"""),"SetAutoGroupingAccount")</f>
        <v>SetAutoGroupingAccount</v>
      </c>
      <c r="C467" s="0" t="str">
        <f>IFERROR(__xludf.DUMMYFUNCTION("""COMPUTED_VALUE"""),"18esH6GBNz1-GV7-ZFJ2hX2Sp9V56SlvmGczGBmWjjgk")</f>
        <v>18esH6GBNz1-GV7-ZFJ2hX2Sp9V56SlvmGczGBmWjjgk</v>
      </c>
    </row>
    <row r="468" ht="15.75" customHeight="1">
      <c r="A468" s="0" t="str">
        <f>IFERROR(__xludf.DUMMYFUNCTION("""COMPUTED_VALUE"""),"Allocation")</f>
        <v>Allocation</v>
      </c>
      <c r="B468" s="0" t="str">
        <f>IFERROR(__xludf.DUMMYFUNCTION("""COMPUTED_VALUE"""),"SetAvgPriceRounding")</f>
        <v>SetAvgPriceRounding</v>
      </c>
      <c r="C468" s="0" t="str">
        <f>IFERROR(__xludf.DUMMYFUNCTION("""COMPUTED_VALUE"""),"1rkw9xlq4Ee01gKbFKqk4K6RIEIEZdOXtofMrjBh_3qs")</f>
        <v>1rkw9xlq4Ee01gKbFKqk4K6RIEIEZdOXtofMrjBh_3qs</v>
      </c>
    </row>
    <row r="469" ht="15.75" customHeight="1">
      <c r="A469" s="0" t="str">
        <f>IFERROR(__xludf.DUMMYFUNCTION("""COMPUTED_VALUE"""),"Admin")</f>
        <v>Admin</v>
      </c>
      <c r="B469" s="0" t="str">
        <f>IFERROR(__xludf.DUMMYFUNCTION("""COMPUTED_VALUE"""),"SetActive")</f>
        <v>SetActive</v>
      </c>
      <c r="C469" s="0" t="str">
        <f>IFERROR(__xludf.DUMMYFUNCTION("""COMPUTED_VALUE"""),"1gUu6sYSTqVEyjUlOCoeeIVztfrHW4NwiHtVAghjPiO0")</f>
        <v>1gUu6sYSTqVEyjUlOCoeeIVztfrHW4NwiHtVAghjPiO0</v>
      </c>
    </row>
    <row r="470" ht="15.75" customHeight="1">
      <c r="A470" s="0" t="str">
        <f>IFERROR(__xludf.DUMMYFUNCTION("""COMPUTED_VALUE"""),"Admin")</f>
        <v>Admin</v>
      </c>
      <c r="B470" s="0" t="str">
        <f>IFERROR(__xludf.DUMMYFUNCTION("""COMPUTED_VALUE"""),"SetThirdPartyFormat")</f>
        <v>SetThirdPartyFormat</v>
      </c>
      <c r="C470" s="0" t="str">
        <f>IFERROR(__xludf.DUMMYFUNCTION("""COMPUTED_VALUE"""),"1taVilha9wCvlWWrWySxYHIg1IUM3Js0xeAEsGXu1wb4")</f>
        <v>1taVilha9wCvlWWrWySxYHIg1IUM3Js0xeAEsGXu1wb4</v>
      </c>
    </row>
    <row r="471" ht="15.75" customHeight="1">
      <c r="A471" s="0" t="str">
        <f>IFERROR(__xludf.DUMMYFUNCTION("""COMPUTED_VALUE"""),"Admin")</f>
        <v>Admin</v>
      </c>
      <c r="B471" s="0" t="str">
        <f>IFERROR(__xludf.DUMMYFUNCTION("""COMPUTED_VALUE"""),"UpdateRoundLot")</f>
        <v>UpdateRoundLot</v>
      </c>
      <c r="C471" s="0" t="str">
        <f>IFERROR(__xludf.DUMMYFUNCTION("""COMPUTED_VALUE"""),"1vPyYrDAjwQJe-gHSwofvAmZ5sGU32BIPiqw9QJOb7sE")</f>
        <v>1vPyYrDAjwQJe-gHSwofvAmZ5sGU32BIPiqw9QJOb7sE</v>
      </c>
    </row>
    <row r="472" ht="15.75" customHeight="1">
      <c r="A472" s="0" t="str">
        <f>IFERROR(__xludf.DUMMYFUNCTION("""COMPUTED_VALUE"""),"Rebalancer")</f>
        <v>Rebalancer</v>
      </c>
      <c r="B472" s="0" t="str">
        <f>IFERROR(__xludf.DUMMYFUNCTION("""COMPUTED_VALUE"""),"RebalanceViaBloomberg")</f>
        <v>RebalanceViaBloomberg</v>
      </c>
      <c r="C472" s="0" t="str">
        <f>IFERROR(__xludf.DUMMYFUNCTION("""COMPUTED_VALUE"""),"1b_5w3PXwhAeh_pAkVMhtUU4Bo19ZrhM2By_3wd6TgrU")</f>
        <v>1b_5w3PXwhAeh_pAkVMhtUU4Bo19ZrhM2By_3wd6TgrU</v>
      </c>
    </row>
    <row r="473" ht="15.75" customHeight="1">
      <c r="A473" s="0" t="str">
        <f>IFERROR(__xludf.DUMMYFUNCTION("""COMPUTED_VALUE"""),"ThirdParty")</f>
        <v>ThirdParty</v>
      </c>
      <c r="B473" s="0" t="str">
        <f>IFERROR(__xludf.DUMMYFUNCTION("""COMPUTED_VALUE"""),"RefreshThirdParty")</f>
        <v>RefreshThirdParty</v>
      </c>
      <c r="C473" s="0" t="str">
        <f>IFERROR(__xludf.DUMMYFUNCTION("""COMPUTED_VALUE"""),"1_zhn88q1H87WPtNgcDXU0tgtHx0YBJLMCcYxzXXroVs")</f>
        <v>1_zhn88q1H87WPtNgcDXU0tgtHx0YBJLMCcYxzXXroVs</v>
      </c>
    </row>
    <row r="474" ht="15.75" customHeight="1">
      <c r="A474" s="0" t="str">
        <f>IFERROR(__xludf.DUMMYFUNCTION("""COMPUTED_VALUE"""),"Rebalancer")</f>
        <v>Rebalancer</v>
      </c>
      <c r="B474" s="0" t="str">
        <f>IFERROR(__xludf.DUMMYFUNCTION("""COMPUTED_VALUE"""),"AddUserAdjustedNAV")</f>
        <v>AddUserAdjustedNAV</v>
      </c>
      <c r="C474" s="0" t="str">
        <f>IFERROR(__xludf.DUMMYFUNCTION("""COMPUTED_VALUE"""),"1ifdh8xwjLpytsTG8bbxfIam9ZdqvEHGM-CzxVYGEXIs")</f>
        <v>1ifdh8xwjLpytsTG8bbxfIam9ZdqvEHGM-CzxVYGEXIs</v>
      </c>
    </row>
    <row r="475" ht="15.75" customHeight="1">
      <c r="A475" s="0" t="str">
        <f>IFERROR(__xludf.DUMMYFUNCTION("""COMPUTED_VALUE"""),"Allocation")</f>
        <v>Allocation</v>
      </c>
      <c r="B475" s="0" t="str">
        <f>IFERROR(__xludf.DUMMYFUNCTION("""COMPUTED_VALUE"""),"IsAllocationOpen")</f>
        <v>IsAllocationOpen</v>
      </c>
      <c r="C475" s="0" t="str">
        <f>IFERROR(__xludf.DUMMYFUNCTION("""COMPUTED_VALUE"""),"1-MLs_Ww619D0GTJenhKi8JspiyKlENvHCAfkc99ZDXk")</f>
        <v>1-MLs_Ww619D0GTJenhKi8JspiyKlENvHCAfkc99ZDXk</v>
      </c>
    </row>
    <row r="476" ht="15.75" customHeight="1">
      <c r="A476" s="0" t="str">
        <f>IFERROR(__xludf.DUMMYFUNCTION("""COMPUTED_VALUE"""),"ShortLocate")</f>
        <v>ShortLocate</v>
      </c>
      <c r="B476" s="0" t="str">
        <f>IFERROR(__xludf.DUMMYFUNCTION("""COMPUTED_VALUE"""),"ImportOnShortLocate")</f>
        <v>ImportOnShortLocate</v>
      </c>
      <c r="C476" s="0" t="str">
        <f>IFERROR(__xludf.DUMMYFUNCTION("""COMPUTED_VALUE"""),"18TtTrIfDPZ4FY6y6BEM1QWT6a3RezlV2Qgs0VYjta1Y")</f>
        <v>18TtTrIfDPZ4FY6y6BEM1QWT6a3RezlV2Qgs0VYjta1Y</v>
      </c>
    </row>
    <row r="477" ht="15.75" customHeight="1">
      <c r="A477" s="0" t="str">
        <f>IFERROR(__xludf.DUMMYFUNCTION("""COMPUTED_VALUE"""),"ShortLocate")</f>
        <v>ShortLocate</v>
      </c>
      <c r="B477" s="0" t="str">
        <f>IFERROR(__xludf.DUMMYFUNCTION("""COMPUTED_VALUE"""),"ApplyFilterOnShortLocate")</f>
        <v>ApplyFilterOnShortLocate</v>
      </c>
      <c r="C477" s="0" t="str">
        <f>IFERROR(__xludf.DUMMYFUNCTION("""COMPUTED_VALUE"""),"1e-EcYLjI4QLWe-aVZQLSs4AE3HMdDde42AK_ilP7W14")</f>
        <v>1e-EcYLjI4QLWe-aVZQLSs4AE3HMdDde42AK_ilP7W14</v>
      </c>
    </row>
    <row r="478" ht="15.75" customHeight="1">
      <c r="A478" s="0" t="str">
        <f>IFERROR(__xludf.DUMMYFUNCTION("""COMPUTED_VALUE"""),"ShortLocate")</f>
        <v>ShortLocate</v>
      </c>
      <c r="B478" s="0" t="str">
        <f>IFERROR(__xludf.DUMMYFUNCTION("""COMPUTED_VALUE"""),"OpenTTFromShortLocate")</f>
        <v>OpenTTFromShortLocate</v>
      </c>
      <c r="C478" s="0" t="str">
        <f>IFERROR(__xludf.DUMMYFUNCTION("""COMPUTED_VALUE"""),"1uHiyIq7-VOPV7W3fHIxv6wpgB0bdb_j-j33CMdKoHG8")</f>
        <v>1uHiyIq7-VOPV7W3fHIxv6wpgB0bdb_j-j33CMdKoHG8</v>
      </c>
    </row>
    <row r="479" ht="15.75" customHeight="1">
      <c r="A479" s="0" t="str">
        <f>IFERROR(__xludf.DUMMYFUNCTION("""COMPUTED_VALUE"""),"PortfolioManagement")</f>
        <v>PortfolioManagement</v>
      </c>
      <c r="B479" s="0" t="str">
        <f>IFERROR(__xludf.DUMMYFUNCTION("""COMPUTED_VALUE"""),"RemoveGroupingFromPM")</f>
        <v>RemoveGroupingFromPM</v>
      </c>
      <c r="C479" s="0" t="str">
        <f>IFERROR(__xludf.DUMMYFUNCTION("""COMPUTED_VALUE"""),"1a2knGiql1wCzuaB8DKpd6ZNGZ4PU78GHbVc-HCTMRz4")</f>
        <v>1a2knGiql1wCzuaB8DKpd6ZNGZ4PU78GHbVc-HCTMRz4</v>
      </c>
    </row>
    <row r="480" ht="15.75" customHeight="1">
      <c r="A480" s="0" t="str">
        <f>IFERROR(__xludf.DUMMYFUNCTION("""COMPUTED_VALUE"""),"Watchlist")</f>
        <v>Watchlist</v>
      </c>
      <c r="B480" s="0" t="str">
        <f>IFERROR(__xludf.DUMMYFUNCTION("""COMPUTED_VALUE"""),"AddTabOnWatchlist")</f>
        <v>AddTabOnWatchlist</v>
      </c>
      <c r="C480" s="0" t="str">
        <f>IFERROR(__xludf.DUMMYFUNCTION("""COMPUTED_VALUE"""),"1azJ9v2w7AwJhl_0_bAUZne2G_SFJMuLBPzq7954262s")</f>
        <v>1azJ9v2w7AwJhl_0_bAUZne2G_SFJMuLBPzq7954262s</v>
      </c>
    </row>
    <row r="481" ht="15.75" customHeight="1">
      <c r="A481" s="0" t="str">
        <f>IFERROR(__xludf.DUMMYFUNCTION("""COMPUTED_VALUE"""),"Watchlist")</f>
        <v>Watchlist</v>
      </c>
      <c r="B481" s="0" t="str">
        <f>IFERROR(__xludf.DUMMYFUNCTION("""COMPUTED_VALUE"""),"DeleteTabOnWatchlist")</f>
        <v>DeleteTabOnWatchlist</v>
      </c>
      <c r="C481" s="0" t="str">
        <f>IFERROR(__xludf.DUMMYFUNCTION("""COMPUTED_VALUE"""),"1dywOfaMeYMgLGbyodr_rgJqA7HdxAyRDvqwTgOr_FV8")</f>
        <v>1dywOfaMeYMgLGbyodr_rgJqA7HdxAyRDvqwTgOr_FV8</v>
      </c>
    </row>
    <row r="482" ht="15.75" customHeight="1">
      <c r="A482" s="0" t="str">
        <f>IFERROR(__xludf.DUMMYFUNCTION("""COMPUTED_VALUE"""),"ShortLocate")</f>
        <v>ShortLocate</v>
      </c>
      <c r="B482" s="0" t="str">
        <f>IFERROR(__xludf.DUMMYFUNCTION("""COMPUTED_VALUE"""),"Upload")</f>
        <v>Upload</v>
      </c>
      <c r="C482" s="0" t="str">
        <f>IFERROR(__xludf.DUMMYFUNCTION("""COMPUTED_VALUE"""),"1K3403vK5pLvuvcWTXHu1UmgT1GohIYz7DPLRQAD0HCk")</f>
        <v>1K3403vK5pLvuvcWTXHu1UmgT1GohIYz7DPLRQAD0HCk</v>
      </c>
    </row>
    <row r="483" ht="15.75" customHeight="1">
      <c r="A483" s="0" t="str">
        <f>IFERROR(__xludf.DUMMYFUNCTION("""COMPUTED_VALUE"""),"Recon")</f>
        <v>Recon</v>
      </c>
      <c r="B483" s="0" t="str">
        <f>IFERROR(__xludf.DUMMYFUNCTION("""COMPUTED_VALUE"""),"ViewDataOnRecon")</f>
        <v>ViewDataOnRecon</v>
      </c>
      <c r="C483" s="0" t="str">
        <f>IFERROR(__xludf.DUMMYFUNCTION("""COMPUTED_VALUE"""),"1hgvmb7xlOL1LeDD1_c2ehf_CcTQs-NVEQcrj52EgfkY")</f>
        <v>1hgvmb7xlOL1LeDD1_c2ehf_CcTQs-NVEQcrj52EgfkY</v>
      </c>
    </row>
    <row r="484" ht="15.75" customHeight="1">
      <c r="A484" s="0" t="str">
        <f>IFERROR(__xludf.DUMMYFUNCTION("""COMPUTED_VALUE"""),"Recon")</f>
        <v>Recon</v>
      </c>
      <c r="B484" s="0" t="str">
        <f>IFERROR(__xludf.DUMMYFUNCTION("""COMPUTED_VALUE"""),"RunRecon")</f>
        <v>RunRecon</v>
      </c>
      <c r="C484" s="0" t="str">
        <f>IFERROR(__xludf.DUMMYFUNCTION("""COMPUTED_VALUE"""),"1a_lIF-yQ_4BbBIj3H4E_Sa208tyBml3azCVHLulXbZA")</f>
        <v>1a_lIF-yQ_4BbBIj3H4E_Sa208tyBml3azCVHLulXbZA</v>
      </c>
    </row>
    <row r="485" ht="15.75" customHeight="1">
      <c r="A485" s="0" t="str">
        <f>IFERROR(__xludf.DUMMYFUNCTION("""COMPUTED_VALUE"""),"Recon")</f>
        <v>Recon</v>
      </c>
      <c r="B485" s="0" t="str">
        <f>IFERROR(__xludf.DUMMYFUNCTION("""COMPUTED_VALUE"""),"GenerateExceptionReport")</f>
        <v>GenerateExceptionReport</v>
      </c>
      <c r="C485" s="0" t="str">
        <f>IFERROR(__xludf.DUMMYFUNCTION("""COMPUTED_VALUE"""),"1hLXxcwsJweMSg5Go7Aa_QZphxBktbdPjlASa0S1xBos")</f>
        <v>1hLXxcwsJweMSg5Go7Aa_QZphxBktbdPjlASa0S1xBos</v>
      </c>
    </row>
    <row r="486" ht="15.75" customHeight="1">
      <c r="A486" s="0" t="str">
        <f>IFERROR(__xludf.DUMMYFUNCTION("""COMPUTED_VALUE"""),"Recon")</f>
        <v>Recon</v>
      </c>
      <c r="B486" s="0" t="str">
        <f>IFERROR(__xludf.DUMMYFUNCTION("""COMPUTED_VALUE"""),"ImportDataOnRecon")</f>
        <v>ImportDataOnRecon</v>
      </c>
      <c r="C486" s="0" t="str">
        <f>IFERROR(__xludf.DUMMYFUNCTION("""COMPUTED_VALUE"""),"1NPXdEV4aauKt592s3ZSJRLqkCido8G_bhh0amZ9aT9g")</f>
        <v>1NPXdEV4aauKt592s3ZSJRLqkCido8G_bhh0amZ9aT9g</v>
      </c>
    </row>
    <row r="487" ht="15.75" customHeight="1">
      <c r="A487" s="0" t="str">
        <f>IFERROR(__xludf.DUMMYFUNCTION("""COMPUTED_VALUE"""),"ShortLocate")</f>
        <v>ShortLocate</v>
      </c>
      <c r="B487" s="0" t="str">
        <f>IFERROR(__xludf.DUMMYFUNCTION("""COMPUTED_VALUE"""),"VerifyShortLocateGrid")</f>
        <v>VerifyShortLocateGrid</v>
      </c>
      <c r="C487" s="0" t="str">
        <f>IFERROR(__xludf.DUMMYFUNCTION("""COMPUTED_VALUE"""),"1l0BuHlCc_a8ajF2i2LyuIx-ihrOOGibGtDl3YzOfSEY")</f>
        <v>1l0BuHlCc_a8ajF2i2LyuIx-ihrOOGibGtDl3YzOfSEY</v>
      </c>
    </row>
    <row r="488" ht="15.75" customHeight="1">
      <c r="A488" s="0" t="str">
        <f>IFERROR(__xludf.DUMMYFUNCTION("""COMPUTED_VALUE"""),"Recon")</f>
        <v>Recon</v>
      </c>
      <c r="B488" s="0" t="str">
        <f>IFERROR(__xludf.DUMMYFUNCTION("""COMPUTED_VALUE"""),"VerifyApplicationData")</f>
        <v>VerifyApplicationData</v>
      </c>
      <c r="C488" s="0" t="str">
        <f>IFERROR(__xludf.DUMMYFUNCTION("""COMPUTED_VALUE"""),"1Dpr8WIv6TDBK0rxjxSy_MqWbkp0VcPh0dzzq05jelwk")</f>
        <v>1Dpr8WIv6TDBK0rxjxSy_MqWbkp0VcPh0dzzq05jelwk</v>
      </c>
    </row>
    <row r="489" ht="15.75" customHeight="1">
      <c r="A489" s="0" t="str">
        <f>IFERROR(__xludf.DUMMYFUNCTION("""COMPUTED_VALUE"""),"Recon")</f>
        <v>Recon</v>
      </c>
      <c r="B489" s="0" t="str">
        <f>IFERROR(__xludf.DUMMYFUNCTION("""COMPUTED_VALUE"""),"VerifyExceptionReport")</f>
        <v>VerifyExceptionReport</v>
      </c>
      <c r="C489" s="0" t="str">
        <f>IFERROR(__xludf.DUMMYFUNCTION("""COMPUTED_VALUE"""),"1vn6eAU_TNbjFlzAIJE-M1vn49jstJpRKNVt1ALlVQus")</f>
        <v>1vn6eAU_TNbjFlzAIJE-M1vn49jstJpRKNVt1ALlVQus</v>
      </c>
    </row>
    <row r="490" ht="15.75" customHeight="1">
      <c r="A490" s="0" t="str">
        <f>IFERROR(__xludf.DUMMYFUNCTION("""COMPUTED_VALUE"""),"Recon")</f>
        <v>Recon</v>
      </c>
      <c r="B490" s="0" t="str">
        <f>IFERROR(__xludf.DUMMYFUNCTION("""COMPUTED_VALUE"""),"VerifyPrimeBrokerData")</f>
        <v>VerifyPrimeBrokerData</v>
      </c>
      <c r="C490" s="0" t="str">
        <f>IFERROR(__xludf.DUMMYFUNCTION("""COMPUTED_VALUE"""),"1vO08eQ3WtVgvFFa4m5QUSWEYmv1ZOhFWcta7Kzp1MBQ")</f>
        <v>1vO08eQ3WtVgvFFa4m5QUSWEYmv1ZOhFWcta7Kzp1MBQ</v>
      </c>
    </row>
    <row r="491" ht="15.75" customHeight="1">
      <c r="A491" s="0" t="str">
        <f>IFERROR(__xludf.DUMMYFUNCTION("""COMPUTED_VALUE"""),"Admin")</f>
        <v>Admin</v>
      </c>
      <c r="B491" s="0" t="str">
        <f>IFERROR(__xludf.DUMMYFUNCTION("""COMPUTED_VALUE"""),"SetTradingComplianceRules")</f>
        <v>SetTradingComplianceRules</v>
      </c>
      <c r="C491" s="0" t="str">
        <f>IFERROR(__xludf.DUMMYFUNCTION("""COMPUTED_VALUE"""),"1bIqD5onAh5fgPov8t1pUC5b4a9exQ5D7TG3YiT7HTiQ")</f>
        <v>1bIqD5onAh5fgPov8t1pUC5b4a9exQ5D7TG3YiT7HTiQ</v>
      </c>
    </row>
    <row r="492" ht="15.75" customHeight="1">
      <c r="A492" s="0" t="str">
        <f>IFERROR(__xludf.DUMMYFUNCTION("""COMPUTED_VALUE"""),"TradingTicket")</f>
        <v>TradingTicket</v>
      </c>
      <c r="B492" s="0" t="str">
        <f>IFERROR(__xludf.DUMMYFUNCTION("""COMPUTED_VALUE"""),"ImportSymbol")</f>
        <v>ImportSymbol</v>
      </c>
      <c r="C492" s="0" t="str">
        <f>IFERROR(__xludf.DUMMYFUNCTION("""COMPUTED_VALUE"""),"1oBs-bjVGuZxR8kCsLcXR9mY_XazhDhrpRb2xJaLqs_E")</f>
        <v>1oBs-bjVGuZxR8kCsLcXR9mY_XazhDhrpRb2xJaLqs_E</v>
      </c>
    </row>
    <row r="493" ht="15.75" customHeight="1">
      <c r="A493" s="0" t="str">
        <f>IFERROR(__xludf.DUMMYFUNCTION("""COMPUTED_VALUE"""),"TradingTicket")</f>
        <v>TradingTicket</v>
      </c>
      <c r="B493" s="0" t="str">
        <f>IFERROR(__xludf.DUMMYFUNCTION("""COMPUTED_VALUE"""),"ExportSymbolFromRAList")</f>
        <v>ExportSymbolFromRAList</v>
      </c>
      <c r="C493" s="0" t="str">
        <f>IFERROR(__xludf.DUMMYFUNCTION("""COMPUTED_VALUE"""),"1xtzuWBhZe0eLq8O7xxtzG82zLI_pS5mUV_moECZdNpU")</f>
        <v>1xtzuWBhZe0eLq8O7xxtzG82zLI_pS5mUV_moECZdNpU</v>
      </c>
    </row>
    <row r="494" ht="15.75" customHeight="1">
      <c r="A494" s="0" t="str">
        <f>IFERROR(__xludf.DUMMYFUNCTION("""COMPUTED_VALUE"""),"TradingTicket")</f>
        <v>TradingTicket</v>
      </c>
      <c r="B494" s="0" t="str">
        <f>IFERROR(__xludf.DUMMYFUNCTION("""COMPUTED_VALUE""")," CheckPendingNewOrderAlert")</f>
        <v> CheckPendingNewOrderAlert</v>
      </c>
      <c r="C494" s="0" t="str">
        <f>IFERROR(__xludf.DUMMYFUNCTION("""COMPUTED_VALUE"""),"1Uee-x9kYITNzfo5Jmi-ZzN4muIc1l3aGkFEjg6zK4rw")</f>
        <v>1Uee-x9kYITNzfo5Jmi-ZzN4muIc1l3aGkFEjg6zK4rw</v>
      </c>
    </row>
    <row r="495" ht="15.75" customHeight="1">
      <c r="A495" s="0" t="str">
        <f>IFERROR(__xludf.DUMMYFUNCTION("""COMPUTED_VALUE"""),"TradingTicket")</f>
        <v>TradingTicket</v>
      </c>
      <c r="B495" s="0" t="str">
        <f>IFERROR(__xludf.DUMMYFUNCTION("""COMPUTED_VALUE"""),"AddSymbolOnRAList")</f>
        <v>AddSymbolOnRAList</v>
      </c>
      <c r="C495" s="0" t="str">
        <f>IFERROR(__xludf.DUMMYFUNCTION("""COMPUTED_VALUE"""),"1Ylf1m_iypjthZ6_f8Zwlk6GflWigvWKGFKPUkF0Lw3M")</f>
        <v>1Ylf1m_iypjthZ6_f8Zwlk6GflWigvWKGFKPUkF0Lw3M</v>
      </c>
    </row>
    <row r="496" ht="15.75" customHeight="1">
      <c r="A496" s="0" t="str">
        <f>IFERROR(__xludf.DUMMYFUNCTION("""COMPUTED_VALUE"""),"TradingTicket")</f>
        <v>TradingTicket</v>
      </c>
      <c r="B496" s="0" t="str">
        <f>IFERROR(__xludf.DUMMYFUNCTION("""COMPUTED_VALUE"""),"DeleteSymbolListFromRA")</f>
        <v>DeleteSymbolListFromRA</v>
      </c>
      <c r="C496" s="0" t="str">
        <f>IFERROR(__xludf.DUMMYFUNCTION("""COMPUTED_VALUE"""),"18mAZrsY4iORaJ31tWyzQUe_E2I0WZiducaWhtQhI1bo")</f>
        <v>18mAZrsY4iORaJ31tWyzQUe_E2I0WZiducaWhtQhI1bo</v>
      </c>
    </row>
    <row r="497" ht="15.75" customHeight="1">
      <c r="A497" s="0" t="str">
        <f>IFERROR(__xludf.DUMMYFUNCTION("""COMPUTED_VALUE"""),"TradingTicket")</f>
        <v>TradingTicket</v>
      </c>
      <c r="B497" s="0" t="str">
        <f>IFERROR(__xludf.DUMMYFUNCTION("""COMPUTED_VALUE"""),"RemoveSymbolFromRAList")</f>
        <v>RemoveSymbolFromRAList</v>
      </c>
      <c r="C497" s="0" t="str">
        <f>IFERROR(__xludf.DUMMYFUNCTION("""COMPUTED_VALUE"""),"14z6QrYYlP1TDKDUb39O0_rjdC6MZsyDDHft5bKbFe7Y")</f>
        <v>14z6QrYYlP1TDKDUb39O0_rjdC6MZsyDDHft5bKbFe7Y</v>
      </c>
    </row>
    <row r="498" ht="15.75" customHeight="1">
      <c r="A498" s="0" t="str">
        <f>IFERROR(__xludf.DUMMYFUNCTION("""COMPUTED_VALUE"""),"Report")</f>
        <v>Report</v>
      </c>
      <c r="B498" s="0" t="str">
        <f>IFERROR(__xludf.DUMMYFUNCTION("""COMPUTED_VALUE"""),"ReportMatching")</f>
        <v>ReportMatching</v>
      </c>
      <c r="C498" s="0" t="str">
        <f>IFERROR(__xludf.DUMMYFUNCTION("""COMPUTED_VALUE"""),"1cUl6l-zlpV-4qvapXc106s6KeXaODz51BbbafJiEu1o")</f>
        <v>1cUl6l-zlpV-4qvapXc106s6KeXaODz51BbbafJiEu1o</v>
      </c>
    </row>
    <row r="499" ht="15.75" customHeight="1">
      <c r="A499" s="0" t="str">
        <f>IFERROR(__xludf.DUMMYFUNCTION("""COMPUTED_VALUE"""),"Admin")</f>
        <v>Admin</v>
      </c>
      <c r="B499" s="0" t="str">
        <f>IFERROR(__xludf.DUMMYFUNCTION("""COMPUTED_VALUE"""),"EnableBreakdownRealizedPNL")</f>
        <v>EnableBreakdownRealizedPNL</v>
      </c>
      <c r="C499" s="0" t="str">
        <f>IFERROR(__xludf.DUMMYFUNCTION("""COMPUTED_VALUE"""),"1wcOWSlWdG4WrRltcCk8absTbbQd4rfzbEvV0Z6QnDIw")</f>
        <v>1wcOWSlWdG4WrRltcCk8absTbbQd4rfzbEvV0Z6QnDIw</v>
      </c>
    </row>
    <row r="500" ht="15.75" customHeight="1">
      <c r="A500" s="0" t="str">
        <f>IFERROR(__xludf.DUMMYFUNCTION("""COMPUTED_VALUE"""),"Admin")</f>
        <v>Admin</v>
      </c>
      <c r="B500" s="0" t="str">
        <f>IFERROR(__xludf.DUMMYFUNCTION("""COMPUTED_VALUE"""),"SetTTGeneralPreferences")</f>
        <v>SetTTGeneralPreferences</v>
      </c>
      <c r="C500" s="0" t="str">
        <f>IFERROR(__xludf.DUMMYFUNCTION("""COMPUTED_VALUE"""),"16Tth7MhAr108iP6FoFBCWQNX3Hmi5JoCWiuEzBw-oDs")</f>
        <v>16Tth7MhAr108iP6FoFBCWQNX3Hmi5JoCWiuEzBw-oDs</v>
      </c>
    </row>
    <row r="501" ht="15.75" customHeight="1">
      <c r="A501" s="0" t="str">
        <f>IFERROR(__xludf.DUMMYFUNCTION("""COMPUTED_VALUE"""),"Blotter")</f>
        <v>Blotter</v>
      </c>
      <c r="B501" s="0" t="str">
        <f>IFERROR(__xludf.DUMMYFUNCTION("""COMPUTED_VALUE"""),"OpenBlotter")</f>
        <v>OpenBlotter</v>
      </c>
      <c r="C501" s="0" t="str">
        <f>IFERROR(__xludf.DUMMYFUNCTION("""COMPUTED_VALUE"""),"1l2IXt5uxs1t4URHUX-BmZTtbv2Q2iQVM5OFWXazn3Wc")</f>
        <v>1l2IXt5uxs1t4URHUX-BmZTtbv2Q2iQVM5OFWXazn3Wc</v>
      </c>
    </row>
    <row r="502" ht="15.75" customHeight="1">
      <c r="A502" s="0" t="str">
        <f>IFERROR(__xludf.DUMMYFUNCTION("""COMPUTED_VALUE"""),"ExeExecutor")</f>
        <v>ExeExecutor</v>
      </c>
      <c r="B502" s="0" t="str">
        <f>IFERROR(__xludf.DUMMYFUNCTION("""COMPUTED_VALUE"""),"CallExeExecutor")</f>
        <v>CallExeExecutor</v>
      </c>
      <c r="C502" s="0" t="str">
        <f>IFERROR(__xludf.DUMMYFUNCTION("""COMPUTED_VALUE"""),"1_4imnW45MZPZdDQqRFOTudFEJKoWNdNsFhqwsPVjiyI")</f>
        <v>1_4imnW45MZPZdDQqRFOTudFEJKoWNdNsFhqwsPVjiyI</v>
      </c>
    </row>
    <row r="503" ht="15.75" customHeight="1">
      <c r="A503" s="0" t="str">
        <f>IFERROR(__xludf.DUMMYFUNCTION("""COMPUTED_VALUE"""),"TradingTicket")</f>
        <v>TradingTicket</v>
      </c>
      <c r="B503" s="0" t="str">
        <f>IFERROR(__xludf.DUMMYFUNCTION("""COMPUTED_VALUE"""),"ToggleBlombergOnRA")</f>
        <v>ToggleBlombergOnRA</v>
      </c>
      <c r="C503" s="0" t="str">
        <f>IFERROR(__xludf.DUMMYFUNCTION("""COMPUTED_VALUE"""),"1QO8L98pM1tM7XV0KByn2LfhNUlfBr61uBaOgp8tlTrY")</f>
        <v>1QO8L98pM1tM7XV0KByn2LfhNUlfBr61uBaOgp8tlTrY</v>
      </c>
    </row>
    <row r="504" ht="15.75" customHeight="1">
      <c r="A504" s="0" t="str">
        <f>IFERROR(__xludf.DUMMYFUNCTION("""COMPUTED_VALUE"""),"Blotter")</f>
        <v>Blotter</v>
      </c>
      <c r="B504" s="0" t="str">
        <f>IFERROR(__xludf.DUMMYFUNCTION("""COMPUTED_VALUE"""),"RemoveManualExecution")</f>
        <v>RemoveManualExecution</v>
      </c>
      <c r="C504" s="0" t="str">
        <f>IFERROR(__xludf.DUMMYFUNCTION("""COMPUTED_VALUE"""),"1El5uRwN8Zwko5NwYgHohK1zpiRKkh_YePJ0cX2E3glo")</f>
        <v>1El5uRwN8Zwko5NwYgHohK1zpiRKkh_YePJ0cX2E3glo</v>
      </c>
    </row>
    <row r="505" ht="15.75" customHeight="1">
      <c r="A505" s="0" t="str">
        <f>IFERROR(__xludf.DUMMYFUNCTION("""COMPUTED_VALUE"""),"Blotter")</f>
        <v>Blotter</v>
      </c>
      <c r="B505" s="0" t="str">
        <f>IFERROR(__xludf.DUMMYFUNCTION("""COMPUTED_VALUE"""),"RemoveExecutionWorkingSubs")</f>
        <v>RemoveExecutionWorkingSubs</v>
      </c>
      <c r="C505" s="0" t="str">
        <f>IFERROR(__xludf.DUMMYFUNCTION("""COMPUTED_VALUE"""),"1Gty3Ew09-jbNIs7SPwjiMC4qk0nDYdsdjNgVHEdl6r0")</f>
        <v>1Gty3Ew09-jbNIs7SPwjiMC4qk0nDYdsdjNgVHEdl6r0</v>
      </c>
    </row>
    <row r="506" ht="15.75" customHeight="1">
      <c r="A506" s="0" t="str">
        <f>IFERROR(__xludf.DUMMYFUNCTION("""COMPUTED_VALUE"""),"Dropcopy")</f>
        <v>Dropcopy</v>
      </c>
      <c r="B506" s="0" t="str">
        <f>IFERROR(__xludf.DUMMYFUNCTION("""COMPUTED_VALUE"""),"UploadDropcopyFile")</f>
        <v>UploadDropcopyFile</v>
      </c>
      <c r="C506" s="0" t="str">
        <f>IFERROR(__xludf.DUMMYFUNCTION("""COMPUTED_VALUE"""),"1h8dY4l_y7yym8l9hTXHVlg3E6GsG52_9KIo5GFjmA8k")</f>
        <v>1h8dY4l_y7yym8l9hTXHVlg3E6GsG52_9KIo5GFjmA8k</v>
      </c>
    </row>
    <row r="507" ht="15.75" customHeight="1">
      <c r="A507" s="0" t="str">
        <f>IFERROR(__xludf.DUMMYFUNCTION("""COMPUTED_VALUE"""),"TradeServer")</f>
        <v>TradeServer</v>
      </c>
      <c r="B507" s="0" t="str">
        <f>IFERROR(__xludf.DUMMYFUNCTION("""COMPUTED_VALUE"""),"StartTradeServer")</f>
        <v>StartTradeServer</v>
      </c>
      <c r="C507" s="0" t="str">
        <f>IFERROR(__xludf.DUMMYFUNCTION("""COMPUTED_VALUE"""),"1dwpz97u-suG-Fl1p7vL-LH_dugKcjjOV8oBHWhL-Ggg")</f>
        <v>1dwpz97u-suG-Fl1p7vL-LH_dugKcjjOV8oBHWhL-Ggg</v>
      </c>
    </row>
    <row r="508" ht="15.75" customHeight="1">
      <c r="A508" s="0" t="str">
        <f>IFERROR(__xludf.DUMMYFUNCTION("""COMPUTED_VALUE"""),"TradeServer")</f>
        <v>TradeServer</v>
      </c>
      <c r="B508" s="0" t="str">
        <f>IFERROR(__xludf.DUMMYFUNCTION("""COMPUTED_VALUE"""),"CloseTradeServer ")</f>
        <v>CloseTradeServer </v>
      </c>
      <c r="C508" s="0" t="str">
        <f>IFERROR(__xludf.DUMMYFUNCTION("""COMPUTED_VALUE"""),"1RUpNNC94eo6CzUCyYXnEgJjNJNHljZmxUqpU88hDqvo")</f>
        <v>1RUpNNC94eo6CzUCyYXnEgJjNJNHljZmxUqpU88hDqvo</v>
      </c>
    </row>
    <row r="509" ht="15.75" customHeight="1">
      <c r="A509" s="0" t="str">
        <f>IFERROR(__xludf.DUMMYFUNCTION("""COMPUTED_VALUE"""),"Blotter")</f>
        <v>Blotter</v>
      </c>
      <c r="B509" s="0" t="str">
        <f>IFERROR(__xludf.DUMMYFUNCTION("""COMPUTED_VALUE"""),"GetExecutionReportOrders")</f>
        <v>GetExecutionReportOrders</v>
      </c>
      <c r="C509" s="0" t="str">
        <f>IFERROR(__xludf.DUMMYFUNCTION("""COMPUTED_VALUE"""),"1AFiNBanUg4LBaZwE0sKs99uF_4CT4Qq3z4KSYaBlk8s")</f>
        <v>1AFiNBanUg4LBaZwE0sKs99uF_4CT4Qq3z4KSYaBlk8s</v>
      </c>
    </row>
    <row r="510" ht="15.75" customHeight="1">
      <c r="A510" s="0" t="str">
        <f>IFERROR(__xludf.DUMMYFUNCTION("""COMPUTED_VALUE"""),"Blotter")</f>
        <v>Blotter</v>
      </c>
      <c r="B510" s="0" t="str">
        <f>IFERROR(__xludf.DUMMYFUNCTION("""COMPUTED_VALUE"""),"GetExecutionReportDetails")</f>
        <v>GetExecutionReportDetails</v>
      </c>
      <c r="C510" s="0" t="str">
        <f>IFERROR(__xludf.DUMMYFUNCTION("""COMPUTED_VALUE"""),"1Ns2Ww-kwbzOvCy0I9cUznz2PW19y3SgMCpf0oi4ieAA")</f>
        <v>1Ns2Ww-kwbzOvCy0I9cUznz2PW19y3SgMCpf0oi4ieAA</v>
      </c>
    </row>
    <row r="511" ht="15.75" customHeight="1">
      <c r="A511" s="0" t="str">
        <f>IFERROR(__xludf.DUMMYFUNCTION("""COMPUTED_VALUE"""),"Blotter")</f>
        <v>Blotter</v>
      </c>
      <c r="B511" s="0" t="str">
        <f>IFERROR(__xludf.DUMMYFUNCTION("""COMPUTED_VALUE"""),"ExportExecutionReportData")</f>
        <v>ExportExecutionReportData</v>
      </c>
      <c r="C511" s="0" t="str">
        <f>IFERROR(__xludf.DUMMYFUNCTION("""COMPUTED_VALUE"""),"1LAiUKfzdOor0ACQpWIfOZgQ4MfnhBXObmZFMPVXU20w")</f>
        <v>1LAiUKfzdOor0ACQpWIfOZgQ4MfnhBXObmZFMPVXU20w</v>
      </c>
    </row>
    <row r="512" ht="15.75" customHeight="1">
      <c r="A512" s="0" t="str">
        <f>IFERROR(__xludf.DUMMYFUNCTION("""COMPUTED_VALUE"""),"Blotter")</f>
        <v>Blotter</v>
      </c>
      <c r="B512" s="0" t="str">
        <f>IFERROR(__xludf.DUMMYFUNCTION("""COMPUTED_VALUE"""),"VerifyExecutionReport")</f>
        <v>VerifyExecutionReport</v>
      </c>
      <c r="C512" s="0" t="str">
        <f>IFERROR(__xludf.DUMMYFUNCTION("""COMPUTED_VALUE"""),"1yd48b6wQ6aCrLoLmfkjO8wiQZP62vLgpK_Q_eTapu4w")</f>
        <v>1yd48b6wQ6aCrLoLmfkjO8wiQZP62vLgpK_Q_eTapu4w</v>
      </c>
    </row>
    <row r="513" ht="15.75" customHeight="1">
      <c r="A513" s="0" t="str">
        <f>IFERROR(__xludf.DUMMYFUNCTION("""COMPUTED_VALUE"""),"Blotter")</f>
        <v>Blotter</v>
      </c>
      <c r="B513" s="0" t="str">
        <f>IFERROR(__xludf.DUMMYFUNCTION("""COMPUTED_VALUE"""),"BlotterExecutionReportSnapshot")</f>
        <v>BlotterExecutionReportSnapshot</v>
      </c>
      <c r="C513" s="0" t="str">
        <f>IFERROR(__xludf.DUMMYFUNCTION("""COMPUTED_VALUE"""),"1QqGxhnz20HsALFYnGuJyEDL2dd1qSmiBMaPsF8MowY4")</f>
        <v>1QqGxhnz20HsALFYnGuJyEDL2dd1qSmiBMaPsF8MowY4</v>
      </c>
    </row>
    <row r="514" ht="15.75" customHeight="1">
      <c r="A514" s="0" t="str">
        <f>IFERROR(__xludf.DUMMYFUNCTION("""COMPUTED_VALUE"""),"Admin")</f>
        <v>Admin</v>
      </c>
      <c r="B514" s="0" t="str">
        <f>IFERROR(__xludf.DUMMYFUNCTION("""COMPUTED_VALUE"""),"SetDollarAmountPermission")</f>
        <v>SetDollarAmountPermission</v>
      </c>
      <c r="C514" s="0" t="str">
        <f>IFERROR(__xludf.DUMMYFUNCTION("""COMPUTED_VALUE"""),"1NsNQ11sPW94qOsA9wYppHUUVQ7VTg0TDchX6vMjxHSM")</f>
        <v>1NsNQ11sPW94qOsA9wYppHUUVQ7VTg0TDchX6vMjxHSM</v>
      </c>
    </row>
    <row r="515" ht="15.75" customHeight="1">
      <c r="A515" s="0" t="str">
        <f>IFERROR(__xludf.DUMMYFUNCTION("""COMPUTED_VALUE"""),"Admin")</f>
        <v>Admin</v>
      </c>
      <c r="B515" s="0" t="str">
        <f>IFERROR(__xludf.DUMMYFUNCTION("""COMPUTED_VALUE"""),"EnableDisableModule")</f>
        <v>EnableDisableModule</v>
      </c>
      <c r="C515" s="0" t="str">
        <f>IFERROR(__xludf.DUMMYFUNCTION("""COMPUTED_VALUE"""),"1-qgayCVgYh-TiFPYq2yiHpH2YNskBCiyIqUU44hFn5Q")</f>
        <v>1-qgayCVgYh-TiFPYq2yiHpH2YNskBCiyIqUU44hFn5Q</v>
      </c>
    </row>
    <row r="516" ht="15.75" customHeight="1">
      <c r="A516" s="0" t="str">
        <f>IFERROR(__xludf.DUMMYFUNCTION("""COMPUTED_VALUE"""),"Blotter")</f>
        <v>Blotter</v>
      </c>
      <c r="B516" s="0" t="str">
        <f>IFERROR(__xludf.DUMMYFUNCTION("""COMPUTED_VALUE"""),"MultipleTradeTransferToUser")</f>
        <v>MultipleTradeTransferToUser</v>
      </c>
      <c r="C516" s="0" t="str">
        <f>IFERROR(__xludf.DUMMYFUNCTION("""COMPUTED_VALUE"""),"1E2U9CGylDUGLaqjTgTRpuzNMvkBV33m3fLyu2q73_EA")</f>
        <v>1E2U9CGylDUGLaqjTgTRpuzNMvkBV33m3fLyu2q73_EA</v>
      </c>
    </row>
    <row r="517" ht="15.75" customHeight="1">
      <c r="A517" s="0" t="str">
        <f>IFERROR(__xludf.DUMMYFUNCTION("""COMPUTED_VALUE"""),"Admin")</f>
        <v>Admin</v>
      </c>
      <c r="B517" s="0" t="str">
        <f>IFERROR(__xludf.DUMMYFUNCTION("""COMPUTED_VALUE"""),"IsImportOverrideOnShortLocate")</f>
        <v>IsImportOverrideOnShortLocate</v>
      </c>
      <c r="C517" s="0" t="str">
        <f>IFERROR(__xludf.DUMMYFUNCTION("""COMPUTED_VALUE"""),"1MgEuiFXaa1Xj8qTQvvYNz_eFGUeOpsltw9v4WXyPp2Y")</f>
        <v>1MgEuiFXaa1Xj8qTQvvYNz_eFGUeOpsltw9v4WXyPp2Y</v>
      </c>
    </row>
    <row r="518" ht="15.75" customHeight="1">
      <c r="A518" s="0" t="str">
        <f>IFERROR(__xludf.DUMMYFUNCTION("""COMPUTED_VALUE"""),"Admin")</f>
        <v>Admin</v>
      </c>
      <c r="B518" s="0" t="str">
        <f>IFERROR(__xludf.DUMMYFUNCTION("""COMPUTED_VALUE"""),"SetShortLocateStructures")</f>
        <v>SetShortLocateStructures</v>
      </c>
      <c r="C518" s="0" t="str">
        <f>IFERROR(__xludf.DUMMYFUNCTION("""COMPUTED_VALUE"""),"1JXTS2aPwtzmzfaVv_4dqx8kGMWZ6ZPlluMh_AtB-VLM")</f>
        <v>1JXTS2aPwtzmzfaVv_4dqx8kGMWZ6ZPlluMh_AtB-VLM</v>
      </c>
    </row>
    <row r="519" ht="15.75" customHeight="1">
      <c r="A519" s="0" t="str">
        <f>IFERROR(__xludf.DUMMYFUNCTION("""COMPUTED_VALUE"""),"ShortLocate")</f>
        <v>ShortLocate</v>
      </c>
      <c r="B519" s="0" t="str">
        <f>IFERROR(__xludf.DUMMYFUNCTION("""COMPUTED_VALUE"""),"DownloadFile")</f>
        <v>DownloadFile</v>
      </c>
      <c r="C519" s="0" t="str">
        <f>IFERROR(__xludf.DUMMYFUNCTION("""COMPUTED_VALUE"""),"1GexWNjbmQyaHL_wkUkmt5M8rNIMs2PLpyJ1OKlPF_6U")</f>
        <v>1GexWNjbmQyaHL_wkUkmt5M8rNIMs2PLpyJ1OKlPF_6U</v>
      </c>
    </row>
    <row r="520" ht="15.75" customHeight="1">
      <c r="A520" s="0" t="str">
        <f>IFERROR(__xludf.DUMMYFUNCTION("""COMPUTED_VALUE"""),"ShortLocate")</f>
        <v>ShortLocate</v>
      </c>
      <c r="B520" s="0" t="str">
        <f>IFERROR(__xludf.DUMMYFUNCTION("""COMPUTED_VALUE"""),"SearchShortLocateUI")</f>
        <v>SearchShortLocateUI</v>
      </c>
      <c r="C520" s="0" t="str">
        <f>IFERROR(__xludf.DUMMYFUNCTION("""COMPUTED_VALUE"""),"1DKCTM5c59GatMPMxnS0Zbz1IgpCEMmNSn4fulcFSBWA")</f>
        <v>1DKCTM5c59GatMPMxnS0Zbz1IgpCEMmNSn4fulcFSBWA</v>
      </c>
    </row>
    <row r="521" ht="15.75" customHeight="1">
      <c r="A521" s="0" t="str">
        <f>IFERROR(__xludf.DUMMYFUNCTION("""COMPUTED_VALUE"""),"TradingTicket")</f>
        <v>TradingTicket</v>
      </c>
      <c r="B521" s="0" t="str">
        <f>IFERROR(__xludf.DUMMYFUNCTION("""COMPUTED_VALUE"""),"CreateDoneAwayOrder")</f>
        <v>CreateDoneAwayOrder</v>
      </c>
      <c r="C521" s="0" t="str">
        <f>IFERROR(__xludf.DUMMYFUNCTION("""COMPUTED_VALUE"""),"1TeGYQgGxypH87IAS1MA8NIqqh4_U0q0H_IsXTnmORFw")</f>
        <v>1TeGYQgGxypH87IAS1MA8NIqqh4_U0q0H_IsXTnmORFw</v>
      </c>
    </row>
    <row r="522" ht="15.75" customHeight="1">
      <c r="A522" s="0" t="str">
        <f>IFERROR(__xludf.DUMMYFUNCTION("""COMPUTED_VALUE"""),"TradingTicket")</f>
        <v>TradingTicket</v>
      </c>
      <c r="B522" s="0" t="str">
        <f>IFERROR(__xludf.DUMMYFUNCTION("""COMPUTED_VALUE"""),"CreateComplianceOrder")</f>
        <v>CreateComplianceOrder</v>
      </c>
      <c r="C522" s="0" t="str">
        <f>IFERROR(__xludf.DUMMYFUNCTION("""COMPUTED_VALUE"""),"1uZhdRETigrNB3cZo1BXMteOrJRYMf6Vdte0mKG3B7a4")</f>
        <v>1uZhdRETigrNB3cZo1BXMteOrJRYMf6Vdte0mKG3B7a4</v>
      </c>
    </row>
    <row r="523" ht="15.75" customHeight="1">
      <c r="A523" s="0" t="str">
        <f>IFERROR(__xludf.DUMMYFUNCTION("""COMPUTED_VALUE"""),"Simulator")</f>
        <v>Simulator</v>
      </c>
      <c r="B523" s="0" t="str">
        <f>IFERROR(__xludf.DUMMYFUNCTION("""COMPUTED_VALUE"""),"VerifyTrades")</f>
        <v>VerifyTrades</v>
      </c>
      <c r="C523" s="0" t="str">
        <f>IFERROR(__xludf.DUMMYFUNCTION("""COMPUTED_VALUE"""),"11LnIuQUyQWz16zxwmr7_BDMlsw3tCEXwF0lALQ35sts")</f>
        <v>11LnIuQUyQWz16zxwmr7_BDMlsw3tCEXwF0lALQ35sts</v>
      </c>
    </row>
    <row r="524" ht="15.75" customHeight="1">
      <c r="A524" s="0" t="str">
        <f>IFERROR(__xludf.DUMMYFUNCTION("""COMPUTED_VALUE"""),"ShortLocate")</f>
        <v>ShortLocate</v>
      </c>
      <c r="B524" s="0" t="str">
        <f>IFERROR(__xludf.DUMMYFUNCTION("""COMPUTED_VALUE"""),"SetShortLocatePreferences")</f>
        <v>SetShortLocatePreferences</v>
      </c>
      <c r="C524" s="0" t="str">
        <f>IFERROR(__xludf.DUMMYFUNCTION("""COMPUTED_VALUE"""),"1NeZSwz1SIB3gUqQIL6UzRE-Qr4gJDeQupuxQaufcHLY")</f>
        <v>1NeZSwz1SIB3gUqQIL6UzRE-Qr4gJDeQupuxQaufcHLY</v>
      </c>
    </row>
    <row r="525" ht="15.75" customHeight="1">
      <c r="A525" s="0" t="str">
        <f>IFERROR(__xludf.DUMMYFUNCTION("""COMPUTED_VALUE"""),"SecurityMaster")</f>
        <v>SecurityMaster</v>
      </c>
      <c r="B525" s="0" t="str">
        <f>IFERROR(__xludf.DUMMYFUNCTION("""COMPUTED_VALUE"""),"GetSymbolData")</f>
        <v>GetSymbolData</v>
      </c>
      <c r="C525" s="0" t="str">
        <f>IFERROR(__xludf.DUMMYFUNCTION("""COMPUTED_VALUE"""),"1vv3kyJccjfIyDBgn04x7w4Z7FTIBcJUQzYbJHry0Wks")</f>
        <v>1vv3kyJccjfIyDBgn04x7w4Z7FTIBcJUQzYbJHry0Wks</v>
      </c>
    </row>
    <row r="526" ht="15.75" customHeight="1">
      <c r="A526" s="0" t="str">
        <f>IFERROR(__xludf.DUMMYFUNCTION("""COMPUTED_VALUE"""),"SecurityMaster")</f>
        <v>SecurityMaster</v>
      </c>
      <c r="B526" s="0" t="str">
        <f>IFERROR(__xludf.DUMMYFUNCTION("""COMPUTED_VALUE"""),"EditSMData")</f>
        <v>EditSMData</v>
      </c>
      <c r="C526" s="0" t="str">
        <f>IFERROR(__xludf.DUMMYFUNCTION("""COMPUTED_VALUE"""),"16iJOTy3fdvVyoTNVUlTTv2ipMkLHpwnR83hPFzIH7Ak")</f>
        <v>16iJOTy3fdvVyoTNVUlTTv2ipMkLHpwnR83hPFzIH7Ak</v>
      </c>
    </row>
    <row r="527" ht="15.75" customHeight="1">
      <c r="A527" s="0" t="str">
        <f>IFERROR(__xludf.DUMMYFUNCTION("""COMPUTED_VALUE"""),"Compliance")</f>
        <v>Compliance</v>
      </c>
      <c r="B527" s="0" t="str">
        <f>IFERROR(__xludf.DUMMYFUNCTION("""COMPUTED_VALUE"""),"RestartRuleMediator")</f>
        <v>RestartRuleMediator</v>
      </c>
      <c r="C527" s="0" t="str">
        <f>IFERROR(__xludf.DUMMYFUNCTION("""COMPUTED_VALUE"""),"1akNR1Amf59L1AstQQY5CTYwWnooFsbcOYuynBM4CKmM")</f>
        <v>1akNR1Amf59L1AstQQY5CTYwWnooFsbcOYuynBM4CKmM</v>
      </c>
    </row>
    <row r="528" ht="15.75" customHeight="1">
      <c r="A528" s="0" t="str">
        <f>IFERROR(__xludf.DUMMYFUNCTION("""COMPUTED_VALUE"""),"Compliance")</f>
        <v>Compliance</v>
      </c>
      <c r="B528" s="0" t="str">
        <f>IFERROR(__xludf.DUMMYFUNCTION("""COMPUTED_VALUE"""),"VerifyAggAccountSymbolWithNav")</f>
        <v>VerifyAggAccountSymbolWithNav</v>
      </c>
      <c r="C528" s="0" t="str">
        <f>IFERROR(__xludf.DUMMYFUNCTION("""COMPUTED_VALUE"""),"1LuYoSjO5AtvBb9EYhrEUIwfKVSVQx9KjgCN-yIF7lFk")</f>
        <v>1LuYoSjO5AtvBb9EYhrEUIwfKVSVQx9KjgCN-yIF7lFk</v>
      </c>
    </row>
    <row r="529" ht="15.75" customHeight="1">
      <c r="A529" s="0" t="str">
        <f>IFERROR(__xludf.DUMMYFUNCTION("""COMPUTED_VALUE"""),"Admin")</f>
        <v>Admin</v>
      </c>
      <c r="B529" s="0" t="str">
        <f>IFERROR(__xludf.DUMMYFUNCTION("""COMPUTED_VALUE"""),"SetComplianceAlert")</f>
        <v>SetComplianceAlert</v>
      </c>
      <c r="C529" s="0" t="str">
        <f>IFERROR(__xludf.DUMMYFUNCTION("""COMPUTED_VALUE"""),"1KxvRGZsDhpllA_7NzN1oRSxO912EnakDtX0IH-ZIdC4")</f>
        <v>1KxvRGZsDhpllA_7NzN1oRSxO912EnakDtX0IH-ZIdC4</v>
      </c>
    </row>
    <row r="530" ht="15.75" customHeight="1">
      <c r="A530" s="0" t="str">
        <f>IFERROR(__xludf.DUMMYFUNCTION("""COMPUTED_VALUE"""),"Blotter")</f>
        <v>Blotter</v>
      </c>
      <c r="B530" s="0" t="str">
        <f>IFERROR(__xludf.DUMMYFUNCTION("""COMPUTED_VALUE"""),"ReloadOrderFromBlotter")</f>
        <v>ReloadOrderFromBlotter</v>
      </c>
      <c r="C530" s="0" t="str">
        <f>IFERROR(__xludf.DUMMYFUNCTION("""COMPUTED_VALUE"""),"1EkVmrnKs5-j3ysMwtCilrRqPyrGmw8rBBIGOYfmBm9Y")</f>
        <v>1EkVmrnKs5-j3ysMwtCilrRqPyrGmw8rBBIGOYfmBm9Y</v>
      </c>
    </row>
    <row r="531" ht="15.75" customHeight="1">
      <c r="A531" s="0" t="str">
        <f>IFERROR(__xludf.DUMMYFUNCTION("""COMPUTED_VALUE"""),"Blotter")</f>
        <v>Blotter</v>
      </c>
      <c r="B531" s="0" t="str">
        <f>IFERROR(__xludf.DUMMYFUNCTION("""COMPUTED_VALUE"""),"ReloadOrderFromSubOrder")</f>
        <v>ReloadOrderFromSubOrder</v>
      </c>
      <c r="C531" s="0" t="str">
        <f>IFERROR(__xludf.DUMMYFUNCTION("""COMPUTED_VALUE"""),"1Df8QexVjibp6e-DrJ15K3SNBfL1Xk8NzcYqAlIfaa0Q")</f>
        <v>1Df8QexVjibp6e-DrJ15K3SNBfL1Xk8NzcYqAlIfaa0Q</v>
      </c>
    </row>
    <row r="532" ht="15.75" customHeight="1">
      <c r="A532" s="0" t="str">
        <f>IFERROR(__xludf.DUMMYFUNCTION("""COMPUTED_VALUE"""),"Blotter")</f>
        <v>Blotter</v>
      </c>
      <c r="B532" s="0" t="str">
        <f>IFERROR(__xludf.DUMMYFUNCTION("""COMPUTED_VALUE"""),"ReloadOrderFromWorkingSubs")</f>
        <v>ReloadOrderFromWorkingSubs</v>
      </c>
      <c r="C532" s="0" t="str">
        <f>IFERROR(__xludf.DUMMYFUNCTION("""COMPUTED_VALUE"""),"1_Z5bqDo4adEqHJVIqWRtiyLJ5XKZ_2mwsPRoF8LP0Bw")</f>
        <v>1_Z5bqDo4adEqHJVIqWRtiyLJ5XKZ_2mwsPRoF8LP0Bw</v>
      </c>
    </row>
    <row r="533" ht="15.75" customHeight="1">
      <c r="A533" s="0" t="str">
        <f>IFERROR(__xludf.DUMMYFUNCTION("""COMPUTED_VALUE"""),"Closing")</f>
        <v>Closing</v>
      </c>
      <c r="B533" s="0" t="str">
        <f>IFERROR(__xludf.DUMMYFUNCTION("""COMPUTED_VALUE"""),"AutoExercise")</f>
        <v>AutoExercise</v>
      </c>
      <c r="C533" s="0" t="str">
        <f>IFERROR(__xludf.DUMMYFUNCTION("""COMPUTED_VALUE"""),"13xi1kTQASkj8aQlRGOWvQoPk02IQ_8Htevc-MnANS_E")</f>
        <v>13xi1kTQASkj8aQlRGOWvQoPk02IQ_8Htevc-MnANS_E</v>
      </c>
    </row>
    <row r="534" ht="15.75" customHeight="1">
      <c r="A534" s="0" t="str">
        <f>IFERROR(__xludf.DUMMYFUNCTION("""COMPUTED_VALUE"""),"PortfolioManagement")</f>
        <v>PortfolioManagement</v>
      </c>
      <c r="B534" s="0" t="str">
        <f>IFERROR(__xludf.DUMMYFUNCTION("""COMPUTED_VALUE"""),"IncreasePositionFromPM")</f>
        <v>IncreasePositionFromPM</v>
      </c>
      <c r="C534" s="0" t="str">
        <f>IFERROR(__xludf.DUMMYFUNCTION("""COMPUTED_VALUE"""),"1A8qhbXaCu_lyhbz2UUV32k3iWOdMoe0Sf6z4T7bvx9A")</f>
        <v>1A8qhbXaCu_lyhbz2UUV32k3iWOdMoe0Sf6z4T7bvx9A</v>
      </c>
    </row>
    <row r="535" ht="15.75" customHeight="1">
      <c r="A535" s="0" t="str">
        <f>IFERROR(__xludf.DUMMYFUNCTION("""COMPUTED_VALUE"""),"TradingTicket")</f>
        <v>TradingTicket</v>
      </c>
      <c r="B535" s="0" t="str">
        <f>IFERROR(__xludf.DUMMYFUNCTION("""COMPUTED_VALUE"""),"AddOptionTrade")</f>
        <v>AddOptionTrade</v>
      </c>
      <c r="C535" s="0" t="str">
        <f>IFERROR(__xludf.DUMMYFUNCTION("""COMPUTED_VALUE"""),"1BnawmW4udc8sZOPuV7h7bRAlUEV61-K41xkK0_fFpqM")</f>
        <v>1BnawmW4udc8sZOPuV7h7bRAlUEV61-K41xkK0_fFpqM</v>
      </c>
    </row>
    <row r="536" ht="15.75" customHeight="1">
      <c r="A536" s="0" t="str">
        <f>IFERROR(__xludf.DUMMYFUNCTION("""COMPUTED_VALUE"""),"TradingTicket")</f>
        <v>TradingTicket</v>
      </c>
      <c r="B536" s="0" t="str">
        <f>IFERROR(__xludf.DUMMYFUNCTION("""COMPUTED_VALUE"""),"SendLiveBloomberg")</f>
        <v>SendLiveBloomberg</v>
      </c>
      <c r="C536" s="0" t="str">
        <f>IFERROR(__xludf.DUMMYFUNCTION("""COMPUTED_VALUE"""),"1CgHn_7kdT53U7SiVepIsdA1uAaPRM8bfTqAGitUOOP4")</f>
        <v>1CgHn_7kdT53U7SiVepIsdA1uAaPRM8bfTqAGitUOOP4</v>
      </c>
    </row>
    <row r="537" ht="15.75" customHeight="1">
      <c r="A537" s="0" t="str">
        <f>IFERROR(__xludf.DUMMYFUNCTION("""COMPUTED_VALUE"""),"Admin")</f>
        <v>Admin</v>
      </c>
      <c r="B537" s="0" t="str">
        <f>IFERROR(__xludf.DUMMYFUNCTION("""COMPUTED_VALUE"""),"UpdateExpirationDate")</f>
        <v>UpdateExpirationDate</v>
      </c>
      <c r="C537" s="0" t="str">
        <f>IFERROR(__xludf.DUMMYFUNCTION("""COMPUTED_VALUE"""),"1mmWGifvPj1sNVTticw-ikM3hyycxf4NX4_kCu7BEFVg")</f>
        <v>1mmWGifvPj1sNVTticw-ikM3hyycxf4NX4_kCu7BEFVg</v>
      </c>
    </row>
    <row r="538" ht="15.75" customHeight="1">
      <c r="A538" s="0" t="str">
        <f>IFERROR(__xludf.DUMMYFUNCTION("""COMPUTED_VALUE"""),"PricingInput")</f>
        <v>PricingInput</v>
      </c>
      <c r="B538" s="0" t="str">
        <f>IFERROR(__xludf.DUMMYFUNCTION("""COMPUTED_VALUE"""),"UncheckDividendYield")</f>
        <v>UncheckDividendYield</v>
      </c>
      <c r="C538" s="0" t="str">
        <f>IFERROR(__xludf.DUMMYFUNCTION("""COMPUTED_VALUE"""),"1Bv6bI4dQ2ISUgEtnN3hvoJAzlS1QXNp7i6djThWT5cY")</f>
        <v>1Bv6bI4dQ2ISUgEtnN3hvoJAzlS1QXNp7i6djThWT5cY</v>
      </c>
    </row>
    <row r="539" ht="15.75" customHeight="1">
      <c r="A539" s="0" t="str">
        <f>IFERROR(__xludf.DUMMYFUNCTION("""COMPUTED_VALUE"""),"Admin")</f>
        <v>Admin</v>
      </c>
      <c r="B539" s="0" t="str">
        <f>IFERROR(__xludf.DUMMYFUNCTION("""COMPUTED_VALUE"""),"RenameMasterStrategy")</f>
        <v>RenameMasterStrategy</v>
      </c>
      <c r="C539" s="0" t="str">
        <f>IFERROR(__xludf.DUMMYFUNCTION("""COMPUTED_VALUE"""),"12O1uREcq0M99vtEd065TQGLRLI69TvAORCdhR9BifGE")</f>
        <v>12O1uREcq0M99vtEd065TQGLRLI69TvAORCdhR9BifGE</v>
      </c>
    </row>
    <row r="540" ht="15.75" customHeight="1">
      <c r="A540" s="0" t="str">
        <f>IFERROR(__xludf.DUMMYFUNCTION("""COMPUTED_VALUE"""),"Blotter")</f>
        <v>Blotter</v>
      </c>
      <c r="B540" s="0" t="str">
        <f>IFERROR(__xludf.DUMMYFUNCTION("""COMPUTED_VALUE"""),"SelectFills")</f>
        <v>SelectFills</v>
      </c>
      <c r="C540" s="0" t="str">
        <f>IFERROR(__xludf.DUMMYFUNCTION("""COMPUTED_VALUE"""),"1GwliO03epBl45R4knM3UVULlRK9QRt0v-e2GwmiEUVI")</f>
        <v>1GwliO03epBl45R4knM3UVULlRK9QRt0v-e2GwmiEUVI</v>
      </c>
    </row>
    <row r="541" ht="15.75" customHeight="1">
      <c r="A541" s="0" t="str">
        <f>IFERROR(__xludf.DUMMYFUNCTION("""COMPUTED_VALUE"""),"Blotter")</f>
        <v>Blotter</v>
      </c>
      <c r="B541" s="0" t="str">
        <f>IFERROR(__xludf.DUMMYFUNCTION("""COMPUTED_VALUE"""),"ModifyFills")</f>
        <v>ModifyFills</v>
      </c>
      <c r="C541" s="0" t="str">
        <f>IFERROR(__xludf.DUMMYFUNCTION("""COMPUTED_VALUE"""),"1YjVe9_PX2h3FN6yNWurYgQZIShnphN6dzATY8FarTcw")</f>
        <v>1YjVe9_PX2h3FN6yNWurYgQZIShnphN6dzATY8FarTcw</v>
      </c>
    </row>
    <row r="542" ht="15.75" customHeight="1">
      <c r="A542" s="0" t="str">
        <f>IFERROR(__xludf.DUMMYFUNCTION("""COMPUTED_VALUE"""),"PranaClient")</f>
        <v>PranaClient</v>
      </c>
      <c r="B542" s="0" t="str">
        <f>IFERROR(__xludf.DUMMYFUNCTION("""COMPUTED_VALUE"""),"PranaClient")</f>
        <v>PranaClient</v>
      </c>
      <c r="C542" s="0" t="str">
        <f>IFERROR(__xludf.DUMMYFUNCTION("""COMPUTED_VALUE"""),"1i5E-WuqIWaEe-yq-sesr8ybgECXELHpH055E0IrggKc")</f>
        <v>1i5E-WuqIWaEe-yq-sesr8ybgECXELHpH055E0IrggKc</v>
      </c>
    </row>
    <row r="543" ht="15.75" customHeight="1">
      <c r="A543" s="0" t="str">
        <f>IFERROR(__xludf.DUMMYFUNCTION("""COMPUTED_VALUE"""),"Closing")</f>
        <v>Closing</v>
      </c>
      <c r="B543" s="0" t="str">
        <f>IFERROR(__xludf.DUMMYFUNCTION("""COMPUTED_VALUE"""),"EditMultipleCloseQuantity")</f>
        <v>EditMultipleCloseQuantity</v>
      </c>
      <c r="C543" s="0" t="str">
        <f>IFERROR(__xludf.DUMMYFUNCTION("""COMPUTED_VALUE"""),"1LqHFuFqpoaWRQRABWhj8ApwmhDIIDfhqJOvirqq1jXs")</f>
        <v>1LqHFuFqpoaWRQRABWhj8ApwmhDIIDfhqJOvirqq1jXs</v>
      </c>
    </row>
    <row r="544" ht="15.75" customHeight="1">
      <c r="A544" s="0" t="str">
        <f>IFERROR(__xludf.DUMMYFUNCTION("""COMPUTED_VALUE"""),"Closing")</f>
        <v>Closing</v>
      </c>
      <c r="B544" s="0" t="str">
        <f>IFERROR(__xludf.DUMMYFUNCTION("""COMPUTED_VALUE"""),"ManualCloseOrder")</f>
        <v>ManualCloseOrder</v>
      </c>
      <c r="C544" s="0" t="str">
        <f>IFERROR(__xludf.DUMMYFUNCTION("""COMPUTED_VALUE"""),"1SRIxoyDz2yiuwxeL4eG8FC_4NGCpPmQ7cq3BGkqiS_M")</f>
        <v>1SRIxoyDz2yiuwxeL4eG8FC_4NGCpPmQ7cq3BGkqiS_M</v>
      </c>
    </row>
    <row r="545" ht="15.75" customHeight="1">
      <c r="A545" s="0" t="str">
        <f>IFERROR(__xludf.DUMMYFUNCTION("""COMPUTED_VALUE"""),"Admin")</f>
        <v>Admin</v>
      </c>
      <c r="B545" s="0" t="str">
        <f>IFERROR(__xludf.DUMMYFUNCTION("""COMPUTED_VALUE"""),"SetTTUIAdminPreferences")</f>
        <v>SetTTUIAdminPreferences</v>
      </c>
      <c r="C545" s="0" t="str">
        <f>IFERROR(__xludf.DUMMYFUNCTION("""COMPUTED_VALUE"""),"1NBKCTAbyW8FTd7HpiDVAL8uUdoKPPfDaX-zyJ69TnN8")</f>
        <v>1NBKCTAbyW8FTd7HpiDVAL8uUdoKPPfDaX-zyJ69TnN8</v>
      </c>
    </row>
    <row r="546" ht="15.75" customHeight="1">
      <c r="A546" s="0" t="str">
        <f>IFERROR(__xludf.DUMMYFUNCTION("""COMPUTED_VALUE"""),"Closing")</f>
        <v>Closing</v>
      </c>
      <c r="B546" s="0" t="str">
        <f>IFERROR(__xludf.DUMMYFUNCTION("""COMPUTED_VALUE"""),"PreviewDataWithFilters")</f>
        <v>PreviewDataWithFilters</v>
      </c>
      <c r="C546" s="0" t="str">
        <f>IFERROR(__xludf.DUMMYFUNCTION("""COMPUTED_VALUE"""),"1UfijNzsxS8xhicrd1aaNFJ8AVGE-4qurWWApSDn5ctE")</f>
        <v>1UfijNzsxS8xhicrd1aaNFJ8AVGE-4qurWWApSDn5ctE</v>
      </c>
    </row>
    <row r="547" ht="15.75" customHeight="1">
      <c r="A547" s="0" t="str">
        <f>IFERROR(__xludf.DUMMYFUNCTION("""COMPUTED_VALUE"""),"TradingTicket")</f>
        <v>TradingTicket</v>
      </c>
      <c r="B547" s="0" t="str">
        <f>IFERROR(__xludf.DUMMYFUNCTION("""COMPUTED_VALUE"""),"ViewAllocation")</f>
        <v>ViewAllocation</v>
      </c>
      <c r="C547" s="0" t="str">
        <f>IFERROR(__xludf.DUMMYFUNCTION("""COMPUTED_VALUE"""),"1hZIgWSjxAyvd_l19sawUh-Lx7qkIkwoEJWszPqq6LiM")</f>
        <v>1hZIgWSjxAyvd_l19sawUh-Lx7qkIkwoEJWszPqq6LiM</v>
      </c>
    </row>
    <row r="548" ht="15.75" customHeight="1">
      <c r="A548" s="0" t="str">
        <f>IFERROR(__xludf.DUMMYFUNCTION("""COMPUTED_VALUE"""),"Admin")</f>
        <v>Admin</v>
      </c>
      <c r="B548" s="0" t="str">
        <f>IFERROR(__xludf.DUMMYFUNCTION("""COMPUTED_VALUE"""),"UpdateSecFee")</f>
        <v>UpdateSecFee</v>
      </c>
      <c r="C548" s="0" t="str">
        <f>IFERROR(__xludf.DUMMYFUNCTION("""COMPUTED_VALUE"""),"1fx7weHaG3pIYPq09mXJDlCsGxJxkuwvD9qpnxGKxsUg")</f>
        <v>1fx7weHaG3pIYPq09mXJDlCsGxJxkuwvD9qpnxGKxsUg</v>
      </c>
    </row>
    <row r="549" ht="15.75" customHeight="1">
      <c r="A549" s="0" t="str">
        <f>IFERROR(__xludf.DUMMYFUNCTION("""COMPUTED_VALUE"""),"Closing")</f>
        <v>Closing</v>
      </c>
      <c r="B549" s="0" t="str">
        <f>IFERROR(__xludf.DUMMYFUNCTION("""COMPUTED_VALUE"""),"CreateClosingTemplate")</f>
        <v>CreateClosingTemplate</v>
      </c>
      <c r="C549" s="0" t="str">
        <f>IFERROR(__xludf.DUMMYFUNCTION("""COMPUTED_VALUE"""),"1idwtgSTl3puPU819EeoiFOFlLMiFqqc7fSq_DQM9Ahw")</f>
        <v>1idwtgSTl3puPU819EeoiFOFlLMiFqqc7fSq_DQM9Ahw</v>
      </c>
    </row>
    <row r="550" ht="15.75" customHeight="1">
      <c r="A550" s="0" t="str">
        <f>IFERROR(__xludf.DUMMYFUNCTION("""COMPUTED_VALUE"""),"Closing")</f>
        <v>Closing</v>
      </c>
      <c r="B550" s="0" t="str">
        <f>IFERROR(__xludf.DUMMYFUNCTION("""COMPUTED_VALUE"""),"CreateUnwindingTemplate")</f>
        <v>CreateUnwindingTemplate</v>
      </c>
      <c r="C550" s="0" t="str">
        <f>IFERROR(__xludf.DUMMYFUNCTION("""COMPUTED_VALUE"""),"1yALn3s6q8XYTgNqh8-DnAgKgqPoPCCf4cd3q4rK7dc4")</f>
        <v>1yALn3s6q8XYTgNqh8-DnAgKgqPoPCCf4cd3q4rK7dc4</v>
      </c>
    </row>
    <row r="551" ht="15.75" customHeight="1">
      <c r="A551" s="0" t="str">
        <f>IFERROR(__xludf.DUMMYFUNCTION("""COMPUTED_VALUE"""),"Closing")</f>
        <v>Closing</v>
      </c>
      <c r="B551" s="0" t="str">
        <f>IFERROR(__xludf.DUMMYFUNCTION("""COMPUTED_VALUE"""),"EditTemplate")</f>
        <v>EditTemplate</v>
      </c>
      <c r="C551" s="0" t="str">
        <f>IFERROR(__xludf.DUMMYFUNCTION("""COMPUTED_VALUE"""),"1NuhPbvX0aXlI0GJFIFdnaVEUWbKSGZAOsYo2ZJs_LTI")</f>
        <v>1NuhPbvX0aXlI0GJFIFdnaVEUWbKSGZAOsYo2ZJs_LTI</v>
      </c>
    </row>
    <row r="552" ht="15.75" customHeight="1">
      <c r="A552" s="0" t="str">
        <f>IFERROR(__xludf.DUMMYFUNCTION("""COMPUTED_VALUE"""),"Closing")</f>
        <v>Closing</v>
      </c>
      <c r="B552" s="0" t="str">
        <f>IFERROR(__xludf.DUMMYFUNCTION("""COMPUTED_VALUE"""),"DeleteTemplate")</f>
        <v>DeleteTemplate</v>
      </c>
      <c r="C552" s="0" t="str">
        <f>IFERROR(__xludf.DUMMYFUNCTION("""COMPUTED_VALUE"""),"1FPAHemO6UOqAm-LkkBB9rvkNCOTy_xygY4DA2D71HrY")</f>
        <v>1FPAHemO6UOqAm-LkkBB9rvkNCOTy_xygY4DA2D71HrY</v>
      </c>
    </row>
    <row r="553" ht="15.75" customHeight="1">
      <c r="A553" s="0" t="str">
        <f>IFERROR(__xludf.DUMMYFUNCTION("""COMPUTED_VALUE"""),"Allocation")</f>
        <v>Allocation</v>
      </c>
      <c r="B553" s="0" t="str">
        <f>IFERROR(__xludf.DUMMYFUNCTION("""COMPUTED_VALUE"""),"AllocationAuditTrail")</f>
        <v>AllocationAuditTrail</v>
      </c>
      <c r="C553" s="0" t="str">
        <f>IFERROR(__xludf.DUMMYFUNCTION("""COMPUTED_VALUE"""),"1HD9Qq-FkgtsDvTn0E1mBJqbrvDYs85STToXiwyfSFIc")</f>
        <v>1HD9Qq-FkgtsDvTn0E1mBJqbrvDYs85STToXiwyfSFIc</v>
      </c>
    </row>
    <row r="554" ht="15.75" customHeight="1">
      <c r="A554" s="0" t="str">
        <f>IFERROR(__xludf.DUMMYFUNCTION("""COMPUTED_VALUE"""),"Allocation")</f>
        <v>Allocation</v>
      </c>
      <c r="B554" s="0" t="str">
        <f>IFERROR(__xludf.DUMMYFUNCTION("""COMPUTED_VALUE"""),"GetAuditTrailData")</f>
        <v>GetAuditTrailData</v>
      </c>
      <c r="C554" s="0" t="str">
        <f>IFERROR(__xludf.DUMMYFUNCTION("""COMPUTED_VALUE"""),"1aMbSm8ZDz2Qwg0lNK8q7egOJXYlZK0_CTEZ8ROuOuw4")</f>
        <v>1aMbSm8ZDz2Qwg0lNK8q7egOJXYlZK0_CTEZ8ROuOuw4</v>
      </c>
    </row>
    <row r="555" ht="15.75" customHeight="1">
      <c r="A555" s="0" t="str">
        <f>IFERROR(__xludf.DUMMYFUNCTION("""COMPUTED_VALUE"""),"Allocation")</f>
        <v>Allocation</v>
      </c>
      <c r="B555" s="0" t="str">
        <f>IFERROR(__xludf.DUMMYFUNCTION("""COMPUTED_VALUE"""),"CheckAuditTrailData")</f>
        <v>CheckAuditTrailData</v>
      </c>
      <c r="C555" s="0" t="str">
        <f>IFERROR(__xludf.DUMMYFUNCTION("""COMPUTED_VALUE"""),"1C9HB4waKEi-rOcSPUPOqqKP4_UtACzcf-3WiPrg8wl8")</f>
        <v>1C9HB4waKEi-rOcSPUPOqqKP4_UtACzcf-3WiPrg8wl8</v>
      </c>
    </row>
    <row r="556" ht="15.75" customHeight="1">
      <c r="A556" s="0" t="str">
        <f>IFERROR(__xludf.DUMMYFUNCTION("""COMPUTED_VALUE"""),"Closing")</f>
        <v>Closing</v>
      </c>
      <c r="B556" s="0" t="str">
        <f>IFERROR(__xludf.DUMMYFUNCTION("""COMPUTED_VALUE"""),"RunTemplate")</f>
        <v>RunTemplate</v>
      </c>
      <c r="C556" s="0" t="str">
        <f>IFERROR(__xludf.DUMMYFUNCTION("""COMPUTED_VALUE"""),"1CrtezjyXDUNI03P2ug3fbBszOkDQB11KC1jkQWvhhb0")</f>
        <v>1CrtezjyXDUNI03P2ug3fbBszOkDQB11KC1jkQWvhhb0</v>
      </c>
    </row>
    <row r="557" ht="15.75" customHeight="1">
      <c r="A557" s="0" t="str">
        <f>IFERROR(__xludf.DUMMYFUNCTION("""COMPUTED_VALUE"""),"SymbolLookup")</f>
        <v>SymbolLookup</v>
      </c>
      <c r="B557" s="0" t="str">
        <f>IFERROR(__xludf.DUMMYFUNCTION("""COMPUTED_VALUE"""),"EnterEquity")</f>
        <v>EnterEquity</v>
      </c>
      <c r="C557" s="0" t="str">
        <f>IFERROR(__xludf.DUMMYFUNCTION("""COMPUTED_VALUE"""),"1aaVe9FlMYC6RFGiTb4FjozEKzxGyq3kDwxhYjfzfAD4")</f>
        <v>1aaVe9FlMYC6RFGiTb4FjozEKzxGyq3kDwxhYjfzfAD4</v>
      </c>
    </row>
    <row r="558" ht="15.75" customHeight="1">
      <c r="A558" s="0" t="str">
        <f>IFERROR(__xludf.DUMMYFUNCTION("""COMPUTED_VALUE"""),"SymbolLookup")</f>
        <v>SymbolLookup</v>
      </c>
      <c r="B558" s="0" t="str">
        <f>IFERROR(__xludf.DUMMYFUNCTION("""COMPUTED_VALUE"""),"UpdateSecurityInfoOnSM")</f>
        <v>UpdateSecurityInfoOnSM</v>
      </c>
      <c r="C558" s="0" t="str">
        <f>IFERROR(__xludf.DUMMYFUNCTION("""COMPUTED_VALUE"""),"17-t-GrQf2zL-8Q67F4HdNpsG_6uuzTew55S0LtWs234")</f>
        <v>17-t-GrQf2zL-8Q67F4HdNpsG_6uuzTew55S0LtWs234</v>
      </c>
    </row>
    <row r="559" ht="15.75" customHeight="1">
      <c r="A559" s="0" t="str">
        <f>IFERROR(__xludf.DUMMYFUNCTION("""COMPUTED_VALUE"""),"Blotter")</f>
        <v>Blotter</v>
      </c>
      <c r="B559" s="0" t="str">
        <f>IFERROR(__xludf.DUMMYFUNCTION("""COMPUTED_VALUE"""),"AllocateFromBlotter")</f>
        <v>AllocateFromBlotter</v>
      </c>
      <c r="C559" s="0" t="str">
        <f>IFERROR(__xludf.DUMMYFUNCTION("""COMPUTED_VALUE"""),"1XTJi2OXX9tDNK8ST579LThIVIiMnVsCWKD8hYv1DwCk")</f>
        <v>1XTJi2OXX9tDNK8ST579LThIVIiMnVsCWKD8hYv1DwCk</v>
      </c>
    </row>
    <row r="560" ht="15.75" customHeight="1">
      <c r="A560" s="0" t="str">
        <f>IFERROR(__xludf.DUMMYFUNCTION("""COMPUTED_VALUE"""),"Admin")</f>
        <v>Admin</v>
      </c>
      <c r="B560" s="0" t="str">
        <f>IFERROR(__xludf.DUMMYFUNCTION("""COMPUTED_VALUE"""),"UpdateFee")</f>
        <v>UpdateFee</v>
      </c>
      <c r="C560" s="0" t="str">
        <f>IFERROR(__xludf.DUMMYFUNCTION("""COMPUTED_VALUE"""),"18i3ZoYVYHAnZwXwaD1wecFKaay3F1XWD-fGr1yOXxiI")</f>
        <v>18i3ZoYVYHAnZwXwaD1wecFKaay3F1XWD-fGr1yOXxiI</v>
      </c>
    </row>
    <row r="561" ht="15.75" customHeight="1">
      <c r="A561" s="0" t="str">
        <f>IFERROR(__xludf.DUMMYFUNCTION("""COMPUTED_VALUE"""),"Allocation")</f>
        <v>Allocation</v>
      </c>
      <c r="B561" s="0" t="str">
        <f>IFERROR(__xludf.DUMMYFUNCTION("""COMPUTED_VALUE"""),"DeleteGroupWithOutSave")</f>
        <v>DeleteGroupWithOutSave</v>
      </c>
      <c r="C561" s="0" t="str">
        <f>IFERROR(__xludf.DUMMYFUNCTION("""COMPUTED_VALUE"""),"1aIaLYmwd1_7VvSXSXs0xCiLDHvkOFY2I2WhFegjZjbM")</f>
        <v>1aIaLYmwd1_7VvSXSXs0xCiLDHvkOFY2I2WhFegjZjbM</v>
      </c>
    </row>
    <row r="562" ht="15.75" customHeight="1">
      <c r="A562" s="0" t="str">
        <f>IFERROR(__xludf.DUMMYFUNCTION("""COMPUTED_VALUE"""),"Allocation")</f>
        <v>Allocation</v>
      </c>
      <c r="B562" s="0" t="str">
        <f>IFERROR(__xludf.DUMMYFUNCTION("""COMPUTED_VALUE"""),"CheckPreferences")</f>
        <v>CheckPreferences</v>
      </c>
      <c r="C562" s="0" t="str">
        <f>IFERROR(__xludf.DUMMYFUNCTION("""COMPUTED_VALUE"""),"1Gt4DTANotwpTFTn2K0N4FyEH3Wy4mVS3CndTI3qhjT0")</f>
        <v>1Gt4DTANotwpTFTn2K0N4FyEH3Wy4mVS3CndTI3qhjT0</v>
      </c>
    </row>
    <row r="563" ht="15.75" customHeight="1">
      <c r="A563" s="0" t="str">
        <f>IFERROR(__xludf.DUMMYFUNCTION("""COMPUTED_VALUE"""),"Rebalancer")</f>
        <v>Rebalancer</v>
      </c>
      <c r="B563" s="0" t="str">
        <f>IFERROR(__xludf.DUMMYFUNCTION("""COMPUTED_VALUE"""),"SymbologyChangeRB")</f>
        <v>SymbologyChangeRB</v>
      </c>
      <c r="C563" s="0" t="str">
        <f>IFERROR(__xludf.DUMMYFUNCTION("""COMPUTED_VALUE"""),"Undefined")</f>
        <v>Undefined</v>
      </c>
    </row>
    <row r="564" ht="15.75" customHeight="1">
      <c r="A564" s="0" t="str">
        <f>IFERROR(__xludf.DUMMYFUNCTION("""COMPUTED_VALUE"""),"TradingTicket")</f>
        <v>TradingTicket</v>
      </c>
      <c r="B564" s="0" t="str">
        <f>IFERROR(__xludf.DUMMYFUNCTION("""COMPUTED_VALUE"""),"CreateReplaceLiveOrder")</f>
        <v>CreateReplaceLiveOrder</v>
      </c>
      <c r="C564" s="0" t="str">
        <f>IFERROR(__xludf.DUMMYFUNCTION("""COMPUTED_VALUE"""),"1k4O2DH0z6o7Zp7BJki2B-GvLEd7WL3r0-BBl39ErSwA")</f>
        <v>1k4O2DH0z6o7Zp7BJki2B-GvLEd7WL3r0-BBl39ErSwA</v>
      </c>
    </row>
    <row r="565" ht="15.75" customHeight="1">
      <c r="A565" s="0" t="str">
        <f>IFERROR(__xludf.DUMMYFUNCTION("""COMPUTED_VALUE"""),"Admin")</f>
        <v>Admin</v>
      </c>
      <c r="B565" s="0" t="str">
        <f>IFERROR(__xludf.DUMMYFUNCTION("""COMPUTED_VALUE"""),"RevertingSMSharesOutValue")</f>
        <v>RevertingSMSharesOutValue</v>
      </c>
      <c r="C565" s="0" t="str">
        <f>IFERROR(__xludf.DUMMYFUNCTION("""COMPUTED_VALUE"""),"14NB1Fv5kuloQb2TqNZV019UwD238JCIlsMkapq0l2ag")</f>
        <v>14NB1Fv5kuloQb2TqNZV019UwD238JCIlsMkapq0l2ag</v>
      </c>
    </row>
    <row r="566" ht="15.75" customHeight="1">
      <c r="A566" s="0" t="str">
        <f>IFERROR(__xludf.DUMMYFUNCTION("""COMPUTED_VALUE"""),"SymbolLookup")</f>
        <v>SymbolLookup</v>
      </c>
      <c r="B566" s="0" t="str">
        <f>IFERROR(__xludf.DUMMYFUNCTION("""COMPUTED_VALUE"""),"TradeSymbolFromSM")</f>
        <v>TradeSymbolFromSM</v>
      </c>
      <c r="C566" s="0" t="str">
        <f>IFERROR(__xludf.DUMMYFUNCTION("""COMPUTED_VALUE"""),"1QQqyEJAxSiITSpbxeSzT-43Z_t_k8RMkNqyDU83B9yw")</f>
        <v>1QQqyEJAxSiITSpbxeSzT-43Z_t_k8RMkNqyDU83B9yw</v>
      </c>
    </row>
    <row r="567" ht="15.75" customHeight="1">
      <c r="A567" s="0" t="str">
        <f>IFERROR(__xludf.DUMMYFUNCTION("""COMPUTED_VALUE"""),"Closing")</f>
        <v>Closing</v>
      </c>
      <c r="B567" s="0" t="str">
        <f>IFERROR(__xludf.DUMMYFUNCTION("""COMPUTED_VALUE"""),"SelectAccountWiseAsset")</f>
        <v>SelectAccountWiseAsset</v>
      </c>
      <c r="C567" s="0" t="str">
        <f>IFERROR(__xludf.DUMMYFUNCTION("""COMPUTED_VALUE"""),"1dg717feD1PLoJMODUOkjay-kVKs_HU6lWkwzq6Dzicw")</f>
        <v>1dg717feD1PLoJMODUOkjay-kVKs_HU6lWkwzq6Dzicw</v>
      </c>
    </row>
    <row r="568" ht="15.75" customHeight="1">
      <c r="A568" s="0" t="str">
        <f>IFERROR(__xludf.DUMMYFUNCTION("""COMPUTED_VALUE"""),"Closing")</f>
        <v>Closing</v>
      </c>
      <c r="B568" s="0" t="str">
        <f>IFERROR(__xludf.DUMMYFUNCTION("""COMPUTED_VALUE"""),"VerifyCTData")</f>
        <v>VerifyCTData</v>
      </c>
      <c r="C568" s="0" t="str">
        <f>IFERROR(__xludf.DUMMYFUNCTION("""COMPUTED_VALUE"""),"1DhgxoqROPCGpHN0ZvF_CxvGD_XGKqi4hirH4AyU5edM")</f>
        <v>1DhgxoqROPCGpHN0ZvF_CxvGD_XGKqi4hirH4AyU5edM</v>
      </c>
    </row>
    <row r="569" ht="15.75" customHeight="1">
      <c r="A569" s="0" t="str">
        <f>IFERROR(__xludf.DUMMYFUNCTION("""COMPUTED_VALUE"""),"Closing")</f>
        <v>Closing</v>
      </c>
      <c r="B569" s="0" t="str">
        <f>IFERROR(__xludf.DUMMYFUNCTION("""COMPUTED_VALUE"""),"ExerciseAssignmentWithOutSave")</f>
        <v>ExerciseAssignmentWithOutSave</v>
      </c>
      <c r="C569" s="0" t="str">
        <f>IFERROR(__xludf.DUMMYFUNCTION("""COMPUTED_VALUE"""),"13ISfl53WS5qjapt8_QubQCWQC5PngpTaN-DNznWEfnM")</f>
        <v>13ISfl53WS5qjapt8_QubQCWQC5PngpTaN-DNznWEfnM</v>
      </c>
    </row>
    <row r="570" ht="15.75" customHeight="1">
      <c r="A570" s="0" t="str">
        <f>IFERROR(__xludf.DUMMYFUNCTION("""COMPUTED_VALUE"""),"Closing")</f>
        <v>Closing</v>
      </c>
      <c r="B570" s="0" t="str">
        <f>IFERROR(__xludf.DUMMYFUNCTION("""COMPUTED_VALUE"""),"SaveCTData")</f>
        <v>SaveCTData</v>
      </c>
      <c r="C570" s="0" t="str">
        <f>IFERROR(__xludf.DUMMYFUNCTION("""COMPUTED_VALUE"""),"1lX2ofL0aTKUlfGG5tlpbifm1409nxXKN3EvA38tIwsI")</f>
        <v>1lX2ofL0aTKUlfGG5tlpbifm1409nxXKN3EvA38tIwsI</v>
      </c>
    </row>
    <row r="571" ht="15.75" customHeight="1">
      <c r="A571" s="0" t="str">
        <f>IFERROR(__xludf.DUMMYFUNCTION("""COMPUTED_VALUE"""),"Allocation")</f>
        <v>Allocation</v>
      </c>
      <c r="B571" s="0" t="str">
        <f>IFERROR(__xludf.DUMMYFUNCTION("""COMPUTED_VALUE"""),"AllocateWithPopUp")</f>
        <v>AllocateWithPopUp</v>
      </c>
      <c r="C571" s="0" t="str">
        <f>IFERROR(__xludf.DUMMYFUNCTION("""COMPUTED_VALUE"""),"1xGs6-0rm5y24BDfu0xaFuFjmw24xo_mnA1FsmchPkoQ")</f>
        <v>1xGs6-0rm5y24BDfu0xaFuFjmw24xo_mnA1FsmchPkoQ</v>
      </c>
    </row>
    <row r="572" ht="15.75" customHeight="1">
      <c r="A572" s="0" t="str">
        <f>IFERROR(__xludf.DUMMYFUNCTION("""COMPUTED_VALUE"""),"TradingTicket")</f>
        <v>TradingTicket</v>
      </c>
      <c r="B572" s="0" t="str">
        <f>IFERROR(__xludf.DUMMYFUNCTION("""COMPUTED_VALUE"""),"CreateNewSubLiveOrder")</f>
        <v>CreateNewSubLiveOrder</v>
      </c>
      <c r="C572" s="0" t="str">
        <f>IFERROR(__xludf.DUMMYFUNCTION("""COMPUTED_VALUE"""),"1sXlRlM3l3g7Y_cbxe72XjBbsp4DKHWhRKjq3FHbAEZg")</f>
        <v>1sXlRlM3l3g7Y_cbxe72XjBbsp4DKHWhRKjq3FHbAEZg</v>
      </c>
    </row>
    <row r="573" ht="15.75" customHeight="1">
      <c r="A573" s="0" t="str">
        <f>IFERROR(__xludf.DUMMYFUNCTION("""COMPUTED_VALUE"""),"Blotter")</f>
        <v>Blotter</v>
      </c>
      <c r="B573" s="0" t="str">
        <f>IFERROR(__xludf.DUMMYFUNCTION("""COMPUTED_VALUE"""),"ViewPTTAllocationDetails")</f>
        <v>ViewPTTAllocationDetails</v>
      </c>
      <c r="C573" s="0" t="str">
        <f>IFERROR(__xludf.DUMMYFUNCTION("""COMPUTED_VALUE"""),"1K3kCif21tZY3Z_07H3JuRu8yZ2BuxGjW7WwookIx-Fc")</f>
        <v>1K3kCif21tZY3Z_07H3JuRu8yZ2BuxGjW7WwookIx-Fc</v>
      </c>
    </row>
    <row r="574" ht="15.75" customHeight="1">
      <c r="A574" s="0" t="str">
        <f>IFERROR(__xludf.DUMMYFUNCTION("""COMPUTED_VALUE"""),"Admin")</f>
        <v>Admin</v>
      </c>
      <c r="B574" s="0" t="str">
        <f>IFERROR(__xludf.DUMMYFUNCTION("""COMPUTED_VALUE"""),"RestartSQL")</f>
        <v>RestartSQL</v>
      </c>
      <c r="C574" s="0" t="str">
        <f>IFERROR(__xludf.DUMMYFUNCTION("""COMPUTED_VALUE"""),"1-12TcMWdB2mXxQH8e7co5k5BUH-Uzpps1uWKQ-CLR00")</f>
        <v>1-12TcMWdB2mXxQH8e7co5k5BUH-Uzpps1uWKQ-CLR00</v>
      </c>
    </row>
    <row r="575" ht="15.75" customHeight="1">
      <c r="A575" s="0" t="str">
        <f>IFERROR(__xludf.DUMMYFUNCTION("""COMPUTED_VALUE"""),"Admin")</f>
        <v>Admin</v>
      </c>
      <c r="B575" s="0" t="str">
        <f>IFERROR(__xludf.DUMMYFUNCTION("""COMPUTED_VALUE"""),"TradeAuditCleanUp")</f>
        <v>TradeAuditCleanUp</v>
      </c>
      <c r="C575" s="0" t="str">
        <f>IFERROR(__xludf.DUMMYFUNCTION("""COMPUTED_VALUE"""),"1te_tPkqDmMAupeEd8qm_jD3j66mFB1Z4N9FMCo8XPy4")</f>
        <v>1te_tPkqDmMAupeEd8qm_jD3j66mFB1Z4N9FMCo8XPy4</v>
      </c>
    </row>
    <row r="576" ht="15.75" customHeight="1">
      <c r="A576" s="0" t="str">
        <f>IFERROR(__xludf.DUMMYFUNCTION("""COMPUTED_VALUE"""),"Import")</f>
        <v>Import</v>
      </c>
      <c r="B576" s="0" t="str">
        <f>IFERROR(__xludf.DUMMYFUNCTION("""COMPUTED_VALUE"""),"SelectTradeOnImport")</f>
        <v>SelectTradeOnImport</v>
      </c>
      <c r="C576" s="0" t="str">
        <f>IFERROR(__xludf.DUMMYFUNCTION("""COMPUTED_VALUE"""),"1E9KQGFIuEW08WBNI-XqSj37_5i6SG51bbwPJ0NN4Mmc")</f>
        <v>1E9KQGFIuEW08WBNI-XqSj37_5i6SG51bbwPJ0NN4Mmc</v>
      </c>
    </row>
    <row r="577" ht="15.75" customHeight="1">
      <c r="A577" s="0" t="str">
        <f>IFERROR(__xludf.DUMMYFUNCTION("""COMPUTED_VALUE"""),"Allocation")</f>
        <v>Allocation</v>
      </c>
      <c r="B577" s="0" t="str">
        <f>IFERROR(__xludf.DUMMYFUNCTION("""COMPUTED_VALUE"""),"SelectAllRowsAllocated")</f>
        <v>SelectAllRowsAllocated</v>
      </c>
      <c r="C577" s="0" t="str">
        <f>IFERROR(__xludf.DUMMYFUNCTION("""COMPUTED_VALUE"""),"Undefined")</f>
        <v>Undefined</v>
      </c>
    </row>
    <row r="578" ht="15.75" customHeight="1">
      <c r="A578" s="0" t="str">
        <f>IFERROR(__xludf.DUMMYFUNCTION("""COMPUTED_VALUE"""),"Closing")</f>
        <v>Closing</v>
      </c>
      <c r="B578" s="0" t="str">
        <f>IFERROR(__xludf.DUMMYFUNCTION("""COMPUTED_VALUE"""),"FilterLongPositionGrid")</f>
        <v>FilterLongPositionGrid</v>
      </c>
      <c r="C578" s="0" t="str">
        <f>IFERROR(__xludf.DUMMYFUNCTION("""COMPUTED_VALUE"""),"1eQ05g7FlkoucBRzqzHC6DYgristCD8IKA7i0JOPqMMs")</f>
        <v>1eQ05g7FlkoucBRzqzHC6DYgristCD8IKA7i0JOPqMMs</v>
      </c>
    </row>
    <row r="579" ht="15.75" customHeight="1">
      <c r="A579" s="0" t="str">
        <f>IFERROR(__xludf.DUMMYFUNCTION("""COMPUTED_VALUE"""),"Closing")</f>
        <v>Closing</v>
      </c>
      <c r="B579" s="0" t="str">
        <f>IFERROR(__xludf.DUMMYFUNCTION("""COMPUTED_VALUE"""),"FilterShortPositionGrid")</f>
        <v>FilterShortPositionGrid</v>
      </c>
      <c r="C579" s="0" t="str">
        <f>IFERROR(__xludf.DUMMYFUNCTION("""COMPUTED_VALUE"""),"1_Kaj9Gla2_3_3DWDcJLohN-Ulu6Or19SpBltOn1IqpA")</f>
        <v>1_Kaj9Gla2_3_3DWDcJLohN-Ulu6Or19SpBltOn1IqpA</v>
      </c>
    </row>
    <row r="580" ht="15.75" customHeight="1">
      <c r="A580" s="0" t="str">
        <f>IFERROR(__xludf.DUMMYFUNCTION("""COMPUTED_VALUE"""),"Closing")</f>
        <v>Closing</v>
      </c>
      <c r="B580" s="0" t="str">
        <f>IFERROR(__xludf.DUMMYFUNCTION("""COMPUTED_VALUE"""),"FilterClosingGrid")</f>
        <v>FilterClosingGrid</v>
      </c>
      <c r="C580" s="0" t="str">
        <f>IFERROR(__xludf.DUMMYFUNCTION("""COMPUTED_VALUE"""),"1x0tSTgqZ5yRnN4Tz7nFtGYNGMoM4Tz6TBq0Ru3xflwY")</f>
        <v>1x0tSTgqZ5yRnN4Tz7nFtGYNGMoM4Tz6TBq0Ru3xflwY</v>
      </c>
    </row>
    <row r="581" ht="15.75" customHeight="1">
      <c r="A581" s="0" t="str">
        <f>IFERROR(__xludf.DUMMYFUNCTION("""COMPUTED_VALUE"""),"Closing")</f>
        <v>Closing</v>
      </c>
      <c r="B581" s="0" t="str">
        <f>IFERROR(__xludf.DUMMYFUNCTION("""COMPUTED_VALUE"""),"FilterUnexpiredGrid")</f>
        <v>FilterUnexpiredGrid</v>
      </c>
      <c r="C581" s="0" t="str">
        <f>IFERROR(__xludf.DUMMYFUNCTION("""COMPUTED_VALUE"""),"19__Spg6yNEdiEgPsq0ju_vHO7AEAj0c1TjazwCSKFSs")</f>
        <v>19__Spg6yNEdiEgPsq0ju_vHO7AEAj0c1TjazwCSKFSs</v>
      </c>
    </row>
    <row r="582" ht="15.75" customHeight="1">
      <c r="A582" s="0" t="str">
        <f>IFERROR(__xludf.DUMMYFUNCTION("""COMPUTED_VALUE"""),"Closing")</f>
        <v>Closing</v>
      </c>
      <c r="B582" s="0" t="str">
        <f>IFERROR(__xludf.DUMMYFUNCTION("""COMPUTED_VALUE"""),"FilterExpiredGrid")</f>
        <v>FilterExpiredGrid</v>
      </c>
      <c r="C582" s="0" t="str">
        <f>IFERROR(__xludf.DUMMYFUNCTION("""COMPUTED_VALUE"""),"1jZq080VyNhunffpTX7Q8WctBF6FMMlgDqxOs2X0M62s")</f>
        <v>1jZq080VyNhunffpTX7Q8WctBF6FMMlgDqxOs2X0M62s</v>
      </c>
    </row>
    <row r="583" ht="15.75" customHeight="1">
      <c r="A583" s="0" t="str">
        <f>IFERROR(__xludf.DUMMYFUNCTION("""COMPUTED_VALUE"""),"GeneralLedger")</f>
        <v>GeneralLedger</v>
      </c>
      <c r="B583" s="0" t="str">
        <f>IFERROR(__xludf.DUMMYFUNCTION("""COMPUTED_VALUE"""),"FilterCashTransactionGrid")</f>
        <v>FilterCashTransactionGrid</v>
      </c>
      <c r="C583" s="0" t="str">
        <f>IFERROR(__xludf.DUMMYFUNCTION("""COMPUTED_VALUE"""),"1yFQmKvzwAFdsY1i_j5krUyRXB0Jw9K6HiJ1sedlnizE")</f>
        <v>1yFQmKvzwAFdsY1i_j5krUyRXB0Jw9K6HiJ1sedlnizE</v>
      </c>
    </row>
    <row r="584" ht="15.75" customHeight="1">
      <c r="A584" s="0" t="str">
        <f>IFERROR(__xludf.DUMMYFUNCTION("""COMPUTED_VALUE"""),"Recon")</f>
        <v>Recon</v>
      </c>
      <c r="B584" s="0" t="str">
        <f>IFERROR(__xludf.DUMMYFUNCTION("""COMPUTED_VALUE"""),"VerifyApplicationData")</f>
        <v>VerifyApplicationData</v>
      </c>
      <c r="C584" s="0" t="str">
        <f>IFERROR(__xludf.DUMMYFUNCTION("""COMPUTED_VALUE"""),"1Dpr8WIv6TDBK0rxjxSy_MqWbkp0VcPh0dzzq05jelwk")</f>
        <v>1Dpr8WIv6TDBK0rxjxSy_MqWbkp0VcPh0dzzq05jelwk</v>
      </c>
    </row>
    <row r="585" ht="15.75" customHeight="1">
      <c r="A585" s="0" t="str">
        <f>IFERROR(__xludf.DUMMYFUNCTION("""COMPUTED_VALUE"""),"GeneralLedger")</f>
        <v>GeneralLedger</v>
      </c>
      <c r="B585" s="0" t="str">
        <f>IFERROR(__xludf.DUMMYFUNCTION("""COMPUTED_VALUE"""),"EditGridCashTransactions")</f>
        <v>EditGridCashTransactions</v>
      </c>
      <c r="C585" s="0" t="str">
        <f>IFERROR(__xludf.DUMMYFUNCTION("""COMPUTED_VALUE"""),"1U3Lll-22S6_flQX8K9e2RYFi60F4xvlFiIrO7oI53SM")</f>
        <v>1U3Lll-22S6_flQX8K9e2RYFi60F4xvlFiIrO7oI53SM</v>
      </c>
    </row>
    <row r="586" ht="15.75" customHeight="1">
      <c r="A586" s="0" t="str">
        <f>IFERROR(__xludf.DUMMYFUNCTION("""COMPUTED_VALUE"""),"Closing")</f>
        <v>Closing</v>
      </c>
      <c r="B586" s="0" t="str">
        <f>IFERROR(__xludf.DUMMYFUNCTION("""COMPUTED_VALUE"""),"UnwindAllClosingData")</f>
        <v>UnwindAllClosingData</v>
      </c>
      <c r="C586" s="0" t="str">
        <f>IFERROR(__xludf.DUMMYFUNCTION("""COMPUTED_VALUE"""),"1tWUIoWkYt76dEoPLffGeR3BKhumyPmGYrDDpNHf57-E")</f>
        <v>1tWUIoWkYt76dEoPLffGeR3BKhumyPmGYrDDpNHf57-E</v>
      </c>
    </row>
    <row r="587" ht="15.75" customHeight="1">
      <c r="A587" s="0" t="str">
        <f>IFERROR(__xludf.DUMMYFUNCTION("""COMPUTED_VALUE"""),"GeneralLedger")</f>
        <v>GeneralLedger</v>
      </c>
      <c r="B587" s="0" t="str">
        <f>IFERROR(__xludf.DUMMYFUNCTION("""COMPUTED_VALUE"""),"SaveCashTransaction")</f>
        <v>SaveCashTransaction</v>
      </c>
      <c r="C587" s="0" t="str">
        <f>IFERROR(__xludf.DUMMYFUNCTION("""COMPUTED_VALUE"""),"1B21k1fT7qeMq7F9lYaslrVehhg0joFVgy-pYc8Lkmf8")</f>
        <v>1B21k1fT7qeMq7F9lYaslrVehhg0joFVgy-pYc8Lkmf8</v>
      </c>
    </row>
    <row r="588" ht="15.75" customHeight="1">
      <c r="A588" s="0" t="str">
        <f>IFERROR(__xludf.DUMMYFUNCTION("""COMPUTED_VALUE"""),"ThirdParty")</f>
        <v>ThirdParty</v>
      </c>
      <c r="B588" s="0" t="str">
        <f>IFERROR(__xludf.DUMMYFUNCTION("""COMPUTED_VALUE"""),"ChangeThirdpartyDate")</f>
        <v>ChangeThirdpartyDate</v>
      </c>
      <c r="C588" s="0" t="str">
        <f>IFERROR(__xludf.DUMMYFUNCTION("""COMPUTED_VALUE"""),"1h4P6VS7hFcj6Gpcpap9UycUQLIp7GSGhFN-Pc67f1mU")</f>
        <v>1h4P6VS7hFcj6Gpcpap9UycUQLIp7GSGhFN-Pc67f1mU</v>
      </c>
    </row>
    <row r="589" ht="15.75" customHeight="1">
      <c r="A589" s="0" t="str">
        <f>IFERROR(__xludf.DUMMYFUNCTION("""COMPUTED_VALUE"""),"GeneralLedger")</f>
        <v>GeneralLedger</v>
      </c>
      <c r="B589" s="0" t="str">
        <f>IFERROR(__xludf.DUMMYFUNCTION("""COMPUTED_VALUE"""),"RunManualRevaluation")</f>
        <v>RunManualRevaluation</v>
      </c>
      <c r="C589" s="0" t="str">
        <f>IFERROR(__xludf.DUMMYFUNCTION("""COMPUTED_VALUE"""),"1tQChZuaBAI5usO4RbYIySlrw0tFhWje4RI-gh286me8")</f>
        <v>1tQChZuaBAI5usO4RbYIySlrw0tFhWje4RI-gh286me8</v>
      </c>
    </row>
    <row r="590" ht="15.75" customHeight="1">
      <c r="A590" s="0" t="str">
        <f>IFERROR(__xludf.DUMMYFUNCTION("""COMPUTED_VALUE"""),"SymbolLookup")</f>
        <v>SymbolLookup</v>
      </c>
      <c r="B590" s="0" t="str">
        <f>IFERROR(__xludf.DUMMYFUNCTION("""COMPUTED_VALUE"""),"AddSymbol")</f>
        <v>AddSymbol</v>
      </c>
      <c r="C590" s="0" t="str">
        <f>IFERROR(__xludf.DUMMYFUNCTION("""COMPUTED_VALUE"""),"1Sm5U6q-jz5LeKeyf9JfBjKzov0tNefLFi5MsaafqKYg")</f>
        <v>1Sm5U6q-jz5LeKeyf9JfBjKzov0tNefLFi5MsaafqKYg</v>
      </c>
    </row>
    <row r="591" ht="15.75" customHeight="1">
      <c r="A591" s="0" t="str">
        <f>IFERROR(__xludf.DUMMYFUNCTION("""COMPUTED_VALUE"""),"Admin")</f>
        <v>Admin</v>
      </c>
      <c r="B591" s="0" t="str">
        <f>IFERROR(__xludf.DUMMYFUNCTION("""COMPUTED_VALUE"""),"DeleteSymbolFromSM")</f>
        <v>DeleteSymbolFromSM</v>
      </c>
      <c r="C591" s="0" t="str">
        <f>IFERROR(__xludf.DUMMYFUNCTION("""COMPUTED_VALUE"""),"1DudMRucUgcEjmlylDgFYqu5uXTRzRsr-jnE6lVHMbjY")</f>
        <v>1DudMRucUgcEjmlylDgFYqu5uXTRzRsr-jnE6lVHMbjY</v>
      </c>
    </row>
    <row r="592" ht="15.75" customHeight="1">
      <c r="A592" s="0" t="str">
        <f>IFERROR(__xludf.DUMMYFUNCTION("""COMPUTED_VALUE"""),"Watchlist")</f>
        <v>Watchlist</v>
      </c>
      <c r="B592" s="0" t="str">
        <f>IFERROR(__xludf.DUMMYFUNCTION("""COMPUTED_VALUE"""),"AddSymbolToWatchlist")</f>
        <v>AddSymbolToWatchlist</v>
      </c>
      <c r="C592" s="0" t="str">
        <f>IFERROR(__xludf.DUMMYFUNCTION("""COMPUTED_VALUE"""),"1XmnTrOtQLoxDHPfo2HMbZB9NBqLkHPulaqnXm4cQ5KA")</f>
        <v>1XmnTrOtQLoxDHPfo2HMbZB9NBqLkHPulaqnXm4cQ5KA</v>
      </c>
    </row>
    <row r="593" ht="15.75" customHeight="1">
      <c r="A593" s="0" t="str">
        <f>IFERROR(__xludf.DUMMYFUNCTION("""COMPUTED_VALUE"""),"Watchlist")</f>
        <v>Watchlist</v>
      </c>
      <c r="B593" s="0" t="str">
        <f>IFERROR(__xludf.DUMMYFUNCTION("""COMPUTED_VALUE"""),"TradeFromWatchlist")</f>
        <v>TradeFromWatchlist</v>
      </c>
      <c r="C593" s="0" t="str">
        <f>IFERROR(__xludf.DUMMYFUNCTION("""COMPUTED_VALUE"""),"1T9s9NPtF9Q_Ppi6FLLTTJxb43fAm4QnWCD3GM96gXjQ")</f>
        <v>1T9s9NPtF9Q_Ppi6FLLTTJxb43fAm4QnWCD3GM96gXjQ</v>
      </c>
    </row>
    <row r="594" ht="15.75" customHeight="1">
      <c r="A594" s="0" t="str">
        <f>IFERROR(__xludf.DUMMYFUNCTION("""COMPUTED_VALUE"""),"Watchlist")</f>
        <v>Watchlist</v>
      </c>
      <c r="B594" s="0" t="str">
        <f>IFERROR(__xludf.DUMMYFUNCTION("""COMPUTED_VALUE"""),"MultiTradeFromWatchlist")</f>
        <v>MultiTradeFromWatchlist</v>
      </c>
      <c r="C594" s="0" t="str">
        <f>IFERROR(__xludf.DUMMYFUNCTION("""COMPUTED_VALUE"""),"13Bo68XuCJXrtlP5Ji1GdlQm3HIyUjNAnbQEqNi_0j80")</f>
        <v>13Bo68XuCJXrtlP5Ji1GdlQm3HIyUjNAnbQEqNi_0j80</v>
      </c>
    </row>
    <row r="595" ht="15.75" customHeight="1">
      <c r="A595" s="0" t="str">
        <f>IFERROR(__xludf.DUMMYFUNCTION("""COMPUTED_VALUE"""),"Watchlist")</f>
        <v>Watchlist</v>
      </c>
      <c r="B595" s="0" t="str">
        <f>IFERROR(__xludf.DUMMYFUNCTION("""COMPUTED_VALUE"""),"DeleteSymbolFromWatchlist")</f>
        <v>DeleteSymbolFromWatchlist</v>
      </c>
      <c r="C595" s="0" t="str">
        <f>IFERROR(__xludf.DUMMYFUNCTION("""COMPUTED_VALUE"""),"1KR8LzaHhEwxGacZ2Jul0uakCfHBvSq8Om-PWySPLpHU")</f>
        <v>1KR8LzaHhEwxGacZ2Jul0uakCfHBvSq8Om-PWySPLpHU</v>
      </c>
    </row>
    <row r="596" ht="15.75" customHeight="1">
      <c r="A596" s="0" t="str">
        <f>IFERROR(__xludf.DUMMYFUNCTION("""COMPUTED_VALUE"""),"Watchlist")</f>
        <v>Watchlist</v>
      </c>
      <c r="B596" s="0" t="str">
        <f>IFERROR(__xludf.DUMMYFUNCTION("""COMPUTED_VALUE"""),"VerifySymbolsOnWatchlist")</f>
        <v>VerifySymbolsOnWatchlist</v>
      </c>
      <c r="C596" s="0" t="str">
        <f>IFERROR(__xludf.DUMMYFUNCTION("""COMPUTED_VALUE"""),"1fkU0S4violR7UFjAn9TlUpgOonAIAkkJZA9g0xcb6hU")</f>
        <v>1fkU0S4violR7UFjAn9TlUpgOonAIAkkJZA9g0xcb6hU</v>
      </c>
    </row>
    <row r="597" ht="15.75" customHeight="1">
      <c r="A597" s="0" t="str">
        <f>IFERROR(__xludf.DUMMYFUNCTION("""COMPUTED_VALUE"""),"Recon")</f>
        <v>Recon</v>
      </c>
      <c r="B597" s="0" t="str">
        <f>IFERROR(__xludf.DUMMYFUNCTION("""COMPUTED_VALUE"""),"VerifyAppMatchedData")</f>
        <v>VerifyAppMatchedData</v>
      </c>
      <c r="C597" s="0" t="str">
        <f>IFERROR(__xludf.DUMMYFUNCTION("""COMPUTED_VALUE"""),"14GA6gCi0TKNLF2vISw-OK2MXQBKkoHIrNEl4pTEICeg")</f>
        <v>14GA6gCi0TKNLF2vISw-OK2MXQBKkoHIrNEl4pTEICeg</v>
      </c>
    </row>
    <row r="598" ht="15.75" customHeight="1">
      <c r="A598" s="0" t="str">
        <f>IFERROR(__xludf.DUMMYFUNCTION("""COMPUTED_VALUE"""),"Recon")</f>
        <v>Recon</v>
      </c>
      <c r="B598" s="0" t="str">
        <f>IFERROR(__xludf.DUMMYFUNCTION("""COMPUTED_VALUE"""),"VerifyAppUnmatchedData")</f>
        <v>VerifyAppUnmatchedData</v>
      </c>
      <c r="C598" s="0" t="str">
        <f>IFERROR(__xludf.DUMMYFUNCTION("""COMPUTED_VALUE"""),"1fRtlhH7TyRkIcxAV3P_BFbmJBgSLDwOvrBxrqiU6xKw")</f>
        <v>1fRtlhH7TyRkIcxAV3P_BFbmJBgSLDwOvrBxrqiU6xKw</v>
      </c>
    </row>
    <row r="599" ht="15.75" customHeight="1">
      <c r="A599" s="0" t="str">
        <f>IFERROR(__xludf.DUMMYFUNCTION("""COMPUTED_VALUE"""),"Recon")</f>
        <v>Recon</v>
      </c>
      <c r="B599" s="0" t="str">
        <f>IFERROR(__xludf.DUMMYFUNCTION("""COMPUTED_VALUE"""),"VerifyPBMatchedData")</f>
        <v>VerifyPBMatchedData</v>
      </c>
      <c r="C599" s="0" t="str">
        <f>IFERROR(__xludf.DUMMYFUNCTION("""COMPUTED_VALUE"""),"18BzE30Ho0Qvtx4D8qR8XqV6nyyOdYbSVu-Z17SjWyuA")</f>
        <v>18BzE30Ho0Qvtx4D8qR8XqV6nyyOdYbSVu-Z17SjWyuA</v>
      </c>
    </row>
    <row r="600" ht="15.75" customHeight="1">
      <c r="A600" s="0" t="str">
        <f>IFERROR(__xludf.DUMMYFUNCTION("""COMPUTED_VALUE"""),"Recon")</f>
        <v>Recon</v>
      </c>
      <c r="B600" s="0" t="str">
        <f>IFERROR(__xludf.DUMMYFUNCTION("""COMPUTED_VALUE"""),"VerifyPBUnmatchedData")</f>
        <v>VerifyPBUnmatchedData</v>
      </c>
      <c r="C600" s="0" t="str">
        <f>IFERROR(__xludf.DUMMYFUNCTION("""COMPUTED_VALUE"""),"175euYUhYwu8NiO4e3-6islzKymxACVs9cl3KioQ0DbA")</f>
        <v>175euYUhYwu8NiO4e3-6islzKymxACVs9cl3KioQ0DbA</v>
      </c>
    </row>
    <row r="601" ht="15.75" customHeight="1">
      <c r="A601" s="0" t="str">
        <f>IFERROR(__xludf.DUMMYFUNCTION("""COMPUTED_VALUE"""),"QTT")</f>
        <v>QTT</v>
      </c>
      <c r="B601" s="0" t="str">
        <f>IFERROR(__xludf.DUMMYFUNCTION("""COMPUTED_VALUE"""),"OpenQtt")</f>
        <v>OpenQtt</v>
      </c>
      <c r="C601" s="0" t="str">
        <f>IFERROR(__xludf.DUMMYFUNCTION("""COMPUTED_VALUE"""),"1aAWPiagRSQBPzFpFvPGXOL3ffgkx6Nv3C5nWfeoNcgM")</f>
        <v>1aAWPiagRSQBPzFpFvPGXOL3ffgkx6Nv3C5nWfeoNcgM</v>
      </c>
    </row>
    <row r="602" ht="15.75" customHeight="1">
      <c r="A602" s="0" t="str">
        <f>IFERROR(__xludf.DUMMYFUNCTION("""COMPUTED_VALUE"""),"QTT")</f>
        <v>QTT</v>
      </c>
      <c r="B602" s="0" t="str">
        <f>IFERROR(__xludf.DUMMYFUNCTION("""COMPUTED_VALUE"""),"TradeFromQTT")</f>
        <v>TradeFromQTT</v>
      </c>
      <c r="C602" s="0" t="str">
        <f>IFERROR(__xludf.DUMMYFUNCTION("""COMPUTED_VALUE"""),"1VxR48DRURy-5fMryJTwAP30_4MHBsyd5IYM_MA17mH4")</f>
        <v>1VxR48DRURy-5fMryJTwAP30_4MHBsyd5IYM_MA17mH4</v>
      </c>
    </row>
    <row r="603" ht="15.75" customHeight="1">
      <c r="A603" s="0" t="str">
        <f>IFERROR(__xludf.DUMMYFUNCTION("""COMPUTED_VALUE"""),"TradingTicket")</f>
        <v>TradingTicket</v>
      </c>
      <c r="B603" s="0" t="str">
        <f>IFERROR(__xludf.DUMMYFUNCTION("""COMPUTED_VALUE"""),"VerifyBasketExport")</f>
        <v>VerifyBasketExport</v>
      </c>
      <c r="C603" s="0" t="str">
        <f>IFERROR(__xludf.DUMMYFUNCTION("""COMPUTED_VALUE"""),"1KOVAJXM-60wuzbemyOcR8_7Pu3PI0nXBRqpYgb3dzkU")</f>
        <v>1KOVAJXM-60wuzbemyOcR8_7Pu3PI0nXBRqpYgb3dzkU</v>
      </c>
    </row>
    <row r="604" ht="15.75" customHeight="1">
      <c r="A604" s="0" t="str">
        <f>IFERROR(__xludf.DUMMYFUNCTION("""COMPUTED_VALUE"""),"Admin")</f>
        <v>Admin</v>
      </c>
      <c r="B604" s="0" t="str">
        <f>IFERROR(__xludf.DUMMYFUNCTION("""COMPUTED_VALUE"""),"SetCompliancePermission")</f>
        <v>SetCompliancePermission</v>
      </c>
      <c r="C604" s="0" t="str">
        <f>IFERROR(__xludf.DUMMYFUNCTION("""COMPUTED_VALUE"""),"125GL21UTNAv-VPIkHZbpZjsENPGN-XLVcbrUI4CZxxA")</f>
        <v>125GL21UTNAv-VPIkHZbpZjsENPGN-XLVcbrUI4CZxxA</v>
      </c>
    </row>
    <row r="605" ht="15.75" customHeight="1">
      <c r="A605" s="0" t="str">
        <f>IFERROR(__xludf.DUMMYFUNCTION("""COMPUTED_VALUE"""),"Compliance")</f>
        <v>Compliance</v>
      </c>
      <c r="B605" s="0" t="str">
        <f>IFERROR(__xludf.DUMMYFUNCTION("""COMPUTED_VALUE"""),"ApproveorRejectpendingapproval")</f>
        <v>ApproveorRejectpendingapproval</v>
      </c>
      <c r="C605" s="0" t="str">
        <f>IFERROR(__xludf.DUMMYFUNCTION("""COMPUTED_VALUE"""),"1kblrJiY5tjWVV0kCU90-uYIUPjXfJMDg72L-1IJOLGU")</f>
        <v>1kblrJiY5tjWVV0kCU90-uYIUPjXfJMDg72L-1IJOLGU</v>
      </c>
    </row>
    <row r="606" ht="15.75" customHeight="1">
      <c r="A606" s="0" t="str">
        <f>IFERROR(__xludf.DUMMYFUNCTION("""COMPUTED_VALUE"""),"Compliance")</f>
        <v>Compliance</v>
      </c>
      <c r="B606" s="0" t="str">
        <f>IFERROR(__xludf.DUMMYFUNCTION("""COMPUTED_VALUE"""),"VerifyAlertHistory")</f>
        <v>VerifyAlertHistory</v>
      </c>
      <c r="C606" s="0" t="str">
        <f>IFERROR(__xludf.DUMMYFUNCTION("""COMPUTED_VALUE"""),"1flh7l8ahyS7C018bO_Y6k1K-XT76tXzdz53HLkQ4xU4")</f>
        <v>1flh7l8ahyS7C018bO_Y6k1K-XT76tXzdz53HLkQ4xU4</v>
      </c>
    </row>
    <row r="607" ht="15.75" customHeight="1">
      <c r="A607" s="0" t="str">
        <f>IFERROR(__xludf.DUMMYFUNCTION("""COMPUTED_VALUE"""),"Blotter")</f>
        <v>Blotter</v>
      </c>
      <c r="B607" s="0" t="str">
        <f>IFERROR(__xludf.DUMMYFUNCTION("""COMPUTED_VALUE"""),"MergeOrder")</f>
        <v>MergeOrder</v>
      </c>
      <c r="C607" s="0" t="str">
        <f>IFERROR(__xludf.DUMMYFUNCTION("""COMPUTED_VALUE"""),"1MPmJ5VEjT-ZUHCoVctZCP9aHjIzuZW0_hruDc41GD-A")</f>
        <v>1MPmJ5VEjT-ZUHCoVctZCP9aHjIzuZW0_hruDc41GD-A</v>
      </c>
    </row>
    <row r="608" ht="15.75" customHeight="1">
      <c r="A608" s="0" t="str">
        <f>IFERROR(__xludf.DUMMYFUNCTION("""COMPUTED_VALUE"""),"Blotter")</f>
        <v>Blotter</v>
      </c>
      <c r="B608" s="0" t="str">
        <f>IFERROR(__xludf.DUMMYFUNCTION("""COMPUTED_VALUE"""),"VerifyMergeOrder")</f>
        <v>VerifyMergeOrder</v>
      </c>
      <c r="C608" s="0" t="str">
        <f>IFERROR(__xludf.DUMMYFUNCTION("""COMPUTED_VALUE"""),"1YPCy9ceoUg_SjAt-3PXhz8GxVOfWkuIJ1yRR9c0aZrE")</f>
        <v>1YPCy9ceoUg_SjAt-3PXhz8GxVOfWkuIJ1yRR9c0aZrE</v>
      </c>
    </row>
    <row r="609" ht="15.75" customHeight="1">
      <c r="A609" s="0" t="str">
        <f>IFERROR(__xludf.DUMMYFUNCTION("""COMPUTED_VALUE"""),"Blotter")</f>
        <v>Blotter</v>
      </c>
      <c r="B609" s="0" t="str">
        <f>IFERROR(__xludf.DUMMYFUNCTION("""COMPUTED_VALUE"""),"AddTabBlotter")</f>
        <v>AddTabBlotter</v>
      </c>
      <c r="C609" s="0" t="str">
        <f>IFERROR(__xludf.DUMMYFUNCTION("""COMPUTED_VALUE"""),"1YMp0jrKM8rLBzloaDu3tQ6aTv8C98xCVaQ6Wxe_flKc")</f>
        <v>1YMp0jrKM8rLBzloaDu3tQ6aTv8C98xCVaQ6Wxe_flKc</v>
      </c>
    </row>
    <row r="610" ht="15.75" customHeight="1">
      <c r="A610" s="0" t="str">
        <f>IFERROR(__xludf.DUMMYFUNCTION("""COMPUTED_VALUE"""),"Rebalancer")</f>
        <v>Rebalancer</v>
      </c>
      <c r="B610" s="0" t="str">
        <f>IFERROR(__xludf.DUMMYFUNCTION("""COMPUTED_VALUE"""),"CloseRebalancer")</f>
        <v>CloseRebalancer</v>
      </c>
      <c r="C610" s="0" t="str">
        <f>IFERROR(__xludf.DUMMYFUNCTION("""COMPUTED_VALUE"""),"Undefined")</f>
        <v>Undefined</v>
      </c>
    </row>
    <row r="611" ht="15.75" customHeight="1">
      <c r="A611" s="0" t="str">
        <f>IFERROR(__xludf.DUMMYFUNCTION("""COMPUTED_VALUE"""),"Rebalancer")</f>
        <v>Rebalancer</v>
      </c>
      <c r="B611" s="0" t="str">
        <f>IFERROR(__xludf.DUMMYFUNCTION("""COMPUTED_VALUE"""),"AddCustomCashUsingImport")</f>
        <v>AddCustomCashUsingImport</v>
      </c>
      <c r="C611" s="0" t="str">
        <f>IFERROR(__xludf.DUMMYFUNCTION("""COMPUTED_VALUE"""),"1nK0OIxssf5AR0xHG2TzYVlqjkwDX8BRkcb7sWcPW2kA")</f>
        <v>1nK0OIxssf5AR0xHG2TzYVlqjkwDX8BRkcb7sWcPW2kA</v>
      </c>
    </row>
    <row r="612" ht="15.75" customHeight="1">
      <c r="A612" s="0" t="str">
        <f>IFERROR(__xludf.DUMMYFUNCTION("""COMPUTED_VALUE"""),"Rebalancer")</f>
        <v>Rebalancer</v>
      </c>
      <c r="B612" s="0" t="str">
        <f>IFERROR(__xludf.DUMMYFUNCTION("""COMPUTED_VALUE"""),"EditRebalanceGrid")</f>
        <v>EditRebalanceGrid</v>
      </c>
      <c r="C612" s="0" t="str">
        <f>IFERROR(__xludf.DUMMYFUNCTION("""COMPUTED_VALUE"""),"1QX_rYsr8GIcxa1bv4oQ2qNxe0w-YwiY_loABgwfLsP0")</f>
        <v>1QX_rYsr8GIcxa1bv4oQ2qNxe0w-YwiY_loABgwfLsP0</v>
      </c>
    </row>
    <row r="613" ht="15.75" customHeight="1">
      <c r="A613" s="0" t="str">
        <f>IFERROR(__xludf.DUMMYFUNCTION("""COMPUTED_VALUE"""),"DailyValuation")</f>
        <v>DailyValuation</v>
      </c>
      <c r="B613" s="0" t="str">
        <f>IFERROR(__xludf.DUMMYFUNCTION("""COMPUTED_VALUE"""),"EnableBlankMarkPrices")</f>
        <v>EnableBlankMarkPrices</v>
      </c>
      <c r="C613" s="0" t="str">
        <f>IFERROR(__xludf.DUMMYFUNCTION("""COMPUTED_VALUE"""),"10Mzp90fyme73_sxAYwM2i8xwqgeQUe_de_N7Y-Cnu6Q")</f>
        <v>10Mzp90fyme73_sxAYwM2i8xwqgeQUe_de_N7Y-Cnu6Q</v>
      </c>
    </row>
    <row r="614" ht="15.75" customHeight="1">
      <c r="A614" s="0" t="str">
        <f>IFERROR(__xludf.DUMMYFUNCTION("""COMPUTED_VALUE"""),"DailyValuation")</f>
        <v>DailyValuation</v>
      </c>
      <c r="B614" s="0" t="str">
        <f>IFERROR(__xludf.DUMMYFUNCTION("""COMPUTED_VALUE"""),"UpateSymbolBlankMP")</f>
        <v>UpateSymbolBlankMP</v>
      </c>
      <c r="C614" s="0" t="str">
        <f>IFERROR(__xludf.DUMMYFUNCTION("""COMPUTED_VALUE"""),"1Y4lmODSKti17gLeUqSwERRx-4D5awbTM9UOJZrp60F4")</f>
        <v>1Y4lmODSKti17gLeUqSwERRx-4D5awbTM9UOJZrp60F4</v>
      </c>
    </row>
    <row r="615" ht="15.75" customHeight="1">
      <c r="A615" s="0" t="str">
        <f>IFERROR(__xludf.DUMMYFUNCTION("""COMPUTED_VALUE"""),"DailyValuation")</f>
        <v>DailyValuation</v>
      </c>
      <c r="B615" s="0" t="str">
        <f>IFERROR(__xludf.DUMMYFUNCTION("""COMPUTED_VALUE"""),"UpdateBlankMP")</f>
        <v>UpdateBlankMP</v>
      </c>
      <c r="C615" s="0" t="str">
        <f>IFERROR(__xludf.DUMMYFUNCTION("""COMPUTED_VALUE"""),"1i5WlaPZ1-uo5yRQyqBi_NoGgPj8ziXj7cnN8reG8SXo")</f>
        <v>1i5WlaPZ1-uo5yRQyqBi_NoGgPj8ziXj7cnN8reG8SXo</v>
      </c>
    </row>
    <row r="616" ht="15.75" customHeight="1">
      <c r="A616" s="0" t="str">
        <f>IFERROR(__xludf.DUMMYFUNCTION("""COMPUTED_VALUE"""),"DailyValuation")</f>
        <v>DailyValuation</v>
      </c>
      <c r="B616" s="0" t="str">
        <f>IFERROR(__xludf.DUMMYFUNCTION("""COMPUTED_VALUE"""),"FilterBlankMP")</f>
        <v>FilterBlankMP</v>
      </c>
      <c r="C616" s="0" t="str">
        <f>IFERROR(__xludf.DUMMYFUNCTION("""COMPUTED_VALUE"""),"1zsU3_vPB4UlwnEI6Hgxofosk22-vdytF5SYhkTLGr3Y")</f>
        <v>1zsU3_vPB4UlwnEI6Hgxofosk22-vdytF5SYhkTLGr3Y</v>
      </c>
    </row>
    <row r="617" ht="15.75" customHeight="1">
      <c r="A617" s="0" t="str">
        <f>IFERROR(__xludf.DUMMYFUNCTION("""COMPUTED_VALUE"""),"SymbolLookup")</f>
        <v>SymbolLookup</v>
      </c>
      <c r="B617" s="0" t="str">
        <f>IFERROR(__xludf.DUMMYFUNCTION("""COMPUTED_VALUE"""),"SelectFromSMGridUI")</f>
        <v>SelectFromSMGridUI</v>
      </c>
      <c r="C617" s="0" t="str">
        <f>IFERROR(__xludf.DUMMYFUNCTION("""COMPUTED_VALUE"""),"1RozaKMXual4WXW46lBsE3Orf9OV2Nn-FhxvokH28xaw")</f>
        <v>1RozaKMXual4WXW46lBsE3Orf9OV2Nn-FhxvokH28xaw</v>
      </c>
    </row>
    <row r="618" ht="15.75" customHeight="1">
      <c r="A618" s="0" t="str">
        <f>IFERROR(__xludf.DUMMYFUNCTION("""COMPUTED_VALUE"""),"SymbolLookup")</f>
        <v>SymbolLookup</v>
      </c>
      <c r="B618" s="0" t="str">
        <f>IFERROR(__xludf.DUMMYFUNCTION("""COMPUTED_VALUE"""),"EditSMGridUi")</f>
        <v>EditSMGridUi</v>
      </c>
      <c r="C618" s="0" t="str">
        <f>IFERROR(__xludf.DUMMYFUNCTION("""COMPUTED_VALUE"""),"1P3hQI12FYJP4QrekwcLQ4UJcZeg6WQU7Y7X6wSfNfe4")</f>
        <v>1P3hQI12FYJP4QrekwcLQ4UJcZeg6WQU7Y7X6wSfNfe4</v>
      </c>
    </row>
    <row r="619" ht="15.75" customHeight="1">
      <c r="A619" s="0" t="str">
        <f>IFERROR(__xludf.DUMMYFUNCTION("""COMPUTED_VALUE"""),"Compliance")</f>
        <v>Compliance</v>
      </c>
      <c r="B619" s="0" t="str">
        <f>IFERROR(__xludf.DUMMYFUNCTION("""COMPUTED_VALUE"""),"EditInterceptorFile")</f>
        <v>EditInterceptorFile</v>
      </c>
      <c r="C619" s="0" t="str">
        <f>IFERROR(__xludf.DUMMYFUNCTION("""COMPUTED_VALUE"""),"1E0GenYl5VsF6ic5npTKWWfS_gebqIIj6InrHMvvbtso")</f>
        <v>1E0GenYl5VsF6ic5npTKWWfS_gebqIIj6InrHMvvbtso</v>
      </c>
    </row>
    <row r="620" ht="15.75" customHeight="1">
      <c r="A620" s="0" t="str">
        <f>IFERROR(__xludf.DUMMYFUNCTION("""COMPUTED_VALUE"""),"Compliance")</f>
        <v>Compliance</v>
      </c>
      <c r="B620" s="0" t="str">
        <f>IFERROR(__xludf.DUMMYFUNCTION("""COMPUTED_VALUE"""),"ReplaceInterceptorFile")</f>
        <v>ReplaceInterceptorFile</v>
      </c>
      <c r="C620" s="0" t="str">
        <f>IFERROR(__xludf.DUMMYFUNCTION("""COMPUTED_VALUE"""),"Undefined")</f>
        <v>Undefined</v>
      </c>
    </row>
    <row r="621" ht="15.75" customHeight="1">
      <c r="A621" s="0" t="str">
        <f>IFERROR(__xludf.DUMMYFUNCTION("""COMPUTED_VALUE"""),"Blotter")</f>
        <v>Blotter</v>
      </c>
      <c r="B621" s="0" t="str">
        <f>IFERROR(__xludf.DUMMYFUNCTION("""COMPUTED_VALUE"""),"VerifyLowerStripBlotterUI")</f>
        <v>VerifyLowerStripBlotterUI</v>
      </c>
      <c r="C621" s="0" t="str">
        <f>IFERROR(__xludf.DUMMYFUNCTION("""COMPUTED_VALUE"""),"1HZDVVf9laKE8xHcR6trbwHakdbl6uFndhwO94MHDlcQ")</f>
        <v>1HZDVVf9laKE8xHcR6trbwHakdbl6uFndhwO94MHDlcQ</v>
      </c>
    </row>
    <row r="622" ht="15.75" customHeight="1">
      <c r="A622" s="0" t="str">
        <f>IFERROR(__xludf.DUMMYFUNCTION("""COMPUTED_VALUE"""),"Blotter")</f>
        <v>Blotter</v>
      </c>
      <c r="B622" s="0" t="str">
        <f>IFERROR(__xludf.DUMMYFUNCTION("""COMPUTED_VALUE"""),"SaveOrRemoveInSummaryTab")</f>
        <v>SaveOrRemoveInSummaryTab</v>
      </c>
      <c r="C622" s="0" t="str">
        <f>IFERROR(__xludf.DUMMYFUNCTION("""COMPUTED_VALUE"""),"16E73g0W5LRIhkg1RbjzOOK94Uv0Vlbn7MMDq-QXA2kc")</f>
        <v>16E73g0W5LRIhkg1RbjzOOK94Uv0Vlbn7MMDq-QXA2kc</v>
      </c>
    </row>
    <row r="623" ht="15.75" customHeight="1">
      <c r="A623" s="0" t="str">
        <f>IFERROR(__xludf.DUMMYFUNCTION("""COMPUTED_VALUE"""),"Blotter")</f>
        <v>Blotter</v>
      </c>
      <c r="B623" s="0" t="str">
        <f>IFERROR(__xludf.DUMMYFUNCTION("""COMPUTED_VALUE"""),"SaveOrRemoveInWorkingSubsTab")</f>
        <v>SaveOrRemoveInWorkingSubsTab</v>
      </c>
      <c r="C623" s="0" t="str">
        <f>IFERROR(__xludf.DUMMYFUNCTION("""COMPUTED_VALUE"""),"15CFpQocegIFfZ23cSQZai_mnb9NZPlp99oh6nO0sjXg")</f>
        <v>15CFpQocegIFfZ23cSQZai_mnb9NZPlp99oh6nO0sjXg</v>
      </c>
    </row>
    <row r="624" ht="15.75" customHeight="1">
      <c r="A624" s="0" t="str">
        <f>IFERROR(__xludf.DUMMYFUNCTION("""COMPUTED_VALUE"""),"Blotter")</f>
        <v>Blotter</v>
      </c>
      <c r="B624" s="0" t="str">
        <f>IFERROR(__xludf.DUMMYFUNCTION("""COMPUTED_VALUE"""),"SelectCheckBoxOnOrderGrid")</f>
        <v>SelectCheckBoxOnOrderGrid</v>
      </c>
      <c r="C624" s="0" t="str">
        <f>IFERROR(__xludf.DUMMYFUNCTION("""COMPUTED_VALUE"""),"18ge8W43MnUH64uDLyzdwmaOTsTAxaKRTY5e2M2PR7Ig")</f>
        <v>18ge8W43MnUH64uDLyzdwmaOTsTAxaKRTY5e2M2PR7Ig</v>
      </c>
    </row>
    <row r="625" ht="15.75" customHeight="1">
      <c r="A625" s="0" t="str">
        <f>IFERROR(__xludf.DUMMYFUNCTION("""COMPUTED_VALUE"""),"Compliance")</f>
        <v>Compliance</v>
      </c>
      <c r="B625" s="0" t="str">
        <f>IFERROR(__xludf.DUMMYFUNCTION("""COMPUTED_VALUE"""),"RestartReleasesAndServices")</f>
        <v>RestartReleasesAndServices</v>
      </c>
      <c r="C625" s="0" t="str">
        <f>IFERROR(__xludf.DUMMYFUNCTION("""COMPUTED_VALUE"""),"1T07pMES6_0vIAOHEcHllSqzIfxdK3kjZkG_bnk1Q87E")</f>
        <v>1T07pMES6_0vIAOHEcHllSqzIfxdK3kjZkG_bnk1Q87E</v>
      </c>
    </row>
    <row r="626" ht="15.75" customHeight="1">
      <c r="A626" s="0" t="str">
        <f>IFERROR(__xludf.DUMMYFUNCTION("""COMPUTED_VALUE"""),"PTT")</f>
        <v>PTT</v>
      </c>
      <c r="B626" s="0" t="str">
        <f>IFERROR(__xludf.DUMMYFUNCTION("""COMPUTED_VALUE"""),"AutoStageImportFromPTTExport")</f>
        <v>AutoStageImportFromPTTExport</v>
      </c>
      <c r="C626" s="0" t="str">
        <f>IFERROR(__xludf.DUMMYFUNCTION("""COMPUTED_VALUE"""),"Undefined")</f>
        <v>Undefined</v>
      </c>
    </row>
    <row r="627" ht="15.75" customHeight="1">
      <c r="A627" s="0" t="str">
        <f>IFERROR(__xludf.DUMMYFUNCTION("""COMPUTED_VALUE"""),"Closing")</f>
        <v>Closing</v>
      </c>
      <c r="B627" s="0" t="str">
        <f>IFERROR(__xludf.DUMMYFUNCTION("""COMPUTED_VALUE"""),"FilterClosing")</f>
        <v>FilterClosing</v>
      </c>
      <c r="C627" s="0" t="str">
        <f>IFERROR(__xludf.DUMMYFUNCTION("""COMPUTED_VALUE"""),"1JSzRoeUWroBBbNbincAHC4uO8KmsFjinSPOeKTzIgWw")</f>
        <v>1JSzRoeUWroBBbNbincAHC4uO8KmsFjinSPOeKTzIgWw</v>
      </c>
    </row>
    <row r="628" ht="15.75" customHeight="1">
      <c r="A628" s="0" t="str">
        <f>IFERROR(__xludf.DUMMYFUNCTION("""COMPUTED_VALUE"""),"MultiTradingTicket")</f>
        <v>MultiTradingTicket</v>
      </c>
      <c r="B628" s="0" t="str">
        <f>IFERROR(__xludf.DUMMYFUNCTION("""COMPUTED_VALUE"""),"BulkEditUpdateFromMTT")</f>
        <v>BulkEditUpdateFromMTT</v>
      </c>
      <c r="C628" s="0" t="str">
        <f>IFERROR(__xludf.DUMMYFUNCTION("""COMPUTED_VALUE"""),"1M4JJJsoeSKu6pTetWn8bRE7zQlcKGucRxjGGlqEA3d4")</f>
        <v>1M4JJJsoeSKu6pTetWn8bRE7zQlcKGucRxjGGlqEA3d4</v>
      </c>
    </row>
    <row r="629" ht="15.75" customHeight="1">
      <c r="A629" s="0" t="str">
        <f>IFERROR(__xludf.DUMMYFUNCTION("""COMPUTED_VALUE"""),"MultiTradingTicket")</f>
        <v>MultiTradingTicket</v>
      </c>
      <c r="B629" s="0" t="str">
        <f>IFERROR(__xludf.DUMMYFUNCTION("""COMPUTED_VALUE"""),"BulkChangeCreateStageOrder")</f>
        <v>BulkChangeCreateStageOrder</v>
      </c>
      <c r="C629" s="0" t="str">
        <f>IFERROR(__xludf.DUMMYFUNCTION("""COMPUTED_VALUE"""),"1eGv-pvwZhT1511VogxRAfh-QbF2wJZDvzpTQHphliak")</f>
        <v>1eGv-pvwZhT1511VogxRAfh-QbF2wJZDvzpTQHphliak</v>
      </c>
    </row>
    <row r="630" ht="15.75" customHeight="1">
      <c r="A630" s="0" t="str">
        <f>IFERROR(__xludf.DUMMYFUNCTION("""COMPUTED_VALUE"""),"MultiTradingTicket")</f>
        <v>MultiTradingTicket</v>
      </c>
      <c r="B630" s="0" t="str">
        <f>IFERROR(__xludf.DUMMYFUNCTION("""COMPUTED_VALUE"""),"BulkUpdateUsingMTT")</f>
        <v>BulkUpdateUsingMTT</v>
      </c>
      <c r="C630" s="0" t="str">
        <f>IFERROR(__xludf.DUMMYFUNCTION("""COMPUTED_VALUE"""),"1H01hn91s0buuShObE8vUpumNB-99MHja4DJxcTvy1GU")</f>
        <v>1H01hn91s0buuShObE8vUpumNB-99MHja4DJxcTvy1GU</v>
      </c>
    </row>
    <row r="631" ht="15.75" customHeight="1">
      <c r="A631" s="0" t="str">
        <f>IFERROR(__xludf.DUMMYFUNCTION("""COMPUTED_VALUE"""),"PranaClient")</f>
        <v>PranaClient</v>
      </c>
      <c r="B631" s="0" t="str">
        <f>IFERROR(__xludf.DUMMYFUNCTION("""COMPUTED_VALUE"""),"CompareXML")</f>
        <v>CompareXML</v>
      </c>
      <c r="C631" s="0" t="str">
        <f>IFERROR(__xludf.DUMMYFUNCTION("""COMPUTED_VALUE"""),"1WtgbOyiLNErYI8GO9AbbJE12IcFr1TtjqIL6v2nwjLU")</f>
        <v>1WtgbOyiLNErYI8GO9AbbJE12IcFr1TtjqIL6v2nwjLU</v>
      </c>
    </row>
    <row r="632" ht="15.75" customHeight="1">
      <c r="A632" s="0" t="str">
        <f>IFERROR(__xludf.DUMMYFUNCTION("""COMPUTED_VALUE"""),"Admin")</f>
        <v>Admin</v>
      </c>
      <c r="B632" s="0" t="str">
        <f>IFERROR(__xludf.DUMMYFUNCTION("""COMPUTED_VALUE"""),"SetMasterFundOnTT")</f>
        <v>SetMasterFundOnTT</v>
      </c>
      <c r="C632" s="0" t="str">
        <f>IFERROR(__xludf.DUMMYFUNCTION("""COMPUTED_VALUE"""),"1duRG5DukVziXM3AbWJjEHG1WfsWREKj0zcQWLcC3N0o")</f>
        <v>1duRG5DukVziXM3AbWJjEHG1WfsWREKj0zcQWLcC3N0o</v>
      </c>
    </row>
    <row r="633" ht="15.75" customHeight="1">
      <c r="A633" s="0" t="str">
        <f>IFERROR(__xludf.DUMMYFUNCTION("""COMPUTED_VALUE"""),"TradingTicket")</f>
        <v>TradingTicket</v>
      </c>
      <c r="B633" s="0" t="str">
        <f>IFERROR(__xludf.DUMMYFUNCTION("""COMPUTED_VALUE"""),"VerifyCustomAllocationonTT")</f>
        <v>VerifyCustomAllocationonTT</v>
      </c>
      <c r="C633" s="0" t="str">
        <f>IFERROR(__xludf.DUMMYFUNCTION("""COMPUTED_VALUE"""),"1Z3l-jIyJbM2hFTF5NgxtnL1fChZg2TPPhaAzx7mfVm8")</f>
        <v>1Z3l-jIyJbM2hFTF5NgxtnL1fChZg2TPPhaAzx7mfVm8</v>
      </c>
    </row>
    <row r="634" ht="15.75" customHeight="1">
      <c r="A634" s="0" t="str">
        <f>IFERROR(__xludf.DUMMYFUNCTION("""COMPUTED_VALUE"""),"Blotter")</f>
        <v>Blotter</v>
      </c>
      <c r="B634" s="0" t="str">
        <f>IFERROR(__xludf.DUMMYFUNCTION("""COMPUTED_VALUE"""),"ReAllocateFromBlotterByAllocate")</f>
        <v>ReAllocateFromBlotterByAllocate</v>
      </c>
      <c r="C634" s="0" t="str">
        <f>IFERROR(__xludf.DUMMYFUNCTION("""COMPUTED_VALUE"""),"1NHKxDgR0tyL2jet1xXc0HhWXSJ-79CcnSRkHUBgPpoY")</f>
        <v>1NHKxDgR0tyL2jet1xXc0HhWXSJ-79CcnSRkHUBgPpoY</v>
      </c>
    </row>
    <row r="635" ht="15.75" customHeight="1">
      <c r="A635" s="0" t="str">
        <f>IFERROR(__xludf.DUMMYFUNCTION("""COMPUTED_VALUE"""),"Simulator")</f>
        <v>Simulator</v>
      </c>
      <c r="B635" s="0" t="str">
        <f>IFERROR(__xludf.DUMMYFUNCTION("""COMPUTED_VALUE"""),"VerifyTagInAllFixLogs")</f>
        <v>VerifyTagInAllFixLogs</v>
      </c>
      <c r="C635" s="0" t="str">
        <f>IFERROR(__xludf.DUMMYFUNCTION("""COMPUTED_VALUE"""),"1uy63r2XjpUIBlAUk-lXKJTr-PpvpP6wxvLlLDzoM-Ic")</f>
        <v>1uy63r2XjpUIBlAUk-lXKJTr-PpvpP6wxvLlLDzoM-Ic</v>
      </c>
    </row>
    <row r="636" ht="15.75" customHeight="1">
      <c r="A636" s="0" t="str">
        <f>IFERROR(__xludf.DUMMYFUNCTION("""COMPUTED_VALUE"""),"PranaClient")</f>
        <v>PranaClient</v>
      </c>
      <c r="B636" s="0" t="str">
        <f>IFERROR(__xludf.DUMMYFUNCTION("""COMPUTED_VALUE"""),"LoginClient")</f>
        <v>LoginClient</v>
      </c>
      <c r="C636" s="0" t="str">
        <f>IFERROR(__xludf.DUMMYFUNCTION("""COMPUTED_VALUE"""),"1zfvz-aZrAcrVcCZFJj3FAv1GqBrnIiDpgU-TteWVAOw")</f>
        <v>1zfvz-aZrAcrVcCZFJj3FAv1GqBrnIiDpgU-TteWVAOw</v>
      </c>
    </row>
    <row r="637" ht="15.75" customHeight="1">
      <c r="A637" s="0" t="str">
        <f>IFERROR(__xludf.DUMMYFUNCTION("""COMPUTED_VALUE"""),"PortfolioManagement")</f>
        <v>PortfolioManagement</v>
      </c>
      <c r="B637" s="0" t="str">
        <f>IFERROR(__xludf.DUMMYFUNCTION("""COMPUTED_VALUE"""),"SortAndVerifyPM")</f>
        <v>SortAndVerifyPM</v>
      </c>
      <c r="C637" s="0" t="str">
        <f>IFERROR(__xludf.DUMMYFUNCTION("""COMPUTED_VALUE"""),"1X7RzdVuf6bK9F2T7pOeh4nUpKg76Hv2aa-gBjDxYkcs")</f>
        <v>1X7RzdVuf6bK9F2T7pOeh4nUpKg76Hv2aa-gBjDxYkcs</v>
      </c>
    </row>
    <row r="638" ht="15.75" customHeight="1">
      <c r="A638" s="0" t="str">
        <f>IFERROR(__xludf.DUMMYFUNCTION("""COMPUTED_VALUE"""),"PortfolioManagement")</f>
        <v>PortfolioManagement</v>
      </c>
      <c r="B638" s="0" t="str">
        <f>IFERROR(__xludf.DUMMYFUNCTION("""COMPUTED_VALUE"""),"OpenPIFromPM")</f>
        <v>OpenPIFromPM</v>
      </c>
      <c r="C638" s="0" t="str">
        <f>IFERROR(__xludf.DUMMYFUNCTION("""COMPUTED_VALUE"""),"1IuAnXzRzuOehEMtqDK11-sb6DktGPWzx0jT8n2IsrY4")</f>
        <v>1IuAnXzRzuOehEMtqDK11-sb6DktGPWzx0jT8n2IsrY4</v>
      </c>
    </row>
    <row r="639" ht="15.75" customHeight="1">
      <c r="A639" s="0" t="str">
        <f>IFERROR(__xludf.DUMMYFUNCTION("""COMPUTED_VALUE"""),"MultiTradingTicket")</f>
        <v>MultiTradingTicket</v>
      </c>
      <c r="B639" s="0" t="str">
        <f>IFERROR(__xludf.DUMMYFUNCTION("""COMPUTED_VALUE"""),"RefreshPriceUsingMTT")</f>
        <v>RefreshPriceUsingMTT</v>
      </c>
      <c r="C639" s="0" t="str">
        <f>IFERROR(__xludf.DUMMYFUNCTION("""COMPUTED_VALUE"""),"1YtdRVMbFR2kvDHO7XasICZNjFKswCtDImUT3Gjkkfk4")</f>
        <v>1YtdRVMbFR2kvDHO7XasICZNjFKswCtDImUT3Gjkkfk4</v>
      </c>
    </row>
    <row r="640" ht="15.75" customHeight="1">
      <c r="A640" s="0" t="str">
        <f>IFERROR(__xludf.DUMMYFUNCTION("""COMPUTED_VALUE"""),"MultiTradingTicket")</f>
        <v>MultiTradingTicket</v>
      </c>
      <c r="B640" s="0" t="str">
        <f>IFERROR(__xludf.DUMMYFUNCTION("""COMPUTED_VALUE"""),"VerifyMTT")</f>
        <v>VerifyMTT</v>
      </c>
      <c r="C640" s="0" t="str">
        <f>IFERROR(__xludf.DUMMYFUNCTION("""COMPUTED_VALUE"""),"1LkpuYouts5i-ZznsIzocNzJ13lcRDsnSdXk19BRgReI")</f>
        <v>1LkpuYouts5i-ZznsIzocNzJ13lcRDsnSdXk19BRgReI</v>
      </c>
    </row>
    <row r="641" ht="15.75" customHeight="1">
      <c r="A641" s="0" t="str">
        <f>IFERROR(__xludf.DUMMYFUNCTION("""COMPUTED_VALUE"""),"Simulator")</f>
        <v>Simulator</v>
      </c>
      <c r="B641" s="0" t="str">
        <f>IFERROR(__xludf.DUMMYFUNCTION("""COMPUTED_VALUE"""),"SetToAutomaticResponse")</f>
        <v>SetToAutomaticResponse</v>
      </c>
      <c r="C641" s="0" t="str">
        <f>IFERROR(__xludf.DUMMYFUNCTION("""COMPUTED_VALUE"""),"Undefined")</f>
        <v>Undefined</v>
      </c>
    </row>
    <row r="642" ht="15.75" customHeight="1">
      <c r="A642" s="0" t="str">
        <f>IFERROR(__xludf.DUMMYFUNCTION("""COMPUTED_VALUE"""),"Rebalancer")</f>
        <v>Rebalancer</v>
      </c>
      <c r="B642" s="0" t="str">
        <f>IFERROR(__xludf.DUMMYFUNCTION("""COMPUTED_VALUE"""),"SaveTradeList")</f>
        <v>SaveTradeList</v>
      </c>
      <c r="C642" s="0" t="str">
        <f>IFERROR(__xludf.DUMMYFUNCTION("""COMPUTED_VALUE"""),"1xCgr8y8ZWOV67Yl77qPCYg-GSJNVZrE2EwAmtpL4Xfg")</f>
        <v>1xCgr8y8ZWOV67Yl77qPCYg-GSJNVZrE2EwAmtpL4Xfg</v>
      </c>
    </row>
    <row r="643" ht="15.75" customHeight="1">
      <c r="A643" s="0" t="str">
        <f>IFERROR(__xludf.DUMMYFUNCTION("""COMPUTED_VALUE"""),"Rebalancer")</f>
        <v>Rebalancer</v>
      </c>
      <c r="B643" s="0" t="str">
        <f>IFERROR(__xludf.DUMMYFUNCTION("""COMPUTED_VALUE"""),"NavImpactingComponent")</f>
        <v>NavImpactingComponent</v>
      </c>
      <c r="C643" s="0" t="str">
        <f>IFERROR(__xludf.DUMMYFUNCTION("""COMPUTED_VALUE"""),"1f0zk0GxJ77AGpV5f_CL_mwxkoRha7_3Z1PIbpXZtod4")</f>
        <v>1f0zk0GxJ77AGpV5f_CL_mwxkoRha7_3Z1PIbpXZtod4</v>
      </c>
    </row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F1"/>
  </mergeCells>
  <headerFooter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C22"/>
  <sheetViews>
    <sheetView workbookViewId="0"/>
  </sheetViews>
  <sheetFormatPr customHeight="1" defaultColWidth="15.13" defaultRowHeight="15.0"/>
  <cols>
    <col min="1" max="1" width="21.25" customWidth="1"/>
    <col min="2" max="2" width="42.63" customWidth="1"/>
    <col min="3" max="23" width="12.63" customWidth="1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>
    <mergeCell ref="A1:C1"/>
  </mergeCells>
  <headerFooter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Z4"/>
  <sheetViews>
    <sheetView workbookViewId="0"/>
  </sheetViews>
  <sheetFormatPr customHeight="1" defaultColWidth="15.13" defaultRowHeight="15.0"/>
  <cols>
    <col min="4" max="4" width="33.63" customWidth="1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s="0" t="str">
        <f>IFERROR(__xludf.DUMMYFUNCTION("IMPORTRANGE('_Settings'!B4,""Master Data!A4:L1000"")"),"#REF!")</f>
        <v>#REF!</v>
      </c>
    </row>
  </sheetData>
  <mergeCells>
    <mergeCell ref="A1:F1"/>
  </mergeCells>
  <headerFooter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IFERROR(__xludf.DUMMYFUNCTION("""COMPUTED_VALUE"""),"TT")</f>
        <v>TT</v>
      </c>
      <c r="C5" s="28" t="str">
        <f>IFERROR(__xludf.DUMMYFUNCTION("""COMPUTED_VALUE"""),"PTT")</f>
        <v>PTT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13" t="b">
        <v>1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SetDollarAmountPermission!$4:$4</formula1>
    </dataValidation>
  </dataValidations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33" t="s">
        <v>18</v>
      </c>
      <c r="C6" s="34" t="s">
        <v>19</v>
      </c>
      <c r="D6" s="35">
        <v>900</v>
      </c>
      <c r="E6" s="36">
        <v>900</v>
      </c>
      <c r="F6" s="34" t="s">
        <v>20</v>
      </c>
      <c r="G6" s="34" t="s">
        <v>21</v>
      </c>
      <c r="H6" s="34"/>
      <c r="I6" s="34"/>
      <c r="J6" s="36">
        <v>10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34"/>
      <c r="B7" s="34" t="s">
        <v>18</v>
      </c>
      <c r="C7" s="34" t="s">
        <v>19</v>
      </c>
      <c r="D7" s="36">
        <v>900</v>
      </c>
      <c r="E7" s="36">
        <v>900</v>
      </c>
      <c r="F7" s="34" t="s">
        <v>22</v>
      </c>
      <c r="G7" s="34" t="s">
        <v>21</v>
      </c>
      <c r="H7" s="34"/>
      <c r="I7" s="34"/>
      <c r="J7" s="36">
        <v>10</v>
      </c>
      <c r="K7" s="34"/>
      <c r="L7" s="34"/>
      <c r="M7" s="34"/>
      <c r="N7" s="34"/>
      <c r="O7" s="34"/>
      <c r="P7" s="34"/>
      <c r="Q7" s="34"/>
      <c r="R7" s="34"/>
      <c r="S7" s="34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4"/>
      <c r="B8" s="38" t="s">
        <v>18</v>
      </c>
      <c r="C8" s="38" t="s">
        <v>19</v>
      </c>
      <c r="D8" s="39">
        <v>900</v>
      </c>
      <c r="E8" s="39">
        <v>900</v>
      </c>
      <c r="F8" s="40" t="s">
        <v>23</v>
      </c>
      <c r="G8" s="38" t="s">
        <v>21</v>
      </c>
      <c r="H8" s="38"/>
      <c r="I8" s="38"/>
      <c r="J8" s="39">
        <v>10</v>
      </c>
      <c r="K8" s="38"/>
      <c r="L8" s="38"/>
      <c r="M8" s="38"/>
      <c r="N8" s="38"/>
      <c r="O8" s="38"/>
      <c r="P8" s="38"/>
      <c r="Q8" s="38"/>
      <c r="R8" s="38"/>
      <c r="S8" s="38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IFERROR(__xludf.DUMMYFUNCTION("""COMPUTED_VALUE"""),"Select Date")</f>
        <v>Select Date</v>
      </c>
      <c r="C5" s="28" t="str">
        <f>IFERROR(__xludf.DUMMYFUNCTION("""COMPUTED_VALUE"""),"Copy From")</f>
        <v>Copy From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41">
        <f ref="B6:C6" t="shared" si="1">today()-1</f>
        <v>45123</v>
      </c>
      <c r="C6" s="41">
        <f t="shared" si="1"/>
        <v>45123</v>
      </c>
      <c r="D6" s="33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GetDailyCash!$4:$4</formula1>
    </dataValidation>
  </dataValidations>
  <headerFooter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24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IFERROR(__xludf.DUMMYFUNCTION("IF(C3="""","""",Transpose(IMPORTRANGE('_Settings'!$B$3,C3&amp;""!A4:A1000"")))"),"UpdateBeta")</f>
        <v>UpdateBeta</v>
      </c>
      <c r="C4" s="25" t="str">
        <f>IFERROR(__xludf.DUMMYFUNCTION("""COMPUTED_VALUE"""),"UpdateDailyCash")</f>
        <v>UpdateDailyCash</v>
      </c>
      <c r="D4" s="25" t="str">
        <f>IFERROR(__xludf.DUMMYFUNCTION("""COMPUTED_VALUE"""),"UpdateMultipleDailyCash")</f>
        <v>UpdateMultipleDailyCash</v>
      </c>
      <c r="E4" s="25" t="str">
        <f>IFERROR(__xludf.DUMMYFUNCTION("""COMPUTED_VALUE"""),"UpdateForexConversion")</f>
        <v>UpdateForexConversion</v>
      </c>
      <c r="F4" s="25" t="str">
        <f>IFERROR(__xludf.DUMMYFUNCTION("""COMPUTED_VALUE"""),"UpdateMarkPrice")</f>
        <v>UpdateMarkPrice</v>
      </c>
      <c r="G4" s="25" t="str">
        <f>IFERROR(__xludf.DUMMYFUNCTION("""COMPUTED_VALUE"""),"CleanUp")</f>
        <v>CleanUp</v>
      </c>
      <c r="H4" s="25" t="str">
        <f>IFERROR(__xludf.DUMMYFUNCTION("""COMPUTED_VALUE"""),"GetMarkPriceData")</f>
        <v>GetMarkPriceData</v>
      </c>
      <c r="I4" s="25" t="str">
        <f>IFERROR(__xludf.DUMMYFUNCTION("""COMPUTED_VALUE"""),"GetForwardPoints")</f>
        <v>GetForwardPoints</v>
      </c>
      <c r="J4" s="25" t="str">
        <f>IFERROR(__xludf.DUMMYFUNCTION("""COMPUTED_VALUE"""),"UpdateForwardPoints")</f>
        <v>UpdateForwardPoints</v>
      </c>
      <c r="K4" s="25" t="str">
        <f>IFERROR(__xludf.DUMMYFUNCTION("""COMPUTED_VALUE"""),"GetForexConversion")</f>
        <v>GetForexConversion</v>
      </c>
      <c r="L4" s="25" t="str">
        <f>IFERROR(__xludf.DUMMYFUNCTION("""COMPUTED_VALUE"""),"DeleteNAV")</f>
        <v>DeleteNAV</v>
      </c>
      <c r="M4" s="25" t="str">
        <f>IFERROR(__xludf.DUMMYFUNCTION("""COMPUTED_VALUE"""),"GetDailyCash")</f>
        <v>GetDailyCash</v>
      </c>
      <c r="N4" s="25" t="str">
        <f>IFERROR(__xludf.DUMMYFUNCTION("""COMPUTED_VALUE"""),"GetDailyBeta")</f>
        <v>GetDailyBeta</v>
      </c>
      <c r="O4" s="25" t="str">
        <f>IFERROR(__xludf.DUMMYFUNCTION("""COMPUTED_VALUE"""),"GetDailyVolatility")</f>
        <v>GetDailyVolatility</v>
      </c>
      <c r="P4" s="26" t="str">
        <f>IFERROR(__xludf.DUMMYFUNCTION("""COMPUTED_VALUE"""),"GetDailyDividendYield")</f>
        <v>GetDailyDividendYield</v>
      </c>
      <c r="Q4" s="26" t="str">
        <f>IFERROR(__xludf.DUMMYFUNCTION("""COMPUTED_VALUE"""),"GetDailyTradingVolume")</f>
        <v>GetDailyTradingVolume</v>
      </c>
      <c r="R4" s="26" t="str">
        <f>IFERROR(__xludf.DUMMYFUNCTION("""COMPUTED_VALUE"""),"GetDailyOutstandings")</f>
        <v>GetDailyOutstandings</v>
      </c>
      <c r="S4" s="26" t="str">
        <f>IFERROR(__xludf.DUMMYFUNCTION("""COMPUTED_VALUE"""),"GetDailyDelta")</f>
        <v>GetDailyDelta</v>
      </c>
      <c r="T4" s="26" t="str">
        <f>IFERROR(__xludf.DUMMYFUNCTION("""COMPUTED_VALUE"""),"UpdateDailyVolatility")</f>
        <v>UpdateDailyVolatility</v>
      </c>
      <c r="U4" s="26" t="str">
        <f>IFERROR(__xludf.DUMMYFUNCTION("""COMPUTED_VALUE"""),"UpdateDividendYield")</f>
        <v>UpdateDividendYield</v>
      </c>
      <c r="V4" s="26" t="str">
        <f>IFERROR(__xludf.DUMMYFUNCTION("""COMPUTED_VALUE"""),"UpdateTradingVolume")</f>
        <v>UpdateTradingVolume</v>
      </c>
      <c r="W4" s="26" t="str">
        <f>IFERROR(__xludf.DUMMYFUNCTION("""COMPUTED_VALUE"""),"UpdateDailyDelta")</f>
        <v>UpdateDailyDelta</v>
      </c>
      <c r="X4" s="26" t="str">
        <f>IFERROR(__xludf.DUMMYFUNCTION("""COMPUTED_VALUE"""),"UpdateDailyOutstandings")</f>
        <v>UpdateDailyOutstandings</v>
      </c>
      <c r="Y4" s="26" t="str">
        <f>IFERROR(__xludf.DUMMYFUNCTION("""COMPUTED_VALUE"""),"UpdateBeta")</f>
        <v>UpdateBeta</v>
      </c>
      <c r="Z4" s="26" t="str">
        <f>IFERROR(__xludf.DUMMYFUNCTION("""COMPUTED_VALUE"""),"UpdateNAV")</f>
        <v>UpdateNAV</v>
      </c>
      <c r="AA4" s="26" t="str">
        <f>IFERROR(__xludf.DUMMYFUNCTION("""COMPUTED_VALUE"""),"UpdateDailyCash")</f>
        <v>UpdateDailyCash</v>
      </c>
      <c r="AB4" s="26" t="str">
        <f>IFERROR(__xludf.DUMMYFUNCTION("""COMPUTED_VALUE"""),"UpdateDailyCreditLimt")</f>
        <v>UpdateDailyCreditLimt</v>
      </c>
      <c r="AC4" s="26" t="str">
        <f>IFERROR(__xludf.DUMMYFUNCTION("""COMPUTED_VALUE"""),"RemoveDailyCreditLimit")</f>
        <v>RemoveDailyCreditLimit</v>
      </c>
      <c r="AD4" s="26" t="str">
        <f>IFERROR(__xludf.DUMMYFUNCTION("""COMPUTED_VALUE"""),"RemoveDailyCash")</f>
        <v>RemoveDailyCash</v>
      </c>
      <c r="AE4" s="26" t="str">
        <f>IFERROR(__xludf.DUMMYFUNCTION("""COMPUTED_VALUE"""),"RemoveNAV")</f>
        <v>RemoveNAV</v>
      </c>
      <c r="AF4" s="26" t="str">
        <f>IFERROR(__xludf.DUMMYFUNCTION("""COMPUTED_VALUE"""),"UpdateForexConversionMonthly")</f>
        <v>UpdateForexConversionMonthly</v>
      </c>
      <c r="AG4" s="26" t="str">
        <f>IFERROR(__xludf.DUMMYFUNCTION("""COMPUTED_VALUE"""),"UpdateMarkPriceMonthly")</f>
        <v>UpdateMarkPriceMonthly</v>
      </c>
      <c r="AH4" s="26" t="str">
        <f>IFERROR(__xludf.DUMMYFUNCTION("""COMPUTED_VALUE"""),"VerifyDailyCash")</f>
        <v>VerifyDailyCash</v>
      </c>
      <c r="AI4" s="26" t="str">
        <f>IFERROR(__xludf.DUMMYFUNCTION("""COMPUTED_VALUE"""),"EnableBlankMarkPrices")</f>
        <v>EnableBlankMarkPrices</v>
      </c>
      <c r="AJ4" s="26" t="str">
        <f>IFERROR(__xludf.DUMMYFUNCTION("""COMPUTED_VALUE"""),"UpateSymbolBlankMP")</f>
        <v>UpateSymbolBlankMP</v>
      </c>
      <c r="AK4" s="26" t="str">
        <f>IFERROR(__xludf.DUMMYFUNCTION("""COMPUTED_VALUE"""),"UpdateBlankMP")</f>
        <v>UpdateBlankMP</v>
      </c>
      <c r="AL4" s="26" t="str">
        <f>IFERROR(__xludf.DUMMYFUNCTION("""COMPUTED_VALUE"""),"FilterBlankMP")</f>
        <v>FilterBlankMP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IFERROR(__xludf.DUMMYFUNCTION("""COMPUTED_VALUE"""),"Account")</f>
        <v>Account</v>
      </c>
      <c r="C5" s="28" t="str">
        <f>IFERROR(__xludf.DUMMYFUNCTION("""COMPUTED_VALUE"""),"Local Currency")</f>
        <v>Local Currency</v>
      </c>
      <c r="D5" s="28" t="str">
        <f>IFERROR(__xludf.DUMMYFUNCTION("""COMPUTED_VALUE"""),"Cash Value Local")</f>
        <v>Cash Value Local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42"/>
      <c r="B6" s="43" t="s">
        <v>20</v>
      </c>
      <c r="C6" s="38" t="s">
        <v>27</v>
      </c>
      <c r="D6" s="44">
        <v>100000</v>
      </c>
      <c r="E6" s="38"/>
      <c r="F6" s="38"/>
      <c r="G6" s="38"/>
      <c r="H6" s="38"/>
      <c r="I6" s="38"/>
      <c r="J6" s="38"/>
      <c r="K6" s="38"/>
      <c r="L6" s="38"/>
      <c r="M6" s="38"/>
      <c r="N6" s="38"/>
      <c r="O6" s="38"/>
      <c r="P6" s="38"/>
      <c r="Q6" s="38"/>
      <c r="R6" s="38"/>
      <c r="S6" s="38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45"/>
      <c r="B7" s="46" t="s">
        <v>22</v>
      </c>
      <c r="C7" s="46" t="s">
        <v>27</v>
      </c>
      <c r="D7" s="47">
        <v>100000</v>
      </c>
      <c r="E7" s="46"/>
      <c r="F7" s="46"/>
      <c r="G7" s="46"/>
      <c r="H7" s="46"/>
      <c r="I7" s="46"/>
      <c r="J7" s="46"/>
      <c r="K7" s="46"/>
      <c r="L7" s="46"/>
      <c r="M7" s="46"/>
      <c r="N7" s="46"/>
      <c r="O7" s="46"/>
      <c r="P7" s="46"/>
      <c r="Q7" s="46"/>
      <c r="R7" s="46"/>
      <c r="S7" s="46"/>
      <c r="T7" s="37"/>
      <c r="U7" s="37"/>
      <c r="V7" s="37"/>
      <c r="W7" s="37"/>
      <c r="X7" s="37"/>
      <c r="Y7" s="37"/>
      <c r="Z7" s="37"/>
      <c r="AA7" s="37"/>
      <c r="AB7" s="37"/>
      <c r="AC7" s="37"/>
      <c r="AD7" s="37"/>
      <c r="AE7" s="37"/>
      <c r="AF7" s="37"/>
      <c r="AG7" s="37"/>
      <c r="AH7" s="37"/>
      <c r="AI7" s="37"/>
      <c r="AJ7" s="37"/>
      <c r="AK7" s="37"/>
      <c r="AL7" s="37"/>
      <c r="AM7" s="37"/>
      <c r="AN7" s="37"/>
      <c r="AO7" s="37"/>
      <c r="AP7" s="37"/>
      <c r="AQ7" s="37"/>
      <c r="AR7" s="37"/>
      <c r="AS7" s="37"/>
      <c r="AT7" s="37"/>
      <c r="AU7" s="37"/>
      <c r="AV7" s="37"/>
      <c r="AW7" s="37"/>
      <c r="AX7" s="37"/>
      <c r="AY7" s="37"/>
      <c r="AZ7" s="37"/>
      <c r="BA7" s="37"/>
      <c r="BB7" s="37"/>
      <c r="BC7" s="37"/>
      <c r="BD7" s="37"/>
      <c r="BE7" s="37"/>
      <c r="BF7" s="37"/>
      <c r="BG7" s="37"/>
      <c r="BH7" s="37"/>
      <c r="BI7" s="37"/>
      <c r="BJ7" s="37"/>
      <c r="BK7" s="37"/>
      <c r="BL7" s="37"/>
      <c r="BM7" s="37"/>
      <c r="BN7" s="37"/>
      <c r="BO7" s="37"/>
      <c r="BP7" s="37"/>
      <c r="BQ7" s="37"/>
      <c r="BR7" s="37"/>
      <c r="BS7" s="37"/>
      <c r="BT7" s="37"/>
      <c r="BU7" s="37"/>
      <c r="BV7" s="37"/>
      <c r="BW7" s="37"/>
      <c r="BX7" s="37"/>
      <c r="BY7" s="37"/>
      <c r="BZ7" s="37"/>
      <c r="CA7" s="37"/>
      <c r="CB7" s="37"/>
      <c r="CC7" s="37"/>
      <c r="CD7" s="37"/>
      <c r="CE7" s="37"/>
      <c r="CF7" s="37"/>
      <c r="CG7" s="37"/>
      <c r="CH7" s="37"/>
      <c r="CI7" s="37"/>
      <c r="CJ7" s="37"/>
      <c r="CK7" s="37"/>
      <c r="CL7" s="37"/>
      <c r="CM7" s="37"/>
      <c r="CN7" s="37"/>
      <c r="CO7" s="37"/>
      <c r="CP7" s="37"/>
      <c r="CQ7" s="37"/>
      <c r="CR7" s="37"/>
      <c r="CS7" s="37"/>
      <c r="CT7" s="37"/>
      <c r="CU7" s="37"/>
      <c r="CV7" s="37"/>
      <c r="CW7" s="37"/>
      <c r="CX7" s="37"/>
      <c r="CY7" s="37"/>
      <c r="CZ7" s="37"/>
      <c r="DA7" s="37"/>
      <c r="DB7" s="37"/>
      <c r="DC7" s="37"/>
      <c r="DD7" s="37"/>
      <c r="DE7" s="37"/>
      <c r="DF7" s="37"/>
      <c r="DG7" s="37"/>
      <c r="DH7" s="37"/>
      <c r="DI7" s="37"/>
      <c r="DJ7" s="37"/>
      <c r="DK7" s="37"/>
      <c r="DL7" s="37"/>
      <c r="DM7" s="37"/>
      <c r="DN7" s="37"/>
      <c r="DO7" s="37"/>
      <c r="DP7" s="37"/>
      <c r="DQ7" s="37"/>
      <c r="DR7" s="37"/>
      <c r="DS7" s="37"/>
      <c r="DT7" s="37"/>
      <c r="DU7" s="37"/>
      <c r="DV7" s="37"/>
      <c r="DW7" s="37"/>
      <c r="DX7" s="37"/>
      <c r="DY7" s="37"/>
      <c r="DZ7" s="37"/>
      <c r="EA7" s="37"/>
      <c r="EB7" s="37"/>
      <c r="EC7" s="37"/>
      <c r="ED7" s="37"/>
      <c r="EE7" s="37"/>
      <c r="EF7" s="37"/>
      <c r="EG7" s="37"/>
      <c r="EH7" s="37"/>
      <c r="EI7" s="37"/>
      <c r="EJ7" s="37"/>
      <c r="EK7" s="37"/>
      <c r="EL7" s="37"/>
      <c r="EM7" s="37"/>
      <c r="EN7" s="37"/>
      <c r="EO7" s="37"/>
      <c r="EP7" s="37"/>
      <c r="EQ7" s="37"/>
      <c r="ER7" s="37"/>
      <c r="ES7" s="37"/>
      <c r="ET7" s="37"/>
      <c r="EU7" s="37"/>
      <c r="EV7" s="37"/>
      <c r="EW7" s="37"/>
      <c r="EX7" s="37"/>
    </row>
    <row r="8" ht="15.75" customHeight="1">
      <c r="A8" s="37"/>
      <c r="B8" s="48" t="s">
        <v>23</v>
      </c>
      <c r="C8" s="49" t="s">
        <v>27</v>
      </c>
      <c r="D8" s="47">
        <v>100000</v>
      </c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7"/>
      <c r="EC8" s="37"/>
      <c r="ED8" s="37"/>
      <c r="EE8" s="37"/>
      <c r="EF8" s="37"/>
      <c r="EG8" s="37"/>
      <c r="EH8" s="37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IFERROR(__xludf.DUMMYFUNCTION("IF(C3="""","""",Transpose(IMPORTRANGE('_Settings'!$B$3,C3&amp;""!A4:A1000"")))"),"PricingInput")</f>
        <v>PricingInput</v>
      </c>
      <c r="C4" s="25" t="str">
        <f>IFERROR(__xludf.DUMMYFUNCTION("""COMPUTED_VALUE"""),"UpdateSharesOutstanding")</f>
        <v>UpdateSharesOutstanding</v>
      </c>
      <c r="D4" s="25" t="str">
        <f>IFERROR(__xludf.DUMMYFUNCTION("""COMPUTED_VALUE"""),"EODTPreferences")</f>
        <v>EODTPreferences</v>
      </c>
      <c r="E4" s="25" t="str">
        <f>IFERROR(__xludf.DUMMYFUNCTION("""COMPUTED_VALUE"""),"LiveData")</f>
        <v>LiveData</v>
      </c>
      <c r="F4" s="25" t="str">
        <f>IFERROR(__xludf.DUMMYFUNCTION("""COMPUTED_VALUE"""),"UncheckDividendYield")</f>
        <v>UncheckDividendYield</v>
      </c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IFERROR(__xludf.DUMMYFUNCTION("""COMPUTED_VALUE"""),"User Px")</f>
        <v>User Px</v>
      </c>
      <c r="D5" s="28" t="str">
        <f>IFERROR(__xludf.DUMMYFUNCTION("""COMPUTED_VALUE"""),"Asset Class")</f>
        <v>Asset Class</v>
      </c>
      <c r="E5" s="28" t="str">
        <f>IFERROR(__xludf.DUMMYFUNCTION("""COMPUTED_VALUE"""),"Volatility(%)")</f>
        <v>Volatility(%)</v>
      </c>
      <c r="F5" s="29" t="str">
        <f>IFERROR(__xludf.DUMMYFUNCTION("""COMPUTED_VALUE"""),"Historical Volatility")</f>
        <v>Historical Volatility</v>
      </c>
      <c r="G5" s="28" t="str">
        <f>IFERROR(__xludf.DUMMYFUNCTION("""COMPUTED_VALUE"""),"User Volatility")</f>
        <v>User Volatility</v>
      </c>
      <c r="H5" s="28" t="str">
        <f>IFERROR(__xludf.DUMMYFUNCTION("""COMPUTED_VALUE"""),"Interest Rate")</f>
        <v>Interest Rate</v>
      </c>
      <c r="I5" s="28" t="str">
        <f>IFERROR(__xludf.DUMMYFUNCTION("""COMPUTED_VALUE"""),"User Interest Rate")</f>
        <v>User Interest Rate</v>
      </c>
      <c r="J5" s="28" t="str">
        <f>IFERROR(__xludf.DUMMYFUNCTION("""COMPUTED_VALUE"""),"Dividend Yield")</f>
        <v>Dividend Yield</v>
      </c>
      <c r="K5" s="28" t="str">
        <f>IFERROR(__xludf.DUMMYFUNCTION("""COMPUTED_VALUE"""),"User Dividend Yield")</f>
        <v>User Dividend Yield</v>
      </c>
      <c r="L5" s="28" t="str">
        <f>IFERROR(__xludf.DUMMYFUNCTION("""COMPUTED_VALUE"""),"Actual Delta")</f>
        <v>Actual Delta</v>
      </c>
      <c r="M5" s="28" t="str">
        <f>IFERROR(__xludf.DUMMYFUNCTION("""COMPUTED_VALUE"""),"User Delta")</f>
        <v>User Delta</v>
      </c>
      <c r="N5" s="28" t="str">
        <f>IFERROR(__xludf.DUMMYFUNCTION("""COMPUTED_VALUE"""),"Selected Px")</f>
        <v>Selected Px</v>
      </c>
      <c r="O5" s="28" t="str">
        <f>IFERROR(__xludf.DUMMYFUNCTION("""COMPUTED_VALUE"""),"Forward Points")</f>
        <v>Forward Points</v>
      </c>
      <c r="P5" s="28" t="str">
        <f>IFERROR(__xludf.DUMMYFUNCTION("""COMPUTED_VALUE"""),"Shares Outstanding")</f>
        <v>Shares Outstanding</v>
      </c>
      <c r="Q5" s="28" t="str">
        <f>IFERROR(__xludf.DUMMYFUNCTION("""COMPUTED_VALUE"""),"User Shares Outstanding")</f>
        <v>User Shares Outstanding</v>
      </c>
      <c r="R5" s="28" t="str">
        <f>IFERROR(__xludf.DUMMYFUNCTION("""COMPUTED_VALUE"""),"LastPriceUsed")</f>
        <v>LastPriceUsed</v>
      </c>
      <c r="S5" s="28" t="str">
        <f>IFERROR(__xludf.DUMMYFUNCTION("""COMPUTED_VALUE"""),"VolatilityUsed")</f>
        <v>VolatilityUsed</v>
      </c>
      <c r="T5" s="30" t="str">
        <f>IFERROR(__xludf.DUMMYFUNCTION("""COMPUTED_VALUE"""),"IntRateUsed")</f>
        <v>IntRateUsed</v>
      </c>
      <c r="U5" s="30" t="str">
        <f>IFERROR(__xludf.DUMMYFUNCTION("""COMPUTED_VALUE"""),"SM Shares Outstanding")</f>
        <v>SM Shares Outstanding</v>
      </c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18</v>
      </c>
      <c r="C6" s="13">
        <v>10</v>
      </c>
      <c r="D6" s="13"/>
      <c r="E6" s="31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PricingInput!$4:$4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50"/>
      <c r="B6" s="50" t="s">
        <v>18</v>
      </c>
      <c r="C6" s="50" t="s">
        <v>31</v>
      </c>
      <c r="D6" s="50" t="s">
        <v>32</v>
      </c>
      <c r="E6" s="51">
        <v>19000</v>
      </c>
      <c r="F6" s="51">
        <v>10</v>
      </c>
      <c r="G6" s="50" t="s">
        <v>33</v>
      </c>
      <c r="H6" s="50" t="s">
        <v>34</v>
      </c>
      <c r="I6" s="50" t="s">
        <v>35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CalculatePTT!$4:$4</formula1>
    </dataValidation>
  </dataValidations>
  <headerFooter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J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33" t="s">
        <v>37</v>
      </c>
      <c r="B6" s="33" t="s">
        <v>20</v>
      </c>
      <c r="C6" s="52">
        <v>100000</v>
      </c>
      <c r="D6" s="53">
        <v>900</v>
      </c>
      <c r="E6" s="52">
        <v>9000</v>
      </c>
      <c r="F6" s="52">
        <v>4.5</v>
      </c>
      <c r="G6" s="52">
        <v>0.25</v>
      </c>
      <c r="H6" s="52">
        <v>4.75</v>
      </c>
      <c r="I6" s="52">
        <v>50</v>
      </c>
      <c r="J6" s="52">
        <v>950</v>
      </c>
      <c r="K6" s="52">
        <v>9500</v>
      </c>
      <c r="L6" s="52">
        <v>50</v>
      </c>
      <c r="M6" s="34" t="s">
        <v>37</v>
      </c>
      <c r="N6" s="34" t="s">
        <v>37</v>
      </c>
      <c r="O6" s="34" t="s">
        <v>37</v>
      </c>
      <c r="P6" s="34" t="s">
        <v>37</v>
      </c>
      <c r="Q6" s="34" t="s">
        <v>37</v>
      </c>
      <c r="R6" s="34" t="s">
        <v>37</v>
      </c>
      <c r="S6" s="37" t="s">
        <v>37</v>
      </c>
      <c r="T6" s="37" t="s">
        <v>37</v>
      </c>
      <c r="U6" s="37" t="s">
        <v>37</v>
      </c>
      <c r="V6" s="37" t="s">
        <v>37</v>
      </c>
      <c r="W6" s="37" t="s">
        <v>37</v>
      </c>
      <c r="X6" s="37" t="s">
        <v>37</v>
      </c>
      <c r="Y6" s="37" t="s">
        <v>37</v>
      </c>
      <c r="Z6" s="37" t="s">
        <v>37</v>
      </c>
      <c r="AA6" s="37" t="s">
        <v>37</v>
      </c>
      <c r="AB6" s="37" t="s">
        <v>37</v>
      </c>
      <c r="AC6" s="37" t="s">
        <v>37</v>
      </c>
      <c r="AD6" s="37" t="s">
        <v>37</v>
      </c>
      <c r="AE6" s="37" t="s">
        <v>37</v>
      </c>
      <c r="AF6" s="37" t="s">
        <v>37</v>
      </c>
      <c r="AG6" s="37" t="s">
        <v>37</v>
      </c>
      <c r="AH6" s="37" t="s">
        <v>37</v>
      </c>
      <c r="AI6" s="37" t="s">
        <v>37</v>
      </c>
      <c r="AJ6" s="54" t="s">
        <v>37</v>
      </c>
      <c r="AK6" s="54" t="s">
        <v>37</v>
      </c>
      <c r="AL6" s="54" t="s">
        <v>37</v>
      </c>
      <c r="AM6" s="54" t="s">
        <v>37</v>
      </c>
      <c r="AN6" s="54" t="s">
        <v>37</v>
      </c>
      <c r="AO6" s="54" t="s">
        <v>37</v>
      </c>
      <c r="AP6" s="54" t="s">
        <v>37</v>
      </c>
      <c r="AQ6" s="54" t="s">
        <v>37</v>
      </c>
      <c r="AR6" s="54" t="s">
        <v>37</v>
      </c>
      <c r="AS6" s="54" t="s">
        <v>37</v>
      </c>
      <c r="AT6" s="54" t="s">
        <v>37</v>
      </c>
      <c r="AU6" s="54" t="s">
        <v>37</v>
      </c>
      <c r="AV6" s="54" t="s">
        <v>37</v>
      </c>
      <c r="AW6" s="54" t="s">
        <v>37</v>
      </c>
      <c r="AX6" s="54" t="s">
        <v>37</v>
      </c>
      <c r="AY6" s="54" t="s">
        <v>37</v>
      </c>
      <c r="AZ6" s="54" t="s">
        <v>37</v>
      </c>
      <c r="BA6" s="54" t="s">
        <v>37</v>
      </c>
      <c r="BB6" s="54" t="s">
        <v>37</v>
      </c>
      <c r="BC6" s="54" t="s">
        <v>37</v>
      </c>
      <c r="BD6" s="54" t="s">
        <v>37</v>
      </c>
      <c r="BE6" s="54" t="s">
        <v>37</v>
      </c>
      <c r="BF6" s="54" t="s">
        <v>37</v>
      </c>
      <c r="BG6" s="54" t="s">
        <v>37</v>
      </c>
      <c r="BH6" s="54" t="s">
        <v>37</v>
      </c>
      <c r="BI6" s="54" t="s">
        <v>37</v>
      </c>
      <c r="BJ6" s="54" t="s">
        <v>37</v>
      </c>
      <c r="BK6" s="54" t="s">
        <v>37</v>
      </c>
      <c r="BL6" s="54" t="s">
        <v>37</v>
      </c>
      <c r="BM6" s="54" t="s">
        <v>37</v>
      </c>
      <c r="BN6" s="54" t="s">
        <v>37</v>
      </c>
      <c r="BO6" s="54" t="s">
        <v>37</v>
      </c>
      <c r="BP6" s="54" t="s">
        <v>37</v>
      </c>
      <c r="BQ6" s="54" t="s">
        <v>37</v>
      </c>
      <c r="BR6" s="54" t="s">
        <v>37</v>
      </c>
      <c r="BS6" s="54" t="s">
        <v>37</v>
      </c>
      <c r="BT6" s="54" t="s">
        <v>37</v>
      </c>
      <c r="BU6" s="54" t="s">
        <v>37</v>
      </c>
      <c r="BV6" s="54" t="s">
        <v>37</v>
      </c>
      <c r="BW6" s="54" t="s">
        <v>37</v>
      </c>
      <c r="BX6" s="54" t="s">
        <v>37</v>
      </c>
      <c r="BY6" s="54" t="s">
        <v>37</v>
      </c>
      <c r="BZ6" s="54" t="s">
        <v>37</v>
      </c>
      <c r="CA6" s="54" t="s">
        <v>37</v>
      </c>
      <c r="CB6" s="54" t="s">
        <v>37</v>
      </c>
      <c r="CC6" s="54" t="s">
        <v>37</v>
      </c>
      <c r="CD6" s="54" t="s">
        <v>37</v>
      </c>
      <c r="CE6" s="54" t="s">
        <v>37</v>
      </c>
      <c r="CF6" s="54" t="s">
        <v>37</v>
      </c>
      <c r="CG6" s="54" t="s">
        <v>37</v>
      </c>
      <c r="CH6" s="54" t="s">
        <v>37</v>
      </c>
      <c r="CI6" s="54" t="s">
        <v>37</v>
      </c>
      <c r="CJ6" s="54" t="s">
        <v>37</v>
      </c>
      <c r="CK6" s="54" t="s">
        <v>37</v>
      </c>
      <c r="CL6" s="54" t="s">
        <v>37</v>
      </c>
      <c r="CM6" s="54" t="s">
        <v>37</v>
      </c>
      <c r="CN6" s="54" t="s">
        <v>37</v>
      </c>
      <c r="CO6" s="54" t="s">
        <v>37</v>
      </c>
      <c r="CP6" s="54" t="s">
        <v>37</v>
      </c>
      <c r="CQ6" s="54" t="s">
        <v>37</v>
      </c>
      <c r="CR6" s="54" t="s">
        <v>37</v>
      </c>
      <c r="CS6" s="54" t="s">
        <v>37</v>
      </c>
      <c r="CT6" s="54" t="s">
        <v>37</v>
      </c>
      <c r="CU6" s="54" t="s">
        <v>37</v>
      </c>
      <c r="CV6" s="54" t="s">
        <v>37</v>
      </c>
      <c r="CW6" s="54" t="s">
        <v>37</v>
      </c>
      <c r="CX6" s="54" t="s">
        <v>37</v>
      </c>
      <c r="CY6" s="54" t="s">
        <v>37</v>
      </c>
      <c r="CZ6" s="54" t="s">
        <v>37</v>
      </c>
      <c r="DA6" s="54" t="s">
        <v>37</v>
      </c>
      <c r="DB6" s="54" t="s">
        <v>37</v>
      </c>
      <c r="DC6" s="54" t="s">
        <v>37</v>
      </c>
      <c r="DD6" s="54" t="s">
        <v>37</v>
      </c>
      <c r="DE6" s="54" t="s">
        <v>37</v>
      </c>
      <c r="DF6" s="54" t="s">
        <v>37</v>
      </c>
      <c r="DG6" s="54" t="s">
        <v>37</v>
      </c>
      <c r="DH6" s="54" t="s">
        <v>37</v>
      </c>
      <c r="DI6" s="54" t="s">
        <v>37</v>
      </c>
      <c r="DJ6" s="54" t="s">
        <v>37</v>
      </c>
      <c r="DK6" s="54" t="s">
        <v>37</v>
      </c>
      <c r="DL6" s="54" t="s">
        <v>37</v>
      </c>
      <c r="DM6" s="54" t="s">
        <v>37</v>
      </c>
      <c r="DN6" s="54" t="s">
        <v>37</v>
      </c>
      <c r="DO6" s="54" t="s">
        <v>37</v>
      </c>
      <c r="DP6" s="54" t="s">
        <v>37</v>
      </c>
      <c r="DQ6" s="54" t="s">
        <v>37</v>
      </c>
      <c r="DR6" s="54" t="s">
        <v>37</v>
      </c>
      <c r="DS6" s="54" t="s">
        <v>37</v>
      </c>
      <c r="DT6" s="54" t="s">
        <v>37</v>
      </c>
      <c r="DU6" s="54" t="s">
        <v>37</v>
      </c>
      <c r="DV6" s="54" t="s">
        <v>37</v>
      </c>
      <c r="DW6" s="54" t="s">
        <v>37</v>
      </c>
      <c r="DX6" s="54" t="s">
        <v>37</v>
      </c>
      <c r="DY6" s="54" t="s">
        <v>37</v>
      </c>
      <c r="DZ6" s="54" t="s">
        <v>37</v>
      </c>
      <c r="EA6" s="54" t="s">
        <v>37</v>
      </c>
      <c r="EB6" s="54" t="s">
        <v>37</v>
      </c>
      <c r="EC6" s="54" t="s">
        <v>37</v>
      </c>
      <c r="ED6" s="54" t="s">
        <v>37</v>
      </c>
      <c r="EE6" s="54" t="s">
        <v>37</v>
      </c>
      <c r="EF6" s="54" t="s">
        <v>37</v>
      </c>
      <c r="EG6" s="54" t="s">
        <v>37</v>
      </c>
      <c r="EH6" s="54" t="s">
        <v>37</v>
      </c>
      <c r="EI6" s="54" t="s">
        <v>37</v>
      </c>
      <c r="EJ6" s="54" t="s">
        <v>37</v>
      </c>
      <c r="EK6" s="54" t="s">
        <v>37</v>
      </c>
      <c r="EL6" s="54" t="s">
        <v>37</v>
      </c>
      <c r="EM6" s="54" t="s">
        <v>37</v>
      </c>
      <c r="EN6" s="54" t="s">
        <v>37</v>
      </c>
      <c r="EO6" s="54" t="s">
        <v>37</v>
      </c>
      <c r="EP6" s="54" t="s">
        <v>37</v>
      </c>
      <c r="EQ6" s="54" t="s">
        <v>37</v>
      </c>
      <c r="ER6" s="54" t="s">
        <v>37</v>
      </c>
      <c r="ES6" s="54" t="s">
        <v>37</v>
      </c>
      <c r="ET6" s="54" t="s">
        <v>37</v>
      </c>
      <c r="EU6" s="54" t="s">
        <v>37</v>
      </c>
      <c r="EV6" s="54" t="s">
        <v>37</v>
      </c>
      <c r="EW6" s="54" t="s">
        <v>37</v>
      </c>
      <c r="EX6" s="54" t="s">
        <v>37</v>
      </c>
      <c r="EY6" s="54" t="s">
        <v>37</v>
      </c>
      <c r="EZ6" s="54" t="s">
        <v>37</v>
      </c>
      <c r="FA6" s="54" t="s">
        <v>37</v>
      </c>
      <c r="FB6" s="54" t="s">
        <v>37</v>
      </c>
      <c r="FC6" s="54" t="s">
        <v>37</v>
      </c>
      <c r="FD6" s="54" t="s">
        <v>37</v>
      </c>
      <c r="FE6" s="54" t="s">
        <v>37</v>
      </c>
      <c r="FF6" s="55" t="s">
        <v>37</v>
      </c>
      <c r="FG6" s="54" t="s">
        <v>37</v>
      </c>
      <c r="FH6" s="55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</row>
    <row r="7" ht="15.75" customHeight="1">
      <c r="A7" s="37" t="s">
        <v>37</v>
      </c>
      <c r="B7" s="37" t="s">
        <v>22</v>
      </c>
      <c r="C7" s="56">
        <v>100000</v>
      </c>
      <c r="D7" s="56">
        <v>900</v>
      </c>
      <c r="E7" s="56">
        <v>9000</v>
      </c>
      <c r="F7" s="56">
        <v>4.5</v>
      </c>
      <c r="G7" s="56">
        <v>0.25</v>
      </c>
      <c r="H7" s="56">
        <v>4.75</v>
      </c>
      <c r="I7" s="56">
        <v>50</v>
      </c>
      <c r="J7" s="56">
        <v>950</v>
      </c>
      <c r="K7" s="56">
        <v>9500</v>
      </c>
      <c r="L7" s="56">
        <v>50</v>
      </c>
      <c r="M7" s="37" t="s">
        <v>37</v>
      </c>
      <c r="N7" s="37" t="s">
        <v>37</v>
      </c>
      <c r="O7" s="37" t="s">
        <v>37</v>
      </c>
      <c r="P7" s="37" t="s">
        <v>37</v>
      </c>
      <c r="Q7" s="37" t="s">
        <v>37</v>
      </c>
      <c r="R7" s="37" t="s">
        <v>37</v>
      </c>
      <c r="S7" s="37" t="s">
        <v>37</v>
      </c>
      <c r="T7" s="37" t="s">
        <v>37</v>
      </c>
      <c r="U7" s="37" t="s">
        <v>37</v>
      </c>
      <c r="V7" s="37" t="s">
        <v>37</v>
      </c>
      <c r="W7" s="37" t="s">
        <v>37</v>
      </c>
      <c r="X7" s="37" t="s">
        <v>37</v>
      </c>
      <c r="Y7" s="37" t="s">
        <v>37</v>
      </c>
      <c r="Z7" s="37" t="s">
        <v>37</v>
      </c>
      <c r="AA7" s="37" t="s">
        <v>37</v>
      </c>
      <c r="AB7" s="37" t="s">
        <v>37</v>
      </c>
      <c r="AC7" s="37" t="s">
        <v>37</v>
      </c>
      <c r="AD7" s="37" t="s">
        <v>37</v>
      </c>
      <c r="AE7" s="37" t="s">
        <v>37</v>
      </c>
      <c r="AF7" s="37" t="s">
        <v>37</v>
      </c>
      <c r="AG7" s="37" t="s">
        <v>37</v>
      </c>
      <c r="AH7" s="37" t="s">
        <v>37</v>
      </c>
      <c r="AI7" s="37" t="s">
        <v>37</v>
      </c>
      <c r="AJ7" s="54" t="s">
        <v>37</v>
      </c>
      <c r="AK7" s="54" t="s">
        <v>37</v>
      </c>
      <c r="AL7" s="54" t="s">
        <v>37</v>
      </c>
      <c r="AM7" s="54" t="s">
        <v>37</v>
      </c>
      <c r="AN7" s="54" t="s">
        <v>37</v>
      </c>
      <c r="AO7" s="54" t="s">
        <v>37</v>
      </c>
      <c r="AP7" s="54" t="s">
        <v>37</v>
      </c>
      <c r="AQ7" s="54" t="s">
        <v>37</v>
      </c>
      <c r="AR7" s="54" t="s">
        <v>37</v>
      </c>
      <c r="AS7" s="54" t="s">
        <v>37</v>
      </c>
      <c r="AT7" s="54" t="s">
        <v>37</v>
      </c>
      <c r="AU7" s="54" t="s">
        <v>37</v>
      </c>
      <c r="AV7" s="54" t="s">
        <v>37</v>
      </c>
      <c r="AW7" s="54" t="s">
        <v>37</v>
      </c>
      <c r="AX7" s="54" t="s">
        <v>37</v>
      </c>
      <c r="AY7" s="54" t="s">
        <v>37</v>
      </c>
      <c r="AZ7" s="54" t="s">
        <v>37</v>
      </c>
      <c r="BA7" s="54" t="s">
        <v>37</v>
      </c>
      <c r="BB7" s="54" t="s">
        <v>37</v>
      </c>
      <c r="BC7" s="54" t="s">
        <v>37</v>
      </c>
      <c r="BD7" s="54" t="s">
        <v>37</v>
      </c>
      <c r="BE7" s="54" t="s">
        <v>37</v>
      </c>
      <c r="BF7" s="54" t="s">
        <v>37</v>
      </c>
      <c r="BG7" s="54" t="s">
        <v>37</v>
      </c>
      <c r="BH7" s="54" t="s">
        <v>37</v>
      </c>
      <c r="BI7" s="54" t="s">
        <v>37</v>
      </c>
      <c r="BJ7" s="54" t="s">
        <v>37</v>
      </c>
      <c r="BK7" s="54" t="s">
        <v>37</v>
      </c>
      <c r="BL7" s="54" t="s">
        <v>37</v>
      </c>
      <c r="BM7" s="54" t="s">
        <v>37</v>
      </c>
      <c r="BN7" s="54" t="s">
        <v>37</v>
      </c>
      <c r="BO7" s="54" t="s">
        <v>37</v>
      </c>
      <c r="BP7" s="54" t="s">
        <v>37</v>
      </c>
      <c r="BQ7" s="54" t="s">
        <v>37</v>
      </c>
      <c r="BR7" s="54" t="s">
        <v>37</v>
      </c>
      <c r="BS7" s="54" t="s">
        <v>37</v>
      </c>
      <c r="BT7" s="54" t="s">
        <v>37</v>
      </c>
      <c r="BU7" s="54" t="s">
        <v>37</v>
      </c>
      <c r="BV7" s="54" t="s">
        <v>37</v>
      </c>
      <c r="BW7" s="54" t="s">
        <v>37</v>
      </c>
      <c r="BX7" s="54" t="s">
        <v>37</v>
      </c>
      <c r="BY7" s="54" t="s">
        <v>37</v>
      </c>
      <c r="BZ7" s="54" t="s">
        <v>37</v>
      </c>
      <c r="CA7" s="54" t="s">
        <v>37</v>
      </c>
      <c r="CB7" s="54" t="s">
        <v>37</v>
      </c>
      <c r="CC7" s="54" t="s">
        <v>37</v>
      </c>
      <c r="CD7" s="54" t="s">
        <v>37</v>
      </c>
      <c r="CE7" s="54" t="s">
        <v>37</v>
      </c>
      <c r="CF7" s="54" t="s">
        <v>37</v>
      </c>
      <c r="CG7" s="54" t="s">
        <v>37</v>
      </c>
      <c r="CH7" s="54" t="s">
        <v>37</v>
      </c>
      <c r="CI7" s="54" t="s">
        <v>37</v>
      </c>
      <c r="CJ7" s="54" t="s">
        <v>37</v>
      </c>
      <c r="CK7" s="54" t="s">
        <v>37</v>
      </c>
      <c r="CL7" s="54" t="s">
        <v>37</v>
      </c>
      <c r="CM7" s="54" t="s">
        <v>37</v>
      </c>
      <c r="CN7" s="54" t="s">
        <v>37</v>
      </c>
      <c r="CO7" s="54" t="s">
        <v>37</v>
      </c>
      <c r="CP7" s="54" t="s">
        <v>37</v>
      </c>
      <c r="CQ7" s="54" t="s">
        <v>37</v>
      </c>
      <c r="CR7" s="54" t="s">
        <v>37</v>
      </c>
      <c r="CS7" s="54" t="s">
        <v>37</v>
      </c>
      <c r="CT7" s="54" t="s">
        <v>37</v>
      </c>
      <c r="CU7" s="54" t="s">
        <v>37</v>
      </c>
      <c r="CV7" s="54" t="s">
        <v>37</v>
      </c>
      <c r="CW7" s="54" t="s">
        <v>37</v>
      </c>
      <c r="CX7" s="54" t="s">
        <v>37</v>
      </c>
      <c r="CY7" s="54" t="s">
        <v>37</v>
      </c>
      <c r="CZ7" s="54" t="s">
        <v>37</v>
      </c>
      <c r="DA7" s="54" t="s">
        <v>37</v>
      </c>
      <c r="DB7" s="54" t="s">
        <v>37</v>
      </c>
      <c r="DC7" s="54" t="s">
        <v>37</v>
      </c>
      <c r="DD7" s="54" t="s">
        <v>37</v>
      </c>
      <c r="DE7" s="54" t="s">
        <v>37</v>
      </c>
      <c r="DF7" s="54" t="s">
        <v>37</v>
      </c>
      <c r="DG7" s="54" t="s">
        <v>37</v>
      </c>
      <c r="DH7" s="54" t="s">
        <v>37</v>
      </c>
      <c r="DI7" s="54" t="s">
        <v>37</v>
      </c>
      <c r="DJ7" s="54" t="s">
        <v>37</v>
      </c>
      <c r="DK7" s="54" t="s">
        <v>37</v>
      </c>
      <c r="DL7" s="54" t="s">
        <v>37</v>
      </c>
      <c r="DM7" s="54" t="s">
        <v>37</v>
      </c>
      <c r="DN7" s="54" t="s">
        <v>37</v>
      </c>
      <c r="DO7" s="54" t="s">
        <v>37</v>
      </c>
      <c r="DP7" s="54" t="s">
        <v>37</v>
      </c>
      <c r="DQ7" s="54" t="s">
        <v>37</v>
      </c>
      <c r="DR7" s="54" t="s">
        <v>37</v>
      </c>
      <c r="DS7" s="54" t="s">
        <v>37</v>
      </c>
      <c r="DT7" s="54" t="s">
        <v>37</v>
      </c>
      <c r="DU7" s="54" t="s">
        <v>37</v>
      </c>
      <c r="DV7" s="54" t="s">
        <v>37</v>
      </c>
      <c r="DW7" s="54" t="s">
        <v>37</v>
      </c>
      <c r="DX7" s="54" t="s">
        <v>37</v>
      </c>
      <c r="DY7" s="54" t="s">
        <v>37</v>
      </c>
      <c r="DZ7" s="54" t="s">
        <v>37</v>
      </c>
      <c r="EA7" s="54" t="s">
        <v>37</v>
      </c>
      <c r="EB7" s="54" t="s">
        <v>37</v>
      </c>
      <c r="EC7" s="54" t="s">
        <v>37</v>
      </c>
      <c r="ED7" s="54" t="s">
        <v>37</v>
      </c>
      <c r="EE7" s="54" t="s">
        <v>37</v>
      </c>
      <c r="EF7" s="54" t="s">
        <v>37</v>
      </c>
      <c r="EG7" s="54" t="s">
        <v>37</v>
      </c>
      <c r="EH7" s="54" t="s">
        <v>37</v>
      </c>
      <c r="EI7" s="54" t="s">
        <v>37</v>
      </c>
      <c r="EJ7" s="54" t="s">
        <v>37</v>
      </c>
      <c r="EK7" s="54" t="s">
        <v>37</v>
      </c>
      <c r="EL7" s="54" t="s">
        <v>37</v>
      </c>
      <c r="EM7" s="54" t="s">
        <v>37</v>
      </c>
      <c r="EN7" s="54" t="s">
        <v>37</v>
      </c>
      <c r="EO7" s="54" t="s">
        <v>37</v>
      </c>
      <c r="EP7" s="54" t="s">
        <v>37</v>
      </c>
      <c r="EQ7" s="54" t="s">
        <v>37</v>
      </c>
      <c r="ER7" s="54" t="s">
        <v>37</v>
      </c>
      <c r="ES7" s="54" t="s">
        <v>37</v>
      </c>
      <c r="ET7" s="54" t="s">
        <v>37</v>
      </c>
      <c r="EU7" s="54" t="s">
        <v>37</v>
      </c>
      <c r="EV7" s="54" t="s">
        <v>37</v>
      </c>
      <c r="EW7" s="54" t="s">
        <v>37</v>
      </c>
      <c r="EX7" s="54" t="s">
        <v>37</v>
      </c>
      <c r="EY7" s="54" t="s">
        <v>37</v>
      </c>
      <c r="EZ7" s="54" t="s">
        <v>37</v>
      </c>
      <c r="FA7" s="54" t="s">
        <v>37</v>
      </c>
      <c r="FB7" s="54" t="s">
        <v>37</v>
      </c>
      <c r="FC7" s="54" t="s">
        <v>37</v>
      </c>
      <c r="FD7" s="54" t="s">
        <v>37</v>
      </c>
      <c r="FE7" s="54" t="s">
        <v>37</v>
      </c>
      <c r="FF7" s="54" t="s">
        <v>37</v>
      </c>
      <c r="FG7" s="54" t="s">
        <v>37</v>
      </c>
      <c r="FH7" s="54"/>
      <c r="FI7" s="54"/>
      <c r="FJ7" s="54"/>
      <c r="FK7" s="54"/>
      <c r="FL7" s="54"/>
      <c r="FM7" s="54"/>
      <c r="FN7" s="54"/>
      <c r="FO7" s="54"/>
      <c r="FP7" s="54"/>
      <c r="FQ7" s="54"/>
      <c r="FR7" s="54"/>
      <c r="FS7" s="54"/>
      <c r="FT7" s="54"/>
      <c r="FU7" s="54"/>
      <c r="FV7" s="54"/>
      <c r="FW7" s="54"/>
      <c r="FX7" s="54"/>
      <c r="FY7" s="54"/>
      <c r="FZ7" s="54"/>
      <c r="GA7" s="54"/>
      <c r="GB7" s="54"/>
      <c r="GC7" s="54"/>
      <c r="GD7" s="54"/>
      <c r="GE7" s="54"/>
      <c r="GF7" s="54"/>
      <c r="GG7" s="54"/>
      <c r="GH7" s="54"/>
      <c r="GI7" s="54"/>
      <c r="GJ7" s="54"/>
      <c r="GK7" s="54"/>
      <c r="GL7" s="54"/>
      <c r="GM7" s="54"/>
      <c r="GN7" s="54"/>
      <c r="GO7" s="54"/>
      <c r="GP7" s="54"/>
      <c r="GQ7" s="54"/>
      <c r="GR7" s="54"/>
      <c r="GS7" s="54"/>
      <c r="GT7" s="54"/>
      <c r="GU7" s="54"/>
      <c r="GV7" s="54"/>
      <c r="GW7" s="54"/>
      <c r="GX7" s="54"/>
      <c r="GY7" s="54"/>
      <c r="GZ7" s="54"/>
      <c r="HA7" s="54"/>
      <c r="HB7" s="54"/>
      <c r="HC7" s="54"/>
      <c r="HD7" s="54"/>
      <c r="HE7" s="54"/>
      <c r="HF7" s="54"/>
      <c r="HG7" s="54"/>
      <c r="HH7" s="54"/>
      <c r="HI7" s="54"/>
      <c r="HJ7" s="54"/>
      <c r="HK7" s="54"/>
      <c r="HL7" s="54"/>
      <c r="HM7" s="54"/>
      <c r="HN7" s="54"/>
      <c r="HO7" s="54"/>
      <c r="HP7" s="54"/>
      <c r="HQ7" s="54"/>
      <c r="HR7" s="54"/>
      <c r="HS7" s="54"/>
      <c r="HT7" s="54"/>
      <c r="HU7" s="54"/>
      <c r="HV7" s="54"/>
      <c r="HW7" s="54"/>
      <c r="HX7" s="54"/>
      <c r="HY7" s="54"/>
      <c r="HZ7" s="54"/>
      <c r="IA7" s="54"/>
      <c r="IB7" s="54"/>
      <c r="IC7" s="54"/>
      <c r="ID7" s="54"/>
      <c r="IE7" s="54"/>
      <c r="IF7" s="54"/>
      <c r="IG7" s="54"/>
      <c r="IH7" s="54"/>
      <c r="II7" s="54"/>
      <c r="IJ7" s="54"/>
      <c r="IK7" s="54"/>
      <c r="IL7" s="54"/>
      <c r="IM7" s="54"/>
      <c r="IN7" s="54"/>
      <c r="IO7" s="54"/>
      <c r="IP7" s="54"/>
      <c r="IQ7" s="54"/>
      <c r="IR7" s="54"/>
      <c r="IS7" s="54"/>
      <c r="IT7" s="54"/>
      <c r="IU7" s="54"/>
      <c r="IV7" s="54"/>
      <c r="IW7" s="54"/>
      <c r="IX7" s="54"/>
      <c r="IY7" s="54"/>
      <c r="IZ7" s="54"/>
      <c r="JA7" s="54"/>
      <c r="JB7" s="54"/>
      <c r="JC7" s="54"/>
      <c r="JD7" s="54"/>
      <c r="JE7" s="54"/>
      <c r="JF7" s="54"/>
      <c r="JG7" s="54"/>
      <c r="JH7" s="54"/>
      <c r="JI7" s="54"/>
      <c r="JJ7" s="54"/>
      <c r="JK7" s="54"/>
      <c r="JL7" s="54"/>
      <c r="JM7" s="54"/>
      <c r="JN7" s="54"/>
      <c r="JO7" s="54"/>
      <c r="JP7" s="54"/>
      <c r="JQ7" s="54"/>
      <c r="JR7" s="54"/>
      <c r="JS7" s="54"/>
      <c r="JT7" s="54"/>
      <c r="JU7" s="54"/>
      <c r="JV7" s="54"/>
      <c r="JW7" s="54"/>
      <c r="JX7" s="54"/>
      <c r="JY7" s="54"/>
      <c r="JZ7" s="54"/>
      <c r="KA7" s="54"/>
      <c r="KB7" s="54"/>
      <c r="KC7" s="54"/>
      <c r="KD7" s="54"/>
      <c r="KE7" s="54"/>
      <c r="KF7" s="54"/>
      <c r="KG7" s="54"/>
      <c r="KH7" s="54"/>
      <c r="KI7" s="54"/>
      <c r="KJ7" s="54"/>
      <c r="KK7" s="54"/>
      <c r="KL7" s="54"/>
      <c r="KM7" s="54"/>
      <c r="KN7" s="54"/>
      <c r="KO7" s="54"/>
      <c r="KP7" s="54"/>
      <c r="KQ7" s="54"/>
      <c r="KR7" s="54"/>
      <c r="KS7" s="54"/>
      <c r="KT7" s="54"/>
      <c r="KU7" s="54"/>
      <c r="KV7" s="54"/>
      <c r="KW7" s="54"/>
      <c r="KX7" s="54"/>
      <c r="KY7" s="54"/>
      <c r="KZ7" s="54"/>
      <c r="LA7" s="54"/>
      <c r="LB7" s="54"/>
      <c r="LC7" s="54"/>
      <c r="LD7" s="54"/>
      <c r="LE7" s="54"/>
      <c r="LF7" s="54"/>
      <c r="LG7" s="54"/>
      <c r="LH7" s="54"/>
      <c r="LI7" s="54"/>
      <c r="LJ7" s="54"/>
      <c r="LK7" s="54"/>
      <c r="LL7" s="54"/>
      <c r="LM7" s="54"/>
      <c r="LN7" s="54"/>
      <c r="LO7" s="54"/>
      <c r="LP7" s="54"/>
      <c r="LQ7" s="54"/>
      <c r="LR7" s="54"/>
      <c r="LS7" s="54"/>
      <c r="LT7" s="54"/>
      <c r="LU7" s="54"/>
      <c r="LV7" s="54"/>
      <c r="LW7" s="54"/>
      <c r="LX7" s="54"/>
      <c r="LY7" s="54"/>
      <c r="LZ7" s="54"/>
      <c r="MA7" s="54"/>
      <c r="MB7" s="54"/>
      <c r="MC7" s="54"/>
      <c r="MD7" s="54"/>
      <c r="ME7" s="54"/>
      <c r="MF7" s="54"/>
      <c r="MG7" s="54"/>
      <c r="MH7" s="54"/>
      <c r="MI7" s="54"/>
      <c r="MJ7" s="54"/>
      <c r="MK7" s="54"/>
      <c r="ML7" s="54"/>
      <c r="MM7" s="54"/>
      <c r="MN7" s="54"/>
      <c r="MO7" s="54"/>
      <c r="MP7" s="54"/>
      <c r="MQ7" s="54"/>
      <c r="MR7" s="54"/>
      <c r="MS7" s="54"/>
      <c r="MT7" s="54"/>
      <c r="MU7" s="54"/>
      <c r="MV7" s="54"/>
      <c r="MW7" s="54"/>
      <c r="MX7" s="54"/>
      <c r="MY7" s="54"/>
      <c r="MZ7" s="54"/>
      <c r="NA7" s="54"/>
      <c r="NB7" s="54"/>
      <c r="NC7" s="54"/>
      <c r="ND7" s="54"/>
      <c r="NE7" s="54"/>
      <c r="NF7" s="54"/>
      <c r="NG7" s="54"/>
      <c r="NH7" s="54"/>
      <c r="NI7" s="54"/>
      <c r="NJ7" s="54"/>
      <c r="NK7" s="54"/>
      <c r="NL7" s="54"/>
      <c r="NM7" s="54"/>
      <c r="NN7" s="54"/>
      <c r="NO7" s="54"/>
      <c r="NP7" s="54"/>
      <c r="NQ7" s="54"/>
      <c r="NR7" s="54"/>
      <c r="NS7" s="54"/>
      <c r="NT7" s="54"/>
      <c r="NU7" s="54"/>
      <c r="NV7" s="54"/>
      <c r="NW7" s="54"/>
      <c r="NX7" s="54"/>
      <c r="NY7" s="54"/>
      <c r="NZ7" s="54"/>
      <c r="OA7" s="54"/>
      <c r="OB7" s="54"/>
      <c r="OC7" s="54"/>
      <c r="OD7" s="54"/>
      <c r="OE7" s="54"/>
      <c r="OF7" s="54"/>
      <c r="OG7" s="54"/>
      <c r="OH7" s="54"/>
      <c r="OI7" s="54"/>
      <c r="OJ7" s="54"/>
      <c r="OK7" s="54"/>
      <c r="OL7" s="54"/>
      <c r="OM7" s="54"/>
      <c r="ON7" s="54"/>
      <c r="OO7" s="54"/>
      <c r="OP7" s="54"/>
      <c r="OQ7" s="54"/>
      <c r="OR7" s="54"/>
      <c r="OS7" s="54"/>
      <c r="OT7" s="54"/>
      <c r="OU7" s="54"/>
      <c r="OV7" s="54"/>
      <c r="OW7" s="54"/>
      <c r="OX7" s="54"/>
      <c r="OY7" s="54"/>
      <c r="OZ7" s="54"/>
      <c r="PA7" s="54"/>
      <c r="PB7" s="54"/>
      <c r="PC7" s="54"/>
      <c r="PD7" s="54"/>
      <c r="PE7" s="54"/>
      <c r="PF7" s="54"/>
      <c r="PG7" s="54"/>
      <c r="PH7" s="54"/>
      <c r="PI7" s="54"/>
      <c r="PJ7" s="54"/>
      <c r="PK7" s="54"/>
      <c r="PL7" s="54"/>
      <c r="PM7" s="54"/>
      <c r="PN7" s="54"/>
      <c r="PO7" s="54"/>
      <c r="PP7" s="54"/>
      <c r="PQ7" s="54"/>
      <c r="PR7" s="54"/>
      <c r="PS7" s="54"/>
      <c r="PT7" s="54"/>
      <c r="PU7" s="54"/>
      <c r="PV7" s="54"/>
      <c r="PW7" s="54"/>
      <c r="PX7" s="54"/>
      <c r="PY7" s="54"/>
      <c r="PZ7" s="54"/>
      <c r="QA7" s="54"/>
      <c r="QB7" s="54"/>
      <c r="QC7" s="54"/>
      <c r="QD7" s="54"/>
      <c r="QE7" s="54"/>
      <c r="QF7" s="54"/>
      <c r="QG7" s="54"/>
      <c r="QH7" s="54"/>
      <c r="QI7" s="54"/>
      <c r="QJ7" s="54"/>
      <c r="QK7" s="54"/>
      <c r="QL7" s="54"/>
      <c r="QM7" s="54"/>
      <c r="QN7" s="54"/>
      <c r="QO7" s="54"/>
      <c r="QP7" s="54"/>
      <c r="QQ7" s="54"/>
      <c r="QR7" s="54"/>
      <c r="QS7" s="54"/>
      <c r="QT7" s="54"/>
      <c r="QU7" s="54"/>
      <c r="QV7" s="54"/>
      <c r="QW7" s="54"/>
      <c r="QX7" s="54"/>
      <c r="QY7" s="54"/>
      <c r="QZ7" s="54"/>
      <c r="RA7" s="54"/>
      <c r="RB7" s="54"/>
      <c r="RC7" s="54"/>
      <c r="RD7" s="54"/>
      <c r="RE7" s="54"/>
      <c r="RF7" s="54"/>
      <c r="RG7" s="54"/>
      <c r="RH7" s="54"/>
      <c r="RI7" s="54"/>
      <c r="RJ7" s="54"/>
      <c r="RK7" s="54"/>
      <c r="RL7" s="54"/>
      <c r="RM7" s="54"/>
      <c r="RN7" s="54"/>
      <c r="RO7" s="54"/>
      <c r="RP7" s="54"/>
      <c r="RQ7" s="54"/>
      <c r="RR7" s="54"/>
      <c r="RS7" s="54"/>
      <c r="RT7" s="54"/>
      <c r="RU7" s="54"/>
      <c r="RV7" s="54"/>
      <c r="RW7" s="54"/>
      <c r="RX7" s="54"/>
      <c r="RY7" s="54"/>
      <c r="RZ7" s="54"/>
      <c r="SA7" s="54"/>
      <c r="SB7" s="54"/>
      <c r="SC7" s="54"/>
      <c r="SD7" s="54"/>
      <c r="SE7" s="54"/>
      <c r="SF7" s="54"/>
      <c r="SG7" s="54"/>
      <c r="SH7" s="54"/>
      <c r="SI7" s="54"/>
      <c r="SJ7" s="54"/>
      <c r="SK7" s="54"/>
      <c r="SL7" s="54"/>
      <c r="SM7" s="54"/>
      <c r="SN7" s="54"/>
      <c r="SO7" s="54"/>
      <c r="SP7" s="54"/>
      <c r="SQ7" s="54"/>
      <c r="SR7" s="54"/>
      <c r="SS7" s="54"/>
      <c r="ST7" s="54"/>
      <c r="SU7" s="54"/>
      <c r="SV7" s="54"/>
      <c r="SW7" s="54"/>
      <c r="SX7" s="54"/>
      <c r="SY7" s="54"/>
      <c r="SZ7" s="54"/>
      <c r="TA7" s="54"/>
      <c r="TB7" s="54"/>
      <c r="TC7" s="54"/>
      <c r="TD7" s="54"/>
      <c r="TE7" s="54"/>
      <c r="TF7" s="54"/>
      <c r="TG7" s="54"/>
      <c r="TH7" s="54"/>
      <c r="TI7" s="54"/>
      <c r="TJ7" s="54"/>
      <c r="TK7" s="54"/>
      <c r="TL7" s="54"/>
      <c r="TM7" s="54"/>
      <c r="TN7" s="54"/>
      <c r="TO7" s="54"/>
      <c r="TP7" s="54"/>
      <c r="TQ7" s="54"/>
      <c r="TR7" s="54"/>
      <c r="TS7" s="54"/>
      <c r="TT7" s="54"/>
      <c r="TU7" s="54"/>
      <c r="TV7" s="54"/>
      <c r="TW7" s="54"/>
      <c r="TX7" s="54"/>
      <c r="TY7" s="54"/>
      <c r="TZ7" s="54"/>
      <c r="UA7" s="54"/>
      <c r="UB7" s="54"/>
      <c r="UC7" s="54"/>
      <c r="UD7" s="54"/>
      <c r="UE7" s="54"/>
      <c r="UF7" s="54"/>
      <c r="UG7" s="54"/>
      <c r="UH7" s="54"/>
      <c r="UI7" s="54"/>
      <c r="UJ7" s="54"/>
      <c r="UK7" s="54"/>
      <c r="UL7" s="54"/>
      <c r="UM7" s="54"/>
      <c r="UN7" s="54"/>
      <c r="UO7" s="54"/>
      <c r="UP7" s="54"/>
      <c r="UQ7" s="54"/>
      <c r="UR7" s="54"/>
      <c r="US7" s="54"/>
      <c r="UT7" s="54"/>
      <c r="UU7" s="54"/>
      <c r="UV7" s="54"/>
      <c r="UW7" s="54"/>
      <c r="UX7" s="54"/>
      <c r="UY7" s="54"/>
      <c r="UZ7" s="54"/>
      <c r="VA7" s="54"/>
      <c r="VB7" s="54"/>
      <c r="VC7" s="54"/>
      <c r="VD7" s="54"/>
      <c r="VE7" s="54"/>
      <c r="VF7" s="54"/>
      <c r="VG7" s="54"/>
      <c r="VH7" s="54"/>
      <c r="VI7" s="54"/>
      <c r="VJ7" s="54"/>
      <c r="VK7" s="54"/>
      <c r="VL7" s="54"/>
      <c r="VM7" s="54"/>
      <c r="VN7" s="54"/>
      <c r="VO7" s="54"/>
      <c r="VP7" s="54"/>
      <c r="VQ7" s="54"/>
      <c r="VR7" s="54"/>
      <c r="VS7" s="54"/>
      <c r="VT7" s="54"/>
      <c r="VU7" s="54"/>
      <c r="VV7" s="54"/>
      <c r="VW7" s="54"/>
      <c r="VX7" s="54"/>
      <c r="VY7" s="54"/>
      <c r="VZ7" s="54"/>
      <c r="WA7" s="54"/>
      <c r="WB7" s="54"/>
      <c r="WC7" s="54"/>
      <c r="WD7" s="54"/>
      <c r="WE7" s="54"/>
      <c r="WF7" s="54"/>
      <c r="WG7" s="54"/>
      <c r="WH7" s="54"/>
      <c r="WI7" s="54"/>
      <c r="WJ7" s="54"/>
      <c r="WK7" s="54"/>
      <c r="WL7" s="54"/>
      <c r="WM7" s="54"/>
      <c r="WN7" s="54"/>
      <c r="WO7" s="54"/>
      <c r="WP7" s="54"/>
      <c r="WQ7" s="54"/>
      <c r="WR7" s="54"/>
      <c r="WS7" s="54"/>
      <c r="WT7" s="54"/>
      <c r="WU7" s="54"/>
      <c r="WV7" s="54"/>
      <c r="WW7" s="54"/>
      <c r="WX7" s="54"/>
      <c r="WY7" s="54"/>
      <c r="WZ7" s="54"/>
      <c r="XA7" s="54"/>
      <c r="XB7" s="54"/>
      <c r="XC7" s="54"/>
      <c r="XD7" s="54"/>
      <c r="XE7" s="54"/>
      <c r="XF7" s="54"/>
      <c r="XG7" s="54"/>
      <c r="XH7" s="54"/>
      <c r="XI7" s="54"/>
      <c r="XJ7" s="54"/>
      <c r="XK7" s="54"/>
      <c r="XL7" s="54"/>
      <c r="XM7" s="54"/>
      <c r="XN7" s="54"/>
      <c r="XO7" s="54"/>
      <c r="XP7" s="54"/>
      <c r="XQ7" s="54"/>
      <c r="XR7" s="54"/>
      <c r="XS7" s="54"/>
      <c r="XT7" s="54"/>
      <c r="XU7" s="54"/>
      <c r="XV7" s="54"/>
      <c r="XW7" s="54"/>
      <c r="XX7" s="54"/>
      <c r="XY7" s="54"/>
      <c r="XZ7" s="54"/>
      <c r="YA7" s="54"/>
      <c r="YB7" s="54"/>
      <c r="YC7" s="54"/>
      <c r="YD7" s="54"/>
      <c r="YE7" s="54"/>
      <c r="YF7" s="54"/>
      <c r="YG7" s="54"/>
      <c r="YH7" s="54"/>
      <c r="YI7" s="54"/>
      <c r="YJ7" s="54"/>
      <c r="YK7" s="54"/>
      <c r="YL7" s="54"/>
      <c r="YM7" s="54"/>
      <c r="YN7" s="54"/>
      <c r="YO7" s="54"/>
      <c r="YP7" s="54"/>
      <c r="YQ7" s="54"/>
      <c r="YR7" s="54"/>
      <c r="YS7" s="54"/>
      <c r="YT7" s="54"/>
      <c r="YU7" s="54"/>
      <c r="YV7" s="54"/>
      <c r="YW7" s="54"/>
      <c r="YX7" s="54"/>
      <c r="YY7" s="54"/>
      <c r="YZ7" s="54"/>
      <c r="ZA7" s="54"/>
      <c r="ZB7" s="54"/>
      <c r="ZC7" s="54"/>
      <c r="ZD7" s="54"/>
      <c r="ZE7" s="54"/>
      <c r="ZF7" s="54"/>
      <c r="ZG7" s="54"/>
      <c r="ZH7" s="54"/>
      <c r="ZI7" s="54"/>
      <c r="ZJ7" s="54"/>
      <c r="ZK7" s="54"/>
      <c r="ZL7" s="54"/>
      <c r="ZM7" s="54"/>
      <c r="ZN7" s="54"/>
      <c r="ZO7" s="54"/>
      <c r="ZP7" s="54"/>
      <c r="ZQ7" s="54"/>
      <c r="ZR7" s="54"/>
      <c r="ZS7" s="54"/>
      <c r="ZT7" s="54"/>
      <c r="ZU7" s="54"/>
      <c r="ZV7" s="54"/>
      <c r="ZW7" s="54"/>
      <c r="ZX7" s="54"/>
      <c r="ZY7" s="54"/>
      <c r="ZZ7" s="54"/>
      <c r="AAA7" s="54"/>
      <c r="AAB7" s="54"/>
      <c r="AAC7" s="54"/>
      <c r="AAD7" s="54"/>
      <c r="AAE7" s="54"/>
      <c r="AAF7" s="54"/>
      <c r="AAG7" s="54"/>
      <c r="AAH7" s="54"/>
      <c r="AAI7" s="54"/>
      <c r="AAJ7" s="54"/>
      <c r="AAK7" s="54"/>
      <c r="AAL7" s="54"/>
      <c r="AAM7" s="54"/>
      <c r="AAN7" s="54"/>
      <c r="AAO7" s="54"/>
      <c r="AAP7" s="54"/>
      <c r="AAQ7" s="54"/>
      <c r="AAR7" s="54"/>
      <c r="AAS7" s="54"/>
      <c r="AAT7" s="54"/>
      <c r="AAU7" s="54"/>
      <c r="AAV7" s="54"/>
      <c r="AAW7" s="54"/>
      <c r="AAX7" s="54"/>
      <c r="AAY7" s="54"/>
      <c r="AAZ7" s="54"/>
      <c r="ABA7" s="54"/>
      <c r="ABB7" s="54"/>
      <c r="ABC7" s="54"/>
      <c r="ABD7" s="54"/>
      <c r="ABE7" s="54"/>
      <c r="ABF7" s="54"/>
      <c r="ABG7" s="54"/>
      <c r="ABH7" s="54"/>
      <c r="ABI7" s="54"/>
      <c r="ABJ7" s="54"/>
      <c r="ABK7" s="54"/>
      <c r="ABL7" s="54"/>
      <c r="ABM7" s="54"/>
      <c r="ABN7" s="54"/>
      <c r="ABO7" s="54"/>
      <c r="ABP7" s="54"/>
      <c r="ABQ7" s="54"/>
      <c r="ABR7" s="54"/>
      <c r="ABS7" s="54"/>
      <c r="ABT7" s="54"/>
      <c r="ABU7" s="54"/>
      <c r="ABV7" s="54"/>
      <c r="ABW7" s="54"/>
      <c r="ABX7" s="54"/>
      <c r="ABY7" s="54"/>
      <c r="ABZ7" s="54"/>
      <c r="ACA7" s="54"/>
      <c r="ACB7" s="54"/>
      <c r="ACC7" s="54"/>
      <c r="ACD7" s="54"/>
      <c r="ACE7" s="54"/>
      <c r="ACF7" s="54"/>
      <c r="ACG7" s="54"/>
      <c r="ACH7" s="54"/>
      <c r="ACI7" s="54"/>
      <c r="ACJ7" s="54"/>
      <c r="ACK7" s="54"/>
      <c r="ACL7" s="54"/>
      <c r="ACM7" s="54"/>
      <c r="ACN7" s="54"/>
      <c r="ACO7" s="54"/>
      <c r="ACP7" s="54"/>
      <c r="ACQ7" s="54"/>
      <c r="ACR7" s="54"/>
      <c r="ACS7" s="54"/>
      <c r="ACT7" s="54"/>
      <c r="ACU7" s="54"/>
      <c r="ACV7" s="54"/>
      <c r="ACW7" s="54"/>
      <c r="ACX7" s="54"/>
      <c r="ACY7" s="54"/>
      <c r="ACZ7" s="54"/>
      <c r="ADA7" s="54"/>
      <c r="ADB7" s="54"/>
      <c r="ADC7" s="54"/>
      <c r="ADD7" s="54"/>
      <c r="ADE7" s="54"/>
      <c r="ADF7" s="54"/>
      <c r="ADG7" s="54"/>
      <c r="ADH7" s="54"/>
      <c r="ADI7" s="54"/>
      <c r="ADJ7" s="54"/>
      <c r="ADK7" s="54"/>
      <c r="ADL7" s="54"/>
      <c r="ADM7" s="54"/>
      <c r="ADN7" s="54"/>
      <c r="ADO7" s="54"/>
      <c r="ADP7" s="54"/>
      <c r="ADQ7" s="54"/>
      <c r="ADR7" s="54"/>
      <c r="ADS7" s="54"/>
      <c r="ADT7" s="54"/>
      <c r="ADU7" s="54"/>
      <c r="ADV7" s="54"/>
      <c r="ADW7" s="54"/>
      <c r="ADX7" s="54"/>
      <c r="ADY7" s="54"/>
      <c r="ADZ7" s="54"/>
      <c r="AEA7" s="54"/>
      <c r="AEB7" s="54"/>
      <c r="AEC7" s="54"/>
      <c r="AED7" s="54"/>
      <c r="AEE7" s="54"/>
      <c r="AEF7" s="54"/>
      <c r="AEG7" s="54"/>
      <c r="AEH7" s="54"/>
      <c r="AEI7" s="54"/>
      <c r="AEJ7" s="54"/>
      <c r="AEK7" s="54"/>
      <c r="AEL7" s="54"/>
      <c r="AEM7" s="54"/>
      <c r="AEN7" s="54"/>
      <c r="AEO7" s="54"/>
      <c r="AEP7" s="54"/>
      <c r="AEQ7" s="54"/>
      <c r="AER7" s="54"/>
      <c r="AES7" s="54"/>
      <c r="AET7" s="54"/>
      <c r="AEU7" s="54"/>
      <c r="AEV7" s="54"/>
      <c r="AEW7" s="54"/>
      <c r="AEX7" s="54"/>
      <c r="AEY7" s="54"/>
      <c r="AEZ7" s="54"/>
      <c r="AFA7" s="54"/>
      <c r="AFB7" s="54"/>
      <c r="AFC7" s="54"/>
      <c r="AFD7" s="54"/>
      <c r="AFE7" s="54"/>
      <c r="AFF7" s="54"/>
      <c r="AFG7" s="54"/>
      <c r="AFH7" s="54"/>
      <c r="AFI7" s="54"/>
      <c r="AFJ7" s="54"/>
      <c r="AFK7" s="54"/>
      <c r="AFL7" s="54"/>
      <c r="AFM7" s="54"/>
      <c r="AFN7" s="54"/>
      <c r="AFO7" s="54"/>
      <c r="AFP7" s="54"/>
      <c r="AFQ7" s="54"/>
      <c r="AFR7" s="54"/>
      <c r="AFS7" s="54"/>
      <c r="AFT7" s="54"/>
      <c r="AFU7" s="54"/>
      <c r="AFV7" s="54"/>
      <c r="AFW7" s="54"/>
      <c r="AFX7" s="54"/>
      <c r="AFY7" s="54"/>
      <c r="AFZ7" s="54"/>
      <c r="AGA7" s="54"/>
      <c r="AGB7" s="54"/>
      <c r="AGC7" s="54"/>
      <c r="AGD7" s="54"/>
      <c r="AGE7" s="54"/>
      <c r="AGF7" s="54"/>
      <c r="AGG7" s="54"/>
      <c r="AGH7" s="54"/>
      <c r="AGI7" s="54"/>
      <c r="AGJ7" s="54"/>
      <c r="AGK7" s="54"/>
      <c r="AGL7" s="54"/>
      <c r="AGM7" s="54"/>
      <c r="AGN7" s="54"/>
      <c r="AGO7" s="54"/>
      <c r="AGP7" s="54"/>
      <c r="AGQ7" s="54"/>
      <c r="AGR7" s="54"/>
      <c r="AGS7" s="54"/>
      <c r="AGT7" s="54"/>
      <c r="AGU7" s="54"/>
      <c r="AGV7" s="54"/>
      <c r="AGW7" s="54"/>
      <c r="AGX7" s="54"/>
      <c r="AGY7" s="54"/>
      <c r="AGZ7" s="54"/>
      <c r="AHA7" s="54"/>
      <c r="AHB7" s="54"/>
      <c r="AHC7" s="54"/>
      <c r="AHD7" s="54"/>
      <c r="AHE7" s="54"/>
      <c r="AHF7" s="54"/>
      <c r="AHG7" s="54"/>
      <c r="AHH7" s="54"/>
      <c r="AHI7" s="54"/>
      <c r="AHJ7" s="54"/>
      <c r="AHK7" s="54"/>
      <c r="AHL7" s="54"/>
      <c r="AHM7" s="54"/>
      <c r="AHN7" s="54"/>
      <c r="AHO7" s="54"/>
      <c r="AHP7" s="54"/>
      <c r="AHQ7" s="54"/>
      <c r="AHR7" s="54"/>
      <c r="AHS7" s="54"/>
      <c r="AHT7" s="54"/>
      <c r="AHU7" s="54"/>
      <c r="AHV7" s="54"/>
      <c r="AHW7" s="54"/>
      <c r="AHX7" s="54"/>
      <c r="AHY7" s="54"/>
      <c r="AHZ7" s="54"/>
      <c r="AIA7" s="54"/>
      <c r="AIB7" s="54"/>
      <c r="AIC7" s="54"/>
      <c r="AID7" s="54"/>
      <c r="AIE7" s="54"/>
      <c r="AIF7" s="54"/>
      <c r="AIG7" s="54"/>
      <c r="AIH7" s="54"/>
      <c r="AII7" s="54"/>
      <c r="AIJ7" s="54"/>
      <c r="AIK7" s="54"/>
      <c r="AIL7" s="54"/>
      <c r="AIM7" s="54"/>
      <c r="AIN7" s="54"/>
      <c r="AIO7" s="54"/>
      <c r="AIP7" s="54"/>
      <c r="AIQ7" s="54"/>
      <c r="AIR7" s="54"/>
      <c r="AIS7" s="54"/>
      <c r="AIT7" s="54"/>
      <c r="AIU7" s="54"/>
      <c r="AIV7" s="54"/>
      <c r="AIW7" s="54"/>
      <c r="AIX7" s="54"/>
      <c r="AIY7" s="54"/>
      <c r="AIZ7" s="54"/>
      <c r="AJA7" s="54"/>
      <c r="AJB7" s="54"/>
      <c r="AJC7" s="54"/>
      <c r="AJD7" s="54"/>
      <c r="AJE7" s="54"/>
      <c r="AJF7" s="54"/>
      <c r="AJG7" s="54"/>
      <c r="AJH7" s="54"/>
      <c r="AJI7" s="54"/>
      <c r="AJJ7" s="54"/>
      <c r="AJK7" s="54"/>
      <c r="AJL7" s="54"/>
      <c r="AJM7" s="54"/>
      <c r="AJN7" s="54"/>
      <c r="AJO7" s="54"/>
      <c r="AJP7" s="54"/>
      <c r="AJQ7" s="54"/>
      <c r="AJR7" s="54"/>
      <c r="AJS7" s="54"/>
      <c r="AJT7" s="54"/>
      <c r="AJU7" s="54"/>
      <c r="AJV7" s="54"/>
      <c r="AJW7" s="54"/>
      <c r="AJX7" s="54"/>
      <c r="AJY7" s="54"/>
      <c r="AJZ7" s="54"/>
      <c r="AKA7" s="54"/>
      <c r="AKB7" s="54"/>
      <c r="AKC7" s="54"/>
      <c r="AKD7" s="54"/>
      <c r="AKE7" s="54"/>
      <c r="AKF7" s="54"/>
      <c r="AKG7" s="54"/>
      <c r="AKH7" s="54"/>
      <c r="AKI7" s="54"/>
      <c r="AKJ7" s="54"/>
      <c r="AKK7" s="54"/>
      <c r="AKL7" s="54"/>
      <c r="AKM7" s="54"/>
      <c r="AKN7" s="54"/>
      <c r="AKO7" s="54"/>
      <c r="AKP7" s="54"/>
      <c r="AKQ7" s="54"/>
      <c r="AKR7" s="54"/>
      <c r="AKS7" s="54"/>
      <c r="AKT7" s="54"/>
      <c r="AKU7" s="54"/>
      <c r="AKV7" s="54"/>
      <c r="AKW7" s="54"/>
      <c r="AKX7" s="54"/>
      <c r="AKY7" s="54"/>
      <c r="AKZ7" s="54"/>
      <c r="ALA7" s="54"/>
      <c r="ALB7" s="54"/>
      <c r="ALC7" s="54"/>
      <c r="ALD7" s="54"/>
      <c r="ALE7" s="54"/>
      <c r="ALF7" s="54"/>
      <c r="ALG7" s="54"/>
      <c r="ALH7" s="54"/>
      <c r="ALI7" s="54"/>
      <c r="ALJ7" s="54"/>
      <c r="ALK7" s="54"/>
      <c r="ALL7" s="54"/>
      <c r="ALM7" s="54"/>
      <c r="ALN7" s="54"/>
      <c r="ALO7" s="54"/>
      <c r="ALP7" s="54"/>
      <c r="ALQ7" s="54"/>
      <c r="ALR7" s="54"/>
      <c r="ALS7" s="54"/>
      <c r="ALT7" s="54"/>
      <c r="ALU7" s="54"/>
      <c r="ALV7" s="54"/>
      <c r="ALW7" s="54"/>
      <c r="ALX7" s="54"/>
      <c r="ALY7" s="54"/>
      <c r="ALZ7" s="54"/>
      <c r="AMA7" s="54"/>
      <c r="AMB7" s="54"/>
      <c r="AMC7" s="54"/>
      <c r="AMD7" s="54"/>
      <c r="AME7" s="54"/>
      <c r="AMF7" s="54"/>
      <c r="AMG7" s="54"/>
      <c r="AMH7" s="54"/>
      <c r="AMI7" s="54"/>
      <c r="AMJ7" s="5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VerifyPTT!$4:$4</formula1>
    </dataValidation>
  </dataValidations>
  <headerFooter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 t="s">
        <v>31</v>
      </c>
      <c r="D6" s="57" t="s">
        <v>32</v>
      </c>
      <c r="E6" s="58">
        <v>19000</v>
      </c>
      <c r="F6" s="36">
        <v>10</v>
      </c>
      <c r="G6" s="34" t="s">
        <v>33</v>
      </c>
      <c r="H6" s="34" t="s">
        <v>34</v>
      </c>
      <c r="I6" s="59" t="s">
        <v>35</v>
      </c>
      <c r="J6" s="34"/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TradePTT!$4:$4</formula1>
    </dataValidation>
  </dataValidations>
  <headerFooter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3"/>
      <c r="B6" s="33" t="s">
        <v>18</v>
      </c>
      <c r="C6" s="34"/>
      <c r="D6" s="58">
        <v>100</v>
      </c>
      <c r="E6" s="58">
        <v>100</v>
      </c>
      <c r="F6" s="34"/>
      <c r="G6" s="34" t="s">
        <v>21</v>
      </c>
      <c r="H6" s="34"/>
      <c r="I6" s="34"/>
      <c r="J6" s="36">
        <v>10</v>
      </c>
      <c r="K6" s="34"/>
      <c r="L6" s="34"/>
      <c r="M6" s="34"/>
      <c r="N6" s="34"/>
      <c r="O6" s="34"/>
      <c r="P6" s="34"/>
      <c r="Q6" s="34"/>
      <c r="R6" s="34"/>
      <c r="S6" s="34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CreateDoneAwayOrder1!$4:$4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IFERROR(__xludf.DUMMYFUNCTION("""COMPUTED_VALUE"""),"Master Funds")</f>
        <v>Master Funds</v>
      </c>
      <c r="K5" s="28" t="str">
        <f>IFERROR(__xludf.DUMMYFUNCTION("""COMPUTED_VALUE"""),"Round Lots")</f>
        <v>Round Lots</v>
      </c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0"/>
      <c r="B6" s="43" t="s">
        <v>18</v>
      </c>
      <c r="C6" s="38" t="s">
        <v>31</v>
      </c>
      <c r="D6" s="43" t="s">
        <v>32</v>
      </c>
      <c r="E6" s="39">
        <v>10000</v>
      </c>
      <c r="F6" s="39">
        <v>10</v>
      </c>
      <c r="G6" s="38" t="s">
        <v>33</v>
      </c>
      <c r="H6" s="38" t="s">
        <v>34</v>
      </c>
      <c r="I6" s="40" t="s">
        <v>23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CalculatePTT1!$4:$4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J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IFERROR(__xludf.DUMMYFUNCTION("""COMPUTED_VALUE"""),"Account Name")</f>
        <v>Account Name</v>
      </c>
      <c r="C5" s="28" t="str">
        <f>IFERROR(__xludf.DUMMYFUNCTION("""COMPUTED_VALUE"""),"Account NAV")</f>
        <v>Account NAV</v>
      </c>
      <c r="D5" s="28" t="str">
        <f>IFERROR(__xludf.DUMMYFUNCTION("""COMPUTED_VALUE"""),"Starting Position")</f>
        <v>Starting Position</v>
      </c>
      <c r="E5" s="28" t="str">
        <f>IFERROR(__xludf.DUMMYFUNCTION("""COMPUTED_VALUE"""),"Starting Value")</f>
        <v>Starting Value</v>
      </c>
      <c r="F5" s="29" t="str">
        <f>IFERROR(__xludf.DUMMYFUNCTION("""COMPUTED_VALUE"""),"Starting %")</f>
        <v>Starting %</v>
      </c>
      <c r="G5" s="28" t="str">
        <f>IFERROR(__xludf.DUMMYFUNCTION("""COMPUTED_VALUE"""),"% Change")</f>
        <v>% Change</v>
      </c>
      <c r="H5" s="28" t="str">
        <f>IFERROR(__xludf.DUMMYFUNCTION("""COMPUTED_VALUE"""),"Ending %")</f>
        <v>Ending %</v>
      </c>
      <c r="I5" s="28" t="str">
        <f>IFERROR(__xludf.DUMMYFUNCTION("""COMPUTED_VALUE"""),"Trade Quantity")</f>
        <v>Trade Quantity</v>
      </c>
      <c r="J5" s="28" t="str">
        <f>IFERROR(__xludf.DUMMYFUNCTION("""COMPUTED_VALUE"""),"Ending Position")</f>
        <v>Ending Position</v>
      </c>
      <c r="K5" s="28" t="str">
        <f>IFERROR(__xludf.DUMMYFUNCTION("""COMPUTED_VALUE"""),"Ending Value")</f>
        <v>Ending Value</v>
      </c>
      <c r="L5" s="28" t="str">
        <f>IFERROR(__xludf.DUMMYFUNCTION("""COMPUTED_VALUE"""),"% Allocation")</f>
        <v>% Allocation</v>
      </c>
      <c r="M5" s="28" t="str">
        <f>IFERROR(__xludf.DUMMYFUNCTION("""COMPUTED_VALUE"""),"Fx Rate")</f>
        <v>Fx Rate</v>
      </c>
      <c r="N5" s="28" t="str">
        <f>IFERROR(__xludf.DUMMYFUNCTION("""COMPUTED_VALUE"""),"Starting BP")</f>
        <v>Starting BP</v>
      </c>
      <c r="O5" s="28" t="str">
        <f>IFERROR(__xludf.DUMMYFUNCTION("""COMPUTED_VALUE"""),"BP Change")</f>
        <v>BP Change</v>
      </c>
      <c r="P5" s="28" t="str">
        <f>IFERROR(__xludf.DUMMYFUNCTION("""COMPUTED_VALUE"""),"Ending BP")</f>
        <v>Ending BP</v>
      </c>
      <c r="Q5" s="28" t="str">
        <f>IFERROR(__xludf.DUMMYFUNCTION("""COMPUTED_VALUE"""),"MasterFund Name")</f>
        <v>MasterFund Name</v>
      </c>
      <c r="R5" s="28" t="str">
        <f>IFERROR(__xludf.DUMMYFUNCTION("""COMPUTED_VALUE"""),"Order Side")</f>
        <v>Order Side</v>
      </c>
      <c r="S5" s="28" t="str">
        <f>IFERROR(__xludf.DUMMYFUNCTION("""COMPUTED_VALUE"""),"Round Lots")</f>
        <v>Round Lots</v>
      </c>
      <c r="T5" s="30" t="str">
        <f>IFERROR(__xludf.DUMMYFUNCTION("""COMPUTED_VALUE"""),"Verify RoundLots In Input Parameters")</f>
        <v>Verify RoundLots In Input Parameters</v>
      </c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60" t="s">
        <v>37</v>
      </c>
      <c r="B6" s="40" t="s">
        <v>23</v>
      </c>
      <c r="C6" s="61">
        <v>100000</v>
      </c>
      <c r="D6" s="62">
        <v>900</v>
      </c>
      <c r="E6" s="61">
        <v>9000</v>
      </c>
      <c r="F6" s="61"/>
      <c r="G6" s="61"/>
      <c r="H6" s="61"/>
      <c r="I6" s="61">
        <v>100</v>
      </c>
      <c r="J6" s="61">
        <v>1000</v>
      </c>
      <c r="K6" s="61">
        <v>10000</v>
      </c>
      <c r="L6" s="61">
        <v>100</v>
      </c>
      <c r="M6" s="61">
        <v>1</v>
      </c>
      <c r="N6" s="38" t="s">
        <v>37</v>
      </c>
      <c r="O6" s="38" t="s">
        <v>37</v>
      </c>
      <c r="P6" s="38" t="s">
        <v>37</v>
      </c>
      <c r="Q6" s="38" t="s">
        <v>37</v>
      </c>
      <c r="R6" s="38" t="s">
        <v>37</v>
      </c>
      <c r="S6" s="38" t="s">
        <v>37</v>
      </c>
      <c r="T6" s="37" t="s">
        <v>37</v>
      </c>
      <c r="U6" s="37" t="s">
        <v>37</v>
      </c>
      <c r="V6" s="37" t="s">
        <v>37</v>
      </c>
      <c r="W6" s="37" t="s">
        <v>37</v>
      </c>
      <c r="X6" s="37" t="s">
        <v>37</v>
      </c>
      <c r="Y6" s="37" t="s">
        <v>37</v>
      </c>
      <c r="Z6" s="37" t="s">
        <v>37</v>
      </c>
      <c r="AA6" s="37" t="s">
        <v>37</v>
      </c>
      <c r="AB6" s="37" t="s">
        <v>37</v>
      </c>
      <c r="AC6" s="37" t="s">
        <v>37</v>
      </c>
      <c r="AD6" s="37" t="s">
        <v>37</v>
      </c>
      <c r="AE6" s="37" t="s">
        <v>37</v>
      </c>
      <c r="AF6" s="37" t="s">
        <v>37</v>
      </c>
      <c r="AG6" s="37" t="s">
        <v>37</v>
      </c>
      <c r="AH6" s="37" t="s">
        <v>37</v>
      </c>
      <c r="AI6" s="37" t="s">
        <v>37</v>
      </c>
      <c r="AJ6" s="54" t="s">
        <v>37</v>
      </c>
      <c r="AK6" s="54" t="s">
        <v>37</v>
      </c>
      <c r="AL6" s="54" t="s">
        <v>37</v>
      </c>
      <c r="AM6" s="54" t="s">
        <v>37</v>
      </c>
      <c r="AN6" s="54" t="s">
        <v>37</v>
      </c>
      <c r="AO6" s="54" t="s">
        <v>37</v>
      </c>
      <c r="AP6" s="54" t="s">
        <v>37</v>
      </c>
      <c r="AQ6" s="54" t="s">
        <v>37</v>
      </c>
      <c r="AR6" s="54" t="s">
        <v>37</v>
      </c>
      <c r="AS6" s="54" t="s">
        <v>37</v>
      </c>
      <c r="AT6" s="54" t="s">
        <v>37</v>
      </c>
      <c r="AU6" s="54" t="s">
        <v>37</v>
      </c>
      <c r="AV6" s="54" t="s">
        <v>37</v>
      </c>
      <c r="AW6" s="54" t="s">
        <v>37</v>
      </c>
      <c r="AX6" s="54" t="s">
        <v>37</v>
      </c>
      <c r="AY6" s="54" t="s">
        <v>37</v>
      </c>
      <c r="AZ6" s="54" t="s">
        <v>37</v>
      </c>
      <c r="BA6" s="54" t="s">
        <v>37</v>
      </c>
      <c r="BB6" s="54" t="s">
        <v>37</v>
      </c>
      <c r="BC6" s="54" t="s">
        <v>37</v>
      </c>
      <c r="BD6" s="54" t="s">
        <v>37</v>
      </c>
      <c r="BE6" s="54" t="s">
        <v>37</v>
      </c>
      <c r="BF6" s="54" t="s">
        <v>37</v>
      </c>
      <c r="BG6" s="54" t="s">
        <v>37</v>
      </c>
      <c r="BH6" s="54" t="s">
        <v>37</v>
      </c>
      <c r="BI6" s="54" t="s">
        <v>37</v>
      </c>
      <c r="BJ6" s="54" t="s">
        <v>37</v>
      </c>
      <c r="BK6" s="54" t="s">
        <v>37</v>
      </c>
      <c r="BL6" s="54" t="s">
        <v>37</v>
      </c>
      <c r="BM6" s="54" t="s">
        <v>37</v>
      </c>
      <c r="BN6" s="54" t="s">
        <v>37</v>
      </c>
      <c r="BO6" s="54" t="s">
        <v>37</v>
      </c>
      <c r="BP6" s="54" t="s">
        <v>37</v>
      </c>
      <c r="BQ6" s="54" t="s">
        <v>37</v>
      </c>
      <c r="BR6" s="54" t="s">
        <v>37</v>
      </c>
      <c r="BS6" s="54" t="s">
        <v>37</v>
      </c>
      <c r="BT6" s="54" t="s">
        <v>37</v>
      </c>
      <c r="BU6" s="54" t="s">
        <v>37</v>
      </c>
      <c r="BV6" s="54" t="s">
        <v>37</v>
      </c>
      <c r="BW6" s="54" t="s">
        <v>37</v>
      </c>
      <c r="BX6" s="54" t="s">
        <v>37</v>
      </c>
      <c r="BY6" s="54" t="s">
        <v>37</v>
      </c>
      <c r="BZ6" s="54" t="s">
        <v>37</v>
      </c>
      <c r="CA6" s="54" t="s">
        <v>37</v>
      </c>
      <c r="CB6" s="54" t="s">
        <v>37</v>
      </c>
      <c r="CC6" s="54" t="s">
        <v>37</v>
      </c>
      <c r="CD6" s="54" t="s">
        <v>37</v>
      </c>
      <c r="CE6" s="54" t="s">
        <v>37</v>
      </c>
      <c r="CF6" s="54" t="s">
        <v>37</v>
      </c>
      <c r="CG6" s="54" t="s">
        <v>37</v>
      </c>
      <c r="CH6" s="54" t="s">
        <v>37</v>
      </c>
      <c r="CI6" s="54" t="s">
        <v>37</v>
      </c>
      <c r="CJ6" s="54" t="s">
        <v>37</v>
      </c>
      <c r="CK6" s="54" t="s">
        <v>37</v>
      </c>
      <c r="CL6" s="54" t="s">
        <v>37</v>
      </c>
      <c r="CM6" s="54" t="s">
        <v>37</v>
      </c>
      <c r="CN6" s="54" t="s">
        <v>37</v>
      </c>
      <c r="CO6" s="54" t="s">
        <v>37</v>
      </c>
      <c r="CP6" s="54" t="s">
        <v>37</v>
      </c>
      <c r="CQ6" s="54" t="s">
        <v>37</v>
      </c>
      <c r="CR6" s="54" t="s">
        <v>37</v>
      </c>
      <c r="CS6" s="54" t="s">
        <v>37</v>
      </c>
      <c r="CT6" s="54" t="s">
        <v>37</v>
      </c>
      <c r="CU6" s="54" t="s">
        <v>37</v>
      </c>
      <c r="CV6" s="54" t="s">
        <v>37</v>
      </c>
      <c r="CW6" s="54" t="s">
        <v>37</v>
      </c>
      <c r="CX6" s="54" t="s">
        <v>37</v>
      </c>
      <c r="CY6" s="54" t="s">
        <v>37</v>
      </c>
      <c r="CZ6" s="54" t="s">
        <v>37</v>
      </c>
      <c r="DA6" s="54" t="s">
        <v>37</v>
      </c>
      <c r="DB6" s="54" t="s">
        <v>37</v>
      </c>
      <c r="DC6" s="54" t="s">
        <v>37</v>
      </c>
      <c r="DD6" s="54" t="s">
        <v>37</v>
      </c>
      <c r="DE6" s="54" t="s">
        <v>37</v>
      </c>
      <c r="DF6" s="54" t="s">
        <v>37</v>
      </c>
      <c r="DG6" s="54" t="s">
        <v>37</v>
      </c>
      <c r="DH6" s="54" t="s">
        <v>37</v>
      </c>
      <c r="DI6" s="54" t="s">
        <v>37</v>
      </c>
      <c r="DJ6" s="54" t="s">
        <v>37</v>
      </c>
      <c r="DK6" s="54" t="s">
        <v>37</v>
      </c>
      <c r="DL6" s="54" t="s">
        <v>37</v>
      </c>
      <c r="DM6" s="54" t="s">
        <v>37</v>
      </c>
      <c r="DN6" s="54" t="s">
        <v>37</v>
      </c>
      <c r="DO6" s="54" t="s">
        <v>37</v>
      </c>
      <c r="DP6" s="54" t="s">
        <v>37</v>
      </c>
      <c r="DQ6" s="54" t="s">
        <v>37</v>
      </c>
      <c r="DR6" s="54" t="s">
        <v>37</v>
      </c>
      <c r="DS6" s="54" t="s">
        <v>37</v>
      </c>
      <c r="DT6" s="54" t="s">
        <v>37</v>
      </c>
      <c r="DU6" s="54" t="s">
        <v>37</v>
      </c>
      <c r="DV6" s="54" t="s">
        <v>37</v>
      </c>
      <c r="DW6" s="54" t="s">
        <v>37</v>
      </c>
      <c r="DX6" s="54" t="s">
        <v>37</v>
      </c>
      <c r="DY6" s="54" t="s">
        <v>37</v>
      </c>
      <c r="DZ6" s="54" t="s">
        <v>37</v>
      </c>
      <c r="EA6" s="54" t="s">
        <v>37</v>
      </c>
      <c r="EB6" s="54" t="s">
        <v>37</v>
      </c>
      <c r="EC6" s="54" t="s">
        <v>37</v>
      </c>
      <c r="ED6" s="54" t="s">
        <v>37</v>
      </c>
      <c r="EE6" s="54" t="s">
        <v>37</v>
      </c>
      <c r="EF6" s="54" t="s">
        <v>37</v>
      </c>
      <c r="EG6" s="54" t="s">
        <v>37</v>
      </c>
      <c r="EH6" s="54" t="s">
        <v>37</v>
      </c>
      <c r="EI6" s="54" t="s">
        <v>37</v>
      </c>
      <c r="EJ6" s="54" t="s">
        <v>37</v>
      </c>
      <c r="EK6" s="54" t="s">
        <v>37</v>
      </c>
      <c r="EL6" s="54" t="s">
        <v>37</v>
      </c>
      <c r="EM6" s="54" t="s">
        <v>37</v>
      </c>
      <c r="EN6" s="54" t="s">
        <v>37</v>
      </c>
      <c r="EO6" s="54" t="s">
        <v>37</v>
      </c>
      <c r="EP6" s="54" t="s">
        <v>37</v>
      </c>
      <c r="EQ6" s="54" t="s">
        <v>37</v>
      </c>
      <c r="ER6" s="54" t="s">
        <v>37</v>
      </c>
      <c r="ES6" s="54" t="s">
        <v>37</v>
      </c>
      <c r="ET6" s="54" t="s">
        <v>37</v>
      </c>
      <c r="EU6" s="54" t="s">
        <v>37</v>
      </c>
      <c r="EV6" s="54" t="s">
        <v>37</v>
      </c>
      <c r="EW6" s="54" t="s">
        <v>37</v>
      </c>
      <c r="EX6" s="54" t="s">
        <v>37</v>
      </c>
      <c r="EY6" s="54" t="s">
        <v>37</v>
      </c>
      <c r="EZ6" s="54" t="s">
        <v>37</v>
      </c>
      <c r="FA6" s="54" t="s">
        <v>37</v>
      </c>
      <c r="FB6" s="54" t="s">
        <v>37</v>
      </c>
      <c r="FC6" s="54" t="s">
        <v>37</v>
      </c>
      <c r="FD6" s="63" t="s">
        <v>37</v>
      </c>
      <c r="FE6" s="64" t="s">
        <v>37</v>
      </c>
      <c r="FF6" s="64" t="s">
        <v>37</v>
      </c>
      <c r="FG6" s="64" t="s">
        <v>37</v>
      </c>
      <c r="FH6" s="64"/>
      <c r="FI6" s="54"/>
      <c r="FJ6" s="54"/>
      <c r="FK6" s="54"/>
      <c r="FL6" s="54"/>
      <c r="FM6" s="54"/>
      <c r="FN6" s="54"/>
      <c r="FO6" s="54"/>
      <c r="FP6" s="54"/>
      <c r="FQ6" s="54"/>
      <c r="FR6" s="54"/>
      <c r="FS6" s="54"/>
      <c r="FT6" s="54"/>
      <c r="FU6" s="54"/>
      <c r="FV6" s="54"/>
      <c r="FW6" s="54"/>
      <c r="FX6" s="54"/>
      <c r="FY6" s="54"/>
      <c r="FZ6" s="54"/>
      <c r="GA6" s="54"/>
      <c r="GB6" s="54"/>
      <c r="GC6" s="54"/>
      <c r="GD6" s="54"/>
      <c r="GE6" s="54"/>
      <c r="GF6" s="54"/>
      <c r="GG6" s="54"/>
      <c r="GH6" s="54"/>
      <c r="GI6" s="54"/>
      <c r="GJ6" s="54"/>
      <c r="GK6" s="54"/>
      <c r="GL6" s="54"/>
      <c r="GM6" s="54"/>
      <c r="GN6" s="54"/>
      <c r="GO6" s="54"/>
      <c r="GP6" s="54"/>
      <c r="GQ6" s="54"/>
      <c r="GR6" s="54"/>
      <c r="GS6" s="54"/>
      <c r="GT6" s="54"/>
      <c r="GU6" s="54"/>
      <c r="GV6" s="54"/>
      <c r="GW6" s="54"/>
      <c r="GX6" s="54"/>
      <c r="GY6" s="54"/>
      <c r="GZ6" s="54"/>
      <c r="HA6" s="54"/>
      <c r="HB6" s="54"/>
      <c r="HC6" s="54"/>
      <c r="HD6" s="54"/>
      <c r="HE6" s="54"/>
      <c r="HF6" s="54"/>
      <c r="HG6" s="54"/>
      <c r="HH6" s="54"/>
      <c r="HI6" s="54"/>
      <c r="HJ6" s="54"/>
      <c r="HK6" s="54"/>
      <c r="HL6" s="54"/>
      <c r="HM6" s="54"/>
      <c r="HN6" s="54"/>
      <c r="HO6" s="54"/>
      <c r="HP6" s="54"/>
      <c r="HQ6" s="54"/>
      <c r="HR6" s="54"/>
      <c r="HS6" s="54"/>
      <c r="HT6" s="54"/>
      <c r="HU6" s="54"/>
      <c r="HV6" s="54"/>
      <c r="HW6" s="54"/>
      <c r="HX6" s="54"/>
      <c r="HY6" s="54"/>
      <c r="HZ6" s="54"/>
      <c r="IA6" s="54"/>
      <c r="IB6" s="54"/>
      <c r="IC6" s="54"/>
      <c r="ID6" s="54"/>
      <c r="IE6" s="54"/>
      <c r="IF6" s="54"/>
      <c r="IG6" s="54"/>
      <c r="IH6" s="54"/>
      <c r="II6" s="54"/>
      <c r="IJ6" s="54"/>
      <c r="IK6" s="54"/>
      <c r="IL6" s="54"/>
      <c r="IM6" s="54"/>
      <c r="IN6" s="54"/>
      <c r="IO6" s="54"/>
      <c r="IP6" s="54"/>
      <c r="IQ6" s="54"/>
      <c r="IR6" s="54"/>
      <c r="IS6" s="54"/>
      <c r="IT6" s="54"/>
      <c r="IU6" s="54"/>
      <c r="IV6" s="54"/>
      <c r="IW6" s="54"/>
      <c r="IX6" s="54"/>
      <c r="IY6" s="54"/>
      <c r="IZ6" s="54"/>
      <c r="JA6" s="54"/>
      <c r="JB6" s="54"/>
      <c r="JC6" s="54"/>
      <c r="JD6" s="54"/>
      <c r="JE6" s="54"/>
      <c r="JF6" s="54"/>
      <c r="JG6" s="54"/>
      <c r="JH6" s="54"/>
      <c r="JI6" s="54"/>
      <c r="JJ6" s="54"/>
      <c r="JK6" s="54"/>
      <c r="JL6" s="54"/>
      <c r="JM6" s="54"/>
      <c r="JN6" s="54"/>
      <c r="JO6" s="54"/>
      <c r="JP6" s="54"/>
      <c r="JQ6" s="54"/>
      <c r="JR6" s="54"/>
      <c r="JS6" s="54"/>
      <c r="JT6" s="54"/>
      <c r="JU6" s="54"/>
      <c r="JV6" s="54"/>
      <c r="JW6" s="54"/>
      <c r="JX6" s="54"/>
      <c r="JY6" s="54"/>
      <c r="JZ6" s="54"/>
      <c r="KA6" s="54"/>
      <c r="KB6" s="54"/>
      <c r="KC6" s="54"/>
      <c r="KD6" s="54"/>
      <c r="KE6" s="54"/>
      <c r="KF6" s="54"/>
      <c r="KG6" s="54"/>
      <c r="KH6" s="54"/>
      <c r="KI6" s="54"/>
      <c r="KJ6" s="54"/>
      <c r="KK6" s="54"/>
      <c r="KL6" s="54"/>
      <c r="KM6" s="54"/>
      <c r="KN6" s="54"/>
      <c r="KO6" s="54"/>
      <c r="KP6" s="54"/>
      <c r="KQ6" s="54"/>
      <c r="KR6" s="54"/>
      <c r="KS6" s="54"/>
      <c r="KT6" s="54"/>
      <c r="KU6" s="54"/>
      <c r="KV6" s="54"/>
      <c r="KW6" s="54"/>
      <c r="KX6" s="54"/>
      <c r="KY6" s="54"/>
      <c r="KZ6" s="54"/>
      <c r="LA6" s="54"/>
      <c r="LB6" s="54"/>
      <c r="LC6" s="54"/>
      <c r="LD6" s="54"/>
      <c r="LE6" s="54"/>
      <c r="LF6" s="54"/>
      <c r="LG6" s="54"/>
      <c r="LH6" s="54"/>
      <c r="LI6" s="54"/>
      <c r="LJ6" s="54"/>
      <c r="LK6" s="54"/>
      <c r="LL6" s="54"/>
      <c r="LM6" s="54"/>
      <c r="LN6" s="54"/>
      <c r="LO6" s="54"/>
      <c r="LP6" s="54"/>
      <c r="LQ6" s="54"/>
      <c r="LR6" s="54"/>
      <c r="LS6" s="54"/>
      <c r="LT6" s="54"/>
      <c r="LU6" s="54"/>
      <c r="LV6" s="54"/>
      <c r="LW6" s="54"/>
      <c r="LX6" s="54"/>
      <c r="LY6" s="54"/>
      <c r="LZ6" s="54"/>
      <c r="MA6" s="54"/>
      <c r="MB6" s="54"/>
      <c r="MC6" s="54"/>
      <c r="MD6" s="54"/>
      <c r="ME6" s="54"/>
      <c r="MF6" s="54"/>
      <c r="MG6" s="54"/>
      <c r="MH6" s="54"/>
      <c r="MI6" s="54"/>
      <c r="MJ6" s="54"/>
      <c r="MK6" s="54"/>
      <c r="ML6" s="54"/>
      <c r="MM6" s="54"/>
      <c r="MN6" s="54"/>
      <c r="MO6" s="54"/>
      <c r="MP6" s="54"/>
      <c r="MQ6" s="54"/>
      <c r="MR6" s="54"/>
      <c r="MS6" s="54"/>
      <c r="MT6" s="54"/>
      <c r="MU6" s="54"/>
      <c r="MV6" s="54"/>
      <c r="MW6" s="54"/>
      <c r="MX6" s="54"/>
      <c r="MY6" s="54"/>
      <c r="MZ6" s="54"/>
      <c r="NA6" s="54"/>
      <c r="NB6" s="54"/>
      <c r="NC6" s="54"/>
      <c r="ND6" s="54"/>
      <c r="NE6" s="54"/>
      <c r="NF6" s="54"/>
      <c r="NG6" s="54"/>
      <c r="NH6" s="54"/>
      <c r="NI6" s="54"/>
      <c r="NJ6" s="54"/>
      <c r="NK6" s="54"/>
      <c r="NL6" s="54"/>
      <c r="NM6" s="54"/>
      <c r="NN6" s="54"/>
      <c r="NO6" s="54"/>
      <c r="NP6" s="54"/>
      <c r="NQ6" s="54"/>
      <c r="NR6" s="54"/>
      <c r="NS6" s="54"/>
      <c r="NT6" s="54"/>
      <c r="NU6" s="54"/>
      <c r="NV6" s="54"/>
      <c r="NW6" s="54"/>
      <c r="NX6" s="54"/>
      <c r="NY6" s="54"/>
      <c r="NZ6" s="54"/>
      <c r="OA6" s="54"/>
      <c r="OB6" s="54"/>
      <c r="OC6" s="54"/>
      <c r="OD6" s="54"/>
      <c r="OE6" s="54"/>
      <c r="OF6" s="54"/>
      <c r="OG6" s="54"/>
      <c r="OH6" s="54"/>
      <c r="OI6" s="54"/>
      <c r="OJ6" s="54"/>
      <c r="OK6" s="54"/>
      <c r="OL6" s="54"/>
      <c r="OM6" s="54"/>
      <c r="ON6" s="54"/>
      <c r="OO6" s="54"/>
      <c r="OP6" s="54"/>
      <c r="OQ6" s="54"/>
      <c r="OR6" s="54"/>
      <c r="OS6" s="54"/>
      <c r="OT6" s="54"/>
      <c r="OU6" s="54"/>
      <c r="OV6" s="54"/>
      <c r="OW6" s="54"/>
      <c r="OX6" s="54"/>
      <c r="OY6" s="54"/>
      <c r="OZ6" s="54"/>
      <c r="PA6" s="54"/>
      <c r="PB6" s="54"/>
      <c r="PC6" s="54"/>
      <c r="PD6" s="54"/>
      <c r="PE6" s="54"/>
      <c r="PF6" s="54"/>
      <c r="PG6" s="54"/>
      <c r="PH6" s="54"/>
      <c r="PI6" s="54"/>
      <c r="PJ6" s="54"/>
      <c r="PK6" s="54"/>
      <c r="PL6" s="54"/>
      <c r="PM6" s="54"/>
      <c r="PN6" s="54"/>
      <c r="PO6" s="54"/>
      <c r="PP6" s="54"/>
      <c r="PQ6" s="54"/>
      <c r="PR6" s="54"/>
      <c r="PS6" s="54"/>
      <c r="PT6" s="54"/>
      <c r="PU6" s="54"/>
      <c r="PV6" s="54"/>
      <c r="PW6" s="54"/>
      <c r="PX6" s="54"/>
      <c r="PY6" s="54"/>
      <c r="PZ6" s="54"/>
      <c r="QA6" s="54"/>
      <c r="QB6" s="54"/>
      <c r="QC6" s="54"/>
      <c r="QD6" s="54"/>
      <c r="QE6" s="54"/>
      <c r="QF6" s="54"/>
      <c r="QG6" s="54"/>
      <c r="QH6" s="54"/>
      <c r="QI6" s="54"/>
      <c r="QJ6" s="54"/>
      <c r="QK6" s="54"/>
      <c r="QL6" s="54"/>
      <c r="QM6" s="54"/>
      <c r="QN6" s="54"/>
      <c r="QO6" s="54"/>
      <c r="QP6" s="54"/>
      <c r="QQ6" s="54"/>
      <c r="QR6" s="54"/>
      <c r="QS6" s="54"/>
      <c r="QT6" s="54"/>
      <c r="QU6" s="54"/>
      <c r="QV6" s="54"/>
      <c r="QW6" s="54"/>
      <c r="QX6" s="54"/>
      <c r="QY6" s="54"/>
      <c r="QZ6" s="54"/>
      <c r="RA6" s="54"/>
      <c r="RB6" s="54"/>
      <c r="RC6" s="54"/>
      <c r="RD6" s="54"/>
      <c r="RE6" s="54"/>
      <c r="RF6" s="54"/>
      <c r="RG6" s="54"/>
      <c r="RH6" s="54"/>
      <c r="RI6" s="54"/>
      <c r="RJ6" s="54"/>
      <c r="RK6" s="54"/>
      <c r="RL6" s="54"/>
      <c r="RM6" s="54"/>
      <c r="RN6" s="54"/>
      <c r="RO6" s="54"/>
      <c r="RP6" s="54"/>
      <c r="RQ6" s="54"/>
      <c r="RR6" s="54"/>
      <c r="RS6" s="54"/>
      <c r="RT6" s="54"/>
      <c r="RU6" s="54"/>
      <c r="RV6" s="54"/>
      <c r="RW6" s="54"/>
      <c r="RX6" s="54"/>
      <c r="RY6" s="54"/>
      <c r="RZ6" s="54"/>
      <c r="SA6" s="54"/>
      <c r="SB6" s="54"/>
      <c r="SC6" s="54"/>
      <c r="SD6" s="54"/>
      <c r="SE6" s="54"/>
      <c r="SF6" s="54"/>
      <c r="SG6" s="54"/>
      <c r="SH6" s="54"/>
      <c r="SI6" s="54"/>
      <c r="SJ6" s="54"/>
      <c r="SK6" s="54"/>
      <c r="SL6" s="54"/>
      <c r="SM6" s="54"/>
      <c r="SN6" s="54"/>
      <c r="SO6" s="54"/>
      <c r="SP6" s="54"/>
      <c r="SQ6" s="54"/>
      <c r="SR6" s="54"/>
      <c r="SS6" s="54"/>
      <c r="ST6" s="54"/>
      <c r="SU6" s="54"/>
      <c r="SV6" s="54"/>
      <c r="SW6" s="54"/>
      <c r="SX6" s="54"/>
      <c r="SY6" s="54"/>
      <c r="SZ6" s="54"/>
      <c r="TA6" s="54"/>
      <c r="TB6" s="54"/>
      <c r="TC6" s="54"/>
      <c r="TD6" s="54"/>
      <c r="TE6" s="54"/>
      <c r="TF6" s="54"/>
      <c r="TG6" s="54"/>
      <c r="TH6" s="54"/>
      <c r="TI6" s="54"/>
      <c r="TJ6" s="54"/>
      <c r="TK6" s="54"/>
      <c r="TL6" s="54"/>
      <c r="TM6" s="54"/>
      <c r="TN6" s="54"/>
      <c r="TO6" s="54"/>
      <c r="TP6" s="54"/>
      <c r="TQ6" s="54"/>
      <c r="TR6" s="54"/>
      <c r="TS6" s="54"/>
      <c r="TT6" s="54"/>
      <c r="TU6" s="54"/>
      <c r="TV6" s="54"/>
      <c r="TW6" s="54"/>
      <c r="TX6" s="54"/>
      <c r="TY6" s="54"/>
      <c r="TZ6" s="54"/>
      <c r="UA6" s="54"/>
      <c r="UB6" s="54"/>
      <c r="UC6" s="54"/>
      <c r="UD6" s="54"/>
      <c r="UE6" s="54"/>
      <c r="UF6" s="54"/>
      <c r="UG6" s="54"/>
      <c r="UH6" s="54"/>
      <c r="UI6" s="54"/>
      <c r="UJ6" s="54"/>
      <c r="UK6" s="54"/>
      <c r="UL6" s="54"/>
      <c r="UM6" s="54"/>
      <c r="UN6" s="54"/>
      <c r="UO6" s="54"/>
      <c r="UP6" s="54"/>
      <c r="UQ6" s="54"/>
      <c r="UR6" s="54"/>
      <c r="US6" s="54"/>
      <c r="UT6" s="54"/>
      <c r="UU6" s="54"/>
      <c r="UV6" s="54"/>
      <c r="UW6" s="54"/>
      <c r="UX6" s="54"/>
      <c r="UY6" s="54"/>
      <c r="UZ6" s="54"/>
      <c r="VA6" s="54"/>
      <c r="VB6" s="54"/>
      <c r="VC6" s="54"/>
      <c r="VD6" s="54"/>
      <c r="VE6" s="54"/>
      <c r="VF6" s="54"/>
      <c r="VG6" s="54"/>
      <c r="VH6" s="54"/>
      <c r="VI6" s="54"/>
      <c r="VJ6" s="54"/>
      <c r="VK6" s="54"/>
      <c r="VL6" s="54"/>
      <c r="VM6" s="54"/>
      <c r="VN6" s="54"/>
      <c r="VO6" s="54"/>
      <c r="VP6" s="54"/>
      <c r="VQ6" s="54"/>
      <c r="VR6" s="54"/>
      <c r="VS6" s="54"/>
      <c r="VT6" s="54"/>
      <c r="VU6" s="54"/>
      <c r="VV6" s="54"/>
      <c r="VW6" s="54"/>
      <c r="VX6" s="54"/>
      <c r="VY6" s="54"/>
      <c r="VZ6" s="54"/>
      <c r="WA6" s="54"/>
      <c r="WB6" s="54"/>
      <c r="WC6" s="54"/>
      <c r="WD6" s="54"/>
      <c r="WE6" s="54"/>
      <c r="WF6" s="54"/>
      <c r="WG6" s="54"/>
      <c r="WH6" s="54"/>
      <c r="WI6" s="54"/>
      <c r="WJ6" s="54"/>
      <c r="WK6" s="54"/>
      <c r="WL6" s="54"/>
      <c r="WM6" s="54"/>
      <c r="WN6" s="54"/>
      <c r="WO6" s="54"/>
      <c r="WP6" s="54"/>
      <c r="WQ6" s="54"/>
      <c r="WR6" s="54"/>
      <c r="WS6" s="54"/>
      <c r="WT6" s="54"/>
      <c r="WU6" s="54"/>
      <c r="WV6" s="54"/>
      <c r="WW6" s="54"/>
      <c r="WX6" s="54"/>
      <c r="WY6" s="54"/>
      <c r="WZ6" s="54"/>
      <c r="XA6" s="54"/>
      <c r="XB6" s="54"/>
      <c r="XC6" s="54"/>
      <c r="XD6" s="54"/>
      <c r="XE6" s="54"/>
      <c r="XF6" s="54"/>
      <c r="XG6" s="54"/>
      <c r="XH6" s="54"/>
      <c r="XI6" s="54"/>
      <c r="XJ6" s="54"/>
      <c r="XK6" s="54"/>
      <c r="XL6" s="54"/>
      <c r="XM6" s="54"/>
      <c r="XN6" s="54"/>
      <c r="XO6" s="54"/>
      <c r="XP6" s="54"/>
      <c r="XQ6" s="54"/>
      <c r="XR6" s="54"/>
      <c r="XS6" s="54"/>
      <c r="XT6" s="54"/>
      <c r="XU6" s="54"/>
      <c r="XV6" s="54"/>
      <c r="XW6" s="54"/>
      <c r="XX6" s="54"/>
      <c r="XY6" s="54"/>
      <c r="XZ6" s="54"/>
      <c r="YA6" s="54"/>
      <c r="YB6" s="54"/>
      <c r="YC6" s="54"/>
      <c r="YD6" s="54"/>
      <c r="YE6" s="54"/>
      <c r="YF6" s="54"/>
      <c r="YG6" s="54"/>
      <c r="YH6" s="54"/>
      <c r="YI6" s="54"/>
      <c r="YJ6" s="54"/>
      <c r="YK6" s="54"/>
      <c r="YL6" s="54"/>
      <c r="YM6" s="54"/>
      <c r="YN6" s="54"/>
      <c r="YO6" s="54"/>
      <c r="YP6" s="54"/>
      <c r="YQ6" s="54"/>
      <c r="YR6" s="54"/>
      <c r="YS6" s="54"/>
      <c r="YT6" s="54"/>
      <c r="YU6" s="54"/>
      <c r="YV6" s="54"/>
      <c r="YW6" s="54"/>
      <c r="YX6" s="54"/>
      <c r="YY6" s="54"/>
      <c r="YZ6" s="54"/>
      <c r="ZA6" s="54"/>
      <c r="ZB6" s="54"/>
      <c r="ZC6" s="54"/>
      <c r="ZD6" s="54"/>
      <c r="ZE6" s="54"/>
      <c r="ZF6" s="54"/>
      <c r="ZG6" s="54"/>
      <c r="ZH6" s="54"/>
      <c r="ZI6" s="54"/>
      <c r="ZJ6" s="54"/>
      <c r="ZK6" s="54"/>
      <c r="ZL6" s="54"/>
      <c r="ZM6" s="54"/>
      <c r="ZN6" s="54"/>
      <c r="ZO6" s="54"/>
      <c r="ZP6" s="54"/>
      <c r="ZQ6" s="54"/>
      <c r="ZR6" s="54"/>
      <c r="ZS6" s="54"/>
      <c r="ZT6" s="54"/>
      <c r="ZU6" s="54"/>
      <c r="ZV6" s="54"/>
      <c r="ZW6" s="54"/>
      <c r="ZX6" s="54"/>
      <c r="ZY6" s="54"/>
      <c r="ZZ6" s="54"/>
      <c r="AAA6" s="54"/>
      <c r="AAB6" s="54"/>
      <c r="AAC6" s="54"/>
      <c r="AAD6" s="54"/>
      <c r="AAE6" s="54"/>
      <c r="AAF6" s="54"/>
      <c r="AAG6" s="54"/>
      <c r="AAH6" s="54"/>
      <c r="AAI6" s="54"/>
      <c r="AAJ6" s="54"/>
      <c r="AAK6" s="54"/>
      <c r="AAL6" s="54"/>
      <c r="AAM6" s="54"/>
      <c r="AAN6" s="54"/>
      <c r="AAO6" s="54"/>
      <c r="AAP6" s="54"/>
      <c r="AAQ6" s="54"/>
      <c r="AAR6" s="54"/>
      <c r="AAS6" s="54"/>
      <c r="AAT6" s="54"/>
      <c r="AAU6" s="54"/>
      <c r="AAV6" s="54"/>
      <c r="AAW6" s="54"/>
      <c r="AAX6" s="54"/>
      <c r="AAY6" s="54"/>
      <c r="AAZ6" s="54"/>
      <c r="ABA6" s="54"/>
      <c r="ABB6" s="54"/>
      <c r="ABC6" s="54"/>
      <c r="ABD6" s="54"/>
      <c r="ABE6" s="54"/>
      <c r="ABF6" s="54"/>
      <c r="ABG6" s="54"/>
      <c r="ABH6" s="54"/>
      <c r="ABI6" s="54"/>
      <c r="ABJ6" s="54"/>
      <c r="ABK6" s="54"/>
      <c r="ABL6" s="54"/>
      <c r="ABM6" s="54"/>
      <c r="ABN6" s="54"/>
      <c r="ABO6" s="54"/>
      <c r="ABP6" s="54"/>
      <c r="ABQ6" s="54"/>
      <c r="ABR6" s="54"/>
      <c r="ABS6" s="54"/>
      <c r="ABT6" s="54"/>
      <c r="ABU6" s="54"/>
      <c r="ABV6" s="54"/>
      <c r="ABW6" s="54"/>
      <c r="ABX6" s="54"/>
      <c r="ABY6" s="54"/>
      <c r="ABZ6" s="54"/>
      <c r="ACA6" s="54"/>
      <c r="ACB6" s="54"/>
      <c r="ACC6" s="54"/>
      <c r="ACD6" s="54"/>
      <c r="ACE6" s="54"/>
      <c r="ACF6" s="54"/>
      <c r="ACG6" s="54"/>
      <c r="ACH6" s="54"/>
      <c r="ACI6" s="54"/>
      <c r="ACJ6" s="54"/>
      <c r="ACK6" s="54"/>
      <c r="ACL6" s="54"/>
      <c r="ACM6" s="54"/>
      <c r="ACN6" s="54"/>
      <c r="ACO6" s="54"/>
      <c r="ACP6" s="54"/>
      <c r="ACQ6" s="54"/>
      <c r="ACR6" s="54"/>
      <c r="ACS6" s="54"/>
      <c r="ACT6" s="54"/>
      <c r="ACU6" s="54"/>
      <c r="ACV6" s="54"/>
      <c r="ACW6" s="54"/>
      <c r="ACX6" s="54"/>
      <c r="ACY6" s="54"/>
      <c r="ACZ6" s="54"/>
      <c r="ADA6" s="54"/>
      <c r="ADB6" s="54"/>
      <c r="ADC6" s="54"/>
      <c r="ADD6" s="54"/>
      <c r="ADE6" s="54"/>
      <c r="ADF6" s="54"/>
      <c r="ADG6" s="54"/>
      <c r="ADH6" s="54"/>
      <c r="ADI6" s="54"/>
      <c r="ADJ6" s="54"/>
      <c r="ADK6" s="54"/>
      <c r="ADL6" s="54"/>
      <c r="ADM6" s="54"/>
      <c r="ADN6" s="54"/>
      <c r="ADO6" s="54"/>
      <c r="ADP6" s="54"/>
      <c r="ADQ6" s="54"/>
      <c r="ADR6" s="54"/>
      <c r="ADS6" s="54"/>
      <c r="ADT6" s="54"/>
      <c r="ADU6" s="54"/>
      <c r="ADV6" s="54"/>
      <c r="ADW6" s="54"/>
      <c r="ADX6" s="54"/>
      <c r="ADY6" s="54"/>
      <c r="ADZ6" s="54"/>
      <c r="AEA6" s="54"/>
      <c r="AEB6" s="54"/>
      <c r="AEC6" s="54"/>
      <c r="AED6" s="54"/>
      <c r="AEE6" s="54"/>
      <c r="AEF6" s="54"/>
      <c r="AEG6" s="54"/>
      <c r="AEH6" s="54"/>
      <c r="AEI6" s="54"/>
      <c r="AEJ6" s="54"/>
      <c r="AEK6" s="54"/>
      <c r="AEL6" s="54"/>
      <c r="AEM6" s="54"/>
      <c r="AEN6" s="54"/>
      <c r="AEO6" s="54"/>
      <c r="AEP6" s="54"/>
      <c r="AEQ6" s="54"/>
      <c r="AER6" s="54"/>
      <c r="AES6" s="54"/>
      <c r="AET6" s="54"/>
      <c r="AEU6" s="54"/>
      <c r="AEV6" s="54"/>
      <c r="AEW6" s="54"/>
      <c r="AEX6" s="54"/>
      <c r="AEY6" s="54"/>
      <c r="AEZ6" s="54"/>
      <c r="AFA6" s="54"/>
      <c r="AFB6" s="54"/>
      <c r="AFC6" s="54"/>
      <c r="AFD6" s="54"/>
      <c r="AFE6" s="54"/>
      <c r="AFF6" s="54"/>
      <c r="AFG6" s="54"/>
      <c r="AFH6" s="54"/>
      <c r="AFI6" s="54"/>
      <c r="AFJ6" s="54"/>
      <c r="AFK6" s="54"/>
      <c r="AFL6" s="54"/>
      <c r="AFM6" s="54"/>
      <c r="AFN6" s="54"/>
      <c r="AFO6" s="54"/>
      <c r="AFP6" s="54"/>
      <c r="AFQ6" s="54"/>
      <c r="AFR6" s="54"/>
      <c r="AFS6" s="54"/>
      <c r="AFT6" s="54"/>
      <c r="AFU6" s="54"/>
      <c r="AFV6" s="54"/>
      <c r="AFW6" s="54"/>
      <c r="AFX6" s="54"/>
      <c r="AFY6" s="54"/>
      <c r="AFZ6" s="54"/>
      <c r="AGA6" s="54"/>
      <c r="AGB6" s="54"/>
      <c r="AGC6" s="54"/>
      <c r="AGD6" s="54"/>
      <c r="AGE6" s="54"/>
      <c r="AGF6" s="54"/>
      <c r="AGG6" s="54"/>
      <c r="AGH6" s="54"/>
      <c r="AGI6" s="54"/>
      <c r="AGJ6" s="54"/>
      <c r="AGK6" s="54"/>
      <c r="AGL6" s="54"/>
      <c r="AGM6" s="54"/>
      <c r="AGN6" s="54"/>
      <c r="AGO6" s="54"/>
      <c r="AGP6" s="54"/>
      <c r="AGQ6" s="54"/>
      <c r="AGR6" s="54"/>
      <c r="AGS6" s="54"/>
      <c r="AGT6" s="54"/>
      <c r="AGU6" s="54"/>
      <c r="AGV6" s="54"/>
      <c r="AGW6" s="54"/>
      <c r="AGX6" s="54"/>
      <c r="AGY6" s="54"/>
      <c r="AGZ6" s="54"/>
      <c r="AHA6" s="54"/>
      <c r="AHB6" s="54"/>
      <c r="AHC6" s="54"/>
      <c r="AHD6" s="54"/>
      <c r="AHE6" s="54"/>
      <c r="AHF6" s="54"/>
      <c r="AHG6" s="54"/>
      <c r="AHH6" s="54"/>
      <c r="AHI6" s="54"/>
      <c r="AHJ6" s="54"/>
      <c r="AHK6" s="54"/>
      <c r="AHL6" s="54"/>
      <c r="AHM6" s="54"/>
      <c r="AHN6" s="54"/>
      <c r="AHO6" s="54"/>
      <c r="AHP6" s="54"/>
      <c r="AHQ6" s="54"/>
      <c r="AHR6" s="54"/>
      <c r="AHS6" s="54"/>
      <c r="AHT6" s="54"/>
      <c r="AHU6" s="54"/>
      <c r="AHV6" s="54"/>
      <c r="AHW6" s="54"/>
      <c r="AHX6" s="54"/>
      <c r="AHY6" s="54"/>
      <c r="AHZ6" s="54"/>
      <c r="AIA6" s="54"/>
      <c r="AIB6" s="54"/>
      <c r="AIC6" s="54"/>
      <c r="AID6" s="54"/>
      <c r="AIE6" s="54"/>
      <c r="AIF6" s="54"/>
      <c r="AIG6" s="54"/>
      <c r="AIH6" s="54"/>
      <c r="AII6" s="54"/>
      <c r="AIJ6" s="54"/>
      <c r="AIK6" s="54"/>
      <c r="AIL6" s="54"/>
      <c r="AIM6" s="54"/>
      <c r="AIN6" s="54"/>
      <c r="AIO6" s="54"/>
      <c r="AIP6" s="54"/>
      <c r="AIQ6" s="54"/>
      <c r="AIR6" s="54"/>
      <c r="AIS6" s="54"/>
      <c r="AIT6" s="54"/>
      <c r="AIU6" s="54"/>
      <c r="AIV6" s="54"/>
      <c r="AIW6" s="54"/>
      <c r="AIX6" s="54"/>
      <c r="AIY6" s="54"/>
      <c r="AIZ6" s="54"/>
      <c r="AJA6" s="54"/>
      <c r="AJB6" s="54"/>
      <c r="AJC6" s="54"/>
      <c r="AJD6" s="54"/>
      <c r="AJE6" s="54"/>
      <c r="AJF6" s="54"/>
      <c r="AJG6" s="54"/>
      <c r="AJH6" s="54"/>
      <c r="AJI6" s="54"/>
      <c r="AJJ6" s="54"/>
      <c r="AJK6" s="54"/>
      <c r="AJL6" s="54"/>
      <c r="AJM6" s="54"/>
      <c r="AJN6" s="54"/>
      <c r="AJO6" s="54"/>
      <c r="AJP6" s="54"/>
      <c r="AJQ6" s="54"/>
      <c r="AJR6" s="54"/>
      <c r="AJS6" s="54"/>
      <c r="AJT6" s="54"/>
      <c r="AJU6" s="54"/>
      <c r="AJV6" s="54"/>
      <c r="AJW6" s="54"/>
      <c r="AJX6" s="54"/>
      <c r="AJY6" s="54"/>
      <c r="AJZ6" s="54"/>
      <c r="AKA6" s="54"/>
      <c r="AKB6" s="54"/>
      <c r="AKC6" s="54"/>
      <c r="AKD6" s="54"/>
      <c r="AKE6" s="54"/>
      <c r="AKF6" s="54"/>
      <c r="AKG6" s="54"/>
      <c r="AKH6" s="54"/>
      <c r="AKI6" s="54"/>
      <c r="AKJ6" s="54"/>
      <c r="AKK6" s="54"/>
      <c r="AKL6" s="54"/>
      <c r="AKM6" s="54"/>
      <c r="AKN6" s="54"/>
      <c r="AKO6" s="54"/>
      <c r="AKP6" s="54"/>
      <c r="AKQ6" s="54"/>
      <c r="AKR6" s="54"/>
      <c r="AKS6" s="54"/>
      <c r="AKT6" s="54"/>
      <c r="AKU6" s="54"/>
      <c r="AKV6" s="54"/>
      <c r="AKW6" s="54"/>
      <c r="AKX6" s="54"/>
      <c r="AKY6" s="54"/>
      <c r="AKZ6" s="54"/>
      <c r="ALA6" s="54"/>
      <c r="ALB6" s="54"/>
      <c r="ALC6" s="54"/>
      <c r="ALD6" s="54"/>
      <c r="ALE6" s="54"/>
      <c r="ALF6" s="54"/>
      <c r="ALG6" s="54"/>
      <c r="ALH6" s="54"/>
      <c r="ALI6" s="54"/>
      <c r="ALJ6" s="54"/>
      <c r="ALK6" s="54"/>
      <c r="ALL6" s="54"/>
      <c r="ALM6" s="54"/>
      <c r="ALN6" s="54"/>
      <c r="ALO6" s="54"/>
      <c r="ALP6" s="54"/>
      <c r="ALQ6" s="54"/>
      <c r="ALR6" s="54"/>
      <c r="ALS6" s="54"/>
      <c r="ALT6" s="54"/>
      <c r="ALU6" s="54"/>
      <c r="ALV6" s="54"/>
      <c r="ALW6" s="54"/>
      <c r="ALX6" s="54"/>
      <c r="ALY6" s="54"/>
      <c r="ALZ6" s="54"/>
      <c r="AMA6" s="54"/>
      <c r="AMB6" s="54"/>
      <c r="AMC6" s="54"/>
      <c r="AMD6" s="54"/>
      <c r="AME6" s="54"/>
      <c r="AMF6" s="54"/>
      <c r="AMG6" s="54"/>
      <c r="AMH6" s="54"/>
      <c r="AMI6" s="54"/>
      <c r="AMJ6" s="5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vailable step for selected module" sqref="E3">
      <formula1>VerifyPTT1!$4:$4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29</v>
      </c>
      <c r="D3" s="5" t="s">
        <v>9</v>
      </c>
      <c r="E3" s="23" t="s">
        <v>38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IFERROR(__xludf.DUMMYFUNCTION("IF(C3="""","""",Transpose(IMPORTRANGE('_Settings'!$B$3,C3&amp;""!A4:A1000"")))"),"CalculatePTT")</f>
        <v>CalculatePTT</v>
      </c>
      <c r="C4" s="25" t="str">
        <f>IFERROR(__xludf.DUMMYFUNCTION("""COMPUTED_VALUE"""),"TradeUsingPTT")</f>
        <v>TradeUsingPTT</v>
      </c>
      <c r="D4" s="25" t="str">
        <f>IFERROR(__xludf.DUMMYFUNCTION("""COMPUTED_VALUE"""),"VerifyPTTCompliance")</f>
        <v>VerifyPTTCompliance</v>
      </c>
      <c r="E4" s="25" t="str">
        <f>IFERROR(__xludf.DUMMYFUNCTION("""COMPUTED_VALUE"""),"StageOrderUsingPTT")</f>
        <v>StageOrderUsingPTT</v>
      </c>
      <c r="F4" s="25" t="str">
        <f>IFERROR(__xludf.DUMMYFUNCTION("""COMPUTED_VALUE"""),"CreateOrderPTT")</f>
        <v>CreateOrderPTT</v>
      </c>
      <c r="G4" s="25" t="str">
        <f>IFERROR(__xludf.DUMMYFUNCTION("""COMPUTED_VALUE"""),"TradePTT")</f>
        <v>TradePTT</v>
      </c>
      <c r="H4" s="25" t="str">
        <f>IFERROR(__xludf.DUMMYFUNCTION("""COMPUTED_VALUE"""),"VerifyPTT")</f>
        <v>VerifyPTT</v>
      </c>
      <c r="I4" s="25" t="str">
        <f>IFERROR(__xludf.DUMMYFUNCTION("""COMPUTED_VALUE"""),"OpenMultiTTFromPTT")</f>
        <v>OpenMultiTTFromPTT</v>
      </c>
      <c r="J4" s="25" t="str">
        <f>IFERROR(__xludf.DUMMYFUNCTION("""COMPUTED_VALUE"""),"SelectMultiTT")</f>
        <v>SelectMultiTT</v>
      </c>
      <c r="K4" s="25" t="str">
        <f>IFERROR(__xludf.DUMMYFUNCTION("""COMPUTED_VALUE"""),"EditMultiTT")</f>
        <v>EditMultiTT</v>
      </c>
      <c r="L4" s="25" t="str">
        <f>IFERROR(__xludf.DUMMYFUNCTION("""COMPUTED_VALUE"""),"SetAccountFactor")</f>
        <v>SetAccountFactor</v>
      </c>
      <c r="M4" s="25" t="str">
        <f>IFERROR(__xludf.DUMMYFUNCTION("""COMPUTED_VALUE"""),"SetPTTPreference")</f>
        <v>SetPTTPreference</v>
      </c>
      <c r="N4" s="25" t="str">
        <f>IFERROR(__xludf.DUMMYFUNCTION("""COMPUTED_VALUE"""),"SetLongShortPTTPreference")</f>
        <v>SetLongShortPTTPreference</v>
      </c>
      <c r="O4" s="25" t="str">
        <f>IFERROR(__xludf.DUMMYFUNCTION("""COMPUTED_VALUE"""),"SelectPTTRecord")</f>
        <v>SelectPTTRecord</v>
      </c>
      <c r="P4" s="26" t="str">
        <f>IFERROR(__xludf.DUMMYFUNCTION("""COMPUTED_VALUE"""),"EditPTTRecord")</f>
        <v>EditPTTRecord</v>
      </c>
      <c r="Q4" s="26" t="str">
        <f>IFERROR(__xludf.DUMMYFUNCTION("""COMPUTED_VALUE"""),"CreateOrderAfterEditPTT")</f>
        <v>CreateOrderAfterEditPTT</v>
      </c>
      <c r="R4" s="26" t="str">
        <f>IFERROR(__xludf.DUMMYFUNCTION("""COMPUTED_VALUE"""),"EditPTTWPFGrid")</f>
        <v>EditPTTWPFGrid</v>
      </c>
      <c r="S4" s="26" t="str">
        <f>IFERROR(__xludf.DUMMYFUNCTION("""COMPUTED_VALUE"""),"SetDefaultSymbology")</f>
        <v>SetDefaultSymbology</v>
      </c>
      <c r="T4" s="26" t="str">
        <f>IFERROR(__xludf.DUMMYFUNCTION("""COMPUTED_VALUE"""),"EditPTTAccountLevelWPF")</f>
        <v>EditPTTAccountLevelWPF</v>
      </c>
      <c r="U4" s="26" t="str">
        <f>IFERROR(__xludf.DUMMYFUNCTION("""COMPUTED_VALUE"""),"AutoStageImportFromPTTExport")</f>
        <v>AutoStageImportFromPTTExport</v>
      </c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IFERROR(__xludf.DUMMYFUNCTION("""COMPUTED_VALUE"""),"Ticker")</f>
        <v>Ticker</v>
      </c>
      <c r="C5" s="28" t="str">
        <f>IFERROR(__xludf.DUMMYFUNCTION("""COMPUTED_VALUE"""),"Add/Set")</f>
        <v>Add/Set</v>
      </c>
      <c r="D5" s="28" t="str">
        <f>IFERROR(__xludf.DUMMYFUNCTION("""COMPUTED_VALUE"""),"Type")</f>
        <v>Type</v>
      </c>
      <c r="E5" s="28" t="str">
        <f>IFERROR(__xludf.DUMMYFUNCTION("""COMPUTED_VALUE"""),"Target")</f>
        <v>Target</v>
      </c>
      <c r="F5" s="29" t="str">
        <f>IFERROR(__xludf.DUMMYFUNCTION("""COMPUTED_VALUE"""),"Price")</f>
        <v>Price</v>
      </c>
      <c r="G5" s="28" t="str">
        <f>IFERROR(__xludf.DUMMYFUNCTION("""COMPUTED_VALUE"""),"Combined Account Total")</f>
        <v>Combined Account Total</v>
      </c>
      <c r="H5" s="28" t="str">
        <f>IFERROR(__xludf.DUMMYFUNCTION("""COMPUTED_VALUE"""),"MasterFund/Account")</f>
        <v>MasterFund/Account</v>
      </c>
      <c r="I5" s="28" t="str">
        <f>IFERROR(__xludf.DUMMYFUNCTION("""COMPUTED_VALUE"""),"Accounts")</f>
        <v>Accounts</v>
      </c>
      <c r="J5" s="28" t="str">
        <f>IFERROR(__xludf.DUMMYFUNCTION("""COMPUTED_VALUE"""),"MTT POP UP?")</f>
        <v>MTT POP UP?</v>
      </c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60"/>
      <c r="B6" s="43" t="s">
        <v>18</v>
      </c>
      <c r="C6" s="38" t="s">
        <v>31</v>
      </c>
      <c r="D6" s="43" t="s">
        <v>32</v>
      </c>
      <c r="E6" s="39">
        <v>10000</v>
      </c>
      <c r="F6" s="39">
        <v>10</v>
      </c>
      <c r="G6" s="38" t="s">
        <v>33</v>
      </c>
      <c r="H6" s="38" t="s">
        <v>34</v>
      </c>
      <c r="I6" s="40" t="s">
        <v>23</v>
      </c>
      <c r="J6" s="38"/>
      <c r="K6" s="38"/>
      <c r="L6" s="38"/>
      <c r="M6" s="38"/>
      <c r="N6" s="38"/>
      <c r="O6" s="38"/>
      <c r="P6" s="38"/>
      <c r="Q6" s="38"/>
      <c r="R6" s="38"/>
      <c r="S6" s="38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TradePTT1!$4:$4</formula1>
    </dataValidation>
  </dataValidations>
  <headerFooter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EX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5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16</v>
      </c>
      <c r="D3" s="5" t="s">
        <v>9</v>
      </c>
      <c r="E3" s="23" t="s">
        <v>17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2"/>
      <c r="B6" s="65" t="s">
        <v>18</v>
      </c>
      <c r="C6" s="37"/>
      <c r="D6" s="66">
        <v>100</v>
      </c>
      <c r="E6" s="67">
        <v>100</v>
      </c>
      <c r="F6" s="37"/>
      <c r="G6" s="37"/>
      <c r="H6" s="37"/>
      <c r="I6" s="37"/>
      <c r="J6" s="67">
        <v>10</v>
      </c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/>
      <c r="BX6" s="37"/>
      <c r="BY6" s="37"/>
      <c r="BZ6" s="37"/>
      <c r="CA6" s="37"/>
      <c r="CB6" s="37"/>
      <c r="CC6" s="37"/>
      <c r="CD6" s="37"/>
      <c r="CE6" s="37"/>
      <c r="CF6" s="37"/>
      <c r="CG6" s="37"/>
      <c r="CH6" s="37"/>
      <c r="CI6" s="37"/>
      <c r="CJ6" s="37"/>
      <c r="CK6" s="37"/>
      <c r="CL6" s="37"/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7"/>
      <c r="EC6" s="37"/>
      <c r="ED6" s="37"/>
      <c r="EE6" s="37"/>
      <c r="EF6" s="37"/>
      <c r="EG6" s="37"/>
      <c r="EH6" s="37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CreateDoneAwayOrder2!$4:$4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A1:AMJ26"/>
  <sheetViews>
    <sheetView workbookViewId="0"/>
  </sheetViews>
  <sheetFormatPr customHeight="1" defaultColWidth="15.13" defaultRowHeight="15.0"/>
  <cols>
    <col min="1" max="1" width="5.88" customWidth="1"/>
    <col min="2" max="4" width="12.63" customWidth="1"/>
    <col min="5" max="5" width="16.25" customWidth="1"/>
    <col min="6" max="8" width="12.63" customWidth="1"/>
    <col min="9" max="9" width="15.88" customWidth="1"/>
    <col min="10" max="11" width="15.25" customWidth="1"/>
    <col min="12" max="1024" width="12.63" customWidth="1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39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</row>
    <row r="5" ht="15.75" customHeight="1">
      <c r="A5" s="27" t="str">
        <f>IFERROR(__xludf.DUMMYFUNCTION("TRANSPOSE(IMPORTRANGE(VLOOKUP($E$3,IMPORTRANGE('_Settings'!$B$3,$C$3&amp;""!A4:B1000""),2,FALSE),$G$3&amp;""!A4:A1000""))"),"")</f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</row>
    <row r="6" ht="15.75" customHeight="1">
      <c r="A6" s="68"/>
      <c r="B6" s="68"/>
      <c r="C6" s="50" t="s">
        <v>18</v>
      </c>
      <c r="D6" s="51">
        <v>900</v>
      </c>
      <c r="E6" s="50" t="s">
        <v>20</v>
      </c>
      <c r="F6" s="50" t="s">
        <v>41</v>
      </c>
      <c r="G6" s="51">
        <v>10</v>
      </c>
      <c r="H6" s="50" t="s">
        <v>42</v>
      </c>
      <c r="I6" s="8"/>
      <c r="J6" s="8"/>
      <c r="K6" s="8"/>
      <c r="L6" s="8"/>
      <c r="M6" s="8"/>
      <c r="N6" s="8"/>
      <c r="O6" s="8"/>
      <c r="S6" s="50"/>
      <c r="T6" s="50"/>
      <c r="U6" s="50"/>
      <c r="V6" s="50"/>
      <c r="W6" s="50"/>
      <c r="X6" s="51"/>
      <c r="Y6" s="51"/>
      <c r="AB6" s="51"/>
      <c r="AC6" s="51"/>
      <c r="AD6" s="69"/>
      <c r="AE6" s="69"/>
      <c r="AF6" s="51"/>
      <c r="AG6" s="69"/>
      <c r="AH6" s="69"/>
      <c r="AI6" s="69"/>
      <c r="AJ6" s="51"/>
      <c r="AK6" s="51"/>
      <c r="AL6" s="51"/>
      <c r="AM6" s="51"/>
      <c r="AN6" s="50" t="s">
        <v>19</v>
      </c>
      <c r="AO6" s="50"/>
      <c r="AP6" s="50"/>
      <c r="AQ6" s="50"/>
      <c r="AR6" s="51"/>
      <c r="AS6" s="51"/>
      <c r="AV6" s="51"/>
      <c r="AW6" s="51"/>
      <c r="AX6" s="51"/>
      <c r="AY6" s="51"/>
      <c r="AZ6" s="69"/>
      <c r="BA6" s="51"/>
      <c r="BC6" s="51"/>
      <c r="BD6" s="69"/>
      <c r="BE6" s="50"/>
      <c r="BF6" s="50"/>
      <c r="BG6" s="50"/>
      <c r="BH6" s="50"/>
      <c r="BI6" s="51"/>
      <c r="BJ6" s="51"/>
      <c r="BK6" s="51"/>
      <c r="BL6" s="51"/>
      <c r="BM6" s="51"/>
      <c r="BO6" s="69"/>
      <c r="BP6" s="51"/>
      <c r="BQ6" s="50"/>
      <c r="BR6" s="50"/>
      <c r="BS6" s="51"/>
      <c r="BT6" s="51"/>
      <c r="BU6" s="50"/>
      <c r="BV6" s="51"/>
      <c r="BW6" s="51"/>
      <c r="BX6" s="69"/>
      <c r="BY6" s="69"/>
      <c r="BZ6" s="51"/>
      <c r="CA6" s="51"/>
      <c r="CB6" s="70"/>
      <c r="CC6" s="51"/>
      <c r="CD6" s="51"/>
      <c r="CE6" s="51"/>
      <c r="CF6" s="51"/>
      <c r="CG6" s="51"/>
      <c r="CH6" s="51"/>
      <c r="CI6" s="51"/>
      <c r="CJ6" s="51"/>
      <c r="CK6" s="50"/>
      <c r="CP6" s="71"/>
      <c r="DA6" s="69"/>
      <c r="DB6" s="51"/>
      <c r="DC6" s="51"/>
      <c r="DD6" s="51"/>
      <c r="DE6" s="51"/>
      <c r="DF6" s="51"/>
      <c r="DG6" s="51"/>
      <c r="DH6" s="50"/>
      <c r="DI6" s="51"/>
      <c r="DJ6" s="50"/>
      <c r="DK6" s="51"/>
      <c r="DL6" s="51"/>
      <c r="DM6" s="51"/>
      <c r="DN6" s="51"/>
      <c r="DP6" s="50"/>
      <c r="DQ6" s="50"/>
      <c r="DR6" s="50"/>
      <c r="DS6" s="50"/>
      <c r="DT6" s="50"/>
      <c r="DU6" s="50"/>
      <c r="DV6" s="50"/>
      <c r="DW6" s="50"/>
      <c r="DX6" s="50"/>
      <c r="DY6" s="50"/>
      <c r="DZ6" s="50"/>
      <c r="EA6" s="50"/>
      <c r="EB6" s="50"/>
      <c r="EC6" s="50"/>
      <c r="ED6" s="50"/>
      <c r="EE6" s="50"/>
      <c r="EF6" s="51"/>
      <c r="EG6" s="51"/>
      <c r="EH6" s="51"/>
      <c r="EI6" s="51"/>
      <c r="EJ6" s="51"/>
      <c r="EK6" s="51"/>
      <c r="EL6" s="50"/>
      <c r="EM6" s="69"/>
      <c r="EN6" s="69"/>
      <c r="ER6" s="69"/>
    </row>
    <row r="7" ht="15.75" customHeight="1">
      <c r="A7" s="8"/>
      <c r="B7" s="8"/>
      <c r="C7" s="50" t="s">
        <v>18</v>
      </c>
      <c r="D7" s="51">
        <v>50</v>
      </c>
      <c r="E7" s="50" t="s">
        <v>20</v>
      </c>
      <c r="F7" s="50" t="s">
        <v>41</v>
      </c>
      <c r="G7" s="51">
        <v>10</v>
      </c>
      <c r="H7" s="50" t="s">
        <v>42</v>
      </c>
      <c r="I7" s="8"/>
      <c r="J7" s="8"/>
      <c r="K7" s="8"/>
      <c r="L7" s="8"/>
      <c r="M7" s="8"/>
      <c r="N7" s="8"/>
      <c r="O7" s="8"/>
      <c r="S7" s="50"/>
      <c r="T7" s="50"/>
      <c r="U7" s="50"/>
      <c r="V7" s="50"/>
      <c r="W7" s="50"/>
      <c r="X7" s="51"/>
      <c r="Y7" s="51"/>
      <c r="AB7" s="51"/>
      <c r="AC7" s="51"/>
      <c r="AD7" s="51"/>
      <c r="AE7" s="51"/>
      <c r="AF7" s="51"/>
      <c r="AG7" s="51"/>
      <c r="AH7" s="51"/>
      <c r="AI7" s="51"/>
      <c r="AJ7" s="51"/>
      <c r="AK7" s="51"/>
      <c r="AL7" s="51"/>
      <c r="AM7" s="51"/>
      <c r="AN7" s="50" t="s">
        <v>19</v>
      </c>
      <c r="AO7" s="50"/>
      <c r="AP7" s="50"/>
      <c r="AQ7" s="50"/>
      <c r="AR7" s="51"/>
      <c r="AS7" s="51"/>
      <c r="AV7" s="51"/>
      <c r="AW7" s="51"/>
      <c r="AX7" s="51"/>
      <c r="AY7" s="51"/>
      <c r="AZ7" s="51"/>
      <c r="BA7" s="51"/>
      <c r="BC7" s="51"/>
      <c r="BD7" s="51"/>
      <c r="BE7" s="50"/>
      <c r="BF7" s="50"/>
      <c r="BG7" s="50"/>
      <c r="BH7" s="50"/>
      <c r="BI7" s="51"/>
      <c r="BJ7" s="51"/>
      <c r="BK7" s="51"/>
      <c r="BL7" s="51"/>
      <c r="BM7" s="51"/>
      <c r="BO7" s="51"/>
      <c r="BP7" s="51"/>
      <c r="BQ7" s="50"/>
      <c r="BR7" s="50"/>
      <c r="BS7" s="51"/>
      <c r="BT7" s="51"/>
      <c r="BU7" s="50"/>
      <c r="BV7" s="51"/>
      <c r="BW7" s="51"/>
      <c r="BX7" s="51"/>
      <c r="BY7" s="51"/>
      <c r="BZ7" s="51"/>
      <c r="CA7" s="51"/>
      <c r="CB7" s="70"/>
      <c r="CC7" s="51"/>
      <c r="CD7" s="51"/>
      <c r="CE7" s="51"/>
      <c r="CF7" s="51"/>
      <c r="CG7" s="51"/>
      <c r="CH7" s="51"/>
      <c r="CI7" s="51"/>
      <c r="CJ7" s="51"/>
      <c r="CK7" s="50"/>
      <c r="CP7" s="71"/>
      <c r="DA7" s="51"/>
      <c r="DB7" s="51"/>
      <c r="DC7" s="51"/>
      <c r="DD7" s="51"/>
      <c r="DE7" s="51"/>
      <c r="DF7" s="51"/>
      <c r="DG7" s="51"/>
      <c r="DH7" s="50"/>
      <c r="DI7" s="51"/>
      <c r="DJ7" s="50"/>
      <c r="DK7" s="51"/>
      <c r="DL7" s="51"/>
      <c r="DM7" s="51"/>
      <c r="DN7" s="51"/>
      <c r="DP7" s="50"/>
      <c r="DQ7" s="50"/>
      <c r="DR7" s="50"/>
      <c r="DS7" s="50"/>
      <c r="DT7" s="50"/>
      <c r="DU7" s="50"/>
      <c r="DV7" s="50"/>
      <c r="DW7" s="50"/>
      <c r="DX7" s="50"/>
      <c r="DY7" s="50"/>
      <c r="DZ7" s="50"/>
      <c r="EA7" s="50"/>
      <c r="EB7" s="50"/>
      <c r="EC7" s="50"/>
      <c r="ED7" s="50"/>
      <c r="EE7" s="50"/>
      <c r="EF7" s="51"/>
      <c r="EG7" s="51"/>
      <c r="EH7" s="51"/>
      <c r="EI7" s="51"/>
      <c r="EJ7" s="51"/>
      <c r="EK7" s="51"/>
      <c r="EL7" s="50"/>
      <c r="EM7" s="69"/>
      <c r="EN7" s="69"/>
      <c r="ER7" s="69"/>
    </row>
    <row r="8" ht="15.75" customHeight="1">
      <c r="A8" s="8"/>
      <c r="B8" s="8"/>
      <c r="C8" s="50" t="s">
        <v>18</v>
      </c>
      <c r="D8" s="51">
        <v>900</v>
      </c>
      <c r="E8" s="50" t="s">
        <v>22</v>
      </c>
      <c r="F8" s="50" t="s">
        <v>43</v>
      </c>
      <c r="G8" s="51">
        <v>10</v>
      </c>
      <c r="H8" s="50" t="s">
        <v>42</v>
      </c>
      <c r="I8" s="8"/>
      <c r="J8" s="8"/>
      <c r="K8" s="8"/>
      <c r="L8" s="8"/>
      <c r="M8" s="8"/>
      <c r="N8" s="8"/>
      <c r="O8" s="8"/>
      <c r="S8" s="50"/>
      <c r="T8" s="50"/>
      <c r="U8" s="50"/>
      <c r="V8" s="50"/>
      <c r="W8" s="50"/>
      <c r="X8" s="51"/>
      <c r="Y8" s="51"/>
      <c r="AB8" s="51"/>
      <c r="AC8" s="51"/>
      <c r="AD8" s="69"/>
      <c r="AE8" s="69"/>
      <c r="AF8" s="51"/>
      <c r="AG8" s="69"/>
      <c r="AH8" s="69"/>
      <c r="AI8" s="69"/>
      <c r="AJ8" s="51"/>
      <c r="AK8" s="51"/>
      <c r="AL8" s="51"/>
      <c r="AM8" s="51"/>
      <c r="AN8" s="50" t="s">
        <v>19</v>
      </c>
      <c r="AO8" s="50"/>
      <c r="AP8" s="50"/>
      <c r="AQ8" s="50"/>
      <c r="AR8" s="51"/>
      <c r="AS8" s="51"/>
      <c r="AV8" s="51"/>
      <c r="AW8" s="51"/>
      <c r="AX8" s="51"/>
      <c r="AY8" s="51"/>
      <c r="AZ8" s="69"/>
      <c r="BA8" s="51"/>
      <c r="BC8" s="51"/>
      <c r="BD8" s="69"/>
      <c r="BE8" s="50"/>
      <c r="BF8" s="50"/>
      <c r="BG8" s="50"/>
      <c r="BH8" s="50"/>
      <c r="BI8" s="51"/>
      <c r="BJ8" s="51"/>
      <c r="BK8" s="51"/>
      <c r="BL8" s="51"/>
      <c r="BM8" s="51"/>
      <c r="BO8" s="69"/>
      <c r="BP8" s="51"/>
      <c r="BQ8" s="50"/>
      <c r="BR8" s="50"/>
      <c r="BS8" s="51"/>
      <c r="BT8" s="51"/>
      <c r="BU8" s="50"/>
      <c r="BV8" s="51"/>
      <c r="BW8" s="51"/>
      <c r="BX8" s="69"/>
      <c r="BY8" s="69"/>
      <c r="BZ8" s="51"/>
      <c r="CA8" s="51"/>
      <c r="CB8" s="70"/>
      <c r="CC8" s="51"/>
      <c r="CD8" s="51"/>
      <c r="CE8" s="51"/>
      <c r="CF8" s="51"/>
      <c r="CG8" s="51"/>
      <c r="CH8" s="51"/>
      <c r="CI8" s="51"/>
      <c r="CJ8" s="51"/>
      <c r="CK8" s="50"/>
      <c r="CP8" s="71"/>
      <c r="DA8" s="69"/>
      <c r="DB8" s="51"/>
      <c r="DC8" s="51"/>
      <c r="DD8" s="51"/>
      <c r="DE8" s="51"/>
      <c r="DF8" s="51"/>
      <c r="DG8" s="51"/>
      <c r="DH8" s="50"/>
      <c r="DI8" s="51"/>
      <c r="DJ8" s="50"/>
      <c r="DK8" s="51"/>
      <c r="DL8" s="51"/>
      <c r="DM8" s="51"/>
      <c r="DN8" s="51"/>
      <c r="DP8" s="50"/>
      <c r="DQ8" s="50"/>
      <c r="DR8" s="50"/>
      <c r="DS8" s="50"/>
      <c r="DT8" s="50"/>
      <c r="DU8" s="50"/>
      <c r="DV8" s="50"/>
      <c r="DW8" s="50"/>
      <c r="DX8" s="50"/>
      <c r="DY8" s="50"/>
      <c r="DZ8" s="50"/>
      <c r="EA8" s="50"/>
      <c r="EB8" s="50"/>
      <c r="EC8" s="50"/>
      <c r="ED8" s="50"/>
      <c r="EE8" s="50"/>
      <c r="EF8" s="51"/>
      <c r="EG8" s="51"/>
      <c r="EH8" s="51"/>
      <c r="EI8" s="51"/>
      <c r="EJ8" s="51"/>
      <c r="EK8" s="51"/>
      <c r="EL8" s="50"/>
      <c r="EM8" s="69"/>
      <c r="EN8" s="69"/>
      <c r="ER8" s="69"/>
    </row>
    <row r="9" ht="15.75" customHeight="1">
      <c r="A9" s="8"/>
      <c r="B9" s="8"/>
      <c r="C9" s="50" t="s">
        <v>18</v>
      </c>
      <c r="D9" s="51">
        <v>50</v>
      </c>
      <c r="E9" s="50" t="s">
        <v>22</v>
      </c>
      <c r="F9" s="50" t="s">
        <v>43</v>
      </c>
      <c r="G9" s="51">
        <v>10</v>
      </c>
      <c r="H9" s="50" t="s">
        <v>42</v>
      </c>
      <c r="I9" s="8"/>
      <c r="J9" s="8"/>
      <c r="K9" s="8"/>
      <c r="L9" s="8"/>
      <c r="M9" s="8"/>
      <c r="N9" s="8"/>
      <c r="O9" s="8"/>
      <c r="S9" s="50"/>
      <c r="T9" s="50"/>
      <c r="U9" s="50"/>
      <c r="V9" s="50"/>
      <c r="W9" s="50"/>
      <c r="X9" s="51"/>
      <c r="Y9" s="51"/>
      <c r="AB9" s="51"/>
      <c r="AC9" s="51"/>
      <c r="AD9" s="51"/>
      <c r="AE9" s="51"/>
      <c r="AF9" s="51"/>
      <c r="AG9" s="51"/>
      <c r="AH9" s="51"/>
      <c r="AI9" s="51"/>
      <c r="AJ9" s="51"/>
      <c r="AK9" s="51"/>
      <c r="AL9" s="51"/>
      <c r="AM9" s="51"/>
      <c r="AN9" s="50" t="s">
        <v>19</v>
      </c>
      <c r="AO9" s="50"/>
      <c r="AP9" s="50"/>
      <c r="AQ9" s="50"/>
      <c r="AR9" s="51"/>
      <c r="AS9" s="51"/>
      <c r="AV9" s="51"/>
      <c r="AW9" s="51"/>
      <c r="AX9" s="51"/>
      <c r="AY9" s="51"/>
      <c r="AZ9" s="51"/>
      <c r="BA9" s="51"/>
      <c r="BC9" s="51"/>
      <c r="BD9" s="51"/>
      <c r="BE9" s="50"/>
      <c r="BF9" s="50"/>
      <c r="BG9" s="50"/>
      <c r="BH9" s="50"/>
      <c r="BI9" s="51"/>
      <c r="BJ9" s="51"/>
      <c r="BK9" s="51"/>
      <c r="BL9" s="51"/>
      <c r="BM9" s="51"/>
      <c r="BO9" s="51"/>
      <c r="BP9" s="51"/>
      <c r="BQ9" s="50"/>
      <c r="BR9" s="50"/>
      <c r="BS9" s="51"/>
      <c r="BT9" s="51"/>
      <c r="BU9" s="50"/>
      <c r="BV9" s="51"/>
      <c r="BW9" s="51"/>
      <c r="BX9" s="51"/>
      <c r="BY9" s="51"/>
      <c r="BZ9" s="51"/>
      <c r="CA9" s="51"/>
      <c r="CB9" s="70"/>
      <c r="CC9" s="51"/>
      <c r="CD9" s="51"/>
      <c r="CE9" s="51"/>
      <c r="CF9" s="51"/>
      <c r="CG9" s="51"/>
      <c r="CH9" s="51"/>
      <c r="CI9" s="51"/>
      <c r="CJ9" s="51"/>
      <c r="CK9" s="50"/>
      <c r="CP9" s="71"/>
      <c r="DA9" s="51"/>
      <c r="DB9" s="51"/>
      <c r="DC9" s="51"/>
      <c r="DD9" s="51"/>
      <c r="DE9" s="51"/>
      <c r="DF9" s="51"/>
      <c r="DG9" s="51"/>
      <c r="DH9" s="50"/>
      <c r="DI9" s="51"/>
      <c r="DJ9" s="50"/>
      <c r="DK9" s="51"/>
      <c r="DL9" s="51"/>
      <c r="DM9" s="51"/>
      <c r="DN9" s="51"/>
      <c r="DP9" s="50"/>
      <c r="DQ9" s="50"/>
      <c r="DR9" s="50"/>
      <c r="DS9" s="50"/>
      <c r="DT9" s="50"/>
      <c r="DU9" s="50"/>
      <c r="DV9" s="50"/>
      <c r="DW9" s="50"/>
      <c r="DX9" s="50"/>
      <c r="DY9" s="50"/>
      <c r="DZ9" s="50"/>
      <c r="EA9" s="50"/>
      <c r="EB9" s="50"/>
      <c r="EC9" s="50"/>
      <c r="ED9" s="50"/>
      <c r="EE9" s="50"/>
      <c r="EF9" s="51"/>
      <c r="EG9" s="51"/>
      <c r="EH9" s="51"/>
      <c r="EI9" s="51"/>
      <c r="EJ9" s="51"/>
      <c r="EK9" s="51"/>
      <c r="EL9" s="50"/>
      <c r="EM9" s="69"/>
      <c r="EN9" s="69"/>
      <c r="ER9" s="69"/>
    </row>
    <row r="10" ht="15.75" customHeight="1">
      <c r="A10" s="37"/>
      <c r="B10" s="37"/>
      <c r="C10" s="50" t="s">
        <v>18</v>
      </c>
      <c r="D10" s="51">
        <v>900</v>
      </c>
      <c r="E10" s="50" t="s">
        <v>23</v>
      </c>
      <c r="F10" s="50" t="s">
        <v>44</v>
      </c>
      <c r="G10" s="51">
        <v>10</v>
      </c>
      <c r="H10" s="50" t="s">
        <v>42</v>
      </c>
      <c r="I10" s="72"/>
      <c r="J10" s="37"/>
      <c r="K10" s="72"/>
      <c r="L10" s="37"/>
      <c r="M10" s="37"/>
      <c r="N10" s="37"/>
      <c r="O10" s="73"/>
      <c r="P10" s="73"/>
      <c r="Q10" s="37"/>
      <c r="R10" s="37"/>
      <c r="S10" s="37"/>
      <c r="T10" s="37"/>
      <c r="U10" s="37"/>
      <c r="V10" s="73"/>
      <c r="W10" s="73"/>
      <c r="X10" s="56"/>
      <c r="Y10" s="37"/>
      <c r="Z10" s="37"/>
      <c r="AA10" s="37"/>
      <c r="AB10" s="37"/>
      <c r="AC10" s="37"/>
      <c r="AD10" s="72"/>
      <c r="AE10" s="72"/>
      <c r="AF10" s="74"/>
      <c r="AG10" s="72"/>
      <c r="AH10" s="72"/>
      <c r="AI10" s="37"/>
      <c r="AJ10" s="37"/>
      <c r="AK10" s="74"/>
      <c r="AL10" s="37"/>
      <c r="AM10" s="74"/>
      <c r="AN10" s="50" t="s">
        <v>19</v>
      </c>
      <c r="AO10" s="37"/>
      <c r="AP10" s="73"/>
      <c r="AQ10" s="73"/>
      <c r="AR10" s="74"/>
      <c r="AS10" s="74"/>
      <c r="AT10" s="37"/>
      <c r="AU10" s="37"/>
      <c r="AV10" s="74"/>
      <c r="AW10" s="74"/>
      <c r="AX10" s="74"/>
      <c r="AY10" s="74"/>
      <c r="AZ10" s="37"/>
      <c r="BA10" s="37"/>
      <c r="BB10" s="37"/>
      <c r="BC10" s="37"/>
      <c r="BD10" s="37"/>
      <c r="BE10" s="73"/>
      <c r="BF10" s="37"/>
      <c r="BG10" s="73"/>
      <c r="BH10" s="73"/>
      <c r="BI10" s="37"/>
      <c r="BJ10" s="37"/>
      <c r="BK10" s="37"/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/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/>
      <c r="CN10" s="37"/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/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/>
      <c r="DS10" s="37"/>
      <c r="DT10" s="37"/>
      <c r="DU10" s="37"/>
      <c r="DV10" s="37"/>
      <c r="DW10" s="37"/>
      <c r="DX10" s="37"/>
      <c r="DY10" s="37"/>
      <c r="DZ10" s="37"/>
      <c r="EA10" s="37"/>
      <c r="EB10" s="37"/>
      <c r="EC10" s="37"/>
      <c r="ED10" s="37"/>
      <c r="EE10" s="37"/>
      <c r="EF10" s="37"/>
      <c r="EG10" s="37"/>
      <c r="EH10" s="37"/>
      <c r="EI10" s="37"/>
      <c r="EJ10" s="37"/>
      <c r="EK10" s="37"/>
      <c r="EL10" s="37"/>
      <c r="EM10" s="37"/>
      <c r="EN10" s="37"/>
      <c r="EO10" s="37"/>
      <c r="EP10" s="37"/>
      <c r="EQ10" s="37"/>
      <c r="ER10" s="37"/>
      <c r="ES10" s="72"/>
      <c r="ET10" s="37"/>
      <c r="EU10" s="37"/>
      <c r="EV10" s="37"/>
      <c r="EW10" s="72"/>
      <c r="EX10" s="37"/>
      <c r="EY10" s="37"/>
      <c r="EZ10" s="37"/>
      <c r="FA10" s="37"/>
      <c r="FB10" s="37"/>
      <c r="FC10" s="37"/>
      <c r="FD10" s="37"/>
      <c r="FE10" s="37"/>
      <c r="FF10" s="56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/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/>
      <c r="GM10" s="37"/>
      <c r="GN10" s="37"/>
      <c r="GO10" s="37"/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/>
      <c r="JO10" s="37"/>
      <c r="JP10" s="37"/>
      <c r="JQ10" s="37"/>
      <c r="JR10" s="37"/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/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/>
      <c r="LM10" s="37"/>
      <c r="LN10" s="37"/>
      <c r="LO10" s="37"/>
      <c r="LP10" s="37"/>
      <c r="LQ10" s="37"/>
      <c r="LR10" s="37"/>
      <c r="LS10" s="37"/>
      <c r="LT10" s="37"/>
      <c r="LU10" s="37"/>
      <c r="LV10" s="37"/>
      <c r="LW10" s="37"/>
      <c r="LX10" s="37"/>
      <c r="LY10" s="37"/>
      <c r="LZ10" s="37"/>
      <c r="MA10" s="37"/>
      <c r="MB10" s="37"/>
      <c r="MC10" s="37"/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/>
      <c r="MP10" s="37"/>
      <c r="MQ10" s="37"/>
      <c r="MR10" s="37"/>
      <c r="MS10" s="37"/>
      <c r="MT10" s="37"/>
      <c r="MU10" s="37"/>
      <c r="MV10" s="37"/>
      <c r="MW10" s="37"/>
      <c r="MX10" s="37"/>
      <c r="MY10" s="37"/>
      <c r="MZ10" s="37"/>
      <c r="NA10" s="37"/>
      <c r="NB10" s="37"/>
      <c r="NC10" s="37"/>
      <c r="ND10" s="37"/>
      <c r="NE10" s="37"/>
      <c r="NF10" s="37"/>
      <c r="NG10" s="37"/>
      <c r="NH10" s="37"/>
      <c r="NI10" s="37"/>
      <c r="NJ10" s="37"/>
      <c r="NK10" s="37"/>
      <c r="NL10" s="37"/>
      <c r="NM10" s="37"/>
      <c r="NN10" s="37"/>
      <c r="NO10" s="37"/>
      <c r="NP10" s="37"/>
      <c r="NQ10" s="37"/>
      <c r="NR10" s="37"/>
      <c r="NS10" s="37"/>
      <c r="NT10" s="37"/>
      <c r="NU10" s="37"/>
      <c r="NV10" s="37"/>
      <c r="NW10" s="37"/>
      <c r="NX10" s="37"/>
      <c r="NY10" s="37"/>
      <c r="NZ10" s="37"/>
      <c r="OA10" s="37"/>
      <c r="OB10" s="37"/>
      <c r="OC10" s="37"/>
      <c r="OD10" s="37"/>
      <c r="OE10" s="37"/>
      <c r="OF10" s="37"/>
      <c r="OG10" s="37"/>
      <c r="OH10" s="37"/>
      <c r="OI10" s="37"/>
      <c r="OJ10" s="37"/>
      <c r="OK10" s="37"/>
      <c r="OL10" s="37"/>
      <c r="OM10" s="37"/>
      <c r="ON10" s="37"/>
      <c r="OO10" s="37"/>
      <c r="OP10" s="37"/>
      <c r="OQ10" s="37"/>
      <c r="OR10" s="37"/>
      <c r="OS10" s="37"/>
      <c r="OT10" s="37"/>
      <c r="OU10" s="37"/>
      <c r="OV10" s="37"/>
      <c r="OW10" s="37"/>
      <c r="OX10" s="37"/>
      <c r="OY10" s="37"/>
      <c r="OZ10" s="37"/>
      <c r="PA10" s="37"/>
      <c r="PB10" s="37"/>
      <c r="PC10" s="37"/>
      <c r="PD10" s="37"/>
      <c r="PE10" s="37"/>
      <c r="PF10" s="37"/>
      <c r="PG10" s="37"/>
      <c r="PH10" s="37"/>
      <c r="PI10" s="37"/>
      <c r="PJ10" s="37"/>
      <c r="PK10" s="37"/>
      <c r="PL10" s="37"/>
      <c r="PM10" s="37"/>
      <c r="PN10" s="37"/>
      <c r="PO10" s="37"/>
      <c r="PP10" s="37"/>
      <c r="PQ10" s="37"/>
      <c r="PR10" s="37"/>
      <c r="PS10" s="37"/>
      <c r="PT10" s="37"/>
      <c r="PU10" s="37"/>
      <c r="PV10" s="37"/>
      <c r="PW10" s="37"/>
      <c r="PX10" s="37"/>
      <c r="PY10" s="37"/>
      <c r="PZ10" s="37"/>
      <c r="QA10" s="37"/>
      <c r="QB10" s="37"/>
      <c r="QC10" s="37"/>
      <c r="QD10" s="37"/>
      <c r="QE10" s="37"/>
      <c r="QF10" s="37"/>
      <c r="QG10" s="37"/>
      <c r="QH10" s="37"/>
      <c r="QI10" s="37"/>
      <c r="QJ10" s="37"/>
      <c r="QK10" s="37"/>
      <c r="QL10" s="37"/>
      <c r="QM10" s="37"/>
      <c r="QN10" s="37"/>
      <c r="QO10" s="37"/>
      <c r="QP10" s="37"/>
      <c r="QQ10" s="37"/>
      <c r="QR10" s="37"/>
      <c r="QS10" s="37"/>
      <c r="QT10" s="37"/>
      <c r="QU10" s="37"/>
      <c r="QV10" s="37"/>
      <c r="QW10" s="37"/>
      <c r="QX10" s="37"/>
      <c r="QY10" s="37"/>
      <c r="QZ10" s="37"/>
      <c r="RA10" s="37"/>
      <c r="RB10" s="37"/>
      <c r="RC10" s="37"/>
      <c r="RD10" s="37"/>
      <c r="RE10" s="37"/>
      <c r="RF10" s="37"/>
      <c r="RG10" s="37"/>
      <c r="RH10" s="37"/>
      <c r="RI10" s="37"/>
      <c r="RJ10" s="37"/>
      <c r="RK10" s="37"/>
      <c r="RL10" s="37"/>
      <c r="RM10" s="37"/>
      <c r="RN10" s="37"/>
      <c r="RO10" s="37"/>
      <c r="RP10" s="37"/>
      <c r="RQ10" s="37"/>
      <c r="RR10" s="37"/>
      <c r="RS10" s="37"/>
      <c r="RT10" s="37"/>
      <c r="RU10" s="37"/>
      <c r="RV10" s="37"/>
      <c r="RW10" s="37"/>
      <c r="RX10" s="37"/>
      <c r="RY10" s="37"/>
      <c r="RZ10" s="37"/>
      <c r="SA10" s="37"/>
      <c r="SB10" s="37"/>
      <c r="SC10" s="37"/>
      <c r="SD10" s="37"/>
      <c r="SE10" s="37"/>
      <c r="SF10" s="37"/>
      <c r="SG10" s="37"/>
      <c r="SH10" s="37"/>
      <c r="SI10" s="37"/>
      <c r="SJ10" s="37"/>
      <c r="SK10" s="37"/>
      <c r="SL10" s="37"/>
      <c r="SM10" s="37"/>
      <c r="SN10" s="37"/>
      <c r="SO10" s="37"/>
      <c r="SP10" s="37"/>
      <c r="SQ10" s="37"/>
      <c r="SR10" s="37"/>
      <c r="SS10" s="37"/>
      <c r="ST10" s="37"/>
      <c r="SU10" s="37"/>
      <c r="SV10" s="37"/>
      <c r="SW10" s="37"/>
      <c r="SX10" s="37"/>
      <c r="SY10" s="37"/>
      <c r="SZ10" s="37"/>
      <c r="TA10" s="37"/>
      <c r="TB10" s="37"/>
      <c r="TC10" s="37"/>
      <c r="TD10" s="37"/>
      <c r="TE10" s="37"/>
      <c r="TF10" s="37"/>
      <c r="TG10" s="37"/>
      <c r="TH10" s="37"/>
      <c r="TI10" s="37"/>
      <c r="TJ10" s="37"/>
      <c r="TK10" s="37"/>
      <c r="TL10" s="37"/>
      <c r="TM10" s="37"/>
      <c r="TN10" s="37"/>
      <c r="TO10" s="37"/>
      <c r="TP10" s="37"/>
      <c r="TQ10" s="37"/>
      <c r="TR10" s="37"/>
      <c r="TS10" s="37"/>
      <c r="TT10" s="37"/>
      <c r="TU10" s="37"/>
      <c r="TV10" s="37"/>
      <c r="TW10" s="37"/>
      <c r="TX10" s="37"/>
      <c r="TY10" s="37"/>
      <c r="TZ10" s="37"/>
      <c r="UA10" s="37"/>
      <c r="UB10" s="37"/>
      <c r="UC10" s="37"/>
      <c r="UD10" s="37"/>
      <c r="UE10" s="37"/>
      <c r="UF10" s="37"/>
      <c r="UG10" s="37"/>
      <c r="UH10" s="37"/>
      <c r="UI10" s="37"/>
      <c r="UJ10" s="37"/>
      <c r="UK10" s="37"/>
      <c r="UL10" s="37"/>
      <c r="UM10" s="37"/>
      <c r="UN10" s="37"/>
      <c r="UO10" s="37"/>
      <c r="UP10" s="37"/>
      <c r="UQ10" s="37"/>
      <c r="UR10" s="37"/>
      <c r="US10" s="37"/>
      <c r="UT10" s="37"/>
      <c r="UU10" s="37"/>
      <c r="UV10" s="37"/>
      <c r="UW10" s="37"/>
      <c r="UX10" s="37"/>
      <c r="UY10" s="37"/>
      <c r="UZ10" s="37"/>
      <c r="VA10" s="37"/>
      <c r="VB10" s="37"/>
      <c r="VC10" s="37"/>
      <c r="VD10" s="37"/>
      <c r="VE10" s="37"/>
      <c r="VF10" s="37"/>
      <c r="VG10" s="37"/>
      <c r="VH10" s="37"/>
      <c r="VI10" s="37"/>
      <c r="VJ10" s="37"/>
      <c r="VK10" s="37"/>
      <c r="VL10" s="37"/>
      <c r="VM10" s="37"/>
      <c r="VN10" s="37"/>
      <c r="VO10" s="37"/>
      <c r="VP10" s="37"/>
      <c r="VQ10" s="37"/>
      <c r="VR10" s="37"/>
      <c r="VS10" s="37"/>
      <c r="VT10" s="37"/>
      <c r="VU10" s="37"/>
      <c r="VV10" s="37"/>
      <c r="VW10" s="37"/>
      <c r="VX10" s="37"/>
      <c r="VY10" s="37"/>
      <c r="VZ10" s="37"/>
      <c r="WA10" s="37"/>
      <c r="WB10" s="37"/>
      <c r="WC10" s="37"/>
      <c r="WD10" s="37"/>
      <c r="WE10" s="37"/>
      <c r="WF10" s="37"/>
      <c r="WG10" s="37"/>
      <c r="WH10" s="37"/>
      <c r="WI10" s="37"/>
      <c r="WJ10" s="37"/>
      <c r="WK10" s="37"/>
      <c r="WL10" s="37"/>
      <c r="WM10" s="37"/>
      <c r="WN10" s="37"/>
      <c r="WO10" s="37"/>
      <c r="WP10" s="37"/>
      <c r="WQ10" s="37"/>
      <c r="WR10" s="37"/>
      <c r="WS10" s="37"/>
      <c r="WT10" s="37"/>
      <c r="WU10" s="37"/>
      <c r="WV10" s="37"/>
      <c r="WW10" s="37"/>
      <c r="WX10" s="37"/>
      <c r="WY10" s="37"/>
      <c r="WZ10" s="37"/>
      <c r="XA10" s="37"/>
      <c r="XB10" s="37"/>
      <c r="XC10" s="37"/>
      <c r="XD10" s="37"/>
      <c r="XE10" s="37"/>
      <c r="XF10" s="37"/>
      <c r="XG10" s="37"/>
      <c r="XH10" s="37"/>
      <c r="XI10" s="37"/>
      <c r="XJ10" s="37"/>
      <c r="XK10" s="37"/>
      <c r="XL10" s="37"/>
      <c r="XM10" s="37"/>
      <c r="XN10" s="37"/>
      <c r="XO10" s="37"/>
      <c r="XP10" s="37"/>
      <c r="XQ10" s="37"/>
      <c r="XR10" s="37"/>
      <c r="XS10" s="37"/>
      <c r="XT10" s="37"/>
      <c r="XU10" s="37"/>
      <c r="XV10" s="37"/>
      <c r="XW10" s="37"/>
      <c r="XX10" s="37"/>
      <c r="XY10" s="37"/>
      <c r="XZ10" s="37"/>
      <c r="YA10" s="37"/>
      <c r="YB10" s="37"/>
      <c r="YC10" s="37"/>
      <c r="YD10" s="37"/>
      <c r="YE10" s="37"/>
      <c r="YF10" s="37"/>
      <c r="YG10" s="37"/>
      <c r="YH10" s="37"/>
      <c r="YI10" s="37"/>
      <c r="YJ10" s="37"/>
      <c r="YK10" s="37"/>
      <c r="YL10" s="37"/>
      <c r="YM10" s="37"/>
      <c r="YN10" s="37"/>
      <c r="YO10" s="37"/>
      <c r="YP10" s="37"/>
      <c r="YQ10" s="37"/>
      <c r="YR10" s="37"/>
      <c r="YS10" s="37"/>
      <c r="YT10" s="37"/>
      <c r="YU10" s="37"/>
      <c r="YV10" s="37"/>
      <c r="YW10" s="37"/>
      <c r="YX10" s="37"/>
      <c r="YY10" s="37"/>
      <c r="YZ10" s="37"/>
      <c r="ZA10" s="37"/>
      <c r="ZB10" s="37"/>
      <c r="ZC10" s="37"/>
      <c r="ZD10" s="37"/>
      <c r="ZE10" s="37"/>
      <c r="ZF10" s="37"/>
      <c r="ZG10" s="37"/>
      <c r="ZH10" s="37"/>
      <c r="ZI10" s="37"/>
      <c r="ZJ10" s="37"/>
      <c r="ZK10" s="37"/>
      <c r="ZL10" s="37"/>
      <c r="ZM10" s="37"/>
      <c r="ZN10" s="37"/>
      <c r="ZO10" s="37"/>
      <c r="ZP10" s="37"/>
      <c r="ZQ10" s="37"/>
      <c r="ZR10" s="37"/>
      <c r="ZS10" s="37"/>
      <c r="ZT10" s="37"/>
      <c r="ZU10" s="37"/>
      <c r="ZV10" s="37"/>
      <c r="ZW10" s="37"/>
      <c r="ZX10" s="37"/>
      <c r="ZY10" s="37"/>
      <c r="ZZ10" s="37"/>
      <c r="AAA10" s="37"/>
      <c r="AAB10" s="37"/>
      <c r="AAC10" s="37"/>
      <c r="AAD10" s="37"/>
      <c r="AAE10" s="37"/>
      <c r="AAF10" s="37"/>
      <c r="AAG10" s="37"/>
      <c r="AAH10" s="37"/>
      <c r="AAI10" s="37"/>
      <c r="AAJ10" s="37"/>
      <c r="AAK10" s="37"/>
      <c r="AAL10" s="37"/>
      <c r="AAM10" s="37"/>
      <c r="AAN10" s="37"/>
      <c r="AAO10" s="37"/>
      <c r="AAP10" s="37"/>
      <c r="AAQ10" s="37"/>
      <c r="AAR10" s="37"/>
      <c r="AAS10" s="37"/>
      <c r="AAT10" s="37"/>
      <c r="AAU10" s="37"/>
      <c r="AAV10" s="37"/>
      <c r="AAW10" s="37"/>
      <c r="AAX10" s="37"/>
      <c r="AAY10" s="37"/>
      <c r="AAZ10" s="37"/>
      <c r="ABA10" s="37"/>
      <c r="ABB10" s="37"/>
      <c r="ABC10" s="37"/>
      <c r="ABD10" s="37"/>
      <c r="ABE10" s="37"/>
      <c r="ABF10" s="37"/>
      <c r="ABG10" s="37"/>
      <c r="ABH10" s="37"/>
      <c r="ABI10" s="37"/>
      <c r="ABJ10" s="37"/>
      <c r="ABK10" s="37"/>
      <c r="ABL10" s="37"/>
      <c r="ABM10" s="37"/>
      <c r="ABN10" s="37"/>
      <c r="ABO10" s="37"/>
      <c r="ABP10" s="37"/>
      <c r="ABQ10" s="37"/>
      <c r="ABR10" s="37"/>
      <c r="ABS10" s="37"/>
      <c r="ABT10" s="37"/>
      <c r="ABU10" s="37"/>
      <c r="ABV10" s="37"/>
      <c r="ABW10" s="37"/>
      <c r="ABX10" s="37"/>
      <c r="ABY10" s="37"/>
      <c r="ABZ10" s="37"/>
      <c r="ACA10" s="37"/>
      <c r="ACB10" s="37"/>
      <c r="ACC10" s="37"/>
      <c r="ACD10" s="37"/>
      <c r="ACE10" s="37"/>
      <c r="ACF10" s="37"/>
      <c r="ACG10" s="37"/>
      <c r="ACH10" s="37"/>
      <c r="ACI10" s="37"/>
      <c r="ACJ10" s="37"/>
      <c r="ACK10" s="37"/>
      <c r="ACL10" s="37"/>
      <c r="ACM10" s="37"/>
      <c r="ACN10" s="37"/>
      <c r="ACO10" s="37"/>
      <c r="ACP10" s="37"/>
      <c r="ACQ10" s="37"/>
      <c r="ACR10" s="37"/>
      <c r="ACS10" s="37"/>
      <c r="ACT10" s="37"/>
      <c r="ACU10" s="37"/>
      <c r="ACV10" s="37"/>
      <c r="ACW10" s="37"/>
      <c r="ACX10" s="37"/>
      <c r="ACY10" s="37"/>
      <c r="ACZ10" s="37"/>
      <c r="ADA10" s="37"/>
      <c r="ADB10" s="37"/>
      <c r="ADC10" s="37"/>
      <c r="ADD10" s="37"/>
      <c r="ADE10" s="37"/>
      <c r="ADF10" s="37"/>
      <c r="ADG10" s="37"/>
      <c r="ADH10" s="37"/>
      <c r="ADI10" s="37"/>
      <c r="ADJ10" s="37"/>
      <c r="ADK10" s="37"/>
      <c r="ADL10" s="37"/>
      <c r="ADM10" s="37"/>
      <c r="ADN10" s="37"/>
      <c r="ADO10" s="37"/>
      <c r="ADP10" s="37"/>
      <c r="ADQ10" s="37"/>
      <c r="ADR10" s="37"/>
      <c r="ADS10" s="37"/>
      <c r="ADT10" s="37"/>
      <c r="ADU10" s="37"/>
      <c r="ADV10" s="37"/>
      <c r="ADW10" s="37"/>
      <c r="ADX10" s="37"/>
      <c r="ADY10" s="37"/>
      <c r="ADZ10" s="37"/>
      <c r="AEA10" s="37"/>
      <c r="AEB10" s="37"/>
      <c r="AEC10" s="37"/>
      <c r="AED10" s="37"/>
      <c r="AEE10" s="37"/>
      <c r="AEF10" s="37"/>
      <c r="AEG10" s="37"/>
      <c r="AEH10" s="37"/>
      <c r="AEI10" s="37"/>
      <c r="AEJ10" s="37"/>
      <c r="AEK10" s="37"/>
      <c r="AEL10" s="37"/>
      <c r="AEM10" s="37"/>
      <c r="AEN10" s="37"/>
      <c r="AEO10" s="37"/>
      <c r="AEP10" s="37"/>
      <c r="AEQ10" s="37"/>
      <c r="AER10" s="37"/>
      <c r="AES10" s="37"/>
      <c r="AET10" s="37"/>
      <c r="AEU10" s="37"/>
      <c r="AEV10" s="37"/>
      <c r="AEW10" s="37"/>
      <c r="AEX10" s="37"/>
      <c r="AEY10" s="37"/>
      <c r="AEZ10" s="37"/>
      <c r="AFA10" s="37"/>
      <c r="AFB10" s="37"/>
      <c r="AFC10" s="37"/>
      <c r="AFD10" s="37"/>
      <c r="AFE10" s="37"/>
      <c r="AFF10" s="37"/>
      <c r="AFG10" s="37"/>
      <c r="AFH10" s="37"/>
      <c r="AFI10" s="37"/>
      <c r="AFJ10" s="37"/>
      <c r="AFK10" s="37"/>
      <c r="AFL10" s="37"/>
      <c r="AFM10" s="37"/>
      <c r="AFN10" s="37"/>
      <c r="AFO10" s="37"/>
      <c r="AFP10" s="37"/>
      <c r="AFQ10" s="37"/>
      <c r="AFR10" s="37"/>
      <c r="AFS10" s="37"/>
      <c r="AFT10" s="37"/>
      <c r="AFU10" s="37"/>
      <c r="AFV10" s="37"/>
      <c r="AFW10" s="37"/>
      <c r="AFX10" s="37"/>
      <c r="AFY10" s="37"/>
      <c r="AFZ10" s="37"/>
      <c r="AGA10" s="37"/>
      <c r="AGB10" s="37"/>
      <c r="AGC10" s="37"/>
      <c r="AGD10" s="37"/>
      <c r="AGE10" s="37"/>
      <c r="AGF10" s="37"/>
      <c r="AGG10" s="37"/>
      <c r="AGH10" s="37"/>
      <c r="AGI10" s="37"/>
      <c r="AGJ10" s="37"/>
      <c r="AGK10" s="37"/>
      <c r="AGL10" s="37"/>
      <c r="AGM10" s="37"/>
      <c r="AGN10" s="37"/>
      <c r="AGO10" s="37"/>
      <c r="AGP10" s="37"/>
      <c r="AGQ10" s="37"/>
      <c r="AGR10" s="37"/>
      <c r="AGS10" s="37"/>
      <c r="AGT10" s="37"/>
      <c r="AGU10" s="37"/>
      <c r="AGV10" s="37"/>
      <c r="AGW10" s="37"/>
      <c r="AGX10" s="37"/>
      <c r="AGY10" s="37"/>
      <c r="AGZ10" s="37"/>
      <c r="AHA10" s="37"/>
      <c r="AHB10" s="37"/>
      <c r="AHC10" s="37"/>
      <c r="AHD10" s="37"/>
      <c r="AHE10" s="37"/>
      <c r="AHF10" s="37"/>
      <c r="AHG10" s="37"/>
      <c r="AHH10" s="37"/>
      <c r="AHI10" s="37"/>
      <c r="AHJ10" s="37"/>
      <c r="AHK10" s="37"/>
      <c r="AHL10" s="37"/>
      <c r="AHM10" s="37"/>
      <c r="AHN10" s="37"/>
      <c r="AHO10" s="37"/>
      <c r="AHP10" s="37"/>
      <c r="AHQ10" s="37"/>
      <c r="AHR10" s="37"/>
      <c r="AHS10" s="37"/>
      <c r="AHT10" s="37"/>
      <c r="AHU10" s="37"/>
      <c r="AHV10" s="37"/>
      <c r="AHW10" s="37"/>
      <c r="AHX10" s="37"/>
      <c r="AHY10" s="37"/>
      <c r="AHZ10" s="37"/>
      <c r="AIA10" s="37"/>
      <c r="AIB10" s="37"/>
      <c r="AIC10" s="37"/>
      <c r="AID10" s="37"/>
      <c r="AIE10" s="37"/>
      <c r="AIF10" s="37"/>
      <c r="AIG10" s="37"/>
      <c r="AIH10" s="37"/>
      <c r="AII10" s="37"/>
      <c r="AIJ10" s="37"/>
      <c r="AIK10" s="37"/>
      <c r="AIL10" s="37"/>
      <c r="AIM10" s="37"/>
      <c r="AIN10" s="37"/>
      <c r="AIO10" s="37"/>
      <c r="AIP10" s="37"/>
      <c r="AIQ10" s="37"/>
      <c r="AIR10" s="37"/>
      <c r="AIS10" s="37"/>
      <c r="AIT10" s="37"/>
      <c r="AIU10" s="37"/>
      <c r="AIV10" s="37"/>
      <c r="AIW10" s="37"/>
      <c r="AIX10" s="37"/>
      <c r="AIY10" s="37"/>
      <c r="AIZ10" s="37"/>
      <c r="AJA10" s="37"/>
      <c r="AJB10" s="37"/>
      <c r="AJC10" s="37"/>
      <c r="AJD10" s="37"/>
      <c r="AJE10" s="37"/>
      <c r="AJF10" s="37"/>
      <c r="AJG10" s="37"/>
      <c r="AJH10" s="37"/>
      <c r="AJI10" s="37"/>
      <c r="AJJ10" s="37"/>
      <c r="AJK10" s="37"/>
      <c r="AJL10" s="37"/>
      <c r="AJM10" s="37"/>
      <c r="AJN10" s="37"/>
      <c r="AJO10" s="37"/>
      <c r="AJP10" s="37"/>
      <c r="AJQ10" s="37"/>
      <c r="AJR10" s="37"/>
      <c r="AJS10" s="37"/>
      <c r="AJT10" s="37"/>
      <c r="AJU10" s="37"/>
      <c r="AJV10" s="37"/>
      <c r="AJW10" s="37"/>
      <c r="AJX10" s="37"/>
      <c r="AJY10" s="37"/>
      <c r="AJZ10" s="37"/>
      <c r="AKA10" s="37"/>
      <c r="AKB10" s="37"/>
      <c r="AKC10" s="37"/>
      <c r="AKD10" s="37"/>
      <c r="AKE10" s="37"/>
      <c r="AKF10" s="37"/>
      <c r="AKG10" s="37"/>
      <c r="AKH10" s="37"/>
      <c r="AKI10" s="37"/>
      <c r="AKJ10" s="37"/>
      <c r="AKK10" s="37"/>
      <c r="AKL10" s="37"/>
      <c r="AKM10" s="37"/>
      <c r="AKN10" s="37"/>
      <c r="AKO10" s="37"/>
      <c r="AKP10" s="37"/>
      <c r="AKQ10" s="37"/>
      <c r="AKR10" s="37"/>
      <c r="AKS10" s="37"/>
      <c r="AKT10" s="37"/>
      <c r="AKU10" s="37"/>
      <c r="AKV10" s="37"/>
      <c r="AKW10" s="37"/>
      <c r="AKX10" s="37"/>
      <c r="AKY10" s="37"/>
      <c r="AKZ10" s="37"/>
      <c r="ALA10" s="37"/>
      <c r="ALB10" s="37"/>
      <c r="ALC10" s="37"/>
      <c r="ALD10" s="37"/>
      <c r="ALE10" s="37"/>
      <c r="ALF10" s="37"/>
      <c r="ALG10" s="37"/>
      <c r="ALH10" s="37"/>
      <c r="ALI10" s="37"/>
      <c r="ALJ10" s="37"/>
      <c r="ALK10" s="37"/>
      <c r="ALL10" s="37"/>
      <c r="ALM10" s="37"/>
      <c r="ALN10" s="37"/>
      <c r="ALO10" s="37"/>
      <c r="ALP10" s="37"/>
      <c r="ALQ10" s="37"/>
      <c r="ALR10" s="37"/>
      <c r="ALS10" s="37"/>
      <c r="ALT10" s="37"/>
      <c r="ALU10" s="37"/>
      <c r="ALV10" s="37"/>
      <c r="ALW10" s="37"/>
      <c r="ALX10" s="37"/>
      <c r="ALY10" s="37"/>
      <c r="ALZ10" s="37"/>
      <c r="AMA10" s="37"/>
      <c r="AMB10" s="37"/>
      <c r="AMC10" s="37"/>
      <c r="AMD10" s="37"/>
      <c r="AME10" s="37"/>
      <c r="AMF10" s="37"/>
      <c r="AMG10" s="37"/>
      <c r="AMH10" s="37"/>
      <c r="AMI10" s="37"/>
      <c r="AMJ10" s="37"/>
    </row>
    <row r="11" ht="15.75" customHeight="1">
      <c r="A11" s="37"/>
      <c r="B11" s="37"/>
      <c r="C11" s="50" t="s">
        <v>18</v>
      </c>
      <c r="D11" s="51">
        <v>100</v>
      </c>
      <c r="E11" s="50" t="s">
        <v>23</v>
      </c>
      <c r="F11" s="50" t="s">
        <v>44</v>
      </c>
      <c r="G11" s="51">
        <v>10</v>
      </c>
      <c r="H11" s="75" t="s">
        <v>42</v>
      </c>
      <c r="I11" s="72"/>
      <c r="J11" s="37"/>
      <c r="K11" s="72"/>
      <c r="L11" s="76"/>
      <c r="M11" s="37"/>
      <c r="N11" s="76"/>
      <c r="O11" s="73"/>
      <c r="P11" s="73"/>
      <c r="Q11" s="76"/>
      <c r="R11" s="37"/>
      <c r="S11" s="37"/>
      <c r="T11" s="37"/>
      <c r="U11" s="37"/>
      <c r="V11" s="73"/>
      <c r="W11" s="73"/>
      <c r="X11" s="56"/>
      <c r="Y11" s="37"/>
      <c r="Z11" s="37"/>
      <c r="AA11" s="37"/>
      <c r="AB11" s="37"/>
      <c r="AC11" s="37"/>
      <c r="AD11" s="72"/>
      <c r="AE11" s="72"/>
      <c r="AF11" s="74"/>
      <c r="AG11" s="72"/>
      <c r="AH11" s="72"/>
      <c r="AI11" s="76"/>
      <c r="AJ11" s="76"/>
      <c r="AK11" s="72"/>
      <c r="AL11" s="37"/>
      <c r="AM11" s="74"/>
      <c r="AN11" s="50" t="s">
        <v>19</v>
      </c>
      <c r="AO11" s="37"/>
      <c r="AP11" s="73"/>
      <c r="AQ11" s="73"/>
      <c r="AR11" s="74"/>
      <c r="AS11" s="74"/>
      <c r="AT11" s="37"/>
      <c r="AU11" s="37"/>
      <c r="AV11" s="74"/>
      <c r="AW11" s="74"/>
      <c r="AX11" s="74"/>
      <c r="AY11" s="74"/>
      <c r="AZ11" s="76"/>
      <c r="BA11" s="37"/>
      <c r="BB11" s="37"/>
      <c r="BC11" s="37"/>
      <c r="BD11" s="76"/>
      <c r="BE11" s="73"/>
      <c r="BF11" s="37"/>
      <c r="BG11" s="73"/>
      <c r="BH11" s="73"/>
      <c r="BI11" s="37"/>
      <c r="BJ11" s="37"/>
      <c r="BK11" s="37"/>
      <c r="BL11" s="37"/>
      <c r="BM11" s="37"/>
      <c r="BN11" s="37"/>
      <c r="BO11" s="76"/>
      <c r="BP11" s="37"/>
      <c r="BQ11" s="37"/>
      <c r="BR11" s="37"/>
      <c r="BS11" s="37"/>
      <c r="BT11" s="37"/>
      <c r="BU11" s="37"/>
      <c r="BV11" s="37"/>
      <c r="BW11" s="37"/>
      <c r="BX11" s="76"/>
      <c r="BY11" s="76"/>
      <c r="BZ11" s="37"/>
      <c r="CA11" s="37"/>
      <c r="CB11" s="37"/>
      <c r="CC11" s="37"/>
      <c r="CD11" s="76"/>
      <c r="CE11" s="37"/>
      <c r="CF11" s="37"/>
      <c r="CG11" s="76"/>
      <c r="CH11" s="37"/>
      <c r="CI11" s="37"/>
      <c r="CJ11" s="37"/>
      <c r="CK11" s="37"/>
      <c r="CL11" s="37"/>
      <c r="CM11" s="37"/>
      <c r="CN11" s="37"/>
      <c r="CO11" s="37"/>
      <c r="CP11" s="37"/>
      <c r="CQ11" s="37"/>
      <c r="CR11" s="37"/>
      <c r="CS11" s="37"/>
      <c r="CT11" s="37"/>
      <c r="CU11" s="37"/>
      <c r="CV11" s="37"/>
      <c r="CW11" s="37"/>
      <c r="CX11" s="37"/>
      <c r="CY11" s="37"/>
      <c r="CZ11" s="37"/>
      <c r="DA11" s="76"/>
      <c r="DB11" s="37"/>
      <c r="DC11" s="37"/>
      <c r="DD11" s="37"/>
      <c r="DE11" s="77"/>
      <c r="DF11" s="37"/>
      <c r="DG11" s="37"/>
      <c r="DH11" s="37"/>
      <c r="DI11" s="37"/>
      <c r="DJ11" s="37"/>
      <c r="DK11" s="37"/>
      <c r="DL11" s="37"/>
      <c r="DM11" s="37"/>
      <c r="DN11" s="37"/>
      <c r="DO11" s="37"/>
      <c r="DP11" s="37"/>
      <c r="DQ11" s="37"/>
      <c r="DR11" s="37"/>
      <c r="DS11" s="37"/>
      <c r="DT11" s="37"/>
      <c r="DU11" s="37"/>
      <c r="DV11" s="37"/>
      <c r="DW11" s="37"/>
      <c r="DX11" s="37"/>
      <c r="DY11" s="37"/>
      <c r="DZ11" s="37"/>
      <c r="EA11" s="37"/>
      <c r="EB11" s="37"/>
      <c r="EC11" s="37"/>
      <c r="ED11" s="37"/>
      <c r="EE11" s="37"/>
      <c r="EF11" s="37"/>
      <c r="EG11" s="37"/>
      <c r="EH11" s="37"/>
      <c r="EI11" s="37"/>
      <c r="EJ11" s="37"/>
      <c r="EK11" s="37"/>
      <c r="EL11" s="37"/>
      <c r="EM11" s="76"/>
      <c r="EN11" s="76"/>
      <c r="EO11" s="37"/>
      <c r="EP11" s="76"/>
      <c r="EQ11" s="76"/>
      <c r="ER11" s="76"/>
      <c r="ES11" s="72"/>
      <c r="ET11" s="37"/>
      <c r="EU11" s="37"/>
      <c r="EV11" s="76"/>
      <c r="EW11" s="72"/>
      <c r="EX11" s="37"/>
      <c r="EY11" s="37"/>
      <c r="EZ11" s="37"/>
      <c r="FA11" s="37"/>
      <c r="FB11" s="37"/>
      <c r="FC11" s="37"/>
      <c r="FD11" s="37"/>
      <c r="FE11" s="37"/>
      <c r="FF11" s="56"/>
      <c r="FG11" s="37"/>
      <c r="FH11" s="37"/>
      <c r="FI11" s="37"/>
      <c r="FJ11" s="37"/>
      <c r="FK11" s="37"/>
      <c r="FL11" s="37"/>
      <c r="FM11" s="37"/>
      <c r="FN11" s="37"/>
      <c r="FO11" s="37"/>
      <c r="FP11" s="37"/>
      <c r="FQ11" s="37"/>
      <c r="FR11" s="37"/>
      <c r="FS11" s="37"/>
      <c r="FT11" s="37"/>
      <c r="FU11" s="37"/>
      <c r="FV11" s="37"/>
      <c r="FW11" s="37"/>
      <c r="FX11" s="37"/>
      <c r="FY11" s="37"/>
      <c r="FZ11" s="37"/>
      <c r="GA11" s="37"/>
      <c r="GB11" s="37"/>
      <c r="GC11" s="37"/>
      <c r="GD11" s="37"/>
      <c r="GE11" s="37"/>
      <c r="GF11" s="37"/>
      <c r="GG11" s="37"/>
      <c r="GH11" s="37"/>
      <c r="GI11" s="37"/>
      <c r="GJ11" s="37"/>
      <c r="GK11" s="37"/>
      <c r="GL11" s="37"/>
      <c r="GM11" s="37"/>
      <c r="GN11" s="37"/>
      <c r="GO11" s="37"/>
      <c r="GP11" s="37"/>
      <c r="GQ11" s="37"/>
      <c r="GR11" s="37"/>
      <c r="GS11" s="37"/>
      <c r="GT11" s="37"/>
      <c r="GU11" s="37"/>
      <c r="GV11" s="37"/>
      <c r="GW11" s="37"/>
      <c r="GX11" s="37"/>
      <c r="GY11" s="37"/>
      <c r="GZ11" s="37"/>
      <c r="HA11" s="37"/>
      <c r="HB11" s="37"/>
      <c r="HC11" s="37"/>
      <c r="HD11" s="37"/>
      <c r="HE11" s="37"/>
      <c r="HF11" s="37"/>
      <c r="HG11" s="37"/>
      <c r="HH11" s="37"/>
      <c r="HI11" s="37"/>
      <c r="HJ11" s="37"/>
      <c r="HK11" s="37"/>
      <c r="HL11" s="37"/>
      <c r="HM11" s="37"/>
      <c r="HN11" s="37"/>
      <c r="HO11" s="37"/>
      <c r="HP11" s="37"/>
      <c r="HQ11" s="37"/>
      <c r="HR11" s="37"/>
      <c r="HS11" s="37"/>
      <c r="HT11" s="37"/>
      <c r="HU11" s="37"/>
      <c r="HV11" s="37"/>
      <c r="HW11" s="37"/>
      <c r="HX11" s="37"/>
      <c r="HY11" s="37"/>
      <c r="HZ11" s="37"/>
      <c r="IA11" s="37"/>
      <c r="IB11" s="37"/>
      <c r="IC11" s="37"/>
      <c r="ID11" s="37"/>
      <c r="IE11" s="37"/>
      <c r="IF11" s="37"/>
      <c r="IG11" s="37"/>
      <c r="IH11" s="37"/>
      <c r="II11" s="37"/>
      <c r="IJ11" s="37"/>
      <c r="IK11" s="37"/>
      <c r="IL11" s="37"/>
      <c r="IM11" s="37"/>
      <c r="IN11" s="37"/>
      <c r="IO11" s="37"/>
      <c r="IP11" s="37"/>
      <c r="IQ11" s="37"/>
      <c r="IR11" s="37"/>
      <c r="IS11" s="37"/>
      <c r="IT11" s="37"/>
      <c r="IU11" s="37"/>
      <c r="IV11" s="37"/>
      <c r="IW11" s="37"/>
      <c r="IX11" s="37"/>
      <c r="IY11" s="37"/>
      <c r="IZ11" s="37"/>
      <c r="JA11" s="37"/>
      <c r="JB11" s="37"/>
      <c r="JC11" s="37"/>
      <c r="JD11" s="37"/>
      <c r="JE11" s="37"/>
      <c r="JF11" s="37"/>
      <c r="JG11" s="37"/>
      <c r="JH11" s="37"/>
      <c r="JI11" s="37"/>
      <c r="JJ11" s="37"/>
      <c r="JK11" s="37"/>
      <c r="JL11" s="37"/>
      <c r="JM11" s="37"/>
      <c r="JN11" s="37"/>
      <c r="JO11" s="37"/>
      <c r="JP11" s="37"/>
      <c r="JQ11" s="37"/>
      <c r="JR11" s="37"/>
      <c r="JS11" s="37"/>
      <c r="JT11" s="37"/>
      <c r="JU11" s="37"/>
      <c r="JV11" s="37"/>
      <c r="JW11" s="37"/>
      <c r="JX11" s="37"/>
      <c r="JY11" s="37"/>
      <c r="JZ11" s="37"/>
      <c r="KA11" s="37"/>
      <c r="KB11" s="37"/>
      <c r="KC11" s="37"/>
      <c r="KD11" s="37"/>
      <c r="KE11" s="37"/>
      <c r="KF11" s="37"/>
      <c r="KG11" s="37"/>
      <c r="KH11" s="37"/>
      <c r="KI11" s="37"/>
      <c r="KJ11" s="37"/>
      <c r="KK11" s="37"/>
      <c r="KL11" s="37"/>
      <c r="KM11" s="37"/>
      <c r="KN11" s="37"/>
      <c r="KO11" s="37"/>
      <c r="KP11" s="37"/>
      <c r="KQ11" s="37"/>
      <c r="KR11" s="37"/>
      <c r="KS11" s="37"/>
      <c r="KT11" s="37"/>
      <c r="KU11" s="37"/>
      <c r="KV11" s="37"/>
      <c r="KW11" s="37"/>
      <c r="KX11" s="37"/>
      <c r="KY11" s="37"/>
      <c r="KZ11" s="37"/>
      <c r="LA11" s="37"/>
      <c r="LB11" s="37"/>
      <c r="LC11" s="37"/>
      <c r="LD11" s="37"/>
      <c r="LE11" s="37"/>
      <c r="LF11" s="37"/>
      <c r="LG11" s="37"/>
      <c r="LH11" s="37"/>
      <c r="LI11" s="37"/>
      <c r="LJ11" s="37"/>
      <c r="LK11" s="37"/>
      <c r="LL11" s="37"/>
      <c r="LM11" s="37"/>
      <c r="LN11" s="37"/>
      <c r="LO11" s="37"/>
      <c r="LP11" s="37"/>
      <c r="LQ11" s="37"/>
      <c r="LR11" s="37"/>
      <c r="LS11" s="37"/>
      <c r="LT11" s="37"/>
      <c r="LU11" s="37"/>
      <c r="LV11" s="37"/>
      <c r="LW11" s="37"/>
      <c r="LX11" s="37"/>
      <c r="LY11" s="37"/>
      <c r="LZ11" s="37"/>
      <c r="MA11" s="37"/>
      <c r="MB11" s="37"/>
      <c r="MC11" s="37"/>
      <c r="MD11" s="37"/>
      <c r="ME11" s="37"/>
      <c r="MF11" s="37"/>
      <c r="MG11" s="37"/>
      <c r="MH11" s="37"/>
      <c r="MI11" s="37"/>
      <c r="MJ11" s="37"/>
      <c r="MK11" s="37"/>
      <c r="ML11" s="37"/>
      <c r="MM11" s="37"/>
      <c r="MN11" s="37"/>
      <c r="MO11" s="37"/>
      <c r="MP11" s="37"/>
      <c r="MQ11" s="37"/>
      <c r="MR11" s="37"/>
      <c r="MS11" s="37"/>
      <c r="MT11" s="37"/>
      <c r="MU11" s="37"/>
      <c r="MV11" s="37"/>
      <c r="MW11" s="37"/>
      <c r="MX11" s="37"/>
      <c r="MY11" s="37"/>
      <c r="MZ11" s="37"/>
      <c r="NA11" s="37"/>
      <c r="NB11" s="37"/>
      <c r="NC11" s="37"/>
      <c r="ND11" s="37"/>
      <c r="NE11" s="37"/>
      <c r="NF11" s="37"/>
      <c r="NG11" s="37"/>
      <c r="NH11" s="37"/>
      <c r="NI11" s="37"/>
      <c r="NJ11" s="37"/>
      <c r="NK11" s="37"/>
      <c r="NL11" s="37"/>
      <c r="NM11" s="37"/>
      <c r="NN11" s="37"/>
      <c r="NO11" s="37"/>
      <c r="NP11" s="37"/>
      <c r="NQ11" s="37"/>
      <c r="NR11" s="37"/>
      <c r="NS11" s="37"/>
      <c r="NT11" s="37"/>
      <c r="NU11" s="37"/>
      <c r="NV11" s="37"/>
      <c r="NW11" s="37"/>
      <c r="NX11" s="37"/>
      <c r="NY11" s="37"/>
      <c r="NZ11" s="37"/>
      <c r="OA11" s="37"/>
      <c r="OB11" s="37"/>
      <c r="OC11" s="37"/>
      <c r="OD11" s="37"/>
      <c r="OE11" s="37"/>
      <c r="OF11" s="37"/>
      <c r="OG11" s="37"/>
      <c r="OH11" s="37"/>
      <c r="OI11" s="37"/>
      <c r="OJ11" s="37"/>
      <c r="OK11" s="37"/>
      <c r="OL11" s="37"/>
      <c r="OM11" s="37"/>
      <c r="ON11" s="37"/>
      <c r="OO11" s="37"/>
      <c r="OP11" s="37"/>
      <c r="OQ11" s="37"/>
      <c r="OR11" s="37"/>
      <c r="OS11" s="37"/>
      <c r="OT11" s="37"/>
      <c r="OU11" s="37"/>
      <c r="OV11" s="37"/>
      <c r="OW11" s="37"/>
      <c r="OX11" s="37"/>
      <c r="OY11" s="37"/>
      <c r="OZ11" s="37"/>
      <c r="PA11" s="37"/>
      <c r="PB11" s="37"/>
      <c r="PC11" s="37"/>
      <c r="PD11" s="37"/>
      <c r="PE11" s="37"/>
      <c r="PF11" s="37"/>
      <c r="PG11" s="37"/>
      <c r="PH11" s="37"/>
      <c r="PI11" s="37"/>
      <c r="PJ11" s="37"/>
      <c r="PK11" s="37"/>
      <c r="PL11" s="37"/>
      <c r="PM11" s="37"/>
      <c r="PN11" s="37"/>
      <c r="PO11" s="37"/>
      <c r="PP11" s="37"/>
      <c r="PQ11" s="37"/>
      <c r="PR11" s="37"/>
      <c r="PS11" s="37"/>
      <c r="PT11" s="37"/>
      <c r="PU11" s="37"/>
      <c r="PV11" s="37"/>
      <c r="PW11" s="37"/>
      <c r="PX11" s="37"/>
      <c r="PY11" s="37"/>
      <c r="PZ11" s="37"/>
      <c r="QA11" s="37"/>
      <c r="QB11" s="37"/>
      <c r="QC11" s="37"/>
      <c r="QD11" s="37"/>
      <c r="QE11" s="37"/>
      <c r="QF11" s="37"/>
      <c r="QG11" s="37"/>
      <c r="QH11" s="37"/>
      <c r="QI11" s="37"/>
      <c r="QJ11" s="37"/>
      <c r="QK11" s="37"/>
      <c r="QL11" s="37"/>
      <c r="QM11" s="37"/>
      <c r="QN11" s="37"/>
      <c r="QO11" s="37"/>
      <c r="QP11" s="37"/>
      <c r="QQ11" s="37"/>
      <c r="QR11" s="37"/>
      <c r="QS11" s="37"/>
      <c r="QT11" s="37"/>
      <c r="QU11" s="37"/>
      <c r="QV11" s="37"/>
      <c r="QW11" s="37"/>
      <c r="QX11" s="37"/>
      <c r="QY11" s="37"/>
      <c r="QZ11" s="37"/>
      <c r="RA11" s="37"/>
      <c r="RB11" s="37"/>
      <c r="RC11" s="37"/>
      <c r="RD11" s="37"/>
      <c r="RE11" s="37"/>
      <c r="RF11" s="37"/>
      <c r="RG11" s="37"/>
      <c r="RH11" s="37"/>
      <c r="RI11" s="37"/>
      <c r="RJ11" s="37"/>
      <c r="RK11" s="37"/>
      <c r="RL11" s="37"/>
      <c r="RM11" s="37"/>
      <c r="RN11" s="37"/>
      <c r="RO11" s="37"/>
      <c r="RP11" s="37"/>
      <c r="RQ11" s="37"/>
      <c r="RR11" s="37"/>
      <c r="RS11" s="37"/>
      <c r="RT11" s="37"/>
      <c r="RU11" s="37"/>
      <c r="RV11" s="37"/>
      <c r="RW11" s="37"/>
      <c r="RX11" s="37"/>
      <c r="RY11" s="37"/>
      <c r="RZ11" s="37"/>
      <c r="SA11" s="37"/>
      <c r="SB11" s="37"/>
      <c r="SC11" s="37"/>
      <c r="SD11" s="37"/>
      <c r="SE11" s="37"/>
      <c r="SF11" s="37"/>
      <c r="SG11" s="37"/>
      <c r="SH11" s="37"/>
      <c r="SI11" s="37"/>
      <c r="SJ11" s="37"/>
      <c r="SK11" s="37"/>
      <c r="SL11" s="37"/>
      <c r="SM11" s="37"/>
      <c r="SN11" s="37"/>
      <c r="SO11" s="37"/>
      <c r="SP11" s="37"/>
      <c r="SQ11" s="37"/>
      <c r="SR11" s="37"/>
      <c r="SS11" s="37"/>
      <c r="ST11" s="37"/>
      <c r="SU11" s="37"/>
      <c r="SV11" s="37"/>
      <c r="SW11" s="37"/>
      <c r="SX11" s="37"/>
      <c r="SY11" s="37"/>
      <c r="SZ11" s="37"/>
      <c r="TA11" s="37"/>
      <c r="TB11" s="37"/>
      <c r="TC11" s="37"/>
      <c r="TD11" s="37"/>
      <c r="TE11" s="37"/>
      <c r="TF11" s="37"/>
      <c r="TG11" s="37"/>
      <c r="TH11" s="37"/>
      <c r="TI11" s="37"/>
      <c r="TJ11" s="37"/>
      <c r="TK11" s="37"/>
      <c r="TL11" s="37"/>
      <c r="TM11" s="37"/>
      <c r="TN11" s="37"/>
      <c r="TO11" s="37"/>
      <c r="TP11" s="37"/>
      <c r="TQ11" s="37"/>
      <c r="TR11" s="37"/>
      <c r="TS11" s="37"/>
      <c r="TT11" s="37"/>
      <c r="TU11" s="37"/>
      <c r="TV11" s="37"/>
      <c r="TW11" s="37"/>
      <c r="TX11" s="37"/>
      <c r="TY11" s="37"/>
      <c r="TZ11" s="37"/>
      <c r="UA11" s="37"/>
      <c r="UB11" s="37"/>
      <c r="UC11" s="37"/>
      <c r="UD11" s="37"/>
      <c r="UE11" s="37"/>
      <c r="UF11" s="37"/>
      <c r="UG11" s="37"/>
      <c r="UH11" s="37"/>
      <c r="UI11" s="37"/>
      <c r="UJ11" s="37"/>
      <c r="UK11" s="37"/>
      <c r="UL11" s="37"/>
      <c r="UM11" s="37"/>
      <c r="UN11" s="37"/>
      <c r="UO11" s="37"/>
      <c r="UP11" s="37"/>
      <c r="UQ11" s="37"/>
      <c r="UR11" s="37"/>
      <c r="US11" s="37"/>
      <c r="UT11" s="37"/>
      <c r="UU11" s="37"/>
      <c r="UV11" s="37"/>
      <c r="UW11" s="37"/>
      <c r="UX11" s="37"/>
      <c r="UY11" s="37"/>
      <c r="UZ11" s="37"/>
      <c r="VA11" s="37"/>
      <c r="VB11" s="37"/>
      <c r="VC11" s="37"/>
      <c r="VD11" s="37"/>
      <c r="VE11" s="37"/>
      <c r="VF11" s="37"/>
      <c r="VG11" s="37"/>
      <c r="VH11" s="37"/>
      <c r="VI11" s="37"/>
      <c r="VJ11" s="37"/>
      <c r="VK11" s="37"/>
      <c r="VL11" s="37"/>
      <c r="VM11" s="37"/>
      <c r="VN11" s="37"/>
      <c r="VO11" s="37"/>
      <c r="VP11" s="37"/>
      <c r="VQ11" s="37"/>
      <c r="VR11" s="37"/>
      <c r="VS11" s="37"/>
      <c r="VT11" s="37"/>
      <c r="VU11" s="37"/>
      <c r="VV11" s="37"/>
      <c r="VW11" s="37"/>
      <c r="VX11" s="37"/>
      <c r="VY11" s="37"/>
      <c r="VZ11" s="37"/>
      <c r="WA11" s="37"/>
      <c r="WB11" s="37"/>
      <c r="WC11" s="37"/>
      <c r="WD11" s="37"/>
      <c r="WE11" s="37"/>
      <c r="WF11" s="37"/>
      <c r="WG11" s="37"/>
      <c r="WH11" s="37"/>
      <c r="WI11" s="37"/>
      <c r="WJ11" s="37"/>
      <c r="WK11" s="37"/>
      <c r="WL11" s="37"/>
      <c r="WM11" s="37"/>
      <c r="WN11" s="37"/>
      <c r="WO11" s="37"/>
      <c r="WP11" s="37"/>
      <c r="WQ11" s="37"/>
      <c r="WR11" s="37"/>
      <c r="WS11" s="37"/>
      <c r="WT11" s="37"/>
      <c r="WU11" s="37"/>
      <c r="WV11" s="37"/>
      <c r="WW11" s="37"/>
      <c r="WX11" s="37"/>
      <c r="WY11" s="37"/>
      <c r="WZ11" s="37"/>
      <c r="XA11" s="37"/>
      <c r="XB11" s="37"/>
      <c r="XC11" s="37"/>
      <c r="XD11" s="37"/>
      <c r="XE11" s="37"/>
      <c r="XF11" s="37"/>
      <c r="XG11" s="37"/>
      <c r="XH11" s="37"/>
      <c r="XI11" s="37"/>
      <c r="XJ11" s="37"/>
      <c r="XK11" s="37"/>
      <c r="XL11" s="37"/>
      <c r="XM11" s="37"/>
      <c r="XN11" s="37"/>
      <c r="XO11" s="37"/>
      <c r="XP11" s="37"/>
      <c r="XQ11" s="37"/>
      <c r="XR11" s="37"/>
      <c r="XS11" s="37"/>
      <c r="XT11" s="37"/>
      <c r="XU11" s="37"/>
      <c r="XV11" s="37"/>
      <c r="XW11" s="37"/>
      <c r="XX11" s="37"/>
      <c r="XY11" s="37"/>
      <c r="XZ11" s="37"/>
      <c r="YA11" s="37"/>
      <c r="YB11" s="37"/>
      <c r="YC11" s="37"/>
      <c r="YD11" s="37"/>
      <c r="YE11" s="37"/>
      <c r="YF11" s="37"/>
      <c r="YG11" s="37"/>
      <c r="YH11" s="37"/>
      <c r="YI11" s="37"/>
      <c r="YJ11" s="37"/>
      <c r="YK11" s="37"/>
      <c r="YL11" s="37"/>
      <c r="YM11" s="37"/>
      <c r="YN11" s="37"/>
      <c r="YO11" s="37"/>
      <c r="YP11" s="37"/>
      <c r="YQ11" s="37"/>
      <c r="YR11" s="37"/>
      <c r="YS11" s="37"/>
      <c r="YT11" s="37"/>
      <c r="YU11" s="37"/>
      <c r="YV11" s="37"/>
      <c r="YW11" s="37"/>
      <c r="YX11" s="37"/>
      <c r="YY11" s="37"/>
      <c r="YZ11" s="37"/>
      <c r="ZA11" s="37"/>
      <c r="ZB11" s="37"/>
      <c r="ZC11" s="37"/>
      <c r="ZD11" s="37"/>
      <c r="ZE11" s="37"/>
      <c r="ZF11" s="37"/>
      <c r="ZG11" s="37"/>
      <c r="ZH11" s="37"/>
      <c r="ZI11" s="37"/>
      <c r="ZJ11" s="37"/>
      <c r="ZK11" s="37"/>
      <c r="ZL11" s="37"/>
      <c r="ZM11" s="37"/>
      <c r="ZN11" s="37"/>
      <c r="ZO11" s="37"/>
      <c r="ZP11" s="37"/>
      <c r="ZQ11" s="37"/>
      <c r="ZR11" s="37"/>
      <c r="ZS11" s="37"/>
      <c r="ZT11" s="37"/>
      <c r="ZU11" s="37"/>
      <c r="ZV11" s="37"/>
      <c r="ZW11" s="37"/>
      <c r="ZX11" s="37"/>
      <c r="ZY11" s="37"/>
      <c r="ZZ11" s="37"/>
      <c r="AAA11" s="37"/>
      <c r="AAB11" s="37"/>
      <c r="AAC11" s="37"/>
      <c r="AAD11" s="37"/>
      <c r="AAE11" s="37"/>
      <c r="AAF11" s="37"/>
      <c r="AAG11" s="37"/>
      <c r="AAH11" s="37"/>
      <c r="AAI11" s="37"/>
      <c r="AAJ11" s="37"/>
      <c r="AAK11" s="37"/>
      <c r="AAL11" s="37"/>
      <c r="AAM11" s="37"/>
      <c r="AAN11" s="37"/>
      <c r="AAO11" s="37"/>
      <c r="AAP11" s="37"/>
      <c r="AAQ11" s="37"/>
      <c r="AAR11" s="37"/>
      <c r="AAS11" s="37"/>
      <c r="AAT11" s="37"/>
      <c r="AAU11" s="37"/>
      <c r="AAV11" s="37"/>
      <c r="AAW11" s="37"/>
      <c r="AAX11" s="37"/>
      <c r="AAY11" s="37"/>
      <c r="AAZ11" s="37"/>
      <c r="ABA11" s="37"/>
      <c r="ABB11" s="37"/>
      <c r="ABC11" s="37"/>
      <c r="ABD11" s="37"/>
      <c r="ABE11" s="37"/>
      <c r="ABF11" s="37"/>
      <c r="ABG11" s="37"/>
      <c r="ABH11" s="37"/>
      <c r="ABI11" s="37"/>
      <c r="ABJ11" s="37"/>
      <c r="ABK11" s="37"/>
      <c r="ABL11" s="37"/>
      <c r="ABM11" s="37"/>
      <c r="ABN11" s="37"/>
      <c r="ABO11" s="37"/>
      <c r="ABP11" s="37"/>
      <c r="ABQ11" s="37"/>
      <c r="ABR11" s="37"/>
      <c r="ABS11" s="37"/>
      <c r="ABT11" s="37"/>
      <c r="ABU11" s="37"/>
      <c r="ABV11" s="37"/>
      <c r="ABW11" s="37"/>
      <c r="ABX11" s="37"/>
      <c r="ABY11" s="37"/>
      <c r="ABZ11" s="37"/>
      <c r="ACA11" s="37"/>
      <c r="ACB11" s="37"/>
      <c r="ACC11" s="37"/>
      <c r="ACD11" s="37"/>
      <c r="ACE11" s="37"/>
      <c r="ACF11" s="37"/>
      <c r="ACG11" s="37"/>
      <c r="ACH11" s="37"/>
      <c r="ACI11" s="37"/>
      <c r="ACJ11" s="37"/>
      <c r="ACK11" s="37"/>
      <c r="ACL11" s="37"/>
      <c r="ACM11" s="37"/>
      <c r="ACN11" s="37"/>
      <c r="ACO11" s="37"/>
      <c r="ACP11" s="37"/>
      <c r="ACQ11" s="37"/>
      <c r="ACR11" s="37"/>
      <c r="ACS11" s="37"/>
      <c r="ACT11" s="37"/>
      <c r="ACU11" s="37"/>
      <c r="ACV11" s="37"/>
      <c r="ACW11" s="37"/>
      <c r="ACX11" s="37"/>
      <c r="ACY11" s="37"/>
      <c r="ACZ11" s="37"/>
      <c r="ADA11" s="37"/>
      <c r="ADB11" s="37"/>
      <c r="ADC11" s="37"/>
      <c r="ADD11" s="37"/>
      <c r="ADE11" s="37"/>
      <c r="ADF11" s="37"/>
      <c r="ADG11" s="37"/>
      <c r="ADH11" s="37"/>
      <c r="ADI11" s="37"/>
      <c r="ADJ11" s="37"/>
      <c r="ADK11" s="37"/>
      <c r="ADL11" s="37"/>
      <c r="ADM11" s="37"/>
      <c r="ADN11" s="37"/>
      <c r="ADO11" s="37"/>
      <c r="ADP11" s="37"/>
      <c r="ADQ11" s="37"/>
      <c r="ADR11" s="37"/>
      <c r="ADS11" s="37"/>
      <c r="ADT11" s="37"/>
      <c r="ADU11" s="37"/>
      <c r="ADV11" s="37"/>
      <c r="ADW11" s="37"/>
      <c r="ADX11" s="37"/>
      <c r="ADY11" s="37"/>
      <c r="ADZ11" s="37"/>
      <c r="AEA11" s="37"/>
      <c r="AEB11" s="37"/>
      <c r="AEC11" s="37"/>
      <c r="AED11" s="37"/>
      <c r="AEE11" s="37"/>
      <c r="AEF11" s="37"/>
      <c r="AEG11" s="37"/>
      <c r="AEH11" s="37"/>
      <c r="AEI11" s="37"/>
      <c r="AEJ11" s="37"/>
      <c r="AEK11" s="37"/>
      <c r="AEL11" s="37"/>
      <c r="AEM11" s="37"/>
      <c r="AEN11" s="37"/>
      <c r="AEO11" s="37"/>
      <c r="AEP11" s="37"/>
      <c r="AEQ11" s="37"/>
      <c r="AER11" s="37"/>
      <c r="AES11" s="37"/>
      <c r="AET11" s="37"/>
      <c r="AEU11" s="37"/>
      <c r="AEV11" s="37"/>
      <c r="AEW11" s="37"/>
      <c r="AEX11" s="37"/>
      <c r="AEY11" s="37"/>
      <c r="AEZ11" s="37"/>
      <c r="AFA11" s="37"/>
      <c r="AFB11" s="37"/>
      <c r="AFC11" s="37"/>
      <c r="AFD11" s="37"/>
      <c r="AFE11" s="37"/>
      <c r="AFF11" s="37"/>
      <c r="AFG11" s="37"/>
      <c r="AFH11" s="37"/>
      <c r="AFI11" s="37"/>
      <c r="AFJ11" s="37"/>
      <c r="AFK11" s="37"/>
      <c r="AFL11" s="37"/>
      <c r="AFM11" s="37"/>
      <c r="AFN11" s="37"/>
      <c r="AFO11" s="37"/>
      <c r="AFP11" s="37"/>
      <c r="AFQ11" s="37"/>
      <c r="AFR11" s="37"/>
      <c r="AFS11" s="37"/>
      <c r="AFT11" s="37"/>
      <c r="AFU11" s="37"/>
      <c r="AFV11" s="37"/>
      <c r="AFW11" s="37"/>
      <c r="AFX11" s="37"/>
      <c r="AFY11" s="37"/>
      <c r="AFZ11" s="37"/>
      <c r="AGA11" s="37"/>
      <c r="AGB11" s="37"/>
      <c r="AGC11" s="37"/>
      <c r="AGD11" s="37"/>
      <c r="AGE11" s="37"/>
      <c r="AGF11" s="37"/>
      <c r="AGG11" s="37"/>
      <c r="AGH11" s="37"/>
      <c r="AGI11" s="37"/>
      <c r="AGJ11" s="37"/>
      <c r="AGK11" s="37"/>
      <c r="AGL11" s="37"/>
      <c r="AGM11" s="37"/>
      <c r="AGN11" s="37"/>
      <c r="AGO11" s="37"/>
      <c r="AGP11" s="37"/>
      <c r="AGQ11" s="37"/>
      <c r="AGR11" s="37"/>
      <c r="AGS11" s="37"/>
      <c r="AGT11" s="37"/>
      <c r="AGU11" s="37"/>
      <c r="AGV11" s="37"/>
      <c r="AGW11" s="37"/>
      <c r="AGX11" s="37"/>
      <c r="AGY11" s="37"/>
      <c r="AGZ11" s="37"/>
      <c r="AHA11" s="37"/>
      <c r="AHB11" s="37"/>
      <c r="AHC11" s="37"/>
      <c r="AHD11" s="37"/>
      <c r="AHE11" s="37"/>
      <c r="AHF11" s="37"/>
      <c r="AHG11" s="37"/>
      <c r="AHH11" s="37"/>
      <c r="AHI11" s="37"/>
      <c r="AHJ11" s="37"/>
      <c r="AHK11" s="37"/>
      <c r="AHL11" s="37"/>
      <c r="AHM11" s="37"/>
      <c r="AHN11" s="37"/>
      <c r="AHO11" s="37"/>
      <c r="AHP11" s="37"/>
      <c r="AHQ11" s="37"/>
      <c r="AHR11" s="37"/>
      <c r="AHS11" s="37"/>
      <c r="AHT11" s="37"/>
      <c r="AHU11" s="37"/>
      <c r="AHV11" s="37"/>
      <c r="AHW11" s="37"/>
      <c r="AHX11" s="37"/>
      <c r="AHY11" s="37"/>
      <c r="AHZ11" s="37"/>
      <c r="AIA11" s="37"/>
      <c r="AIB11" s="37"/>
      <c r="AIC11" s="37"/>
      <c r="AID11" s="37"/>
      <c r="AIE11" s="37"/>
      <c r="AIF11" s="37"/>
      <c r="AIG11" s="37"/>
      <c r="AIH11" s="37"/>
      <c r="AII11" s="37"/>
      <c r="AIJ11" s="37"/>
      <c r="AIK11" s="37"/>
      <c r="AIL11" s="37"/>
      <c r="AIM11" s="37"/>
      <c r="AIN11" s="37"/>
      <c r="AIO11" s="37"/>
      <c r="AIP11" s="37"/>
      <c r="AIQ11" s="37"/>
      <c r="AIR11" s="37"/>
      <c r="AIS11" s="37"/>
      <c r="AIT11" s="37"/>
      <c r="AIU11" s="37"/>
      <c r="AIV11" s="37"/>
      <c r="AIW11" s="37"/>
      <c r="AIX11" s="37"/>
      <c r="AIY11" s="37"/>
      <c r="AIZ11" s="37"/>
      <c r="AJA11" s="37"/>
      <c r="AJB11" s="37"/>
      <c r="AJC11" s="37"/>
      <c r="AJD11" s="37"/>
      <c r="AJE11" s="37"/>
      <c r="AJF11" s="37"/>
      <c r="AJG11" s="37"/>
      <c r="AJH11" s="37"/>
      <c r="AJI11" s="37"/>
      <c r="AJJ11" s="37"/>
      <c r="AJK11" s="37"/>
      <c r="AJL11" s="37"/>
      <c r="AJM11" s="37"/>
      <c r="AJN11" s="37"/>
      <c r="AJO11" s="37"/>
      <c r="AJP11" s="37"/>
      <c r="AJQ11" s="37"/>
      <c r="AJR11" s="37"/>
      <c r="AJS11" s="37"/>
      <c r="AJT11" s="37"/>
      <c r="AJU11" s="37"/>
      <c r="AJV11" s="37"/>
      <c r="AJW11" s="37"/>
      <c r="AJX11" s="37"/>
      <c r="AJY11" s="37"/>
      <c r="AJZ11" s="37"/>
      <c r="AKA11" s="37"/>
      <c r="AKB11" s="37"/>
      <c r="AKC11" s="37"/>
      <c r="AKD11" s="37"/>
      <c r="AKE11" s="37"/>
      <c r="AKF11" s="37"/>
      <c r="AKG11" s="37"/>
      <c r="AKH11" s="37"/>
      <c r="AKI11" s="37"/>
      <c r="AKJ11" s="37"/>
      <c r="AKK11" s="37"/>
      <c r="AKL11" s="37"/>
      <c r="AKM11" s="37"/>
      <c r="AKN11" s="37"/>
      <c r="AKO11" s="37"/>
      <c r="AKP11" s="37"/>
      <c r="AKQ11" s="37"/>
      <c r="AKR11" s="37"/>
      <c r="AKS11" s="37"/>
      <c r="AKT11" s="37"/>
      <c r="AKU11" s="37"/>
      <c r="AKV11" s="37"/>
      <c r="AKW11" s="37"/>
      <c r="AKX11" s="37"/>
      <c r="AKY11" s="37"/>
      <c r="AKZ11" s="37"/>
      <c r="ALA11" s="37"/>
      <c r="ALB11" s="37"/>
      <c r="ALC11" s="37"/>
      <c r="ALD11" s="37"/>
      <c r="ALE11" s="37"/>
      <c r="ALF11" s="37"/>
      <c r="ALG11" s="37"/>
      <c r="ALH11" s="37"/>
      <c r="ALI11" s="37"/>
      <c r="ALJ11" s="37"/>
      <c r="ALK11" s="37"/>
      <c r="ALL11" s="37"/>
      <c r="ALM11" s="37"/>
      <c r="ALN11" s="37"/>
      <c r="ALO11" s="37"/>
      <c r="ALP11" s="37"/>
      <c r="ALQ11" s="37"/>
      <c r="ALR11" s="37"/>
      <c r="ALS11" s="37"/>
      <c r="ALT11" s="37"/>
      <c r="ALU11" s="37"/>
      <c r="ALV11" s="37"/>
      <c r="ALW11" s="37"/>
      <c r="ALX11" s="37"/>
      <c r="ALY11" s="37"/>
      <c r="ALZ11" s="37"/>
      <c r="AMA11" s="37"/>
      <c r="AMB11" s="37"/>
      <c r="AMC11" s="37"/>
      <c r="AMD11" s="37"/>
      <c r="AME11" s="37"/>
      <c r="AMF11" s="37"/>
      <c r="AMG11" s="37"/>
      <c r="AMH11" s="37"/>
      <c r="AMI11" s="37"/>
      <c r="AMJ11" s="37"/>
    </row>
    <row r="12" ht="15.75" customHeight="1">
      <c r="A12" s="8"/>
      <c r="B12" s="8"/>
      <c r="C12" s="78"/>
      <c r="D12" s="78"/>
      <c r="E12" s="78"/>
      <c r="F12" s="78"/>
      <c r="G12" s="78"/>
      <c r="H12" s="78"/>
      <c r="I12" s="8"/>
      <c r="J12" s="8"/>
      <c r="K12" s="8"/>
      <c r="L12" s="8"/>
      <c r="M12" s="8"/>
      <c r="N12" s="8"/>
      <c r="O12" s="8"/>
      <c r="AN12" s="7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n available module" sqref="C3">
      <formula1>'_Modules'!$A$4:$A$1000</formula1>
    </dataValidation>
  </dataValidations>
  <headerFooter/>
  <drawing r:id="rId1"/>
</worksheet>
</file>