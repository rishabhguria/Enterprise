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StageOrder" sheetId="7" r:id="rId9"/>
    <sheet state="visible" name="CreateDoneAwayOrder" sheetId="8" r:id="rId10"/>
    <sheet state="visible" name="RemoveStageOrder" sheetId="9" r:id="rId11"/>
    <sheet state="visible" name="MergeOrder" sheetId="10" r:id="rId12"/>
    <sheet state="visible" name="VerifyMergeOrder" sheetId="11" r:id="rId13"/>
  </sheets>
  <definedNames/>
  <calcPr/>
</workbook>
</file>

<file path=xl/sharedStrings.xml><?xml version="1.0" encoding="utf-8"?>
<sst xmlns="http://schemas.openxmlformats.org/spreadsheetml/2006/main" count="110" uniqueCount="40">
  <si>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</si>
  <si>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</si>
  <si>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</si>
  <si>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</si>
  <si>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</si>
  <si>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</si>
  <si>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</si>
  <si>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</si>
  <si>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</si>
  <si>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</si>
  <si>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</si>
  <si>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</si>
  <si>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</si>
  <si>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</si>
  <si>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</si>
  <si>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</si>
  <si>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TEST1</t>
  </si>
  <si>
    <t>SetAccountValueCalculatedPref</t>
  </si>
  <si>
    <t>Allocation1</t>
  </si>
  <si>
    <t>Allocation3</t>
  </si>
  <si>
    <t>SetDefaultRuleCalculatedPref</t>
  </si>
  <si>
    <t>Prorata</t>
  </si>
  <si>
    <t>Allocation1,Allocation3</t>
  </si>
  <si>
    <t>TradingTicket</t>
  </si>
  <si>
    <t>CreateStageOrder</t>
  </si>
  <si>
    <t>IBM</t>
  </si>
  <si>
    <t>Buy</t>
  </si>
  <si>
    <t>CreateDoneAwayOrder</t>
  </si>
  <si>
    <t>Blotter</t>
  </si>
  <si>
    <t>RemoveStageOrder</t>
  </si>
  <si>
    <t>Filled</t>
  </si>
  <si>
    <t>Market</t>
  </si>
  <si>
    <t>MergeOrder</t>
  </si>
  <si>
    <t>New</t>
  </si>
  <si>
    <t>MS</t>
  </si>
  <si>
    <t>IBM US EQUITY</t>
  </si>
  <si>
    <t>Equity</t>
  </si>
  <si>
    <t>NASDAQ</t>
  </si>
  <si>
    <t>Yes</t>
  </si>
  <si>
    <t>VerifyMergeOrder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</si>
</sst>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color rgb="FF000000"/>
      <name val="Roboto"/>
    </font>
    <font>
      <sz val="9.0"/>
      <color rgb="FF000000"/>
      <name val="&quot;Segoe UI&quot;"/>
    </font>
    <font>
      <b/>
      <sz val="9.0"/>
      <color rgb="FF000000"/>
      <name val="Arial"/>
    </font>
    <font>
      <b/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4" numFmtId="0" xfId="0" applyAlignment="1" applyFill="1" applyFont="1">
      <alignment readingOrder="0"/>
    </xf>
    <xf borderId="0" fillId="6" fontId="1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7" fontId="15" numFmtId="0" xfId="0" applyAlignment="1" applyBorder="1" applyFill="1" applyFont="1">
      <alignment horizontal="right" vertical="top"/>
    </xf>
    <xf borderId="6" fillId="7" fontId="15" numFmtId="0" xfId="0" applyAlignment="1" applyBorder="1" applyFont="1">
      <alignment horizontal="right" vertical="top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7" fillId="6" fontId="14" numFmtId="0" xfId="0" applyAlignment="1" applyBorder="1" applyFont="1">
      <alignment vertical="bottom"/>
    </xf>
    <xf borderId="6" fillId="8" fontId="3" numFmtId="0" xfId="0" applyAlignment="1" applyBorder="1" applyFill="1" applyFont="1">
      <alignment vertical="top"/>
    </xf>
    <xf borderId="6" fillId="7" fontId="3" numFmtId="0" xfId="0" applyAlignment="1" applyBorder="1" applyFont="1">
      <alignment vertical="top"/>
    </xf>
    <xf borderId="7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8" fontId="3" numFmtId="0" xfId="0" applyAlignment="1" applyBorder="1" applyFont="1">
      <alignment vertical="top"/>
    </xf>
    <xf borderId="5" fillId="7" fontId="3" numFmtId="0" xfId="0" applyAlignment="1" applyBorder="1" applyFont="1">
      <alignment vertical="top"/>
    </xf>
    <xf borderId="7" fillId="8" fontId="15" numFmtId="0" xfId="0" applyAlignment="1" applyBorder="1" applyFont="1">
      <alignment horizontal="right" vertical="top"/>
    </xf>
    <xf borderId="6" fillId="8" fontId="15" numFmtId="0" xfId="0" applyAlignment="1" applyBorder="1" applyFont="1">
      <alignment horizontal="right" vertical="top"/>
    </xf>
    <xf borderId="0" fillId="8" fontId="3" numFmtId="0" xfId="0" applyAlignment="1" applyFont="1">
      <alignment vertical="top"/>
    </xf>
    <xf borderId="6" fillId="7" fontId="3" numFmtId="0" xfId="0" applyAlignment="1" applyBorder="1" applyFont="1">
      <alignment horizontal="right" vertical="top"/>
    </xf>
    <xf borderId="0" fillId="7" fontId="16" numFmtId="0" xfId="0" applyAlignment="1" applyFont="1">
      <alignment horizontal="right" vertical="top"/>
    </xf>
    <xf borderId="8" fillId="7" fontId="3" numFmtId="0" xfId="0" applyAlignment="1" applyBorder="1" applyFont="1">
      <alignment shrinkToFit="0" vertical="top" wrapText="0"/>
    </xf>
    <xf borderId="0" fillId="7" fontId="3" numFmtId="0" xfId="0" applyAlignment="1" applyFont="1">
      <alignment vertical="top"/>
    </xf>
    <xf borderId="0" fillId="8" fontId="17" numFmtId="0" xfId="0" applyAlignment="1" applyFont="1">
      <alignment horizontal="right" vertical="top"/>
    </xf>
    <xf borderId="0" fillId="8" fontId="16" numFmtId="0" xfId="0" applyAlignment="1" applyFont="1">
      <alignment horizontal="right" vertical="top"/>
    </xf>
    <xf borderId="5" fillId="8" fontId="17" numFmtId="0" xfId="0" applyAlignment="1" applyBorder="1" applyFont="1">
      <alignment horizontal="right" vertical="top"/>
    </xf>
    <xf borderId="0" fillId="7" fontId="3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16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3" t="s">
        <v>16</v>
      </c>
      <c r="C6" s="34" t="s">
        <v>18</v>
      </c>
      <c r="D6" s="35">
        <v>60.0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16</v>
      </c>
      <c r="C7" s="34" t="s">
        <v>19</v>
      </c>
      <c r="D7" s="35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30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6"/>
      <c r="C6" s="36"/>
      <c r="D6" s="34" t="s">
        <v>21</v>
      </c>
      <c r="E6" s="34" t="s">
        <v>22</v>
      </c>
      <c r="F6" s="36"/>
      <c r="G6" s="37" t="b">
        <v>1</v>
      </c>
      <c r="H6" s="33" t="s">
        <v>16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IFERROR(__xludf.DUMMYFUNCTION("""COMPUTED_VALUE"""),"ShortLocate")</f>
        <v>ShortLocate</v>
      </c>
      <c r="AP5" s="31" t="str">
        <f>IFERROR(__xludf.DUMMYFUNCTION("""COMPUTED_VALUE"""),"ChkBoxBookAsSwap")</f>
        <v>ChkBoxBookAsSwap</v>
      </c>
      <c r="AQ5" s="31" t="str">
        <f>IFERROR(__xludf.DUMMYFUNCTION("""COMPUTED_VALUE"""),"Interest Rate")</f>
        <v>Interest Rate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8" t="s">
        <v>25</v>
      </c>
      <c r="C6" s="39" t="s">
        <v>26</v>
      </c>
      <c r="D6" s="40">
        <v>100.0</v>
      </c>
      <c r="E6" s="41"/>
      <c r="F6" s="42" t="s">
        <v>16</v>
      </c>
      <c r="G6" s="41"/>
      <c r="H6" s="41"/>
      <c r="I6" s="43"/>
      <c r="J6" s="40">
        <v>110.0</v>
      </c>
      <c r="K6" s="39"/>
      <c r="L6" s="44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5"/>
      <c r="B7" s="38" t="s">
        <v>25</v>
      </c>
      <c r="C7" s="38" t="s">
        <v>26</v>
      </c>
      <c r="D7" s="46">
        <v>300.0</v>
      </c>
      <c r="E7" s="47"/>
      <c r="F7" s="42" t="s">
        <v>16</v>
      </c>
      <c r="G7" s="47"/>
      <c r="H7" s="47"/>
      <c r="I7" s="48"/>
      <c r="J7" s="46">
        <v>110.0</v>
      </c>
      <c r="K7" s="38"/>
      <c r="L7" s="49"/>
      <c r="M7" s="47"/>
      <c r="N7" s="47"/>
      <c r="O7" s="47"/>
      <c r="P7" s="47"/>
      <c r="Q7" s="47"/>
      <c r="R7" s="47"/>
      <c r="S7" s="47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5"/>
      <c r="B6" s="39" t="s">
        <v>25</v>
      </c>
      <c r="C6" s="39" t="s">
        <v>26</v>
      </c>
      <c r="D6" s="40">
        <v>200.0</v>
      </c>
      <c r="E6" s="41"/>
      <c r="F6" s="42" t="s">
        <v>16</v>
      </c>
      <c r="G6" s="41"/>
      <c r="H6" s="41"/>
      <c r="I6" s="43"/>
      <c r="J6" s="40">
        <v>110.0</v>
      </c>
      <c r="K6" s="39"/>
      <c r="L6" s="44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1")</f>
        <v>Trade Attribute 1</v>
      </c>
      <c r="N5" s="29" t="str">
        <f>IFERROR(__xludf.DUMMYFUNCTION("""COMPUTED_VALUE"""),"Trade Attribute 2")</f>
        <v>Trade Attribute 2</v>
      </c>
      <c r="O5" s="29" t="str">
        <f>IFERROR(__xludf.DUMMYFUNCTION("""COMPUTED_VALUE"""),"Trade Attribute 3")</f>
        <v>Trade Attribute 3</v>
      </c>
      <c r="P5" s="29" t="str">
        <f>IFERROR(__xludf.DUMMYFUNCTION("""COMPUTED_VALUE"""),"Trade Attribute 4")</f>
        <v>Trade Attribute 4</v>
      </c>
      <c r="Q5" s="29" t="str">
        <f>IFERROR(__xludf.DUMMYFUNCTION("""COMPUTED_VALUE"""),"Trade Attribute 5")</f>
        <v>Trade Attribute 5</v>
      </c>
      <c r="R5" s="29" t="str">
        <f>IFERROR(__xludf.DUMMYFUNCTION("""COMPUTED_VALUE"""),"Trade Attribute 6")</f>
        <v>Trade Attribute 6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IFERROR(__xludf.DUMMYFUNCTION("""COMPUTED_VALUE"""),"Remaining Qty")</f>
        <v>Remaining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5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50" t="s">
        <v>25</v>
      </c>
      <c r="AJ6" s="51" t="s">
        <v>26</v>
      </c>
      <c r="AK6" s="41" t="s">
        <v>30</v>
      </c>
      <c r="AL6" s="40">
        <v>200.0</v>
      </c>
      <c r="AM6" s="36"/>
      <c r="AN6" s="36"/>
      <c r="AO6" s="36"/>
      <c r="AP6" s="36"/>
      <c r="AQ6" s="36"/>
      <c r="AR6" s="36"/>
      <c r="AS6" s="36"/>
      <c r="AT6" s="52"/>
      <c r="AU6" s="52" t="s">
        <v>31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IFERROR(__xludf.DUMMYFUNCTION("""COMPUTED_VALUE"""),"Allow Merge")</f>
        <v>Allow Merge</v>
      </c>
      <c r="BB5" s="31" t="str">
        <f>IFERROR(__xludf.DUMMYFUNCTION("""COMPUTED_VALUE"""),"ButtonClick")</f>
        <v>ButtonClick</v>
      </c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44"/>
      <c r="C6" s="41"/>
      <c r="D6" s="44" t="s">
        <v>25</v>
      </c>
      <c r="E6" s="41"/>
      <c r="F6" s="44" t="s">
        <v>26</v>
      </c>
      <c r="G6" s="44" t="s">
        <v>33</v>
      </c>
      <c r="H6" s="53">
        <v>100.0</v>
      </c>
      <c r="I6" s="41"/>
      <c r="J6" s="41"/>
      <c r="K6" s="41"/>
      <c r="L6" s="41"/>
      <c r="M6" s="41"/>
      <c r="N6" s="41"/>
      <c r="O6" s="41"/>
      <c r="P6" s="41"/>
      <c r="Q6" s="44" t="s">
        <v>34</v>
      </c>
      <c r="R6" s="44"/>
      <c r="S6" s="41"/>
      <c r="T6" s="54" t="s">
        <v>31</v>
      </c>
      <c r="U6" s="36"/>
      <c r="V6" s="36"/>
      <c r="W6" s="36"/>
      <c r="X6" s="36"/>
      <c r="Y6" s="45"/>
      <c r="Z6" s="41"/>
      <c r="AA6" s="41"/>
      <c r="AB6" s="55" t="s">
        <v>35</v>
      </c>
      <c r="AC6" s="36"/>
      <c r="AD6" s="36"/>
      <c r="AE6" s="36"/>
      <c r="AF6" s="56" t="s">
        <v>36</v>
      </c>
      <c r="AG6" s="36"/>
      <c r="AH6" s="36"/>
      <c r="AI6" s="36"/>
      <c r="AJ6" s="36" t="s">
        <v>37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38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6"/>
      <c r="C7" s="36"/>
      <c r="D7" s="57" t="s">
        <v>25</v>
      </c>
      <c r="E7" s="36"/>
      <c r="F7" s="57" t="s">
        <v>26</v>
      </c>
      <c r="G7" s="57" t="s">
        <v>33</v>
      </c>
      <c r="H7" s="58">
        <v>300.0</v>
      </c>
      <c r="I7" s="36"/>
      <c r="J7" s="36"/>
      <c r="K7" s="36"/>
      <c r="L7" s="36"/>
      <c r="M7" s="36"/>
      <c r="N7" s="36"/>
      <c r="O7" s="45"/>
      <c r="P7" s="47"/>
      <c r="Q7" s="59" t="s">
        <v>34</v>
      </c>
      <c r="R7" s="49"/>
      <c r="S7" s="36"/>
      <c r="T7" s="54" t="s">
        <v>31</v>
      </c>
      <c r="U7" s="36"/>
      <c r="V7" s="36"/>
      <c r="W7" s="36"/>
      <c r="X7" s="36"/>
      <c r="Y7" s="36"/>
      <c r="Z7" s="36"/>
      <c r="AA7" s="36"/>
      <c r="AB7" s="57" t="s">
        <v>35</v>
      </c>
      <c r="AC7" s="36"/>
      <c r="AD7" s="36"/>
      <c r="AE7" s="36"/>
      <c r="AF7" s="57" t="s">
        <v>36</v>
      </c>
      <c r="AG7" s="36"/>
      <c r="AH7" s="36"/>
      <c r="AI7" s="36"/>
      <c r="AJ7" s="36" t="s">
        <v>37</v>
      </c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 t="s">
        <v>38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41"/>
      <c r="C6" s="41"/>
      <c r="D6" s="44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56" t="s">
        <v>25</v>
      </c>
      <c r="AJ6" s="56" t="s">
        <v>26</v>
      </c>
      <c r="AK6" s="56" t="s">
        <v>33</v>
      </c>
      <c r="AL6" s="60">
        <v>400.0</v>
      </c>
      <c r="AM6" s="36"/>
      <c r="AN6" s="36"/>
      <c r="AO6" s="36"/>
      <c r="AP6" s="36"/>
      <c r="AQ6" s="36"/>
      <c r="AR6" s="36"/>
      <c r="AS6" s="56" t="s">
        <v>34</v>
      </c>
      <c r="AT6" s="5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