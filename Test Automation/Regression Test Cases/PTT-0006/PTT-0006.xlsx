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PricingInput" sheetId="9" r:id="rId11"/>
  </sheets>
  <definedNames/>
  <calcPr/>
</workbook>
</file>

<file path=xl/sharedStrings.xml><?xml version="1.0" encoding="utf-8"?>
<sst xmlns="http://schemas.openxmlformats.org/spreadsheetml/2006/main" count="1246" uniqueCount="711">
  <si>
    <t>Modules Info</t>
  </si>
  <si>
    <t>Settings</t>
  </si>
  <si>
    <t>Master Data Info</t>
  </si>
  <si>
    <t>Module</t>
  </si>
  <si>
    <t>Module Step Setting File</t>
  </si>
  <si>
    <t>1h2f3KXzFM1oQF1QB-UxRJg5tgND2XvxngZUfBU5ZvtQ</t>
  </si>
  <si>
    <t>Step</t>
  </si>
  <si>
    <t>Master Data Settings File</t>
  </si>
  <si>
    <t>1OcWcweN_YMvyZIWDw121HrVhVSDG6MrOF1WhtBWDuPU</t>
  </si>
  <si>
    <t>Modules</t>
  </si>
  <si>
    <t>Master Data Sheet</t>
  </si>
  <si>
    <t>Allocate</t>
  </si>
  <si>
    <t>undefined</t>
  </si>
  <si>
    <t>Allocation</t>
  </si>
  <si>
    <t>CheckAllocatedGroups</t>
  </si>
  <si>
    <t>17N-7s6DwOchj07O9h-scB61YQTxDrtaS924-qgGLfAs</t>
  </si>
  <si>
    <t>Unallocate</t>
  </si>
  <si>
    <t>16eYSzSP6jOZGiJ30haDKPeKrzsi8YWCvBcxDIilenm8</t>
  </si>
  <si>
    <t>GetDataAllocation</t>
  </si>
  <si>
    <t>11vTo2-Rjjd-AMuiinGFbk90dzCNVWYlgCkH1orx1LfY</t>
  </si>
  <si>
    <t>SelectAllocatedGroup</t>
  </si>
  <si>
    <t>EditTradesAllocated</t>
  </si>
  <si>
    <t>1rIos7awGrpDhBXfVZCjsWMmWyXmFagkqD4Te2AUcoo4</t>
  </si>
  <si>
    <t>EditTradesUnallocated</t>
  </si>
  <si>
    <t>Reallocate</t>
  </si>
  <si>
    <t>Blotter</t>
  </si>
  <si>
    <t>ReplaceFillsOnBlotter</t>
  </si>
  <si>
    <t>CheckBlotter</t>
  </si>
  <si>
    <t>1l5-7ozQW7_DbdGli8z1IVu3L6ojalLnEiKFXukpUddA</t>
  </si>
  <si>
    <t>GeneralLedger</t>
  </si>
  <si>
    <t>GetDataCash</t>
  </si>
  <si>
    <t>1Wb1HyCeaJnwnTIA4ZMCx3gKcHujHCWPTU5Rva2XLUe8</t>
  </si>
  <si>
    <t>EnterCashDividends</t>
  </si>
  <si>
    <t>1m-JuioCX0dUYqn26TXv8zxRXQ1pdAT_8gFRhrvzieRo</t>
  </si>
  <si>
    <t>EnterNonTradingTransaction</t>
  </si>
  <si>
    <t>1OMVgv6OUQr5AFuypYJBeMvOPalGTADom5Bk3oXbZM_U</t>
  </si>
  <si>
    <t>TradeUsingTT</t>
  </si>
  <si>
    <t>VerifyCash</t>
  </si>
  <si>
    <t>1_TMZLDK5bswJqu6AqYfHDq_c5CPaL6knuuZYH6QD7Wk</t>
  </si>
  <si>
    <t>TTTrades</t>
  </si>
  <si>
    <t>1Q0knOJ8odySzW9kzE5w8PdOc44G2QBZUfKg5ZvUx-xw</t>
  </si>
  <si>
    <t>VerifyActivity</t>
  </si>
  <si>
    <t>1QIX0LLIb77mJLSdYDlv9wzOyJATZB5qarKwueun9qd8</t>
  </si>
  <si>
    <t>TradesForAllocation</t>
  </si>
  <si>
    <t>VerifyTradingTransaction</t>
  </si>
  <si>
    <t>1-RJhOo2E5PhyqaiMEjsPi8RpfYBuiSqE9fj_-bRpkKw</t>
  </si>
  <si>
    <t>1kby0vDUjdouswJMytrKvhd-uYxFRiHheQCi02ilYlGE</t>
  </si>
  <si>
    <t>SelectUnallocatedGroup</t>
  </si>
  <si>
    <t>VerifyRevaluationData</t>
  </si>
  <si>
    <t>1pxWM5fI_ph4WhHBvUtEOFGxiwZIi-BBAvZKmRpQoYi8</t>
  </si>
  <si>
    <t>TradingTicket</t>
  </si>
  <si>
    <t>CorporateAction</t>
  </si>
  <si>
    <t>CreateDoneAwayOrder</t>
  </si>
  <si>
    <t>TTInput</t>
  </si>
  <si>
    <t>1PUPqphHEHUw9WkoVm8ESgs1qQWcxXN0mh--QvT0FQgM</t>
  </si>
  <si>
    <t>1b5S4Xpp4fgZ1ez6cK92QFnVBylqz8jhwxdAyEvwDqUI</t>
  </si>
  <si>
    <t>CreateTransaction</t>
  </si>
  <si>
    <t>SetGroupingRules</t>
  </si>
  <si>
    <t>1EpJDT-T94LPi7oa7vFdA1BbCnaBZrxNxxBPtQcqYuIk</t>
  </si>
  <si>
    <t>GroupingRules</t>
  </si>
  <si>
    <t>1oiITP7kpTv6Zgm5fpjzHWhIjzPRoRqS_CIZxqoxWRkA</t>
  </si>
  <si>
    <t>DailyValuation</t>
  </si>
  <si>
    <t>UpdateBeta</t>
  </si>
  <si>
    <t>1FKDVEXyxbCVlsfXCNbX16GFFP_0o0tqwzVStZXfdSYk</t>
  </si>
  <si>
    <t>CheckUnallocatedGroups</t>
  </si>
  <si>
    <t>UnallocatedGroupCheck</t>
  </si>
  <si>
    <t>UpdateDailyCash</t>
  </si>
  <si>
    <t>1GV9rz0AQXrAamUFNCgKkBK106SdUN9erGMlgSeYUgO0</t>
  </si>
  <si>
    <t>1c7aP-E18Fb8lEVGiXac03BLoNVdUNRzodD2Xjn-9pzU</t>
  </si>
  <si>
    <t>UpdateForexConversion</t>
  </si>
  <si>
    <t>GetTradingTransaction</t>
  </si>
  <si>
    <t>1KJDiTs4px6IexLKnaGTW9CPWDCwrk_Hai9aeJRtCMKg</t>
  </si>
  <si>
    <t>UpdateMarkPrice</t>
  </si>
  <si>
    <t>1GQ1TuTjn8jYSC3zRpHyZ7GCsf_IF9Sv7N-gc65sej2Y</t>
  </si>
  <si>
    <t>1IuJkgEDoDUSnmXhZVZdA_x-3VnlMPyzRsUMpf_eRTTQ</t>
  </si>
  <si>
    <t>Import</t>
  </si>
  <si>
    <t>1ktD09S-jr0jPZNVK85ALg25MrTgVVP8LZzumsAmZOAA</t>
  </si>
  <si>
    <t>1Wybl1BX2sjPWI0uYzeN6KZO-tnk3-pf5NWNrZR7m_8I</t>
  </si>
  <si>
    <t>PortfolioManagement</t>
  </si>
  <si>
    <t>CheckDashboardPM</t>
  </si>
  <si>
    <t>GeneralPreferencesDefaultRule</t>
  </si>
  <si>
    <t>1ypttItfWkDL-srGQoEyUBaLKmO0_xEOFn-kuqUGCM7w</t>
  </si>
  <si>
    <t>GeneralPreferencesDefualtRules</t>
  </si>
  <si>
    <t>1t-y8DW-cux-RoCJhMs9d4iDbW4QOQ-BXfiT1GYQBvbw</t>
  </si>
  <si>
    <t>CheckPortfolioManagement</t>
  </si>
  <si>
    <t>1f1-8fmsdXtSPhepgeqz_sRWU6rusX3RO_1lyH-anqPE</t>
  </si>
  <si>
    <t>GeneralPrefCompanyUserWise</t>
  </si>
  <si>
    <t>GeneralPrefCoUserRules</t>
  </si>
  <si>
    <t>PricingInput</t>
  </si>
  <si>
    <t>1GYUljil1RQwHJwuDE_05g1jQyAeavqXFArJqE0Qh32A</t>
  </si>
  <si>
    <t>154-ES2jrM9C4VoMik8t5SCjN2LjvQHLPe8ANoIosIcc</t>
  </si>
  <si>
    <t>EnterAccountValuesToAllocate</t>
  </si>
  <si>
    <t>AccountValues</t>
  </si>
  <si>
    <t>UpdateSharesOutstanding</t>
  </si>
  <si>
    <t>15aCIJqAO3IRm5flNW-2ef71j3p5cjI_iC3RPiIsbO1A</t>
  </si>
  <si>
    <t>1mOtszotVOdqHquQTLi-4CBnAUrtAF2MEABuvYJh_hzw</t>
  </si>
  <si>
    <t>SymbolLookup</t>
  </si>
  <si>
    <t>185a6j7stfxLvGpQ-uJfOxqLx9U5LQ8bQgkiYTcu02fg</t>
  </si>
  <si>
    <t>CheckFixedPreference</t>
  </si>
  <si>
    <t>1RNofLIplBOnX_vwsD6AecMNF72I9x58kWSMHVy9EgsM</t>
  </si>
  <si>
    <t>SymbolLookupFromTT</t>
  </si>
  <si>
    <t>1lQFsH0Ymygg2dM8SYG7CAzUuQ49Vj7e8M9k5qyqGrLU</t>
  </si>
  <si>
    <t>SetAccountValueCalculatedPref</t>
  </si>
  <si>
    <t>UpdateUDA</t>
  </si>
  <si>
    <t>AccountValueCalculatePref</t>
  </si>
  <si>
    <t>1hhzlsuCUtb3UJzdBUY2YASwzrfwh5kkWKZ__CryH0q8</t>
  </si>
  <si>
    <t>1svq-61dzaRHeNDz1TSSUPXQbbN3Mi4bhNQabvGVoz2c</t>
  </si>
  <si>
    <t>GetSymbol</t>
  </si>
  <si>
    <t>SetDefaultRuleCalculatedPref</t>
  </si>
  <si>
    <t>1TBg-MNV4kC6jy9VMtPFpKY6qQkOJUMWIt0vOFnll76s</t>
  </si>
  <si>
    <t>DefaultRuleCalculatePref</t>
  </si>
  <si>
    <t>1j6MD8nFEuJNo52Mp8uXbXRmrJs802rnEIiTOEuZFdWA</t>
  </si>
  <si>
    <t>GetDataSymbolLookup</t>
  </si>
  <si>
    <t>1lT8fLJpWz6Y1ek4gkd_HzvEMORWVHs36PmftdxjPn8c</t>
  </si>
  <si>
    <t>SetStrategyValueCalculatedPref</t>
  </si>
  <si>
    <t>StrategyValueCalculatedPref</t>
  </si>
  <si>
    <t>ThirdParty</t>
  </si>
  <si>
    <t>GenerateThirdParty</t>
  </si>
  <si>
    <t>1S_ypvd62g4yh7Pz9Y_phNJnv_utC2QtxUWvUSW1K0Dg</t>
  </si>
  <si>
    <t>1rt8inh4u7qHUhCAFSaa2kmPKLkqeh3uljucYajdto60</t>
  </si>
  <si>
    <t>SendThirdParty</t>
  </si>
  <si>
    <t>SetGeneralPreferences</t>
  </si>
  <si>
    <t>GeneralPreferences</t>
  </si>
  <si>
    <t>1lI4loUxqzsE3IjuxIjsVY3cB4J_eTKFPPDuXngut4FE</t>
  </si>
  <si>
    <t>ViewThirdParty</t>
  </si>
  <si>
    <t>Closing</t>
  </si>
  <si>
    <t>AutomaticClosing</t>
  </si>
  <si>
    <t>AutomaticClosingMasterData</t>
  </si>
  <si>
    <t>1zwv-aZp-DRCpq8bqLR0XRiyt0av-GAm0ORqbhnV-FKI</t>
  </si>
  <si>
    <t>SelectThirdPartyName</t>
  </si>
  <si>
    <t>1yvxIOiQg0DYTWSS3FWLWRBq7Abquj5U7zzIW4I77VJw</t>
  </si>
  <si>
    <t>VerifyThirdPartyData</t>
  </si>
  <si>
    <t>1J6USFl78ArvsA9DFC6SLslsuUKpUORa830xO3WvgpWc</t>
  </si>
  <si>
    <t>CleanUp</t>
  </si>
  <si>
    <t>1LBMyCvRJL09OxlPM4XsBZwVMeRYNMZwPbni5bgFp-nE</t>
  </si>
  <si>
    <t>PST</t>
  </si>
  <si>
    <t>RunPST</t>
  </si>
  <si>
    <t>1qWKbft_6EVm2bBP5KYCGhQROz0dxok5JxFofIzn_5ig</t>
  </si>
  <si>
    <t>PSTInputData</t>
  </si>
  <si>
    <t>1RzadZYkK8KPu6GVH0fDScC_vklLvmwneWrwqenxb0AA</t>
  </si>
  <si>
    <t>PSTVerifyData</t>
  </si>
  <si>
    <t>1vQqUrMaQyQyOBryAfgvq6UQ4KqgeOqk9YI41rIT-Lvs</t>
  </si>
  <si>
    <t>PSTFunctionalities</t>
  </si>
  <si>
    <t>1GNZu_eH3PBYRGB_YN7nBEZePFt2eqOXJUrURkDTXd34</t>
  </si>
  <si>
    <t>OpenPSTFromPM</t>
  </si>
  <si>
    <t>1bynVhrR6_qH2eRi8HqxkapNGPv1pDK3rEODiV4UfVyc</t>
  </si>
  <si>
    <t>OpenTTFromPST</t>
  </si>
  <si>
    <t>1-QVMMVxvll4XO0X52Ji70vt-PjjHbRfQR0aPeoMHTtk</t>
  </si>
  <si>
    <t>CashDividend</t>
  </si>
  <si>
    <t>1_NdBoRWbQb5sAI7zSQGN4fhKJ0fFBZhTpbVMM-i97QM</t>
  </si>
  <si>
    <t>Exchange</t>
  </si>
  <si>
    <t>1ZCbWn1Yjl_Ut9ZJndR6r0ZU3zn3NPrQfxpb3UTZeGmM</t>
  </si>
  <si>
    <t>Merger</t>
  </si>
  <si>
    <t>1wZPql7zd4PHmzeGn0w7Q9c6gNh4djD9xMdyyZjEiS5U</t>
  </si>
  <si>
    <t>NameChange</t>
  </si>
  <si>
    <t>1wBCLGHiY9T3YPlJ_-krctPGAgjO0JeeXEa8aEJV9TGE</t>
  </si>
  <si>
    <t>SpinOff</t>
  </si>
  <si>
    <t>1JpxQK9QvwCP-WN8KRTKAmfHCmdWKXmmVBij4RE1iQZE</t>
  </si>
  <si>
    <t>Split</t>
  </si>
  <si>
    <t>15ExnMSOBJjDp1sEuqCOQohEXi3w8t2uTQ1Kr8cYxBEc</t>
  </si>
  <si>
    <t>StockDividend</t>
  </si>
  <si>
    <t>1gcFaCtnFGbYLEip0cUpzX1u33S_VXAgo9BPOv7lCMjs</t>
  </si>
  <si>
    <t>EnterDetailsOnTT</t>
  </si>
  <si>
    <t>EditUnallocatedGroupSidePanel</t>
  </si>
  <si>
    <t>1Ri8d2mKClxy-wlB_8LE4QJy5fGbWX9thzfHnK6Bd_vc</t>
  </si>
  <si>
    <t>TradeAttributeBulkChange</t>
  </si>
  <si>
    <t>1iabQVx7Vr-IJYiWYNi4jcO586rOG7Gaxt7Ty3iu1cMs</t>
  </si>
  <si>
    <t>ApplyBulkUpdateOnGroups</t>
  </si>
  <si>
    <t>1gQ44xdjtUg7c_a8SpmyuCtEIHU4Bu-zP6I8SMnc49P4</t>
  </si>
  <si>
    <t>ApplyPrefetchFilters</t>
  </si>
  <si>
    <t>1EnpS48TFHCagKmJbk5tzC9RyIIva7sPwit33fKHyehM</t>
  </si>
  <si>
    <t>1-cEmDlY-GG9_TO8MIs1gf3N0aFRtiRE0WpOwjoDPjrM</t>
  </si>
  <si>
    <t>1913QmEVihJtmbKSWd6H_SNyjVp_IQGWVeRD0g4EC_3Q</t>
  </si>
  <si>
    <t>RenameTradeAttributes</t>
  </si>
  <si>
    <t>1BPz-efTRHQRiv80ckHR62qzIFWvqa4hJuuWb1lO-qfw</t>
  </si>
  <si>
    <t>10ArFCJW_UbqPAsvOzqwRYuajQ4FGRpULv7JSSS88ebQ</t>
  </si>
  <si>
    <t>SetMasterFundRatio</t>
  </si>
  <si>
    <t>1EKDdHEuTN6Rl14GGLpfK4Vnf_n-HH75B4SCS5CoJNEs</t>
  </si>
  <si>
    <t>1LsJMMfrjyWUapovRiqmsMWYBhe_hCcjL0ydak7DKIL8</t>
  </si>
  <si>
    <t>GetFixedPreference</t>
  </si>
  <si>
    <t>1mVhjJAPQf7e3jV-SyZYbHu-fS_6fOixWMnyBLxxfKSU</t>
  </si>
  <si>
    <t>AddCalculatedPreferences</t>
  </si>
  <si>
    <t>1k_zIDXTZmiXpOkjHAjaGXWRJH-C2h2OAkkRQXXCc3o0</t>
  </si>
  <si>
    <t>BulkChangeCalculatedPreferences</t>
  </si>
  <si>
    <t>1ushNxtecqSZXIW4NKZzO0a_Kz2uq-N0L6qpVG6OF9N0</t>
  </si>
  <si>
    <t>DeleteCalculatedPreferences</t>
  </si>
  <si>
    <t>1ST8gJuSQFKbMQhwQ27FEXX7C3MmpkkiDp7jZqIRoWD0</t>
  </si>
  <si>
    <t>RenameCalculatedPreferences</t>
  </si>
  <si>
    <t>14NIirT_lP1vID38aA1Zjk73Fe-3sGGYVNmc2X_elEMU</t>
  </si>
  <si>
    <t>CopyCalculatedPreferences</t>
  </si>
  <si>
    <t>1ZaS1tbgP61P9IxMKP699U0wup2cOjPSJIXQ_PuXg4xE</t>
  </si>
  <si>
    <t>RunAutoGroup</t>
  </si>
  <si>
    <t>1XGtj3u9s-duMODLzHhdG8aQbk1OBtmzSGFwriKegixQ</t>
  </si>
  <si>
    <t>BookOrUpdateSwap</t>
  </si>
  <si>
    <t>1VXGmWC5rzEiStUkGdueohp27HPI7LGeBjzSqQO7zgAY</t>
  </si>
  <si>
    <t>RunProrata</t>
  </si>
  <si>
    <t>1o0rE7Tk4JVhft9zJxkZ9symfdmwF0JDLjRcsUVmYmbM</t>
  </si>
  <si>
    <t>1b1B_oTlfewskJvIGkMftvQQpB1BcFiMCLXZ0kVT8gGc</t>
  </si>
  <si>
    <t>Admin</t>
  </si>
  <si>
    <t>SetTTUIPreferences</t>
  </si>
  <si>
    <t>17iRUbT4ZX5QESvFCR4VecMwsOcMFKnDTt4cRJYSkmEo</t>
  </si>
  <si>
    <t>TTPermissionLevel</t>
  </si>
  <si>
    <t>1k99gCwzajXRVGg8LHmf6mQ88n77CMKTaD8LfXK2GTkw</t>
  </si>
  <si>
    <t>ValidateSymbolTT</t>
  </si>
  <si>
    <t>1TS7dbrMmOe3RYrgvj48IyHOEvCjwnuyVn8RRcrpxVB8</t>
  </si>
  <si>
    <t>VerifyDataTT</t>
  </si>
  <si>
    <t>SetUIPreferencesTT</t>
  </si>
  <si>
    <t>1ZDEF_3gEk5Voblq6BSFtSZHDZvCMt1Lhs8LNFeO0zi8</t>
  </si>
  <si>
    <t>SetBrokerWisePreferencesTT</t>
  </si>
  <si>
    <t>1KouURxI0e7PbYk19jgzz_T1B5H7a4pXWzoG10FxEX7Q</t>
  </si>
  <si>
    <t>BlotterFunctionalities</t>
  </si>
  <si>
    <t>1z-SSSuVDNYg-18ABt7rchANI6hhL9iu7xWGQUBMCRxs</t>
  </si>
  <si>
    <t>TradeNewSub</t>
  </si>
  <si>
    <t>1B9ZQJj0Xc9RWdJK9TZGLeidGrnpRi1KpeYxzdYt1goI</t>
  </si>
  <si>
    <t>1it_diO0lJjvgH2EBKR1EDGpUHZzlY49GOhWBtEwwCCs</t>
  </si>
  <si>
    <t>GetActivityData</t>
  </si>
  <si>
    <t>1ySNFFhhk6FLAzbhLvkZYaxCm9ukiGc9AG0VPqASsZhA</t>
  </si>
  <si>
    <t>TradeAttributeBulkChangeGroups</t>
  </si>
  <si>
    <t>1QFQSMJpp0-Fl_UJWE2Zai6Ku7x5PI0Znf6LzAdhY2Hg</t>
  </si>
  <si>
    <t>TradeAttributeBulkChangeTaxlots</t>
  </si>
  <si>
    <t>1KbKh_Q5Rpulump1l-Hb4hlPXbOPSuU9feR4atRZcpAA</t>
  </si>
  <si>
    <t>AddCalculatedPreferenceToolbar</t>
  </si>
  <si>
    <t>GetRevaluationData</t>
  </si>
  <si>
    <t>1ri9IG4hNsrNH6tnanwfo9yjyFEv3c90Jr9MW6zCCkko</t>
  </si>
  <si>
    <t>1x4bwJHDRG7suqUPacRhsOt3BywboZnR7UIZKMa_BtbA</t>
  </si>
  <si>
    <t>GetAccountDetails</t>
  </si>
  <si>
    <t>1cYjDkJ0X6Mekap3A60wbuNMBM9_OMeHyL4fBF0L87kc</t>
  </si>
  <si>
    <t>ApplyBulkUpdateOnTaxlots</t>
  </si>
  <si>
    <t>1G16ozDyHhoRiwSKnrGTyqWG5ohjZ9gIWtYc6chZaJWI</t>
  </si>
  <si>
    <t>GetNonTradingTransaction</t>
  </si>
  <si>
    <t>1-hlxFhKPnVHDD5L2Mxw7MHkNkzIJ23UT6RTy1kjzbrk</t>
  </si>
  <si>
    <t>CommissionBulkChangeOnGroups</t>
  </si>
  <si>
    <t>1Vpxb0rFyiYqD9n2ms5kc0W7DPpX5UennaskxKsr3LC8</t>
  </si>
  <si>
    <t>GetDividendData</t>
  </si>
  <si>
    <t>CommissionBulkChangeOnTaxlots</t>
  </si>
  <si>
    <t>1KO4iyMCmgjFYTY14WZJODutK-p8Sqp0O4pWPZwKvs7s</t>
  </si>
  <si>
    <t>VerifyNonTradingTransaction</t>
  </si>
  <si>
    <t>1tPF6YOqFmo_8ShdQivsAKsbsyozjAl0aqfU3hNGom9k</t>
  </si>
  <si>
    <t>1neA_cmjAezAYN7PHlST8WfT9St78vMf34MRMklSVo7E</t>
  </si>
  <si>
    <t>VerifyDividend</t>
  </si>
  <si>
    <t>16TgREC4khkYPIHjNSaUoamhbOXmV50jDJe_4uAugaBU</t>
  </si>
  <si>
    <t>1rnD70SLEfPEpQDDJpvfnbiE1bE99RQfL8JdloFp02q4</t>
  </si>
  <si>
    <t>GetOpeningBalanceData</t>
  </si>
  <si>
    <t>1ibfkchdgwydeWyxuKZ-Nridc6-vk0YQ4hLCxRsoN0Hw</t>
  </si>
  <si>
    <t>EnterAllocatePreference</t>
  </si>
  <si>
    <t>1DIe0w9c3Euqg9Ed85FHxeFYo6xxGuICXg3I9SPxPvzA</t>
  </si>
  <si>
    <t>GetAccountBalance</t>
  </si>
  <si>
    <t>1tc58pAEmREvAgLSVdz3kbZFkygfKxU46ISvkrKic44g</t>
  </si>
  <si>
    <t>Expnl</t>
  </si>
  <si>
    <t>RestartExpnl</t>
  </si>
  <si>
    <t>12KPvg1B3jRZn5oFBZDcXvZIrYkHC4cqHFTRYqPgDSog</t>
  </si>
  <si>
    <t>ClosePM</t>
  </si>
  <si>
    <t>EnterStrategyValuesToAllocate</t>
  </si>
  <si>
    <t>1MWN-RyeVQ3cEOMe7cfVUGji3xnAm64rf17njLZPj67c</t>
  </si>
  <si>
    <t>SelectNonTradingTransaction</t>
  </si>
  <si>
    <t>1qClDQsuC0uTWfFTJbcMc98c-ENPByiCYXsvj-KAnfXE</t>
  </si>
  <si>
    <t>SelectNonTradingTranItem</t>
  </si>
  <si>
    <t>109JYM9_asRks1XoWIScU2RU-DE3u9oY5wbSTXxTNuQo</t>
  </si>
  <si>
    <t>CopyCalculatedPreferenceToolbar</t>
  </si>
  <si>
    <t>SetGeneralRuleCalculatedPref</t>
  </si>
  <si>
    <t>1sXlltS1V-gHgnNfE0wd6u372kk9u2vj9UimnACiM0iw</t>
  </si>
  <si>
    <t>DeleteNonTradingTransaction</t>
  </si>
  <si>
    <t>1G1VM_9E8XaiqxTRJxwaJ15lGQlP_lgfxqR9Nfr6dGeM</t>
  </si>
  <si>
    <t>DeleteNonTradingTranItem</t>
  </si>
  <si>
    <t>1sAnUYES_4wcID1gDQxMKmNtpHZfmxVwcguJ5uuMXBhQ</t>
  </si>
  <si>
    <t>ExportAllCalculatedPreferences</t>
  </si>
  <si>
    <t>1_9tkwdAJLeT-qNQ8BqUe6weg7-HaraCPBe4t6kebcp0</t>
  </si>
  <si>
    <t>AddNonTradingTransaction</t>
  </si>
  <si>
    <t>1aNYZgsK0PS72bUELipAkZtjS_io3NTWuYvRhPX6_pl0</t>
  </si>
  <si>
    <t>AddNonTradingTranItem</t>
  </si>
  <si>
    <t>1I5cCQJSqQ1Q_2_r0hFTdzjZQfVpauGc19ztocrt9jzU</t>
  </si>
  <si>
    <t>SaveCalculatedPreferences</t>
  </si>
  <si>
    <t>VerifyOpeningBalanceData</t>
  </si>
  <si>
    <t>18gHTsH2xe3qAEXTh4vDwkosKi1-dZIA2lOb88_apdfM</t>
  </si>
  <si>
    <t>SelectOpeningBalanceTransaction</t>
  </si>
  <si>
    <t>17tAtGdr28CCMiB0n7PVtoz3Os5DbraUA9i2C8GVoOUQ</t>
  </si>
  <si>
    <t xml:space="preserve">CreateStageOrder </t>
  </si>
  <si>
    <t>1yQ-gn04yKrIQDrN0BBsZ47U3J8-VgKFbeNAprRBUtZY</t>
  </si>
  <si>
    <t>TransferToUserWorkingSubs</t>
  </si>
  <si>
    <t>1xBTjCjyv2b8uVm_1XtzAHhtV1-WQOFOylS6Pdv6vN0E</t>
  </si>
  <si>
    <t>CancelWorkingSubs</t>
  </si>
  <si>
    <t>16VCWpHhI69iAff1u76mmVkz0FeF006eEuMI-qaeaesI</t>
  </si>
  <si>
    <t>ReplaceWorkingSubs</t>
  </si>
  <si>
    <t>1Lupyy2HMPIc84PVE6geOecI-38PpZtQlB6LgeNzgNkI</t>
  </si>
  <si>
    <t>ViewAllocationDetailsWorkingSub</t>
  </si>
  <si>
    <t>1pWHJ9USH-3LyIU4f0C5her19jDvNab6AJBi0Ch8BSAQ</t>
  </si>
  <si>
    <t>SelectTradeOnOrderGrid</t>
  </si>
  <si>
    <t>10uLrgtRu9XpFcJ7zj7lAWAhavDGNgg0Slk1ybse4ZbY</t>
  </si>
  <si>
    <t>ShowDetailsForAlgoTradeSubOrder</t>
  </si>
  <si>
    <t>1h6D1HzAIPlOf9VTwCiJV8_eMepNbSpIidh6ShSGKXXo</t>
  </si>
  <si>
    <t>SelectTradeOrderBlotter</t>
  </si>
  <si>
    <t>142OREVNlGM1dLYaWnqVBw1zN13NlPEJLEiCkkTd_rvU</t>
  </si>
  <si>
    <t>AddFillsWorkingSubs</t>
  </si>
  <si>
    <t>10z7WshV-p8_62BO8WXRU8fe7Ae7Owq97rWkjdMHcicA</t>
  </si>
  <si>
    <t>EditAddFillsDetails</t>
  </si>
  <si>
    <t>1bnaaEZO81wlbyR_0JWO8MM5nQ1QwZ_HnUhL4lZJ3wZk</t>
  </si>
  <si>
    <t>ShowDetailsForAlgoTradeWorkingSubs</t>
  </si>
  <si>
    <t>1asN7Nid7E6qF2n72rOuxvO_GqN7pQS9MU0A315-rH_Y</t>
  </si>
  <si>
    <t>SwapExpire</t>
  </si>
  <si>
    <t>10dKmxM0u58VeAJ3eRVQjGT8M1h7V8etQ54-ZIq0SlPo</t>
  </si>
  <si>
    <t>VerifyWorkingSubs</t>
  </si>
  <si>
    <t>1uO91Ghqccbk2KqSPHqDfRnICUOmHrg8Zrm9XUf9Ytfw</t>
  </si>
  <si>
    <t>TransferToUserOrder</t>
  </si>
  <si>
    <t>1-OQp_UWqNzPVuLTORwu3eel8j-NrVAmqx6iQi27hLa8</t>
  </si>
  <si>
    <t>CloseCalculatedPreferences</t>
  </si>
  <si>
    <t>CreateReplaceOrder</t>
  </si>
  <si>
    <t>1LwBhdzUuHn5ECF0oPPWXFePk6WwatfI51pcoKJQjvgg</t>
  </si>
  <si>
    <t>EditOrder</t>
  </si>
  <si>
    <t>1tlHXJcmAO_u2vVhOZeBn_G4EgGw18ZVW0bb-o4doPs8</t>
  </si>
  <si>
    <t>SelectTradeSubOrderBlotter</t>
  </si>
  <si>
    <t>1-DMjC5n9ryA99IDVm6J51Q7mURCe3DRqzYCCOLv1fZw</t>
  </si>
  <si>
    <t>VerifyOrder</t>
  </si>
  <si>
    <t>1BiATpyvKA3SWFYXVo07tiTjntMlpxJ1omEEaU21PSFQ</t>
  </si>
  <si>
    <t>VerifySubOrder</t>
  </si>
  <si>
    <t>1LIzbTv6XVUesa_FizwbjIUAfuyc-UgZzL11JbPoKfBw</t>
  </si>
  <si>
    <t>RemoveSelectedOrders</t>
  </si>
  <si>
    <t>1UcVRC34px0Pg8dDt_XchRcO9_o-osgUuZ9W3S2hdlSQ</t>
  </si>
  <si>
    <t>CancelAllSelectedSubs</t>
  </si>
  <si>
    <t>1HXY-kiBKFlDPwU0ki0_cbGzArUc85ZUwrz5o0MckqoM</t>
  </si>
  <si>
    <t>MultiTradingTicket</t>
  </si>
  <si>
    <t>1kmKYH_ymr9jFqwbZ5XDb0WpnX4Z9j4CT07_MwuvQw2g</t>
  </si>
  <si>
    <t>AuditTrailOrderBlotter</t>
  </si>
  <si>
    <t>191QU5WKNDAtykM_3WYm8EblQy_WBJQ86ggc3OLVVeFk</t>
  </si>
  <si>
    <t>TradeNewSubOrder</t>
  </si>
  <si>
    <t>1eA15qdzdfq9t8GNXV0Kh-HqiN3GM0hbwz1HfRJ283HM</t>
  </si>
  <si>
    <t>RemoveStageOrder</t>
  </si>
  <si>
    <t>1o4Or8KGmmN-s-pw1WM8QNO4lE08dM1WXEnZcTjccQ6s</t>
  </si>
  <si>
    <t>SetGeneralPreference</t>
  </si>
  <si>
    <t>18NNrD6d3r1bH_5-ihyR5H2ShJcom_Ov3-Wqk7Tquntk</t>
  </si>
  <si>
    <t>1KjYN4lz3oaLmz_BtGKeFqhTqRYTNakKIl9euRH-oDeg</t>
  </si>
  <si>
    <t>ExportCalculatedPreference</t>
  </si>
  <si>
    <t>12lNqOpj90KFDv25lJqH9kQzvaACIRBSoQG4fr_yDz8Q</t>
  </si>
  <si>
    <t>SelectOpeningBalanceTranItem</t>
  </si>
  <si>
    <t>1QeVPnXD36mOWtIRdF858goH42tVu5CAvxk9v8xEDAhs</t>
  </si>
  <si>
    <t>EODTPreferences</t>
  </si>
  <si>
    <t>1FKpTerYuislNewnlvplrDFib3M24kVhkC8gf7i2KVL0</t>
  </si>
  <si>
    <t>LiveData</t>
  </si>
  <si>
    <t>1e1pctNXtYM4geFlgtwfJmlj28jObLYup_AoHh5rJpho</t>
  </si>
  <si>
    <t>EditNonTradingTransaction</t>
  </si>
  <si>
    <t>1gzUhAU0fv2NWV8U51Wh2wYxyt2P8bXASpYc8bkIraT0</t>
  </si>
  <si>
    <t>EditNonTradingTranItem</t>
  </si>
  <si>
    <t>1SomQHbMrMPO4jhkHqhFGKcCYQ8UmgzXb4KjBfItpSOA</t>
  </si>
  <si>
    <t>DeleteOpeningBalanceTransaction</t>
  </si>
  <si>
    <t>1edHJ69KVfgWlnQgr6G_zSZLWfRtIGtJ_2tKmAoQW4sA</t>
  </si>
  <si>
    <t>DeleteOpeningBalanceTranItem</t>
  </si>
  <si>
    <t>1sA10QgEhRhmGVFpM4vtrKHtwrnr9rPkn2EyDl_js2hQ</t>
  </si>
  <si>
    <t>ImportCalculatedPreferences</t>
  </si>
  <si>
    <t>1Zl6lmCYVvYpiymanSSHg15L0UA6pSZAqCecG9Ws0DVU</t>
  </si>
  <si>
    <t>GetDayEndCash</t>
  </si>
  <si>
    <t>1IYITGwn7CTL-AwHhtyYxd8hwkr1mWGpZmHnGcfSgiYw</t>
  </si>
  <si>
    <t>VerifyDayEndCash</t>
  </si>
  <si>
    <t>1QlqVSajIe067denKhsV95eQ5CmZEqxjdfFjib7BRkZw</t>
  </si>
  <si>
    <t>OpenAuditTrailUnallocatedGroup</t>
  </si>
  <si>
    <t>DeleteCalculatedPreferencesTool</t>
  </si>
  <si>
    <t>ImportCalculatedPreferencesTool</t>
  </si>
  <si>
    <t>RunRevaluation</t>
  </si>
  <si>
    <t>CalculateDayEndCash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</si>
  <si>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</si>
  <si>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</si>
  <si>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</si>
  <si>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</si>
  <si>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</si>
  <si>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1DFtHjjlK1qv2rf2DjQ8MVlhn41MJUPH1XU0iJxpRg0w</t>
  </si>
  <si>
    <t>TransferToUserSubOrder</t>
  </si>
  <si>
    <t>1rWiDLFbEoFyzqygYXBN-DZC-p1DY4M77auDyXfUzHms</t>
  </si>
  <si>
    <t>DetailsForAlgoTradeOrder</t>
  </si>
  <si>
    <t>1zNOob7TeWS3IZ29FsW6g2mx1IhOOFn_s7uQxNoO9RzI</t>
  </si>
  <si>
    <t>AddFillsSubOrder</t>
  </si>
  <si>
    <t>1OXqoajmjYRls2YpAUJb20f5yAPJNTPl-rmUWdGRHd70</t>
  </si>
  <si>
    <t>ViewAllocationDetailsSubOrder</t>
  </si>
  <si>
    <t>16Pg3dJAqpCyPwaXngv9YoaDYIRVM57ZQjs2Ki11OeLE</t>
  </si>
  <si>
    <t>GetCashTransaction</t>
  </si>
  <si>
    <t>1v6VgiWrxALnoa0njwc-kSipfbaoVQp8lETPaNLhYl2c</t>
  </si>
  <si>
    <t>SelectCashTransaction</t>
  </si>
  <si>
    <t>11HV5g6hhhiYzYVZa0ZdEDSse3JcVMQ56paETZKc9K58</t>
  </si>
  <si>
    <t>DeleteCashTransaction</t>
  </si>
  <si>
    <t>1a20isSzHqCS5M2X_zZFFvqHEMrEGKwUNjgK7sqjbtX8</t>
  </si>
  <si>
    <t>EditCashTransaction</t>
  </si>
  <si>
    <t>13Iu44pco2CoRsNNblZKGG1jp3Xt0coxd11e1UE3ZISw</t>
  </si>
  <si>
    <t>AddCashTransaction</t>
  </si>
  <si>
    <t>1qpS8fUrbzSk15BlPKRYm00mylgTjyec8FBI6U-3Lb2Y</t>
  </si>
  <si>
    <t>EditAllocatedGroupSidePanel</t>
  </si>
  <si>
    <t>1phRTXk6lhQd0yBkq3N_AGXzGz443Odj1VEdPxkU37PE</t>
  </si>
  <si>
    <t>GetMarkPriceData</t>
  </si>
  <si>
    <t>1dRzPz2g1DZaGLV61uyy7ya2vJT1AanuWJLtapqrIxGA</t>
  </si>
  <si>
    <t>GetForwardPoints</t>
  </si>
  <si>
    <t>1B88Hn3E9Qqmy_wiZdvwp_-esnX5mS70bOeGn523QzfM</t>
  </si>
  <si>
    <t>UpdateForwardPoints</t>
  </si>
  <si>
    <t>1OrxpIE0uyq1Phm9Jh8gHnCyOQsJ7FJSL3a3irnTbFX4</t>
  </si>
  <si>
    <t>GetForexConversion</t>
  </si>
  <si>
    <t>1UshpUHMHAQzhlr-bpoYZFT8mAnIqpXVKtCIkby8eMos</t>
  </si>
  <si>
    <t>DeleteNAV</t>
  </si>
  <si>
    <t>1KGK8W-ECAckadm9I2wGjUeTDLE5But4xbJgs4PJzojY</t>
  </si>
  <si>
    <t>1YPRV3OZJOzlf53uVC1-BwjfgOi-9jZEYkJHvkN7QQ1I</t>
  </si>
  <si>
    <t>GetDailyCash</t>
  </si>
  <si>
    <t>1UXPfO_h8wY8hfygQLAmeuefqkQxJFAi7am1trQznU0Y</t>
  </si>
  <si>
    <t>1xi5HBd7a9os3ubctZdGori68ThN3jpnptX78Hev9tIs</t>
  </si>
  <si>
    <t>GetDailyBeta</t>
  </si>
  <si>
    <t>18mk01ha7MdqFJuR3dB6DCtp1N5eg_GgKIST9sSMBS_E</t>
  </si>
  <si>
    <t>GetDailyVolatility</t>
  </si>
  <si>
    <t>1UTGbB7eondZUvndSZeWsQux3qtWaoaVLOc-dAgePKo0</t>
  </si>
  <si>
    <t>GetDailyDividendYield</t>
  </si>
  <si>
    <t>1RUgJeC7dSZLnvgN_OISx0E-Ch-tv3fqJ2q9hxyTFzm4</t>
  </si>
  <si>
    <t>GetDailyTradingVolume</t>
  </si>
  <si>
    <t>1_ibws5pXkhKeKmCaNAmL2xR_YcYlOxh9tGuhct0yTs0</t>
  </si>
  <si>
    <t>GetDailyOutstandings</t>
  </si>
  <si>
    <t>138-LMD4LCmmc7va8Q27MBaab8hMU8mY4DdajZ40WNVg</t>
  </si>
  <si>
    <t>GroupTrades</t>
  </si>
  <si>
    <t>UngroupTrades</t>
  </si>
  <si>
    <t>DeleteGroup</t>
  </si>
  <si>
    <t>CloseOrder</t>
  </si>
  <si>
    <t>GetDailyDelta</t>
  </si>
  <si>
    <t>1RvDdin_L9BOB-PNvecMNSn8GL9EI-dz4_eotQPUlqcg</t>
  </si>
  <si>
    <t>UpdateDailyVolatility</t>
  </si>
  <si>
    <t>1KsoCQntYsl7X8NWFKdMnVpiJXUhScw20v2dl6aymdhw</t>
  </si>
  <si>
    <t>AddOpeningBalanceTransaction</t>
  </si>
  <si>
    <t>19wYe5fLpfikdBQq6tmFd7udEwD_0BYgv0Me1sIwohAs</t>
  </si>
  <si>
    <t>AddOpeningBalanceTranItem</t>
  </si>
  <si>
    <t>1tS9sJd9zQv4tkrl6Hwn3LNV5FPwJJX8iTvCI3A9mnYM</t>
  </si>
  <si>
    <t>CancelAllSubs</t>
  </si>
  <si>
    <t>113B4SUUwarWN67BxRNkNvzcSme4qizOcJEy1Cyr92HI</t>
  </si>
  <si>
    <t>CancelSubOrder</t>
  </si>
  <si>
    <t>1VrjZ6PlQiYI2NyHnraBGAG1BQJGVPFR-CazWCfE6cPo</t>
  </si>
  <si>
    <t>EditStageOrder</t>
  </si>
  <si>
    <t>1uddT4fT_pD1FfaavNd3Z4kLl-9z6jO93_oWAXqOtAeU</t>
  </si>
  <si>
    <t>ReplaceSubOrder</t>
  </si>
  <si>
    <t>1gYIXEoPEFKzwPlsYNR6dYepNPdn8424SZynBp6C7bZQ</t>
  </si>
  <si>
    <t>SelectTradeWorkingSubsBlotter</t>
  </si>
  <si>
    <t>1QO1sZw8WaBW55zzKQSeyM1RO5amXeVLNEGlKzyKRQLI</t>
  </si>
  <si>
    <t>VerifyAlgoDetails</t>
  </si>
  <si>
    <t>1u0wF8kF1HfnGMp9ZhSo_XEoondHNcOeNNWxIhcbTS3Y</t>
  </si>
  <si>
    <t>VerifyTransferToUserOrder</t>
  </si>
  <si>
    <t>1UwPAP50TyioUUJROxVKpunirqNJXej9anr5fqMgHJB0</t>
  </si>
  <si>
    <t>VerifyTransferToUserSubOdr</t>
  </si>
  <si>
    <t>1t85s25HRMHAY21hZiXCRf27hlLDl-nnEPqVTY6MP0Ok</t>
  </si>
  <si>
    <t>VerifyTransferToUserWorkSub</t>
  </si>
  <si>
    <t>1WwcsZ_jfu-R34xa9ybcfND3UoKrgO4ZDtYvq7PNYrTk</t>
  </si>
  <si>
    <t>SaveLayoutOrderGrid</t>
  </si>
  <si>
    <t>1ZJgJVI2xFlymh5s3_gYw2mH5kSY5-kYWaHqWWNkP4QM</t>
  </si>
  <si>
    <t>UpdateDividendYield</t>
  </si>
  <si>
    <t>12PMqu3Ve3WA-ZopGXX2SDWNDNLCcuRWlRsHncRyydfE</t>
  </si>
  <si>
    <t>UpdateTradingVolume</t>
  </si>
  <si>
    <t>1Nsz2dUTtdumqiNuR5b6_En7rZaPe51oc_IGgBo14CRo</t>
  </si>
  <si>
    <t>UpdateDailyDelta</t>
  </si>
  <si>
    <t>1C6o4eaKlKKFQhcAaN1Oj40i-0iPXOyboII-0QPBeHv4</t>
  </si>
  <si>
    <t>UpdateDailyOutstandings</t>
  </si>
  <si>
    <t>1nI3as5Hyrhg5kMfKs569tCkWnsT_Hy_oFAt4X-7ZkfY</t>
  </si>
  <si>
    <t>GetDataClosing</t>
  </si>
  <si>
    <t>1h_gDyrGHLdTKUbSvoE629FMo2ymd9Nc8cF3c-sLkPhI</t>
  </si>
  <si>
    <t>ManualClosing</t>
  </si>
  <si>
    <t>1aY-18we1tJeBlSzJwgqLomKPX2V8fQkcN7Gs3ZZ1YNQ</t>
  </si>
  <si>
    <t>1Nw4cG4FEhgfaX4J2Zjz9gHukgLrdeftcP-85ZV4RscE</t>
  </si>
  <si>
    <t>UnwindClosing</t>
  </si>
  <si>
    <t>1qMSJYnXN0XR7zqM5SH4WCx2nHv7xL3PB8V9Y9aFlkew</t>
  </si>
  <si>
    <t>VerifyClosedTrades</t>
  </si>
  <si>
    <t>131A6k4vG5r_lWFBa9IzK6ZWeScU4Sc4-Hpswdbv9ZaQ</t>
  </si>
  <si>
    <t>VerifyLongPositionsGrid</t>
  </si>
  <si>
    <t>1mBAPn7AGFwS3SIniOV3w4Vp70Jo-IOpY6dll37vYeDI</t>
  </si>
  <si>
    <t>VerifyShortPositionsGrid</t>
  </si>
  <si>
    <t>195NnUdrmvj9pdLwUtAAbMID9Y0gzC3G62LqP8cuCaDg</t>
  </si>
  <si>
    <t>SelectTradeUnexpiredUnsettled</t>
  </si>
  <si>
    <t>1GR9lqEAKTs2TuE_75WyIycc_xLxRNB3Bn-ZxKwiGjkg</t>
  </si>
  <si>
    <t>CashSettlementAtCost</t>
  </si>
  <si>
    <t>1IXFaZ7UVAx9-6753C2uxNM27NY7vDEQWJYMZUXnt0u0</t>
  </si>
  <si>
    <t>CashSettlementAtZeroPrice</t>
  </si>
  <si>
    <t>1BwT3UNa73WMfUma2mtizT22Nb53bFCgTfgxzt04zBR8</t>
  </si>
  <si>
    <t>CashSettlementAtClosingDtSpotPx</t>
  </si>
  <si>
    <t>164yyq4hxGsC0xKtanZaNgkEQTrnLRHMl8b6Zgovhnr4</t>
  </si>
  <si>
    <t>PhysicalSettlement</t>
  </si>
  <si>
    <t>1UU6o44Z9a8fTHaepsBrZ45qMtCcBrubrTQHBNTcVb5s</t>
  </si>
  <si>
    <t>Expire</t>
  </si>
  <si>
    <t>1xPawsjKKvh5Jn1inhf-YxiYbDqXFALMlUizPwnEaYco</t>
  </si>
  <si>
    <t>ExerciseAssignment</t>
  </si>
  <si>
    <t>1x0jJL6k1jZdIJAed8Va4B0pndCuIukdd26n4S_YSG6k</t>
  </si>
  <si>
    <t>ExerciseAssignmentAtZero</t>
  </si>
  <si>
    <t>17IHK1OiKPBxLJX6_PaZJWhyYIJFsBFHhnIN9Sy-K3l0</t>
  </si>
  <si>
    <t>SwapExpireAndRollover</t>
  </si>
  <si>
    <t>1a0dMfr_t-HsAUI3VT2eU87qBF1UX8F7f-zfY8soPOhI</t>
  </si>
  <si>
    <t>VerifyExpiredSettledGrid</t>
  </si>
  <si>
    <t>1rlLUvDshQkhyWSYHLONgihvxwz7h1Q30rDoxvZi4vNo</t>
  </si>
  <si>
    <t>VerifyUnExpiredUnSettledGrid</t>
  </si>
  <si>
    <t>188t8k2XsgA8054SApBaXlrMg0iwRnFElLRnrR1DMZN4</t>
  </si>
  <si>
    <t>UnWindTradeSettlement</t>
  </si>
  <si>
    <t>1nbPkbT2aMN9acqh97pvEUWlL22b_NqaicNP8WtVkzLQ</t>
  </si>
  <si>
    <t>1DiN0TME4VohlSBPppY6I36u-rE4_1ChA7bjC1GFkz3E</t>
  </si>
  <si>
    <t>VerifyCloseOrder</t>
  </si>
  <si>
    <t>1L73dI6MLd-SqinsIoR3OiIL0qQev02kmMZod7ms1Ypo</t>
  </si>
  <si>
    <t>UnWindCloseOrder</t>
  </si>
  <si>
    <t>12lwdi9cfPyRBFPnDJZNUdiDyHkyZQSMEp37XW1wozbk</t>
  </si>
  <si>
    <t>ClosingCleanUp</t>
  </si>
  <si>
    <t>15orRiioRUQ09okhbGqSNUMc7hxx2CTcL9nP3dmwl638</t>
  </si>
  <si>
    <t>CloseClosingUI</t>
  </si>
  <si>
    <t>1c8hu3an6CMmn2_3LtmV5o8MmZCxXuJFsWNBHQFwfO8U</t>
  </si>
  <si>
    <t>GetDailyCalculationsData</t>
  </si>
  <si>
    <t>1LbaWnR1LPaDi4l23bA3_UG8z3N3AdQxJD0xStGsf9f4</t>
  </si>
  <si>
    <t>CalculateDailyCalculations</t>
  </si>
  <si>
    <t>EditOpeningBalanceTransaction</t>
  </si>
  <si>
    <t>1sgS_hskUjJw0gkemh2egH3kSj8YqpAr-8dhRpydHipU</t>
  </si>
  <si>
    <t>EditOpeningBalanceTranItem</t>
  </si>
  <si>
    <t>15KffQ6ePoW2jTNkma2M6RrO7J8Flv36n0BBpGSPJGKM</t>
  </si>
  <si>
    <t>UpdateNAV</t>
  </si>
  <si>
    <t>1uQ-rNn5nHXaf1DEBVyj2EVa5utyXLApas_8tiNZyw7s</t>
  </si>
  <si>
    <t>VerifyDailyCalTransactions</t>
  </si>
  <si>
    <t>16LYUA3YlIycu91nkFHk6ik1BxNHLbWcYLUNoLQ82KME</t>
  </si>
  <si>
    <t>UpdateDailyCreditLimt</t>
  </si>
  <si>
    <t>1bwXA7_03ubAfXxvMqc3J-COiiXwUj9RgsxoE_X_QAuU</t>
  </si>
  <si>
    <t>RemoveDailyCreditLimit</t>
  </si>
  <si>
    <t>1e25G_BmRdKpqSe50k_Af5eNoqA1z5Sjl2-E_yy406JI</t>
  </si>
  <si>
    <t>RemoveDailyCash</t>
  </si>
  <si>
    <t>1vQflYMKRcOsPOnrrKOyDLpDdU4rpPt0GIPhqFF73ZGc</t>
  </si>
  <si>
    <t>RemoveNAV</t>
  </si>
  <si>
    <t>1r3RDxvLInheaVRPwem9gycqLCrlldgX0sbe77MG9y_0</t>
  </si>
  <si>
    <t>FilterPM</t>
  </si>
  <si>
    <t>1nvecgblxA4FR1WE9CWSMBtnuGGuFglRPYVX_zcBRbcE</t>
  </si>
  <si>
    <t>GroupRowPM</t>
  </si>
  <si>
    <t>1UDr0R24mBV6xxuNjLvlxiA1qwWvdLPfTi0vDMD2gi2w</t>
  </si>
  <si>
    <t>CloseAllocation</t>
  </si>
  <si>
    <t>CheckDashboardWithPM</t>
  </si>
  <si>
    <t>RemoveFilterPM</t>
  </si>
  <si>
    <t>CheckSummaryRowsPM</t>
  </si>
  <si>
    <t>1DeRs5EiFDP25mQi6NyGTv0UX0c0cerzJdJ0Yi5OyhAM</t>
  </si>
  <si>
    <t>CloseGeneralLedger</t>
  </si>
  <si>
    <t>ReplaceStageOrder</t>
  </si>
  <si>
    <t>1HxE5MMxUveEoJm1wQyolzCPPLh1jTQKDomJaLfOMptg</t>
  </si>
  <si>
    <t>VerifyAccountDetails</t>
  </si>
  <si>
    <t>1Ucf95Hgr3H8DPeWlPvQ5MwRcAuD1ebQb0FT2rnX-lmw</t>
  </si>
  <si>
    <t>CreateNewSubOrder</t>
  </si>
  <si>
    <t>1Eo5wTXgx2jbrTA3or-gc7AX70FMcgfiqu-RyiDwfXQA</t>
  </si>
  <si>
    <t>AddNewTransaction</t>
  </si>
  <si>
    <t>1nJuFXpTh6im7nsD5koUSLgoxaCqoWlPMxW97lk22lxU</t>
  </si>
  <si>
    <t>TradeBloomberg</t>
  </si>
  <si>
    <t>1U9YWHjK_PrsPh-k68PQr6O6_wuagb4wYtsyuo7qkU90</t>
  </si>
  <si>
    <t>ClickSymbolLookup</t>
  </si>
  <si>
    <t>1tSou7BmVwlLyUTvLSWvudQMbqk4kpIesfCOofFmFN-o</t>
  </si>
  <si>
    <t>PricingServer</t>
  </si>
  <si>
    <t>RestartPricingServer</t>
  </si>
  <si>
    <t>1mB319G-aSHgxPhqZPNWGDqgBZcGLWK3Tk5PR5YX0VNk</t>
  </si>
  <si>
    <t>TradeServer</t>
  </si>
  <si>
    <t>RestartServer</t>
  </si>
  <si>
    <t>1Zg0W6fM8fNMw692Kf_7S1uJ4ut2TWflmE4cwmEer5zo</t>
  </si>
  <si>
    <t>PranaClient</t>
  </si>
  <si>
    <t>RestartClient</t>
  </si>
  <si>
    <t>1vaWJ5vIOh9jPOAGmF9K2BQlycSVKqTcN69xkpmeW5fE</t>
  </si>
  <si>
    <t>PTT</t>
  </si>
  <si>
    <t>CalculatePTT</t>
  </si>
  <si>
    <t>1ZqcNDJbkfP2KMLGB9BdXNenCrW_fnwEgM6Q7o7M99XQ</t>
  </si>
  <si>
    <t>TradeUsingPTT</t>
  </si>
  <si>
    <t>1PFaLRqOG1Ey_n_PETSs7USJJXapF65CdnZcwEiBOHoc</t>
  </si>
  <si>
    <t>StageOrderUsingPTT</t>
  </si>
  <si>
    <t>1rP8eid07R55k0rZay7yrEpZe5Y1IFMI2sNbeXs_8VPs</t>
  </si>
  <si>
    <t>CreateOrderPTT</t>
  </si>
  <si>
    <t>1H7EMT9E0x1GLYf1J_E9vn3QsSmyZoTJ1Mrhx4yLJDBY</t>
  </si>
  <si>
    <t>TradePTT</t>
  </si>
  <si>
    <t>1gyH52pmQZW-Y8-BV-t1d1RBlOyCnOtB_5s1-VpyHsjc</t>
  </si>
  <si>
    <t>VerifyPTT</t>
  </si>
  <si>
    <t>1N1LhOCchhPLvuAo4L3lDpiPYbBEM0LwiHy_U1R2or4A</t>
  </si>
  <si>
    <t>OpenPTTFromPM</t>
  </si>
  <si>
    <t>16UfwvOn5xhe2uxS58M3T3Sunw2dUiXScIt2IOSEIg20</t>
  </si>
  <si>
    <t>OpenMultiTTFromPTT</t>
  </si>
  <si>
    <t>1izqBFuMnInm8QlZ5oSGHXP3A0ZNn5RQQpH5xfBS5D1E</t>
  </si>
  <si>
    <t>SelectMultiTT</t>
  </si>
  <si>
    <t>1cmje78_Gx-4LVVVAaP08j0Jv0yRZ80GC1yQAora7yJQ</t>
  </si>
  <si>
    <t>EditMultiTT</t>
  </si>
  <si>
    <t>1MZzeR0tvjDEdFuxZ5GEuj4wtnO_DOzlghI1Hgj2rTYE</t>
  </si>
  <si>
    <t>EditTradeUsingMTT</t>
  </si>
  <si>
    <t>1prmvVgdNA2N5OjSBMDG9tiQYyGom2zxYF9XuYyNwz5w</t>
  </si>
  <si>
    <t>SelectTradeUsingMTT</t>
  </si>
  <si>
    <t>1E2adE8BbNKV7DMgfyEvvpAGkECjH0whM3wRzZN9yNOg</t>
  </si>
  <si>
    <t>GetPriceUsingMTT</t>
  </si>
  <si>
    <t>1u2bX7gAjmRf_pG7vdA6yBh7NPDTKKti0oWskUNzgIVM</t>
  </si>
  <si>
    <t>DoneAwayUsingMTT</t>
  </si>
  <si>
    <t>1lJRpK6c_KF0yDl45QyIHhnGZ7O9MtpgXuOoKeBmcUX4</t>
  </si>
  <si>
    <t>SendOrderUsingMTT</t>
  </si>
  <si>
    <t>1RaS1D0f_4zN7snwW_skw-jG8EAZIx3R7qRljT2LMDl8</t>
  </si>
  <si>
    <t>UpdateGRAccountValue</t>
  </si>
  <si>
    <t>BulkChangeTradeDoneAway</t>
  </si>
  <si>
    <t>1wb1XL9gWDoixLhYuip2-3UcElFyHb8iivWWtW92Cdbo</t>
  </si>
  <si>
    <t>UpdateGRStrategyValue</t>
  </si>
  <si>
    <t>UpdateGRDefaultRule</t>
  </si>
  <si>
    <t>UpdateGeneralRulePref</t>
  </si>
  <si>
    <t>MultiTradingTicketFromBlotter</t>
  </si>
  <si>
    <t>DeleteClientData</t>
  </si>
  <si>
    <t>1BPqboT6ZthFmm60lM6mh2z1qAh2fptZ5pKD3Ck2uhhw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</si>
  <si>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</si>
  <si>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</si>
  <si>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</si>
  <si>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</si>
  <si>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</si>
  <si>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</si>
  <si>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</si>
  <si>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</si>
  <si>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1XFmAEa3gET3_k_QbsPgqHmuvDQGOj5iyOp3KMwbgx34</t>
  </si>
  <si>
    <t>ModifyMFPrefGeneralRuleValues</t>
  </si>
  <si>
    <t>SetMFPrefStrategyValues</t>
  </si>
  <si>
    <t>1XGmjpfbvtIlyQBYohLDveaEVx7TvObFt7azJEAZ4xeY</t>
  </si>
  <si>
    <t>SetMFPrefGeneralRule</t>
  </si>
  <si>
    <t>1-2xY0fXXVAdYd83_H2gR2hp5Tu1HolzX10s2-dFdvFA</t>
  </si>
  <si>
    <t>SetMFPrefFundDistribution</t>
  </si>
  <si>
    <t>1w8VqFLngDaMwvKdxQ8ZQi2XbmqU2g_RJIerwor7XCRs</t>
  </si>
  <si>
    <t>SetMFPreferencesDefaultRule</t>
  </si>
  <si>
    <t>1LSyzer9Hqmf3PYbNIKHxHr-XoJNCaJ7mwiEasHGzE2Y</t>
  </si>
  <si>
    <t>SetMFPrefFundDefaultRule</t>
  </si>
  <si>
    <t>1AXk7MqXtefLd-_TA4Haaup6sbjrz4Hof3xY30gxr-aQ</t>
  </si>
  <si>
    <t>SetAccountFactor</t>
  </si>
  <si>
    <t>1DsXZtIVe8QPH2PNtUCnKQjKSBU1s_Ayixo-1WyyUJVw</t>
  </si>
  <si>
    <t>Data</t>
  </si>
  <si>
    <t>Data Format</t>
  </si>
  <si>
    <t>Input Format</t>
  </si>
  <si>
    <t>CreateStagePTT</t>
  </si>
  <si>
    <t>MultiTTFromPTT</t>
  </si>
  <si>
    <t>EditMultiPTT</t>
  </si>
  <si>
    <t>SelectMultiPTT</t>
  </si>
  <si>
    <t>MultiTTFromTT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</si>
  <si>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</si>
  <si>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</si>
  <si>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</si>
  <si>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</si>
  <si>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</si>
  <si>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</si>
  <si>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</si>
  <si>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</si>
  <si>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MSFT</t>
  </si>
  <si>
    <t>Set</t>
  </si>
  <si>
    <t>Percentage</t>
  </si>
  <si>
    <t>Yes</t>
  </si>
  <si>
    <t>Account</t>
  </si>
  <si>
    <t>Allocation1,Allocation2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</si>
  <si>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</si>
  <si>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</si>
  <si>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</si>
  <si>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</si>
  <si>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</si>
  <si>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</si>
  <si>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</si>
  <si>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</si>
  <si>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</si>
  <si>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</si>
  <si>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</si>
  <si>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</si>
  <si>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Allocation1</t>
  </si>
  <si>
    <t>Allocation2</t>
  </si>
  <si>
    <t>AddForexConversion</t>
  </si>
  <si>
    <t>GetNAV</t>
  </si>
  <si>
    <t>AddNAV</t>
  </si>
  <si>
    <t>AddDailyCash</t>
  </si>
  <si>
    <t>DataManagement.Click(MouseButtons.Left);</t>
  </si>
  <si>
    <t>UpdateCreditLimt</t>
  </si>
  <si>
    <t>AddDailyCreditLimit</t>
  </si>
  <si>
    <t>RemoveDailyCreditLimt</t>
  </si>
  <si>
    <t>Select Date</t>
  </si>
  <si>
    <t>Copy From</t>
  </si>
  <si>
    <t>Local Currency</t>
  </si>
  <si>
    <t>Cash Value Local</t>
  </si>
  <si>
    <t>USD</t>
  </si>
  <si>
    <t>CreateStageOrder</t>
  </si>
  <si>
    <t>CheckedUncheckedMTT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</si>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</sst>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2" fontId="1" numFmtId="0" xfId="0" applyAlignment="1" applyBorder="1" applyFill="1" applyFont="1">
      <alignment horizontal="center"/>
    </xf>
    <xf borderId="0" fillId="2" fontId="2" numFmtId="0" xfId="0" applyAlignment="1" applyBorder="1" applyFont="1">
      <alignment horizontal="center"/>
    </xf>
    <xf borderId="0" fillId="0" fontId="3" numFmtId="0" xfId="0" applyBorder="1" applyFont="1"/>
    <xf borderId="0" fillId="0" fontId="3" numFmtId="0" xfId="0" applyBorder="1" applyFont="1"/>
    <xf borderId="0" fillId="0" fontId="0" numFmtId="0" xfId="0" applyFont="1"/>
    <xf borderId="0" fillId="0" fontId="4" numFmtId="0" xfId="0" applyFont="1"/>
    <xf borderId="0" fillId="0" fontId="5" numFmtId="0" xfId="0" applyFont="1"/>
    <xf borderId="0" fillId="3" fontId="6" numFmtId="0" xfId="0" applyBorder="1" applyFill="1" applyFont="1"/>
    <xf borderId="0" fillId="3" fontId="7" numFmtId="0" xfId="0" applyBorder="1" applyFont="1"/>
    <xf borderId="0" fillId="3" fontId="8" numFmtId="0" xfId="0" applyBorder="1" applyFont="1"/>
    <xf borderId="0" fillId="0" fontId="9" numFmtId="0" xfId="0" applyFont="1"/>
    <xf borderId="0" fillId="3" fontId="4" numFmtId="0" xfId="0" applyBorder="1" applyFont="1"/>
    <xf borderId="0" fillId="0" fontId="3" numFmtId="0" xfId="0" applyFont="1"/>
    <xf borderId="0" fillId="2" fontId="1" numFmtId="0" xfId="0" applyAlignment="1" applyBorder="1" applyFont="1">
      <alignment horizontal="center"/>
    </xf>
    <xf borderId="0" fillId="2" fontId="3" numFmtId="0" xfId="0" applyBorder="1" applyFont="1"/>
    <xf borderId="0" fillId="0" fontId="8" numFmtId="0" xfId="0" applyFont="1"/>
    <xf borderId="0" fillId="3" fontId="10" numFmtId="0" xfId="0" applyBorder="1" applyFont="1"/>
    <xf borderId="0" fillId="4" fontId="11" numFmtId="0" xfId="0" applyBorder="1" applyFill="1" applyFont="1"/>
    <xf borderId="0" fillId="4" fontId="12" numFmtId="0" xfId="0" applyBorder="1" applyFont="1"/>
    <xf borderId="0" fillId="5" fontId="6" numFmtId="0" xfId="0" applyBorder="1" applyFill="1" applyFont="1"/>
    <xf borderId="0" fillId="5" fontId="10" numFmtId="0" xfId="0" applyBorder="1" applyFont="1"/>
    <xf borderId="0" fillId="0" fontId="13" numFmtId="0" xfId="0" applyFont="1"/>
    <xf borderId="0" fillId="0" fontId="3" numFmtId="0" xfId="0" applyAlignment="1" applyFont="1">
      <alignment/>
    </xf>
    <xf borderId="0" fillId="0" fontId="3" numFmtId="0" xfId="0" applyAlignment="1" applyFont="1">
      <alignment horizontal="center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1123950</xdr:colOff>
      <xdr:row>1</xdr:row>
      <xdr:rowOff>152400</xdr:rowOff>
    </xdr:from>
    <xdr:to>
      <xdr:col>10</xdr:col>
      <xdr:colOff>1123950</xdr:colOff>
      <xdr:row>3</xdr:row>
      <xdr:rowOff>28575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62050" cy="276225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28575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76225"/>
        </a:xfrm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1" t="s">
        <v>0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6"/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8" t="s">
        <v>9</v>
      </c>
      <c r="B3" s="12"/>
      <c r="C3" s="12"/>
      <c r="D3" s="12"/>
      <c r="E3" s="12"/>
      <c r="F3" s="1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7" t="str">
        <f>IFERROR(__xludf.DUMMYFUNCTION("IMPORTRANGE('_Settings'!B3,""Modules!A4:L1000"")"),"#REF!")</f>
        <v>#REF!</v>
      </c>
      <c r="B4" s="6" t="s">
        <v>11</v>
      </c>
      <c r="C4" s="6" t="s">
        <v>12</v>
      </c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 t="s">
        <v>13</v>
      </c>
      <c r="B10" s="6" t="s">
        <v>23</v>
      </c>
      <c r="C10" s="6" t="s">
        <v>22</v>
      </c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 t="s">
        <v>13</v>
      </c>
      <c r="B11" s="6" t="s">
        <v>24</v>
      </c>
      <c r="C11" s="6" t="s">
        <v>12</v>
      </c>
      <c r="D11" s="6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25</v>
      </c>
      <c r="B12" s="6" t="s">
        <v>26</v>
      </c>
      <c r="C12" s="6" t="s">
        <v>12</v>
      </c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" t="s">
        <v>25</v>
      </c>
      <c r="B13" s="6" t="s">
        <v>27</v>
      </c>
      <c r="C13" s="6" t="s">
        <v>28</v>
      </c>
      <c r="D13" s="6"/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 t="s">
        <v>29</v>
      </c>
      <c r="B14" s="6" t="s">
        <v>30</v>
      </c>
      <c r="C14" s="6" t="s">
        <v>31</v>
      </c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 t="s">
        <v>29</v>
      </c>
      <c r="B15" s="6" t="s">
        <v>32</v>
      </c>
      <c r="C15" s="6" t="s">
        <v>33</v>
      </c>
      <c r="D15" s="6"/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 t="s">
        <v>29</v>
      </c>
      <c r="B16" s="6" t="s">
        <v>34</v>
      </c>
      <c r="C16" s="6" t="s">
        <v>35</v>
      </c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 t="s">
        <v>29</v>
      </c>
      <c r="B17" s="6" t="s">
        <v>37</v>
      </c>
      <c r="C17" s="6" t="s">
        <v>38</v>
      </c>
      <c r="D17" s="6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 t="s">
        <v>29</v>
      </c>
      <c r="B18" s="6" t="s">
        <v>41</v>
      </c>
      <c r="C18" s="6" t="s">
        <v>42</v>
      </c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 t="s">
        <v>29</v>
      </c>
      <c r="B19" s="6" t="s">
        <v>44</v>
      </c>
      <c r="C19" s="6" t="s">
        <v>46</v>
      </c>
      <c r="D19" s="6"/>
      <c r="E19" s="6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 t="s">
        <v>29</v>
      </c>
      <c r="B20" s="6" t="s">
        <v>48</v>
      </c>
      <c r="C20" s="6" t="s">
        <v>49</v>
      </c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51</v>
      </c>
      <c r="B21" s="6" t="s">
        <v>51</v>
      </c>
      <c r="C21" s="6" t="s">
        <v>54</v>
      </c>
      <c r="D21" s="6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56</v>
      </c>
      <c r="B22" s="6" t="s">
        <v>56</v>
      </c>
      <c r="C22" s="6" t="s">
        <v>58</v>
      </c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61</v>
      </c>
      <c r="B23" s="6" t="s">
        <v>62</v>
      </c>
      <c r="C23" s="6" t="s">
        <v>63</v>
      </c>
      <c r="D23" s="6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61</v>
      </c>
      <c r="B24" s="6" t="s">
        <v>66</v>
      </c>
      <c r="C24" s="6" t="s">
        <v>67</v>
      </c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61</v>
      </c>
      <c r="B25" s="6" t="s">
        <v>69</v>
      </c>
      <c r="C25" s="6" t="s">
        <v>71</v>
      </c>
      <c r="D25" s="6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61</v>
      </c>
      <c r="B26" s="6" t="s">
        <v>72</v>
      </c>
      <c r="C26" s="6" t="s">
        <v>73</v>
      </c>
      <c r="D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75</v>
      </c>
      <c r="B27" s="6" t="s">
        <v>75</v>
      </c>
      <c r="C27" s="6" t="s">
        <v>76</v>
      </c>
      <c r="D27" s="6"/>
      <c r="E27" s="6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78</v>
      </c>
      <c r="B28" s="6" t="s">
        <v>79</v>
      </c>
      <c r="C28" s="6" t="s">
        <v>81</v>
      </c>
      <c r="D28" s="6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78</v>
      </c>
      <c r="B29" s="6" t="s">
        <v>84</v>
      </c>
      <c r="C29" s="6" t="s">
        <v>85</v>
      </c>
      <c r="D29" s="6"/>
      <c r="E29" s="6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88</v>
      </c>
      <c r="B30" s="6" t="s">
        <v>88</v>
      </c>
      <c r="C30" s="6" t="s">
        <v>89</v>
      </c>
      <c r="D30" s="6"/>
      <c r="E30" s="6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88</v>
      </c>
      <c r="B31" s="6" t="s">
        <v>93</v>
      </c>
      <c r="C31" s="6" t="s">
        <v>94</v>
      </c>
      <c r="D31" s="6"/>
      <c r="E31" s="6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96</v>
      </c>
      <c r="B32" s="6" t="s">
        <v>96</v>
      </c>
      <c r="C32" s="6" t="s">
        <v>97</v>
      </c>
      <c r="D32" s="6"/>
      <c r="E32" s="6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96</v>
      </c>
      <c r="B33" s="6" t="s">
        <v>100</v>
      </c>
      <c r="C33" s="6" t="s">
        <v>101</v>
      </c>
      <c r="D33" s="6"/>
      <c r="E33" s="6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 t="s">
        <v>96</v>
      </c>
      <c r="B34" s="5" t="s">
        <v>103</v>
      </c>
      <c r="C34" s="5" t="s">
        <v>105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 t="s">
        <v>96</v>
      </c>
      <c r="B35" s="5" t="s">
        <v>107</v>
      </c>
      <c r="C35" s="5" t="s">
        <v>109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 t="s">
        <v>96</v>
      </c>
      <c r="B36" s="5" t="s">
        <v>112</v>
      </c>
      <c r="C36" s="5" t="s">
        <v>113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 t="s">
        <v>116</v>
      </c>
      <c r="B37" s="5" t="s">
        <v>117</v>
      </c>
      <c r="C37" s="5" t="s">
        <v>118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 t="s">
        <v>116</v>
      </c>
      <c r="B38" s="5" t="s">
        <v>120</v>
      </c>
      <c r="C38" s="5" t="s">
        <v>12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 t="s">
        <v>116</v>
      </c>
      <c r="B39" s="5" t="s">
        <v>124</v>
      </c>
      <c r="C39" s="5" t="s">
        <v>12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116</v>
      </c>
      <c r="B40" s="5" t="s">
        <v>129</v>
      </c>
      <c r="C40" s="5" t="s">
        <v>130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 t="s">
        <v>116</v>
      </c>
      <c r="B41" s="5" t="s">
        <v>131</v>
      </c>
      <c r="C41" s="5" t="s">
        <v>132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 t="s">
        <v>13</v>
      </c>
      <c r="B42" s="5" t="s">
        <v>133</v>
      </c>
      <c r="C42" s="5" t="s">
        <v>12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 t="s">
        <v>51</v>
      </c>
      <c r="B43" s="5" t="s">
        <v>133</v>
      </c>
      <c r="C43" s="5" t="s">
        <v>134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 t="s">
        <v>135</v>
      </c>
      <c r="B44" s="5" t="s">
        <v>136</v>
      </c>
      <c r="C44" s="5" t="s">
        <v>137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 t="s">
        <v>135</v>
      </c>
      <c r="B45" s="5" t="s">
        <v>138</v>
      </c>
      <c r="C45" s="5" t="s">
        <v>139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 t="s">
        <v>135</v>
      </c>
      <c r="B46" s="5" t="s">
        <v>140</v>
      </c>
      <c r="C46" s="5" t="s">
        <v>141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 t="s">
        <v>135</v>
      </c>
      <c r="B47" s="5" t="s">
        <v>142</v>
      </c>
      <c r="C47" s="5" t="s">
        <v>143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 t="s">
        <v>78</v>
      </c>
      <c r="B48" s="5" t="s">
        <v>144</v>
      </c>
      <c r="C48" s="5" t="s">
        <v>145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 t="s">
        <v>50</v>
      </c>
      <c r="B49" s="5" t="s">
        <v>146</v>
      </c>
      <c r="C49" s="5" t="s">
        <v>147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 t="s">
        <v>51</v>
      </c>
      <c r="B50" s="5" t="s">
        <v>148</v>
      </c>
      <c r="C50" s="5" t="s">
        <v>149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 t="s">
        <v>51</v>
      </c>
      <c r="B51" s="5" t="s">
        <v>150</v>
      </c>
      <c r="C51" s="5" t="s">
        <v>151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 t="s">
        <v>51</v>
      </c>
      <c r="B52" s="5" t="s">
        <v>152</v>
      </c>
      <c r="C52" s="5" t="s">
        <v>153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 t="s">
        <v>51</v>
      </c>
      <c r="B53" s="5" t="s">
        <v>154</v>
      </c>
      <c r="C53" s="5" t="s">
        <v>155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51</v>
      </c>
      <c r="B54" s="5" t="s">
        <v>156</v>
      </c>
      <c r="C54" s="5" t="s">
        <v>157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 t="s">
        <v>51</v>
      </c>
      <c r="B55" s="5" t="s">
        <v>158</v>
      </c>
      <c r="C55" s="5" t="s">
        <v>159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 t="s">
        <v>51</v>
      </c>
      <c r="B56" s="5" t="s">
        <v>160</v>
      </c>
      <c r="C56" s="5" t="s">
        <v>161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 t="s">
        <v>50</v>
      </c>
      <c r="B57" s="5" t="s">
        <v>162</v>
      </c>
      <c r="C57" s="5" t="s">
        <v>12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 t="s">
        <v>61</v>
      </c>
      <c r="B58" s="5" t="s">
        <v>133</v>
      </c>
      <c r="C58" s="5" t="s">
        <v>12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 t="s">
        <v>13</v>
      </c>
      <c r="B59" s="5" t="s">
        <v>163</v>
      </c>
      <c r="C59" s="5" t="s">
        <v>164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 t="s">
        <v>13</v>
      </c>
      <c r="B60" s="5" t="s">
        <v>165</v>
      </c>
      <c r="C60" s="5" t="s">
        <v>166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 t="s">
        <v>13</v>
      </c>
      <c r="B61" s="5" t="s">
        <v>167</v>
      </c>
      <c r="C61" s="5" t="s">
        <v>168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 t="s">
        <v>13</v>
      </c>
      <c r="B62" s="5" t="s">
        <v>169</v>
      </c>
      <c r="C62" s="5" t="s">
        <v>170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 t="s">
        <v>13</v>
      </c>
      <c r="B63" s="5" t="s">
        <v>80</v>
      </c>
      <c r="C63" s="5" t="s">
        <v>171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 t="s">
        <v>13</v>
      </c>
      <c r="B64" s="5" t="s">
        <v>86</v>
      </c>
      <c r="C64" s="5" t="s">
        <v>172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 t="s">
        <v>13</v>
      </c>
      <c r="B65" s="5" t="s">
        <v>173</v>
      </c>
      <c r="C65" s="5" t="s">
        <v>174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 t="s">
        <v>13</v>
      </c>
      <c r="B66" s="5" t="s">
        <v>57</v>
      </c>
      <c r="C66" s="5" t="s">
        <v>175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 t="s">
        <v>13</v>
      </c>
      <c r="B67" s="5" t="s">
        <v>176</v>
      </c>
      <c r="C67" s="5" t="s">
        <v>177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 t="s">
        <v>13</v>
      </c>
      <c r="B68" s="5" t="s">
        <v>98</v>
      </c>
      <c r="C68" s="5" t="s">
        <v>178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 t="s">
        <v>13</v>
      </c>
      <c r="B69" s="5" t="s">
        <v>179</v>
      </c>
      <c r="C69" s="5" t="s">
        <v>180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 t="s">
        <v>13</v>
      </c>
      <c r="B70" s="5" t="s">
        <v>181</v>
      </c>
      <c r="C70" s="5" t="s">
        <v>182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 t="s">
        <v>13</v>
      </c>
      <c r="B71" s="5" t="s">
        <v>183</v>
      </c>
      <c r="C71" s="5" t="s">
        <v>184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 t="s">
        <v>13</v>
      </c>
      <c r="B72" s="5" t="s">
        <v>185</v>
      </c>
      <c r="C72" s="5" t="s">
        <v>186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 t="s">
        <v>13</v>
      </c>
      <c r="B73" s="5" t="s">
        <v>187</v>
      </c>
      <c r="C73" s="5" t="s">
        <v>188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 t="s">
        <v>13</v>
      </c>
      <c r="B74" s="5" t="s">
        <v>189</v>
      </c>
      <c r="C74" s="5" t="s">
        <v>190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 t="s">
        <v>13</v>
      </c>
      <c r="B75" s="5" t="s">
        <v>191</v>
      </c>
      <c r="C75" s="5" t="s">
        <v>192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 t="s">
        <v>13</v>
      </c>
      <c r="B76" s="5" t="s">
        <v>193</v>
      </c>
      <c r="C76" s="5" t="s">
        <v>194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 t="s">
        <v>13</v>
      </c>
      <c r="B77" s="5" t="s">
        <v>195</v>
      </c>
      <c r="C77" s="5" t="s">
        <v>196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 t="s">
        <v>13</v>
      </c>
      <c r="B78" s="5" t="s">
        <v>108</v>
      </c>
      <c r="C78" s="5" t="s">
        <v>197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 t="s">
        <v>198</v>
      </c>
      <c r="B79" s="5" t="s">
        <v>199</v>
      </c>
      <c r="C79" s="5" t="s">
        <v>200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 t="s">
        <v>198</v>
      </c>
      <c r="B80" s="5" t="s">
        <v>201</v>
      </c>
      <c r="C80" s="5" t="s">
        <v>202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 t="s">
        <v>50</v>
      </c>
      <c r="B81" s="5" t="s">
        <v>203</v>
      </c>
      <c r="C81" s="5" t="s">
        <v>204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 t="s">
        <v>50</v>
      </c>
      <c r="B82" s="5" t="s">
        <v>205</v>
      </c>
      <c r="C82" s="5" t="s">
        <v>12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 t="s">
        <v>50</v>
      </c>
      <c r="B83" s="5" t="s">
        <v>206</v>
      </c>
      <c r="C83" s="5" t="s">
        <v>207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 t="s">
        <v>50</v>
      </c>
      <c r="B84" s="5" t="s">
        <v>208</v>
      </c>
      <c r="C84" s="5" t="s">
        <v>209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 t="s">
        <v>25</v>
      </c>
      <c r="B85" s="5" t="s">
        <v>210</v>
      </c>
      <c r="C85" s="5" t="s">
        <v>211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 t="s">
        <v>50</v>
      </c>
      <c r="B86" s="5" t="s">
        <v>212</v>
      </c>
      <c r="C86" s="5" t="s">
        <v>213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 t="s">
        <v>29</v>
      </c>
      <c r="B87" s="5" t="s">
        <v>70</v>
      </c>
      <c r="C87" s="5" t="s">
        <v>214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 t="s">
        <v>29</v>
      </c>
      <c r="B88" s="5" t="s">
        <v>215</v>
      </c>
      <c r="C88" s="5" t="s">
        <v>31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 t="s">
        <v>13</v>
      </c>
      <c r="B89" s="5" t="s">
        <v>102</v>
      </c>
      <c r="C89" s="5" t="s">
        <v>216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 t="s">
        <v>13</v>
      </c>
      <c r="B90" s="5" t="s">
        <v>217</v>
      </c>
      <c r="C90" s="5" t="s">
        <v>218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 t="s">
        <v>13</v>
      </c>
      <c r="B91" s="5" t="s">
        <v>219</v>
      </c>
      <c r="C91" s="5" t="s">
        <v>220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 t="s">
        <v>13</v>
      </c>
      <c r="B92" s="5" t="s">
        <v>221</v>
      </c>
      <c r="C92" s="5" t="s">
        <v>182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 t="s">
        <v>29</v>
      </c>
      <c r="B93" s="5" t="s">
        <v>222</v>
      </c>
      <c r="C93" s="5" t="s">
        <v>223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 t="s">
        <v>13</v>
      </c>
      <c r="B94" s="5" t="s">
        <v>114</v>
      </c>
      <c r="C94" s="5" t="s">
        <v>224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 t="s">
        <v>29</v>
      </c>
      <c r="B95" s="5" t="s">
        <v>225</v>
      </c>
      <c r="C95" s="5" t="s">
        <v>226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 t="s">
        <v>13</v>
      </c>
      <c r="B96" s="5" t="s">
        <v>227</v>
      </c>
      <c r="C96" s="5" t="s">
        <v>228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 t="s">
        <v>29</v>
      </c>
      <c r="B97" s="5" t="s">
        <v>229</v>
      </c>
      <c r="C97" s="5" t="s">
        <v>230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 t="s">
        <v>13</v>
      </c>
      <c r="B98" s="5" t="s">
        <v>231</v>
      </c>
      <c r="C98" s="5" t="s">
        <v>232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 t="s">
        <v>29</v>
      </c>
      <c r="B99" s="5" t="s">
        <v>233</v>
      </c>
      <c r="C99" s="5" t="s">
        <v>33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 t="s">
        <v>13</v>
      </c>
      <c r="B100" s="5" t="s">
        <v>234</v>
      </c>
      <c r="C100" s="5" t="s">
        <v>235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 t="s">
        <v>29</v>
      </c>
      <c r="B101" s="5" t="s">
        <v>236</v>
      </c>
      <c r="C101" s="5" t="s">
        <v>237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 t="s">
        <v>13</v>
      </c>
      <c r="B102" s="5" t="s">
        <v>47</v>
      </c>
      <c r="C102" s="5" t="s">
        <v>238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 t="s">
        <v>29</v>
      </c>
      <c r="B103" s="5" t="s">
        <v>239</v>
      </c>
      <c r="C103" s="5" t="s">
        <v>240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 t="s">
        <v>13</v>
      </c>
      <c r="B104" s="5" t="s">
        <v>91</v>
      </c>
      <c r="C104" s="5" t="s">
        <v>241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 t="s">
        <v>29</v>
      </c>
      <c r="B105" s="5" t="s">
        <v>242</v>
      </c>
      <c r="C105" s="5" t="s">
        <v>243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 t="s">
        <v>13</v>
      </c>
      <c r="B106" s="5" t="s">
        <v>244</v>
      </c>
      <c r="C106" s="5" t="s">
        <v>245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 t="s">
        <v>29</v>
      </c>
      <c r="B107" s="5" t="s">
        <v>246</v>
      </c>
      <c r="C107" s="5" t="s">
        <v>247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 t="s">
        <v>248</v>
      </c>
      <c r="B108" s="5" t="s">
        <v>249</v>
      </c>
      <c r="C108" s="5" t="s">
        <v>250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 t="s">
        <v>78</v>
      </c>
      <c r="B109" s="5" t="s">
        <v>251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 t="s">
        <v>13</v>
      </c>
      <c r="B110" s="5" t="s">
        <v>252</v>
      </c>
      <c r="C110" s="5" t="s">
        <v>253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 t="s">
        <v>29</v>
      </c>
      <c r="B111" s="5" t="s">
        <v>254</v>
      </c>
      <c r="C111" s="5" t="s">
        <v>255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 t="s">
        <v>29</v>
      </c>
      <c r="B112" s="5" t="s">
        <v>256</v>
      </c>
      <c r="C112" s="5" t="s">
        <v>257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 t="s">
        <v>13</v>
      </c>
      <c r="B113" s="5" t="s">
        <v>258</v>
      </c>
      <c r="C113" s="5" t="s">
        <v>190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 t="s">
        <v>13</v>
      </c>
      <c r="B114" s="5" t="s">
        <v>259</v>
      </c>
      <c r="C114" s="5" t="s">
        <v>260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 t="s">
        <v>29</v>
      </c>
      <c r="B115" s="5" t="s">
        <v>261</v>
      </c>
      <c r="C115" s="5" t="s">
        <v>262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 t="s">
        <v>29</v>
      </c>
      <c r="B116" s="5" t="s">
        <v>263</v>
      </c>
      <c r="C116" s="5" t="s">
        <v>264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 t="s">
        <v>13</v>
      </c>
      <c r="B117" s="5" t="s">
        <v>265</v>
      </c>
      <c r="C117" s="5" t="s">
        <v>266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3" t="s">
        <v>29</v>
      </c>
      <c r="B118" s="5" t="s">
        <v>267</v>
      </c>
      <c r="C118" s="5" t="s">
        <v>268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 t="s">
        <v>29</v>
      </c>
      <c r="B119" s="5" t="s">
        <v>269</v>
      </c>
      <c r="C119" s="5" t="s">
        <v>270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 t="s">
        <v>13</v>
      </c>
      <c r="B120" s="5" t="s">
        <v>271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 t="s">
        <v>29</v>
      </c>
      <c r="B121" s="5" t="s">
        <v>272</v>
      </c>
      <c r="C121" s="5" t="s">
        <v>273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 t="s">
        <v>29</v>
      </c>
      <c r="B122" s="5" t="s">
        <v>274</v>
      </c>
      <c r="C122" s="5" t="s">
        <v>275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 t="s">
        <v>50</v>
      </c>
      <c r="B123" s="5" t="s">
        <v>276</v>
      </c>
      <c r="C123" s="5" t="s">
        <v>277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 t="s">
        <v>25</v>
      </c>
      <c r="B124" s="5" t="s">
        <v>278</v>
      </c>
      <c r="C124" s="5" t="s">
        <v>279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 t="s">
        <v>25</v>
      </c>
      <c r="B125" s="5" t="s">
        <v>280</v>
      </c>
      <c r="C125" s="5" t="s">
        <v>281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 t="s">
        <v>25</v>
      </c>
      <c r="B126" s="5" t="s">
        <v>282</v>
      </c>
      <c r="C126" s="5" t="s">
        <v>283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 t="s">
        <v>25</v>
      </c>
      <c r="B127" s="5" t="s">
        <v>284</v>
      </c>
      <c r="C127" s="5" t="s">
        <v>285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 t="s">
        <v>25</v>
      </c>
      <c r="B128" s="5" t="s">
        <v>286</v>
      </c>
      <c r="C128" s="5" t="s">
        <v>287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 t="s">
        <v>25</v>
      </c>
      <c r="B129" s="5" t="s">
        <v>288</v>
      </c>
      <c r="C129" s="5" t="s">
        <v>289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 t="s">
        <v>25</v>
      </c>
      <c r="B130" s="5" t="s">
        <v>290</v>
      </c>
      <c r="C130" s="5" t="s">
        <v>291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 t="s">
        <v>25</v>
      </c>
      <c r="B131" s="5" t="s">
        <v>292</v>
      </c>
      <c r="C131" s="5" t="s">
        <v>293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 t="s">
        <v>25</v>
      </c>
      <c r="B132" s="5" t="s">
        <v>294</v>
      </c>
      <c r="C132" s="5" t="s">
        <v>295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 t="s">
        <v>25</v>
      </c>
      <c r="B133" s="5" t="s">
        <v>296</v>
      </c>
      <c r="C133" s="5" t="s">
        <v>297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 t="s">
        <v>125</v>
      </c>
      <c r="B134" s="5" t="s">
        <v>298</v>
      </c>
      <c r="C134" s="5" t="s">
        <v>299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 t="s">
        <v>25</v>
      </c>
      <c r="B135" s="5" t="s">
        <v>300</v>
      </c>
      <c r="C135" s="5" t="s">
        <v>301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 t="s">
        <v>25</v>
      </c>
      <c r="B136" s="5" t="s">
        <v>302</v>
      </c>
      <c r="C136" s="5" t="s">
        <v>303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 t="s">
        <v>13</v>
      </c>
      <c r="B137" s="5" t="s">
        <v>304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 t="s">
        <v>50</v>
      </c>
      <c r="B138" s="5" t="s">
        <v>305</v>
      </c>
      <c r="C138" s="5" t="s">
        <v>306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 t="s">
        <v>25</v>
      </c>
      <c r="B139" s="5" t="s">
        <v>307</v>
      </c>
      <c r="C139" s="5" t="s">
        <v>308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 t="s">
        <v>25</v>
      </c>
      <c r="B140" s="5" t="s">
        <v>309</v>
      </c>
      <c r="C140" s="5" t="s">
        <v>310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 t="s">
        <v>25</v>
      </c>
      <c r="B141" s="5" t="s">
        <v>311</v>
      </c>
      <c r="C141" s="5" t="s">
        <v>312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 t="s">
        <v>25</v>
      </c>
      <c r="B142" s="5" t="s">
        <v>313</v>
      </c>
      <c r="C142" s="5" t="s">
        <v>314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 t="s">
        <v>25</v>
      </c>
      <c r="B143" s="5" t="s">
        <v>315</v>
      </c>
      <c r="C143" s="5" t="s">
        <v>316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 t="s">
        <v>25</v>
      </c>
      <c r="B144" s="5" t="s">
        <v>317</v>
      </c>
      <c r="C144" s="5" t="s">
        <v>318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 t="s">
        <v>25</v>
      </c>
      <c r="B145" s="5" t="s">
        <v>319</v>
      </c>
      <c r="C145" s="5" t="s">
        <v>320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 t="s">
        <v>25</v>
      </c>
      <c r="B146" s="5" t="s">
        <v>321</v>
      </c>
      <c r="C146" s="5" t="s">
        <v>322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 t="s">
        <v>25</v>
      </c>
      <c r="B147" s="5" t="s">
        <v>323</v>
      </c>
      <c r="C147" s="5" t="s">
        <v>324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 t="s">
        <v>25</v>
      </c>
      <c r="B148" s="5" t="s">
        <v>325</v>
      </c>
      <c r="C148" s="5" t="s">
        <v>326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 t="s">
        <v>50</v>
      </c>
      <c r="B149" s="5" t="s">
        <v>327</v>
      </c>
      <c r="C149" s="5" t="s">
        <v>328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 t="s">
        <v>50</v>
      </c>
      <c r="B150" s="5" t="s">
        <v>52</v>
      </c>
      <c r="C150" s="5" t="s">
        <v>329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 t="s">
        <v>13</v>
      </c>
      <c r="B151" s="5" t="s">
        <v>330</v>
      </c>
      <c r="C151" s="5" t="s">
        <v>331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 t="s">
        <v>29</v>
      </c>
      <c r="B152" s="5" t="s">
        <v>332</v>
      </c>
      <c r="C152" s="5" t="s">
        <v>333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 t="s">
        <v>88</v>
      </c>
      <c r="B153" s="5" t="s">
        <v>334</v>
      </c>
      <c r="C153" s="5" t="s">
        <v>335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 t="s">
        <v>88</v>
      </c>
      <c r="B154" s="5" t="s">
        <v>336</v>
      </c>
      <c r="C154" s="5" t="s">
        <v>337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 t="s">
        <v>29</v>
      </c>
      <c r="B155" s="5" t="s">
        <v>338</v>
      </c>
      <c r="C155" s="5" t="s">
        <v>339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 t="s">
        <v>29</v>
      </c>
      <c r="B156" s="5" t="s">
        <v>340</v>
      </c>
      <c r="C156" s="5" t="s">
        <v>341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 t="s">
        <v>29</v>
      </c>
      <c r="B157" s="5" t="s">
        <v>342</v>
      </c>
      <c r="C157" s="5" t="s">
        <v>343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 t="s">
        <v>29</v>
      </c>
      <c r="B158" s="5" t="s">
        <v>344</v>
      </c>
      <c r="C158" s="5" t="s">
        <v>345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 t="s">
        <v>13</v>
      </c>
      <c r="B159" s="5" t="s">
        <v>346</v>
      </c>
      <c r="C159" s="5" t="s">
        <v>347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 t="s">
        <v>29</v>
      </c>
      <c r="B160" s="5" t="s">
        <v>348</v>
      </c>
      <c r="C160" s="5" t="s">
        <v>349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 t="s">
        <v>29</v>
      </c>
      <c r="B161" s="5" t="s">
        <v>350</v>
      </c>
      <c r="C161" s="5" t="s">
        <v>351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 t="s">
        <v>13</v>
      </c>
      <c r="B162" s="5" t="s">
        <v>352</v>
      </c>
      <c r="C162" s="5" t="s">
        <v>238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 t="s">
        <v>13</v>
      </c>
      <c r="B163" s="5" t="s">
        <v>353</v>
      </c>
      <c r="C163" s="5" t="s">
        <v>186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 t="s">
        <v>13</v>
      </c>
      <c r="B164" s="5" t="s">
        <v>354</v>
      </c>
      <c r="C164" s="5" t="s">
        <v>347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 t="s">
        <v>29</v>
      </c>
      <c r="B165" s="5" t="s">
        <v>355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 t="s">
        <v>29</v>
      </c>
      <c r="B166" s="5" t="s">
        <v>356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 t="s">
        <v>13</v>
      </c>
      <c r="B167" s="5" t="s">
        <v>357</v>
      </c>
      <c r="C167" s="5" t="s">
        <v>266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 t="s">
        <v>13</v>
      </c>
      <c r="B168" s="5" t="s">
        <v>358</v>
      </c>
      <c r="C168" s="5" t="s">
        <v>17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 t="s">
        <v>13</v>
      </c>
      <c r="B169" s="5" t="s">
        <v>359</v>
      </c>
      <c r="C169" s="5" t="s">
        <v>238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 t="s">
        <v>13</v>
      </c>
      <c r="B170" s="5" t="s">
        <v>360</v>
      </c>
      <c r="C170" s="5" t="s">
        <v>17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 t="s">
        <v>13</v>
      </c>
      <c r="B171" s="5" t="s">
        <v>361</v>
      </c>
      <c r="C171" s="5" t="s">
        <v>362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 t="s">
        <v>25</v>
      </c>
      <c r="B172" s="5" t="s">
        <v>363</v>
      </c>
      <c r="C172" s="5" t="s">
        <v>364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 t="s">
        <v>25</v>
      </c>
      <c r="B173" s="5" t="s">
        <v>365</v>
      </c>
      <c r="C173" s="5" t="s">
        <v>366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 t="s">
        <v>25</v>
      </c>
      <c r="B174" s="5" t="s">
        <v>367</v>
      </c>
      <c r="C174" s="5" t="s">
        <v>368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 t="s">
        <v>25</v>
      </c>
      <c r="B175" s="5" t="s">
        <v>369</v>
      </c>
      <c r="C175" s="5" t="s">
        <v>370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 t="s">
        <v>29</v>
      </c>
      <c r="B176" s="5" t="s">
        <v>371</v>
      </c>
      <c r="C176" s="5" t="s">
        <v>372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 t="s">
        <v>29</v>
      </c>
      <c r="B177" s="5" t="s">
        <v>373</v>
      </c>
      <c r="C177" s="5" t="s">
        <v>374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 t="s">
        <v>29</v>
      </c>
      <c r="B178" s="5" t="s">
        <v>375</v>
      </c>
      <c r="C178" s="5" t="s">
        <v>376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 t="s">
        <v>29</v>
      </c>
      <c r="B179" s="5" t="s">
        <v>377</v>
      </c>
      <c r="C179" s="5" t="s">
        <v>378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 t="s">
        <v>29</v>
      </c>
      <c r="B180" s="5" t="s">
        <v>379</v>
      </c>
      <c r="C180" s="5" t="s">
        <v>380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 t="s">
        <v>13</v>
      </c>
      <c r="B181" s="5" t="s">
        <v>381</v>
      </c>
      <c r="C181" s="5" t="s">
        <v>382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 t="s">
        <v>61</v>
      </c>
      <c r="B182" s="5" t="s">
        <v>383</v>
      </c>
      <c r="C182" s="5" t="s">
        <v>384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 t="s">
        <v>61</v>
      </c>
      <c r="B183" s="5" t="s">
        <v>385</v>
      </c>
      <c r="C183" s="5" t="s">
        <v>386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 t="s">
        <v>61</v>
      </c>
      <c r="B184" s="5" t="s">
        <v>387</v>
      </c>
      <c r="C184" s="5" t="s">
        <v>388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 t="s">
        <v>61</v>
      </c>
      <c r="B185" s="5" t="s">
        <v>389</v>
      </c>
      <c r="C185" s="5" t="s">
        <v>390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 t="s">
        <v>61</v>
      </c>
      <c r="B186" s="5" t="s">
        <v>391</v>
      </c>
      <c r="C186" s="5" t="s">
        <v>392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 t="s">
        <v>13</v>
      </c>
      <c r="B187" s="5" t="s">
        <v>64</v>
      </c>
      <c r="C187" s="5" t="s">
        <v>393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 t="s">
        <v>61</v>
      </c>
      <c r="B188" s="5" t="s">
        <v>394</v>
      </c>
      <c r="C188" s="5" t="s">
        <v>395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 t="s">
        <v>13</v>
      </c>
      <c r="B189" s="5" t="s">
        <v>121</v>
      </c>
      <c r="C189" s="5" t="s">
        <v>396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 t="s">
        <v>61</v>
      </c>
      <c r="B190" s="5" t="s">
        <v>397</v>
      </c>
      <c r="C190" s="5" t="s">
        <v>398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 t="s">
        <v>61</v>
      </c>
      <c r="B191" s="5" t="s">
        <v>399</v>
      </c>
      <c r="C191" s="5" t="s">
        <v>400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 t="s">
        <v>61</v>
      </c>
      <c r="B192" s="5" t="s">
        <v>401</v>
      </c>
      <c r="C192" s="5" t="s">
        <v>402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 t="s">
        <v>61</v>
      </c>
      <c r="B193" s="5" t="s">
        <v>403</v>
      </c>
      <c r="C193" s="5" t="s">
        <v>404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 t="s">
        <v>61</v>
      </c>
      <c r="B194" s="5" t="s">
        <v>405</v>
      </c>
      <c r="C194" s="5" t="s">
        <v>406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 t="s">
        <v>13</v>
      </c>
      <c r="B195" s="5" t="s">
        <v>407</v>
      </c>
      <c r="C195" s="5" t="s">
        <v>238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 t="s">
        <v>13</v>
      </c>
      <c r="B196" s="5" t="s">
        <v>408</v>
      </c>
      <c r="C196" s="5" t="s">
        <v>238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 t="s">
        <v>13</v>
      </c>
      <c r="B197" s="5" t="s">
        <v>409</v>
      </c>
      <c r="C197" s="5" t="s">
        <v>238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 t="s">
        <v>13</v>
      </c>
      <c r="B198" s="5" t="s">
        <v>410</v>
      </c>
      <c r="C198" s="5" t="s">
        <v>17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 t="s">
        <v>13</v>
      </c>
      <c r="B199" s="5" t="s">
        <v>16</v>
      </c>
      <c r="C199" s="5" t="s">
        <v>17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 t="s">
        <v>61</v>
      </c>
      <c r="B200" s="5" t="s">
        <v>411</v>
      </c>
      <c r="C200" s="5" t="s">
        <v>412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 t="s">
        <v>61</v>
      </c>
      <c r="B201" s="5" t="s">
        <v>413</v>
      </c>
      <c r="C201" s="5" t="s">
        <v>414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 t="s">
        <v>29</v>
      </c>
      <c r="B202" s="5" t="s">
        <v>415</v>
      </c>
      <c r="C202" s="5" t="s">
        <v>416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 t="s">
        <v>29</v>
      </c>
      <c r="B203" s="5" t="s">
        <v>417</v>
      </c>
      <c r="C203" s="5" t="s">
        <v>418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 t="s">
        <v>25</v>
      </c>
      <c r="B204" s="5" t="s">
        <v>419</v>
      </c>
      <c r="C204" s="5" t="s">
        <v>420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 t="s">
        <v>25</v>
      </c>
      <c r="B205" s="5" t="s">
        <v>421</v>
      </c>
      <c r="C205" s="5" t="s">
        <v>422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 t="s">
        <v>25</v>
      </c>
      <c r="B206" s="5" t="s">
        <v>423</v>
      </c>
      <c r="C206" s="5" t="s">
        <v>424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 t="s">
        <v>25</v>
      </c>
      <c r="B207" s="5" t="s">
        <v>425</v>
      </c>
      <c r="C207" s="5" t="s">
        <v>426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 t="s">
        <v>25</v>
      </c>
      <c r="B208" s="5" t="s">
        <v>427</v>
      </c>
      <c r="C208" s="5" t="s">
        <v>428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 t="s">
        <v>25</v>
      </c>
      <c r="B209" s="5" t="s">
        <v>429</v>
      </c>
      <c r="C209" s="5" t="s">
        <v>430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 t="s">
        <v>25</v>
      </c>
      <c r="B210" s="5" t="s">
        <v>431</v>
      </c>
      <c r="C210" s="5" t="s">
        <v>432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 t="s">
        <v>25</v>
      </c>
      <c r="B211" s="5" t="s">
        <v>433</v>
      </c>
      <c r="C211" s="5" t="s">
        <v>434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 t="s">
        <v>25</v>
      </c>
      <c r="B212" s="5" t="s">
        <v>435</v>
      </c>
      <c r="C212" s="5" t="s">
        <v>436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 t="s">
        <v>25</v>
      </c>
      <c r="B213" s="5" t="s">
        <v>437</v>
      </c>
      <c r="C213" s="5" t="s">
        <v>438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 t="s">
        <v>61</v>
      </c>
      <c r="B214" s="5" t="s">
        <v>439</v>
      </c>
      <c r="C214" s="5" t="s">
        <v>440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 t="s">
        <v>61</v>
      </c>
      <c r="B215" s="5" t="s">
        <v>441</v>
      </c>
      <c r="C215" s="5" t="s">
        <v>442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 t="s">
        <v>61</v>
      </c>
      <c r="B216" s="5" t="s">
        <v>443</v>
      </c>
      <c r="C216" s="5" t="s">
        <v>444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 t="s">
        <v>61</v>
      </c>
      <c r="B217" s="5" t="s">
        <v>445</v>
      </c>
      <c r="C217" s="5" t="s">
        <v>446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 t="s">
        <v>125</v>
      </c>
      <c r="B218" s="5" t="s">
        <v>447</v>
      </c>
      <c r="C218" s="5" t="s">
        <v>448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 t="s">
        <v>125</v>
      </c>
      <c r="B219" s="5" t="s">
        <v>449</v>
      </c>
      <c r="C219" s="5" t="s">
        <v>450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 t="s">
        <v>125</v>
      </c>
      <c r="B220" s="5" t="s">
        <v>126</v>
      </c>
      <c r="C220" s="5" t="s">
        <v>451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 t="s">
        <v>125</v>
      </c>
      <c r="B221" s="5" t="s">
        <v>452</v>
      </c>
      <c r="C221" s="5" t="s">
        <v>453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 t="s">
        <v>125</v>
      </c>
      <c r="B222" s="5" t="s">
        <v>454</v>
      </c>
      <c r="C222" s="5" t="s">
        <v>455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 t="s">
        <v>125</v>
      </c>
      <c r="B223" s="5" t="s">
        <v>456</v>
      </c>
      <c r="C223" s="5" t="s">
        <v>457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 t="s">
        <v>125</v>
      </c>
      <c r="B224" s="5" t="s">
        <v>458</v>
      </c>
      <c r="C224" s="5" t="s">
        <v>459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 t="s">
        <v>125</v>
      </c>
      <c r="B225" s="5" t="s">
        <v>460</v>
      </c>
      <c r="C225" s="5" t="s">
        <v>461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 t="s">
        <v>125</v>
      </c>
      <c r="B226" s="5" t="s">
        <v>462</v>
      </c>
      <c r="C226" s="5" t="s">
        <v>463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 t="s">
        <v>125</v>
      </c>
      <c r="B227" s="5" t="s">
        <v>464</v>
      </c>
      <c r="C227" s="5" t="s">
        <v>465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 t="s">
        <v>125</v>
      </c>
      <c r="B228" s="5" t="s">
        <v>466</v>
      </c>
      <c r="C228" s="5" t="s">
        <v>467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 t="s">
        <v>125</v>
      </c>
      <c r="B229" s="5" t="s">
        <v>468</v>
      </c>
      <c r="C229" s="5" t="s">
        <v>469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 t="s">
        <v>125</v>
      </c>
      <c r="B230" s="5" t="s">
        <v>470</v>
      </c>
      <c r="C230" s="5" t="s">
        <v>471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 t="s">
        <v>125</v>
      </c>
      <c r="B231" s="5" t="s">
        <v>472</v>
      </c>
      <c r="C231" s="5" t="s">
        <v>473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 t="s">
        <v>125</v>
      </c>
      <c r="B232" s="5" t="s">
        <v>474</v>
      </c>
      <c r="C232" s="5" t="s">
        <v>475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 t="s">
        <v>125</v>
      </c>
      <c r="B233" s="5" t="s">
        <v>476</v>
      </c>
      <c r="C233" s="5" t="s">
        <v>477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 t="s">
        <v>125</v>
      </c>
      <c r="B234" s="5" t="s">
        <v>298</v>
      </c>
      <c r="C234" s="5" t="s">
        <v>299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 t="s">
        <v>125</v>
      </c>
      <c r="B235" s="5" t="s">
        <v>478</v>
      </c>
      <c r="C235" s="5" t="s">
        <v>479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 t="s">
        <v>125</v>
      </c>
      <c r="B236" s="5" t="s">
        <v>480</v>
      </c>
      <c r="C236" s="5" t="s">
        <v>481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 t="s">
        <v>125</v>
      </c>
      <c r="B237" s="5" t="s">
        <v>482</v>
      </c>
      <c r="C237" s="5" t="s">
        <v>483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 t="s">
        <v>125</v>
      </c>
      <c r="B238" s="5" t="s">
        <v>410</v>
      </c>
      <c r="C238" s="5" t="s">
        <v>484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 t="s">
        <v>125</v>
      </c>
      <c r="B239" s="5" t="s">
        <v>485</v>
      </c>
      <c r="C239" s="5" t="s">
        <v>486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 t="s">
        <v>125</v>
      </c>
      <c r="B240" s="5" t="s">
        <v>487</v>
      </c>
      <c r="C240" s="5" t="s">
        <v>488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 t="s">
        <v>125</v>
      </c>
      <c r="B241" s="5" t="s">
        <v>489</v>
      </c>
      <c r="C241" s="5" t="s">
        <v>490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 t="s">
        <v>125</v>
      </c>
      <c r="B242" s="5" t="s">
        <v>491</v>
      </c>
      <c r="C242" s="5" t="s">
        <v>492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 t="s">
        <v>29</v>
      </c>
      <c r="B243" s="5" t="s">
        <v>493</v>
      </c>
      <c r="C243" s="5" t="s">
        <v>494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 t="s">
        <v>29</v>
      </c>
      <c r="B244" s="5" t="s">
        <v>495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 t="s">
        <v>29</v>
      </c>
      <c r="B245" s="5" t="s">
        <v>496</v>
      </c>
      <c r="C245" s="5" t="s">
        <v>497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 t="s">
        <v>29</v>
      </c>
      <c r="B246" s="5" t="s">
        <v>498</v>
      </c>
      <c r="C246" s="5" t="s">
        <v>499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 t="s">
        <v>61</v>
      </c>
      <c r="B247" s="5" t="s">
        <v>62</v>
      </c>
      <c r="C247" s="5" t="s">
        <v>63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 t="s">
        <v>61</v>
      </c>
      <c r="B248" s="5" t="s">
        <v>500</v>
      </c>
      <c r="C248" s="5" t="s">
        <v>501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 t="s">
        <v>61</v>
      </c>
      <c r="B249" s="5" t="s">
        <v>66</v>
      </c>
      <c r="C249" s="5" t="s">
        <v>67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 t="s">
        <v>29</v>
      </c>
      <c r="B250" s="5" t="s">
        <v>502</v>
      </c>
      <c r="C250" s="5" t="s">
        <v>503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 t="s">
        <v>61</v>
      </c>
      <c r="B251" s="5" t="s">
        <v>504</v>
      </c>
      <c r="C251" s="5" t="s">
        <v>505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 t="s">
        <v>61</v>
      </c>
      <c r="B252" s="5" t="s">
        <v>506</v>
      </c>
      <c r="C252" s="5" t="s">
        <v>507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 t="s">
        <v>61</v>
      </c>
      <c r="B253" s="5" t="s">
        <v>508</v>
      </c>
      <c r="C253" s="5" t="s">
        <v>509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 t="s">
        <v>61</v>
      </c>
      <c r="B254" s="5" t="s">
        <v>510</v>
      </c>
      <c r="C254" s="5" t="s">
        <v>511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 t="s">
        <v>78</v>
      </c>
      <c r="B255" s="5" t="s">
        <v>512</v>
      </c>
      <c r="C255" s="5" t="s">
        <v>513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 t="s">
        <v>78</v>
      </c>
      <c r="B256" s="5" t="s">
        <v>514</v>
      </c>
      <c r="C256" s="5" t="s">
        <v>515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 t="s">
        <v>13</v>
      </c>
      <c r="B257" s="5" t="s">
        <v>516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 t="s">
        <v>78</v>
      </c>
      <c r="B258" s="5" t="s">
        <v>517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 t="s">
        <v>78</v>
      </c>
      <c r="B259" s="5" t="s">
        <v>518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 t="s">
        <v>78</v>
      </c>
      <c r="B260" s="5" t="s">
        <v>519</v>
      </c>
      <c r="C260" s="5" t="s">
        <v>520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 t="s">
        <v>29</v>
      </c>
      <c r="B261" s="5" t="s">
        <v>521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 t="s">
        <v>25</v>
      </c>
      <c r="B262" s="5" t="s">
        <v>522</v>
      </c>
      <c r="C262" s="5" t="s">
        <v>523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 t="s">
        <v>29</v>
      </c>
      <c r="B263" s="5" t="s">
        <v>524</v>
      </c>
      <c r="C263" s="5" t="s">
        <v>525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 t="s">
        <v>50</v>
      </c>
      <c r="B264" s="5" t="s">
        <v>526</v>
      </c>
      <c r="C264" s="5" t="s">
        <v>527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 t="s">
        <v>56</v>
      </c>
      <c r="B265" s="5" t="s">
        <v>528</v>
      </c>
      <c r="C265" s="5" t="s">
        <v>529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 t="s">
        <v>50</v>
      </c>
      <c r="B266" s="5" t="s">
        <v>530</v>
      </c>
      <c r="C266" s="5" t="s">
        <v>531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 t="s">
        <v>50</v>
      </c>
      <c r="B267" s="5" t="s">
        <v>532</v>
      </c>
      <c r="C267" s="5" t="s">
        <v>533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 t="s">
        <v>534</v>
      </c>
      <c r="B268" s="5" t="s">
        <v>535</v>
      </c>
      <c r="C268" s="5" t="s">
        <v>536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 t="s">
        <v>537</v>
      </c>
      <c r="B269" s="5" t="s">
        <v>538</v>
      </c>
      <c r="C269" s="5" t="s">
        <v>539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 t="s">
        <v>540</v>
      </c>
      <c r="B270" s="5" t="s">
        <v>541</v>
      </c>
      <c r="C270" s="5" t="s">
        <v>542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 t="s">
        <v>543</v>
      </c>
      <c r="B271" s="5" t="s">
        <v>544</v>
      </c>
      <c r="C271" s="5" t="s">
        <v>545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 t="s">
        <v>543</v>
      </c>
      <c r="B272" s="5" t="s">
        <v>546</v>
      </c>
      <c r="C272" s="5" t="s">
        <v>547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 t="s">
        <v>543</v>
      </c>
      <c r="B273" s="5" t="s">
        <v>548</v>
      </c>
      <c r="C273" s="5" t="s">
        <v>549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 t="s">
        <v>543</v>
      </c>
      <c r="B274" s="5" t="s">
        <v>550</v>
      </c>
      <c r="C274" s="5" t="s">
        <v>551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 t="s">
        <v>543</v>
      </c>
      <c r="B275" s="5" t="s">
        <v>552</v>
      </c>
      <c r="C275" s="5" t="s">
        <v>553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 t="s">
        <v>543</v>
      </c>
      <c r="B276" s="5" t="s">
        <v>554</v>
      </c>
      <c r="C276" s="5" t="s">
        <v>555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 t="s">
        <v>78</v>
      </c>
      <c r="B277" s="5" t="s">
        <v>556</v>
      </c>
      <c r="C277" s="5" t="s">
        <v>557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 t="s">
        <v>543</v>
      </c>
      <c r="B278" s="5" t="s">
        <v>558</v>
      </c>
      <c r="C278" s="5" t="s">
        <v>559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 t="s">
        <v>543</v>
      </c>
      <c r="B279" s="5" t="s">
        <v>560</v>
      </c>
      <c r="C279" s="5" t="s">
        <v>561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 t="s">
        <v>543</v>
      </c>
      <c r="B280" s="5" t="s">
        <v>562</v>
      </c>
      <c r="C280" s="5" t="s">
        <v>563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 t="s">
        <v>319</v>
      </c>
      <c r="B281" s="5" t="s">
        <v>564</v>
      </c>
      <c r="C281" s="5" t="s">
        <v>565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 t="s">
        <v>319</v>
      </c>
      <c r="B282" s="5" t="s">
        <v>566</v>
      </c>
      <c r="C282" s="5" t="s">
        <v>567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 t="s">
        <v>319</v>
      </c>
      <c r="B283" s="5" t="s">
        <v>568</v>
      </c>
      <c r="C283" s="5" t="s">
        <v>569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 t="s">
        <v>319</v>
      </c>
      <c r="B284" s="5" t="s">
        <v>570</v>
      </c>
      <c r="C284" s="5" t="s">
        <v>571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 t="s">
        <v>319</v>
      </c>
      <c r="B285" s="5" t="s">
        <v>572</v>
      </c>
      <c r="C285" s="5" t="s">
        <v>573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 t="s">
        <v>13</v>
      </c>
      <c r="B286" s="5" t="s">
        <v>574</v>
      </c>
      <c r="C286" s="5" t="s">
        <v>216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 t="s">
        <v>319</v>
      </c>
      <c r="B287" s="5" t="s">
        <v>575</v>
      </c>
      <c r="C287" s="5" t="s">
        <v>576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 t="s">
        <v>13</v>
      </c>
      <c r="B288" s="5" t="s">
        <v>577</v>
      </c>
      <c r="C288" s="5" t="s">
        <v>224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 t="s">
        <v>13</v>
      </c>
      <c r="B289" s="5" t="s">
        <v>578</v>
      </c>
      <c r="C289" s="5" t="s">
        <v>197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 t="s">
        <v>13</v>
      </c>
      <c r="B290" s="5" t="s">
        <v>579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 t="s">
        <v>25</v>
      </c>
      <c r="B291" s="5" t="s">
        <v>580</v>
      </c>
      <c r="C291" s="5" t="s">
        <v>320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 t="s">
        <v>133</v>
      </c>
      <c r="B292" s="5" t="s">
        <v>581</v>
      </c>
      <c r="C292" s="5" t="s">
        <v>582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 t="s">
        <v>13</v>
      </c>
      <c r="B293" s="5" t="s">
        <v>583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 t="s">
        <v>13</v>
      </c>
      <c r="B294" s="5" t="s">
        <v>584</v>
      </c>
      <c r="C294" s="5" t="s">
        <v>182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 t="s">
        <v>13</v>
      </c>
      <c r="B295" s="5" t="s">
        <v>585</v>
      </c>
      <c r="C295" s="5" t="s">
        <v>182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 t="s">
        <v>13</v>
      </c>
      <c r="B296" s="5" t="s">
        <v>586</v>
      </c>
      <c r="C296" s="5" t="s">
        <v>186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 t="s">
        <v>13</v>
      </c>
      <c r="B297" s="5" t="s">
        <v>587</v>
      </c>
      <c r="C297" s="5" t="s">
        <v>186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 t="s">
        <v>13</v>
      </c>
      <c r="B298" s="5" t="s">
        <v>588</v>
      </c>
      <c r="C298" s="5" t="s">
        <v>188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 t="s">
        <v>13</v>
      </c>
      <c r="B299" s="5" t="s">
        <v>589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 t="s">
        <v>13</v>
      </c>
      <c r="B300" s="5" t="s">
        <v>590</v>
      </c>
      <c r="C300" s="5" t="s">
        <v>591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 t="s">
        <v>13</v>
      </c>
      <c r="B301" s="5" t="s">
        <v>592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 t="s">
        <v>13</v>
      </c>
      <c r="B302" s="5" t="s">
        <v>593</v>
      </c>
      <c r="C302" s="5" t="s">
        <v>594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 t="s">
        <v>13</v>
      </c>
      <c r="B303" s="5" t="s">
        <v>595</v>
      </c>
      <c r="C303" s="5" t="s">
        <v>596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 t="s">
        <v>13</v>
      </c>
      <c r="B304" s="5" t="s">
        <v>597</v>
      </c>
      <c r="C304" s="5" t="s">
        <v>598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 t="s">
        <v>13</v>
      </c>
      <c r="B305" s="5" t="s">
        <v>599</v>
      </c>
      <c r="C305" s="5" t="s">
        <v>600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 t="s">
        <v>13</v>
      </c>
      <c r="B306" s="5" t="s">
        <v>601</v>
      </c>
      <c r="C306" s="5" t="s">
        <v>602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 t="s">
        <v>543</v>
      </c>
      <c r="B307" s="5" t="s">
        <v>603</v>
      </c>
      <c r="C307" s="5" t="s">
        <v>604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8.71"/>
    <col customWidth="1" min="3" max="12" width="14.43"/>
    <col customWidth="1" min="13" max="26" width="17.29"/>
  </cols>
  <sheetData>
    <row r="1" ht="15.75" customHeight="1">
      <c r="A1" s="2" t="s">
        <v>1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5.75" customHeight="1">
      <c r="A2" s="7"/>
      <c r="B2" s="7"/>
      <c r="C2" s="7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5.75" customHeight="1">
      <c r="A3" s="8" t="s">
        <v>4</v>
      </c>
      <c r="B3" s="7" t="s">
        <v>5</v>
      </c>
      <c r="C3" s="7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5.75" customHeight="1">
      <c r="A4" s="8" t="s">
        <v>7</v>
      </c>
      <c r="B4" s="7" t="s">
        <v>8</v>
      </c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.75" customHeight="1">
      <c r="A5" s="10"/>
      <c r="B5" s="7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.75" customHeight="1">
      <c r="A6" s="10"/>
      <c r="B6" s="7"/>
      <c r="C6" s="7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.75" customHeight="1">
      <c r="A7" s="10"/>
      <c r="B7" s="7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>
      <c r="A8" s="10"/>
      <c r="B8" s="7"/>
      <c r="C8" s="7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5.75" customHeight="1">
      <c r="A9" s="10"/>
      <c r="B9" s="7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5.75" customHeight="1">
      <c r="A10" s="10"/>
      <c r="B10" s="7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5.75" customHeight="1">
      <c r="A11" s="10"/>
      <c r="B11" s="7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5.75" customHeight="1">
      <c r="A12" s="10"/>
      <c r="B12" s="7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5.75" customHeight="1">
      <c r="A13" s="10"/>
      <c r="B13" s="7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5.75" customHeight="1">
      <c r="A14" s="10"/>
      <c r="B14" s="7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5.75" customHeight="1">
      <c r="A15" s="10"/>
      <c r="B15" s="7"/>
      <c r="C15" s="7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5.75" customHeight="1">
      <c r="A16" s="10"/>
      <c r="B16" s="7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5.75" customHeight="1">
      <c r="A17" s="10"/>
      <c r="B17" s="7"/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5.75" customHeight="1">
      <c r="A18" s="10"/>
      <c r="B18" s="7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5.75" customHeight="1">
      <c r="A19" s="10"/>
      <c r="B19" s="7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5.75" customHeight="1">
      <c r="A20" s="10"/>
      <c r="B20" s="7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10"/>
      <c r="B21" s="7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10"/>
      <c r="B22" s="7"/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7.29"/>
    <col customWidth="1" min="4" max="4" width="38.43"/>
    <col customWidth="1" min="5" max="26" width="17.29"/>
  </cols>
  <sheetData>
    <row r="1">
      <c r="A1" s="1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3</v>
      </c>
      <c r="B3" s="9" t="s">
        <v>6</v>
      </c>
      <c r="C3" s="9" t="s">
        <v>10</v>
      </c>
      <c r="D3" s="9"/>
      <c r="E3" s="9"/>
      <c r="F3" s="9"/>
      <c r="G3" s="11"/>
      <c r="H3" s="11"/>
      <c r="I3" s="11"/>
      <c r="J3" s="11"/>
      <c r="K3" s="11"/>
      <c r="L3" s="11"/>
      <c r="M3" s="11"/>
      <c r="N3" s="11"/>
    </row>
    <row r="4">
      <c r="A4" s="5" t="str">
        <f>IFERROR(__xludf.DUMMYFUNCTION("IMPORTRANGE('_Settings'!B4,""Master Data!A4:L1000"")"),"#REF!")</f>
        <v>#REF!</v>
      </c>
      <c r="B4" s="5" t="s">
        <v>36</v>
      </c>
      <c r="C4" s="5" t="s">
        <v>39</v>
      </c>
      <c r="D4" s="5" t="s">
        <v>40</v>
      </c>
    </row>
    <row r="5">
      <c r="A5" s="5" t="s">
        <v>13</v>
      </c>
      <c r="B5" s="5" t="s">
        <v>20</v>
      </c>
      <c r="C5" s="5" t="s">
        <v>43</v>
      </c>
      <c r="D5" s="5" t="s">
        <v>45</v>
      </c>
    </row>
    <row r="6">
      <c r="A6" s="5" t="s">
        <v>13</v>
      </c>
      <c r="B6" s="5" t="s">
        <v>47</v>
      </c>
      <c r="C6" s="5" t="s">
        <v>43</v>
      </c>
      <c r="D6" s="5" t="s">
        <v>45</v>
      </c>
    </row>
    <row r="7">
      <c r="A7" s="5" t="s">
        <v>50</v>
      </c>
      <c r="B7" s="5" t="s">
        <v>52</v>
      </c>
      <c r="C7" s="5" t="s">
        <v>53</v>
      </c>
      <c r="D7" s="5" t="s">
        <v>55</v>
      </c>
    </row>
    <row r="8">
      <c r="A8" s="5" t="s">
        <v>13</v>
      </c>
      <c r="B8" s="5" t="s">
        <v>57</v>
      </c>
      <c r="C8" s="5" t="s">
        <v>59</v>
      </c>
      <c r="D8" s="5" t="s">
        <v>60</v>
      </c>
    </row>
    <row r="9">
      <c r="A9" s="5" t="s">
        <v>13</v>
      </c>
      <c r="B9" s="5" t="s">
        <v>64</v>
      </c>
      <c r="C9" s="5" t="s">
        <v>65</v>
      </c>
      <c r="D9" s="5" t="s">
        <v>68</v>
      </c>
    </row>
    <row r="10">
      <c r="A10" s="5" t="s">
        <v>29</v>
      </c>
      <c r="B10" s="5" t="s">
        <v>70</v>
      </c>
      <c r="C10" s="5" t="s">
        <v>70</v>
      </c>
      <c r="D10" s="5" t="s">
        <v>74</v>
      </c>
    </row>
    <row r="11">
      <c r="A11" s="5" t="s">
        <v>50</v>
      </c>
      <c r="B11" s="5" t="s">
        <v>52</v>
      </c>
      <c r="C11" s="5" t="s">
        <v>52</v>
      </c>
      <c r="D11" s="5" t="s">
        <v>77</v>
      </c>
    </row>
    <row r="12">
      <c r="A12" s="5" t="s">
        <v>13</v>
      </c>
      <c r="B12" s="5" t="s">
        <v>80</v>
      </c>
      <c r="C12" s="5" t="s">
        <v>82</v>
      </c>
      <c r="D12" s="5" t="s">
        <v>83</v>
      </c>
    </row>
    <row r="13">
      <c r="A13" s="5" t="s">
        <v>13</v>
      </c>
      <c r="B13" s="5" t="s">
        <v>86</v>
      </c>
      <c r="C13" s="5" t="s">
        <v>87</v>
      </c>
      <c r="D13" s="5" t="s">
        <v>90</v>
      </c>
    </row>
    <row r="14">
      <c r="A14" s="5" t="s">
        <v>13</v>
      </c>
      <c r="B14" s="5" t="s">
        <v>91</v>
      </c>
      <c r="C14" s="5" t="s">
        <v>92</v>
      </c>
      <c r="D14" s="5" t="s">
        <v>95</v>
      </c>
    </row>
    <row r="15">
      <c r="A15" s="5" t="s">
        <v>13</v>
      </c>
      <c r="B15" s="5" t="s">
        <v>98</v>
      </c>
      <c r="C15" s="5" t="s">
        <v>98</v>
      </c>
      <c r="D15" s="5" t="s">
        <v>99</v>
      </c>
    </row>
    <row r="16">
      <c r="A16" s="5" t="s">
        <v>13</v>
      </c>
      <c r="B16" s="5" t="s">
        <v>102</v>
      </c>
      <c r="C16" s="5" t="s">
        <v>104</v>
      </c>
      <c r="D16" s="5" t="s">
        <v>106</v>
      </c>
    </row>
    <row r="17">
      <c r="A17" s="5" t="s">
        <v>13</v>
      </c>
      <c r="B17" s="5" t="s">
        <v>108</v>
      </c>
      <c r="C17" s="5" t="s">
        <v>110</v>
      </c>
      <c r="D17" s="5" t="s">
        <v>111</v>
      </c>
    </row>
    <row r="18">
      <c r="A18" s="5" t="s">
        <v>13</v>
      </c>
      <c r="B18" s="5" t="s">
        <v>114</v>
      </c>
      <c r="C18" s="5" t="s">
        <v>115</v>
      </c>
      <c r="D18" s="5" t="s">
        <v>119</v>
      </c>
    </row>
    <row r="19">
      <c r="A19" s="5" t="s">
        <v>13</v>
      </c>
      <c r="B19" s="5" t="s">
        <v>121</v>
      </c>
      <c r="C19" s="5" t="s">
        <v>122</v>
      </c>
      <c r="D19" s="5" t="s">
        <v>123</v>
      </c>
    </row>
    <row r="20">
      <c r="A20" s="5" t="s">
        <v>125</v>
      </c>
      <c r="B20" s="5" t="s">
        <v>126</v>
      </c>
      <c r="C20" s="5" t="s">
        <v>127</v>
      </c>
      <c r="D20" s="5" t="s">
        <v>128</v>
      </c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1" t="s">
        <v>605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 VLOOKUP($E$3,'_MasterData'!B4:D1000,3,FALSE)</f>
        <v>#N/A</v>
      </c>
      <c r="K2" s="16"/>
      <c r="L2" s="7"/>
      <c r="M2" s="7"/>
      <c r="N2" s="7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15.75" customHeight="1">
      <c r="A3" s="8"/>
      <c r="B3" s="8" t="s">
        <v>3</v>
      </c>
      <c r="C3" s="10" t="s">
        <v>543</v>
      </c>
      <c r="D3" s="8" t="s">
        <v>6</v>
      </c>
      <c r="E3" s="10" t="s">
        <v>544</v>
      </c>
      <c r="F3" s="8" t="s">
        <v>606</v>
      </c>
      <c r="G3" s="10" t="s">
        <v>607</v>
      </c>
      <c r="H3" s="8"/>
      <c r="I3" s="8"/>
      <c r="J3" s="8"/>
      <c r="K3" s="8"/>
      <c r="L3" s="8"/>
      <c r="M3" s="8"/>
      <c r="N3" s="8"/>
      <c r="O3" s="8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546</v>
      </c>
      <c r="D4" s="18" t="s">
        <v>548</v>
      </c>
      <c r="E4" s="18" t="s">
        <v>608</v>
      </c>
      <c r="F4" s="18" t="s">
        <v>552</v>
      </c>
      <c r="G4" s="18" t="s">
        <v>550</v>
      </c>
      <c r="H4" s="18" t="s">
        <v>554</v>
      </c>
      <c r="I4" s="18" t="s">
        <v>556</v>
      </c>
      <c r="J4" s="18" t="s">
        <v>609</v>
      </c>
      <c r="K4" s="18" t="s">
        <v>560</v>
      </c>
      <c r="L4" s="18" t="s">
        <v>610</v>
      </c>
      <c r="M4" s="18" t="s">
        <v>611</v>
      </c>
      <c r="N4" s="18" t="s">
        <v>612</v>
      </c>
      <c r="O4" s="18" t="s">
        <v>560</v>
      </c>
      <c r="P4" s="19" t="s">
        <v>562</v>
      </c>
      <c r="Q4" s="19" t="s">
        <v>558</v>
      </c>
      <c r="R4" s="19" t="s">
        <v>603</v>
      </c>
      <c r="S4" s="19" t="s">
        <v>604</v>
      </c>
      <c r="T4" s="19" t="s">
        <v>603</v>
      </c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0" t="s">
        <v>613</v>
      </c>
      <c r="C5" s="20" t="s">
        <v>614</v>
      </c>
      <c r="D5" s="20" t="s">
        <v>615</v>
      </c>
      <c r="E5" s="20" t="s">
        <v>616</v>
      </c>
      <c r="F5" s="20" t="s">
        <v>617</v>
      </c>
      <c r="G5" s="20" t="s">
        <v>618</v>
      </c>
      <c r="H5" s="20" t="s">
        <v>619</v>
      </c>
      <c r="I5" s="20" t="s">
        <v>620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15.75" customHeight="1">
      <c r="A6" s="7"/>
      <c r="B6" s="22" t="s">
        <v>621</v>
      </c>
      <c r="C6" s="22" t="s">
        <v>622</v>
      </c>
      <c r="D6" s="22" t="s">
        <v>623</v>
      </c>
      <c r="E6" s="22">
        <v>25.0</v>
      </c>
      <c r="F6" s="22">
        <v>20.0</v>
      </c>
      <c r="G6" s="22" t="s">
        <v>624</v>
      </c>
      <c r="H6" s="22" t="s">
        <v>625</v>
      </c>
      <c r="I6" s="22" t="s">
        <v>626</v>
      </c>
      <c r="J6" s="7"/>
      <c r="K6" s="7"/>
      <c r="L6" s="7"/>
      <c r="M6" s="7"/>
      <c r="N6" s="7"/>
      <c r="O6" s="7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1" t="s">
        <v>605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 VLOOKUP($E$3,'_MasterData'!B4:D1000,3,FALSE)</f>
        <v>#N/A</v>
      </c>
      <c r="K2" s="16"/>
      <c r="L2" s="7"/>
      <c r="M2" s="7"/>
      <c r="N2" s="7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15.75" customHeight="1">
      <c r="A3" s="8"/>
      <c r="B3" s="8" t="s">
        <v>3</v>
      </c>
      <c r="C3" s="10" t="s">
        <v>543</v>
      </c>
      <c r="D3" s="8" t="s">
        <v>6</v>
      </c>
      <c r="E3" s="10" t="s">
        <v>554</v>
      </c>
      <c r="F3" s="8" t="s">
        <v>606</v>
      </c>
      <c r="G3" s="10" t="s">
        <v>607</v>
      </c>
      <c r="H3" s="8"/>
      <c r="I3" s="8"/>
      <c r="J3" s="8"/>
      <c r="K3" s="8"/>
      <c r="L3" s="8"/>
      <c r="M3" s="8"/>
      <c r="N3" s="8"/>
      <c r="O3" s="8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546</v>
      </c>
      <c r="D4" s="18" t="s">
        <v>548</v>
      </c>
      <c r="E4" s="18" t="s">
        <v>608</v>
      </c>
      <c r="F4" s="18" t="s">
        <v>552</v>
      </c>
      <c r="G4" s="18" t="s">
        <v>550</v>
      </c>
      <c r="H4" s="18" t="s">
        <v>554</v>
      </c>
      <c r="I4" s="18" t="s">
        <v>556</v>
      </c>
      <c r="J4" s="18" t="s">
        <v>609</v>
      </c>
      <c r="K4" s="18" t="s">
        <v>560</v>
      </c>
      <c r="L4" s="18" t="s">
        <v>610</v>
      </c>
      <c r="M4" s="18" t="s">
        <v>611</v>
      </c>
      <c r="N4" s="18" t="s">
        <v>612</v>
      </c>
      <c r="O4" s="18" t="s">
        <v>560</v>
      </c>
      <c r="P4" s="19" t="s">
        <v>562</v>
      </c>
      <c r="Q4" s="19" t="s">
        <v>558</v>
      </c>
      <c r="R4" s="19" t="s">
        <v>603</v>
      </c>
      <c r="S4" s="19" t="s">
        <v>604</v>
      </c>
      <c r="T4" s="19" t="s">
        <v>603</v>
      </c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0" t="s">
        <v>627</v>
      </c>
      <c r="C5" s="20" t="s">
        <v>628</v>
      </c>
      <c r="D5" s="20" t="s">
        <v>629</v>
      </c>
      <c r="E5" s="20" t="s">
        <v>630</v>
      </c>
      <c r="F5" s="20" t="s">
        <v>631</v>
      </c>
      <c r="G5" s="20" t="s">
        <v>632</v>
      </c>
      <c r="H5" s="20" t="s">
        <v>633</v>
      </c>
      <c r="I5" s="20" t="s">
        <v>634</v>
      </c>
      <c r="J5" s="20" t="s">
        <v>635</v>
      </c>
      <c r="K5" s="20" t="s">
        <v>636</v>
      </c>
      <c r="L5" s="20" t="s">
        <v>637</v>
      </c>
      <c r="M5" s="20" t="s">
        <v>638</v>
      </c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15.75" customHeight="1">
      <c r="A6" s="7"/>
      <c r="B6" s="13" t="s">
        <v>639</v>
      </c>
      <c r="C6" s="13">
        <v>10000.0</v>
      </c>
      <c r="D6" s="13">
        <v>100.0</v>
      </c>
      <c r="E6" s="13">
        <v>2000.0</v>
      </c>
      <c r="F6" s="13">
        <v>6.67</v>
      </c>
      <c r="G6" s="13">
        <v>10.0</v>
      </c>
      <c r="H6" s="13">
        <v>16.67</v>
      </c>
      <c r="I6" s="13">
        <v>150.0</v>
      </c>
      <c r="J6" s="13">
        <v>250.0</v>
      </c>
      <c r="K6" s="13">
        <v>5000.0</v>
      </c>
      <c r="L6" s="23">
        <v>66.67</v>
      </c>
      <c r="M6" s="13">
        <v>1.0</v>
      </c>
      <c r="N6" s="7"/>
      <c r="O6" s="7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15.75" customHeight="1">
      <c r="A7" s="7"/>
      <c r="B7" s="13" t="s">
        <v>640</v>
      </c>
      <c r="C7" s="13">
        <v>20000.0</v>
      </c>
      <c r="D7" s="13">
        <v>50.0</v>
      </c>
      <c r="E7" s="13">
        <v>1000.0</v>
      </c>
      <c r="F7" s="13">
        <v>3.33</v>
      </c>
      <c r="G7" s="13">
        <v>5.0</v>
      </c>
      <c r="H7" s="23">
        <v>8.33</v>
      </c>
      <c r="I7" s="23">
        <v>75.0</v>
      </c>
      <c r="J7" s="23">
        <v>125.0</v>
      </c>
      <c r="K7" s="23">
        <v>2500.0</v>
      </c>
      <c r="L7" s="23">
        <v>33.33</v>
      </c>
      <c r="M7" s="13">
        <v>1.0</v>
      </c>
      <c r="N7" s="7"/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15.75" customHeight="1">
      <c r="A9" s="7"/>
      <c r="B9" s="2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ht="15.75" customHeight="1">
      <c r="A10" s="7"/>
      <c r="B10" s="2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4"/>
      <c r="B1" s="1" t="s">
        <v>605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 VLOOKUP($E$3,'_MasterData'!B4:D1000,3,FALSE)</f>
        <v>#N/A</v>
      </c>
      <c r="K2" s="16"/>
      <c r="L2" s="7"/>
      <c r="M2" s="7"/>
      <c r="N2" s="7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ht="15.75" customHeight="1">
      <c r="A3" s="8"/>
      <c r="B3" s="8" t="s">
        <v>3</v>
      </c>
      <c r="C3" s="10" t="s">
        <v>61</v>
      </c>
      <c r="D3" s="8" t="s">
        <v>6</v>
      </c>
      <c r="E3" s="10" t="s">
        <v>394</v>
      </c>
      <c r="F3" s="8" t="s">
        <v>606</v>
      </c>
      <c r="G3" s="10" t="s">
        <v>607</v>
      </c>
      <c r="H3" s="8"/>
      <c r="I3" s="8"/>
      <c r="J3" s="8"/>
      <c r="K3" s="8"/>
      <c r="L3" s="8"/>
      <c r="M3" s="8"/>
      <c r="N3" s="8"/>
      <c r="O3" s="8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66</v>
      </c>
      <c r="D4" s="18" t="s">
        <v>69</v>
      </c>
      <c r="E4" s="18" t="s">
        <v>133</v>
      </c>
      <c r="F4" s="18" t="s">
        <v>383</v>
      </c>
      <c r="G4" s="18" t="s">
        <v>385</v>
      </c>
      <c r="H4" s="18" t="s">
        <v>389</v>
      </c>
      <c r="I4" s="18" t="s">
        <v>641</v>
      </c>
      <c r="J4" s="18" t="s">
        <v>642</v>
      </c>
      <c r="K4" s="18" t="s">
        <v>643</v>
      </c>
      <c r="L4" s="18" t="s">
        <v>391</v>
      </c>
      <c r="M4" s="18" t="s">
        <v>394</v>
      </c>
      <c r="N4" s="18" t="s">
        <v>644</v>
      </c>
      <c r="O4" s="18" t="s">
        <v>397</v>
      </c>
      <c r="P4" s="19" t="s">
        <v>399</v>
      </c>
      <c r="Q4" s="19" t="s">
        <v>401</v>
      </c>
      <c r="R4" s="19" t="s">
        <v>403</v>
      </c>
      <c r="S4" s="19" t="s">
        <v>405</v>
      </c>
      <c r="T4" s="19" t="s">
        <v>411</v>
      </c>
      <c r="U4" s="19" t="s">
        <v>413</v>
      </c>
      <c r="V4" s="19" t="s">
        <v>439</v>
      </c>
      <c r="W4" s="19" t="s">
        <v>645</v>
      </c>
      <c r="X4" s="19" t="s">
        <v>441</v>
      </c>
      <c r="Y4" s="19" t="s">
        <v>443</v>
      </c>
      <c r="Z4" s="19" t="s">
        <v>445</v>
      </c>
      <c r="AA4" s="19" t="s">
        <v>641</v>
      </c>
      <c r="AB4" s="19" t="s">
        <v>62</v>
      </c>
      <c r="AC4" s="19" t="s">
        <v>500</v>
      </c>
      <c r="AD4" s="19" t="s">
        <v>66</v>
      </c>
      <c r="AE4" s="19" t="s">
        <v>646</v>
      </c>
      <c r="AF4" s="19" t="s">
        <v>504</v>
      </c>
      <c r="AG4" s="19" t="s">
        <v>647</v>
      </c>
      <c r="AH4" s="19" t="s">
        <v>648</v>
      </c>
      <c r="AI4" s="19" t="s">
        <v>506</v>
      </c>
      <c r="AJ4" s="19" t="s">
        <v>508</v>
      </c>
      <c r="AK4" s="19" t="s">
        <v>510</v>
      </c>
      <c r="AL4" s="19" t="s">
        <v>72</v>
      </c>
      <c r="AM4" s="19" t="s">
        <v>387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0" t="s">
        <v>649</v>
      </c>
      <c r="C5" s="20" t="s">
        <v>650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ht="15.75" customHeight="1">
      <c r="A6" s="6"/>
      <c r="B6" s="25">
        <f t="shared" ref="B6:C6" si="1">TODAY()-1</f>
        <v>42992</v>
      </c>
      <c r="C6" s="25">
        <f t="shared" si="1"/>
        <v>42992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4"/>
      <c r="B1" s="1" t="s">
        <v>605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 VLOOKUP($E$3,'_MasterData'!B4:D1000,3,FALSE)</f>
        <v>#N/A</v>
      </c>
      <c r="K2" s="16"/>
      <c r="L2" s="7"/>
      <c r="M2" s="7"/>
      <c r="N2" s="7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ht="15.75" customHeight="1">
      <c r="A3" s="8"/>
      <c r="B3" s="8" t="s">
        <v>3</v>
      </c>
      <c r="C3" s="10" t="s">
        <v>61</v>
      </c>
      <c r="D3" s="8" t="s">
        <v>6</v>
      </c>
      <c r="E3" s="10" t="s">
        <v>66</v>
      </c>
      <c r="F3" s="8" t="s">
        <v>606</v>
      </c>
      <c r="G3" s="10" t="s">
        <v>607</v>
      </c>
      <c r="H3" s="8"/>
      <c r="I3" s="8"/>
      <c r="J3" s="8"/>
      <c r="K3" s="8"/>
      <c r="L3" s="8"/>
      <c r="M3" s="8"/>
      <c r="N3" s="8"/>
      <c r="O3" s="8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66</v>
      </c>
      <c r="D4" s="18" t="s">
        <v>69</v>
      </c>
      <c r="E4" s="18" t="s">
        <v>133</v>
      </c>
      <c r="F4" s="18" t="s">
        <v>383</v>
      </c>
      <c r="G4" s="18" t="s">
        <v>385</v>
      </c>
      <c r="H4" s="18" t="s">
        <v>389</v>
      </c>
      <c r="I4" s="18" t="s">
        <v>641</v>
      </c>
      <c r="J4" s="18" t="s">
        <v>642</v>
      </c>
      <c r="K4" s="18" t="s">
        <v>643</v>
      </c>
      <c r="L4" s="18" t="s">
        <v>391</v>
      </c>
      <c r="M4" s="18" t="s">
        <v>394</v>
      </c>
      <c r="N4" s="18" t="s">
        <v>644</v>
      </c>
      <c r="O4" s="18" t="s">
        <v>397</v>
      </c>
      <c r="P4" s="19" t="s">
        <v>399</v>
      </c>
      <c r="Q4" s="19" t="s">
        <v>401</v>
      </c>
      <c r="R4" s="19" t="s">
        <v>403</v>
      </c>
      <c r="S4" s="19" t="s">
        <v>405</v>
      </c>
      <c r="T4" s="19" t="s">
        <v>411</v>
      </c>
      <c r="U4" s="19" t="s">
        <v>413</v>
      </c>
      <c r="V4" s="19" t="s">
        <v>439</v>
      </c>
      <c r="W4" s="19" t="s">
        <v>645</v>
      </c>
      <c r="X4" s="19" t="s">
        <v>441</v>
      </c>
      <c r="Y4" s="19" t="s">
        <v>443</v>
      </c>
      <c r="Z4" s="19" t="s">
        <v>445</v>
      </c>
      <c r="AA4" s="19" t="s">
        <v>641</v>
      </c>
      <c r="AB4" s="19" t="s">
        <v>62</v>
      </c>
      <c r="AC4" s="19" t="s">
        <v>500</v>
      </c>
      <c r="AD4" s="19" t="s">
        <v>66</v>
      </c>
      <c r="AE4" s="19" t="s">
        <v>646</v>
      </c>
      <c r="AF4" s="19" t="s">
        <v>504</v>
      </c>
      <c r="AG4" s="19" t="s">
        <v>647</v>
      </c>
      <c r="AH4" s="19" t="s">
        <v>648</v>
      </c>
      <c r="AI4" s="19" t="s">
        <v>506</v>
      </c>
      <c r="AJ4" s="19" t="s">
        <v>508</v>
      </c>
      <c r="AK4" s="19" t="s">
        <v>510</v>
      </c>
      <c r="AL4" s="19" t="s">
        <v>72</v>
      </c>
      <c r="AM4" s="19" t="s">
        <v>387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0" t="s">
        <v>625</v>
      </c>
      <c r="C5" s="20" t="s">
        <v>651</v>
      </c>
      <c r="D5" s="20" t="s">
        <v>652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ht="15.75" customHeight="1">
      <c r="A6" s="6"/>
      <c r="B6" s="7" t="s">
        <v>639</v>
      </c>
      <c r="C6" s="7" t="s">
        <v>653</v>
      </c>
      <c r="D6" s="26">
        <v>10000.0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ht="15.75" customHeight="1">
      <c r="A7" s="6"/>
      <c r="B7" s="7" t="s">
        <v>640</v>
      </c>
      <c r="C7" s="7" t="s">
        <v>653</v>
      </c>
      <c r="D7" s="26">
        <v>20000.0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4"/>
      <c r="B1" s="1" t="s">
        <v>605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 VLOOKUP($E$3,'_MasterData'!B4:D1000,3,FALSE)</f>
        <v>1b5S4Xpp4fgZ1ez6cK92QFnVBylqz8jhwxdAyEvwDqUI</v>
      </c>
      <c r="K2" s="16"/>
      <c r="L2" s="7"/>
      <c r="M2" s="7"/>
      <c r="N2" s="7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ht="15.75" customHeight="1">
      <c r="A3" s="8"/>
      <c r="B3" s="8" t="s">
        <v>3</v>
      </c>
      <c r="C3" s="10" t="s">
        <v>50</v>
      </c>
      <c r="D3" s="8" t="s">
        <v>6</v>
      </c>
      <c r="E3" s="10" t="s">
        <v>52</v>
      </c>
      <c r="F3" s="8" t="s">
        <v>606</v>
      </c>
      <c r="G3" s="10" t="s">
        <v>607</v>
      </c>
      <c r="H3" s="8"/>
      <c r="I3" s="8"/>
      <c r="J3" s="8"/>
      <c r="K3" s="8"/>
      <c r="L3" s="8"/>
      <c r="M3" s="8"/>
      <c r="N3" s="8"/>
      <c r="O3" s="8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162</v>
      </c>
      <c r="D4" s="18" t="s">
        <v>203</v>
      </c>
      <c r="E4" s="18" t="s">
        <v>205</v>
      </c>
      <c r="F4" s="18" t="s">
        <v>206</v>
      </c>
      <c r="G4" s="18" t="s">
        <v>208</v>
      </c>
      <c r="H4" s="18" t="s">
        <v>212</v>
      </c>
      <c r="I4" s="18" t="s">
        <v>654</v>
      </c>
      <c r="J4" s="18" t="s">
        <v>305</v>
      </c>
      <c r="K4" s="18" t="s">
        <v>305</v>
      </c>
      <c r="L4" s="18" t="s">
        <v>327</v>
      </c>
      <c r="M4" s="18" t="s">
        <v>52</v>
      </c>
      <c r="N4" s="18" t="s">
        <v>526</v>
      </c>
      <c r="O4" s="18" t="s">
        <v>530</v>
      </c>
      <c r="P4" s="19" t="s">
        <v>532</v>
      </c>
      <c r="Q4" s="19" t="s">
        <v>655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0" t="s">
        <v>656</v>
      </c>
      <c r="C5" s="20" t="s">
        <v>657</v>
      </c>
      <c r="D5" s="20" t="s">
        <v>658</v>
      </c>
      <c r="E5" s="20" t="s">
        <v>659</v>
      </c>
      <c r="F5" s="20" t="s">
        <v>660</v>
      </c>
      <c r="G5" s="20" t="s">
        <v>661</v>
      </c>
      <c r="H5" s="20" t="s">
        <v>662</v>
      </c>
      <c r="I5" s="20" t="s">
        <v>663</v>
      </c>
      <c r="J5" s="20" t="s">
        <v>617</v>
      </c>
      <c r="K5" s="20" t="s">
        <v>664</v>
      </c>
      <c r="L5" s="20" t="s">
        <v>665</v>
      </c>
      <c r="M5" s="20" t="s">
        <v>666</v>
      </c>
      <c r="N5" s="20" t="s">
        <v>667</v>
      </c>
      <c r="O5" s="20" t="s">
        <v>668</v>
      </c>
      <c r="P5" s="20" t="s">
        <v>669</v>
      </c>
      <c r="Q5" s="20" t="s">
        <v>670</v>
      </c>
      <c r="R5" s="20" t="s">
        <v>671</v>
      </c>
      <c r="S5" s="20" t="s">
        <v>672</v>
      </c>
      <c r="T5" s="21" t="s">
        <v>673</v>
      </c>
      <c r="U5" s="21" t="s">
        <v>674</v>
      </c>
      <c r="V5" s="21" t="s">
        <v>675</v>
      </c>
      <c r="W5" s="21" t="s">
        <v>676</v>
      </c>
      <c r="X5" s="21" t="s">
        <v>677</v>
      </c>
      <c r="Y5" s="21" t="s">
        <v>678</v>
      </c>
      <c r="Z5" s="21" t="s">
        <v>679</v>
      </c>
      <c r="AA5" s="21" t="s">
        <v>680</v>
      </c>
      <c r="AB5" s="21" t="s">
        <v>681</v>
      </c>
      <c r="AC5" s="21" t="s">
        <v>682</v>
      </c>
      <c r="AD5" s="21" t="s">
        <v>683</v>
      </c>
      <c r="AE5" s="21" t="s">
        <v>684</v>
      </c>
      <c r="AF5" s="21" t="s">
        <v>685</v>
      </c>
      <c r="AG5" s="21" t="s">
        <v>686</v>
      </c>
      <c r="AH5" s="21" t="s">
        <v>687</v>
      </c>
      <c r="AI5" s="21" t="s">
        <v>688</v>
      </c>
      <c r="AJ5" s="21" t="s">
        <v>689</v>
      </c>
      <c r="AK5" s="21" t="s">
        <v>625</v>
      </c>
      <c r="AL5" s="21" t="s">
        <v>690</v>
      </c>
      <c r="AM5" s="21" t="s">
        <v>691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ht="15.75" customHeight="1">
      <c r="A6" s="6"/>
      <c r="B6" s="7" t="s">
        <v>621</v>
      </c>
      <c r="C6" s="7" t="s">
        <v>692</v>
      </c>
      <c r="D6" s="26">
        <v>100.0</v>
      </c>
      <c r="E6" s="26">
        <v>100.0</v>
      </c>
      <c r="F6" s="7" t="s">
        <v>639</v>
      </c>
      <c r="G6" s="6"/>
      <c r="H6" s="6"/>
      <c r="I6" s="6"/>
      <c r="J6" s="26">
        <v>20.0</v>
      </c>
      <c r="K6" s="6"/>
      <c r="L6" s="6"/>
      <c r="M6" s="6"/>
      <c r="N6" s="27">
        <f t="shared" ref="N6:N7" si="1">TODAY()</f>
        <v>42993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ht="15.75" customHeight="1">
      <c r="A7" s="6"/>
      <c r="B7" s="7" t="s">
        <v>621</v>
      </c>
      <c r="C7" s="7" t="s">
        <v>692</v>
      </c>
      <c r="D7" s="26">
        <v>50.0</v>
      </c>
      <c r="E7" s="26">
        <v>50.0</v>
      </c>
      <c r="F7" s="7" t="s">
        <v>640</v>
      </c>
      <c r="G7" s="6"/>
      <c r="H7" s="6"/>
      <c r="I7" s="6"/>
      <c r="J7" s="26">
        <v>20.0</v>
      </c>
      <c r="K7" s="6"/>
      <c r="L7" s="6"/>
      <c r="M7" s="6"/>
      <c r="N7" s="27">
        <f t="shared" si="1"/>
        <v>42993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1" t="s">
        <v>605</v>
      </c>
      <c r="C1" s="3"/>
      <c r="D1" s="3"/>
      <c r="E1" s="3"/>
      <c r="F1" s="3"/>
      <c r="G1" s="3"/>
      <c r="H1" s="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 VLOOKUP($E$3,'_MasterData'!B4:D1000,3,FALSE)</f>
        <v>#N/A</v>
      </c>
      <c r="K2" s="16"/>
      <c r="L2" s="7"/>
      <c r="M2" s="7"/>
      <c r="N2" s="7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15.75" customHeight="1">
      <c r="A3" s="8"/>
      <c r="B3" s="8" t="s">
        <v>3</v>
      </c>
      <c r="C3" s="10" t="s">
        <v>88</v>
      </c>
      <c r="D3" s="8" t="s">
        <v>6</v>
      </c>
      <c r="E3" s="10" t="s">
        <v>88</v>
      </c>
      <c r="F3" s="8" t="s">
        <v>606</v>
      </c>
      <c r="G3" s="10" t="s">
        <v>607</v>
      </c>
      <c r="H3" s="8"/>
      <c r="I3" s="8"/>
      <c r="J3" s="8"/>
      <c r="K3" s="8"/>
      <c r="L3" s="8"/>
      <c r="M3" s="8"/>
      <c r="N3" s="8"/>
      <c r="O3" s="8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93</v>
      </c>
      <c r="D4" s="18" t="s">
        <v>334</v>
      </c>
      <c r="E4" s="18" t="s">
        <v>336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5.75" customHeight="1">
      <c r="A5" s="20" t="str">
        <f>IFERROR(__xludf.DUMMYFUNCTION("TRANSPOSE(IMPORTRANGE(VLOOKUP($E$3,IMPORTRANGE('_Settings'!$B$3,$C$3&amp;""!A4:B1000""),2,FALSE),$G$3&amp;""!A4:A1000""))"),"#REF!")</f>
        <v>#REF!</v>
      </c>
      <c r="B5" s="20" t="s">
        <v>656</v>
      </c>
      <c r="C5" s="20" t="s">
        <v>693</v>
      </c>
      <c r="D5" s="20" t="s">
        <v>694</v>
      </c>
      <c r="E5" s="20" t="s">
        <v>695</v>
      </c>
      <c r="F5" s="20" t="s">
        <v>696</v>
      </c>
      <c r="G5" s="20" t="s">
        <v>697</v>
      </c>
      <c r="H5" s="20" t="s">
        <v>698</v>
      </c>
      <c r="I5" s="20" t="s">
        <v>699</v>
      </c>
      <c r="J5" s="20" t="s">
        <v>700</v>
      </c>
      <c r="K5" s="20" t="s">
        <v>701</v>
      </c>
      <c r="L5" s="20" t="s">
        <v>702</v>
      </c>
      <c r="M5" s="20" t="s">
        <v>703</v>
      </c>
      <c r="N5" s="20" t="s">
        <v>704</v>
      </c>
      <c r="O5" s="20" t="s">
        <v>705</v>
      </c>
      <c r="P5" s="20" t="s">
        <v>706</v>
      </c>
      <c r="Q5" s="20" t="s">
        <v>707</v>
      </c>
      <c r="R5" s="20" t="s">
        <v>708</v>
      </c>
      <c r="S5" s="20" t="s">
        <v>709</v>
      </c>
      <c r="T5" s="21" t="s">
        <v>710</v>
      </c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15.75" customHeight="1">
      <c r="A6" s="6"/>
      <c r="B6" s="7" t="s">
        <v>621</v>
      </c>
      <c r="C6" s="26">
        <v>20.0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