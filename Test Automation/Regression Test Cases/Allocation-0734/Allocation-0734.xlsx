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MultiTradingTicketFromBlotter" sheetId="5" r:id="rId7"/>
    <sheet state="visible" name="VerifyComplianceOrder" sheetId="6" r:id="rId8"/>
    <sheet state="visible" name="GetDataAllocation" sheetId="7" r:id="rId9"/>
    <sheet state="visible" name="SelectAllocatedGroup" sheetId="8" r:id="rId10"/>
    <sheet state="visible" name="CheckPortfolioManagement" sheetId="9" r:id="rId11"/>
    <sheet state="visible" name="ReviewExistingPositions" sheetId="10" r:id="rId12"/>
    <sheet state="visible" name="UpdateClientConfig" sheetId="11" r:id="rId13"/>
    <sheet state="visible" name="SetGeneralPreferences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</sheets>
  <definedNames/>
  <calcPr/>
</workbook>
</file>

<file path=xl/sharedStrings.xml><?xml version="1.0" encoding="utf-8"?>
<sst xmlns="http://schemas.openxmlformats.org/spreadsheetml/2006/main" count="203" uniqueCount="59">
  <si>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</si>
  <si>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</si>
  <si>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</si>
  <si>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</si>
  <si>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</si>
  <si>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</si>
  <si>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</si>
  <si>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</si>
  <si>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</si>
  <si>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</si>
  <si>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</si>
  <si>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</si>
  <si>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</si>
  <si>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</si>
  <si>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</si>
  <si>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</si>
  <si>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A1O-FRA</t>
  </si>
  <si>
    <t>Done Away</t>
  </si>
  <si>
    <t>Sell short</t>
  </si>
  <si>
    <t>Create Order</t>
  </si>
  <si>
    <t>Buy to Close</t>
  </si>
  <si>
    <t>Blotter</t>
  </si>
  <si>
    <t>MultiTradingTicketFromBlotter</t>
  </si>
  <si>
    <t>VerifyComplianceOrder</t>
  </si>
  <si>
    <t>Soft</t>
  </si>
  <si>
    <t>Account5</t>
  </si>
  <si>
    <t>Enter Summary</t>
  </si>
  <si>
    <t>NewMF</t>
  </si>
  <si>
    <t>masterFundNav: -4,500.00, MasterFundName: NewMF</t>
  </si>
  <si>
    <t>Yes</t>
  </si>
  <si>
    <t>Replace</t>
  </si>
  <si>
    <t>Symbolbid</t>
  </si>
  <si>
    <t>Allocation</t>
  </si>
  <si>
    <t>GetDataAllocation</t>
  </si>
  <si>
    <t>Historical</t>
  </si>
  <si>
    <t>SelectAllocatedGroup</t>
  </si>
  <si>
    <t>PortfolioManagement</t>
  </si>
  <si>
    <t>CheckPortfolioManagement</t>
  </si>
  <si>
    <t/>
  </si>
  <si>
    <t>Allocation1</t>
  </si>
  <si>
    <t>Short</t>
  </si>
  <si>
    <t>FIMAT</t>
  </si>
  <si>
    <t>Equity</t>
  </si>
  <si>
    <t>EU</t>
  </si>
  <si>
    <t>FRA</t>
  </si>
  <si>
    <t>EUR</t>
  </si>
  <si>
    <t>BrokerNotes</t>
  </si>
  <si>
    <t>DefaultNotes</t>
  </si>
  <si>
    <t>jpearce</t>
  </si>
  <si>
    <t>MS</t>
  </si>
  <si>
    <t>ReviewExistingPositions</t>
  </si>
  <si>
    <t>PranaClient</t>
  </si>
  <si>
    <t>UpdateClientConfig</t>
  </si>
  <si>
    <t>IsGroupingReqBlotterStageImport</t>
  </si>
  <si>
    <t>SetGeneralPreferences</t>
  </si>
  <si>
    <t>MultiTradingTicket</t>
  </si>
  <si>
    <t>SelectTradeUsingMTT</t>
  </si>
  <si>
    <t>EditTradeUsingMTT</t>
  </si>
  <si>
    <t>DoneAwayUsingMTT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</si>
</sst>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37500.0</v>
      </c>
      <c r="D6" s="13">
        <v>1.0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Z6" s="31">
        <f>TODAY()-1</f>
        <v>45854</v>
      </c>
    </row>
    <row r="7" ht="15.75" customHeight="1">
      <c r="A7" s="8"/>
      <c r="B7" s="13" t="s">
        <v>16</v>
      </c>
      <c r="C7" s="13">
        <v>5000.0</v>
      </c>
      <c r="D7" s="13">
        <v>1.0</v>
      </c>
      <c r="E7" s="13" t="s">
        <v>19</v>
      </c>
      <c r="F7" s="8"/>
      <c r="G7" s="8"/>
      <c r="H7" s="8"/>
      <c r="I7" s="8"/>
      <c r="J7" s="13" t="s">
        <v>20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>
        <v>28000.0</v>
      </c>
      <c r="D8" s="13">
        <v>2.0</v>
      </c>
      <c r="E8" s="13" t="s">
        <v>19</v>
      </c>
      <c r="F8" s="8"/>
      <c r="G8" s="8"/>
      <c r="H8" s="8"/>
      <c r="I8" s="8"/>
      <c r="J8" s="13" t="s">
        <v>20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L6" s="13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16</v>
      </c>
      <c r="AL7" s="13">
        <v>28000.0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24</v>
      </c>
      <c r="C6" s="34" t="s">
        <v>25</v>
      </c>
      <c r="D6" s="34" t="s">
        <v>26</v>
      </c>
      <c r="E6" s="34" t="s">
        <v>27</v>
      </c>
      <c r="F6" s="34">
        <v>10000.0</v>
      </c>
      <c r="G6" s="34">
        <v>-4500.0</v>
      </c>
      <c r="H6" s="34" t="s">
        <v>28</v>
      </c>
      <c r="I6" s="8"/>
      <c r="J6" s="8"/>
      <c r="K6" s="13" t="s">
        <v>29</v>
      </c>
      <c r="L6" s="8"/>
      <c r="M6" s="13" t="s">
        <v>30</v>
      </c>
      <c r="N6" s="8"/>
      <c r="O6" s="8"/>
    </row>
    <row r="7" ht="15.75" customHeight="1">
      <c r="A7" s="8"/>
      <c r="B7" s="33" t="s">
        <v>24</v>
      </c>
      <c r="C7" s="35" t="s">
        <v>31</v>
      </c>
      <c r="D7" s="35" t="s">
        <v>26</v>
      </c>
      <c r="E7" s="35" t="s">
        <v>16</v>
      </c>
      <c r="F7" s="35">
        <v>500.0</v>
      </c>
      <c r="G7" s="35">
        <v>-4500.0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6">
        <f>TODAY()-10</f>
        <v>45845</v>
      </c>
      <c r="D6" s="37">
        <f>TODAY()</f>
        <v>45855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38</v>
      </c>
      <c r="B6" s="38"/>
      <c r="C6" s="8" t="s">
        <v>16</v>
      </c>
      <c r="D6" s="38">
        <v>-37500.0</v>
      </c>
      <c r="E6" s="8" t="s">
        <v>39</v>
      </c>
      <c r="F6" s="8" t="s">
        <v>27</v>
      </c>
      <c r="G6" s="8"/>
      <c r="H6" s="8" t="s">
        <v>40</v>
      </c>
      <c r="I6" s="8"/>
      <c r="J6" s="8"/>
      <c r="K6" s="8"/>
      <c r="L6" s="8"/>
      <c r="M6" s="8"/>
      <c r="N6" s="8"/>
      <c r="O6" s="8"/>
      <c r="R6" t="s">
        <v>41</v>
      </c>
      <c r="T6" t="s">
        <v>42</v>
      </c>
      <c r="U6" t="s">
        <v>43</v>
      </c>
      <c r="V6" t="s">
        <v>44</v>
      </c>
      <c r="W6" t="s">
        <v>45</v>
      </c>
      <c r="X6">
        <v>1.0</v>
      </c>
      <c r="AN6" t="s">
        <v>18</v>
      </c>
      <c r="AP6" t="s">
        <v>40</v>
      </c>
      <c r="AQ6" t="s">
        <v>16</v>
      </c>
      <c r="AT6" t="s">
        <v>46</v>
      </c>
      <c r="AU6" t="s">
        <v>47</v>
      </c>
      <c r="BE6" t="s">
        <v>42</v>
      </c>
      <c r="BQ6" t="s">
        <v>48</v>
      </c>
      <c r="BR6" t="s">
        <v>49</v>
      </c>
      <c r="BU6" t="s">
        <v>42</v>
      </c>
      <c r="DJ6" t="s">
        <v>18</v>
      </c>
      <c r="DP6" t="s">
        <v>40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38</v>
      </c>
      <c r="B7" s="8"/>
      <c r="C7" s="8" t="s">
        <v>16</v>
      </c>
      <c r="D7" s="8">
        <v>28000.0</v>
      </c>
      <c r="E7" s="8" t="s">
        <v>39</v>
      </c>
      <c r="F7" s="8" t="s">
        <v>27</v>
      </c>
      <c r="G7" s="8"/>
      <c r="H7" s="8" t="s">
        <v>40</v>
      </c>
      <c r="I7" s="8"/>
      <c r="J7" s="8"/>
      <c r="K7" s="8"/>
      <c r="L7" s="8"/>
      <c r="M7" s="8"/>
      <c r="N7" s="8"/>
      <c r="O7" s="8"/>
      <c r="R7" t="s">
        <v>41</v>
      </c>
      <c r="T7" t="s">
        <v>42</v>
      </c>
      <c r="U7" t="s">
        <v>43</v>
      </c>
      <c r="V7" t="s">
        <v>44</v>
      </c>
      <c r="W7" t="s">
        <v>45</v>
      </c>
      <c r="X7">
        <v>1.0</v>
      </c>
      <c r="AN7" t="s">
        <v>20</v>
      </c>
      <c r="AP7" t="s">
        <v>40</v>
      </c>
      <c r="AQ7" t="s">
        <v>16</v>
      </c>
      <c r="AT7" t="s">
        <v>46</v>
      </c>
      <c r="AU7" t="s">
        <v>47</v>
      </c>
      <c r="BE7" t="s">
        <v>42</v>
      </c>
      <c r="BQ7" t="s">
        <v>48</v>
      </c>
      <c r="BR7" t="s">
        <v>49</v>
      </c>
      <c r="BU7" t="s">
        <v>42</v>
      </c>
      <c r="DJ7" t="s">
        <v>20</v>
      </c>
      <c r="DP7" t="s">
        <v>40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38</v>
      </c>
      <c r="B8" s="8"/>
      <c r="C8" s="8" t="s">
        <v>16</v>
      </c>
      <c r="D8" s="8">
        <v>5000.0</v>
      </c>
      <c r="E8" s="8" t="s">
        <v>39</v>
      </c>
      <c r="F8" s="8" t="s">
        <v>27</v>
      </c>
      <c r="G8" s="8"/>
      <c r="H8" s="8" t="s">
        <v>40</v>
      </c>
      <c r="I8" s="8"/>
      <c r="J8" s="8"/>
      <c r="K8" s="8"/>
      <c r="L8" s="8"/>
      <c r="M8" s="8"/>
      <c r="N8" s="8"/>
      <c r="O8" s="8"/>
      <c r="R8" t="s">
        <v>41</v>
      </c>
      <c r="T8" t="s">
        <v>42</v>
      </c>
      <c r="U8" t="s">
        <v>43</v>
      </c>
      <c r="V8" t="s">
        <v>44</v>
      </c>
      <c r="W8" t="s">
        <v>45</v>
      </c>
      <c r="X8">
        <v>1.0</v>
      </c>
      <c r="AN8" t="s">
        <v>20</v>
      </c>
      <c r="AP8" t="s">
        <v>40</v>
      </c>
      <c r="AQ8" t="s">
        <v>16</v>
      </c>
      <c r="AT8" t="s">
        <v>46</v>
      </c>
      <c r="AU8" t="s">
        <v>47</v>
      </c>
      <c r="BE8" t="s">
        <v>42</v>
      </c>
      <c r="BQ8" t="s">
        <v>48</v>
      </c>
      <c r="BR8" t="s">
        <v>49</v>
      </c>
      <c r="BU8" t="s">
        <v>42</v>
      </c>
      <c r="DJ8" t="s">
        <v>20</v>
      </c>
      <c r="DP8" t="s">
        <v>40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39</v>
      </c>
      <c r="D6" s="13">
        <v>-4500.0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53</v>
      </c>
      <c r="C6" s="41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D6" s="13">
        <v>5000.0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D6" s="13">
        <v>28000.0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 t="str">
        <f>IFERROR(__xludf.DUMMYFUNCTION("""COMPUTED_VALUE"""),"AllowTrade")</f>
        <v>AllowTrade</v>
      </c>
      <c r="AP5" s="30" t="str">
        <f>IFERROR(__xludf.DUMMYFUNCTION("""COMPUTED_VALUE"""),"PendingApprovalPopup")</f>
        <v>PendingApprovalPopup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D6" s="13">
        <v>5000.0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D7" s="13">
        <v>28000.0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