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Cos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UnWindTradeSettlement" sheetId="13" r:id="rId15"/>
  </sheets>
  <definedNames/>
  <calcPr/>
</workbook>
</file>

<file path=xl/sharedStrings.xml><?xml version="1.0" encoding="utf-8"?>
<sst xmlns="http://schemas.openxmlformats.org/spreadsheetml/2006/main" count="110" uniqueCount="36">
  <si>
    <t>Master Data Info</t>
  </si>
  <si>
    <t>Settings</t>
  </si>
  <si>
    <t>Modules Info</t>
  </si>
  <si>
    <t>Module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</si>
  <si>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</si>
  <si>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</si>
  <si>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</si>
  <si>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</si>
  <si>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</si>
  <si>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</si>
  <si>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Modules</t>
  </si>
  <si>
    <t>Data</t>
  </si>
  <si>
    <t>TradingTicket</t>
  </si>
  <si>
    <t>CreateDoneAwayOrder</t>
  </si>
  <si>
    <t>Data Format</t>
  </si>
  <si>
    <t>Input Format</t>
  </si>
  <si>
    <t>CL H9</t>
  </si>
  <si>
    <t>Buy</t>
  </si>
  <si>
    <t>Allocation1</t>
  </si>
  <si>
    <t>Closing</t>
  </si>
  <si>
    <t>GetDataClosing</t>
  </si>
  <si>
    <t>Current</t>
  </si>
  <si>
    <t>VerifyLongPositionsGrid</t>
  </si>
  <si>
    <t>SelectTradeUnexpiredUnsettled</t>
  </si>
  <si>
    <t>Future</t>
  </si>
  <si>
    <t>CashSettlementAtCost</t>
  </si>
  <si>
    <t>VerifyExpiredSettledGrid</t>
  </si>
  <si>
    <t>Long</t>
  </si>
  <si>
    <t>Allocation</t>
  </si>
  <si>
    <t>GetDataAllocation</t>
  </si>
  <si>
    <t>CheckAllocatedGroups</t>
  </si>
  <si>
    <t>Closed</t>
  </si>
  <si>
    <t>PortfolioManagement</t>
  </si>
  <si>
    <t>CheckPortfolioManagement</t>
  </si>
  <si>
    <t>Strategy Unallocated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</si>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</sst>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6</v>
      </c>
      <c r="C3" s="7"/>
    </row>
    <row r="4" ht="15.75" customHeight="1">
      <c r="A4" s="8" t="s">
        <v>8</v>
      </c>
      <c r="B4" s="11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1050.0</v>
      </c>
      <c r="E6" s="33"/>
      <c r="F6" s="31" t="s">
        <v>18</v>
      </c>
      <c r="G6" s="33"/>
      <c r="H6" s="33"/>
      <c r="I6" s="33"/>
      <c r="J6" s="34">
        <v>36.0</v>
      </c>
      <c r="K6" s="33"/>
      <c r="L6" s="33"/>
      <c r="M6" s="33"/>
      <c r="N6" s="35">
        <f>TODAY()</f>
        <v>43668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s">
        <v>21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s">
        <v>18</v>
      </c>
      <c r="C6" s="33"/>
      <c r="D6" s="38"/>
      <c r="E6" s="33"/>
      <c r="F6" s="33"/>
      <c r="G6" s="33"/>
      <c r="H6" s="33"/>
      <c r="I6" s="34">
        <v>36.0</v>
      </c>
      <c r="J6" s="33"/>
      <c r="K6" s="33"/>
      <c r="L6" s="33"/>
      <c r="M6" s="34">
        <v>1050.0</v>
      </c>
      <c r="N6" s="33"/>
      <c r="O6" s="33"/>
      <c r="P6" s="33" t="s">
        <v>17</v>
      </c>
      <c r="Q6" s="33"/>
      <c r="R6" s="31" t="s">
        <v>16</v>
      </c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38"/>
      <c r="E6" s="31" t="s">
        <v>24</v>
      </c>
      <c r="F6" s="33"/>
      <c r="G6" s="33"/>
      <c r="H6" s="33"/>
      <c r="I6" s="34">
        <v>36.0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9">
        <v>1050.0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9">
        <v>1050.0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IFERROR(__xludf.DUMMYFUNCTION("""COMPUTED_VALUE"""),"AssetName")</f>
        <v>AssetName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/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40">
        <f>Today()</f>
        <v>43668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CashSettlementAtCost!$4:$4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24</v>
      </c>
      <c r="D6" s="38"/>
      <c r="E6" s="35"/>
      <c r="F6" s="41">
        <v>36.0</v>
      </c>
      <c r="G6" s="34">
        <v>1050.0</v>
      </c>
      <c r="H6" s="33"/>
      <c r="I6" s="33"/>
      <c r="J6" s="31"/>
      <c r="K6" s="33"/>
      <c r="L6" s="33"/>
      <c r="M6" s="33"/>
      <c r="N6" s="33"/>
      <c r="O6" s="33"/>
      <c r="P6" s="33"/>
      <c r="Q6" s="33"/>
      <c r="R6" s="33"/>
      <c r="S6" s="33"/>
      <c r="T6" s="36"/>
      <c r="U6" s="42"/>
      <c r="V6" s="36"/>
      <c r="W6" s="36" t="s">
        <v>27</v>
      </c>
      <c r="X6" s="36"/>
      <c r="Y6" s="36"/>
      <c r="Z6" s="36" t="s">
        <v>17</v>
      </c>
      <c r="AA6" s="36"/>
      <c r="AB6" s="36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29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1" t="s">
        <v>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38"/>
      <c r="E6" s="34">
        <v>1050.0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 t="s">
        <v>31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1050.0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9">
        <v>1050.0</v>
      </c>
      <c r="BK6" s="36"/>
      <c r="BL6" s="36"/>
      <c r="BM6" s="36"/>
      <c r="BN6" s="36"/>
      <c r="BO6" s="36" t="s">
        <v>17</v>
      </c>
      <c r="BP6" s="36"/>
      <c r="BQ6" s="36"/>
      <c r="BR6" s="36"/>
      <c r="BS6" s="36"/>
      <c r="BT6" s="36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5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36"/>
      <c r="B6" s="33"/>
      <c r="C6" s="31" t="s">
        <v>16</v>
      </c>
      <c r="D6" s="34">
        <v>1050.0</v>
      </c>
      <c r="E6" s="31" t="s">
        <v>18</v>
      </c>
      <c r="F6" s="33"/>
      <c r="G6" s="34">
        <v>36.0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43" t="s">
        <v>34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17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35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24</v>
      </c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 t="s">
        <v>27</v>
      </c>
      <c r="W6" s="36"/>
      <c r="X6" s="36"/>
      <c r="Y6" s="36" t="s">
        <v>17</v>
      </c>
      <c r="Z6" s="36"/>
      <c r="AA6" s="36" t="s">
        <v>16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