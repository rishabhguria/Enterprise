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/>
  </bookViews>
  <sheets>
    <sheet name="_Modules" sheetId="1" r:id="rId1"/>
    <sheet name="_Settings" sheetId="2" r:id="rId2"/>
    <sheet name="_MasterData" sheetId="3" r:id="rId3"/>
    <sheet name="SetTTGeneralPreferences" sheetId="4" r:id="rId4"/>
    <sheet name="ImportSymbol" sheetId="5" r:id="rId5"/>
    <sheet name="ExportSymbolFromRAList" sheetId="6" r:id="rId6"/>
    <sheet name="RemoveSymbolFromRAList" sheetId="7" r:id="rId7"/>
    <sheet name="ExportSymbolFromRAList1" sheetId="8" r:id="rId8"/>
  </sheets>
  <calcPr calcId="145621"/>
</workbook>
</file>

<file path=xl/calcChain.xml><?xml version="1.0" encoding="utf-8"?>
<calcChain xmlns="http://schemas.openxmlformats.org/spreadsheetml/2006/main">
  <c r="C5" i="8" l="1"/>
  <c r="X4" i="8"/>
  <c r="P4" i="8"/>
  <c r="H4" i="8"/>
  <c r="B5" i="7"/>
  <c r="W4" i="7"/>
  <c r="O4" i="7"/>
  <c r="G4" i="7"/>
  <c r="B5" i="6"/>
  <c r="W4" i="6"/>
  <c r="O4" i="6"/>
  <c r="G4" i="6"/>
  <c r="A5" i="5"/>
  <c r="V4" i="5"/>
  <c r="N4" i="5"/>
  <c r="F4" i="5"/>
  <c r="D5" i="4"/>
  <c r="L4" i="4"/>
  <c r="D4" i="4"/>
  <c r="D19" i="3"/>
  <c r="D17" i="3"/>
  <c r="D15" i="3"/>
  <c r="D13" i="3"/>
  <c r="D11" i="3"/>
  <c r="D9" i="3"/>
  <c r="D7" i="3"/>
  <c r="D5" i="3"/>
  <c r="C514" i="1"/>
  <c r="A512" i="1"/>
  <c r="B509" i="1"/>
  <c r="C506" i="1"/>
  <c r="A504" i="1"/>
  <c r="B501" i="1"/>
  <c r="C498" i="1"/>
  <c r="A496" i="1"/>
  <c r="B493" i="1"/>
  <c r="C490" i="1"/>
  <c r="A488" i="1"/>
  <c r="B5" i="8"/>
  <c r="W4" i="8"/>
  <c r="O4" i="8"/>
  <c r="G4" i="8"/>
  <c r="A5" i="7"/>
  <c r="V4" i="7"/>
  <c r="N4" i="7"/>
  <c r="F4" i="7"/>
  <c r="A5" i="6"/>
  <c r="V4" i="6"/>
  <c r="N4" i="6"/>
  <c r="F4" i="6"/>
  <c r="AC4" i="5"/>
  <c r="U4" i="5"/>
  <c r="M4" i="5"/>
  <c r="E4" i="5"/>
  <c r="C5" i="4"/>
  <c r="K4" i="4"/>
  <c r="C4" i="4"/>
  <c r="C19" i="3"/>
  <c r="C17" i="3"/>
  <c r="C15" i="3"/>
  <c r="C13" i="3"/>
  <c r="C11" i="3"/>
  <c r="C9" i="3"/>
  <c r="C7" i="3"/>
  <c r="C5" i="3"/>
  <c r="B514" i="1"/>
  <c r="C511" i="1"/>
  <c r="A509" i="1"/>
  <c r="B506" i="1"/>
  <c r="C503" i="1"/>
  <c r="A501" i="1"/>
  <c r="B498" i="1"/>
  <c r="C495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A5" i="8"/>
  <c r="V4" i="8"/>
  <c r="N4" i="8"/>
  <c r="F4" i="8"/>
  <c r="AC4" i="7"/>
  <c r="U4" i="7"/>
  <c r="M4" i="7"/>
  <c r="E4" i="7"/>
  <c r="AC4" i="6"/>
  <c r="U4" i="6"/>
  <c r="M4" i="6"/>
  <c r="E4" i="6"/>
  <c r="AB4" i="5"/>
  <c r="T4" i="5"/>
  <c r="L4" i="5"/>
  <c r="D4" i="5"/>
  <c r="B5" i="4"/>
  <c r="J4" i="4"/>
  <c r="B4" i="4"/>
  <c r="B19" i="3"/>
  <c r="B17" i="3"/>
  <c r="B15" i="3"/>
  <c r="B13" i="3"/>
  <c r="B11" i="3"/>
  <c r="B9" i="3"/>
  <c r="B7" i="3"/>
  <c r="B5" i="3"/>
  <c r="A514" i="1"/>
  <c r="B511" i="1"/>
  <c r="C508" i="1"/>
  <c r="A506" i="1"/>
  <c r="B503" i="1"/>
  <c r="C500" i="1"/>
  <c r="A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AC4" i="8"/>
  <c r="U4" i="8"/>
  <c r="M4" i="8"/>
  <c r="E4" i="8"/>
  <c r="AB4" i="7"/>
  <c r="T4" i="7"/>
  <c r="L4" i="7"/>
  <c r="D4" i="7"/>
  <c r="AB4" i="6"/>
  <c r="T4" i="6"/>
  <c r="L4" i="6"/>
  <c r="D4" i="6"/>
  <c r="AA4" i="5"/>
  <c r="S4" i="5"/>
  <c r="K4" i="5"/>
  <c r="C4" i="5"/>
  <c r="A5" i="4"/>
  <c r="I4" i="4"/>
  <c r="A19" i="3"/>
  <c r="A17" i="3"/>
  <c r="A15" i="3"/>
  <c r="A13" i="3"/>
  <c r="A11" i="3"/>
  <c r="A9" i="3"/>
  <c r="A7" i="3"/>
  <c r="A5" i="3"/>
  <c r="C513" i="1"/>
  <c r="A511" i="1"/>
  <c r="B508" i="1"/>
  <c r="C505" i="1"/>
  <c r="A503" i="1"/>
  <c r="B500" i="1"/>
  <c r="C497" i="1"/>
  <c r="A495" i="1"/>
  <c r="B492" i="1"/>
  <c r="AB4" i="8"/>
  <c r="T4" i="8"/>
  <c r="L4" i="8"/>
  <c r="D4" i="8"/>
  <c r="AA4" i="7"/>
  <c r="S4" i="7"/>
  <c r="K4" i="7"/>
  <c r="C4" i="7"/>
  <c r="AA4" i="6"/>
  <c r="S4" i="6"/>
  <c r="K4" i="6"/>
  <c r="C4" i="6"/>
  <c r="Z4" i="5"/>
  <c r="R4" i="5"/>
  <c r="J4" i="5"/>
  <c r="B4" i="5"/>
  <c r="P4" i="4"/>
  <c r="H4" i="4"/>
  <c r="D20" i="3"/>
  <c r="D18" i="3"/>
  <c r="D16" i="3"/>
  <c r="D14" i="3"/>
  <c r="D12" i="3"/>
  <c r="D10" i="3"/>
  <c r="D8" i="3"/>
  <c r="D6" i="3"/>
  <c r="D4" i="3"/>
  <c r="B513" i="1"/>
  <c r="C510" i="1"/>
  <c r="A508" i="1"/>
  <c r="B505" i="1"/>
  <c r="C502" i="1"/>
  <c r="A500" i="1"/>
  <c r="B497" i="1"/>
  <c r="C494" i="1"/>
  <c r="A492" i="1"/>
  <c r="B489" i="1"/>
  <c r="C486" i="1"/>
  <c r="A484" i="1"/>
  <c r="AA4" i="8"/>
  <c r="S4" i="8"/>
  <c r="K4" i="8"/>
  <c r="C4" i="8"/>
  <c r="Z4" i="7"/>
  <c r="R4" i="7"/>
  <c r="J4" i="7"/>
  <c r="B4" i="7"/>
  <c r="Z4" i="6"/>
  <c r="R4" i="6"/>
  <c r="J4" i="6"/>
  <c r="B4" i="6"/>
  <c r="Y4" i="5"/>
  <c r="Q4" i="5"/>
  <c r="I4" i="5"/>
  <c r="O4" i="4"/>
  <c r="G4" i="4"/>
  <c r="C20" i="3"/>
  <c r="C18" i="3"/>
  <c r="C16" i="3"/>
  <c r="C14" i="3"/>
  <c r="C12" i="3"/>
  <c r="C10" i="3"/>
  <c r="C8" i="3"/>
  <c r="C6" i="3"/>
  <c r="C4" i="3"/>
  <c r="A513" i="1"/>
  <c r="Z4" i="8"/>
  <c r="R4" i="8"/>
  <c r="J4" i="8"/>
  <c r="B4" i="8"/>
  <c r="Y4" i="7"/>
  <c r="Q4" i="7"/>
  <c r="I4" i="7"/>
  <c r="Y4" i="6"/>
  <c r="Q4" i="6"/>
  <c r="I4" i="6"/>
  <c r="X4" i="5"/>
  <c r="P4" i="5"/>
  <c r="H4" i="5"/>
  <c r="F5" i="4"/>
  <c r="N4" i="4"/>
  <c r="F4" i="4"/>
  <c r="B20" i="3"/>
  <c r="B18" i="3"/>
  <c r="B16" i="3"/>
  <c r="B14" i="3"/>
  <c r="B12" i="3"/>
  <c r="B10" i="3"/>
  <c r="B8" i="3"/>
  <c r="B6" i="3"/>
  <c r="B4" i="3"/>
  <c r="C512" i="1"/>
  <c r="A510" i="1"/>
  <c r="B507" i="1"/>
  <c r="C504" i="1"/>
  <c r="A502" i="1"/>
  <c r="B499" i="1"/>
  <c r="C496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Y4" i="8"/>
  <c r="Q4" i="8"/>
  <c r="P4" i="6"/>
  <c r="E4" i="4"/>
  <c r="A6" i="3"/>
  <c r="B504" i="1"/>
  <c r="C493" i="1"/>
  <c r="C485" i="1"/>
  <c r="A481" i="1"/>
  <c r="B476" i="1"/>
  <c r="B472" i="1"/>
  <c r="A468" i="1"/>
  <c r="A464" i="1"/>
  <c r="C459" i="1"/>
  <c r="C455" i="1"/>
  <c r="A452" i="1"/>
  <c r="B448" i="1"/>
  <c r="A445" i="1"/>
  <c r="B441" i="1"/>
  <c r="C437" i="1"/>
  <c r="B434" i="1"/>
  <c r="C430" i="1"/>
  <c r="A427" i="1"/>
  <c r="C423" i="1"/>
  <c r="A420" i="1"/>
  <c r="B416" i="1"/>
  <c r="A413" i="1"/>
  <c r="B409" i="1"/>
  <c r="C405" i="1"/>
  <c r="B402" i="1"/>
  <c r="A399" i="1"/>
  <c r="A396" i="1"/>
  <c r="A393" i="1"/>
  <c r="A390" i="1"/>
  <c r="A387" i="1"/>
  <c r="A384" i="1"/>
  <c r="A381" i="1"/>
  <c r="C377" i="1"/>
  <c r="C374" i="1"/>
  <c r="C371" i="1"/>
  <c r="C368" i="1"/>
  <c r="C365" i="1"/>
  <c r="C362" i="1"/>
  <c r="C359" i="1"/>
  <c r="B356" i="1"/>
  <c r="B353" i="1"/>
  <c r="B350" i="1"/>
  <c r="B347" i="1"/>
  <c r="B344" i="1"/>
  <c r="B341" i="1"/>
  <c r="B338" i="1"/>
  <c r="A335" i="1"/>
  <c r="A332" i="1"/>
  <c r="A329" i="1"/>
  <c r="A326" i="1"/>
  <c r="A323" i="1"/>
  <c r="A320" i="1"/>
  <c r="A317" i="1"/>
  <c r="C313" i="1"/>
  <c r="C310" i="1"/>
  <c r="C307" i="1"/>
  <c r="C304" i="1"/>
  <c r="C301" i="1"/>
  <c r="C298" i="1"/>
  <c r="C295" i="1"/>
  <c r="B292" i="1"/>
  <c r="B289" i="1"/>
  <c r="B286" i="1"/>
  <c r="B283" i="1"/>
  <c r="B280" i="1"/>
  <c r="B277" i="1"/>
  <c r="B274" i="1"/>
  <c r="A271" i="1"/>
  <c r="A268" i="1"/>
  <c r="A265" i="1"/>
  <c r="A262" i="1"/>
  <c r="A259" i="1"/>
  <c r="A256" i="1"/>
  <c r="A253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I4" i="8"/>
  <c r="H4" i="6"/>
  <c r="A20" i="3"/>
  <c r="A4" i="3"/>
  <c r="B502" i="1"/>
  <c r="C491" i="1"/>
  <c r="B485" i="1"/>
  <c r="B480" i="1"/>
  <c r="A476" i="1"/>
  <c r="A472" i="1"/>
  <c r="C467" i="1"/>
  <c r="A463" i="1"/>
  <c r="A459" i="1"/>
  <c r="A455" i="1"/>
  <c r="C451" i="1"/>
  <c r="A448" i="1"/>
  <c r="B444" i="1"/>
  <c r="A441" i="1"/>
  <c r="B437" i="1"/>
  <c r="C433" i="1"/>
  <c r="B430" i="1"/>
  <c r="C426" i="1"/>
  <c r="A423" i="1"/>
  <c r="C419" i="1"/>
  <c r="A416" i="1"/>
  <c r="B412" i="1"/>
  <c r="A409" i="1"/>
  <c r="B405" i="1"/>
  <c r="C401" i="1"/>
  <c r="C398" i="1"/>
  <c r="C395" i="1"/>
  <c r="C392" i="1"/>
  <c r="C389" i="1"/>
  <c r="C386" i="1"/>
  <c r="C383" i="1"/>
  <c r="B380" i="1"/>
  <c r="B377" i="1"/>
  <c r="B374" i="1"/>
  <c r="B371" i="1"/>
  <c r="B368" i="1"/>
  <c r="B365" i="1"/>
  <c r="B362" i="1"/>
  <c r="A359" i="1"/>
  <c r="A356" i="1"/>
  <c r="A353" i="1"/>
  <c r="A350" i="1"/>
  <c r="A347" i="1"/>
  <c r="A344" i="1"/>
  <c r="A341" i="1"/>
  <c r="C337" i="1"/>
  <c r="C334" i="1"/>
  <c r="C331" i="1"/>
  <c r="C328" i="1"/>
  <c r="C325" i="1"/>
  <c r="C322" i="1"/>
  <c r="C319" i="1"/>
  <c r="B316" i="1"/>
  <c r="B313" i="1"/>
  <c r="B310" i="1"/>
  <c r="B307" i="1"/>
  <c r="B304" i="1"/>
  <c r="B301" i="1"/>
  <c r="B298" i="1"/>
  <c r="A295" i="1"/>
  <c r="A292" i="1"/>
  <c r="A289" i="1"/>
  <c r="A286" i="1"/>
  <c r="A283" i="1"/>
  <c r="A280" i="1"/>
  <c r="A277" i="1"/>
  <c r="C273" i="1"/>
  <c r="C270" i="1"/>
  <c r="C267" i="1"/>
  <c r="C264" i="1"/>
  <c r="C261" i="1"/>
  <c r="C258" i="1"/>
  <c r="C255" i="1"/>
  <c r="B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B5" i="5"/>
  <c r="A18" i="3"/>
  <c r="B512" i="1"/>
  <c r="C501" i="1"/>
  <c r="A491" i="1"/>
  <c r="B484" i="1"/>
  <c r="A480" i="1"/>
  <c r="C475" i="1"/>
  <c r="A471" i="1"/>
  <c r="A467" i="1"/>
  <c r="C462" i="1"/>
  <c r="C458" i="1"/>
  <c r="C454" i="1"/>
  <c r="A451" i="1"/>
  <c r="C447" i="1"/>
  <c r="A444" i="1"/>
  <c r="B440" i="1"/>
  <c r="A437" i="1"/>
  <c r="B433" i="1"/>
  <c r="C429" i="1"/>
  <c r="B426" i="1"/>
  <c r="C422" i="1"/>
  <c r="A419" i="1"/>
  <c r="C415" i="1"/>
  <c r="A412" i="1"/>
  <c r="B408" i="1"/>
  <c r="A405" i="1"/>
  <c r="B401" i="1"/>
  <c r="B398" i="1"/>
  <c r="B395" i="1"/>
  <c r="B392" i="1"/>
  <c r="B389" i="1"/>
  <c r="B386" i="1"/>
  <c r="A383" i="1"/>
  <c r="A380" i="1"/>
  <c r="A377" i="1"/>
  <c r="A374" i="1"/>
  <c r="A371" i="1"/>
  <c r="A368" i="1"/>
  <c r="A365" i="1"/>
  <c r="C361" i="1"/>
  <c r="C358" i="1"/>
  <c r="C355" i="1"/>
  <c r="C352" i="1"/>
  <c r="C349" i="1"/>
  <c r="C346" i="1"/>
  <c r="C343" i="1"/>
  <c r="B340" i="1"/>
  <c r="B337" i="1"/>
  <c r="B334" i="1"/>
  <c r="B331" i="1"/>
  <c r="B328" i="1"/>
  <c r="B325" i="1"/>
  <c r="B322" i="1"/>
  <c r="A319" i="1"/>
  <c r="A316" i="1"/>
  <c r="A313" i="1"/>
  <c r="A310" i="1"/>
  <c r="A307" i="1"/>
  <c r="A304" i="1"/>
  <c r="A301" i="1"/>
  <c r="C297" i="1"/>
  <c r="C294" i="1"/>
  <c r="C291" i="1"/>
  <c r="C288" i="1"/>
  <c r="C285" i="1"/>
  <c r="C282" i="1"/>
  <c r="C279" i="1"/>
  <c r="B276" i="1"/>
  <c r="B273" i="1"/>
  <c r="B270" i="1"/>
  <c r="B267" i="1"/>
  <c r="B264" i="1"/>
  <c r="B261" i="1"/>
  <c r="B258" i="1"/>
  <c r="A255" i="1"/>
  <c r="A252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X4" i="7"/>
  <c r="W4" i="5"/>
  <c r="A16" i="3"/>
  <c r="B510" i="1"/>
  <c r="C499" i="1"/>
  <c r="C489" i="1"/>
  <c r="C483" i="1"/>
  <c r="A479" i="1"/>
  <c r="A475" i="1"/>
  <c r="C470" i="1"/>
  <c r="C466" i="1"/>
  <c r="B462" i="1"/>
  <c r="C457" i="1"/>
  <c r="B454" i="1"/>
  <c r="C450" i="1"/>
  <c r="A447" i="1"/>
  <c r="C443" i="1"/>
  <c r="A440" i="1"/>
  <c r="B436" i="1"/>
  <c r="A433" i="1"/>
  <c r="B429" i="1"/>
  <c r="C425" i="1"/>
  <c r="B422" i="1"/>
  <c r="C418" i="1"/>
  <c r="A415" i="1"/>
  <c r="C411" i="1"/>
  <c r="A408" i="1"/>
  <c r="B404" i="1"/>
  <c r="A401" i="1"/>
  <c r="A398" i="1"/>
  <c r="A395" i="1"/>
  <c r="A392" i="1"/>
  <c r="A389" i="1"/>
  <c r="C385" i="1"/>
  <c r="C382" i="1"/>
  <c r="C379" i="1"/>
  <c r="C376" i="1"/>
  <c r="C373" i="1"/>
  <c r="C370" i="1"/>
  <c r="C367" i="1"/>
  <c r="B364" i="1"/>
  <c r="B361" i="1"/>
  <c r="B358" i="1"/>
  <c r="B355" i="1"/>
  <c r="B352" i="1"/>
  <c r="B349" i="1"/>
  <c r="B346" i="1"/>
  <c r="A343" i="1"/>
  <c r="A340" i="1"/>
  <c r="A337" i="1"/>
  <c r="A334" i="1"/>
  <c r="A331" i="1"/>
  <c r="A328" i="1"/>
  <c r="A325" i="1"/>
  <c r="C321" i="1"/>
  <c r="C318" i="1"/>
  <c r="C315" i="1"/>
  <c r="C312" i="1"/>
  <c r="C309" i="1"/>
  <c r="C306" i="1"/>
  <c r="C303" i="1"/>
  <c r="B300" i="1"/>
  <c r="B297" i="1"/>
  <c r="B294" i="1"/>
  <c r="B291" i="1"/>
  <c r="B288" i="1"/>
  <c r="B285" i="1"/>
  <c r="B282" i="1"/>
  <c r="A279" i="1"/>
  <c r="A276" i="1"/>
  <c r="A273" i="1"/>
  <c r="A270" i="1"/>
  <c r="A267" i="1"/>
  <c r="A264" i="1"/>
  <c r="A261" i="1"/>
  <c r="C257" i="1"/>
  <c r="C254" i="1"/>
  <c r="C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P4" i="7"/>
  <c r="O4" i="5"/>
  <c r="A14" i="3"/>
  <c r="C509" i="1"/>
  <c r="A499" i="1"/>
  <c r="A489" i="1"/>
  <c r="A483" i="1"/>
  <c r="C478" i="1"/>
  <c r="C474" i="1"/>
  <c r="B470" i="1"/>
  <c r="C465" i="1"/>
  <c r="C461" i="1"/>
  <c r="B457" i="1"/>
  <c r="C453" i="1"/>
  <c r="B450" i="1"/>
  <c r="C446" i="1"/>
  <c r="A443" i="1"/>
  <c r="C439" i="1"/>
  <c r="A436" i="1"/>
  <c r="B432" i="1"/>
  <c r="A429" i="1"/>
  <c r="B425" i="1"/>
  <c r="C421" i="1"/>
  <c r="B418" i="1"/>
  <c r="C414" i="1"/>
  <c r="A411" i="1"/>
  <c r="C407" i="1"/>
  <c r="A404" i="1"/>
  <c r="C400" i="1"/>
  <c r="C397" i="1"/>
  <c r="C394" i="1"/>
  <c r="C391" i="1"/>
  <c r="B388" i="1"/>
  <c r="B385" i="1"/>
  <c r="B382" i="1"/>
  <c r="B379" i="1"/>
  <c r="B376" i="1"/>
  <c r="B373" i="1"/>
  <c r="B370" i="1"/>
  <c r="A367" i="1"/>
  <c r="A364" i="1"/>
  <c r="A361" i="1"/>
  <c r="A358" i="1"/>
  <c r="A355" i="1"/>
  <c r="A352" i="1"/>
  <c r="A349" i="1"/>
  <c r="C345" i="1"/>
  <c r="C342" i="1"/>
  <c r="C339" i="1"/>
  <c r="C336" i="1"/>
  <c r="C333" i="1"/>
  <c r="C330" i="1"/>
  <c r="C327" i="1"/>
  <c r="B324" i="1"/>
  <c r="B321" i="1"/>
  <c r="B318" i="1"/>
  <c r="B315" i="1"/>
  <c r="B312" i="1"/>
  <c r="B309" i="1"/>
  <c r="B306" i="1"/>
  <c r="A303" i="1"/>
  <c r="A300" i="1"/>
  <c r="A297" i="1"/>
  <c r="A294" i="1"/>
  <c r="A291" i="1"/>
  <c r="A288" i="1"/>
  <c r="A285" i="1"/>
  <c r="C281" i="1"/>
  <c r="C278" i="1"/>
  <c r="C275" i="1"/>
  <c r="C272" i="1"/>
  <c r="C269" i="1"/>
  <c r="C266" i="1"/>
  <c r="C263" i="1"/>
  <c r="B260" i="1"/>
  <c r="B257" i="1"/>
  <c r="B254" i="1"/>
  <c r="B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H4" i="7"/>
  <c r="G4" i="5"/>
  <c r="A12" i="3"/>
  <c r="C507" i="1"/>
  <c r="A497" i="1"/>
  <c r="B488" i="1"/>
  <c r="C482" i="1"/>
  <c r="B478" i="1"/>
  <c r="C473" i="1"/>
  <c r="C469" i="1"/>
  <c r="B465" i="1"/>
  <c r="B461" i="1"/>
  <c r="A457" i="1"/>
  <c r="B453" i="1"/>
  <c r="C449" i="1"/>
  <c r="B446" i="1"/>
  <c r="C442" i="1"/>
  <c r="A439" i="1"/>
  <c r="C435" i="1"/>
  <c r="A432" i="1"/>
  <c r="B428" i="1"/>
  <c r="A425" i="1"/>
  <c r="B421" i="1"/>
  <c r="C417" i="1"/>
  <c r="B414" i="1"/>
  <c r="C410" i="1"/>
  <c r="A407" i="1"/>
  <c r="C403" i="1"/>
  <c r="B400" i="1"/>
  <c r="B397" i="1"/>
  <c r="B394" i="1"/>
  <c r="A391" i="1"/>
  <c r="A388" i="1"/>
  <c r="A385" i="1"/>
  <c r="A382" i="1"/>
  <c r="A379" i="1"/>
  <c r="A376" i="1"/>
  <c r="A373" i="1"/>
  <c r="C369" i="1"/>
  <c r="C366" i="1"/>
  <c r="C363" i="1"/>
  <c r="C360" i="1"/>
  <c r="C357" i="1"/>
  <c r="C354" i="1"/>
  <c r="C351" i="1"/>
  <c r="B348" i="1"/>
  <c r="B345" i="1"/>
  <c r="B342" i="1"/>
  <c r="B339" i="1"/>
  <c r="B336" i="1"/>
  <c r="B333" i="1"/>
  <c r="B330" i="1"/>
  <c r="A327" i="1"/>
  <c r="A324" i="1"/>
  <c r="A321" i="1"/>
  <c r="A318" i="1"/>
  <c r="A315" i="1"/>
  <c r="A312" i="1"/>
  <c r="A309" i="1"/>
  <c r="C305" i="1"/>
  <c r="C302" i="1"/>
  <c r="C299" i="1"/>
  <c r="C296" i="1"/>
  <c r="C293" i="1"/>
  <c r="C290" i="1"/>
  <c r="C287" i="1"/>
  <c r="B284" i="1"/>
  <c r="B281" i="1"/>
  <c r="B278" i="1"/>
  <c r="B275" i="1"/>
  <c r="B272" i="1"/>
  <c r="B269" i="1"/>
  <c r="B266" i="1"/>
  <c r="A263" i="1"/>
  <c r="A260" i="1"/>
  <c r="A257" i="1"/>
  <c r="A254" i="1"/>
  <c r="A251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C5" i="6"/>
  <c r="E5" i="4"/>
  <c r="A10" i="3"/>
  <c r="A507" i="1"/>
  <c r="B496" i="1"/>
  <c r="A487" i="1"/>
  <c r="C481" i="1"/>
  <c r="C477" i="1"/>
  <c r="B473" i="1"/>
  <c r="B469" i="1"/>
  <c r="A465" i="1"/>
  <c r="B460" i="1"/>
  <c r="B456" i="1"/>
  <c r="A453" i="1"/>
  <c r="B449" i="1"/>
  <c r="C445" i="1"/>
  <c r="B442" i="1"/>
  <c r="C438" i="1"/>
  <c r="A435" i="1"/>
  <c r="C431" i="1"/>
  <c r="A428" i="1"/>
  <c r="B424" i="1"/>
  <c r="A421" i="1"/>
  <c r="B417" i="1"/>
  <c r="C413" i="1"/>
  <c r="B410" i="1"/>
  <c r="C406" i="1"/>
  <c r="A403" i="1"/>
  <c r="A400" i="1"/>
  <c r="A397" i="1"/>
  <c r="C393" i="1"/>
  <c r="C390" i="1"/>
  <c r="C387" i="1"/>
  <c r="C384" i="1"/>
  <c r="C381" i="1"/>
  <c r="C378" i="1"/>
  <c r="C375" i="1"/>
  <c r="B372" i="1"/>
  <c r="B369" i="1"/>
  <c r="B366" i="1"/>
  <c r="B363" i="1"/>
  <c r="B360" i="1"/>
  <c r="B357" i="1"/>
  <c r="B354" i="1"/>
  <c r="A351" i="1"/>
  <c r="A348" i="1"/>
  <c r="A345" i="1"/>
  <c r="A342" i="1"/>
  <c r="A339" i="1"/>
  <c r="A336" i="1"/>
  <c r="A333" i="1"/>
  <c r="C329" i="1"/>
  <c r="C326" i="1"/>
  <c r="C323" i="1"/>
  <c r="C320" i="1"/>
  <c r="C317" i="1"/>
  <c r="C314" i="1"/>
  <c r="C311" i="1"/>
  <c r="B308" i="1"/>
  <c r="B305" i="1"/>
  <c r="B302" i="1"/>
  <c r="B299" i="1"/>
  <c r="B296" i="1"/>
  <c r="B293" i="1"/>
  <c r="B290" i="1"/>
  <c r="A287" i="1"/>
  <c r="A284" i="1"/>
  <c r="A281" i="1"/>
  <c r="A278" i="1"/>
  <c r="A275" i="1"/>
  <c r="A272" i="1"/>
  <c r="A269" i="1"/>
  <c r="C265" i="1"/>
  <c r="C262" i="1"/>
  <c r="C259" i="1"/>
  <c r="C256" i="1"/>
  <c r="C253" i="1"/>
  <c r="C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X4" i="6"/>
  <c r="M4" i="4"/>
  <c r="A8" i="3"/>
  <c r="A505" i="1"/>
  <c r="B494" i="1"/>
  <c r="B486" i="1"/>
  <c r="B481" i="1"/>
  <c r="B477" i="1"/>
  <c r="A473" i="1"/>
  <c r="B468" i="1"/>
  <c r="B464" i="1"/>
  <c r="A460" i="1"/>
  <c r="A456" i="1"/>
  <c r="B452" i="1"/>
  <c r="A449" i="1"/>
  <c r="B445" i="1"/>
  <c r="C441" i="1"/>
  <c r="B438" i="1"/>
  <c r="C434" i="1"/>
  <c r="A431" i="1"/>
  <c r="C427" i="1"/>
  <c r="A424" i="1"/>
  <c r="B420" i="1"/>
  <c r="A417" i="1"/>
  <c r="B413" i="1"/>
  <c r="C409" i="1"/>
  <c r="B406" i="1"/>
  <c r="C402" i="1"/>
  <c r="C399" i="1"/>
  <c r="B396" i="1"/>
  <c r="B393" i="1"/>
  <c r="B390" i="1"/>
  <c r="B387" i="1"/>
  <c r="B384" i="1"/>
  <c r="B381" i="1"/>
  <c r="B378" i="1"/>
  <c r="A375" i="1"/>
  <c r="A372" i="1"/>
  <c r="A369" i="1"/>
  <c r="A366" i="1"/>
  <c r="A363" i="1"/>
  <c r="A360" i="1"/>
  <c r="A357" i="1"/>
  <c r="C353" i="1"/>
  <c r="C350" i="1"/>
  <c r="C347" i="1"/>
  <c r="C344" i="1"/>
  <c r="C341" i="1"/>
  <c r="C338" i="1"/>
  <c r="C335" i="1"/>
  <c r="B332" i="1"/>
  <c r="B329" i="1"/>
  <c r="B326" i="1"/>
  <c r="B323" i="1"/>
  <c r="B320" i="1"/>
  <c r="B317" i="1"/>
  <c r="B314" i="1"/>
  <c r="A311" i="1"/>
  <c r="A308" i="1"/>
  <c r="A305" i="1"/>
  <c r="A302" i="1"/>
  <c r="A299" i="1"/>
  <c r="A296" i="1"/>
  <c r="A293" i="1"/>
  <c r="C289" i="1"/>
  <c r="C286" i="1"/>
  <c r="C283" i="1"/>
  <c r="C280" i="1"/>
  <c r="C277" i="1"/>
  <c r="C274" i="1"/>
  <c r="C271" i="1"/>
  <c r="B268" i="1"/>
  <c r="B265" i="1"/>
  <c r="B262" i="1"/>
  <c r="B259" i="1"/>
  <c r="B256" i="1"/>
  <c r="B253" i="1"/>
  <c r="B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C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14" i="1"/>
  <c r="C8" i="1"/>
  <c r="B5" i="1"/>
  <c r="A121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B11" i="1"/>
  <c r="A6" i="1"/>
  <c r="C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J2" i="4" l="1"/>
  <c r="J2" i="5"/>
  <c r="J2" i="7"/>
  <c r="J2" i="6"/>
  <c r="J2" i="8"/>
</calcChain>
</file>

<file path=xl/sharedStrings.xml><?xml version="1.0" encoding="utf-8"?>
<sst xmlns="http://schemas.openxmlformats.org/spreadsheetml/2006/main" count="69" uniqueCount="32">
  <si>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</si>
  <si>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</si>
  <si>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</si>
  <si>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</si>
  <si>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</si>
  <si>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</si>
  <si>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</si>
  <si>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</si>
  <si>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</si>
  <si>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</si>
  <si>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</si>
  <si>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</si>
  <si>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</si>
  <si>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</si>
  <si>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</si>
  <si>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</si>
  <si>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</si>
  <si>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</si>
  <si>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E:\DistributedAutomation\TestAutomationV2.5\Release\Import Cases\TickerList.xls</t>
  </si>
  <si>
    <t>ExportSymbolFromRAList</t>
  </si>
  <si>
    <t>MSFT</t>
  </si>
  <si>
    <t>IBM</t>
  </si>
  <si>
    <t>GOOG</t>
  </si>
  <si>
    <t>O:ABM 10D20.00</t>
  </si>
  <si>
    <t>O:CHK 11N29.00</t>
  </si>
  <si>
    <t>O:CAM 10E37.50</t>
  </si>
  <si>
    <t>BP H9</t>
  </si>
  <si>
    <t>EC H9</t>
  </si>
  <si>
    <t>ED H9</t>
  </si>
  <si>
    <t>USD/NOK</t>
  </si>
  <si>
    <t>GBP/USD</t>
  </si>
  <si>
    <t>RemoveSymbolFromRAList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</si>
</sst>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9"/>
      <color rgb="FF000000"/>
      <name val="&quot;Segoe UI&quot;"/>
    </font>
    <font>
      <sz val="9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13" fillId="6" borderId="0" xfId="0" applyFont="1" applyFill="1" applyAlignment="1">
      <alignment horizontal="left" vertical="top"/>
    </xf>
    <xf numFmtId="0" fontId="13" fillId="7" borderId="0" xfId="0" applyFont="1" applyFill="1" applyAlignment="1">
      <alignment horizontal="left" vertical="top"/>
    </xf>
    <xf numFmtId="0" fontId="14" fillId="6" borderId="5" xfId="0" applyFont="1" applyFill="1" applyBorder="1" applyAlignment="1">
      <alignment vertical="top"/>
    </xf>
    <xf numFmtId="0" fontId="14" fillId="6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tabSelected="1"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0" t="s">
        <v>0</v>
      </c>
      <c r="B1" s="31"/>
      <c r="C1" s="31"/>
      <c r="D1" s="31"/>
      <c r="E1" s="31"/>
      <c r="F1" s="32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IFERROR(__xludf.DUMMYFUNCTION("""COMPUTED_VALUE"""),"Compliance")</f>
        <v>Compliance</v>
      </c>
      <c r="B510" t="str">
        <f ca="1">IFERROR(__xludf.DUMMYFUNCTION("""COMPUTED_VALUE"""),"RestartRuleMediator")</f>
        <v>RestartRuleMediator</v>
      </c>
      <c r="C510" t="str">
        <f ca="1">IFERROR(__xludf.DUMMYFUNCTION("""COMPUTED_VALUE"""),"18SVZSt8o151Ibqp7S3Ge-27pHb5fW7wNT71WgA_kP_8")</f>
        <v>18SVZSt8o151Ibqp7S3Ge-27pHb5fW7wNT71WgA_kP_8</v>
      </c>
    </row>
    <row r="511" spans="1:3" ht="15.75" customHeight="1">
      <c r="A511" t="str">
        <f ca="1">IFERROR(__xludf.DUMMYFUNCTION("""COMPUTED_VALUE"""),"Compliance")</f>
        <v>Compliance</v>
      </c>
      <c r="B511" t="str">
        <f ca="1">IFERROR(__xludf.DUMMYFUNCTION("""COMPUTED_VALUE"""),"VerifyAggAccountSymbolWithNav")</f>
        <v>VerifyAggAccountSymbolWithNav</v>
      </c>
      <c r="C511" t="str">
        <f ca="1">IFERROR(__xludf.DUMMYFUNCTION("""COMPUTED_VALUE"""),"1yORtQDYWOiS9sGzwmSy3jeH1KeWbwIscJSVtvVljcqk")</f>
        <v>1yORtQDYWOiS9sGzwmSy3jeH1KeWbwIscJSVtvVljcqk</v>
      </c>
    </row>
    <row r="512" spans="1:3" ht="15.75" customHeight="1">
      <c r="A512" t="str">
        <f ca="1">IFERROR(__xludf.DUMMYFUNCTION("""COMPUTED_VALUE"""),"Admin")</f>
        <v>Admin</v>
      </c>
      <c r="B512" t="str">
        <f ca="1">IFERROR(__xludf.DUMMYFUNCTION("""COMPUTED_VALUE"""),"SetComplianceAlert")</f>
        <v>SetComplianceAlert</v>
      </c>
      <c r="C512" t="str">
        <f ca="1">IFERROR(__xludf.DUMMYFUNCTION("""COMPUTED_VALUE"""),"1tHcWqzzT9x7_tjIYlb_jsMu7VunfhVIyqGIWGIXOrQE")</f>
        <v>1tHcWqzzT9x7_tjIYlb_jsMu7VunfhVIyqGIWGIXOrQE</v>
      </c>
    </row>
    <row r="513" spans="1:3" ht="15.75" customHeight="1">
      <c r="A513" t="str">
        <f ca="1">IFERROR(__xludf.DUMMYFUNCTION("""COMPUTED_VALUE"""),"PortfolioManagement")</f>
        <v>PortfolioManagement</v>
      </c>
      <c r="B513" t="str">
        <f ca="1">IFERROR(__xludf.DUMMYFUNCTION("""COMPUTED_VALUE"""),"IncreasePositionFromPM")</f>
        <v>IncreasePositionFromPM</v>
      </c>
      <c r="C513" t="str">
        <f ca="1">IFERROR(__xludf.DUMMYFUNCTION("""COMPUTED_VALUE"""),"1eE569Brgsjqyathy0MKO50Wmj5QCDLuax0S-29Hix4A")</f>
        <v>1eE569Brgsjqyathy0MKO50Wmj5QCDLuax0S-29Hix4A</v>
      </c>
    </row>
    <row r="514" spans="1:3" ht="15.75" customHeight="1">
      <c r="A514" t="str">
        <f ca="1">IFERROR(__xludf.DUMMYFUNCTION("""COMPUTED_VALUE"""),"TradingTicket")</f>
        <v>TradingTicket</v>
      </c>
      <c r="B514" t="str">
        <f ca="1">IFERROR(__xludf.DUMMYFUNCTION("""COMPUTED_VALUE"""),"SendLiveBloomberg")</f>
        <v>SendLiveBloomberg</v>
      </c>
      <c r="C514" t="str">
        <f ca="1">IFERROR(__xludf.DUMMYFUNCTION("""COMPUTED_VALUE"""),"1jm-Rrun0S1nkf5N9L0XR0cK07laQ4i2IyhTZ_88GUUQ")</f>
        <v>1jm-Rrun0S1nkf5N9L0XR0cK07laQ4i2IyhTZ_88GUUQ</v>
      </c>
    </row>
    <row r="515" spans="1:3" ht="15.75" customHeight="1"/>
    <row r="516" spans="1:3" ht="15.75" customHeight="1"/>
    <row r="517" spans="1:3" ht="15.75" customHeight="1"/>
    <row r="518" spans="1:3" ht="15.75" customHeight="1"/>
    <row r="519" spans="1:3" ht="15.75" customHeight="1"/>
    <row r="520" spans="1:3" ht="15.75" customHeight="1"/>
    <row r="521" spans="1:3" ht="15.75" customHeight="1"/>
    <row r="522" spans="1:3" ht="15.75" customHeight="1"/>
    <row r="523" spans="1:3" ht="15.75" customHeight="1"/>
    <row r="524" spans="1:3" ht="15.75" customHeight="1"/>
    <row r="525" spans="1:3" ht="15.75" customHeight="1"/>
    <row r="526" spans="1:3" ht="15.75" customHeight="1"/>
    <row r="527" spans="1:3" ht="15.75" customHeight="1"/>
    <row r="528" spans="1:3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3" t="s">
        <v>2</v>
      </c>
      <c r="B1" s="31"/>
      <c r="C1" s="32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0" t="s">
        <v>7</v>
      </c>
      <c r="B1" s="31"/>
      <c r="C1" s="31"/>
      <c r="D1" s="31"/>
      <c r="E1" s="31"/>
      <c r="F1" s="32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IFERROR(__xludf.DUMMYFUNCTION("""COMPUTED_VALUE"""),"RestrictedSecuritiesList")</f>
        <v>RestrictedSecuritiesList</v>
      </c>
      <c r="C5" s="22" t="str">
        <f ca="1">IFERROR(__xludf.DUMMYFUNCTION("""COMPUTED_VALUE"""),"AllowedSecuritiesList")</f>
        <v>AllowedSecuritiesList</v>
      </c>
      <c r="D5" s="22" t="str">
        <f ca="1">IFERROR(__xludf.DUMMYFUNCTION("""COMPUTED_VALUE"""),"AllowAllUserToCancelReplaceRemove")</f>
        <v>AllowAllUserToCancelReplaceRemove</v>
      </c>
      <c r="E5" s="22" t="str">
        <f ca="1">IFERROR(__xludf.DUMMYFUNCTION("""COMPUTED_VALUE"""),"MasterUserPermission")</f>
        <v>MasterUserPermission</v>
      </c>
      <c r="F5" s="23" t="str">
        <f ca="1">IFERROR(__xludf.DUMMYFUNCTION("""COMPUTED_VALUE"""),"AllowAllUserToTransferTrade")</f>
        <v>AllowAllUserToTransferTrade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7" t="b">
        <v>1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File")</f>
        <v>Select File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IFERROR(__xludf.DUMMYFUNCTION("""COMPUTED_VALUE"""),"Restricted Securities List")</f>
        <v>Restricted Securities List</v>
      </c>
      <c r="C5" s="22" t="str">
        <f ca="1">IFERROR(__xludf.DUMMYFUNCTION("""COMPUTED_VALUE"""),"Allowed Securities List")</f>
        <v>Allowed Securities List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26" t="s">
        <v>20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27" t="s">
        <v>21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26" t="s">
        <v>22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27" t="s">
        <v>23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26" t="s">
        <v>24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27" t="s">
        <v>25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26" t="s">
        <v>26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27" t="s">
        <v>27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26" t="s">
        <v>28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27" t="s">
        <v>29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26" t="s">
        <v>30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IFERROR(__xludf.DUMMYFUNCTION("""COMPUTED_VALUE"""),"Restricted Securities List")</f>
        <v>Restricted Securities List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8" t="s">
        <v>20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29" t="s">
        <v>24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29" t="s">
        <v>28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29" t="s">
        <v>30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IFERROR(__xludf.DUMMYFUNCTION("""COMPUTED_VALUE"""),"Restricted Securities List")</f>
        <v>Restricted Securities List</v>
      </c>
      <c r="C5" s="22" t="str">
        <f ca="1">IFERROR(__xludf.DUMMYFUNCTION("""COMPUTED_VALUE"""),"Allowed Securities List")</f>
        <v>Allowed Securities List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26" t="s">
        <v>21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27" t="s">
        <v>22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26" t="s">
        <v>23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27" t="s">
        <v>25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26" t="s">
        <v>26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27" t="s">
        <v>27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26" t="s">
        <v>29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_Modules</vt:lpstr>
      <vt:lpstr>_Settings</vt:lpstr>
      <vt:lpstr>_MasterData</vt:lpstr>
      <vt:lpstr>SetTTGeneralPreferences</vt:lpstr>
      <vt:lpstr>ImportSymbol</vt:lpstr>
      <vt:lpstr>ExportSymbolFromRAList</vt:lpstr>
      <vt:lpstr>RemoveSymbolFromRAList</vt:lpstr>
      <vt:lpstr>ExportSymbolFromRAList1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2021-08-04T11:13:30Z</dcterms:modified>
</cp:coreProperties>
</file>