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<sst xmlns="http://schemas.openxmlformats.org/spreadsheetml/2006/main" count="66" uniqueCount="66">
  <si>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</si>
  <si>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</si>
  <si>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</si>
  <si>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</si>
  <si>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</si>
  <si>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</si>
  <si>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</si>
  <si>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</si>
  <si>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</si>
  <si>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</si>
  <si>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</si>
  <si>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</si>
  <si>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</si>
  <si>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</si>
  <si>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</si>
  <si>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</si>
  <si>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23Q130.30D8</t>
  </si>
  <si>
    <t>O:AAPL 23Q130.20D8</t>
  </si>
  <si>
    <t>O:AAPL 23Q130.10D8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</si>
  <si>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</si>
  <si>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</si>
  <si>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</si>
  <si>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</si>
  <si>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</si>
  <si>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</si>
  <si>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</si>
  <si>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</si>
  <si>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Buy to Close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</si>
  <si>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</si>
  <si>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</si>
  <si>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</si>
  <si>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</si>
  <si>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</si>
  <si>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</si>
  <si>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</si>
  <si>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</si>
  <si>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</si>
  <si>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</si>
  <si>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</si>
  <si>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</si>
  <si>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</si>
  <si>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Equity</t>
  </si>
  <si>
    <t>MS</t>
  </si>
  <si>
    <t>Open</t>
  </si>
  <si>
    <t>NASDAQ</t>
  </si>
  <si>
    <t>M</t>
  </si>
  <si>
    <t>None</t>
  </si>
  <si>
    <t>USD</t>
  </si>
  <si>
    <t>US</t>
  </si>
  <si>
    <t>BuytoClose</t>
  </si>
  <si>
    <t>Closed</t>
  </si>
  <si>
    <t>OPTS</t>
  </si>
  <si>
    <t>IsExercised</t>
  </si>
  <si>
    <t>SelltoOpen</t>
  </si>
  <si>
    <t>Assignment</t>
  </si>
  <si>
    <t>D</t>
  </si>
  <si>
    <t>Exercise/Assign</t>
  </si>
  <si>
    <t>PortfolioManagement</t>
  </si>
  <si>
    <t>CheckPortfolioManagement</t>
  </si>
  <si>
    <t>NewMF</t>
  </si>
  <si>
    <t>Long</t>
  </si>
  <si>
    <t>FIMAT</t>
  </si>
  <si>
    <t>Strategy Unallocated</t>
  </si>
  <si>
    <t>Short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</si>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</sst>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0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14" applyFont="1" fillId="6" applyFill="1" borderId="0" applyBorder="1" xfId="0"/>
    <xf fontId="15" applyFont="1" fillId="6" applyFill="1" borderId="0" applyBorder="1" xfId="0"/>
    <xf fontId="3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numFmtId="4" applyNumberFormat="1" fontId="16" applyFont="1" fillId="0" applyFill="1" borderId="0" applyBorder="1" xfId="0">
      <alignment horizontal="right"/>
    </xf>
    <xf fontId="16" applyFont="1" fillId="0" applyFill="1" borderId="0" applyBorder="1" xfId="0"/>
    <xf fontId="16" applyFont="1" fillId="0" applyFill="1" borderId="0" applyBorder="1" xfId="0">
      <alignment horizontal="right"/>
    </xf>
    <xf fontId="16" applyFont="1" fillId="0" applyFill="1" borderId="0" applyBorder="1" xfId="0"/>
    <xf numFmtId="3" applyNumberFormat="1" fontId="16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today()+13</f>
        <v>45084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>today()+12</f>
        <v>45083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5"/>
      <c r="B8" s="35" t="s">
        <v>18</v>
      </c>
      <c r="C8" s="33">
        <f>today()+11</f>
        <v>45082</v>
      </c>
      <c r="D8" s="35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7">
        <v>1100</v>
      </c>
      <c r="E6" s="38">
        <v>1100</v>
      </c>
      <c r="F6" s="35" t="s">
        <v>26</v>
      </c>
      <c r="G6" s="34"/>
      <c r="H6" s="34"/>
      <c r="I6" s="34"/>
      <c r="J6" s="38">
        <v>10</v>
      </c>
      <c r="K6" s="34"/>
      <c r="L6" s="34"/>
      <c r="M6" s="34"/>
      <c r="N6" s="39">
        <f ref="N6:N7" t="shared" si="1">TODAY()-9</f>
        <v>45062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40" t="s">
        <v>27</v>
      </c>
      <c r="D7" s="38">
        <v>50</v>
      </c>
      <c r="E7" s="38">
        <v>50</v>
      </c>
      <c r="F7" s="35" t="s">
        <v>26</v>
      </c>
      <c r="G7" s="34"/>
      <c r="H7" s="34"/>
      <c r="I7" s="34"/>
      <c r="J7" s="38">
        <v>10</v>
      </c>
      <c r="K7" s="34"/>
      <c r="L7" s="34"/>
      <c r="M7" s="34"/>
      <c r="N7" s="39">
        <f t="shared" si="1"/>
        <v>45062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41" t="s">
        <v>28</v>
      </c>
      <c r="D8" s="38">
        <v>10</v>
      </c>
      <c r="E8" s="38">
        <v>10</v>
      </c>
      <c r="F8" s="35" t="s">
        <v>26</v>
      </c>
      <c r="G8" s="34"/>
      <c r="H8" s="34"/>
      <c r="I8" s="34"/>
      <c r="J8" s="38">
        <v>10</v>
      </c>
      <c r="K8" s="34"/>
      <c r="L8" s="34"/>
      <c r="M8" s="34"/>
      <c r="N8" s="39">
        <f>TODAY()-10</f>
        <v>45061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40" t="s">
        <v>28</v>
      </c>
      <c r="D9" s="38">
        <v>10</v>
      </c>
      <c r="E9" s="38">
        <v>10</v>
      </c>
      <c r="F9" s="35" t="s">
        <v>26</v>
      </c>
      <c r="G9" s="34"/>
      <c r="H9" s="34"/>
      <c r="I9" s="34"/>
      <c r="J9" s="38">
        <v>10</v>
      </c>
      <c r="K9" s="34"/>
      <c r="L9" s="34"/>
      <c r="M9" s="34"/>
      <c r="N9" s="39">
        <f>TODAY()-11</f>
        <v>45060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18</v>
      </c>
      <c r="C10" s="34" t="s">
        <v>28</v>
      </c>
      <c r="D10" s="38">
        <v>10</v>
      </c>
      <c r="E10" s="38">
        <v>10</v>
      </c>
      <c r="F10" s="35" t="s">
        <v>26</v>
      </c>
      <c r="G10" s="34"/>
      <c r="H10" s="34"/>
      <c r="I10" s="34"/>
      <c r="J10" s="38">
        <v>10</v>
      </c>
      <c r="K10" s="34"/>
      <c r="L10" s="34"/>
      <c r="M10" s="34"/>
      <c r="N10" s="39">
        <f>TODAY()-12</f>
        <v>45059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45070</v>
      </c>
      <c r="C6" s="33">
        <f>Today()</f>
        <v>45071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8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9" t="s">
        <v>34</v>
      </c>
      <c r="D6" s="39">
        <f>TODAY()</f>
        <v>45071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26</v>
      </c>
      <c r="C6" s="34"/>
      <c r="D6" s="31"/>
      <c r="E6" s="35" t="s">
        <v>36</v>
      </c>
      <c r="F6" s="34"/>
      <c r="G6" s="34"/>
      <c r="H6" s="34"/>
      <c r="I6" s="38">
        <v>10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2">
        <v>10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1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2">
        <v>10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3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26</v>
      </c>
      <c r="C7" s="34"/>
      <c r="D7" s="34"/>
      <c r="E7" s="35" t="s">
        <v>36</v>
      </c>
      <c r="F7" s="34"/>
      <c r="G7" s="34"/>
      <c r="H7" s="34"/>
      <c r="I7" s="38">
        <v>10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2">
        <v>10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1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2">
        <v>10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3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5"/>
      <c r="B8" s="35" t="s">
        <v>26</v>
      </c>
      <c r="C8" s="34"/>
      <c r="D8" s="35"/>
      <c r="E8" s="35" t="s">
        <v>36</v>
      </c>
      <c r="F8" s="34"/>
      <c r="G8" s="34"/>
      <c r="H8" s="34"/>
      <c r="I8" s="38">
        <v>10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2">
        <v>10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5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2">
        <v>10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3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9" t="s">
        <v>34</v>
      </c>
      <c r="D6" s="39">
        <f>TODAY()</f>
        <v>45071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45">
        <v>1100</v>
      </c>
      <c r="F6" s="34"/>
      <c r="G6" s="46" t="s">
        <v>41</v>
      </c>
      <c r="H6" s="34"/>
      <c r="I6" s="34"/>
      <c r="J6" s="34"/>
      <c r="K6" s="34"/>
      <c r="L6" s="34"/>
      <c r="M6" s="34"/>
      <c r="N6" s="34"/>
      <c r="O6" s="46" t="s">
        <v>42</v>
      </c>
      <c r="P6" s="34"/>
      <c r="Q6" s="34"/>
      <c r="R6" s="34"/>
      <c r="S6" s="46" t="s">
        <v>43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46" t="s">
        <v>44</v>
      </c>
      <c r="AE6" s="34"/>
      <c r="AF6" s="34"/>
      <c r="AG6" s="34"/>
      <c r="AH6" s="46" t="s">
        <v>45</v>
      </c>
      <c r="AI6" s="34"/>
      <c r="AJ6" s="46" t="s">
        <v>46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45">
        <v>1100</v>
      </c>
      <c r="BK6" s="34"/>
      <c r="BL6" s="34"/>
      <c r="BM6" s="46" t="s">
        <v>47</v>
      </c>
      <c r="BN6" s="34"/>
      <c r="BO6" s="46" t="s">
        <v>25</v>
      </c>
      <c r="BP6" s="34"/>
      <c r="BQ6" s="34"/>
      <c r="BR6" s="34"/>
      <c r="BS6" s="34"/>
      <c r="BT6" s="46" t="s">
        <v>24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46" t="s">
        <v>25</v>
      </c>
      <c r="CJ6" s="34"/>
      <c r="CK6" s="46" t="s">
        <v>48</v>
      </c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47">
        <v>50</v>
      </c>
      <c r="F7" s="34"/>
      <c r="G7" s="46" t="s">
        <v>41</v>
      </c>
      <c r="H7" s="34"/>
      <c r="I7" s="34"/>
      <c r="J7" s="34"/>
      <c r="K7" s="34"/>
      <c r="L7" s="34"/>
      <c r="M7" s="34"/>
      <c r="N7" s="34"/>
      <c r="O7" s="46" t="s">
        <v>42</v>
      </c>
      <c r="P7" s="34"/>
      <c r="Q7" s="34"/>
      <c r="R7" s="34"/>
      <c r="S7" s="46" t="s">
        <v>43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46" t="s">
        <v>44</v>
      </c>
      <c r="AE7" s="34"/>
      <c r="AF7" s="34"/>
      <c r="AG7" s="34"/>
      <c r="AH7" s="46" t="s">
        <v>45</v>
      </c>
      <c r="AI7" s="34"/>
      <c r="AJ7" s="46" t="s">
        <v>46</v>
      </c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47">
        <v>50</v>
      </c>
      <c r="BK7" s="34"/>
      <c r="BL7" s="34"/>
      <c r="BM7" s="46" t="s">
        <v>47</v>
      </c>
      <c r="BN7" s="34"/>
      <c r="BO7" s="46" t="s">
        <v>27</v>
      </c>
      <c r="BP7" s="34"/>
      <c r="BQ7" s="34"/>
      <c r="BR7" s="34"/>
      <c r="BS7" s="34"/>
      <c r="BT7" s="46" t="s">
        <v>24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46" t="s">
        <v>49</v>
      </c>
      <c r="CJ7" s="34"/>
      <c r="CK7" s="46" t="s">
        <v>48</v>
      </c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47">
        <v>10</v>
      </c>
      <c r="F8" s="34"/>
      <c r="G8" s="46" t="s">
        <v>36</v>
      </c>
      <c r="H8" s="34"/>
      <c r="I8" s="34"/>
      <c r="J8" s="34"/>
      <c r="K8" s="34"/>
      <c r="L8" s="34"/>
      <c r="M8" s="34"/>
      <c r="N8" s="34"/>
      <c r="O8" s="46" t="s">
        <v>42</v>
      </c>
      <c r="P8" s="34"/>
      <c r="Q8" s="34"/>
      <c r="R8" s="34"/>
      <c r="S8" s="46" t="s">
        <v>50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46" t="s">
        <v>51</v>
      </c>
      <c r="AE8" s="34"/>
      <c r="AF8" s="34"/>
      <c r="AG8" s="34"/>
      <c r="AH8" s="46" t="s">
        <v>45</v>
      </c>
      <c r="AI8" s="34"/>
      <c r="AJ8" s="46" t="s">
        <v>52</v>
      </c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47">
        <v>10</v>
      </c>
      <c r="BK8" s="34"/>
      <c r="BL8" s="34"/>
      <c r="BM8" s="46" t="s">
        <v>47</v>
      </c>
      <c r="BN8" s="34"/>
      <c r="BO8" s="46" t="s">
        <v>28</v>
      </c>
      <c r="BP8" s="34"/>
      <c r="BQ8" s="34"/>
      <c r="BR8" s="34"/>
      <c r="BS8" s="34"/>
      <c r="BT8" s="48" t="s">
        <v>16</v>
      </c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46" t="s">
        <v>53</v>
      </c>
      <c r="CJ8" s="34"/>
      <c r="CK8" s="46" t="s">
        <v>48</v>
      </c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47">
        <v>10</v>
      </c>
      <c r="F9" s="34"/>
      <c r="G9" s="46" t="s">
        <v>36</v>
      </c>
      <c r="H9" s="34"/>
      <c r="I9" s="34"/>
      <c r="J9" s="34"/>
      <c r="K9" s="34"/>
      <c r="L9" s="34"/>
      <c r="M9" s="34"/>
      <c r="N9" s="34"/>
      <c r="O9" s="46" t="s">
        <v>42</v>
      </c>
      <c r="P9" s="34"/>
      <c r="Q9" s="34"/>
      <c r="R9" s="34"/>
      <c r="S9" s="46" t="s">
        <v>50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46" t="s">
        <v>51</v>
      </c>
      <c r="AE9" s="34"/>
      <c r="AF9" s="34"/>
      <c r="AG9" s="34"/>
      <c r="AH9" s="46" t="s">
        <v>45</v>
      </c>
      <c r="AI9" s="34"/>
      <c r="AJ9" s="46" t="s">
        <v>52</v>
      </c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47">
        <v>10</v>
      </c>
      <c r="BK9" s="34"/>
      <c r="BL9" s="34"/>
      <c r="BM9" s="46" t="s">
        <v>47</v>
      </c>
      <c r="BN9" s="34"/>
      <c r="BO9" s="46" t="s">
        <v>27</v>
      </c>
      <c r="BP9" s="34"/>
      <c r="BQ9" s="34"/>
      <c r="BR9" s="34"/>
      <c r="BS9" s="34"/>
      <c r="BT9" s="48" t="s">
        <v>16</v>
      </c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46" t="s">
        <v>54</v>
      </c>
      <c r="CJ9" s="34"/>
      <c r="CK9" s="46" t="s">
        <v>48</v>
      </c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4"/>
      <c r="D10" s="34"/>
      <c r="E10" s="47">
        <v>10</v>
      </c>
      <c r="F10" s="34"/>
      <c r="G10" s="46" t="s">
        <v>36</v>
      </c>
      <c r="H10" s="34"/>
      <c r="I10" s="34"/>
      <c r="J10" s="34"/>
      <c r="K10" s="34"/>
      <c r="L10" s="34"/>
      <c r="M10" s="34"/>
      <c r="N10" s="34"/>
      <c r="O10" s="46" t="s">
        <v>42</v>
      </c>
      <c r="P10" s="34"/>
      <c r="Q10" s="34"/>
      <c r="R10" s="34"/>
      <c r="S10" s="46" t="s">
        <v>50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46" t="s">
        <v>51</v>
      </c>
      <c r="AE10" s="34"/>
      <c r="AF10" s="34"/>
      <c r="AG10" s="34"/>
      <c r="AH10" s="46" t="s">
        <v>45</v>
      </c>
      <c r="AI10" s="34"/>
      <c r="AJ10" s="46" t="s">
        <v>52</v>
      </c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47">
        <v>10</v>
      </c>
      <c r="BK10" s="34"/>
      <c r="BL10" s="34"/>
      <c r="BM10" s="46" t="s">
        <v>47</v>
      </c>
      <c r="BN10" s="34"/>
      <c r="BO10" s="46" t="s">
        <v>28</v>
      </c>
      <c r="BP10" s="34"/>
      <c r="BQ10" s="34"/>
      <c r="BR10" s="34"/>
      <c r="BS10" s="34"/>
      <c r="BT10" s="48" t="s">
        <v>18</v>
      </c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46" t="s">
        <v>53</v>
      </c>
      <c r="CJ10" s="34"/>
      <c r="CK10" s="46" t="s">
        <v>48</v>
      </c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34"/>
      <c r="D11" s="34"/>
      <c r="E11" s="47">
        <v>10</v>
      </c>
      <c r="F11" s="34"/>
      <c r="G11" s="46" t="s">
        <v>36</v>
      </c>
      <c r="H11" s="34"/>
      <c r="I11" s="34"/>
      <c r="J11" s="34"/>
      <c r="K11" s="34"/>
      <c r="L11" s="34"/>
      <c r="M11" s="34"/>
      <c r="N11" s="34"/>
      <c r="O11" s="46" t="s">
        <v>42</v>
      </c>
      <c r="P11" s="34"/>
      <c r="Q11" s="34"/>
      <c r="R11" s="34"/>
      <c r="S11" s="46" t="s">
        <v>50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46" t="s">
        <v>51</v>
      </c>
      <c r="AE11" s="34"/>
      <c r="AF11" s="34"/>
      <c r="AG11" s="34"/>
      <c r="AH11" s="46" t="s">
        <v>45</v>
      </c>
      <c r="AI11" s="34"/>
      <c r="AJ11" s="46" t="s">
        <v>52</v>
      </c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47">
        <v>10</v>
      </c>
      <c r="BK11" s="34"/>
      <c r="BL11" s="34"/>
      <c r="BM11" s="46" t="s">
        <v>47</v>
      </c>
      <c r="BN11" s="34"/>
      <c r="BO11" s="46" t="s">
        <v>27</v>
      </c>
      <c r="BP11" s="34"/>
      <c r="BQ11" s="34"/>
      <c r="BR11" s="34"/>
      <c r="BS11" s="34"/>
      <c r="BT11" s="48" t="s">
        <v>17</v>
      </c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46" t="s">
        <v>54</v>
      </c>
      <c r="CJ11" s="34"/>
      <c r="CK11" s="46" t="s">
        <v>48</v>
      </c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/>
      <c r="C12" s="34"/>
      <c r="D12" s="34"/>
      <c r="E12" s="47">
        <v>10</v>
      </c>
      <c r="F12" s="34"/>
      <c r="G12" s="46" t="s">
        <v>36</v>
      </c>
      <c r="H12" s="34"/>
      <c r="I12" s="34"/>
      <c r="J12" s="34"/>
      <c r="K12" s="34"/>
      <c r="L12" s="34"/>
      <c r="M12" s="34"/>
      <c r="N12" s="34"/>
      <c r="O12" s="46" t="s">
        <v>42</v>
      </c>
      <c r="P12" s="34"/>
      <c r="Q12" s="34"/>
      <c r="R12" s="34"/>
      <c r="S12" s="46" t="s">
        <v>50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46" t="s">
        <v>51</v>
      </c>
      <c r="AE12" s="34"/>
      <c r="AF12" s="34"/>
      <c r="AG12" s="34"/>
      <c r="AH12" s="46" t="s">
        <v>45</v>
      </c>
      <c r="AI12" s="34"/>
      <c r="AJ12" s="46" t="s">
        <v>52</v>
      </c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47">
        <v>10</v>
      </c>
      <c r="BK12" s="34"/>
      <c r="BL12" s="34"/>
      <c r="BM12" s="46" t="s">
        <v>47</v>
      </c>
      <c r="BN12" s="34"/>
      <c r="BO12" s="46" t="s">
        <v>28</v>
      </c>
      <c r="BP12" s="34"/>
      <c r="BQ12" s="34"/>
      <c r="BR12" s="34"/>
      <c r="BS12" s="34"/>
      <c r="BT12" s="48" t="s">
        <v>17</v>
      </c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46" t="s">
        <v>53</v>
      </c>
      <c r="CJ12" s="34"/>
      <c r="CK12" s="46" t="s">
        <v>48</v>
      </c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/>
      <c r="C13" s="34"/>
      <c r="D13" s="34"/>
      <c r="E13" s="47">
        <v>10</v>
      </c>
      <c r="F13" s="34"/>
      <c r="G13" s="46" t="s">
        <v>36</v>
      </c>
      <c r="H13" s="34"/>
      <c r="I13" s="34"/>
      <c r="J13" s="34"/>
      <c r="K13" s="34"/>
      <c r="L13" s="34"/>
      <c r="M13" s="34"/>
      <c r="N13" s="34"/>
      <c r="O13" s="46" t="s">
        <v>42</v>
      </c>
      <c r="P13" s="34"/>
      <c r="Q13" s="34"/>
      <c r="R13" s="34"/>
      <c r="S13" s="46" t="s">
        <v>50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46" t="s">
        <v>51</v>
      </c>
      <c r="AE13" s="34"/>
      <c r="AF13" s="34"/>
      <c r="AG13" s="34"/>
      <c r="AH13" s="46" t="s">
        <v>45</v>
      </c>
      <c r="AI13" s="34"/>
      <c r="AJ13" s="46" t="s">
        <v>52</v>
      </c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47">
        <v>10</v>
      </c>
      <c r="BK13" s="34"/>
      <c r="BL13" s="34"/>
      <c r="BM13" s="46" t="s">
        <v>47</v>
      </c>
      <c r="BN13" s="34"/>
      <c r="BO13" s="46" t="s">
        <v>27</v>
      </c>
      <c r="BP13" s="34"/>
      <c r="BQ13" s="34"/>
      <c r="BR13" s="34"/>
      <c r="BS13" s="34"/>
      <c r="BT13" s="48" t="s">
        <v>18</v>
      </c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46" t="s">
        <v>54</v>
      </c>
      <c r="CJ13" s="34"/>
      <c r="CK13" s="46" t="s">
        <v>48</v>
      </c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/>
      <c r="C14" s="34"/>
      <c r="D14" s="34"/>
      <c r="E14" s="45">
        <v>1000</v>
      </c>
      <c r="F14" s="34"/>
      <c r="G14" s="46" t="s">
        <v>41</v>
      </c>
      <c r="H14" s="34"/>
      <c r="I14" s="34"/>
      <c r="J14" s="34"/>
      <c r="K14" s="34"/>
      <c r="L14" s="34"/>
      <c r="M14" s="34"/>
      <c r="N14" s="34"/>
      <c r="O14" s="46" t="s">
        <v>42</v>
      </c>
      <c r="P14" s="34"/>
      <c r="Q14" s="34"/>
      <c r="R14" s="34"/>
      <c r="S14" s="46" t="s">
        <v>43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46" t="s">
        <v>44</v>
      </c>
      <c r="AE14" s="34"/>
      <c r="AF14" s="34"/>
      <c r="AG14" s="34"/>
      <c r="AH14" s="46" t="s">
        <v>55</v>
      </c>
      <c r="AI14" s="34"/>
      <c r="AJ14" s="46" t="s">
        <v>56</v>
      </c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45">
        <v>1000</v>
      </c>
      <c r="BK14" s="34"/>
      <c r="BL14" s="34"/>
      <c r="BM14" s="46" t="s">
        <v>47</v>
      </c>
      <c r="BN14" s="34"/>
      <c r="BO14" s="46" t="s">
        <v>25</v>
      </c>
      <c r="BP14" s="34"/>
      <c r="BQ14" s="34"/>
      <c r="BR14" s="34"/>
      <c r="BS14" s="34"/>
      <c r="BT14" s="46" t="s">
        <v>24</v>
      </c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46" t="s">
        <v>54</v>
      </c>
      <c r="CJ14" s="34"/>
      <c r="CK14" s="46" t="s">
        <v>48</v>
      </c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4"/>
      <c r="C15" s="34"/>
      <c r="D15" s="34"/>
      <c r="E15" s="45">
        <v>1000</v>
      </c>
      <c r="F15" s="34"/>
      <c r="G15" s="46" t="s">
        <v>41</v>
      </c>
      <c r="H15" s="34"/>
      <c r="I15" s="34"/>
      <c r="J15" s="34"/>
      <c r="K15" s="34"/>
      <c r="L15" s="34"/>
      <c r="M15" s="34"/>
      <c r="N15" s="34"/>
      <c r="O15" s="46" t="s">
        <v>42</v>
      </c>
      <c r="P15" s="34"/>
      <c r="Q15" s="34"/>
      <c r="R15" s="34"/>
      <c r="S15" s="46" t="s">
        <v>43</v>
      </c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46" t="s">
        <v>44</v>
      </c>
      <c r="AE15" s="34"/>
      <c r="AF15" s="34"/>
      <c r="AG15" s="34"/>
      <c r="AH15" s="46" t="s">
        <v>55</v>
      </c>
      <c r="AI15" s="34"/>
      <c r="AJ15" s="46" t="s">
        <v>56</v>
      </c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45">
        <v>1000</v>
      </c>
      <c r="BK15" s="34"/>
      <c r="BL15" s="34"/>
      <c r="BM15" s="46" t="s">
        <v>47</v>
      </c>
      <c r="BN15" s="34"/>
      <c r="BO15" s="46" t="s">
        <v>25</v>
      </c>
      <c r="BP15" s="34"/>
      <c r="BQ15" s="34"/>
      <c r="BR15" s="34"/>
      <c r="BS15" s="34"/>
      <c r="BT15" s="46" t="s">
        <v>24</v>
      </c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46" t="s">
        <v>54</v>
      </c>
      <c r="CJ15" s="34"/>
      <c r="CK15" s="46" t="s">
        <v>48</v>
      </c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4"/>
      <c r="C16" s="34"/>
      <c r="D16" s="34"/>
      <c r="E16" s="45">
        <v>1000</v>
      </c>
      <c r="F16" s="34"/>
      <c r="G16" s="46" t="s">
        <v>41</v>
      </c>
      <c r="H16" s="34"/>
      <c r="I16" s="34"/>
      <c r="J16" s="34"/>
      <c r="K16" s="34"/>
      <c r="L16" s="34"/>
      <c r="M16" s="34"/>
      <c r="N16" s="34"/>
      <c r="O16" s="46" t="s">
        <v>42</v>
      </c>
      <c r="P16" s="34"/>
      <c r="Q16" s="34"/>
      <c r="R16" s="34"/>
      <c r="S16" s="46" t="s">
        <v>43</v>
      </c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46" t="s">
        <v>44</v>
      </c>
      <c r="AE16" s="34"/>
      <c r="AF16" s="34"/>
      <c r="AG16" s="34"/>
      <c r="AH16" s="46" t="s">
        <v>55</v>
      </c>
      <c r="AI16" s="34"/>
      <c r="AJ16" s="46" t="s">
        <v>56</v>
      </c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45">
        <v>1000</v>
      </c>
      <c r="BK16" s="34"/>
      <c r="BL16" s="34"/>
      <c r="BM16" s="46" t="s">
        <v>47</v>
      </c>
      <c r="BN16" s="34"/>
      <c r="BO16" s="46" t="s">
        <v>25</v>
      </c>
      <c r="BP16" s="34"/>
      <c r="BQ16" s="34"/>
      <c r="BR16" s="34"/>
      <c r="BS16" s="34"/>
      <c r="BT16" s="46" t="s">
        <v>24</v>
      </c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46" t="s">
        <v>54</v>
      </c>
      <c r="CJ16" s="34"/>
      <c r="CK16" s="46" t="s">
        <v>48</v>
      </c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6" t="s">
        <v>24</v>
      </c>
      <c r="D6" s="49">
        <v>1100</v>
      </c>
      <c r="E6" s="46" t="s">
        <v>26</v>
      </c>
      <c r="F6" s="46" t="s">
        <v>59</v>
      </c>
      <c r="G6" s="47">
        <v>10</v>
      </c>
      <c r="H6" s="46" t="s">
        <v>60</v>
      </c>
      <c r="I6" s="34"/>
      <c r="J6" s="34"/>
      <c r="K6" s="34"/>
      <c r="L6" s="34"/>
      <c r="M6" s="34"/>
      <c r="N6" s="34"/>
      <c r="O6" s="34"/>
      <c r="P6" s="34"/>
      <c r="Q6" s="34"/>
      <c r="R6" s="46" t="s">
        <v>61</v>
      </c>
      <c r="S6" s="46" t="s">
        <v>62</v>
      </c>
      <c r="T6" s="46" t="s">
        <v>41</v>
      </c>
      <c r="U6" s="46" t="s">
        <v>48</v>
      </c>
      <c r="V6" s="46" t="s">
        <v>44</v>
      </c>
      <c r="W6" s="46" t="s">
        <v>47</v>
      </c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46" t="s">
        <v>25</v>
      </c>
      <c r="AO6" s="34"/>
      <c r="AP6" s="46" t="s">
        <v>60</v>
      </c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46" t="s">
        <v>41</v>
      </c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46" t="s">
        <v>41</v>
      </c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</row>
    <row r="7" ht="15.75" customHeight="1">
      <c r="A7" s="34"/>
      <c r="B7" s="34"/>
      <c r="C7" s="46" t="s">
        <v>24</v>
      </c>
      <c r="D7" s="47">
        <v>50</v>
      </c>
      <c r="E7" s="46" t="s">
        <v>26</v>
      </c>
      <c r="F7" s="46" t="s">
        <v>59</v>
      </c>
      <c r="G7" s="47">
        <v>10</v>
      </c>
      <c r="H7" s="46" t="s">
        <v>60</v>
      </c>
      <c r="I7" s="34"/>
      <c r="J7" s="34"/>
      <c r="K7" s="34"/>
      <c r="L7" s="34"/>
      <c r="M7" s="34"/>
      <c r="N7" s="34"/>
      <c r="O7" s="34"/>
      <c r="P7" s="34"/>
      <c r="Q7" s="34"/>
      <c r="R7" s="46" t="s">
        <v>61</v>
      </c>
      <c r="S7" s="46" t="s">
        <v>62</v>
      </c>
      <c r="T7" s="46" t="s">
        <v>41</v>
      </c>
      <c r="U7" s="46" t="s">
        <v>48</v>
      </c>
      <c r="V7" s="46" t="s">
        <v>44</v>
      </c>
      <c r="W7" s="46" t="s">
        <v>47</v>
      </c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46" t="s">
        <v>27</v>
      </c>
      <c r="AO7" s="34"/>
      <c r="AP7" s="46" t="s">
        <v>63</v>
      </c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46" t="s">
        <v>41</v>
      </c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46" t="s">
        <v>41</v>
      </c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</row>
    <row r="8" ht="15.75" customHeight="1">
      <c r="A8" s="34"/>
      <c r="B8" s="34"/>
      <c r="C8" s="46" t="s">
        <v>16</v>
      </c>
      <c r="D8" s="47">
        <v>-10</v>
      </c>
      <c r="E8" s="46" t="s">
        <v>26</v>
      </c>
      <c r="F8" s="46" t="s">
        <v>59</v>
      </c>
      <c r="G8" s="47">
        <v>10</v>
      </c>
      <c r="H8" s="46" t="s">
        <v>63</v>
      </c>
      <c r="I8" s="34"/>
      <c r="J8" s="34"/>
      <c r="K8" s="34"/>
      <c r="L8" s="34"/>
      <c r="M8" s="34"/>
      <c r="N8" s="34"/>
      <c r="O8" s="34"/>
      <c r="P8" s="34"/>
      <c r="Q8" s="34"/>
      <c r="R8" s="46" t="s">
        <v>61</v>
      </c>
      <c r="S8" s="46" t="s">
        <v>62</v>
      </c>
      <c r="T8" s="46" t="s">
        <v>36</v>
      </c>
      <c r="U8" s="46" t="s">
        <v>48</v>
      </c>
      <c r="V8" s="46" t="s">
        <v>51</v>
      </c>
      <c r="W8" s="46" t="s">
        <v>47</v>
      </c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46" t="s">
        <v>28</v>
      </c>
      <c r="AO8" s="34"/>
      <c r="AP8" s="46" t="s">
        <v>60</v>
      </c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46" t="s">
        <v>64</v>
      </c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46" t="s">
        <v>65</v>
      </c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</row>
    <row r="9" ht="15.75" customHeight="1">
      <c r="A9" s="34"/>
      <c r="B9" s="34"/>
      <c r="C9" s="46" t="s">
        <v>17</v>
      </c>
      <c r="D9" s="47">
        <v>-10</v>
      </c>
      <c r="E9" s="46" t="s">
        <v>26</v>
      </c>
      <c r="F9" s="46" t="s">
        <v>59</v>
      </c>
      <c r="G9" s="47">
        <v>10</v>
      </c>
      <c r="H9" s="46" t="s">
        <v>63</v>
      </c>
      <c r="I9" s="34"/>
      <c r="J9" s="34"/>
      <c r="K9" s="34"/>
      <c r="L9" s="34"/>
      <c r="M9" s="34"/>
      <c r="N9" s="34"/>
      <c r="O9" s="34"/>
      <c r="P9" s="34"/>
      <c r="Q9" s="34"/>
      <c r="R9" s="46" t="s">
        <v>61</v>
      </c>
      <c r="S9" s="46" t="s">
        <v>62</v>
      </c>
      <c r="T9" s="46" t="s">
        <v>36</v>
      </c>
      <c r="U9" s="46" t="s">
        <v>48</v>
      </c>
      <c r="V9" s="46" t="s">
        <v>51</v>
      </c>
      <c r="W9" s="46" t="s">
        <v>47</v>
      </c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46" t="s">
        <v>28</v>
      </c>
      <c r="AO9" s="34"/>
      <c r="AP9" s="46" t="s">
        <v>60</v>
      </c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46" t="s">
        <v>64</v>
      </c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46" t="s">
        <v>65</v>
      </c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</row>
    <row r="10" ht="15.75" customHeight="1">
      <c r="A10" s="34"/>
      <c r="B10" s="34"/>
      <c r="C10" s="46" t="s">
        <v>18</v>
      </c>
      <c r="D10" s="47">
        <v>-10</v>
      </c>
      <c r="E10" s="46" t="s">
        <v>26</v>
      </c>
      <c r="F10" s="46" t="s">
        <v>59</v>
      </c>
      <c r="G10" s="47">
        <v>10</v>
      </c>
      <c r="H10" s="46" t="s">
        <v>63</v>
      </c>
      <c r="I10" s="34"/>
      <c r="J10" s="34"/>
      <c r="K10" s="34"/>
      <c r="L10" s="34"/>
      <c r="M10" s="34"/>
      <c r="N10" s="34"/>
      <c r="O10" s="34"/>
      <c r="P10" s="34"/>
      <c r="Q10" s="34"/>
      <c r="R10" s="46" t="s">
        <v>61</v>
      </c>
      <c r="S10" s="46" t="s">
        <v>62</v>
      </c>
      <c r="T10" s="46" t="s">
        <v>36</v>
      </c>
      <c r="U10" s="46" t="s">
        <v>48</v>
      </c>
      <c r="V10" s="46" t="s">
        <v>51</v>
      </c>
      <c r="W10" s="46" t="s">
        <v>47</v>
      </c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46" t="s">
        <v>28</v>
      </c>
      <c r="AO10" s="34"/>
      <c r="AP10" s="46" t="s">
        <v>60</v>
      </c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46" t="s">
        <v>64</v>
      </c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46" t="s">
        <v>65</v>
      </c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</row>
    <row r="11" ht="15.75" customHeight="1">
      <c r="A11" s="34"/>
      <c r="B11" s="34"/>
      <c r="C11" s="46" t="s">
        <v>16</v>
      </c>
      <c r="D11" s="47">
        <v>10</v>
      </c>
      <c r="E11" s="46" t="s">
        <v>26</v>
      </c>
      <c r="F11" s="46" t="s">
        <v>59</v>
      </c>
      <c r="G11" s="47">
        <v>0</v>
      </c>
      <c r="H11" s="46" t="s">
        <v>63</v>
      </c>
      <c r="I11" s="34"/>
      <c r="J11" s="34"/>
      <c r="K11" s="34"/>
      <c r="L11" s="34"/>
      <c r="M11" s="34"/>
      <c r="N11" s="34"/>
      <c r="O11" s="34"/>
      <c r="P11" s="34"/>
      <c r="Q11" s="34"/>
      <c r="R11" s="46" t="s">
        <v>61</v>
      </c>
      <c r="S11" s="46" t="s">
        <v>62</v>
      </c>
      <c r="T11" s="46" t="s">
        <v>36</v>
      </c>
      <c r="U11" s="46" t="s">
        <v>48</v>
      </c>
      <c r="V11" s="46" t="s">
        <v>51</v>
      </c>
      <c r="W11" s="46" t="s">
        <v>47</v>
      </c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46" t="s">
        <v>27</v>
      </c>
      <c r="AO11" s="34"/>
      <c r="AP11" s="46" t="s">
        <v>60</v>
      </c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46" t="s">
        <v>64</v>
      </c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46" t="s">
        <v>65</v>
      </c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</row>
    <row r="12" ht="15.75" customHeight="1">
      <c r="A12" s="34"/>
      <c r="B12" s="34"/>
      <c r="C12" s="46" t="s">
        <v>17</v>
      </c>
      <c r="D12" s="47">
        <v>10</v>
      </c>
      <c r="E12" s="46" t="s">
        <v>26</v>
      </c>
      <c r="F12" s="46" t="s">
        <v>59</v>
      </c>
      <c r="G12" s="47">
        <v>0</v>
      </c>
      <c r="H12" s="46" t="s">
        <v>63</v>
      </c>
      <c r="I12" s="34"/>
      <c r="J12" s="34"/>
      <c r="K12" s="34"/>
      <c r="L12" s="34"/>
      <c r="M12" s="34"/>
      <c r="N12" s="34"/>
      <c r="O12" s="34"/>
      <c r="P12" s="34"/>
      <c r="Q12" s="34"/>
      <c r="R12" s="46" t="s">
        <v>61</v>
      </c>
      <c r="S12" s="46" t="s">
        <v>62</v>
      </c>
      <c r="T12" s="46" t="s">
        <v>36</v>
      </c>
      <c r="U12" s="46" t="s">
        <v>48</v>
      </c>
      <c r="V12" s="46" t="s">
        <v>51</v>
      </c>
      <c r="W12" s="46" t="s">
        <v>47</v>
      </c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46" t="s">
        <v>27</v>
      </c>
      <c r="AO12" s="34"/>
      <c r="AP12" s="46" t="s">
        <v>60</v>
      </c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46" t="s">
        <v>64</v>
      </c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46" t="s">
        <v>65</v>
      </c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</row>
    <row r="13" ht="15.75" customHeight="1">
      <c r="A13" s="34"/>
      <c r="B13" s="34"/>
      <c r="C13" s="46" t="s">
        <v>18</v>
      </c>
      <c r="D13" s="47">
        <v>10</v>
      </c>
      <c r="E13" s="46" t="s">
        <v>26</v>
      </c>
      <c r="F13" s="46" t="s">
        <v>59</v>
      </c>
      <c r="G13" s="47">
        <v>0</v>
      </c>
      <c r="H13" s="46" t="s">
        <v>63</v>
      </c>
      <c r="I13" s="34"/>
      <c r="J13" s="34"/>
      <c r="K13" s="34"/>
      <c r="L13" s="34"/>
      <c r="M13" s="34"/>
      <c r="N13" s="34"/>
      <c r="O13" s="34"/>
      <c r="P13" s="34"/>
      <c r="Q13" s="34"/>
      <c r="R13" s="46" t="s">
        <v>61</v>
      </c>
      <c r="S13" s="46" t="s">
        <v>62</v>
      </c>
      <c r="T13" s="46" t="s">
        <v>36</v>
      </c>
      <c r="U13" s="46" t="s">
        <v>48</v>
      </c>
      <c r="V13" s="46" t="s">
        <v>51</v>
      </c>
      <c r="W13" s="46" t="s">
        <v>47</v>
      </c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46" t="s">
        <v>27</v>
      </c>
      <c r="AO13" s="34"/>
      <c r="AP13" s="46" t="s">
        <v>60</v>
      </c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46" t="s">
        <v>64</v>
      </c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46" t="s">
        <v>65</v>
      </c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</row>
    <row r="14" ht="15.75" customHeight="1">
      <c r="A14" s="34"/>
      <c r="B14" s="34"/>
      <c r="C14" s="46" t="s">
        <v>24</v>
      </c>
      <c r="D14" s="49">
        <v>1000</v>
      </c>
      <c r="E14" s="46" t="s">
        <v>26</v>
      </c>
      <c r="F14" s="46" t="s">
        <v>59</v>
      </c>
      <c r="G14" s="47">
        <v>130.1</v>
      </c>
      <c r="H14" s="46" t="s">
        <v>60</v>
      </c>
      <c r="I14" s="34"/>
      <c r="J14" s="34"/>
      <c r="K14" s="34"/>
      <c r="L14" s="34"/>
      <c r="M14" s="34"/>
      <c r="N14" s="34"/>
      <c r="O14" s="34"/>
      <c r="P14" s="34"/>
      <c r="Q14" s="34"/>
      <c r="R14" s="46" t="s">
        <v>61</v>
      </c>
      <c r="S14" s="46" t="s">
        <v>62</v>
      </c>
      <c r="T14" s="46" t="s">
        <v>41</v>
      </c>
      <c r="U14" s="46" t="s">
        <v>48</v>
      </c>
      <c r="V14" s="46" t="s">
        <v>44</v>
      </c>
      <c r="W14" s="46" t="s">
        <v>47</v>
      </c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46" t="s">
        <v>25</v>
      </c>
      <c r="AO14" s="34"/>
      <c r="AP14" s="46" t="s">
        <v>60</v>
      </c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46" t="s">
        <v>41</v>
      </c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46" t="s">
        <v>41</v>
      </c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</row>
    <row r="15" ht="15.75" customHeight="1">
      <c r="A15" s="34"/>
      <c r="B15" s="34"/>
      <c r="C15" s="46" t="s">
        <v>24</v>
      </c>
      <c r="D15" s="49">
        <v>1000</v>
      </c>
      <c r="E15" s="46" t="s">
        <v>26</v>
      </c>
      <c r="F15" s="46" t="s">
        <v>59</v>
      </c>
      <c r="G15" s="47">
        <v>130.2</v>
      </c>
      <c r="H15" s="46" t="s">
        <v>60</v>
      </c>
      <c r="I15" s="34"/>
      <c r="J15" s="34"/>
      <c r="K15" s="34"/>
      <c r="L15" s="34"/>
      <c r="M15" s="34"/>
      <c r="N15" s="34"/>
      <c r="O15" s="34"/>
      <c r="P15" s="34"/>
      <c r="Q15" s="34"/>
      <c r="R15" s="46" t="s">
        <v>61</v>
      </c>
      <c r="S15" s="46" t="s">
        <v>62</v>
      </c>
      <c r="T15" s="46" t="s">
        <v>41</v>
      </c>
      <c r="U15" s="46" t="s">
        <v>48</v>
      </c>
      <c r="V15" s="46" t="s">
        <v>44</v>
      </c>
      <c r="W15" s="46" t="s">
        <v>47</v>
      </c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46" t="s">
        <v>25</v>
      </c>
      <c r="AO15" s="34"/>
      <c r="AP15" s="46" t="s">
        <v>60</v>
      </c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46" t="s">
        <v>41</v>
      </c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46" t="s">
        <v>41</v>
      </c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</row>
    <row r="16" ht="15.75" customHeight="1">
      <c r="A16" s="34"/>
      <c r="B16" s="34"/>
      <c r="C16" s="46" t="s">
        <v>24</v>
      </c>
      <c r="D16" s="49">
        <v>1000</v>
      </c>
      <c r="E16" s="46" t="s">
        <v>26</v>
      </c>
      <c r="F16" s="46" t="s">
        <v>59</v>
      </c>
      <c r="G16" s="47">
        <v>130.3</v>
      </c>
      <c r="H16" s="46" t="s">
        <v>60</v>
      </c>
      <c r="I16" s="34"/>
      <c r="J16" s="34"/>
      <c r="K16" s="34"/>
      <c r="L16" s="34"/>
      <c r="M16" s="34"/>
      <c r="N16" s="34"/>
      <c r="O16" s="34"/>
      <c r="P16" s="34"/>
      <c r="Q16" s="34"/>
      <c r="R16" s="46" t="s">
        <v>61</v>
      </c>
      <c r="S16" s="46" t="s">
        <v>62</v>
      </c>
      <c r="T16" s="46" t="s">
        <v>41</v>
      </c>
      <c r="U16" s="46" t="s">
        <v>48</v>
      </c>
      <c r="V16" s="46" t="s">
        <v>44</v>
      </c>
      <c r="W16" s="46" t="s">
        <v>47</v>
      </c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46" t="s">
        <v>25</v>
      </c>
      <c r="AO16" s="34"/>
      <c r="AP16" s="46" t="s">
        <v>60</v>
      </c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46" t="s">
        <v>41</v>
      </c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46" t="s">
        <v>41</v>
      </c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</row>
    <row r="17" ht="15.7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