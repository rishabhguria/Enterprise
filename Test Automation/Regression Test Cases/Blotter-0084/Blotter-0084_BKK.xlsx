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2" activeTab="14"/>
  </bookViews>
  <sheets>
    <sheet name="_Modules" sheetId="1" r:id="rId1"/>
    <sheet name="_Settings" sheetId="2" r:id="rId2"/>
    <sheet name="_MasterData" sheetId="3" r:id="rId3"/>
    <sheet name="CreateDoneAwayOrder" sheetId="4" r:id="rId4"/>
    <sheet name="VerifyOrder" sheetId="5" r:id="rId5"/>
    <sheet name="GetDataClosing" sheetId="6" r:id="rId6"/>
    <sheet name="ManualClosing" sheetId="7" r:id="rId7"/>
    <sheet name="VerifyClosedTrades" sheetId="8" r:id="rId8"/>
    <sheet name="SelectTradeOnOrderGrid" sheetId="9" r:id="rId9"/>
    <sheet name="RemoveManualExecution" sheetId="10" r:id="rId10"/>
    <sheet name="VerifyOrder1" sheetId="11" r:id="rId11"/>
    <sheet name="VerifyWorkingSubs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N7" i="4"/>
  <c r="N6" i="4"/>
  <c r="J2" i="4"/>
  <c r="BK5" i="15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Y5" i="12"/>
  <c r="AQ5" i="12"/>
  <c r="AI5" i="12"/>
  <c r="AA5" i="12"/>
  <c r="S5" i="12"/>
  <c r="K5" i="12"/>
  <c r="C5" i="12"/>
  <c r="AS4" i="12"/>
  <c r="AK4" i="12"/>
  <c r="AC4" i="12"/>
  <c r="U4" i="12"/>
  <c r="M4" i="12"/>
  <c r="E4" i="12"/>
  <c r="AX5" i="11"/>
  <c r="AP5" i="11"/>
  <c r="AH5" i="11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W5" i="12"/>
  <c r="AO5" i="12"/>
  <c r="AG5" i="12"/>
  <c r="Y5" i="12"/>
  <c r="Q5" i="12"/>
  <c r="I5" i="12"/>
  <c r="A5" i="12"/>
  <c r="AQ4" i="12"/>
  <c r="AI4" i="12"/>
  <c r="AA4" i="12"/>
  <c r="S4" i="12"/>
  <c r="K4" i="12"/>
  <c r="C4" i="12"/>
  <c r="AV5" i="11"/>
  <c r="AN5" i="11"/>
  <c r="AF5" i="11"/>
  <c r="X5" i="11"/>
  <c r="P5" i="11"/>
  <c r="H5" i="11"/>
  <c r="AX4" i="11"/>
  <c r="AP4" i="11"/>
  <c r="AH4" i="11"/>
  <c r="Z4" i="11"/>
  <c r="R4" i="11"/>
  <c r="J4" i="11"/>
  <c r="B4" i="11"/>
  <c r="AR5" i="10"/>
  <c r="AJ5" i="10"/>
  <c r="AB5" i="10"/>
  <c r="T5" i="10"/>
  <c r="L5" i="10"/>
  <c r="D5" i="10"/>
  <c r="AT4" i="10"/>
  <c r="AL4" i="10"/>
  <c r="AD4" i="10"/>
  <c r="V4" i="10"/>
  <c r="N4" i="10"/>
  <c r="F4" i="10"/>
  <c r="AX5" i="9"/>
  <c r="AP5" i="9"/>
  <c r="AH5" i="9"/>
  <c r="Z5" i="9"/>
  <c r="R5" i="9"/>
  <c r="J5" i="9"/>
  <c r="B5" i="9"/>
  <c r="AR4" i="9"/>
  <c r="AJ4" i="9"/>
  <c r="AB4" i="9"/>
  <c r="T4" i="9"/>
  <c r="L4" i="9"/>
  <c r="D4" i="9"/>
  <c r="AC5" i="8"/>
  <c r="U5" i="8"/>
  <c r="M5" i="8"/>
  <c r="E5" i="8"/>
  <c r="Z4" i="8"/>
  <c r="R4" i="8"/>
  <c r="J4" i="8"/>
  <c r="B4" i="8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V5" i="12"/>
  <c r="AN5" i="12"/>
  <c r="AF5" i="12"/>
  <c r="X5" i="12"/>
  <c r="P5" i="12"/>
  <c r="H5" i="12"/>
  <c r="AX4" i="12"/>
  <c r="AP4" i="12"/>
  <c r="AH4" i="12"/>
  <c r="Z4" i="12"/>
  <c r="R4" i="12"/>
  <c r="J4" i="12"/>
  <c r="B4" i="12"/>
  <c r="AU5" i="11"/>
  <c r="AM5" i="11"/>
  <c r="AE5" i="11"/>
  <c r="W5" i="11"/>
  <c r="O5" i="11"/>
  <c r="G5" i="11"/>
  <c r="AW4" i="11"/>
  <c r="AO4" i="11"/>
  <c r="AG4" i="11"/>
  <c r="Y4" i="11"/>
  <c r="Q4" i="11"/>
  <c r="I4" i="11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B5" i="12"/>
  <c r="AT5" i="12"/>
  <c r="AL5" i="12"/>
  <c r="AD5" i="12"/>
  <c r="V5" i="12"/>
  <c r="N5" i="12"/>
  <c r="F5" i="12"/>
  <c r="AV4" i="12"/>
  <c r="AN4" i="12"/>
  <c r="AF4" i="12"/>
  <c r="X4" i="12"/>
  <c r="P4" i="12"/>
  <c r="H4" i="12"/>
  <c r="BA5" i="11"/>
  <c r="AS5" i="11"/>
  <c r="AK5" i="11"/>
  <c r="AC5" i="11"/>
  <c r="U5" i="11"/>
  <c r="M5" i="11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BA5" i="12"/>
  <c r="AS5" i="12"/>
  <c r="AK5" i="12"/>
  <c r="AC5" i="12"/>
  <c r="U5" i="12"/>
  <c r="M5" i="12"/>
  <c r="E5" i="12"/>
  <c r="AU4" i="12"/>
  <c r="AM4" i="12"/>
  <c r="AE4" i="12"/>
  <c r="W4" i="12"/>
  <c r="O4" i="12"/>
  <c r="G4" i="12"/>
  <c r="AZ5" i="11"/>
  <c r="AR5" i="11"/>
  <c r="AJ5" i="11"/>
  <c r="AB5" i="11"/>
  <c r="T5" i="11"/>
  <c r="L5" i="11"/>
  <c r="D5" i="11"/>
  <c r="AT4" i="11"/>
  <c r="AL4" i="11"/>
  <c r="AD4" i="11"/>
  <c r="V4" i="11"/>
  <c r="N4" i="11"/>
  <c r="F4" i="11"/>
  <c r="AV5" i="10"/>
  <c r="AN5" i="10"/>
  <c r="AF5" i="10"/>
  <c r="X5" i="10"/>
  <c r="P5" i="10"/>
  <c r="H5" i="10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N4" i="13"/>
  <c r="DF4" i="13"/>
  <c r="CX4" i="13"/>
  <c r="CP4" i="13"/>
  <c r="CH4" i="13"/>
  <c r="V4" i="13"/>
  <c r="AU5" i="12"/>
  <c r="Z5" i="12"/>
  <c r="D5" i="12"/>
  <c r="AG4" i="12"/>
  <c r="L4" i="12"/>
  <c r="AQ5" i="11"/>
  <c r="Y5" i="11"/>
  <c r="I5" i="11"/>
  <c r="AS4" i="11"/>
  <c r="AF4" i="11"/>
  <c r="T4" i="11"/>
  <c r="G4" i="11"/>
  <c r="AT5" i="10"/>
  <c r="AI5" i="10"/>
  <c r="Y5" i="10"/>
  <c r="N5" i="10"/>
  <c r="C5" i="10"/>
  <c r="AR4" i="10"/>
  <c r="AI4" i="10"/>
  <c r="Z4" i="10"/>
  <c r="Q4" i="10"/>
  <c r="H4" i="10"/>
  <c r="AY5" i="9"/>
  <c r="AO5" i="9"/>
  <c r="AF5" i="9"/>
  <c r="W5" i="9"/>
  <c r="N5" i="9"/>
  <c r="E5" i="9"/>
  <c r="AT4" i="9"/>
  <c r="AK4" i="9"/>
  <c r="AA4" i="9"/>
  <c r="R4" i="9"/>
  <c r="I4" i="9"/>
  <c r="AG5" i="8"/>
  <c r="X5" i="8"/>
  <c r="O5" i="8"/>
  <c r="F5" i="8"/>
  <c r="Y4" i="8"/>
  <c r="P4" i="8"/>
  <c r="G4" i="8"/>
  <c r="BC5" i="7"/>
  <c r="AU5" i="7"/>
  <c r="AM5" i="7"/>
  <c r="AE5" i="7"/>
  <c r="W5" i="7"/>
  <c r="O5" i="7"/>
  <c r="G5" i="7"/>
  <c r="AB4" i="7"/>
  <c r="T4" i="7"/>
  <c r="L4" i="7"/>
  <c r="D4" i="7"/>
  <c r="A5" i="6"/>
  <c r="V4" i="6"/>
  <c r="N4" i="6"/>
  <c r="F4" i="6"/>
  <c r="AY5" i="5"/>
  <c r="AQ5" i="5"/>
  <c r="AI5" i="5"/>
  <c r="AA5" i="5"/>
  <c r="S5" i="5"/>
  <c r="K5" i="5"/>
  <c r="C5" i="5"/>
  <c r="AS4" i="5"/>
  <c r="AK4" i="5"/>
  <c r="AC4" i="5"/>
  <c r="U4" i="5"/>
  <c r="M4" i="5"/>
  <c r="E4" i="5"/>
  <c r="AO5" i="4"/>
  <c r="AG5" i="4"/>
  <c r="Y5" i="4"/>
  <c r="Q5" i="4"/>
  <c r="I5" i="4"/>
  <c r="A5" i="4"/>
  <c r="T4" i="4"/>
  <c r="L4" i="4"/>
  <c r="D4" i="4"/>
  <c r="C493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BZ4" i="13"/>
  <c r="N4" i="13"/>
  <c r="AR5" i="12"/>
  <c r="W5" i="12"/>
  <c r="B5" i="12"/>
  <c r="AD4" i="12"/>
  <c r="I4" i="12"/>
  <c r="AO5" i="11"/>
  <c r="V5" i="11"/>
  <c r="F5" i="11"/>
  <c r="AR4" i="11"/>
  <c r="AE4" i="11"/>
  <c r="S4" i="11"/>
  <c r="E4" i="11"/>
  <c r="AS5" i="10"/>
  <c r="AH5" i="10"/>
  <c r="W5" i="10"/>
  <c r="M5" i="10"/>
  <c r="B5" i="10"/>
  <c r="AQ4" i="10"/>
  <c r="AH4" i="10"/>
  <c r="Y4" i="10"/>
  <c r="P4" i="10"/>
  <c r="G4" i="10"/>
  <c r="AW5" i="9"/>
  <c r="AN5" i="9"/>
  <c r="AE5" i="9"/>
  <c r="V5" i="9"/>
  <c r="M5" i="9"/>
  <c r="D5" i="9"/>
  <c r="AS4" i="9"/>
  <c r="AI4" i="9"/>
  <c r="Z4" i="9"/>
  <c r="Q4" i="9"/>
  <c r="H4" i="9"/>
  <c r="AF5" i="8"/>
  <c r="W5" i="8"/>
  <c r="N5" i="8"/>
  <c r="D5" i="8"/>
  <c r="X4" i="8"/>
  <c r="O4" i="8"/>
  <c r="F4" i="8"/>
  <c r="BB5" i="7"/>
  <c r="AT5" i="7"/>
  <c r="AL5" i="7"/>
  <c r="AD5" i="7"/>
  <c r="V5" i="7"/>
  <c r="N5" i="7"/>
  <c r="F5" i="7"/>
  <c r="AA4" i="7"/>
  <c r="S4" i="7"/>
  <c r="K4" i="7"/>
  <c r="C4" i="7"/>
  <c r="AC4" i="6"/>
  <c r="U4" i="6"/>
  <c r="M4" i="6"/>
  <c r="E4" i="6"/>
  <c r="AX5" i="5"/>
  <c r="AP5" i="5"/>
  <c r="AH5" i="5"/>
  <c r="Z5" i="5"/>
  <c r="R5" i="5"/>
  <c r="J5" i="5"/>
  <c r="B5" i="5"/>
  <c r="AR4" i="5"/>
  <c r="AJ4" i="5"/>
  <c r="AB4" i="5"/>
  <c r="T4" i="5"/>
  <c r="L4" i="5"/>
  <c r="D4" i="5"/>
  <c r="AN5" i="4"/>
  <c r="AF5" i="4"/>
  <c r="X5" i="4"/>
  <c r="P5" i="4"/>
  <c r="H5" i="4"/>
  <c r="AA4" i="4"/>
  <c r="S4" i="4"/>
  <c r="K4" i="4"/>
  <c r="C4" i="4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BR4" i="13"/>
  <c r="L4" i="13"/>
  <c r="AP5" i="12"/>
  <c r="T5" i="12"/>
  <c r="AW4" i="12"/>
  <c r="AB4" i="12"/>
  <c r="F4" i="12"/>
  <c r="AL5" i="11"/>
  <c r="S5" i="11"/>
  <c r="E5" i="11"/>
  <c r="AQ4" i="11"/>
  <c r="AC4" i="11"/>
  <c r="P4" i="11"/>
  <c r="D4" i="11"/>
  <c r="AQ5" i="10"/>
  <c r="AG5" i="10"/>
  <c r="V5" i="10"/>
  <c r="K5" i="10"/>
  <c r="A5" i="10"/>
  <c r="AP4" i="10"/>
  <c r="AG4" i="10"/>
  <c r="X4" i="10"/>
  <c r="O4" i="10"/>
  <c r="E4" i="10"/>
  <c r="AV5" i="9"/>
  <c r="AM5" i="9"/>
  <c r="AD5" i="9"/>
  <c r="U5" i="9"/>
  <c r="L5" i="9"/>
  <c r="C5" i="9"/>
  <c r="AQ4" i="9"/>
  <c r="AH4" i="9"/>
  <c r="Y4" i="9"/>
  <c r="P4" i="9"/>
  <c r="G4" i="9"/>
  <c r="AE5" i="8"/>
  <c r="V5" i="8"/>
  <c r="L5" i="8"/>
  <c r="C5" i="8"/>
  <c r="W4" i="8"/>
  <c r="N4" i="8"/>
  <c r="E4" i="8"/>
  <c r="BA5" i="7"/>
  <c r="AS5" i="7"/>
  <c r="AK5" i="7"/>
  <c r="AC5" i="7"/>
  <c r="U5" i="7"/>
  <c r="M5" i="7"/>
  <c r="E5" i="7"/>
  <c r="Z4" i="7"/>
  <c r="R4" i="7"/>
  <c r="J4" i="7"/>
  <c r="B4" i="7"/>
  <c r="AB4" i="6"/>
  <c r="T4" i="6"/>
  <c r="L4" i="6"/>
  <c r="D4" i="6"/>
  <c r="AW5" i="5"/>
  <c r="AO5" i="5"/>
  <c r="AG5" i="5"/>
  <c r="Y5" i="5"/>
  <c r="Q5" i="5"/>
  <c r="I5" i="5"/>
  <c r="A5" i="5"/>
  <c r="AQ4" i="5"/>
  <c r="AI4" i="5"/>
  <c r="AA4" i="5"/>
  <c r="S4" i="5"/>
  <c r="K4" i="5"/>
  <c r="C4" i="5"/>
  <c r="AM5" i="4"/>
  <c r="AE5" i="4"/>
  <c r="W5" i="4"/>
  <c r="O5" i="4"/>
  <c r="G5" i="4"/>
  <c r="Z4" i="4"/>
  <c r="R4" i="4"/>
  <c r="J4" i="4"/>
  <c r="B4" i="4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BJ4" i="13"/>
  <c r="F4" i="13"/>
  <c r="AM5" i="12"/>
  <c r="R5" i="12"/>
  <c r="AT4" i="12"/>
  <c r="Y4" i="12"/>
  <c r="D4" i="12"/>
  <c r="AI5" i="11"/>
  <c r="R5" i="11"/>
  <c r="C5" i="11"/>
  <c r="AN4" i="11"/>
  <c r="AB4" i="11"/>
  <c r="O4" i="11"/>
  <c r="C4" i="11"/>
  <c r="AP5" i="10"/>
  <c r="AE5" i="10"/>
  <c r="U5" i="10"/>
  <c r="J5" i="10"/>
  <c r="AX4" i="10"/>
  <c r="AO4" i="10"/>
  <c r="AF4" i="10"/>
  <c r="W4" i="10"/>
  <c r="M4" i="10"/>
  <c r="D4" i="10"/>
  <c r="AU5" i="9"/>
  <c r="AL5" i="9"/>
  <c r="AC5" i="9"/>
  <c r="T5" i="9"/>
  <c r="K5" i="9"/>
  <c r="A5" i="9"/>
  <c r="AP4" i="9"/>
  <c r="AG4" i="9"/>
  <c r="X4" i="9"/>
  <c r="O4" i="9"/>
  <c r="F4" i="9"/>
  <c r="AD5" i="8"/>
  <c r="T5" i="8"/>
  <c r="K5" i="8"/>
  <c r="B5" i="8"/>
  <c r="V4" i="8"/>
  <c r="M4" i="8"/>
  <c r="D4" i="8"/>
  <c r="AZ5" i="7"/>
  <c r="AR5" i="7"/>
  <c r="AJ5" i="7"/>
  <c r="AB5" i="7"/>
  <c r="T5" i="7"/>
  <c r="L5" i="7"/>
  <c r="D5" i="7"/>
  <c r="Y4" i="7"/>
  <c r="Q4" i="7"/>
  <c r="I4" i="7"/>
  <c r="AA4" i="6"/>
  <c r="S4" i="6"/>
  <c r="K4" i="6"/>
  <c r="C4" i="6"/>
  <c r="AV5" i="5"/>
  <c r="AN5" i="5"/>
  <c r="AF5" i="5"/>
  <c r="X5" i="5"/>
  <c r="P5" i="5"/>
  <c r="H5" i="5"/>
  <c r="AX4" i="5"/>
  <c r="AP4" i="5"/>
  <c r="AH4" i="5"/>
  <c r="Z4" i="5"/>
  <c r="R4" i="5"/>
  <c r="J4" i="5"/>
  <c r="B4" i="5"/>
  <c r="AL5" i="4"/>
  <c r="AD5" i="4"/>
  <c r="V5" i="4"/>
  <c r="N5" i="4"/>
  <c r="F5" i="4"/>
  <c r="Y4" i="4"/>
  <c r="Q4" i="4"/>
  <c r="I4" i="4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BB4" i="13"/>
  <c r="D4" i="13"/>
  <c r="AJ5" i="12"/>
  <c r="O5" i="12"/>
  <c r="AR4" i="12"/>
  <c r="V4" i="12"/>
  <c r="AG5" i="11"/>
  <c r="Q5" i="11"/>
  <c r="B5" i="11"/>
  <c r="AM4" i="11"/>
  <c r="AA4" i="11"/>
  <c r="M4" i="11"/>
  <c r="AO5" i="10"/>
  <c r="AD5" i="10"/>
  <c r="S5" i="10"/>
  <c r="I5" i="10"/>
  <c r="AW4" i="10"/>
  <c r="AN4" i="10"/>
  <c r="AE4" i="10"/>
  <c r="U4" i="10"/>
  <c r="L4" i="10"/>
  <c r="C4" i="10"/>
  <c r="AT5" i="9"/>
  <c r="AK5" i="9"/>
  <c r="AB5" i="9"/>
  <c r="S5" i="9"/>
  <c r="I5" i="9"/>
  <c r="AX4" i="9"/>
  <c r="AO4" i="9"/>
  <c r="AF4" i="9"/>
  <c r="W4" i="9"/>
  <c r="N4" i="9"/>
  <c r="E4" i="9"/>
  <c r="AB5" i="8"/>
  <c r="S5" i="8"/>
  <c r="J5" i="8"/>
  <c r="A5" i="8"/>
  <c r="U4" i="8"/>
  <c r="L4" i="8"/>
  <c r="C4" i="8"/>
  <c r="AY5" i="7"/>
  <c r="AQ5" i="7"/>
  <c r="AI5" i="7"/>
  <c r="AA5" i="7"/>
  <c r="S5" i="7"/>
  <c r="K5" i="7"/>
  <c r="C5" i="7"/>
  <c r="X4" i="7"/>
  <c r="P4" i="7"/>
  <c r="H4" i="7"/>
  <c r="E5" i="6"/>
  <c r="Z4" i="6"/>
  <c r="R4" i="6"/>
  <c r="J4" i="6"/>
  <c r="B4" i="6"/>
  <c r="AU5" i="5"/>
  <c r="AM5" i="5"/>
  <c r="AE5" i="5"/>
  <c r="W5" i="5"/>
  <c r="O5" i="5"/>
  <c r="G5" i="5"/>
  <c r="AW4" i="5"/>
  <c r="AO4" i="5"/>
  <c r="AG4" i="5"/>
  <c r="Y4" i="5"/>
  <c r="Q4" i="5"/>
  <c r="I4" i="5"/>
  <c r="AK5" i="4"/>
  <c r="AC5" i="4"/>
  <c r="U5" i="4"/>
  <c r="M5" i="4"/>
  <c r="E5" i="4"/>
  <c r="X4" i="4"/>
  <c r="P4" i="4"/>
  <c r="H4" i="4"/>
  <c r="A4" i="3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T4" i="13"/>
  <c r="AH5" i="12"/>
  <c r="L5" i="12"/>
  <c r="AO4" i="12"/>
  <c r="T4" i="12"/>
  <c r="AY5" i="11"/>
  <c r="AD5" i="11"/>
  <c r="N5" i="11"/>
  <c r="A5" i="11"/>
  <c r="AK4" i="11"/>
  <c r="X4" i="11"/>
  <c r="L4" i="11"/>
  <c r="AX5" i="10"/>
  <c r="AM5" i="10"/>
  <c r="AC5" i="10"/>
  <c r="R5" i="10"/>
  <c r="G5" i="10"/>
  <c r="AV4" i="10"/>
  <c r="AM4" i="10"/>
  <c r="AC4" i="10"/>
  <c r="T4" i="10"/>
  <c r="K4" i="10"/>
  <c r="B4" i="10"/>
  <c r="AS5" i="9"/>
  <c r="AJ5" i="9"/>
  <c r="AA5" i="9"/>
  <c r="Q5" i="9"/>
  <c r="H5" i="9"/>
  <c r="AW4" i="9"/>
  <c r="AN4" i="9"/>
  <c r="AE4" i="9"/>
  <c r="V4" i="9"/>
  <c r="M4" i="9"/>
  <c r="C4" i="9"/>
  <c r="AA5" i="8"/>
  <c r="R5" i="8"/>
  <c r="I5" i="8"/>
  <c r="AC4" i="8"/>
  <c r="T4" i="8"/>
  <c r="K4" i="8"/>
  <c r="AX5" i="7"/>
  <c r="AP5" i="7"/>
  <c r="AH5" i="7"/>
  <c r="Z5" i="7"/>
  <c r="R5" i="7"/>
  <c r="J5" i="7"/>
  <c r="B5" i="7"/>
  <c r="W4" i="7"/>
  <c r="O4" i="7"/>
  <c r="G4" i="7"/>
  <c r="D5" i="6"/>
  <c r="Y4" i="6"/>
  <c r="Q4" i="6"/>
  <c r="I4" i="6"/>
  <c r="AT5" i="5"/>
  <c r="AL5" i="5"/>
  <c r="AD5" i="5"/>
  <c r="V5" i="5"/>
  <c r="N5" i="5"/>
  <c r="F5" i="5"/>
  <c r="AV4" i="5"/>
  <c r="AN4" i="5"/>
  <c r="AF4" i="5"/>
  <c r="X4" i="5"/>
  <c r="P4" i="5"/>
  <c r="H4" i="5"/>
  <c r="AJ5" i="4"/>
  <c r="AB5" i="4"/>
  <c r="T5" i="4"/>
  <c r="L5" i="4"/>
  <c r="D5" i="4"/>
  <c r="W4" i="4"/>
  <c r="O4" i="4"/>
  <c r="G4" i="4"/>
  <c r="C494" i="1"/>
  <c r="A492" i="1"/>
  <c r="B489" i="1"/>
  <c r="C486" i="1"/>
  <c r="A484" i="1"/>
  <c r="AL4" i="13"/>
  <c r="AZ5" i="12"/>
  <c r="AE5" i="12"/>
  <c r="J5" i="12"/>
  <c r="AL4" i="12"/>
  <c r="Q4" i="12"/>
  <c r="AW5" i="11"/>
  <c r="AA5" i="11"/>
  <c r="K5" i="11"/>
  <c r="AV4" i="11"/>
  <c r="AJ4" i="11"/>
  <c r="W4" i="11"/>
  <c r="K4" i="11"/>
  <c r="AW5" i="10"/>
  <c r="AL5" i="10"/>
  <c r="AA5" i="10"/>
  <c r="Q5" i="10"/>
  <c r="F5" i="10"/>
  <c r="AU4" i="10"/>
  <c r="AK4" i="10"/>
  <c r="AB4" i="10"/>
  <c r="S4" i="10"/>
  <c r="J4" i="10"/>
  <c r="AR5" i="9"/>
  <c r="AI5" i="9"/>
  <c r="Y5" i="9"/>
  <c r="P5" i="9"/>
  <c r="G5" i="9"/>
  <c r="AV4" i="9"/>
  <c r="AM4" i="9"/>
  <c r="AD4" i="9"/>
  <c r="U4" i="9"/>
  <c r="K4" i="9"/>
  <c r="B4" i="9"/>
  <c r="Z5" i="8"/>
  <c r="Q5" i="8"/>
  <c r="H5" i="8"/>
  <c r="AB4" i="8"/>
  <c r="S4" i="8"/>
  <c r="I4" i="8"/>
  <c r="BE5" i="7"/>
  <c r="AW5" i="7"/>
  <c r="AO5" i="7"/>
  <c r="AG5" i="7"/>
  <c r="Y5" i="7"/>
  <c r="Q5" i="7"/>
  <c r="I5" i="7"/>
  <c r="A5" i="7"/>
  <c r="V4" i="7"/>
  <c r="N4" i="7"/>
  <c r="F4" i="7"/>
  <c r="C5" i="6"/>
  <c r="X4" i="6"/>
  <c r="P4" i="6"/>
  <c r="H4" i="6"/>
  <c r="BA5" i="5"/>
  <c r="AS5" i="5"/>
  <c r="AK5" i="5"/>
  <c r="AC5" i="5"/>
  <c r="U5" i="5"/>
  <c r="M5" i="5"/>
  <c r="E5" i="5"/>
  <c r="AU4" i="5"/>
  <c r="AM4" i="5"/>
  <c r="AE4" i="5"/>
  <c r="W4" i="5"/>
  <c r="O4" i="5"/>
  <c r="G4" i="5"/>
  <c r="AI5" i="4"/>
  <c r="AA5" i="4"/>
  <c r="S5" i="4"/>
  <c r="K5" i="4"/>
  <c r="C5" i="4"/>
  <c r="V4" i="4"/>
  <c r="N4" i="4"/>
  <c r="F4" i="4"/>
  <c r="B494" i="1"/>
  <c r="C491" i="1"/>
  <c r="A489" i="1"/>
  <c r="AD4" i="13"/>
  <c r="AX5" i="12"/>
  <c r="AB5" i="12"/>
  <c r="G5" i="12"/>
  <c r="AJ4" i="12"/>
  <c r="N4" i="12"/>
  <c r="AT5" i="11"/>
  <c r="Z5" i="11"/>
  <c r="J5" i="11"/>
  <c r="AU4" i="11"/>
  <c r="AI4" i="11"/>
  <c r="U4" i="11"/>
  <c r="H4" i="11"/>
  <c r="AU5" i="10"/>
  <c r="AK5" i="10"/>
  <c r="Z5" i="10"/>
  <c r="O5" i="10"/>
  <c r="E5" i="10"/>
  <c r="AS4" i="10"/>
  <c r="AJ4" i="10"/>
  <c r="AA4" i="10"/>
  <c r="R4" i="10"/>
  <c r="I4" i="10"/>
  <c r="AZ5" i="9"/>
  <c r="AQ5" i="9"/>
  <c r="AG5" i="9"/>
  <c r="X5" i="9"/>
  <c r="O5" i="9"/>
  <c r="F5" i="9"/>
  <c r="AU4" i="9"/>
  <c r="AL4" i="9"/>
  <c r="AC4" i="9"/>
  <c r="S4" i="9"/>
  <c r="J4" i="9"/>
  <c r="Y5" i="8"/>
  <c r="P5" i="8"/>
  <c r="G5" i="8"/>
  <c r="AA4" i="8"/>
  <c r="Q4" i="8"/>
  <c r="H4" i="8"/>
  <c r="BD5" i="7"/>
  <c r="AV5" i="7"/>
  <c r="AN5" i="7"/>
  <c r="AF5" i="7"/>
  <c r="X5" i="7"/>
  <c r="P5" i="7"/>
  <c r="H5" i="7"/>
  <c r="AC4" i="7"/>
  <c r="U4" i="7"/>
  <c r="M4" i="7"/>
  <c r="E4" i="7"/>
  <c r="B5" i="6"/>
  <c r="W4" i="6"/>
  <c r="O4" i="6"/>
  <c r="G4" i="6"/>
  <c r="AZ5" i="5"/>
  <c r="AR5" i="5"/>
  <c r="AJ5" i="5"/>
  <c r="AB5" i="5"/>
  <c r="T5" i="5"/>
  <c r="L5" i="5"/>
  <c r="D5" i="5"/>
  <c r="AT4" i="5"/>
  <c r="AL4" i="5"/>
  <c r="AD4" i="5"/>
  <c r="V4" i="5"/>
  <c r="N4" i="5"/>
  <c r="F4" i="5"/>
  <c r="AP5" i="4"/>
  <c r="AH5" i="4"/>
  <c r="Z5" i="4"/>
  <c r="R5" i="4"/>
  <c r="J5" i="4"/>
  <c r="B5" i="4"/>
  <c r="U4" i="4"/>
  <c r="M4" i="4"/>
  <c r="E4" i="4"/>
  <c r="A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B486" i="1"/>
  <c r="B473" i="1"/>
  <c r="C462" i="1"/>
  <c r="A452" i="1"/>
  <c r="B441" i="1"/>
  <c r="C430" i="1"/>
  <c r="A420" i="1"/>
  <c r="B409" i="1"/>
  <c r="C398" i="1"/>
  <c r="A388" i="1"/>
  <c r="B377" i="1"/>
  <c r="A369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C483" i="1"/>
  <c r="A473" i="1"/>
  <c r="B462" i="1"/>
  <c r="C451" i="1"/>
  <c r="A441" i="1"/>
  <c r="B430" i="1"/>
  <c r="C419" i="1"/>
  <c r="A409" i="1"/>
  <c r="B398" i="1"/>
  <c r="C387" i="1"/>
  <c r="A377" i="1"/>
  <c r="C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B481" i="1"/>
  <c r="C470" i="1"/>
  <c r="A460" i="1"/>
  <c r="B449" i="1"/>
  <c r="C438" i="1"/>
  <c r="A428" i="1"/>
  <c r="B417" i="1"/>
  <c r="C406" i="1"/>
  <c r="A396" i="1"/>
  <c r="B385" i="1"/>
  <c r="C374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A481" i="1"/>
  <c r="B470" i="1"/>
  <c r="C459" i="1"/>
  <c r="A449" i="1"/>
  <c r="B438" i="1"/>
  <c r="C427" i="1"/>
  <c r="A417" i="1"/>
  <c r="B406" i="1"/>
  <c r="C395" i="1"/>
  <c r="A385" i="1"/>
  <c r="B374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C478" i="1"/>
  <c r="A468" i="1"/>
  <c r="B457" i="1"/>
  <c r="C446" i="1"/>
  <c r="A436" i="1"/>
  <c r="B425" i="1"/>
  <c r="C414" i="1"/>
  <c r="A404" i="1"/>
  <c r="B393" i="1"/>
  <c r="C382" i="1"/>
  <c r="A372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B478" i="1"/>
  <c r="C467" i="1"/>
  <c r="A457" i="1"/>
  <c r="B446" i="1"/>
  <c r="C435" i="1"/>
  <c r="A425" i="1"/>
  <c r="B414" i="1"/>
  <c r="C403" i="1"/>
  <c r="A393" i="1"/>
  <c r="B382" i="1"/>
  <c r="C371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A476" i="1"/>
  <c r="B465" i="1"/>
  <c r="C454" i="1"/>
  <c r="A444" i="1"/>
  <c r="B433" i="1"/>
  <c r="C422" i="1"/>
  <c r="A412" i="1"/>
  <c r="B401" i="1"/>
  <c r="C390" i="1"/>
  <c r="A380" i="1"/>
  <c r="A370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C475" i="1"/>
  <c r="A465" i="1"/>
  <c r="B454" i="1"/>
  <c r="C443" i="1"/>
  <c r="A433" i="1"/>
  <c r="B422" i="1"/>
  <c r="C411" i="1"/>
  <c r="A401" i="1"/>
  <c r="B390" i="1"/>
  <c r="C379" i="1"/>
  <c r="B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9" i="1"/>
  <c r="B11" i="1"/>
  <c r="A6" i="1"/>
  <c r="B5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C16" i="1"/>
  <c r="A14" i="1"/>
  <c r="C8" i="1"/>
  <c r="A5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13" i="1"/>
  <c r="A8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C10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B4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<sst xmlns="http://schemas.openxmlformats.org/spreadsheetml/2006/main" count="199" uniqueCount="53">
  <si>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</si>
  <si>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</si>
  <si>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</si>
  <si>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</si>
  <si>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</si>
  <si>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</si>
  <si>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</si>
  <si>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</si>
  <si>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</si>
  <si>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</si>
  <si>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</si>
  <si>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</si>
  <si>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</si>
  <si>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</si>
  <si>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</si>
  <si>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</si>
  <si>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</si>
  <si>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</si>
  <si>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</si>
  <si>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</si>
  <si>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Blotter</t>
  </si>
  <si>
    <t>VerifyOrder</t>
  </si>
  <si>
    <t>PartiallyFilled</t>
  </si>
  <si>
    <t>MS</t>
  </si>
  <si>
    <t>Market</t>
  </si>
  <si>
    <t>Filled</t>
  </si>
  <si>
    <t>Closing</t>
  </si>
  <si>
    <t>GetDataClosing</t>
  </si>
  <si>
    <t>Current</t>
  </si>
  <si>
    <t>ManualClosing</t>
  </si>
  <si>
    <t>Equity</t>
  </si>
  <si>
    <t>VerifyClosedTrades</t>
  </si>
  <si>
    <t>Long</t>
  </si>
  <si>
    <t>NASDAQ</t>
  </si>
  <si>
    <t>USD</t>
  </si>
  <si>
    <t>Short</t>
  </si>
  <si>
    <t>SelectTradeOnOrderGrid</t>
  </si>
  <si>
    <t>RemoveManualExecution</t>
  </si>
  <si>
    <t>New</t>
  </si>
  <si>
    <t>VerifyWorkingSubs</t>
  </si>
  <si>
    <t>Allocation</t>
  </si>
  <si>
    <t>GetDataAllocation</t>
  </si>
  <si>
    <t>CheckAllocatedGroups</t>
  </si>
  <si>
    <t>MSFT US EQUITY</t>
  </si>
  <si>
    <t>Closed</t>
  </si>
  <si>
    <t>MICROSOFT INC</t>
  </si>
  <si>
    <t>M</t>
  </si>
  <si>
    <t>US</t>
  </si>
  <si>
    <t>PortfolioManagement</t>
  </si>
  <si>
    <t>CheckPortfolioManagement</t>
  </si>
  <si>
    <t>NewMF</t>
  </si>
  <si>
    <t xml:space="preserve">Long 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</si>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</sst>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14" fontId="3" fillId="0" borderId="5" xfId="0" applyNumberFormat="1" applyFont="1" applyBorder="1" applyAlignment="1"/>
    <xf numFmtId="14" fontId="3" fillId="0" borderId="0" xfId="0" applyNumberFormat="1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4" fontId="14" fillId="0" borderId="5" xfId="0" applyNumberFormat="1" applyFont="1" applyBorder="1" applyAlignment="1"/>
    <xf numFmtId="4" fontId="3" fillId="0" borderId="5" xfId="0" applyNumberFormat="1" applyFont="1" applyBorder="1" applyAlignment="1"/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>
      <alignment horizontal="right"/>
    </xf>
    <xf numFmtId="4" fontId="14" fillId="0" borderId="5" xfId="0" applyNumberFormat="1" applyFont="1" applyBorder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3" fontId="3" fillId="0" borderId="5" xfId="0" applyNumberFormat="1" applyFont="1" applyBorder="1" applyAlignment="1"/>
    <xf numFmtId="3" fontId="5" fillId="0" borderId="5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65" t="s">
        <v>0</v>
      </c>
      <c r="B1" s="66"/>
      <c r="C1" s="66"/>
      <c r="D1" s="66"/>
      <c r="E1" s="66"/>
      <c r="F1" s="67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 x14ac:dyDescent="0.2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 x14ac:dyDescent="0.2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 x14ac:dyDescent="0.2">
      <c r="A491" t="str">
        <f ca="1">IFERROR(__xludf.DUMMYFUNCTION("""COMPUTED_VALUE"""),"ExeExecutor")</f>
        <v>ExeExecutor</v>
      </c>
      <c r="B491" t="str">
        <f ca="1">IFERROR(__xludf.DUMMYFUNCTION("""COMPUTED_VALUE"""),"CallExeExecutor")</f>
        <v>CallExeExecutor</v>
      </c>
      <c r="C491" t="str">
        <f ca="1">IFERROR(__xludf.DUMMYFUNCTION("""COMPUTED_VALUE"""),"1hwFwcZT2KkLMWXu0X968AjDc83QETRSutmtdbAtWjRQ")</f>
        <v>1hwFwcZT2KkLMWXu0X968AjDc83QETRSutmtdbAtWjRQ</v>
      </c>
    </row>
    <row r="492" spans="1:3" ht="15.75" customHeight="1" x14ac:dyDescent="0.2">
      <c r="A492" t="str">
        <f ca="1">IFERROR(__xludf.DUMMYFUNCTION("""COMPUTED_VALUE"""),"TradingTicket")</f>
        <v>TradingTicket</v>
      </c>
      <c r="B492" t="str">
        <f ca="1">IFERROR(__xludf.DUMMYFUNCTION("""COMPUTED_VALUE"""),"ToggleBlombergOnRA")</f>
        <v>ToggleBlombergOnRA</v>
      </c>
      <c r="C492" t="str">
        <f ca="1">IFERROR(__xludf.DUMMYFUNCTION("""COMPUTED_VALUE"""),"1TNk3Ts3tA51Oj9qjpTVY3IDwk0Ro78g-6ZmRMY4-lHk")</f>
        <v>1TNk3Ts3tA51Oj9qjpTVY3IDwk0Ro78g-6ZmRMY4-lHk</v>
      </c>
    </row>
    <row r="493" spans="1:3" ht="15.75" customHeight="1" x14ac:dyDescent="0.2">
      <c r="A493" t="str">
        <f ca="1">IFERROR(__xludf.DUMMYFUNCTION("""COMPUTED_VALUE"""),"Blotter")</f>
        <v>Blotter</v>
      </c>
      <c r="B493" t="str">
        <f ca="1">IFERROR(__xludf.DUMMYFUNCTION("""COMPUTED_VALUE"""),"RemoveManualExecution")</f>
        <v>RemoveManualExecution</v>
      </c>
      <c r="C493" t="str">
        <f ca="1">IFERROR(__xludf.DUMMYFUNCTION("""COMPUTED_VALUE"""),"1jbkbbKX6sldAF_Pk73xVZ1gvRS_q8eEl9NbS6SSiFi8")</f>
        <v>1jbkbbKX6sldAF_Pk73xVZ1gvRS_q8eEl9NbS6SSiFi8</v>
      </c>
    </row>
    <row r="494" spans="1:3" ht="15.75" customHeight="1" x14ac:dyDescent="0.2">
      <c r="A494" t="str">
        <f ca="1">IFERROR(__xludf.DUMMYFUNCTION("""COMPUTED_VALUE"""),"Blotter")</f>
        <v>Blotter</v>
      </c>
      <c r="B494" t="str">
        <f ca="1">IFERROR(__xludf.DUMMYFUNCTION("""COMPUTED_VALUE"""),"RemoveExecutionWorkingSubs")</f>
        <v>RemoveExecutionWorkingSubs</v>
      </c>
      <c r="C494" t="str">
        <f ca="1">IFERROR(__xludf.DUMMYFUNCTION("""COMPUTED_VALUE"""),"1xhQkfgYxnBj3SaiVD_XZo7TN5gmMtEEUIk-KMtc-Cug")</f>
        <v>1xhQkfgYxnBj3SaiVD_XZo7TN5gmMtEEUIk-KMtc-Cug</v>
      </c>
    </row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8" t="s">
        <v>2</v>
      </c>
      <c r="B1" s="66"/>
      <c r="C1" s="67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9" t="s">
        <v>6</v>
      </c>
      <c r="C4" s="5"/>
    </row>
    <row r="5" spans="1:3" ht="15.75" customHeight="1" x14ac:dyDescent="0.2">
      <c r="A5" s="10"/>
      <c r="B5" s="5"/>
      <c r="C5" s="5"/>
    </row>
    <row r="6" spans="1:3" ht="15.75" customHeight="1" x14ac:dyDescent="0.2">
      <c r="A6" s="10"/>
      <c r="B6" s="5"/>
      <c r="C6" s="5"/>
    </row>
    <row r="7" spans="1:3" ht="15.75" customHeight="1" x14ac:dyDescent="0.2">
      <c r="A7" s="10"/>
      <c r="B7" s="5"/>
      <c r="C7" s="5"/>
    </row>
    <row r="8" spans="1:3" ht="15.75" customHeight="1" x14ac:dyDescent="0.2">
      <c r="A8" s="10"/>
      <c r="B8" s="5"/>
      <c r="C8" s="5"/>
    </row>
    <row r="9" spans="1:3" ht="15.75" customHeight="1" x14ac:dyDescent="0.2">
      <c r="A9" s="10"/>
      <c r="B9" s="5"/>
      <c r="C9" s="5"/>
    </row>
    <row r="10" spans="1:3" ht="15.75" customHeight="1" x14ac:dyDescent="0.2">
      <c r="A10" s="10"/>
      <c r="B10" s="5"/>
      <c r="C10" s="5"/>
    </row>
    <row r="11" spans="1:3" ht="15.75" customHeight="1" x14ac:dyDescent="0.2">
      <c r="A11" s="10"/>
      <c r="B11" s="5"/>
      <c r="C11" s="5"/>
    </row>
    <row r="12" spans="1:3" ht="15.75" customHeight="1" x14ac:dyDescent="0.2">
      <c r="A12" s="10"/>
      <c r="B12" s="5"/>
      <c r="C12" s="5"/>
    </row>
    <row r="13" spans="1:3" ht="15.75" customHeight="1" x14ac:dyDescent="0.2">
      <c r="A13" s="10"/>
      <c r="B13" s="5"/>
      <c r="C13" s="5"/>
    </row>
    <row r="14" spans="1:3" ht="15.75" customHeight="1" x14ac:dyDescent="0.2">
      <c r="A14" s="10"/>
      <c r="B14" s="5"/>
      <c r="C14" s="5"/>
    </row>
    <row r="15" spans="1:3" ht="15.75" customHeight="1" x14ac:dyDescent="0.2">
      <c r="A15" s="10"/>
      <c r="B15" s="5"/>
      <c r="C15" s="5"/>
    </row>
    <row r="16" spans="1:3" ht="15.75" customHeight="1" x14ac:dyDescent="0.2">
      <c r="A16" s="10"/>
      <c r="B16" s="5"/>
      <c r="C16" s="5"/>
    </row>
    <row r="17" spans="1:3" ht="15.75" customHeight="1" x14ac:dyDescent="0.2">
      <c r="A17" s="10"/>
      <c r="B17" s="5"/>
      <c r="C17" s="5"/>
    </row>
    <row r="18" spans="1:3" ht="15.75" customHeight="1" x14ac:dyDescent="0.2">
      <c r="A18" s="10"/>
      <c r="B18" s="5"/>
      <c r="C18" s="5"/>
    </row>
    <row r="19" spans="1:3" ht="15.75" customHeight="1" x14ac:dyDescent="0.2">
      <c r="A19" s="10"/>
      <c r="B19" s="5"/>
      <c r="C19" s="5"/>
    </row>
    <row r="20" spans="1:3" ht="15.75" customHeight="1" x14ac:dyDescent="0.2">
      <c r="A20" s="10"/>
      <c r="B20" s="5"/>
      <c r="C20" s="5"/>
    </row>
    <row r="21" spans="1:3" ht="15.75" customHeight="1" x14ac:dyDescent="0.2">
      <c r="A21" s="10"/>
      <c r="B21" s="5"/>
      <c r="C21" s="5"/>
    </row>
    <row r="22" spans="1:3" ht="15.75" customHeight="1" x14ac:dyDescent="0.2">
      <c r="A22" s="10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65" t="s">
        <v>7</v>
      </c>
      <c r="B1" s="66"/>
      <c r="C1" s="66"/>
      <c r="D1" s="66"/>
      <c r="E1" s="66"/>
      <c r="F1" s="6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IFERROR(__xludf.DUMMYFUNCTION("""COMPUTED_VALUE"""),"RemoveSymbolFromRAList")</f>
        <v>RemoveSymbolFromRAList</v>
      </c>
      <c r="AA4" s="21" t="str">
        <f ca="1">IFERROR(__xludf.DUMMYFUNCTION("""COMPUTED_VALUE"""),"ToggleBlombergOnRA")</f>
        <v>ToggleBlombergOnRA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6" t="s">
        <v>16</v>
      </c>
      <c r="C6" s="27" t="s">
        <v>17</v>
      </c>
      <c r="D6" s="28">
        <v>100</v>
      </c>
      <c r="E6" s="29">
        <v>80</v>
      </c>
      <c r="F6" s="27" t="s">
        <v>18</v>
      </c>
      <c r="G6" s="30"/>
      <c r="H6" s="30"/>
      <c r="I6" s="30"/>
      <c r="J6" s="31">
        <v>10</v>
      </c>
      <c r="K6" s="30"/>
      <c r="L6" s="30"/>
      <c r="M6" s="30"/>
      <c r="N6" s="32">
        <f t="shared" ref="N6:N7" ca="1" si="0">TODAY()</f>
        <v>44412</v>
      </c>
      <c r="O6" s="5"/>
    </row>
    <row r="7" spans="1:154" ht="15.75" customHeight="1" x14ac:dyDescent="0.2">
      <c r="A7" s="5"/>
      <c r="B7" s="26" t="s">
        <v>16</v>
      </c>
      <c r="C7" s="33" t="s">
        <v>19</v>
      </c>
      <c r="D7" s="29">
        <v>80</v>
      </c>
      <c r="E7" s="29">
        <v>80</v>
      </c>
      <c r="F7" s="27" t="s">
        <v>18</v>
      </c>
      <c r="G7" s="30"/>
      <c r="H7" s="30"/>
      <c r="I7" s="30"/>
      <c r="J7" s="29">
        <v>12</v>
      </c>
      <c r="K7" s="30"/>
      <c r="L7" s="30"/>
      <c r="M7" s="30"/>
      <c r="N7" s="32">
        <f t="shared" ca="1" si="0"/>
        <v>44412</v>
      </c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20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4"/>
      <c r="C6" s="30"/>
      <c r="D6" s="29">
        <v>10</v>
      </c>
      <c r="E6" s="30"/>
      <c r="F6" s="30"/>
      <c r="G6" s="35">
        <v>20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 t="s">
        <v>17</v>
      </c>
      <c r="AK6" s="36" t="s">
        <v>22</v>
      </c>
      <c r="AL6" s="36">
        <v>100</v>
      </c>
      <c r="AM6" s="38">
        <v>80</v>
      </c>
      <c r="AN6" s="38">
        <v>80</v>
      </c>
      <c r="AO6" s="36"/>
      <c r="AP6" s="39"/>
      <c r="AQ6" s="38">
        <v>10</v>
      </c>
      <c r="AR6" s="38">
        <v>10</v>
      </c>
      <c r="AS6" s="36" t="s">
        <v>23</v>
      </c>
      <c r="AT6" s="36" t="s">
        <v>18</v>
      </c>
      <c r="AU6" s="36" t="s">
        <v>24</v>
      </c>
      <c r="AV6" s="40">
        <v>800</v>
      </c>
      <c r="AW6" s="40">
        <v>800</v>
      </c>
      <c r="AX6" s="36"/>
      <c r="AY6" s="41"/>
      <c r="AZ6" s="41"/>
      <c r="BA6" s="36"/>
      <c r="BB6" s="36"/>
      <c r="BC6" s="36"/>
      <c r="BD6" s="36"/>
      <c r="BE6" s="36"/>
    </row>
    <row r="7" spans="1:154" ht="15.75" customHeight="1" x14ac:dyDescent="0.2">
      <c r="A7" s="5"/>
      <c r="B7" s="30"/>
      <c r="C7" s="30"/>
      <c r="D7" s="29">
        <v>12</v>
      </c>
      <c r="E7" s="30"/>
      <c r="F7" s="30"/>
      <c r="G7" s="3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19</v>
      </c>
      <c r="AK7" s="37" t="s">
        <v>25</v>
      </c>
      <c r="AL7" s="40">
        <v>80</v>
      </c>
      <c r="AM7" s="38">
        <v>80</v>
      </c>
      <c r="AN7" s="38">
        <v>100</v>
      </c>
      <c r="AO7" s="36"/>
      <c r="AP7" s="36"/>
      <c r="AQ7" s="38">
        <v>12</v>
      </c>
      <c r="AR7" s="38">
        <v>12</v>
      </c>
      <c r="AS7" s="36" t="s">
        <v>23</v>
      </c>
      <c r="AT7" s="36" t="s">
        <v>18</v>
      </c>
      <c r="AU7" s="36" t="s">
        <v>24</v>
      </c>
      <c r="AV7" s="40">
        <v>-960</v>
      </c>
      <c r="AW7" s="40">
        <v>-960</v>
      </c>
      <c r="AX7" s="36"/>
      <c r="AY7" s="41"/>
      <c r="AZ7" s="41"/>
      <c r="BA7" s="36"/>
      <c r="BB7" s="36"/>
      <c r="BC7" s="36"/>
      <c r="BD7" s="36"/>
      <c r="BE7" s="36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tr">
        <f ca="1">IFERROR(__xludf.DUMMYFUNCTION("""COMPUTED_VALUE"""),"GetDataClosing")</f>
        <v>GetDataClosing</v>
      </c>
      <c r="D4" s="20" t="str">
        <f ca="1">IFERROR(__xludf.DUMMYFUNCTION("""COMPUTED_VALUE"""),"ManualClosing")</f>
        <v>ManualClosing</v>
      </c>
      <c r="E4" s="20" t="str">
        <f ca="1">IFERROR(__xludf.DUMMYFUNCTION("""COMPUTED_VALUE"""),"AutomaticClosing")</f>
        <v>AutomaticClosing</v>
      </c>
      <c r="F4" s="20" t="str">
        <f ca="1">IFERROR(__xludf.DUMMYFUNCTION("""COMPUTED_VALUE"""),"UnwindClosing")</f>
        <v>UnwindClosing</v>
      </c>
      <c r="G4" s="20" t="str">
        <f ca="1">IFERROR(__xludf.DUMMYFUNCTION("""COMPUTED_VALUE"""),"VerifyClosedTrades")</f>
        <v>VerifyClosedTrades</v>
      </c>
      <c r="H4" s="20" t="str">
        <f ca="1">IFERROR(__xludf.DUMMYFUNCTION("""COMPUTED_VALUE"""),"VerifyLongPositionsGrid")</f>
        <v>VerifyLongPositionsGrid</v>
      </c>
      <c r="I4" s="20" t="str">
        <f ca="1">IFERROR(__xludf.DUMMYFUNCTION("""COMPUTED_VALUE"""),"VerifyShortPositionsGrid")</f>
        <v>VerifyShortPositionsGrid</v>
      </c>
      <c r="J4" s="20" t="str">
        <f ca="1">IFERROR(__xludf.DUMMYFUNCTION("""COMPUTED_VALUE"""),"SelectTradeUnexpiredUnsettled")</f>
        <v>SelectTradeUnexpiredUnsettled</v>
      </c>
      <c r="K4" s="20" t="str">
        <f ca="1">IFERROR(__xludf.DUMMYFUNCTION("""COMPUTED_VALUE"""),"CashSettlementAtCost")</f>
        <v>CashSettlementAtCost</v>
      </c>
      <c r="L4" s="20" t="str">
        <f ca="1">IFERROR(__xludf.DUMMYFUNCTION("""COMPUTED_VALUE"""),"CashSettlementAtZeroPrice")</f>
        <v>CashSettlementAtZeroPrice</v>
      </c>
      <c r="M4" s="20" t="str">
        <f ca="1">IFERROR(__xludf.DUMMYFUNCTION("""COMPUTED_VALUE"""),"CashSettlementAtClosingDtSpotPx")</f>
        <v>CashSettlementAtClosingDtSpotPx</v>
      </c>
      <c r="N4" s="20" t="str">
        <f ca="1">IFERROR(__xludf.DUMMYFUNCTION("""COMPUTED_VALUE"""),"PhysicalSettlement")</f>
        <v>PhysicalSettlement</v>
      </c>
      <c r="O4" s="20" t="str">
        <f ca="1">IFERROR(__xludf.DUMMYFUNCTION("""COMPUTED_VALUE"""),"Expire")</f>
        <v>Expire</v>
      </c>
      <c r="P4" s="21" t="str">
        <f ca="1">IFERROR(__xludf.DUMMYFUNCTION("""COMPUTED_VALUE"""),"ExerciseAssignment")</f>
        <v>ExerciseAssignment</v>
      </c>
      <c r="Q4" s="21" t="str">
        <f ca="1">IFERROR(__xludf.DUMMYFUNCTION("""COMPUTED_VALUE"""),"ExerciseAssignmentAtZero")</f>
        <v>ExerciseAssignmentAtZero</v>
      </c>
      <c r="R4" s="21" t="str">
        <f ca="1">IFERROR(__xludf.DUMMYFUNCTION("""COMPUTED_VALUE"""),"SwapExpireAndRollover")</f>
        <v>SwapExpireAndRollover</v>
      </c>
      <c r="S4" s="21" t="str">
        <f ca="1">IFERROR(__xludf.DUMMYFUNCTION("""COMPUTED_VALUE"""),"SwapExpire")</f>
        <v>SwapExpire</v>
      </c>
      <c r="T4" s="21" t="str">
        <f ca="1">IFERROR(__xludf.DUMMYFUNCTION("""COMPUTED_VALUE"""),"VerifyExpiredSettledGrid")</f>
        <v>VerifyExpiredSettledGrid</v>
      </c>
      <c r="U4" s="21" t="str">
        <f ca="1">IFERROR(__xludf.DUMMYFUNCTION("""COMPUTED_VALUE"""),"VerifyUnExpiredUnSettledGrid")</f>
        <v>VerifyUnExpiredUnSettledGrid</v>
      </c>
      <c r="V4" s="21" t="str">
        <f ca="1">IFERROR(__xludf.DUMMYFUNCTION("""COMPUTED_VALUE"""),"UnWindTradeSettlement")</f>
        <v>UnWindTradeSettlement</v>
      </c>
      <c r="W4" s="21" t="str">
        <f ca="1">IFERROR(__xludf.DUMMYFUNCTION("""COMPUTED_VALUE"""),"CloseOrder")</f>
        <v>CloseOrder</v>
      </c>
      <c r="X4" s="21" t="str">
        <f ca="1">IFERROR(__xludf.DUMMYFUNCTION("""COMPUTED_VALUE"""),"VerifyCloseOrder")</f>
        <v>VerifyCloseOrder</v>
      </c>
      <c r="Y4" s="21" t="str">
        <f ca="1">IFERROR(__xludf.DUMMYFUNCTION("""COMPUTED_VALUE"""),"UnWindCloseOrder")</f>
        <v>UnWindCloseOrder</v>
      </c>
      <c r="Z4" s="21" t="str">
        <f ca="1">IFERROR(__xludf.DUMMYFUNCTION("""COMPUTED_VALUE"""),"ClosingCleanUp")</f>
        <v>ClosingCleanUp</v>
      </c>
      <c r="AA4" s="21" t="str">
        <f ca="1">IFERROR(__xludf.DUMMYFUNCTION("""COMPUTED_VALUE"""),"CloseClosingUI")</f>
        <v>CloseClosingUI</v>
      </c>
      <c r="AB4" s="21" t="str">
        <f ca="1">IFERROR(__xludf.DUMMYFUNCTION("""COMPUTED_VALUE"""),"SetClosingPreference")</f>
        <v>SetClosingPreference</v>
      </c>
      <c r="AC4" s="21" t="str">
        <f ca="1">IFERROR(__xludf.DUMMYFUNCTION("""COMPUTED_VALUE"""),"EditTradeUnexpiredUnsettled")</f>
        <v>EditTradeUnexpiredUnsettled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IFERROR(__xludf.DUMMYFUNCTION("""COMPUTED_VALUE"""),"Account Filter")</f>
        <v>Account Filter</v>
      </c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28</v>
      </c>
      <c r="C6" s="5"/>
      <c r="D6" s="9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tr">
        <f ca="1">IFERROR(__xludf.DUMMYFUNCTION("""COMPUTED_VALUE"""),"GetDataClosing")</f>
        <v>GetDataClosing</v>
      </c>
      <c r="D4" s="20" t="str">
        <f ca="1">IFERROR(__xludf.DUMMYFUNCTION("""COMPUTED_VALUE"""),"ManualClosing")</f>
        <v>ManualClosing</v>
      </c>
      <c r="E4" s="20" t="str">
        <f ca="1">IFERROR(__xludf.DUMMYFUNCTION("""COMPUTED_VALUE"""),"AutomaticClosing")</f>
        <v>AutomaticClosing</v>
      </c>
      <c r="F4" s="20" t="str">
        <f ca="1">IFERROR(__xludf.DUMMYFUNCTION("""COMPUTED_VALUE"""),"UnwindClosing")</f>
        <v>UnwindClosing</v>
      </c>
      <c r="G4" s="20" t="str">
        <f ca="1">IFERROR(__xludf.DUMMYFUNCTION("""COMPUTED_VALUE"""),"VerifyClosedTrades")</f>
        <v>VerifyClosedTrades</v>
      </c>
      <c r="H4" s="20" t="str">
        <f ca="1">IFERROR(__xludf.DUMMYFUNCTION("""COMPUTED_VALUE"""),"VerifyLongPositionsGrid")</f>
        <v>VerifyLongPositionsGrid</v>
      </c>
      <c r="I4" s="20" t="str">
        <f ca="1">IFERROR(__xludf.DUMMYFUNCTION("""COMPUTED_VALUE"""),"VerifyShortPositionsGrid")</f>
        <v>VerifyShortPositionsGrid</v>
      </c>
      <c r="J4" s="20" t="str">
        <f ca="1">IFERROR(__xludf.DUMMYFUNCTION("""COMPUTED_VALUE"""),"SelectTradeUnexpiredUnsettled")</f>
        <v>SelectTradeUnexpiredUnsettled</v>
      </c>
      <c r="K4" s="20" t="str">
        <f ca="1">IFERROR(__xludf.DUMMYFUNCTION("""COMPUTED_VALUE"""),"CashSettlementAtCost")</f>
        <v>CashSettlementAtCost</v>
      </c>
      <c r="L4" s="20" t="str">
        <f ca="1">IFERROR(__xludf.DUMMYFUNCTION("""COMPUTED_VALUE"""),"CashSettlementAtZeroPrice")</f>
        <v>CashSettlementAtZeroPrice</v>
      </c>
      <c r="M4" s="20" t="str">
        <f ca="1">IFERROR(__xludf.DUMMYFUNCTION("""COMPUTED_VALUE"""),"CashSettlementAtClosingDtSpotPx")</f>
        <v>CashSettlementAtClosingDtSpotPx</v>
      </c>
      <c r="N4" s="20" t="str">
        <f ca="1">IFERROR(__xludf.DUMMYFUNCTION("""COMPUTED_VALUE"""),"PhysicalSettlement")</f>
        <v>PhysicalSettlement</v>
      </c>
      <c r="O4" s="20" t="str">
        <f ca="1">IFERROR(__xludf.DUMMYFUNCTION("""COMPUTED_VALUE"""),"Expire")</f>
        <v>Expire</v>
      </c>
      <c r="P4" s="21" t="str">
        <f ca="1">IFERROR(__xludf.DUMMYFUNCTION("""COMPUTED_VALUE"""),"ExerciseAssignment")</f>
        <v>ExerciseAssignment</v>
      </c>
      <c r="Q4" s="21" t="str">
        <f ca="1">IFERROR(__xludf.DUMMYFUNCTION("""COMPUTED_VALUE"""),"ExerciseAssignmentAtZero")</f>
        <v>ExerciseAssignmentAtZero</v>
      </c>
      <c r="R4" s="21" t="str">
        <f ca="1">IFERROR(__xludf.DUMMYFUNCTION("""COMPUTED_VALUE"""),"SwapExpireAndRollover")</f>
        <v>SwapExpireAndRollover</v>
      </c>
      <c r="S4" s="21" t="str">
        <f ca="1">IFERROR(__xludf.DUMMYFUNCTION("""COMPUTED_VALUE"""),"SwapExpire")</f>
        <v>SwapExpire</v>
      </c>
      <c r="T4" s="21" t="str">
        <f ca="1">IFERROR(__xludf.DUMMYFUNCTION("""COMPUTED_VALUE"""),"VerifyExpiredSettledGrid")</f>
        <v>VerifyExpiredSettledGrid</v>
      </c>
      <c r="U4" s="21" t="str">
        <f ca="1">IFERROR(__xludf.DUMMYFUNCTION("""COMPUTED_VALUE"""),"VerifyUnExpiredUnSettledGrid")</f>
        <v>VerifyUnExpiredUnSettledGrid</v>
      </c>
      <c r="V4" s="21" t="str">
        <f ca="1">IFERROR(__xludf.DUMMYFUNCTION("""COMPUTED_VALUE"""),"UnWindTradeSettlement")</f>
        <v>UnWindTradeSettlement</v>
      </c>
      <c r="W4" s="21" t="str">
        <f ca="1">IFERROR(__xludf.DUMMYFUNCTION("""COMPUTED_VALUE"""),"CloseOrder")</f>
        <v>CloseOrder</v>
      </c>
      <c r="X4" s="21" t="str">
        <f ca="1">IFERROR(__xludf.DUMMYFUNCTION("""COMPUTED_VALUE"""),"VerifyCloseOrder")</f>
        <v>VerifyCloseOrder</v>
      </c>
      <c r="Y4" s="21" t="str">
        <f ca="1">IFERROR(__xludf.DUMMYFUNCTION("""COMPUTED_VALUE"""),"UnWindCloseOrder")</f>
        <v>UnWindCloseOrder</v>
      </c>
      <c r="Z4" s="21" t="str">
        <f ca="1">IFERROR(__xludf.DUMMYFUNCTION("""COMPUTED_VALUE"""),"ClosingCleanUp")</f>
        <v>ClosingCleanUp</v>
      </c>
      <c r="AA4" s="21" t="str">
        <f ca="1">IFERROR(__xludf.DUMMYFUNCTION("""COMPUTED_VALUE"""),"CloseClosingUI")</f>
        <v>CloseClosingUI</v>
      </c>
      <c r="AB4" s="21" t="str">
        <f ca="1">IFERROR(__xludf.DUMMYFUNCTION("""COMPUTED_VALUE"""),"SetClosingPreference")</f>
        <v>SetClosingPreference</v>
      </c>
      <c r="AC4" s="21" t="str">
        <f ca="1">IFERROR(__xludf.DUMMYFUNCTION("""COMPUTED_VALUE"""),"EditTradeUnexpiredUnsettled")</f>
        <v>EditTradeUnexpiredUnsettled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IFERROR(__xludf.DUMMYFUNCTION("""COMPUTED_VALUE"""),"CloseSSw/BuyBTO")</f>
        <v>CloseSSw/BuyBTO</v>
      </c>
      <c r="C5" s="23" t="str">
        <f ca="1">IFERROR(__xludf.DUMMYFUNCTION("""COMPUTED_VALUE"""),"AutoCloseStrategy")</f>
        <v>AutoCloseStrategy</v>
      </c>
      <c r="D5" s="23" t="str">
        <f ca="1">IFERROR(__xludf.DUMMYFUNCTION("""COMPUTED_VALUE"""),"LongAccount")</f>
        <v>LongAccount</v>
      </c>
      <c r="E5" s="23" t="str">
        <f ca="1">IFERROR(__xludf.DUMMYFUNCTION("""COMPUTED_VALUE"""),"LongAsset Class")</f>
        <v>LongAsset Class</v>
      </c>
      <c r="F5" s="24" t="str">
        <f ca="1">IFERROR(__xludf.DUMMYFUNCTION("""COMPUTED_VALUE"""),"LongAUECID")</f>
        <v>LongAUECID</v>
      </c>
      <c r="G5" s="23" t="str">
        <f ca="1">IFERROR(__xludf.DUMMYFUNCTION("""COMPUTED_VALUE"""),"LongExternalTransId")</f>
        <v>LongExternalTransId</v>
      </c>
      <c r="H5" s="23" t="str">
        <f ca="1">IFERROR(__xludf.DUMMYFUNCTION("""COMPUTED_VALUE"""),"LongIsSwapped")</f>
        <v>LongIsSwapped</v>
      </c>
      <c r="I5" s="23" t="str">
        <f ca="1">IFERROR(__xludf.DUMMYFUNCTION("""COMPUTED_VALUE"""),"LongLotId")</f>
        <v>LongLotId</v>
      </c>
      <c r="J5" s="23" t="str">
        <f ca="1">IFERROR(__xludf.DUMMYFUNCTION("""COMPUTED_VALUE"""),"LongNet Notional")</f>
        <v>LongNet Notional</v>
      </c>
      <c r="K5" s="23" t="str">
        <f ca="1">IFERROR(__xludf.DUMMYFUNCTION("""COMPUTED_VALUE"""),"LongOpening Price")</f>
        <v>LongOpening Price</v>
      </c>
      <c r="L5" s="23" t="str">
        <f ca="1">IFERROR(__xludf.DUMMYFUNCTION("""COMPUTED_VALUE"""),"LongOriginal Purchase Date")</f>
        <v>LongOriginal Purchase Date</v>
      </c>
      <c r="M5" s="23" t="str">
        <f ca="1">IFERROR(__xludf.DUMMYFUNCTION("""COMPUTED_VALUE"""),"LongPositionTag")</f>
        <v>LongPositionTag</v>
      </c>
      <c r="N5" s="23" t="str">
        <f ca="1">IFERROR(__xludf.DUMMYFUNCTION("""COMPUTED_VALUE"""),"LongProcess Date")</f>
        <v>LongProcess Date</v>
      </c>
      <c r="O5" s="23" t="str">
        <f ca="1">IFERROR(__xludf.DUMMYFUNCTION("""COMPUTED_VALUE"""),"LongQuantity")</f>
        <v>LongQuantity</v>
      </c>
      <c r="P5" s="23" t="str">
        <f ca="1">IFERROR(__xludf.DUMMYFUNCTION("""COMPUTED_VALUE"""),"LongSecurity Name")</f>
        <v>LongSecurity Name</v>
      </c>
      <c r="Q5" s="23" t="str">
        <f ca="1">IFERROR(__xludf.DUMMYFUNCTION("""COMPUTED_VALUE"""),"LongSettlement Currency")</f>
        <v>LongSettlement Currency</v>
      </c>
      <c r="R5" s="23" t="str">
        <f ca="1">IFERROR(__xludf.DUMMYFUNCTION("""COMPUTED_VALUE"""),"LongSettlement FxRate")</f>
        <v>LongSettlement FxRate</v>
      </c>
      <c r="S5" s="23" t="str">
        <f ca="1">IFERROR(__xludf.DUMMYFUNCTION("""COMPUTED_VALUE"""),"LongSettlement FxRate Operator")</f>
        <v>LongSettlement FxRate Operator</v>
      </c>
      <c r="T5" s="25" t="str">
        <f ca="1">IFERROR(__xludf.DUMMYFUNCTION("""COMPUTED_VALUE"""),"LongSettlement Price")</f>
        <v>LongSettlement Price</v>
      </c>
      <c r="U5" s="25" t="str">
        <f ca="1">IFERROR(__xludf.DUMMYFUNCTION("""COMPUTED_VALUE"""),"LongSettlement Unit Cost")</f>
        <v>LongSettlement Unit Cost</v>
      </c>
      <c r="V5" s="25" t="str">
        <f ca="1">IFERROR(__xludf.DUMMYFUNCTION("""COMPUTED_VALUE"""),"LongSide")</f>
        <v>LongSide</v>
      </c>
      <c r="W5" s="25" t="str">
        <f ca="1">IFERROR(__xludf.DUMMYFUNCTION("""COMPUTED_VALUE"""),"LongStrategy")</f>
        <v>LongStrategy</v>
      </c>
      <c r="X5" s="25" t="str">
        <f ca="1">IFERROR(__xludf.DUMMYFUNCTION("""COMPUTED_VALUE"""),"LongSymbol")</f>
        <v>LongSymbol</v>
      </c>
      <c r="Y5" s="25" t="str">
        <f ca="1">IFERROR(__xludf.DUMMYFUNCTION("""COMPUTED_VALUE"""),"LongTaxlot Id")</f>
        <v>LongTaxlot Id</v>
      </c>
      <c r="Z5" s="25" t="str">
        <f ca="1">IFERROR(__xludf.DUMMYFUNCTION("""COMPUTED_VALUE"""),"LongTotal Fee And Commission")</f>
        <v>LongTotal Fee And Commission</v>
      </c>
      <c r="AA5" s="25" t="str">
        <f ca="1">IFERROR(__xludf.DUMMYFUNCTION("""COMPUTED_VALUE"""),"LongTrade Date")</f>
        <v>LongTrade Date</v>
      </c>
      <c r="AB5" s="25" t="str">
        <f ca="1">IFERROR(__xludf.DUMMYFUNCTION("""COMPUTED_VALUE"""),"LongTransaction Type")</f>
        <v>LongTransaction Type</v>
      </c>
      <c r="AC5" s="25" t="str">
        <f ca="1">IFERROR(__xludf.DUMMYFUNCTION("""COMPUTED_VALUE"""),"LongUnderlyingName")</f>
        <v>LongUnderlyingName</v>
      </c>
      <c r="AD5" s="25" t="str">
        <f ca="1">IFERROR(__xludf.DUMMYFUNCTION("""COMPUTED_VALUE"""),"LongUnitCost")</f>
        <v>LongUnitCost</v>
      </c>
      <c r="AE5" s="25" t="str">
        <f ca="1">IFERROR(__xludf.DUMMYFUNCTION("""COMPUTED_VALUE"""),"ShortAccount")</f>
        <v>ShortAccount</v>
      </c>
      <c r="AF5" s="25" t="str">
        <f ca="1">IFERROR(__xludf.DUMMYFUNCTION("""COMPUTED_VALUE"""),"ShortAsset Class")</f>
        <v>ShortAsset Class</v>
      </c>
      <c r="AG5" s="25" t="str">
        <f ca="1">IFERROR(__xludf.DUMMYFUNCTION("""COMPUTED_VALUE"""),"ShortAUECID")</f>
        <v>ShortAUECID</v>
      </c>
      <c r="AH5" s="25" t="str">
        <f ca="1">IFERROR(__xludf.DUMMYFUNCTION("""COMPUTED_VALUE"""),"ShortExternalTransId")</f>
        <v>ShortExternalTransId</v>
      </c>
      <c r="AI5" s="25" t="str">
        <f ca="1">IFERROR(__xludf.DUMMYFUNCTION("""COMPUTED_VALUE"""),"ShortIsSwapped")</f>
        <v>ShortIsSwapped</v>
      </c>
      <c r="AJ5" s="25" t="str">
        <f ca="1">IFERROR(__xludf.DUMMYFUNCTION("""COMPUTED_VALUE"""),"ShortLotId")</f>
        <v>ShortLotId</v>
      </c>
      <c r="AK5" s="25" t="str">
        <f ca="1">IFERROR(__xludf.DUMMYFUNCTION("""COMPUTED_VALUE"""),"ShortNet Notional")</f>
        <v>ShortNet Notional</v>
      </c>
      <c r="AL5" s="25" t="str">
        <f ca="1">IFERROR(__xludf.DUMMYFUNCTION("""COMPUTED_VALUE"""),"ShortOpening Price")</f>
        <v>ShortOpening Price</v>
      </c>
      <c r="AM5" s="25" t="str">
        <f ca="1">IFERROR(__xludf.DUMMYFUNCTION("""COMPUTED_VALUE"""),"ShortOriginal Purchase Date")</f>
        <v>ShortOriginal Purchase Date</v>
      </c>
      <c r="AN5" s="25" t="str">
        <f ca="1">IFERROR(__xludf.DUMMYFUNCTION("""COMPUTED_VALUE"""),"ShortPositionTag")</f>
        <v>ShortPositionTag</v>
      </c>
      <c r="AO5" s="25" t="str">
        <f ca="1">IFERROR(__xludf.DUMMYFUNCTION("""COMPUTED_VALUE"""),"ShortProcess Date")</f>
        <v>ShortProcess Date</v>
      </c>
      <c r="AP5" s="25" t="str">
        <f ca="1">IFERROR(__xludf.DUMMYFUNCTION("""COMPUTED_VALUE"""),"ShortQuantity")</f>
        <v>ShortQuantity</v>
      </c>
      <c r="AQ5" s="25" t="str">
        <f ca="1">IFERROR(__xludf.DUMMYFUNCTION("""COMPUTED_VALUE"""),"ShortSecurity Name")</f>
        <v>ShortSecurity Name</v>
      </c>
      <c r="AR5" s="25" t="str">
        <f ca="1">IFERROR(__xludf.DUMMYFUNCTION("""COMPUTED_VALUE"""),"ShortSettlement Currency")</f>
        <v>ShortSettlement Currency</v>
      </c>
      <c r="AS5" s="25" t="str">
        <f ca="1">IFERROR(__xludf.DUMMYFUNCTION("""COMPUTED_VALUE"""),"ShortSettlement FxRate")</f>
        <v>ShortSettlement FxRate</v>
      </c>
      <c r="AT5" s="25" t="str">
        <f ca="1">IFERROR(__xludf.DUMMYFUNCTION("""COMPUTED_VALUE"""),"ShortSettlement FxRate Operator")</f>
        <v>ShortSettlement FxRate Operator</v>
      </c>
      <c r="AU5" s="25" t="str">
        <f ca="1">IFERROR(__xludf.DUMMYFUNCTION("""COMPUTED_VALUE"""),"ShortSettlement Price")</f>
        <v>ShortSettlement Price</v>
      </c>
      <c r="AV5" s="25" t="str">
        <f ca="1">IFERROR(__xludf.DUMMYFUNCTION("""COMPUTED_VALUE"""),"ShortSettlement Unit Cost")</f>
        <v>ShortSettlement Unit Cost</v>
      </c>
      <c r="AW5" s="25" t="str">
        <f ca="1">IFERROR(__xludf.DUMMYFUNCTION("""COMPUTED_VALUE"""),"ShortSide")</f>
        <v>ShortSide</v>
      </c>
      <c r="AX5" s="25" t="str">
        <f ca="1">IFERROR(__xludf.DUMMYFUNCTION("""COMPUTED_VALUE"""),"ShortStrategy")</f>
        <v>ShortStrategy</v>
      </c>
      <c r="AY5" s="25" t="str">
        <f ca="1">IFERROR(__xludf.DUMMYFUNCTION("""COMPUTED_VALUE"""),"ShortSymbol")</f>
        <v>ShortSymbol</v>
      </c>
      <c r="AZ5" s="25" t="str">
        <f ca="1">IFERROR(__xludf.DUMMYFUNCTION("""COMPUTED_VALUE"""),"ShortTaxlot Id")</f>
        <v>ShortTaxlot Id</v>
      </c>
      <c r="BA5" s="25" t="str">
        <f ca="1">IFERROR(__xludf.DUMMYFUNCTION("""COMPUTED_VALUE"""),"ShortTotal Fee And Commission")</f>
        <v>ShortTotal Fee And Commission</v>
      </c>
      <c r="BB5" s="25" t="str">
        <f ca="1">IFERROR(__xludf.DUMMYFUNCTION("""COMPUTED_VALUE"""),"ShortTrade Date")</f>
        <v>ShortTrade Date</v>
      </c>
      <c r="BC5" s="25" t="str">
        <f ca="1">IFERROR(__xludf.DUMMYFUNCTION("""COMPUTED_VALUE"""),"ShortTransaction Type")</f>
        <v>ShortTransaction Type</v>
      </c>
      <c r="BD5" s="25" t="str">
        <f ca="1">IFERROR(__xludf.DUMMYFUNCTION("""COMPUTED_VALUE"""),"ShortUnderlyingName")</f>
        <v>ShortUnderlyingName</v>
      </c>
      <c r="BE5" s="25" t="str">
        <f ca="1">IFERROR(__xludf.DUMMYFUNCTION("""COMPUTED_VALUE"""),"ShortUnitCost")</f>
        <v>ShortUnitCost</v>
      </c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3" t="b">
        <v>0</v>
      </c>
      <c r="C6" s="43" t="b">
        <v>0</v>
      </c>
      <c r="D6" s="44" t="s">
        <v>18</v>
      </c>
      <c r="E6" s="27" t="s">
        <v>30</v>
      </c>
      <c r="F6" s="30"/>
      <c r="G6" s="30"/>
      <c r="H6" s="30"/>
      <c r="I6" s="45"/>
      <c r="J6" s="30"/>
      <c r="K6" s="29">
        <v>10</v>
      </c>
      <c r="L6" s="30"/>
      <c r="M6" s="30"/>
      <c r="N6" s="30"/>
      <c r="O6" s="29">
        <v>80</v>
      </c>
      <c r="P6" s="30"/>
      <c r="Q6" s="30"/>
      <c r="R6" s="30"/>
      <c r="S6" s="30"/>
      <c r="T6" s="36"/>
      <c r="U6" s="36"/>
      <c r="V6" s="36" t="s">
        <v>17</v>
      </c>
      <c r="W6" s="36"/>
      <c r="X6" s="36" t="s">
        <v>16</v>
      </c>
      <c r="Y6" s="36"/>
      <c r="Z6" s="36"/>
      <c r="AA6" s="36"/>
      <c r="AB6" s="36"/>
      <c r="AC6" s="36"/>
      <c r="AD6" s="36"/>
      <c r="AE6" s="36" t="s">
        <v>18</v>
      </c>
      <c r="AF6" s="36" t="s">
        <v>30</v>
      </c>
      <c r="AG6" s="36"/>
      <c r="AH6" s="36"/>
      <c r="AI6" s="36"/>
      <c r="AJ6" s="36"/>
      <c r="AK6" s="36"/>
      <c r="AL6" s="39">
        <v>12</v>
      </c>
      <c r="AM6" s="36"/>
      <c r="AN6" s="36"/>
      <c r="AO6" s="36"/>
      <c r="AP6" s="38">
        <v>80</v>
      </c>
      <c r="AQ6" s="36"/>
      <c r="AR6" s="36"/>
      <c r="AS6" s="36"/>
      <c r="AT6" s="36"/>
      <c r="AU6" s="36"/>
      <c r="AV6" s="36"/>
      <c r="AW6" s="36" t="s">
        <v>19</v>
      </c>
      <c r="AX6" s="36"/>
      <c r="AY6" s="36" t="s">
        <v>16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26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IFERROR(__xludf.DUMMYFUNCTION("IF(C3="""","""",Transpose(IMPORTRANGE('_Settings'!$B$3,C3&amp;""!A4:A1000"")))"),"SwapExpire")</f>
        <v>SwapExpire</v>
      </c>
      <c r="C4" s="20" t="str">
        <f ca="1">IFERROR(__xludf.DUMMYFUNCTION("""COMPUTED_VALUE"""),"GetDataClosing")</f>
        <v>GetDataClosing</v>
      </c>
      <c r="D4" s="20" t="str">
        <f ca="1">IFERROR(__xludf.DUMMYFUNCTION("""COMPUTED_VALUE"""),"ManualClosing")</f>
        <v>ManualClosing</v>
      </c>
      <c r="E4" s="20" t="str">
        <f ca="1">IFERROR(__xludf.DUMMYFUNCTION("""COMPUTED_VALUE"""),"AutomaticClosing")</f>
        <v>AutomaticClosing</v>
      </c>
      <c r="F4" s="20" t="str">
        <f ca="1">IFERROR(__xludf.DUMMYFUNCTION("""COMPUTED_VALUE"""),"UnwindClosing")</f>
        <v>UnwindClosing</v>
      </c>
      <c r="G4" s="20" t="str">
        <f ca="1">IFERROR(__xludf.DUMMYFUNCTION("""COMPUTED_VALUE"""),"VerifyClosedTrades")</f>
        <v>VerifyClosedTrades</v>
      </c>
      <c r="H4" s="20" t="str">
        <f ca="1">IFERROR(__xludf.DUMMYFUNCTION("""COMPUTED_VALUE"""),"VerifyLongPositionsGrid")</f>
        <v>VerifyLongPositionsGrid</v>
      </c>
      <c r="I4" s="20" t="str">
        <f ca="1">IFERROR(__xludf.DUMMYFUNCTION("""COMPUTED_VALUE"""),"VerifyShortPositionsGrid")</f>
        <v>VerifyShortPositionsGrid</v>
      </c>
      <c r="J4" s="20" t="str">
        <f ca="1">IFERROR(__xludf.DUMMYFUNCTION("""COMPUTED_VALUE"""),"SelectTradeUnexpiredUnsettled")</f>
        <v>SelectTradeUnexpiredUnsettled</v>
      </c>
      <c r="K4" s="20" t="str">
        <f ca="1">IFERROR(__xludf.DUMMYFUNCTION("""COMPUTED_VALUE"""),"CashSettlementAtCost")</f>
        <v>CashSettlementAtCost</v>
      </c>
      <c r="L4" s="20" t="str">
        <f ca="1">IFERROR(__xludf.DUMMYFUNCTION("""COMPUTED_VALUE"""),"CashSettlementAtZeroPrice")</f>
        <v>CashSettlementAtZeroPrice</v>
      </c>
      <c r="M4" s="20" t="str">
        <f ca="1">IFERROR(__xludf.DUMMYFUNCTION("""COMPUTED_VALUE"""),"CashSettlementAtClosingDtSpotPx")</f>
        <v>CashSettlementAtClosingDtSpotPx</v>
      </c>
      <c r="N4" s="20" t="str">
        <f ca="1">IFERROR(__xludf.DUMMYFUNCTION("""COMPUTED_VALUE"""),"PhysicalSettlement")</f>
        <v>PhysicalSettlement</v>
      </c>
      <c r="O4" s="20" t="str">
        <f ca="1">IFERROR(__xludf.DUMMYFUNCTION("""COMPUTED_VALUE"""),"Expire")</f>
        <v>Expire</v>
      </c>
      <c r="P4" s="21" t="str">
        <f ca="1">IFERROR(__xludf.DUMMYFUNCTION("""COMPUTED_VALUE"""),"ExerciseAssignment")</f>
        <v>ExerciseAssignment</v>
      </c>
      <c r="Q4" s="21" t="str">
        <f ca="1">IFERROR(__xludf.DUMMYFUNCTION("""COMPUTED_VALUE"""),"ExerciseAssignmentAtZero")</f>
        <v>ExerciseAssignmentAtZero</v>
      </c>
      <c r="R4" s="21" t="str">
        <f ca="1">IFERROR(__xludf.DUMMYFUNCTION("""COMPUTED_VALUE"""),"SwapExpireAndRollover")</f>
        <v>SwapExpireAndRollover</v>
      </c>
      <c r="S4" s="21" t="str">
        <f ca="1">IFERROR(__xludf.DUMMYFUNCTION("""COMPUTED_VALUE"""),"SwapExpire")</f>
        <v>SwapExpire</v>
      </c>
      <c r="T4" s="21" t="str">
        <f ca="1">IFERROR(__xludf.DUMMYFUNCTION("""COMPUTED_VALUE"""),"VerifyExpiredSettledGrid")</f>
        <v>VerifyExpiredSettledGrid</v>
      </c>
      <c r="U4" s="21" t="str">
        <f ca="1">IFERROR(__xludf.DUMMYFUNCTION("""COMPUTED_VALUE"""),"VerifyUnExpiredUnSettledGrid")</f>
        <v>VerifyUnExpiredUnSettledGrid</v>
      </c>
      <c r="V4" s="21" t="str">
        <f ca="1">IFERROR(__xludf.DUMMYFUNCTION("""COMPUTED_VALUE"""),"UnWindTradeSettlement")</f>
        <v>UnWindTradeSettlement</v>
      </c>
      <c r="W4" s="21" t="str">
        <f ca="1">IFERROR(__xludf.DUMMYFUNCTION("""COMPUTED_VALUE"""),"CloseOrder")</f>
        <v>CloseOrder</v>
      </c>
      <c r="X4" s="21" t="str">
        <f ca="1">IFERROR(__xludf.DUMMYFUNCTION("""COMPUTED_VALUE"""),"VerifyCloseOrder")</f>
        <v>VerifyCloseOrder</v>
      </c>
      <c r="Y4" s="21" t="str">
        <f ca="1">IFERROR(__xludf.DUMMYFUNCTION("""COMPUTED_VALUE"""),"UnWindCloseOrder")</f>
        <v>UnWindCloseOrder</v>
      </c>
      <c r="Z4" s="21" t="str">
        <f ca="1">IFERROR(__xludf.DUMMYFUNCTION("""COMPUTED_VALUE"""),"ClosingCleanUp")</f>
        <v>ClosingCleanUp</v>
      </c>
      <c r="AA4" s="21" t="str">
        <f ca="1">IFERROR(__xludf.DUMMYFUNCTION("""COMPUTED_VALUE"""),"CloseClosingUI")</f>
        <v>CloseClosingUI</v>
      </c>
      <c r="AB4" s="21" t="str">
        <f ca="1">IFERROR(__xludf.DUMMYFUNCTION("""COMPUTED_VALUE"""),"SetClosingPreference")</f>
        <v>SetClosingPreference</v>
      </c>
      <c r="AC4" s="21" t="str">
        <f ca="1">IFERROR(__xludf.DUMMYFUNCTION("""COMPUTED_VALUE"""),"EditTradeUnexpiredUnsettled")</f>
        <v>EditTradeUnexpiredUnsettled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IFERROR(__xludf.DUMMYFUNCTION("""COMPUTED_VALUE"""),"Taxlot ID")</f>
        <v>Taxlot ID</v>
      </c>
      <c r="C5" s="23" t="str">
        <f ca="1">IFERROR(__xludf.DUMMYFUNCTION("""COMPUTED_VALUE"""),"Closing Date")</f>
        <v>Closing Date</v>
      </c>
      <c r="D5" s="23" t="str">
        <f ca="1">IFERROR(__xludf.DUMMYFUNCTION("""COMPUTED_VALUE"""),"Account")</f>
        <v>Account</v>
      </c>
      <c r="E5" s="23" t="str">
        <f ca="1">IFERROR(__xludf.DUMMYFUNCTION("""COMPUTED_VALUE"""),"Strategy")</f>
        <v>Strategy</v>
      </c>
      <c r="F5" s="24" t="str">
        <f ca="1">IFERROR(__xludf.DUMMYFUNCTION("""COMPUTED_VALUE"""),"Position Type")</f>
        <v>Position Type</v>
      </c>
      <c r="G5" s="23" t="str">
        <f ca="1">IFERROR(__xludf.DUMMYFUNCTION("""COMPUTED_VALUE"""),"Asset Class")</f>
        <v>Asset Class</v>
      </c>
      <c r="H5" s="23" t="str">
        <f ca="1">IFERROR(__xludf.DUMMYFUNCTION("""COMPUTED_VALUE"""),"Symbol")</f>
        <v>Symbol</v>
      </c>
      <c r="I5" s="23" t="str">
        <f ca="1">IFERROR(__xludf.DUMMYFUNCTION("""COMPUTED_VALUE"""),"Qty Closed")</f>
        <v>Qty Closed</v>
      </c>
      <c r="J5" s="23" t="str">
        <f ca="1">IFERROR(__xludf.DUMMYFUNCTION("""COMPUTED_VALUE"""),"Opening Price")</f>
        <v>Opening Price</v>
      </c>
      <c r="K5" s="23" t="str">
        <f ca="1">IFERROR(__xludf.DUMMYFUNCTION("""COMPUTED_VALUE"""),"Closing Price")</f>
        <v>Closing Price</v>
      </c>
      <c r="L5" s="23" t="str">
        <f ca="1">IFERROR(__xludf.DUMMYFUNCTION("""COMPUTED_VALUE"""),"ClosingTotalCommissionandFees")</f>
        <v>ClosingTotalCommissionandFees</v>
      </c>
      <c r="M5" s="23" t="str">
        <f ca="1">IFERROR(__xludf.DUMMYFUNCTION("""COMPUTED_VALUE"""),"Realized PNL(C.B.)")</f>
        <v>Realized PNL(C.B.)</v>
      </c>
      <c r="N5" s="23" t="str">
        <f ca="1">IFERROR(__xludf.DUMMYFUNCTION("""COMPUTED_VALUE"""),"Exchange")</f>
        <v>Exchange</v>
      </c>
      <c r="O5" s="23" t="str">
        <f ca="1">IFERROR(__xludf.DUMMYFUNCTION("""COMPUTED_VALUE"""),"Opening Side")</f>
        <v>Opening Side</v>
      </c>
      <c r="P5" s="23" t="str">
        <f ca="1">IFERROR(__xludf.DUMMYFUNCTION("""COMPUTED_VALUE"""),"Opening Fees &amp; Commission")</f>
        <v>Opening Fees &amp; Commission</v>
      </c>
      <c r="Q5" s="23" t="str">
        <f ca="1">IFERROR(__xludf.DUMMYFUNCTION("""COMPUTED_VALUE"""),"Closing Side")</f>
        <v>Closing Side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IFERROR(__xludf.DUMMYFUNCTION("""COMPUTED_VALUE"""),"ClosingID")</f>
        <v>ClosingID</v>
      </c>
      <c r="T5" s="25" t="str">
        <f ca="1">IFERROR(__xludf.DUMMYFUNCTION("""COMPUTED_VALUE"""),"Original Purchase Date")</f>
        <v>Original Purchase Date</v>
      </c>
      <c r="U5" s="25" t="str">
        <f ca="1">IFERROR(__xludf.DUMMYFUNCTION("""COMPUTED_VALUE"""),"Description")</f>
        <v>Description</v>
      </c>
      <c r="V5" s="25" t="str">
        <f ca="1">IFERROR(__xludf.DUMMYFUNCTION("""COMPUTED_VALUE"""),"AccountID")</f>
        <v>AccountID</v>
      </c>
      <c r="W5" s="25" t="str">
        <f ca="1">IFERROR(__xludf.DUMMYFUNCTION("""COMPUTED_VALUE"""),"IsExpired_Settled")</f>
        <v>IsExpired_Settled</v>
      </c>
      <c r="X5" s="25" t="str">
        <f ca="1">IFERROR(__xludf.DUMMYFUNCTION("""COMPUTED_VALUE"""),"Underlying")</f>
        <v>Underlying</v>
      </c>
      <c r="Y5" s="25" t="str">
        <f ca="1">IFERROR(__xludf.DUMMYFUNCTION("""COMPUTED_VALUE"""),"CurrencyID")</f>
        <v>CurrencyID</v>
      </c>
      <c r="Z5" s="25" t="str">
        <f ca="1">IFERROR(__xludf.DUMMYFUNCTION("""COMPUTED_VALUE"""),"Currency")</f>
        <v>Currency</v>
      </c>
      <c r="AA5" s="25" t="str">
        <f ca="1">IFERROR(__xludf.DUMMYFUNCTION("""COMPUTED_VALUE"""),"AUECID")</f>
        <v>AUECID</v>
      </c>
      <c r="AB5" s="25" t="str">
        <f ca="1">IFERROR(__xludf.DUMMYFUNCTION("""COMPUTED_VALUE"""),"NotionalValue")</f>
        <v>NotionalValue</v>
      </c>
      <c r="AC5" s="25" t="str">
        <f ca="1">IFERROR(__xludf.DUMMYFUNCTION("""COMPUTED_VALUE"""),"Multiplier")</f>
        <v>Multiplier</v>
      </c>
      <c r="AD5" s="25" t="str">
        <f ca="1">IFERROR(__xludf.DUMMYFUNCTION("""COMPUTED_VALUE"""),"TimeOfSaveUTC")</f>
        <v>TimeOfSaveUTC</v>
      </c>
      <c r="AE5" s="25" t="str">
        <f ca="1">IFERROR(__xludf.DUMMYFUNCTION("""COMPUTED_VALUE"""),"Closing Position Type")</f>
        <v>Closing Position Type</v>
      </c>
      <c r="AF5" s="25" t="str">
        <f ca="1">IFERROR(__xludf.DUMMYFUNCTION("""COMPUTED_VALUE"""),"Closing Mode")</f>
        <v>Closing Mode</v>
      </c>
      <c r="AG5" s="25" t="str">
        <f ca="1">IFERROR(__xludf.DUMMYFUNCTION("""COMPUTED_VALUE"""),"StrategyID")</f>
        <v>StrategyID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4"/>
      <c r="C6" s="32"/>
      <c r="D6" s="34" t="s">
        <v>18</v>
      </c>
      <c r="E6" s="30"/>
      <c r="F6" s="30" t="s">
        <v>32</v>
      </c>
      <c r="G6" s="30" t="s">
        <v>30</v>
      </c>
      <c r="H6" s="30" t="s">
        <v>16</v>
      </c>
      <c r="I6" s="29">
        <v>80</v>
      </c>
      <c r="J6" s="29">
        <v>10</v>
      </c>
      <c r="K6" s="31">
        <v>12</v>
      </c>
      <c r="L6" s="29">
        <v>14.000500000000001</v>
      </c>
      <c r="M6" s="29">
        <v>131.9991</v>
      </c>
      <c r="N6" s="30" t="s">
        <v>33</v>
      </c>
      <c r="O6" s="30" t="s">
        <v>32</v>
      </c>
      <c r="P6" s="35">
        <v>14.000400000000001</v>
      </c>
      <c r="Q6" s="30" t="s">
        <v>19</v>
      </c>
      <c r="R6" s="30"/>
      <c r="S6" s="30"/>
      <c r="T6" s="46"/>
      <c r="U6" s="36"/>
      <c r="V6" s="36"/>
      <c r="W6" s="36"/>
      <c r="X6" s="36"/>
      <c r="Y6" s="36"/>
      <c r="Z6" s="36" t="s">
        <v>34</v>
      </c>
      <c r="AA6" s="36"/>
      <c r="AB6" s="39">
        <v>0</v>
      </c>
      <c r="AC6" s="36"/>
      <c r="AD6" s="36"/>
      <c r="AE6" s="36" t="s">
        <v>35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20</v>
      </c>
      <c r="D3" s="2" t="s">
        <v>9</v>
      </c>
      <c r="E3" s="18" t="s">
        <v>36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IFERROR(__xludf.DUMMYFUNCTION("""COMPUTED_VALUE"""),"Avg Fill Price (Base)")</f>
        <v>Avg Fill Price (Base)</v>
      </c>
      <c r="C5" s="23" t="str">
        <f ca="1">IFERROR(__xludf.DUMMYFUNCTION("""COMPUTED_VALUE"""),"Transaction Time")</f>
        <v>Transaction Time</v>
      </c>
      <c r="D5" s="23" t="str">
        <f ca="1">IFERROR(__xludf.DUMMYFUNCTION("""COMPUTED_VALUE"""),"Symbol")</f>
        <v>Symbol</v>
      </c>
      <c r="E5" s="23" t="str">
        <f ca="1">IFERROR(__xludf.DUMMYFUNCTION("""COMPUTED_VALUE"""),"Algo")</f>
        <v>Algo</v>
      </c>
      <c r="F5" s="24" t="str">
        <f ca="1">IFERROR(__xludf.DUMMYFUNCTION("""COMPUTED_VALUE"""),"Side")</f>
        <v>Side</v>
      </c>
      <c r="G5" s="23" t="str">
        <f ca="1">IFERROR(__xludf.DUMMYFUNCTION("""COMPUTED_VALUE"""),"Status")</f>
        <v>Status</v>
      </c>
      <c r="H5" s="23" t="str">
        <f ca="1">IFERROR(__xludf.DUMMYFUNCTION("""COMPUTED_VALUE"""),"Target Qty")</f>
        <v>Target Qty</v>
      </c>
      <c r="I5" s="23" t="str">
        <f ca="1">IFERROR(__xludf.DUMMYFUNCTION("""COMPUTED_VALUE"""),"Total Executed Qty")</f>
        <v>Total Executed Qty</v>
      </c>
      <c r="J5" s="23" t="str">
        <f ca="1">IFERROR(__xludf.DUMMYFUNCTION("""COMPUTED_VALUE"""),"% Executed")</f>
        <v>% Executed</v>
      </c>
      <c r="K5" s="23" t="str">
        <f ca="1">IFERROR(__xludf.DUMMYFUNCTION("""COMPUTED_VALUE"""),"Day Executed Qty")</f>
        <v>Day Executed Qty</v>
      </c>
      <c r="L5" s="23" t="str">
        <f ca="1">IFERROR(__xludf.DUMMYFUNCTION("""COMPUTED_VALUE"""),"Uncommitted Qty")</f>
        <v>Uncommitted Qty</v>
      </c>
      <c r="M5" s="23" t="str">
        <f ca="1">IFERROR(__xludf.DUMMYFUNCTION("""COMPUTED_VALUE"""),"Limit Price")</f>
        <v>Limit Price</v>
      </c>
      <c r="N5" s="23" t="str">
        <f ca="1">IFERROR(__xludf.DUMMYFUNCTION("""COMPUTED_VALUE"""),"Last Fill Price (Local)")</f>
        <v>Last Fill Price (Local)</v>
      </c>
      <c r="O5" s="23" t="str">
        <f ca="1">IFERROR(__xludf.DUMMYFUNCTION("""COMPUTED_VALUE"""),"Stop Price")</f>
        <v>Stop Price</v>
      </c>
      <c r="P5" s="23" t="str">
        <f ca="1">IFERROR(__xludf.DUMMYFUNCTION("""COMPUTED_VALUE"""),"Avg Fill Price (Local)")</f>
        <v>Avg Fill Price (Local)</v>
      </c>
      <c r="Q5" s="23" t="str">
        <f ca="1">IFERROR(__xludf.DUMMYFUNCTION("""COMPUTED_VALUE"""),"Broker")</f>
        <v>Broker</v>
      </c>
      <c r="R5" s="23" t="str">
        <f ca="1">IFERROR(__xludf.DUMMYFUNCTION("""COMPUTED_VALUE"""),"Account")</f>
        <v>Account</v>
      </c>
      <c r="S5" s="23" t="str">
        <f ca="1">IFERROR(__xludf.DUMMYFUNCTION("""COMPUTED_VALUE"""),"OrderID")</f>
        <v>OrderID</v>
      </c>
      <c r="T5" s="25" t="str">
        <f ca="1">IFERROR(__xludf.DUMMYFUNCTION("""COMPUTED_VALUE"""),"Order Type")</f>
        <v>Order Type</v>
      </c>
      <c r="U5" s="25" t="str">
        <f ca="1">IFERROR(__xludf.DUMMYFUNCTION("""COMPUTED_VALUE"""),"Principal Amount (Local)")</f>
        <v>Principal Amount (Local)</v>
      </c>
      <c r="V5" s="25" t="str">
        <f ca="1">IFERROR(__xludf.DUMMYFUNCTION("""COMPUTED_VALUE"""),"Principal Amount (Base)")</f>
        <v>Principal Amount (Base)</v>
      </c>
      <c r="W5" s="25" t="str">
        <f ca="1">IFERROR(__xludf.DUMMYFUNCTION("""COMPUTED_VALUE"""),"Peg")</f>
        <v>Peg</v>
      </c>
      <c r="X5" s="25" t="str">
        <f ca="1">IFERROR(__xludf.DUMMYFUNCTION("""COMPUTED_VALUE"""),"ParentClOrderID")</f>
        <v>ParentClOrderID</v>
      </c>
      <c r="Y5" s="25" t="str">
        <f ca="1">IFERROR(__xludf.DUMMYFUNCTION("""COMPUTED_VALUE"""),"Strike Price")</f>
        <v>Strike Price</v>
      </c>
      <c r="Z5" s="25" t="str">
        <f ca="1">IFERROR(__xludf.DUMMYFUNCTION("""COMPUTED_VALUE"""),"Last Shares")</f>
        <v>Last Shares</v>
      </c>
      <c r="AA5" s="25" t="str">
        <f ca="1">IFERROR(__xludf.DUMMYFUNCTION("""COMPUTED_VALUE"""),"Working Qty")</f>
        <v>Working Qty</v>
      </c>
      <c r="AB5" s="25" t="str">
        <f ca="1">IFERROR(__xludf.DUMMYFUNCTION("""COMPUTED_VALUE"""),"Bloomberg Symbol")</f>
        <v>Bloomberg Symbol</v>
      </c>
      <c r="AC5" s="25" t="str">
        <f ca="1">IFERROR(__xludf.DUMMYFUNCTION("""COMPUTED_VALUE"""),"Imported File Name")</f>
        <v>Imported File Name</v>
      </c>
      <c r="AD5" s="25" t="str">
        <f ca="1">IFERROR(__xludf.DUMMYFUNCTION("""COMPUTED_VALUE"""),"Master Fund")</f>
        <v>Master Fund</v>
      </c>
      <c r="AE5" s="25" t="str">
        <f ca="1">IFERROR(__xludf.DUMMYFUNCTION("""COMPUTED_VALUE"""),"Day Average Price")</f>
        <v>Day Average Price</v>
      </c>
      <c r="AF5" s="25" t="str">
        <f ca="1">IFERROR(__xludf.DUMMYFUNCTION("""COMPUTED_VALUE"""),"Asset Class")</f>
        <v>Asset Class</v>
      </c>
      <c r="AG5" s="25" t="str">
        <f ca="1">IFERROR(__xludf.DUMMYFUNCTION("""COMPUTED_VALUE"""),"Underlying Country")</f>
        <v>Underlying Country</v>
      </c>
      <c r="AH5" s="25" t="str">
        <f ca="1">IFERROR(__xludf.DUMMYFUNCTION("""COMPUTED_VALUE"""),"Trader")</f>
        <v>Trader</v>
      </c>
      <c r="AI5" s="25" t="str">
        <f ca="1">IFERROR(__xludf.DUMMYFUNCTION("""COMPUTED_VALUE"""),"User")</f>
        <v>User</v>
      </c>
      <c r="AJ5" s="25" t="str">
        <f ca="1">IFERROR(__xludf.DUMMYFUNCTION("""COMPUTED_VALUE"""),"Venue")</f>
        <v>Venue</v>
      </c>
      <c r="AK5" s="25" t="str">
        <f ca="1">IFERROR(__xludf.DUMMYFUNCTION("""COMPUTED_VALUE"""),"Settlement Currency")</f>
        <v>Settlement Currency</v>
      </c>
      <c r="AL5" s="25" t="str">
        <f ca="1">IFERROR(__xludf.DUMMYFUNCTION("""COMPUTED_VALUE"""),"FX Conversion Operator")</f>
        <v>FX Conversion Operator</v>
      </c>
      <c r="AM5" s="25" t="str">
        <f ca="1">IFERROR(__xludf.DUMMYFUNCTION("""COMPUTED_VALUE"""),"Process Date")</f>
        <v>Process Date</v>
      </c>
      <c r="AN5" s="25" t="str">
        <f ca="1">IFERROR(__xludf.DUMMYFUNCTION("""COMPUTED_VALUE"""),"Underlying Symbol")</f>
        <v>Underlying Symbol</v>
      </c>
      <c r="AO5" s="25" t="str">
        <f ca="1">IFERROR(__xludf.DUMMYFUNCTION("""COMPUTED_VALUE"""),"Put/Call")</f>
        <v>Put/Call</v>
      </c>
      <c r="AP5" s="25" t="str">
        <f ca="1">IFERROR(__xludf.DUMMYFUNCTION("""COMPUTED_VALUE"""),"FX Rate")</f>
        <v>FX Rate</v>
      </c>
      <c r="AQ5" s="25" t="str">
        <f ca="1">IFERROR(__xludf.DUMMYFUNCTION("""COMPUTED_VALUE"""),"Trade Attribute 1")</f>
        <v>Trade Attribute 1</v>
      </c>
      <c r="AR5" s="25" t="str">
        <f ca="1">IFERROR(__xludf.DUMMYFUNCTION("""COMPUTED_VALUE"""),"Trade Attribute 2")</f>
        <v>Trade Attribute 2</v>
      </c>
      <c r="AS5" s="25" t="str">
        <f ca="1">IFERROR(__xludf.DUMMYFUNCTION("""COMPUTED_VALUE"""),"Trade Attribute 3")</f>
        <v>Trade Attribute 3</v>
      </c>
      <c r="AT5" s="25" t="str">
        <f ca="1">IFERROR(__xludf.DUMMYFUNCTION("""COMPUTED_VALUE"""),"Trade Attribute 4")</f>
        <v>Trade Attribute 4</v>
      </c>
      <c r="AU5" s="25" t="str">
        <f ca="1">IFERROR(__xludf.DUMMYFUNCTION("""COMPUTED_VALUE"""),"Trade Attribute 5")</f>
        <v>Trade Attribute 5</v>
      </c>
      <c r="AV5" s="25" t="str">
        <f ca="1">IFERROR(__xludf.DUMMYFUNCTION("""COMPUTED_VALUE"""),"Trade Attribute 6")</f>
        <v>Trade Attribute 6</v>
      </c>
      <c r="AW5" s="25" t="str">
        <f ca="1">IFERROR(__xludf.DUMMYFUNCTION("""COMPUTED_VALUE"""),"Internal Comments")</f>
        <v>Internal Comments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29">
        <v>10</v>
      </c>
      <c r="C6" s="30"/>
      <c r="D6" s="33" t="s">
        <v>16</v>
      </c>
      <c r="E6" s="30"/>
      <c r="F6" s="27" t="s">
        <v>17</v>
      </c>
      <c r="G6" s="27" t="s">
        <v>22</v>
      </c>
      <c r="H6" s="47">
        <v>100</v>
      </c>
      <c r="I6" s="29">
        <v>80</v>
      </c>
      <c r="J6" s="29">
        <v>80</v>
      </c>
      <c r="K6" s="30"/>
      <c r="L6" s="30"/>
      <c r="M6" s="30"/>
      <c r="N6" s="29">
        <v>10</v>
      </c>
      <c r="O6" s="30"/>
      <c r="P6" s="35">
        <v>10</v>
      </c>
      <c r="Q6" s="30"/>
      <c r="R6" s="30" t="s">
        <v>18</v>
      </c>
      <c r="S6" s="30"/>
      <c r="T6" s="36"/>
      <c r="U6" s="40">
        <v>800</v>
      </c>
      <c r="V6" s="40">
        <v>800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41"/>
      <c r="AW6" s="41"/>
      <c r="AX6" s="36"/>
      <c r="AY6" s="41"/>
      <c r="AZ6" s="41"/>
      <c r="BA6" s="36"/>
      <c r="BB6" s="36"/>
      <c r="BC6" s="36"/>
      <c r="BD6" s="36"/>
      <c r="BE6" s="36"/>
      <c r="BF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20</v>
      </c>
      <c r="D3" s="2" t="s">
        <v>9</v>
      </c>
      <c r="E3" s="18" t="s">
        <v>37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IFERROR(__xludf.DUMMYFUNCTION("""COMPUTED_VALUE"""),"User")</f>
        <v>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IFERROR(__xludf.DUMMYFUNCTION("""COMPUTED_VALUE"""),"Remaining Qty")</f>
        <v>Remaining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8"/>
      <c r="C6" s="30"/>
      <c r="D6" s="29">
        <v>10</v>
      </c>
      <c r="E6" s="30"/>
      <c r="F6" s="30"/>
      <c r="G6" s="35">
        <v>20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 t="s">
        <v>17</v>
      </c>
      <c r="AK6" s="37" t="s">
        <v>22</v>
      </c>
      <c r="AL6" s="38">
        <v>100</v>
      </c>
      <c r="AM6" s="38">
        <v>80</v>
      </c>
      <c r="AN6" s="36"/>
      <c r="AO6" s="36"/>
      <c r="AP6" s="36"/>
      <c r="AQ6" s="38">
        <v>10</v>
      </c>
      <c r="AR6" s="38">
        <v>10</v>
      </c>
      <c r="AS6" s="36" t="s">
        <v>23</v>
      </c>
      <c r="AT6" s="36" t="s">
        <v>18</v>
      </c>
      <c r="AU6" s="36" t="s">
        <v>24</v>
      </c>
      <c r="AV6" s="40">
        <v>800</v>
      </c>
      <c r="AW6" s="40">
        <v>800</v>
      </c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20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4"/>
      <c r="C6" s="30"/>
      <c r="D6" s="29">
        <v>10</v>
      </c>
      <c r="E6" s="30"/>
      <c r="F6" s="30"/>
      <c r="G6" s="3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7" t="s">
        <v>16</v>
      </c>
      <c r="AJ6" s="36" t="s">
        <v>17</v>
      </c>
      <c r="AK6" s="37" t="s">
        <v>38</v>
      </c>
      <c r="AL6" s="36">
        <v>100</v>
      </c>
      <c r="AM6" s="38"/>
      <c r="AN6" s="38"/>
      <c r="AO6" s="36"/>
      <c r="AP6" s="39"/>
      <c r="AQ6" s="38">
        <v>10</v>
      </c>
      <c r="AR6" s="38">
        <v>10</v>
      </c>
      <c r="AS6" s="36" t="s">
        <v>23</v>
      </c>
      <c r="AT6" s="36" t="s">
        <v>18</v>
      </c>
      <c r="AU6" s="36" t="s">
        <v>24</v>
      </c>
      <c r="AV6" s="40"/>
      <c r="AW6" s="40"/>
      <c r="AX6" s="36"/>
      <c r="AY6" s="41"/>
      <c r="AZ6" s="41"/>
      <c r="BA6" s="36"/>
      <c r="BB6" s="36"/>
      <c r="BC6" s="36"/>
      <c r="BD6" s="36"/>
      <c r="BE6" s="36"/>
    </row>
    <row r="7" spans="1:154" ht="15.75" customHeight="1" x14ac:dyDescent="0.2">
      <c r="A7" s="5"/>
      <c r="B7" s="30"/>
      <c r="C7" s="30"/>
      <c r="D7" s="29">
        <v>12</v>
      </c>
      <c r="E7" s="30"/>
      <c r="F7" s="30"/>
      <c r="G7" s="3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7" t="s">
        <v>16</v>
      </c>
      <c r="AJ7" s="37" t="s">
        <v>19</v>
      </c>
      <c r="AK7" s="37" t="s">
        <v>25</v>
      </c>
      <c r="AL7" s="40">
        <v>80</v>
      </c>
      <c r="AM7" s="38">
        <v>80</v>
      </c>
      <c r="AN7" s="38">
        <v>100</v>
      </c>
      <c r="AO7" s="36"/>
      <c r="AP7" s="36"/>
      <c r="AQ7" s="38">
        <v>12</v>
      </c>
      <c r="AR7" s="38">
        <v>12</v>
      </c>
      <c r="AS7" s="36" t="s">
        <v>23</v>
      </c>
      <c r="AT7" s="36" t="s">
        <v>18</v>
      </c>
      <c r="AU7" s="36" t="s">
        <v>24</v>
      </c>
      <c r="AV7" s="40">
        <v>-960</v>
      </c>
      <c r="AW7" s="40">
        <v>-960</v>
      </c>
      <c r="AX7" s="36"/>
      <c r="AY7" s="41"/>
      <c r="AZ7" s="41"/>
      <c r="BA7" s="36"/>
      <c r="BB7" s="36"/>
      <c r="BC7" s="36"/>
      <c r="BD7" s="36"/>
      <c r="BE7" s="36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20</v>
      </c>
      <c r="D3" s="2" t="s">
        <v>9</v>
      </c>
      <c r="E3" s="18" t="s">
        <v>39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IFERROR(__xludf.DUMMYFUNCTION("""COMPUTED_VALUE"""),"Side")</f>
        <v>Side</v>
      </c>
      <c r="D5" s="23" t="str">
        <f ca="1">IFERROR(__xludf.DUMMYFUNCTION("""COMPUTED_VALUE"""),"Quantity")</f>
        <v>Quantity</v>
      </c>
      <c r="E5" s="23" t="str">
        <f ca="1">IFERROR(__xludf.DUMMYFUNCTION("""COMPUTED_VALUE"""),"Executed Qty")</f>
        <v>Executed Qty</v>
      </c>
      <c r="F5" s="24" t="str">
        <f ca="1">IFERROR(__xludf.DUMMYFUNCTION("""COMPUTED_VALUE"""),"Unexecuted Qty")</f>
        <v>Unexecuted Qty</v>
      </c>
      <c r="G5" s="23" t="str">
        <f ca="1">IFERROR(__xludf.DUMMYFUNCTION("""COMPUTED_VALUE"""),"Status")</f>
        <v>Status</v>
      </c>
      <c r="H5" s="23" t="str">
        <f ca="1">IFERROR(__xludf.DUMMYFUNCTION("""COMPUTED_VALUE"""),"Last Shares")</f>
        <v>Last Shares</v>
      </c>
      <c r="I5" s="23" t="str">
        <f ca="1">IFERROR(__xludf.DUMMYFUNCTION("""COMPUTED_VALUE"""),"Last Fill Price (Local)")</f>
        <v>Last Fill Price (Local)</v>
      </c>
      <c r="J5" s="23" t="str">
        <f ca="1">IFERROR(__xludf.DUMMYFUNCTION("""COMPUTED_VALUE"""),"Avg Fill Price (Local)")</f>
        <v>Avg Fill Price (Local)</v>
      </c>
      <c r="K5" s="23" t="str">
        <f ca="1">IFERROR(__xludf.DUMMYFUNCTION("""COMPUTED_VALUE"""),"Broker")</f>
        <v>Broker</v>
      </c>
      <c r="L5" s="23" t="str">
        <f ca="1">IFERROR(__xludf.DUMMYFUNCTION("""COMPUTED_VALUE"""),"Account")</f>
        <v>Account</v>
      </c>
      <c r="M5" s="23" t="str">
        <f ca="1">IFERROR(__xludf.DUMMYFUNCTION("""COMPUTED_VALUE"""),"Order Type")</f>
        <v>Order Type</v>
      </c>
      <c r="N5" s="23" t="str">
        <f ca="1">IFERROR(__xludf.DUMMYFUNCTION("""COMPUTED_VALUE"""),"OrderStatus")</f>
        <v>OrderStatus</v>
      </c>
      <c r="O5" s="23" t="str">
        <f ca="1">IFERROR(__xludf.DUMMYFUNCTION("""COMPUTED_VALUE"""),"Avg Fill Price (Base)")</f>
        <v>Avg Fill Price (Base)</v>
      </c>
      <c r="P5" s="23" t="str">
        <f ca="1">IFERROR(__xludf.DUMMYFUNCTION("""COMPUTED_VALUE"""),"Limit Price")</f>
        <v>Limit Price</v>
      </c>
      <c r="Q5" s="23" t="str">
        <f ca="1">IFERROR(__xludf.DUMMYFUNCTION("""COMPUTED_VALUE"""),"Stop Price")</f>
        <v>Stop Price</v>
      </c>
      <c r="R5" s="23" t="str">
        <f ca="1">IFERROR(__xludf.DUMMYFUNCTION("""COMPUTED_VALUE"""),"Actual User")</f>
        <v>Actual User</v>
      </c>
      <c r="S5" s="23" t="str">
        <f ca="1">IFERROR(__xludf.DUMMYFUNCTION("""COMPUTED_VALUE"""),"Bloomberg Symbol")</f>
        <v>Bloomberg Symbol</v>
      </c>
      <c r="T5" s="25" t="str">
        <f ca="1">IFERROR(__xludf.DUMMYFUNCTION("""COMPUTED_VALUE"""),"Algo")</f>
        <v>Algo</v>
      </c>
      <c r="U5" s="25" t="str">
        <f ca="1">IFERROR(__xludf.DUMMYFUNCTION("""COMPUTED_VALUE"""),"Allocation Scheme Name")</f>
        <v>Allocation Scheme Name</v>
      </c>
      <c r="V5" s="25" t="str">
        <f ca="1">IFERROR(__xludf.DUMMYFUNCTION("""COMPUTED_VALUE"""),"Allocation Status")</f>
        <v>Allocation Status</v>
      </c>
      <c r="W5" s="25" t="str">
        <f ca="1">IFERROR(__xludf.DUMMYFUNCTION("""COMPUTED_VALUE"""),"Asset Class")</f>
        <v>Asset Class</v>
      </c>
      <c r="X5" s="25" t="str">
        <f ca="1">IFERROR(__xludf.DUMMYFUNCTION("""COMPUTED_VALUE"""),"FX Conversion Operator")</f>
        <v>FX Conversion Operator</v>
      </c>
      <c r="Y5" s="25" t="str">
        <f ca="1">IFERROR(__xludf.DUMMYFUNCTION("""COMPUTED_VALUE"""),"FX Rate")</f>
        <v>FX Rate</v>
      </c>
      <c r="Z5" s="25" t="str">
        <f ca="1">IFERROR(__xludf.DUMMYFUNCTION("""COMPUTED_VALUE"""),"Imported File Name")</f>
        <v>Imported File Name</v>
      </c>
      <c r="AA5" s="25" t="str">
        <f ca="1">IFERROR(__xludf.DUMMYFUNCTION("""COMPUTED_VALUE"""),"Internal Comments")</f>
        <v>Internal Comments</v>
      </c>
      <c r="AB5" s="25" t="str">
        <f ca="1">IFERROR(__xludf.DUMMYFUNCTION("""COMPUTED_VALUE"""),"Peg")</f>
        <v>Peg</v>
      </c>
      <c r="AC5" s="25" t="str">
        <f ca="1">IFERROR(__xludf.DUMMYFUNCTION("""COMPUTED_VALUE"""),"Principal Amount (Base)")</f>
        <v>Principal Amount (Base)</v>
      </c>
      <c r="AD5" s="25" t="str">
        <f ca="1">IFERROR(__xludf.DUMMYFUNCTION("""COMPUTED_VALUE"""),"Principal Amount (Local)")</f>
        <v>Principal Amount (Local)</v>
      </c>
      <c r="AE5" s="25" t="str">
        <f ca="1">IFERROR(__xludf.DUMMYFUNCTION("""COMPUTED_VALUE"""),"Process Date")</f>
        <v>Process Date</v>
      </c>
      <c r="AF5" s="25" t="str">
        <f ca="1">IFERROR(__xludf.DUMMYFUNCTION("""COMPUTED_VALUE"""),"Put/Call")</f>
        <v>Put/Call</v>
      </c>
      <c r="AG5" s="25" t="str">
        <f ca="1">IFERROR(__xludf.DUMMYFUNCTION("""COMPUTED_VALUE"""),"Settlement Currency")</f>
        <v>Settlement Currency</v>
      </c>
      <c r="AH5" s="25" t="str">
        <f ca="1">IFERROR(__xludf.DUMMYFUNCTION("""COMPUTED_VALUE"""),"Source")</f>
        <v>Source</v>
      </c>
      <c r="AI5" s="25" t="str">
        <f ca="1">IFERROR(__xludf.DUMMYFUNCTION("""COMPUTED_VALUE"""),"Status (With Rollover)")</f>
        <v>Status (With Rollover)</v>
      </c>
      <c r="AJ5" s="25" t="str">
        <f ca="1">IFERROR(__xludf.DUMMYFUNCTION("""COMPUTED_VALUE"""),"Strategy")</f>
        <v>Strategy</v>
      </c>
      <c r="AK5" s="25" t="str">
        <f ca="1">IFERROR(__xludf.DUMMYFUNCTION("""COMPUTED_VALUE"""),"Strike Price")</f>
        <v>Strike Price</v>
      </c>
      <c r="AL5" s="25" t="str">
        <f ca="1">IFERROR(__xludf.DUMMYFUNCTION("""COMPUTED_VALUE"""),"Trade Attribute 1")</f>
        <v>Trade Attribute 1</v>
      </c>
      <c r="AM5" s="25" t="str">
        <f ca="1">IFERROR(__xludf.DUMMYFUNCTION("""COMPUTED_VALUE"""),"Trade Attribute 2")</f>
        <v>Trade Attribute 2</v>
      </c>
      <c r="AN5" s="25" t="str">
        <f ca="1">IFERROR(__xludf.DUMMYFUNCTION("""COMPUTED_VALUE"""),"Trade Attribute 3")</f>
        <v>Trade Attribute 3</v>
      </c>
      <c r="AO5" s="25" t="str">
        <f ca="1">IFERROR(__xludf.DUMMYFUNCTION("""COMPUTED_VALUE"""),"Trade Attribute 4")</f>
        <v>Trade Attribute 4</v>
      </c>
      <c r="AP5" s="25" t="str">
        <f ca="1">IFERROR(__xludf.DUMMYFUNCTION("""COMPUTED_VALUE"""),"Trade Attribute 5")</f>
        <v>Trade Attribute 5</v>
      </c>
      <c r="AQ5" s="25" t="str">
        <f ca="1">IFERROR(__xludf.DUMMYFUNCTION("""COMPUTED_VALUE"""),"Trade Attribute 6")</f>
        <v>Trade Attribute 6</v>
      </c>
      <c r="AR5" s="25" t="str">
        <f ca="1">IFERROR(__xludf.DUMMYFUNCTION("""COMPUTED_VALUE"""),"Trader")</f>
        <v>Trader</v>
      </c>
      <c r="AS5" s="25" t="str">
        <f ca="1">IFERROR(__xludf.DUMMYFUNCTION("""COMPUTED_VALUE"""),"Transaction Time")</f>
        <v>Transaction Time</v>
      </c>
      <c r="AT5" s="25" t="str">
        <f ca="1">IFERROR(__xludf.DUMMYFUNCTION("""COMPUTED_VALUE"""),"Underlying Country")</f>
        <v>Underlying Country</v>
      </c>
      <c r="AU5" s="25" t="str">
        <f ca="1">IFERROR(__xludf.DUMMYFUNCTION("""COMPUTED_VALUE"""),"Underlying Symbol")</f>
        <v>Underlying Symbol</v>
      </c>
      <c r="AV5" s="25" t="str">
        <f ca="1">IFERROR(__xludf.DUMMYFUNCTION("""COMPUTED_VALUE"""),"Venue")</f>
        <v>Venue</v>
      </c>
      <c r="AW5" s="25" t="str">
        <f ca="1">IFERROR(__xludf.DUMMYFUNCTION("""COMPUTED_VALUE"""),"Working Qty")</f>
        <v>Working Qty</v>
      </c>
      <c r="AX5" s="25" t="str">
        <f ca="1">IFERROR(__xludf.DUMMYFUNCTION("""COMPUTED_VALUE"""),"Client")</f>
        <v>Client</v>
      </c>
      <c r="AY5" s="25" t="str">
        <f ca="1">IFERROR(__xludf.DUMMYFUNCTION("""COMPUTED_VALUE"""),"OrderID")</f>
        <v>OrderID</v>
      </c>
      <c r="AZ5" s="25" t="str">
        <f ca="1">IFERROR(__xludf.DUMMYFUNCTION("""COMPUTED_VALUE"""),"ParentClOrderID")</f>
        <v>ParentClOrderID</v>
      </c>
      <c r="BA5" s="25" t="str">
        <f ca="1">IFERROR(__xludf.DUMMYFUNCTION("""COMPUTED_VALUE"""),"Master Fund")</f>
        <v>Master Fund</v>
      </c>
      <c r="BB5" s="25" t="str">
        <f ca="1">IFERROR(__xludf.DUMMYFUNCTION("""COMPUTED_VALUE"""),"Current User")</f>
        <v>Current User</v>
      </c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33" t="s">
        <v>16</v>
      </c>
      <c r="C6" s="33" t="s">
        <v>19</v>
      </c>
      <c r="D6" s="29">
        <v>80</v>
      </c>
      <c r="E6" s="29">
        <v>80</v>
      </c>
      <c r="F6" s="31">
        <v>0</v>
      </c>
      <c r="G6" s="27" t="s">
        <v>25</v>
      </c>
      <c r="H6" s="30"/>
      <c r="I6" s="31">
        <v>12</v>
      </c>
      <c r="J6" s="31">
        <v>12</v>
      </c>
      <c r="K6" s="27" t="s">
        <v>23</v>
      </c>
      <c r="L6" s="27" t="s">
        <v>18</v>
      </c>
      <c r="M6" s="27" t="s">
        <v>24</v>
      </c>
      <c r="N6" s="30"/>
      <c r="O6" s="31">
        <v>12</v>
      </c>
      <c r="P6" s="30"/>
      <c r="Q6" s="30"/>
      <c r="R6" s="30"/>
      <c r="S6" s="30"/>
      <c r="T6" s="36"/>
      <c r="U6" s="36"/>
      <c r="V6" s="36"/>
      <c r="W6" s="36"/>
      <c r="X6" s="36"/>
      <c r="Y6" s="36"/>
      <c r="Z6" s="36"/>
      <c r="AA6" s="36"/>
      <c r="AB6" s="36"/>
      <c r="AC6" s="40">
        <v>-960</v>
      </c>
      <c r="AD6" s="40">
        <v>-960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40</v>
      </c>
      <c r="D3" s="2" t="s">
        <v>9</v>
      </c>
      <c r="E3" s="18" t="s">
        <v>41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9" t="s">
        <v>28</v>
      </c>
      <c r="C6" s="5"/>
      <c r="D6" s="9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2">
      <c r="A3" s="17"/>
      <c r="B3" s="2" t="s">
        <v>8</v>
      </c>
      <c r="C3" s="18" t="s">
        <v>40</v>
      </c>
      <c r="D3" s="2" t="s">
        <v>9</v>
      </c>
      <c r="E3" s="18" t="s">
        <v>42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2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IFERROR(__xludf.DUMMYFUNCTION("""COMPUTED_VALUE"""),"IsManualGroup")</f>
        <v>IsManualGroup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2">
      <c r="A6" s="9"/>
      <c r="B6" s="49" t="s">
        <v>18</v>
      </c>
      <c r="C6" s="50"/>
      <c r="D6" s="51">
        <v>0</v>
      </c>
      <c r="E6" s="52">
        <v>80</v>
      </c>
      <c r="F6" s="50"/>
      <c r="G6" s="49" t="s">
        <v>30</v>
      </c>
      <c r="H6" s="51">
        <v>4</v>
      </c>
      <c r="I6" s="51">
        <v>5</v>
      </c>
      <c r="J6" s="51">
        <v>1</v>
      </c>
      <c r="K6" s="51">
        <v>12</v>
      </c>
      <c r="L6" s="51">
        <v>12</v>
      </c>
      <c r="M6" s="49" t="s">
        <v>43</v>
      </c>
      <c r="N6" s="50"/>
      <c r="O6" s="50"/>
      <c r="P6" s="50"/>
      <c r="Q6" s="50"/>
      <c r="R6" s="50"/>
      <c r="S6" s="53" t="s">
        <v>44</v>
      </c>
      <c r="T6" s="54">
        <v>0</v>
      </c>
      <c r="U6" s="54">
        <v>0</v>
      </c>
      <c r="V6" s="55" t="s">
        <v>45</v>
      </c>
      <c r="W6" s="54">
        <v>1</v>
      </c>
      <c r="X6" s="56"/>
      <c r="Y6" s="56"/>
      <c r="Z6" s="55" t="s">
        <v>34</v>
      </c>
      <c r="AA6" s="56"/>
      <c r="AB6" s="54">
        <v>1</v>
      </c>
      <c r="AC6" s="56"/>
      <c r="AD6" s="55" t="s">
        <v>33</v>
      </c>
      <c r="AE6" s="57">
        <v>80</v>
      </c>
      <c r="AF6" s="56"/>
      <c r="AG6" s="56"/>
      <c r="AH6" s="56" t="s">
        <v>46</v>
      </c>
      <c r="AI6" s="54">
        <v>1</v>
      </c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8">
        <v>946</v>
      </c>
      <c r="AU6" s="58">
        <v>946</v>
      </c>
      <c r="AV6" s="56"/>
      <c r="AW6" s="54">
        <v>0</v>
      </c>
      <c r="AX6" s="56"/>
      <c r="AY6" s="56"/>
      <c r="AZ6" s="54">
        <v>0</v>
      </c>
      <c r="BA6" s="56"/>
      <c r="BB6" s="56"/>
      <c r="BC6" s="56"/>
      <c r="BD6" s="56"/>
      <c r="BE6" s="57">
        <v>960</v>
      </c>
      <c r="BF6" s="57">
        <v>960</v>
      </c>
      <c r="BG6" s="56"/>
      <c r="BH6" s="56"/>
      <c r="BI6" s="56"/>
      <c r="BJ6" s="57">
        <v>80</v>
      </c>
      <c r="BK6" s="54">
        <v>0</v>
      </c>
      <c r="BL6" s="56"/>
      <c r="BM6" s="55" t="s">
        <v>34</v>
      </c>
      <c r="BN6" s="56"/>
      <c r="BO6" s="59" t="s">
        <v>19</v>
      </c>
      <c r="BP6" s="54">
        <v>0</v>
      </c>
      <c r="BQ6" s="54">
        <v>0</v>
      </c>
      <c r="BR6" s="56"/>
      <c r="BS6" s="56"/>
      <c r="BT6" s="55" t="s">
        <v>16</v>
      </c>
      <c r="BU6" s="54">
        <v>3</v>
      </c>
      <c r="BV6" s="54">
        <v>0</v>
      </c>
      <c r="BW6" s="54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5"/>
      <c r="CI6" s="55"/>
      <c r="CJ6" s="56"/>
      <c r="CK6" s="55" t="s">
        <v>47</v>
      </c>
      <c r="CL6" s="54">
        <v>1</v>
      </c>
      <c r="CM6" s="55" t="s">
        <v>16</v>
      </c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36"/>
      <c r="CY6" s="3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 x14ac:dyDescent="0.3">
      <c r="A1" s="14"/>
      <c r="B1" s="65" t="s">
        <v>11</v>
      </c>
      <c r="C1" s="66"/>
      <c r="D1" s="66"/>
      <c r="E1" s="66"/>
      <c r="F1" s="66"/>
      <c r="G1" s="66"/>
      <c r="H1" s="67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2">
      <c r="A3" s="17"/>
      <c r="B3" s="2" t="s">
        <v>8</v>
      </c>
      <c r="C3" s="18" t="s">
        <v>48</v>
      </c>
      <c r="D3" s="2" t="s">
        <v>9</v>
      </c>
      <c r="E3" s="18" t="s">
        <v>49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2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2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2">
      <c r="A6" s="9"/>
      <c r="B6" s="60"/>
      <c r="C6" s="60" t="s">
        <v>16</v>
      </c>
      <c r="D6" s="61">
        <v>80</v>
      </c>
      <c r="E6" s="60" t="s">
        <v>18</v>
      </c>
      <c r="F6" s="60" t="s">
        <v>50</v>
      </c>
      <c r="G6" s="61">
        <v>10</v>
      </c>
      <c r="H6" s="60" t="s">
        <v>51</v>
      </c>
      <c r="I6" s="47">
        <v>0</v>
      </c>
      <c r="J6" s="60"/>
      <c r="K6" s="47">
        <v>0</v>
      </c>
      <c r="L6" s="60"/>
      <c r="M6" s="60"/>
      <c r="N6" s="61">
        <v>-800</v>
      </c>
      <c r="O6" s="60"/>
      <c r="P6" s="60" t="s">
        <v>52</v>
      </c>
      <c r="Q6" s="62">
        <v>-800</v>
      </c>
      <c r="R6" s="60"/>
      <c r="S6" s="60"/>
      <c r="T6" s="41" t="s">
        <v>30</v>
      </c>
      <c r="U6" s="41" t="s">
        <v>47</v>
      </c>
      <c r="V6" s="41" t="s">
        <v>33</v>
      </c>
      <c r="W6" s="41" t="s">
        <v>34</v>
      </c>
      <c r="X6" s="41"/>
      <c r="Y6" s="63">
        <v>1</v>
      </c>
      <c r="Z6" s="41"/>
      <c r="AA6" s="41"/>
      <c r="AB6" s="63">
        <v>0</v>
      </c>
      <c r="AC6" s="63">
        <v>0</v>
      </c>
      <c r="AD6" s="63">
        <v>0</v>
      </c>
      <c r="AE6" s="63">
        <v>0</v>
      </c>
      <c r="AF6" s="40">
        <v>80</v>
      </c>
      <c r="AG6" s="63">
        <v>0</v>
      </c>
      <c r="AH6" s="63">
        <v>0</v>
      </c>
      <c r="AI6" s="63">
        <v>0</v>
      </c>
      <c r="AJ6" s="63">
        <v>0</v>
      </c>
      <c r="AK6" s="40">
        <v>-800</v>
      </c>
      <c r="AL6" s="63">
        <v>1</v>
      </c>
      <c r="AM6" s="63">
        <v>1</v>
      </c>
      <c r="AN6" s="41" t="s">
        <v>17</v>
      </c>
      <c r="AO6" s="41"/>
      <c r="AP6" s="41" t="s">
        <v>32</v>
      </c>
      <c r="AQ6" s="41" t="s">
        <v>16</v>
      </c>
      <c r="AR6" s="63">
        <v>0</v>
      </c>
      <c r="AS6" s="63">
        <v>1</v>
      </c>
      <c r="AT6" s="41"/>
      <c r="AU6" s="41"/>
      <c r="AV6" s="63">
        <v>1</v>
      </c>
      <c r="AW6" s="40">
        <v>-800</v>
      </c>
      <c r="AX6" s="63">
        <v>0</v>
      </c>
      <c r="AY6" s="63">
        <v>0</v>
      </c>
      <c r="AZ6" s="63">
        <v>0</v>
      </c>
      <c r="BA6" s="63">
        <v>-100</v>
      </c>
      <c r="BB6" s="41"/>
      <c r="BC6" s="63">
        <v>1</v>
      </c>
      <c r="BD6" s="40">
        <v>-800</v>
      </c>
      <c r="BE6" s="41"/>
      <c r="BF6" s="41"/>
      <c r="BG6" s="41"/>
      <c r="BH6" s="41"/>
      <c r="BI6" s="41"/>
      <c r="BJ6" s="63">
        <v>0</v>
      </c>
      <c r="BK6" s="63">
        <v>0</v>
      </c>
      <c r="BL6" s="63">
        <v>0</v>
      </c>
      <c r="BM6" s="63">
        <v>0</v>
      </c>
      <c r="BN6" s="41"/>
      <c r="BO6" s="40">
        <v>-800</v>
      </c>
      <c r="BP6" s="41"/>
      <c r="BQ6" s="41"/>
      <c r="BR6" s="41"/>
      <c r="BS6" s="63">
        <v>0</v>
      </c>
      <c r="BT6" s="63">
        <v>0</v>
      </c>
      <c r="BU6" s="41" t="s">
        <v>30</v>
      </c>
      <c r="BV6" s="41"/>
      <c r="BW6" s="63">
        <v>0</v>
      </c>
      <c r="BX6" s="63">
        <v>0</v>
      </c>
      <c r="BY6" s="63">
        <v>0</v>
      </c>
      <c r="BZ6" s="63">
        <v>0</v>
      </c>
      <c r="CA6" s="63">
        <v>0</v>
      </c>
      <c r="CB6" s="41"/>
      <c r="CC6" s="63">
        <v>0</v>
      </c>
      <c r="CD6" s="40">
        <v>-800</v>
      </c>
      <c r="CE6" s="63">
        <v>0</v>
      </c>
      <c r="CF6" s="63">
        <v>0</v>
      </c>
      <c r="CG6" s="40">
        <v>-800</v>
      </c>
      <c r="CH6" s="63">
        <v>-100</v>
      </c>
      <c r="CI6" s="63">
        <v>0</v>
      </c>
      <c r="CJ6" s="63">
        <v>0</v>
      </c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</row>
    <row r="7" spans="1:168" ht="15.75" customHeight="1" x14ac:dyDescent="0.2">
      <c r="A7" s="5"/>
      <c r="B7" s="60"/>
      <c r="C7" s="60" t="s">
        <v>16</v>
      </c>
      <c r="D7" s="61">
        <v>-80</v>
      </c>
      <c r="E7" s="60" t="s">
        <v>18</v>
      </c>
      <c r="F7" s="60" t="s">
        <v>50</v>
      </c>
      <c r="G7" s="47">
        <v>12</v>
      </c>
      <c r="H7" s="60" t="s">
        <v>51</v>
      </c>
      <c r="I7" s="47">
        <v>0</v>
      </c>
      <c r="J7" s="60"/>
      <c r="K7" s="47">
        <v>0</v>
      </c>
      <c r="L7" s="60"/>
      <c r="M7" s="60"/>
      <c r="N7" s="61">
        <v>960</v>
      </c>
      <c r="O7" s="60"/>
      <c r="P7" s="60" t="s">
        <v>52</v>
      </c>
      <c r="Q7" s="62">
        <v>960</v>
      </c>
      <c r="R7" s="60"/>
      <c r="S7" s="60"/>
      <c r="T7" s="41" t="s">
        <v>30</v>
      </c>
      <c r="U7" s="41" t="s">
        <v>47</v>
      </c>
      <c r="V7" s="41" t="s">
        <v>33</v>
      </c>
      <c r="W7" s="41" t="s">
        <v>34</v>
      </c>
      <c r="X7" s="41"/>
      <c r="Y7" s="63">
        <v>1</v>
      </c>
      <c r="Z7" s="41"/>
      <c r="AA7" s="41"/>
      <c r="AB7" s="63">
        <v>0</v>
      </c>
      <c r="AC7" s="63">
        <v>0</v>
      </c>
      <c r="AD7" s="63">
        <v>0</v>
      </c>
      <c r="AE7" s="63">
        <v>0</v>
      </c>
      <c r="AF7" s="40">
        <v>-80</v>
      </c>
      <c r="AG7" s="63">
        <v>0</v>
      </c>
      <c r="AH7" s="63">
        <v>0</v>
      </c>
      <c r="AI7" s="63">
        <v>0</v>
      </c>
      <c r="AJ7" s="63">
        <v>0</v>
      </c>
      <c r="AK7" s="40">
        <v>960</v>
      </c>
      <c r="AL7" s="63">
        <v>1</v>
      </c>
      <c r="AM7" s="63">
        <v>1</v>
      </c>
      <c r="AN7" s="64" t="s">
        <v>19</v>
      </c>
      <c r="AO7" s="41"/>
      <c r="AP7" s="41" t="s">
        <v>32</v>
      </c>
      <c r="AQ7" s="41" t="s">
        <v>16</v>
      </c>
      <c r="AR7" s="63">
        <v>0</v>
      </c>
      <c r="AS7" s="40">
        <v>-1</v>
      </c>
      <c r="AT7" s="41"/>
      <c r="AU7" s="41"/>
      <c r="AV7" s="63">
        <v>1</v>
      </c>
      <c r="AW7" s="40">
        <v>960</v>
      </c>
      <c r="AX7" s="63">
        <v>0</v>
      </c>
      <c r="AY7" s="63">
        <v>0</v>
      </c>
      <c r="AZ7" s="63">
        <v>0</v>
      </c>
      <c r="BA7" s="40">
        <v>100</v>
      </c>
      <c r="BB7" s="41"/>
      <c r="BC7" s="63">
        <v>1</v>
      </c>
      <c r="BD7" s="40">
        <v>960</v>
      </c>
      <c r="BE7" s="41"/>
      <c r="BF7" s="41"/>
      <c r="BG7" s="41"/>
      <c r="BH7" s="41"/>
      <c r="BI7" s="41"/>
      <c r="BJ7" s="63">
        <v>0</v>
      </c>
      <c r="BK7" s="63">
        <v>0</v>
      </c>
      <c r="BL7" s="63">
        <v>0</v>
      </c>
      <c r="BM7" s="63">
        <v>0</v>
      </c>
      <c r="BN7" s="41"/>
      <c r="BO7" s="40">
        <v>960</v>
      </c>
      <c r="BP7" s="41"/>
      <c r="BQ7" s="41"/>
      <c r="BR7" s="41"/>
      <c r="BS7" s="63">
        <v>0</v>
      </c>
      <c r="BT7" s="63">
        <v>0</v>
      </c>
      <c r="BU7" s="41" t="s">
        <v>30</v>
      </c>
      <c r="BV7" s="41"/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41"/>
      <c r="CC7" s="63">
        <v>0</v>
      </c>
      <c r="CD7" s="40">
        <v>960</v>
      </c>
      <c r="CE7" s="63">
        <v>0</v>
      </c>
      <c r="CF7" s="63">
        <v>0</v>
      </c>
      <c r="CG7" s="40">
        <v>960</v>
      </c>
      <c r="CH7" s="40">
        <v>100</v>
      </c>
      <c r="CI7" s="63">
        <v>0</v>
      </c>
      <c r="CJ7" s="63">
        <v>0</v>
      </c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VerifyOrder</vt:lpstr>
      <vt:lpstr>GetDataClosing</vt:lpstr>
      <vt:lpstr>ManualClosing</vt:lpstr>
      <vt:lpstr>VerifyClosedTrades</vt:lpstr>
      <vt:lpstr>SelectTradeOnOrderGrid</vt:lpstr>
      <vt:lpstr>RemoveManualExecution</vt:lpstr>
      <vt:lpstr>VerifyOrder1</vt:lpstr>
      <vt:lpstr>VerifyWorkingSubs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2021-08-04T11:44:48Z</dcterms:modified>
</cp:coreProperties>
</file>