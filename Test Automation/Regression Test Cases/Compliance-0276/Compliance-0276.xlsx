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</sheets>
  <definedNames/>
  <calcPr/>
</workbook>
</file>

<file path=xl/sharedStrings.xml><?xml version="1.0" encoding="utf-8"?>
<sst xmlns="http://schemas.openxmlformats.org/spreadsheetml/2006/main" count="189" uniqueCount="50">
  <si>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</si>
  <si>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</si>
  <si>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</si>
  <si>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</si>
  <si>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</si>
  <si>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</si>
  <si>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</si>
  <si>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</si>
  <si>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</si>
  <si>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</si>
  <si>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</si>
  <si>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</si>
  <si>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</si>
  <si>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</si>
  <si>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</si>
  <si>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</si>
  <si>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</si>
  <si>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</si>
  <si>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</si>
  <si>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</si>
  <si>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</si>
  <si>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O:COP 14O62.50</t>
  </si>
  <si>
    <t>Buy to Open</t>
  </si>
  <si>
    <t>Allocation1</t>
  </si>
  <si>
    <t>ES U2</t>
  </si>
  <si>
    <t>Buy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</si>
  <si>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</si>
  <si>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</si>
  <si>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</si>
  <si>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</si>
  <si>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</si>
  <si>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</si>
  <si>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</si>
  <si>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</si>
  <si>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</si>
  <si>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</si>
  <si>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</si>
  <si>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</si>
  <si>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</si>
  <si>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</si>
  <si>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</si>
  <si>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59.7015, percentNetMarketValueGlobal: 35.8209, percentGrossExposureGlobal: 59.7015, percentGrossMarketValueGlobal: 35.8209</t>
  </si>
  <si>
    <t>Blotter</t>
  </si>
  <si>
    <t>SelectTradeOnOrderGrid</t>
  </si>
  <si>
    <t>Filled</t>
  </si>
  <si>
    <t>ReplaceSubOrder</t>
  </si>
  <si>
    <t>Replace</t>
  </si>
  <si>
    <t>percentNetExposureGlobal: 89.5522, percentNetMarketValueGlobal: 35.8209, percentGrossExposureGlobal: 89.5522, percentGrossMarketValueGlobal: 35.8209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</si>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</sst>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8" fillId="6" fontId="13" numFmtId="0" xfId="0" applyAlignment="1" applyBorder="1" applyFill="1" applyFont="1">
      <alignment horizontal="left" readingOrder="0" shrinkToFit="0" vertical="top" wrapText="0"/>
    </xf>
    <xf borderId="8" fillId="7" fontId="14" numFmtId="0" xfId="0" applyAlignment="1" applyBorder="1" applyFill="1" applyFont="1">
      <alignment horizontal="left" readingOrder="0" shrinkToFit="0" vertical="top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8" fillId="8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4" t="b">
        <v>0</v>
      </c>
      <c r="G6" s="34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21</v>
      </c>
      <c r="C6" s="38" t="s">
        <v>22</v>
      </c>
      <c r="D6" s="39">
        <v>10.0</v>
      </c>
      <c r="E6" s="40">
        <v>0.0</v>
      </c>
      <c r="F6" s="38" t="s">
        <v>23</v>
      </c>
      <c r="G6" s="31"/>
      <c r="H6" s="31"/>
      <c r="I6" s="31"/>
      <c r="J6" s="40">
        <v>10.0</v>
      </c>
      <c r="K6" s="31"/>
      <c r="L6" s="31"/>
      <c r="M6" s="31"/>
      <c r="N6" s="41">
        <f t="shared" ref="N6:N9" si="1">TODAY()-1</f>
        <v>45277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2"/>
      <c r="B7" s="43" t="s">
        <v>21</v>
      </c>
      <c r="C7" s="38" t="s">
        <v>22</v>
      </c>
      <c r="D7" s="40">
        <v>10.0</v>
      </c>
      <c r="E7" s="31"/>
      <c r="F7" s="38" t="s">
        <v>23</v>
      </c>
      <c r="G7" s="31"/>
      <c r="H7" s="31"/>
      <c r="I7" s="31"/>
      <c r="J7" s="40">
        <v>10.0</v>
      </c>
      <c r="K7" s="31"/>
      <c r="L7" s="31"/>
      <c r="M7" s="31"/>
      <c r="N7" s="41">
        <f t="shared" si="1"/>
        <v>45277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2"/>
      <c r="B8" s="43" t="s">
        <v>24</v>
      </c>
      <c r="C8" s="38" t="s">
        <v>25</v>
      </c>
      <c r="D8" s="40">
        <v>100.0</v>
      </c>
      <c r="E8" s="40">
        <v>0.0</v>
      </c>
      <c r="F8" s="38" t="s">
        <v>23</v>
      </c>
      <c r="G8" s="31"/>
      <c r="H8" s="31"/>
      <c r="I8" s="31"/>
      <c r="J8" s="40">
        <v>10.0</v>
      </c>
      <c r="K8" s="31"/>
      <c r="L8" s="31"/>
      <c r="M8" s="31"/>
      <c r="N8" s="41">
        <f t="shared" si="1"/>
        <v>45277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2"/>
      <c r="B9" s="43" t="s">
        <v>24</v>
      </c>
      <c r="C9" s="38" t="s">
        <v>25</v>
      </c>
      <c r="D9" s="40">
        <v>100.0</v>
      </c>
      <c r="E9" s="31"/>
      <c r="F9" s="38" t="s">
        <v>23</v>
      </c>
      <c r="G9" s="31"/>
      <c r="H9" s="31"/>
      <c r="I9" s="31"/>
      <c r="J9" s="40">
        <v>10.0</v>
      </c>
      <c r="K9" s="31"/>
      <c r="L9" s="31"/>
      <c r="M9" s="31"/>
      <c r="N9" s="41">
        <f t="shared" si="1"/>
        <v>45277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21</v>
      </c>
      <c r="C6" s="38" t="s">
        <v>22</v>
      </c>
      <c r="D6" s="39">
        <v>10.0</v>
      </c>
      <c r="E6" s="31"/>
      <c r="F6" s="38" t="s">
        <v>23</v>
      </c>
      <c r="G6" s="31"/>
      <c r="H6" s="31"/>
      <c r="I6" s="31"/>
      <c r="J6" s="40">
        <v>10.0</v>
      </c>
      <c r="K6" s="31"/>
      <c r="L6" s="31"/>
      <c r="M6" s="31"/>
      <c r="N6" s="41">
        <f t="shared" ref="N6:N7" si="1">TODAY()-1</f>
        <v>45277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2"/>
      <c r="B7" s="43" t="s">
        <v>24</v>
      </c>
      <c r="C7" s="38" t="s">
        <v>25</v>
      </c>
      <c r="D7" s="40">
        <v>100.0</v>
      </c>
      <c r="E7" s="31"/>
      <c r="F7" s="38" t="s">
        <v>23</v>
      </c>
      <c r="G7" s="31"/>
      <c r="H7" s="31"/>
      <c r="I7" s="31"/>
      <c r="J7" s="40">
        <v>10.0</v>
      </c>
      <c r="K7" s="31"/>
      <c r="L7" s="31"/>
      <c r="M7" s="31"/>
      <c r="N7" s="41">
        <f t="shared" si="1"/>
        <v>45277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21</v>
      </c>
      <c r="C6" s="40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2"/>
      <c r="B7" s="43" t="s">
        <v>24</v>
      </c>
      <c r="C7" s="40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>
        <f t="shared" ref="B6:C6" si="1">today()-1</f>
        <v>45277</v>
      </c>
      <c r="C6" s="45">
        <f t="shared" si="1"/>
        <v>45277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23</v>
      </c>
      <c r="C6" s="47" t="s">
        <v>31</v>
      </c>
      <c r="D6" s="48">
        <v>115000.0</v>
      </c>
      <c r="E6" s="4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0" t="s">
        <v>32</v>
      </c>
      <c r="C7" s="51" t="s">
        <v>31</v>
      </c>
      <c r="D7" s="52">
        <v>100000.0</v>
      </c>
      <c r="E7" s="43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53" t="s">
        <v>24</v>
      </c>
      <c r="C6" s="38" t="s">
        <v>22</v>
      </c>
      <c r="D6" s="39">
        <v>100.0</v>
      </c>
      <c r="E6" s="31"/>
      <c r="F6" s="38" t="s">
        <v>23</v>
      </c>
      <c r="G6" s="31"/>
      <c r="H6" s="31"/>
      <c r="I6" s="31"/>
      <c r="J6" s="40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34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36</v>
      </c>
      <c r="C6" s="55" t="s">
        <v>37</v>
      </c>
      <c r="D6" s="55" t="s">
        <v>38</v>
      </c>
      <c r="E6" s="55" t="s">
        <v>39</v>
      </c>
      <c r="F6" s="55" t="s">
        <v>40</v>
      </c>
      <c r="G6" s="55" t="s">
        <v>40</v>
      </c>
      <c r="H6" s="55" t="s">
        <v>41</v>
      </c>
      <c r="I6" s="8"/>
      <c r="J6" s="8"/>
      <c r="K6" s="12" t="s">
        <v>18</v>
      </c>
      <c r="L6" s="8"/>
      <c r="M6" s="12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6">
        <v>20.0</v>
      </c>
      <c r="C6" s="42"/>
      <c r="D6" s="53" t="s">
        <v>24</v>
      </c>
      <c r="E6" s="31"/>
      <c r="F6" s="38" t="s">
        <v>22</v>
      </c>
      <c r="G6" s="38" t="s">
        <v>44</v>
      </c>
      <c r="H6" s="40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9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43" t="s">
        <v>24</v>
      </c>
      <c r="AK6" s="31" t="s">
        <v>25</v>
      </c>
      <c r="AL6" s="31" t="s">
        <v>44</v>
      </c>
      <c r="AM6" s="57">
        <v>100.0</v>
      </c>
      <c r="AN6" s="31"/>
      <c r="AO6" s="31"/>
      <c r="AP6" s="31"/>
      <c r="AQ6" s="31"/>
      <c r="AR6" s="31"/>
      <c r="AS6" s="57">
        <v>20.0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3" t="s">
        <v>24</v>
      </c>
      <c r="C6" s="31"/>
      <c r="D6" s="39">
        <v>200.0</v>
      </c>
      <c r="E6" s="31"/>
      <c r="F6" s="31"/>
      <c r="G6" s="31"/>
      <c r="H6" s="31"/>
      <c r="I6" s="31"/>
      <c r="J6" s="40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46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36</v>
      </c>
      <c r="C6" s="58" t="s">
        <v>37</v>
      </c>
      <c r="D6" s="58" t="s">
        <v>38</v>
      </c>
      <c r="E6" s="58" t="s">
        <v>39</v>
      </c>
      <c r="F6" s="58" t="s">
        <v>40</v>
      </c>
      <c r="G6" s="58" t="s">
        <v>40</v>
      </c>
      <c r="H6" s="58" t="s">
        <v>47</v>
      </c>
      <c r="I6" s="8"/>
      <c r="J6" s="8"/>
      <c r="K6" s="12" t="s">
        <v>18</v>
      </c>
      <c r="L6" s="8"/>
      <c r="M6" s="12" t="s">
        <v>46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9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3" t="s">
        <v>24</v>
      </c>
      <c r="AJ6" s="31" t="s">
        <v>25</v>
      </c>
      <c r="AK6" s="31" t="s">
        <v>49</v>
      </c>
      <c r="AL6" s="57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36</v>
      </c>
      <c r="C6" s="55" t="s">
        <v>37</v>
      </c>
      <c r="D6" s="55" t="s">
        <v>38</v>
      </c>
      <c r="E6" s="55" t="s">
        <v>39</v>
      </c>
      <c r="F6" s="55" t="s">
        <v>40</v>
      </c>
      <c r="G6" s="55" t="s">
        <v>40</v>
      </c>
      <c r="H6" s="55" t="s">
        <v>47</v>
      </c>
      <c r="I6" s="8"/>
      <c r="J6" s="8"/>
      <c r="K6" s="12" t="s">
        <v>18</v>
      </c>
      <c r="L6" s="8"/>
      <c r="M6" s="12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