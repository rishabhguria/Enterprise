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RoundLot" sheetId="4" r:id="rId6"/>
    <sheet name="CreateDoneAwayOrder" sheetId="5" r:id="rId7"/>
    <sheet name="PricingInput" sheetId="6" r:id="rId8"/>
    <sheet name="GetForexConversion" sheetId="7" r:id="rId9"/>
    <sheet name="UpdateForexConversion" sheetId="8" r:id="rId10"/>
    <sheet name="GetDailyCash" sheetId="9" r:id="rId11"/>
    <sheet name="UpdateMultipleDailyCash" sheetId="10" r:id="rId12"/>
    <sheet name="CalculatePTT" sheetId="11" r:id="rId13"/>
    <sheet name="VerifyPTT" sheetId="12" r:id="rId14"/>
    <sheet name="CreateOrderPTT" sheetId="13" r:id="rId15"/>
    <sheet name="CalculatePTT1" sheetId="14" r:id="rId16"/>
    <sheet name="CreateOrderPTT1" sheetId="15" r:id="rId17"/>
    <sheet name="VerifyPTT1" sheetId="16" r:id="rId18"/>
    <sheet name="VerifyOrder" sheetId="17" r:id="rId19"/>
  </sheets>
  <calcPr fullCalcOnLoad="1"/>
</workbook>
</file>

<file path=xl/sharedStrings.xml><?xml version="1.0" encoding="utf-8"?>
<sst xmlns="http://schemas.openxmlformats.org/spreadsheetml/2006/main" count="50" uniqueCount="50">
  <si>
    <t>Modules Info</t>
  </si>
  <si>
    <t>Modules</t>
  </si>
  <si>
    <t>Settings</t>
  </si>
  <si>
    <t>Module Step Setting File</t>
  </si>
  <si>
    <t>1UnP-m_FhUaxJsDd-bd9JqtzQS2kFnkJzqDKL8JmgTfQ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</si>
  <si>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</si>
  <si>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</si>
  <si>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</si>
  <si>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</si>
  <si>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</si>
  <si>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</si>
  <si>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</si>
  <si>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</si>
  <si>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</si>
  <si>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</si>
  <si>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</si>
  <si>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</si>
  <si>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FRU-TC</t>
  </si>
  <si>
    <t>IBM</t>
  </si>
  <si>
    <t>DOOR</t>
  </si>
  <si>
    <t>TradingTicket</t>
  </si>
  <si>
    <t>CreateDoneAwayOrder</t>
  </si>
  <si>
    <t>Buy</t>
  </si>
  <si>
    <t>Allocation1</t>
  </si>
  <si>
    <t>ND H9</t>
  </si>
  <si>
    <t>O:AAPL 13N715.00</t>
  </si>
  <si>
    <t>Buy to Open</t>
  </si>
  <si>
    <t>Allocation2</t>
  </si>
  <si>
    <t>PricingInput</t>
  </si>
  <si>
    <t>DailyValuation</t>
  </si>
  <si>
    <t>GetForexConversion</t>
  </si>
  <si>
    <t>UpdateForexConversion</t>
  </si>
  <si>
    <t>USD</t>
  </si>
  <si>
    <t>CAD</t>
  </si>
  <si>
    <t>CAD A0-FX</t>
  </si>
  <si>
    <t>GetDailyCash</t>
  </si>
  <si>
    <t>UpdateMultipleDailyCash</t>
  </si>
  <si>
    <t>PTT</t>
  </si>
  <si>
    <t>CalculatePTT</t>
  </si>
  <si>
    <t>Set</t>
  </si>
  <si>
    <t>Percentage</t>
  </si>
  <si>
    <t>No</t>
  </si>
  <si>
    <t>Allocation1,Allocation2</t>
  </si>
  <si>
    <t>Yes</t>
  </si>
  <si>
    <t>VerifyPTT</t>
  </si>
  <si>
    <t>CreateOrderPTT</t>
  </si>
  <si>
    <t>Blotter</t>
  </si>
  <si>
    <t>VerifyOrder</t>
  </si>
  <si>
    <t>New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</si>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</sst>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name val="Calibri"/>
    </font>
    <font>
      <sz val="9"/>
      <color rgb="FFFF8000"/>
      <name val="&quot;Segoe UI&quot;"/>
    </font>
    <font>
      <sz val="9"/>
      <color rgb="FFFF8000"/>
      <name val="Verdana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fontId="0" fillId="0" borderId="0"/>
  </cellStyleXfs>
  <cellXfs count="51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5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7" applyFont="1" fillId="3" applyFill="1" borderId="4" applyBorder="1" xfId="0"/>
    <xf fontId="1" applyFont="1" fillId="2" applyFill="1" borderId="1" applyBorder="1" xfId="0">
      <alignment horizontal="center"/>
    </xf>
    <xf fontId="8" applyFont="1" fillId="3" applyFill="1" borderId="4" applyBorder="1" xfId="0"/>
    <xf fontId="8" applyFont="1" fillId="3" applyFill="1" borderId="4" applyBorder="1" xfId="0"/>
    <xf fontId="9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7" applyFont="1" fillId="0" applyFill="1" borderId="0" applyBorder="1" xfId="0"/>
    <xf fontId="4" applyFont="1" fillId="3" applyFill="1" borderId="0" applyBorder="1" xfId="0"/>
    <xf fontId="7" applyFont="1" fillId="3" applyFill="1" borderId="4" applyBorder="1" xfId="0"/>
    <xf fontId="10" applyFont="1" fillId="3" applyFill="1" borderId="0" applyBorder="1" xfId="0"/>
    <xf fontId="11" applyFont="1" fillId="4" applyFill="1" borderId="0" applyBorder="1" xfId="0"/>
    <xf fontId="12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0" applyFont="1" fillId="5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/>
    <xf fontId="5" applyFont="1" fillId="0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/>
    <xf numFmtId="14" applyNumberFormat="1" fontId="5" applyFont="1" fillId="0" applyFill="1" borderId="0" applyBorder="1" xfId="0">
      <alignment horizontal="right"/>
    </xf>
    <xf numFmtId="3" applyNumberFormat="1" fontId="5" applyFont="1" fillId="0" applyFill="1" borderId="0" applyBorder="1" xfId="0">
      <alignment horizontal="right"/>
    </xf>
    <xf fontId="3" applyFont="1" fillId="0" applyFill="1" borderId="0" applyBorder="1" xfId="0"/>
    <xf fontId="13" applyFont="1" fillId="0" applyFill="1" borderId="0" applyBorder="1" xfId="0">
      <alignment horizontal="right"/>
    </xf>
    <xf fontId="13" applyFont="1" fillId="0" applyFill="1" borderId="0" applyBorder="1" xfId="0">
      <alignment horizontal="right"/>
    </xf>
    <xf fontId="3" applyFont="1" fillId="0" applyFill="1" borderId="5" applyBorder="1" xfId="0"/>
    <xf fontId="14" applyFont="1" fillId="6" applyFill="1" borderId="6" applyBorder="1" xfId="0">
      <alignment horizontal="right" vertical="top"/>
    </xf>
    <xf fontId="15" applyFont="1" fillId="6" applyFill="1" borderId="6" applyBorder="1" xfId="0">
      <alignment horizontal="right" vertical="top"/>
    </xf>
    <xf fontId="14" applyFont="1" fillId="6" applyFill="1" borderId="6" applyBorder="1" xfId="0">
      <alignment horizontal="right" vertical="top"/>
    </xf>
    <xf fontId="14" applyFont="1" fillId="6" applyFill="1" borderId="7" applyBorder="1" xfId="0">
      <alignment horizontal="right" vertical="top"/>
    </xf>
    <xf fontId="14" applyFont="1" fillId="7" applyFill="1" borderId="8" applyBorder="1" xfId="0">
      <alignment horizontal="right" vertical="top"/>
    </xf>
    <xf fontId="15" applyFont="1" fillId="7" applyFill="1" borderId="8" applyBorder="1" xfId="0">
      <alignment horizontal="righ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0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2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IFERROR(__xludf.DUMMYFUNCTION("""COMPUTED_VALUE"""),"1eq2tbYNZTU6VAfgYF2-ao4AM8-9yiVmbLsTlsY4KXro")</f>
        <v>1eq2tbYNZTU6VAfgYF2-ao4AM8-9yiVmbLsTlsY4KXro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20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Data!A4:L1000"")"),"TradingTicket")</f>
        <v>TradingTicket</v>
      </c>
      <c r="B4" s="0" t="str">
        <f>IFERROR(__xludf.DUMMYFUNCTION("""COMPUTED_VALUE"""),"TradeUsingTT")</f>
        <v>TradeUsingTT</v>
      </c>
      <c r="C4" s="0" t="str">
        <f>IFERROR(__xludf.DUMMYFUNCTION("""COMPUTED_VALUE"""),"TTTrades")</f>
        <v>TTTrades</v>
      </c>
      <c r="D4" s="0" t="str">
        <f>IFERROR(__xludf.DUMMYFUNCTION("""COMPUTED_VALUE"""),"1Q0knOJ8odySzW9kzE5w8PdOc44G2QBZUfKg5ZvUx-xw")</f>
        <v>1Q0knOJ8odySzW9kzE5w8PdOc44G2QBZUfKg5ZvUx-xw</v>
      </c>
    </row>
    <row r="5">
      <c r="A5" s="0" t="str">
        <f>IFERROR(__xludf.DUMMYFUNCTION("""COMPUTED_VALUE"""),"Allocation")</f>
        <v>Allocation</v>
      </c>
      <c r="B5" s="0" t="str">
        <f>IFERROR(__xludf.DUMMYFUNCTION("""COMPUTED_VALUE"""),"SelectAllocatedGroup")</f>
        <v>SelectAllocatedGroup</v>
      </c>
      <c r="C5" s="0" t="str">
        <f>IFERROR(__xludf.DUMMYFUNCTION("""COMPUTED_VALUE"""),"TradesForAllocation")</f>
        <v>TradesForAllocation</v>
      </c>
      <c r="D5" s="0" t="str">
        <f>IFERROR(__xludf.DUMMYFUNCTION("""COMPUTED_VALUE"""),"1-RJhOo2E5PhyqaiMEjsPi8RpfYBuiSqE9fj_-bRpkKw")</f>
        <v>1-RJhOo2E5PhyqaiMEjsPi8RpfYBuiSqE9fj_-bRpkKw</v>
      </c>
    </row>
    <row r="6">
      <c r="A6" s="0" t="str">
        <f>IFERROR(__xludf.DUMMYFUNCTION("""COMPUTED_VALUE"""),"Allocation")</f>
        <v>Allocation</v>
      </c>
      <c r="B6" s="0" t="str">
        <f>IFERROR(__xludf.DUMMYFUNCTION("""COMPUTED_VALUE"""),"SelectUnallocatedGroup")</f>
        <v>SelectUnallocatedGroup</v>
      </c>
      <c r="C6" s="0" t="str">
        <f>IFERROR(__xludf.DUMMYFUNCTION("""COMPUTED_VALUE"""),"TradesForAllocation")</f>
        <v>TradesForAllocation</v>
      </c>
      <c r="D6" s="0" t="str">
        <f>IFERROR(__xludf.DUMMYFUNCTION("""COMPUTED_VALUE"""),"1-RJhOo2E5PhyqaiMEjsPi8RpfYBuiSqE9fj_-bRpkKw")</f>
        <v>1-RJhOo2E5PhyqaiMEjsPi8RpfYBuiSqE9fj_-bRpkKw</v>
      </c>
    </row>
    <row r="7">
      <c r="A7" s="0" t="str">
        <f>IFERROR(__xludf.DUMMYFUNCTION("""COMPUTED_VALUE"""),"TradingTicket")</f>
        <v>TradingTicket</v>
      </c>
      <c r="B7" s="0" t="str">
        <f>IFERROR(__xludf.DUMMYFUNCTION("""COMPUTED_VALUE"""),"CreateDoneAwayOrder")</f>
        <v>CreateDoneAwayOrder</v>
      </c>
      <c r="C7" s="0" t="str">
        <f>IFERROR(__xludf.DUMMYFUNCTION("""COMPUTED_VALUE"""),"TTInput")</f>
        <v>TTInput</v>
      </c>
      <c r="D7" s="0" t="str">
        <f>IFERROR(__xludf.DUMMYFUNCTION("""COMPUTED_VALUE"""),"1b5S4Xpp4fgZ1ez6cK92QFnVBylqz8jhwxdAyEvwDqUI")</f>
        <v>1b5S4Xpp4fgZ1ez6cK92QFnVBylqz8jhwxdAyEvwDqUI</v>
      </c>
    </row>
    <row r="8">
      <c r="A8" s="0" t="str">
        <f>IFERROR(__xludf.DUMMYFUNCTION("""COMPUTED_VALUE"""),"Allocation")</f>
        <v>Allocation</v>
      </c>
      <c r="B8" s="0" t="str">
        <f>IFERROR(__xludf.DUMMYFUNCTION("""COMPUTED_VALUE"""),"SetGroupingRules")</f>
        <v>SetGroupingRules</v>
      </c>
      <c r="C8" s="0" t="str">
        <f>IFERROR(__xludf.DUMMYFUNCTION("""COMPUTED_VALUE"""),"GroupingRules")</f>
        <v>GroupingRules</v>
      </c>
      <c r="D8" s="0" t="str">
        <f>IFERROR(__xludf.DUMMYFUNCTION("""COMPUTED_VALUE"""),"1oiITP7kpTv6Zgm5fpjzHWhIjzPRoRqS_CIZxqoxWRkA")</f>
        <v>1oiITP7kpTv6Zgm5fpjzHWhIjzPRoRqS_CIZxqoxWRkA</v>
      </c>
    </row>
    <row r="9">
      <c r="A9" s="0" t="str">
        <f>IFERROR(__xludf.DUMMYFUNCTION("""COMPUTED_VALUE"""),"Allocation")</f>
        <v>Allocation</v>
      </c>
      <c r="B9" s="0" t="str">
        <f>IFERROR(__xludf.DUMMYFUNCTION("""COMPUTED_VALUE"""),"CheckUnallocatedGroups")</f>
        <v>CheckUnallocatedGroups</v>
      </c>
      <c r="C9" s="0" t="str">
        <f>IFERROR(__xludf.DUMMYFUNCTION("""COMPUTED_VALUE"""),"UnallocatedGroupCheck")</f>
        <v>UnallocatedGroupCheck</v>
      </c>
      <c r="D9" s="0" t="str">
        <f>IFERROR(__xludf.DUMMYFUNCTION("""COMPUTED_VALUE"""),"1c7aP-E18Fb8lEVGiXac03BLoNVdUNRzodD2Xjn-9pzU")</f>
        <v>1c7aP-E18Fb8lEVGiXac03BLoNVdUNRzodD2Xjn-9pzU</v>
      </c>
    </row>
    <row r="10">
      <c r="A10" s="0" t="str">
        <f>IFERROR(__xludf.DUMMYFUNCTION("""COMPUTED_VALUE"""),"GeneralLedger")</f>
        <v>GeneralLedger</v>
      </c>
      <c r="B10" s="0" t="str">
        <f>IFERROR(__xludf.DUMMYFUNCTION("""COMPUTED_VALUE"""),"GetTradingTransaction")</f>
        <v>GetTradingTransaction</v>
      </c>
      <c r="C10" s="0" t="str">
        <f>IFERROR(__xludf.DUMMYFUNCTION("""COMPUTED_VALUE"""),"GetTradingTransaction")</f>
        <v>GetTradingTransaction</v>
      </c>
      <c r="D10" s="0" t="str">
        <f>IFERROR(__xludf.DUMMYFUNCTION("""COMPUTED_VALUE"""),"1IuJkgEDoDUSnmXhZVZdA_x-3VnlMPyzRsUMpf_eRTTQ")</f>
        <v>1IuJkgEDoDUSnmXhZVZdA_x-3VnlMPyzRsUMpf_eRTTQ</v>
      </c>
    </row>
    <row r="11">
      <c r="A11" s="0" t="str">
        <f>IFERROR(__xludf.DUMMYFUNCTION("""COMPUTED_VALUE"""),"TradingTicket")</f>
        <v>TradingTicket</v>
      </c>
      <c r="B11" s="0" t="str">
        <f>IFERROR(__xludf.DUMMYFUNCTION("""COMPUTED_VALUE"""),"CreateDoneAwayOrder")</f>
        <v>CreateDoneAwayOrder</v>
      </c>
      <c r="C11" s="0" t="str">
        <f>IFERROR(__xludf.DUMMYFUNCTION("""COMPUTED_VALUE"""),"CreateDoneAwayOrder")</f>
        <v>CreateDoneAwayOrder</v>
      </c>
      <c r="D11" s="0" t="str">
        <f>IFERROR(__xludf.DUMMYFUNCTION("""COMPUTED_VALUE"""),"1Wybl1BX2sjPWI0uYzeN6KZO-tnk3-pf5NWNrZR7m_8I")</f>
        <v>1Wybl1BX2sjPWI0uYzeN6KZO-tnk3-pf5NWNrZR7m_8I</v>
      </c>
    </row>
    <row r="12">
      <c r="A12" s="0" t="str">
        <f>IFERROR(__xludf.DUMMYFUNCTION("""COMPUTED_VALUE"""),"Allocation")</f>
        <v>Allocation</v>
      </c>
      <c r="B12" s="0" t="str">
        <f>IFERROR(__xludf.DUMMYFUNCTION("""COMPUTED_VALUE"""),"GeneralPreferencesDefaultRule")</f>
        <v>GeneralPreferencesDefaultRule</v>
      </c>
      <c r="C12" s="0" t="str">
        <f>IFERROR(__xludf.DUMMYFUNCTION("""COMPUTED_VALUE"""),"GeneralPreferencesDefualtRules")</f>
        <v>GeneralPreferencesDefualtRules</v>
      </c>
      <c r="D12" s="0" t="str">
        <f>IFERROR(__xludf.DUMMYFUNCTION("""COMPUTED_VALUE"""),"1t-y8DW-cux-RoCJhMs9d4iDbW4QOQ-BXfiT1GYQBvbw")</f>
        <v>1t-y8DW-cux-RoCJhMs9d4iDbW4QOQ-BXfiT1GYQBvbw</v>
      </c>
    </row>
    <row r="13">
      <c r="A13" s="0" t="str">
        <f>IFERROR(__xludf.DUMMYFUNCTION("""COMPUTED_VALUE"""),"Allocation")</f>
        <v>Allocation</v>
      </c>
      <c r="B13" s="0" t="str">
        <f>IFERROR(__xludf.DUMMYFUNCTION("""COMPUTED_VALUE"""),"GeneralPrefCompanyUserWise")</f>
        <v>GeneralPrefCompanyUserWise</v>
      </c>
      <c r="C13" s="0" t="str">
        <f>IFERROR(__xludf.DUMMYFUNCTION("""COMPUTED_VALUE"""),"GeneralPrefCoUserRules")</f>
        <v>GeneralPrefCoUserRules</v>
      </c>
      <c r="D13" s="0" t="str">
        <f>IFERROR(__xludf.DUMMYFUNCTION("""COMPUTED_VALUE"""),"154-ES2jrM9C4VoMik8t5SCjN2LjvQHLPe8ANoIosIcc")</f>
        <v>154-ES2jrM9C4VoMik8t5SCjN2LjvQHLPe8ANoIosIcc</v>
      </c>
    </row>
    <row r="14">
      <c r="A14" s="0" t="str">
        <f>IFERROR(__xludf.DUMMYFUNCTION("""COMPUTED_VALUE"""),"Allocation")</f>
        <v>Allocation</v>
      </c>
      <c r="B14" s="0" t="str">
        <f>IFERROR(__xludf.DUMMYFUNCTION("""COMPUTED_VALUE"""),"EnterAccountValuesToAllocate")</f>
        <v>EnterAccountValuesToAllocate</v>
      </c>
      <c r="C14" s="0" t="str">
        <f>IFERROR(__xludf.DUMMYFUNCTION("""COMPUTED_VALUE"""),"AccountValues")</f>
        <v>AccountValues</v>
      </c>
      <c r="D14" s="0" t="str">
        <f>IFERROR(__xludf.DUMMYFUNCTION("""COMPUTED_VALUE"""),"1mOtszotVOdqHquQTLi-4CBnAUrtAF2MEABuvYJh_hzw")</f>
        <v>1mOtszotVOdqHquQTLi-4CBnAUrtAF2MEABuvYJh_hzw</v>
      </c>
    </row>
    <row r="15">
      <c r="A15" s="0" t="str">
        <f>IFERROR(__xludf.DUMMYFUNCTION("""COMPUTED_VALUE"""),"Allocation")</f>
        <v>Allocation</v>
      </c>
      <c r="B15" s="0" t="str">
        <f>IFERROR(__xludf.DUMMYFUNCTION("""COMPUTED_VALUE"""),"CheckFixedPreference")</f>
        <v>CheckFixedPreference</v>
      </c>
      <c r="C15" s="0" t="str">
        <f>IFERROR(__xludf.DUMMYFUNCTION("""COMPUTED_VALUE"""),"CheckFixedPreference")</f>
        <v>CheckFixedPreference</v>
      </c>
      <c r="D15" s="0" t="str">
        <f>IFERROR(__xludf.DUMMYFUNCTION("""COMPUTED_VALUE"""),"1RNofLIplBOnX_vwsD6AecMNF72I9x58kWSMHVy9EgsM")</f>
        <v>1RNofLIplBOnX_vwsD6AecMNF72I9x58kWSMHVy9EgsM</v>
      </c>
    </row>
    <row r="16">
      <c r="A16" s="0" t="str">
        <f>IFERROR(__xludf.DUMMYFUNCTION("""COMPUTED_VALUE"""),"Allocation")</f>
        <v>Allocation</v>
      </c>
      <c r="B16" s="0" t="str">
        <f>IFERROR(__xludf.DUMMYFUNCTION("""COMPUTED_VALUE"""),"SetAccountValueCalculatedPref")</f>
        <v>SetAccountValueCalculatedPref</v>
      </c>
      <c r="C16" s="0" t="str">
        <f>IFERROR(__xludf.DUMMYFUNCTION("""COMPUTED_VALUE"""),"AccountValueCalculatePref")</f>
        <v>AccountValueCalculatePref</v>
      </c>
      <c r="D16" s="0" t="str">
        <f>IFERROR(__xludf.DUMMYFUNCTION("""COMPUTED_VALUE"""),"1svq-61dzaRHeNDz1TSSUPXQbbN3Mi4bhNQabvGVoz2c")</f>
        <v>1svq-61dzaRHeNDz1TSSUPXQbbN3Mi4bhNQabvGVoz2c</v>
      </c>
    </row>
    <row r="17">
      <c r="A17" s="0" t="str">
        <f>IFERROR(__xludf.DUMMYFUNCTION("""COMPUTED_VALUE"""),"Allocation")</f>
        <v>Allocation</v>
      </c>
      <c r="B17" s="0" t="str">
        <f>IFERROR(__xludf.DUMMYFUNCTION("""COMPUTED_VALUE"""),"SetDefaultRuleCalculatedPref")</f>
        <v>SetDefaultRuleCalculatedPref</v>
      </c>
      <c r="C17" s="0" t="str">
        <f>IFERROR(__xludf.DUMMYFUNCTION("""COMPUTED_VALUE"""),"DefaultRuleCalculatePref")</f>
        <v>DefaultRuleCalculatePref</v>
      </c>
      <c r="D17" s="0" t="str">
        <f>IFERROR(__xludf.DUMMYFUNCTION("""COMPUTED_VALUE"""),"1j6MD8nFEuJNo52Mp8uXbXRmrJs802rnEIiTOEuZFdWA")</f>
        <v>1j6MD8nFEuJNo52Mp8uXbXRmrJs802rnEIiTOEuZFdWA</v>
      </c>
    </row>
    <row r="18">
      <c r="A18" s="0" t="str">
        <f>IFERROR(__xludf.DUMMYFUNCTION("""COMPUTED_VALUE"""),"Allocation")</f>
        <v>Allocation</v>
      </c>
      <c r="B18" s="0" t="str">
        <f>IFERROR(__xludf.DUMMYFUNCTION("""COMPUTED_VALUE"""),"SetStrategyValueCalculatedPref")</f>
        <v>SetStrategyValueCalculatedPref</v>
      </c>
      <c r="C18" s="0" t="str">
        <f>IFERROR(__xludf.DUMMYFUNCTION("""COMPUTED_VALUE"""),"StrategyValueCalculatedPref")</f>
        <v>StrategyValueCalculatedPref</v>
      </c>
      <c r="D18" s="0" t="str">
        <f>IFERROR(__xludf.DUMMYFUNCTION("""COMPUTED_VALUE"""),"1rt8inh4u7qHUhCAFSaa2kmPKLkqeh3uljucYajdto60")</f>
        <v>1rt8inh4u7qHUhCAFSaa2kmPKLkqeh3uljucYajdto60</v>
      </c>
    </row>
    <row r="19">
      <c r="A19" s="0" t="str">
        <f>IFERROR(__xludf.DUMMYFUNCTION("""COMPUTED_VALUE"""),"Allocation")</f>
        <v>Allocation</v>
      </c>
      <c r="B19" s="0" t="str">
        <f>IFERROR(__xludf.DUMMYFUNCTION("""COMPUTED_VALUE"""),"SetGeneralPreferences")</f>
        <v>SetGeneralPreferences</v>
      </c>
      <c r="C19" s="0" t="str">
        <f>IFERROR(__xludf.DUMMYFUNCTION("""COMPUTED_VALUE"""),"GeneralPreferences")</f>
        <v>GeneralPreferences</v>
      </c>
      <c r="D19" s="0" t="str">
        <f>IFERROR(__xludf.DUMMYFUNCTION("""COMPUTED_VALUE"""),"1lI4loUxqzsE3IjuxIjsVY3cB4J_eTKFPPDuXngut4FE")</f>
        <v>1lI4loUxqzsE3IjuxIjsVY3cB4J_eTKFPPDuXngut4FE</v>
      </c>
    </row>
    <row r="20">
      <c r="A20" s="0" t="str">
        <f>IFERROR(__xludf.DUMMYFUNCTION("""COMPUTED_VALUE"""),"Closing")</f>
        <v>Closing</v>
      </c>
      <c r="B20" s="0" t="str">
        <f>IFERROR(__xludf.DUMMYFUNCTION("""COMPUTED_VALUE"""),"AutomaticClosing")</f>
        <v>AutomaticClosing</v>
      </c>
      <c r="C20" s="0" t="str">
        <f>IFERROR(__xludf.DUMMYFUNCTION("""COMPUTED_VALUE"""),"AutomaticClosingMasterData")</f>
        <v>AutomaticClosingMasterData</v>
      </c>
      <c r="D20" s="0" t="str">
        <f>IFERROR(__xludf.DUMMYFUNCTION("""COMPUTED_VALUE"""),"1zwv-aZp-DRCpq8bqLR0XRiyt0av-GAm0ORqbhnV-FKI")</f>
        <v>1zwv-aZp-DRCpq8bqLR0XRiyt0av-GAm0ORqbhnV-FKI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40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50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100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7.38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16</v>
      </c>
      <c r="C6" s="36" t="s">
        <v>22</v>
      </c>
      <c r="D6" s="37">
        <v>1000</v>
      </c>
      <c r="E6" s="36"/>
      <c r="F6" s="36" t="s">
        <v>23</v>
      </c>
      <c r="G6" s="36"/>
      <c r="H6" s="36"/>
      <c r="I6" s="36"/>
      <c r="J6" s="32">
        <v>2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17</v>
      </c>
      <c r="C7" s="36" t="s">
        <v>22</v>
      </c>
      <c r="D7" s="32">
        <v>250</v>
      </c>
      <c r="E7" s="36"/>
      <c r="F7" s="36" t="s">
        <v>23</v>
      </c>
      <c r="G7" s="36"/>
      <c r="H7" s="36"/>
      <c r="I7" s="36"/>
      <c r="J7" s="32">
        <v>2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18</v>
      </c>
      <c r="C8" s="36" t="s">
        <v>22</v>
      </c>
      <c r="D8" s="32">
        <v>1550</v>
      </c>
      <c r="E8" s="36"/>
      <c r="F8" s="36" t="s">
        <v>23</v>
      </c>
      <c r="G8" s="36"/>
      <c r="H8" s="36"/>
      <c r="I8" s="36"/>
      <c r="J8" s="32">
        <v>2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2">
        <v>123456789</v>
      </c>
      <c r="C9" s="36" t="s">
        <v>22</v>
      </c>
      <c r="D9" s="32">
        <v>2750</v>
      </c>
      <c r="E9" s="36"/>
      <c r="F9" s="36" t="s">
        <v>23</v>
      </c>
      <c r="G9" s="36"/>
      <c r="H9" s="36"/>
      <c r="I9" s="36"/>
      <c r="J9" s="32">
        <v>2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 t="s">
        <v>24</v>
      </c>
      <c r="C10" s="36" t="s">
        <v>22</v>
      </c>
      <c r="D10" s="32">
        <v>465</v>
      </c>
      <c r="E10" s="36"/>
      <c r="F10" s="36" t="s">
        <v>23</v>
      </c>
      <c r="G10" s="36"/>
      <c r="H10" s="36"/>
      <c r="I10" s="36"/>
      <c r="J10" s="32">
        <v>2</v>
      </c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6" t="s">
        <v>25</v>
      </c>
      <c r="C11" s="38" t="s">
        <v>26</v>
      </c>
      <c r="D11" s="32">
        <v>80</v>
      </c>
      <c r="E11" s="36"/>
      <c r="F11" s="36" t="s">
        <v>23</v>
      </c>
      <c r="G11" s="36"/>
      <c r="H11" s="36"/>
      <c r="I11" s="36"/>
      <c r="J11" s="32">
        <v>2</v>
      </c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6" t="s">
        <v>16</v>
      </c>
      <c r="C12" s="36" t="s">
        <v>22</v>
      </c>
      <c r="D12" s="32">
        <v>1000</v>
      </c>
      <c r="E12" s="36"/>
      <c r="F12" s="36" t="s">
        <v>27</v>
      </c>
      <c r="G12" s="36"/>
      <c r="H12" s="36"/>
      <c r="I12" s="36"/>
      <c r="J12" s="32">
        <v>2</v>
      </c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36" t="s">
        <v>17</v>
      </c>
      <c r="C13" s="36" t="s">
        <v>22</v>
      </c>
      <c r="D13" s="32">
        <v>250</v>
      </c>
      <c r="E13" s="36"/>
      <c r="F13" s="36" t="s">
        <v>27</v>
      </c>
      <c r="G13" s="36"/>
      <c r="H13" s="36"/>
      <c r="I13" s="36"/>
      <c r="J13" s="32">
        <v>2</v>
      </c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6"/>
      <c r="B14" s="36" t="s">
        <v>19</v>
      </c>
      <c r="C14" s="36" t="s">
        <v>22</v>
      </c>
      <c r="D14" s="32">
        <v>1250</v>
      </c>
      <c r="E14" s="36"/>
      <c r="F14" s="36" t="s">
        <v>27</v>
      </c>
      <c r="G14" s="36"/>
      <c r="H14" s="36"/>
      <c r="I14" s="36"/>
      <c r="J14" s="32">
        <v>2</v>
      </c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36"/>
      <c r="B15" s="32">
        <v>123456789</v>
      </c>
      <c r="C15" s="36" t="s">
        <v>22</v>
      </c>
      <c r="D15" s="32">
        <v>2750</v>
      </c>
      <c r="E15" s="36"/>
      <c r="F15" s="36" t="s">
        <v>27</v>
      </c>
      <c r="G15" s="36"/>
      <c r="H15" s="36"/>
      <c r="I15" s="36"/>
      <c r="J15" s="32">
        <v>2</v>
      </c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</row>
    <row r="16" ht="15.75" customHeight="1">
      <c r="A16" s="36"/>
      <c r="B16" s="36" t="s">
        <v>24</v>
      </c>
      <c r="C16" s="36" t="s">
        <v>22</v>
      </c>
      <c r="D16" s="32">
        <v>465</v>
      </c>
      <c r="E16" s="36"/>
      <c r="F16" s="36" t="s">
        <v>27</v>
      </c>
      <c r="G16" s="36"/>
      <c r="H16" s="36"/>
      <c r="I16" s="36"/>
      <c r="J16" s="32">
        <v>2</v>
      </c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</row>
    <row r="17" ht="15.75" customHeight="1">
      <c r="A17" s="36"/>
      <c r="B17" s="36" t="s">
        <v>25</v>
      </c>
      <c r="C17" s="38" t="s">
        <v>26</v>
      </c>
      <c r="D17" s="32">
        <v>80</v>
      </c>
      <c r="E17" s="36"/>
      <c r="F17" s="36" t="s">
        <v>27</v>
      </c>
      <c r="G17" s="36"/>
      <c r="H17" s="36"/>
      <c r="I17" s="36"/>
      <c r="J17" s="32">
        <v>2</v>
      </c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</row>
    <row r="18" ht="15.7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85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67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123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127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>
        <v>123456789</v>
      </c>
      <c r="C10" s="32">
        <v>756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24</v>
      </c>
      <c r="C11" s="32">
        <v>12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4" t="s">
        <v>25</v>
      </c>
      <c r="C12" s="32">
        <v>23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9">
        <f ref="B6:C6" t="shared" si="1">TODAY()</f>
        <v>45081</v>
      </c>
      <c r="C6" s="39">
        <f t="shared" si="1"/>
        <v>45081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32</v>
      </c>
      <c r="C6" s="36" t="s">
        <v>33</v>
      </c>
      <c r="D6" s="35" t="s">
        <v>34</v>
      </c>
      <c r="E6" s="32">
        <v>0.8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9">
        <f ref="B6:C6" t="shared" si="1">today()-1</f>
        <v>45080</v>
      </c>
      <c r="C6" s="39">
        <f t="shared" si="1"/>
        <v>45080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23</v>
      </c>
      <c r="C6" s="34" t="s">
        <v>32</v>
      </c>
      <c r="D6" s="40">
        <v>207860340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27</v>
      </c>
      <c r="C7" s="34" t="s">
        <v>32</v>
      </c>
      <c r="D7" s="40">
        <v>207932290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16</v>
      </c>
      <c r="C6" s="38" t="s">
        <v>39</v>
      </c>
      <c r="D6" s="35" t="s">
        <v>40</v>
      </c>
      <c r="E6" s="32">
        <v>10</v>
      </c>
      <c r="F6" s="36"/>
      <c r="G6" s="36" t="s">
        <v>41</v>
      </c>
      <c r="H6" s="36"/>
      <c r="I6" s="41" t="s">
        <v>42</v>
      </c>
      <c r="J6" s="36"/>
      <c r="K6" s="36" t="s">
        <v>43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42">
        <v>208804937.5</v>
      </c>
      <c r="D6" s="43">
        <v>1000</v>
      </c>
      <c r="E6" s="42">
        <v>85000</v>
      </c>
      <c r="F6" s="8"/>
      <c r="G6" s="8"/>
      <c r="H6" s="8"/>
      <c r="I6" s="42">
        <v>244640</v>
      </c>
      <c r="J6" s="42">
        <v>245640</v>
      </c>
      <c r="K6" s="42">
        <v>20879400</v>
      </c>
      <c r="L6" s="8"/>
      <c r="M6" s="13">
        <v>1</v>
      </c>
      <c r="N6" s="8"/>
      <c r="O6" s="8"/>
      <c r="R6" s="9" t="s">
        <v>22</v>
      </c>
    </row>
    <row r="7" ht="15.75" customHeight="1">
      <c r="A7" s="8"/>
      <c r="B7" s="13" t="s">
        <v>27</v>
      </c>
      <c r="C7" s="42">
        <v>208845587.5</v>
      </c>
      <c r="D7" s="42">
        <v>1000</v>
      </c>
      <c r="E7" s="42">
        <v>85000</v>
      </c>
      <c r="F7" s="8"/>
      <c r="G7" s="8"/>
      <c r="H7" s="8"/>
      <c r="I7" s="42">
        <v>244680</v>
      </c>
      <c r="J7" s="42">
        <v>245680</v>
      </c>
      <c r="K7" s="42">
        <v>20882800</v>
      </c>
      <c r="L7" s="8"/>
      <c r="M7" s="13">
        <v>1</v>
      </c>
      <c r="N7" s="8"/>
      <c r="O7" s="8"/>
      <c r="R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16</v>
      </c>
      <c r="C6" s="38" t="s">
        <v>39</v>
      </c>
      <c r="D6" s="35" t="s">
        <v>40</v>
      </c>
      <c r="E6" s="32">
        <v>10</v>
      </c>
      <c r="F6" s="36"/>
      <c r="G6" s="36" t="s">
        <v>41</v>
      </c>
      <c r="H6" s="36"/>
      <c r="I6" s="41" t="s">
        <v>42</v>
      </c>
      <c r="J6" s="36"/>
      <c r="L6" s="36"/>
      <c r="M6" s="36" t="s">
        <v>43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17</v>
      </c>
      <c r="C6" s="38" t="s">
        <v>39</v>
      </c>
      <c r="D6" s="35" t="s">
        <v>40</v>
      </c>
      <c r="E6" s="32">
        <v>10</v>
      </c>
      <c r="F6" s="36"/>
      <c r="G6" s="36" t="s">
        <v>41</v>
      </c>
      <c r="H6" s="36"/>
      <c r="I6" s="41" t="s">
        <v>42</v>
      </c>
      <c r="J6" s="36"/>
      <c r="K6" s="36" t="s">
        <v>43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17</v>
      </c>
      <c r="C6" s="38" t="s">
        <v>39</v>
      </c>
      <c r="D6" s="35" t="s">
        <v>40</v>
      </c>
      <c r="E6" s="32">
        <v>10</v>
      </c>
      <c r="F6" s="36"/>
      <c r="G6" s="36" t="s">
        <v>41</v>
      </c>
      <c r="H6" s="36"/>
      <c r="I6" s="41" t="s">
        <v>42</v>
      </c>
      <c r="J6" s="36"/>
      <c r="L6" s="36"/>
      <c r="M6" s="36" t="s">
        <v>43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42">
        <v>208804937.5</v>
      </c>
      <c r="D6" s="43">
        <v>250</v>
      </c>
      <c r="E6" s="42">
        <v>20937.5</v>
      </c>
      <c r="F6" s="8"/>
      <c r="G6" s="8"/>
      <c r="H6" s="8"/>
      <c r="I6" s="42">
        <v>249000</v>
      </c>
      <c r="J6" s="42">
        <v>249250</v>
      </c>
      <c r="K6" s="42">
        <v>20874687.5</v>
      </c>
      <c r="L6" s="8"/>
      <c r="M6" s="13">
        <v>1.25</v>
      </c>
      <c r="N6" s="8"/>
      <c r="O6" s="8"/>
      <c r="R6" s="9" t="s">
        <v>22</v>
      </c>
    </row>
    <row r="7" ht="15.75" customHeight="1">
      <c r="A7" s="8"/>
      <c r="B7" s="13" t="s">
        <v>27</v>
      </c>
      <c r="C7" s="42">
        <v>208845587.5</v>
      </c>
      <c r="D7" s="42">
        <v>250</v>
      </c>
      <c r="E7" s="42">
        <v>20937.5</v>
      </c>
      <c r="F7" s="8"/>
      <c r="G7" s="8"/>
      <c r="H7" s="8"/>
      <c r="I7" s="42">
        <v>249000</v>
      </c>
      <c r="J7" s="42">
        <v>249250</v>
      </c>
      <c r="K7" s="42">
        <v>20874687.5</v>
      </c>
      <c r="L7" s="8"/>
      <c r="M7" s="13">
        <v>1.25</v>
      </c>
      <c r="N7" s="8"/>
      <c r="O7" s="8"/>
      <c r="R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44"/>
      <c r="D6" s="45">
        <v>85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4"/>
      <c r="U6" s="46" t="s">
        <v>32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44"/>
      <c r="AI6" s="47" t="s">
        <v>16</v>
      </c>
      <c r="AJ6" s="47" t="s">
        <v>22</v>
      </c>
      <c r="AK6" s="47" t="s">
        <v>48</v>
      </c>
      <c r="AL6" s="48">
        <v>489320</v>
      </c>
      <c r="AM6" s="44"/>
      <c r="AN6" s="47"/>
      <c r="AO6" s="44"/>
      <c r="AP6" s="48">
        <v>489320</v>
      </c>
      <c r="AQ6" s="47">
        <v>85</v>
      </c>
      <c r="AR6" s="47">
        <v>85</v>
      </c>
      <c r="AS6" s="44"/>
      <c r="AT6" s="47" t="s">
        <v>49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44"/>
      <c r="D7" s="49">
        <v>83.75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44"/>
      <c r="U7" s="50" t="s">
        <v>33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44"/>
      <c r="AI7" s="49" t="s">
        <v>17</v>
      </c>
      <c r="AJ7" s="49" t="s">
        <v>22</v>
      </c>
      <c r="AK7" s="49" t="s">
        <v>48</v>
      </c>
      <c r="AL7" s="48">
        <v>498000</v>
      </c>
      <c r="AM7" s="44"/>
      <c r="AN7" s="49"/>
      <c r="AO7" s="44"/>
      <c r="AP7" s="48">
        <v>498000</v>
      </c>
      <c r="AQ7" s="49">
        <v>67</v>
      </c>
      <c r="AR7" s="49">
        <v>67</v>
      </c>
      <c r="AS7" s="44"/>
      <c r="AT7" s="49" t="s">
        <v>49</v>
      </c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