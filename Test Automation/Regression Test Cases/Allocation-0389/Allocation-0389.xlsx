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GetDailyCash" sheetId="4" r:id="rId6"/>
    <sheet state="visible" name="UpdateMultipleDailyCash" sheetId="5" r:id="rId7"/>
    <sheet state="visible" name="SetGeneralPreferences" sheetId="6" r:id="rId8"/>
    <sheet state="visible" name="AddMFPreferences" sheetId="7" r:id="rId9"/>
    <sheet state="visible" name="SetMFPreferencesDefaultRule" sheetId="8" r:id="rId10"/>
    <sheet state="visible" name="SetMFPrefAccountValues" sheetId="9" r:id="rId11"/>
    <sheet state="visible" name="SetMFPrefFundDefaultRule" sheetId="10" r:id="rId12"/>
    <sheet state="visible" name="SetMFPrefAccountValues1" sheetId="11" r:id="rId13"/>
    <sheet state="visible" name="SetMFPrefFundDefaultRule1" sheetId="12" r:id="rId14"/>
    <sheet state="visible" name="CreateDoneAwayOrder" sheetId="13" r:id="rId15"/>
    <sheet state="visible" name="PricingInput" sheetId="14" r:id="rId16"/>
    <sheet state="visible" name="GetDataAllocation" sheetId="15" r:id="rId17"/>
    <sheet state="visible" name="SelectUnallocatedGroup" sheetId="16" r:id="rId18"/>
    <sheet state="visible" name="EnterAllocatePreference" sheetId="17" r:id="rId19"/>
    <sheet state="visible" name="CheckAllocatedTaxlots" sheetId="18" r:id="rId20"/>
    <sheet state="visible" name="CreateDoneAwayOrder1" sheetId="19" r:id="rId21"/>
  </sheets>
  <definedNames/>
  <calcPr/>
</workbook>
</file>

<file path=xl/sharedStrings.xml><?xml version="1.0" encoding="utf-8"?>
<sst xmlns="http://schemas.openxmlformats.org/spreadsheetml/2006/main" count="458" uniqueCount="53">
  <si>
    <t>Modules Info</t>
  </si>
  <si>
    <t>Modules</t>
  </si>
  <si>
    <t>Settings</t>
  </si>
  <si>
    <t>Module Step Setting File</t>
  </si>
  <si>
    <t>1ua6ENR4AYwAWggYDcO5ubv4JU_7oqW8hUziMaEUEncQ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</si>
  <si>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</si>
  <si>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</si>
  <si>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</si>
  <si>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</si>
  <si>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</si>
  <si>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</si>
  <si>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</si>
  <si>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DailyValuation</t>
  </si>
  <si>
    <t>GetDailyCash</t>
  </si>
  <si>
    <t>Data Format</t>
  </si>
  <si>
    <t>Input Format</t>
  </si>
  <si>
    <t>UpdateMultipleDailyCash</t>
  </si>
  <si>
    <t>Account</t>
  </si>
  <si>
    <t>Local Currency</t>
  </si>
  <si>
    <t>Cash Value Local</t>
  </si>
  <si>
    <t>Allocation1</t>
  </si>
  <si>
    <t>USD</t>
  </si>
  <si>
    <t>Allocation3</t>
  </si>
  <si>
    <t>Allocation2</t>
  </si>
  <si>
    <t>Allocation4</t>
  </si>
  <si>
    <t>Allocation</t>
  </si>
  <si>
    <t>SetGeneralPreferences</t>
  </si>
  <si>
    <t>AddMFPreferences</t>
  </si>
  <si>
    <t>TEST1</t>
  </si>
  <si>
    <t>SetMFPreferencesDefaultRule</t>
  </si>
  <si>
    <t>Leveling</t>
  </si>
  <si>
    <t>NewMF,NewMF1</t>
  </si>
  <si>
    <t>SetMFPrefAccountValues</t>
  </si>
  <si>
    <t>NewMF</t>
  </si>
  <si>
    <t>SetMFPrefFundDefaultRule</t>
  </si>
  <si>
    <t>Fair Pricing</t>
  </si>
  <si>
    <t>Current Preference</t>
  </si>
  <si>
    <t>NewMF1</t>
  </si>
  <si>
    <t>TradingTicket</t>
  </si>
  <si>
    <t>CreateDoneAwayOrder</t>
  </si>
  <si>
    <t>MSFT</t>
  </si>
  <si>
    <t>Buy</t>
  </si>
  <si>
    <t>PricingInput</t>
  </si>
  <si>
    <t>GetDataAllocation</t>
  </si>
  <si>
    <t>Historical</t>
  </si>
  <si>
    <t>SelectUnallocatedGroup</t>
  </si>
  <si>
    <t>EnterAllocatePreference</t>
  </si>
  <si>
    <t>CheckAllocatedTaxlots</t>
  </si>
  <si>
    <t/>
  </si>
  <si>
    <t>M</t>
  </si>
  <si>
    <t>Strategy Unallocated</t>
  </si>
  <si>
    <t>Open</t>
  </si>
  <si>
    <t>Unallocated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</si>
</sst>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7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horizontal="right" vertical="bottom"/>
    </xf>
    <xf borderId="0" fillId="0" fontId="3" numFmtId="0" xfId="0" applyAlignment="1" applyFont="1">
      <alignment vertical="bottom"/>
    </xf>
    <xf borderId="0" fillId="5" fontId="3" numFmtId="0" xfId="0" applyAlignment="1" applyFont="1">
      <alignment vertical="bottom"/>
    </xf>
    <xf borderId="4" fillId="5" fontId="4" numFmtId="0" xfId="0" applyAlignment="1" applyBorder="1" applyFont="1">
      <alignment readingOrder="0" vertical="bottom"/>
    </xf>
    <xf borderId="4" fillId="5" fontId="3" numFmtId="0" xfId="0" applyAlignment="1" applyBorder="1" applyFont="1">
      <alignment vertical="bottom"/>
    </xf>
    <xf borderId="4" fillId="5" fontId="3" numFmtId="0" xfId="0" applyAlignment="1" applyBorder="1" applyFont="1">
      <alignment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center" readingOrder="0" vertical="bottom"/>
    </xf>
    <xf borderId="0" fillId="0" fontId="3" numFmtId="0" xfId="0" applyAlignment="1" applyFont="1">
      <alignment horizontal="center" vertical="bottom"/>
    </xf>
    <xf borderId="0" fillId="0" fontId="3" numFmtId="0" xfId="0" applyAlignment="1" applyFont="1">
      <alignment shrinkToFit="0" vertical="bottom" wrapText="0"/>
    </xf>
    <xf borderId="0" fillId="0" fontId="3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wrapText="0"/>
    </xf>
    <xf borderId="0" fillId="0" fontId="3" numFmtId="14" xfId="0" applyAlignment="1" applyFont="1" applyNumberFormat="1">
      <alignment vertical="bottom"/>
    </xf>
    <xf borderId="0" fillId="0" fontId="5" numFmtId="0" xfId="0" applyAlignment="1" applyFont="1">
      <alignment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21" Type="http://schemas.openxmlformats.org/officeDocument/2006/relationships/worksheet" Target="worksheets/sheet19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19" Type="http://schemas.openxmlformats.org/officeDocument/2006/relationships/worksheet" Target="worksheets/sheet17.xml"/><Relationship Id="rId6" Type="http://schemas.openxmlformats.org/officeDocument/2006/relationships/worksheet" Target="worksheets/sheet4.xml"/><Relationship Id="rId18" Type="http://schemas.openxmlformats.org/officeDocument/2006/relationships/worksheet" Target="worksheets/sheet16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IFERROR(__xludf.DUMMYFUNCTION("""COMPUTED_VALUE"""),"17hQQja2JxgHYc91C7e_NxNoHLA89SiPSSBCEIFHCoTk")</f>
        <v>17hQQja2JxgHYc91C7e_NxNoHLA89SiPSSBCEIFHCoTk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IFERROR(__xludf.DUMMYFUNCTION("""COMPUTED_VALUE"""),"1Yw4tQ35sAxNJda9xoHyKAOkv1uUSL6Lyjkb7t2gRWzU")</f>
        <v>1Yw4tQ35sAxNJda9xoHyKAOkv1uUSL6Lyjkb7t2gRWzU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IFERROR(__xludf.DUMMYFUNCTION("""COMPUTED_VALUE"""),"1oej4n4PC8RE49pB4-TiWxTqbDPyninh9e03DcCsTU80")</f>
        <v>1oej4n4PC8RE49pB4-TiWxTqbDPyninh9e03DcCsTU80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IFERROR(__xludf.DUMMYFUNCTION("""COMPUTED_VALUE"""),"1BjEK9SjmwTVcJQlKgIyoRBoSojE0atclJ6aMY8PF1jE")</f>
        <v>1BjEK9SjmwTVcJQlKgIyoRBoSojE0atclJ6aMY8PF1jE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IFERROR(__xludf.DUMMYFUNCTION("""COMPUTED_VALUE"""),"1JPNg6N_aHFo0NZlm39jWJJlz8ViAI_cUwOgfEVMqNZo")</f>
        <v>1JPNg6N_aHFo0NZlm39jWJJlz8ViAI_cUwOgfEVMqNZo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IFERROR(__xludf.DUMMYFUNCTION("""COMPUTED_VALUE"""),"1RWrzEP7tKvSTkC1z87RsjU_EZslvD2btXJuTWRIwRLU")</f>
        <v>1RWrzEP7tKvSTkC1z87RsjU_EZslvD2btXJuTWRIwRLU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IFERROR(__xludf.DUMMYFUNCTION("""COMPUTED_VALUE"""),"1NkVqjZCVIerQf2X0Yf6GK2jVSYfVa7-CmnPWggeHwJc")</f>
        <v>1NkVqjZCVIerQf2X0Yf6GK2jVSYfVa7-CmnPWggeHwJc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IFERROR(__xludf.DUMMYFUNCTION("""COMPUTED_VALUE"""),"1OM-qeNQLbTj-z40xd1iUyj7uo5BNzUJKKmvtT-Ue5R0")</f>
        <v>1OM-qeNQLbTj-z40xd1iUyj7uo5BNzUJKKmvtT-Ue5R0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IFERROR(__xludf.DUMMYFUNCTION("""COMPUTED_VALUE"""),"1X_J7xIcQSksjlzFZ-krkjWcnyPAEj1k98zuXOUONhS8")</f>
        <v>1X_J7xIcQSksjlzFZ-krkjWcnyPAEj1k98zuXOUONhS8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IFERROR(__xludf.DUMMYFUNCTION("""COMPUTED_VALUE"""),"1rJRRqJlBOAI1DmechO49htg_P97-G5pNyuROFY03c_0")</f>
        <v>1rJRRqJlBOAI1DmechO49htg_P97-G5pNyuROFY03c_0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IFERROR(__xludf.DUMMYFUNCTION("""COMPUTED_VALUE"""),"1XzjmPmpB7IMcyzPSsbgmFfzjE_zIKdjrk0mUoMFhNZc")</f>
        <v>1XzjmPmpB7IMcyzPSsbgmFfzjE_zIKdjrk0mUoMFhNZc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IFERROR(__xludf.DUMMYFUNCTION("""COMPUTED_VALUE"""),"TradingTicket")</f>
        <v>TradingTicket</v>
      </c>
      <c r="B767" t="str">
        <f>IFERROR(__xludf.DUMMYFUNCTION("""COMPUTED_VALUE"""),"AlgoUIOperations")</f>
        <v>AlgoUIOperations</v>
      </c>
      <c r="C767" t="str">
        <f>IFERROR(__xludf.DUMMYFUNCTION("""COMPUTED_VALUE"""),"1uln1YXeeB893lpbmhI194peJcUUj4ODFhdM1AYcTVJo")</f>
        <v>1uln1YXeeB893lpbmhI194peJcUUj4ODFhdM1AYcTVJo</v>
      </c>
    </row>
    <row r="768" ht="15.75" customHeight="1">
      <c r="A768" t="str">
        <f>IFERROR(__xludf.DUMMYFUNCTION("""COMPUTED_VALUE"""),"TradingTicket")</f>
        <v>TradingTicket</v>
      </c>
      <c r="B768" t="str">
        <f>IFERROR(__xludf.DUMMYFUNCTION("""COMPUTED_VALUE"""),"UpdateShortLocateFromTT")</f>
        <v>UpdateShortLocateFromTT</v>
      </c>
      <c r="C768" t="str">
        <f>IFERROR(__xludf.DUMMYFUNCTION("""COMPUTED_VALUE"""),"13hfddjE8Z-71LhiEXSLwqUDRw6EbnSTKZU2vgV_dwUA")</f>
        <v>13hfddjE8Z-71LhiEXSLwqUDRw6EbnSTKZU2vgV_dwUA</v>
      </c>
    </row>
    <row r="769" ht="15.75" customHeight="1">
      <c r="A769" t="str">
        <f>IFERROR(__xludf.DUMMYFUNCTION("""COMPUTED_VALUE"""),"RTPNL")</f>
        <v>RTPNL</v>
      </c>
      <c r="B769" t="str">
        <f>IFERROR(__xludf.DUMMYFUNCTION("""COMPUTED_VALUE"""),"RenameTabs")</f>
        <v>RenameTabs</v>
      </c>
      <c r="C769" t="str">
        <f>IFERROR(__xludf.DUMMYFUNCTION("""COMPUTED_VALUE"""),"1K7LcioEl1sTwLRhqHc9go_7jNmUIRZNy9zBQLMgtBw8")</f>
        <v>1K7LcioEl1sTwLRhqHc9go_7jNmUIRZNy9zBQLMgtBw8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IFERROR(__xludf.DUMMYFUNCTION("""COMPUTED_VALUE"""),"ResizeEnsure")</f>
        <v>ResizeEnsure</v>
      </c>
      <c r="C770" t="str">
        <f>IFERROR(__xludf.DUMMYFUNCTION("""COMPUTED_VALUE"""),"1-peVyQ_nIwd8owwmtDtNW-yx12KQx2nHeYee6duB46M")</f>
        <v>1-peVyQ_nIwd8owwmtDtNW-yx12KQx2nHeYee6duB46M</v>
      </c>
    </row>
    <row r="771" ht="15.75" customHeight="1">
      <c r="A771" t="str">
        <f>IFERROR(__xludf.DUMMYFUNCTION("""COMPUTED_VALUE"""),"Admin")</f>
        <v>Admin</v>
      </c>
      <c r="B771" t="str">
        <f>IFERROR(__xludf.DUMMYFUNCTION("""COMPUTED_VALUE"""),"ClearRTPNLtabs")</f>
        <v>ClearRTPNLtabs</v>
      </c>
      <c r="C771" t="str">
        <f>IFERROR(__xludf.DUMMYFUNCTION("""COMPUTED_VALUE"""),"Undefined")</f>
        <v>Undefined</v>
      </c>
    </row>
    <row r="772" ht="15.75" customHeight="1">
      <c r="A772" t="str">
        <f>IFERROR(__xludf.DUMMYFUNCTION("""COMPUTED_VALUE"""),"RTPNL")</f>
        <v>RTPNL</v>
      </c>
      <c r="B772" t="str">
        <f>IFERROR(__xludf.DUMMYFUNCTION("""COMPUTED_VALUE"""),"AddTabRTPNL")</f>
        <v>AddTabRTPNL</v>
      </c>
      <c r="C772" t="str">
        <f>IFERROR(__xludf.DUMMYFUNCTION("""COMPUTED_VALUE"""),"18kG7vS-CfSLW8Q-ho416lyPlP36XJPPHA0cRbCk3vjU")</f>
        <v>18kG7vS-CfSLW8Q-ho416lyPlP36XJPPHA0cRbCk3vjU</v>
      </c>
    </row>
    <row r="773" ht="15.75" customHeight="1">
      <c r="A773" t="str">
        <f>IFERROR(__xludf.DUMMYFUNCTION("""COMPUTED_VALUE"""),"Blotter")</f>
        <v>Blotter</v>
      </c>
      <c r="B773" t="str">
        <f>IFERROR(__xludf.DUMMYFUNCTION("""COMPUTED_VALUE"""),"ResizeEnsureBlotter")</f>
        <v>ResizeEnsureBlotter</v>
      </c>
      <c r="C773" t="str">
        <f>IFERROR(__xludf.DUMMYFUNCTION("""COMPUTED_VALUE"""),"1Vu6zEtojqPkTWiW-oX7BwwpFj9Oi3-B6-sRrEsjiW0Y")</f>
        <v>1Vu6zEtojqPkTWiW-oX7BwwpFj9Oi3-B6-sRrEsjiW0Y</v>
      </c>
    </row>
    <row r="774" ht="15.75" customHeight="1">
      <c r="A774" t="str">
        <f>IFERROR(__xludf.DUMMYFUNCTION("""COMPUTED_VALUE"""),"Admin")</f>
        <v>Admin</v>
      </c>
      <c r="B774" t="str">
        <f>IFERROR(__xludf.DUMMYFUNCTION("""COMPUTED_VALUE"""),"ConfigUpdater")</f>
        <v>ConfigUpdater</v>
      </c>
      <c r="C774" t="str">
        <f>IFERROR(__xludf.DUMMYFUNCTION("""COMPUTED_VALUE"""),"19IDTIIOkGl6qufGANtXkELRoXFIlWB3icM0G4IJ5mg4")</f>
        <v>19IDTIIOkGl6qufGANtXkELRoXFIlWB3icM0G4IJ5mg4</v>
      </c>
    </row>
    <row r="775" ht="15.75" customHeight="1">
      <c r="A775" t="str">
        <f>IFERROR(__xludf.DUMMYFUNCTION("""COMPUTED_VALUE"""),"PortfolioManagement")</f>
        <v>PortfolioManagement</v>
      </c>
      <c r="B775" t="str">
        <f>IFERROR(__xludf.DUMMYFUNCTION("""COMPUTED_VALUE"""),"SelectTradeOnPM")</f>
        <v>SelectTradeOnPM</v>
      </c>
      <c r="C775" t="str">
        <f>IFERROR(__xludf.DUMMYFUNCTION("""COMPUTED_VALUE"""),"1_tBJjps2mULQyHra_AnC6BBvPbOko3FAY-kc11l7eTg")</f>
        <v>1_tBJjps2mULQyHra_AnC6BBvPbOko3FAY-kc11l7eTg</v>
      </c>
    </row>
    <row r="776" ht="15.75" customHeight="1">
      <c r="A776" t="str">
        <f>IFERROR(__xludf.DUMMYFUNCTION("""COMPUTED_VALUE"""),"TradingTicket")</f>
        <v>TradingTicket</v>
      </c>
      <c r="B776" t="str">
        <f>IFERROR(__xludf.DUMMYFUNCTION("""COMPUTED_VALUE"""),"ResetTT")</f>
        <v>ResetTT</v>
      </c>
      <c r="C776" t="str">
        <f>IFERROR(__xludf.DUMMYFUNCTION("""COMPUTED_VALUE"""),"Undefined")</f>
        <v>Undefined</v>
      </c>
    </row>
    <row r="777" ht="15.75" customHeight="1">
      <c r="A777" t="str">
        <f>IFERROR(__xludf.DUMMYFUNCTION("""COMPUTED_VALUE"""),"Blotter")</f>
        <v>Blotter</v>
      </c>
      <c r="B777" t="str">
        <f>IFERROR(__xludf.DUMMYFUNCTION("""COMPUTED_VALUE"""),"RightClickOperations")</f>
        <v>RightClickOperations</v>
      </c>
      <c r="C777" t="str">
        <f>IFERROR(__xludf.DUMMYFUNCTION("""COMPUTED_VALUE"""),"17jhCujI-0V0U3n5lzlkc-azSuwCa7rf-4KwcSInm9ts")</f>
        <v>17jhCujI-0V0U3n5lzlkc-azSuwCa7rf-4KwcSInm9ts</v>
      </c>
    </row>
    <row r="778" ht="15.75" customHeight="1">
      <c r="A778" t="str">
        <f>IFERROR(__xludf.DUMMYFUNCTION("""COMPUTED_VALUE"""),"Unknown")</f>
        <v>Unknown</v>
      </c>
      <c r="B778" t="str">
        <f>IFERROR(__xludf.DUMMYFUNCTION("""COMPUTED_VALUE"""),"RightClickAndClickOperations")</f>
        <v>RightClickAndClickOperations</v>
      </c>
      <c r="C778" t="str">
        <f>IFERROR(__xludf.DUMMYFUNCTION("""COMPUTED_VALUE"""),"1e9jtl9r57SkbYm3S4wbHtvkeG2KExZEiFSIkkRSaq-8")</f>
        <v>1e9jtl9r57SkbYm3S4wbHtvkeG2KExZEiFSIkkRSaq-8</v>
      </c>
    </row>
    <row r="779" ht="15.75" customHeight="1">
      <c r="A779" t="str">
        <f>IFERROR(__xludf.DUMMYFUNCTION("""COMPUTED_VALUE"""),"Compliance")</f>
        <v>Compliance</v>
      </c>
      <c r="B779" t="str">
        <f>IFERROR(__xludf.DUMMYFUNCTION("""COMPUTED_VALUE"""),"EnableDisableRule")</f>
        <v>EnableDisableRule</v>
      </c>
      <c r="C779" t="str">
        <f>IFERROR(__xludf.DUMMYFUNCTION("""COMPUTED_VALUE"""),"1ldCRZpDrvOW-37YQP92bnj-oqRl2rwy9OIebmA5GKXE")</f>
        <v>1ldCRZpDrvOW-37YQP92bnj-oqRl2rwy9OIebmA5GKXE</v>
      </c>
    </row>
    <row r="780" ht="15.75" customHeight="1">
      <c r="A780" t="str">
        <f>IFERROR(__xludf.DUMMYFUNCTION("""COMPUTED_VALUE"""),"Blotter")</f>
        <v>Blotter</v>
      </c>
      <c r="B780" t="str">
        <f>IFERROR(__xludf.DUMMYFUNCTION("""COMPUTED_VALUE"""),"BlotterToolBarAction")</f>
        <v>BlotterToolBarAction</v>
      </c>
      <c r="C780" t="str">
        <f>IFERROR(__xludf.DUMMYFUNCTION("""COMPUTED_VALUE"""),"1bI1kIBxH6qy8zi5tx46rN3vNgbmxbdwtAo1inrXDALs")</f>
        <v>1bI1kIBxH6qy8zi5tx46rN3vNgbmxbdwtAo1inrXDALs</v>
      </c>
    </row>
    <row r="781" ht="15.75" customHeight="1">
      <c r="A781" t="str">
        <f>IFERROR(__xludf.DUMMYFUNCTION("""COMPUTED_VALUE"""),"RTPNL")</f>
        <v>RTPNL</v>
      </c>
      <c r="B781" t="str">
        <f>IFERROR(__xludf.DUMMYFUNCTION("""COMPUTED_VALUE"""),"MergeWindows")</f>
        <v>MergeWindows</v>
      </c>
      <c r="C781" t="str">
        <f>IFERROR(__xludf.DUMMYFUNCTION("""COMPUTED_VALUE"""),"1BEiRPdwHXsXVZ0ioude04Me5qSQ_YU6xh1ZwMWgExVU")</f>
        <v>1BEiRPdwHXsXVZ0ioude04Me5qSQ_YU6xh1ZwMWgExVU</v>
      </c>
    </row>
    <row r="782" ht="15.75" customHeight="1">
      <c r="A782" t="str">
        <f>IFERROR(__xludf.DUMMYFUNCTION("""COMPUTED_VALUE"""),"PortfolioManagement")</f>
        <v>PortfolioManagement</v>
      </c>
      <c r="B782" t="str">
        <f>IFERROR(__xludf.DUMMYFUNCTION("""COMPUTED_VALUE"""),"OperationsonPM")</f>
        <v>OperationsonPM</v>
      </c>
      <c r="C782" t="str">
        <f>IFERROR(__xludf.DUMMYFUNCTION("""COMPUTED_VALUE"""),"13hKVogBv66c752V1EGUyqXp4dGESQOZLmMqIB56fbAs")</f>
        <v>13hKVogBv66c752V1EGUyqXp4dGESQOZLmMqIB56fbAs</v>
      </c>
    </row>
    <row r="783" ht="15.75" customHeight="1">
      <c r="A783" t="str">
        <f>IFERROR(__xludf.DUMMYFUNCTION("""COMPUTED_VALUE"""),"TradingTicket")</f>
        <v>TradingTicket</v>
      </c>
      <c r="B783" t="str">
        <f>IFERROR(__xludf.DUMMYFUNCTION("""COMPUTED_VALUE"""),"ResizeEnsureTT")</f>
        <v>ResizeEnsureTT</v>
      </c>
      <c r="C783" t="str">
        <f>IFERROR(__xludf.DUMMYFUNCTION("""COMPUTED_VALUE"""),"1X1m60ND44-Chxr6N4sH6Fqbh_pqzIH8Cfy3c89u2_lQ")</f>
        <v>1X1m60ND44-Chxr6N4sH6Fqbh_pqzIH8Cfy3c89u2_lQ</v>
      </c>
    </row>
    <row r="784" ht="15.75" customHeight="1">
      <c r="A784" t="str">
        <f>IFERROR(__xludf.DUMMYFUNCTION("""COMPUTED_VALUE"""),"Admin")</f>
        <v>Admin</v>
      </c>
      <c r="B784" t="str">
        <f>IFERROR(__xludf.DUMMYFUNCTION("""COMPUTED_VALUE"""),"AccountPermission")</f>
        <v>AccountPermission</v>
      </c>
      <c r="C784" t="str">
        <f>IFERROR(__xludf.DUMMYFUNCTION("""COMPUTED_VALUE"""),"1UuUydT-ajZCwnqdhLBG28JhRRgR6skh7CgWMlr5JFEw")</f>
        <v>1UuUydT-ajZCwnqdhLBG28JhRRgR6skh7CgWMlr5JFEw</v>
      </c>
    </row>
    <row r="785" ht="15.75" customHeight="1">
      <c r="A785" t="str">
        <f>IFERROR(__xludf.DUMMYFUNCTION("""COMPUTED_VALUE"""),"Rebalancer")</f>
        <v>Rebalancer</v>
      </c>
      <c r="B785" t="str">
        <f>IFERROR(__xludf.DUMMYFUNCTION("""COMPUTED_VALUE"""),"CreateOrViewModelPortfolio")</f>
        <v>CreateOrViewModelPortfolio</v>
      </c>
      <c r="C785" t="str">
        <f>IFERROR(__xludf.DUMMYFUNCTION("""COMPUTED_VALUE"""),"1vejknW_QiO0r5pMzMjOGCCsgwLVes4a3Ubx1l-0Mg1k")</f>
        <v>1vejknW_QiO0r5pMzMjOGCCsgwLVes4a3Ubx1l-0Mg1k</v>
      </c>
    </row>
    <row r="786" ht="15.75" customHeight="1">
      <c r="A786" t="str">
        <f>IFERROR(__xludf.DUMMYFUNCTION("""COMPUTED_VALUE"""),"Rebalancer")</f>
        <v>Rebalancer</v>
      </c>
      <c r="B786" t="str">
        <f>IFERROR(__xludf.DUMMYFUNCTION("""COMPUTED_VALUE"""),"VerifyModelPortfolio")</f>
        <v>VerifyModelPortfolio</v>
      </c>
      <c r="C786" t="str">
        <f>IFERROR(__xludf.DUMMYFUNCTION("""COMPUTED_VALUE"""),"1Tza5cx7NJ2J8vr_f6DC-KPhnXCzf7l1m0EERc6z_T-U")</f>
        <v>1Tza5cx7NJ2J8vr_f6DC-KPhnXCzf7l1m0EERc6z_T-U</v>
      </c>
    </row>
    <row r="787" ht="15.75" customHeight="1">
      <c r="A787" t="str">
        <f>IFERROR(__xludf.DUMMYFUNCTION("""COMPUTED_VALUE"""),"Allocation")</f>
        <v>Allocation</v>
      </c>
      <c r="B787" t="str">
        <f>IFERROR(__xludf.DUMMYFUNCTION("""COMPUTED_VALUE"""),"ReviewExistingPositions")</f>
        <v>ReviewExistingPositions</v>
      </c>
      <c r="C787" t="str">
        <f>IFERROR(__xludf.DUMMYFUNCTION("""COMPUTED_VALUE"""),"1KwYoTdpeW6LDhzloVKHp5buZqc8IjXEShjwnUx45Ql8")</f>
        <v>1KwYoTdpeW6LDhzloVKHp5buZqc8IjXEShjwnUx45Ql8</v>
      </c>
    </row>
    <row r="788" ht="15.75" customHeight="1">
      <c r="A788" t="str">
        <f>IFERROR(__xludf.DUMMYFUNCTION("""COMPUTED_VALUE"""),"Rebalancer")</f>
        <v>Rebalancer</v>
      </c>
      <c r="B788" t="str">
        <f>IFERROR(__xludf.DUMMYFUNCTION("""COMPUTED_VALUE"""),"VerifyTradeListSummary")</f>
        <v>VerifyTradeListSummary</v>
      </c>
      <c r="C788" t="str">
        <f>IFERROR(__xludf.DUMMYFUNCTION("""COMPUTED_VALUE"""),"1CwPtInR_Cy6ir39KI9yaXfAvolUGYsOGbIOnZabie0c")</f>
        <v>1CwPtInR_Cy6ir39KI9yaXfAvolUGYsOGbIOnZabie0c</v>
      </c>
    </row>
    <row r="789" ht="15.75" customHeight="1">
      <c r="A789" t="str">
        <f>IFERROR(__xludf.DUMMYFUNCTION("""COMPUTED_VALUE"""),"Rebalancer")</f>
        <v>Rebalancer</v>
      </c>
      <c r="B789" t="str">
        <f>IFERROR(__xludf.DUMMYFUNCTION("""COMPUTED_VALUE"""),"ActionOnTBSListSummary")</f>
        <v>ActionOnTBSListSummary</v>
      </c>
      <c r="C789" t="str">
        <f>IFERROR(__xludf.DUMMYFUNCTION("""COMPUTED_VALUE"""),"1vMPSqBpJ7zBb4rZw_ytaphDX8K_jcboQlLc6plZtllU")</f>
        <v>1vMPSqBpJ7zBb4rZw_ytaphDX8K_jcboQlLc6plZtllU</v>
      </c>
    </row>
    <row r="790" ht="15.75" customHeight="1">
      <c r="A790" t="str">
        <f>IFERROR(__xludf.DUMMYFUNCTION("""COMPUTED_VALUE"""),"Rebalancer")</f>
        <v>Rebalancer</v>
      </c>
      <c r="B790" t="str">
        <f>IFERROR(__xludf.DUMMYFUNCTION("""COMPUTED_VALUE"""),"VerifyTLOSideSummary")</f>
        <v>VerifyTLOSideSummary</v>
      </c>
      <c r="C790" t="str">
        <f>IFERROR(__xludf.DUMMYFUNCTION("""COMPUTED_VALUE"""),"1asJHjZ4EwQuMXHEFjolwYeO59Mt4d11wf4mCyD98JMw")</f>
        <v>1asJHjZ4EwQuMXHEFjolwYeO59Mt4d11wf4mCyD98JMw</v>
      </c>
    </row>
    <row r="791" ht="15.75" customHeight="1">
      <c r="A791" t="str">
        <f>IFERROR(__xludf.DUMMYFUNCTION("""COMPUTED_VALUE"""),"Rebalancer")</f>
        <v>Rebalancer</v>
      </c>
      <c r="B791" t="str">
        <f>IFERROR(__xludf.DUMMYFUNCTION("""COMPUTED_VALUE"""),"SelectAndVerifyTradeList")</f>
        <v>SelectAndVerifyTradeList</v>
      </c>
      <c r="C791" t="str">
        <f>IFERROR(__xludf.DUMMYFUNCTION("""COMPUTED_VALUE"""),"1fXJG--hBH0hPvU7g5jtXyZnD1GiwJXfYX9HdEyhGyGs")</f>
        <v>1fXJG--hBH0hPvU7g5jtXyZnD1GiwJXfYX9HdEyhGyGs</v>
      </c>
    </row>
    <row r="792" ht="15.75" customHeight="1">
      <c r="A792" t="str">
        <f>IFERROR(__xludf.DUMMYFUNCTION("""COMPUTED_VALUE"""),"Rebalancer")</f>
        <v>Rebalancer</v>
      </c>
      <c r="B792" t="str">
        <f>IFERROR(__xludf.DUMMYFUNCTION("""COMPUTED_VALUE"""),"ActionOnTradeBuySellListView")</f>
        <v>ActionOnTradeBuySellListView</v>
      </c>
      <c r="C792" t="str">
        <f>IFERROR(__xludf.DUMMYFUNCTION("""COMPUTED_VALUE"""),"1xeJEpkdxtbik3vPUTkxALkXsnL-Vl5dF07PBUoheM3k")</f>
        <v>1xeJEpkdxtbik3vPUTkxALkXsnL-Vl5dF07PBUoheM3k</v>
      </c>
    </row>
    <row r="793" ht="15.75" customHeight="1">
      <c r="A793" t="str">
        <f>IFERROR(__xludf.DUMMYFUNCTION("""COMPUTED_VALUE"""),"PTT")</f>
        <v>PTT</v>
      </c>
      <c r="B793" t="str">
        <f>IFERROR(__xludf.DUMMYFUNCTION("""COMPUTED_VALUE"""),"OperationsonPTT")</f>
        <v>OperationsonPTT</v>
      </c>
      <c r="C793" t="str">
        <f>IFERROR(__xludf.DUMMYFUNCTION("""COMPUTED_VALUE"""),"1J40rCXEDilLEF_x0Wkeeg1lwGfejucV1VSY9UcyeSlw")</f>
        <v>1J40rCXEDilLEF_x0Wkeeg1lwGfejucV1VSY9UcyeSlw</v>
      </c>
    </row>
    <row r="794" ht="15.75" customHeight="1">
      <c r="A794" t="str">
        <f>IFERROR(__xludf.DUMMYFUNCTION("""COMPUTED_VALUE"""),"PricingInput")</f>
        <v>PricingInput</v>
      </c>
      <c r="B794" t="str">
        <f>IFERROR(__xludf.DUMMYFUNCTION("""COMPUTED_VALUE"""),"UpdatePricingInput")</f>
        <v>UpdatePricingInput</v>
      </c>
      <c r="C794" t="str">
        <f>IFERROR(__xludf.DUMMYFUNCTION("""COMPUTED_VALUE"""),"1CG9iYOkRKzlGEsKh7QuEyMdGRQea_W4KDWwlnjE2BdE")</f>
        <v>1CG9iYOkRKzlGEsKh7QuEyMdGRQea_W4KDWwlnjE2BdE</v>
      </c>
    </row>
    <row r="795" ht="15.75" customHeight="1">
      <c r="A795" t="str">
        <f>IFERROR(__xludf.DUMMYFUNCTION("""COMPUTED_VALUE"""),"Rebalancer")</f>
        <v>Rebalancer</v>
      </c>
      <c r="B795" t="str">
        <f>IFERROR(__xludf.DUMMYFUNCTION("""COMPUTED_VALUE"""),"ImportOnRB")</f>
        <v>ImportOnRB</v>
      </c>
      <c r="C795" t="str">
        <f>IFERROR(__xludf.DUMMYFUNCTION("""COMPUTED_VALUE"""),"1EntkiGIsU6aSZPpMKhixdhGFyyVCmlI1jMgvbCFq3oM")</f>
        <v>1EntkiGIsU6aSZPpMKhixdhGFyyVCmlI1jMgvbCFq3oM</v>
      </c>
    </row>
    <row r="796" ht="15.75" customHeight="1">
      <c r="A796" t="str">
        <f>IFERROR(__xludf.DUMMYFUNCTION("""COMPUTED_VALUE"""),"Rebalancer")</f>
        <v>Rebalancer</v>
      </c>
      <c r="B796" t="str">
        <f>IFERROR(__xludf.DUMMYFUNCTION("""COMPUTED_VALUE"""),"ActionOnRSAImportGrid")</f>
        <v>ActionOnRSAImportGrid</v>
      </c>
      <c r="C796" t="str">
        <f>IFERROR(__xludf.DUMMYFUNCTION("""COMPUTED_VALUE"""),"1qyFUqeWV7-Gy2PHnDNHGdUCBuvTKxxZhflKe9pguJEE")</f>
        <v>1qyFUqeWV7-Gy2PHnDNHGdUCBuvTKxxZhflKe9pguJEE</v>
      </c>
    </row>
    <row r="797" ht="15.75" customHeight="1">
      <c r="A797" t="str">
        <f>IFERROR(__xludf.DUMMYFUNCTION("""COMPUTED_VALUE"""),"Rebalancer")</f>
        <v>Rebalancer</v>
      </c>
      <c r="B797" t="str">
        <f>IFERROR(__xludf.DUMMYFUNCTION("""COMPUTED_VALUE"""),"VerifyImportGridRBForInvalidSec")</f>
        <v>VerifyImportGridRBForInvalidSec</v>
      </c>
      <c r="C797" t="str">
        <f>IFERROR(__xludf.DUMMYFUNCTION("""COMPUTED_VALUE"""),"13tlfzcOYlxn2sOASC-JNdqZmR9A1Cesa2Ah5348pLN8")</f>
        <v>13tlfzcOYlxn2sOASC-JNdqZmR9A1Cesa2Ah5348pLN8</v>
      </c>
    </row>
    <row r="798" ht="15.75" customHeight="1">
      <c r="A798" t="str">
        <f>IFERROR(__xludf.DUMMYFUNCTION("""COMPUTED_VALUE"""),"Rebalancer")</f>
        <v>Rebalancer</v>
      </c>
      <c r="B798" t="str">
        <f>IFERROR(__xludf.DUMMYFUNCTION("""COMPUTED_VALUE"""),"VerifyImportGridRBForValidSec")</f>
        <v>VerifyImportGridRBForValidSec</v>
      </c>
      <c r="C798" t="str">
        <f>IFERROR(__xludf.DUMMYFUNCTION("""COMPUTED_VALUE"""),"1KiLapuRaYEZfokVV1TZf8gTWNe8d9PblbpJsN983CaI")</f>
        <v>1KiLapuRaYEZfokVV1TZf8gTWNe8d9PblbpJsN983CaI</v>
      </c>
    </row>
    <row r="799" ht="15.75" customHeight="1">
      <c r="A799" t="str">
        <f>IFERROR(__xludf.DUMMYFUNCTION("""COMPUTED_VALUE"""),"Import")</f>
        <v>Import</v>
      </c>
      <c r="B799" t="str">
        <f>IFERROR(__xludf.DUMMYFUNCTION("""COMPUTED_VALUE"""),"ActionOnImport")</f>
        <v>ActionOnImport</v>
      </c>
      <c r="C799" t="str">
        <f>IFERROR(__xludf.DUMMYFUNCTION("""COMPUTED_VALUE"""),"1YM2boQt7BrzysPpsUbIqt27cfA6-btDPEZntG5NhBUc")</f>
        <v>1YM2boQt7BrzysPpsUbIqt27cfA6-btDPEZntG5NhBUc</v>
      </c>
    </row>
    <row r="800" ht="15.75" customHeight="1">
      <c r="A800" t="str">
        <f>IFERROR(__xludf.DUMMYFUNCTION("""COMPUTED_VALUE"""),"Import")</f>
        <v>Import</v>
      </c>
      <c r="B800" t="str">
        <f>IFERROR(__xludf.DUMMYFUNCTION("""COMPUTED_VALUE"""),"ValidateImportPositions")</f>
        <v>ValidateImportPositions</v>
      </c>
      <c r="C800" t="str">
        <f>IFERROR(__xludf.DUMMYFUNCTION("""COMPUTED_VALUE"""),"1ApMxUfr4smtwBJX_cppynzY1M99QXnDpTRjevjraQtA")</f>
        <v>1ApMxUfr4smtwBJX_cppynzY1M99QXnDpTRjevjraQtA</v>
      </c>
    </row>
    <row r="801" ht="15.75" customHeight="1">
      <c r="A801" t="str">
        <f>IFERROR(__xludf.DUMMYFUNCTION("""COMPUTED_VALUE"""),"DailyValuation")</f>
        <v>DailyValuation</v>
      </c>
      <c r="B801" t="str">
        <f>IFERROR(__xludf.DUMMYFUNCTION("""COMPUTED_VALUE"""),"UpdateMPAndFC")</f>
        <v>UpdateMPAndFC</v>
      </c>
      <c r="C801" t="str">
        <f>IFERROR(__xludf.DUMMYFUNCTION("""COMPUTED_VALUE"""),"1UCNfZng94LprScqCmSKImRjCwiKlLQU_e1kY1tum91I")</f>
        <v>1UCNfZng94LprScqCmSKImRjCwiKlLQU_e1kY1tum91I</v>
      </c>
    </row>
    <row r="802" ht="15.75" customHeight="1">
      <c r="A802" t="str">
        <f>IFERROR(__xludf.DUMMYFUNCTION("""COMPUTED_VALUE"""),"DailyValuation")</f>
        <v>DailyValuation</v>
      </c>
      <c r="B802" t="str">
        <f>IFERROR(__xludf.DUMMYFUNCTION("""COMPUTED_VALUE"""),"SelectDateAtMPFC")</f>
        <v>SelectDateAtMPFC</v>
      </c>
      <c r="C802" t="str">
        <f>IFERROR(__xludf.DUMMYFUNCTION("""COMPUTED_VALUE"""),"1DnCg9cxYbA4JZCrUA-hItngQmbhhFuxexdkPS0iagg8")</f>
        <v>1DnCg9cxYbA4JZCrUA-hItngQmbhhFuxexdkPS0iagg8</v>
      </c>
    </row>
    <row r="803" ht="15.75" customHeight="1">
      <c r="A803" t="str">
        <f>IFERROR(__xludf.DUMMYFUNCTION("""COMPUTED_VALUE"""),"Watchlist")</f>
        <v>Watchlist</v>
      </c>
      <c r="B803" t="str">
        <f>IFERROR(__xludf.DUMMYFUNCTION("""COMPUTED_VALUE"""),"SelectTradeWatchlist")</f>
        <v>SelectTradeWatchlist</v>
      </c>
      <c r="C803" t="str">
        <f>IFERROR(__xludf.DUMMYFUNCTION("""COMPUTED_VALUE"""),"1Wa9Q7PE7i3bZr_mTOkYG22qcEixSMbydeuL2lnyNfB0")</f>
        <v>1Wa9Q7PE7i3bZr_mTOkYG22qcEixSMbydeuL2lnyNfB0</v>
      </c>
    </row>
    <row r="804" ht="15.75" customHeight="1">
      <c r="A804" t="str">
        <f>IFERROR(__xludf.DUMMYFUNCTION("""COMPUTED_VALUE"""),"Watchlist")</f>
        <v>Watchlist</v>
      </c>
      <c r="B804" t="str">
        <f>IFERROR(__xludf.DUMMYFUNCTION("""COMPUTED_VALUE"""),"ActionOnWatchlist")</f>
        <v>ActionOnWatchlist</v>
      </c>
      <c r="C804" t="str">
        <f>IFERROR(__xludf.DUMMYFUNCTION("""COMPUTED_VALUE"""),"1Ex0VPpmT3E0nbSBahi-24Pfuba4HTTVDqcm5UWIEUUw")</f>
        <v>1Ex0VPpmT3E0nbSBahi-24Pfuba4HTTVDqcm5UWIEUUw</v>
      </c>
    </row>
    <row r="805" ht="15.75" customHeight="1">
      <c r="A805" t="str">
        <f>IFERROR(__xludf.DUMMYFUNCTION("""COMPUTED_VALUE"""),"Allocation")</f>
        <v>Allocation</v>
      </c>
      <c r="B805" t="str">
        <f>IFERROR(__xludf.DUMMYFUNCTION("""COMPUTED_VALUE"""),"OperationsonAllocation")</f>
        <v>OperationsonAllocation</v>
      </c>
      <c r="C805" t="str">
        <f>IFERROR(__xludf.DUMMYFUNCTION("""COMPUTED_VALUE"""),"1Ef_CfqtvCC0SoupZq61OQuLBg_r-ocFfZ5dScRXCuD4")</f>
        <v>1Ef_CfqtvCC0SoupZq61OQuLBg_r-ocFfZ5dScRXCuD4</v>
      </c>
    </row>
    <row r="806" ht="15.75" customHeight="1">
      <c r="A806" t="str">
        <f>IFERROR(__xludf.DUMMYFUNCTION("""COMPUTED_VALUE"""),"PTT")</f>
        <v>PTT</v>
      </c>
      <c r="B806" t="str">
        <f>IFERROR(__xludf.DUMMYFUNCTION("""COMPUTED_VALUE"""),"VerifyTradeSummary")</f>
        <v>VerifyTradeSummary</v>
      </c>
      <c r="C806" t="str">
        <f>IFERROR(__xludf.DUMMYFUNCTION("""COMPUTED_VALUE"""),"1QKYeLTANHsRzTEgySasZ8-Hipb9o0WkonYSctIWDvTQ")</f>
        <v>1QKYeLTANHsRzTEgySasZ8-Hipb9o0WkonYSctIWDvTQ</v>
      </c>
    </row>
    <row r="807" ht="15.75" customHeight="1">
      <c r="A807" t="str">
        <f>IFERROR(__xludf.DUMMYFUNCTION("""COMPUTED_VALUE"""),"Blotter")</f>
        <v>Blotter</v>
      </c>
      <c r="B807" t="str">
        <f>IFERROR(__xludf.DUMMYFUNCTION("""COMPUTED_VALUE"""),"SelectTradeOnBlotter")</f>
        <v>SelectTradeOnBlotter</v>
      </c>
      <c r="C807" t="str">
        <f>IFERROR(__xludf.DUMMYFUNCTION("""COMPUTED_VALUE"""),"1DUwxSUq_47EK60XmK3LOdCXa1fkWqWJE9bLuGS3ccv412")</f>
        <v>1DUwxSUq_47EK60XmK3LOdCXa1fkWqWJE9bLuGS3ccv412</v>
      </c>
    </row>
    <row r="808" ht="15.75" customHeight="1">
      <c r="A808" t="str">
        <f>IFERROR(__xludf.DUMMYFUNCTION("""COMPUTED_VALUE"""),"Blotter")</f>
        <v>Blotter</v>
      </c>
      <c r="B808" t="str">
        <f>IFERROR(__xludf.DUMMYFUNCTION("""COMPUTED_VALUE"""),"SelectTradeSummary")</f>
        <v>SelectTradeSummary</v>
      </c>
      <c r="C808" t="str">
        <f>IFERROR(__xludf.DUMMYFUNCTION("""COMPUTED_VALUE"""),"1DUwxSUq_47EK60XmK3LOdCXa1fkWqWJE9bLuGS3ccv412")</f>
        <v>1DUwxSUq_47EK60XmK3LOdCXa1fkWqWJE9bLuGS3ccv412</v>
      </c>
    </row>
    <row r="809" ht="15.75" customHeight="1">
      <c r="A809" t="str">
        <f>IFERROR(__xludf.DUMMYFUNCTION("""COMPUTED_VALUE"""),"Blotter")</f>
        <v>Blotter</v>
      </c>
      <c r="B809" t="str">
        <f>IFERROR(__xludf.DUMMYFUNCTION("""COMPUTED_VALUE"""),"MergeOrderMessage")</f>
        <v>MergeOrderMessage</v>
      </c>
      <c r="C809" t="str">
        <f>IFERROR(__xludf.DUMMYFUNCTION("""COMPUTED_VALUE"""),"1DUwxSUq_47EK60XmK3LOdCXa1fkWqWJE9bLuGS3ccv412")</f>
        <v>1DUwxSUq_47EK60XmK3LOdCXa1fkWqWJE9bLuGS3ccv412</v>
      </c>
    </row>
    <row r="810" ht="15.75" customHeight="1">
      <c r="A810" t="str">
        <f>IFERROR(__xludf.DUMMYFUNCTION("""COMPUTED_VALUE"""),"Blotter")</f>
        <v>Blotter</v>
      </c>
      <c r="B810" t="str">
        <f>IFERROR(__xludf.DUMMYFUNCTION("""COMPUTED_VALUE"""),"SwitchTabBlotter")</f>
        <v>SwitchTabBlotter</v>
      </c>
      <c r="C810" t="str">
        <f>IFERROR(__xludf.DUMMYFUNCTION("""COMPUTED_VALUE"""),"1DUwxSUq_47EK60XmK3LOdCXa1fkWqWJE9bLuGS3ccv412")</f>
        <v>1DUwxSUq_47EK60XmK3LOdCXa1fkWqWJE9bLuGS3ccv412</v>
      </c>
    </row>
    <row r="811" ht="15.75" customHeight="1">
      <c r="A811" t="str">
        <f>IFERROR(__xludf.DUMMYFUNCTION("""COMPUTED_VALUE"""),"Blotter")</f>
        <v>Blotter</v>
      </c>
      <c r="B811" t="str">
        <f>IFERROR(__xludf.DUMMYFUNCTION("""COMPUTED_VALUE"""),"AddTab")</f>
        <v>AddTab</v>
      </c>
      <c r="C811" t="str">
        <f>IFERROR(__xludf.DUMMYFUNCTION("""COMPUTED_VALUE"""),"1DUwxSUq_47EK60XmK3LOdCXa1fkWqWJE9bLuGS3ccv412")</f>
        <v>1DUwxSUq_47EK60XmK3LOdCXa1fkWqWJE9bLuGS3ccv412</v>
      </c>
    </row>
    <row r="812" ht="15.75" customHeight="1">
      <c r="A812" t="str">
        <f>IFERROR(__xludf.DUMMYFUNCTION("""COMPUTED_VALUE"""),"Blotter")</f>
        <v>Blotter</v>
      </c>
      <c r="B812" t="str">
        <f>IFERROR(__xludf.DUMMYFUNCTION("""COMPUTED_VALUE"""),"UploadStageOrders")</f>
        <v>UploadStageOrders</v>
      </c>
      <c r="C812" t="str">
        <f>IFERROR(__xludf.DUMMYFUNCTION("""COMPUTED_VALUE"""),"1DUwxSUq_47EK60XmK3LOdCXa1fkWqWJE9bLuGS3ccv412")</f>
        <v>1DUwxSUq_47EK60XmK3LOdCXa1fkWqWJE9bLuGS3ccv412</v>
      </c>
    </row>
    <row r="813" ht="15.75" customHeight="1">
      <c r="A813" t="str">
        <f>IFERROR(__xludf.DUMMYFUNCTION("""COMPUTED_VALUE"""),"Unknown")</f>
        <v>Unknown</v>
      </c>
      <c r="B813" t="str">
        <f>IFERROR(__xludf.DUMMYFUNCTION("""COMPUTED_VALUE"""),"NirvanaDialogueBoxHandler")</f>
        <v>NirvanaDialogueBoxHandler</v>
      </c>
      <c r="C813" t="str">
        <f>IFERROR(__xludf.DUMMYFUNCTION("""COMPUTED_VALUE"""),"1DUwxSUq_47EK60XmK3LOdCXa1fkWqWJE9bLuGS3ccv412")</f>
        <v>1DUwxSUq_47EK60XmK3LOdCXa1fkWqWJE9bLuGS3ccv412</v>
      </c>
    </row>
    <row r="814" ht="15.75" customHeight="1">
      <c r="A814" t="str">
        <f>IFERROR(__xludf.DUMMYFUNCTION("""COMPUTED_VALUE"""),"Blotter")</f>
        <v>Blotter</v>
      </c>
      <c r="B814" t="str">
        <f>IFERROR(__xludf.DUMMYFUNCTION("""COMPUTED_VALUE"""),"AddTabToFav")</f>
        <v>AddTabToFav</v>
      </c>
      <c r="C814" t="str">
        <f>IFERROR(__xludf.DUMMYFUNCTION("""COMPUTED_VALUE"""),"1Hrblc1gk4JIYboQ1lGHgl7HatAXp5amAl9mS58vzT-0")</f>
        <v>1Hrblc1gk4JIYboQ1lGHgl7HatAXp5amAl9mS58vzT-0</v>
      </c>
    </row>
    <row r="815" ht="15.75" customHeight="1">
      <c r="A815" t="str">
        <f>IFERROR(__xludf.DUMMYFUNCTION("""COMPUTED_VALUE"""),"PTT")</f>
        <v>PTT</v>
      </c>
      <c r="B815" t="str">
        <f>IFERROR(__xludf.DUMMYFUNCTION("""COMPUTED_VALUE"""),"VerifyAllocationDetails")</f>
        <v>VerifyAllocationDetails</v>
      </c>
      <c r="C815" t="str">
        <f>IFERROR(__xludf.DUMMYFUNCTION("""COMPUTED_VALUE"""),"1DUwxSUq_47EK60XmK3LOdCXa1fkWqWJE9bLuGS3ccv412")</f>
        <v>1DUwxSUq_47EK60XmK3LOdCXa1fkWqWJE9bLuGS3ccv412</v>
      </c>
    </row>
    <row r="816" ht="15.75" customHeight="1">
      <c r="A816" t="str">
        <f>IFERROR(__xludf.DUMMYFUNCTION("""COMPUTED_VALUE"""),"Unknown")</f>
        <v>Unknown</v>
      </c>
      <c r="B816" t="str">
        <f>IFERROR(__xludf.DUMMYFUNCTION("""COMPUTED_VALUE"""),"WindowAction")</f>
        <v>WindowAction</v>
      </c>
      <c r="C816" t="str">
        <f>IFERROR(__xludf.DUMMYFUNCTION("""COMPUTED_VALUE"""),"1DUwxSUq_47EK60XmK3LOdCXa1fkWqWJE9bLuGS3ccv412")</f>
        <v>1DUwxSUq_47EK60XmK3LOdCXa1fkWqWJE9bLuGS3ccv412</v>
      </c>
    </row>
    <row r="817" ht="15.75" customHeight="1">
      <c r="A817" t="str">
        <f>IFERROR(__xludf.DUMMYFUNCTION("""COMPUTED_VALUE"""),"PTT")</f>
        <v>PTT</v>
      </c>
      <c r="B817" t="str">
        <f>IFERROR(__xludf.DUMMYFUNCTION("""COMPUTED_VALUE"""),"VerifyAllocationDetailsSam")</f>
        <v>VerifyAllocationDetailsSam</v>
      </c>
      <c r="C817" t="str">
        <f>IFERROR(__xludf.DUMMYFUNCTION("""COMPUTED_VALUE"""),"1DUwxSUq_47EK60XmK3LOdCXa1fkWqWJE9bLuGS3ccv412")</f>
        <v>1DUwxSUq_47EK60XmK3LOdCXa1fkWqWJE9bLuGS3ccv412</v>
      </c>
    </row>
    <row r="818" ht="15.75" customHeight="1">
      <c r="A818" t="str">
        <f>IFERROR(__xludf.DUMMYFUNCTION("""COMPUTED_VALUE"""),"Blotter")</f>
        <v>Blotter</v>
      </c>
      <c r="B818" t="str">
        <f>IFERROR(__xludf.DUMMYFUNCTION("""COMPUTED_VALUE"""),"VerifyExpandedBR")</f>
        <v>VerifyExpandedBR</v>
      </c>
      <c r="C818" t="str">
        <f>IFERROR(__xludf.DUMMYFUNCTION("""COMPUTED_VALUE"""),"1DUwxSUq_47EK60XmK3LOdCXa1fkWqWJE9bLuGS3ccv412")</f>
        <v>1DUwxSUq_47EK60XmK3LOdCXa1fkWqWJE9bLuGS3ccv412</v>
      </c>
    </row>
    <row r="819" ht="15.75" customHeight="1">
      <c r="A819" t="str">
        <f>IFERROR(__xludf.DUMMYFUNCTION("""COMPUTED_VALUE"""),"Unknown")</f>
        <v>Unknown</v>
      </c>
      <c r="B819" t="str">
        <f>IFERROR(__xludf.DUMMYFUNCTION("""COMPUTED_VALUE"""),"CheckModStatus")</f>
        <v>CheckModStatus</v>
      </c>
      <c r="C819" t="str">
        <f>IFERROR(__xludf.DUMMYFUNCTION("""COMPUTED_VALUE"""),"1S0obfxcw-fBa8_NHZx6E2ddpXBy262moOyglnQyX8XA")</f>
        <v>1S0obfxcw-fBa8_NHZx6E2ddpXBy262moOyglnQyX8XA</v>
      </c>
    </row>
    <row r="820" ht="15.75" customHeight="1">
      <c r="A820" t="str">
        <f>IFERROR(__xludf.DUMMYFUNCTION("""COMPUTED_VALUE"""),"Allocation")</f>
        <v>Allocation</v>
      </c>
      <c r="B820" t="str">
        <f>IFERROR(__xludf.DUMMYFUNCTION("""COMPUTED_VALUE"""),"ActionOnGroupBox")</f>
        <v>ActionOnGroupBox</v>
      </c>
      <c r="C820" t="str">
        <f>IFERROR(__xludf.DUMMYFUNCTION("""COMPUTED_VALUE"""),"1DUwxSUq_47EK60XmK3LOdCXa1fkWqWJE9bLuGS3ccv412")</f>
        <v>1DUwxSUq_47EK60XmK3LOdCXa1fkWqWJE9bLuGS3ccv412</v>
      </c>
    </row>
    <row r="821" ht="15.75" customHeight="1">
      <c r="A821" t="str">
        <f>IFERROR(__xludf.DUMMYFUNCTION("""COMPUTED_VALUE"""),"Rebalancer")</f>
        <v>Rebalancer</v>
      </c>
      <c r="B821" t="str">
        <f>IFERROR(__xludf.DUMMYFUNCTION("""COMPUTED_VALUE"""),"CreateOrViewMP")</f>
        <v>CreateOrViewMP</v>
      </c>
      <c r="C821" t="str">
        <f>IFERROR(__xludf.DUMMYFUNCTION("""COMPUTED_VALUE"""),"1DUwxSUq_47EK60XmK3LOdCXa1fkWqWJE9bLuGS3ccv412")</f>
        <v>1DUwxSUq_47EK60XmK3LOdCXa1fkWqWJE9bLuGS3ccv412</v>
      </c>
    </row>
    <row r="822" ht="15.75" customHeight="1">
      <c r="A822" t="str">
        <f>IFERROR(__xludf.DUMMYFUNCTION("""COMPUTED_VALUE"""),"Rebalancer")</f>
        <v>Rebalancer</v>
      </c>
      <c r="B822" t="str">
        <f>IFERROR(__xludf.DUMMYFUNCTION("""COMPUTED_VALUE"""),"SwitchTabRB")</f>
        <v>SwitchTabRB</v>
      </c>
      <c r="C822" t="str">
        <f>IFERROR(__xludf.DUMMYFUNCTION("""COMPUTED_VALUE"""),"1DUwxSUq_47EK60XmK3LOdCXa1fkWqWJE9bLuGS3ccv412")</f>
        <v>1DUwxSUq_47EK60XmK3LOdCXa1fkWqWJE9bLuGS3ccv412</v>
      </c>
    </row>
    <row r="823" ht="15.75" customHeight="1">
      <c r="A823" t="str">
        <f>IFERROR(__xludf.DUMMYFUNCTION("""COMPUTED_VALUE"""),"Allocation")</f>
        <v>Allocation</v>
      </c>
      <c r="B823" t="str">
        <f>IFERROR(__xludf.DUMMYFUNCTION("""COMPUTED_VALUE"""),"SelectAllTradesAllocation")</f>
        <v>SelectAllTradesAllocation</v>
      </c>
      <c r="C823" t="str">
        <f>IFERROR(__xludf.DUMMYFUNCTION("""COMPUTED_VALUE"""),"1DUwxSUq_47EK60XmK3LOdCXa1fkWqWJE9bLuGS3ccv412")</f>
        <v>1DUwxSUq_47EK60XmK3LOdCXa1fkWqWJE9bLuGS3ccv412</v>
      </c>
    </row>
    <row r="824" ht="15.75" customHeight="1">
      <c r="A824" t="str">
        <f>IFERROR(__xludf.DUMMYFUNCTION("""COMPUTED_VALUE"""),"Allocation")</f>
        <v>Allocation</v>
      </c>
      <c r="B824" t="str">
        <f>IFERROR(__xludf.DUMMYFUNCTION("""COMPUTED_VALUE"""),"SetFundDistribution")</f>
        <v>SetFundDistribution</v>
      </c>
      <c r="C824" t="str">
        <f>IFERROR(__xludf.DUMMYFUNCTION("""COMPUTED_VALUE"""),"1DUwxSUq_47EK60XmK3LOdCXa1fkWqWJE9bLuGS3ccv412")</f>
        <v>1DUwxSUq_47EK60XmK3LOdCXa1fkWqWJE9bLuGS3ccv412</v>
      </c>
    </row>
    <row r="825" ht="15.75" customHeight="1">
      <c r="A825" t="str">
        <f>IFERROR(__xludf.DUMMYFUNCTION("""COMPUTED_VALUE"""),"Allocation")</f>
        <v>Allocation</v>
      </c>
      <c r="B825" t="str">
        <f>IFERROR(__xludf.DUMMYFUNCTION("""COMPUTED_VALUE"""),"OperationsonAllocation")</f>
        <v>OperationsonAllocation</v>
      </c>
      <c r="C825" t="str">
        <f>IFERROR(__xludf.DUMMYFUNCTION("""COMPUTED_VALUE"""),"1DUwxSUq_47EK60XmK3LOdCXa1fkWqWJE9bLuGS3ccv412")</f>
        <v>1DUwxSUq_47EK60XmK3LOdCXa1fkWqWJE9bLuGS3ccv412</v>
      </c>
    </row>
    <row r="826" ht="15.75" customHeight="1">
      <c r="A826" t="str">
        <f>IFERROR(__xludf.DUMMYFUNCTION("""COMPUTED_VALUE"""),"Rebalancer")</f>
        <v>Rebalancer</v>
      </c>
      <c r="B826" t="str">
        <f>IFERROR(__xludf.DUMMYFUNCTION("""COMPUTED_VALUE"""),"SelectModelPortfolio")</f>
        <v>SelectModelPortfolio</v>
      </c>
      <c r="C826" t="str">
        <f>IFERROR(__xludf.DUMMYFUNCTION("""COMPUTED_VALUE"""),"1DUwxSUq_47EK60XmK3LOdCXa1fkWqWJE9bLuGS3ccv412")</f>
        <v>1DUwxSUq_47EK60XmK3LOdCXa1fkWqWJE9bLuGS3ccv412</v>
      </c>
    </row>
    <row r="827" ht="15.75" customHeight="1">
      <c r="A827" t="str">
        <f>IFERROR(__xludf.DUMMYFUNCTION("""COMPUTED_VALUE"""),"Rebalancer")</f>
        <v>Rebalancer</v>
      </c>
      <c r="B827" t="str">
        <f>IFERROR(__xludf.DUMMYFUNCTION("""COMPUTED_VALUE"""),"OperationsonMPRB")</f>
        <v>OperationsonMPRB</v>
      </c>
      <c r="C827" t="str">
        <f>IFERROR(__xludf.DUMMYFUNCTION("""COMPUTED_VALUE"""),"1DUwxSUq_47EK60XmK3LOdCXa1fkWqWJE9bLuGS3ccv412")</f>
        <v>1DUwxSUq_47EK60XmK3LOdCXa1fkWqWJE9bLuGS3ccv412</v>
      </c>
    </row>
    <row r="828" ht="15.75" customHeight="1">
      <c r="A828" t="str">
        <f>IFERROR(__xludf.DUMMYFUNCTION("""COMPUTED_VALUE"""),"Rebalancer")</f>
        <v>Rebalancer</v>
      </c>
      <c r="B828" t="str">
        <f>IFERROR(__xludf.DUMMYFUNCTION("""COMPUTED_VALUE"""),"VerifyMPRB")</f>
        <v>VerifyMPRB</v>
      </c>
      <c r="C828" t="str">
        <f>IFERROR(__xludf.DUMMYFUNCTION("""COMPUTED_VALUE"""),"1DUwxSUq_47EK60XmK3LOdCXa1fkWqWJE9bLuGS3ccv412")</f>
        <v>1DUwxSUq_47EK60XmK3LOdCXa1fkWqWJE9bLuGS3ccv412</v>
      </c>
    </row>
    <row r="829" ht="15.75" customHeight="1">
      <c r="A829" t="str">
        <f>IFERROR(__xludf.DUMMYFUNCTION("""COMPUTED_VALUE"""),"Admin")</f>
        <v>Admin</v>
      </c>
      <c r="B829" t="str">
        <f>IFERROR(__xludf.DUMMYFUNCTION("""COMPUTED_VALUE"""),"BasketPermission")</f>
        <v>BasketPermission</v>
      </c>
      <c r="C829" t="str">
        <f>IFERROR(__xludf.DUMMYFUNCTION("""COMPUTED_VALUE"""),"17IDG53HtzAOlp_4FIV5uGfLm-MbCR9NktUckecZQFVU")</f>
        <v>17IDG53HtzAOlp_4FIV5uGfLm-MbCR9NktUckecZQFVU</v>
      </c>
    </row>
    <row r="830" ht="15.75" customHeight="1">
      <c r="A830" t="str">
        <f>IFERROR(__xludf.DUMMYFUNCTION("""COMPUTED_VALUE"""),"Rebalancer")</f>
        <v>Rebalancer</v>
      </c>
      <c r="B830" t="str">
        <f>IFERROR(__xludf.DUMMYFUNCTION("""COMPUTED_VALUE"""),"ActiononCustomGroup")</f>
        <v>ActiononCustomGroup</v>
      </c>
      <c r="C830" t="str">
        <f>IFERROR(__xludf.DUMMYFUNCTION("""COMPUTED_VALUE"""),"1DUwxSUq_47EK60XmK3LOdCXa1fkWqWJE9bLuGS3ccv412")</f>
        <v>1DUwxSUq_47EK60XmK3LOdCXa1fkWqWJE9bLuGS3ccv412</v>
      </c>
    </row>
    <row r="831" ht="15.75" customHeight="1">
      <c r="A831" t="str">
        <f>IFERROR(__xludf.DUMMYFUNCTION("""COMPUTED_VALUE"""),"Rebalancer")</f>
        <v>Rebalancer</v>
      </c>
      <c r="B831" t="str">
        <f>IFERROR(__xludf.DUMMYFUNCTION("""COMPUTED_VALUE"""),"SelectCustomGroups")</f>
        <v>SelectCustomGroups</v>
      </c>
      <c r="C831" t="str">
        <f>IFERROR(__xludf.DUMMYFUNCTION("""COMPUTED_VALUE"""),"1DUwxSUq_47EK60XmK3LOdCXa1fkWqWJE9bLuGS3ccv412")</f>
        <v>1DUwxSUq_47EK60XmK3LOdCXa1fkWqWJE9bLuGS3ccv412</v>
      </c>
    </row>
    <row r="832" ht="15.75" customHeight="1">
      <c r="A832" t="str">
        <f>IFERROR(__xludf.DUMMYFUNCTION("""COMPUTED_VALUE"""),"Rebalancer")</f>
        <v>Rebalancer</v>
      </c>
      <c r="B832" t="str">
        <f>IFERROR(__xludf.DUMMYFUNCTION("""COMPUTED_VALUE"""),"SelectAssignedAccounts")</f>
        <v>SelectAssignedAccounts</v>
      </c>
      <c r="C832" t="str">
        <f>IFERROR(__xludf.DUMMYFUNCTION("""COMPUTED_VALUE"""),"1DUwxSUq_47EK60XmK3LOdCXa1fkWqWJE9bLuGS3ccv412")</f>
        <v>1DUwxSUq_47EK60XmK3LOdCXa1fkWqWJE9bLuGS3ccv412</v>
      </c>
    </row>
    <row r="833" ht="15.75" customHeight="1">
      <c r="A833" t="str">
        <f>IFERROR(__xludf.DUMMYFUNCTION("""COMPUTED_VALUE"""),"Rebalancer")</f>
        <v>Rebalancer</v>
      </c>
      <c r="B833" t="str">
        <f>IFERROR(__xludf.DUMMYFUNCTION("""COMPUTED_VALUE"""),"SelectUnAssignedAccounts")</f>
        <v>SelectUnAssignedAccounts</v>
      </c>
      <c r="C833" t="str">
        <f>IFERROR(__xludf.DUMMYFUNCTION("""COMPUTED_VALUE"""),"1DUwxSUq_47EK60XmK3LOdCXa1fkWqWJE9bLuGS3ccv412")</f>
        <v>1DUwxSUq_47EK60XmK3LOdCXa1fkWqWJE9bLuGS3ccv412</v>
      </c>
    </row>
    <row r="834" ht="15.75" customHeight="1">
      <c r="A834" t="str">
        <f>IFERROR(__xludf.DUMMYFUNCTION("""COMPUTED_VALUE"""),"Rebalancer")</f>
        <v>Rebalancer</v>
      </c>
      <c r="B834" t="str">
        <f>IFERROR(__xludf.DUMMYFUNCTION("""COMPUTED_VALUE"""),"VerifyCustomGroups")</f>
        <v>VerifyCustomGroups</v>
      </c>
      <c r="C834" t="str">
        <f>IFERROR(__xludf.DUMMYFUNCTION("""COMPUTED_VALUE"""),"1DUwxSUq_47EK60XmK3LOdCXa1fkWqWJE9bLuGS3ccv412")</f>
        <v>1DUwxSUq_47EK60XmK3LOdCXa1fkWqWJE9bLuGS3ccv412</v>
      </c>
    </row>
    <row r="835" ht="15.75" customHeight="1">
      <c r="A835" t="str">
        <f>IFERROR(__xludf.DUMMYFUNCTION("""COMPUTED_VALUE"""),"Rebalancer")</f>
        <v>Rebalancer</v>
      </c>
      <c r="B835" t="str">
        <f>IFERROR(__xludf.DUMMYFUNCTION("""COMPUTED_VALUE"""),"VerifyAssignedAccounts")</f>
        <v>VerifyAssignedAccounts</v>
      </c>
      <c r="C835" t="str">
        <f>IFERROR(__xludf.DUMMYFUNCTION("""COMPUTED_VALUE"""),"1DUwxSUq_47EK60XmK3LOdCXa1fkWqWJE9bLuGS3ccv412")</f>
        <v>1DUwxSUq_47EK60XmK3LOdCXa1fkWqWJE9bLuGS3ccv412</v>
      </c>
    </row>
    <row r="836" ht="15.75" customHeight="1">
      <c r="A836" t="str">
        <f>IFERROR(__xludf.DUMMYFUNCTION("""COMPUTED_VALUE"""),"Rebalancer")</f>
        <v>Rebalancer</v>
      </c>
      <c r="B836" t="str">
        <f>IFERROR(__xludf.DUMMYFUNCTION("""COMPUTED_VALUE"""),"VerifyUnAssignedAccounts")</f>
        <v>VerifyUnAssignedAccounts</v>
      </c>
      <c r="C836" t="str">
        <f>IFERROR(__xludf.DUMMYFUNCTION("""COMPUTED_VALUE"""),"1DUwxSUq_47EK60XmK3LOdCXa1fkWqWJE9bLuGS3ccv412")</f>
        <v>1DUwxSUq_47EK60XmK3LOdCXa1fkWqWJE9bLuGS3ccv412</v>
      </c>
    </row>
    <row r="837" ht="15.75" customHeight="1">
      <c r="A837" t="str">
        <f>IFERROR(__xludf.DUMMYFUNCTION("""COMPUTED_VALUE"""),"Allocation")</f>
        <v>Allocation</v>
      </c>
      <c r="B837" t="str">
        <f>IFERROR(__xludf.DUMMYFUNCTION("""COMPUTED_VALUE"""),"VerifyAllocationStatusBar")</f>
        <v>VerifyAllocationStatusBar</v>
      </c>
      <c r="C837" t="str">
        <f>IFERROR(__xludf.DUMMYFUNCTION("""COMPUTED_VALUE"""),"1xGSEHe1MiU9TD2PSlKIl96W7bOhlWvmTLQB")</f>
        <v>1xGSEHe1MiU9TD2PSlKIl96W7bOhlWvmTLQB</v>
      </c>
    </row>
    <row r="838" ht="15.75" customHeight="1">
      <c r="A838" t="str">
        <f>IFERROR(__xludf.DUMMYFUNCTION("""COMPUTED_VALUE"""),"Rebalancer")</f>
        <v>Rebalancer</v>
      </c>
      <c r="B838" t="str">
        <f>IFERROR(__xludf.DUMMYFUNCTION("""COMPUTED_VALUE"""),"ActiononRebalance")</f>
        <v>ActiononRebalance</v>
      </c>
      <c r="C838" t="str">
        <f>IFERROR(__xludf.DUMMYFUNCTION("""COMPUTED_VALUE"""),"1DUwxSUq_47EK60XmK3LOdCXa1fkWqWJE9bLuGS3ccv412")</f>
        <v>1DUwxSUq_47EK60XmK3LOdCXa1fkWqWJE9bLuGS3ccv412</v>
      </c>
    </row>
    <row r="839" ht="15.75" customHeight="1">
      <c r="A839" t="str">
        <f>IFERROR(__xludf.DUMMYFUNCTION("""COMPUTED_VALUE"""),"MultiTradingTicket")</f>
        <v>MultiTradingTicket</v>
      </c>
      <c r="B839" t="str">
        <f>IFERROR(__xludf.DUMMYFUNCTION("""COMPUTED_VALUE"""),"BulkUpdateonMTT ")</f>
        <v>BulkUpdateonMTT </v>
      </c>
      <c r="C839" t="str">
        <f>IFERROR(__xludf.DUMMYFUNCTION("""COMPUTED_VALUE"""),"1DUwxSUq_47EK60XmK3LOdCXa1fkWqWJE9bLuGS3ccv412")</f>
        <v>1DUwxSUq_47EK60XmK3LOdCXa1fkWqWJE9bLuGS3ccv412</v>
      </c>
    </row>
    <row r="840" ht="15.75" customHeight="1">
      <c r="A840" t="str">
        <f>IFERROR(__xludf.DUMMYFUNCTION("""COMPUTED_VALUE"""),"MultiTradingTicket")</f>
        <v>MultiTradingTicket</v>
      </c>
      <c r="B840" t="str">
        <f>IFERROR(__xludf.DUMMYFUNCTION("""COMPUTED_VALUE"""),"CustomOrderMTT")</f>
        <v>CustomOrderMTT</v>
      </c>
      <c r="C840" t="str">
        <f>IFERROR(__xludf.DUMMYFUNCTION("""COMPUTED_VALUE"""),"1DUwxSUq_47EK60XmK3LOdCXa1fkWqWJE9bLuGS3ccv412")</f>
        <v>1DUwxSUq_47EK60XmK3LOdCXa1fkWqWJE9bLuGS3ccv412</v>
      </c>
    </row>
    <row r="841" ht="15.75" customHeight="1">
      <c r="A841" t="str">
        <f>IFERROR(__xludf.DUMMYFUNCTION("""COMPUTED_VALUE"""),"Rebalancer")</f>
        <v>Rebalancer</v>
      </c>
      <c r="B841" t="str">
        <f>IFERROR(__xludf.DUMMYFUNCTION("""COMPUTED_VALUE"""),"MoveToAssignedList")</f>
        <v>MoveToAssignedList</v>
      </c>
      <c r="C841" t="str">
        <f>IFERROR(__xludf.DUMMYFUNCTION("""COMPUTED_VALUE"""),"1DUwxSUq_47EK60XmK3LOdCXa1fkWqWJE9bLuGS3ccv412")</f>
        <v>1DUwxSUq_47EK60XmK3LOdCXa1fkWqWJE9bLuGS3ccv412</v>
      </c>
    </row>
    <row r="842" ht="15.75" customHeight="1">
      <c r="A842" t="str">
        <f>IFERROR(__xludf.DUMMYFUNCTION("""COMPUTED_VALUE"""),"TradingTicket")</f>
        <v>TradingTicket</v>
      </c>
      <c r="B842" t="str">
        <f>IFERROR(__xludf.DUMMYFUNCTION("""COMPUTED_VALUE"""),"ActionOnPrompt")</f>
        <v>ActionOnPrompt</v>
      </c>
      <c r="C842" t="str">
        <f>IFERROR(__xludf.DUMMYFUNCTION("""COMPUTED_VALUE"""),"1DUwxSUq_47EK60XmK3LOdCXa1fkWqWJE9bLuGS3ccv412")</f>
        <v>1DUwxSUq_47EK60XmK3LOdCXa1fkWqWJE9bLuGS3ccv412</v>
      </c>
    </row>
    <row r="843" ht="15.75" customHeight="1">
      <c r="A843" t="str">
        <f>IFERROR(__xludf.DUMMYFUNCTION("""COMPUTED_VALUE"""),"Rebalancer")</f>
        <v>Rebalancer</v>
      </c>
      <c r="B843" t="str">
        <f>IFERROR(__xludf.DUMMYFUNCTION("""COMPUTED_VALUE"""),"VerifyRBStatusBar")</f>
        <v>VerifyRBStatusBar</v>
      </c>
      <c r="C843" t="str">
        <f>IFERROR(__xludf.DUMMYFUNCTION("""COMPUTED_VALUE"""),"1DUwxSUq_47EK60XmK3LOdCXa1fkWqWJE9bLuGS3ccv412")</f>
        <v>1DUwxSUq_47EK60XmK3LOdCXa1fkWqWJE9bLuGS3ccv412</v>
      </c>
    </row>
    <row r="844" ht="15.75" customHeight="1">
      <c r="A844" t="str">
        <f>IFERROR(__xludf.DUMMYFUNCTION("""COMPUTED_VALUE"""),"MultiTradingTicket")</f>
        <v>MultiTradingTicket</v>
      </c>
      <c r="B844" t="str">
        <f>IFERROR(__xludf.DUMMYFUNCTION("""COMPUTED_VALUE"""),"SelectAllMTT")</f>
        <v>SelectAllMTT</v>
      </c>
      <c r="C844" t="str">
        <f>IFERROR(__xludf.DUMMYFUNCTION("""COMPUTED_VALUE"""),"1DUwxSUq_47EK60XmK3LOdCXa1fkWqWJE9bLuGS3ccv412")</f>
        <v>1DUwxSUq_47EK60XmK3LOdCXa1fkWqWJE9bLuGS3ccv412</v>
      </c>
    </row>
    <row r="845" ht="15.75" customHeight="1">
      <c r="A845" t="str">
        <f>IFERROR(__xludf.DUMMYFUNCTION("""COMPUTED_VALUE"""),"MultiTradingTicket")</f>
        <v>MultiTradingTicket</v>
      </c>
      <c r="B845" t="str">
        <f>IFERROR(__xludf.DUMMYFUNCTION("""COMPUTED_VALUE"""),"SelectTradesMTT")</f>
        <v>SelectTradesMTT</v>
      </c>
      <c r="C845" t="str">
        <f>IFERROR(__xludf.DUMMYFUNCTION("""COMPUTED_VALUE"""),"1DUwxSUq_47EK60XmK3LOdCXa1fkWqWJE9bLuGS3ccv412")</f>
        <v>1DUwxSUq_47EK60XmK3LOdCXa1fkWqWJE9bLuGS3ccv412</v>
      </c>
    </row>
    <row r="846" ht="15.75" customHeight="1">
      <c r="A846" t="str">
        <f>IFERROR(__xludf.DUMMYFUNCTION("""COMPUTED_VALUE"""),"MultiTradingTicket")</f>
        <v>MultiTradingTicket</v>
      </c>
      <c r="B846" t="str">
        <f>IFERROR(__xludf.DUMMYFUNCTION("""COMPUTED_VALUE"""),"OperationonMTT")</f>
        <v>OperationonMTT</v>
      </c>
      <c r="C846" t="str">
        <f>IFERROR(__xludf.DUMMYFUNCTION("""COMPUTED_VALUE"""),"1DUwxSUq_47EK60XmK3LOdCXa1fkWqWJE9bLuGS3ccv412")</f>
        <v>1DUwxSUq_47EK60XmK3LOdCXa1fkWqWJE9bLuGS3ccv412</v>
      </c>
    </row>
    <row r="847" ht="15.75" customHeight="1">
      <c r="A847" t="str">
        <f>IFERROR(__xludf.DUMMYFUNCTION("""COMPUTED_VALUE"""),"Allocation")</f>
        <v>Allocation</v>
      </c>
      <c r="B847" t="str">
        <f>IFERROR(__xludf.DUMMYFUNCTION("""COMPUTED_VALUE"""),"VerifyExpansionIndicator")</f>
        <v>VerifyExpansionIndicator</v>
      </c>
      <c r="C847" t="str">
        <f>IFERROR(__xludf.DUMMYFUNCTION("""COMPUTED_VALUE"""),"1DUwxSUq_47EK60XmK3LOdCXa1fkWqWJE9bLuGS3ccv412")</f>
        <v>1DUwxSUq_47EK60XmK3LOdCXa1fkWqWJE9bLuGS3ccv412</v>
      </c>
    </row>
    <row r="848" ht="15.75" customHeight="1">
      <c r="A848" t="str">
        <f>IFERROR(__xludf.DUMMYFUNCTION("""COMPUTED_VALUE"""),"PTT")</f>
        <v>PTT</v>
      </c>
      <c r="B848" t="str">
        <f>IFERROR(__xludf.DUMMYFUNCTION("""COMPUTED_VALUE"""),"VerifyPTTUI")</f>
        <v>VerifyPTTUI</v>
      </c>
      <c r="C848" t="str">
        <f>IFERROR(__xludf.DUMMYFUNCTION("""COMPUTED_VALUE"""),"1DUwxSUq_47EK60XmK3LOdCXa1fkWqWJE9bLuGS3ccv412")</f>
        <v>1DUwxSUq_47EK60XmK3LOdCXa1fkWqWJE9bLuGS3ccv412</v>
      </c>
    </row>
    <row r="849" ht="15.75" customHeight="1">
      <c r="A849" t="str">
        <f>IFERROR(__xludf.DUMMYFUNCTION("""COMPUTED_VALUE"""),"PranaClient")</f>
        <v>PranaClient</v>
      </c>
      <c r="B849" t="str">
        <f>IFERROR(__xludf.DUMMYFUNCTION("""COMPUTED_VALUE"""),"OpenModule")</f>
        <v>OpenModule</v>
      </c>
      <c r="C849" t="str">
        <f>IFERROR(__xludf.DUMMYFUNCTION("""COMPUTED_VALUE"""),"1L-UVWUTPBRTuEZmbLDReT0I7a0h7ABWiidO4dyyCx34")</f>
        <v>1L-UVWUTPBRTuEZmbLDReT0I7a0h7ABWiidO4dyyCx34</v>
      </c>
    </row>
    <row r="850" ht="15.75" customHeight="1">
      <c r="A850" t="str">
        <f>IFERROR(__xludf.DUMMYFUNCTION("""COMPUTED_VALUE"""),"Unknown")</f>
        <v>Unknown</v>
      </c>
      <c r="B850" t="str">
        <f>IFERROR(__xludf.DUMMYFUNCTION("""COMPUTED_VALUE"""),"CheckWindow")</f>
        <v>CheckWindow</v>
      </c>
      <c r="C850" t="str">
        <f>IFERROR(__xludf.DUMMYFUNCTION("""COMPUTED_VALUE"""),"1DUwxSUq_47EK60XmK3LOdCXa1fkWqWJE9bLuGS3ccv412")</f>
        <v>1DUwxSUq_47EK60XmK3LOdCXa1fkWqWJE9bLuGS3ccv412</v>
      </c>
    </row>
    <row r="851" ht="15.75" customHeight="1">
      <c r="A851" t="str">
        <f>IFERROR(__xludf.DUMMYFUNCTION("""COMPUTED_VALUE"""),"TradingTicket")</f>
        <v>TradingTicket</v>
      </c>
      <c r="B851" t="str">
        <f>IFERROR(__xludf.DUMMYFUNCTION("""COMPUTED_VALUE"""),"VerifyExecutionType")</f>
        <v>VerifyExecutionType</v>
      </c>
      <c r="C851" t="str">
        <f>IFERROR(__xludf.DUMMYFUNCTION("""COMPUTED_VALUE"""),"1GeLKG0YL6nDFQYX8NohWSG0yonppxuSHWgOuwLzEWwI")</f>
        <v>1GeLKG0YL6nDFQYX8NohWSG0yonppxuSHWgOuwLzEWwI</v>
      </c>
    </row>
    <row r="852" ht="15.75" customHeight="1">
      <c r="A852" t="str">
        <f>IFERROR(__xludf.DUMMYFUNCTION("""COMPUTED_VALUE"""),"Blotter")</f>
        <v>Blotter</v>
      </c>
      <c r="B852" t="str">
        <f>IFERROR(__xludf.DUMMYFUNCTION("""COMPUTED_VALUE"""),"VerifyBlotter")</f>
        <v>VerifyBlotter</v>
      </c>
      <c r="C852" t="str">
        <f>IFERROR(__xludf.DUMMYFUNCTION("""COMPUTED_VALUE"""),"1DUwxSUq_47EK60XmK3LOdCXa1fkWqWJE9bLuGS3ccv412")</f>
        <v>1DUwxSUq_47EK60XmK3LOdCXa1fkWqWJE9bLuGS3ccv412</v>
      </c>
    </row>
    <row r="853" ht="15.75" customHeight="1">
      <c r="A853" t="str">
        <f>IFERROR(__xludf.DUMMYFUNCTION("""COMPUTED_VALUE"""),"OpenFin")</f>
        <v>OpenFin</v>
      </c>
      <c r="B853" t="str">
        <f>IFERROR(__xludf.DUMMYFUNCTION("""COMPUTED_VALUE"""),"VerifyNotification")</f>
        <v>VerifyNotification</v>
      </c>
      <c r="C853" t="str">
        <f>IFERROR(__xludf.DUMMYFUNCTION("""COMPUTED_VALUE"""),"1rm7dGZ4-j6MPtyiMlJDHnZgIjnFk8Hv19VRPaPCgUMY")</f>
        <v>1rm7dGZ4-j6MPtyiMlJDHnZgIjnFk8Hv19VRPaPCgUMY</v>
      </c>
    </row>
    <row r="854" ht="15.75" customHeight="1">
      <c r="A854" t="str">
        <f>IFERROR(__xludf.DUMMYFUNCTION("""COMPUTED_VALUE"""),"TradingTicket")</f>
        <v>TradingTicket</v>
      </c>
      <c r="B854" t="str">
        <f>IFERROR(__xludf.DUMMYFUNCTION("""COMPUTED_VALUE"""),"VerifyPopupAlignment")</f>
        <v>VerifyPopupAlignment</v>
      </c>
      <c r="C854" t="str">
        <f>IFERROR(__xludf.DUMMYFUNCTION("""COMPUTED_VALUE"""),"1PAyxzLHPOj64pXbS5W7uBsuT035g_GlIT1xXUjFNRUk")</f>
        <v>1PAyxzLHPOj64pXbS5W7uBsuT035g_GlIT1xXUjFNRUk</v>
      </c>
    </row>
    <row r="855" ht="15.75" customHeight="1">
      <c r="A855" t="str">
        <f>IFERROR(__xludf.DUMMYFUNCTION("""COMPUTED_VALUE"""),"TradingTicket")</f>
        <v>TradingTicket</v>
      </c>
      <c r="B855" t="str">
        <f>IFERROR(__xludf.DUMMYFUNCTION("""COMPUTED_VALUE"""),"SelectET")</f>
        <v>SelectET</v>
      </c>
      <c r="C855" t="str">
        <f>IFERROR(__xludf.DUMMYFUNCTION("""COMPUTED_VALUE"""),"1Tpuk-xqnvfBtaWXtAffyW0Chu9RCysO1V7PE2wbI7Xk")</f>
        <v>1Tpuk-xqnvfBtaWXtAffyW0Chu9RCysO1V7PE2wbI7Xk</v>
      </c>
    </row>
    <row r="856" ht="15.75" customHeight="1">
      <c r="A856" t="str">
        <f>IFERROR(__xludf.DUMMYFUNCTION("""COMPUTED_VALUE"""),"Blotter")</f>
        <v>Blotter</v>
      </c>
      <c r="B856" t="str">
        <f>IFERROR(__xludf.DUMMYFUNCTION("""COMPUTED_VALUE"""),"AddColumnsToGrid")</f>
        <v>AddColumnsToGrid</v>
      </c>
      <c r="C856" t="str">
        <f>IFERROR(__xludf.DUMMYFUNCTION("""COMPUTED_VALUE"""),"1Gs1xU4gMYORlTreZaEK39cVUrhrtk_8wZfgLySBA8Us")</f>
        <v>1Gs1xU4gMYORlTreZaEK39cVUrhrtk_8wZfgLySBA8Us</v>
      </c>
    </row>
    <row r="857" ht="15.75" customHeight="1">
      <c r="A857" t="str">
        <f>IFERROR(__xludf.DUMMYFUNCTION("""COMPUTED_VALUE"""),"RTPNL")</f>
        <v>RTPNL</v>
      </c>
      <c r="B857" t="str">
        <f>IFERROR(__xludf.DUMMYFUNCTION("""COMPUTED_VALUE"""),"Grouping")</f>
        <v>Grouping</v>
      </c>
      <c r="C857" t="str">
        <f>IFERROR(__xludf.DUMMYFUNCTION("""COMPUTED_VALUE"""),"1FNoxwXRCCjvm8HYhDo2XZGdWYdZNzY2Jh0ibkuVHNWo")</f>
        <v>1FNoxwXRCCjvm8HYhDo2XZGdWYdZNzY2Jh0ibkuVHNWo</v>
      </c>
    </row>
    <row r="858" ht="15.75" customHeight="1">
      <c r="A858" t="str">
        <f>IFERROR(__xludf.DUMMYFUNCTION("""COMPUTED_VALUE"""),"Blotter")</f>
        <v>Blotter</v>
      </c>
      <c r="B858" t="str">
        <f>IFERROR(__xludf.DUMMYFUNCTION("""COMPUTED_VALUE"""),"RollOverContextMenu")</f>
        <v>RollOverContextMenu</v>
      </c>
      <c r="C858" t="str">
        <f>IFERROR(__xludf.DUMMYFUNCTION("""COMPUTED_VALUE"""),"1d45ieJRLC6DQ7t19pclAZz5EI6hBsZ5_VdNJYb3VsNc")</f>
        <v>1d45ieJRLC6DQ7t19pclAZz5EI6hBsZ5_VdNJYb3VsNc</v>
      </c>
    </row>
    <row r="859" ht="15.75" customHeight="1">
      <c r="A859" t="str">
        <f>IFERROR(__xludf.DUMMYFUNCTION("""COMPUTED_VALUE"""),"Unknown")</f>
        <v>Unknown</v>
      </c>
      <c r="B859" t="str">
        <f>IFERROR(__xludf.DUMMYFUNCTION("""COMPUTED_VALUE"""),"VerifyFatFingerTR")</f>
        <v>VerifyFatFingerTR</v>
      </c>
      <c r="C859" t="str">
        <f>IFERROR(__xludf.DUMMYFUNCTION("""COMPUTED_VALUE"""),"1DUwxSUq_47EK60XmK3LOdCXa1fkWqWJE9bLuGS3ccv412")</f>
        <v>1DUwxSUq_47EK60XmK3LOdCXa1fkWqWJE9bLuGS3ccv412</v>
      </c>
    </row>
    <row r="860" ht="15.75" customHeight="1">
      <c r="A860" t="str">
        <f>IFERROR(__xludf.DUMMYFUNCTION("""COMPUTED_VALUE"""),"Unknown")</f>
        <v>Unknown</v>
      </c>
      <c r="B860" t="str">
        <f>IFERROR(__xludf.DUMMYFUNCTION("""COMPUTED_VALUE"""),"VerifyOverBuySellTR")</f>
        <v>VerifyOverBuySellTR</v>
      </c>
      <c r="C860" t="str">
        <f>IFERROR(__xludf.DUMMYFUNCTION("""COMPUTED_VALUE"""),"1DUwxSUq_47EK60XmK3LOdCXa1fkWqWJE9bLuGS3ccv412")</f>
        <v>1DUwxSUq_47EK60XmK3LOdCXa1fkWqWJE9bLuGS3ccv412</v>
      </c>
    </row>
    <row r="861" ht="15.75" customHeight="1">
      <c r="A861" t="str">
        <f>IFERROR(__xludf.DUMMYFUNCTION("""COMPUTED_VALUE"""),"PTT")</f>
        <v>PTT</v>
      </c>
      <c r="B861" t="str">
        <f>IFERROR(__xludf.DUMMYFUNCTION("""COMPUTED_VALUE"""),"RefreshCalculation")</f>
        <v>RefreshCalculation</v>
      </c>
    </row>
    <row r="862" ht="15.75" customHeight="1">
      <c r="A862" t="str">
        <f>IFERROR(__xludf.DUMMYFUNCTION("""COMPUTED_VALUE"""),"Rebalancer")</f>
        <v>Rebalancer</v>
      </c>
      <c r="B862" t="str">
        <f>IFERROR(__xludf.DUMMYFUNCTION("""COMPUTED_VALUE"""),"AddCustomCashFlow")</f>
        <v>AddCustomCashFlow</v>
      </c>
      <c r="C862" t="str">
        <f>IFERROR(__xludf.DUMMYFUNCTION("""COMPUTED_VALUE"""),"1DUwxSUq_47EK60XmK3LOdCXa1fkWqWJE9bLuGS3ccv412")</f>
        <v>1DUwxSUq_47EK60XmK3LOdCXa1fkWqWJE9bLuGS3ccv412</v>
      </c>
    </row>
    <row r="863" ht="15.75" customHeight="1">
      <c r="A863" t="str">
        <f>IFERROR(__xludf.DUMMYFUNCTION("""COMPUTED_VALUE"""),"Rebalancer")</f>
        <v>Rebalancer</v>
      </c>
      <c r="B863" t="str">
        <f>IFERROR(__xludf.DUMMYFUNCTION("""COMPUTED_VALUE"""),"ActionOnCustomCashFlow")</f>
        <v>ActionOnCustomCashFlow</v>
      </c>
      <c r="C863" t="str">
        <f>IFERROR(__xludf.DUMMYFUNCTION("""COMPUTED_VALUE"""),"1DUwxSUq_47EK60XmK3LOdCXa1fkWqWJE9bLuGS3ccv412")</f>
        <v>1DUwxSUq_47EK60XmK3LOdCXa1fkWqWJE9bLuGS3ccv412</v>
      </c>
    </row>
    <row r="864" ht="15.75" customHeight="1">
      <c r="A864" t="str">
        <f>IFERROR(__xludf.DUMMYFUNCTION("""COMPUTED_VALUE"""),"Rebalancer")</f>
        <v>Rebalancer</v>
      </c>
      <c r="B864" t="str">
        <f>IFERROR(__xludf.DUMMYFUNCTION("""COMPUTED_VALUE"""),"RemoveAllSecurities")</f>
        <v>RemoveAllSecurities</v>
      </c>
      <c r="C864" t="str">
        <f>IFERROR(__xludf.DUMMYFUNCTION("""COMPUTED_VALUE"""),"1DUwxSUq_47EK60XmK3LOdCXa1fkWqWJE9bLuGS3ccv412")</f>
        <v>1DUwxSUq_47EK60XmK3LOdCXa1fkWqWJE9bLuGS3ccv412</v>
      </c>
    </row>
    <row r="865" ht="15.75" customHeight="1">
      <c r="A865" t="str">
        <f>IFERROR(__xludf.DUMMYFUNCTION("""COMPUTED_VALUE"""),"Rebalancer")</f>
        <v>Rebalancer</v>
      </c>
      <c r="B865" t="str">
        <f>IFERROR(__xludf.DUMMYFUNCTION("""COMPUTED_VALUE"""),"RebalanceTradingRules")</f>
        <v>RebalanceTradingRules</v>
      </c>
      <c r="C865" t="str">
        <f>IFERROR(__xludf.DUMMYFUNCTION("""COMPUTED_VALUE"""),"1DUwxSUq_47EK60XmK3LOdCXa1fkWqWJE9bLuGS3ccv412")</f>
        <v>1DUwxSUq_47EK60XmK3LOdCXa1fkWqWJE9bLuGS3ccv412</v>
      </c>
    </row>
    <row r="866" ht="15.75" customHeight="1">
      <c r="A866" t="str">
        <f>IFERROR(__xludf.DUMMYFUNCTION("""COMPUTED_VALUE"""),"Rebalancer")</f>
        <v>Rebalancer</v>
      </c>
      <c r="B866" t="str">
        <f>IFERROR(__xludf.DUMMYFUNCTION("""COMPUTED_VALUE"""),"UpdateRBPreferences")</f>
        <v>UpdateRBPreferences</v>
      </c>
      <c r="C866" t="str">
        <f>IFERROR(__xludf.DUMMYFUNCTION("""COMPUTED_VALUE"""),"1DUwxSUq_47EK60XmK3LOdCXa1fkWqWJE9bLuGS3ccv412")</f>
        <v>1DUwxSUq_47EK60XmK3LOdCXa1fkWqWJE9bLuGS3ccv412</v>
      </c>
    </row>
    <row r="867" ht="15.75" customHeight="1">
      <c r="A867" t="str">
        <f>IFERROR(__xludf.DUMMYFUNCTION("""COMPUTED_VALUE"""),"Rebalancer")</f>
        <v>Rebalancer</v>
      </c>
      <c r="B867" t="str">
        <f>IFERROR(__xludf.DUMMYFUNCTION("""COMPUTED_VALUE"""),"RecalculateNIC")</f>
        <v>RecalculateNIC</v>
      </c>
      <c r="C867" t="str">
        <f>IFERROR(__xludf.DUMMYFUNCTION("""COMPUTED_VALUE"""),"1DUwxSUq_47EK60XmK3LOdCXa1fkWqWJE9bLuGS3ccv412")</f>
        <v>1DUwxSUq_47EK60XmK3LOdCXa1fkWqWJE9bLuGS3ccv412</v>
      </c>
    </row>
    <row r="868" ht="15.75" customHeight="1">
      <c r="A868" t="str">
        <f>IFERROR(__xludf.DUMMYFUNCTION("""COMPUTED_VALUE"""),"Blotter")</f>
        <v>Blotter</v>
      </c>
      <c r="B868" t="str">
        <f>IFERROR(__xludf.DUMMYFUNCTION("""COMPUTED_VALUE"""),"BookAsSwap")</f>
        <v>BookAsSwap</v>
      </c>
      <c r="C868" t="str">
        <f>IFERROR(__xludf.DUMMYFUNCTION("""COMPUTED_VALUE"""),"1tnkP5eD3WH53SXu2O-MWk6774J7b5ihwlD7r9dGtpiY")</f>
        <v>1tnkP5eD3WH53SXu2O-MWk6774J7b5ihwlD7r9dGtpiY</v>
      </c>
    </row>
    <row r="869" ht="15.75" customHeight="1">
      <c r="A869" t="str">
        <f>IFERROR(__xludf.DUMMYFUNCTION("""COMPUTED_VALUE"""),"QTT")</f>
        <v>QTT</v>
      </c>
      <c r="B869" t="str">
        <f>IFERROR(__xludf.DUMMYFUNCTION("""COMPUTED_VALUE"""),"VerifyQTT")</f>
        <v>VerifyQTT</v>
      </c>
      <c r="C869" t="str">
        <f>IFERROR(__xludf.DUMMYFUNCTION("""COMPUTED_VALUE"""),"1bs3VigXRg4VZR5W48lKm11EcEjEpmUCnBNDHffPRbIQ")</f>
        <v>1bs3VigXRg4VZR5W48lKm11EcEjEpmUCnBNDHffPRbIQ</v>
      </c>
    </row>
    <row r="870" ht="15.75" customHeight="1">
      <c r="A870" t="str">
        <f>IFERROR(__xludf.DUMMYFUNCTION("""COMPUTED_VALUE"""),"Rebalancer")</f>
        <v>Rebalancer</v>
      </c>
      <c r="B870" t="str">
        <f>IFERROR(__xludf.DUMMYFUNCTION("""COMPUTED_VALUE"""),"OperationsOnNIC")</f>
        <v>OperationsOnNIC</v>
      </c>
      <c r="C870" t="str">
        <f>IFERROR(__xludf.DUMMYFUNCTION("""COMPUTED_VALUE"""),"1DUwxSUq_47EK60XmK3LOdCXa1fkWqWJE9bLuGS3ccv412")</f>
        <v>1DUwxSUq_47EK60XmK3LOdCXa1fkWqWJE9bLuGS3ccv412</v>
      </c>
    </row>
    <row r="871" ht="15.75" customHeight="1">
      <c r="A871" t="str">
        <f>IFERROR(__xludf.DUMMYFUNCTION("""COMPUTED_VALUE"""),"Rebalancer")</f>
        <v>Rebalancer</v>
      </c>
      <c r="B871" t="str">
        <f>IFERROR(__xludf.DUMMYFUNCTION("""COMPUTED_VALUE"""),"DataPrefGridOperation")</f>
        <v>DataPrefGridOperation</v>
      </c>
      <c r="C871" t="str">
        <f>IFERROR(__xludf.DUMMYFUNCTION("""COMPUTED_VALUE"""),"1DUwxSUq_47EK60XmK3LOdCXa1fkWqWJE9bLuGS3ccv412")</f>
        <v>1DUwxSUq_47EK60XmK3LOdCXa1fkWqWJE9bLuGS3ccv412</v>
      </c>
    </row>
    <row r="872" ht="15.75" customHeight="1">
      <c r="A872" t="str">
        <f>IFERROR(__xludf.DUMMYFUNCTION("""COMPUTED_VALUE"""),"Rebalancer")</f>
        <v>Rebalancer</v>
      </c>
      <c r="B872" t="str">
        <f>IFERROR(__xludf.DUMMYFUNCTION("""COMPUTED_VALUE"""),"VerifyExpanderBarButton")</f>
        <v>VerifyExpanderBarButton</v>
      </c>
      <c r="C872" t="str">
        <f>IFERROR(__xludf.DUMMYFUNCTION("""COMPUTED_VALUE"""),"1DUwxSUq_47EK60XmK3LOdCXa1fkWqWJE9bLuGS3ccv412")</f>
        <v>1DUwxSUq_47EK60XmK3LOdCXa1fkWqWJE9bLuGS3ccv412</v>
      </c>
    </row>
    <row r="873" ht="15.75" customHeight="1">
      <c r="A873" t="str">
        <f>IFERROR(__xludf.DUMMYFUNCTION("""COMPUTED_VALUE"""),"Rebalancer")</f>
        <v>Rebalancer</v>
      </c>
      <c r="B873" t="str">
        <f>IFERROR(__xludf.DUMMYFUNCTION("""COMPUTED_VALUE"""),"RAS")</f>
        <v>RAS</v>
      </c>
      <c r="C873" t="str">
        <f>IFERROR(__xludf.DUMMYFUNCTION("""COMPUTED_VALUE"""),"1DUwxSUq_47EK60XmK3LOdCXa1fkWqWJE9bLuGS3ccv412")</f>
        <v>1DUwxSUq_47EK60XmK3LOdCXa1fkWqWJE9bLuGS3ccv412</v>
      </c>
    </row>
    <row r="874" ht="15.75" customHeight="1">
      <c r="A874" t="str">
        <f>IFERROR(__xludf.DUMMYFUNCTION("""COMPUTED_VALUE"""),"Blotter")</f>
        <v>Blotter</v>
      </c>
      <c r="B874" t="str">
        <f>IFERROR(__xludf.DUMMYFUNCTION("""COMPUTED_VALUE"""),"ActionOnFloatingWindow")</f>
        <v>ActionOnFloatingWindow</v>
      </c>
      <c r="C874" t="str">
        <f>IFERROR(__xludf.DUMMYFUNCTION("""COMPUTED_VALUE"""),"1tFNUPT3PXgCKRnnehGwo6OF7EhLu13UJ8Elfq83HArE")</f>
        <v>1tFNUPT3PXgCKRnnehGwo6OF7EhLu13UJ8Elfq83HArE</v>
      </c>
    </row>
    <row r="875" ht="15.75" customHeight="1">
      <c r="A875" t="str">
        <f>IFERROR(__xludf.DUMMYFUNCTION("""COMPUTED_VALUE"""),"PTT")</f>
        <v>PTT</v>
      </c>
      <c r="B875" t="str">
        <f>IFERROR(__xludf.DUMMYFUNCTION("""COMPUTED_VALUE"""),"PTTDashBoard")</f>
        <v>PTTDashBoard</v>
      </c>
      <c r="C875" t="str">
        <f>IFERROR(__xludf.DUMMYFUNCTION("""COMPUTED_VALUE"""),"1DUwxSUq_47EK60XmK3LOdCXa1fkWqWJE9bLuGS3ccv412")</f>
        <v>1DUwxSUq_47EK60XmK3LOdCXa1fkWqWJE9bLuGS3ccv412</v>
      </c>
    </row>
    <row r="876" ht="15.75" customHeight="1">
      <c r="A876" t="str">
        <f>IFERROR(__xludf.DUMMYFUNCTION("""COMPUTED_VALUE"""),"OpenFin")</f>
        <v>OpenFin</v>
      </c>
      <c r="B876" t="str">
        <f>IFERROR(__xludf.DUMMYFUNCTION("""COMPUTED_VALUE"""),"LockUnlockModule")</f>
        <v>LockUnlockModule</v>
      </c>
      <c r="C876" t="str">
        <f>IFERROR(__xludf.DUMMYFUNCTION("""COMPUTED_VALUE"""),"179D0kPRO8f_KLxd7hs6seM9XGxpL-u1rhIhNgFVePsQ")</f>
        <v>179D0kPRO8f_KLxd7hs6seM9XGxpL-u1rhIhNgFVePsQ</v>
      </c>
    </row>
    <row r="877" ht="15.75" customHeight="1">
      <c r="A877" t="str">
        <f>IFERROR(__xludf.DUMMYFUNCTION("""COMPUTED_VALUE"""),"OpenFin")</f>
        <v>OpenFin</v>
      </c>
      <c r="B877" t="str">
        <f>IFERROR(__xludf.DUMMYFUNCTION("""COMPUTED_VALUE"""),"OpenModuleFromDock")</f>
        <v>OpenModuleFromDock</v>
      </c>
      <c r="C877" t="str">
        <f>IFERROR(__xludf.DUMMYFUNCTION("""COMPUTED_VALUE"""),"1IdmD7l42pWNjFNVt_7UwbOO7y5tDxaXr7tE60c9ETLw")</f>
        <v>1IdmD7l42pWNjFNVt_7UwbOO7y5tDxaXr7tE60c9ETLw</v>
      </c>
    </row>
    <row r="878" ht="15.75" customHeight="1">
      <c r="A878" t="str">
        <f>IFERROR(__xludf.DUMMYFUNCTION("""COMPUTED_VALUE"""),"Rebalancer")</f>
        <v>Rebalancer</v>
      </c>
      <c r="B878" t="str">
        <f>IFERROR(__xludf.DUMMYFUNCTION("""COMPUTED_VALUE"""),"VerifyCFI")</f>
        <v>VerifyCFI</v>
      </c>
      <c r="C878" t="str">
        <f>IFERROR(__xludf.DUMMYFUNCTION("""COMPUTED_VALUE"""),"1DUwxSUq_47EK60XmK3LOdCXa1fkWqWJE9bLuGS3ccv412")</f>
        <v>1DUwxSUq_47EK60XmK3LOdCXa1fkWqWJE9bLuGS3ccv412</v>
      </c>
    </row>
    <row r="879" ht="15.75" customHeight="1">
      <c r="A879" t="str">
        <f>IFERROR(__xludf.DUMMYFUNCTION("""COMPUTED_VALUE"""),"Blotter")</f>
        <v>Blotter</v>
      </c>
      <c r="B879" t="str">
        <f>IFERROR(__xludf.DUMMYFUNCTION("""COMPUTED_VALUE"""),"EnableOrVerifyHotButton")</f>
        <v>EnableOrVerifyHotButton</v>
      </c>
      <c r="C879" t="str">
        <f>IFERROR(__xludf.DUMMYFUNCTION("""COMPUTED_VALUE"""),"1wa8x9d9kPOHEp49mT2DEW0cyjjOClvAgixk1H2w-Tos")</f>
        <v>1wa8x9d9kPOHEp49mT2DEW0cyjjOClvAgixk1H2w-Tos</v>
      </c>
    </row>
    <row r="880" ht="15.75" customHeight="1">
      <c r="A880" t="str">
        <f>IFERROR(__xludf.DUMMYFUNCTION("""COMPUTED_VALUE"""),"TradeServer")</f>
        <v>TradeServer</v>
      </c>
      <c r="B880" t="str">
        <f>IFERROR(__xludf.DUMMYFUNCTION("""COMPUTED_VALUE"""),"RestartServerOnly")</f>
        <v>RestartServerOnly</v>
      </c>
      <c r="C880" t="str">
        <f>IFERROR(__xludf.DUMMYFUNCTION("""COMPUTED_VALUE"""),"Undefined")</f>
        <v>Undefined</v>
      </c>
    </row>
    <row r="881" ht="15.75" customHeight="1">
      <c r="A881" t="str">
        <f>IFERROR(__xludf.DUMMYFUNCTION("""COMPUTED_VALUE"""),"Rebalancer")</f>
        <v>Rebalancer</v>
      </c>
      <c r="B881" t="str">
        <f>IFERROR(__xludf.DUMMYFUNCTION("""COMPUTED_VALUE"""),"ActionOnCFI")</f>
        <v>ActionOnCFI</v>
      </c>
      <c r="C881" t="str">
        <f>IFERROR(__xludf.DUMMYFUNCTION("""COMPUTED_VALUE"""),"1DUwxSUq_47EK60XmK3LOdCXa1fkWqWJE9bLuGS3ccv412")</f>
        <v>1DUwxSUq_47EK60XmK3LOdCXa1fkWqWJE9bLuGS3ccv412</v>
      </c>
    </row>
    <row r="882" ht="15.75" customHeight="1">
      <c r="A882" t="str">
        <f>IFERROR(__xludf.DUMMYFUNCTION("""COMPUTED_VALUE"""),"Rebalancer")</f>
        <v>Rebalancer</v>
      </c>
      <c r="B882" t="str">
        <f>IFERROR(__xludf.DUMMYFUNCTION("""COMPUTED_VALUE"""),"VerifyCFI")</f>
        <v>VerifyCFI</v>
      </c>
      <c r="C882" t="str">
        <f>IFERROR(__xludf.DUMMYFUNCTION("""COMPUTED_VALUE"""),"1DUwxSUq_47EK60XmK3LOdCXa1fkWqWJE9bLuGS3ccv412")</f>
        <v>1DUwxSUq_47EK60XmK3LOdCXa1fkWqWJE9bLuGS3ccv412</v>
      </c>
    </row>
    <row r="883" ht="15.75" customHeight="1">
      <c r="A883" t="str">
        <f>IFERROR(__xludf.DUMMYFUNCTION("""COMPUTED_VALUE"""),"Rebalancer")</f>
        <v>Rebalancer</v>
      </c>
      <c r="B883" t="str">
        <f>IFERROR(__xludf.DUMMYFUNCTION("""COMPUTED_VALUE"""),"VerifyDelRASGrid")</f>
        <v>VerifyDelRASGrid</v>
      </c>
      <c r="C883" t="str">
        <f>IFERROR(__xludf.DUMMYFUNCTION("""COMPUTED_VALUE"""),"1DUwxSUq_47EK60XmK3LOdCXa1fkWqWJE9bLuGS3ccv412")</f>
        <v>1DUwxSUq_47EK60XmK3LOdCXa1fkWqWJE9bLuGS3ccv412</v>
      </c>
    </row>
    <row r="884" ht="15.75" customHeight="1">
      <c r="A884" t="str">
        <f>IFERROR(__xludf.DUMMYFUNCTION("""COMPUTED_VALUE"""),"Allocation")</f>
        <v>Allocation</v>
      </c>
      <c r="B884" t="str">
        <f>IFERROR(__xludf.DUMMYFUNCTION("""COMPUTED_VALUE"""),"ActionOnUPW")</f>
        <v>ActionOnUPW</v>
      </c>
      <c r="C884" t="str">
        <f>IFERROR(__xludf.DUMMYFUNCTION("""COMPUTED_VALUE"""),"1DUwxSUq_47EK60XmK3LOdCXa1fkWqWJE9bLuGS3ccv413")</f>
        <v>1DUwxSUq_47EK60XmK3LOdCXa1fkWqWJE9bLuGS3ccv413</v>
      </c>
    </row>
    <row r="885" ht="15.75" customHeight="1">
      <c r="A885" t="str">
        <f>IFERROR(__xludf.DUMMYFUNCTION("""COMPUTED_VALUE"""),"Allocation")</f>
        <v>Allocation</v>
      </c>
      <c r="B885" t="str">
        <f>IFERROR(__xludf.DUMMYFUNCTION("""COMPUTED_VALUE"""),"DefaultRuleUPW")</f>
        <v>DefaultRuleUPW</v>
      </c>
      <c r="C885" t="str">
        <f>IFERROR(__xludf.DUMMYFUNCTION("""COMPUTED_VALUE"""),"1DUwxSUq_47EK60XmK3LOdCXa1fkWqWJE9bLuGS3ccv414")</f>
        <v>1DUwxSUq_47EK60XmK3LOdCXa1fkWqWJE9bLuGS3ccv414</v>
      </c>
    </row>
    <row r="886" ht="15.75" customHeight="1">
      <c r="A886" t="str">
        <f>IFERROR(__xludf.DUMMYFUNCTION("""COMPUTED_VALUE"""),"Allocation")</f>
        <v>Allocation</v>
      </c>
      <c r="B886" t="str">
        <f>IFERROR(__xludf.DUMMYFUNCTION("""COMPUTED_VALUE"""),"AccountStrategyUPW")</f>
        <v>AccountStrategyUPW</v>
      </c>
      <c r="C886" t="str">
        <f>IFERROR(__xludf.DUMMYFUNCTION("""COMPUTED_VALUE"""),"1DUwxSUq_47EK60XmK3LOdCXa1fkWqWJE9bLuGS3ccv415")</f>
        <v>1DUwxSUq_47EK60XmK3LOdCXa1fkWqWJE9bLuGS3ccv415</v>
      </c>
    </row>
    <row r="887" ht="15.75" customHeight="1">
      <c r="A887" t="str">
        <f>IFERROR(__xludf.DUMMYFUNCTION("""COMPUTED_VALUE"""),"Allocation")</f>
        <v>Allocation</v>
      </c>
      <c r="B887" t="str">
        <f>IFERROR(__xludf.DUMMYFUNCTION("""COMPUTED_VALUE"""),"ActionOnCalPref")</f>
        <v>ActionOnCalPref</v>
      </c>
      <c r="C887" t="str">
        <f>IFERROR(__xludf.DUMMYFUNCTION("""COMPUTED_VALUE"""),"1DUwxSUq_47EK60XmK3LOdCXa1fkWqWJE9bLuGS3ccv416")</f>
        <v>1DUwxSUq_47EK60XmK3LOdCXa1fkWqWJE9bLuGS3ccv416</v>
      </c>
    </row>
    <row r="888" ht="15.75" customHeight="1">
      <c r="A888" t="str">
        <f>IFERROR(__xludf.DUMMYFUNCTION("""COMPUTED_VALUE"""),"Allocation")</f>
        <v>Allocation</v>
      </c>
      <c r="B888" t="str">
        <f>IFERROR(__xludf.DUMMYFUNCTION("""COMPUTED_VALUE"""),"SetMFDefaultRule")</f>
        <v>SetMFDefaultRule</v>
      </c>
      <c r="C888" t="str">
        <f>IFERROR(__xludf.DUMMYFUNCTION("""COMPUTED_VALUE"""),"1DUwxSUq_47EK60XmK3LOdCXa1fkWqWJE9bLuGS3ccv417")</f>
        <v>1DUwxSUq_47EK60XmK3LOdCXa1fkWqWJE9bLuGS3ccv417</v>
      </c>
    </row>
    <row r="889" ht="15.75" customHeight="1">
      <c r="A889" t="str">
        <f>IFERROR(__xludf.DUMMYFUNCTION("""COMPUTED_VALUE"""),"Allocation")</f>
        <v>Allocation</v>
      </c>
      <c r="B889" t="str">
        <f>IFERROR(__xludf.DUMMYFUNCTION("""COMPUTED_VALUE"""),"ActionOnPrefWindow")</f>
        <v>ActionOnPrefWindow</v>
      </c>
      <c r="C889" t="str">
        <f>IFERROR(__xludf.DUMMYFUNCTION("""COMPUTED_VALUE"""),"1DUwxSUq_47EK60XmK3LOdCXa1fkWqWJE9bLuGS3ccv418")</f>
        <v>1DUwxSUq_47EK60XmK3LOdCXa1fkWqWJE9bLuGS3ccv418</v>
      </c>
    </row>
    <row r="890" ht="15.75" customHeight="1">
      <c r="A890" t="str">
        <f>IFERROR(__xludf.DUMMYFUNCTION("""COMPUTED_VALUE"""),"Allocation")</f>
        <v>Allocation</v>
      </c>
      <c r="B890" t="str">
        <f>IFERROR(__xludf.DUMMYFUNCTION("""COMPUTED_VALUE"""),"GetFixedPrefScheme")</f>
        <v>GetFixedPrefScheme</v>
      </c>
      <c r="C890" t="str">
        <f>IFERROR(__xludf.DUMMYFUNCTION("""COMPUTED_VALUE"""),"1DUwxSUq_47EK60XmK3LOdCXa1fkWqWJE9bLuGS3ccv419")</f>
        <v>1DUwxSUq_47EK60XmK3LOdCXa1fkWqWJE9bLuGS3ccv419</v>
      </c>
    </row>
    <row r="891" ht="15.75" customHeight="1">
      <c r="A891" t="str">
        <f>IFERROR(__xludf.DUMMYFUNCTION("""COMPUTED_VALUE"""),"Allocation")</f>
        <v>Allocation</v>
      </c>
      <c r="B891" t="str">
        <f>IFERROR(__xludf.DUMMYFUNCTION("""COMPUTED_VALUE"""),"VerifyFixedPref")</f>
        <v>VerifyFixedPref</v>
      </c>
      <c r="C891" t="str">
        <f>IFERROR(__xludf.DUMMYFUNCTION("""COMPUTED_VALUE"""),"1DUwxSUq_47EK60XmK3LOdCXa1fkWqWJE9bLuGS3ccv420")</f>
        <v>1DUwxSUq_47EK60XmK3LOdCXa1fkWqWJE9bLuGS3ccv420</v>
      </c>
    </row>
    <row r="892" ht="15.75" customHeight="1">
      <c r="A892" t="str">
        <f>IFERROR(__xludf.DUMMYFUNCTION("""COMPUTED_VALUE"""),"Allocation")</f>
        <v>Allocation</v>
      </c>
      <c r="B892" t="str">
        <f>IFERROR(__xludf.DUMMYFUNCTION("""COMPUTED_VALUE"""),"ActionOnToolBar")</f>
        <v>ActionOnToolBar</v>
      </c>
      <c r="C892" t="str">
        <f>IFERROR(__xludf.DUMMYFUNCTION("""COMPUTED_VALUE"""),"1DUwxSUq_47EK60XmK3LOdCXa1fkWqWJE9bLuGS3ccv421")</f>
        <v>1DUwxSUq_47EK60XmK3LOdCXa1fkWqWJE9bLuGS3ccv421</v>
      </c>
    </row>
    <row r="893" ht="15.75" customHeight="1">
      <c r="A893" t="str">
        <f>IFERROR(__xludf.DUMMYFUNCTION("""COMPUTED_VALUE"""),"Rebalancer")</f>
        <v>Rebalancer</v>
      </c>
      <c r="B893" t="str">
        <f>IFERROR(__xludf.DUMMYFUNCTION("""COMPUTED_VALUE"""),"VerifyCustomGroupModel")</f>
        <v>VerifyCustomGroupModel</v>
      </c>
      <c r="C893" t="str">
        <f>IFERROR(__xludf.DUMMYFUNCTION("""COMPUTED_VALUE"""),"1DUwxSUq_47EK60XmK3LOdCXa1fkWqWJE9bLuGS3ccv422")</f>
        <v>1DUwxSUq_47EK60XmK3LOdCXa1fkWqWJE9bLuGS3ccv422</v>
      </c>
    </row>
    <row r="894" ht="15.75" customHeight="1">
      <c r="A894" t="str">
        <f>IFERROR(__xludf.DUMMYFUNCTION("""COMPUTED_VALUE"""),"Blotter")</f>
        <v>Blotter</v>
      </c>
      <c r="B894" t="str">
        <f>IFERROR(__xludf.DUMMYFUNCTION("""COMPUTED_VALUE"""),"VerifyFilterUiRC")</f>
        <v>VerifyFilterUiRC</v>
      </c>
      <c r="C894" t="str">
        <f>IFERROR(__xludf.DUMMYFUNCTION("""COMPUTED_VALUE"""),"1QQZEZqPXfPnxfNID2a3__xw8RnEAn77igg5Q32S3Sm0")</f>
        <v>1QQZEZqPXfPnxfNID2a3__xw8RnEAn77igg5Q32S3Sm0</v>
      </c>
    </row>
    <row r="895" ht="15.75" customHeight="1">
      <c r="A895" t="str">
        <f>IFERROR(__xludf.DUMMYFUNCTION("""COMPUTED_VALUE"""),"TradingTicket")</f>
        <v>TradingTicket</v>
      </c>
      <c r="B895" t="str">
        <f>IFERROR(__xludf.DUMMYFUNCTION("""COMPUTED_VALUE"""),"SymbolSuggestionVerify")</f>
        <v>SymbolSuggestionVerify</v>
      </c>
      <c r="C895" t="str">
        <f>IFERROR(__xludf.DUMMYFUNCTION("""COMPUTED_VALUE"""),"14aTeLjmUbS-nhaQwjtZAMGxdQ5DS6UsBjE5OTWN-LQU")</f>
        <v>14aTeLjmUbS-nhaQwjtZAMGxdQ5DS6UsBjE5OTWN-LQU</v>
      </c>
    </row>
    <row r="896" ht="15.75" customHeight="1">
      <c r="A896" t="str">
        <f>IFERROR(__xludf.DUMMYFUNCTION("""COMPUTED_VALUE"""),"PreferencesMain")</f>
        <v>PreferencesMain</v>
      </c>
      <c r="B896" t="str">
        <f>IFERROR(__xludf.DUMMYFUNCTION("""COMPUTED_VALUE"""),"UpdatePTTPref")</f>
        <v>UpdatePTTPref</v>
      </c>
      <c r="C896" t="str">
        <f>IFERROR(__xludf.DUMMYFUNCTION("""COMPUTED_VALUE"""),"14aTeLjmUbS-nhaQwjtZAMGxdQ5DS6UsBjE5OTWN-LQU")</f>
        <v>14aTeLjmUbS-nhaQwjtZAMGxdQ5DS6UsBjE5OTWN-LQU</v>
      </c>
    </row>
    <row r="897" ht="15.75" customHeight="1">
      <c r="A897" t="str">
        <f>IFERROR(__xludf.DUMMYFUNCTION("""COMPUTED_VALUE"""),"PreferencesMain")</f>
        <v>PreferencesMain</v>
      </c>
      <c r="B897" t="str">
        <f>IFERROR(__xludf.DUMMYFUNCTION("""COMPUTED_VALUE"""),"ActionOnPreferencesMain")</f>
        <v>ActionOnPreferencesMain</v>
      </c>
      <c r="C897" t="str">
        <f>IFERROR(__xludf.DUMMYFUNCTION("""COMPUTED_VALUE"""),"14aTeLjmUbS-nhaQwjtZAMGxdQ5DS6UsBjE5OTWN-LQU")</f>
        <v>14aTeLjmUbS-nhaQwjtZAMGxdQ5DS6UsBjE5OTWN-LQU</v>
      </c>
    </row>
    <row r="898" ht="15.75" customHeight="1">
      <c r="A898" t="str">
        <f>IFERROR(__xludf.DUMMYFUNCTION("""COMPUTED_VALUE"""),"PreferencesMain")</f>
        <v>PreferencesMain</v>
      </c>
      <c r="B898" t="str">
        <f>IFERROR(__xludf.DUMMYFUNCTION("""COMPUTED_VALUE"""),"VerifyUpdategrdAccountFactor")</f>
        <v>VerifyUpdategrdAccountFactor</v>
      </c>
      <c r="C898" t="str">
        <f>IFERROR(__xludf.DUMMYFUNCTION("""COMPUTED_VALUE"""),"14aTeLjmUbS-nhaQwjtZAMGxdQ5DS6UsBjE5OTWN-LQU")</f>
        <v>14aTeLjmUbS-nhaQwjtZAMGxdQ5DS6UsBjE5OTWN-LQU</v>
      </c>
    </row>
    <row r="899" ht="15.75" customHeight="1">
      <c r="A899" t="str">
        <f>IFERROR(__xludf.DUMMYFUNCTION("""COMPUTED_VALUE"""),"PreferencesMain")</f>
        <v>PreferencesMain</v>
      </c>
      <c r="B899" t="str">
        <f>IFERROR(__xludf.DUMMYFUNCTION("""COMPUTED_VALUE"""),"VerifyUpdategrdMFA")</f>
        <v>VerifyUpdategrdMFA</v>
      </c>
      <c r="C899" t="str">
        <f>IFERROR(__xludf.DUMMYFUNCTION("""COMPUTED_VALUE"""),"14aTeLjmUbS-nhaQwjtZAMGxdQ5DS6UsBjE5OTWN-LQU")</f>
        <v>14aTeLjmUbS-nhaQwjtZAMGxdQ5DS6UsBjE5OTWN-LQU</v>
      </c>
    </row>
    <row r="900" ht="15.75" customHeight="1">
      <c r="A900" t="str">
        <f>IFERROR(__xludf.DUMMYFUNCTION("""COMPUTED_VALUE"""),"PreferencesMain")</f>
        <v>PreferencesMain</v>
      </c>
      <c r="B900" t="str">
        <f>IFERROR(__xludf.DUMMYFUNCTION("""COMPUTED_VALUE"""),"SwitchTabMFA")</f>
        <v>SwitchTabMFA</v>
      </c>
      <c r="C900" t="str">
        <f>IFERROR(__xludf.DUMMYFUNCTION("""COMPUTED_VALUE"""),"14aTeLjmUbS-nhaQwjtZAMGxdQ5DS6UsBjE5OTWN-LQU")</f>
        <v>14aTeLjmUbS-nhaQwjtZAMGxdQ5DS6UsBjE5OTWN-LQU</v>
      </c>
    </row>
    <row r="901" ht="15.75" customHeight="1">
      <c r="A901" t="str">
        <f>IFERROR(__xludf.DUMMYFUNCTION("""COMPUTED_VALUE"""),"PreferencesMain")</f>
        <v>PreferencesMain</v>
      </c>
      <c r="B901" t="str">
        <f>IFERROR(__xludf.DUMMYFUNCTION("""COMPUTED_VALUE"""),"UpdateBlotterPref")</f>
        <v>UpdateBlotterPref</v>
      </c>
      <c r="C901" t="str">
        <f>IFERROR(__xludf.DUMMYFUNCTION("""COMPUTED_VALUE"""),"14aTeLjmUbS-nhaQwjtZAMGxdQ5DS6UsBjE5OTWN-LQU")</f>
        <v>14aTeLjmUbS-nhaQwjtZAMGxdQ5DS6UsBjE5OTWN-LQU</v>
      </c>
    </row>
    <row r="902" ht="15.75" customHeight="1">
      <c r="A902" t="str">
        <f>IFERROR(__xludf.DUMMYFUNCTION("""COMPUTED_VALUE"""),"PreferencesMain")</f>
        <v>PreferencesMain</v>
      </c>
      <c r="B902" t="str">
        <f>IFERROR(__xludf.DUMMYFUNCTION("""COMPUTED_VALUE"""),"UpdatePMPref")</f>
        <v>UpdatePMPref</v>
      </c>
      <c r="C902" t="str">
        <f>IFERROR(__xludf.DUMMYFUNCTION("""COMPUTED_VALUE"""),"14aTeLjmUbS-nhaQwjtZAMGxdQ5DS6UsBjE5OTWN-LQU")</f>
        <v>14aTeLjmUbS-nhaQwjtZAMGxdQ5DS6UsBjE5OTWN-LQU</v>
      </c>
    </row>
    <row r="903" ht="15.75" customHeight="1">
      <c r="A903" t="str">
        <f>IFERROR(__xludf.DUMMYFUNCTION("""COMPUTED_VALUE"""),"PreferencesMain")</f>
        <v>PreferencesMain</v>
      </c>
      <c r="B903" t="str">
        <f>IFERROR(__xludf.DUMMYFUNCTION("""COMPUTED_VALUE"""),"UpdateGenPref")</f>
        <v>UpdateGenPref</v>
      </c>
      <c r="C903" t="str">
        <f>IFERROR(__xludf.DUMMYFUNCTION("""COMPUTED_VALUE"""),"14aTeLjmUbS-nhaQwjtZAMGxdQ5DS6UsBjE5OTWN-LQU")</f>
        <v>14aTeLjmUbS-nhaQwjtZAMGxdQ5DS6UsBjE5OTWN-LQU</v>
      </c>
    </row>
    <row r="904" ht="15.75" customHeight="1">
      <c r="A904" t="str">
        <f>IFERROR(__xludf.DUMMYFUNCTION("""COMPUTED_VALUE"""),"PreferencesMain")</f>
        <v>PreferencesMain</v>
      </c>
      <c r="B904" t="str">
        <f>IFERROR(__xludf.DUMMYFUNCTION("""COMPUTED_VALUE"""),"VerifyUpdateAssetSide")</f>
        <v>VerifyUpdateAssetSide</v>
      </c>
      <c r="C904" t="str">
        <f>IFERROR(__xludf.DUMMYFUNCTION("""COMPUTED_VALUE"""),"14aTeLjmUbS-nhaQwjtZAMGxdQ5DS6UsBjE5OTWN-LQU")</f>
        <v>14aTeLjmUbS-nhaQwjtZAMGxdQ5DS6UsBjE5OTWN-LQU</v>
      </c>
    </row>
    <row r="905" ht="15.75" customHeight="1">
      <c r="A905" t="str">
        <f>IFERROR(__xludf.DUMMYFUNCTION("""COMPUTED_VALUE"""),"PreferencesMain")</f>
        <v>PreferencesMain</v>
      </c>
      <c r="B905" t="str">
        <f>IFERROR(__xludf.DUMMYFUNCTION("""COMPUTED_VALUE"""),"SwicthTabPref")</f>
        <v>SwicthTabPref</v>
      </c>
      <c r="C905" t="str">
        <f>IFERROR(__xludf.DUMMYFUNCTION("""COMPUTED_VALUE"""),"14aTeLjmUbS-nhaQwjtZAMGxdQ5DS6UsBjE5OTWN-LQU")</f>
        <v>14aTeLjmUbS-nhaQwjtZAMGxdQ5DS6UsBjE5OTWN-LQU</v>
      </c>
    </row>
    <row r="906" ht="15.75" customHeight="1">
      <c r="A906" t="str">
        <f>IFERROR(__xludf.DUMMYFUNCTION("""COMPUTED_VALUE"""),"PreferencesMain")</f>
        <v>PreferencesMain</v>
      </c>
      <c r="B906" t="str">
        <f>IFERROR(__xludf.DUMMYFUNCTION("""COMPUTED_VALUE"""),"TTDefaultSelection")</f>
        <v>TTDefaultSelection</v>
      </c>
      <c r="C906" t="str">
        <f>IFERROR(__xludf.DUMMYFUNCTION("""COMPUTED_VALUE"""),"14aTeLjmUbS-nhaQwjtZAMGxdQ5DS6UsBjE5OTWN-LQU")</f>
        <v>14aTeLjmUbS-nhaQwjtZAMGxdQ5DS6UsBjE5OTWN-LQU</v>
      </c>
    </row>
    <row r="907" ht="15.75" customHeight="1">
      <c r="A907" t="str">
        <f>IFERROR(__xludf.DUMMYFUNCTION("""COMPUTED_VALUE"""),"PreferencesMain")</f>
        <v>PreferencesMain</v>
      </c>
      <c r="B907" t="str">
        <f>IFERROR(__xludf.DUMMYFUNCTION("""COMPUTED_VALUE"""),"TTNumSelection")</f>
        <v>TTNumSelection</v>
      </c>
      <c r="C907" t="str">
        <f>IFERROR(__xludf.DUMMYFUNCTION("""COMPUTED_VALUE"""),"14aTeLjmUbS-nhaQwjtZAMGxdQ5DS6UsBjE5OTWN-LQU")</f>
        <v>14aTeLjmUbS-nhaQwjtZAMGxdQ5DS6UsBjE5OTWN-LQU</v>
      </c>
    </row>
    <row r="908" ht="15.75" customHeight="1">
      <c r="A908" t="str">
        <f>IFERROR(__xludf.DUMMYFUNCTION("""COMPUTED_VALUE"""),"PreferencesMain")</f>
        <v>PreferencesMain</v>
      </c>
      <c r="B908" t="str">
        <f>IFERROR(__xludf.DUMMYFUNCTION("""COMPUTED_VALUE"""),"TTConfirmationPopUps")</f>
        <v>TTConfirmationPopUps</v>
      </c>
      <c r="C908" t="str">
        <f>IFERROR(__xludf.DUMMYFUNCTION("""COMPUTED_VALUE"""),"14aTeLjmUbS-nhaQwjtZAMGxdQ5DS6UsBjE5OTWN-LQU")</f>
        <v>14aTeLjmUbS-nhaQwjtZAMGxdQ5DS6UsBjE5OTWN-LQU</v>
      </c>
    </row>
    <row r="909" ht="15.75" customHeight="1">
      <c r="A909" t="str">
        <f>IFERROR(__xludf.DUMMYFUNCTION("""COMPUTED_VALUE"""),"PreferencesMain")</f>
        <v>PreferencesMain</v>
      </c>
      <c r="B909" t="str">
        <f>IFERROR(__xludf.DUMMYFUNCTION("""COMPUTED_VALUE"""),"VerifyUpdateBrokerPref")</f>
        <v>VerifyUpdateBrokerPref</v>
      </c>
      <c r="C909" t="str">
        <f>IFERROR(__xludf.DUMMYFUNCTION("""COMPUTED_VALUE"""),"14aTeLjmUbS-nhaQwjtZAMGxdQ5DS6UsBjE5OTWN-LQU")</f>
        <v>14aTeLjmUbS-nhaQwjtZAMGxdQ5DS6UsBjE5OTWN-LQU</v>
      </c>
    </row>
    <row r="910" ht="15.75" customHeight="1">
      <c r="A910" t="str">
        <f>IFERROR(__xludf.DUMMYFUNCTION("""COMPUTED_VALUE"""),"PreferencesMain")</f>
        <v>PreferencesMain</v>
      </c>
      <c r="B910" t="str">
        <f>IFERROR(__xludf.DUMMYFUNCTION("""COMPUTED_VALUE"""),"TTGeneralPref")</f>
        <v>TTGeneralPref</v>
      </c>
      <c r="C910" t="str">
        <f>IFERROR(__xludf.DUMMYFUNCTION("""COMPUTED_VALUE"""),"14aTeLjmUbS-nhaQwjtZAMGxdQ5DS6UsBjE5OTWN-LQU")</f>
        <v>14aTeLjmUbS-nhaQwjtZAMGxdQ5DS6UsBjE5OTWN-LQU</v>
      </c>
    </row>
    <row r="911" ht="15.75" customHeight="1">
      <c r="A911" t="str">
        <f>IFERROR(__xludf.DUMMYFUNCTION("""COMPUTED_VALUE"""),"PreferencesMain")</f>
        <v>PreferencesMain</v>
      </c>
      <c r="B911" t="str">
        <f>IFERROR(__xludf.DUMMYFUNCTION("""COMPUTED_VALUE"""),"UpdateClosingPref")</f>
        <v>UpdateClosingPref</v>
      </c>
      <c r="C911" t="str">
        <f>IFERROR(__xludf.DUMMYFUNCTION("""COMPUTED_VALUE"""),"14aTeLjmUbS-nhaQwjtZAMGxdQ5DS6UsBjE5OTWN-LQU")</f>
        <v>14aTeLjmUbS-nhaQwjtZAMGxdQ5DS6UsBjE5OTWN-LQU</v>
      </c>
    </row>
    <row r="912" ht="15.75" customHeight="1">
      <c r="A912" t="str">
        <f>IFERROR(__xludf.DUMMYFUNCTION("""COMPUTED_VALUE"""),"Allocation")</f>
        <v>Allocation</v>
      </c>
      <c r="B912" t="str">
        <f>IFERROR(__xludf.DUMMYFUNCTION("""COMPUTED_VALUE"""),"VerifyEditAttRenaming")</f>
        <v>VerifyEditAttRenaming</v>
      </c>
      <c r="C912" t="str">
        <f>IFERROR(__xludf.DUMMYFUNCTION("""COMPUTED_VALUE"""),"14aTeLjmUbS-nhaQwjtZAMGxdQ5DS6UsBjE5OTWN-LQU")</f>
        <v>14aTeLjmUbS-nhaQwjtZAMGxdQ5DS6UsBjE5OTWN-LQU</v>
      </c>
    </row>
    <row r="913" ht="15.75" customHeight="1">
      <c r="A913" t="str">
        <f>IFERROR(__xludf.DUMMYFUNCTION("""COMPUTED_VALUE"""),"Rebalancer")</f>
        <v>Rebalancer</v>
      </c>
      <c r="B913" t="str">
        <f>IFERROR(__xludf.DUMMYFUNCTION("""COMPUTED_VALUE"""),"VerifyTradeList")</f>
        <v>VerifyTradeList</v>
      </c>
      <c r="C913" t="str">
        <f>IFERROR(__xludf.DUMMYFUNCTION("""COMPUTED_VALUE"""),"14aTeLjmUbS-nhaQwjtZAMGxdQ5DS6UsBjE5OTWN-LQU")</f>
        <v>14aTeLjmUbS-nhaQwjtZAMGxdQ5DS6UsBjE5OTWN-LQU</v>
      </c>
    </row>
    <row r="914" ht="15.75" customHeight="1">
      <c r="A914" t="str">
        <f>IFERROR(__xludf.DUMMYFUNCTION("""COMPUTED_VALUE"""),"TradingTicket")</f>
        <v>TradingTicket</v>
      </c>
      <c r="B914" t="str">
        <f>IFERROR(__xludf.DUMMYFUNCTION("""COMPUTED_VALUE"""),"TTMainControls")</f>
        <v>TTMainControls</v>
      </c>
      <c r="C914" t="str">
        <f>IFERROR(__xludf.DUMMYFUNCTION("""COMPUTED_VALUE"""),"1DUwxSUq_47EK60XmK3LOdCXa1fkWqWJE9bLuGS3ccv412")</f>
        <v>1DUwxSUq_47EK60XmK3LOdCXa1fkWqWJE9bLuGS3ccv412</v>
      </c>
    </row>
    <row r="915" ht="15.75" customHeight="1">
      <c r="A915" t="str">
        <f>IFERROR(__xludf.DUMMYFUNCTION("""COMPUTED_VALUE"""),"TradingTicket")</f>
        <v>TradingTicket</v>
      </c>
      <c r="B915" t="str">
        <f>IFERROR(__xludf.DUMMYFUNCTION("""COMPUTED_VALUE"""),"VerifySymStrip")</f>
        <v>VerifySymStrip</v>
      </c>
      <c r="C915" t="str">
        <f>IFERROR(__xludf.DUMMYFUNCTION("""COMPUTED_VALUE"""),"1DUwxSUq_47EK60XmK3LOdCXa1fkWqWJE9bLuGS3ccv412")</f>
        <v>1DUwxSUq_47EK60XmK3LOdCXa1fkWqWJE9bLuGS3ccv412</v>
      </c>
    </row>
    <row r="916" ht="15.75" customHeight="1">
      <c r="A916" t="str">
        <f>IFERROR(__xludf.DUMMYFUNCTION("""COMPUTED_VALUE"""),"TradingTicket")</f>
        <v>TradingTicket</v>
      </c>
      <c r="B916" t="str">
        <f>IFERROR(__xludf.DUMMYFUNCTION("""COMPUTED_VALUE"""),"TTBottomTab")</f>
        <v>TTBottomTab</v>
      </c>
      <c r="C916" t="str">
        <f>IFERROR(__xludf.DUMMYFUNCTION("""COMPUTED_VALUE"""),"1DUwxSUq_47EK60XmK3LOdCXa1fkWqWJE9bLuGS3ccv412")</f>
        <v>1DUwxSUq_47EK60XmK3LOdCXa1fkWqWJE9bLuGS3ccv412</v>
      </c>
    </row>
    <row r="917" ht="15.75" customHeight="1">
      <c r="A917" t="str">
        <f>IFERROR(__xludf.DUMMYFUNCTION("""COMPUTED_VALUE"""),"TradingTicket")</f>
        <v>TradingTicket</v>
      </c>
      <c r="B917" t="str">
        <f>IFERROR(__xludf.DUMMYFUNCTION("""COMPUTED_VALUE"""),"TTBottomSwap")</f>
        <v>TTBottomSwap</v>
      </c>
      <c r="C917" t="str">
        <f>IFERROR(__xludf.DUMMYFUNCTION("""COMPUTED_VALUE"""),"1DUwxSUq_47EK60XmK3LOdCXa1fkWqWJE9bLuGS3ccv412")</f>
        <v>1DUwxSUq_47EK60XmK3LOdCXa1fkWqWJE9bLuGS3ccv412</v>
      </c>
    </row>
    <row r="918" ht="15.75" customHeight="1">
      <c r="A918" t="str">
        <f>IFERROR(__xludf.DUMMYFUNCTION("""COMPUTED_VALUE"""),"Blotter")</f>
        <v>Blotter</v>
      </c>
      <c r="B918" t="str">
        <f>IFERROR(__xludf.DUMMYFUNCTION("""COMPUTED_VALUE"""),"CreateHotButtonOnBlotter")</f>
        <v>CreateHotButtonOnBlotter</v>
      </c>
      <c r="C918" t="str">
        <f>IFERROR(__xludf.DUMMYFUNCTION("""COMPUTED_VALUE"""),"1Yu7Fb6AjhUP8b-KuRJvgAwq8TykNK6BDh9F0Xpf12Ek")</f>
        <v>1Yu7Fb6AjhUP8b-KuRJvgAwq8TykNK6BDh9F0Xpf12Ek</v>
      </c>
    </row>
    <row r="919" ht="15.75" customHeight="1">
      <c r="A919" t="str">
        <f>IFERROR(__xludf.DUMMYFUNCTION("""COMPUTED_VALUE"""),"Blotter")</f>
        <v>Blotter</v>
      </c>
      <c r="B919" t="str">
        <f>IFERROR(__xludf.DUMMYFUNCTION("""COMPUTED_VALUE"""),"FillHBdetailsOnBlotter")</f>
        <v>FillHBdetailsOnBlotter</v>
      </c>
      <c r="C919" t="str">
        <f>IFERROR(__xludf.DUMMYFUNCTION("""COMPUTED_VALUE"""),"13Isj5c5k8kObxI-GBT6Ir9VBOz_46lzhwVxXXVP8jQU")</f>
        <v>13Isj5c5k8kObxI-GBT6Ir9VBOz_46lzhwVxXXVP8jQU</v>
      </c>
    </row>
    <row r="920" ht="15.75" customHeight="1">
      <c r="A920" t="str">
        <f>IFERROR(__xludf.DUMMYFUNCTION("""COMPUTED_VALUE"""),"TradingTicket")</f>
        <v>TradingTicket</v>
      </c>
      <c r="B920" t="str">
        <f>IFERROR(__xludf.DUMMYFUNCTION("""COMPUTED_VALUE"""),"EditAuecWindow")</f>
        <v>EditAuecWindow</v>
      </c>
      <c r="C920" t="str">
        <f>IFERROR(__xludf.DUMMYFUNCTION("""COMPUTED_VALUE"""),"1ottlNphVbp0AC-UFd-HlDpCLwOA2yWO1pN6eR3ML7vA")</f>
        <v>1ottlNphVbp0AC-UFd-HlDpCLwOA2yWO1pN6eR3ML7vA</v>
      </c>
    </row>
    <row r="921" ht="15.75" customHeight="1">
      <c r="A921" t="str">
        <f>IFERROR(__xludf.DUMMYFUNCTION("""COMPUTED_VALUE"""),"TradingTicket")</f>
        <v>TradingTicket</v>
      </c>
      <c r="B921" t="str">
        <f>IFERROR(__xludf.DUMMYFUNCTION("""COMPUTED_VALUE"""),"VerifyBrokerSummary")</f>
        <v>VerifyBrokerSummary</v>
      </c>
      <c r="C921" t="str">
        <f>IFERROR(__xludf.DUMMYFUNCTION("""COMPUTED_VALUE"""),"11hMxlfIQYwM8vPN2h--IGp7O02EDFbvJ4CSvjSfGsMY")</f>
        <v>11hMxlfIQYwM8vPN2h--IGp7O02EDFbvJ4CSvjSfGsMY</v>
      </c>
    </row>
    <row r="922" ht="15.75" customHeight="1">
      <c r="A922" t="str">
        <f>IFERROR(__xludf.DUMMYFUNCTION("""COMPUTED_VALUE"""),"QTT")</f>
        <v>QTT</v>
      </c>
      <c r="B922" t="str">
        <f>IFERROR(__xludf.DUMMYFUNCTION("""COMPUTED_VALUE"""),"EditAuecWindowQTT")</f>
        <v>EditAuecWindowQTT</v>
      </c>
      <c r="C922" t="str">
        <f>IFERROR(__xludf.DUMMYFUNCTION("""COMPUTED_VALUE"""),"1oI_WY3xKQgSjp5JN67BMHtm3zazX5ZiMATISa2ssGB0")</f>
        <v>1oI_WY3xKQgSjp5JN67BMHtm3zazX5ZiMATISa2ssGB0</v>
      </c>
    </row>
    <row r="923" ht="15.75" customHeight="1">
      <c r="A923" t="str">
        <f>IFERROR(__xludf.DUMMYFUNCTION("""COMPUTED_VALUE"""),"QTT")</f>
        <v>QTT</v>
      </c>
      <c r="B923" t="str">
        <f>IFERROR(__xludf.DUMMYFUNCTION("""COMPUTED_VALUE"""),"VerifyBrokerSummaryQTT")</f>
        <v>VerifyBrokerSummaryQTT</v>
      </c>
      <c r="C923" t="str">
        <f>IFERROR(__xludf.DUMMYFUNCTION("""COMPUTED_VALUE"""),"1O6-eqYsZqtvYR6DOH7UM2_Jwpq9pB9uyZvgh5vEhVAI")</f>
        <v>1O6-eqYsZqtvYR6DOH7UM2_Jwpq9pB9uyZvgh5vEhVAI</v>
      </c>
    </row>
    <row r="924" ht="15.75" customHeight="1">
      <c r="A924" t="str">
        <f>IFERROR(__xludf.DUMMYFUNCTION("""COMPUTED_VALUE"""),"QTT")</f>
        <v>QTT</v>
      </c>
      <c r="B924" t="str">
        <f>IFERROR(__xludf.DUMMYFUNCTION("""COMPUTED_VALUE"""),"SaveQTThotKey")</f>
        <v>SaveQTThotKey</v>
      </c>
      <c r="C924" t="str">
        <f>IFERROR(__xludf.DUMMYFUNCTION("""COMPUTED_VALUE"""),"Undefined")</f>
        <v>Undefined</v>
      </c>
    </row>
    <row r="925" ht="15.75" customHeight="1">
      <c r="A925" t="str">
        <f>IFERROR(__xludf.DUMMYFUNCTION("""COMPUTED_VALUE"""),"Blotter")</f>
        <v>Blotter</v>
      </c>
      <c r="B925" t="str">
        <f>IFERROR(__xludf.DUMMYFUNCTION("""COMPUTED_VALUE"""),"BlotterColumnChooser")</f>
        <v>BlotterColumnChooser</v>
      </c>
      <c r="C925" t="str">
        <f>IFERROR(__xludf.DUMMYFUNCTION("""COMPUTED_VALUE"""),"12428TbyucuJDD3KuN7QG-GyRYI3gcoyDNKTQ2UpgGMQ")</f>
        <v>12428TbyucuJDD3KuN7QG-GyRYI3gcoyDNKTQ2UpgGMQ</v>
      </c>
    </row>
    <row r="926" ht="15.75" customHeight="1">
      <c r="A926" t="str">
        <f>IFERROR(__xludf.DUMMYFUNCTION("""COMPUTED_VALUE"""),"RTPNL")</f>
        <v>RTPNL</v>
      </c>
      <c r="B926" t="str">
        <f>IFERROR(__xludf.DUMMYFUNCTION("""COMPUTED_VALUE"""),"CreateGroupingWidget")</f>
        <v>CreateGroupingWidget</v>
      </c>
      <c r="C926" t="str">
        <f>IFERROR(__xludf.DUMMYFUNCTION("""COMPUTED_VALUE"""),"1ctXhgvJgrqqe8ees0907Up0TKq9pCEhinMlZnRGqKdY")</f>
        <v>1ctXhgvJgrqqe8ees0907Up0TKq9pCEhinMlZnRGqKdY</v>
      </c>
    </row>
    <row r="927" ht="15.75" customHeight="1">
      <c r="A927" t="str">
        <f>IFERROR(__xludf.DUMMYFUNCTION("""COMPUTED_VALUE"""),"RTPNL")</f>
        <v>RTPNL</v>
      </c>
      <c r="B927" t="str">
        <f>IFERROR(__xludf.DUMMYFUNCTION("""COMPUTED_VALUE"""),"CheckGroupingWidget")</f>
        <v>CheckGroupingWidget</v>
      </c>
      <c r="C927" t="str">
        <f>IFERROR(__xludf.DUMMYFUNCTION("""COMPUTED_VALUE"""),"16mimyUFzQ0Ojogh0t4Evjy-tjzAJ67xgIrWeTNmBdw0")</f>
        <v>16mimyUFzQ0Ojogh0t4Evjy-tjzAJ67xgIrWeTNmBdw0</v>
      </c>
    </row>
    <row r="928" ht="15.75" customHeight="1">
      <c r="A928" t="str">
        <f>IFERROR(__xludf.DUMMYFUNCTION("""COMPUTED_VALUE"""),"TradingTicket")</f>
        <v>TradingTicket</v>
      </c>
      <c r="B928" t="str">
        <f>IFERROR(__xludf.DUMMYFUNCTION("""COMPUTED_VALUE"""),"QTTHamburg")</f>
        <v>QTTHamburg</v>
      </c>
      <c r="C928" t="str">
        <f>IFERROR(__xludf.DUMMYFUNCTION("""COMPUTED_VALUE"""),"1pdXDcLRWAl2b2L88lHCntj01OLBjVHaNAdGG8OHa4hA")</f>
        <v>1pdXDcLRWAl2b2L88lHCntj01OLBjVHaNAdGG8OHa4hA</v>
      </c>
    </row>
    <row r="929" ht="15.75" customHeight="1">
      <c r="A929" t="str">
        <f>IFERROR(__xludf.DUMMYFUNCTION("""COMPUTED_VALUE"""),"RTPNL")</f>
        <v>RTPNL</v>
      </c>
      <c r="B929" t="str">
        <f>IFERROR(__xludf.DUMMYFUNCTION("""COMPUTED_VALUE"""),"VerifyL1L2PanelRTPNL")</f>
        <v>VerifyL1L2PanelRTPNL</v>
      </c>
      <c r="C929" t="str">
        <f>IFERROR(__xludf.DUMMYFUNCTION("""COMPUTED_VALUE"""),"1cQo_rX9O9XHFILj0ICV1GAU_RdtTKYlclT20jg9G7hg")</f>
        <v>1cQo_rX9O9XHFILj0ICV1GAU_RdtTKYlclT20jg9G7hg</v>
      </c>
    </row>
    <row r="930" ht="15.75" customHeight="1">
      <c r="A930" t="str">
        <f>IFERROR(__xludf.DUMMYFUNCTION("""COMPUTED_VALUE"""),"Blotter")</f>
        <v>Blotter</v>
      </c>
      <c r="B930" t="str">
        <f>IFERROR(__xludf.DUMMYFUNCTION("""COMPUTED_VALUE"""),"CaptureHotButtonDetails")</f>
        <v>CaptureHotButtonDetails</v>
      </c>
      <c r="C930" t="str">
        <f>IFERROR(__xludf.DUMMYFUNCTION("""COMPUTED_VALUE"""),"16Dail-EoPWyIhwRzxyvr-EY1IE8jJTUQDarvGnXioxI")</f>
        <v>16Dail-EoPWyIhwRzxyvr-EY1IE8jJTUQDarvGnXioxI</v>
      </c>
    </row>
    <row r="931" ht="15.75" customHeight="1">
      <c r="A931" t="str">
        <f>IFERROR(__xludf.DUMMYFUNCTION("""COMPUTED_VALUE"""),"SymbolLookup")</f>
        <v>SymbolLookup</v>
      </c>
      <c r="B931" t="str">
        <f>IFERROR(__xludf.DUMMYFUNCTION("""COMPUTED_VALUE"""),"EditSMGrid")</f>
        <v>EditSMGrid</v>
      </c>
      <c r="C931" t="str">
        <f>IFERROR(__xludf.DUMMYFUNCTION("""COMPUTED_VALUE"""),"14aTeLjmUbS-nhaQwjtZAMGxdQ5DS6UsBjE5OTWN-LQU")</f>
        <v>14aTeLjmUbS-nhaQwjtZAMGxdQ5DS6UsBjE5OTWN-LQU</v>
      </c>
    </row>
    <row r="932" ht="15.75" customHeight="1">
      <c r="A932" t="str">
        <f>IFERROR(__xludf.DUMMYFUNCTION("""COMPUTED_VALUE"""),"QTT")</f>
        <v>QTT</v>
      </c>
      <c r="B932" t="str">
        <f>IFERROR(__xludf.DUMMYFUNCTION("""COMPUTED_VALUE"""),"EditQuickPreference")</f>
        <v>EditQuickPreference</v>
      </c>
      <c r="C932" t="str">
        <f>IFERROR(__xludf.DUMMYFUNCTION("""COMPUTED_VALUE"""),"133vNW3loXmIKhcuaiCwGIGXOULCttZuJZtPfA4s37vw")</f>
        <v>133vNW3loXmIKhcuaiCwGIGXOULCttZuJZtPfA4s37vw</v>
      </c>
    </row>
    <row r="933" ht="15.75" customHeight="1">
      <c r="A933" t="str">
        <f>IFERROR(__xludf.DUMMYFUNCTION("""COMPUTED_VALUE"""),"Blotter")</f>
        <v>Blotter</v>
      </c>
      <c r="B933" t="str">
        <f>IFERROR(__xludf.DUMMYFUNCTION("""COMPUTED_VALUE"""),"RightClickActionVerification")</f>
        <v>RightClickActionVerification</v>
      </c>
      <c r="C933" t="str">
        <f>IFERROR(__xludf.DUMMYFUNCTION("""COMPUTED_VALUE"""),"11EX1Ln-BQAtx9NTd9zfcaia52FGNdZENDW2kwMCJ8HQ")</f>
        <v>11EX1Ln-BQAtx9NTd9zfcaia52FGNdZENDW2kwMCJ8HQ</v>
      </c>
    </row>
    <row r="934" ht="15.75" customHeight="1">
      <c r="A934" t="str">
        <f>IFERROR(__xludf.DUMMYFUNCTION("""COMPUTED_VALUE"""),"SymbolLookup")</f>
        <v>SymbolLookup</v>
      </c>
      <c r="B934" t="str">
        <f>IFERROR(__xludf.DUMMYFUNCTION("""COMPUTED_VALUE"""),"PageOneDetails")</f>
        <v>PageOneDetails</v>
      </c>
      <c r="C934" t="str">
        <f>IFERROR(__xludf.DUMMYFUNCTION("""COMPUTED_VALUE"""),"11EX1Ln-BQAtx9NTd9zfcaia52FGNdZENDW2kwMCJ8HQ")</f>
        <v>11EX1Ln-BQAtx9NTd9zfcaia52FGNdZENDW2kwMCJ8HQ</v>
      </c>
    </row>
    <row r="935" ht="15.75" customHeight="1">
      <c r="A935" t="str">
        <f>IFERROR(__xludf.DUMMYFUNCTION("""COMPUTED_VALUE"""),"SymbolLookup")</f>
        <v>SymbolLookup</v>
      </c>
      <c r="B935" t="str">
        <f>IFERROR(__xludf.DUMMYFUNCTION("""COMPUTED_VALUE"""),"ActionOnSI")</f>
        <v>ActionOnSI</v>
      </c>
      <c r="C935" t="str">
        <f>IFERROR(__xludf.DUMMYFUNCTION("""COMPUTED_VALUE"""),"11EX1Ln-BQAtx9NTd9zfcaia52FGNdZENDW2kwMCJ8HQ")</f>
        <v>11EX1Ln-BQAtx9NTd9zfcaia52FGNdZENDW2kwMCJ8HQ</v>
      </c>
    </row>
    <row r="936" ht="15.75" customHeight="1">
      <c r="A936" t="str">
        <f>IFERROR(__xludf.DUMMYFUNCTION("""COMPUTED_VALUE"""),"SymbolLookup")</f>
        <v>SymbolLookup</v>
      </c>
      <c r="B936" t="str">
        <f>IFERROR(__xludf.DUMMYFUNCTION("""COMPUTED_VALUE"""),"PageTwoDetails")</f>
        <v>PageTwoDetails</v>
      </c>
      <c r="C936" t="str">
        <f>IFERROR(__xludf.DUMMYFUNCTION("""COMPUTED_VALUE"""),"11EX1Ln-BQAtx9NTd9zfcaia52FGNdZENDW2kwMCJ8HQ")</f>
        <v>11EX1Ln-BQAtx9NTd9zfcaia52FGNdZENDW2kwMCJ8HQ</v>
      </c>
    </row>
    <row r="937" ht="15.75" customHeight="1">
      <c r="A937" t="str">
        <f>IFERROR(__xludf.DUMMYFUNCTION("""COMPUTED_VALUE"""),"SymbolLookup")</f>
        <v>SymbolLookup</v>
      </c>
      <c r="B937" t="str">
        <f>IFERROR(__xludf.DUMMYFUNCTION("""COMPUTED_VALUE"""),"ActiononSMPane")</f>
        <v>ActiononSMPane</v>
      </c>
      <c r="C937" t="str">
        <f>IFERROR(__xludf.DUMMYFUNCTION("""COMPUTED_VALUE"""),"11EX1Ln-BQAtx9NTd9zfcaia52FGNdZENDW2kwMCJ8HQ")</f>
        <v>11EX1Ln-BQAtx9NTd9zfcaia52FGNdZENDW2kwMCJ8HQ</v>
      </c>
    </row>
    <row r="938" ht="15.75" customHeight="1">
      <c r="A938" t="str">
        <f>IFERROR(__xludf.DUMMYFUNCTION("""COMPUTED_VALUE"""),"SymbolLookup")</f>
        <v>SymbolLookup</v>
      </c>
      <c r="B938" t="str">
        <f>IFERROR(__xludf.DUMMYFUNCTION("""COMPUTED_VALUE"""),"PageThreeDetails")</f>
        <v>PageThreeDetails</v>
      </c>
      <c r="C938" t="str">
        <f>IFERROR(__xludf.DUMMYFUNCTION("""COMPUTED_VALUE"""),"11EX1Ln-BQAtx9NTd9zfcaia52FGNdZENDW2kwMCJ8HQ")</f>
        <v>11EX1Ln-BQAtx9NTd9zfcaia52FGNdZENDW2kwMCJ8HQ</v>
      </c>
    </row>
    <row r="939" ht="15.75" customHeight="1">
      <c r="A939" t="str">
        <f>IFERROR(__xludf.DUMMYFUNCTION("""COMPUTED_VALUE"""),"SymbolLookup")</f>
        <v>SymbolLookup</v>
      </c>
      <c r="B939" t="str">
        <f>IFERROR(__xludf.DUMMYFUNCTION("""COMPUTED_VALUE"""),"VerifySMGrid")</f>
        <v>VerifySMGrid</v>
      </c>
      <c r="C939" t="str">
        <f>IFERROR(__xludf.DUMMYFUNCTION("""COMPUTED_VALUE"""),"11EX1Ln-BQAtx9NTd9zfcaia52FGNdZENDW2kwMCJ8HQ")</f>
        <v>11EX1Ln-BQAtx9NTd9zfcaia52FGNdZENDW2kwMCJ8HQ</v>
      </c>
    </row>
    <row r="940" ht="15.75" customHeight="1">
      <c r="A940" t="str">
        <f>IFERROR(__xludf.DUMMYFUNCTION("""COMPUTED_VALUE"""),"SymbolLookup")</f>
        <v>SymbolLookup</v>
      </c>
      <c r="B940" t="str">
        <f>IFERROR(__xludf.DUMMYFUNCTION("""COMPUTED_VALUE"""),"PageFourDetails")</f>
        <v>PageFourDetails</v>
      </c>
      <c r="C940" t="str">
        <f>IFERROR(__xludf.DUMMYFUNCTION("""COMPUTED_VALUE"""),"11EX1Ln-BQAtx9NTd9zfcaia52FGNdZENDW2kwMCJ8HQ")</f>
        <v>11EX1Ln-BQAtx9NTd9zfcaia52FGNdZENDW2kwMCJ8HQ</v>
      </c>
    </row>
    <row r="941" ht="15.75" customHeight="1">
      <c r="A941" t="str">
        <f>IFERROR(__xludf.DUMMYFUNCTION("""COMPUTED_VALUE"""),"Admin")</f>
        <v>Admin</v>
      </c>
      <c r="B941" t="str">
        <f>IFERROR(__xludf.DUMMYFUNCTION("""COMPUTED_VALUE"""),"ChangeDate")</f>
        <v>ChangeDate</v>
      </c>
      <c r="C941" t="str">
        <f>IFERROR(__xludf.DUMMYFUNCTION("""COMPUTED_VALUE"""),"1P5fd0ftHTs8WR6XF70cltzN5BPur7V01OcYEMpPEMVE")</f>
        <v>1P5fd0ftHTs8WR6XF70cltzN5BPur7V01OcYEMpPEMVE</v>
      </c>
    </row>
    <row r="942" ht="15.75" customHeight="1">
      <c r="A942" t="str">
        <f>IFERROR(__xludf.DUMMYFUNCTION("""COMPUTED_VALUE"""),"Simulator")</f>
        <v>Simulator</v>
      </c>
      <c r="B942" t="str">
        <f>IFERROR(__xludf.DUMMYFUNCTION("""COMPUTED_VALUE"""),"NewAcknowledgeTrade")</f>
        <v>NewAcknowledgeTrade</v>
      </c>
      <c r="C942" t="str">
        <f>IFERROR(__xludf.DUMMYFUNCTION("""COMPUTED_VALUE"""),"1H8R-FdslnMhiBZjAanQN5V9z26E47VjoaeJWQdGZ2pU")</f>
        <v>1H8R-FdslnMhiBZjAanQN5V9z26E47VjoaeJWQdGZ2pU</v>
      </c>
    </row>
    <row r="943" ht="15.75" customHeight="1">
      <c r="A943" t="str">
        <f>IFERROR(__xludf.DUMMYFUNCTION("""COMPUTED_VALUE"""),"Allocation")</f>
        <v>Allocation</v>
      </c>
      <c r="B943" t="str">
        <f>IFERROR(__xludf.DUMMYFUNCTION("""COMPUTED_VALUE"""),"ActionOnToolBar")</f>
        <v>ActionOnToolBar</v>
      </c>
      <c r="C943" t="str">
        <f>IFERROR(__xludf.DUMMYFUNCTION("""COMPUTED_VALUE"""),"11EX1Ln-BQAtx9NTd9zfcaia52FGNdZENDW2kwMCJ8HQ")</f>
        <v>11EX1Ln-BQAtx9NTd9zfcaia52FGNdZENDW2kwMCJ8HQ</v>
      </c>
    </row>
    <row r="944" ht="15.75" customHeight="1">
      <c r="A944" t="str">
        <f>IFERROR(__xludf.DUMMYFUNCTION("""COMPUTED_VALUE"""),"Allocation")</f>
        <v>Allocation</v>
      </c>
      <c r="B944" t="str">
        <f>IFERROR(__xludf.DUMMYFUNCTION("""COMPUTED_VALUE"""),"AutoGrpRules")</f>
        <v>AutoGrpRules</v>
      </c>
      <c r="C944" t="str">
        <f>IFERROR(__xludf.DUMMYFUNCTION("""COMPUTED_VALUE"""),"11EX1Ln-BQAtx9NTd9zfcaia52FGNdZENDW2kwMCJ8HQ")</f>
        <v>11EX1Ln-BQAtx9NTd9zfcaia52FGNdZENDW2kwMCJ8HQ</v>
      </c>
    </row>
    <row r="945" ht="15.75" customHeight="1">
      <c r="A945" t="str">
        <f>IFERROR(__xludf.DUMMYFUNCTION("""COMPUTED_VALUE"""),"Allocation")</f>
        <v>Allocation</v>
      </c>
      <c r="B945" t="str">
        <f>IFERROR(__xludf.DUMMYFUNCTION("""COMPUTED_VALUE"""),"VerifyToggleStateTA")</f>
        <v>VerifyToggleStateTA</v>
      </c>
      <c r="C945" t="str">
        <f>IFERROR(__xludf.DUMMYFUNCTION("""COMPUTED_VALUE"""),"11EX1Ln-BQAtx9NTd9zfcaia52FGNdZENDW2kwMCJ8HQ")</f>
        <v>11EX1Ln-BQAtx9NTd9zfcaia52FGNdZENDW2kwMCJ8HQ</v>
      </c>
    </row>
    <row r="946" ht="15.75" customHeight="1">
      <c r="A946" t="str">
        <f>IFERROR(__xludf.DUMMYFUNCTION("""COMPUTED_VALUE"""),"Expnl")</f>
        <v>Expnl</v>
      </c>
      <c r="B946" t="str">
        <f>IFERROR(__xludf.DUMMYFUNCTION("""COMPUTED_VALUE"""),"RefreshExpnlUi")</f>
        <v>RefreshExpnlUi</v>
      </c>
      <c r="C946" t="str">
        <f>IFERROR(__xludf.DUMMYFUNCTION("""COMPUTED_VALUE"""),"Undefined")</f>
        <v>Undefined</v>
      </c>
    </row>
    <row r="947" ht="15.75" customHeight="1">
      <c r="A947" t="str">
        <f>IFERROR(__xludf.DUMMYFUNCTION("""COMPUTED_VALUE"""),"Allocation")</f>
        <v>Allocation</v>
      </c>
      <c r="B947" t="str">
        <f>IFERROR(__xludf.DUMMYFUNCTION("""COMPUTED_VALUE"""),"ActiononAGP")</f>
        <v>ActiononAGP</v>
      </c>
      <c r="C947" t="str">
        <f>IFERROR(__xludf.DUMMYFUNCTION("""COMPUTED_VALUE"""),"11EX1Ln-BQAtx9NTd9zfcaia52FGNdZENDW2kwMCJ8HQ")</f>
        <v>11EX1Ln-BQAtx9NTd9zfcaia52FGNdZENDW2kwMCJ8HQ</v>
      </c>
    </row>
    <row r="948" ht="15.75" customHeight="1">
      <c r="A948" t="str">
        <f>IFERROR(__xludf.DUMMYFUNCTION("""COMPUTED_VALUE"""),"Allocation")</f>
        <v>Allocation</v>
      </c>
      <c r="B948" t="str">
        <f>IFERROR(__xludf.DUMMYFUNCTION("""COMPUTED_VALUE"""),"AttBulkChng")</f>
        <v>AttBulkChng</v>
      </c>
      <c r="C948" t="str">
        <f>IFERROR(__xludf.DUMMYFUNCTION("""COMPUTED_VALUE"""),"11EX1Ln-BQAtx9NTd9zfcaia52FGNdZENDW2kwMCJ8HQ")</f>
        <v>11EX1Ln-BQAtx9NTd9zfcaia52FGNdZENDW2kwMCJ8HQ</v>
      </c>
    </row>
    <row r="949" ht="15.75" customHeight="1">
      <c r="A949" t="str">
        <f>IFERROR(__xludf.DUMMYFUNCTION("""COMPUTED_VALUE"""),"Allocation")</f>
        <v>Allocation</v>
      </c>
      <c r="B949" t="str">
        <f>IFERROR(__xludf.DUMMYFUNCTION("""COMPUTED_VALUE"""),"AttBulkChngTwo")</f>
        <v>AttBulkChngTwo</v>
      </c>
      <c r="C949" t="str">
        <f>IFERROR(__xludf.DUMMYFUNCTION("""COMPUTED_VALUE"""),"11EX1Ln-BQAtx9NTd9zfcaia52FGNdZENDW2kwMCJ8HQ")</f>
        <v>11EX1Ln-BQAtx9NTd9zfcaia52FGNdZENDW2kwMCJ8HQ</v>
      </c>
    </row>
    <row r="950" ht="15.75" customHeight="1">
      <c r="A950" t="str">
        <f>IFERROR(__xludf.DUMMYFUNCTION("""COMPUTED_VALUE"""),"Login")</f>
        <v>Login</v>
      </c>
      <c r="B950" t="str">
        <f>IFERROR(__xludf.DUMMYFUNCTION("""COMPUTED_VALUE"""),"Login")</f>
        <v>Login</v>
      </c>
      <c r="C950" t="str">
        <f>IFERROR(__xludf.DUMMYFUNCTION("""COMPUTED_VALUE"""),"1uy63r2XjpUIBlAUk-lXKJTr-PpvpP6wxvLlLDzoM-Ic")</f>
        <v>1uy63r2XjpUIBlAUk-lXKJTr-PpvpP6wxvLlLDzoM-Ic</v>
      </c>
    </row>
    <row r="951" ht="15.75" customHeight="1">
      <c r="A951" t="str">
        <f>IFERROR(__xludf.DUMMYFUNCTION("""COMPUTED_VALUE"""),"Simulator")</f>
        <v>Simulator</v>
      </c>
      <c r="B951" t="str">
        <f>IFERROR(__xludf.DUMMYFUNCTION("""COMPUTED_VALUE"""),"VerifyRowAllFixLogs")</f>
        <v>VerifyRowAllFixLogs</v>
      </c>
      <c r="C951" t="str">
        <f>IFERROR(__xludf.DUMMYFUNCTION("""COMPUTED_VALUE"""),"1_W_DB1rnbV-zXf1aqv8VkPNpTGPIckmD7s5z0ncm4ho")</f>
        <v>1_W_DB1rnbV-zXf1aqv8VkPNpTGPIckmD7s5z0ncm4ho</v>
      </c>
    </row>
    <row r="952" ht="15.75" customHeight="1">
      <c r="A952" t="str">
        <f>IFERROR(__xludf.DUMMYFUNCTION("""COMPUTED_VALUE"""),"Blotter")</f>
        <v>Blotter</v>
      </c>
      <c r="B952" t="str">
        <f>IFERROR(__xludf.DUMMYFUNCTION("""COMPUTED_VALUE"""),"ManageHotButton")</f>
        <v>ManageHotButton</v>
      </c>
      <c r="C952" t="str">
        <f>IFERROR(__xludf.DUMMYFUNCTION("""COMPUTED_VALUE"""),"1kQpkPRi_1u4R3VazjhiilbOI8OkiiHRY2wfgByau1YY")</f>
        <v>1kQpkPRi_1u4R3VazjhiilbOI8OkiiHRY2wfgByau1YY</v>
      </c>
    </row>
    <row r="953" ht="15.75" customHeight="1">
      <c r="A953" t="str">
        <f>IFERROR(__xludf.DUMMYFUNCTION("""COMPUTED_VALUE"""),"Simulator")</f>
        <v>Simulator</v>
      </c>
      <c r="B953" t="str">
        <f>IFERROR(__xludf.DUMMYFUNCTION("""COMPUTED_VALUE"""),"ClearAllFixLogs")</f>
        <v>ClearAllFixLogs</v>
      </c>
    </row>
    <row r="954" ht="15.75" customHeight="1">
      <c r="A954" t="str">
        <f>IFERROR(__xludf.DUMMYFUNCTION("""COMPUTED_VALUE"""),"PranaClient")</f>
        <v>PranaClient</v>
      </c>
      <c r="B954" t="str">
        <f>IFERROR(__xludf.DUMMYFUNCTION("""COMPUTED_VALUE"""),"UpdateLiveExcelSheetForRTPNL")</f>
        <v>UpdateLiveExcelSheetForRTPNL</v>
      </c>
    </row>
    <row r="955" ht="15.75" customHeight="1">
      <c r="A955" t="str">
        <f>IFERROR(__xludf.DUMMYFUNCTION("""COMPUTED_VALUE"""),"OpenFin")</f>
        <v>OpenFin</v>
      </c>
      <c r="B955" t="str">
        <f>IFERROR(__xludf.DUMMYFUNCTION("""COMPUTED_VALUE"""),"SavePageRTPNL")</f>
        <v>SavePageRTPNL</v>
      </c>
      <c r="C955" t="str">
        <f>IFERROR(__xludf.DUMMYFUNCTION("""COMPUTED_VALUE"""),"1YqhSG4yXo70SfhUq3fYD9CKf-eg44IFJ37IZh4WLI84")</f>
        <v>1YqhSG4yXo70SfhUq3fYD9CKf-eg44IFJ37IZh4WLI84</v>
      </c>
    </row>
    <row r="956" ht="15.75" customHeight="1">
      <c r="A956" t="str">
        <f>IFERROR(__xludf.DUMMYFUNCTION("""COMPUTED_VALUE"""),"RTPNL")</f>
        <v>RTPNL</v>
      </c>
      <c r="B956" t="str">
        <f>IFERROR(__xludf.DUMMYFUNCTION("""COMPUTED_VALUE"""),"VerifyGridThroughLiveExcel")</f>
        <v>VerifyGridThroughLiveExcel</v>
      </c>
      <c r="C956" t="str">
        <f>IFERROR(__xludf.DUMMYFUNCTION("""COMPUTED_VALUE"""),"1cCUw9lchUCKgHeNcwCDXybCOZXIeN4O0zRhkTZCVDUg")</f>
        <v>1cCUw9lchUCKgHeNcwCDXybCOZXIeN4O0zRhkTZCVDUg</v>
      </c>
    </row>
    <row r="957" ht="15.75" customHeight="1">
      <c r="A957" t="str">
        <f>IFERROR(__xludf.DUMMYFUNCTION("""COMPUTED_VALUE"""),"OpenFin")</f>
        <v>OpenFin</v>
      </c>
      <c r="B957" t="str">
        <f>IFERROR(__xludf.DUMMYFUNCTION("""COMPUTED_VALUE"""),"VerifyToastMessage")</f>
        <v>VerifyToastMessage</v>
      </c>
      <c r="C957" t="str">
        <f>IFERROR(__xludf.DUMMYFUNCTION("""COMPUTED_VALUE"""),"1DYn70fZ-UJ9bocMMWUWIW2IVfXlF5TRVuLedi7Y_LNk")</f>
        <v>1DYn70fZ-UJ9bocMMWUWIW2IVfXlF5TRVuLedi7Y_LNk</v>
      </c>
    </row>
    <row r="958" ht="15.75" customHeight="1">
      <c r="A958" t="str">
        <f>IFERROR(__xludf.DUMMYFUNCTION("""COMPUTED_VALUE"""),"NavLock")</f>
        <v>NavLock</v>
      </c>
      <c r="B958" t="str">
        <f>IFERROR(__xludf.DUMMYFUNCTION("""COMPUTED_VALUE"""),"VerifyNavLockGrid")</f>
        <v>VerifyNavLockGrid</v>
      </c>
      <c r="C958" t="str">
        <f>IFERROR(__xludf.DUMMYFUNCTION("""COMPUTED_VALUE"""),"11EX1Ln-BQAtx9NTd9zfcaia52FGNdZENDW2kwMCJ8HQ")</f>
        <v>11EX1Ln-BQAtx9NTd9zfcaia52FGNdZENDW2kwMCJ8HQ</v>
      </c>
    </row>
    <row r="959" ht="15.75" customHeight="1">
      <c r="A959" t="str">
        <f>IFERROR(__xludf.DUMMYFUNCTION("""COMPUTED_VALUE"""),"RTPNL")</f>
        <v>RTPNL</v>
      </c>
      <c r="B959" t="str">
        <f>IFERROR(__xludf.DUMMYFUNCTION("""COMPUTED_VALUE"""),"ApplyColumnFilter")</f>
        <v>ApplyColumnFilter</v>
      </c>
      <c r="C959" t="str">
        <f>IFERROR(__xludf.DUMMYFUNCTION("""COMPUTED_VALUE"""),"1N9Nn6t5kuoUpj5sQRZwukYuXz8skh2F7E53j1Um1W1A")</f>
        <v>1N9Nn6t5kuoUpj5sQRZwukYuXz8skh2F7E53j1Um1W1A</v>
      </c>
    </row>
    <row r="960" ht="15.75" customHeight="1">
      <c r="A960" t="str">
        <f>IFERROR(__xludf.DUMMYFUNCTION("""COMPUTED_VALUE"""),"Closing")</f>
        <v>Closing</v>
      </c>
      <c r="B960" t="str">
        <f>IFERROR(__xludf.DUMMYFUNCTION("""COMPUTED_VALUE"""),"GetClosingData")</f>
        <v>GetClosingData</v>
      </c>
      <c r="C960" t="str">
        <f>IFERROR(__xludf.DUMMYFUNCTION("""COMPUTED_VALUE"""),"11EX1Ln-BQAtx9NTd9zfcaia52FGNdZENDW2kwMCJ9HQ")</f>
        <v>11EX1Ln-BQAtx9NTd9zfcaia52FGNdZENDW2kwMCJ9HQ</v>
      </c>
    </row>
    <row r="961" ht="15.75" customHeight="1">
      <c r="A961" t="str">
        <f>IFERROR(__xludf.DUMMYFUNCTION("""COMPUTED_VALUE"""),"Closing")</f>
        <v>Closing</v>
      </c>
      <c r="B961" t="str">
        <f>IFERROR(__xludf.DUMMYFUNCTION("""COMPUTED_VALUE"""),"CloseAmendOprtn")</f>
        <v>CloseAmendOprtn</v>
      </c>
      <c r="C961" t="str">
        <f>IFERROR(__xludf.DUMMYFUNCTION("""COMPUTED_VALUE"""),"11EX1Ln-BQAtx9NTd9zfcaia52FGNdZENDW2kwMCJ10HQ")</f>
        <v>11EX1Ln-BQAtx9NTd9zfcaia52FGNdZENDW2kwMCJ10HQ</v>
      </c>
    </row>
    <row r="962" ht="15.75" customHeight="1">
      <c r="A962" t="str">
        <f>IFERROR(__xludf.DUMMYFUNCTION("""COMPUTED_VALUE"""),"Closing")</f>
        <v>Closing</v>
      </c>
      <c r="B962" t="str">
        <f>IFERROR(__xludf.DUMMYFUNCTION("""COMPUTED_VALUE"""),"ExpSettlOprtn")</f>
        <v>ExpSettlOprtn</v>
      </c>
      <c r="C962" t="str">
        <f>IFERROR(__xludf.DUMMYFUNCTION("""COMPUTED_VALUE"""),"11EX1Ln-BQAtx9NTd9zfcaia52FGNdZENDW2kwMCJ11HQ")</f>
        <v>11EX1Ln-BQAtx9NTd9zfcaia52FGNdZENDW2kwMCJ11HQ</v>
      </c>
    </row>
    <row r="963" ht="15.75" customHeight="1">
      <c r="A963" t="str">
        <f>IFERROR(__xludf.DUMMYFUNCTION("""COMPUTED_VALUE"""),"Closing")</f>
        <v>Closing</v>
      </c>
      <c r="B963" t="str">
        <f>IFERROR(__xludf.DUMMYFUNCTION("""COMPUTED_VALUE"""),"CloseOrderOprtn")</f>
        <v>CloseOrderOprtn</v>
      </c>
      <c r="C963" t="str">
        <f>IFERROR(__xludf.DUMMYFUNCTION("""COMPUTED_VALUE"""),"11EX1Ln-BQAtx9NTd9zfcaia52FGNdZENDW2kwMCJ12HQ")</f>
        <v>11EX1Ln-BQAtx9NTd9zfcaia52FGNdZENDW2kwMCJ12HQ</v>
      </c>
    </row>
    <row r="964" ht="15.75" customHeight="1">
      <c r="A964" t="str">
        <f>IFERROR(__xludf.DUMMYFUNCTION("""COMPUTED_VALUE"""),"Closing")</f>
        <v>Closing</v>
      </c>
      <c r="B964" t="str">
        <f>IFERROR(__xludf.DUMMYFUNCTION("""COMPUTED_VALUE"""),"SelectgrdCloseTrades")</f>
        <v>SelectgrdCloseTrades</v>
      </c>
      <c r="C964" t="str">
        <f>IFERROR(__xludf.DUMMYFUNCTION("""COMPUTED_VALUE"""),"11EX1Ln-BQAtx9NTd9zfcaia52FGNdZENDW2kwMCJ13HQ")</f>
        <v>11EX1Ln-BQAtx9NTd9zfcaia52FGNdZENDW2kwMCJ13HQ</v>
      </c>
    </row>
    <row r="965" ht="15.75" customHeight="1">
      <c r="A965" t="str">
        <f>IFERROR(__xludf.DUMMYFUNCTION("""COMPUTED_VALUE"""),"Closing")</f>
        <v>Closing</v>
      </c>
      <c r="B965" t="str">
        <f>IFERROR(__xludf.DUMMYFUNCTION("""COMPUTED_VALUE"""),"SelectgrdLongTrades")</f>
        <v>SelectgrdLongTrades</v>
      </c>
      <c r="C965" t="str">
        <f>IFERROR(__xludf.DUMMYFUNCTION("""COMPUTED_VALUE"""),"11EX1Ln-BQAtx9NTd9zfcaia52FGNdZENDW2kwMCJ14HQ")</f>
        <v>11EX1Ln-BQAtx9NTd9zfcaia52FGNdZENDW2kwMCJ14HQ</v>
      </c>
    </row>
    <row r="966" ht="15.75" customHeight="1">
      <c r="A966" t="str">
        <f>IFERROR(__xludf.DUMMYFUNCTION("""COMPUTED_VALUE"""),"Closing")</f>
        <v>Closing</v>
      </c>
      <c r="B966" t="str">
        <f>IFERROR(__xludf.DUMMYFUNCTION("""COMPUTED_VALUE"""),"SelectgrdShortTrades")</f>
        <v>SelectgrdShortTrades</v>
      </c>
      <c r="C966" t="str">
        <f>IFERROR(__xludf.DUMMYFUNCTION("""COMPUTED_VALUE"""),"11EX1Ln-BQAtx9NTd9zfcaia52FGNdZENDW2kwMCJ15HQ")</f>
        <v>11EX1Ln-BQAtx9NTd9zfcaia52FGNdZENDW2kwMCJ15HQ</v>
      </c>
    </row>
    <row r="967" ht="15.75" customHeight="1">
      <c r="A967" t="str">
        <f>IFERROR(__xludf.DUMMYFUNCTION("""COMPUTED_VALUE"""),"Closing")</f>
        <v>Closing</v>
      </c>
      <c r="B967" t="str">
        <f>IFERROR(__xludf.DUMMYFUNCTION("""COMPUTED_VALUE"""),"SelectgrdNetPositionTrades")</f>
        <v>SelectgrdNetPositionTrades</v>
      </c>
      <c r="C967" t="str">
        <f>IFERROR(__xludf.DUMMYFUNCTION("""COMPUTED_VALUE"""),"11EX1Ln-BQAtx9NTd9zfcaia52FGNdZENDW2kwMCJ16HQ")</f>
        <v>11EX1Ln-BQAtx9NTd9zfcaia52FGNdZENDW2kwMCJ16HQ</v>
      </c>
    </row>
    <row r="968" ht="15.75" customHeight="1">
      <c r="A968" t="str">
        <f>IFERROR(__xludf.DUMMYFUNCTION("""COMPUTED_VALUE"""),"Closing")</f>
        <v>Closing</v>
      </c>
      <c r="B968" t="str">
        <f>IFERROR(__xludf.DUMMYFUNCTION("""COMPUTED_VALUE"""),"SelectgrdUnexpiredTrades")</f>
        <v>SelectgrdUnexpiredTrades</v>
      </c>
      <c r="C968" t="str">
        <f>IFERROR(__xludf.DUMMYFUNCTION("""COMPUTED_VALUE"""),"11EX1Ln-BQAtx9NTd9zfcaia52FGNdZENDW2kwMCJ17HQ")</f>
        <v>11EX1Ln-BQAtx9NTd9zfcaia52FGNdZENDW2kwMCJ17HQ</v>
      </c>
    </row>
    <row r="969" ht="15.75" customHeight="1">
      <c r="A969" t="str">
        <f>IFERROR(__xludf.DUMMYFUNCTION("""COMPUTED_VALUE"""),"Closing")</f>
        <v>Closing</v>
      </c>
      <c r="B969" t="str">
        <f>IFERROR(__xludf.DUMMYFUNCTION("""COMPUTED_VALUE"""),"SelectgrdCPTrades")</f>
        <v>SelectgrdCPTrades</v>
      </c>
      <c r="C969" t="str">
        <f>IFERROR(__xludf.DUMMYFUNCTION("""COMPUTED_VALUE"""),"11EX1Ln-BQAtx9NTd9zfcaia52FGNdZENDW2kwMCJ18HQ")</f>
        <v>11EX1Ln-BQAtx9NTd9zfcaia52FGNdZENDW2kwMCJ18HQ</v>
      </c>
    </row>
    <row r="970" ht="15.75" customHeight="1">
      <c r="A970" t="str">
        <f>IFERROR(__xludf.DUMMYFUNCTION("""COMPUTED_VALUE"""),"Closing")</f>
        <v>Closing</v>
      </c>
      <c r="B970" t="str">
        <f>IFERROR(__xludf.DUMMYFUNCTION("""COMPUTED_VALUE"""),"SelectgrdExpiredTrades")</f>
        <v>SelectgrdExpiredTrades</v>
      </c>
      <c r="C970" t="str">
        <f>IFERROR(__xludf.DUMMYFUNCTION("""COMPUTED_VALUE"""),"11EX1Ln-BQAtx9NTd9zfcaia52FGNdZENDW2kwMCJ19HQ")</f>
        <v>11EX1Ln-BQAtx9NTd9zfcaia52FGNdZENDW2kwMCJ19HQ</v>
      </c>
    </row>
    <row r="971" ht="15.75" customHeight="1">
      <c r="A971" t="str">
        <f>IFERROR(__xludf.DUMMYFUNCTION("""COMPUTED_VALUE"""),"Closing")</f>
        <v>Closing</v>
      </c>
      <c r="B971" t="str">
        <f>IFERROR(__xludf.DUMMYFUNCTION("""COMPUTED_VALUE"""),"SelectgrdOpenTrades")</f>
        <v>SelectgrdOpenTrades</v>
      </c>
      <c r="C971" t="str">
        <f>IFERROR(__xludf.DUMMYFUNCTION("""COMPUTED_VALUE"""),"11EX1Ln-BQAtx9NTd9zfcaia52FGNdZENDW2kwMCJ20HQ")</f>
        <v>11EX1Ln-BQAtx9NTd9zfcaia52FGNdZENDW2kwMCJ20HQ</v>
      </c>
    </row>
    <row r="972" ht="15.75" customHeight="1">
      <c r="A972" t="str">
        <f>IFERROR(__xludf.DUMMYFUNCTION("""COMPUTED_VALUE"""),"Closing")</f>
        <v>Closing</v>
      </c>
      <c r="B972" t="str">
        <f>IFERROR(__xludf.DUMMYFUNCTION("""COMPUTED_VALUE"""),"GetClosingData")</f>
        <v>GetClosingData</v>
      </c>
      <c r="C972" t="str">
        <f>IFERROR(__xludf.DUMMYFUNCTION("""COMPUTED_VALUE"""),"11EX1Ln-BQAtx9NTd9zfcaia52FGNdZENDW2kwMCJ20HQ")</f>
        <v>11EX1Ln-BQAtx9NTd9zfcaia52FGNdZENDW2kwMCJ20HQ</v>
      </c>
    </row>
    <row r="973" ht="15.75" customHeight="1">
      <c r="A973" t="str">
        <f>IFERROR(__xludf.DUMMYFUNCTION("""COMPUTED_VALUE"""),"Closing")</f>
        <v>Closing</v>
      </c>
      <c r="B973" t="str">
        <f>IFERROR(__xludf.DUMMYFUNCTION("""COMPUTED_VALUE"""),"WizardOptions")</f>
        <v>WizardOptions</v>
      </c>
      <c r="C973" t="str">
        <f>IFERROR(__xludf.DUMMYFUNCTION("""COMPUTED_VALUE"""),"11EX1Ln-BQAtx9NTd9zfcaia52FGNdZENDW2kwMCJ21HQ")</f>
        <v>11EX1Ln-BQAtx9NTd9zfcaia52FGNdZENDW2kwMCJ21HQ</v>
      </c>
    </row>
    <row r="974" ht="15.75" customHeight="1">
      <c r="A974" t="str">
        <f>IFERROR(__xludf.DUMMYFUNCTION("""COMPUTED_VALUE"""),"Closing")</f>
        <v>Closing</v>
      </c>
      <c r="B974" t="str">
        <f>IFERROR(__xludf.DUMMYFUNCTION("""COMPUTED_VALUE"""),"ActionOnClosingWiz")</f>
        <v>ActionOnClosingWiz</v>
      </c>
      <c r="C974" t="str">
        <f>IFERROR(__xludf.DUMMYFUNCTION("""COMPUTED_VALUE"""),"11EX1Ln-BQAtx9NTd9zfcaia52FGNdZENDW2kwMCJ21HQ")</f>
        <v>11EX1Ln-BQAtx9NTd9zfcaia52FGNdZENDW2kwMCJ21HQ</v>
      </c>
    </row>
    <row r="975" ht="15.75" customHeight="1">
      <c r="A975" t="str">
        <f>IFERROR(__xludf.DUMMYFUNCTION("""COMPUTED_VALUE"""),"Allocation")</f>
        <v>Allocation</v>
      </c>
      <c r="B975" t="str">
        <f>IFERROR(__xludf.DUMMYFUNCTION("""COMPUTED_VALUE"""),"VerifyAttRenaming")</f>
        <v>VerifyAttRenaming</v>
      </c>
      <c r="C975" t="str">
        <f>IFERROR(__xludf.DUMMYFUNCTION("""COMPUTED_VALUE"""),"11EX1Ln-BQAtx9NTd9zfcaia52FGNdZENDW2kwMCJ21HQ")</f>
        <v>11EX1Ln-BQAtx9NTd9zfcaia52FGNdZENDW2kwMCJ21HQ</v>
      </c>
    </row>
    <row r="976" ht="15.75" customHeight="1">
      <c r="A976" t="str">
        <f>IFERROR(__xludf.DUMMYFUNCTION("""COMPUTED_VALUE"""),"NavLock")</f>
        <v>NavLock</v>
      </c>
      <c r="B976" t="str">
        <f>IFERROR(__xludf.DUMMYFUNCTION("""COMPUTED_VALUE"""),"DeleteRowNavLock")</f>
        <v>DeleteRowNavLock</v>
      </c>
      <c r="C976" t="str">
        <f>IFERROR(__xludf.DUMMYFUNCTION("""COMPUTED_VALUE"""),"11EX1Ln-BQAtx9NTd9zfcaia52FGNdZENDW2kwMCJ21HQ")</f>
        <v>11EX1Ln-BQAtx9NTd9zfcaia52FGNdZENDW2kwMCJ21HQ</v>
      </c>
    </row>
    <row r="977" ht="15.75" customHeight="1">
      <c r="A977" t="str">
        <f>IFERROR(__xludf.DUMMYFUNCTION("""COMPUTED_VALUE"""),"Closing")</f>
        <v>Closing</v>
      </c>
      <c r="B977" t="str">
        <f>IFERROR(__xludf.DUMMYFUNCTION("""COMPUTED_VALUE"""),"VerifyLongPositionsGrid")</f>
        <v>VerifyLongPositionsGrid</v>
      </c>
      <c r="C977" t="str">
        <f>IFERROR(__xludf.DUMMYFUNCTION("""COMPUTED_VALUE"""),"11EX1Ln-BQAtx9NTd9zfcaia52FGNdZENDW2kwMCJ14HQ")</f>
        <v>11EX1Ln-BQAtx9NTd9zfcaia52FGNdZENDW2kwMCJ14HQ</v>
      </c>
    </row>
    <row r="978" ht="15.75" customHeight="1">
      <c r="A978" t="str">
        <f>IFERROR(__xludf.DUMMYFUNCTION("""COMPUTED_VALUE"""),"Closing")</f>
        <v>Closing</v>
      </c>
      <c r="B978" t="str">
        <f>IFERROR(__xludf.DUMMYFUNCTION("""COMPUTED_VALUE"""),"VerifyShortPositionsGrid")</f>
        <v>VerifyShortPositionsGrid</v>
      </c>
      <c r="C978" t="str">
        <f>IFERROR(__xludf.DUMMYFUNCTION("""COMPUTED_VALUE"""),"11EX1Ln-BQAtx9NTd9zfcaia52FGNdZENDW2kwMCJ15HQ")</f>
        <v>11EX1Ln-BQAtx9NTd9zfcaia52FGNdZENDW2kwMCJ15HQ</v>
      </c>
    </row>
    <row r="979" ht="15.75" customHeight="1">
      <c r="A979" t="str">
        <f>IFERROR(__xludf.DUMMYFUNCTION("""COMPUTED_VALUE"""),"Closing")</f>
        <v>Closing</v>
      </c>
      <c r="B979" t="str">
        <f>IFERROR(__xludf.DUMMYFUNCTION("""COMPUTED_VALUE"""),"VerifyClosedTrades")</f>
        <v>VerifyClosedTrades</v>
      </c>
      <c r="C979" t="str">
        <f>IFERROR(__xludf.DUMMYFUNCTION("""COMPUTED_VALUE"""),"11EX1Ln-BQAtx9NTd9zfcaia52FGNdZENDW2kwMCJ16HQ")</f>
        <v>11EX1Ln-BQAtx9NTd9zfcaia52FGNdZENDW2kwMCJ16HQ</v>
      </c>
    </row>
    <row r="980" ht="15.75" customHeight="1">
      <c r="A980" t="str">
        <f>IFERROR(__xludf.DUMMYFUNCTION("""COMPUTED_VALUE"""),"Closing")</f>
        <v>Closing</v>
      </c>
      <c r="B980" t="str">
        <f>IFERROR(__xludf.DUMMYFUNCTION("""COMPUTED_VALUE"""),"CloseAmendOprtn")</f>
        <v>CloseAmendOprtn</v>
      </c>
      <c r="C980" t="str">
        <f>IFERROR(__xludf.DUMMYFUNCTION("""COMPUTED_VALUE"""),"11EX1Ln-BQAtx9NTd9zfcaia52FGNdZENDW2kwMCJ17HQ")</f>
        <v>11EX1Ln-BQAtx9NTd9zfcaia52FGNdZENDW2kwMCJ17HQ</v>
      </c>
    </row>
    <row r="981" ht="15.75" customHeight="1">
      <c r="A981" t="str">
        <f>IFERROR(__xludf.DUMMYFUNCTION("""COMPUTED_VALUE"""),"Closing")</f>
        <v>Closing</v>
      </c>
      <c r="B981" t="str">
        <f>IFERROR(__xludf.DUMMYFUNCTION("""COMPUTED_VALUE"""),"ExpSettlOprtn")</f>
        <v>ExpSettlOprtn</v>
      </c>
      <c r="C981" t="str">
        <f>IFERROR(__xludf.DUMMYFUNCTION("""COMPUTED_VALUE"""),"11EX1Ln-BQAtx9NTd9zfcaia52FGNdZENDW2kwMCJ18HQ")</f>
        <v>11EX1Ln-BQAtx9NTd9zfcaia52FGNdZENDW2kwMCJ18HQ</v>
      </c>
    </row>
    <row r="982" ht="15.75" customHeight="1">
      <c r="A982" t="str">
        <f>IFERROR(__xludf.DUMMYFUNCTION("""COMPUTED_VALUE"""),"Closing")</f>
        <v>Closing</v>
      </c>
      <c r="B982" t="str">
        <f>IFERROR(__xludf.DUMMYFUNCTION("""COMPUTED_VALUE"""),"ActionOnExpGrid")</f>
        <v>ActionOnExpGrid</v>
      </c>
      <c r="C982" t="str">
        <f>IFERROR(__xludf.DUMMYFUNCTION("""COMPUTED_VALUE"""),"11EX1Ln-BQAtx9NTd9zfcaia52FGNdZENDW2kwMCJ19HQ")</f>
        <v>11EX1Ln-BQAtx9NTd9zfcaia52FGNdZENDW2kwMCJ19HQ</v>
      </c>
    </row>
    <row r="983" ht="15.75" customHeight="1">
      <c r="A983" t="str">
        <f>IFERROR(__xludf.DUMMYFUNCTION("""COMPUTED_VALUE"""),"Closing")</f>
        <v>Closing</v>
      </c>
      <c r="B983" t="str">
        <f>IFERROR(__xludf.DUMMYFUNCTION("""COMPUTED_VALUE"""),"ActiononIncorrectQty")</f>
        <v>ActiononIncorrectQty</v>
      </c>
      <c r="C983" t="str">
        <f>IFERROR(__xludf.DUMMYFUNCTION("""COMPUTED_VALUE"""),"11EX1Ln-BQAtx9NTd9zfcaia52FGNdZENDW2kwMCJ20HQ")</f>
        <v>11EX1Ln-BQAtx9NTd9zfcaia52FGNdZENDW2kwMCJ20HQ</v>
      </c>
    </row>
    <row r="984" ht="15.75" customHeight="1">
      <c r="A984" t="str">
        <f>IFERROR(__xludf.DUMMYFUNCTION("""COMPUTED_VALUE"""),"Closing")</f>
        <v>Closing</v>
      </c>
      <c r="B984" t="str">
        <f>IFERROR(__xludf.DUMMYFUNCTION("""COMPUTED_VALUE"""),"VerifyIncorrectQty")</f>
        <v>VerifyIncorrectQty</v>
      </c>
      <c r="C984" t="str">
        <f>IFERROR(__xludf.DUMMYFUNCTION("""COMPUTED_VALUE"""),"11EX1Ln-BQAtx9NTd9zfcaia52FGNdZENDW2kwMCJ21HQ")</f>
        <v>11EX1Ln-BQAtx9NTd9zfcaia52FGNdZENDW2kwMCJ21HQ</v>
      </c>
    </row>
    <row r="985" ht="15.75" customHeight="1">
      <c r="A985" t="str">
        <f>IFERROR(__xludf.DUMMYFUNCTION("""COMPUTED_VALUE"""),"Closing")</f>
        <v>Closing</v>
      </c>
      <c r="B985" t="str">
        <f>IFERROR(__xludf.DUMMYFUNCTION("""COMPUTED_VALUE"""),"VerifyOpenTrades")</f>
        <v>VerifyOpenTrades</v>
      </c>
      <c r="C985" t="str">
        <f>IFERROR(__xludf.DUMMYFUNCTION("""COMPUTED_VALUE"""),"11EX1Ln-BQAtx9NTd9zfcaia52FGNdZENDW2kwMCJ20HQ")</f>
        <v>11EX1Ln-BQAtx9NTd9zfcaia52FGNdZENDW2kwMCJ20HQ</v>
      </c>
    </row>
    <row r="986" ht="15.75" customHeight="1">
      <c r="A986" t="str">
        <f>IFERROR(__xludf.DUMMYFUNCTION("""COMPUTED_VALUE"""),"CreateTransaction")</f>
        <v>CreateTransaction</v>
      </c>
      <c r="B986" t="str">
        <f>IFERROR(__xludf.DUMMYFUNCTION("""COMPUTED_VALUE"""),"EditCTGrid")</f>
        <v>EditCTGrid</v>
      </c>
      <c r="C986" t="str">
        <f>IFERROR(__xludf.DUMMYFUNCTION("""COMPUTED_VALUE"""),"11EX1Ln-BQAtx9NTd9zfcaia52FGNdZENDW2kwMCJ20HQ")</f>
        <v>11EX1Ln-BQAtx9NTd9zfcaia52FGNdZENDW2kwMCJ20HQ</v>
      </c>
    </row>
    <row r="987" ht="15.75" customHeight="1">
      <c r="A987" t="str">
        <f>IFERROR(__xludf.DUMMYFUNCTION("""COMPUTED_VALUE"""),"CreateTransaction")</f>
        <v>CreateTransaction</v>
      </c>
      <c r="B987" t="str">
        <f>IFERROR(__xludf.DUMMYFUNCTION("""COMPUTED_VALUE"""),"ActionOnCT")</f>
        <v>ActionOnCT</v>
      </c>
      <c r="C987" t="str">
        <f>IFERROR(__xludf.DUMMYFUNCTION("""COMPUTED_VALUE"""),"11EX1Ln-BQAtx9NTd9zfcaia52FGNdZENDW2kwMCJ20HQ")</f>
        <v>11EX1Ln-BQAtx9NTd9zfcaia52FGNdZENDW2kwMCJ20HQ</v>
      </c>
    </row>
    <row r="988" ht="15.75" customHeight="1">
      <c r="A988" t="str">
        <f>IFERROR(__xludf.DUMMYFUNCTION("""COMPUTED_VALUE"""),"Unknown")</f>
        <v>Unknown</v>
      </c>
      <c r="B988" t="str">
        <f>IFERROR(__xludf.DUMMYFUNCTION("""COMPUTED_VALUE"""),"OpenColumnChooser")</f>
        <v>OpenColumnChooser</v>
      </c>
      <c r="C988" t="str">
        <f>IFERROR(__xludf.DUMMYFUNCTION("""COMPUTED_VALUE"""),"11EX1Ln-BQAtx9NTd9zfcaia52FGNdZENDW2kwMCJ20HQ")</f>
        <v>11EX1Ln-BQAtx9NTd9zfcaia52FGNdZENDW2kwMCJ20HQ</v>
      </c>
    </row>
    <row r="989" ht="15.75" customHeight="1">
      <c r="A989" t="str">
        <f>IFERROR(__xludf.DUMMYFUNCTION("""COMPUTED_VALUE"""),"Closing")</f>
        <v>Closing</v>
      </c>
      <c r="B989" t="str">
        <f>IFERROR(__xludf.DUMMYFUNCTION("""COMPUTED_VALUE"""),"UnExpUnsettOperation")</f>
        <v>UnExpUnsettOperation</v>
      </c>
      <c r="C989" t="str">
        <f>IFERROR(__xludf.DUMMYFUNCTION("""COMPUTED_VALUE"""),"11EX1Ln-BQAtx9NTd9zfcaia52FGNdZENDW2kwMCJ20HQ")</f>
        <v>11EX1Ln-BQAtx9NTd9zfcaia52FGNdZENDW2kwMCJ20HQ</v>
      </c>
    </row>
    <row r="990" ht="15.75" customHeight="1">
      <c r="A990" t="str">
        <f>IFERROR(__xludf.DUMMYFUNCTION("""COMPUTED_VALUE"""),"NavLock")</f>
        <v>NavLock</v>
      </c>
      <c r="B990" t="str">
        <f>IFERROR(__xludf.DUMMYFUNCTION("""COMPUTED_VALUE"""),"ActiononNavLock")</f>
        <v>ActiononNavLock</v>
      </c>
      <c r="C990" t="str">
        <f>IFERROR(__xludf.DUMMYFUNCTION("""COMPUTED_VALUE"""),"11EX1Ln-BQAtx9NTd9zfcaia52FGNdZENDW2kwMCJ20HQ")</f>
        <v>11EX1Ln-BQAtx9NTd9zfcaia52FGNdZENDW2kwMCJ20HQ</v>
      </c>
    </row>
    <row r="991" ht="15.75" customHeight="1">
      <c r="A991" t="str">
        <f>IFERROR(__xludf.DUMMYFUNCTION("""COMPUTED_VALUE"""),"Allocation")</f>
        <v>Allocation</v>
      </c>
      <c r="B991" t="str">
        <f>IFERROR(__xludf.DUMMYFUNCTION("""COMPUTED_VALUE"""),"ActiononFixPref")</f>
        <v>ActiononFixPref</v>
      </c>
      <c r="C991" t="str">
        <f>IFERROR(__xludf.DUMMYFUNCTION("""COMPUTED_VALUE"""),"11EX1Ln-BQAtx9NTd9zfcaia52FGNdZENDW2kwMCJ20HQ")</f>
        <v>11EX1Ln-BQAtx9NTd9zfcaia52FGNdZENDW2kwMCJ20HQ</v>
      </c>
    </row>
    <row r="992" ht="15.75" customHeight="1">
      <c r="A992" t="str">
        <f>IFERROR(__xludf.DUMMYFUNCTION("""COMPUTED_VALUE"""),"Blotter")</f>
        <v>Blotter</v>
      </c>
      <c r="B992" t="str">
        <f>IFERROR(__xludf.DUMMYFUNCTION("""COMPUTED_VALUE"""),"SelectWorkSubsOnBlotter")</f>
        <v>SelectWorkSubsOnBlotter</v>
      </c>
      <c r="C992" t="str">
        <f>IFERROR(__xludf.DUMMYFUNCTION("""COMPUTED_VALUE"""),"11EX1Ln-BQAtx9NTd9zfcaia52FGNdZENDW2kwMCJ20HQ")</f>
        <v>11EX1Ln-BQAtx9NTd9zfcaia52FGNdZENDW2kwMCJ20HQ</v>
      </c>
    </row>
    <row r="993" ht="15.75" customHeight="1">
      <c r="A993" t="str">
        <f>IFERROR(__xludf.DUMMYFUNCTION("""COMPUTED_VALUE"""),"Closing")</f>
        <v>Closing</v>
      </c>
      <c r="B993" t="str">
        <f>IFERROR(__xludf.DUMMYFUNCTION("""COMPUTED_VALUE"""),"VerifyAccountUnexpired")</f>
        <v>VerifyAccountUnexpired</v>
      </c>
      <c r="C993" t="str">
        <f>IFERROR(__xludf.DUMMYFUNCTION("""COMPUTED_VALUE"""),"11EX1Ln-BQAtx9NTd9zfcaia52FGNdZENDW2kwMCJ20HQ")</f>
        <v>11EX1Ln-BQAtx9NTd9zfcaia52FGNdZENDW2kwMCJ20HQ</v>
      </c>
    </row>
    <row r="994" ht="15.75" customHeight="1">
      <c r="A994" t="str">
        <f>IFERROR(__xludf.DUMMYFUNCTION("""COMPUTED_VALUE"""),"PortfolioManagement")</f>
        <v>PortfolioManagement</v>
      </c>
      <c r="B994" t="str">
        <f>IFERROR(__xludf.DUMMYFUNCTION("""COMPUTED_VALUE"""),"ToolBarActiononPM")</f>
        <v>ToolBarActiononPM</v>
      </c>
      <c r="C994" t="str">
        <f>IFERROR(__xludf.DUMMYFUNCTION("""COMPUTED_VALUE"""),"11EX1Ln-BQAtx9NTd9zfcaia52FGNdZENDW2kwMCJ20HQ")</f>
        <v>11EX1Ln-BQAtx9NTd9zfcaia52FGNdZENDW2kwMCJ20HQ</v>
      </c>
    </row>
    <row r="995" ht="15.75" customHeight="1">
      <c r="A995" t="str">
        <f>IFERROR(__xludf.DUMMYFUNCTION("""COMPUTED_VALUE"""),"Allocation")</f>
        <v>Allocation</v>
      </c>
      <c r="B995" t="str">
        <f>IFERROR(__xludf.DUMMYFUNCTION("""COMPUTED_VALUE"""),"EditAttRenaming")</f>
        <v>EditAttRenaming</v>
      </c>
      <c r="C995" t="str">
        <f>IFERROR(__xludf.DUMMYFUNCTION("""COMPUTED_VALUE"""),"14aTeLjmUbS-nhaQwjtZAMGxdQ5DS6UsBjE5OTWN-LQU")</f>
        <v>14aTeLjmUbS-nhaQwjtZAMGxdQ5DS6UsBjE5OTWN-LQU</v>
      </c>
    </row>
    <row r="996" ht="15.75" customHeight="1">
      <c r="A996" t="str">
        <f>IFERROR(__xludf.DUMMYFUNCTION("""COMPUTED_VALUE"""),"Unknown")</f>
        <v>Unknown</v>
      </c>
      <c r="B996" t="str">
        <f>IFERROR(__xludf.DUMMYFUNCTION("""COMPUTED_VALUE"""),"ActiononColumnChooser")</f>
        <v>ActiononColumnChooser</v>
      </c>
      <c r="C996" t="str">
        <f>IFERROR(__xludf.DUMMYFUNCTION("""COMPUTED_VALUE"""),"14aTeLjmUbS-nhaQwjtZAMGxdQ5DS6UsBjE5OTWN-LQU")</f>
        <v>14aTeLjmUbS-nhaQwjtZAMGxdQ5DS6UsBjE5OTWN-LQU</v>
      </c>
    </row>
    <row r="997" ht="15.75" customHeight="1">
      <c r="A997" t="str">
        <f>IFERROR(__xludf.DUMMYFUNCTION("""COMPUTED_VALUE"""),"Unknown")</f>
        <v>Unknown</v>
      </c>
      <c r="B997" t="str">
        <f>IFERROR(__xludf.DUMMYFUNCTION("""COMPUTED_VALUE"""),"VerifyColumnChooser")</f>
        <v>VerifyColumnChooser</v>
      </c>
      <c r="C997" t="str">
        <f>IFERROR(__xludf.DUMMYFUNCTION("""COMPUTED_VALUE"""),"14aTeLjmUbS-nhaQwjtZAMGxdQ5DS6UsBjE5OTWN-LQU")</f>
        <v>14aTeLjmUbS-nhaQwjtZAMGxdQ5DS6UsBjE5OTWN-LQU</v>
      </c>
    </row>
    <row r="998" ht="15.75" customHeight="1">
      <c r="A998" t="str">
        <f>IFERROR(__xludf.DUMMYFUNCTION("""COMPUTED_VALUE"""),"Unknown")</f>
        <v>Unknown</v>
      </c>
      <c r="B998" t="str">
        <f>IFERROR(__xludf.DUMMYFUNCTION("""COMPUTED_VALUE"""),"EditColumnChooser")</f>
        <v>EditColumnChooser</v>
      </c>
      <c r="C998" t="str">
        <f>IFERROR(__xludf.DUMMYFUNCTION("""COMPUTED_VALUE"""),"14aTeLjmUbS-nhaQwjtZAMGxdQ5DS6UsBjE5OTWN-LQU")</f>
        <v>14aTeLjmUbS-nhaQwjtZAMGxdQ5DS6UsBjE5OTWN-LQU</v>
      </c>
    </row>
    <row r="999" ht="15.75" customHeight="1">
      <c r="A999" t="str">
        <f>IFERROR(__xludf.DUMMYFUNCTION("""COMPUTED_VALUE"""),"Unknown")</f>
        <v>Unknown</v>
      </c>
      <c r="B999" t="str">
        <f>IFERROR(__xludf.DUMMYFUNCTION("""COMPUTED_VALUE"""),"OpenColumnChooser")</f>
        <v>OpenColumnChooser</v>
      </c>
      <c r="C999" t="str">
        <f>IFERROR(__xludf.DUMMYFUNCTION("""COMPUTED_VALUE"""),"14aTeLjmUbS-nhaQwjtZAMGxdQ5DS6UsBjE5OTWN-LQU")</f>
        <v>14aTeLjmUbS-nhaQwjtZAMGxdQ5DS6UsBjE5OTWN-LQU</v>
      </c>
    </row>
    <row r="1000" ht="15.75" customHeight="1">
      <c r="A1000" t="str">
        <f>IFERROR(__xludf.DUMMYFUNCTION("""COMPUTED_VALUE"""),"TradingTicket")</f>
        <v>TradingTicket</v>
      </c>
      <c r="B1000" t="str">
        <f>IFERROR(__xludf.DUMMYFUNCTION("""COMPUTED_VALUE"""),"UpdateTTCA")</f>
        <v>UpdateTTCA</v>
      </c>
      <c r="C1000" t="str">
        <f>IFERROR(__xludf.DUMMYFUNCTION("""COMPUTED_VALUE"""),"14aTeLjmUbS-nhaQwjtZAMGxdQ5DS6UsBjE5OTWN-LQU")</f>
        <v>14aTeLjmUbS-nhaQwjtZAMGxdQ5DS6UsBjE5OTWN-LQU</v>
      </c>
    </row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IFERROR(__xludf.DUMMYFUNCTION("""COMPUTED_VALUE"""),"Select Date")</f>
        <v>Select Date</v>
      </c>
      <c r="C5" s="27" t="str">
        <f>IFERROR(__xludf.DUMMYFUNCTION("""COMPUTED_VALUE"""),"Copy From")</f>
        <v>Copy From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1">
        <f>TODAY()-1</f>
        <v>45871</v>
      </c>
      <c r="C6" s="31">
        <f>TODAY()</f>
        <v>45872</v>
      </c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IFERROR(__xludf.DUMMYFUNCTION("IF(C3="""","""",Transpose(IMPORTRANGE('_Settings'!$B$3,C3&amp;""!A4:A1000"")))"),"UpdateBeta")</f>
        <v>UpdateBeta</v>
      </c>
      <c r="C4" s="24" t="str">
        <f>IFERROR(__xludf.DUMMYFUNCTION("""COMPUTED_VALUE"""),"UpdateDailyCash")</f>
        <v>UpdateDailyCash</v>
      </c>
      <c r="D4" s="24" t="str">
        <f>IFERROR(__xludf.DUMMYFUNCTION("""COMPUTED_VALUE"""),"UpdateMultipleDailyCash")</f>
        <v>UpdateMultipleDailyCash</v>
      </c>
      <c r="E4" s="24" t="str">
        <f>IFERROR(__xludf.DUMMYFUNCTION("""COMPUTED_VALUE"""),"UpdateForexConversion")</f>
        <v>UpdateForexConversion</v>
      </c>
      <c r="F4" s="24" t="str">
        <f>IFERROR(__xludf.DUMMYFUNCTION("""COMPUTED_VALUE"""),"UpdateMarkPrice")</f>
        <v>UpdateMarkPrice</v>
      </c>
      <c r="G4" s="24" t="str">
        <f>IFERROR(__xludf.DUMMYFUNCTION("""COMPUTED_VALUE"""),"CleanUp")</f>
        <v>CleanUp</v>
      </c>
      <c r="H4" s="24" t="str">
        <f>IFERROR(__xludf.DUMMYFUNCTION("""COMPUTED_VALUE"""),"GetMarkPriceData")</f>
        <v>GetMarkPriceData</v>
      </c>
      <c r="I4" s="24" t="str">
        <f>IFERROR(__xludf.DUMMYFUNCTION("""COMPUTED_VALUE"""),"GetForwardPoints")</f>
        <v>GetForwardPoints</v>
      </c>
      <c r="J4" s="24" t="str">
        <f>IFERROR(__xludf.DUMMYFUNCTION("""COMPUTED_VALUE"""),"UpdateForwardPoints")</f>
        <v>UpdateForwardPoints</v>
      </c>
      <c r="K4" s="24" t="str">
        <f>IFERROR(__xludf.DUMMYFUNCTION("""COMPUTED_VALUE"""),"GetForexConversion")</f>
        <v>GetForexConversion</v>
      </c>
      <c r="L4" s="24" t="str">
        <f>IFERROR(__xludf.DUMMYFUNCTION("""COMPUTED_VALUE"""),"DeleteNAV")</f>
        <v>DeleteNAV</v>
      </c>
      <c r="M4" s="24" t="str">
        <f>IFERROR(__xludf.DUMMYFUNCTION("""COMPUTED_VALUE"""),"GetDailyCash")</f>
        <v>GetDailyCash</v>
      </c>
      <c r="N4" s="24" t="str">
        <f>IFERROR(__xludf.DUMMYFUNCTION("""COMPUTED_VALUE"""),"GetDailyBeta")</f>
        <v>GetDailyBeta</v>
      </c>
      <c r="O4" s="24" t="str">
        <f>IFERROR(__xludf.DUMMYFUNCTION("""COMPUTED_VALUE"""),"GetDailyVolatility")</f>
        <v>GetDailyVolatility</v>
      </c>
      <c r="P4" s="25" t="str">
        <f>IFERROR(__xludf.DUMMYFUNCTION("""COMPUTED_VALUE"""),"GetDailyDividendYield")</f>
        <v>GetDailyDividendYield</v>
      </c>
      <c r="Q4" s="25" t="str">
        <f>IFERROR(__xludf.DUMMYFUNCTION("""COMPUTED_VALUE"""),"GetDailyTradingVolume")</f>
        <v>GetDailyTradingVolume</v>
      </c>
      <c r="R4" s="25" t="str">
        <f>IFERROR(__xludf.DUMMYFUNCTION("""COMPUTED_VALUE"""),"GetDailyOutstandings")</f>
        <v>GetDailyOutstandings</v>
      </c>
      <c r="S4" s="25" t="str">
        <f>IFERROR(__xludf.DUMMYFUNCTION("""COMPUTED_VALUE"""),"GetDailyDelta")</f>
        <v>GetDailyDelta</v>
      </c>
      <c r="T4" s="25" t="str">
        <f>IFERROR(__xludf.DUMMYFUNCTION("""COMPUTED_VALUE"""),"UpdateDailyVolatility")</f>
        <v>UpdateDailyVolatility</v>
      </c>
      <c r="U4" s="25" t="str">
        <f>IFERROR(__xludf.DUMMYFUNCTION("""COMPUTED_VALUE"""),"UpdateDividendYield")</f>
        <v>UpdateDividendYield</v>
      </c>
      <c r="V4" s="25" t="str">
        <f>IFERROR(__xludf.DUMMYFUNCTION("""COMPUTED_VALUE"""),"UpdateTradingVolume")</f>
        <v>UpdateTradingVolume</v>
      </c>
      <c r="W4" s="25" t="str">
        <f>IFERROR(__xludf.DUMMYFUNCTION("""COMPUTED_VALUE"""),"UpdateDailyDelta")</f>
        <v>UpdateDailyDelta</v>
      </c>
      <c r="X4" s="25" t="str">
        <f>IFERROR(__xludf.DUMMYFUNCTION("""COMPUTED_VALUE"""),"UpdateDailyOutstandings")</f>
        <v>UpdateDailyOutstandings</v>
      </c>
      <c r="Y4" s="25" t="str">
        <f>IFERROR(__xludf.DUMMYFUNCTION("""COMPUTED_VALUE"""),"UpdateBeta")</f>
        <v>UpdateBeta</v>
      </c>
      <c r="Z4" s="25" t="str">
        <f>IFERROR(__xludf.DUMMYFUNCTION("""COMPUTED_VALUE"""),"UpdateNAV")</f>
        <v>UpdateNAV</v>
      </c>
      <c r="AA4" s="25" t="str">
        <f>IFERROR(__xludf.DUMMYFUNCTION("""COMPUTED_VALUE"""),"UpdateDailyCash")</f>
        <v>UpdateDailyCash</v>
      </c>
      <c r="AB4" s="25" t="str">
        <f>IFERROR(__xludf.DUMMYFUNCTION("""COMPUTED_VALUE"""),"UpdateDailyCreditLimt")</f>
        <v>UpdateDailyCreditLimt</v>
      </c>
      <c r="AC4" s="25" t="str">
        <f>IFERROR(__xludf.DUMMYFUNCTION("""COMPUTED_VALUE"""),"RemoveDailyCreditLimit")</f>
        <v>RemoveDailyCreditLimit</v>
      </c>
      <c r="AD4" s="25" t="str">
        <f>IFERROR(__xludf.DUMMYFUNCTION("""COMPUTED_VALUE"""),"RemoveDailyCash")</f>
        <v>RemoveDailyCash</v>
      </c>
      <c r="AE4" s="25" t="str">
        <f>IFERROR(__xludf.DUMMYFUNCTION("""COMPUTED_VALUE"""),"RemoveNAV")</f>
        <v>RemoveNAV</v>
      </c>
      <c r="AF4" s="25" t="str">
        <f>IFERROR(__xludf.DUMMYFUNCTION("""COMPUTED_VALUE"""),"UpdateForexConversionMonthly")</f>
        <v>UpdateForexConversionMonthly</v>
      </c>
      <c r="AG4" s="25" t="str">
        <f>IFERROR(__xludf.DUMMYFUNCTION("""COMPUTED_VALUE"""),"UpdateMarkPriceMonthly")</f>
        <v>UpdateMarkPriceMonthly</v>
      </c>
      <c r="AH4" s="25" t="str">
        <f>IFERROR(__xludf.DUMMYFUNCTION("""COMPUTED_VALUE"""),"VerifyDailyCash")</f>
        <v>VerifyDailyCash</v>
      </c>
      <c r="AI4" s="25" t="str">
        <f>IFERROR(__xludf.DUMMYFUNCTION("""COMPUTED_VALUE"""),"EnableBlankMarkPrices")</f>
        <v>EnableBlankMarkPrices</v>
      </c>
      <c r="AJ4" s="25" t="str">
        <f>IFERROR(__xludf.DUMMYFUNCTION("""COMPUTED_VALUE"""),"UpateSymbolBlankMP")</f>
        <v>UpateSymbolBlankMP</v>
      </c>
      <c r="AK4" s="25" t="str">
        <f>IFERROR(__xludf.DUMMYFUNCTION("""COMPUTED_VALUE"""),"UpdateBlankMP")</f>
        <v>UpdateBlankMP</v>
      </c>
      <c r="AL4" s="25" t="str">
        <f>IFERROR(__xludf.DUMMYFUNCTION("""COMPUTED_VALUE"""),"FilterBlankMP")</f>
        <v>FilterBlankMP</v>
      </c>
      <c r="AM4" s="25" t="str">
        <f>IFERROR(__xludf.DUMMYFUNCTION("""COMPUTED_VALUE"""),"VerifyDVNavLockPopup")</f>
        <v>VerifyDVNavLockPopup</v>
      </c>
      <c r="AN4" s="25" t="str">
        <f>IFERROR(__xludf.DUMMYFUNCTION("""COMPUTED_VALUE"""),"SelectDateAtMPFC")</f>
        <v>SelectDateAtMPFC</v>
      </c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33"/>
      <c r="B5" s="34" t="s">
        <v>17</v>
      </c>
      <c r="C5" s="34" t="s">
        <v>18</v>
      </c>
      <c r="D5" s="34" t="s">
        <v>19</v>
      </c>
      <c r="E5" s="35"/>
      <c r="F5" s="36"/>
      <c r="G5" s="35"/>
      <c r="H5" s="35"/>
      <c r="I5" s="35"/>
      <c r="J5" s="35"/>
      <c r="K5" s="35"/>
      <c r="L5" s="35"/>
      <c r="M5" s="35"/>
      <c r="N5" s="35"/>
      <c r="O5" s="35"/>
      <c r="P5" s="35"/>
      <c r="Q5" s="35"/>
      <c r="R5" s="35"/>
      <c r="S5" s="35"/>
      <c r="T5" s="33"/>
      <c r="U5" s="33"/>
      <c r="V5" s="33"/>
      <c r="W5" s="33"/>
      <c r="X5" s="33"/>
      <c r="Y5" s="33"/>
      <c r="Z5" s="33"/>
      <c r="AA5" s="33"/>
      <c r="AB5" s="33"/>
      <c r="AC5" s="33"/>
      <c r="AD5" s="33"/>
      <c r="AE5" s="33"/>
      <c r="AF5" s="33"/>
      <c r="AG5" s="33"/>
      <c r="AH5" s="33"/>
      <c r="AI5" s="33"/>
      <c r="AJ5" s="33"/>
      <c r="AK5" s="33"/>
      <c r="AL5" s="33"/>
      <c r="AM5" s="33"/>
      <c r="AN5" s="33"/>
      <c r="AO5" s="33"/>
      <c r="AP5" s="33"/>
      <c r="AQ5" s="33"/>
      <c r="AR5" s="33"/>
      <c r="AS5" s="33"/>
      <c r="AT5" s="33"/>
      <c r="AU5" s="33"/>
      <c r="AV5" s="33"/>
      <c r="AW5" s="33"/>
      <c r="AX5" s="33"/>
      <c r="AY5" s="33"/>
      <c r="AZ5" s="33"/>
      <c r="BA5" s="33"/>
      <c r="BB5" s="33"/>
      <c r="BC5" s="33"/>
      <c r="BD5" s="33"/>
      <c r="BE5" s="33"/>
      <c r="BF5" s="33"/>
      <c r="BG5" s="33"/>
      <c r="BH5" s="33"/>
      <c r="BI5" s="33"/>
      <c r="BJ5" s="33"/>
      <c r="BK5" s="33"/>
      <c r="BL5" s="33"/>
      <c r="BM5" s="33"/>
      <c r="BN5" s="33"/>
      <c r="BO5" s="33"/>
      <c r="BP5" s="33"/>
      <c r="BQ5" s="33"/>
      <c r="BR5" s="33"/>
      <c r="BS5" s="33"/>
      <c r="BT5" s="33"/>
      <c r="BU5" s="33"/>
      <c r="BV5" s="33"/>
      <c r="BW5" s="33"/>
      <c r="BX5" s="33"/>
      <c r="BY5" s="33"/>
      <c r="BZ5" s="33"/>
      <c r="CA5" s="33"/>
      <c r="CB5" s="33"/>
      <c r="CC5" s="33"/>
      <c r="CD5" s="33"/>
      <c r="CE5" s="33"/>
      <c r="CF5" s="33"/>
      <c r="CG5" s="33"/>
      <c r="CH5" s="33"/>
      <c r="CI5" s="33"/>
      <c r="CJ5" s="33"/>
      <c r="CK5" s="33"/>
      <c r="CL5" s="33"/>
      <c r="CM5" s="33"/>
      <c r="CN5" s="33"/>
      <c r="CO5" s="33"/>
      <c r="CP5" s="33"/>
      <c r="CQ5" s="33"/>
      <c r="CR5" s="33"/>
      <c r="CS5" s="33"/>
      <c r="CT5" s="33"/>
      <c r="CU5" s="33"/>
      <c r="CV5" s="33"/>
      <c r="CW5" s="33"/>
      <c r="CX5" s="33"/>
      <c r="CY5" s="33"/>
      <c r="CZ5" s="33"/>
      <c r="DA5" s="33"/>
      <c r="DB5" s="33"/>
      <c r="DC5" s="33"/>
      <c r="DD5" s="33"/>
      <c r="DE5" s="33"/>
      <c r="DF5" s="33"/>
      <c r="DG5" s="33"/>
      <c r="DH5" s="33"/>
      <c r="DI5" s="33"/>
      <c r="DJ5" s="33"/>
      <c r="DK5" s="33"/>
      <c r="DL5" s="33"/>
      <c r="DM5" s="33"/>
      <c r="DN5" s="33"/>
      <c r="DO5" s="33"/>
      <c r="DP5" s="33"/>
      <c r="DQ5" s="33"/>
      <c r="DR5" s="33"/>
      <c r="DS5" s="33"/>
      <c r="DT5" s="33"/>
      <c r="DU5" s="33"/>
      <c r="DV5" s="33"/>
      <c r="DW5" s="33"/>
      <c r="DX5" s="33"/>
      <c r="DY5" s="33"/>
      <c r="DZ5" s="33"/>
      <c r="EA5" s="33"/>
      <c r="EB5" s="33"/>
      <c r="EC5" s="33"/>
      <c r="ED5" s="33"/>
      <c r="EE5" s="33"/>
      <c r="EF5" s="33"/>
      <c r="EG5" s="33"/>
      <c r="EH5" s="33"/>
      <c r="EI5" s="33"/>
      <c r="EJ5" s="33"/>
      <c r="EK5" s="33"/>
      <c r="EL5" s="33"/>
      <c r="EM5" s="33"/>
      <c r="EN5" s="33"/>
      <c r="EO5" s="33"/>
      <c r="EP5" s="33"/>
      <c r="EQ5" s="33"/>
      <c r="ER5" s="33"/>
      <c r="ES5" s="33"/>
      <c r="ET5" s="33"/>
      <c r="EU5" s="33"/>
      <c r="EV5" s="33"/>
      <c r="EW5" s="33"/>
      <c r="EX5" s="33"/>
    </row>
    <row r="6" ht="15.75" customHeight="1">
      <c r="A6" s="30"/>
      <c r="B6" s="30" t="s">
        <v>20</v>
      </c>
      <c r="C6" s="32" t="s">
        <v>21</v>
      </c>
      <c r="D6" s="37">
        <v>10000.0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22</v>
      </c>
      <c r="C7" s="32" t="s">
        <v>21</v>
      </c>
      <c r="D7" s="38">
        <v>15000.0</v>
      </c>
      <c r="E7" s="32"/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32" t="s">
        <v>23</v>
      </c>
      <c r="C8" s="32" t="s">
        <v>21</v>
      </c>
      <c r="D8" s="38">
        <v>8000.0</v>
      </c>
      <c r="E8" s="32"/>
      <c r="F8" s="32"/>
      <c r="G8" s="32"/>
      <c r="H8" s="32"/>
      <c r="I8" s="32"/>
      <c r="J8" s="32"/>
      <c r="K8" s="32"/>
      <c r="L8" s="32"/>
      <c r="M8" s="32"/>
      <c r="N8" s="32"/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32" t="s">
        <v>24</v>
      </c>
      <c r="C9" s="32" t="s">
        <v>21</v>
      </c>
      <c r="D9" s="38">
        <v>12000.0</v>
      </c>
      <c r="E9" s="32"/>
      <c r="F9" s="32"/>
      <c r="G9" s="32"/>
      <c r="H9" s="32"/>
      <c r="I9" s="32"/>
      <c r="J9" s="32"/>
      <c r="K9" s="32"/>
      <c r="L9" s="32"/>
      <c r="M9" s="32"/>
      <c r="N9" s="32"/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UpdateMultipleDailyCash!$4:$4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IFERROR(__xludf.DUMMYFUNCTION("""COMPUTED_VALUE"""),"ValidateCheckSide")</f>
        <v>ValidateCheckSide</v>
      </c>
      <c r="C5" s="27" t="str">
        <f>IFERROR(__xludf.DUMMYFUNCTION("""COMPUTED_VALUE"""),"DisabledChecksideAssets")</f>
        <v>DisabledChecksideAssets</v>
      </c>
      <c r="D5" s="27" t="str">
        <f>IFERROR(__xludf.DUMMYFUNCTION("""COMPUTED_VALUE"""),"PrecisionValue")</f>
        <v>PrecisionValue</v>
      </c>
      <c r="E5" s="27" t="str">
        <f>IFERROR(__xludf.DUMMYFUNCTION("""COMPUTED_VALUE"""),"UseCommissionInNetAmount")</f>
        <v>UseCommissionInNetAmount</v>
      </c>
      <c r="F5" s="28" t="str">
        <f>IFERROR(__xludf.DUMMYFUNCTION("""COMPUTED_VALUE"""),"SaveWithoutState")</f>
        <v>SaveWithoutState</v>
      </c>
      <c r="G5" s="27" t="str">
        <f>IFERROR(__xludf.DUMMYFUNCTION("""COMPUTED_VALUE"""),"SaveWithState")</f>
        <v>SaveWithState</v>
      </c>
      <c r="H5" s="27" t="str">
        <f>IFERROR(__xludf.DUMMYFUNCTION("""COMPUTED_VALUE"""),"ClearQuantities")</f>
        <v>ClearQuantities</v>
      </c>
      <c r="I5" s="27" t="str">
        <f>IFERROR(__xludf.DUMMYFUNCTION("""COMPUTED_VALUE"""),"ReapplyAllocation")</f>
        <v>ReapplyAllocation</v>
      </c>
      <c r="J5" s="27" t="str">
        <f>IFERROR(__xludf.DUMMYFUNCTION("""COMPUTED_VALUE"""),"DefaultAllocation")</f>
        <v>DefaultAllocation</v>
      </c>
      <c r="K5" s="27" t="str">
        <f>IFERROR(__xludf.DUMMYFUNCTION("""COMPUTED_VALUE"""),"IsCustomPreference")</f>
        <v>IsCustomPreference</v>
      </c>
      <c r="L5" s="27" t="str">
        <f>IFERROR(__xludf.DUMMYFUNCTION("""COMPUTED_VALUE"""),"AllocationMethod")</f>
        <v>AllocationMethod</v>
      </c>
      <c r="M5" s="27" t="str">
        <f>IFERROR(__xludf.DUMMYFUNCTION("""COMPUTED_VALUE"""),"RemainderAllocationTo")</f>
        <v>RemainderAllocationTo</v>
      </c>
      <c r="N5" s="27" t="str">
        <f>IFERROR(__xludf.DUMMYFUNCTION("""COMPUTED_VALUE"""),"Target%AsOf")</f>
        <v>Target%AsOf</v>
      </c>
      <c r="O5" s="27" t="str">
        <f>IFERROR(__xludf.DUMMYFUNCTION("""COMPUTED_VALUE"""),"ProrataAccounts")</f>
        <v>ProrataAccounts</v>
      </c>
      <c r="P5" s="27" t="str">
        <f>IFERROR(__xludf.DUMMYFUNCTION("""COMPUTED_VALUE"""),"DateUptoDays")</f>
        <v>DateUptoDays</v>
      </c>
      <c r="Q5" s="27" t="str">
        <f>IFERROR(__xludf.DUMMYFUNCTION("""COMPUTED_VALUE"""),"MatchClosing")</f>
        <v>MatchClosing</v>
      </c>
      <c r="R5" s="27" t="str">
        <f>IFERROR(__xludf.DUMMYFUNCTION("""COMPUTED_VALUE"""),"CommissionAlertOnBrokerChange")</f>
        <v>CommissionAlertOnBrokerChange</v>
      </c>
      <c r="S5" s="27" t="str">
        <f>IFERROR(__xludf.DUMMYFUNCTION("""COMPUTED_VALUE"""),"RecalculateCommissionOnBrokerChange")</f>
        <v>RecalculateCommissionOnBrokerChange</v>
      </c>
      <c r="T5" s="29" t="str">
        <f>IFERROR(__xludf.DUMMYFUNCTION("""COMPUTED_VALUE"""),"CommissionAlertOnAllocation")</f>
        <v>CommissionAlertOnAllocation</v>
      </c>
      <c r="U5" s="29" t="str">
        <f>IFERROR(__xludf.DUMMYFUNCTION("""COMPUTED_VALUE"""),"RecalculateCommissionOnAllocation")</f>
        <v>RecalculateCommissionOnAllocation</v>
      </c>
      <c r="V5" s="29" t="str">
        <f>IFERROR(__xludf.DUMMYFUNCTION("""COMPUTED_VALUE"""),"EnableMasterFund")</f>
        <v>EnableMasterFund</v>
      </c>
      <c r="W5" s="29" t="str">
        <f>IFERROR(__xludf.DUMMYFUNCTION("""COMPUTED_VALUE"""),"1MasterFund/1Symbol")</f>
        <v>1MasterFund/1Symbol</v>
      </c>
      <c r="X5" s="29" t="str">
        <f>IFERROR(__xludf.DUMMYFUNCTION("""COMPUTED_VALUE"""),"ProrataSchemeName")</f>
        <v>ProrataSchemeName</v>
      </c>
      <c r="Y5" s="29" t="str">
        <f>IFERROR(__xludf.DUMMYFUNCTION("""COMPUTED_VALUE"""),"ProrataAllocationSchemeBasis")</f>
        <v>ProrataAllocationSchemeBasis</v>
      </c>
      <c r="Z5" s="29" t="str">
        <f>IFERROR(__xludf.DUMMYFUNCTION("""COMPUTED_VALUE"""),"ShowAdvancedProrataUI")</f>
        <v>ShowAdvancedProrataUI</v>
      </c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9" t="b">
        <v>1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40" t="b">
        <v>1</v>
      </c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SetGeneralPreferences!$4:$4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/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2"/>
      <c r="D6" s="30"/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AddMFPreferences!$4:$4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29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IFERROR(__xludf.DUMMYFUNCTION("""COMPUTED_VALUE"""),"RemainderAllocationTo")</f>
        <v>RemainderAllocationTo</v>
      </c>
      <c r="C5" s="27" t="str">
        <f>IFERROR(__xludf.DUMMYFUNCTION("""COMPUTED_VALUE"""),"Target%AsOf")</f>
        <v>Target%AsOf</v>
      </c>
      <c r="D5" s="27" t="str">
        <f>IFERROR(__xludf.DUMMYFUNCTION("""COMPUTED_VALUE"""),"ProrataAccounts")</f>
        <v>ProrataAccounts</v>
      </c>
      <c r="E5" s="27" t="str">
        <f>IFERROR(__xludf.DUMMYFUNCTION("""COMPUTED_VALUE"""),"DateUptoDays")</f>
        <v>DateUptoDays</v>
      </c>
      <c r="F5" s="28" t="str">
        <f>IFERROR(__xludf.DUMMYFUNCTION("""COMPUTED_VALUE"""),"PreferenceName")</f>
        <v>PreferenceName</v>
      </c>
      <c r="G5" s="27" t="str">
        <f>IFERROR(__xludf.DUMMYFUNCTION("""COMPUTED_VALUE"""),"MatchClosingTransaction")</f>
        <v>MatchClosingTransaction</v>
      </c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/>
      <c r="C6" s="32" t="s">
        <v>30</v>
      </c>
      <c r="D6" s="41" t="s">
        <v>31</v>
      </c>
      <c r="E6" s="32"/>
      <c r="F6" s="32" t="s">
        <v>28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SetMFPreferencesDefaultRule!$4:$4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2" t="s">
        <v>33</v>
      </c>
      <c r="D6" s="30" t="s">
        <v>20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28</v>
      </c>
      <c r="C7" s="32" t="s">
        <v>33</v>
      </c>
      <c r="D7" s="32" t="s">
        <v>22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2"/>
      <c r="D6" s="42" t="s">
        <v>35</v>
      </c>
      <c r="E6" s="32"/>
      <c r="F6" s="43" t="s">
        <v>36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SetMFPrefFundDefaultRule!$4:$4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IFERROR(__xludf.DUMMYFUNCTION("""COMPUTED_VALUE"""),"AccountName")</f>
        <v>AccountName</v>
      </c>
      <c r="E5" s="27" t="str">
        <f>IFERROR(__xludf.DUMMYFUNCTION("""COMPUTED_VALUE"""),"Percentage")</f>
        <v>Percentage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2" t="s">
        <v>37</v>
      </c>
      <c r="D6" s="30" t="s">
        <v>23</v>
      </c>
      <c r="E6" s="38">
        <v>50.0</v>
      </c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32" t="s">
        <v>28</v>
      </c>
      <c r="C7" s="32" t="s">
        <v>37</v>
      </c>
      <c r="D7" s="32" t="s">
        <v>24</v>
      </c>
      <c r="E7" s="38">
        <v>50.0</v>
      </c>
      <c r="F7" s="32"/>
      <c r="G7" s="32"/>
      <c r="H7" s="32"/>
      <c r="I7" s="32"/>
      <c r="J7" s="32"/>
      <c r="K7" s="32"/>
      <c r="L7" s="32"/>
      <c r="M7" s="32"/>
      <c r="N7" s="32"/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SetMFPrefAccountValues1!$4:$4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34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IFERROR(__xludf.DUMMYFUNCTION("""COMPUTED_VALUE"""),"PreferenceName")</f>
        <v>PreferenceName</v>
      </c>
      <c r="C5" s="27" t="str">
        <f>IFERROR(__xludf.DUMMYFUNCTION("""COMPUTED_VALUE"""),"MasterFund")</f>
        <v>MasterFund</v>
      </c>
      <c r="D5" s="27" t="str">
        <f>IFERROR(__xludf.DUMMYFUNCTION("""COMPUTED_VALUE"""),"AllocationMethod")</f>
        <v>AllocationMethod</v>
      </c>
      <c r="E5" s="27" t="str">
        <f>IFERROR(__xludf.DUMMYFUNCTION("""COMPUTED_VALUE"""),"RemainderAllocationTo")</f>
        <v>RemainderAllocationTo</v>
      </c>
      <c r="F5" s="28" t="str">
        <f>IFERROR(__xludf.DUMMYFUNCTION("""COMPUTED_VALUE"""),"Target%AsOf")</f>
        <v>Target%AsOf</v>
      </c>
      <c r="G5" s="27" t="str">
        <f>IFERROR(__xludf.DUMMYFUNCTION("""COMPUTED_VALUE"""),"ProrataAccounts")</f>
        <v>ProrataAccounts</v>
      </c>
      <c r="H5" s="27" t="str">
        <f>IFERROR(__xludf.DUMMYFUNCTION("""COMPUTED_VALUE"""),"DateUptoDays")</f>
        <v>DateUptoDays</v>
      </c>
      <c r="I5" s="27" t="str">
        <f>IFERROR(__xludf.DUMMYFUNCTION("""COMPUTED_VALUE"""),"MatchClosingTransactions")</f>
        <v>MatchClosingTransactions</v>
      </c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28</v>
      </c>
      <c r="C6" s="32"/>
      <c r="D6" s="42" t="s">
        <v>35</v>
      </c>
      <c r="E6" s="32"/>
      <c r="F6" s="43" t="s">
        <v>36</v>
      </c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SetMFPrefFundDefaultRule1!$4:$4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40</v>
      </c>
      <c r="C6" s="32" t="s">
        <v>41</v>
      </c>
      <c r="D6" s="37">
        <v>400.0</v>
      </c>
      <c r="E6" s="32"/>
      <c r="F6" s="32" t="s">
        <v>20</v>
      </c>
      <c r="G6" s="32"/>
      <c r="H6" s="32"/>
      <c r="I6" s="32"/>
      <c r="J6" s="38">
        <v>1.0</v>
      </c>
      <c r="K6" s="32"/>
      <c r="L6" s="32"/>
      <c r="M6" s="32"/>
      <c r="N6" s="31">
        <f t="shared" ref="N6:N9" si="1">TODAY()-1</f>
        <v>45871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32"/>
      <c r="B7" s="42" t="s">
        <v>40</v>
      </c>
      <c r="C7" s="32" t="s">
        <v>41</v>
      </c>
      <c r="D7" s="38">
        <v>800.0</v>
      </c>
      <c r="E7" s="32"/>
      <c r="F7" s="32" t="s">
        <v>22</v>
      </c>
      <c r="G7" s="32"/>
      <c r="H7" s="32"/>
      <c r="I7" s="32"/>
      <c r="J7" s="38">
        <v>1.0</v>
      </c>
      <c r="K7" s="32"/>
      <c r="L7" s="32"/>
      <c r="M7" s="32"/>
      <c r="N7" s="31">
        <f t="shared" si="1"/>
        <v>45871</v>
      </c>
      <c r="O7" s="32"/>
      <c r="P7" s="32"/>
      <c r="Q7" s="32"/>
      <c r="R7" s="32"/>
      <c r="S7" s="32"/>
      <c r="T7" s="32"/>
      <c r="U7" s="32"/>
      <c r="V7" s="32"/>
      <c r="W7" s="32"/>
      <c r="X7" s="32"/>
      <c r="Y7" s="32"/>
      <c r="Z7" s="32"/>
      <c r="AA7" s="32"/>
      <c r="AB7" s="32"/>
      <c r="AC7" s="32"/>
      <c r="AD7" s="32"/>
      <c r="AE7" s="32"/>
      <c r="AF7" s="32"/>
      <c r="AG7" s="32"/>
      <c r="AH7" s="32"/>
      <c r="AI7" s="32"/>
      <c r="AJ7" s="32"/>
      <c r="AK7" s="32"/>
      <c r="AL7" s="32"/>
      <c r="AM7" s="32"/>
      <c r="AN7" s="32"/>
      <c r="AO7" s="32"/>
      <c r="AP7" s="32"/>
      <c r="AQ7" s="32"/>
      <c r="AR7" s="32"/>
      <c r="AS7" s="32"/>
      <c r="AT7" s="32"/>
      <c r="AU7" s="32"/>
      <c r="AV7" s="32"/>
      <c r="AW7" s="32"/>
      <c r="AX7" s="32"/>
      <c r="AY7" s="32"/>
      <c r="AZ7" s="32"/>
      <c r="BA7" s="32"/>
      <c r="BB7" s="32"/>
      <c r="BC7" s="32"/>
      <c r="BD7" s="32"/>
      <c r="BE7" s="32"/>
      <c r="BF7" s="32"/>
      <c r="BG7" s="32"/>
      <c r="BH7" s="32"/>
      <c r="BI7" s="32"/>
      <c r="BJ7" s="32"/>
      <c r="BK7" s="32"/>
      <c r="BL7" s="32"/>
      <c r="BM7" s="32"/>
      <c r="BN7" s="32"/>
      <c r="BO7" s="32"/>
      <c r="BP7" s="32"/>
      <c r="BQ7" s="32"/>
      <c r="BR7" s="32"/>
      <c r="BS7" s="32"/>
      <c r="BT7" s="32"/>
      <c r="BU7" s="32"/>
      <c r="BV7" s="32"/>
      <c r="BW7" s="32"/>
      <c r="BX7" s="32"/>
      <c r="BY7" s="32"/>
      <c r="BZ7" s="32"/>
      <c r="CA7" s="32"/>
      <c r="CB7" s="32"/>
      <c r="CC7" s="32"/>
      <c r="CD7" s="32"/>
      <c r="CE7" s="32"/>
      <c r="CF7" s="32"/>
      <c r="CG7" s="32"/>
      <c r="CH7" s="32"/>
      <c r="CI7" s="32"/>
      <c r="CJ7" s="32"/>
      <c r="CK7" s="32"/>
      <c r="CL7" s="32"/>
      <c r="CM7" s="32"/>
      <c r="CN7" s="32"/>
      <c r="CO7" s="32"/>
      <c r="CP7" s="32"/>
      <c r="CQ7" s="32"/>
      <c r="CR7" s="32"/>
      <c r="CS7" s="32"/>
      <c r="CT7" s="32"/>
      <c r="CU7" s="32"/>
      <c r="CV7" s="32"/>
      <c r="CW7" s="32"/>
      <c r="CX7" s="32"/>
      <c r="CY7" s="32"/>
      <c r="CZ7" s="32"/>
      <c r="DA7" s="32"/>
      <c r="DB7" s="32"/>
      <c r="DC7" s="32"/>
      <c r="DD7" s="32"/>
      <c r="DE7" s="32"/>
      <c r="DF7" s="32"/>
      <c r="DG7" s="32"/>
      <c r="DH7" s="32"/>
      <c r="DI7" s="32"/>
      <c r="DJ7" s="32"/>
      <c r="DK7" s="32"/>
      <c r="DL7" s="32"/>
      <c r="DM7" s="32"/>
      <c r="DN7" s="32"/>
      <c r="DO7" s="32"/>
      <c r="DP7" s="32"/>
      <c r="DQ7" s="32"/>
      <c r="DR7" s="32"/>
      <c r="DS7" s="32"/>
      <c r="DT7" s="32"/>
      <c r="DU7" s="32"/>
      <c r="DV7" s="32"/>
      <c r="DW7" s="32"/>
      <c r="DX7" s="32"/>
      <c r="DY7" s="32"/>
      <c r="DZ7" s="32"/>
      <c r="EA7" s="32"/>
      <c r="EB7" s="32"/>
      <c r="EC7" s="32"/>
      <c r="ED7" s="32"/>
      <c r="EE7" s="32"/>
      <c r="EF7" s="32"/>
      <c r="EG7" s="32"/>
      <c r="EH7" s="32"/>
      <c r="EI7" s="32"/>
      <c r="EJ7" s="32"/>
      <c r="EK7" s="32"/>
      <c r="EL7" s="32"/>
      <c r="EM7" s="32"/>
      <c r="EN7" s="32"/>
      <c r="EO7" s="32"/>
      <c r="EP7" s="32"/>
      <c r="EQ7" s="32"/>
      <c r="ER7" s="32"/>
      <c r="ES7" s="32"/>
      <c r="ET7" s="32"/>
      <c r="EU7" s="32"/>
      <c r="EV7" s="32"/>
      <c r="EW7" s="32"/>
      <c r="EX7" s="32"/>
    </row>
    <row r="8" ht="15.75" customHeight="1">
      <c r="A8" s="32"/>
      <c r="B8" s="42" t="s">
        <v>40</v>
      </c>
      <c r="C8" s="32" t="s">
        <v>41</v>
      </c>
      <c r="D8" s="38">
        <v>600.0</v>
      </c>
      <c r="E8" s="32"/>
      <c r="F8" s="32" t="s">
        <v>23</v>
      </c>
      <c r="G8" s="32"/>
      <c r="H8" s="32"/>
      <c r="I8" s="32"/>
      <c r="J8" s="38">
        <v>1.0</v>
      </c>
      <c r="K8" s="32"/>
      <c r="L8" s="32"/>
      <c r="M8" s="32"/>
      <c r="N8" s="31">
        <f t="shared" si="1"/>
        <v>45871</v>
      </c>
      <c r="O8" s="32"/>
      <c r="P8" s="32"/>
      <c r="Q8" s="32"/>
      <c r="R8" s="32"/>
      <c r="S8" s="32"/>
      <c r="T8" s="32"/>
      <c r="U8" s="32"/>
      <c r="V8" s="32"/>
      <c r="W8" s="32"/>
      <c r="X8" s="32"/>
      <c r="Y8" s="32"/>
      <c r="Z8" s="32"/>
      <c r="AA8" s="32"/>
      <c r="AB8" s="32"/>
      <c r="AC8" s="32"/>
      <c r="AD8" s="32"/>
      <c r="AE8" s="32"/>
      <c r="AF8" s="32"/>
      <c r="AG8" s="32"/>
      <c r="AH8" s="32"/>
      <c r="AI8" s="32"/>
      <c r="AJ8" s="32"/>
      <c r="AK8" s="32"/>
      <c r="AL8" s="32"/>
      <c r="AM8" s="32"/>
      <c r="AN8" s="32"/>
      <c r="AO8" s="32"/>
      <c r="AP8" s="32"/>
      <c r="AQ8" s="32"/>
      <c r="AR8" s="32"/>
      <c r="AS8" s="32"/>
      <c r="AT8" s="32"/>
      <c r="AU8" s="32"/>
      <c r="AV8" s="32"/>
      <c r="AW8" s="32"/>
      <c r="AX8" s="32"/>
      <c r="AY8" s="32"/>
      <c r="AZ8" s="32"/>
      <c r="BA8" s="32"/>
      <c r="BB8" s="32"/>
      <c r="BC8" s="32"/>
      <c r="BD8" s="32"/>
      <c r="BE8" s="32"/>
      <c r="BF8" s="32"/>
      <c r="BG8" s="32"/>
      <c r="BH8" s="32"/>
      <c r="BI8" s="32"/>
      <c r="BJ8" s="32"/>
      <c r="BK8" s="32"/>
      <c r="BL8" s="32"/>
      <c r="BM8" s="32"/>
      <c r="BN8" s="32"/>
      <c r="BO8" s="32"/>
      <c r="BP8" s="32"/>
      <c r="BQ8" s="32"/>
      <c r="BR8" s="32"/>
      <c r="BS8" s="32"/>
      <c r="BT8" s="32"/>
      <c r="BU8" s="32"/>
      <c r="BV8" s="32"/>
      <c r="BW8" s="32"/>
      <c r="BX8" s="32"/>
      <c r="BY8" s="32"/>
      <c r="BZ8" s="32"/>
      <c r="CA8" s="32"/>
      <c r="CB8" s="32"/>
      <c r="CC8" s="32"/>
      <c r="CD8" s="32"/>
      <c r="CE8" s="32"/>
      <c r="CF8" s="32"/>
      <c r="CG8" s="32"/>
      <c r="CH8" s="32"/>
      <c r="CI8" s="32"/>
      <c r="CJ8" s="32"/>
      <c r="CK8" s="32"/>
      <c r="CL8" s="32"/>
      <c r="CM8" s="32"/>
      <c r="CN8" s="32"/>
      <c r="CO8" s="32"/>
      <c r="CP8" s="32"/>
      <c r="CQ8" s="32"/>
      <c r="CR8" s="32"/>
      <c r="CS8" s="32"/>
      <c r="CT8" s="32"/>
      <c r="CU8" s="32"/>
      <c r="CV8" s="32"/>
      <c r="CW8" s="32"/>
      <c r="CX8" s="32"/>
      <c r="CY8" s="32"/>
      <c r="CZ8" s="32"/>
      <c r="DA8" s="32"/>
      <c r="DB8" s="32"/>
      <c r="DC8" s="32"/>
      <c r="DD8" s="32"/>
      <c r="DE8" s="32"/>
      <c r="DF8" s="32"/>
      <c r="DG8" s="32"/>
      <c r="DH8" s="32"/>
      <c r="DI8" s="32"/>
      <c r="DJ8" s="32"/>
      <c r="DK8" s="32"/>
      <c r="DL8" s="32"/>
      <c r="DM8" s="32"/>
      <c r="DN8" s="32"/>
      <c r="DO8" s="32"/>
      <c r="DP8" s="32"/>
      <c r="DQ8" s="32"/>
      <c r="DR8" s="32"/>
      <c r="DS8" s="32"/>
      <c r="DT8" s="32"/>
      <c r="DU8" s="32"/>
      <c r="DV8" s="32"/>
      <c r="DW8" s="32"/>
      <c r="DX8" s="32"/>
      <c r="DY8" s="32"/>
      <c r="DZ8" s="32"/>
      <c r="EA8" s="32"/>
      <c r="EB8" s="32"/>
      <c r="EC8" s="32"/>
      <c r="ED8" s="32"/>
      <c r="EE8" s="32"/>
      <c r="EF8" s="32"/>
      <c r="EG8" s="32"/>
      <c r="EH8" s="32"/>
      <c r="EI8" s="32"/>
      <c r="EJ8" s="32"/>
      <c r="EK8" s="32"/>
      <c r="EL8" s="32"/>
      <c r="EM8" s="32"/>
      <c r="EN8" s="32"/>
      <c r="EO8" s="32"/>
      <c r="EP8" s="32"/>
      <c r="EQ8" s="32"/>
      <c r="ER8" s="32"/>
      <c r="ES8" s="32"/>
      <c r="ET8" s="32"/>
      <c r="EU8" s="32"/>
      <c r="EV8" s="32"/>
      <c r="EW8" s="32"/>
      <c r="EX8" s="32"/>
    </row>
    <row r="9" ht="15.75" customHeight="1">
      <c r="A9" s="32"/>
      <c r="B9" s="42" t="s">
        <v>40</v>
      </c>
      <c r="C9" s="32" t="s">
        <v>41</v>
      </c>
      <c r="D9" s="38">
        <v>1400.0</v>
      </c>
      <c r="E9" s="32"/>
      <c r="F9" s="32" t="s">
        <v>24</v>
      </c>
      <c r="G9" s="32"/>
      <c r="H9" s="32"/>
      <c r="I9" s="32"/>
      <c r="J9" s="38">
        <v>1.0</v>
      </c>
      <c r="K9" s="32"/>
      <c r="L9" s="32"/>
      <c r="M9" s="32"/>
      <c r="N9" s="31">
        <f t="shared" si="1"/>
        <v>45871</v>
      </c>
      <c r="O9" s="32"/>
      <c r="P9" s="32"/>
      <c r="Q9" s="32"/>
      <c r="R9" s="32"/>
      <c r="S9" s="32"/>
      <c r="T9" s="32"/>
      <c r="U9" s="32"/>
      <c r="V9" s="32"/>
      <c r="W9" s="32"/>
      <c r="X9" s="32"/>
      <c r="Y9" s="32"/>
      <c r="Z9" s="32"/>
      <c r="AA9" s="32"/>
      <c r="AB9" s="32"/>
      <c r="AC9" s="32"/>
      <c r="AD9" s="32"/>
      <c r="AE9" s="32"/>
      <c r="AF9" s="32"/>
      <c r="AG9" s="32"/>
      <c r="AH9" s="32"/>
      <c r="AI9" s="32"/>
      <c r="AJ9" s="32"/>
      <c r="AK9" s="32"/>
      <c r="AL9" s="32"/>
      <c r="AM9" s="32"/>
      <c r="AN9" s="32"/>
      <c r="AO9" s="32"/>
      <c r="AP9" s="32"/>
      <c r="AQ9" s="32"/>
      <c r="AR9" s="32"/>
      <c r="AS9" s="32"/>
      <c r="AT9" s="32"/>
      <c r="AU9" s="32"/>
      <c r="AV9" s="32"/>
      <c r="AW9" s="32"/>
      <c r="AX9" s="32"/>
      <c r="AY9" s="32"/>
      <c r="AZ9" s="32"/>
      <c r="BA9" s="32"/>
      <c r="BB9" s="32"/>
      <c r="BC9" s="32"/>
      <c r="BD9" s="32"/>
      <c r="BE9" s="32"/>
      <c r="BF9" s="32"/>
      <c r="BG9" s="32"/>
      <c r="BH9" s="32"/>
      <c r="BI9" s="32"/>
      <c r="BJ9" s="32"/>
      <c r="BK9" s="32"/>
      <c r="BL9" s="32"/>
      <c r="BM9" s="32"/>
      <c r="BN9" s="32"/>
      <c r="BO9" s="32"/>
      <c r="BP9" s="32"/>
      <c r="BQ9" s="32"/>
      <c r="BR9" s="32"/>
      <c r="BS9" s="32"/>
      <c r="BT9" s="32"/>
      <c r="BU9" s="32"/>
      <c r="BV9" s="32"/>
      <c r="BW9" s="32"/>
      <c r="BX9" s="32"/>
      <c r="BY9" s="32"/>
      <c r="BZ9" s="32"/>
      <c r="CA9" s="32"/>
      <c r="CB9" s="32"/>
      <c r="CC9" s="32"/>
      <c r="CD9" s="32"/>
      <c r="CE9" s="32"/>
      <c r="CF9" s="32"/>
      <c r="CG9" s="32"/>
      <c r="CH9" s="32"/>
      <c r="CI9" s="32"/>
      <c r="CJ9" s="32"/>
      <c r="CK9" s="32"/>
      <c r="CL9" s="32"/>
      <c r="CM9" s="32"/>
      <c r="CN9" s="32"/>
      <c r="CO9" s="32"/>
      <c r="CP9" s="32"/>
      <c r="CQ9" s="32"/>
      <c r="CR9" s="32"/>
      <c r="CS9" s="32"/>
      <c r="CT9" s="32"/>
      <c r="CU9" s="32"/>
      <c r="CV9" s="32"/>
      <c r="CW9" s="32"/>
      <c r="CX9" s="32"/>
      <c r="CY9" s="32"/>
      <c r="CZ9" s="32"/>
      <c r="DA9" s="32"/>
      <c r="DB9" s="32"/>
      <c r="DC9" s="32"/>
      <c r="DD9" s="32"/>
      <c r="DE9" s="32"/>
      <c r="DF9" s="32"/>
      <c r="DG9" s="32"/>
      <c r="DH9" s="32"/>
      <c r="DI9" s="32"/>
      <c r="DJ9" s="32"/>
      <c r="DK9" s="32"/>
      <c r="DL9" s="32"/>
      <c r="DM9" s="32"/>
      <c r="DN9" s="32"/>
      <c r="DO9" s="32"/>
      <c r="DP9" s="32"/>
      <c r="DQ9" s="32"/>
      <c r="DR9" s="32"/>
      <c r="DS9" s="32"/>
      <c r="DT9" s="32"/>
      <c r="DU9" s="32"/>
      <c r="DV9" s="32"/>
      <c r="DW9" s="32"/>
      <c r="DX9" s="32"/>
      <c r="DY9" s="32"/>
      <c r="DZ9" s="32"/>
      <c r="EA9" s="32"/>
      <c r="EB9" s="32"/>
      <c r="EC9" s="32"/>
      <c r="ED9" s="32"/>
      <c r="EE9" s="32"/>
      <c r="EF9" s="32"/>
      <c r="EG9" s="32"/>
      <c r="EH9" s="32"/>
      <c r="EI9" s="32"/>
      <c r="EJ9" s="32"/>
      <c r="EK9" s="32"/>
      <c r="EL9" s="32"/>
      <c r="EM9" s="32"/>
      <c r="EN9" s="32"/>
      <c r="EO9" s="32"/>
      <c r="EP9" s="32"/>
      <c r="EQ9" s="32"/>
      <c r="ER9" s="32"/>
      <c r="ES9" s="32"/>
      <c r="ET9" s="32"/>
      <c r="EU9" s="32"/>
      <c r="EV9" s="32"/>
      <c r="EW9" s="32"/>
      <c r="EX9" s="32"/>
    </row>
    <row r="10" ht="15.75" customHeight="1">
      <c r="A10" s="32"/>
      <c r="B10" s="42"/>
      <c r="C10" s="32"/>
      <c r="D10" s="38"/>
      <c r="E10" s="32"/>
      <c r="F10" s="32"/>
      <c r="G10" s="32"/>
      <c r="H10" s="32"/>
      <c r="I10" s="32"/>
      <c r="J10" s="38"/>
      <c r="K10" s="32"/>
      <c r="L10" s="32"/>
      <c r="M10" s="32"/>
      <c r="N10" s="31"/>
      <c r="O10" s="32"/>
      <c r="P10" s="32"/>
      <c r="Q10" s="32"/>
      <c r="R10" s="32"/>
      <c r="S10" s="32"/>
      <c r="T10" s="32"/>
      <c r="U10" s="32"/>
      <c r="V10" s="32"/>
      <c r="W10" s="32"/>
      <c r="X10" s="32"/>
      <c r="Y10" s="32"/>
      <c r="Z10" s="32"/>
      <c r="AA10" s="32"/>
      <c r="AB10" s="32"/>
      <c r="AC10" s="32"/>
      <c r="AD10" s="32"/>
      <c r="AE10" s="32"/>
      <c r="AF10" s="32"/>
      <c r="AG10" s="32"/>
      <c r="AH10" s="32"/>
      <c r="AI10" s="32"/>
      <c r="AJ10" s="32"/>
      <c r="AK10" s="32"/>
      <c r="AL10" s="32"/>
      <c r="AM10" s="32"/>
      <c r="AN10" s="32"/>
      <c r="AO10" s="32"/>
      <c r="AP10" s="32"/>
      <c r="AQ10" s="32"/>
      <c r="AR10" s="32"/>
      <c r="AS10" s="32"/>
      <c r="AT10" s="32"/>
      <c r="AU10" s="32"/>
      <c r="AV10" s="32"/>
      <c r="AW10" s="32"/>
      <c r="AX10" s="32"/>
      <c r="AY10" s="32"/>
      <c r="AZ10" s="32"/>
      <c r="BA10" s="32"/>
      <c r="BB10" s="32"/>
      <c r="BC10" s="32"/>
      <c r="BD10" s="32"/>
      <c r="BE10" s="32"/>
      <c r="BF10" s="32"/>
      <c r="BG10" s="32"/>
      <c r="BH10" s="32"/>
      <c r="BI10" s="32"/>
      <c r="BJ10" s="32"/>
      <c r="BK10" s="32"/>
      <c r="BL10" s="32"/>
      <c r="BM10" s="32"/>
      <c r="BN10" s="32"/>
      <c r="BO10" s="32"/>
      <c r="BP10" s="32"/>
      <c r="BQ10" s="32"/>
      <c r="BR10" s="32"/>
      <c r="BS10" s="32"/>
      <c r="BT10" s="32"/>
      <c r="BU10" s="32"/>
      <c r="BV10" s="32"/>
      <c r="BW10" s="32"/>
      <c r="BX10" s="32"/>
      <c r="BY10" s="32"/>
      <c r="BZ10" s="32"/>
      <c r="CA10" s="32"/>
      <c r="CB10" s="32"/>
      <c r="CC10" s="32"/>
      <c r="CD10" s="32"/>
      <c r="CE10" s="32"/>
      <c r="CF10" s="32"/>
      <c r="CG10" s="32"/>
      <c r="CH10" s="32"/>
      <c r="CI10" s="32"/>
      <c r="CJ10" s="32"/>
      <c r="CK10" s="32"/>
      <c r="CL10" s="32"/>
      <c r="CM10" s="32"/>
      <c r="CN10" s="32"/>
      <c r="CO10" s="32"/>
      <c r="CP10" s="32"/>
      <c r="CQ10" s="32"/>
      <c r="CR10" s="32"/>
      <c r="CS10" s="32"/>
      <c r="CT10" s="32"/>
      <c r="CU10" s="32"/>
      <c r="CV10" s="32"/>
      <c r="CW10" s="32"/>
      <c r="CX10" s="32"/>
      <c r="CY10" s="32"/>
      <c r="CZ10" s="32"/>
      <c r="DA10" s="32"/>
      <c r="DB10" s="32"/>
      <c r="DC10" s="32"/>
      <c r="DD10" s="32"/>
      <c r="DE10" s="32"/>
      <c r="DF10" s="32"/>
      <c r="DG10" s="32"/>
      <c r="DH10" s="32"/>
      <c r="DI10" s="32"/>
      <c r="DJ10" s="32"/>
      <c r="DK10" s="32"/>
      <c r="DL10" s="32"/>
      <c r="DM10" s="32"/>
      <c r="DN10" s="32"/>
      <c r="DO10" s="32"/>
      <c r="DP10" s="32"/>
      <c r="DQ10" s="32"/>
      <c r="DR10" s="32"/>
      <c r="DS10" s="32"/>
      <c r="DT10" s="32"/>
      <c r="DU10" s="32"/>
      <c r="DV10" s="32"/>
      <c r="DW10" s="32"/>
      <c r="DX10" s="32"/>
      <c r="DY10" s="32"/>
      <c r="DZ10" s="32"/>
      <c r="EA10" s="32"/>
      <c r="EB10" s="32"/>
      <c r="EC10" s="32"/>
      <c r="ED10" s="32"/>
      <c r="EE10" s="32"/>
      <c r="EF10" s="32"/>
      <c r="EG10" s="32"/>
      <c r="EH10" s="32"/>
      <c r="EI10" s="32"/>
      <c r="EJ10" s="32"/>
      <c r="EK10" s="32"/>
      <c r="EL10" s="32"/>
      <c r="EM10" s="32"/>
      <c r="EN10" s="32"/>
      <c r="EO10" s="32"/>
      <c r="EP10" s="32"/>
      <c r="EQ10" s="32"/>
      <c r="ER10" s="32"/>
      <c r="ES10" s="32"/>
      <c r="ET10" s="32"/>
      <c r="EU10" s="32"/>
      <c r="EV10" s="32"/>
      <c r="EW10" s="32"/>
      <c r="EX10" s="32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42</v>
      </c>
      <c r="D3" s="5" t="s">
        <v>9</v>
      </c>
      <c r="E3" s="22" t="s">
        <v>42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IFERROR(__xludf.DUMMYFUNCTION("IF(C3="""","""",Transpose(IMPORTRANGE('_Settings'!$B$3,C3&amp;""!A4:A1000"")))"),"PricingInput")</f>
        <v>PricingInput</v>
      </c>
      <c r="C4" s="24" t="str">
        <f>IFERROR(__xludf.DUMMYFUNCTION("""COMPUTED_VALUE"""),"UpdateSharesOutstanding")</f>
        <v>UpdateSharesOutstanding</v>
      </c>
      <c r="D4" s="24" t="str">
        <f>IFERROR(__xludf.DUMMYFUNCTION("""COMPUTED_VALUE"""),"EODTPreferences")</f>
        <v>EODTPreferences</v>
      </c>
      <c r="E4" s="24" t="str">
        <f>IFERROR(__xludf.DUMMYFUNCTION("""COMPUTED_VALUE"""),"LiveData")</f>
        <v>LiveData</v>
      </c>
      <c r="F4" s="24" t="str">
        <f>IFERROR(__xludf.DUMMYFUNCTION("""COMPUTED_VALUE"""),"UncheckDividendYield")</f>
        <v>UncheckDividendYield</v>
      </c>
      <c r="G4" s="24" t="str">
        <f>IFERROR(__xludf.DUMMYFUNCTION("""COMPUTED_VALUE"""),"VerifyPINavLockPopup")</f>
        <v>VerifyPINavLockPopup</v>
      </c>
      <c r="H4" s="24"/>
      <c r="I4" s="24"/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IFERROR(__xludf.DUMMYFUNCTION("""COMPUTED_VALUE"""),"User Px")</f>
        <v>User Px</v>
      </c>
      <c r="D5" s="27" t="str">
        <f>IFERROR(__xludf.DUMMYFUNCTION("""COMPUTED_VALUE"""),"Asset Class")</f>
        <v>Asset Class</v>
      </c>
      <c r="E5" s="27" t="str">
        <f>IFERROR(__xludf.DUMMYFUNCTION("""COMPUTED_VALUE"""),"Volatility(%)")</f>
        <v>Volatility(%)</v>
      </c>
      <c r="F5" s="28" t="str">
        <f>IFERROR(__xludf.DUMMYFUNCTION("""COMPUTED_VALUE"""),"Historical Volatility")</f>
        <v>Historical Volatility</v>
      </c>
      <c r="G5" s="27" t="str">
        <f>IFERROR(__xludf.DUMMYFUNCTION("""COMPUTED_VALUE"""),"User Volatility")</f>
        <v>User Volatility</v>
      </c>
      <c r="H5" s="27" t="str">
        <f>IFERROR(__xludf.DUMMYFUNCTION("""COMPUTED_VALUE"""),"Interest Rate")</f>
        <v>Interest Rate</v>
      </c>
      <c r="I5" s="27" t="str">
        <f>IFERROR(__xludf.DUMMYFUNCTION("""COMPUTED_VALUE"""),"User Interest Rate")</f>
        <v>User Interest Rate</v>
      </c>
      <c r="J5" s="27" t="str">
        <f>IFERROR(__xludf.DUMMYFUNCTION("""COMPUTED_VALUE"""),"Dividend Yield")</f>
        <v>Dividend Yield</v>
      </c>
      <c r="K5" s="27" t="str">
        <f>IFERROR(__xludf.DUMMYFUNCTION("""COMPUTED_VALUE"""),"User Dividend Yield")</f>
        <v>User Dividend Yield</v>
      </c>
      <c r="L5" s="27" t="str">
        <f>IFERROR(__xludf.DUMMYFUNCTION("""COMPUTED_VALUE"""),"Actual Delta")</f>
        <v>Actual Delta</v>
      </c>
      <c r="M5" s="27" t="str">
        <f>IFERROR(__xludf.DUMMYFUNCTION("""COMPUTED_VALUE"""),"User Delta")</f>
        <v>User Delta</v>
      </c>
      <c r="N5" s="27" t="str">
        <f>IFERROR(__xludf.DUMMYFUNCTION("""COMPUTED_VALUE"""),"Selected Px")</f>
        <v>Selected Px</v>
      </c>
      <c r="O5" s="27" t="str">
        <f>IFERROR(__xludf.DUMMYFUNCTION("""COMPUTED_VALUE"""),"Forward Points")</f>
        <v>Forward Points</v>
      </c>
      <c r="P5" s="27" t="str">
        <f>IFERROR(__xludf.DUMMYFUNCTION("""COMPUTED_VALUE"""),"Shares Outstanding")</f>
        <v>Shares Outstanding</v>
      </c>
      <c r="Q5" s="27" t="str">
        <f>IFERROR(__xludf.DUMMYFUNCTION("""COMPUTED_VALUE"""),"User Shares Outstanding")</f>
        <v>User Shares Outstanding</v>
      </c>
      <c r="R5" s="27" t="str">
        <f>IFERROR(__xludf.DUMMYFUNCTION("""COMPUTED_VALUE"""),"LastPriceUsed")</f>
        <v>LastPriceUsed</v>
      </c>
      <c r="S5" s="27" t="str">
        <f>IFERROR(__xludf.DUMMYFUNCTION("""COMPUTED_VALUE"""),"VolatilityUsed")</f>
        <v>VolatilityUsed</v>
      </c>
      <c r="T5" s="29" t="str">
        <f>IFERROR(__xludf.DUMMYFUNCTION("""COMPUTED_VALUE"""),"IntRateUsed")</f>
        <v>IntRateUsed</v>
      </c>
      <c r="U5" s="29" t="str">
        <f>IFERROR(__xludf.DUMMYFUNCTION("""COMPUTED_VALUE"""),"SM Shares Outstanding")</f>
        <v>SM Shares Outstanding</v>
      </c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>
        <v>1.0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PricingInput!$4:$4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IFERROR(__xludf.DUMMYFUNCTION("""COMPUTED_VALUE"""),"RangeType")</f>
        <v>RangeType</v>
      </c>
      <c r="C5" s="27" t="str">
        <f>IFERROR(__xludf.DUMMYFUNCTION("""COMPUTED_VALUE"""),"From")</f>
        <v>From</v>
      </c>
      <c r="D5" s="27" t="str">
        <f>IFERROR(__xludf.DUMMYFUNCTION("""COMPUTED_VALUE"""),"To")</f>
        <v>To</v>
      </c>
      <c r="E5" s="27" t="str">
        <f>IFERROR(__xludf.DUMMYFUNCTION("""COMPUTED_VALUE"""),"FilterTabName")</f>
        <v>FilterTabName</v>
      </c>
      <c r="F5" s="28" t="str">
        <f>IFERROR(__xludf.DUMMYFUNCTION("""COMPUTED_VALUE"""),"Symbol")</f>
        <v>Symbol</v>
      </c>
      <c r="G5" s="27" t="str">
        <f>IFERROR(__xludf.DUMMYFUNCTION("""COMPUTED_VALUE"""),"Asset")</f>
        <v>Asset</v>
      </c>
      <c r="H5" s="27" t="str">
        <f>IFERROR(__xludf.DUMMYFUNCTION("""COMPUTED_VALUE"""),"Side")</f>
        <v>Side</v>
      </c>
      <c r="I5" s="27" t="str">
        <f>IFERROR(__xludf.DUMMYFUNCTION("""COMPUTED_VALUE"""),"Account")</f>
        <v>Account</v>
      </c>
      <c r="J5" s="27" t="str">
        <f>IFERROR(__xludf.DUMMYFUNCTION("""COMPUTED_VALUE"""),"Broker")</f>
        <v>Broker</v>
      </c>
      <c r="K5" s="27" t="str">
        <f>IFERROR(__xludf.DUMMYFUNCTION("""COMPUTED_VALUE"""),"Currency")</f>
        <v>Currency</v>
      </c>
      <c r="L5" s="27" t="str">
        <f>IFERROR(__xludf.DUMMYFUNCTION("""COMPUTED_VALUE"""),"Exchange")</f>
        <v>Exchange</v>
      </c>
      <c r="M5" s="27" t="str">
        <f>IFERROR(__xludf.DUMMYFUNCTION("""COMPUTED_VALUE"""),"StrategyName")</f>
        <v>StrategyName</v>
      </c>
      <c r="N5" s="27" t="str">
        <f>IFERROR(__xludf.DUMMYFUNCTION("""COMPUTED_VALUE"""),"Underlying")</f>
        <v>Underlying</v>
      </c>
      <c r="O5" s="27" t="str">
        <f>IFERROR(__xludf.DUMMYFUNCTION("""COMPUTED_VALUE"""),"Venue")</f>
        <v>Venue</v>
      </c>
      <c r="P5" s="27" t="str">
        <f>IFERROR(__xludf.DUMMYFUNCTION("""COMPUTED_VALUE"""),"TradingAccount")</f>
        <v>TradingAccount</v>
      </c>
      <c r="Q5" s="27" t="str">
        <f>IFERROR(__xludf.DUMMYFUNCTION("""COMPUTED_VALUE"""),"PreAllocated")</f>
        <v>PreAllocated</v>
      </c>
      <c r="R5" s="27" t="str">
        <f>IFERROR(__xludf.DUMMYFUNCTION("""COMPUTED_VALUE"""),"ManualGroup")</f>
        <v>ManualGroup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42" t="s">
        <v>44</v>
      </c>
      <c r="C6" s="45">
        <f>TODAY()-1</f>
        <v>45871</v>
      </c>
      <c r="D6" s="45">
        <f>TODAY()</f>
        <v>45872</v>
      </c>
      <c r="E6" s="32"/>
      <c r="F6" s="32"/>
      <c r="G6" s="32"/>
      <c r="H6" s="32"/>
      <c r="I6" s="32"/>
      <c r="J6" s="32"/>
      <c r="K6" s="32"/>
      <c r="L6" s="32"/>
      <c r="M6" s="32"/>
      <c r="N6" s="32"/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IFERROR(__xludf.DUMMYFUNCTION("""COMPUTED_VALUE"""),"Trade Date")</f>
        <v>Trade Date</v>
      </c>
      <c r="G5" s="27" t="str">
        <f>IFERROR(__xludf.DUMMYFUNCTION("""COMPUTED_VALUE"""),"Net Amount( Local)")</f>
        <v>Net Amount( Local)</v>
      </c>
      <c r="H5" s="27" t="str">
        <f>IFERROR(__xludf.DUMMYFUNCTION("""COMPUTED_VALUE"""),"Net Amount( Base)")</f>
        <v>Net Amount( Base)</v>
      </c>
      <c r="I5" s="27" t="str">
        <f>IFERROR(__xludf.DUMMYFUNCTION("""COMPUTED_VALUE"""),"Principal Amount( Local)")</f>
        <v>Principal Amount( Local)</v>
      </c>
      <c r="J5" s="27" t="str">
        <f>IFERROR(__xludf.DUMMYFUNCTION("""COMPUTED_VALUE"""),"Transaction Type")</f>
        <v>Transaction Type</v>
      </c>
      <c r="K5" s="27" t="str">
        <f>IFERROR(__xludf.DUMMYFUNCTION("""COMPUTED_VALUE"""),"Principal Amount( Base)")</f>
        <v>Principal Amount( Base)</v>
      </c>
      <c r="L5" s="27" t="str">
        <f>IFERROR(__xludf.DUMMYFUNCTION("""COMPUTED_VALUE"""),"Execution Time")</f>
        <v>Execution Time</v>
      </c>
      <c r="M5" s="27" t="str">
        <f>IFERROR(__xludf.DUMMYFUNCTION("""COMPUTED_VALUE"""),"Trading Account")</f>
        <v>Trading Account</v>
      </c>
      <c r="N5" s="27" t="str">
        <f>IFERROR(__xludf.DUMMYFUNCTION("""COMPUTED_VALUE"""),"Avg Price(Local)")</f>
        <v>Avg Price(Local)</v>
      </c>
      <c r="O5" s="27" t="str">
        <f>IFERROR(__xludf.DUMMYFUNCTION("""COMPUTED_VALUE"""),"Avg Price(Base)")</f>
        <v>Avg Price(Base)</v>
      </c>
      <c r="P5" s="27" t="str">
        <f>IFERROR(__xludf.DUMMYFUNCTION("""COMPUTED_VALUE"""),"Broker")</f>
        <v>Broker</v>
      </c>
      <c r="Q5" s="27" t="str">
        <f>IFERROR(__xludf.DUMMYFUNCTION("""COMPUTED_VALUE"""),"FX Rate")</f>
        <v>FX Rate</v>
      </c>
      <c r="R5" s="27" t="str">
        <f>IFERROR(__xludf.DUMMYFUNCTION("""COMPUTED_VALUE"""),"Venue")</f>
        <v>Venue</v>
      </c>
      <c r="S5" s="27" t="str">
        <f>IFERROR(__xludf.DUMMYFUNCTION("""COMPUTED_VALUE"""),"FX Conversion Operator")</f>
        <v>FX Conversion Operator</v>
      </c>
      <c r="T5" s="29" t="str">
        <f>IFERROR(__xludf.DUMMYFUNCTION("""COMPUTED_VALUE"""),"User")</f>
        <v>User</v>
      </c>
      <c r="U5" s="29" t="str">
        <f>IFERROR(__xludf.DUMMYFUNCTION("""COMPUTED_VALUE"""),"Asset Category")</f>
        <v>Asset Category</v>
      </c>
      <c r="V5" s="29" t="str">
        <f>IFERROR(__xludf.DUMMYFUNCTION("""COMPUTED_VALUE"""),"Settlement Currency")</f>
        <v>Settlement Currency</v>
      </c>
      <c r="W5" s="29" t="str">
        <f>IFERROR(__xludf.DUMMYFUNCTION("""COMPUTED_VALUE"""),"Commission Per Share")</f>
        <v>Commission Per Share</v>
      </c>
      <c r="X5" s="29" t="str">
        <f>IFERROR(__xludf.DUMMYFUNCTION("""COMPUTED_VALUE"""),"Soft Commission Per Share")</f>
        <v>Soft Commission Per Share</v>
      </c>
      <c r="Y5" s="29" t="str">
        <f>IFERROR(__xludf.DUMMYFUNCTION("""COMPUTED_VALUE"""),"Total Commission Per Share")</f>
        <v>Total Commission Per Share</v>
      </c>
      <c r="Z5" s="29" t="str">
        <f>IFERROR(__xludf.DUMMYFUNCTION("""COMPUTED_VALUE"""),"Change Type")</f>
        <v>Change Type</v>
      </c>
      <c r="AA5" s="29" t="str">
        <f>IFERROR(__xludf.DUMMYFUNCTION("""COMPUTED_VALUE"""),"Trade Attribute 1")</f>
        <v>Trade Attribute 1</v>
      </c>
      <c r="AB5" s="29" t="str">
        <f>IFERROR(__xludf.DUMMYFUNCTION("""COMPUTED_VALUE"""),"Trade Attribute 2")</f>
        <v>Trade Attribute 2</v>
      </c>
      <c r="AC5" s="29" t="str">
        <f>IFERROR(__xludf.DUMMYFUNCTION("""COMPUTED_VALUE"""),"Trade Attribute 3")</f>
        <v>Trade Attribute 3</v>
      </c>
      <c r="AD5" s="29" t="str">
        <f>IFERROR(__xludf.DUMMYFUNCTION("""COMPUTED_VALUE"""),"Trade Attribute 4")</f>
        <v>Trade Attribute 4</v>
      </c>
      <c r="AE5" s="29" t="str">
        <f>IFERROR(__xludf.DUMMYFUNCTION("""COMPUTED_VALUE"""),"Trade Attribute 5")</f>
        <v>Trade Attribute 5</v>
      </c>
      <c r="AF5" s="29" t="str">
        <f>IFERROR(__xludf.DUMMYFUNCTION("""COMPUTED_VALUE"""),"Trade Attribute 6")</f>
        <v>Trade Attribute 6</v>
      </c>
      <c r="AG5" s="29" t="str">
        <f>IFERROR(__xludf.DUMMYFUNCTION("""COMPUTED_VALUE"""),"IsPreAllocated")</f>
        <v>IsPreAllocated</v>
      </c>
      <c r="AH5" s="29" t="str">
        <f>IFERROR(__xludf.DUMMYFUNCTION("""COMPUTED_VALUE"""),"IsManual Group")</f>
        <v>IsManual Group</v>
      </c>
      <c r="AI5" s="29" t="str">
        <f>IFERROR(__xludf.DUMMYFUNCTION("""COMPUTED_VALUE"""),"IsAnotherTaxlotAttributesUpdated")</f>
        <v>IsAnotherTaxlotAttributesUpdated</v>
      </c>
      <c r="AJ5" s="29" t="str">
        <f>IFERROR(__xludf.DUMMYFUNCTION("""COMPUTED_VALUE"""),"ISNDF")</f>
        <v>ISNDF</v>
      </c>
      <c r="AK5" s="29" t="str">
        <f>IFERROR(__xludf.DUMMYFUNCTION("""COMPUTED_VALUE"""),"M2MProfitLoss")</f>
        <v>M2MProfitLoss</v>
      </c>
      <c r="AL5" s="29" t="str">
        <f>IFERROR(__xludf.DUMMYFUNCTION("""COMPUTED_VALUE"""),"Put Or Call")</f>
        <v>Put Or Call</v>
      </c>
      <c r="AM5" s="29" t="str">
        <f>IFERROR(__xludf.DUMMYFUNCTION("""COMPUTED_VALUE"""),"GroupID")</f>
        <v>GroupID</v>
      </c>
      <c r="AN5" s="29" t="str">
        <f>IFERROR(__xludf.DUMMYFUNCTION("""COMPUTED_VALUE"""),"UnAllocatedQty")</f>
        <v>UnAllocatedQty</v>
      </c>
      <c r="AO5" s="29" t="str">
        <f>IFERROR(__xludf.DUMMYFUNCTION("""COMPUTED_VALUE"""),"Allocated Qty")</f>
        <v>Allocated Qty</v>
      </c>
      <c r="AP5" s="29" t="str">
        <f>IFERROR(__xludf.DUMMYFUNCTION("""COMPUTED_VALUE"""),"Commission")</f>
        <v>Commission</v>
      </c>
      <c r="AQ5" s="29" t="str">
        <f>IFERROR(__xludf.DUMMYFUNCTION("""COMPUTED_VALUE"""),"Soft Commission")</f>
        <v>Soft Commission</v>
      </c>
      <c r="AR5" s="29" t="str">
        <f>IFERROR(__xludf.DUMMYFUNCTION("""COMPUTED_VALUE"""),"Other Broker Fees")</f>
        <v>Other Broker Fees</v>
      </c>
      <c r="AS5" s="29" t="str">
        <f>IFERROR(__xludf.DUMMYFUNCTION("""COMPUTED_VALUE"""),"Clearing Broker Fee")</f>
        <v>Clearing Broker Fee</v>
      </c>
      <c r="AT5" s="29" t="str">
        <f>IFERROR(__xludf.DUMMYFUNCTION("""COMPUTED_VALUE"""),"Total Commission And Fee")</f>
        <v>Total Commission And Fee</v>
      </c>
      <c r="AU5" s="29" t="str">
        <f>IFERROR(__xludf.DUMMYFUNCTION("""COMPUTED_VALUE"""),"Transaction Levy")</f>
        <v>Transaction Levy</v>
      </c>
      <c r="AV5" s="29" t="str">
        <f>IFERROR(__xludf.DUMMYFUNCTION("""COMPUTED_VALUE"""),"Stamp Duty")</f>
        <v>Stamp Duty</v>
      </c>
      <c r="AW5" s="29" t="str">
        <f>IFERROR(__xludf.DUMMYFUNCTION("""COMPUTED_VALUE"""),"AUEC Fee1")</f>
        <v>AUEC Fee1</v>
      </c>
      <c r="AX5" s="29" t="str">
        <f>IFERROR(__xludf.DUMMYFUNCTION("""COMPUTED_VALUE"""),"Tax On Commissions")</f>
        <v>Tax On Commissions</v>
      </c>
      <c r="AY5" s="29" t="str">
        <f>IFERROR(__xludf.DUMMYFUNCTION("""COMPUTED_VALUE"""),"AUEC Fee2")</f>
        <v>AUEC Fee2</v>
      </c>
      <c r="AZ5" s="29" t="str">
        <f>IFERROR(__xludf.DUMMYFUNCTION("""COMPUTED_VALUE"""),"SEC Fee")</f>
        <v>SEC Fee</v>
      </c>
      <c r="BA5" s="29" t="str">
        <f>IFERROR(__xludf.DUMMYFUNCTION("""COMPUTED_VALUE"""),"OCC Fee")</f>
        <v>OCC Fee</v>
      </c>
      <c r="BB5" s="29" t="str">
        <f>IFERROR(__xludf.DUMMYFUNCTION("""COMPUTED_VALUE"""),"ORF Fee")</f>
        <v>ORF Fee</v>
      </c>
      <c r="BC5" s="29" t="str">
        <f>IFERROR(__xludf.DUMMYFUNCTION("""COMPUTED_VALUE"""),"Option Premium Adjustment")</f>
        <v>Option Premium Adjustment</v>
      </c>
      <c r="BD5" s="29" t="str">
        <f>IFERROR(__xludf.DUMMYFUNCTION("""COMPUTED_VALUE"""),"Prana Msg Type")</f>
        <v>Prana Msg Type</v>
      </c>
      <c r="BE5" s="29" t="str">
        <f>IFERROR(__xludf.DUMMYFUNCTION("""COMPUTED_VALUE"""),"Total Commission")</f>
        <v>Total Commission</v>
      </c>
      <c r="BF5" s="29" t="str">
        <f>IFERROR(__xludf.DUMMYFUNCTION("""COMPUTED_VALUE"""),"Closing Status")</f>
        <v>Closing Status</v>
      </c>
      <c r="BG5" s="29" t="str">
        <f>IFERROR(__xludf.DUMMYFUNCTION("""COMPUTED_VALUE"""),"Closing Method")</f>
        <v>Closing Method</v>
      </c>
      <c r="BH5" s="29" t="str">
        <f>IFERROR(__xludf.DUMMYFUNCTION("""COMPUTED_VALUE"""),"Group Status")</f>
        <v>Group Status</v>
      </c>
      <c r="BI5" s="29" t="str">
        <f>IFERROR(__xludf.DUMMYFUNCTION("""COMPUTED_VALUE"""),"Allocation Scheme Name")</f>
        <v>Allocation Scheme Name</v>
      </c>
      <c r="BJ5" s="29" t="str">
        <f>IFERROR(__xludf.DUMMYFUNCTION("""COMPUTED_VALUE"""),"Change Comment")</f>
        <v>Change Comment</v>
      </c>
      <c r="BK5" s="29" t="str">
        <f>IFERROR(__xludf.DUMMYFUNCTION("""COMPUTED_VALUE"""),"Order Type")</f>
        <v>Order Type</v>
      </c>
      <c r="BL5" s="29" t="str">
        <f>IFERROR(__xludf.DUMMYFUNCTION("""COMPUTED_VALUE"""),"Underlying")</f>
        <v>Underlying</v>
      </c>
      <c r="BM5" s="29" t="str">
        <f>IFERROR(__xludf.DUMMYFUNCTION("""COMPUTED_VALUE"""),"Exchange")</f>
        <v>Exchange</v>
      </c>
      <c r="BN5" s="29" t="str">
        <f>IFERROR(__xludf.DUMMYFUNCTION("""COMPUTED_VALUE"""),"Currency")</f>
        <v>Currency</v>
      </c>
      <c r="BO5" s="29" t="str">
        <f>IFERROR(__xludf.DUMMYFUNCTION("""COMPUTED_VALUE"""),"AUECID")</f>
        <v>AUECID</v>
      </c>
      <c r="BP5" s="29" t="str">
        <f>IFERROR(__xludf.DUMMYFUNCTION("""COMPUTED_VALUE"""),"Cum Qty For Sub Order")</f>
        <v>Cum Qty For Sub Order</v>
      </c>
      <c r="BQ5" s="29" t="str">
        <f>IFERROR(__xludf.DUMMYFUNCTION("""COMPUTED_VALUE"""),"Contract Multiplier")</f>
        <v>Contract Multiplier</v>
      </c>
      <c r="BR5" s="29" t="str">
        <f>IFERROR(__xludf.DUMMYFUNCTION("""COMPUTED_VALUE"""),"Company")</f>
        <v>Company</v>
      </c>
      <c r="BS5" s="29" t="str">
        <f>IFERROR(__xludf.DUMMYFUNCTION("""COMPUTED_VALUE"""),"Nirvana Process Date")</f>
        <v>Nirvana Process Date</v>
      </c>
      <c r="BT5" s="29" t="str">
        <f>IFERROR(__xludf.DUMMYFUNCTION("""COMPUTED_VALUE"""),"Process Date")</f>
        <v>Process Date</v>
      </c>
      <c r="BU5" s="29" t="str">
        <f>IFERROR(__xludf.DUMMYFUNCTION("""COMPUTED_VALUE"""),"Original Purchase Date")</f>
        <v>Original Purchase Date</v>
      </c>
      <c r="BV5" s="29" t="str">
        <f>IFERROR(__xludf.DUMMYFUNCTION("""COMPUTED_VALUE"""),"Closing Date")</f>
        <v>Closing Date</v>
      </c>
      <c r="BW5" s="29" t="str">
        <f>IFERROR(__xludf.DUMMYFUNCTION("""COMPUTED_VALUE"""),"Settlement Date")</f>
        <v>Settlement Date</v>
      </c>
      <c r="BX5" s="29" t="str">
        <f>IFERROR(__xludf.DUMMYFUNCTION("""COMPUTED_VALUE"""),"Expiration Date")</f>
        <v>Expiration Date</v>
      </c>
      <c r="BY5" s="29" t="str">
        <f>IFERROR(__xludf.DUMMYFUNCTION("""COMPUTED_VALUE"""),"Description")</f>
        <v>Description</v>
      </c>
      <c r="BZ5" s="29" t="str">
        <f>IFERROR(__xludf.DUMMYFUNCTION("""COMPUTED_VALUE"""),"Underlying Symbol")</f>
        <v>Underlying Symbol</v>
      </c>
      <c r="CA5" s="29" t="str">
        <f>IFERROR(__xludf.DUMMYFUNCTION("""COMPUTED_VALUE"""),"Accrued Interest")</f>
        <v>Accrued Interest</v>
      </c>
      <c r="CB5" s="29" t="str">
        <f>IFERROR(__xludf.DUMMYFUNCTION("""COMPUTED_VALUE"""),"Accrual Basis")</f>
        <v>Accrual Basis</v>
      </c>
      <c r="CC5" s="29" t="str">
        <f>IFERROR(__xludf.DUMMYFUNCTION("""COMPUTED_VALUE"""),"Bond Type")</f>
        <v>Bond Type</v>
      </c>
      <c r="CD5" s="29" t="str">
        <f>IFERROR(__xludf.DUMMYFUNCTION("""COMPUTED_VALUE"""),"Coupon Rate")</f>
        <v>Coupon Rate</v>
      </c>
      <c r="CE5" s="29" t="str">
        <f>IFERROR(__xludf.DUMMYFUNCTION("""COMPUTED_VALUE"""),"Delta")</f>
        <v>Delta</v>
      </c>
      <c r="CF5" s="29" t="str">
        <f>IFERROR(__xludf.DUMMYFUNCTION("""COMPUTED_VALUE"""),"Bloomberg")</f>
        <v>Bloomberg</v>
      </c>
      <c r="CG5" s="29" t="str">
        <f>IFERROR(__xludf.DUMMYFUNCTION("""COMPUTED_VALUE"""),"Sedol Symbol")</f>
        <v>Sedol Symbol</v>
      </c>
      <c r="CH5" s="29" t="str">
        <f>IFERROR(__xludf.DUMMYFUNCTION("""COMPUTED_VALUE"""),"Cusip Symbol")</f>
        <v>Cusip Symbol</v>
      </c>
      <c r="CI5" s="29" t="str">
        <f>IFERROR(__xludf.DUMMYFUNCTION("""COMPUTED_VALUE"""),"ISIN")</f>
        <v>ISIN</v>
      </c>
      <c r="CJ5" s="29" t="str">
        <f>IFERROR(__xludf.DUMMYFUNCTION("""COMPUTED_VALUE"""),"OSISSymbol")</f>
        <v>OSISSymbol</v>
      </c>
      <c r="CK5" s="29" t="str">
        <f>IFERROR(__xludf.DUMMYFUNCTION("""COMPUTED_VALUE"""),"IDCOSymbol")</f>
        <v>IDCOSymbol</v>
      </c>
      <c r="CL5" s="29" t="str">
        <f>IFERROR(__xludf.DUMMYFUNCTION("""COMPUTED_VALUE"""),"Underlying Delta")</f>
        <v>Underlying Delta</v>
      </c>
      <c r="CM5" s="29" t="str">
        <f>IFERROR(__xludf.DUMMYFUNCTION("""COMPUTED_VALUE"""),"Internal Comments")</f>
        <v>Internal Comments</v>
      </c>
      <c r="CN5" s="29" t="str">
        <f>IFERROR(__xludf.DUMMYFUNCTION("""COMPUTED_VALUE"""),"Proxy Symbol")</f>
        <v>Proxy Symbol</v>
      </c>
      <c r="CO5" s="29" t="str">
        <f>IFERROR(__xludf.DUMMYFUNCTION("""COMPUTED_VALUE"""),"Transaction Source")</f>
        <v>Transaction Source</v>
      </c>
      <c r="CP5" s="29" t="str">
        <f>IFERROR(__xludf.DUMMYFUNCTION("""COMPUTED_VALUE"""),"Import File Name")</f>
        <v>Import File Name</v>
      </c>
      <c r="CQ5" s="29" t="str">
        <f>IFERROR(__xludf.DUMMYFUNCTION("""COMPUTED_VALUE"""),"Master Fund")</f>
        <v>Master Fund</v>
      </c>
      <c r="CR5" s="29" t="str">
        <f>IFERROR(__xludf.DUMMYFUNCTION("""COMPUTED_VALUE"""),"Client")</f>
        <v>Client</v>
      </c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40</v>
      </c>
      <c r="C6" s="12" t="s">
        <v>41</v>
      </c>
      <c r="D6" s="12">
        <v>125.0</v>
      </c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SelectUnallocatedGroup!$4:$4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46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IFERROR(__xludf.DUMMYFUNCTION("""COMPUTED_VALUE"""),"PreferenceType")</f>
        <v>PreferenceType</v>
      </c>
      <c r="C5" s="27" t="str">
        <f>IFERROR(__xludf.DUMMYFUNCTION("""COMPUTED_VALUE"""),"PreferenceName")</f>
        <v>PreferenceName</v>
      </c>
      <c r="D5" s="27" t="str">
        <f>IFERROR(__xludf.DUMMYFUNCTION("""COMPUTED_VALUE"""),"PTTPrefNeeded")</f>
        <v>PTTPrefNeeded</v>
      </c>
      <c r="E5" s="27" t="str">
        <f>IFERROR(__xludf.DUMMYFUNCTION("""COMPUTED_VALUE"""),"IsForceAllocation")</f>
        <v>IsForceAllocation</v>
      </c>
      <c r="F5" s="28" t="str">
        <f>IFERROR(__xludf.DUMMYFUNCTION("""COMPUTED_VALUE"""),"AllocationMethod")</f>
        <v>AllocationMethod</v>
      </c>
      <c r="G5" s="27" t="str">
        <f>IFERROR(__xludf.DUMMYFUNCTION("""COMPUTED_VALUE"""),"RemainderAllocationTo")</f>
        <v>RemainderAllocationTo</v>
      </c>
      <c r="H5" s="27" t="str">
        <f>IFERROR(__xludf.DUMMYFUNCTION("""COMPUTED_VALUE"""),"Target%AsOf")</f>
        <v>Target%AsOf</v>
      </c>
      <c r="I5" s="27" t="str">
        <f>IFERROR(__xludf.DUMMYFUNCTION("""COMPUTED_VALUE"""),"AccountsForProrata")</f>
        <v>AccountsForProrata</v>
      </c>
      <c r="J5" s="27" t="str">
        <f>IFERROR(__xludf.DUMMYFUNCTION("""COMPUTED_VALUE"""),"DateUptoDays")</f>
        <v>DateUptoDays</v>
      </c>
      <c r="K5" s="27" t="str">
        <f>IFERROR(__xludf.DUMMYFUNCTION("""COMPUTED_VALUE"""),"MatchClosingTransactions")</f>
        <v>MatchClosingTransactions</v>
      </c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12" t="s">
        <v>28</v>
      </c>
      <c r="D6" s="12"/>
      <c r="E6" s="4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EnterAllocatePreference!$4:$4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  <c r="EY1" s="19"/>
      <c r="EZ1" s="19"/>
      <c r="FA1" s="19"/>
      <c r="FB1" s="19"/>
      <c r="FC1" s="19"/>
      <c r="FD1" s="19"/>
      <c r="FE1" s="19"/>
      <c r="FF1" s="19"/>
      <c r="FG1" s="19"/>
      <c r="FH1" s="19"/>
      <c r="FI1" s="19"/>
      <c r="FJ1" s="19"/>
      <c r="FK1" s="19"/>
      <c r="FL1" s="19"/>
      <c r="FM1" s="19"/>
      <c r="FN1" s="19"/>
      <c r="FO1" s="19"/>
      <c r="FP1" s="19"/>
      <c r="FQ1" s="19"/>
      <c r="FR1" s="19"/>
      <c r="FS1" s="19"/>
      <c r="FT1" s="19"/>
      <c r="FU1" s="19"/>
      <c r="FV1" s="19"/>
      <c r="FW1" s="19"/>
      <c r="FX1" s="19"/>
      <c r="FY1" s="19"/>
      <c r="FZ1" s="19"/>
      <c r="GA1" s="19"/>
      <c r="GB1" s="19"/>
      <c r="GC1" s="19"/>
      <c r="GD1" s="19"/>
      <c r="GE1" s="19"/>
      <c r="GF1" s="19"/>
      <c r="GG1" s="19"/>
      <c r="GH1" s="19"/>
      <c r="GI1" s="19"/>
      <c r="GJ1" s="19"/>
      <c r="GK1" s="19"/>
      <c r="GL1" s="19"/>
      <c r="GM1" s="19"/>
      <c r="GN1" s="19"/>
      <c r="GO1" s="19"/>
      <c r="GP1" s="19"/>
      <c r="GQ1" s="19"/>
      <c r="GR1" s="19"/>
      <c r="GS1" s="19"/>
      <c r="GT1" s="19"/>
      <c r="GU1" s="19"/>
      <c r="GV1" s="19"/>
      <c r="GW1" s="19"/>
      <c r="GX1" s="19"/>
      <c r="GY1" s="19"/>
      <c r="GZ1" s="19"/>
      <c r="HA1" s="19"/>
      <c r="HB1" s="19"/>
      <c r="HC1" s="19"/>
      <c r="HD1" s="19"/>
      <c r="HE1" s="19"/>
      <c r="HF1" s="19"/>
      <c r="HG1" s="19"/>
      <c r="HH1" s="19"/>
      <c r="HI1" s="19"/>
      <c r="HJ1" s="19"/>
      <c r="HK1" s="19"/>
      <c r="HL1" s="19"/>
      <c r="HM1" s="19"/>
      <c r="HN1" s="19"/>
      <c r="HO1" s="19"/>
      <c r="HP1" s="19"/>
      <c r="HQ1" s="19"/>
      <c r="HR1" s="19"/>
      <c r="HS1" s="19"/>
      <c r="HT1" s="19"/>
      <c r="HU1" s="19"/>
      <c r="HV1" s="19"/>
      <c r="HW1" s="19"/>
      <c r="HX1" s="19"/>
      <c r="HY1" s="19"/>
      <c r="HZ1" s="19"/>
      <c r="IA1" s="19"/>
      <c r="IB1" s="19"/>
      <c r="IC1" s="19"/>
      <c r="ID1" s="19"/>
      <c r="IE1" s="19"/>
      <c r="IF1" s="19"/>
      <c r="IG1" s="19"/>
      <c r="IH1" s="19"/>
      <c r="II1" s="19"/>
      <c r="IJ1" s="19"/>
      <c r="IK1" s="19"/>
      <c r="IL1" s="19"/>
      <c r="IM1" s="19"/>
      <c r="IN1" s="19"/>
      <c r="IO1" s="19"/>
      <c r="IP1" s="19"/>
      <c r="IQ1" s="19"/>
      <c r="IR1" s="19"/>
      <c r="IS1" s="19"/>
      <c r="IT1" s="19"/>
      <c r="IU1" s="19"/>
      <c r="IV1" s="19"/>
      <c r="IW1" s="19"/>
      <c r="IX1" s="19"/>
      <c r="IY1" s="19"/>
      <c r="IZ1" s="19"/>
      <c r="JA1" s="19"/>
      <c r="JB1" s="19"/>
      <c r="JC1" s="19"/>
      <c r="JD1" s="19"/>
      <c r="JE1" s="19"/>
      <c r="JF1" s="19"/>
      <c r="JG1" s="19"/>
      <c r="JH1" s="19"/>
      <c r="JI1" s="19"/>
      <c r="JJ1" s="19"/>
      <c r="JK1" s="19"/>
      <c r="JL1" s="19"/>
      <c r="JM1" s="19"/>
      <c r="JN1" s="19"/>
      <c r="JO1" s="19"/>
      <c r="JP1" s="19"/>
      <c r="JQ1" s="19"/>
      <c r="JR1" s="19"/>
      <c r="JS1" s="19"/>
      <c r="JT1" s="19"/>
      <c r="JU1" s="19"/>
      <c r="JV1" s="19"/>
      <c r="JW1" s="19"/>
      <c r="JX1" s="19"/>
      <c r="JY1" s="19"/>
      <c r="JZ1" s="19"/>
      <c r="KA1" s="19"/>
      <c r="KB1" s="19"/>
      <c r="KC1" s="19"/>
      <c r="KD1" s="19"/>
      <c r="KE1" s="19"/>
      <c r="KF1" s="19"/>
      <c r="KG1" s="19"/>
      <c r="KH1" s="19"/>
      <c r="KI1" s="19"/>
      <c r="KJ1" s="19"/>
      <c r="KK1" s="19"/>
      <c r="KL1" s="19"/>
      <c r="KM1" s="19"/>
      <c r="KN1" s="19"/>
      <c r="KO1" s="19"/>
      <c r="KP1" s="19"/>
      <c r="KQ1" s="19"/>
      <c r="KR1" s="19"/>
      <c r="KS1" s="19"/>
      <c r="KT1" s="19"/>
      <c r="KU1" s="19"/>
      <c r="KV1" s="19"/>
      <c r="KW1" s="19"/>
      <c r="KX1" s="19"/>
      <c r="KY1" s="19"/>
      <c r="KZ1" s="19"/>
      <c r="LA1" s="19"/>
      <c r="LB1" s="19"/>
      <c r="LC1" s="19"/>
      <c r="LD1" s="19"/>
      <c r="LE1" s="19"/>
      <c r="LF1" s="19"/>
      <c r="LG1" s="19"/>
      <c r="LH1" s="19"/>
      <c r="LI1" s="19"/>
      <c r="LJ1" s="19"/>
      <c r="LK1" s="19"/>
      <c r="LL1" s="19"/>
      <c r="LM1" s="19"/>
      <c r="LN1" s="19"/>
      <c r="LO1" s="19"/>
      <c r="LP1" s="19"/>
      <c r="LQ1" s="19"/>
      <c r="LR1" s="19"/>
      <c r="LS1" s="19"/>
      <c r="LT1" s="19"/>
      <c r="LU1" s="19"/>
      <c r="LV1" s="19"/>
      <c r="LW1" s="19"/>
      <c r="LX1" s="19"/>
      <c r="LY1" s="19"/>
      <c r="LZ1" s="19"/>
      <c r="MA1" s="19"/>
      <c r="MB1" s="19"/>
      <c r="MC1" s="19"/>
      <c r="MD1" s="19"/>
      <c r="ME1" s="19"/>
      <c r="MF1" s="19"/>
      <c r="MG1" s="19"/>
      <c r="MH1" s="19"/>
      <c r="MI1" s="19"/>
      <c r="MJ1" s="19"/>
      <c r="MK1" s="19"/>
      <c r="ML1" s="19"/>
      <c r="MM1" s="19"/>
      <c r="MN1" s="19"/>
      <c r="MO1" s="19"/>
      <c r="MP1" s="19"/>
      <c r="MQ1" s="19"/>
      <c r="MR1" s="19"/>
      <c r="MS1" s="19"/>
      <c r="MT1" s="19"/>
      <c r="MU1" s="19"/>
      <c r="MV1" s="19"/>
      <c r="MW1" s="19"/>
      <c r="MX1" s="19"/>
      <c r="MY1" s="19"/>
      <c r="MZ1" s="19"/>
      <c r="NA1" s="19"/>
      <c r="NB1" s="19"/>
      <c r="NC1" s="19"/>
      <c r="ND1" s="19"/>
      <c r="NE1" s="19"/>
      <c r="NF1" s="19"/>
      <c r="NG1" s="19"/>
      <c r="NH1" s="19"/>
      <c r="NI1" s="19"/>
      <c r="NJ1" s="19"/>
      <c r="NK1" s="19"/>
      <c r="NL1" s="19"/>
      <c r="NM1" s="19"/>
      <c r="NN1" s="19"/>
      <c r="NO1" s="19"/>
      <c r="NP1" s="19"/>
      <c r="NQ1" s="19"/>
      <c r="NR1" s="19"/>
      <c r="NS1" s="19"/>
      <c r="NT1" s="19"/>
      <c r="NU1" s="19"/>
      <c r="NV1" s="19"/>
      <c r="NW1" s="19"/>
      <c r="NX1" s="19"/>
      <c r="NY1" s="19"/>
      <c r="NZ1" s="19"/>
      <c r="OA1" s="19"/>
      <c r="OB1" s="19"/>
      <c r="OC1" s="19"/>
      <c r="OD1" s="19"/>
      <c r="OE1" s="19"/>
      <c r="OF1" s="19"/>
      <c r="OG1" s="19"/>
      <c r="OH1" s="19"/>
      <c r="OI1" s="19"/>
      <c r="OJ1" s="19"/>
      <c r="OK1" s="19"/>
      <c r="OL1" s="19"/>
      <c r="OM1" s="19"/>
      <c r="ON1" s="19"/>
      <c r="OO1" s="19"/>
      <c r="OP1" s="19"/>
      <c r="OQ1" s="19"/>
      <c r="OR1" s="19"/>
      <c r="OS1" s="19"/>
      <c r="OT1" s="19"/>
      <c r="OU1" s="19"/>
      <c r="OV1" s="19"/>
      <c r="OW1" s="19"/>
      <c r="OX1" s="19"/>
      <c r="OY1" s="19"/>
      <c r="OZ1" s="19"/>
      <c r="PA1" s="19"/>
      <c r="PB1" s="19"/>
      <c r="PC1" s="19"/>
      <c r="PD1" s="19"/>
      <c r="PE1" s="19"/>
      <c r="PF1" s="19"/>
      <c r="PG1" s="19"/>
      <c r="PH1" s="19"/>
      <c r="PI1" s="19"/>
      <c r="PJ1" s="19"/>
      <c r="PK1" s="19"/>
      <c r="PL1" s="19"/>
      <c r="PM1" s="19"/>
      <c r="PN1" s="19"/>
      <c r="PO1" s="19"/>
      <c r="PP1" s="19"/>
      <c r="PQ1" s="19"/>
      <c r="PR1" s="19"/>
      <c r="PS1" s="19"/>
      <c r="PT1" s="19"/>
      <c r="PU1" s="19"/>
      <c r="PV1" s="19"/>
      <c r="PW1" s="19"/>
      <c r="PX1" s="19"/>
      <c r="PY1" s="19"/>
      <c r="PZ1" s="19"/>
      <c r="QA1" s="19"/>
      <c r="QB1" s="19"/>
      <c r="QC1" s="19"/>
      <c r="QD1" s="19"/>
      <c r="QE1" s="19"/>
      <c r="QF1" s="19"/>
      <c r="QG1" s="19"/>
      <c r="QH1" s="19"/>
      <c r="QI1" s="19"/>
      <c r="QJ1" s="19"/>
      <c r="QK1" s="19"/>
      <c r="QL1" s="19"/>
      <c r="QM1" s="19"/>
      <c r="QN1" s="19"/>
      <c r="QO1" s="19"/>
      <c r="QP1" s="19"/>
      <c r="QQ1" s="19"/>
      <c r="QR1" s="19"/>
      <c r="QS1" s="19"/>
      <c r="QT1" s="19"/>
      <c r="QU1" s="19"/>
      <c r="QV1" s="19"/>
      <c r="QW1" s="19"/>
      <c r="QX1" s="19"/>
      <c r="QY1" s="19"/>
      <c r="QZ1" s="19"/>
      <c r="RA1" s="19"/>
      <c r="RB1" s="19"/>
      <c r="RC1" s="19"/>
      <c r="RD1" s="19"/>
      <c r="RE1" s="19"/>
      <c r="RF1" s="19"/>
      <c r="RG1" s="19"/>
      <c r="RH1" s="19"/>
      <c r="RI1" s="19"/>
      <c r="RJ1" s="19"/>
      <c r="RK1" s="19"/>
      <c r="RL1" s="19"/>
      <c r="RM1" s="19"/>
      <c r="RN1" s="19"/>
      <c r="RO1" s="19"/>
      <c r="RP1" s="19"/>
      <c r="RQ1" s="19"/>
      <c r="RR1" s="19"/>
      <c r="RS1" s="19"/>
      <c r="RT1" s="19"/>
      <c r="RU1" s="19"/>
      <c r="RV1" s="19"/>
      <c r="RW1" s="19"/>
      <c r="RX1" s="19"/>
      <c r="RY1" s="19"/>
      <c r="RZ1" s="19"/>
      <c r="SA1" s="19"/>
      <c r="SB1" s="19"/>
      <c r="SC1" s="19"/>
      <c r="SD1" s="19"/>
      <c r="SE1" s="19"/>
      <c r="SF1" s="19"/>
      <c r="SG1" s="19"/>
      <c r="SH1" s="19"/>
      <c r="SI1" s="19"/>
      <c r="SJ1" s="19"/>
      <c r="SK1" s="19"/>
      <c r="SL1" s="19"/>
      <c r="SM1" s="19"/>
      <c r="SN1" s="19"/>
      <c r="SO1" s="19"/>
      <c r="SP1" s="19"/>
      <c r="SQ1" s="19"/>
      <c r="SR1" s="19"/>
      <c r="SS1" s="19"/>
      <c r="ST1" s="19"/>
      <c r="SU1" s="19"/>
      <c r="SV1" s="19"/>
      <c r="SW1" s="19"/>
      <c r="SX1" s="19"/>
      <c r="SY1" s="19"/>
      <c r="SZ1" s="19"/>
      <c r="TA1" s="19"/>
      <c r="TB1" s="19"/>
      <c r="TC1" s="19"/>
      <c r="TD1" s="19"/>
      <c r="TE1" s="19"/>
      <c r="TF1" s="19"/>
      <c r="TG1" s="19"/>
      <c r="TH1" s="19"/>
      <c r="TI1" s="19"/>
      <c r="TJ1" s="19"/>
      <c r="TK1" s="19"/>
      <c r="TL1" s="19"/>
      <c r="TM1" s="19"/>
      <c r="TN1" s="19"/>
      <c r="TO1" s="19"/>
      <c r="TP1" s="19"/>
      <c r="TQ1" s="19"/>
      <c r="TR1" s="19"/>
      <c r="TS1" s="19"/>
      <c r="TT1" s="19"/>
      <c r="TU1" s="19"/>
      <c r="TV1" s="19"/>
      <c r="TW1" s="19"/>
      <c r="TX1" s="19"/>
      <c r="TY1" s="19"/>
      <c r="TZ1" s="19"/>
      <c r="UA1" s="19"/>
      <c r="UB1" s="19"/>
      <c r="UC1" s="19"/>
      <c r="UD1" s="19"/>
      <c r="UE1" s="19"/>
      <c r="UF1" s="19"/>
      <c r="UG1" s="19"/>
      <c r="UH1" s="19"/>
      <c r="UI1" s="19"/>
      <c r="UJ1" s="19"/>
      <c r="UK1" s="19"/>
      <c r="UL1" s="19"/>
      <c r="UM1" s="19"/>
      <c r="UN1" s="19"/>
      <c r="UO1" s="19"/>
      <c r="UP1" s="19"/>
      <c r="UQ1" s="19"/>
      <c r="UR1" s="19"/>
      <c r="US1" s="19"/>
      <c r="UT1" s="19"/>
      <c r="UU1" s="19"/>
      <c r="UV1" s="19"/>
      <c r="UW1" s="19"/>
      <c r="UX1" s="19"/>
      <c r="UY1" s="19"/>
      <c r="UZ1" s="19"/>
      <c r="VA1" s="19"/>
      <c r="VB1" s="19"/>
      <c r="VC1" s="19"/>
      <c r="VD1" s="19"/>
      <c r="VE1" s="19"/>
      <c r="VF1" s="19"/>
      <c r="VG1" s="19"/>
      <c r="VH1" s="19"/>
      <c r="VI1" s="19"/>
      <c r="VJ1" s="19"/>
      <c r="VK1" s="19"/>
      <c r="VL1" s="19"/>
      <c r="VM1" s="19"/>
      <c r="VN1" s="19"/>
      <c r="VO1" s="19"/>
      <c r="VP1" s="19"/>
      <c r="VQ1" s="19"/>
      <c r="VR1" s="19"/>
      <c r="VS1" s="19"/>
      <c r="VT1" s="19"/>
      <c r="VU1" s="19"/>
      <c r="VV1" s="19"/>
      <c r="VW1" s="19"/>
      <c r="VX1" s="19"/>
      <c r="VY1" s="19"/>
      <c r="VZ1" s="19"/>
      <c r="WA1" s="19"/>
      <c r="WB1" s="19"/>
      <c r="WC1" s="19"/>
      <c r="WD1" s="19"/>
      <c r="WE1" s="19"/>
      <c r="WF1" s="19"/>
      <c r="WG1" s="19"/>
      <c r="WH1" s="19"/>
      <c r="WI1" s="19"/>
      <c r="WJ1" s="19"/>
      <c r="WK1" s="19"/>
      <c r="WL1" s="19"/>
      <c r="WM1" s="19"/>
      <c r="WN1" s="19"/>
      <c r="WO1" s="19"/>
      <c r="WP1" s="19"/>
      <c r="WQ1" s="19"/>
      <c r="WR1" s="19"/>
      <c r="WS1" s="19"/>
      <c r="WT1" s="19"/>
      <c r="WU1" s="19"/>
      <c r="WV1" s="19"/>
      <c r="WW1" s="19"/>
      <c r="WX1" s="19"/>
      <c r="WY1" s="19"/>
      <c r="WZ1" s="19"/>
      <c r="XA1" s="19"/>
      <c r="XB1" s="19"/>
      <c r="XC1" s="19"/>
      <c r="XD1" s="19"/>
      <c r="XE1" s="19"/>
      <c r="XF1" s="19"/>
      <c r="XG1" s="19"/>
      <c r="XH1" s="19"/>
      <c r="XI1" s="19"/>
      <c r="XJ1" s="19"/>
      <c r="XK1" s="19"/>
      <c r="XL1" s="19"/>
      <c r="XM1" s="19"/>
      <c r="XN1" s="19"/>
      <c r="XO1" s="19"/>
      <c r="XP1" s="19"/>
      <c r="XQ1" s="19"/>
      <c r="XR1" s="19"/>
      <c r="XS1" s="19"/>
      <c r="XT1" s="19"/>
      <c r="XU1" s="19"/>
      <c r="XV1" s="19"/>
      <c r="XW1" s="19"/>
      <c r="XX1" s="19"/>
      <c r="XY1" s="19"/>
      <c r="XZ1" s="19"/>
      <c r="YA1" s="19"/>
      <c r="YB1" s="19"/>
      <c r="YC1" s="19"/>
      <c r="YD1" s="19"/>
      <c r="YE1" s="19"/>
      <c r="YF1" s="19"/>
      <c r="YG1" s="19"/>
      <c r="YH1" s="19"/>
      <c r="YI1" s="19"/>
      <c r="YJ1" s="19"/>
      <c r="YK1" s="19"/>
      <c r="YL1" s="19"/>
      <c r="YM1" s="19"/>
      <c r="YN1" s="19"/>
      <c r="YO1" s="19"/>
      <c r="YP1" s="19"/>
      <c r="YQ1" s="19"/>
      <c r="YR1" s="19"/>
      <c r="YS1" s="19"/>
      <c r="YT1" s="19"/>
      <c r="YU1" s="19"/>
      <c r="YV1" s="19"/>
      <c r="YW1" s="19"/>
      <c r="YX1" s="19"/>
      <c r="YY1" s="19"/>
      <c r="YZ1" s="19"/>
      <c r="ZA1" s="19"/>
      <c r="ZB1" s="19"/>
      <c r="ZC1" s="19"/>
      <c r="ZD1" s="19"/>
      <c r="ZE1" s="19"/>
      <c r="ZF1" s="19"/>
      <c r="ZG1" s="19"/>
      <c r="ZH1" s="19"/>
      <c r="ZI1" s="19"/>
      <c r="ZJ1" s="19"/>
      <c r="ZK1" s="19"/>
      <c r="ZL1" s="19"/>
      <c r="ZM1" s="19"/>
      <c r="ZN1" s="19"/>
      <c r="ZO1" s="19"/>
      <c r="ZP1" s="19"/>
      <c r="ZQ1" s="19"/>
      <c r="ZR1" s="19"/>
      <c r="ZS1" s="19"/>
      <c r="ZT1" s="19"/>
      <c r="ZU1" s="19"/>
      <c r="ZV1" s="19"/>
      <c r="ZW1" s="19"/>
      <c r="ZX1" s="19"/>
      <c r="ZY1" s="19"/>
      <c r="ZZ1" s="19"/>
      <c r="AAA1" s="19"/>
      <c r="AAB1" s="19"/>
      <c r="AAC1" s="19"/>
      <c r="AAD1" s="19"/>
      <c r="AAE1" s="19"/>
      <c r="AAF1" s="19"/>
      <c r="AAG1" s="19"/>
      <c r="AAH1" s="19"/>
      <c r="AAI1" s="19"/>
      <c r="AAJ1" s="19"/>
      <c r="AAK1" s="19"/>
      <c r="AAL1" s="19"/>
      <c r="AAM1" s="19"/>
      <c r="AAN1" s="19"/>
      <c r="AAO1" s="19"/>
      <c r="AAP1" s="19"/>
      <c r="AAQ1" s="19"/>
      <c r="AAR1" s="19"/>
      <c r="AAS1" s="19"/>
      <c r="AAT1" s="19"/>
      <c r="AAU1" s="19"/>
      <c r="AAV1" s="19"/>
      <c r="AAW1" s="19"/>
      <c r="AAX1" s="19"/>
      <c r="AAY1" s="19"/>
      <c r="AAZ1" s="19"/>
      <c r="ABA1" s="19"/>
      <c r="ABB1" s="19"/>
      <c r="ABC1" s="19"/>
      <c r="ABD1" s="19"/>
      <c r="ABE1" s="19"/>
      <c r="ABF1" s="19"/>
      <c r="ABG1" s="19"/>
      <c r="ABH1" s="19"/>
      <c r="ABI1" s="19"/>
      <c r="ABJ1" s="19"/>
      <c r="ABK1" s="19"/>
      <c r="ABL1" s="19"/>
      <c r="ABM1" s="19"/>
      <c r="ABN1" s="19"/>
      <c r="ABO1" s="19"/>
      <c r="ABP1" s="19"/>
      <c r="ABQ1" s="19"/>
      <c r="ABR1" s="19"/>
      <c r="ABS1" s="19"/>
      <c r="ABT1" s="19"/>
      <c r="ABU1" s="19"/>
      <c r="ABV1" s="19"/>
      <c r="ABW1" s="19"/>
      <c r="ABX1" s="19"/>
      <c r="ABY1" s="19"/>
      <c r="ABZ1" s="19"/>
      <c r="ACA1" s="19"/>
      <c r="ACB1" s="19"/>
      <c r="ACC1" s="19"/>
      <c r="ACD1" s="19"/>
      <c r="ACE1" s="19"/>
      <c r="ACF1" s="19"/>
      <c r="ACG1" s="19"/>
      <c r="ACH1" s="19"/>
      <c r="ACI1" s="19"/>
      <c r="ACJ1" s="19"/>
      <c r="ACK1" s="19"/>
      <c r="ACL1" s="19"/>
      <c r="ACM1" s="19"/>
      <c r="ACN1" s="19"/>
      <c r="ACO1" s="19"/>
      <c r="ACP1" s="19"/>
      <c r="ACQ1" s="19"/>
      <c r="ACR1" s="19"/>
      <c r="ACS1" s="19"/>
      <c r="ACT1" s="19"/>
      <c r="ACU1" s="19"/>
      <c r="ACV1" s="19"/>
      <c r="ACW1" s="19"/>
      <c r="ACX1" s="19"/>
      <c r="ACY1" s="19"/>
      <c r="ACZ1" s="19"/>
      <c r="ADA1" s="19"/>
      <c r="ADB1" s="19"/>
      <c r="ADC1" s="19"/>
      <c r="ADD1" s="19"/>
      <c r="ADE1" s="19"/>
      <c r="ADF1" s="19"/>
      <c r="ADG1" s="19"/>
      <c r="ADH1" s="19"/>
      <c r="ADI1" s="19"/>
      <c r="ADJ1" s="19"/>
      <c r="ADK1" s="19"/>
      <c r="ADL1" s="19"/>
      <c r="ADM1" s="19"/>
      <c r="ADN1" s="19"/>
      <c r="ADO1" s="19"/>
      <c r="ADP1" s="19"/>
      <c r="ADQ1" s="19"/>
      <c r="ADR1" s="19"/>
      <c r="ADS1" s="19"/>
      <c r="ADT1" s="19"/>
      <c r="ADU1" s="19"/>
      <c r="ADV1" s="19"/>
      <c r="ADW1" s="19"/>
      <c r="ADX1" s="19"/>
      <c r="ADY1" s="19"/>
      <c r="ADZ1" s="19"/>
      <c r="AEA1" s="19"/>
      <c r="AEB1" s="19"/>
      <c r="AEC1" s="19"/>
      <c r="AED1" s="19"/>
      <c r="AEE1" s="19"/>
      <c r="AEF1" s="19"/>
      <c r="AEG1" s="19"/>
      <c r="AEH1" s="19"/>
      <c r="AEI1" s="19"/>
      <c r="AEJ1" s="19"/>
      <c r="AEK1" s="19"/>
      <c r="AEL1" s="19"/>
      <c r="AEM1" s="19"/>
      <c r="AEN1" s="19"/>
      <c r="AEO1" s="19"/>
      <c r="AEP1" s="19"/>
      <c r="AEQ1" s="19"/>
      <c r="AER1" s="19"/>
      <c r="AES1" s="19"/>
      <c r="AET1" s="19"/>
      <c r="AEU1" s="19"/>
      <c r="AEV1" s="19"/>
      <c r="AEW1" s="19"/>
      <c r="AEX1" s="19"/>
      <c r="AEY1" s="19"/>
      <c r="AEZ1" s="19"/>
      <c r="AFA1" s="19"/>
      <c r="AFB1" s="19"/>
      <c r="AFC1" s="19"/>
      <c r="AFD1" s="19"/>
      <c r="AFE1" s="19"/>
      <c r="AFF1" s="19"/>
      <c r="AFG1" s="19"/>
      <c r="AFH1" s="19"/>
      <c r="AFI1" s="19"/>
      <c r="AFJ1" s="19"/>
      <c r="AFK1" s="19"/>
      <c r="AFL1" s="19"/>
      <c r="AFM1" s="19"/>
      <c r="AFN1" s="19"/>
      <c r="AFO1" s="19"/>
      <c r="AFP1" s="19"/>
      <c r="AFQ1" s="19"/>
      <c r="AFR1" s="19"/>
      <c r="AFS1" s="19"/>
      <c r="AFT1" s="19"/>
      <c r="AFU1" s="19"/>
      <c r="AFV1" s="19"/>
      <c r="AFW1" s="19"/>
      <c r="AFX1" s="19"/>
      <c r="AFY1" s="19"/>
      <c r="AFZ1" s="19"/>
      <c r="AGA1" s="19"/>
      <c r="AGB1" s="19"/>
      <c r="AGC1" s="19"/>
      <c r="AGD1" s="19"/>
      <c r="AGE1" s="19"/>
      <c r="AGF1" s="19"/>
      <c r="AGG1" s="19"/>
      <c r="AGH1" s="19"/>
      <c r="AGI1" s="19"/>
      <c r="AGJ1" s="19"/>
      <c r="AGK1" s="19"/>
      <c r="AGL1" s="19"/>
      <c r="AGM1" s="19"/>
      <c r="AGN1" s="19"/>
      <c r="AGO1" s="19"/>
      <c r="AGP1" s="19"/>
      <c r="AGQ1" s="19"/>
      <c r="AGR1" s="19"/>
      <c r="AGS1" s="19"/>
      <c r="AGT1" s="19"/>
      <c r="AGU1" s="19"/>
      <c r="AGV1" s="19"/>
      <c r="AGW1" s="19"/>
      <c r="AGX1" s="19"/>
      <c r="AGY1" s="19"/>
      <c r="AGZ1" s="19"/>
      <c r="AHA1" s="19"/>
      <c r="AHB1" s="19"/>
      <c r="AHC1" s="19"/>
      <c r="AHD1" s="19"/>
      <c r="AHE1" s="19"/>
      <c r="AHF1" s="19"/>
      <c r="AHG1" s="19"/>
      <c r="AHH1" s="19"/>
      <c r="AHI1" s="19"/>
      <c r="AHJ1" s="19"/>
      <c r="AHK1" s="19"/>
      <c r="AHL1" s="19"/>
      <c r="AHM1" s="19"/>
      <c r="AHN1" s="19"/>
      <c r="AHO1" s="19"/>
      <c r="AHP1" s="19"/>
      <c r="AHQ1" s="19"/>
      <c r="AHR1" s="19"/>
      <c r="AHS1" s="19"/>
      <c r="AHT1" s="19"/>
      <c r="AHU1" s="19"/>
      <c r="AHV1" s="19"/>
      <c r="AHW1" s="19"/>
      <c r="AHX1" s="19"/>
      <c r="AHY1" s="19"/>
      <c r="AHZ1" s="19"/>
      <c r="AIA1" s="19"/>
      <c r="AIB1" s="19"/>
      <c r="AIC1" s="19"/>
      <c r="AID1" s="19"/>
      <c r="AIE1" s="19"/>
      <c r="AIF1" s="19"/>
      <c r="AIG1" s="19"/>
      <c r="AIH1" s="19"/>
      <c r="AII1" s="19"/>
      <c r="AIJ1" s="19"/>
      <c r="AIK1" s="19"/>
      <c r="AIL1" s="19"/>
      <c r="AIM1" s="19"/>
      <c r="AIN1" s="19"/>
      <c r="AIO1" s="19"/>
      <c r="AIP1" s="19"/>
      <c r="AIQ1" s="19"/>
      <c r="AIR1" s="19"/>
      <c r="AIS1" s="19"/>
      <c r="AIT1" s="19"/>
      <c r="AIU1" s="19"/>
      <c r="AIV1" s="19"/>
      <c r="AIW1" s="19"/>
      <c r="AIX1" s="19"/>
      <c r="AIY1" s="19"/>
      <c r="AIZ1" s="19"/>
      <c r="AJA1" s="19"/>
      <c r="AJB1" s="19"/>
      <c r="AJC1" s="19"/>
      <c r="AJD1" s="19"/>
      <c r="AJE1" s="19"/>
      <c r="AJF1" s="19"/>
      <c r="AJG1" s="19"/>
      <c r="AJH1" s="19"/>
      <c r="AJI1" s="19"/>
      <c r="AJJ1" s="19"/>
      <c r="AJK1" s="19"/>
      <c r="AJL1" s="19"/>
      <c r="AJM1" s="19"/>
      <c r="AJN1" s="19"/>
      <c r="AJO1" s="19"/>
      <c r="AJP1" s="19"/>
      <c r="AJQ1" s="19"/>
      <c r="AJR1" s="19"/>
      <c r="AJS1" s="19"/>
      <c r="AJT1" s="19"/>
      <c r="AJU1" s="19"/>
      <c r="AJV1" s="19"/>
      <c r="AJW1" s="19"/>
      <c r="AJX1" s="19"/>
      <c r="AJY1" s="19"/>
      <c r="AJZ1" s="19"/>
      <c r="AKA1" s="19"/>
      <c r="AKB1" s="19"/>
      <c r="AKC1" s="19"/>
      <c r="AKD1" s="19"/>
      <c r="AKE1" s="19"/>
      <c r="AKF1" s="19"/>
      <c r="AKG1" s="19"/>
      <c r="AKH1" s="19"/>
      <c r="AKI1" s="19"/>
      <c r="AKJ1" s="19"/>
      <c r="AKK1" s="19"/>
      <c r="AKL1" s="19"/>
      <c r="AKM1" s="19"/>
      <c r="AKN1" s="19"/>
      <c r="AKO1" s="19"/>
      <c r="AKP1" s="19"/>
      <c r="AKQ1" s="19"/>
      <c r="AKR1" s="19"/>
      <c r="AKS1" s="19"/>
      <c r="AKT1" s="19"/>
      <c r="AKU1" s="19"/>
      <c r="AKV1" s="19"/>
      <c r="AKW1" s="19"/>
      <c r="AKX1" s="19"/>
      <c r="AKY1" s="19"/>
      <c r="AKZ1" s="19"/>
      <c r="ALA1" s="19"/>
      <c r="ALB1" s="19"/>
      <c r="ALC1" s="19"/>
      <c r="ALD1" s="19"/>
      <c r="ALE1" s="19"/>
      <c r="ALF1" s="19"/>
      <c r="ALG1" s="19"/>
      <c r="ALH1" s="19"/>
      <c r="ALI1" s="19"/>
      <c r="ALJ1" s="19"/>
      <c r="ALK1" s="19"/>
      <c r="ALL1" s="19"/>
      <c r="ALM1" s="19"/>
      <c r="ALN1" s="19"/>
      <c r="ALO1" s="19"/>
      <c r="ALP1" s="19"/>
      <c r="ALQ1" s="19"/>
      <c r="ALR1" s="19"/>
      <c r="ALS1" s="19"/>
      <c r="ALT1" s="19"/>
      <c r="ALU1" s="19"/>
      <c r="ALV1" s="19"/>
      <c r="ALW1" s="19"/>
      <c r="ALX1" s="19"/>
      <c r="ALY1" s="19"/>
      <c r="ALZ1" s="19"/>
      <c r="AMA1" s="19"/>
      <c r="AMB1" s="19"/>
      <c r="AMC1" s="19"/>
      <c r="AMD1" s="19"/>
      <c r="AME1" s="19"/>
      <c r="AMF1" s="19"/>
      <c r="AMG1" s="19"/>
      <c r="AMH1" s="19"/>
      <c r="AMI1" s="19"/>
      <c r="AMJ1" s="19"/>
      <c r="AMK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25</v>
      </c>
      <c r="D3" s="5" t="s">
        <v>9</v>
      </c>
      <c r="E3" s="22" t="s">
        <v>47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  <c r="EY3" s="23"/>
      <c r="EZ3" s="23"/>
      <c r="FA3" s="23"/>
      <c r="FB3" s="23"/>
      <c r="FC3" s="23"/>
      <c r="FD3" s="23"/>
      <c r="FE3" s="23"/>
      <c r="FF3" s="23"/>
      <c r="FG3" s="23"/>
      <c r="FH3" s="23"/>
      <c r="FI3" s="23"/>
      <c r="FJ3" s="23"/>
      <c r="FK3" s="23"/>
      <c r="FL3" s="23"/>
      <c r="FM3" s="23"/>
      <c r="FN3" s="23"/>
      <c r="FO3" s="23"/>
      <c r="FP3" s="23"/>
      <c r="FQ3" s="23"/>
      <c r="FR3" s="23"/>
      <c r="FS3" s="23"/>
      <c r="FT3" s="23"/>
      <c r="FU3" s="23"/>
      <c r="FV3" s="23"/>
      <c r="FW3" s="23"/>
      <c r="FX3" s="23"/>
      <c r="FY3" s="23"/>
      <c r="FZ3" s="23"/>
      <c r="GA3" s="23"/>
      <c r="GB3" s="23"/>
      <c r="GC3" s="23"/>
      <c r="GD3" s="23"/>
      <c r="GE3" s="23"/>
      <c r="GF3" s="23"/>
      <c r="GG3" s="23"/>
      <c r="GH3" s="23"/>
      <c r="GI3" s="23"/>
      <c r="GJ3" s="23"/>
      <c r="GK3" s="23"/>
      <c r="GL3" s="23"/>
      <c r="GM3" s="23"/>
      <c r="GN3" s="23"/>
      <c r="GO3" s="23"/>
      <c r="GP3" s="23"/>
      <c r="GQ3" s="23"/>
      <c r="GR3" s="23"/>
      <c r="GS3" s="23"/>
      <c r="GT3" s="23"/>
      <c r="GU3" s="23"/>
      <c r="GV3" s="23"/>
      <c r="GW3" s="23"/>
      <c r="GX3" s="23"/>
      <c r="GY3" s="23"/>
      <c r="GZ3" s="23"/>
      <c r="HA3" s="23"/>
      <c r="HB3" s="23"/>
      <c r="HC3" s="23"/>
      <c r="HD3" s="23"/>
      <c r="HE3" s="23"/>
      <c r="HF3" s="23"/>
      <c r="HG3" s="23"/>
      <c r="HH3" s="23"/>
      <c r="HI3" s="23"/>
      <c r="HJ3" s="23"/>
      <c r="HK3" s="23"/>
      <c r="HL3" s="23"/>
      <c r="HM3" s="23"/>
      <c r="HN3" s="23"/>
      <c r="HO3" s="23"/>
      <c r="HP3" s="23"/>
      <c r="HQ3" s="23"/>
      <c r="HR3" s="23"/>
      <c r="HS3" s="23"/>
      <c r="HT3" s="23"/>
      <c r="HU3" s="23"/>
      <c r="HV3" s="23"/>
      <c r="HW3" s="23"/>
      <c r="HX3" s="23"/>
      <c r="HY3" s="23"/>
      <c r="HZ3" s="23"/>
      <c r="IA3" s="23"/>
      <c r="IB3" s="23"/>
      <c r="IC3" s="23"/>
      <c r="ID3" s="23"/>
      <c r="IE3" s="23"/>
      <c r="IF3" s="23"/>
      <c r="IG3" s="23"/>
      <c r="IH3" s="23"/>
      <c r="II3" s="23"/>
      <c r="IJ3" s="23"/>
      <c r="IK3" s="23"/>
      <c r="IL3" s="23"/>
      <c r="IM3" s="23"/>
      <c r="IN3" s="23"/>
      <c r="IO3" s="23"/>
      <c r="IP3" s="23"/>
      <c r="IQ3" s="23"/>
      <c r="IR3" s="23"/>
      <c r="IS3" s="23"/>
      <c r="IT3" s="23"/>
      <c r="IU3" s="23"/>
      <c r="IV3" s="23"/>
      <c r="IW3" s="23"/>
      <c r="IX3" s="23"/>
      <c r="IY3" s="23"/>
      <c r="IZ3" s="23"/>
      <c r="JA3" s="23"/>
      <c r="JB3" s="23"/>
      <c r="JC3" s="23"/>
      <c r="JD3" s="23"/>
      <c r="JE3" s="23"/>
      <c r="JF3" s="23"/>
      <c r="JG3" s="23"/>
      <c r="JH3" s="23"/>
      <c r="JI3" s="23"/>
      <c r="JJ3" s="23"/>
      <c r="JK3" s="23"/>
      <c r="JL3" s="23"/>
      <c r="JM3" s="23"/>
      <c r="JN3" s="23"/>
      <c r="JO3" s="23"/>
      <c r="JP3" s="23"/>
      <c r="JQ3" s="23"/>
      <c r="JR3" s="23"/>
      <c r="JS3" s="23"/>
      <c r="JT3" s="23"/>
      <c r="JU3" s="23"/>
      <c r="JV3" s="23"/>
      <c r="JW3" s="23"/>
      <c r="JX3" s="23"/>
      <c r="JY3" s="23"/>
      <c r="JZ3" s="23"/>
      <c r="KA3" s="23"/>
      <c r="KB3" s="23"/>
      <c r="KC3" s="23"/>
      <c r="KD3" s="23"/>
      <c r="KE3" s="23"/>
      <c r="KF3" s="23"/>
      <c r="KG3" s="23"/>
      <c r="KH3" s="23"/>
      <c r="KI3" s="23"/>
      <c r="KJ3" s="23"/>
      <c r="KK3" s="23"/>
      <c r="KL3" s="23"/>
      <c r="KM3" s="23"/>
      <c r="KN3" s="23"/>
      <c r="KO3" s="23"/>
      <c r="KP3" s="23"/>
      <c r="KQ3" s="23"/>
      <c r="KR3" s="23"/>
      <c r="KS3" s="23"/>
      <c r="KT3" s="23"/>
      <c r="KU3" s="23"/>
      <c r="KV3" s="23"/>
      <c r="KW3" s="23"/>
      <c r="KX3" s="23"/>
      <c r="KY3" s="23"/>
      <c r="KZ3" s="23"/>
      <c r="LA3" s="23"/>
      <c r="LB3" s="23"/>
      <c r="LC3" s="23"/>
      <c r="LD3" s="23"/>
      <c r="LE3" s="23"/>
      <c r="LF3" s="23"/>
      <c r="LG3" s="23"/>
      <c r="LH3" s="23"/>
      <c r="LI3" s="23"/>
      <c r="LJ3" s="23"/>
      <c r="LK3" s="23"/>
      <c r="LL3" s="23"/>
      <c r="LM3" s="23"/>
      <c r="LN3" s="23"/>
      <c r="LO3" s="23"/>
      <c r="LP3" s="23"/>
      <c r="LQ3" s="23"/>
      <c r="LR3" s="23"/>
      <c r="LS3" s="23"/>
      <c r="LT3" s="23"/>
      <c r="LU3" s="23"/>
      <c r="LV3" s="23"/>
      <c r="LW3" s="23"/>
      <c r="LX3" s="23"/>
      <c r="LY3" s="23"/>
      <c r="LZ3" s="23"/>
      <c r="MA3" s="23"/>
      <c r="MB3" s="23"/>
      <c r="MC3" s="23"/>
      <c r="MD3" s="23"/>
      <c r="ME3" s="23"/>
      <c r="MF3" s="23"/>
      <c r="MG3" s="23"/>
      <c r="MH3" s="23"/>
      <c r="MI3" s="23"/>
      <c r="MJ3" s="23"/>
      <c r="MK3" s="23"/>
      <c r="ML3" s="23"/>
      <c r="MM3" s="23"/>
      <c r="MN3" s="23"/>
      <c r="MO3" s="23"/>
      <c r="MP3" s="23"/>
      <c r="MQ3" s="23"/>
      <c r="MR3" s="23"/>
      <c r="MS3" s="23"/>
      <c r="MT3" s="23"/>
      <c r="MU3" s="23"/>
      <c r="MV3" s="23"/>
      <c r="MW3" s="23"/>
      <c r="MX3" s="23"/>
      <c r="MY3" s="23"/>
      <c r="MZ3" s="23"/>
      <c r="NA3" s="23"/>
      <c r="NB3" s="23"/>
      <c r="NC3" s="23"/>
      <c r="ND3" s="23"/>
      <c r="NE3" s="23"/>
      <c r="NF3" s="23"/>
      <c r="NG3" s="23"/>
      <c r="NH3" s="23"/>
      <c r="NI3" s="23"/>
      <c r="NJ3" s="23"/>
      <c r="NK3" s="23"/>
      <c r="NL3" s="23"/>
      <c r="NM3" s="23"/>
      <c r="NN3" s="23"/>
      <c r="NO3" s="23"/>
      <c r="NP3" s="23"/>
      <c r="NQ3" s="23"/>
      <c r="NR3" s="23"/>
      <c r="NS3" s="23"/>
      <c r="NT3" s="23"/>
      <c r="NU3" s="23"/>
      <c r="NV3" s="23"/>
      <c r="NW3" s="23"/>
      <c r="NX3" s="23"/>
      <c r="NY3" s="23"/>
      <c r="NZ3" s="23"/>
      <c r="OA3" s="23"/>
      <c r="OB3" s="23"/>
      <c r="OC3" s="23"/>
      <c r="OD3" s="23"/>
      <c r="OE3" s="23"/>
      <c r="OF3" s="23"/>
      <c r="OG3" s="23"/>
      <c r="OH3" s="23"/>
      <c r="OI3" s="23"/>
      <c r="OJ3" s="23"/>
      <c r="OK3" s="23"/>
      <c r="OL3" s="23"/>
      <c r="OM3" s="23"/>
      <c r="ON3" s="23"/>
      <c r="OO3" s="23"/>
      <c r="OP3" s="23"/>
      <c r="OQ3" s="23"/>
      <c r="OR3" s="23"/>
      <c r="OS3" s="23"/>
      <c r="OT3" s="23"/>
      <c r="OU3" s="23"/>
      <c r="OV3" s="23"/>
      <c r="OW3" s="23"/>
      <c r="OX3" s="23"/>
      <c r="OY3" s="23"/>
      <c r="OZ3" s="23"/>
      <c r="PA3" s="23"/>
      <c r="PB3" s="23"/>
      <c r="PC3" s="23"/>
      <c r="PD3" s="23"/>
      <c r="PE3" s="23"/>
      <c r="PF3" s="23"/>
      <c r="PG3" s="23"/>
      <c r="PH3" s="23"/>
      <c r="PI3" s="23"/>
      <c r="PJ3" s="23"/>
      <c r="PK3" s="23"/>
      <c r="PL3" s="23"/>
      <c r="PM3" s="23"/>
      <c r="PN3" s="23"/>
      <c r="PO3" s="23"/>
      <c r="PP3" s="23"/>
      <c r="PQ3" s="23"/>
      <c r="PR3" s="23"/>
      <c r="PS3" s="23"/>
      <c r="PT3" s="23"/>
      <c r="PU3" s="23"/>
      <c r="PV3" s="23"/>
      <c r="PW3" s="23"/>
      <c r="PX3" s="23"/>
      <c r="PY3" s="23"/>
      <c r="PZ3" s="23"/>
      <c r="QA3" s="23"/>
      <c r="QB3" s="23"/>
      <c r="QC3" s="23"/>
      <c r="QD3" s="23"/>
      <c r="QE3" s="23"/>
      <c r="QF3" s="23"/>
      <c r="QG3" s="23"/>
      <c r="QH3" s="23"/>
      <c r="QI3" s="23"/>
      <c r="QJ3" s="23"/>
      <c r="QK3" s="23"/>
      <c r="QL3" s="23"/>
      <c r="QM3" s="23"/>
      <c r="QN3" s="23"/>
      <c r="QO3" s="23"/>
      <c r="QP3" s="23"/>
      <c r="QQ3" s="23"/>
      <c r="QR3" s="23"/>
      <c r="QS3" s="23"/>
      <c r="QT3" s="23"/>
      <c r="QU3" s="23"/>
      <c r="QV3" s="23"/>
      <c r="QW3" s="23"/>
      <c r="QX3" s="23"/>
      <c r="QY3" s="23"/>
      <c r="QZ3" s="23"/>
      <c r="RA3" s="23"/>
      <c r="RB3" s="23"/>
      <c r="RC3" s="23"/>
      <c r="RD3" s="23"/>
      <c r="RE3" s="23"/>
      <c r="RF3" s="23"/>
      <c r="RG3" s="23"/>
      <c r="RH3" s="23"/>
      <c r="RI3" s="23"/>
      <c r="RJ3" s="23"/>
      <c r="RK3" s="23"/>
      <c r="RL3" s="23"/>
      <c r="RM3" s="23"/>
      <c r="RN3" s="23"/>
      <c r="RO3" s="23"/>
      <c r="RP3" s="23"/>
      <c r="RQ3" s="23"/>
      <c r="RR3" s="23"/>
      <c r="RS3" s="23"/>
      <c r="RT3" s="23"/>
      <c r="RU3" s="23"/>
      <c r="RV3" s="23"/>
      <c r="RW3" s="23"/>
      <c r="RX3" s="23"/>
      <c r="RY3" s="23"/>
      <c r="RZ3" s="23"/>
      <c r="SA3" s="23"/>
      <c r="SB3" s="23"/>
      <c r="SC3" s="23"/>
      <c r="SD3" s="23"/>
      <c r="SE3" s="23"/>
      <c r="SF3" s="23"/>
      <c r="SG3" s="23"/>
      <c r="SH3" s="23"/>
      <c r="SI3" s="23"/>
      <c r="SJ3" s="23"/>
      <c r="SK3" s="23"/>
      <c r="SL3" s="23"/>
      <c r="SM3" s="23"/>
      <c r="SN3" s="23"/>
      <c r="SO3" s="23"/>
      <c r="SP3" s="23"/>
      <c r="SQ3" s="23"/>
      <c r="SR3" s="23"/>
      <c r="SS3" s="23"/>
      <c r="ST3" s="23"/>
      <c r="SU3" s="23"/>
      <c r="SV3" s="23"/>
      <c r="SW3" s="23"/>
      <c r="SX3" s="23"/>
      <c r="SY3" s="23"/>
      <c r="SZ3" s="23"/>
      <c r="TA3" s="23"/>
      <c r="TB3" s="23"/>
      <c r="TC3" s="23"/>
      <c r="TD3" s="23"/>
      <c r="TE3" s="23"/>
      <c r="TF3" s="23"/>
      <c r="TG3" s="23"/>
      <c r="TH3" s="23"/>
      <c r="TI3" s="23"/>
      <c r="TJ3" s="23"/>
      <c r="TK3" s="23"/>
      <c r="TL3" s="23"/>
      <c r="TM3" s="23"/>
      <c r="TN3" s="23"/>
      <c r="TO3" s="23"/>
      <c r="TP3" s="23"/>
      <c r="TQ3" s="23"/>
      <c r="TR3" s="23"/>
      <c r="TS3" s="23"/>
      <c r="TT3" s="23"/>
      <c r="TU3" s="23"/>
      <c r="TV3" s="23"/>
      <c r="TW3" s="23"/>
      <c r="TX3" s="23"/>
      <c r="TY3" s="23"/>
      <c r="TZ3" s="23"/>
      <c r="UA3" s="23"/>
      <c r="UB3" s="23"/>
      <c r="UC3" s="23"/>
      <c r="UD3" s="23"/>
      <c r="UE3" s="23"/>
      <c r="UF3" s="23"/>
      <c r="UG3" s="23"/>
      <c r="UH3" s="23"/>
      <c r="UI3" s="23"/>
      <c r="UJ3" s="23"/>
      <c r="UK3" s="23"/>
      <c r="UL3" s="23"/>
      <c r="UM3" s="23"/>
      <c r="UN3" s="23"/>
      <c r="UO3" s="23"/>
      <c r="UP3" s="23"/>
      <c r="UQ3" s="23"/>
      <c r="UR3" s="23"/>
      <c r="US3" s="23"/>
      <c r="UT3" s="23"/>
      <c r="UU3" s="23"/>
      <c r="UV3" s="23"/>
      <c r="UW3" s="23"/>
      <c r="UX3" s="23"/>
      <c r="UY3" s="23"/>
      <c r="UZ3" s="23"/>
      <c r="VA3" s="23"/>
      <c r="VB3" s="23"/>
      <c r="VC3" s="23"/>
      <c r="VD3" s="23"/>
      <c r="VE3" s="23"/>
      <c r="VF3" s="23"/>
      <c r="VG3" s="23"/>
      <c r="VH3" s="23"/>
      <c r="VI3" s="23"/>
      <c r="VJ3" s="23"/>
      <c r="VK3" s="23"/>
      <c r="VL3" s="23"/>
      <c r="VM3" s="23"/>
      <c r="VN3" s="23"/>
      <c r="VO3" s="23"/>
      <c r="VP3" s="23"/>
      <c r="VQ3" s="23"/>
      <c r="VR3" s="23"/>
      <c r="VS3" s="23"/>
      <c r="VT3" s="23"/>
      <c r="VU3" s="23"/>
      <c r="VV3" s="23"/>
      <c r="VW3" s="23"/>
      <c r="VX3" s="23"/>
      <c r="VY3" s="23"/>
      <c r="VZ3" s="23"/>
      <c r="WA3" s="23"/>
      <c r="WB3" s="23"/>
      <c r="WC3" s="23"/>
      <c r="WD3" s="23"/>
      <c r="WE3" s="23"/>
      <c r="WF3" s="23"/>
      <c r="WG3" s="23"/>
      <c r="WH3" s="23"/>
      <c r="WI3" s="23"/>
      <c r="WJ3" s="23"/>
      <c r="WK3" s="23"/>
      <c r="WL3" s="23"/>
      <c r="WM3" s="23"/>
      <c r="WN3" s="23"/>
      <c r="WO3" s="23"/>
      <c r="WP3" s="23"/>
      <c r="WQ3" s="23"/>
      <c r="WR3" s="23"/>
      <c r="WS3" s="23"/>
      <c r="WT3" s="23"/>
      <c r="WU3" s="23"/>
      <c r="WV3" s="23"/>
      <c r="WW3" s="23"/>
      <c r="WX3" s="23"/>
      <c r="WY3" s="23"/>
      <c r="WZ3" s="23"/>
      <c r="XA3" s="23"/>
      <c r="XB3" s="23"/>
      <c r="XC3" s="23"/>
      <c r="XD3" s="23"/>
      <c r="XE3" s="23"/>
      <c r="XF3" s="23"/>
      <c r="XG3" s="23"/>
      <c r="XH3" s="23"/>
      <c r="XI3" s="23"/>
      <c r="XJ3" s="23"/>
      <c r="XK3" s="23"/>
      <c r="XL3" s="23"/>
      <c r="XM3" s="23"/>
      <c r="XN3" s="23"/>
      <c r="XO3" s="23"/>
      <c r="XP3" s="23"/>
      <c r="XQ3" s="23"/>
      <c r="XR3" s="23"/>
      <c r="XS3" s="23"/>
      <c r="XT3" s="23"/>
      <c r="XU3" s="23"/>
      <c r="XV3" s="23"/>
      <c r="XW3" s="23"/>
      <c r="XX3" s="23"/>
      <c r="XY3" s="23"/>
      <c r="XZ3" s="23"/>
      <c r="YA3" s="23"/>
      <c r="YB3" s="23"/>
      <c r="YC3" s="23"/>
      <c r="YD3" s="23"/>
      <c r="YE3" s="23"/>
      <c r="YF3" s="23"/>
      <c r="YG3" s="23"/>
      <c r="YH3" s="23"/>
      <c r="YI3" s="23"/>
      <c r="YJ3" s="23"/>
      <c r="YK3" s="23"/>
      <c r="YL3" s="23"/>
      <c r="YM3" s="23"/>
      <c r="YN3" s="23"/>
      <c r="YO3" s="23"/>
      <c r="YP3" s="23"/>
      <c r="YQ3" s="23"/>
      <c r="YR3" s="23"/>
      <c r="YS3" s="23"/>
      <c r="YT3" s="23"/>
      <c r="YU3" s="23"/>
      <c r="YV3" s="23"/>
      <c r="YW3" s="23"/>
      <c r="YX3" s="23"/>
      <c r="YY3" s="23"/>
      <c r="YZ3" s="23"/>
      <c r="ZA3" s="23"/>
      <c r="ZB3" s="23"/>
      <c r="ZC3" s="23"/>
      <c r="ZD3" s="23"/>
      <c r="ZE3" s="23"/>
      <c r="ZF3" s="23"/>
      <c r="ZG3" s="23"/>
      <c r="ZH3" s="23"/>
      <c r="ZI3" s="23"/>
      <c r="ZJ3" s="23"/>
      <c r="ZK3" s="23"/>
      <c r="ZL3" s="23"/>
      <c r="ZM3" s="23"/>
      <c r="ZN3" s="23"/>
      <c r="ZO3" s="23"/>
      <c r="ZP3" s="23"/>
      <c r="ZQ3" s="23"/>
      <c r="ZR3" s="23"/>
      <c r="ZS3" s="23"/>
      <c r="ZT3" s="23"/>
      <c r="ZU3" s="23"/>
      <c r="ZV3" s="23"/>
      <c r="ZW3" s="23"/>
      <c r="ZX3" s="23"/>
      <c r="ZY3" s="23"/>
      <c r="ZZ3" s="23"/>
      <c r="AAA3" s="23"/>
      <c r="AAB3" s="23"/>
      <c r="AAC3" s="23"/>
      <c r="AAD3" s="23"/>
      <c r="AAE3" s="23"/>
      <c r="AAF3" s="23"/>
      <c r="AAG3" s="23"/>
      <c r="AAH3" s="23"/>
      <c r="AAI3" s="23"/>
      <c r="AAJ3" s="23"/>
      <c r="AAK3" s="23"/>
      <c r="AAL3" s="23"/>
      <c r="AAM3" s="23"/>
      <c r="AAN3" s="23"/>
      <c r="AAO3" s="23"/>
      <c r="AAP3" s="23"/>
      <c r="AAQ3" s="23"/>
      <c r="AAR3" s="23"/>
      <c r="AAS3" s="23"/>
      <c r="AAT3" s="23"/>
      <c r="AAU3" s="23"/>
      <c r="AAV3" s="23"/>
      <c r="AAW3" s="23"/>
      <c r="AAX3" s="23"/>
      <c r="AAY3" s="23"/>
      <c r="AAZ3" s="23"/>
      <c r="ABA3" s="23"/>
      <c r="ABB3" s="23"/>
      <c r="ABC3" s="23"/>
      <c r="ABD3" s="23"/>
      <c r="ABE3" s="23"/>
      <c r="ABF3" s="23"/>
      <c r="ABG3" s="23"/>
      <c r="ABH3" s="23"/>
      <c r="ABI3" s="23"/>
      <c r="ABJ3" s="23"/>
      <c r="ABK3" s="23"/>
      <c r="ABL3" s="23"/>
      <c r="ABM3" s="23"/>
      <c r="ABN3" s="23"/>
      <c r="ABO3" s="23"/>
      <c r="ABP3" s="23"/>
      <c r="ABQ3" s="23"/>
      <c r="ABR3" s="23"/>
      <c r="ABS3" s="23"/>
      <c r="ABT3" s="23"/>
      <c r="ABU3" s="23"/>
      <c r="ABV3" s="23"/>
      <c r="ABW3" s="23"/>
      <c r="ABX3" s="23"/>
      <c r="ABY3" s="23"/>
      <c r="ABZ3" s="23"/>
      <c r="ACA3" s="23"/>
      <c r="ACB3" s="23"/>
      <c r="ACC3" s="23"/>
      <c r="ACD3" s="23"/>
      <c r="ACE3" s="23"/>
      <c r="ACF3" s="23"/>
      <c r="ACG3" s="23"/>
      <c r="ACH3" s="23"/>
      <c r="ACI3" s="23"/>
      <c r="ACJ3" s="23"/>
      <c r="ACK3" s="23"/>
      <c r="ACL3" s="23"/>
      <c r="ACM3" s="23"/>
      <c r="ACN3" s="23"/>
      <c r="ACO3" s="23"/>
      <c r="ACP3" s="23"/>
      <c r="ACQ3" s="23"/>
      <c r="ACR3" s="23"/>
      <c r="ACS3" s="23"/>
      <c r="ACT3" s="23"/>
      <c r="ACU3" s="23"/>
      <c r="ACV3" s="23"/>
      <c r="ACW3" s="23"/>
      <c r="ACX3" s="23"/>
      <c r="ACY3" s="23"/>
      <c r="ACZ3" s="23"/>
      <c r="ADA3" s="23"/>
      <c r="ADB3" s="23"/>
      <c r="ADC3" s="23"/>
      <c r="ADD3" s="23"/>
      <c r="ADE3" s="23"/>
      <c r="ADF3" s="23"/>
      <c r="ADG3" s="23"/>
      <c r="ADH3" s="23"/>
      <c r="ADI3" s="23"/>
      <c r="ADJ3" s="23"/>
      <c r="ADK3" s="23"/>
      <c r="ADL3" s="23"/>
      <c r="ADM3" s="23"/>
      <c r="ADN3" s="23"/>
      <c r="ADO3" s="23"/>
      <c r="ADP3" s="23"/>
      <c r="ADQ3" s="23"/>
      <c r="ADR3" s="23"/>
      <c r="ADS3" s="23"/>
      <c r="ADT3" s="23"/>
      <c r="ADU3" s="23"/>
      <c r="ADV3" s="23"/>
      <c r="ADW3" s="23"/>
      <c r="ADX3" s="23"/>
      <c r="ADY3" s="23"/>
      <c r="ADZ3" s="23"/>
      <c r="AEA3" s="23"/>
      <c r="AEB3" s="23"/>
      <c r="AEC3" s="23"/>
      <c r="AED3" s="23"/>
      <c r="AEE3" s="23"/>
      <c r="AEF3" s="23"/>
      <c r="AEG3" s="23"/>
      <c r="AEH3" s="23"/>
      <c r="AEI3" s="23"/>
      <c r="AEJ3" s="23"/>
      <c r="AEK3" s="23"/>
      <c r="AEL3" s="23"/>
      <c r="AEM3" s="23"/>
      <c r="AEN3" s="23"/>
      <c r="AEO3" s="23"/>
      <c r="AEP3" s="23"/>
      <c r="AEQ3" s="23"/>
      <c r="AER3" s="23"/>
      <c r="AES3" s="23"/>
      <c r="AET3" s="23"/>
      <c r="AEU3" s="23"/>
      <c r="AEV3" s="23"/>
      <c r="AEW3" s="23"/>
      <c r="AEX3" s="23"/>
      <c r="AEY3" s="23"/>
      <c r="AEZ3" s="23"/>
      <c r="AFA3" s="23"/>
      <c r="AFB3" s="23"/>
      <c r="AFC3" s="23"/>
      <c r="AFD3" s="23"/>
      <c r="AFE3" s="23"/>
      <c r="AFF3" s="23"/>
      <c r="AFG3" s="23"/>
      <c r="AFH3" s="23"/>
      <c r="AFI3" s="23"/>
      <c r="AFJ3" s="23"/>
      <c r="AFK3" s="23"/>
      <c r="AFL3" s="23"/>
      <c r="AFM3" s="23"/>
      <c r="AFN3" s="23"/>
      <c r="AFO3" s="23"/>
      <c r="AFP3" s="23"/>
      <c r="AFQ3" s="23"/>
      <c r="AFR3" s="23"/>
      <c r="AFS3" s="23"/>
      <c r="AFT3" s="23"/>
      <c r="AFU3" s="23"/>
      <c r="AFV3" s="23"/>
      <c r="AFW3" s="23"/>
      <c r="AFX3" s="23"/>
      <c r="AFY3" s="23"/>
      <c r="AFZ3" s="23"/>
      <c r="AGA3" s="23"/>
      <c r="AGB3" s="23"/>
      <c r="AGC3" s="23"/>
      <c r="AGD3" s="23"/>
      <c r="AGE3" s="23"/>
      <c r="AGF3" s="23"/>
      <c r="AGG3" s="23"/>
      <c r="AGH3" s="23"/>
      <c r="AGI3" s="23"/>
      <c r="AGJ3" s="23"/>
      <c r="AGK3" s="23"/>
      <c r="AGL3" s="23"/>
      <c r="AGM3" s="23"/>
      <c r="AGN3" s="23"/>
      <c r="AGO3" s="23"/>
      <c r="AGP3" s="23"/>
      <c r="AGQ3" s="23"/>
      <c r="AGR3" s="23"/>
      <c r="AGS3" s="23"/>
      <c r="AGT3" s="23"/>
      <c r="AGU3" s="23"/>
      <c r="AGV3" s="23"/>
      <c r="AGW3" s="23"/>
      <c r="AGX3" s="23"/>
      <c r="AGY3" s="23"/>
      <c r="AGZ3" s="23"/>
      <c r="AHA3" s="23"/>
      <c r="AHB3" s="23"/>
      <c r="AHC3" s="23"/>
      <c r="AHD3" s="23"/>
      <c r="AHE3" s="23"/>
      <c r="AHF3" s="23"/>
      <c r="AHG3" s="23"/>
      <c r="AHH3" s="23"/>
      <c r="AHI3" s="23"/>
      <c r="AHJ3" s="23"/>
      <c r="AHK3" s="23"/>
      <c r="AHL3" s="23"/>
      <c r="AHM3" s="23"/>
      <c r="AHN3" s="23"/>
      <c r="AHO3" s="23"/>
      <c r="AHP3" s="23"/>
      <c r="AHQ3" s="23"/>
      <c r="AHR3" s="23"/>
      <c r="AHS3" s="23"/>
      <c r="AHT3" s="23"/>
      <c r="AHU3" s="23"/>
      <c r="AHV3" s="23"/>
      <c r="AHW3" s="23"/>
      <c r="AHX3" s="23"/>
      <c r="AHY3" s="23"/>
      <c r="AHZ3" s="23"/>
      <c r="AIA3" s="23"/>
      <c r="AIB3" s="23"/>
      <c r="AIC3" s="23"/>
      <c r="AID3" s="23"/>
      <c r="AIE3" s="23"/>
      <c r="AIF3" s="23"/>
      <c r="AIG3" s="23"/>
      <c r="AIH3" s="23"/>
      <c r="AII3" s="23"/>
      <c r="AIJ3" s="23"/>
      <c r="AIK3" s="23"/>
      <c r="AIL3" s="23"/>
      <c r="AIM3" s="23"/>
      <c r="AIN3" s="23"/>
      <c r="AIO3" s="23"/>
      <c r="AIP3" s="23"/>
      <c r="AIQ3" s="23"/>
      <c r="AIR3" s="23"/>
      <c r="AIS3" s="23"/>
      <c r="AIT3" s="23"/>
      <c r="AIU3" s="23"/>
      <c r="AIV3" s="23"/>
      <c r="AIW3" s="23"/>
      <c r="AIX3" s="23"/>
      <c r="AIY3" s="23"/>
      <c r="AIZ3" s="23"/>
      <c r="AJA3" s="23"/>
      <c r="AJB3" s="23"/>
      <c r="AJC3" s="23"/>
      <c r="AJD3" s="23"/>
      <c r="AJE3" s="23"/>
      <c r="AJF3" s="23"/>
      <c r="AJG3" s="23"/>
      <c r="AJH3" s="23"/>
      <c r="AJI3" s="23"/>
      <c r="AJJ3" s="23"/>
      <c r="AJK3" s="23"/>
      <c r="AJL3" s="23"/>
      <c r="AJM3" s="23"/>
      <c r="AJN3" s="23"/>
      <c r="AJO3" s="23"/>
      <c r="AJP3" s="23"/>
      <c r="AJQ3" s="23"/>
      <c r="AJR3" s="23"/>
      <c r="AJS3" s="23"/>
      <c r="AJT3" s="23"/>
      <c r="AJU3" s="23"/>
      <c r="AJV3" s="23"/>
      <c r="AJW3" s="23"/>
      <c r="AJX3" s="23"/>
      <c r="AJY3" s="23"/>
      <c r="AJZ3" s="23"/>
      <c r="AKA3" s="23"/>
      <c r="AKB3" s="23"/>
      <c r="AKC3" s="23"/>
      <c r="AKD3" s="23"/>
      <c r="AKE3" s="23"/>
      <c r="AKF3" s="23"/>
      <c r="AKG3" s="23"/>
      <c r="AKH3" s="23"/>
      <c r="AKI3" s="23"/>
      <c r="AKJ3" s="23"/>
      <c r="AKK3" s="23"/>
      <c r="AKL3" s="23"/>
      <c r="AKM3" s="23"/>
      <c r="AKN3" s="23"/>
      <c r="AKO3" s="23"/>
      <c r="AKP3" s="23"/>
      <c r="AKQ3" s="23"/>
      <c r="AKR3" s="23"/>
      <c r="AKS3" s="23"/>
      <c r="AKT3" s="23"/>
      <c r="AKU3" s="23"/>
      <c r="AKV3" s="23"/>
      <c r="AKW3" s="23"/>
      <c r="AKX3" s="23"/>
      <c r="AKY3" s="23"/>
      <c r="AKZ3" s="23"/>
      <c r="ALA3" s="23"/>
      <c r="ALB3" s="23"/>
      <c r="ALC3" s="23"/>
      <c r="ALD3" s="23"/>
      <c r="ALE3" s="23"/>
      <c r="ALF3" s="23"/>
      <c r="ALG3" s="23"/>
      <c r="ALH3" s="23"/>
      <c r="ALI3" s="23"/>
      <c r="ALJ3" s="23"/>
      <c r="ALK3" s="23"/>
      <c r="ALL3" s="23"/>
      <c r="ALM3" s="23"/>
      <c r="ALN3" s="23"/>
      <c r="ALO3" s="23"/>
      <c r="ALP3" s="23"/>
      <c r="ALQ3" s="23"/>
      <c r="ALR3" s="23"/>
      <c r="ALS3" s="23"/>
      <c r="ALT3" s="23"/>
      <c r="ALU3" s="23"/>
      <c r="ALV3" s="23"/>
      <c r="ALW3" s="23"/>
      <c r="ALX3" s="23"/>
      <c r="ALY3" s="23"/>
      <c r="ALZ3" s="23"/>
      <c r="AMA3" s="23"/>
      <c r="AMB3" s="23"/>
      <c r="AMC3" s="23"/>
      <c r="AMD3" s="23"/>
      <c r="AME3" s="23"/>
      <c r="AMF3" s="23"/>
      <c r="AMG3" s="23"/>
      <c r="AMH3" s="23"/>
      <c r="AMI3" s="23"/>
      <c r="AMJ3" s="23"/>
      <c r="AMK3" s="23"/>
    </row>
    <row r="4" ht="15.75" customHeight="1">
      <c r="A4" s="24"/>
      <c r="B4" s="24" t="str">
        <f>IFERROR(__xludf.DUMMYFUNCTION("IF(C3="""","""",Transpose(IMPORTRANGE('_Settings'!$B$3,C3&amp;""!A4:A1000"")))"),"Allocate")</f>
        <v>Allocate</v>
      </c>
      <c r="C4" s="24" t="str">
        <f>IFERROR(__xludf.DUMMYFUNCTION("""COMPUTED_VALUE"""),"CheckAllocatedGroups")</f>
        <v>CheckAllocatedGroups</v>
      </c>
      <c r="D4" s="24" t="str">
        <f>IFERROR(__xludf.DUMMYFUNCTION("""COMPUTED_VALUE"""),"GetDataAllocation")</f>
        <v>GetDataAllocation</v>
      </c>
      <c r="E4" s="24" t="str">
        <f>IFERROR(__xludf.DUMMYFUNCTION("""COMPUTED_VALUE"""),"SelectAllocatedGroup")</f>
        <v>SelectAllocatedGroup</v>
      </c>
      <c r="F4" s="24" t="str">
        <f>IFERROR(__xludf.DUMMYFUNCTION("""COMPUTED_VALUE"""),"EditTradesAllocated")</f>
        <v>EditTradesAllocated</v>
      </c>
      <c r="G4" s="24" t="str">
        <f>IFERROR(__xludf.DUMMYFUNCTION("""COMPUTED_VALUE"""),"EditTradesUnallocated")</f>
        <v>EditTradesUnallocated</v>
      </c>
      <c r="H4" s="24" t="str">
        <f>IFERROR(__xludf.DUMMYFUNCTION("""COMPUTED_VALUE"""),"EditTradesAllocated")</f>
        <v>EditTradesAllocated</v>
      </c>
      <c r="I4" s="24" t="str">
        <f>IFERROR(__xludf.DUMMYFUNCTION("""COMPUTED_VALUE"""),"Reallocate")</f>
        <v>Reallocate</v>
      </c>
      <c r="J4" s="24" t="str">
        <f>IFERROR(__xludf.DUMMYFUNCTION("""COMPUTED_VALUE"""),"EditUnallocatedGroupSidePanel")</f>
        <v>EditUnallocatedGroupSidePanel</v>
      </c>
      <c r="K4" s="24" t="str">
        <f>IFERROR(__xludf.DUMMYFUNCTION("""COMPUTED_VALUE"""),"TradeAttributeBulkChange")</f>
        <v>TradeAttributeBulkChange</v>
      </c>
      <c r="L4" s="24" t="str">
        <f>IFERROR(__xludf.DUMMYFUNCTION("""COMPUTED_VALUE"""),"ApplyBulkUpdateOnGroups")</f>
        <v>ApplyBulkUpdateOnGroups</v>
      </c>
      <c r="M4" s="24" t="str">
        <f>IFERROR(__xludf.DUMMYFUNCTION("""COMPUTED_VALUE"""),"ApplyPrefetchFilters")</f>
        <v>ApplyPrefetchFilters</v>
      </c>
      <c r="N4" s="24" t="str">
        <f>IFERROR(__xludf.DUMMYFUNCTION("""COMPUTED_VALUE"""),"GeneralPreferencesDefaultRule")</f>
        <v>GeneralPreferencesDefaultRule</v>
      </c>
      <c r="O4" s="24" t="str">
        <f>IFERROR(__xludf.DUMMYFUNCTION("""COMPUTED_VALUE"""),"GeneralPrefCompanyUserWise")</f>
        <v>GeneralPrefCompanyUserWise</v>
      </c>
      <c r="P4" s="25" t="str">
        <f>IFERROR(__xludf.DUMMYFUNCTION("""COMPUTED_VALUE"""),"RenameTradeAttributes")</f>
        <v>RenameTradeAttributes</v>
      </c>
      <c r="Q4" s="25" t="str">
        <f>IFERROR(__xludf.DUMMYFUNCTION("""COMPUTED_VALUE"""),"SetGroupingRules")</f>
        <v>SetGroupingRules</v>
      </c>
      <c r="R4" s="25" t="str">
        <f>IFERROR(__xludf.DUMMYFUNCTION("""COMPUTED_VALUE"""),"SetMasterFundRatio")</f>
        <v>SetMasterFundRatio</v>
      </c>
      <c r="S4" s="25" t="str">
        <f>IFERROR(__xludf.DUMMYFUNCTION("""COMPUTED_VALUE"""),"CheckFixedPreference")</f>
        <v>CheckFixedPreference</v>
      </c>
      <c r="T4" s="25" t="str">
        <f>IFERROR(__xludf.DUMMYFUNCTION("""COMPUTED_VALUE"""),"GetFixedPreference")</f>
        <v>GetFixedPreference</v>
      </c>
      <c r="U4" s="25" t="str">
        <f>IFERROR(__xludf.DUMMYFUNCTION("""COMPUTED_VALUE"""),"AddCalculatedPreferences")</f>
        <v>AddCalculatedPreferences</v>
      </c>
      <c r="V4" s="25" t="str">
        <f>IFERROR(__xludf.DUMMYFUNCTION("""COMPUTED_VALUE"""),"BulkChangeCalculatedPreferences")</f>
        <v>BulkChangeCalculatedPreferences</v>
      </c>
      <c r="W4" s="25" t="str">
        <f>IFERROR(__xludf.DUMMYFUNCTION("""COMPUTED_VALUE"""),"DeleteCalculatedPreferences")</f>
        <v>DeleteCalculatedPreferences</v>
      </c>
      <c r="X4" s="25" t="str">
        <f>IFERROR(__xludf.DUMMYFUNCTION("""COMPUTED_VALUE"""),"RenameCalculatedPreferences")</f>
        <v>RenameCalculatedPreferences</v>
      </c>
      <c r="Y4" s="25" t="str">
        <f>IFERROR(__xludf.DUMMYFUNCTION("""COMPUTED_VALUE"""),"CopyCalculatedPreferences")</f>
        <v>CopyCalculatedPreferences</v>
      </c>
      <c r="Z4" s="25" t="str">
        <f>IFERROR(__xludf.DUMMYFUNCTION("""COMPUTED_VALUE"""),"RunAutoGroup")</f>
        <v>RunAutoGroup</v>
      </c>
      <c r="AA4" s="25" t="str">
        <f>IFERROR(__xludf.DUMMYFUNCTION("""COMPUTED_VALUE"""),"BookOrUpdateSwap")</f>
        <v>BookOrUpdateSwap</v>
      </c>
      <c r="AB4" s="25" t="str">
        <f>IFERROR(__xludf.DUMMYFUNCTION("""COMPUTED_VALUE"""),"RunProrata")</f>
        <v>RunProrata</v>
      </c>
      <c r="AC4" s="25" t="str">
        <f>IFERROR(__xludf.DUMMYFUNCTION("""COMPUTED_VALUE"""),"SetDefaultRuleCalculatedPref")</f>
        <v>SetDefaultRuleCalculatedPref</v>
      </c>
      <c r="AD4" s="25" t="str">
        <f>IFERROR(__xludf.DUMMYFUNCTION("""COMPUTED_VALUE"""),"SetAccountValueCalculatedPref")</f>
        <v>SetAccountValueCalculatedPref</v>
      </c>
      <c r="AE4" s="25" t="str">
        <f>IFERROR(__xludf.DUMMYFUNCTION("""COMPUTED_VALUE"""),"TradeAttributeBulkChangeGroups")</f>
        <v>TradeAttributeBulkChangeGroups</v>
      </c>
      <c r="AF4" s="25" t="str">
        <f>IFERROR(__xludf.DUMMYFUNCTION("""COMPUTED_VALUE"""),"TradeAttributeBulkChangeTaxlots")</f>
        <v>TradeAttributeBulkChangeTaxlots</v>
      </c>
      <c r="AG4" s="25" t="str">
        <f>IFERROR(__xludf.DUMMYFUNCTION("""COMPUTED_VALUE"""),"AddCalculatedPreferenceToolbar")</f>
        <v>AddCalculatedPreferenceToolbar</v>
      </c>
      <c r="AH4" s="25" t="str">
        <f>IFERROR(__xludf.DUMMYFUNCTION("""COMPUTED_VALUE"""),"SetStrategyValueCalculatedPref")</f>
        <v>SetStrategyValueCalculatedPref</v>
      </c>
      <c r="AI4" s="25" t="str">
        <f>IFERROR(__xludf.DUMMYFUNCTION("""COMPUTED_VALUE"""),"ApplyBulkUpdateOnTaxlots")</f>
        <v>ApplyBulkUpdateOnTaxlots</v>
      </c>
      <c r="AJ4" s="25" t="str">
        <f>IFERROR(__xludf.DUMMYFUNCTION("""COMPUTED_VALUE"""),"CommissionBulkChangeOnGroups")</f>
        <v>CommissionBulkChangeOnGroups</v>
      </c>
      <c r="AK4" s="25" t="str">
        <f>IFERROR(__xludf.DUMMYFUNCTION("""COMPUTED_VALUE"""),"CommissionBulkChangeOnTaxlots")</f>
        <v>CommissionBulkChangeOnTaxlots</v>
      </c>
      <c r="AL4" s="25" t="str">
        <f>IFERROR(__xludf.DUMMYFUNCTION("""COMPUTED_VALUE"""),"SelectUnallocatedGroup")</f>
        <v>SelectUnallocatedGroup</v>
      </c>
      <c r="AM4" s="25" t="str">
        <f>IFERROR(__xludf.DUMMYFUNCTION("""COMPUTED_VALUE"""),"EnterAccountValuesToAllocate")</f>
        <v>EnterAccountValuesToAllocate</v>
      </c>
      <c r="AN4" s="25" t="str">
        <f>IFERROR(__xludf.DUMMYFUNCTION("""COMPUTED_VALUE"""),"EnterAllocatePreference")</f>
        <v>EnterAllocatePreference</v>
      </c>
      <c r="AO4" s="25" t="str">
        <f>IFERROR(__xludf.DUMMYFUNCTION("""COMPUTED_VALUE"""),"EnterStrategyValuesToAllocate")</f>
        <v>EnterStrategyValuesToAllocate</v>
      </c>
      <c r="AP4" s="25" t="str">
        <f>IFERROR(__xludf.DUMMYFUNCTION("""COMPUTED_VALUE"""),"CopyCalculatedPreferenceToolbar")</f>
        <v>CopyCalculatedPreferenceToolbar</v>
      </c>
      <c r="AQ4" s="25" t="str">
        <f>IFERROR(__xludf.DUMMYFUNCTION("""COMPUTED_VALUE"""),"SetGeneralRuleCalculatedPref")</f>
        <v>SetGeneralRuleCalculatedPref</v>
      </c>
      <c r="AR4" s="25" t="str">
        <f>IFERROR(__xludf.DUMMYFUNCTION("""COMPUTED_VALUE"""),"ExportAllCalculatedPreferences")</f>
        <v>ExportAllCalculatedPreferences</v>
      </c>
      <c r="AS4" s="25" t="str">
        <f>IFERROR(__xludf.DUMMYFUNCTION("""COMPUTED_VALUE"""),"SaveCalculatedPreferences")</f>
        <v>SaveCalculatedPreferences</v>
      </c>
      <c r="AT4" s="25" t="str">
        <f>IFERROR(__xludf.DUMMYFUNCTION("""COMPUTED_VALUE"""),"CloseCalculatedPreferences")</f>
        <v>CloseCalculatedPreferences</v>
      </c>
      <c r="AU4" s="25" t="str">
        <f>IFERROR(__xludf.DUMMYFUNCTION("""COMPUTED_VALUE"""),"ExportCalculatedPreference")</f>
        <v>ExportCalculatedPreference</v>
      </c>
      <c r="AV4" s="25" t="str">
        <f>IFERROR(__xludf.DUMMYFUNCTION("""COMPUTED_VALUE"""),"ImportCalculatedPreferences")</f>
        <v>ImportCalculatedPreferences</v>
      </c>
      <c r="AW4" s="25" t="str">
        <f>IFERROR(__xludf.DUMMYFUNCTION("""COMPUTED_VALUE"""),"OpenAuditTrailUnallocatedGroup")</f>
        <v>OpenAuditTrailUnallocatedGroup</v>
      </c>
      <c r="AX4" s="25" t="str">
        <f>IFERROR(__xludf.DUMMYFUNCTION("""COMPUTED_VALUE"""),"DeleteCalculatedPreferencesTool")</f>
        <v>DeleteCalculatedPreferencesTool</v>
      </c>
      <c r="AY4" s="25" t="str">
        <f>IFERROR(__xludf.DUMMYFUNCTION("""COMPUTED_VALUE"""),"ImportCalculatedPreferencesTool")</f>
        <v>ImportCalculatedPreferencesTool</v>
      </c>
      <c r="AZ4" s="25" t="str">
        <f>IFERROR(__xludf.DUMMYFUNCTION("""COMPUTED_VALUE"""),"ExportAllCalculatedPreferTool")</f>
        <v>ExportAllCalculatedPreferTool</v>
      </c>
      <c r="BA4" s="25" t="str">
        <f>IFERROR(__xludf.DUMMYFUNCTION("""COMPUTED_VALUE"""),"OpenAuditTrailAllocatedGroup")</f>
        <v>OpenAuditTrailAllocatedGroup</v>
      </c>
      <c r="BB4" s="25" t="str">
        <f>IFERROR(__xludf.DUMMYFUNCTION("""COMPUTED_VALUE"""),"OpenSymbolLookupUnallocateGroup")</f>
        <v>OpenSymbolLookupUnallocateGroup</v>
      </c>
      <c r="BC4" s="25" t="str">
        <f>IFERROR(__xludf.DUMMYFUNCTION("""COMPUTED_VALUE"""),"OpenSymbolLookupAllocatedGroup")</f>
        <v>OpenSymbolLookupAllocatedGroup</v>
      </c>
      <c r="BD4" s="25" t="str">
        <f>IFERROR(__xludf.DUMMYFUNCTION("""COMPUTED_VALUE"""),"DeleteFixedPreference")</f>
        <v>DeleteFixedPreference</v>
      </c>
      <c r="BE4" s="25" t="str">
        <f>IFERROR(__xludf.DUMMYFUNCTION("""COMPUTED_VALUE"""),"EditAllocatedGroupSidePanel")</f>
        <v>EditAllocatedGroupSidePanel</v>
      </c>
      <c r="BF4" s="25" t="str">
        <f>IFERROR(__xludf.DUMMYFUNCTION("""COMPUTED_VALUE"""),"CheckUnallocatedGroups")</f>
        <v>CheckUnallocatedGroups</v>
      </c>
      <c r="BG4" s="25" t="str">
        <f>IFERROR(__xludf.DUMMYFUNCTION("""COMPUTED_VALUE"""),"SetGeneralPreferences")</f>
        <v>SetGeneralPreferences</v>
      </c>
      <c r="BH4" s="25" t="str">
        <f>IFERROR(__xludf.DUMMYFUNCTION("""COMPUTED_VALUE"""),"GroupTrades")</f>
        <v>GroupTrades</v>
      </c>
      <c r="BI4" s="25" t="str">
        <f>IFERROR(__xludf.DUMMYFUNCTION("""COMPUTED_VALUE"""),"UngroupTrades")</f>
        <v>UngroupTrades</v>
      </c>
      <c r="BJ4" s="25" t="str">
        <f>IFERROR(__xludf.DUMMYFUNCTION("""COMPUTED_VALUE"""),"DeleteGroup")</f>
        <v>DeleteGroup</v>
      </c>
      <c r="BK4" s="25" t="str">
        <f>IFERROR(__xludf.DUMMYFUNCTION("""COMPUTED_VALUE"""),"CloseOrder")</f>
        <v>CloseOrder</v>
      </c>
      <c r="BL4" s="25" t="str">
        <f>IFERROR(__xludf.DUMMYFUNCTION("""COMPUTED_VALUE"""),"Unallocate")</f>
        <v>Unallocate</v>
      </c>
      <c r="BM4" s="25" t="str">
        <f>IFERROR(__xludf.DUMMYFUNCTION("""COMPUTED_VALUE"""),"CloseAllocation")</f>
        <v>CloseAllocation</v>
      </c>
      <c r="BN4" s="25" t="str">
        <f>IFERROR(__xludf.DUMMYFUNCTION("""COMPUTED_VALUE"""),"UpdateGRAccountValue")</f>
        <v>UpdateGRAccountValue</v>
      </c>
      <c r="BO4" s="25" t="str">
        <f>IFERROR(__xludf.DUMMYFUNCTION("""COMPUTED_VALUE"""),"UpdateGRStrategyValue")</f>
        <v>UpdateGRStrategyValue</v>
      </c>
      <c r="BP4" s="25" t="str">
        <f>IFERROR(__xludf.DUMMYFUNCTION("""COMPUTED_VALUE"""),"UpdateGRDefaultRule")</f>
        <v>UpdateGRDefaultRule</v>
      </c>
      <c r="BQ4" s="25" t="str">
        <f>IFERROR(__xludf.DUMMYFUNCTION("""COMPUTED_VALUE"""),"UpdateGeneralRulePref")</f>
        <v>UpdateGeneralRulePref</v>
      </c>
      <c r="BR4" s="25" t="str">
        <f>IFERROR(__xludf.DUMMYFUNCTION("""COMPUTED_VALUE"""),"ModifyGRPreferenceValues")</f>
        <v>ModifyGRPreferenceValues</v>
      </c>
      <c r="BS4" s="25" t="str">
        <f>IFERROR(__xludf.DUMMYFUNCTION("""COMPUTED_VALUE"""),"AddMFPreferences")</f>
        <v>AddMFPreferences</v>
      </c>
      <c r="BT4" s="25" t="str">
        <f>IFERROR(__xludf.DUMMYFUNCTION("""COMPUTED_VALUE"""),"AddMFPreferenceToolbar")</f>
        <v>AddMFPreferenceToolbar</v>
      </c>
      <c r="BU4" s="25" t="str">
        <f>IFERROR(__xludf.DUMMYFUNCTION("""COMPUTED_VALUE"""),"DeleteMFPreferences")</f>
        <v>DeleteMFPreferences</v>
      </c>
      <c r="BV4" s="25" t="str">
        <f>IFERROR(__xludf.DUMMYFUNCTION("""COMPUTED_VALUE"""),"DeleteMFPreferenceToolbar")</f>
        <v>DeleteMFPreferenceToolbar</v>
      </c>
      <c r="BW4" s="25" t="str">
        <f>IFERROR(__xludf.DUMMYFUNCTION("""COMPUTED_VALUE"""),"RenameMFPreferences")</f>
        <v>RenameMFPreferences</v>
      </c>
      <c r="BX4" s="25" t="str">
        <f>IFERROR(__xludf.DUMMYFUNCTION("""COMPUTED_VALUE"""),"SaveCloseMFPreference")</f>
        <v>SaveCloseMFPreference</v>
      </c>
      <c r="BY4" s="25" t="str">
        <f>IFERROR(__xludf.DUMMYFUNCTION("""COMPUTED_VALUE"""),"SetMFPrefAccountValues")</f>
        <v>SetMFPrefAccountValues</v>
      </c>
      <c r="BZ4" s="25" t="str">
        <f>IFERROR(__xludf.DUMMYFUNCTION("""COMPUTED_VALUE"""),"ModifyMFPrefGeneralRuleValues")</f>
        <v>ModifyMFPrefGeneralRuleValues</v>
      </c>
      <c r="CA4" s="25" t="str">
        <f>IFERROR(__xludf.DUMMYFUNCTION("""COMPUTED_VALUE"""),"SetMFPrefStrategyValues")</f>
        <v>SetMFPrefStrategyValues</v>
      </c>
      <c r="CB4" s="25" t="str">
        <f>IFERROR(__xludf.DUMMYFUNCTION("""COMPUTED_VALUE"""),"SetMFPrefGeneralRule")</f>
        <v>SetMFPrefGeneralRule</v>
      </c>
      <c r="CC4" s="25" t="str">
        <f>IFERROR(__xludf.DUMMYFUNCTION("""COMPUTED_VALUE"""),"SetMFPrefFundDistribution")</f>
        <v>SetMFPrefFundDistribution</v>
      </c>
      <c r="CD4" s="25" t="str">
        <f>IFERROR(__xludf.DUMMYFUNCTION("""COMPUTED_VALUE"""),"SetMFPreferencesDefaultRule")</f>
        <v>SetMFPreferencesDefaultRule</v>
      </c>
      <c r="CE4" s="25" t="str">
        <f>IFERROR(__xludf.DUMMYFUNCTION("""COMPUTED_VALUE"""),"SetMFPrefFundDefaultRule")</f>
        <v>SetMFPrefFundDefaultRule</v>
      </c>
      <c r="CF4" s="25" t="str">
        <f>IFERROR(__xludf.DUMMYFUNCTION("""COMPUTED_VALUE"""),"ClearPrefetchFilters")</f>
        <v>ClearPrefetchFilters</v>
      </c>
      <c r="CG4" s="25" t="str">
        <f>IFERROR(__xludf.DUMMYFUNCTION("""COMPUTED_VALUE"""),"ExpandCollapseAllUnallocated")</f>
        <v>ExpandCollapseAllUnallocated</v>
      </c>
      <c r="CH4" s="25" t="str">
        <f>IFERROR(__xludf.DUMMYFUNCTION("""COMPUTED_VALUE"""),"ExpandCollapseAllAllocated")</f>
        <v>ExpandCollapseAllAllocated</v>
      </c>
      <c r="CI4" s="25" t="str">
        <f>IFERROR(__xludf.DUMMYFUNCTION("""COMPUTED_VALUE"""),"GenerateCashTransaction")</f>
        <v>GenerateCashTransaction</v>
      </c>
      <c r="CJ4" s="25" t="str">
        <f>IFERROR(__xludf.DUMMYFUNCTION("""COMPUTED_VALUE"""),"SaveAllocation")</f>
        <v>SaveAllocation</v>
      </c>
      <c r="CK4" s="25" t="str">
        <f>IFERROR(__xludf.DUMMYFUNCTION("""COMPUTED_VALUE"""),"UnallocateWithOutSave")</f>
        <v>UnallocateWithOutSave</v>
      </c>
      <c r="CL4" s="25" t="str">
        <f>IFERROR(__xludf.DUMMYFUNCTION("""COMPUTED_VALUE"""),"EditUnallocatedGrid")</f>
        <v>EditUnallocatedGrid</v>
      </c>
      <c r="CM4" s="25" t="str">
        <f>IFERROR(__xludf.DUMMYFUNCTION("""COMPUTED_VALUE"""),"EditAllocatedGrid")</f>
        <v>EditAllocatedGrid</v>
      </c>
      <c r="CN4" s="25" t="str">
        <f>IFERROR(__xludf.DUMMYFUNCTION("""COMPUTED_VALUE"""),"SaveLayoutAllocatedGrid")</f>
        <v>SaveLayoutAllocatedGrid</v>
      </c>
      <c r="CO4" s="25" t="str">
        <f>IFERROR(__xludf.DUMMYFUNCTION("""COMPUTED_VALUE"""),"SaveLayoutUnallocatedGrid")</f>
        <v>SaveLayoutUnallocatedGrid</v>
      </c>
      <c r="CP4" s="25" t="str">
        <f>IFERROR(__xludf.DUMMYFUNCTION("""COMPUTED_VALUE"""),"SaveLayoutAllocationUI")</f>
        <v>SaveLayoutAllocationUI</v>
      </c>
      <c r="CQ4" s="25" t="str">
        <f>IFERROR(__xludf.DUMMYFUNCTION("""COMPUTED_VALUE"""),"ClearFiltersAllocatedGrid")</f>
        <v>ClearFiltersAllocatedGrid</v>
      </c>
      <c r="CR4" s="25" t="str">
        <f>IFERROR(__xludf.DUMMYFUNCTION("""COMPUTED_VALUE"""),"ClearFiltersUnallocatedGrid")</f>
        <v>ClearFiltersUnallocatedGrid</v>
      </c>
      <c r="CS4" s="25" t="str">
        <f>IFERROR(__xludf.DUMMYFUNCTION("""COMPUTED_VALUE"""),"VerifyLayoutAllocatedGrid")</f>
        <v>VerifyLayoutAllocatedGrid</v>
      </c>
      <c r="CT4" s="25" t="str">
        <f>IFERROR(__xludf.DUMMYFUNCTION("""COMPUTED_VALUE"""),"VerifyLayoutUnallocatedGrid")</f>
        <v>VerifyLayoutUnallocatedGrid</v>
      </c>
      <c r="CU4" s="25" t="str">
        <f>IFERROR(__xludf.DUMMYFUNCTION("""COMPUTED_VALUE"""),"CleanUp")</f>
        <v>CleanUp</v>
      </c>
      <c r="CV4" s="25" t="str">
        <f>IFERROR(__xludf.DUMMYFUNCTION("""COMPUTED_VALUE"""),"CheckAllocatedTaxlots")</f>
        <v>CheckAllocatedTaxlots</v>
      </c>
      <c r="CW4" s="25" t="str">
        <f>IFERROR(__xludf.DUMMYFUNCTION("""COMPUTED_VALUE"""),"DisableChecksideForAsset")</f>
        <v>DisableChecksideForAsset</v>
      </c>
      <c r="CX4" s="25" t="str">
        <f>IFERROR(__xludf.DUMMYFUNCTION("""COMPUTED_VALUE"""),"DisableChecksideForAccount")</f>
        <v>DisableChecksideForAccount</v>
      </c>
      <c r="CY4" s="25" t="str">
        <f>IFERROR(__xludf.DUMMYFUNCTION("""COMPUTED_VALUE"""),"DisableChecksideForCounterParty")</f>
        <v>DisableChecksideForCounterParty</v>
      </c>
      <c r="CZ4" s="25" t="str">
        <f>IFERROR(__xludf.DUMMYFUNCTION("""COMPUTED_VALUE"""),"DisableCheckside")</f>
        <v>DisableCheckside</v>
      </c>
      <c r="DA4" s="25" t="str">
        <f>IFERROR(__xludf.DUMMYFUNCTION("""COMPUTED_VALUE"""),"ApplyMasterFundFilter")</f>
        <v>ApplyMasterFundFilter</v>
      </c>
      <c r="DB4" s="25" t="str">
        <f>IFERROR(__xludf.DUMMYFUNCTION("""COMPUTED_VALUE"""),"ShowMasterFundOnTT")</f>
        <v>ShowMasterFundOnTT</v>
      </c>
      <c r="DC4" s="25" t="str">
        <f>IFERROR(__xludf.DUMMYFUNCTION("""COMPUTED_VALUE"""),"ShowMasterFundAsClient")</f>
        <v>ShowMasterFundAsClient</v>
      </c>
      <c r="DD4" s="25" t="str">
        <f>IFERROR(__xludf.DUMMYFUNCTION("""COMPUTED_VALUE"""),"SetBrokerAccountMapping")</f>
        <v>SetBrokerAccountMapping</v>
      </c>
      <c r="DE4" s="25" t="str">
        <f>IFERROR(__xludf.DUMMYFUNCTION("""COMPUTED_VALUE"""),"EditUnallocatedGridWPF")</f>
        <v>EditUnallocatedGridWPF</v>
      </c>
      <c r="DF4" s="25" t="str">
        <f>IFERROR(__xludf.DUMMYFUNCTION("""COMPUTED_VALUE"""),"EditAllocatedGridWPF")</f>
        <v>EditAllocatedGridWPF</v>
      </c>
      <c r="DG4" s="25" t="str">
        <f>IFERROR(__xludf.DUMMYFUNCTION("""COMPUTED_VALUE"""),"EditAllocatedGridTaxlot")</f>
        <v>EditAllocatedGridTaxlot</v>
      </c>
      <c r="DH4" s="25" t="str">
        <f>IFERROR(__xludf.DUMMYFUNCTION("""COMPUTED_VALUE"""),"ExpandCollapseAllocatedGrid")</f>
        <v>ExpandCollapseAllocatedGrid</v>
      </c>
      <c r="DI4" s="25" t="str">
        <f>IFERROR(__xludf.DUMMYFUNCTION("""COMPUTED_VALUE"""),"ExpandCollapseUnallocatedGrid")</f>
        <v>ExpandCollapseUnallocatedGrid</v>
      </c>
      <c r="DJ4" s="25" t="str">
        <f>IFERROR(__xludf.DUMMYFUNCTION("""COMPUTED_VALUE"""),"SetTradeAttributePreferences")</f>
        <v>SetTradeAttributePreferences</v>
      </c>
      <c r="DK4" s="25" t="str">
        <f>IFERROR(__xludf.DUMMYFUNCTION("""COMPUTED_VALUE"""),"EnterCustomAllocatePreference")</f>
        <v>EnterCustomAllocatePreference</v>
      </c>
      <c r="DL4" s="25" t="str">
        <f>IFERROR(__xludf.DUMMYFUNCTION("""COMPUTED_VALUE"""),"SetAutoGroupingPreferences")</f>
        <v>SetAutoGroupingPreferences</v>
      </c>
      <c r="DM4" s="25" t="str">
        <f>IFERROR(__xludf.DUMMYFUNCTION("""COMPUTED_VALUE"""),"SetAutoGroupingAccount")</f>
        <v>SetAutoGroupingAccount</v>
      </c>
      <c r="DN4" s="25" t="str">
        <f>IFERROR(__xludf.DUMMYFUNCTION("""COMPUTED_VALUE"""),"SetAvgPriceRounding")</f>
        <v>SetAvgPriceRounding</v>
      </c>
      <c r="DO4" s="25" t="str">
        <f>IFERROR(__xludf.DUMMYFUNCTION("""COMPUTED_VALUE"""),"IsAllocationOpen")</f>
        <v>IsAllocationOpen</v>
      </c>
      <c r="DP4" s="25" t="str">
        <f>IFERROR(__xludf.DUMMYFUNCTION("""COMPUTED_VALUE"""),"AllocationAuditTrail")</f>
        <v>AllocationAuditTrail</v>
      </c>
      <c r="DQ4" s="25" t="str">
        <f>IFERROR(__xludf.DUMMYFUNCTION("""COMPUTED_VALUE"""),"GetAuditTrailData")</f>
        <v>GetAuditTrailData</v>
      </c>
      <c r="DR4" s="25" t="str">
        <f>IFERROR(__xludf.DUMMYFUNCTION("""COMPUTED_VALUE"""),"CheckAuditTrailData")</f>
        <v>CheckAuditTrailData</v>
      </c>
      <c r="DS4" s="25" t="str">
        <f>IFERROR(__xludf.DUMMYFUNCTION("""COMPUTED_VALUE"""),"DeleteGroupWithOutSave")</f>
        <v>DeleteGroupWithOutSave</v>
      </c>
      <c r="DT4" s="25" t="str">
        <f>IFERROR(__xludf.DUMMYFUNCTION("""COMPUTED_VALUE"""),"CheckPreferences")</f>
        <v>CheckPreferences</v>
      </c>
      <c r="DU4" s="25" t="str">
        <f>IFERROR(__xludf.DUMMYFUNCTION("""COMPUTED_VALUE"""),"AllocateWithPopUp")</f>
        <v>AllocateWithPopUp</v>
      </c>
      <c r="DV4" s="25" t="str">
        <f>IFERROR(__xludf.DUMMYFUNCTION("""COMPUTED_VALUE"""),"SelectAllRowsAllocated")</f>
        <v>SelectAllRowsAllocated</v>
      </c>
      <c r="DW4" s="25" t="str">
        <f>IFERROR(__xludf.DUMMYFUNCTION("""COMPUTED_VALUE"""),"ModifyGRPreferenceValues")</f>
        <v>ModifyGRPreferenceValues</v>
      </c>
      <c r="DX4" s="25" t="str">
        <f>IFERROR(__xludf.DUMMYFUNCTION("""COMPUTED_VALUE"""),"VerifyAllocationNavLockPopup")</f>
        <v>VerifyAllocationNavLockPopup</v>
      </c>
      <c r="DY4" s="25" t="str">
        <f>IFERROR(__xludf.DUMMYFUNCTION("""COMPUTED_VALUE"""),"ReviewExistingPositions")</f>
        <v>ReviewExistingPositions</v>
      </c>
      <c r="DZ4" s="25" t="str">
        <f>IFERROR(__xludf.DUMMYFUNCTION("""COMPUTED_VALUE"""),"OperationsonAllocation")</f>
        <v>OperationsonAllocation</v>
      </c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  <c r="EY4" s="25"/>
      <c r="EZ4" s="25"/>
      <c r="FA4" s="25"/>
      <c r="FB4" s="25"/>
      <c r="FC4" s="25"/>
      <c r="FD4" s="25"/>
      <c r="FE4" s="25"/>
      <c r="FF4" s="25"/>
      <c r="FG4" s="25"/>
      <c r="FH4" s="25"/>
      <c r="FI4" s="25"/>
      <c r="FJ4" s="25"/>
      <c r="FK4" s="25"/>
      <c r="FL4" s="25"/>
      <c r="FM4" s="25"/>
      <c r="FN4" s="25"/>
      <c r="FO4" s="25"/>
      <c r="FP4" s="25"/>
      <c r="FQ4" s="25"/>
      <c r="FR4" s="25"/>
      <c r="FS4" s="25"/>
      <c r="FT4" s="25"/>
      <c r="FU4" s="25"/>
      <c r="FV4" s="25"/>
      <c r="FW4" s="25"/>
      <c r="FX4" s="25"/>
      <c r="FY4" s="25"/>
      <c r="FZ4" s="25"/>
      <c r="GA4" s="25"/>
      <c r="GB4" s="25"/>
      <c r="GC4" s="25"/>
      <c r="GD4" s="25"/>
      <c r="GE4" s="25"/>
      <c r="GF4" s="25"/>
      <c r="GG4" s="25"/>
      <c r="GH4" s="25"/>
      <c r="GI4" s="25"/>
      <c r="GJ4" s="25"/>
      <c r="GK4" s="25"/>
      <c r="GL4" s="25"/>
      <c r="GM4" s="25"/>
      <c r="GN4" s="25"/>
      <c r="GO4" s="25"/>
      <c r="GP4" s="25"/>
      <c r="GQ4" s="25"/>
      <c r="GR4" s="25"/>
      <c r="GS4" s="25"/>
      <c r="GT4" s="25"/>
      <c r="GU4" s="25"/>
      <c r="GV4" s="25"/>
      <c r="GW4" s="25"/>
      <c r="GX4" s="25"/>
      <c r="GY4" s="25"/>
      <c r="GZ4" s="25"/>
      <c r="HA4" s="25"/>
      <c r="HB4" s="25"/>
      <c r="HC4" s="25"/>
      <c r="HD4" s="25"/>
      <c r="HE4" s="25"/>
      <c r="HF4" s="25"/>
      <c r="HG4" s="25"/>
      <c r="HH4" s="25"/>
      <c r="HI4" s="25"/>
      <c r="HJ4" s="25"/>
      <c r="HK4" s="25"/>
      <c r="HL4" s="25"/>
      <c r="HM4" s="25"/>
      <c r="HN4" s="25"/>
      <c r="HO4" s="25"/>
      <c r="HP4" s="25"/>
      <c r="HQ4" s="25"/>
      <c r="HR4" s="25"/>
      <c r="HS4" s="25"/>
      <c r="HT4" s="25"/>
      <c r="HU4" s="25"/>
      <c r="HV4" s="25"/>
      <c r="HW4" s="25"/>
      <c r="HX4" s="25"/>
      <c r="HY4" s="25"/>
      <c r="HZ4" s="25"/>
      <c r="IA4" s="25"/>
      <c r="IB4" s="25"/>
      <c r="IC4" s="25"/>
      <c r="ID4" s="25"/>
      <c r="IE4" s="25"/>
      <c r="IF4" s="25"/>
      <c r="IG4" s="25"/>
      <c r="IH4" s="25"/>
      <c r="II4" s="25"/>
      <c r="IJ4" s="25"/>
      <c r="IK4" s="25"/>
      <c r="IL4" s="25"/>
      <c r="IM4" s="25"/>
      <c r="IN4" s="25"/>
      <c r="IO4" s="25"/>
      <c r="IP4" s="25"/>
      <c r="IQ4" s="25"/>
      <c r="IR4" s="25"/>
      <c r="IS4" s="25"/>
      <c r="IT4" s="25"/>
      <c r="IU4" s="25"/>
      <c r="IV4" s="25"/>
      <c r="IW4" s="25"/>
      <c r="IX4" s="25"/>
      <c r="IY4" s="25"/>
      <c r="IZ4" s="25"/>
      <c r="JA4" s="25"/>
      <c r="JB4" s="25"/>
      <c r="JC4" s="25"/>
      <c r="JD4" s="25"/>
      <c r="JE4" s="25"/>
      <c r="JF4" s="25"/>
      <c r="JG4" s="25"/>
      <c r="JH4" s="25"/>
      <c r="JI4" s="25"/>
      <c r="JJ4" s="25"/>
      <c r="JK4" s="25"/>
      <c r="JL4" s="25"/>
      <c r="JM4" s="25"/>
      <c r="JN4" s="25"/>
      <c r="JO4" s="25"/>
      <c r="JP4" s="25"/>
      <c r="JQ4" s="25"/>
      <c r="JR4" s="25"/>
      <c r="JS4" s="25"/>
      <c r="JT4" s="25"/>
      <c r="JU4" s="25"/>
      <c r="JV4" s="25"/>
      <c r="JW4" s="25"/>
      <c r="JX4" s="25"/>
      <c r="JY4" s="25"/>
      <c r="JZ4" s="25"/>
      <c r="KA4" s="25"/>
      <c r="KB4" s="25"/>
      <c r="KC4" s="25"/>
      <c r="KD4" s="25"/>
      <c r="KE4" s="25"/>
      <c r="KF4" s="25"/>
      <c r="KG4" s="25"/>
      <c r="KH4" s="25"/>
      <c r="KI4" s="25"/>
      <c r="KJ4" s="25"/>
      <c r="KK4" s="25"/>
      <c r="KL4" s="25"/>
      <c r="KM4" s="25"/>
      <c r="KN4" s="25"/>
      <c r="KO4" s="25"/>
      <c r="KP4" s="25"/>
      <c r="KQ4" s="25"/>
      <c r="KR4" s="25"/>
      <c r="KS4" s="25"/>
      <c r="KT4" s="25"/>
      <c r="KU4" s="25"/>
      <c r="KV4" s="25"/>
      <c r="KW4" s="25"/>
      <c r="KX4" s="25"/>
      <c r="KY4" s="25"/>
      <c r="KZ4" s="25"/>
      <c r="LA4" s="25"/>
      <c r="LB4" s="25"/>
      <c r="LC4" s="25"/>
      <c r="LD4" s="25"/>
      <c r="LE4" s="25"/>
      <c r="LF4" s="25"/>
      <c r="LG4" s="25"/>
      <c r="LH4" s="25"/>
      <c r="LI4" s="25"/>
      <c r="LJ4" s="25"/>
      <c r="LK4" s="25"/>
      <c r="LL4" s="25"/>
      <c r="LM4" s="25"/>
      <c r="LN4" s="25"/>
      <c r="LO4" s="25"/>
      <c r="LP4" s="25"/>
      <c r="LQ4" s="25"/>
      <c r="LR4" s="25"/>
      <c r="LS4" s="25"/>
      <c r="LT4" s="25"/>
      <c r="LU4" s="25"/>
      <c r="LV4" s="25"/>
      <c r="LW4" s="25"/>
      <c r="LX4" s="25"/>
      <c r="LY4" s="25"/>
      <c r="LZ4" s="25"/>
      <c r="MA4" s="25"/>
      <c r="MB4" s="25"/>
      <c r="MC4" s="25"/>
      <c r="MD4" s="25"/>
      <c r="ME4" s="25"/>
      <c r="MF4" s="25"/>
      <c r="MG4" s="25"/>
      <c r="MH4" s="25"/>
      <c r="MI4" s="25"/>
      <c r="MJ4" s="25"/>
      <c r="MK4" s="25"/>
      <c r="ML4" s="25"/>
      <c r="MM4" s="25"/>
      <c r="MN4" s="25"/>
      <c r="MO4" s="25"/>
      <c r="MP4" s="25"/>
      <c r="MQ4" s="25"/>
      <c r="MR4" s="25"/>
      <c r="MS4" s="25"/>
      <c r="MT4" s="25"/>
      <c r="MU4" s="25"/>
      <c r="MV4" s="25"/>
      <c r="MW4" s="25"/>
      <c r="MX4" s="25"/>
      <c r="MY4" s="25"/>
      <c r="MZ4" s="25"/>
      <c r="NA4" s="25"/>
      <c r="NB4" s="25"/>
      <c r="NC4" s="25"/>
      <c r="ND4" s="25"/>
      <c r="NE4" s="25"/>
      <c r="NF4" s="25"/>
      <c r="NG4" s="25"/>
      <c r="NH4" s="25"/>
      <c r="NI4" s="25"/>
      <c r="NJ4" s="25"/>
      <c r="NK4" s="25"/>
      <c r="NL4" s="25"/>
      <c r="NM4" s="25"/>
      <c r="NN4" s="25"/>
      <c r="NO4" s="25"/>
      <c r="NP4" s="25"/>
      <c r="NQ4" s="25"/>
      <c r="NR4" s="25"/>
      <c r="NS4" s="25"/>
      <c r="NT4" s="25"/>
      <c r="NU4" s="25"/>
      <c r="NV4" s="25"/>
      <c r="NW4" s="25"/>
      <c r="NX4" s="25"/>
      <c r="NY4" s="25"/>
      <c r="NZ4" s="25"/>
      <c r="OA4" s="25"/>
      <c r="OB4" s="25"/>
      <c r="OC4" s="25"/>
      <c r="OD4" s="25"/>
      <c r="OE4" s="25"/>
      <c r="OF4" s="25"/>
      <c r="OG4" s="25"/>
      <c r="OH4" s="25"/>
      <c r="OI4" s="25"/>
      <c r="OJ4" s="25"/>
      <c r="OK4" s="25"/>
      <c r="OL4" s="25"/>
      <c r="OM4" s="25"/>
      <c r="ON4" s="25"/>
      <c r="OO4" s="25"/>
      <c r="OP4" s="25"/>
      <c r="OQ4" s="25"/>
      <c r="OR4" s="25"/>
      <c r="OS4" s="25"/>
      <c r="OT4" s="25"/>
      <c r="OU4" s="25"/>
      <c r="OV4" s="25"/>
      <c r="OW4" s="25"/>
      <c r="OX4" s="25"/>
      <c r="OY4" s="25"/>
      <c r="OZ4" s="25"/>
      <c r="PA4" s="25"/>
      <c r="PB4" s="25"/>
      <c r="PC4" s="25"/>
      <c r="PD4" s="25"/>
      <c r="PE4" s="25"/>
      <c r="PF4" s="25"/>
      <c r="PG4" s="25"/>
      <c r="PH4" s="25"/>
      <c r="PI4" s="25"/>
      <c r="PJ4" s="25"/>
      <c r="PK4" s="25"/>
      <c r="PL4" s="25"/>
      <c r="PM4" s="25"/>
      <c r="PN4" s="25"/>
      <c r="PO4" s="25"/>
      <c r="PP4" s="25"/>
      <c r="PQ4" s="25"/>
      <c r="PR4" s="25"/>
      <c r="PS4" s="25"/>
      <c r="PT4" s="25"/>
      <c r="PU4" s="25"/>
      <c r="PV4" s="25"/>
      <c r="PW4" s="25"/>
      <c r="PX4" s="25"/>
      <c r="PY4" s="25"/>
      <c r="PZ4" s="25"/>
      <c r="QA4" s="25"/>
      <c r="QB4" s="25"/>
      <c r="QC4" s="25"/>
      <c r="QD4" s="25"/>
      <c r="QE4" s="25"/>
      <c r="QF4" s="25"/>
      <c r="QG4" s="25"/>
      <c r="QH4" s="25"/>
      <c r="QI4" s="25"/>
      <c r="QJ4" s="25"/>
      <c r="QK4" s="25"/>
      <c r="QL4" s="25"/>
      <c r="QM4" s="25"/>
      <c r="QN4" s="25"/>
      <c r="QO4" s="25"/>
      <c r="QP4" s="25"/>
      <c r="QQ4" s="25"/>
      <c r="QR4" s="25"/>
      <c r="QS4" s="25"/>
      <c r="QT4" s="25"/>
      <c r="QU4" s="25"/>
      <c r="QV4" s="25"/>
      <c r="QW4" s="25"/>
      <c r="QX4" s="25"/>
      <c r="QY4" s="25"/>
      <c r="QZ4" s="25"/>
      <c r="RA4" s="25"/>
      <c r="RB4" s="25"/>
      <c r="RC4" s="25"/>
      <c r="RD4" s="25"/>
      <c r="RE4" s="25"/>
      <c r="RF4" s="25"/>
      <c r="RG4" s="25"/>
      <c r="RH4" s="25"/>
      <c r="RI4" s="25"/>
      <c r="RJ4" s="25"/>
      <c r="RK4" s="25"/>
      <c r="RL4" s="25"/>
      <c r="RM4" s="25"/>
      <c r="RN4" s="25"/>
      <c r="RO4" s="25"/>
      <c r="RP4" s="25"/>
      <c r="RQ4" s="25"/>
      <c r="RR4" s="25"/>
      <c r="RS4" s="25"/>
      <c r="RT4" s="25"/>
      <c r="RU4" s="25"/>
      <c r="RV4" s="25"/>
      <c r="RW4" s="25"/>
      <c r="RX4" s="25"/>
      <c r="RY4" s="25"/>
      <c r="RZ4" s="25"/>
      <c r="SA4" s="25"/>
      <c r="SB4" s="25"/>
      <c r="SC4" s="25"/>
      <c r="SD4" s="25"/>
      <c r="SE4" s="25"/>
      <c r="SF4" s="25"/>
      <c r="SG4" s="25"/>
      <c r="SH4" s="25"/>
      <c r="SI4" s="25"/>
      <c r="SJ4" s="25"/>
      <c r="SK4" s="25"/>
      <c r="SL4" s="25"/>
      <c r="SM4" s="25"/>
      <c r="SN4" s="25"/>
      <c r="SO4" s="25"/>
      <c r="SP4" s="25"/>
      <c r="SQ4" s="25"/>
      <c r="SR4" s="25"/>
      <c r="SS4" s="25"/>
      <c r="ST4" s="25"/>
      <c r="SU4" s="25"/>
      <c r="SV4" s="25"/>
      <c r="SW4" s="25"/>
      <c r="SX4" s="25"/>
      <c r="SY4" s="25"/>
      <c r="SZ4" s="25"/>
      <c r="TA4" s="25"/>
      <c r="TB4" s="25"/>
      <c r="TC4" s="25"/>
      <c r="TD4" s="25"/>
      <c r="TE4" s="25"/>
      <c r="TF4" s="25"/>
      <c r="TG4" s="25"/>
      <c r="TH4" s="25"/>
      <c r="TI4" s="25"/>
      <c r="TJ4" s="25"/>
      <c r="TK4" s="25"/>
      <c r="TL4" s="25"/>
      <c r="TM4" s="25"/>
      <c r="TN4" s="25"/>
      <c r="TO4" s="25"/>
      <c r="TP4" s="25"/>
      <c r="TQ4" s="25"/>
      <c r="TR4" s="25"/>
      <c r="TS4" s="25"/>
      <c r="TT4" s="25"/>
      <c r="TU4" s="25"/>
      <c r="TV4" s="25"/>
      <c r="TW4" s="25"/>
      <c r="TX4" s="25"/>
      <c r="TY4" s="25"/>
      <c r="TZ4" s="25"/>
      <c r="UA4" s="25"/>
      <c r="UB4" s="25"/>
      <c r="UC4" s="25"/>
      <c r="UD4" s="25"/>
      <c r="UE4" s="25"/>
      <c r="UF4" s="25"/>
      <c r="UG4" s="25"/>
      <c r="UH4" s="25"/>
      <c r="UI4" s="25"/>
      <c r="UJ4" s="25"/>
      <c r="UK4" s="25"/>
      <c r="UL4" s="25"/>
      <c r="UM4" s="25"/>
      <c r="UN4" s="25"/>
      <c r="UO4" s="25"/>
      <c r="UP4" s="25"/>
      <c r="UQ4" s="25"/>
      <c r="UR4" s="25"/>
      <c r="US4" s="25"/>
      <c r="UT4" s="25"/>
      <c r="UU4" s="25"/>
      <c r="UV4" s="25"/>
      <c r="UW4" s="25"/>
      <c r="UX4" s="25"/>
      <c r="UY4" s="25"/>
      <c r="UZ4" s="25"/>
      <c r="VA4" s="25"/>
      <c r="VB4" s="25"/>
      <c r="VC4" s="25"/>
      <c r="VD4" s="25"/>
      <c r="VE4" s="25"/>
      <c r="VF4" s="25"/>
      <c r="VG4" s="25"/>
      <c r="VH4" s="25"/>
      <c r="VI4" s="25"/>
      <c r="VJ4" s="25"/>
      <c r="VK4" s="25"/>
      <c r="VL4" s="25"/>
      <c r="VM4" s="25"/>
      <c r="VN4" s="25"/>
      <c r="VO4" s="25"/>
      <c r="VP4" s="25"/>
      <c r="VQ4" s="25"/>
      <c r="VR4" s="25"/>
      <c r="VS4" s="25"/>
      <c r="VT4" s="25"/>
      <c r="VU4" s="25"/>
      <c r="VV4" s="25"/>
      <c r="VW4" s="25"/>
      <c r="VX4" s="25"/>
      <c r="VY4" s="25"/>
      <c r="VZ4" s="25"/>
      <c r="WA4" s="25"/>
      <c r="WB4" s="25"/>
      <c r="WC4" s="25"/>
      <c r="WD4" s="25"/>
      <c r="WE4" s="25"/>
      <c r="WF4" s="25"/>
      <c r="WG4" s="25"/>
      <c r="WH4" s="25"/>
      <c r="WI4" s="25"/>
      <c r="WJ4" s="25"/>
      <c r="WK4" s="25"/>
      <c r="WL4" s="25"/>
      <c r="WM4" s="25"/>
      <c r="WN4" s="25"/>
      <c r="WO4" s="25"/>
      <c r="WP4" s="25"/>
      <c r="WQ4" s="25"/>
      <c r="WR4" s="25"/>
      <c r="WS4" s="25"/>
      <c r="WT4" s="25"/>
      <c r="WU4" s="25"/>
      <c r="WV4" s="25"/>
      <c r="WW4" s="25"/>
      <c r="WX4" s="25"/>
      <c r="WY4" s="25"/>
      <c r="WZ4" s="25"/>
      <c r="XA4" s="25"/>
      <c r="XB4" s="25"/>
      <c r="XC4" s="25"/>
      <c r="XD4" s="25"/>
      <c r="XE4" s="25"/>
      <c r="XF4" s="25"/>
      <c r="XG4" s="25"/>
      <c r="XH4" s="25"/>
      <c r="XI4" s="25"/>
      <c r="XJ4" s="25"/>
      <c r="XK4" s="25"/>
      <c r="XL4" s="25"/>
      <c r="XM4" s="25"/>
      <c r="XN4" s="25"/>
      <c r="XO4" s="25"/>
      <c r="XP4" s="25"/>
      <c r="XQ4" s="25"/>
      <c r="XR4" s="25"/>
      <c r="XS4" s="25"/>
      <c r="XT4" s="25"/>
      <c r="XU4" s="25"/>
      <c r="XV4" s="25"/>
      <c r="XW4" s="25"/>
      <c r="XX4" s="25"/>
      <c r="XY4" s="25"/>
      <c r="XZ4" s="25"/>
      <c r="YA4" s="25"/>
      <c r="YB4" s="25"/>
      <c r="YC4" s="25"/>
      <c r="YD4" s="25"/>
      <c r="YE4" s="25"/>
      <c r="YF4" s="25"/>
      <c r="YG4" s="25"/>
      <c r="YH4" s="25"/>
      <c r="YI4" s="25"/>
      <c r="YJ4" s="25"/>
      <c r="YK4" s="25"/>
      <c r="YL4" s="25"/>
      <c r="YM4" s="25"/>
      <c r="YN4" s="25"/>
      <c r="YO4" s="25"/>
      <c r="YP4" s="25"/>
      <c r="YQ4" s="25"/>
      <c r="YR4" s="25"/>
      <c r="YS4" s="25"/>
      <c r="YT4" s="25"/>
      <c r="YU4" s="25"/>
      <c r="YV4" s="25"/>
      <c r="YW4" s="25"/>
      <c r="YX4" s="25"/>
      <c r="YY4" s="25"/>
      <c r="YZ4" s="25"/>
      <c r="ZA4" s="25"/>
      <c r="ZB4" s="25"/>
      <c r="ZC4" s="25"/>
      <c r="ZD4" s="25"/>
      <c r="ZE4" s="25"/>
      <c r="ZF4" s="25"/>
      <c r="ZG4" s="25"/>
      <c r="ZH4" s="25"/>
      <c r="ZI4" s="25"/>
      <c r="ZJ4" s="25"/>
      <c r="ZK4" s="25"/>
      <c r="ZL4" s="25"/>
      <c r="ZM4" s="25"/>
      <c r="ZN4" s="25"/>
      <c r="ZO4" s="25"/>
      <c r="ZP4" s="25"/>
      <c r="ZQ4" s="25"/>
      <c r="ZR4" s="25"/>
      <c r="ZS4" s="25"/>
      <c r="ZT4" s="25"/>
      <c r="ZU4" s="25"/>
      <c r="ZV4" s="25"/>
      <c r="ZW4" s="25"/>
      <c r="ZX4" s="25"/>
      <c r="ZY4" s="25"/>
      <c r="ZZ4" s="25"/>
      <c r="AAA4" s="25"/>
      <c r="AAB4" s="25"/>
      <c r="AAC4" s="25"/>
      <c r="AAD4" s="25"/>
      <c r="AAE4" s="25"/>
      <c r="AAF4" s="25"/>
      <c r="AAG4" s="25"/>
      <c r="AAH4" s="25"/>
      <c r="AAI4" s="25"/>
      <c r="AAJ4" s="25"/>
      <c r="AAK4" s="25"/>
      <c r="AAL4" s="25"/>
      <c r="AAM4" s="25"/>
      <c r="AAN4" s="25"/>
      <c r="AAO4" s="25"/>
      <c r="AAP4" s="25"/>
      <c r="AAQ4" s="25"/>
      <c r="AAR4" s="25"/>
      <c r="AAS4" s="25"/>
      <c r="AAT4" s="25"/>
      <c r="AAU4" s="25"/>
      <c r="AAV4" s="25"/>
      <c r="AAW4" s="25"/>
      <c r="AAX4" s="25"/>
      <c r="AAY4" s="25"/>
      <c r="AAZ4" s="25"/>
      <c r="ABA4" s="25"/>
      <c r="ABB4" s="25"/>
      <c r="ABC4" s="25"/>
      <c r="ABD4" s="25"/>
      <c r="ABE4" s="25"/>
      <c r="ABF4" s="25"/>
      <c r="ABG4" s="25"/>
      <c r="ABH4" s="25"/>
      <c r="ABI4" s="25"/>
      <c r="ABJ4" s="25"/>
      <c r="ABK4" s="25"/>
      <c r="ABL4" s="25"/>
      <c r="ABM4" s="25"/>
      <c r="ABN4" s="25"/>
      <c r="ABO4" s="25"/>
      <c r="ABP4" s="25"/>
      <c r="ABQ4" s="25"/>
      <c r="ABR4" s="25"/>
      <c r="ABS4" s="25"/>
      <c r="ABT4" s="25"/>
      <c r="ABU4" s="25"/>
      <c r="ABV4" s="25"/>
      <c r="ABW4" s="25"/>
      <c r="ABX4" s="25"/>
      <c r="ABY4" s="25"/>
      <c r="ABZ4" s="25"/>
      <c r="ACA4" s="25"/>
      <c r="ACB4" s="25"/>
      <c r="ACC4" s="25"/>
      <c r="ACD4" s="25"/>
      <c r="ACE4" s="25"/>
      <c r="ACF4" s="25"/>
      <c r="ACG4" s="25"/>
      <c r="ACH4" s="25"/>
      <c r="ACI4" s="25"/>
      <c r="ACJ4" s="25"/>
      <c r="ACK4" s="25"/>
      <c r="ACL4" s="25"/>
      <c r="ACM4" s="25"/>
      <c r="ACN4" s="25"/>
      <c r="ACO4" s="25"/>
      <c r="ACP4" s="25"/>
      <c r="ACQ4" s="25"/>
      <c r="ACR4" s="25"/>
      <c r="ACS4" s="25"/>
      <c r="ACT4" s="25"/>
      <c r="ACU4" s="25"/>
      <c r="ACV4" s="25"/>
      <c r="ACW4" s="25"/>
      <c r="ACX4" s="25"/>
      <c r="ACY4" s="25"/>
      <c r="ACZ4" s="25"/>
      <c r="ADA4" s="25"/>
      <c r="ADB4" s="25"/>
      <c r="ADC4" s="25"/>
      <c r="ADD4" s="25"/>
      <c r="ADE4" s="25"/>
      <c r="ADF4" s="25"/>
      <c r="ADG4" s="25"/>
      <c r="ADH4" s="25"/>
      <c r="ADI4" s="25"/>
      <c r="ADJ4" s="25"/>
      <c r="ADK4" s="25"/>
      <c r="ADL4" s="25"/>
      <c r="ADM4" s="25"/>
      <c r="ADN4" s="25"/>
      <c r="ADO4" s="25"/>
      <c r="ADP4" s="25"/>
      <c r="ADQ4" s="25"/>
      <c r="ADR4" s="25"/>
      <c r="ADS4" s="25"/>
      <c r="ADT4" s="25"/>
      <c r="ADU4" s="25"/>
      <c r="ADV4" s="25"/>
      <c r="ADW4" s="25"/>
      <c r="ADX4" s="25"/>
      <c r="ADY4" s="25"/>
      <c r="ADZ4" s="25"/>
      <c r="AEA4" s="25"/>
      <c r="AEB4" s="25"/>
      <c r="AEC4" s="25"/>
      <c r="AED4" s="25"/>
      <c r="AEE4" s="25"/>
      <c r="AEF4" s="25"/>
      <c r="AEG4" s="25"/>
      <c r="AEH4" s="25"/>
      <c r="AEI4" s="25"/>
      <c r="AEJ4" s="25"/>
      <c r="AEK4" s="25"/>
      <c r="AEL4" s="25"/>
      <c r="AEM4" s="25"/>
      <c r="AEN4" s="25"/>
      <c r="AEO4" s="25"/>
      <c r="AEP4" s="25"/>
      <c r="AEQ4" s="25"/>
      <c r="AER4" s="25"/>
      <c r="AES4" s="25"/>
      <c r="AET4" s="25"/>
      <c r="AEU4" s="25"/>
      <c r="AEV4" s="25"/>
      <c r="AEW4" s="25"/>
      <c r="AEX4" s="25"/>
      <c r="AEY4" s="25"/>
      <c r="AEZ4" s="25"/>
      <c r="AFA4" s="25"/>
      <c r="AFB4" s="25"/>
      <c r="AFC4" s="25"/>
      <c r="AFD4" s="25"/>
      <c r="AFE4" s="25"/>
      <c r="AFF4" s="25"/>
      <c r="AFG4" s="25"/>
      <c r="AFH4" s="25"/>
      <c r="AFI4" s="25"/>
      <c r="AFJ4" s="25"/>
      <c r="AFK4" s="25"/>
      <c r="AFL4" s="25"/>
      <c r="AFM4" s="25"/>
      <c r="AFN4" s="25"/>
      <c r="AFO4" s="25"/>
      <c r="AFP4" s="25"/>
      <c r="AFQ4" s="25"/>
      <c r="AFR4" s="25"/>
      <c r="AFS4" s="25"/>
      <c r="AFT4" s="25"/>
      <c r="AFU4" s="25"/>
      <c r="AFV4" s="25"/>
      <c r="AFW4" s="25"/>
      <c r="AFX4" s="25"/>
      <c r="AFY4" s="25"/>
      <c r="AFZ4" s="25"/>
      <c r="AGA4" s="25"/>
      <c r="AGB4" s="25"/>
      <c r="AGC4" s="25"/>
      <c r="AGD4" s="25"/>
      <c r="AGE4" s="25"/>
      <c r="AGF4" s="25"/>
      <c r="AGG4" s="25"/>
      <c r="AGH4" s="25"/>
      <c r="AGI4" s="25"/>
      <c r="AGJ4" s="25"/>
      <c r="AGK4" s="25"/>
      <c r="AGL4" s="25"/>
      <c r="AGM4" s="25"/>
      <c r="AGN4" s="25"/>
      <c r="AGO4" s="25"/>
      <c r="AGP4" s="25"/>
      <c r="AGQ4" s="25"/>
      <c r="AGR4" s="25"/>
      <c r="AGS4" s="25"/>
      <c r="AGT4" s="25"/>
      <c r="AGU4" s="25"/>
      <c r="AGV4" s="25"/>
      <c r="AGW4" s="25"/>
      <c r="AGX4" s="25"/>
      <c r="AGY4" s="25"/>
      <c r="AGZ4" s="25"/>
      <c r="AHA4" s="25"/>
      <c r="AHB4" s="25"/>
      <c r="AHC4" s="25"/>
      <c r="AHD4" s="25"/>
      <c r="AHE4" s="25"/>
      <c r="AHF4" s="25"/>
      <c r="AHG4" s="25"/>
      <c r="AHH4" s="25"/>
      <c r="AHI4" s="25"/>
      <c r="AHJ4" s="25"/>
      <c r="AHK4" s="25"/>
      <c r="AHL4" s="25"/>
      <c r="AHM4" s="25"/>
      <c r="AHN4" s="25"/>
      <c r="AHO4" s="25"/>
      <c r="AHP4" s="25"/>
      <c r="AHQ4" s="25"/>
      <c r="AHR4" s="25"/>
      <c r="AHS4" s="25"/>
      <c r="AHT4" s="25"/>
      <c r="AHU4" s="25"/>
      <c r="AHV4" s="25"/>
      <c r="AHW4" s="25"/>
      <c r="AHX4" s="25"/>
      <c r="AHY4" s="25"/>
      <c r="AHZ4" s="25"/>
      <c r="AIA4" s="25"/>
      <c r="AIB4" s="25"/>
      <c r="AIC4" s="25"/>
      <c r="AID4" s="25"/>
      <c r="AIE4" s="25"/>
      <c r="AIF4" s="25"/>
      <c r="AIG4" s="25"/>
      <c r="AIH4" s="25"/>
      <c r="AII4" s="25"/>
      <c r="AIJ4" s="25"/>
      <c r="AIK4" s="25"/>
      <c r="AIL4" s="25"/>
      <c r="AIM4" s="25"/>
      <c r="AIN4" s="25"/>
      <c r="AIO4" s="25"/>
      <c r="AIP4" s="25"/>
      <c r="AIQ4" s="25"/>
      <c r="AIR4" s="25"/>
      <c r="AIS4" s="25"/>
      <c r="AIT4" s="25"/>
      <c r="AIU4" s="25"/>
      <c r="AIV4" s="25"/>
      <c r="AIW4" s="25"/>
      <c r="AIX4" s="25"/>
      <c r="AIY4" s="25"/>
      <c r="AIZ4" s="25"/>
      <c r="AJA4" s="25"/>
      <c r="AJB4" s="25"/>
      <c r="AJC4" s="25"/>
      <c r="AJD4" s="25"/>
      <c r="AJE4" s="25"/>
      <c r="AJF4" s="25"/>
      <c r="AJG4" s="25"/>
      <c r="AJH4" s="25"/>
      <c r="AJI4" s="25"/>
      <c r="AJJ4" s="25"/>
      <c r="AJK4" s="25"/>
      <c r="AJL4" s="25"/>
      <c r="AJM4" s="25"/>
      <c r="AJN4" s="25"/>
      <c r="AJO4" s="25"/>
      <c r="AJP4" s="25"/>
      <c r="AJQ4" s="25"/>
      <c r="AJR4" s="25"/>
      <c r="AJS4" s="25"/>
      <c r="AJT4" s="25"/>
      <c r="AJU4" s="25"/>
      <c r="AJV4" s="25"/>
      <c r="AJW4" s="25"/>
      <c r="AJX4" s="25"/>
      <c r="AJY4" s="25"/>
      <c r="AJZ4" s="25"/>
      <c r="AKA4" s="25"/>
      <c r="AKB4" s="25"/>
      <c r="AKC4" s="25"/>
      <c r="AKD4" s="25"/>
      <c r="AKE4" s="25"/>
      <c r="AKF4" s="25"/>
      <c r="AKG4" s="25"/>
      <c r="AKH4" s="25"/>
      <c r="AKI4" s="25"/>
      <c r="AKJ4" s="25"/>
      <c r="AKK4" s="25"/>
      <c r="AKL4" s="25"/>
      <c r="AKM4" s="25"/>
      <c r="AKN4" s="25"/>
      <c r="AKO4" s="25"/>
      <c r="AKP4" s="25"/>
      <c r="AKQ4" s="25"/>
      <c r="AKR4" s="25"/>
      <c r="AKS4" s="25"/>
      <c r="AKT4" s="25"/>
      <c r="AKU4" s="25"/>
      <c r="AKV4" s="25"/>
      <c r="AKW4" s="25"/>
      <c r="AKX4" s="25"/>
      <c r="AKY4" s="25"/>
      <c r="AKZ4" s="25"/>
      <c r="ALA4" s="25"/>
      <c r="ALB4" s="25"/>
      <c r="ALC4" s="25"/>
      <c r="ALD4" s="25"/>
      <c r="ALE4" s="25"/>
      <c r="ALF4" s="25"/>
      <c r="ALG4" s="25"/>
      <c r="ALH4" s="25"/>
      <c r="ALI4" s="25"/>
      <c r="ALJ4" s="25"/>
      <c r="ALK4" s="25"/>
      <c r="ALL4" s="25"/>
      <c r="ALM4" s="25"/>
      <c r="ALN4" s="25"/>
      <c r="ALO4" s="25"/>
      <c r="ALP4" s="25"/>
      <c r="ALQ4" s="25"/>
      <c r="ALR4" s="25"/>
      <c r="ALS4" s="25"/>
      <c r="ALT4" s="25"/>
      <c r="ALU4" s="25"/>
      <c r="ALV4" s="25"/>
      <c r="ALW4" s="25"/>
      <c r="ALX4" s="25"/>
      <c r="ALY4" s="25"/>
      <c r="ALZ4" s="25"/>
      <c r="AMA4" s="25"/>
      <c r="AMB4" s="25"/>
      <c r="AMC4" s="25"/>
      <c r="AMD4" s="25"/>
      <c r="AME4" s="25"/>
      <c r="AMF4" s="25"/>
      <c r="AMG4" s="25"/>
      <c r="AMH4" s="25"/>
      <c r="AMI4" s="25"/>
      <c r="AMJ4" s="25"/>
      <c r="AMK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IFERROR(__xludf.DUMMYFUNCTION("""COMPUTED_VALUE"""),"Net Amount(Local)")</f>
        <v>Net Amount(Local)</v>
      </c>
      <c r="C5" s="27" t="str">
        <f>IFERROR(__xludf.DUMMYFUNCTION("""COMPUTED_VALUE"""),"Net Amount(Base)")</f>
        <v>Net Amount(Base)</v>
      </c>
      <c r="D5" s="27" t="str">
        <f>IFERROR(__xludf.DUMMYFUNCTION("""COMPUTED_VALUE"""),"Principal Amount(Local)")</f>
        <v>Principal Amount(Local)</v>
      </c>
      <c r="E5" s="27" t="str">
        <f>IFERROR(__xludf.DUMMYFUNCTION("""COMPUTED_VALUE"""),"Principal Amount(Base)")</f>
        <v>Principal Amount(Base)</v>
      </c>
      <c r="F5" s="28" t="str">
        <f>IFERROR(__xludf.DUMMYFUNCTION("""COMPUTED_VALUE"""),"FX Conversion Operator")</f>
        <v>FX Conversion Operator</v>
      </c>
      <c r="G5" s="27" t="str">
        <f>IFERROR(__xludf.DUMMYFUNCTION("""COMPUTED_VALUE"""),"TaxLotID")</f>
        <v>TaxLotID</v>
      </c>
      <c r="H5" s="27" t="str">
        <f>IFERROR(__xludf.DUMMYFUNCTION("""COMPUTED_VALUE"""),"Settlement Currency")</f>
        <v>Settlement Currency</v>
      </c>
      <c r="I5" s="27" t="str">
        <f>IFERROR(__xludf.DUMMYFUNCTION("""COMPUTED_VALUE"""),"Trade Attribute 1")</f>
        <v>Trade Attribute 1</v>
      </c>
      <c r="J5" s="27" t="str">
        <f>IFERROR(__xludf.DUMMYFUNCTION("""COMPUTED_VALUE"""),"Trade Attribute 2")</f>
        <v>Trade Attribute 2</v>
      </c>
      <c r="K5" s="27" t="str">
        <f>IFERROR(__xludf.DUMMYFUNCTION("""COMPUTED_VALUE"""),"Trade Attribute 3")</f>
        <v>Trade Attribute 3</v>
      </c>
      <c r="L5" s="27" t="str">
        <f>IFERROR(__xludf.DUMMYFUNCTION("""COMPUTED_VALUE"""),"Trade Attribute 4")</f>
        <v>Trade Attribute 4</v>
      </c>
      <c r="M5" s="27" t="str">
        <f>IFERROR(__xludf.DUMMYFUNCTION("""COMPUTED_VALUE"""),"Trade Attribute 5")</f>
        <v>Trade Attribute 5</v>
      </c>
      <c r="N5" s="27" t="str">
        <f>IFERROR(__xludf.DUMMYFUNCTION("""COMPUTED_VALUE"""),"Trade Attribute 6")</f>
        <v>Trade Attribute 6</v>
      </c>
      <c r="O5" s="27" t="str">
        <f>IFERROR(__xludf.DUMMYFUNCTION("""COMPUTED_VALUE"""),"Account Name")</f>
        <v>Account Name</v>
      </c>
      <c r="P5" s="27" t="str">
        <f>IFERROR(__xludf.DUMMYFUNCTION("""COMPUTED_VALUE"""),"Strategy Name")</f>
        <v>Strategy Name</v>
      </c>
      <c r="Q5" s="27" t="str">
        <f>IFERROR(__xludf.DUMMYFUNCTION("""COMPUTED_VALUE"""),"Percentage")</f>
        <v>Percentage</v>
      </c>
      <c r="R5" s="27" t="str">
        <f>IFERROR(__xludf.DUMMYFUNCTION("""COMPUTED_VALUE"""),"Taxlot Qty")</f>
        <v>Taxlot Qty</v>
      </c>
      <c r="S5" s="27" t="str">
        <f>IFERROR(__xludf.DUMMYFUNCTION("""COMPUTED_VALUE"""),"Commission")</f>
        <v>Commission</v>
      </c>
      <c r="T5" s="29" t="str">
        <f>IFERROR(__xludf.DUMMYFUNCTION("""COMPUTED_VALUE"""),"Soft Commission")</f>
        <v>Soft Commission</v>
      </c>
      <c r="U5" s="29" t="str">
        <f>IFERROR(__xludf.DUMMYFUNCTION("""COMPUTED_VALUE"""),"Other Broker Fees")</f>
        <v>Other Broker Fees</v>
      </c>
      <c r="V5" s="29" t="str">
        <f>IFERROR(__xludf.DUMMYFUNCTION("""COMPUTED_VALUE"""),"Clearing Broker Fees")</f>
        <v>Clearing Broker Fees</v>
      </c>
      <c r="W5" s="29" t="str">
        <f>IFERROR(__xludf.DUMMYFUNCTION("""COMPUTED_VALUE"""),"Stamp Duty")</f>
        <v>Stamp Duty</v>
      </c>
      <c r="X5" s="29" t="str">
        <f>IFERROR(__xludf.DUMMYFUNCTION("""COMPUTED_VALUE"""),"Transaction Levy")</f>
        <v>Transaction Levy</v>
      </c>
      <c r="Y5" s="29" t="str">
        <f>IFERROR(__xludf.DUMMYFUNCTION("""COMPUTED_VALUE"""),"AUEC Fee1")</f>
        <v>AUEC Fee1</v>
      </c>
      <c r="Z5" s="29" t="str">
        <f>IFERROR(__xludf.DUMMYFUNCTION("""COMPUTED_VALUE"""),"Tax On Commissions")</f>
        <v>Tax On Commissions</v>
      </c>
      <c r="AA5" s="29" t="str">
        <f>IFERROR(__xludf.DUMMYFUNCTION("""COMPUTED_VALUE"""),"AUEC Fee2")</f>
        <v>AUEC Fee2</v>
      </c>
      <c r="AB5" s="29" t="str">
        <f>IFERROR(__xludf.DUMMYFUNCTION("""COMPUTED_VALUE"""),"SEC Fee")</f>
        <v>SEC Fee</v>
      </c>
      <c r="AC5" s="29" t="str">
        <f>IFERROR(__xludf.DUMMYFUNCTION("""COMPUTED_VALUE"""),"OCC Fee")</f>
        <v>OCC Fee</v>
      </c>
      <c r="AD5" s="29" t="str">
        <f>IFERROR(__xludf.DUMMYFUNCTION("""COMPUTED_VALUE"""),"ORF Fee")</f>
        <v>ORF Fee</v>
      </c>
      <c r="AE5" s="29" t="str">
        <f>IFERROR(__xludf.DUMMYFUNCTION("""COMPUTED_VALUE"""),"Option Premium Adjustment")</f>
        <v>Option Premium Adjustment</v>
      </c>
      <c r="AF5" s="29" t="str">
        <f>IFERROR(__xludf.DUMMYFUNCTION("""COMPUTED_VALUE"""),"Closing Status")</f>
        <v>Closing Status</v>
      </c>
      <c r="AG5" s="29" t="str">
        <f>IFERROR(__xludf.DUMMYFUNCTION("""COMPUTED_VALUE"""),"External Transaction ID")</f>
        <v>External Transaction ID</v>
      </c>
      <c r="AH5" s="29" t="str">
        <f>IFERROR(__xludf.DUMMYFUNCTION("""COMPUTED_VALUE"""),"Lot ID")</f>
        <v>Lot ID</v>
      </c>
      <c r="AI5" s="29" t="str">
        <f>IFERROR(__xludf.DUMMYFUNCTION("""COMPUTED_VALUE"""),"AvgPriceBase")</f>
        <v>AvgPriceBase</v>
      </c>
      <c r="AJ5" s="29" t="str">
        <f>IFERROR(__xludf.DUMMYFUNCTION("""COMPUTED_VALUE"""),"Accrued Interest")</f>
        <v>Accrued Interest</v>
      </c>
      <c r="AK5" s="29" t="str">
        <f>IFERROR(__xludf.DUMMYFUNCTION("""COMPUTED_VALUE"""),"FXRate")</f>
        <v>FXRate</v>
      </c>
      <c r="AL5" s="29" t="str">
        <f>IFERROR(__xludf.DUMMYFUNCTION("""COMPUTED_VALUE"""),"Change Type")</f>
        <v>Change Type</v>
      </c>
      <c r="AM5" s="29" t="str">
        <f>IFERROR(__xludf.DUMMYFUNCTION("""COMPUTED_VALUE"""),"MandatoryColumn")</f>
        <v>MandatoryColumn</v>
      </c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  <c r="EY5" s="29"/>
      <c r="EZ5" s="29"/>
      <c r="FA5" s="29"/>
      <c r="FB5" s="29"/>
      <c r="FC5" s="29"/>
      <c r="FD5" s="29"/>
      <c r="FE5" s="29"/>
      <c r="FF5" s="29"/>
      <c r="FG5" s="29"/>
      <c r="FH5" s="29"/>
      <c r="FI5" s="29"/>
      <c r="FJ5" s="29"/>
      <c r="FK5" s="29"/>
      <c r="FL5" s="29"/>
      <c r="FM5" s="29"/>
      <c r="FN5" s="29"/>
      <c r="FO5" s="29"/>
      <c r="FP5" s="29"/>
      <c r="FQ5" s="29"/>
      <c r="FR5" s="29"/>
      <c r="FS5" s="29"/>
      <c r="FT5" s="29"/>
      <c r="FU5" s="29"/>
      <c r="FV5" s="29"/>
      <c r="FW5" s="29"/>
      <c r="FX5" s="29"/>
      <c r="FY5" s="29"/>
      <c r="FZ5" s="29"/>
      <c r="GA5" s="29"/>
      <c r="GB5" s="29"/>
      <c r="GC5" s="29"/>
      <c r="GD5" s="29"/>
      <c r="GE5" s="29"/>
      <c r="GF5" s="29"/>
      <c r="GG5" s="29"/>
      <c r="GH5" s="29"/>
      <c r="GI5" s="29"/>
      <c r="GJ5" s="29"/>
      <c r="GK5" s="29"/>
      <c r="GL5" s="29"/>
      <c r="GM5" s="29"/>
      <c r="GN5" s="29"/>
      <c r="GO5" s="29"/>
      <c r="GP5" s="29"/>
      <c r="GQ5" s="29"/>
      <c r="GR5" s="29"/>
      <c r="GS5" s="29"/>
      <c r="GT5" s="29"/>
      <c r="GU5" s="29"/>
      <c r="GV5" s="29"/>
      <c r="GW5" s="29"/>
      <c r="GX5" s="29"/>
      <c r="GY5" s="29"/>
      <c r="GZ5" s="29"/>
      <c r="HA5" s="29"/>
      <c r="HB5" s="29"/>
      <c r="HC5" s="29"/>
      <c r="HD5" s="29"/>
      <c r="HE5" s="29"/>
      <c r="HF5" s="29"/>
      <c r="HG5" s="29"/>
      <c r="HH5" s="29"/>
      <c r="HI5" s="29"/>
      <c r="HJ5" s="29"/>
      <c r="HK5" s="29"/>
      <c r="HL5" s="29"/>
      <c r="HM5" s="29"/>
      <c r="HN5" s="29"/>
      <c r="HO5" s="29"/>
      <c r="HP5" s="29"/>
      <c r="HQ5" s="29"/>
      <c r="HR5" s="29"/>
      <c r="HS5" s="29"/>
      <c r="HT5" s="29"/>
      <c r="HU5" s="29"/>
      <c r="HV5" s="29"/>
      <c r="HW5" s="29"/>
      <c r="HX5" s="29"/>
      <c r="HY5" s="29"/>
      <c r="HZ5" s="29"/>
      <c r="IA5" s="29"/>
      <c r="IB5" s="29"/>
      <c r="IC5" s="29"/>
      <c r="ID5" s="29"/>
      <c r="IE5" s="29"/>
      <c r="IF5" s="29"/>
      <c r="IG5" s="29"/>
      <c r="IH5" s="29"/>
      <c r="II5" s="29"/>
      <c r="IJ5" s="29"/>
      <c r="IK5" s="29"/>
      <c r="IL5" s="29"/>
      <c r="IM5" s="29"/>
      <c r="IN5" s="29"/>
      <c r="IO5" s="29"/>
      <c r="IP5" s="29"/>
      <c r="IQ5" s="29"/>
      <c r="IR5" s="29"/>
      <c r="IS5" s="29"/>
      <c r="IT5" s="29"/>
      <c r="IU5" s="29"/>
      <c r="IV5" s="29"/>
      <c r="IW5" s="29"/>
      <c r="IX5" s="29"/>
      <c r="IY5" s="29"/>
      <c r="IZ5" s="29"/>
      <c r="JA5" s="29"/>
      <c r="JB5" s="29"/>
      <c r="JC5" s="29"/>
      <c r="JD5" s="29"/>
      <c r="JE5" s="29"/>
      <c r="JF5" s="29"/>
      <c r="JG5" s="29"/>
      <c r="JH5" s="29"/>
      <c r="JI5" s="29"/>
      <c r="JJ5" s="29"/>
      <c r="JK5" s="29"/>
      <c r="JL5" s="29"/>
      <c r="JM5" s="29"/>
      <c r="JN5" s="29"/>
      <c r="JO5" s="29"/>
      <c r="JP5" s="29"/>
      <c r="JQ5" s="29"/>
      <c r="JR5" s="29"/>
      <c r="JS5" s="29"/>
      <c r="JT5" s="29"/>
      <c r="JU5" s="29"/>
      <c r="JV5" s="29"/>
      <c r="JW5" s="29"/>
      <c r="JX5" s="29"/>
      <c r="JY5" s="29"/>
      <c r="JZ5" s="29"/>
      <c r="KA5" s="29"/>
      <c r="KB5" s="29"/>
      <c r="KC5" s="29"/>
      <c r="KD5" s="29"/>
      <c r="KE5" s="29"/>
      <c r="KF5" s="29"/>
      <c r="KG5" s="29"/>
      <c r="KH5" s="29"/>
      <c r="KI5" s="29"/>
      <c r="KJ5" s="29"/>
      <c r="KK5" s="29"/>
      <c r="KL5" s="29"/>
      <c r="KM5" s="29"/>
      <c r="KN5" s="29"/>
      <c r="KO5" s="29"/>
      <c r="KP5" s="29"/>
      <c r="KQ5" s="29"/>
      <c r="KR5" s="29"/>
      <c r="KS5" s="29"/>
      <c r="KT5" s="29"/>
      <c r="KU5" s="29"/>
      <c r="KV5" s="29"/>
      <c r="KW5" s="29"/>
      <c r="KX5" s="29"/>
      <c r="KY5" s="29"/>
      <c r="KZ5" s="29"/>
      <c r="LA5" s="29"/>
      <c r="LB5" s="29"/>
      <c r="LC5" s="29"/>
      <c r="LD5" s="29"/>
      <c r="LE5" s="29"/>
      <c r="LF5" s="29"/>
      <c r="LG5" s="29"/>
      <c r="LH5" s="29"/>
      <c r="LI5" s="29"/>
      <c r="LJ5" s="29"/>
      <c r="LK5" s="29"/>
      <c r="LL5" s="29"/>
      <c r="LM5" s="29"/>
      <c r="LN5" s="29"/>
      <c r="LO5" s="29"/>
      <c r="LP5" s="29"/>
      <c r="LQ5" s="29"/>
      <c r="LR5" s="29"/>
      <c r="LS5" s="29"/>
      <c r="LT5" s="29"/>
      <c r="LU5" s="29"/>
      <c r="LV5" s="29"/>
      <c r="LW5" s="29"/>
      <c r="LX5" s="29"/>
      <c r="LY5" s="29"/>
      <c r="LZ5" s="29"/>
      <c r="MA5" s="29"/>
      <c r="MB5" s="29"/>
      <c r="MC5" s="29"/>
      <c r="MD5" s="29"/>
      <c r="ME5" s="29"/>
      <c r="MF5" s="29"/>
      <c r="MG5" s="29"/>
      <c r="MH5" s="29"/>
      <c r="MI5" s="29"/>
      <c r="MJ5" s="29"/>
      <c r="MK5" s="29"/>
      <c r="ML5" s="29"/>
      <c r="MM5" s="29"/>
      <c r="MN5" s="29"/>
      <c r="MO5" s="29"/>
      <c r="MP5" s="29"/>
      <c r="MQ5" s="29"/>
      <c r="MR5" s="29"/>
      <c r="MS5" s="29"/>
      <c r="MT5" s="29"/>
      <c r="MU5" s="29"/>
      <c r="MV5" s="29"/>
      <c r="MW5" s="29"/>
      <c r="MX5" s="29"/>
      <c r="MY5" s="29"/>
      <c r="MZ5" s="29"/>
      <c r="NA5" s="29"/>
      <c r="NB5" s="29"/>
      <c r="NC5" s="29"/>
      <c r="ND5" s="29"/>
      <c r="NE5" s="29"/>
      <c r="NF5" s="29"/>
      <c r="NG5" s="29"/>
      <c r="NH5" s="29"/>
      <c r="NI5" s="29"/>
      <c r="NJ5" s="29"/>
      <c r="NK5" s="29"/>
      <c r="NL5" s="29"/>
      <c r="NM5" s="29"/>
      <c r="NN5" s="29"/>
      <c r="NO5" s="29"/>
      <c r="NP5" s="29"/>
      <c r="NQ5" s="29"/>
      <c r="NR5" s="29"/>
      <c r="NS5" s="29"/>
      <c r="NT5" s="29"/>
      <c r="NU5" s="29"/>
      <c r="NV5" s="29"/>
      <c r="NW5" s="29"/>
      <c r="NX5" s="29"/>
      <c r="NY5" s="29"/>
      <c r="NZ5" s="29"/>
      <c r="OA5" s="29"/>
      <c r="OB5" s="29"/>
      <c r="OC5" s="29"/>
      <c r="OD5" s="29"/>
      <c r="OE5" s="29"/>
      <c r="OF5" s="29"/>
      <c r="OG5" s="29"/>
      <c r="OH5" s="29"/>
      <c r="OI5" s="29"/>
      <c r="OJ5" s="29"/>
      <c r="OK5" s="29"/>
      <c r="OL5" s="29"/>
      <c r="OM5" s="29"/>
      <c r="ON5" s="29"/>
      <c r="OO5" s="29"/>
      <c r="OP5" s="29"/>
      <c r="OQ5" s="29"/>
      <c r="OR5" s="29"/>
      <c r="OS5" s="29"/>
      <c r="OT5" s="29"/>
      <c r="OU5" s="29"/>
      <c r="OV5" s="29"/>
      <c r="OW5" s="29"/>
      <c r="OX5" s="29"/>
      <c r="OY5" s="29"/>
      <c r="OZ5" s="29"/>
      <c r="PA5" s="29"/>
      <c r="PB5" s="29"/>
      <c r="PC5" s="29"/>
      <c r="PD5" s="29"/>
      <c r="PE5" s="29"/>
      <c r="PF5" s="29"/>
      <c r="PG5" s="29"/>
      <c r="PH5" s="29"/>
      <c r="PI5" s="29"/>
      <c r="PJ5" s="29"/>
      <c r="PK5" s="29"/>
      <c r="PL5" s="29"/>
      <c r="PM5" s="29"/>
      <c r="PN5" s="29"/>
      <c r="PO5" s="29"/>
      <c r="PP5" s="29"/>
      <c r="PQ5" s="29"/>
      <c r="PR5" s="29"/>
      <c r="PS5" s="29"/>
      <c r="PT5" s="29"/>
      <c r="PU5" s="29"/>
      <c r="PV5" s="29"/>
      <c r="PW5" s="29"/>
      <c r="PX5" s="29"/>
      <c r="PY5" s="29"/>
      <c r="PZ5" s="29"/>
      <c r="QA5" s="29"/>
      <c r="QB5" s="29"/>
      <c r="QC5" s="29"/>
      <c r="QD5" s="29"/>
      <c r="QE5" s="29"/>
      <c r="QF5" s="29"/>
      <c r="QG5" s="29"/>
      <c r="QH5" s="29"/>
      <c r="QI5" s="29"/>
      <c r="QJ5" s="29"/>
      <c r="QK5" s="29"/>
      <c r="QL5" s="29"/>
      <c r="QM5" s="29"/>
      <c r="QN5" s="29"/>
      <c r="QO5" s="29"/>
      <c r="QP5" s="29"/>
      <c r="QQ5" s="29"/>
      <c r="QR5" s="29"/>
      <c r="QS5" s="29"/>
      <c r="QT5" s="29"/>
      <c r="QU5" s="29"/>
      <c r="QV5" s="29"/>
      <c r="QW5" s="29"/>
      <c r="QX5" s="29"/>
      <c r="QY5" s="29"/>
      <c r="QZ5" s="29"/>
      <c r="RA5" s="29"/>
      <c r="RB5" s="29"/>
      <c r="RC5" s="29"/>
      <c r="RD5" s="29"/>
      <c r="RE5" s="29"/>
      <c r="RF5" s="29"/>
      <c r="RG5" s="29"/>
      <c r="RH5" s="29"/>
      <c r="RI5" s="29"/>
      <c r="RJ5" s="29"/>
      <c r="RK5" s="29"/>
      <c r="RL5" s="29"/>
      <c r="RM5" s="29"/>
      <c r="RN5" s="29"/>
      <c r="RO5" s="29"/>
      <c r="RP5" s="29"/>
      <c r="RQ5" s="29"/>
      <c r="RR5" s="29"/>
      <c r="RS5" s="29"/>
      <c r="RT5" s="29"/>
      <c r="RU5" s="29"/>
      <c r="RV5" s="29"/>
      <c r="RW5" s="29"/>
      <c r="RX5" s="29"/>
      <c r="RY5" s="29"/>
      <c r="RZ5" s="29"/>
      <c r="SA5" s="29"/>
      <c r="SB5" s="29"/>
      <c r="SC5" s="29"/>
      <c r="SD5" s="29"/>
      <c r="SE5" s="29"/>
      <c r="SF5" s="29"/>
      <c r="SG5" s="29"/>
      <c r="SH5" s="29"/>
      <c r="SI5" s="29"/>
      <c r="SJ5" s="29"/>
      <c r="SK5" s="29"/>
      <c r="SL5" s="29"/>
      <c r="SM5" s="29"/>
      <c r="SN5" s="29"/>
      <c r="SO5" s="29"/>
      <c r="SP5" s="29"/>
      <c r="SQ5" s="29"/>
      <c r="SR5" s="29"/>
      <c r="SS5" s="29"/>
      <c r="ST5" s="29"/>
      <c r="SU5" s="29"/>
      <c r="SV5" s="29"/>
      <c r="SW5" s="29"/>
      <c r="SX5" s="29"/>
      <c r="SY5" s="29"/>
      <c r="SZ5" s="29"/>
      <c r="TA5" s="29"/>
      <c r="TB5" s="29"/>
      <c r="TC5" s="29"/>
      <c r="TD5" s="29"/>
      <c r="TE5" s="29"/>
      <c r="TF5" s="29"/>
      <c r="TG5" s="29"/>
      <c r="TH5" s="29"/>
      <c r="TI5" s="29"/>
      <c r="TJ5" s="29"/>
      <c r="TK5" s="29"/>
      <c r="TL5" s="29"/>
      <c r="TM5" s="29"/>
      <c r="TN5" s="29"/>
      <c r="TO5" s="29"/>
      <c r="TP5" s="29"/>
      <c r="TQ5" s="29"/>
      <c r="TR5" s="29"/>
      <c r="TS5" s="29"/>
      <c r="TT5" s="29"/>
      <c r="TU5" s="29"/>
      <c r="TV5" s="29"/>
      <c r="TW5" s="29"/>
      <c r="TX5" s="29"/>
      <c r="TY5" s="29"/>
      <c r="TZ5" s="29"/>
      <c r="UA5" s="29"/>
      <c r="UB5" s="29"/>
      <c r="UC5" s="29"/>
      <c r="UD5" s="29"/>
      <c r="UE5" s="29"/>
      <c r="UF5" s="29"/>
      <c r="UG5" s="29"/>
      <c r="UH5" s="29"/>
      <c r="UI5" s="29"/>
      <c r="UJ5" s="29"/>
      <c r="UK5" s="29"/>
      <c r="UL5" s="29"/>
      <c r="UM5" s="29"/>
      <c r="UN5" s="29"/>
      <c r="UO5" s="29"/>
      <c r="UP5" s="29"/>
      <c r="UQ5" s="29"/>
      <c r="UR5" s="29"/>
      <c r="US5" s="29"/>
      <c r="UT5" s="29"/>
      <c r="UU5" s="29"/>
      <c r="UV5" s="29"/>
      <c r="UW5" s="29"/>
      <c r="UX5" s="29"/>
      <c r="UY5" s="29"/>
      <c r="UZ5" s="29"/>
      <c r="VA5" s="29"/>
      <c r="VB5" s="29"/>
      <c r="VC5" s="29"/>
      <c r="VD5" s="29"/>
      <c r="VE5" s="29"/>
      <c r="VF5" s="29"/>
      <c r="VG5" s="29"/>
      <c r="VH5" s="29"/>
      <c r="VI5" s="29"/>
      <c r="VJ5" s="29"/>
      <c r="VK5" s="29"/>
      <c r="VL5" s="29"/>
      <c r="VM5" s="29"/>
      <c r="VN5" s="29"/>
      <c r="VO5" s="29"/>
      <c r="VP5" s="29"/>
      <c r="VQ5" s="29"/>
      <c r="VR5" s="29"/>
      <c r="VS5" s="29"/>
      <c r="VT5" s="29"/>
      <c r="VU5" s="29"/>
      <c r="VV5" s="29"/>
      <c r="VW5" s="29"/>
      <c r="VX5" s="29"/>
      <c r="VY5" s="29"/>
      <c r="VZ5" s="29"/>
      <c r="WA5" s="29"/>
      <c r="WB5" s="29"/>
      <c r="WC5" s="29"/>
      <c r="WD5" s="29"/>
      <c r="WE5" s="29"/>
      <c r="WF5" s="29"/>
      <c r="WG5" s="29"/>
      <c r="WH5" s="29"/>
      <c r="WI5" s="29"/>
      <c r="WJ5" s="29"/>
      <c r="WK5" s="29"/>
      <c r="WL5" s="29"/>
      <c r="WM5" s="29"/>
      <c r="WN5" s="29"/>
      <c r="WO5" s="29"/>
      <c r="WP5" s="29"/>
      <c r="WQ5" s="29"/>
      <c r="WR5" s="29"/>
      <c r="WS5" s="29"/>
      <c r="WT5" s="29"/>
      <c r="WU5" s="29"/>
      <c r="WV5" s="29"/>
      <c r="WW5" s="29"/>
      <c r="WX5" s="29"/>
      <c r="WY5" s="29"/>
      <c r="WZ5" s="29"/>
      <c r="XA5" s="29"/>
      <c r="XB5" s="29"/>
      <c r="XC5" s="29"/>
      <c r="XD5" s="29"/>
      <c r="XE5" s="29"/>
      <c r="XF5" s="29"/>
      <c r="XG5" s="29"/>
      <c r="XH5" s="29"/>
      <c r="XI5" s="29"/>
      <c r="XJ5" s="29"/>
      <c r="XK5" s="29"/>
      <c r="XL5" s="29"/>
      <c r="XM5" s="29"/>
      <c r="XN5" s="29"/>
      <c r="XO5" s="29"/>
      <c r="XP5" s="29"/>
      <c r="XQ5" s="29"/>
      <c r="XR5" s="29"/>
      <c r="XS5" s="29"/>
      <c r="XT5" s="29"/>
      <c r="XU5" s="29"/>
      <c r="XV5" s="29"/>
      <c r="XW5" s="29"/>
      <c r="XX5" s="29"/>
      <c r="XY5" s="29"/>
      <c r="XZ5" s="29"/>
      <c r="YA5" s="29"/>
      <c r="YB5" s="29"/>
      <c r="YC5" s="29"/>
      <c r="YD5" s="29"/>
      <c r="YE5" s="29"/>
      <c r="YF5" s="29"/>
      <c r="YG5" s="29"/>
      <c r="YH5" s="29"/>
      <c r="YI5" s="29"/>
      <c r="YJ5" s="29"/>
      <c r="YK5" s="29"/>
      <c r="YL5" s="29"/>
      <c r="YM5" s="29"/>
      <c r="YN5" s="29"/>
      <c r="YO5" s="29"/>
      <c r="YP5" s="29"/>
      <c r="YQ5" s="29"/>
      <c r="YR5" s="29"/>
      <c r="YS5" s="29"/>
      <c r="YT5" s="29"/>
      <c r="YU5" s="29"/>
      <c r="YV5" s="29"/>
      <c r="YW5" s="29"/>
      <c r="YX5" s="29"/>
      <c r="YY5" s="29"/>
      <c r="YZ5" s="29"/>
      <c r="ZA5" s="29"/>
      <c r="ZB5" s="29"/>
      <c r="ZC5" s="29"/>
      <c r="ZD5" s="29"/>
      <c r="ZE5" s="29"/>
      <c r="ZF5" s="29"/>
      <c r="ZG5" s="29"/>
      <c r="ZH5" s="29"/>
      <c r="ZI5" s="29"/>
      <c r="ZJ5" s="29"/>
      <c r="ZK5" s="29"/>
      <c r="ZL5" s="29"/>
      <c r="ZM5" s="29"/>
      <c r="ZN5" s="29"/>
      <c r="ZO5" s="29"/>
      <c r="ZP5" s="29"/>
      <c r="ZQ5" s="29"/>
      <c r="ZR5" s="29"/>
      <c r="ZS5" s="29"/>
      <c r="ZT5" s="29"/>
      <c r="ZU5" s="29"/>
      <c r="ZV5" s="29"/>
      <c r="ZW5" s="29"/>
      <c r="ZX5" s="29"/>
      <c r="ZY5" s="29"/>
      <c r="ZZ5" s="29"/>
      <c r="AAA5" s="29"/>
      <c r="AAB5" s="29"/>
      <c r="AAC5" s="29"/>
      <c r="AAD5" s="29"/>
      <c r="AAE5" s="29"/>
      <c r="AAF5" s="29"/>
      <c r="AAG5" s="29"/>
      <c r="AAH5" s="29"/>
      <c r="AAI5" s="29"/>
      <c r="AAJ5" s="29"/>
      <c r="AAK5" s="29"/>
      <c r="AAL5" s="29"/>
      <c r="AAM5" s="29"/>
      <c r="AAN5" s="29"/>
      <c r="AAO5" s="29"/>
      <c r="AAP5" s="29"/>
      <c r="AAQ5" s="29"/>
      <c r="AAR5" s="29"/>
      <c r="AAS5" s="29"/>
      <c r="AAT5" s="29"/>
      <c r="AAU5" s="29"/>
      <c r="AAV5" s="29"/>
      <c r="AAW5" s="29"/>
      <c r="AAX5" s="29"/>
      <c r="AAY5" s="29"/>
      <c r="AAZ5" s="29"/>
      <c r="ABA5" s="29"/>
      <c r="ABB5" s="29"/>
      <c r="ABC5" s="29"/>
      <c r="ABD5" s="29"/>
      <c r="ABE5" s="29"/>
      <c r="ABF5" s="29"/>
      <c r="ABG5" s="29"/>
      <c r="ABH5" s="29"/>
      <c r="ABI5" s="29"/>
      <c r="ABJ5" s="29"/>
      <c r="ABK5" s="29"/>
      <c r="ABL5" s="29"/>
      <c r="ABM5" s="29"/>
      <c r="ABN5" s="29"/>
      <c r="ABO5" s="29"/>
      <c r="ABP5" s="29"/>
      <c r="ABQ5" s="29"/>
      <c r="ABR5" s="29"/>
      <c r="ABS5" s="29"/>
      <c r="ABT5" s="29"/>
      <c r="ABU5" s="29"/>
      <c r="ABV5" s="29"/>
      <c r="ABW5" s="29"/>
      <c r="ABX5" s="29"/>
      <c r="ABY5" s="29"/>
      <c r="ABZ5" s="29"/>
      <c r="ACA5" s="29"/>
      <c r="ACB5" s="29"/>
      <c r="ACC5" s="29"/>
      <c r="ACD5" s="29"/>
      <c r="ACE5" s="29"/>
      <c r="ACF5" s="29"/>
      <c r="ACG5" s="29"/>
      <c r="ACH5" s="29"/>
      <c r="ACI5" s="29"/>
      <c r="ACJ5" s="29"/>
      <c r="ACK5" s="29"/>
      <c r="ACL5" s="29"/>
      <c r="ACM5" s="29"/>
      <c r="ACN5" s="29"/>
      <c r="ACO5" s="29"/>
      <c r="ACP5" s="29"/>
      <c r="ACQ5" s="29"/>
      <c r="ACR5" s="29"/>
      <c r="ACS5" s="29"/>
      <c r="ACT5" s="29"/>
      <c r="ACU5" s="29"/>
      <c r="ACV5" s="29"/>
      <c r="ACW5" s="29"/>
      <c r="ACX5" s="29"/>
      <c r="ACY5" s="29"/>
      <c r="ACZ5" s="29"/>
      <c r="ADA5" s="29"/>
      <c r="ADB5" s="29"/>
      <c r="ADC5" s="29"/>
      <c r="ADD5" s="29"/>
      <c r="ADE5" s="29"/>
      <c r="ADF5" s="29"/>
      <c r="ADG5" s="29"/>
      <c r="ADH5" s="29"/>
      <c r="ADI5" s="29"/>
      <c r="ADJ5" s="29"/>
      <c r="ADK5" s="29"/>
      <c r="ADL5" s="29"/>
      <c r="ADM5" s="29"/>
      <c r="ADN5" s="29"/>
      <c r="ADO5" s="29"/>
      <c r="ADP5" s="29"/>
      <c r="ADQ5" s="29"/>
      <c r="ADR5" s="29"/>
      <c r="ADS5" s="29"/>
      <c r="ADT5" s="29"/>
      <c r="ADU5" s="29"/>
      <c r="ADV5" s="29"/>
      <c r="ADW5" s="29"/>
      <c r="ADX5" s="29"/>
      <c r="ADY5" s="29"/>
      <c r="ADZ5" s="29"/>
      <c r="AEA5" s="29"/>
      <c r="AEB5" s="29"/>
      <c r="AEC5" s="29"/>
      <c r="AED5" s="29"/>
      <c r="AEE5" s="29"/>
      <c r="AEF5" s="29"/>
      <c r="AEG5" s="29"/>
      <c r="AEH5" s="29"/>
      <c r="AEI5" s="29"/>
      <c r="AEJ5" s="29"/>
      <c r="AEK5" s="29"/>
      <c r="AEL5" s="29"/>
      <c r="AEM5" s="29"/>
      <c r="AEN5" s="29"/>
      <c r="AEO5" s="29"/>
      <c r="AEP5" s="29"/>
      <c r="AEQ5" s="29"/>
      <c r="AER5" s="29"/>
      <c r="AES5" s="29"/>
      <c r="AET5" s="29"/>
      <c r="AEU5" s="29"/>
      <c r="AEV5" s="29"/>
      <c r="AEW5" s="29"/>
      <c r="AEX5" s="29"/>
      <c r="AEY5" s="29"/>
      <c r="AEZ5" s="29"/>
      <c r="AFA5" s="29"/>
      <c r="AFB5" s="29"/>
      <c r="AFC5" s="29"/>
      <c r="AFD5" s="29"/>
      <c r="AFE5" s="29"/>
      <c r="AFF5" s="29"/>
      <c r="AFG5" s="29"/>
      <c r="AFH5" s="29"/>
      <c r="AFI5" s="29"/>
      <c r="AFJ5" s="29"/>
      <c r="AFK5" s="29"/>
      <c r="AFL5" s="29"/>
      <c r="AFM5" s="29"/>
      <c r="AFN5" s="29"/>
      <c r="AFO5" s="29"/>
      <c r="AFP5" s="29"/>
      <c r="AFQ5" s="29"/>
      <c r="AFR5" s="29"/>
      <c r="AFS5" s="29"/>
      <c r="AFT5" s="29"/>
      <c r="AFU5" s="29"/>
      <c r="AFV5" s="29"/>
      <c r="AFW5" s="29"/>
      <c r="AFX5" s="29"/>
      <c r="AFY5" s="29"/>
      <c r="AFZ5" s="29"/>
      <c r="AGA5" s="29"/>
      <c r="AGB5" s="29"/>
      <c r="AGC5" s="29"/>
      <c r="AGD5" s="29"/>
      <c r="AGE5" s="29"/>
      <c r="AGF5" s="29"/>
      <c r="AGG5" s="29"/>
      <c r="AGH5" s="29"/>
      <c r="AGI5" s="29"/>
      <c r="AGJ5" s="29"/>
      <c r="AGK5" s="29"/>
      <c r="AGL5" s="29"/>
      <c r="AGM5" s="29"/>
      <c r="AGN5" s="29"/>
      <c r="AGO5" s="29"/>
      <c r="AGP5" s="29"/>
      <c r="AGQ5" s="29"/>
      <c r="AGR5" s="29"/>
      <c r="AGS5" s="29"/>
      <c r="AGT5" s="29"/>
      <c r="AGU5" s="29"/>
      <c r="AGV5" s="29"/>
      <c r="AGW5" s="29"/>
      <c r="AGX5" s="29"/>
      <c r="AGY5" s="29"/>
      <c r="AGZ5" s="29"/>
      <c r="AHA5" s="29"/>
      <c r="AHB5" s="29"/>
      <c r="AHC5" s="29"/>
      <c r="AHD5" s="29"/>
      <c r="AHE5" s="29"/>
      <c r="AHF5" s="29"/>
      <c r="AHG5" s="29"/>
      <c r="AHH5" s="29"/>
      <c r="AHI5" s="29"/>
      <c r="AHJ5" s="29"/>
      <c r="AHK5" s="29"/>
      <c r="AHL5" s="29"/>
      <c r="AHM5" s="29"/>
      <c r="AHN5" s="29"/>
      <c r="AHO5" s="29"/>
      <c r="AHP5" s="29"/>
      <c r="AHQ5" s="29"/>
      <c r="AHR5" s="29"/>
      <c r="AHS5" s="29"/>
      <c r="AHT5" s="29"/>
      <c r="AHU5" s="29"/>
      <c r="AHV5" s="29"/>
      <c r="AHW5" s="29"/>
      <c r="AHX5" s="29"/>
      <c r="AHY5" s="29"/>
      <c r="AHZ5" s="29"/>
      <c r="AIA5" s="29"/>
      <c r="AIB5" s="29"/>
      <c r="AIC5" s="29"/>
      <c r="AID5" s="29"/>
      <c r="AIE5" s="29"/>
      <c r="AIF5" s="29"/>
      <c r="AIG5" s="29"/>
      <c r="AIH5" s="29"/>
      <c r="AII5" s="29"/>
      <c r="AIJ5" s="29"/>
      <c r="AIK5" s="29"/>
      <c r="AIL5" s="29"/>
      <c r="AIM5" s="29"/>
      <c r="AIN5" s="29"/>
      <c r="AIO5" s="29"/>
      <c r="AIP5" s="29"/>
      <c r="AIQ5" s="29"/>
      <c r="AIR5" s="29"/>
      <c r="AIS5" s="29"/>
      <c r="AIT5" s="29"/>
      <c r="AIU5" s="29"/>
      <c r="AIV5" s="29"/>
      <c r="AIW5" s="29"/>
      <c r="AIX5" s="29"/>
      <c r="AIY5" s="29"/>
      <c r="AIZ5" s="29"/>
      <c r="AJA5" s="29"/>
      <c r="AJB5" s="29"/>
      <c r="AJC5" s="29"/>
      <c r="AJD5" s="29"/>
      <c r="AJE5" s="29"/>
      <c r="AJF5" s="29"/>
      <c r="AJG5" s="29"/>
      <c r="AJH5" s="29"/>
      <c r="AJI5" s="29"/>
      <c r="AJJ5" s="29"/>
      <c r="AJK5" s="29"/>
      <c r="AJL5" s="29"/>
      <c r="AJM5" s="29"/>
      <c r="AJN5" s="29"/>
      <c r="AJO5" s="29"/>
      <c r="AJP5" s="29"/>
      <c r="AJQ5" s="29"/>
      <c r="AJR5" s="29"/>
      <c r="AJS5" s="29"/>
      <c r="AJT5" s="29"/>
      <c r="AJU5" s="29"/>
      <c r="AJV5" s="29"/>
      <c r="AJW5" s="29"/>
      <c r="AJX5" s="29"/>
      <c r="AJY5" s="29"/>
      <c r="AJZ5" s="29"/>
      <c r="AKA5" s="29"/>
      <c r="AKB5" s="29"/>
      <c r="AKC5" s="29"/>
      <c r="AKD5" s="29"/>
      <c r="AKE5" s="29"/>
      <c r="AKF5" s="29"/>
      <c r="AKG5" s="29"/>
      <c r="AKH5" s="29"/>
      <c r="AKI5" s="29"/>
      <c r="AKJ5" s="29"/>
      <c r="AKK5" s="29"/>
      <c r="AKL5" s="29"/>
      <c r="AKM5" s="29"/>
      <c r="AKN5" s="29"/>
      <c r="AKO5" s="29"/>
      <c r="AKP5" s="29"/>
      <c r="AKQ5" s="29"/>
      <c r="AKR5" s="29"/>
      <c r="AKS5" s="29"/>
      <c r="AKT5" s="29"/>
      <c r="AKU5" s="29"/>
      <c r="AKV5" s="29"/>
      <c r="AKW5" s="29"/>
      <c r="AKX5" s="29"/>
      <c r="AKY5" s="29"/>
      <c r="AKZ5" s="29"/>
      <c r="ALA5" s="29"/>
      <c r="ALB5" s="29"/>
      <c r="ALC5" s="29"/>
      <c r="ALD5" s="29"/>
      <c r="ALE5" s="29"/>
      <c r="ALF5" s="29"/>
      <c r="ALG5" s="29"/>
      <c r="ALH5" s="29"/>
      <c r="ALI5" s="29"/>
      <c r="ALJ5" s="29"/>
      <c r="ALK5" s="29"/>
      <c r="ALL5" s="29"/>
      <c r="ALM5" s="29"/>
      <c r="ALN5" s="29"/>
      <c r="ALO5" s="29"/>
      <c r="ALP5" s="29"/>
      <c r="ALQ5" s="29"/>
      <c r="ALR5" s="29"/>
      <c r="ALS5" s="29"/>
      <c r="ALT5" s="29"/>
      <c r="ALU5" s="29"/>
      <c r="ALV5" s="29"/>
      <c r="ALW5" s="29"/>
      <c r="ALX5" s="29"/>
      <c r="ALY5" s="29"/>
      <c r="ALZ5" s="29"/>
      <c r="AMA5" s="29"/>
      <c r="AMB5" s="29"/>
      <c r="AMC5" s="29"/>
      <c r="AMD5" s="29"/>
      <c r="AME5" s="29"/>
      <c r="AMF5" s="29"/>
      <c r="AMG5" s="29"/>
      <c r="AMH5" s="29"/>
      <c r="AMI5" s="29"/>
      <c r="AMJ5" s="29"/>
      <c r="AMK5" s="29"/>
    </row>
    <row r="6" ht="15.75" customHeight="1">
      <c r="A6" s="46" t="s">
        <v>48</v>
      </c>
      <c r="B6" s="46">
        <v>700.0564032</v>
      </c>
      <c r="C6" s="8">
        <v>700.0564032</v>
      </c>
      <c r="D6" s="46">
        <v>693.0</v>
      </c>
      <c r="E6" s="8">
        <v>693.0</v>
      </c>
      <c r="F6" s="8" t="s">
        <v>49</v>
      </c>
      <c r="G6" s="8"/>
      <c r="H6" s="8" t="s">
        <v>21</v>
      </c>
      <c r="I6" s="8"/>
      <c r="J6" s="8"/>
      <c r="K6" s="8"/>
      <c r="L6" s="8"/>
      <c r="M6" s="8"/>
      <c r="N6" s="8"/>
      <c r="O6" s="8" t="s">
        <v>22</v>
      </c>
      <c r="P6" t="s">
        <v>50</v>
      </c>
      <c r="R6">
        <v>63.0</v>
      </c>
      <c r="AF6" t="s">
        <v>51</v>
      </c>
      <c r="AI6">
        <v>11.0</v>
      </c>
      <c r="AJ6">
        <v>0.0</v>
      </c>
      <c r="AK6">
        <v>1.0</v>
      </c>
      <c r="AL6">
        <v>3.0</v>
      </c>
      <c r="AM6" t="s">
        <v>48</v>
      </c>
      <c r="AN6" t="s">
        <v>48</v>
      </c>
      <c r="AO6" t="s">
        <v>48</v>
      </c>
      <c r="AP6" t="s">
        <v>48</v>
      </c>
      <c r="AQ6" t="s">
        <v>48</v>
      </c>
      <c r="AR6" t="s">
        <v>48</v>
      </c>
      <c r="AS6" t="s">
        <v>48</v>
      </c>
      <c r="AT6" t="s">
        <v>48</v>
      </c>
      <c r="AU6" t="s">
        <v>48</v>
      </c>
      <c r="AV6" t="s">
        <v>48</v>
      </c>
      <c r="AW6" t="s">
        <v>48</v>
      </c>
      <c r="AX6" t="s">
        <v>48</v>
      </c>
      <c r="AY6" t="s">
        <v>48</v>
      </c>
      <c r="AZ6" t="s">
        <v>48</v>
      </c>
      <c r="BA6" t="s">
        <v>48</v>
      </c>
      <c r="BB6" t="s">
        <v>48</v>
      </c>
      <c r="BC6" t="s">
        <v>48</v>
      </c>
      <c r="BD6" t="s">
        <v>48</v>
      </c>
      <c r="BE6" t="s">
        <v>48</v>
      </c>
      <c r="BF6" t="s">
        <v>48</v>
      </c>
      <c r="BG6" t="s">
        <v>48</v>
      </c>
      <c r="BH6" t="s">
        <v>48</v>
      </c>
      <c r="BI6" t="s">
        <v>48</v>
      </c>
      <c r="BJ6" t="s">
        <v>48</v>
      </c>
      <c r="BK6" t="s">
        <v>48</v>
      </c>
      <c r="BL6" t="s">
        <v>48</v>
      </c>
      <c r="BM6" t="s">
        <v>48</v>
      </c>
      <c r="BN6" t="s">
        <v>48</v>
      </c>
      <c r="BO6" t="s">
        <v>48</v>
      </c>
      <c r="BP6" t="s">
        <v>48</v>
      </c>
      <c r="BQ6" t="s">
        <v>48</v>
      </c>
      <c r="BR6" t="s">
        <v>48</v>
      </c>
      <c r="BS6" t="s">
        <v>48</v>
      </c>
      <c r="BT6" t="s">
        <v>48</v>
      </c>
      <c r="BU6" t="s">
        <v>48</v>
      </c>
      <c r="BV6" t="s">
        <v>48</v>
      </c>
      <c r="BW6" t="s">
        <v>48</v>
      </c>
      <c r="BX6" t="s">
        <v>48</v>
      </c>
      <c r="BY6" t="s">
        <v>48</v>
      </c>
      <c r="BZ6" t="s">
        <v>48</v>
      </c>
      <c r="CA6" t="s">
        <v>48</v>
      </c>
      <c r="CB6" t="s">
        <v>48</v>
      </c>
      <c r="CC6" t="s">
        <v>48</v>
      </c>
      <c r="CD6" t="s">
        <v>48</v>
      </c>
      <c r="CE6" t="s">
        <v>48</v>
      </c>
      <c r="CF6" t="s">
        <v>48</v>
      </c>
      <c r="CG6" t="s">
        <v>48</v>
      </c>
      <c r="CH6" t="s">
        <v>48</v>
      </c>
      <c r="CI6" t="s">
        <v>48</v>
      </c>
      <c r="CJ6" t="s">
        <v>48</v>
      </c>
      <c r="CK6" t="s">
        <v>48</v>
      </c>
      <c r="CL6" t="s">
        <v>48</v>
      </c>
      <c r="CM6" t="s">
        <v>48</v>
      </c>
      <c r="CN6" t="s">
        <v>48</v>
      </c>
      <c r="CO6" t="s">
        <v>48</v>
      </c>
      <c r="CP6" t="s">
        <v>48</v>
      </c>
      <c r="CQ6" t="s">
        <v>48</v>
      </c>
      <c r="CR6" t="s">
        <v>48</v>
      </c>
      <c r="CS6" t="s">
        <v>48</v>
      </c>
      <c r="CT6" t="s">
        <v>48</v>
      </c>
      <c r="CU6" t="s">
        <v>48</v>
      </c>
      <c r="CV6" t="s">
        <v>48</v>
      </c>
      <c r="CW6" t="s">
        <v>48</v>
      </c>
      <c r="CX6" t="s">
        <v>48</v>
      </c>
      <c r="CY6" t="s">
        <v>48</v>
      </c>
      <c r="CZ6" t="s">
        <v>48</v>
      </c>
      <c r="DA6" t="s">
        <v>48</v>
      </c>
      <c r="DB6" t="s">
        <v>48</v>
      </c>
      <c r="DC6" t="s">
        <v>48</v>
      </c>
      <c r="DD6" t="s">
        <v>48</v>
      </c>
      <c r="DE6" t="s">
        <v>48</v>
      </c>
      <c r="DF6" t="s">
        <v>48</v>
      </c>
      <c r="DG6" t="s">
        <v>48</v>
      </c>
      <c r="DH6" t="s">
        <v>48</v>
      </c>
      <c r="DI6" t="s">
        <v>48</v>
      </c>
      <c r="DJ6" t="s">
        <v>48</v>
      </c>
      <c r="DK6" t="s">
        <v>48</v>
      </c>
      <c r="DL6" t="s">
        <v>48</v>
      </c>
      <c r="DM6" t="s">
        <v>48</v>
      </c>
      <c r="DN6" t="s">
        <v>48</v>
      </c>
      <c r="DO6" t="s">
        <v>48</v>
      </c>
      <c r="DP6" t="s">
        <v>48</v>
      </c>
      <c r="DQ6" t="s">
        <v>48</v>
      </c>
      <c r="DR6" t="s">
        <v>48</v>
      </c>
      <c r="DS6" t="s">
        <v>48</v>
      </c>
      <c r="DT6" t="s">
        <v>48</v>
      </c>
      <c r="DU6" t="s">
        <v>48</v>
      </c>
      <c r="DV6" t="s">
        <v>48</v>
      </c>
      <c r="DW6" t="s">
        <v>48</v>
      </c>
      <c r="DX6" t="s">
        <v>48</v>
      </c>
      <c r="DY6" t="s">
        <v>48</v>
      </c>
      <c r="DZ6" t="s">
        <v>48</v>
      </c>
      <c r="EA6" t="s">
        <v>48</v>
      </c>
      <c r="EB6" t="s">
        <v>48</v>
      </c>
      <c r="EC6" t="s">
        <v>48</v>
      </c>
      <c r="ED6" t="s">
        <v>48</v>
      </c>
      <c r="EE6" t="s">
        <v>48</v>
      </c>
      <c r="EF6" t="s">
        <v>48</v>
      </c>
      <c r="EG6" t="s">
        <v>48</v>
      </c>
      <c r="EH6" t="s">
        <v>48</v>
      </c>
      <c r="EI6" t="s">
        <v>48</v>
      </c>
      <c r="EJ6" t="s">
        <v>48</v>
      </c>
      <c r="EK6" t="s">
        <v>48</v>
      </c>
      <c r="EL6" t="s">
        <v>48</v>
      </c>
      <c r="EM6" t="s">
        <v>48</v>
      </c>
      <c r="EN6" t="s">
        <v>48</v>
      </c>
      <c r="EO6" t="s">
        <v>48</v>
      </c>
      <c r="EP6" t="s">
        <v>48</v>
      </c>
      <c r="EQ6" t="s">
        <v>48</v>
      </c>
      <c r="ER6" t="s">
        <v>48</v>
      </c>
      <c r="ES6" t="s">
        <v>48</v>
      </c>
      <c r="ET6" t="s">
        <v>48</v>
      </c>
      <c r="EU6" t="s">
        <v>48</v>
      </c>
      <c r="EV6" t="s">
        <v>48</v>
      </c>
      <c r="EW6" t="s">
        <v>48</v>
      </c>
      <c r="EX6" t="s">
        <v>48</v>
      </c>
      <c r="EY6" t="s">
        <v>48</v>
      </c>
      <c r="EZ6" t="s">
        <v>48</v>
      </c>
      <c r="FA6" t="s">
        <v>48</v>
      </c>
      <c r="FB6" t="s">
        <v>48</v>
      </c>
      <c r="FC6" t="s">
        <v>48</v>
      </c>
      <c r="FD6" t="s">
        <v>48</v>
      </c>
      <c r="FE6" t="s">
        <v>48</v>
      </c>
      <c r="FF6" t="s">
        <v>48</v>
      </c>
      <c r="FG6" t="s">
        <v>48</v>
      </c>
      <c r="FH6" t="s">
        <v>48</v>
      </c>
      <c r="FI6" t="s">
        <v>48</v>
      </c>
      <c r="FJ6" t="s">
        <v>48</v>
      </c>
      <c r="FK6" t="s">
        <v>48</v>
      </c>
      <c r="FL6" t="s">
        <v>48</v>
      </c>
      <c r="FM6" t="s">
        <v>48</v>
      </c>
      <c r="FN6" t="s">
        <v>48</v>
      </c>
      <c r="FO6" t="s">
        <v>48</v>
      </c>
      <c r="FP6" t="s">
        <v>48</v>
      </c>
      <c r="FQ6" t="s">
        <v>48</v>
      </c>
    </row>
    <row r="7" ht="15.75" customHeight="1">
      <c r="A7" s="8" t="s">
        <v>48</v>
      </c>
      <c r="B7" s="8">
        <v>688.9443968</v>
      </c>
      <c r="C7" s="8">
        <v>688.9443968</v>
      </c>
      <c r="D7" s="8">
        <v>682.0</v>
      </c>
      <c r="E7" s="8">
        <v>682.0</v>
      </c>
      <c r="F7" s="8" t="s">
        <v>49</v>
      </c>
      <c r="G7" s="8"/>
      <c r="H7" s="8" t="s">
        <v>21</v>
      </c>
      <c r="I7" s="8"/>
      <c r="J7" s="8"/>
      <c r="K7" s="8"/>
      <c r="L7" s="8"/>
      <c r="M7" s="8"/>
      <c r="N7" s="8"/>
      <c r="O7" s="8" t="s">
        <v>20</v>
      </c>
      <c r="P7" t="s">
        <v>50</v>
      </c>
      <c r="R7">
        <v>62.0</v>
      </c>
      <c r="AF7" t="s">
        <v>51</v>
      </c>
      <c r="AI7">
        <v>11.0</v>
      </c>
      <c r="AJ7">
        <v>0.0</v>
      </c>
      <c r="AK7">
        <v>1.0</v>
      </c>
      <c r="AL7">
        <v>3.0</v>
      </c>
      <c r="AM7" t="s">
        <v>48</v>
      </c>
      <c r="AN7" t="s">
        <v>48</v>
      </c>
      <c r="AO7" t="s">
        <v>48</v>
      </c>
      <c r="AP7" t="s">
        <v>48</v>
      </c>
      <c r="AQ7" t="s">
        <v>48</v>
      </c>
      <c r="AR7" t="s">
        <v>48</v>
      </c>
      <c r="AS7" t="s">
        <v>48</v>
      </c>
      <c r="AT7" t="s">
        <v>48</v>
      </c>
      <c r="AU7" t="s">
        <v>48</v>
      </c>
      <c r="AV7" t="s">
        <v>48</v>
      </c>
      <c r="AW7" t="s">
        <v>48</v>
      </c>
      <c r="AX7" t="s">
        <v>48</v>
      </c>
      <c r="AY7" t="s">
        <v>48</v>
      </c>
      <c r="AZ7" t="s">
        <v>48</v>
      </c>
      <c r="BA7" t="s">
        <v>48</v>
      </c>
      <c r="BB7" t="s">
        <v>48</v>
      </c>
      <c r="BC7" t="s">
        <v>48</v>
      </c>
      <c r="BD7" t="s">
        <v>48</v>
      </c>
      <c r="BE7" t="s">
        <v>48</v>
      </c>
      <c r="BF7" t="s">
        <v>48</v>
      </c>
      <c r="BG7" t="s">
        <v>48</v>
      </c>
      <c r="BH7" t="s">
        <v>48</v>
      </c>
      <c r="BI7" t="s">
        <v>48</v>
      </c>
      <c r="BJ7" t="s">
        <v>48</v>
      </c>
      <c r="BK7" t="s">
        <v>48</v>
      </c>
      <c r="BL7" t="s">
        <v>48</v>
      </c>
      <c r="BM7" t="s">
        <v>48</v>
      </c>
      <c r="BN7" t="s">
        <v>48</v>
      </c>
      <c r="BO7" t="s">
        <v>48</v>
      </c>
      <c r="BP7" t="s">
        <v>48</v>
      </c>
      <c r="BQ7" t="s">
        <v>48</v>
      </c>
      <c r="BR7" t="s">
        <v>48</v>
      </c>
      <c r="BS7" t="s">
        <v>48</v>
      </c>
      <c r="BT7" t="s">
        <v>48</v>
      </c>
      <c r="BU7" t="s">
        <v>48</v>
      </c>
      <c r="BV7" t="s">
        <v>48</v>
      </c>
      <c r="BW7" t="s">
        <v>48</v>
      </c>
      <c r="BX7" t="s">
        <v>48</v>
      </c>
      <c r="BY7" t="s">
        <v>48</v>
      </c>
      <c r="BZ7" t="s">
        <v>48</v>
      </c>
      <c r="CA7" t="s">
        <v>48</v>
      </c>
      <c r="CB7" t="s">
        <v>48</v>
      </c>
      <c r="CC7" t="s">
        <v>48</v>
      </c>
      <c r="CD7" t="s">
        <v>48</v>
      </c>
      <c r="CE7" t="s">
        <v>48</v>
      </c>
      <c r="CF7" t="s">
        <v>48</v>
      </c>
      <c r="CG7" t="s">
        <v>48</v>
      </c>
      <c r="CH7" t="s">
        <v>48</v>
      </c>
      <c r="CI7" t="s">
        <v>48</v>
      </c>
      <c r="CJ7" t="s">
        <v>48</v>
      </c>
      <c r="CK7" t="s">
        <v>48</v>
      </c>
      <c r="CL7" t="s">
        <v>48</v>
      </c>
      <c r="CM7" t="s">
        <v>48</v>
      </c>
      <c r="CN7" t="s">
        <v>48</v>
      </c>
      <c r="CO7" t="s">
        <v>48</v>
      </c>
      <c r="CP7" t="s">
        <v>48</v>
      </c>
      <c r="CQ7" t="s">
        <v>48</v>
      </c>
      <c r="CR7" t="s">
        <v>48</v>
      </c>
      <c r="CS7" t="s">
        <v>48</v>
      </c>
      <c r="CT7" t="s">
        <v>48</v>
      </c>
      <c r="CU7" t="s">
        <v>48</v>
      </c>
      <c r="CV7" t="s">
        <v>48</v>
      </c>
      <c r="CW7" t="s">
        <v>48</v>
      </c>
      <c r="CX7" t="s">
        <v>48</v>
      </c>
      <c r="CY7" t="s">
        <v>48</v>
      </c>
      <c r="CZ7" t="s">
        <v>48</v>
      </c>
      <c r="DA7" t="s">
        <v>48</v>
      </c>
      <c r="DB7" t="s">
        <v>48</v>
      </c>
      <c r="DC7" t="s">
        <v>48</v>
      </c>
      <c r="DD7" t="s">
        <v>48</v>
      </c>
      <c r="DE7" t="s">
        <v>48</v>
      </c>
      <c r="DF7" t="s">
        <v>48</v>
      </c>
      <c r="DG7" t="s">
        <v>48</v>
      </c>
      <c r="DH7" t="s">
        <v>48</v>
      </c>
      <c r="DI7" t="s">
        <v>48</v>
      </c>
      <c r="DJ7" t="s">
        <v>48</v>
      </c>
      <c r="DK7" t="s">
        <v>48</v>
      </c>
      <c r="DL7" t="s">
        <v>48</v>
      </c>
      <c r="DM7" t="s">
        <v>48</v>
      </c>
      <c r="DN7" t="s">
        <v>48</v>
      </c>
      <c r="DO7" t="s">
        <v>48</v>
      </c>
      <c r="DP7" t="s">
        <v>48</v>
      </c>
      <c r="DQ7" t="s">
        <v>48</v>
      </c>
      <c r="DR7" t="s">
        <v>48</v>
      </c>
      <c r="DS7" t="s">
        <v>48</v>
      </c>
      <c r="DT7" t="s">
        <v>48</v>
      </c>
      <c r="DU7" t="s">
        <v>48</v>
      </c>
      <c r="DV7" t="s">
        <v>48</v>
      </c>
      <c r="DW7" t="s">
        <v>48</v>
      </c>
      <c r="DX7" t="s">
        <v>48</v>
      </c>
      <c r="DY7" t="s">
        <v>48</v>
      </c>
      <c r="DZ7" t="s">
        <v>48</v>
      </c>
      <c r="EA7" t="s">
        <v>48</v>
      </c>
      <c r="EB7" t="s">
        <v>48</v>
      </c>
      <c r="EC7" t="s">
        <v>48</v>
      </c>
      <c r="ED7" t="s">
        <v>48</v>
      </c>
      <c r="EE7" t="s">
        <v>48</v>
      </c>
      <c r="EF7" t="s">
        <v>48</v>
      </c>
      <c r="EG7" t="s">
        <v>48</v>
      </c>
      <c r="EH7" t="s">
        <v>48</v>
      </c>
      <c r="EI7" t="s">
        <v>48</v>
      </c>
      <c r="EJ7" t="s">
        <v>48</v>
      </c>
      <c r="EK7" t="s">
        <v>48</v>
      </c>
      <c r="EL7" t="s">
        <v>48</v>
      </c>
      <c r="EM7" t="s">
        <v>48</v>
      </c>
      <c r="EN7" t="s">
        <v>48</v>
      </c>
      <c r="EO7" t="s">
        <v>48</v>
      </c>
      <c r="EP7" t="s">
        <v>48</v>
      </c>
      <c r="EQ7" t="s">
        <v>48</v>
      </c>
      <c r="ER7" t="s">
        <v>48</v>
      </c>
      <c r="ES7" t="s">
        <v>48</v>
      </c>
      <c r="ET7" t="s">
        <v>48</v>
      </c>
      <c r="EU7" t="s">
        <v>48</v>
      </c>
      <c r="EV7" t="s">
        <v>48</v>
      </c>
      <c r="EW7" t="s">
        <v>48</v>
      </c>
      <c r="EX7" t="s">
        <v>48</v>
      </c>
      <c r="EY7" t="s">
        <v>48</v>
      </c>
      <c r="EZ7" t="s">
        <v>48</v>
      </c>
      <c r="FA7" t="s">
        <v>48</v>
      </c>
      <c r="FB7" t="s">
        <v>48</v>
      </c>
      <c r="FC7" t="s">
        <v>48</v>
      </c>
      <c r="FD7" t="s">
        <v>48</v>
      </c>
      <c r="FE7" t="s">
        <v>48</v>
      </c>
      <c r="FF7" t="s">
        <v>48</v>
      </c>
      <c r="FG7" t="s">
        <v>48</v>
      </c>
      <c r="FH7" t="s">
        <v>48</v>
      </c>
      <c r="FI7" t="s">
        <v>48</v>
      </c>
      <c r="FJ7" t="s">
        <v>48</v>
      </c>
      <c r="FK7" t="s">
        <v>48</v>
      </c>
      <c r="FL7" t="s">
        <v>48</v>
      </c>
      <c r="FM7" t="s">
        <v>48</v>
      </c>
      <c r="FN7" t="s">
        <v>48</v>
      </c>
      <c r="FO7" t="s">
        <v>48</v>
      </c>
      <c r="FP7" t="s">
        <v>48</v>
      </c>
      <c r="FQ7" t="s">
        <v>48</v>
      </c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38</v>
      </c>
      <c r="D3" s="5" t="s">
        <v>9</v>
      </c>
      <c r="E3" s="22" t="s">
        <v>39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 t="str">
        <f>IFERROR(__xludf.DUMMYFUNCTION("""COMPUTED_VALUE"""),"CreateTradeWithAlgoBroker")</f>
        <v>CreateTradeWithAlgoBroker</v>
      </c>
      <c r="AN4" s="25" t="str">
        <f>IFERROR(__xludf.DUMMYFUNCTION("""COMPUTED_VALUE"""),"VerifyOrderSide")</f>
        <v>VerifyOrderSide</v>
      </c>
      <c r="AO4" s="25" t="str">
        <f>IFERROR(__xludf.DUMMYFUNCTION("""COMPUTED_VALUE"""),"CreateOrEditSymbolTT")</f>
        <v>CreateOrEditSymbolTT</v>
      </c>
      <c r="AP4" s="25" t="str">
        <f>IFERROR(__xludf.DUMMYFUNCTION("""COMPUTED_VALUE"""),"VerifyTTNavLockPopup")</f>
        <v>VerifyTTNavLockPopup</v>
      </c>
      <c r="AQ4" s="25" t="str">
        <f>IFERROR(__xludf.DUMMYFUNCTION("""COMPUTED_VALUE"""),"VerifyCustomAllocationSecondUI")</f>
        <v>VerifyCustomAllocationSecondUI</v>
      </c>
      <c r="AR4" s="25" t="str">
        <f>IFERROR(__xludf.DUMMYFUNCTION("""COMPUTED_VALUE"""),"ShortLocateFromTT")</f>
        <v>ShortLocateFromTT</v>
      </c>
      <c r="AS4" s="25" t="str">
        <f>IFERROR(__xludf.DUMMYFUNCTION("""COMPUTED_VALUE"""),"ShortLocateFromTT")</f>
        <v>ShortLocateFromTT</v>
      </c>
      <c r="AT4" s="25" t="str">
        <f>IFERROR(__xludf.DUMMYFUNCTION("""COMPUTED_VALUE"""),"ShortLocateFromTT")</f>
        <v>ShortLocateFromTT</v>
      </c>
      <c r="AU4" s="25" t="str">
        <f>IFERROR(__xludf.DUMMYFUNCTION("""COMPUTED_VALUE"""),"VerifyShortLocateWindowOnTT")</f>
        <v>VerifyShortLocateWindowOnTT</v>
      </c>
      <c r="AV4" s="25" t="str">
        <f>IFERROR(__xludf.DUMMYFUNCTION("""COMPUTED_VALUE"""),"AlgoUIOperations")</f>
        <v>AlgoUIOperations</v>
      </c>
      <c r="AW4" s="25" t="str">
        <f>IFERROR(__xludf.DUMMYFUNCTION("""COMPUTED_VALUE"""),"UpdateShortLocateFromTT")</f>
        <v>UpdateShortLocateFromTT</v>
      </c>
      <c r="AX4" s="25" t="str">
        <f>IFERROR(__xludf.DUMMYFUNCTION("""COMPUTED_VALUE"""),"ResetTT")</f>
        <v>ResetTT</v>
      </c>
      <c r="AY4" s="25" t="str">
        <f>IFERROR(__xludf.DUMMYFUNCTION("""COMPUTED_VALUE"""),"MergeTT")</f>
        <v>MergeTT</v>
      </c>
      <c r="AZ4" s="25" t="str">
        <f>IFERROR(__xludf.DUMMYFUNCTION("""COMPUTED_VALUE"""),"ResizeEnsureTT")</f>
        <v>ResizeEnsureTT</v>
      </c>
      <c r="BA4" s="25" t="str">
        <f>IFERROR(__xludf.DUMMYFUNCTION("""COMPUTED_VALUE"""),"VerifyExecutionType")</f>
        <v>VerifyExecutionType</v>
      </c>
      <c r="BB4" s="25" t="str">
        <f>IFERROR(__xludf.DUMMYFUNCTION("""COMPUTED_VALUE"""),"VerifyPopupAlignment")</f>
        <v>VerifyPopupAlignment</v>
      </c>
      <c r="BC4" s="25" t="str">
        <f>IFERROR(__xludf.DUMMYFUNCTION("""COMPUTED_VALUE"""),"SelectET")</f>
        <v>SelectET</v>
      </c>
      <c r="BD4" s="25" t="str">
        <f>IFERROR(__xludf.DUMMYFUNCTION("""COMPUTED_VALUE"""),"SymbolSuggestionVerify")</f>
        <v>SymbolSuggestionVerify</v>
      </c>
      <c r="BE4" s="25" t="str">
        <f>IFERROR(__xludf.DUMMYFUNCTION("""COMPUTED_VALUE"""),"EditAuecWindow")</f>
        <v>EditAuecWindow</v>
      </c>
      <c r="BF4" s="25" t="str">
        <f>IFERROR(__xludf.DUMMYFUNCTION("""COMPUTED_VALUE"""),"VerifyBrokerSummary")</f>
        <v>VerifyBrokerSummary</v>
      </c>
      <c r="BG4" s="25" t="str">
        <f>IFERROR(__xludf.DUMMYFUNCTION("""COMPUTED_VALUE"""),"QTTHamburg")</f>
        <v>QTTHamburg</v>
      </c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 t="str">
        <f>IFERROR(__xludf.DUMMYFUNCTION("""COMPUTED_VALUE"""),"TradeBy")</f>
        <v>TradeBy</v>
      </c>
      <c r="BL5" s="29" t="str">
        <f>IFERROR(__xludf.DUMMYFUNCTION("""COMPUTED_VALUE"""),"PendingApprovalPopUp")</f>
        <v>PendingApprovalPopUp</v>
      </c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0"/>
      <c r="B6" s="30" t="s">
        <v>40</v>
      </c>
      <c r="C6" s="32" t="s">
        <v>41</v>
      </c>
      <c r="D6" s="37">
        <v>125.0</v>
      </c>
      <c r="E6" s="32"/>
      <c r="F6" s="32" t="s">
        <v>52</v>
      </c>
      <c r="G6" s="32"/>
      <c r="H6" s="32"/>
      <c r="I6" s="32"/>
      <c r="J6" s="38">
        <v>11.0</v>
      </c>
      <c r="K6" s="32"/>
      <c r="L6" s="32"/>
      <c r="M6" s="32"/>
      <c r="N6" s="31">
        <f>TODAY()</f>
        <v>45872</v>
      </c>
      <c r="O6" s="32"/>
      <c r="P6" s="32"/>
      <c r="Q6" s="32"/>
      <c r="R6" s="32"/>
      <c r="S6" s="32"/>
      <c r="T6" s="32"/>
      <c r="U6" s="32"/>
      <c r="V6" s="32"/>
      <c r="W6" s="32"/>
      <c r="X6" s="32"/>
      <c r="Y6" s="32"/>
      <c r="Z6" s="32"/>
      <c r="AA6" s="32"/>
      <c r="AB6" s="32"/>
      <c r="AC6" s="32"/>
      <c r="AD6" s="32"/>
      <c r="AE6" s="32"/>
      <c r="AF6" s="32"/>
      <c r="AG6" s="32"/>
      <c r="AH6" s="32"/>
      <c r="AI6" s="32"/>
      <c r="AJ6" s="32"/>
      <c r="AK6" s="32"/>
      <c r="AL6" s="32"/>
      <c r="AM6" s="32"/>
      <c r="AN6" s="32"/>
      <c r="AO6" s="32"/>
      <c r="AP6" s="32"/>
      <c r="AQ6" s="32"/>
      <c r="AR6" s="32"/>
      <c r="AS6" s="32"/>
      <c r="AT6" s="32"/>
      <c r="AU6" s="32"/>
      <c r="AV6" s="32"/>
      <c r="AW6" s="32"/>
      <c r="AX6" s="32"/>
      <c r="AY6" s="32"/>
      <c r="AZ6" s="32"/>
      <c r="BA6" s="32"/>
      <c r="BB6" s="32"/>
      <c r="BC6" s="32"/>
      <c r="BD6" s="32"/>
      <c r="BE6" s="32"/>
      <c r="BF6" s="32"/>
      <c r="BG6" s="32"/>
      <c r="BH6" s="32"/>
      <c r="BI6" s="32"/>
      <c r="BJ6" s="32"/>
      <c r="BK6" s="32"/>
      <c r="BL6" s="32"/>
      <c r="BM6" s="32"/>
      <c r="BN6" s="32"/>
      <c r="BO6" s="32"/>
      <c r="BP6" s="32"/>
      <c r="BQ6" s="32"/>
      <c r="BR6" s="32"/>
      <c r="BS6" s="32"/>
      <c r="BT6" s="32"/>
      <c r="BU6" s="32"/>
      <c r="BV6" s="32"/>
      <c r="BW6" s="32"/>
      <c r="BX6" s="32"/>
      <c r="BY6" s="32"/>
      <c r="BZ6" s="32"/>
      <c r="CA6" s="32"/>
      <c r="CB6" s="32"/>
      <c r="CC6" s="32"/>
      <c r="CD6" s="32"/>
      <c r="CE6" s="32"/>
      <c r="CF6" s="32"/>
      <c r="CG6" s="32"/>
      <c r="CH6" s="32"/>
      <c r="CI6" s="32"/>
      <c r="CJ6" s="32"/>
      <c r="CK6" s="32"/>
      <c r="CL6" s="32"/>
      <c r="CM6" s="32"/>
      <c r="CN6" s="32"/>
      <c r="CO6" s="32"/>
      <c r="CP6" s="32"/>
      <c r="CQ6" s="32"/>
      <c r="CR6" s="32"/>
      <c r="CS6" s="32"/>
      <c r="CT6" s="32"/>
      <c r="CU6" s="32"/>
      <c r="CV6" s="32"/>
      <c r="CW6" s="32"/>
      <c r="CX6" s="32"/>
      <c r="CY6" s="32"/>
      <c r="CZ6" s="32"/>
      <c r="DA6" s="32"/>
      <c r="DB6" s="32"/>
      <c r="DC6" s="32"/>
      <c r="DD6" s="32"/>
      <c r="DE6" s="32"/>
      <c r="DF6" s="32"/>
      <c r="DG6" s="32"/>
      <c r="DH6" s="32"/>
      <c r="DI6" s="32"/>
      <c r="DJ6" s="32"/>
      <c r="DK6" s="32"/>
      <c r="DL6" s="32"/>
      <c r="DM6" s="32"/>
      <c r="DN6" s="32"/>
      <c r="DO6" s="32"/>
      <c r="DP6" s="32"/>
      <c r="DQ6" s="32"/>
      <c r="DR6" s="32"/>
      <c r="DS6" s="32"/>
      <c r="DT6" s="32"/>
      <c r="DU6" s="32"/>
      <c r="DV6" s="32"/>
      <c r="DW6" s="32"/>
      <c r="DX6" s="32"/>
      <c r="DY6" s="32"/>
      <c r="DZ6" s="32"/>
      <c r="EA6" s="32"/>
      <c r="EB6" s="32"/>
      <c r="EC6" s="32"/>
      <c r="ED6" s="32"/>
      <c r="EE6" s="32"/>
      <c r="EF6" s="32"/>
      <c r="EG6" s="32"/>
      <c r="EH6" s="32"/>
      <c r="EI6" s="32"/>
      <c r="EJ6" s="32"/>
      <c r="EK6" s="32"/>
      <c r="EL6" s="32"/>
      <c r="EM6" s="32"/>
      <c r="EN6" s="32"/>
      <c r="EO6" s="32"/>
      <c r="EP6" s="32"/>
      <c r="EQ6" s="32"/>
      <c r="ER6" s="32"/>
      <c r="ES6" s="32"/>
      <c r="ET6" s="32"/>
      <c r="EU6" s="32"/>
      <c r="EV6" s="32"/>
      <c r="EW6" s="32"/>
      <c r="EX6" s="32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CreateDoneAwayOrder1!$4:$4</formula1>
    </dataValidation>
  </dataValidations>
  <drawing r:id="rId1"/>
</worksheet>
</file>