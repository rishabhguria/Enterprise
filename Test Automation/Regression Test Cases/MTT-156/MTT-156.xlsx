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BulkEditUpdateFromMTT" sheetId="6" r:id="rId8"/>
    <sheet state="visible" name="VerifyOrder" sheetId="7" r:id="rId9"/>
    <sheet state="visible" name="SelectTradeOnOrderGrid" sheetId="8" r:id="rId10"/>
    <sheet state="visible" name="TradeNewSubOrder" sheetId="9" r:id="rId11"/>
    <sheet state="visible" name="CreateNewSubOrder" sheetId="10" r:id="rId12"/>
    <sheet state="visible" name="EditOrder1" sheetId="11" r:id="rId13"/>
    <sheet state="visible" name="EditOrderForMTT1" sheetId="12" r:id="rId14"/>
    <sheet state="visible" name="BulkEditUpdateFromMTT1" sheetId="13" r:id="rId15"/>
    <sheet state="visible" name="VerifyOrder1" sheetId="14" r:id="rId16"/>
    <sheet state="visible" name="EditOrder2" sheetId="15" r:id="rId17"/>
    <sheet state="visible" name="BulkEditUpdateFromMTT2" sheetId="16" r:id="rId18"/>
    <sheet state="visible" name="VerifyOrder2" sheetId="17" r:id="rId19"/>
    <sheet state="visible" name="AddSymbolToWatchlist" sheetId="18" r:id="rId20"/>
    <sheet state="visible" name="TradeFromWatchlist" sheetId="19" r:id="rId21"/>
    <sheet state="visible" name="SelectTradeUsingMTT" sheetId="20" r:id="rId22"/>
    <sheet state="visible" name="EditTradeUsingMTT" sheetId="21" r:id="rId23"/>
    <sheet state="visible" name="SelectTradeUsingMTT1" sheetId="22" r:id="rId24"/>
    <sheet state="visible" name="EditTradeUsingMTT1" sheetId="23" r:id="rId25"/>
    <sheet state="visible" name="DoneAwayUsingMTT" sheetId="24" r:id="rId26"/>
    <sheet state="visible" name="VerifyOrder3" sheetId="25" r:id="rId27"/>
  </sheets>
  <definedNames/>
  <calcPr/>
</workbook>
</file>

<file path=xl/sharedStrings.xml><?xml version="1.0" encoding="utf-8"?>
<sst xmlns="http://schemas.openxmlformats.org/spreadsheetml/2006/main" count="1107" uniqueCount="70">
  <si>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</si>
  <si>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</si>
  <si>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</si>
  <si>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</si>
  <si>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</si>
  <si>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</si>
  <si>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</si>
  <si>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</si>
  <si>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</si>
  <si>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</si>
  <si>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</si>
  <si>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</si>
  <si>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</si>
  <si>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</si>
  <si>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</si>
  <si>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</si>
  <si>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</si>
  <si>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</si>
  <si>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</si>
  <si>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</si>
  <si>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O:AAPL 13N715.00</t>
  </si>
  <si>
    <t xml:space="preserve">Buy to Open </t>
  </si>
  <si>
    <t>IBM</t>
  </si>
  <si>
    <t>MSFT</t>
  </si>
  <si>
    <t>SAP</t>
  </si>
  <si>
    <t>TSLA</t>
  </si>
  <si>
    <t>Blotter</t>
  </si>
  <si>
    <t>EditOrder</t>
  </si>
  <si>
    <t>New</t>
  </si>
  <si>
    <t>Buy to Open</t>
  </si>
  <si>
    <t>MultiTradingTicket</t>
  </si>
  <si>
    <t>BulkEditUpdateFromMTT</t>
  </si>
  <si>
    <t>REPLACE</t>
  </si>
  <si>
    <t>Yes</t>
  </si>
  <si>
    <t>BULK</t>
  </si>
  <si>
    <t>VerifyOrder</t>
  </si>
  <si>
    <t>Replaced</t>
  </si>
  <si>
    <t>SelectTradeOnOrderGrid</t>
  </si>
  <si>
    <t>TradeNewSubOrder</t>
  </si>
  <si>
    <t>CreateNewSubOrder</t>
  </si>
  <si>
    <t>PartiallyFilled</t>
  </si>
  <si>
    <t>EditOrderForMTT</t>
  </si>
  <si>
    <t>SELECTROW</t>
  </si>
  <si>
    <t>EDITROW</t>
  </si>
  <si>
    <t/>
  </si>
  <si>
    <t>IBM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</si>
  <si>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</si>
  <si>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</si>
  <si>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</si>
  <si>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</si>
  <si>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</si>
  <si>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</si>
  <si>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</si>
  <si>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</si>
  <si>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</si>
  <si>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</si>
  <si>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Market</t>
  </si>
  <si>
    <t>Manual</t>
  </si>
  <si>
    <t>Day</t>
  </si>
  <si>
    <t>MSFT US EQUITY</t>
  </si>
  <si>
    <t>Watchlist</t>
  </si>
  <si>
    <t>AddSymbolToWatchlist</t>
  </si>
  <si>
    <t>LSCC</t>
  </si>
  <si>
    <t>ZAYO</t>
  </si>
  <si>
    <t>TradeFromWatchlist</t>
  </si>
  <si>
    <t>SelectTradeUsingMTT</t>
  </si>
  <si>
    <t>EditTradeUsingMTT</t>
  </si>
  <si>
    <t>DoneAwayUsingMTT</t>
  </si>
  <si>
    <t>Filled</t>
  </si>
  <si>
    <t>LSCC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</si>
</sst>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12" t="s">
        <v>18</v>
      </c>
      <c r="G6" s="12" t="s">
        <v>19</v>
      </c>
      <c r="H6" s="8"/>
      <c r="I6" s="8"/>
      <c r="J6" s="12">
        <v>10.0</v>
      </c>
      <c r="K6" s="8"/>
      <c r="L6" s="8"/>
      <c r="M6" s="8"/>
      <c r="N6" s="31">
        <f t="shared" ref="N6:N11" si="1">today()</f>
        <v>45299</v>
      </c>
      <c r="O6" s="8"/>
    </row>
    <row r="7" ht="15.75" customHeight="1">
      <c r="A7" s="12"/>
      <c r="B7" s="12" t="s">
        <v>20</v>
      </c>
      <c r="C7" s="12" t="s">
        <v>21</v>
      </c>
      <c r="D7" s="12">
        <v>1000.0</v>
      </c>
      <c r="E7" s="30"/>
      <c r="F7" s="12" t="s">
        <v>18</v>
      </c>
      <c r="G7" s="12" t="s">
        <v>19</v>
      </c>
      <c r="H7" s="8"/>
      <c r="I7" s="8"/>
      <c r="J7" s="12">
        <v>10.0</v>
      </c>
      <c r="K7" s="8"/>
      <c r="L7" s="8"/>
      <c r="M7" s="8"/>
      <c r="N7" s="31">
        <f t="shared" si="1"/>
        <v>45299</v>
      </c>
      <c r="O7" s="8"/>
    </row>
    <row r="8" ht="15.75" customHeight="1">
      <c r="A8" s="8"/>
      <c r="B8" s="12" t="s">
        <v>22</v>
      </c>
      <c r="C8" s="12" t="s">
        <v>17</v>
      </c>
      <c r="D8" s="12">
        <v>1000.0</v>
      </c>
      <c r="E8" s="8"/>
      <c r="F8" s="12" t="s">
        <v>18</v>
      </c>
      <c r="G8" s="12" t="s">
        <v>19</v>
      </c>
      <c r="H8" s="8"/>
      <c r="I8" s="8"/>
      <c r="J8" s="12">
        <v>10.0</v>
      </c>
      <c r="K8" s="8"/>
      <c r="L8" s="8"/>
      <c r="M8" s="8"/>
      <c r="N8" s="31">
        <f t="shared" si="1"/>
        <v>45299</v>
      </c>
      <c r="O8" s="8"/>
    </row>
    <row r="9" ht="15.75" customHeight="1">
      <c r="A9" s="8"/>
      <c r="B9" s="12" t="s">
        <v>23</v>
      </c>
      <c r="C9" s="12" t="s">
        <v>17</v>
      </c>
      <c r="D9" s="12">
        <v>1000.0</v>
      </c>
      <c r="E9" s="8"/>
      <c r="F9" s="12" t="s">
        <v>18</v>
      </c>
      <c r="G9" s="12" t="s">
        <v>19</v>
      </c>
      <c r="H9" s="8"/>
      <c r="I9" s="8"/>
      <c r="J9" s="12">
        <v>10.0</v>
      </c>
      <c r="K9" s="8"/>
      <c r="L9" s="8"/>
      <c r="M9" s="8"/>
      <c r="N9" s="31">
        <f t="shared" si="1"/>
        <v>45299</v>
      </c>
      <c r="O9" s="8"/>
    </row>
    <row r="10" ht="15.75" customHeight="1">
      <c r="A10" s="8"/>
      <c r="B10" s="12" t="s">
        <v>24</v>
      </c>
      <c r="C10" s="12" t="s">
        <v>17</v>
      </c>
      <c r="D10" s="12">
        <v>2000.0</v>
      </c>
      <c r="E10" s="8"/>
      <c r="F10" s="12" t="s">
        <v>18</v>
      </c>
      <c r="G10" s="12" t="s">
        <v>19</v>
      </c>
      <c r="H10" s="8"/>
      <c r="I10" s="8"/>
      <c r="J10" s="12">
        <v>10.0</v>
      </c>
      <c r="K10" s="8"/>
      <c r="L10" s="8"/>
      <c r="M10" s="8"/>
      <c r="N10" s="31">
        <f t="shared" si="1"/>
        <v>45299</v>
      </c>
      <c r="O10" s="8"/>
    </row>
    <row r="11" ht="15.75" customHeight="1">
      <c r="A11" s="8"/>
      <c r="B11" s="12" t="s">
        <v>25</v>
      </c>
      <c r="C11" s="12" t="s">
        <v>17</v>
      </c>
      <c r="D11" s="12">
        <v>2000.0</v>
      </c>
      <c r="E11" s="8"/>
      <c r="F11" s="12" t="s">
        <v>18</v>
      </c>
      <c r="G11" s="12" t="s">
        <v>19</v>
      </c>
      <c r="H11" s="8"/>
      <c r="I11" s="8"/>
      <c r="J11" s="12">
        <v>10.0</v>
      </c>
      <c r="K11" s="8"/>
      <c r="L11" s="8"/>
      <c r="M11" s="8"/>
      <c r="N11" s="31">
        <f t="shared" si="1"/>
        <v>45299</v>
      </c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20</v>
      </c>
      <c r="AJ7" s="9" t="s">
        <v>29</v>
      </c>
      <c r="AK7" s="9" t="s">
        <v>28</v>
      </c>
      <c r="AL7" s="9">
        <v>1000.0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 t="str">
        <f>IFERROR(__xludf.DUMMYFUNCTION("""COMPUTED_VALUE"""),"VerifySuggestions")</f>
        <v>VerifySuggestions</v>
      </c>
      <c r="AV5" s="29" t="str">
        <f>IFERROR(__xludf.DUMMYFUNCTION("""COMPUTED_VALUE"""),"PriceButtonPressCount")</f>
        <v>PriceButtonPressCount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32</v>
      </c>
      <c r="AL6" s="9" t="s">
        <v>33</v>
      </c>
      <c r="AN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36</v>
      </c>
      <c r="AL6" s="9">
        <v>1000.0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2" t="s">
        <v>20</v>
      </c>
      <c r="AJ7" s="12" t="s">
        <v>21</v>
      </c>
      <c r="AK7" s="9" t="s">
        <v>28</v>
      </c>
      <c r="AL7" s="9">
        <v>1000.0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0"/>
      <c r="F6" s="12" t="s">
        <v>17</v>
      </c>
      <c r="G6" s="12" t="s">
        <v>28</v>
      </c>
      <c r="H6" s="12">
        <v>1000.0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17</v>
      </c>
      <c r="AK6" s="9" t="s">
        <v>28</v>
      </c>
      <c r="AL6" s="9">
        <v>1000.0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12">
        <v>500.0</v>
      </c>
      <c r="F6" s="12" t="s">
        <v>18</v>
      </c>
      <c r="G6" s="12" t="s">
        <v>19</v>
      </c>
      <c r="H6" s="8"/>
      <c r="I6" s="8"/>
      <c r="J6" s="12">
        <v>10.0</v>
      </c>
      <c r="K6" s="8"/>
      <c r="L6" s="8"/>
      <c r="M6" s="8"/>
      <c r="N6" s="31">
        <f>today()</f>
        <v>45299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17</v>
      </c>
      <c r="AK6" s="9" t="s">
        <v>40</v>
      </c>
      <c r="AL6" s="9">
        <v>1000.0</v>
      </c>
      <c r="AM6" s="9">
        <v>500.0</v>
      </c>
      <c r="AN6" s="9">
        <v>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17</v>
      </c>
      <c r="AK7" s="9" t="s">
        <v>28</v>
      </c>
      <c r="AL7" s="9">
        <v>1000.0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17</v>
      </c>
      <c r="AK6" s="9" t="s">
        <v>40</v>
      </c>
      <c r="AL6" s="9">
        <v>1000.0</v>
      </c>
      <c r="AM6" s="9">
        <v>500.0</v>
      </c>
      <c r="AN6" s="9">
        <v>50.0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17</v>
      </c>
      <c r="AK7" s="9" t="s">
        <v>28</v>
      </c>
      <c r="AL7" s="9">
        <v>1000.0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EditOrderForMTT1!$4:$4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 t="str">
        <f>IFERROR(__xludf.DUMMYFUNCTION("""COMPUTED_VALUE"""),"VerifySuggestions")</f>
        <v>VerifySuggestions</v>
      </c>
      <c r="AV5" s="29" t="str">
        <f>IFERROR(__xludf.DUMMYFUNCTION("""COMPUTED_VALUE"""),"PriceButtonPressCount")</f>
        <v>PriceButtonPressCount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>
        <v>1000.0</v>
      </c>
      <c r="E6" s="12">
        <v>1000.0</v>
      </c>
      <c r="F6" s="12" t="s">
        <v>18</v>
      </c>
      <c r="G6" s="12" t="s">
        <v>19</v>
      </c>
      <c r="H6" s="8"/>
      <c r="I6" s="8"/>
      <c r="J6" s="8"/>
      <c r="K6" s="8"/>
      <c r="L6" s="8"/>
      <c r="M6" s="8"/>
      <c r="N6" s="8"/>
      <c r="O6" s="8"/>
      <c r="AN6" s="9" t="s">
        <v>42</v>
      </c>
    </row>
    <row r="7" ht="15.75" customHeight="1">
      <c r="A7" s="8"/>
      <c r="B7" s="8"/>
      <c r="C7" s="8"/>
      <c r="D7" s="12">
        <v>400.0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K7" s="9" t="s">
        <v>32</v>
      </c>
      <c r="AN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44</v>
      </c>
      <c r="B6" s="8"/>
      <c r="C6" s="8"/>
      <c r="D6" s="8">
        <v>10.0</v>
      </c>
      <c r="E6" s="8" t="s">
        <v>45</v>
      </c>
      <c r="F6" s="8">
        <v>0.0</v>
      </c>
      <c r="G6" s="8">
        <v>500.0</v>
      </c>
      <c r="H6" s="8" t="s">
        <v>46</v>
      </c>
      <c r="I6" s="8" t="s">
        <v>47</v>
      </c>
      <c r="J6" s="8" t="s">
        <v>22</v>
      </c>
      <c r="K6" s="8" t="s">
        <v>48</v>
      </c>
      <c r="L6" s="8" t="s">
        <v>49</v>
      </c>
      <c r="M6" s="8"/>
      <c r="N6" s="8"/>
      <c r="O6" s="8"/>
      <c r="S6">
        <v>0.0</v>
      </c>
      <c r="T6">
        <v>0.0</v>
      </c>
      <c r="U6" t="s">
        <v>50</v>
      </c>
      <c r="V6" t="s">
        <v>51</v>
      </c>
      <c r="X6">
        <v>0.0</v>
      </c>
      <c r="AA6" t="s">
        <v>52</v>
      </c>
      <c r="AB6">
        <v>500.0</v>
      </c>
      <c r="AC6" t="s">
        <v>53</v>
      </c>
      <c r="AD6">
        <v>1.0</v>
      </c>
      <c r="AF6" t="s">
        <v>54</v>
      </c>
      <c r="AG6">
        <v>10.0</v>
      </c>
      <c r="AH6" t="s">
        <v>55</v>
      </c>
      <c r="AI6" t="s">
        <v>22</v>
      </c>
      <c r="AJ6" t="s">
        <v>17</v>
      </c>
      <c r="AK6" t="s">
        <v>40</v>
      </c>
      <c r="AL6">
        <v>1000.0</v>
      </c>
      <c r="AM6">
        <v>500.0</v>
      </c>
      <c r="AN6">
        <v>50.0</v>
      </c>
      <c r="AO6">
        <v>500.0</v>
      </c>
      <c r="AQ6">
        <v>10.0</v>
      </c>
      <c r="AR6">
        <v>10.0</v>
      </c>
      <c r="AS6" t="s">
        <v>19</v>
      </c>
      <c r="AT6" t="s">
        <v>18</v>
      </c>
      <c r="AU6" t="s">
        <v>56</v>
      </c>
      <c r="AV6">
        <v>5000.0</v>
      </c>
      <c r="AW6">
        <v>5000.0</v>
      </c>
      <c r="AX6" t="s">
        <v>57</v>
      </c>
      <c r="AY6">
        <v>1000.0</v>
      </c>
      <c r="AZ6">
        <v>500.0</v>
      </c>
      <c r="BA6" t="s">
        <v>47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s="9" t="s">
        <v>12</v>
      </c>
      <c r="BH6" t="s">
        <v>58</v>
      </c>
      <c r="BK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44</v>
      </c>
      <c r="B7" s="8"/>
      <c r="C7" s="8"/>
      <c r="D7" s="8">
        <v>0.0</v>
      </c>
      <c r="E7" s="8" t="s">
        <v>59</v>
      </c>
      <c r="F7" s="8">
        <v>0.0</v>
      </c>
      <c r="G7" s="8"/>
      <c r="H7" s="8" t="s">
        <v>46</v>
      </c>
      <c r="I7" s="8" t="s">
        <v>47</v>
      </c>
      <c r="J7" s="8" t="s">
        <v>23</v>
      </c>
      <c r="K7" s="8" t="s">
        <v>48</v>
      </c>
      <c r="L7" s="8" t="s">
        <v>49</v>
      </c>
      <c r="M7" s="8"/>
      <c r="N7" s="8"/>
      <c r="O7" s="8"/>
      <c r="S7">
        <v>0.0</v>
      </c>
      <c r="T7">
        <v>0.0</v>
      </c>
      <c r="U7" t="s">
        <v>50</v>
      </c>
      <c r="V7" t="s">
        <v>51</v>
      </c>
      <c r="X7">
        <v>0.0</v>
      </c>
      <c r="AA7" t="s">
        <v>52</v>
      </c>
      <c r="AC7" t="s">
        <v>53</v>
      </c>
      <c r="AD7">
        <v>1.0</v>
      </c>
      <c r="AF7" t="s">
        <v>54</v>
      </c>
      <c r="AG7">
        <v>0.0</v>
      </c>
      <c r="AH7" t="s">
        <v>55</v>
      </c>
      <c r="AI7" t="s">
        <v>23</v>
      </c>
      <c r="AJ7" t="s">
        <v>17</v>
      </c>
      <c r="AK7" t="s">
        <v>28</v>
      </c>
      <c r="AL7">
        <v>1000.0</v>
      </c>
      <c r="AP7">
        <v>1000.0</v>
      </c>
      <c r="AQ7">
        <v>0.0</v>
      </c>
      <c r="AR7">
        <v>0.0</v>
      </c>
      <c r="AS7" t="s">
        <v>19</v>
      </c>
      <c r="AT7" t="s">
        <v>18</v>
      </c>
      <c r="AU7" t="s">
        <v>56</v>
      </c>
      <c r="AV7">
        <v>0.0</v>
      </c>
      <c r="AW7">
        <v>0.0</v>
      </c>
      <c r="AX7" t="s">
        <v>57</v>
      </c>
      <c r="AY7">
        <v>1000.0</v>
      </c>
      <c r="AZ7">
        <v>1000.0</v>
      </c>
      <c r="BA7" t="s">
        <v>47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s="9" t="s">
        <v>12</v>
      </c>
      <c r="BH7" t="s">
        <v>58</v>
      </c>
      <c r="BK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17</v>
      </c>
      <c r="AK6" s="9" t="s">
        <v>28</v>
      </c>
      <c r="AL6" s="9">
        <v>2000.0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25</v>
      </c>
      <c r="AJ7" s="9" t="s">
        <v>17</v>
      </c>
      <c r="AK7" s="9" t="s">
        <v>28</v>
      </c>
      <c r="AL7" s="9">
        <v>2000.0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 t="str">
        <f>IFERROR(__xludf.DUMMYFUNCTION("""COMPUTED_VALUE"""),"Expiration Date")</f>
        <v>Expiration Date</v>
      </c>
      <c r="AU5" s="29" t="str">
        <f>IFERROR(__xludf.DUMMYFUNCTION("""COMPUTED_VALUE"""),"VerifySuggestions")</f>
        <v>VerifySuggestions</v>
      </c>
      <c r="AV5" s="29" t="str">
        <f>IFERROR(__xludf.DUMMYFUNCTION("""COMPUTED_VALUE"""),"PriceButtonPressCount")</f>
        <v>PriceButtonPressCount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17</v>
      </c>
      <c r="D6" s="12">
        <v>2000.0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42</v>
      </c>
    </row>
    <row r="7" ht="15.75" customHeight="1">
      <c r="A7" s="8"/>
      <c r="B7" s="8"/>
      <c r="C7" s="8"/>
      <c r="D7" s="12">
        <v>4000.0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43</v>
      </c>
    </row>
    <row r="8" ht="15.75" customHeight="1">
      <c r="A8" s="8"/>
      <c r="B8" s="12" t="s">
        <v>25</v>
      </c>
      <c r="C8" s="12" t="s">
        <v>17</v>
      </c>
      <c r="D8" s="12">
        <v>2000.0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N8" s="9" t="s">
        <v>42</v>
      </c>
    </row>
    <row r="9" ht="15.75" customHeight="1">
      <c r="A9" s="8"/>
      <c r="B9" s="8"/>
      <c r="C9" s="8"/>
      <c r="D9" s="12">
        <v>4000.0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K9" s="9" t="s">
        <v>32</v>
      </c>
      <c r="AN9" s="9" t="s">
        <v>43</v>
      </c>
    </row>
    <row r="10" ht="15.75" customHeight="1">
      <c r="A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3" t="s">
        <v>44</v>
      </c>
      <c r="B6" s="33"/>
      <c r="C6" s="8"/>
      <c r="D6" s="33">
        <v>0.0</v>
      </c>
      <c r="E6" s="8"/>
      <c r="F6" s="8">
        <v>0.0</v>
      </c>
      <c r="G6" s="8"/>
      <c r="H6" s="8" t="s">
        <v>46</v>
      </c>
      <c r="I6" s="8" t="s">
        <v>47</v>
      </c>
      <c r="J6" s="8"/>
      <c r="K6" s="8" t="s">
        <v>48</v>
      </c>
      <c r="L6" s="8" t="s">
        <v>49</v>
      </c>
      <c r="M6" s="8"/>
      <c r="N6" s="8"/>
      <c r="O6" s="8"/>
      <c r="S6">
        <v>0.0</v>
      </c>
      <c r="T6">
        <v>0.0</v>
      </c>
      <c r="U6" t="s">
        <v>50</v>
      </c>
      <c r="V6" t="s">
        <v>51</v>
      </c>
      <c r="X6">
        <v>0.0</v>
      </c>
      <c r="AA6" t="s">
        <v>52</v>
      </c>
      <c r="AC6" t="s">
        <v>53</v>
      </c>
      <c r="AD6">
        <v>1.0</v>
      </c>
      <c r="AF6" t="s">
        <v>54</v>
      </c>
      <c r="AG6">
        <v>0.0</v>
      </c>
      <c r="AH6" t="s">
        <v>55</v>
      </c>
      <c r="AI6" t="s">
        <v>24</v>
      </c>
      <c r="AJ6" t="s">
        <v>17</v>
      </c>
      <c r="AK6" t="s">
        <v>36</v>
      </c>
      <c r="AL6">
        <v>4000.0</v>
      </c>
      <c r="AP6">
        <v>4000.0</v>
      </c>
      <c r="AQ6">
        <v>0.0</v>
      </c>
      <c r="AR6">
        <v>0.0</v>
      </c>
      <c r="AS6" t="s">
        <v>19</v>
      </c>
      <c r="AT6" t="s">
        <v>18</v>
      </c>
      <c r="AU6" t="s">
        <v>56</v>
      </c>
      <c r="AV6">
        <v>0.0</v>
      </c>
      <c r="AW6">
        <v>0.0</v>
      </c>
      <c r="AX6" t="s">
        <v>57</v>
      </c>
      <c r="AY6">
        <v>4000.0</v>
      </c>
      <c r="AZ6">
        <v>4000.0</v>
      </c>
      <c r="BA6" t="s">
        <v>47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s="9" t="s">
        <v>12</v>
      </c>
      <c r="BH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 t="s">
        <v>44</v>
      </c>
      <c r="B7" s="8"/>
      <c r="C7" s="8"/>
      <c r="D7" s="8">
        <v>0.0</v>
      </c>
      <c r="E7" s="8"/>
      <c r="F7" s="8">
        <v>0.0</v>
      </c>
      <c r="G7" s="8"/>
      <c r="H7" s="8" t="s">
        <v>46</v>
      </c>
      <c r="I7" s="8" t="s">
        <v>47</v>
      </c>
      <c r="J7" s="8" t="s">
        <v>25</v>
      </c>
      <c r="K7" s="8" t="s">
        <v>48</v>
      </c>
      <c r="L7" s="8" t="s">
        <v>49</v>
      </c>
      <c r="M7" s="8"/>
      <c r="N7" s="8"/>
      <c r="O7" s="8"/>
      <c r="S7">
        <v>0.0</v>
      </c>
      <c r="T7">
        <v>0.0</v>
      </c>
      <c r="U7" t="s">
        <v>50</v>
      </c>
      <c r="V7" t="s">
        <v>51</v>
      </c>
      <c r="X7">
        <v>0.0</v>
      </c>
      <c r="AA7" t="s">
        <v>52</v>
      </c>
      <c r="AC7" t="s">
        <v>53</v>
      </c>
      <c r="AD7">
        <v>1.0</v>
      </c>
      <c r="AF7" t="s">
        <v>54</v>
      </c>
      <c r="AG7">
        <v>0.0</v>
      </c>
      <c r="AH7" t="s">
        <v>55</v>
      </c>
      <c r="AI7" t="s">
        <v>25</v>
      </c>
      <c r="AJ7" t="s">
        <v>17</v>
      </c>
      <c r="AK7" t="s">
        <v>36</v>
      </c>
      <c r="AL7">
        <v>4000.0</v>
      </c>
      <c r="AP7">
        <v>4000.0</v>
      </c>
      <c r="AQ7">
        <v>0.0</v>
      </c>
      <c r="AR7">
        <v>0.0</v>
      </c>
      <c r="AS7" t="s">
        <v>19</v>
      </c>
      <c r="AT7" t="s">
        <v>18</v>
      </c>
      <c r="AU7" t="s">
        <v>56</v>
      </c>
      <c r="AV7">
        <v>0.0</v>
      </c>
      <c r="AW7">
        <v>0.0</v>
      </c>
      <c r="AX7" t="s">
        <v>57</v>
      </c>
      <c r="AY7">
        <v>4000.0</v>
      </c>
      <c r="AZ7">
        <v>4000.0</v>
      </c>
      <c r="BA7" t="s">
        <v>47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s="9" t="s">
        <v>12</v>
      </c>
      <c r="BH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63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63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12" t="s">
        <v>17</v>
      </c>
      <c r="D6" s="12">
        <v>2000.0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63</v>
      </c>
      <c r="C7" s="12" t="s">
        <v>17</v>
      </c>
      <c r="D7" s="12">
        <v>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33" t="s">
        <v>44</v>
      </c>
      <c r="B6" s="33"/>
      <c r="C6" s="8"/>
      <c r="D6" s="33">
        <v>0.0</v>
      </c>
      <c r="E6" s="8"/>
      <c r="F6" s="8">
        <v>0.0</v>
      </c>
      <c r="G6" s="8"/>
      <c r="H6" s="8" t="s">
        <v>46</v>
      </c>
      <c r="I6" s="8" t="s">
        <v>47</v>
      </c>
      <c r="J6" s="8" t="s">
        <v>63</v>
      </c>
      <c r="K6" s="8" t="s">
        <v>48</v>
      </c>
      <c r="L6" s="8" t="s">
        <v>49</v>
      </c>
      <c r="M6" s="8"/>
      <c r="N6" s="8"/>
      <c r="O6" s="8"/>
      <c r="S6">
        <v>0.0</v>
      </c>
      <c r="T6">
        <v>0.0</v>
      </c>
      <c r="U6" t="s">
        <v>50</v>
      </c>
      <c r="V6" t="s">
        <v>51</v>
      </c>
      <c r="X6">
        <v>0.0</v>
      </c>
      <c r="AA6" t="s">
        <v>52</v>
      </c>
      <c r="AB6">
        <v>2000.0</v>
      </c>
      <c r="AD6">
        <v>1.0</v>
      </c>
      <c r="AF6" t="s">
        <v>54</v>
      </c>
      <c r="AG6">
        <v>0.0</v>
      </c>
      <c r="AH6" t="s">
        <v>55</v>
      </c>
      <c r="AI6" t="s">
        <v>63</v>
      </c>
      <c r="AJ6" t="s">
        <v>17</v>
      </c>
      <c r="AK6" t="s">
        <v>68</v>
      </c>
      <c r="AL6">
        <v>2000.0</v>
      </c>
      <c r="AM6">
        <v>2000.0</v>
      </c>
      <c r="AN6">
        <v>100.0</v>
      </c>
      <c r="AO6">
        <v>2000.0</v>
      </c>
      <c r="AQ6">
        <v>0.0</v>
      </c>
      <c r="AR6">
        <v>0.0</v>
      </c>
      <c r="AS6" t="s">
        <v>19</v>
      </c>
      <c r="AT6" t="s">
        <v>18</v>
      </c>
      <c r="AU6" t="s">
        <v>56</v>
      </c>
      <c r="AV6">
        <v>0.0</v>
      </c>
      <c r="AW6">
        <v>0.0</v>
      </c>
      <c r="AX6" t="s">
        <v>57</v>
      </c>
      <c r="AY6">
        <v>2000.0</v>
      </c>
      <c r="AZ6">
        <v>0.0</v>
      </c>
      <c r="BA6" t="s">
        <v>47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s="34" t="s">
        <v>12</v>
      </c>
      <c r="BH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8" t="s">
        <v>44</v>
      </c>
      <c r="B7" s="8"/>
      <c r="C7" s="8"/>
      <c r="D7" s="8">
        <v>0.0</v>
      </c>
      <c r="E7" s="8" t="s">
        <v>69</v>
      </c>
      <c r="F7" s="8">
        <v>0.0</v>
      </c>
      <c r="G7" s="8"/>
      <c r="H7" s="8" t="s">
        <v>46</v>
      </c>
      <c r="I7" s="8" t="s">
        <v>47</v>
      </c>
      <c r="J7" s="8" t="s">
        <v>62</v>
      </c>
      <c r="K7" s="8" t="s">
        <v>48</v>
      </c>
      <c r="L7" s="8" t="s">
        <v>49</v>
      </c>
      <c r="M7" s="8"/>
      <c r="N7" s="8"/>
      <c r="O7" s="8"/>
      <c r="S7">
        <v>0.0</v>
      </c>
      <c r="T7">
        <v>0.0</v>
      </c>
      <c r="U7" t="s">
        <v>50</v>
      </c>
      <c r="V7" t="s">
        <v>51</v>
      </c>
      <c r="X7">
        <v>0.0</v>
      </c>
      <c r="AA7" t="s">
        <v>52</v>
      </c>
      <c r="AB7">
        <v>2000.0</v>
      </c>
      <c r="AD7">
        <v>1.0</v>
      </c>
      <c r="AF7" t="s">
        <v>54</v>
      </c>
      <c r="AG7">
        <v>0.0</v>
      </c>
      <c r="AH7" t="s">
        <v>55</v>
      </c>
      <c r="AI7" t="s">
        <v>62</v>
      </c>
      <c r="AJ7" t="s">
        <v>17</v>
      </c>
      <c r="AK7" t="s">
        <v>68</v>
      </c>
      <c r="AL7">
        <v>2000.0</v>
      </c>
      <c r="AM7">
        <v>2000.0</v>
      </c>
      <c r="AN7">
        <v>100.0</v>
      </c>
      <c r="AO7">
        <v>2000.0</v>
      </c>
      <c r="AQ7">
        <v>0.0</v>
      </c>
      <c r="AR7">
        <v>0.0</v>
      </c>
      <c r="AS7" t="s">
        <v>19</v>
      </c>
      <c r="AT7" t="s">
        <v>18</v>
      </c>
      <c r="AU7" t="s">
        <v>56</v>
      </c>
      <c r="AV7">
        <v>0.0</v>
      </c>
      <c r="AW7">
        <v>0.0</v>
      </c>
      <c r="AX7" t="s">
        <v>57</v>
      </c>
      <c r="AY7">
        <v>2000.0</v>
      </c>
      <c r="AZ7">
        <v>0.0</v>
      </c>
      <c r="BA7" t="s">
        <v>47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s="34" t="s">
        <v>12</v>
      </c>
      <c r="BH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