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SelectUnallocatedGroup" sheetId="6" r:id="rId8"/>
    <sheet state="visible" name="EditUnallocatedGridWPF" sheetId="7" r:id="rId9"/>
    <sheet state="visible" name="SelectUnallocatedGroup1" sheetId="8" r:id="rId10"/>
    <sheet state="visible" name="EditUnallocatedGridWPF1" sheetId="9" r:id="rId11"/>
    <sheet state="visible" name="SelectUnallocatedGroup2" sheetId="10" r:id="rId12"/>
    <sheet state="visible" name="EditUnallocatedGridWPF2" sheetId="11" r:id="rId13"/>
    <sheet state="visible" name="CheckUnallocatedGroups" sheetId="12" r:id="rId14"/>
  </sheets>
  <definedNames/>
  <calcPr/>
</workbook>
</file>

<file path=xl/sharedStrings.xml><?xml version="1.0" encoding="utf-8"?>
<sst xmlns="http://schemas.openxmlformats.org/spreadsheetml/2006/main" count="150" uniqueCount="44">
  <si>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</si>
  <si>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</si>
  <si>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</si>
  <si>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</si>
  <si>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</si>
  <si>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</si>
  <si>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</si>
  <si>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</si>
  <si>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</si>
  <si>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</si>
  <si>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</si>
  <si>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</si>
  <si>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</si>
  <si>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</si>
  <si>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</si>
  <si>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</si>
  <si>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</si>
  <si>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</si>
  <si>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</si>
  <si>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AAPL</t>
  </si>
  <si>
    <t>Sell</t>
  </si>
  <si>
    <t>IBM</t>
  </si>
  <si>
    <t>Allocation</t>
  </si>
  <si>
    <t>SetGeneralPreferences</t>
  </si>
  <si>
    <t>Keep commission values</t>
  </si>
  <si>
    <t>SelectUnallocatedGroup</t>
  </si>
  <si>
    <t>EditUnallocatedGridWPF</t>
  </si>
  <si>
    <t>NASDAQ</t>
  </si>
  <si>
    <t>US555</t>
  </si>
  <si>
    <t>Editing</t>
  </si>
  <si>
    <t>GS</t>
  </si>
  <si>
    <t>TA1</t>
  </si>
  <si>
    <t>TA2</t>
  </si>
  <si>
    <t>TA3</t>
  </si>
  <si>
    <t>TA4</t>
  </si>
  <si>
    <t>TA5</t>
  </si>
  <si>
    <t>TA6</t>
  </si>
  <si>
    <t>1/3/1800</t>
  </si>
  <si>
    <t>CheckUnallocatedGroups</t>
  </si>
  <si>
    <t>Equity</t>
  </si>
  <si>
    <t>MS</t>
  </si>
  <si>
    <t>DefaultNotes</t>
  </si>
  <si>
    <t/>
  </si>
  <si>
    <t>1/1/1800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</si>
</sst>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b/>
      <sz val="10.0"/>
      <color rgb="FFFFFFFF"/>
      <name val="Arial"/>
    </font>
    <font>
      <sz val="10.0"/>
      <name val="Arial"/>
    </font>
    <font>
      <sz val="10.0"/>
      <color rgb="FFFFFFFF"/>
      <name val="Arial"/>
    </font>
    <font>
      <color rgb="FFFFFFFF"/>
    </font>
    <font>
      <color rgb="FFD9D9D9"/>
      <name val="Calibri"/>
    </font>
    <font>
      <sz val="10.0"/>
      <color rgb="FFD9D9D9"/>
      <name val="Arial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1" fillId="2" fontId="10" numFmtId="0" xfId="0" applyAlignment="1" applyBorder="1" applyFont="1">
      <alignment horizontal="center" shrinkToFit="0" wrapText="0"/>
    </xf>
    <xf borderId="0" fillId="2" fontId="10" numFmtId="0" xfId="0" applyAlignment="1" applyFont="1">
      <alignment horizontal="center" shrinkToFit="0" wrapText="0"/>
    </xf>
    <xf borderId="0" fillId="2" fontId="11" numFmtId="0" xfId="0" applyFont="1"/>
    <xf borderId="0" fillId="2" fontId="2" numFmtId="0" xfId="0" applyFont="1"/>
    <xf borderId="0" fillId="0" fontId="11" numFmtId="0" xfId="0" applyAlignment="1" applyFont="1">
      <alignment shrinkToFit="0" wrapText="0"/>
    </xf>
    <xf borderId="0" fillId="0" fontId="12" numFmtId="0" xfId="0" applyAlignment="1" applyFont="1">
      <alignment shrinkToFit="0" wrapText="0"/>
    </xf>
    <xf borderId="0" fillId="0" fontId="11" numFmtId="0" xfId="0" applyFont="1"/>
    <xf borderId="0" fillId="3" fontId="4" numFmtId="0" xfId="0" applyAlignment="1" applyFont="1">
      <alignment shrinkToFit="0" wrapText="0"/>
    </xf>
    <xf borderId="4" fillId="3" fontId="10" numFmtId="0" xfId="0" applyAlignment="1" applyBorder="1" applyFont="1">
      <alignment shrinkToFit="0" wrapText="0"/>
    </xf>
    <xf borderId="4" fillId="3" fontId="12" numFmtId="0" xfId="0" applyAlignment="1" applyBorder="1" applyFont="1">
      <alignment readingOrder="0" shrinkToFit="0" wrapText="0"/>
    </xf>
    <xf borderId="4" fillId="3" fontId="12" numFmtId="0" xfId="0" applyAlignment="1" applyBorder="1" applyFont="1">
      <alignment shrinkToFit="0" wrapText="0"/>
    </xf>
    <xf borderId="0" fillId="3" fontId="10" numFmtId="0" xfId="0" applyAlignment="1" applyFont="1">
      <alignment shrinkToFit="0" wrapText="0"/>
    </xf>
    <xf borderId="0" fillId="3" fontId="12" numFmtId="0" xfId="0" applyFont="1"/>
    <xf borderId="0" fillId="3" fontId="13" numFmtId="0" xfId="0" applyFont="1"/>
    <xf borderId="0" fillId="4" fontId="14" numFmtId="0" xfId="0" applyAlignment="1" applyFill="1" applyFont="1">
      <alignment shrinkToFit="0" wrapText="0"/>
    </xf>
    <xf borderId="0" fillId="4" fontId="15" numFmtId="0" xfId="0" applyAlignment="1" applyFont="1">
      <alignment shrinkToFit="0" wrapText="0"/>
    </xf>
    <xf borderId="0" fillId="4" fontId="15" numFmtId="0" xfId="0" applyFont="1"/>
    <xf borderId="0" fillId="4" fontId="16" numFmtId="0" xfId="0" applyFont="1"/>
    <xf borderId="0" fillId="5" fontId="4" numFmtId="0" xfId="0" applyAlignment="1" applyFill="1" applyFont="1">
      <alignment shrinkToFit="0" wrapText="0"/>
    </xf>
    <xf borderId="4" fillId="5" fontId="10" numFmtId="0" xfId="0" applyAlignment="1" applyBorder="1" applyFont="1">
      <alignment shrinkToFit="0" wrapText="0"/>
    </xf>
    <xf borderId="4" fillId="5" fontId="10" numFmtId="0" xfId="0" applyAlignment="1" applyBorder="1" applyFont="1">
      <alignment readingOrder="0" shrinkToFit="0" wrapText="0"/>
    </xf>
    <xf borderId="0" fillId="5" fontId="12" numFmtId="0" xfId="0" applyFont="1"/>
    <xf borderId="0" fillId="5" fontId="13" numFmtId="0" xfId="0" applyFont="1"/>
    <xf borderId="0" fillId="0" fontId="3" numFmtId="0" xfId="0" applyAlignment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0" fillId="0" fontId="11" numFmtId="14" xfId="0" applyAlignment="1" applyFont="1" applyNumberFormat="1">
      <alignment readingOrder="0" shrinkToFit="0" wrapText="0"/>
    </xf>
    <xf borderId="0" fillId="0" fontId="1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1" numFmtId="0" xfId="0" applyAlignment="1" applyFont="1">
      <alignment readingOrder="0" shrinkToFit="0" wrapText="0"/>
    </xf>
    <xf borderId="5" fillId="0" fontId="11" numFmtId="0" xfId="0" applyAlignment="1" applyBorder="1" applyFont="1">
      <alignment readingOrder="0" vertical="bottom"/>
    </xf>
    <xf borderId="5" fillId="0" fontId="11" numFmtId="0" xfId="0" applyAlignment="1" applyBorder="1" applyFont="1">
      <alignment horizontal="right" readingOrder="0" vertical="bottom"/>
    </xf>
    <xf borderId="0" fillId="0" fontId="7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4" fontId="14" numFmtId="16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17" numFmtId="0" xfId="0" applyAlignment="1" applyFont="1">
      <alignment vertical="bottom"/>
    </xf>
    <xf borderId="0" fillId="0" fontId="17" numFmtId="165" xfId="0" applyAlignment="1" applyFont="1" applyNumberFormat="1">
      <alignment horizontal="right" vertical="bottom"/>
    </xf>
    <xf borderId="0" fillId="0" fontId="17" numFmtId="164" xfId="0" applyAlignment="1" applyFont="1" applyNumberFormat="1">
      <alignment horizontal="right" readingOrder="0" vertical="bottom"/>
    </xf>
    <xf borderId="0" fillId="0" fontId="17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9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23"/>
      <c r="C2" s="23"/>
      <c r="D2" s="23"/>
      <c r="E2" s="23"/>
      <c r="F2" s="23"/>
      <c r="G2" s="23"/>
      <c r="H2" s="23"/>
      <c r="I2" s="23"/>
      <c r="J2" s="24" t="str">
        <f> VLOOKUP($E$3,'_MasterData'!B4:D1000,3,FALSE)</f>
        <v>#N/A</v>
      </c>
      <c r="K2" s="24"/>
      <c r="L2" s="23"/>
      <c r="M2" s="23"/>
      <c r="N2" s="23"/>
      <c r="O2" s="23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</row>
    <row r="3" ht="15.75" customHeight="1">
      <c r="A3" s="26"/>
      <c r="B3" s="27" t="s">
        <v>8</v>
      </c>
      <c r="C3" s="28" t="s">
        <v>12</v>
      </c>
      <c r="D3" s="27" t="s">
        <v>9</v>
      </c>
      <c r="E3" s="28" t="s">
        <v>13</v>
      </c>
      <c r="F3" s="27" t="s">
        <v>14</v>
      </c>
      <c r="G3" s="29" t="s">
        <v>15</v>
      </c>
      <c r="H3" s="27"/>
      <c r="I3" s="30"/>
      <c r="J3" s="30"/>
      <c r="K3" s="30"/>
      <c r="L3" s="30"/>
      <c r="M3" s="30"/>
      <c r="N3" s="30"/>
      <c r="O3" s="30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4" t="str">
        <f>IFERROR(__xludf.DUMMYFUNCTION("IF(C3="""","""",Transpose(IMPORTRANGE('_Settings'!$B$3,C3&amp;""!A4:A1000"")))"),"OpenTTFromPST")</f>
        <v>OpenTTFromPST</v>
      </c>
      <c r="C4" s="34" t="str">
        <f>IFERROR(__xludf.DUMMYFUNCTION("""COMPUTED_VALUE"""),"EnterDetailsOnTT")</f>
        <v>EnterDetailsOnTT</v>
      </c>
      <c r="D4" s="34" t="str">
        <f>IFERROR(__xludf.DUMMYFUNCTION("""COMPUTED_VALUE"""),"ValidateSymbolTT")</f>
        <v>ValidateSymbolTT</v>
      </c>
      <c r="E4" s="34" t="str">
        <f>IFERROR(__xludf.DUMMYFUNCTION("""COMPUTED_VALUE"""),"VerifyDataTT")</f>
        <v>VerifyDataTT</v>
      </c>
      <c r="F4" s="34" t="str">
        <f>IFERROR(__xludf.DUMMYFUNCTION("""COMPUTED_VALUE"""),"SetUIPreferencesTT")</f>
        <v>SetUIPreferencesTT</v>
      </c>
      <c r="G4" s="34" t="str">
        <f>IFERROR(__xludf.DUMMYFUNCTION("""COMPUTED_VALUE"""),"SetBrokerWisePreferencesTT")</f>
        <v>SetBrokerWisePreferencesTT</v>
      </c>
      <c r="H4" s="34" t="str">
        <f>IFERROR(__xludf.DUMMYFUNCTION("""COMPUTED_VALUE"""),"TradeNewSub")</f>
        <v>TradeNewSub</v>
      </c>
      <c r="I4" s="34" t="str">
        <f>IFERROR(__xludf.DUMMYFUNCTION("""COMPUTED_VALUE"""),"CreateStageOrder")</f>
        <v>CreateStageOrder</v>
      </c>
      <c r="J4" s="34" t="str">
        <f>IFERROR(__xludf.DUMMYFUNCTION("""COMPUTED_VALUE"""),"CreateReplaceOrder")</f>
        <v>CreateReplaceOrder</v>
      </c>
      <c r="K4" s="34" t="str">
        <f>IFERROR(__xludf.DUMMYFUNCTION("""COMPUTED_VALUE"""),"SetGeneralPreference")</f>
        <v>SetGeneralPreference</v>
      </c>
      <c r="L4" s="34" t="str">
        <f>IFERROR(__xludf.DUMMYFUNCTION("""COMPUTED_VALUE"""),"CreateDoneAwayOrder")</f>
        <v>CreateDoneAwayOrder</v>
      </c>
      <c r="M4" s="34" t="str">
        <f>IFERROR(__xludf.DUMMYFUNCTION("""COMPUTED_VALUE"""),"CreateNewSubOrder")</f>
        <v>CreateNewSubOrder</v>
      </c>
      <c r="N4" s="34" t="str">
        <f>IFERROR(__xludf.DUMMYFUNCTION("""COMPUTED_VALUE"""),"TradeBloomberg")</f>
        <v>TradeBloomberg</v>
      </c>
      <c r="O4" s="34" t="str">
        <f>IFERROR(__xludf.DUMMYFUNCTION("""COMPUTED_VALUE"""),"ClickSymbolLookup")</f>
        <v>ClickSymbolLookup</v>
      </c>
      <c r="P4" s="35" t="str">
        <f>IFERROR(__xludf.DUMMYFUNCTION("""COMPUTED_VALUE"""),"VerifyTT")</f>
        <v>VerifyTT</v>
      </c>
      <c r="Q4" s="35" t="str">
        <f>IFERROR(__xludf.DUMMYFUNCTION("""COMPUTED_VALUE"""),"CreateLiveOrder")</f>
        <v>CreateLiveOrder</v>
      </c>
      <c r="R4" s="35" t="str">
        <f>IFERROR(__xludf.DUMMYFUNCTION("""COMPUTED_VALUE"""),"ShowMasterFundOnTT")</f>
        <v>ShowMasterFundOnTT</v>
      </c>
      <c r="S4" s="35" t="str">
        <f>IFERROR(__xludf.DUMMYFUNCTION("""COMPUTED_VALUE"""),"UpdateMasterFundOnTT")</f>
        <v>UpdateMasterFundOnTT</v>
      </c>
      <c r="T4" s="35" t="str">
        <f>IFERROR(__xludf.DUMMYFUNCTION("""COMPUTED_VALUE"""),"")</f>
        <v/>
      </c>
      <c r="U4" s="35" t="str">
        <f>IFERROR(__xludf.DUMMYFUNCTION("""COMPUTED_VALUE"""),"")</f>
        <v/>
      </c>
      <c r="V4" s="35" t="str">
        <f>IFERROR(__xludf.DUMMYFUNCTION("""COMPUTED_VALUE"""),"")</f>
        <v/>
      </c>
      <c r="W4" s="35" t="str">
        <f>IFERROR(__xludf.DUMMYFUNCTION("""COMPUTED_VALUE"""),"")</f>
        <v/>
      </c>
      <c r="X4" s="35" t="str">
        <f>IFERROR(__xludf.DUMMYFUNCTION("""COMPUTED_VALUE"""),"")</f>
        <v/>
      </c>
      <c r="Y4" s="35" t="str">
        <f>IFERROR(__xludf.DUMMYFUNCTION("""COMPUTED_VALUE"""),"")</f>
        <v/>
      </c>
      <c r="Z4" s="35" t="str">
        <f>IFERROR(__xludf.DUMMYFUNCTION("""COMPUTED_VALUE"""),"")</f>
        <v/>
      </c>
      <c r="AA4" s="35" t="str">
        <f>IFERROR(__xludf.DUMMYFUNCTION("""COMPUTED_VALUE"""),"")</f>
        <v/>
      </c>
      <c r="AB4" s="35" t="str">
        <f>IFERROR(__xludf.DUMMYFUNCTION("""COMPUTED_VALUE"""),"")</f>
        <v/>
      </c>
      <c r="AC4" s="35" t="str">
        <f>IFERROR(__xludf.DUMMYFUNCTION("""COMPUTED_VALUE"""),"")</f>
        <v/>
      </c>
      <c r="AD4" s="35" t="str">
        <f>IFERROR(__xludf.DUMMYFUNCTION("""COMPUTED_VALUE"""),"")</f>
        <v/>
      </c>
      <c r="AE4" s="35" t="str">
        <f>IFERROR(__xludf.DUMMYFUNCTION("""COMPUTED_VALUE"""),"")</f>
        <v/>
      </c>
      <c r="AF4" s="35" t="str">
        <f>IFERROR(__xludf.DUMMYFUNCTION("""COMPUTED_VALUE"""),"")</f>
        <v/>
      </c>
      <c r="AG4" s="35" t="str">
        <f>IFERROR(__xludf.DUMMYFUNCTION("""COMPUTED_VALUE"""),"")</f>
        <v/>
      </c>
      <c r="AH4" s="35" t="str">
        <f>IFERROR(__xludf.DUMMYFUNCTION("""COMPUTED_VALUE"""),"")</f>
        <v/>
      </c>
      <c r="AI4" s="35" t="str">
        <f>IFERROR(__xludf.DUMMYFUNCTION("""COMPUTED_VALUE"""),"")</f>
        <v/>
      </c>
      <c r="AJ4" s="35" t="str">
        <f>IFERROR(__xludf.DUMMYFUNCTION("""COMPUTED_VALUE"""),"")</f>
        <v/>
      </c>
      <c r="AK4" s="35" t="str">
        <f>IFERROR(__xludf.DUMMYFUNCTION("""COMPUTED_VALUE"""),"")</f>
        <v/>
      </c>
      <c r="AL4" s="35" t="str">
        <f>IFERROR(__xludf.DUMMYFUNCTION("""COMPUTED_VALUE"""),"")</f>
        <v/>
      </c>
      <c r="AM4" s="35" t="str">
        <f>IFERROR(__xludf.DUMMYFUNCTION("""COMPUTED_VALUE"""),"")</f>
        <v/>
      </c>
      <c r="AN4" s="35" t="str">
        <f>IFERROR(__xludf.DUMMYFUNCTION("""COMPUTED_VALUE"""),"")</f>
        <v/>
      </c>
      <c r="AO4" s="36" t="str">
        <f>IFERROR(__xludf.DUMMYFUNCTION("""COMPUTED_VALUE"""),"")</f>
        <v/>
      </c>
      <c r="AP4" s="36" t="str">
        <f>IFERROR(__xludf.DUMMYFUNCTION("""COMPUTED_VALUE"""),"")</f>
        <v/>
      </c>
      <c r="AQ4" s="36" t="str">
        <f>IFERROR(__xludf.DUMMYFUNCTION("""COMPUTED_VALUE"""),"")</f>
        <v/>
      </c>
      <c r="AR4" s="36" t="str">
        <f>IFERROR(__xludf.DUMMYFUNCTION("""COMPUTED_VALUE"""),"")</f>
        <v/>
      </c>
      <c r="AS4" s="36" t="str">
        <f>IFERROR(__xludf.DUMMYFUNCTION("""COMPUTED_VALUE"""),"")</f>
        <v/>
      </c>
      <c r="AT4" s="36" t="str">
        <f>IFERROR(__xludf.DUMMYFUNCTION("""COMPUTED_VALUE"""),"")</f>
        <v/>
      </c>
      <c r="AU4" s="36" t="str">
        <f>IFERROR(__xludf.DUMMYFUNCTION("""COMPUTED_VALUE"""),"")</f>
        <v/>
      </c>
      <c r="AV4" s="36" t="str">
        <f>IFERROR(__xludf.DUMMYFUNCTION("""COMPUTED_VALUE"""),"")</f>
        <v/>
      </c>
      <c r="AW4" s="36" t="str">
        <f>IFERROR(__xludf.DUMMYFUNCTION("""COMPUTED_VALUE"""),"")</f>
        <v/>
      </c>
      <c r="AX4" s="36" t="str">
        <f>IFERROR(__xludf.DUMMYFUNCTION("""COMPUTED_VALUE"""),"")</f>
        <v/>
      </c>
      <c r="AY4" s="36" t="str">
        <f>IFERROR(__xludf.DUMMYFUNCTION("""COMPUTED_VALUE"""),"")</f>
        <v/>
      </c>
      <c r="AZ4" s="36" t="str">
        <f>IFERROR(__xludf.DUMMYFUNCTION("""COMPUTED_VALUE"""),"")</f>
        <v/>
      </c>
      <c r="BA4" s="36" t="str">
        <f>IFERROR(__xludf.DUMMYFUNCTION("""COMPUTED_VALUE"""),"")</f>
        <v/>
      </c>
      <c r="BB4" s="36" t="str">
        <f>IFERROR(__xludf.DUMMYFUNCTION("""COMPUTED_VALUE"""),"")</f>
        <v/>
      </c>
      <c r="BC4" s="36" t="str">
        <f>IFERROR(__xludf.DUMMYFUNCTION("""COMPUTED_VALUE"""),"")</f>
        <v/>
      </c>
      <c r="BD4" s="36" t="str">
        <f>IFERROR(__xludf.DUMMYFUNCTION("""COMPUTED_VALUE"""),"")</f>
        <v/>
      </c>
      <c r="BE4" s="36" t="str">
        <f>IFERROR(__xludf.DUMMYFUNCTION("""COMPUTED_VALUE"""),"")</f>
        <v/>
      </c>
      <c r="BF4" s="36" t="str">
        <f>IFERROR(__xludf.DUMMYFUNCTION("""COMPUTED_VALUE"""),"")</f>
        <v/>
      </c>
      <c r="BG4" s="36" t="str">
        <f>IFERROR(__xludf.DUMMYFUNCTION("""COMPUTED_VALUE"""),"")</f>
        <v/>
      </c>
      <c r="BH4" s="36" t="str">
        <f>IFERROR(__xludf.DUMMYFUNCTION("""COMPUTED_VALUE"""),"")</f>
        <v/>
      </c>
      <c r="BI4" s="36" t="str">
        <f>IFERROR(__xludf.DUMMYFUNCTION("""COMPUTED_VALUE"""),"")</f>
        <v/>
      </c>
      <c r="BJ4" s="36" t="str">
        <f>IFERROR(__xludf.DUMMYFUNCTION("""COMPUTED_VALUE"""),"")</f>
        <v/>
      </c>
      <c r="BK4" s="36" t="str">
        <f>IFERROR(__xludf.DUMMYFUNCTION("""COMPUTED_VALUE"""),"")</f>
        <v/>
      </c>
      <c r="BL4" s="36" t="str">
        <f>IFERROR(__xludf.DUMMYFUNCTION("""COMPUTED_VALUE"""),"")</f>
        <v/>
      </c>
      <c r="BM4" s="36" t="str">
        <f>IFERROR(__xludf.DUMMYFUNCTION("""COMPUTED_VALUE"""),"")</f>
        <v/>
      </c>
      <c r="BN4" s="36" t="str">
        <f>IFERROR(__xludf.DUMMYFUNCTION("""COMPUTED_VALUE"""),"")</f>
        <v/>
      </c>
      <c r="BO4" s="36" t="str">
        <f>IFERROR(__xludf.DUMMYFUNCTION("""COMPUTED_VALUE"""),"")</f>
        <v/>
      </c>
      <c r="BP4" s="36" t="str">
        <f>IFERROR(__xludf.DUMMYFUNCTION("""COMPUTED_VALUE"""),"")</f>
        <v/>
      </c>
      <c r="BQ4" s="36" t="str">
        <f>IFERROR(__xludf.DUMMYFUNCTION("""COMPUTED_VALUE"""),"")</f>
        <v/>
      </c>
      <c r="BR4" s="36" t="str">
        <f>IFERROR(__xludf.DUMMYFUNCTION("""COMPUTED_VALUE"""),"")</f>
        <v/>
      </c>
      <c r="BS4" s="36" t="str">
        <f>IFERROR(__xludf.DUMMYFUNCTION("""COMPUTED_VALUE"""),"")</f>
        <v/>
      </c>
      <c r="BT4" s="36" t="str">
        <f>IFERROR(__xludf.DUMMYFUNCTION("""COMPUTED_VALUE"""),"")</f>
        <v/>
      </c>
      <c r="BU4" s="36" t="str">
        <f>IFERROR(__xludf.DUMMYFUNCTION("""COMPUTED_VALUE"""),"")</f>
        <v/>
      </c>
      <c r="BV4" s="36" t="str">
        <f>IFERROR(__xludf.DUMMYFUNCTION("""COMPUTED_VALUE"""),"")</f>
        <v/>
      </c>
      <c r="BW4" s="36" t="str">
        <f>IFERROR(__xludf.DUMMYFUNCTION("""COMPUTED_VALUE"""),"")</f>
        <v/>
      </c>
      <c r="BX4" s="36" t="str">
        <f>IFERROR(__xludf.DUMMYFUNCTION("""COMPUTED_VALUE"""),"")</f>
        <v/>
      </c>
      <c r="BY4" s="36" t="str">
        <f>IFERROR(__xludf.DUMMYFUNCTION("""COMPUTED_VALUE"""),"")</f>
        <v/>
      </c>
      <c r="BZ4" s="36" t="str">
        <f>IFERROR(__xludf.DUMMYFUNCTION("""COMPUTED_VALUE"""),"")</f>
        <v/>
      </c>
      <c r="CA4" s="36" t="str">
        <f>IFERROR(__xludf.DUMMYFUNCTION("""COMPUTED_VALUE"""),"")</f>
        <v/>
      </c>
      <c r="CB4" s="36" t="str">
        <f>IFERROR(__xludf.DUMMYFUNCTION("""COMPUTED_VALUE"""),"")</f>
        <v/>
      </c>
      <c r="CC4" s="36" t="str">
        <f>IFERROR(__xludf.DUMMYFUNCTION("""COMPUTED_VALUE"""),"")</f>
        <v/>
      </c>
      <c r="CD4" s="36" t="str">
        <f>IFERROR(__xludf.DUMMYFUNCTION("""COMPUTED_VALUE"""),"")</f>
        <v/>
      </c>
      <c r="CE4" s="36" t="str">
        <f>IFERROR(__xludf.DUMMYFUNCTION("""COMPUTED_VALUE"""),"")</f>
        <v/>
      </c>
      <c r="CF4" s="36" t="str">
        <f>IFERROR(__xludf.DUMMYFUNCTION("""COMPUTED_VALUE"""),"")</f>
        <v/>
      </c>
      <c r="CG4" s="36" t="str">
        <f>IFERROR(__xludf.DUMMYFUNCTION("""COMPUTED_VALUE"""),"")</f>
        <v/>
      </c>
      <c r="CH4" s="36" t="str">
        <f>IFERROR(__xludf.DUMMYFUNCTION("""COMPUTED_VALUE"""),"")</f>
        <v/>
      </c>
      <c r="CI4" s="36" t="str">
        <f>IFERROR(__xludf.DUMMYFUNCTION("""COMPUTED_VALUE"""),"")</f>
        <v/>
      </c>
      <c r="CJ4" s="36" t="str">
        <f>IFERROR(__xludf.DUMMYFUNCTION("""COMPUTED_VALUE"""),"")</f>
        <v/>
      </c>
      <c r="CK4" s="36" t="str">
        <f>IFERROR(__xludf.DUMMYFUNCTION("""COMPUTED_VALUE"""),"")</f>
        <v/>
      </c>
      <c r="CL4" s="36" t="str">
        <f>IFERROR(__xludf.DUMMYFUNCTION("""COMPUTED_VALUE"""),"")</f>
        <v/>
      </c>
      <c r="CM4" s="36" t="str">
        <f>IFERROR(__xludf.DUMMYFUNCTION("""COMPUTED_VALUE"""),"")</f>
        <v/>
      </c>
      <c r="CN4" s="36" t="str">
        <f>IFERROR(__xludf.DUMMYFUNCTION("""COMPUTED_VALUE"""),"")</f>
        <v/>
      </c>
      <c r="CO4" s="36" t="str">
        <f>IFERROR(__xludf.DUMMYFUNCTION("""COMPUTED_VALUE"""),"")</f>
        <v/>
      </c>
      <c r="CP4" s="36" t="str">
        <f>IFERROR(__xludf.DUMMYFUNCTION("""COMPUTED_VALUE"""),"")</f>
        <v/>
      </c>
      <c r="CQ4" s="36" t="str">
        <f>IFERROR(__xludf.DUMMYFUNCTION("""COMPUTED_VALUE"""),"")</f>
        <v/>
      </c>
      <c r="CR4" s="36" t="str">
        <f>IFERROR(__xludf.DUMMYFUNCTION("""COMPUTED_VALUE"""),"")</f>
        <v/>
      </c>
      <c r="CS4" s="36" t="str">
        <f>IFERROR(__xludf.DUMMYFUNCTION("""COMPUTED_VALUE"""),"")</f>
        <v/>
      </c>
      <c r="CT4" s="36" t="str">
        <f>IFERROR(__xludf.DUMMYFUNCTION("""COMPUTED_VALUE"""),"")</f>
        <v/>
      </c>
      <c r="CU4" s="36" t="str">
        <f>IFERROR(__xludf.DUMMYFUNCTION("""COMPUTED_VALUE"""),"")</f>
        <v/>
      </c>
      <c r="CV4" s="36" t="str">
        <f>IFERROR(__xludf.DUMMYFUNCTION("""COMPUTED_VALUE"""),"")</f>
        <v/>
      </c>
      <c r="CW4" s="36" t="str">
        <f>IFERROR(__xludf.DUMMYFUNCTION("""COMPUTED_VALUE"""),"")</f>
        <v/>
      </c>
      <c r="CX4" s="36" t="str">
        <f>IFERROR(__xludf.DUMMYFUNCTION("""COMPUTED_VALUE"""),"")</f>
        <v/>
      </c>
      <c r="CY4" s="36" t="str">
        <f>IFERROR(__xludf.DUMMYFUNCTION("""COMPUTED_VALUE"""),"")</f>
        <v/>
      </c>
      <c r="CZ4" s="36" t="str">
        <f>IFERROR(__xludf.DUMMYFUNCTION("""COMPUTED_VALUE"""),"")</f>
        <v/>
      </c>
      <c r="DA4" s="36" t="str">
        <f>IFERROR(__xludf.DUMMYFUNCTION("""COMPUTED_VALUE"""),"")</f>
        <v/>
      </c>
      <c r="DB4" s="36" t="str">
        <f>IFERROR(__xludf.DUMMYFUNCTION("""COMPUTED_VALUE"""),"")</f>
        <v/>
      </c>
      <c r="DC4" s="36" t="str">
        <f>IFERROR(__xludf.DUMMYFUNCTION("""COMPUTED_VALUE"""),"")</f>
        <v/>
      </c>
      <c r="DD4" s="36" t="str">
        <f>IFERROR(__xludf.DUMMYFUNCTION("""COMPUTED_VALUE"""),"")</f>
        <v/>
      </c>
      <c r="DE4" s="36" t="str">
        <f>IFERROR(__xludf.DUMMYFUNCTION("""COMPUTED_VALUE"""),"")</f>
        <v/>
      </c>
      <c r="DF4" s="36" t="str">
        <f>IFERROR(__xludf.DUMMYFUNCTION("""COMPUTED_VALUE"""),"")</f>
        <v/>
      </c>
      <c r="DG4" s="36" t="str">
        <f>IFERROR(__xludf.DUMMYFUNCTION("""COMPUTED_VALUE"""),"")</f>
        <v/>
      </c>
      <c r="DH4" s="36" t="str">
        <f>IFERROR(__xludf.DUMMYFUNCTION("""COMPUTED_VALUE"""),"")</f>
        <v/>
      </c>
      <c r="DI4" s="36" t="str">
        <f>IFERROR(__xludf.DUMMYFUNCTION("""COMPUTED_VALUE"""),"")</f>
        <v/>
      </c>
      <c r="DJ4" s="36" t="str">
        <f>IFERROR(__xludf.DUMMYFUNCTION("""COMPUTED_VALUE"""),"")</f>
        <v/>
      </c>
      <c r="DK4" s="36" t="str">
        <f>IFERROR(__xludf.DUMMYFUNCTION("""COMPUTED_VALUE"""),"")</f>
        <v/>
      </c>
      <c r="DL4" s="36" t="str">
        <f>IFERROR(__xludf.DUMMYFUNCTION("""COMPUTED_VALUE"""),"")</f>
        <v/>
      </c>
      <c r="DM4" s="36" t="str">
        <f>IFERROR(__xludf.DUMMYFUNCTION("""COMPUTED_VALUE"""),"")</f>
        <v/>
      </c>
      <c r="DN4" s="36" t="str">
        <f>IFERROR(__xludf.DUMMYFUNCTION("""COMPUTED_VALUE"""),"")</f>
        <v/>
      </c>
      <c r="DO4" s="36" t="str">
        <f>IFERROR(__xludf.DUMMYFUNCTION("""COMPUTED_VALUE"""),"")</f>
        <v/>
      </c>
      <c r="DP4" s="36" t="str">
        <f>IFERROR(__xludf.DUMMYFUNCTION("""COMPUTED_VALUE"""),"")</f>
        <v/>
      </c>
      <c r="DQ4" s="36" t="str">
        <f>IFERROR(__xludf.DUMMYFUNCTION("""COMPUTED_VALUE"""),"")</f>
        <v/>
      </c>
      <c r="DR4" s="36" t="str">
        <f>IFERROR(__xludf.DUMMYFUNCTION("""COMPUTED_VALUE"""),"")</f>
        <v/>
      </c>
      <c r="DS4" s="36" t="str">
        <f>IFERROR(__xludf.DUMMYFUNCTION("""COMPUTED_VALUE"""),"")</f>
        <v/>
      </c>
      <c r="DT4" s="36" t="str">
        <f>IFERROR(__xludf.DUMMYFUNCTION("""COMPUTED_VALUE"""),"")</f>
        <v/>
      </c>
      <c r="DU4" s="36" t="str">
        <f>IFERROR(__xludf.DUMMYFUNCTION("""COMPUTED_VALUE"""),"")</f>
        <v/>
      </c>
      <c r="DV4" s="36" t="str">
        <f>IFERROR(__xludf.DUMMYFUNCTION("""COMPUTED_VALUE"""),"")</f>
        <v/>
      </c>
      <c r="DW4" s="36" t="str">
        <f>IFERROR(__xludf.DUMMYFUNCTION("""COMPUTED_VALUE"""),"")</f>
        <v/>
      </c>
      <c r="DX4" s="36" t="str">
        <f>IFERROR(__xludf.DUMMYFUNCTION("""COMPUTED_VALUE"""),"")</f>
        <v/>
      </c>
      <c r="DY4" s="36" t="str">
        <f>IFERROR(__xludf.DUMMYFUNCTION("""COMPUTED_VALUE"""),"")</f>
        <v/>
      </c>
      <c r="DZ4" s="36" t="str">
        <f>IFERROR(__xludf.DUMMYFUNCTION("""COMPUTED_VALUE"""),"")</f>
        <v/>
      </c>
      <c r="EA4" s="36" t="str">
        <f>IFERROR(__xludf.DUMMYFUNCTION("""COMPUTED_VALUE"""),"")</f>
        <v/>
      </c>
      <c r="EB4" s="36" t="str">
        <f>IFERROR(__xludf.DUMMYFUNCTION("""COMPUTED_VALUE"""),"")</f>
        <v/>
      </c>
      <c r="EC4" s="36" t="str">
        <f>IFERROR(__xludf.DUMMYFUNCTION("""COMPUTED_VALUE"""),"")</f>
        <v/>
      </c>
      <c r="ED4" s="36" t="str">
        <f>IFERROR(__xludf.DUMMYFUNCTION("""COMPUTED_VALUE"""),"")</f>
        <v/>
      </c>
      <c r="EE4" s="36" t="str">
        <f>IFERROR(__xludf.DUMMYFUNCTION("""COMPUTED_VALUE"""),"")</f>
        <v/>
      </c>
      <c r="EF4" s="36" t="str">
        <f>IFERROR(__xludf.DUMMYFUNCTION("""COMPUTED_VALUE"""),"")</f>
        <v/>
      </c>
      <c r="EG4" s="36" t="str">
        <f>IFERROR(__xludf.DUMMYFUNCTION("""COMPUTED_VALUE"""),"")</f>
        <v/>
      </c>
      <c r="EH4" s="36" t="str">
        <f>IFERROR(__xludf.DUMMYFUNCTION("""COMPUTED_VALUE"""),"")</f>
        <v/>
      </c>
      <c r="EI4" s="36" t="str">
        <f>IFERROR(__xludf.DUMMYFUNCTION("""COMPUTED_VALUE"""),"")</f>
        <v/>
      </c>
      <c r="EJ4" s="36" t="str">
        <f>IFERROR(__xludf.DUMMYFUNCTION("""COMPUTED_VALUE"""),"")</f>
        <v/>
      </c>
      <c r="EK4" s="36" t="str">
        <f>IFERROR(__xludf.DUMMYFUNCTION("""COMPUTED_VALUE"""),"")</f>
        <v/>
      </c>
      <c r="EL4" s="36" t="str">
        <f>IFERROR(__xludf.DUMMYFUNCTION("""COMPUTED_VALUE"""),"")</f>
        <v/>
      </c>
      <c r="EM4" s="36" t="str">
        <f>IFERROR(__xludf.DUMMYFUNCTION("""COMPUTED_VALUE"""),"")</f>
        <v/>
      </c>
      <c r="EN4" s="36" t="str">
        <f>IFERROR(__xludf.DUMMYFUNCTION("""COMPUTED_VALUE"""),"")</f>
        <v/>
      </c>
      <c r="EO4" s="36" t="str">
        <f>IFERROR(__xludf.DUMMYFUNCTION("""COMPUTED_VALUE"""),"")</f>
        <v/>
      </c>
      <c r="EP4" s="36" t="str">
        <f>IFERROR(__xludf.DUMMYFUNCTION("""COMPUTED_VALUE"""),"")</f>
        <v/>
      </c>
      <c r="EQ4" s="36" t="str">
        <f>IFERROR(__xludf.DUMMYFUNCTION("""COMPUTED_VALUE"""),"")</f>
        <v/>
      </c>
      <c r="ER4" s="36" t="str">
        <f>IFERROR(__xludf.DUMMYFUNCTION("""COMPUTED_VALUE"""),"")</f>
        <v/>
      </c>
      <c r="ES4" s="36" t="str">
        <f>IFERROR(__xludf.DUMMYFUNCTION("""COMPUTED_VALUE"""),"")</f>
        <v/>
      </c>
      <c r="ET4" s="36" t="str">
        <f>IFERROR(__xludf.DUMMYFUNCTION("""COMPUTED_VALUE"""),"")</f>
        <v/>
      </c>
      <c r="EU4" s="36" t="str">
        <f>IFERROR(__xludf.DUMMYFUNCTION("""COMPUTED_VALUE"""),"")</f>
        <v/>
      </c>
      <c r="EV4" s="36" t="str">
        <f>IFERROR(__xludf.DUMMYFUNCTION("""COMPUTED_VALUE"""),"")</f>
        <v/>
      </c>
      <c r="EW4" s="36" t="str">
        <f>IFERROR(__xludf.DUMMYFUNCTION("""COMPUTED_VALUE"""),"")</f>
        <v/>
      </c>
      <c r="EX4" s="36" t="str">
        <f>IFERROR(__xludf.DUMMYFUNCTION("""COMPUTED_VALUE"""),"")</f>
        <v/>
      </c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IFERROR(__xludf.DUMMYFUNCTION("""COMPUTED_VALUE"""),"Symbol")</f>
        <v>Symbol</v>
      </c>
      <c r="C5" s="38" t="str">
        <f>IFERROR(__xludf.DUMMYFUNCTION("""COMPUTED_VALUE"""),"Order Side")</f>
        <v>Order Side</v>
      </c>
      <c r="D5" s="38" t="str">
        <f>IFERROR(__xludf.DUMMYFUNCTION("""COMPUTED_VALUE"""),"Quantity")</f>
        <v>Quantity</v>
      </c>
      <c r="E5" s="38" t="str">
        <f>IFERROR(__xludf.DUMMYFUNCTION("""COMPUTED_VALUE"""),"TargetQuantityIn")</f>
        <v>TargetQuantityIn</v>
      </c>
      <c r="F5" s="39" t="str">
        <f>IFERROR(__xludf.DUMMYFUNCTION("""COMPUTED_VALUE"""),"AllocationMethod")</f>
        <v>AllocationMethod</v>
      </c>
      <c r="G5" s="38" t="str">
        <f>IFERROR(__xludf.DUMMYFUNCTION("""COMPUTED_VALUE"""),"Broker")</f>
        <v>Broker</v>
      </c>
      <c r="H5" s="38" t="str">
        <f>IFERROR(__xludf.DUMMYFUNCTION("""COMPUTED_VALUE"""),"TIF")</f>
        <v>TIF</v>
      </c>
      <c r="I5" s="38" t="str">
        <f>IFERROR(__xludf.DUMMYFUNCTION("""COMPUTED_VALUE"""),"Order Type")</f>
        <v>Order Type</v>
      </c>
      <c r="J5" s="38" t="str">
        <f>IFERROR(__xludf.DUMMYFUNCTION("""COMPUTED_VALUE"""),"Price")</f>
        <v>Price</v>
      </c>
      <c r="K5" s="38" t="str">
        <f>IFERROR(__xludf.DUMMYFUNCTION("""COMPUTED_VALUE"""),"Stop")</f>
        <v>Stop</v>
      </c>
      <c r="L5" s="38" t="str">
        <f>IFERROR(__xludf.DUMMYFUNCTION("""COMPUTED_VALUE"""),"Limit")</f>
        <v>Limit</v>
      </c>
      <c r="M5" s="38" t="str">
        <f>IFERROR(__xludf.DUMMYFUNCTION("""COMPUTED_VALUE"""),"Strategy")</f>
        <v>Strategy</v>
      </c>
      <c r="N5" s="38" t="str">
        <f>IFERROR(__xludf.DUMMYFUNCTION("""COMPUTED_VALUE"""),"Trade Date")</f>
        <v>Trade Date</v>
      </c>
      <c r="O5" s="38" t="str">
        <f>IFERROR(__xludf.DUMMYFUNCTION("""COMPUTED_VALUE"""),"FxRate")</f>
        <v>FxRate</v>
      </c>
      <c r="P5" s="38" t="str">
        <f>IFERROR(__xludf.DUMMYFUNCTION("""COMPUTED_VALUE"""),"Notes")</f>
        <v>Notes</v>
      </c>
      <c r="Q5" s="38" t="str">
        <f>IFERROR(__xludf.DUMMYFUNCTION("""COMPUTED_VALUE"""),"Broker Notes")</f>
        <v>Broker Notes</v>
      </c>
      <c r="R5" s="38" t="str">
        <f>IFERROR(__xludf.DUMMYFUNCTION("""COMPUTED_VALUE"""),"CommissionBasis")</f>
        <v>CommissionBasis</v>
      </c>
      <c r="S5" s="38" t="str">
        <f>IFERROR(__xludf.DUMMYFUNCTION("""COMPUTED_VALUE"""),"CommissionRate")</f>
        <v>CommissionRate</v>
      </c>
      <c r="T5" s="40" t="str">
        <f>IFERROR(__xludf.DUMMYFUNCTION("""COMPUTED_VALUE"""),"SoftBasis")</f>
        <v>SoftBasis</v>
      </c>
      <c r="U5" s="40" t="str">
        <f>IFERROR(__xludf.DUMMYFUNCTION("""COMPUTED_VALUE"""),"SoftRate")</f>
        <v>SoftRate</v>
      </c>
      <c r="V5" s="40" t="str">
        <f>IFERROR(__xludf.DUMMYFUNCTION("""COMPUTED_VALUE"""),"TradeAttribute1")</f>
        <v>TradeAttribute1</v>
      </c>
      <c r="W5" s="40" t="str">
        <f>IFERROR(__xludf.DUMMYFUNCTION("""COMPUTED_VALUE"""),"TradeAttribute2")</f>
        <v>TradeAttribute2</v>
      </c>
      <c r="X5" s="40" t="str">
        <f>IFERROR(__xludf.DUMMYFUNCTION("""COMPUTED_VALUE"""),"TradeAttribute3")</f>
        <v>TradeAttribute3</v>
      </c>
      <c r="Y5" s="40" t="str">
        <f>IFERROR(__xludf.DUMMYFUNCTION("""COMPUTED_VALUE"""),"TradeAttribute4")</f>
        <v>TradeAttribute4</v>
      </c>
      <c r="Z5" s="40" t="str">
        <f>IFERROR(__xludf.DUMMYFUNCTION("""COMPUTED_VALUE"""),"TradeAttribute5")</f>
        <v>TradeAttribute5</v>
      </c>
      <c r="AA5" s="40" t="str">
        <f>IFERROR(__xludf.DUMMYFUNCTION("""COMPUTED_VALUE"""),"TradeAttribute6")</f>
        <v>TradeAttribute6</v>
      </c>
      <c r="AB5" s="40" t="str">
        <f>IFERROR(__xludf.DUMMYFUNCTION("""COMPUTED_VALUE"""),"Venue")</f>
        <v>Venue</v>
      </c>
      <c r="AC5" s="40" t="str">
        <f>IFERROR(__xludf.DUMMYFUNCTION("""COMPUTED_VALUE"""),"ExecutionInstructions")</f>
        <v>ExecutionInstructions</v>
      </c>
      <c r="AD5" s="40" t="str">
        <f>IFERROR(__xludf.DUMMYFUNCTION("""COMPUTED_VALUE"""),"HandlingInstructions")</f>
        <v>HandlingInstructions</v>
      </c>
      <c r="AE5" s="40" t="str">
        <f>IFERROR(__xludf.DUMMYFUNCTION("""COMPUTED_VALUE"""),"Trader")</f>
        <v>Trader</v>
      </c>
      <c r="AF5" s="40" t="str">
        <f>IFERROR(__xludf.DUMMYFUNCTION("""COMPUTED_VALUE"""),"SettlementCurrency")</f>
        <v>SettlementCurrency</v>
      </c>
      <c r="AG5" s="40" t="str">
        <f>IFERROR(__xludf.DUMMYFUNCTION("""COMPUTED_VALUE"""),"SettlementFXRate")</f>
        <v>SettlementFXRate</v>
      </c>
      <c r="AH5" s="40" t="str">
        <f>IFERROR(__xludf.DUMMYFUNCTION("""COMPUTED_VALUE"""),"SettlementAmount")</f>
        <v>SettlementAmount</v>
      </c>
      <c r="AI5" s="40" t="str">
        <f>IFERROR(__xludf.DUMMYFUNCTION("""COMPUTED_VALUE"""),"SettlementFXOperator")</f>
        <v>SettlementFXOperator</v>
      </c>
      <c r="AJ5" s="40" t="str">
        <f>IFERROR(__xludf.DUMMYFUNCTION("""COMPUTED_VALUE"""),"SettleByBroker")</f>
        <v>SettleByBroker</v>
      </c>
      <c r="AK5" s="40" t="str">
        <f>IFERROR(__xludf.DUMMYFUNCTION("""COMPUTED_VALUE"""),"Account")</f>
        <v>Account</v>
      </c>
      <c r="AL5" s="40" t="str">
        <f>IFERROR(__xludf.DUMMYFUNCTION("""COMPUTED_VALUE"""),"Account %")</f>
        <v>Account %</v>
      </c>
      <c r="AM5" s="40" t="str">
        <f>IFERROR(__xludf.DUMMYFUNCTION("""COMPUTED_VALUE"""),"Deal In")</f>
        <v>Deal In</v>
      </c>
      <c r="AN5" s="40" t="str">
        <f>IFERROR(__xludf.DUMMYFUNCTION("""COMPUTED_VALUE"""),"ChkBoxBookAsSwap")</f>
        <v>ChkBoxBookAsSwap</v>
      </c>
      <c r="AO5" s="41" t="str">
        <f>IFERROR(__xludf.DUMMYFUNCTION("""COMPUTED_VALUE"""),"")</f>
        <v/>
      </c>
      <c r="AP5" s="41" t="str">
        <f>IFERROR(__xludf.DUMMYFUNCTION("""COMPUTED_VALUE"""),"")</f>
        <v/>
      </c>
      <c r="AQ5" s="41" t="str">
        <f>IFERROR(__xludf.DUMMYFUNCTION("""COMPUTED_VALUE"""),"")</f>
        <v/>
      </c>
      <c r="AR5" s="41" t="str">
        <f>IFERROR(__xludf.DUMMYFUNCTION("""COMPUTED_VALUE"""),"")</f>
        <v/>
      </c>
      <c r="AS5" s="41" t="str">
        <f>IFERROR(__xludf.DUMMYFUNCTION("""COMPUTED_VALUE"""),"")</f>
        <v/>
      </c>
      <c r="AT5" s="41" t="str">
        <f>IFERROR(__xludf.DUMMYFUNCTION("""COMPUTED_VALUE"""),"")</f>
        <v/>
      </c>
      <c r="AU5" s="41" t="str">
        <f>IFERROR(__xludf.DUMMYFUNCTION("""COMPUTED_VALUE"""),"")</f>
        <v/>
      </c>
      <c r="AV5" s="41" t="str">
        <f>IFERROR(__xludf.DUMMYFUNCTION("""COMPUTED_VALUE"""),"")</f>
        <v/>
      </c>
      <c r="AW5" s="41" t="str">
        <f>IFERROR(__xludf.DUMMYFUNCTION("""COMPUTED_VALUE"""),"")</f>
        <v/>
      </c>
      <c r="AX5" s="41" t="str">
        <f>IFERROR(__xludf.DUMMYFUNCTION("""COMPUTED_VALUE"""),"")</f>
        <v/>
      </c>
      <c r="AY5" s="41" t="str">
        <f>IFERROR(__xludf.DUMMYFUNCTION("""COMPUTED_VALUE"""),"")</f>
        <v/>
      </c>
      <c r="AZ5" s="41" t="str">
        <f>IFERROR(__xludf.DUMMYFUNCTION("""COMPUTED_VALUE"""),"")</f>
        <v/>
      </c>
      <c r="BA5" s="41" t="str">
        <f>IFERROR(__xludf.DUMMYFUNCTION("""COMPUTED_VALUE"""),"")</f>
        <v/>
      </c>
      <c r="BB5" s="41" t="str">
        <f>IFERROR(__xludf.DUMMYFUNCTION("""COMPUTED_VALUE"""),"")</f>
        <v/>
      </c>
      <c r="BC5" s="41" t="str">
        <f>IFERROR(__xludf.DUMMYFUNCTION("""COMPUTED_VALUE"""),"")</f>
        <v/>
      </c>
      <c r="BD5" s="41" t="str">
        <f>IFERROR(__xludf.DUMMYFUNCTION("""COMPUTED_VALUE"""),"")</f>
        <v/>
      </c>
      <c r="BE5" s="41" t="str">
        <f>IFERROR(__xludf.DUMMYFUNCTION("""COMPUTED_VALUE"""),"")</f>
        <v/>
      </c>
      <c r="BF5" s="41" t="str">
        <f>IFERROR(__xludf.DUMMYFUNCTION("""COMPUTED_VALUE"""),"")</f>
        <v/>
      </c>
      <c r="BG5" s="41" t="str">
        <f>IFERROR(__xludf.DUMMYFUNCTION("""COMPUTED_VALUE"""),"")</f>
        <v/>
      </c>
      <c r="BH5" s="41" t="str">
        <f>IFERROR(__xludf.DUMMYFUNCTION("""COMPUTED_VALUE"""),"")</f>
        <v/>
      </c>
      <c r="BI5" s="41" t="str">
        <f>IFERROR(__xludf.DUMMYFUNCTION("""COMPUTED_VALUE"""),"")</f>
        <v/>
      </c>
      <c r="BJ5" s="41" t="str">
        <f>IFERROR(__xludf.DUMMYFUNCTION("""COMPUTED_VALUE"""),"")</f>
        <v/>
      </c>
      <c r="BK5" s="41" t="str">
        <f>IFERROR(__xludf.DUMMYFUNCTION("""COMPUTED_VALUE"""),"")</f>
        <v/>
      </c>
      <c r="BL5" s="41" t="str">
        <f>IFERROR(__xludf.DUMMYFUNCTION("""COMPUTED_VALUE"""),"")</f>
        <v/>
      </c>
      <c r="BM5" s="41" t="str">
        <f>IFERROR(__xludf.DUMMYFUNCTION("""COMPUTED_VALUE"""),"")</f>
        <v/>
      </c>
      <c r="BN5" s="41" t="str">
        <f>IFERROR(__xludf.DUMMYFUNCTION("""COMPUTED_VALUE"""),"")</f>
        <v/>
      </c>
      <c r="BO5" s="41" t="str">
        <f>IFERROR(__xludf.DUMMYFUNCTION("""COMPUTED_VALUE"""),"")</f>
        <v/>
      </c>
      <c r="BP5" s="41" t="str">
        <f>IFERROR(__xludf.DUMMYFUNCTION("""COMPUTED_VALUE"""),"")</f>
        <v/>
      </c>
      <c r="BQ5" s="41" t="str">
        <f>IFERROR(__xludf.DUMMYFUNCTION("""COMPUTED_VALUE"""),"")</f>
        <v/>
      </c>
      <c r="BR5" s="41" t="str">
        <f>IFERROR(__xludf.DUMMYFUNCTION("""COMPUTED_VALUE"""),"")</f>
        <v/>
      </c>
      <c r="BS5" s="41" t="str">
        <f>IFERROR(__xludf.DUMMYFUNCTION("""COMPUTED_VALUE"""),"")</f>
        <v/>
      </c>
      <c r="BT5" s="41" t="str">
        <f>IFERROR(__xludf.DUMMYFUNCTION("""COMPUTED_VALUE"""),"")</f>
        <v/>
      </c>
      <c r="BU5" s="41" t="str">
        <f>IFERROR(__xludf.DUMMYFUNCTION("""COMPUTED_VALUE"""),"")</f>
        <v/>
      </c>
      <c r="BV5" s="41" t="str">
        <f>IFERROR(__xludf.DUMMYFUNCTION("""COMPUTED_VALUE"""),"")</f>
        <v/>
      </c>
      <c r="BW5" s="41" t="str">
        <f>IFERROR(__xludf.DUMMYFUNCTION("""COMPUTED_VALUE"""),"")</f>
        <v/>
      </c>
      <c r="BX5" s="41" t="str">
        <f>IFERROR(__xludf.DUMMYFUNCTION("""COMPUTED_VALUE"""),"")</f>
        <v/>
      </c>
      <c r="BY5" s="41" t="str">
        <f>IFERROR(__xludf.DUMMYFUNCTION("""COMPUTED_VALUE"""),"")</f>
        <v/>
      </c>
      <c r="BZ5" s="41" t="str">
        <f>IFERROR(__xludf.DUMMYFUNCTION("""COMPUTED_VALUE"""),"")</f>
        <v/>
      </c>
      <c r="CA5" s="41" t="str">
        <f>IFERROR(__xludf.DUMMYFUNCTION("""COMPUTED_VALUE"""),"")</f>
        <v/>
      </c>
      <c r="CB5" s="41" t="str">
        <f>IFERROR(__xludf.DUMMYFUNCTION("""COMPUTED_VALUE"""),"")</f>
        <v/>
      </c>
      <c r="CC5" s="41" t="str">
        <f>IFERROR(__xludf.DUMMYFUNCTION("""COMPUTED_VALUE"""),"")</f>
        <v/>
      </c>
      <c r="CD5" s="41" t="str">
        <f>IFERROR(__xludf.DUMMYFUNCTION("""COMPUTED_VALUE"""),"")</f>
        <v/>
      </c>
      <c r="CE5" s="41" t="str">
        <f>IFERROR(__xludf.DUMMYFUNCTION("""COMPUTED_VALUE"""),"")</f>
        <v/>
      </c>
      <c r="CF5" s="41" t="str">
        <f>IFERROR(__xludf.DUMMYFUNCTION("""COMPUTED_VALUE"""),"")</f>
        <v/>
      </c>
      <c r="CG5" s="41" t="str">
        <f>IFERROR(__xludf.DUMMYFUNCTION("""COMPUTED_VALUE"""),"")</f>
        <v/>
      </c>
      <c r="CH5" s="41" t="str">
        <f>IFERROR(__xludf.DUMMYFUNCTION("""COMPUTED_VALUE"""),"")</f>
        <v/>
      </c>
      <c r="CI5" s="41" t="str">
        <f>IFERROR(__xludf.DUMMYFUNCTION("""COMPUTED_VALUE"""),"")</f>
        <v/>
      </c>
      <c r="CJ5" s="41" t="str">
        <f>IFERROR(__xludf.DUMMYFUNCTION("""COMPUTED_VALUE"""),"")</f>
        <v/>
      </c>
      <c r="CK5" s="41" t="str">
        <f>IFERROR(__xludf.DUMMYFUNCTION("""COMPUTED_VALUE"""),"")</f>
        <v/>
      </c>
      <c r="CL5" s="41" t="str">
        <f>IFERROR(__xludf.DUMMYFUNCTION("""COMPUTED_VALUE"""),"")</f>
        <v/>
      </c>
      <c r="CM5" s="41" t="str">
        <f>IFERROR(__xludf.DUMMYFUNCTION("""COMPUTED_VALUE"""),"")</f>
        <v/>
      </c>
      <c r="CN5" s="41" t="str">
        <f>IFERROR(__xludf.DUMMYFUNCTION("""COMPUTED_VALUE"""),"")</f>
        <v/>
      </c>
      <c r="CO5" s="41" t="str">
        <f>IFERROR(__xludf.DUMMYFUNCTION("""COMPUTED_VALUE"""),"")</f>
        <v/>
      </c>
      <c r="CP5" s="41" t="str">
        <f>IFERROR(__xludf.DUMMYFUNCTION("""COMPUTED_VALUE"""),"")</f>
        <v/>
      </c>
      <c r="CQ5" s="41" t="str">
        <f>IFERROR(__xludf.DUMMYFUNCTION("""COMPUTED_VALUE"""),"")</f>
        <v/>
      </c>
      <c r="CR5" s="41" t="str">
        <f>IFERROR(__xludf.DUMMYFUNCTION("""COMPUTED_VALUE"""),"")</f>
        <v/>
      </c>
      <c r="CS5" s="41" t="str">
        <f>IFERROR(__xludf.DUMMYFUNCTION("""COMPUTED_VALUE"""),"")</f>
        <v/>
      </c>
      <c r="CT5" s="41" t="str">
        <f>IFERROR(__xludf.DUMMYFUNCTION("""COMPUTED_VALUE"""),"")</f>
        <v/>
      </c>
      <c r="CU5" s="41" t="str">
        <f>IFERROR(__xludf.DUMMYFUNCTION("""COMPUTED_VALUE"""),"")</f>
        <v/>
      </c>
      <c r="CV5" s="41" t="str">
        <f>IFERROR(__xludf.DUMMYFUNCTION("""COMPUTED_VALUE"""),"")</f>
        <v/>
      </c>
      <c r="CW5" s="41" t="str">
        <f>IFERROR(__xludf.DUMMYFUNCTION("""COMPUTED_VALUE"""),"")</f>
        <v/>
      </c>
      <c r="CX5" s="41" t="str">
        <f>IFERROR(__xludf.DUMMYFUNCTION("""COMPUTED_VALUE"""),"")</f>
        <v/>
      </c>
      <c r="CY5" s="41" t="str">
        <f>IFERROR(__xludf.DUMMYFUNCTION("""COMPUTED_VALUE"""),"")</f>
        <v/>
      </c>
      <c r="CZ5" s="41" t="str">
        <f>IFERROR(__xludf.DUMMYFUNCTION("""COMPUTED_VALUE"""),"")</f>
        <v/>
      </c>
      <c r="DA5" s="41" t="str">
        <f>IFERROR(__xludf.DUMMYFUNCTION("""COMPUTED_VALUE"""),"")</f>
        <v/>
      </c>
      <c r="DB5" s="41" t="str">
        <f>IFERROR(__xludf.DUMMYFUNCTION("""COMPUTED_VALUE"""),"")</f>
        <v/>
      </c>
      <c r="DC5" s="41" t="str">
        <f>IFERROR(__xludf.DUMMYFUNCTION("""COMPUTED_VALUE"""),"")</f>
        <v/>
      </c>
      <c r="DD5" s="41" t="str">
        <f>IFERROR(__xludf.DUMMYFUNCTION("""COMPUTED_VALUE"""),"")</f>
        <v/>
      </c>
      <c r="DE5" s="41" t="str">
        <f>IFERROR(__xludf.DUMMYFUNCTION("""COMPUTED_VALUE"""),"")</f>
        <v/>
      </c>
      <c r="DF5" s="41" t="str">
        <f>IFERROR(__xludf.DUMMYFUNCTION("""COMPUTED_VALUE"""),"")</f>
        <v/>
      </c>
      <c r="DG5" s="41" t="str">
        <f>IFERROR(__xludf.DUMMYFUNCTION("""COMPUTED_VALUE"""),"")</f>
        <v/>
      </c>
      <c r="DH5" s="41" t="str">
        <f>IFERROR(__xludf.DUMMYFUNCTION("""COMPUTED_VALUE"""),"")</f>
        <v/>
      </c>
      <c r="DI5" s="41" t="str">
        <f>IFERROR(__xludf.DUMMYFUNCTION("""COMPUTED_VALUE"""),"")</f>
        <v/>
      </c>
      <c r="DJ5" s="41" t="str">
        <f>IFERROR(__xludf.DUMMYFUNCTION("""COMPUTED_VALUE"""),"")</f>
        <v/>
      </c>
      <c r="DK5" s="41" t="str">
        <f>IFERROR(__xludf.DUMMYFUNCTION("""COMPUTED_VALUE"""),"")</f>
        <v/>
      </c>
      <c r="DL5" s="41" t="str">
        <f>IFERROR(__xludf.DUMMYFUNCTION("""COMPUTED_VALUE"""),"")</f>
        <v/>
      </c>
      <c r="DM5" s="41" t="str">
        <f>IFERROR(__xludf.DUMMYFUNCTION("""COMPUTED_VALUE"""),"")</f>
        <v/>
      </c>
      <c r="DN5" s="41" t="str">
        <f>IFERROR(__xludf.DUMMYFUNCTION("""COMPUTED_VALUE"""),"")</f>
        <v/>
      </c>
      <c r="DO5" s="41" t="str">
        <f>IFERROR(__xludf.DUMMYFUNCTION("""COMPUTED_VALUE"""),"")</f>
        <v/>
      </c>
      <c r="DP5" s="41" t="str">
        <f>IFERROR(__xludf.DUMMYFUNCTION("""COMPUTED_VALUE"""),"")</f>
        <v/>
      </c>
      <c r="DQ5" s="41" t="str">
        <f>IFERROR(__xludf.DUMMYFUNCTION("""COMPUTED_VALUE"""),"")</f>
        <v/>
      </c>
      <c r="DR5" s="41" t="str">
        <f>IFERROR(__xludf.DUMMYFUNCTION("""COMPUTED_VALUE"""),"")</f>
        <v/>
      </c>
      <c r="DS5" s="41" t="str">
        <f>IFERROR(__xludf.DUMMYFUNCTION("""COMPUTED_VALUE"""),"")</f>
        <v/>
      </c>
      <c r="DT5" s="41" t="str">
        <f>IFERROR(__xludf.DUMMYFUNCTION("""COMPUTED_VALUE"""),"")</f>
        <v/>
      </c>
      <c r="DU5" s="41" t="str">
        <f>IFERROR(__xludf.DUMMYFUNCTION("""COMPUTED_VALUE"""),"")</f>
        <v/>
      </c>
      <c r="DV5" s="41" t="str">
        <f>IFERROR(__xludf.DUMMYFUNCTION("""COMPUTED_VALUE"""),"")</f>
        <v/>
      </c>
      <c r="DW5" s="41" t="str">
        <f>IFERROR(__xludf.DUMMYFUNCTION("""COMPUTED_VALUE"""),"")</f>
        <v/>
      </c>
      <c r="DX5" s="41" t="str">
        <f>IFERROR(__xludf.DUMMYFUNCTION("""COMPUTED_VALUE"""),"")</f>
        <v/>
      </c>
      <c r="DY5" s="41" t="str">
        <f>IFERROR(__xludf.DUMMYFUNCTION("""COMPUTED_VALUE"""),"")</f>
        <v/>
      </c>
      <c r="DZ5" s="41" t="str">
        <f>IFERROR(__xludf.DUMMYFUNCTION("""COMPUTED_VALUE"""),"")</f>
        <v/>
      </c>
      <c r="EA5" s="41" t="str">
        <f>IFERROR(__xludf.DUMMYFUNCTION("""COMPUTED_VALUE"""),"")</f>
        <v/>
      </c>
      <c r="EB5" s="41" t="str">
        <f>IFERROR(__xludf.DUMMYFUNCTION("""COMPUTED_VALUE"""),"")</f>
        <v/>
      </c>
      <c r="EC5" s="41" t="str">
        <f>IFERROR(__xludf.DUMMYFUNCTION("""COMPUTED_VALUE"""),"")</f>
        <v/>
      </c>
      <c r="ED5" s="41" t="str">
        <f>IFERROR(__xludf.DUMMYFUNCTION("""COMPUTED_VALUE"""),"")</f>
        <v/>
      </c>
      <c r="EE5" s="41" t="str">
        <f>IFERROR(__xludf.DUMMYFUNCTION("""COMPUTED_VALUE"""),"")</f>
        <v/>
      </c>
      <c r="EF5" s="41" t="str">
        <f>IFERROR(__xludf.DUMMYFUNCTION("""COMPUTED_VALUE"""),"")</f>
        <v/>
      </c>
      <c r="EG5" s="41" t="str">
        <f>IFERROR(__xludf.DUMMYFUNCTION("""COMPUTED_VALUE"""),"")</f>
        <v/>
      </c>
      <c r="EH5" s="41" t="str">
        <f>IFERROR(__xludf.DUMMYFUNCTION("""COMPUTED_VALUE"""),"")</f>
        <v/>
      </c>
      <c r="EI5" s="41" t="str">
        <f>IFERROR(__xludf.DUMMYFUNCTION("""COMPUTED_VALUE"""),"")</f>
        <v/>
      </c>
      <c r="EJ5" s="41" t="str">
        <f>IFERROR(__xludf.DUMMYFUNCTION("""COMPUTED_VALUE"""),"")</f>
        <v/>
      </c>
      <c r="EK5" s="41" t="str">
        <f>IFERROR(__xludf.DUMMYFUNCTION("""COMPUTED_VALUE"""),"")</f>
        <v/>
      </c>
      <c r="EL5" s="41" t="str">
        <f>IFERROR(__xludf.DUMMYFUNCTION("""COMPUTED_VALUE"""),"")</f>
        <v/>
      </c>
      <c r="EM5" s="41" t="str">
        <f>IFERROR(__xludf.DUMMYFUNCTION("""COMPUTED_VALUE"""),"")</f>
        <v/>
      </c>
      <c r="EN5" s="41" t="str">
        <f>IFERROR(__xludf.DUMMYFUNCTION("""COMPUTED_VALUE"""),"")</f>
        <v/>
      </c>
      <c r="EO5" s="41" t="str">
        <f>IFERROR(__xludf.DUMMYFUNCTION("""COMPUTED_VALUE"""),"")</f>
        <v/>
      </c>
      <c r="EP5" s="41" t="str">
        <f>IFERROR(__xludf.DUMMYFUNCTION("""COMPUTED_VALUE"""),"")</f>
        <v/>
      </c>
      <c r="EQ5" s="41" t="str">
        <f>IFERROR(__xludf.DUMMYFUNCTION("""COMPUTED_VALUE"""),"")</f>
        <v/>
      </c>
      <c r="ER5" s="41" t="str">
        <f>IFERROR(__xludf.DUMMYFUNCTION("""COMPUTED_VALUE"""),"")</f>
        <v/>
      </c>
      <c r="ES5" s="41" t="str">
        <f>IFERROR(__xludf.DUMMYFUNCTION("""COMPUTED_VALUE"""),"")</f>
        <v/>
      </c>
      <c r="ET5" s="41" t="str">
        <f>IFERROR(__xludf.DUMMYFUNCTION("""COMPUTED_VALUE"""),"")</f>
        <v/>
      </c>
      <c r="EU5" s="41" t="str">
        <f>IFERROR(__xludf.DUMMYFUNCTION("""COMPUTED_VALUE"""),"")</f>
        <v/>
      </c>
      <c r="EV5" s="41" t="str">
        <f>IFERROR(__xludf.DUMMYFUNCTION("""COMPUTED_VALUE"""),"")</f>
        <v/>
      </c>
      <c r="EW5" s="41" t="str">
        <f>IFERROR(__xludf.DUMMYFUNCTION("""COMPUTED_VALUE"""),"")</f>
        <v/>
      </c>
      <c r="EX5" s="41" t="str">
        <f>IFERROR(__xludf.DUMMYFUNCTION("""COMPUTED_VALUE"""),"")</f>
        <v/>
      </c>
    </row>
    <row r="6" ht="15.75" customHeight="1">
      <c r="A6" s="42"/>
      <c r="B6" s="43" t="s">
        <v>16</v>
      </c>
      <c r="C6" s="44" t="s">
        <v>17</v>
      </c>
      <c r="D6" s="45">
        <v>100.0</v>
      </c>
      <c r="E6" s="46">
        <v>100.0</v>
      </c>
      <c r="F6" s="44" t="s">
        <v>18</v>
      </c>
      <c r="G6" s="44"/>
      <c r="H6" s="44"/>
      <c r="I6" s="44"/>
      <c r="J6" s="46">
        <v>10.0</v>
      </c>
      <c r="K6" s="44"/>
      <c r="L6" s="44"/>
      <c r="M6" s="44"/>
      <c r="N6" s="47">
        <v>44012.0</v>
      </c>
      <c r="O6" s="44"/>
      <c r="P6" s="44"/>
      <c r="Q6" s="44"/>
      <c r="R6" s="44"/>
      <c r="S6" s="44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</row>
    <row r="7" ht="15.75" customHeight="1">
      <c r="A7" s="11"/>
      <c r="B7" s="50" t="s">
        <v>19</v>
      </c>
      <c r="C7" s="51" t="s">
        <v>20</v>
      </c>
      <c r="D7" s="52">
        <v>150.0</v>
      </c>
      <c r="E7" s="52">
        <v>150.0</v>
      </c>
      <c r="F7" s="44" t="s">
        <v>18</v>
      </c>
      <c r="G7" s="44"/>
      <c r="H7" s="44"/>
      <c r="I7" s="44"/>
      <c r="J7" s="50">
        <v>15.0</v>
      </c>
      <c r="K7" s="44"/>
      <c r="L7" s="44"/>
      <c r="M7" s="44"/>
      <c r="N7" s="47">
        <v>44012.0</v>
      </c>
      <c r="O7" s="44"/>
      <c r="P7" s="44"/>
      <c r="Q7" s="44"/>
      <c r="R7" s="44"/>
      <c r="S7" s="44"/>
      <c r="T7" s="48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</row>
    <row r="8" ht="15.75" customHeight="1">
      <c r="A8" s="11"/>
      <c r="B8" s="50" t="s">
        <v>21</v>
      </c>
      <c r="C8" s="50" t="s">
        <v>17</v>
      </c>
      <c r="D8" s="50">
        <v>200.0</v>
      </c>
      <c r="E8" s="50">
        <v>200.0</v>
      </c>
      <c r="F8" s="44" t="s">
        <v>18</v>
      </c>
      <c r="G8" s="44"/>
      <c r="H8" s="44"/>
      <c r="I8" s="44"/>
      <c r="J8" s="50">
        <v>20.0</v>
      </c>
      <c r="K8" s="23"/>
      <c r="L8" s="23"/>
      <c r="M8" s="23"/>
      <c r="N8" s="47">
        <v>44012.0</v>
      </c>
      <c r="O8" s="23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8" width="14.43"/>
    <col customWidth="1" min="19" max="19" width="24.86"/>
    <col customWidth="1" min="20" max="20" width="14.43"/>
    <col customWidth="1" min="21" max="21" width="24.86"/>
    <col customWidth="1" min="2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#N/A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23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IFERROR(__xludf.DUMMYFUNCTION("""COMPUTED_VALUE"""),"CopyCalculatedPreferenceToolbar")</f>
        <v>CopyCalculatedPreferenceToolbar</v>
      </c>
      <c r="CX4" s="36" t="str">
        <f>IFERROR(__xludf.DUMMYFUNCTION("""COMPUTED_VALUE"""),"CloseOrder")</f>
        <v>CloseOrder</v>
      </c>
      <c r="CY4" s="36" t="str">
        <f>IFERROR(__xludf.DUMMYFUNCTION("""COMPUTED_VALUE"""),"DisableChecksideForAsset")</f>
        <v>DisableChecksideForAsset</v>
      </c>
      <c r="CZ4" s="36" t="str">
        <f>IFERROR(__xludf.DUMMYFUNCTION("""COMPUTED_VALUE"""),"DisableChecksideForAccount")</f>
        <v>DisableChecksideForAccount</v>
      </c>
      <c r="DA4" s="36" t="str">
        <f>IFERROR(__xludf.DUMMYFUNCTION("""COMPUTED_VALUE"""),"DisableChecksideForCounterParty")</f>
        <v>DisableChecksideForCounterParty</v>
      </c>
      <c r="DB4" s="36" t="str">
        <f>IFERROR(__xludf.DUMMYFUNCTION("""COMPUTED_VALUE"""),"DisableCheckside")</f>
        <v>DisableCheckside</v>
      </c>
      <c r="DC4" s="36" t="str">
        <f>IFERROR(__xludf.DUMMYFUNCTION("""COMPUTED_VALUE"""),"ApplyMasterFundFilter")</f>
        <v>ApplyMasterFundFilter</v>
      </c>
      <c r="DD4" s="36" t="str">
        <f>IFERROR(__xludf.DUMMYFUNCTION("""COMPUTED_VALUE"""),"ShowMasterFundOnTT")</f>
        <v>ShowMasterFundOnTT</v>
      </c>
      <c r="DE4" s="36" t="str">
        <f>IFERROR(__xludf.DUMMYFUNCTION("""COMPUTED_VALUE"""),"ShowMasterFundAsClient")</f>
        <v>ShowMasterFundAsClient</v>
      </c>
      <c r="DF4" s="36" t="str">
        <f>IFERROR(__xludf.DUMMYFUNCTION("""COMPUTED_VALUE"""),"SetBrokerAccountMapping")</f>
        <v>SetBrokerAccountMapping</v>
      </c>
      <c r="DG4" s="36" t="str">
        <f>IFERROR(__xludf.DUMMYFUNCTION("""COMPUTED_VALUE"""),"EditUnallocatedGridWPF")</f>
        <v>EditUnallocatedGridWPF</v>
      </c>
      <c r="DH4" s="36" t="str">
        <f>IFERROR(__xludf.DUMMYFUNCTION("""COMPUTED_VALUE"""),"EditAllocatedGridWPF")</f>
        <v>EditAllocatedGridWPF</v>
      </c>
      <c r="DI4" s="36" t="str">
        <f>IFERROR(__xludf.DUMMYFUNCTION("""COMPUTED_VALUE"""),"EditAllocatedGridTaxlot")</f>
        <v>EditAllocatedGridTaxlot</v>
      </c>
      <c r="DJ4" s="36" t="str">
        <f>IFERROR(__xludf.DUMMYFUNCTION("""COMPUTED_VALUE"""),"ExpandCollapseAllocatedGrid")</f>
        <v>ExpandCollapseAllocatedGrid</v>
      </c>
      <c r="DK4" s="36" t="str">
        <f>IFERROR(__xludf.DUMMYFUNCTION("""COMPUTED_VALUE"""),"ExpandCollapseUnallocatedGrid")</f>
        <v>ExpandCollapseUnallocatedGrid</v>
      </c>
      <c r="DL4" s="36" t="str">
        <f>IFERROR(__xludf.DUMMYFUNCTION("""COMPUTED_VALUE"""),"")</f>
        <v/>
      </c>
      <c r="DM4" s="36" t="str">
        <f>IFERROR(__xludf.DUMMYFUNCTION("""COMPUTED_VALUE"""),"")</f>
        <v/>
      </c>
      <c r="DN4" s="36" t="str">
        <f>IFERROR(__xludf.DUMMYFUNCTION("""COMPUTED_VALUE"""),"")</f>
        <v/>
      </c>
      <c r="DO4" s="36" t="str">
        <f>IFERROR(__xludf.DUMMYFUNCTION("""COMPUTED_VALUE"""),"")</f>
        <v/>
      </c>
      <c r="DP4" s="36" t="str">
        <f>IFERROR(__xludf.DUMMYFUNCTION("""COMPUTED_VALUE"""),"")</f>
        <v/>
      </c>
      <c r="DQ4" s="36" t="str">
        <f>IFERROR(__xludf.DUMMYFUNCTION("""COMPUTED_VALUE"""),"")</f>
        <v/>
      </c>
      <c r="DR4" s="36" t="str">
        <f>IFERROR(__xludf.DUMMYFUNCTION("""COMPUTED_VALUE"""),"")</f>
        <v/>
      </c>
      <c r="DS4" s="36" t="str">
        <f>IFERROR(__xludf.DUMMYFUNCTION("""COMPUTED_VALUE"""),"")</f>
        <v/>
      </c>
      <c r="DT4" s="36" t="str">
        <f>IFERROR(__xludf.DUMMYFUNCTION("""COMPUTED_VALUE"""),"")</f>
        <v/>
      </c>
      <c r="DU4" s="36" t="str">
        <f>IFERROR(__xludf.DUMMYFUNCTION("""COMPUTED_VALUE"""),"")</f>
        <v/>
      </c>
      <c r="DV4" s="36" t="str">
        <f>IFERROR(__xludf.DUMMYFUNCTION("""COMPUTED_VALUE"""),"")</f>
        <v/>
      </c>
      <c r="DW4" s="36" t="str">
        <f>IFERROR(__xludf.DUMMYFUNCTION("""COMPUTED_VALUE"""),"")</f>
        <v/>
      </c>
      <c r="DX4" s="36" t="str">
        <f>IFERROR(__xludf.DUMMYFUNCTION("""COMPUTED_VALUE"""),"")</f>
        <v/>
      </c>
      <c r="DY4" s="36" t="str">
        <f>IFERROR(__xludf.DUMMYFUNCTION("""COMPUTED_VALUE"""),"")</f>
        <v/>
      </c>
      <c r="DZ4" s="36" t="str">
        <f>IFERROR(__xludf.DUMMYFUNCTION("""COMPUTED_VALUE"""),"")</f>
        <v/>
      </c>
      <c r="EA4" s="36" t="str">
        <f>IFERROR(__xludf.DUMMYFUNCTION("""COMPUTED_VALUE"""),"")</f>
        <v/>
      </c>
      <c r="EB4" s="36" t="str">
        <f>IFERROR(__xludf.DUMMYFUNCTION("""COMPUTED_VALUE"""),"")</f>
        <v/>
      </c>
      <c r="EC4" s="36" t="str">
        <f>IFERROR(__xludf.DUMMYFUNCTION("""COMPUTED_VALUE"""),"")</f>
        <v/>
      </c>
      <c r="ED4" s="36" t="str">
        <f>IFERROR(__xludf.DUMMYFUNCTION("""COMPUTED_VALUE"""),"")</f>
        <v/>
      </c>
      <c r="EE4" s="36" t="str">
        <f>IFERROR(__xludf.DUMMYFUNCTION("""COMPUTED_VALUE"""),"")</f>
        <v/>
      </c>
      <c r="EF4" s="36" t="str">
        <f>IFERROR(__xludf.DUMMYFUNCTION("""COMPUTED_VALUE"""),"")</f>
        <v/>
      </c>
      <c r="EG4" s="36" t="str">
        <f>IFERROR(__xludf.DUMMYFUNCTION("""COMPUTED_VALUE"""),"")</f>
        <v/>
      </c>
      <c r="EH4" s="36" t="str">
        <f>IFERROR(__xludf.DUMMYFUNCTION("""COMPUTED_VALUE"""),"")</f>
        <v/>
      </c>
      <c r="EI4" s="36" t="str">
        <f>IFERROR(__xludf.DUMMYFUNCTION("""COMPUTED_VALUE"""),"")</f>
        <v/>
      </c>
      <c r="EJ4" s="36" t="str">
        <f>IFERROR(__xludf.DUMMYFUNCTION("""COMPUTED_VALUE"""),"")</f>
        <v/>
      </c>
      <c r="EK4" s="36" t="str">
        <f>IFERROR(__xludf.DUMMYFUNCTION("""COMPUTED_VALUE"""),"")</f>
        <v/>
      </c>
      <c r="EL4" s="36" t="str">
        <f>IFERROR(__xludf.DUMMYFUNCTION("""COMPUTED_VALUE"""),"")</f>
        <v/>
      </c>
      <c r="EM4" s="36" t="str">
        <f>IFERROR(__xludf.DUMMYFUNCTION("""COMPUTED_VALUE"""),"")</f>
        <v/>
      </c>
      <c r="EN4" s="36" t="str">
        <f>IFERROR(__xludf.DUMMYFUNCTION("""COMPUTED_VALUE"""),"")</f>
        <v/>
      </c>
      <c r="EO4" s="36" t="str">
        <f>IFERROR(__xludf.DUMMYFUNCTION("""COMPUTED_VALUE"""),"")</f>
        <v/>
      </c>
      <c r="EP4" s="36" t="str">
        <f>IFERROR(__xludf.DUMMYFUNCTION("""COMPUTED_VALUE"""),"")</f>
        <v/>
      </c>
      <c r="EQ4" s="36" t="str">
        <f>IFERROR(__xludf.DUMMYFUNCTION("""COMPUTED_VALUE"""),"")</f>
        <v/>
      </c>
      <c r="ER4" s="36" t="str">
        <f>IFERROR(__xludf.DUMMYFUNCTION("""COMPUTED_VALUE"""),"")</f>
        <v/>
      </c>
      <c r="ES4" s="36" t="str">
        <f>IFERROR(__xludf.DUMMYFUNCTION("""COMPUTED_VALUE"""),"")</f>
        <v/>
      </c>
      <c r="ET4" s="36" t="str">
        <f>IFERROR(__xludf.DUMMYFUNCTION("""COMPUTED_VALUE"""),"")</f>
        <v/>
      </c>
      <c r="EU4" s="36" t="str">
        <f>IFERROR(__xludf.DUMMYFUNCTION("""COMPUTED_VALUE"""),"")</f>
        <v/>
      </c>
      <c r="EV4" s="36" t="str">
        <f>IFERROR(__xludf.DUMMYFUNCTION("""COMPUTED_VALUE"""),"")</f>
        <v/>
      </c>
      <c r="EW4" s="36" t="str">
        <f>IFERROR(__xludf.DUMMYFUNCTION("""COMPUTED_VALUE"""),"")</f>
        <v/>
      </c>
      <c r="EX4" s="36" t="str">
        <f>IFERROR(__xludf.DUMMYFUNCTION("""COMPUTED_VALUE"""),"")</f>
        <v/>
      </c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IFERROR(__xludf.DUMMYFUNCTION("""COMPUTED_VALUE"""),"ValidateCheckSide")</f>
        <v>ValidateCheckSide</v>
      </c>
      <c r="C5" s="55" t="str">
        <f>IFERROR(__xludf.DUMMYFUNCTION("""COMPUTED_VALUE"""),"DisabledChecksideAssets")</f>
        <v>DisabledChecksideAssets</v>
      </c>
      <c r="D5" s="55" t="str">
        <f>IFERROR(__xludf.DUMMYFUNCTION("""COMPUTED_VALUE"""),"PrecisionValue")</f>
        <v>PrecisionValue</v>
      </c>
      <c r="E5" s="55" t="str">
        <f>IFERROR(__xludf.DUMMYFUNCTION("""COMPUTED_VALUE"""),"UseCommissionInNetAmount")</f>
        <v>UseCommissionInNetAmount</v>
      </c>
      <c r="F5" s="56" t="str">
        <f>IFERROR(__xludf.DUMMYFUNCTION("""COMPUTED_VALUE"""),"SaveWithoutState")</f>
        <v>SaveWithoutState</v>
      </c>
      <c r="G5" s="55" t="str">
        <f>IFERROR(__xludf.DUMMYFUNCTION("""COMPUTED_VALUE"""),"SaveWithState")</f>
        <v>SaveWithState</v>
      </c>
      <c r="H5" s="55" t="str">
        <f>IFERROR(__xludf.DUMMYFUNCTION("""COMPUTED_VALUE"""),"ClearQuantities")</f>
        <v>ClearQuantities</v>
      </c>
      <c r="I5" s="55" t="str">
        <f>IFERROR(__xludf.DUMMYFUNCTION("""COMPUTED_VALUE"""),"ReapplyAllocation")</f>
        <v>ReapplyAllocation</v>
      </c>
      <c r="J5" s="55" t="str">
        <f>IFERROR(__xludf.DUMMYFUNCTION("""COMPUTED_VALUE"""),"DefaultAllocation")</f>
        <v>DefaultAllocation</v>
      </c>
      <c r="K5" s="55" t="str">
        <f>IFERROR(__xludf.DUMMYFUNCTION("""COMPUTED_VALUE"""),"IsCustomPreference")</f>
        <v>IsCustomPreference</v>
      </c>
      <c r="L5" s="55" t="str">
        <f>IFERROR(__xludf.DUMMYFUNCTION("""COMPUTED_VALUE"""),"AllocationMethod")</f>
        <v>AllocationMethod</v>
      </c>
      <c r="M5" s="55" t="str">
        <f>IFERROR(__xludf.DUMMYFUNCTION("""COMPUTED_VALUE"""),"RemainderAllocationTo")</f>
        <v>RemainderAllocationTo</v>
      </c>
      <c r="N5" s="55" t="str">
        <f>IFERROR(__xludf.DUMMYFUNCTION("""COMPUTED_VALUE"""),"Target%AsOf")</f>
        <v>Target%AsOf</v>
      </c>
      <c r="O5" s="55" t="str">
        <f>IFERROR(__xludf.DUMMYFUNCTION("""COMPUTED_VALUE"""),"ProrataAccounts")</f>
        <v>ProrataAccounts</v>
      </c>
      <c r="P5" s="55" t="str">
        <f>IFERROR(__xludf.DUMMYFUNCTION("""COMPUTED_VALUE"""),"DateUptoDays")</f>
        <v>DateUptoDays</v>
      </c>
      <c r="Q5" s="55" t="str">
        <f>IFERROR(__xludf.DUMMYFUNCTION("""COMPUTED_VALUE"""),"MatchClosing")</f>
        <v>MatchClosing</v>
      </c>
      <c r="R5" s="55" t="str">
        <f>IFERROR(__xludf.DUMMYFUNCTION("""COMPUTED_VALUE"""),"CommissionAlertOnBrokerChange")</f>
        <v>CommissionAlertOnBrokerChange</v>
      </c>
      <c r="S5" s="55" t="str">
        <f>IFERROR(__xludf.DUMMYFUNCTION("""COMPUTED_VALUE"""),"RecalculateCommissionOnBrokerChange")</f>
        <v>RecalculateCommissionOnBrokerChange</v>
      </c>
      <c r="T5" s="41" t="str">
        <f>IFERROR(__xludf.DUMMYFUNCTION("""COMPUTED_VALUE"""),"CommissionAlertOnAllocation")</f>
        <v>CommissionAlertOnAllocation</v>
      </c>
      <c r="U5" s="41" t="str">
        <f>IFERROR(__xludf.DUMMYFUNCTION("""COMPUTED_VALUE"""),"RecalculateCommissionOnAllocation")</f>
        <v>RecalculateCommissionOnAllocation</v>
      </c>
      <c r="V5" s="41" t="str">
        <f>IFERROR(__xludf.DUMMYFUNCTION("""COMPUTED_VALUE"""),"EnableMasterFund")</f>
        <v>EnableMasterFund</v>
      </c>
      <c r="W5" s="41" t="str">
        <f>IFERROR(__xludf.DUMMYFUNCTION("""COMPUTED_VALUE"""),"1MasterFund/1Symbol")</f>
        <v>1MasterFund/1Symbol</v>
      </c>
      <c r="X5" s="41" t="str">
        <f>IFERROR(__xludf.DUMMYFUNCTION("""COMPUTED_VALUE"""),"ProrataSchemeName")</f>
        <v>ProrataSchemeName</v>
      </c>
      <c r="Y5" s="41" t="str">
        <f>IFERROR(__xludf.DUMMYFUNCTION("""COMPUTED_VALUE"""),"ProrataAllocationSchemeBasis")</f>
        <v>ProrataAllocationSchemeBasis</v>
      </c>
      <c r="Z5" s="41" t="str">
        <f>IFERROR(__xludf.DUMMYFUNCTION("""COMPUTED_VALUE"""),"ShowAdvancedProrataUI")</f>
        <v>ShowAdvancedProrataUI</v>
      </c>
      <c r="AA5" s="41" t="str">
        <f>IFERROR(__xludf.DUMMYFUNCTION("""COMPUTED_VALUE"""),"")</f>
        <v/>
      </c>
      <c r="AB5" s="41" t="str">
        <f>IFERROR(__xludf.DUMMYFUNCTION("""COMPUTED_VALUE"""),"")</f>
        <v/>
      </c>
      <c r="AC5" s="41" t="str">
        <f>IFERROR(__xludf.DUMMYFUNCTION("""COMPUTED_VALUE"""),"")</f>
        <v/>
      </c>
      <c r="AD5" s="41" t="str">
        <f>IFERROR(__xludf.DUMMYFUNCTION("""COMPUTED_VALUE"""),"")</f>
        <v/>
      </c>
      <c r="AE5" s="41" t="str">
        <f>IFERROR(__xludf.DUMMYFUNCTION("""COMPUTED_VALUE"""),"")</f>
        <v/>
      </c>
      <c r="AF5" s="41" t="str">
        <f>IFERROR(__xludf.DUMMYFUNCTION("""COMPUTED_VALUE"""),"")</f>
        <v/>
      </c>
      <c r="AG5" s="41" t="str">
        <f>IFERROR(__xludf.DUMMYFUNCTION("""COMPUTED_VALUE"""),"")</f>
        <v/>
      </c>
      <c r="AH5" s="41" t="str">
        <f>IFERROR(__xludf.DUMMYFUNCTION("""COMPUTED_VALUE"""),"")</f>
        <v/>
      </c>
      <c r="AI5" s="41" t="str">
        <f>IFERROR(__xludf.DUMMYFUNCTION("""COMPUTED_VALUE"""),"")</f>
        <v/>
      </c>
      <c r="AJ5" s="41" t="str">
        <f>IFERROR(__xludf.DUMMYFUNCTION("""COMPUTED_VALUE"""),"")</f>
        <v/>
      </c>
      <c r="AK5" s="41" t="str">
        <f>IFERROR(__xludf.DUMMYFUNCTION("""COMPUTED_VALUE"""),"")</f>
        <v/>
      </c>
      <c r="AL5" s="41" t="str">
        <f>IFERROR(__xludf.DUMMYFUNCTION("""COMPUTED_VALUE"""),"")</f>
        <v/>
      </c>
      <c r="AM5" s="41" t="str">
        <f>IFERROR(__xludf.DUMMYFUNCTION("""COMPUTED_VALUE"""),"")</f>
        <v/>
      </c>
      <c r="AN5" s="41" t="str">
        <f>IFERROR(__xludf.DUMMYFUNCTION("""COMPUTED_VALUE"""),"")</f>
        <v/>
      </c>
      <c r="AO5" s="41" t="str">
        <f>IFERROR(__xludf.DUMMYFUNCTION("""COMPUTED_VALUE"""),"")</f>
        <v/>
      </c>
      <c r="AP5" s="41" t="str">
        <f>IFERROR(__xludf.DUMMYFUNCTION("""COMPUTED_VALUE"""),"")</f>
        <v/>
      </c>
      <c r="AQ5" s="41" t="str">
        <f>IFERROR(__xludf.DUMMYFUNCTION("""COMPUTED_VALUE"""),"")</f>
        <v/>
      </c>
      <c r="AR5" s="41" t="str">
        <f>IFERROR(__xludf.DUMMYFUNCTION("""COMPUTED_VALUE"""),"")</f>
        <v/>
      </c>
      <c r="AS5" s="41" t="str">
        <f>IFERROR(__xludf.DUMMYFUNCTION("""COMPUTED_VALUE"""),"")</f>
        <v/>
      </c>
      <c r="AT5" s="41" t="str">
        <f>IFERROR(__xludf.DUMMYFUNCTION("""COMPUTED_VALUE"""),"")</f>
        <v/>
      </c>
      <c r="AU5" s="41" t="str">
        <f>IFERROR(__xludf.DUMMYFUNCTION("""COMPUTED_VALUE"""),"")</f>
        <v/>
      </c>
      <c r="AV5" s="41" t="str">
        <f>IFERROR(__xludf.DUMMYFUNCTION("""COMPUTED_VALUE"""),"")</f>
        <v/>
      </c>
      <c r="AW5" s="41" t="str">
        <f>IFERROR(__xludf.DUMMYFUNCTION("""COMPUTED_VALUE"""),"")</f>
        <v/>
      </c>
      <c r="AX5" s="41" t="str">
        <f>IFERROR(__xludf.DUMMYFUNCTION("""COMPUTED_VALUE"""),"")</f>
        <v/>
      </c>
      <c r="AY5" s="41" t="str">
        <f>IFERROR(__xludf.DUMMYFUNCTION("""COMPUTED_VALUE"""),"")</f>
        <v/>
      </c>
      <c r="AZ5" s="41" t="str">
        <f>IFERROR(__xludf.DUMMYFUNCTION("""COMPUTED_VALUE"""),"")</f>
        <v/>
      </c>
      <c r="BA5" s="41" t="str">
        <f>IFERROR(__xludf.DUMMYFUNCTION("""COMPUTED_VALUE"""),"")</f>
        <v/>
      </c>
      <c r="BB5" s="41" t="str">
        <f>IFERROR(__xludf.DUMMYFUNCTION("""COMPUTED_VALUE"""),"")</f>
        <v/>
      </c>
      <c r="BC5" s="41" t="str">
        <f>IFERROR(__xludf.DUMMYFUNCTION("""COMPUTED_VALUE"""),"")</f>
        <v/>
      </c>
      <c r="BD5" s="41" t="str">
        <f>IFERROR(__xludf.DUMMYFUNCTION("""COMPUTED_VALUE"""),"")</f>
        <v/>
      </c>
      <c r="BE5" s="41" t="str">
        <f>IFERROR(__xludf.DUMMYFUNCTION("""COMPUTED_VALUE"""),"")</f>
        <v/>
      </c>
      <c r="BF5" s="41" t="str">
        <f>IFERROR(__xludf.DUMMYFUNCTION("""COMPUTED_VALUE"""),"")</f>
        <v/>
      </c>
      <c r="BG5" s="41" t="str">
        <f>IFERROR(__xludf.DUMMYFUNCTION("""COMPUTED_VALUE"""),"")</f>
        <v/>
      </c>
      <c r="BH5" s="41" t="str">
        <f>IFERROR(__xludf.DUMMYFUNCTION("""COMPUTED_VALUE"""),"")</f>
        <v/>
      </c>
      <c r="BI5" s="41" t="str">
        <f>IFERROR(__xludf.DUMMYFUNCTION("""COMPUTED_VALUE"""),"")</f>
        <v/>
      </c>
      <c r="BJ5" s="41" t="str">
        <f>IFERROR(__xludf.DUMMYFUNCTION("""COMPUTED_VALUE"""),"")</f>
        <v/>
      </c>
      <c r="BK5" s="41" t="str">
        <f>IFERROR(__xludf.DUMMYFUNCTION("""COMPUTED_VALUE"""),"")</f>
        <v/>
      </c>
      <c r="BL5" s="41" t="str">
        <f>IFERROR(__xludf.DUMMYFUNCTION("""COMPUTED_VALUE"""),"")</f>
        <v/>
      </c>
      <c r="BM5" s="41" t="str">
        <f>IFERROR(__xludf.DUMMYFUNCTION("""COMPUTED_VALUE"""),"")</f>
        <v/>
      </c>
      <c r="BN5" s="41" t="str">
        <f>IFERROR(__xludf.DUMMYFUNCTION("""COMPUTED_VALUE"""),"")</f>
        <v/>
      </c>
      <c r="BO5" s="41" t="str">
        <f>IFERROR(__xludf.DUMMYFUNCTION("""COMPUTED_VALUE"""),"")</f>
        <v/>
      </c>
      <c r="BP5" s="41" t="str">
        <f>IFERROR(__xludf.DUMMYFUNCTION("""COMPUTED_VALUE"""),"")</f>
        <v/>
      </c>
      <c r="BQ5" s="41" t="str">
        <f>IFERROR(__xludf.DUMMYFUNCTION("""COMPUTED_VALUE"""),"")</f>
        <v/>
      </c>
      <c r="BR5" s="41" t="str">
        <f>IFERROR(__xludf.DUMMYFUNCTION("""COMPUTED_VALUE"""),"")</f>
        <v/>
      </c>
      <c r="BS5" s="41" t="str">
        <f>IFERROR(__xludf.DUMMYFUNCTION("""COMPUTED_VALUE"""),"")</f>
        <v/>
      </c>
      <c r="BT5" s="41" t="str">
        <f>IFERROR(__xludf.DUMMYFUNCTION("""COMPUTED_VALUE"""),"")</f>
        <v/>
      </c>
      <c r="BU5" s="41" t="str">
        <f>IFERROR(__xludf.DUMMYFUNCTION("""COMPUTED_VALUE"""),"")</f>
        <v/>
      </c>
      <c r="BV5" s="41" t="str">
        <f>IFERROR(__xludf.DUMMYFUNCTION("""COMPUTED_VALUE"""),"")</f>
        <v/>
      </c>
      <c r="BW5" s="41" t="str">
        <f>IFERROR(__xludf.DUMMYFUNCTION("""COMPUTED_VALUE"""),"")</f>
        <v/>
      </c>
      <c r="BX5" s="41" t="str">
        <f>IFERROR(__xludf.DUMMYFUNCTION("""COMPUTED_VALUE"""),"")</f>
        <v/>
      </c>
      <c r="BY5" s="41" t="str">
        <f>IFERROR(__xludf.DUMMYFUNCTION("""COMPUTED_VALUE"""),"")</f>
        <v/>
      </c>
      <c r="BZ5" s="41" t="str">
        <f>IFERROR(__xludf.DUMMYFUNCTION("""COMPUTED_VALUE"""),"")</f>
        <v/>
      </c>
      <c r="CA5" s="41" t="str">
        <f>IFERROR(__xludf.DUMMYFUNCTION("""COMPUTED_VALUE"""),"")</f>
        <v/>
      </c>
      <c r="CB5" s="41" t="str">
        <f>IFERROR(__xludf.DUMMYFUNCTION("""COMPUTED_VALUE"""),"")</f>
        <v/>
      </c>
      <c r="CC5" s="41" t="str">
        <f>IFERROR(__xludf.DUMMYFUNCTION("""COMPUTED_VALUE"""),"")</f>
        <v/>
      </c>
      <c r="CD5" s="41" t="str">
        <f>IFERROR(__xludf.DUMMYFUNCTION("""COMPUTED_VALUE"""),"")</f>
        <v/>
      </c>
      <c r="CE5" s="41" t="str">
        <f>IFERROR(__xludf.DUMMYFUNCTION("""COMPUTED_VALUE"""),"")</f>
        <v/>
      </c>
      <c r="CF5" s="41" t="str">
        <f>IFERROR(__xludf.DUMMYFUNCTION("""COMPUTED_VALUE"""),"")</f>
        <v/>
      </c>
      <c r="CG5" s="41" t="str">
        <f>IFERROR(__xludf.DUMMYFUNCTION("""COMPUTED_VALUE"""),"")</f>
        <v/>
      </c>
      <c r="CH5" s="41" t="str">
        <f>IFERROR(__xludf.DUMMYFUNCTION("""COMPUTED_VALUE"""),"")</f>
        <v/>
      </c>
      <c r="CI5" s="41" t="str">
        <f>IFERROR(__xludf.DUMMYFUNCTION("""COMPUTED_VALUE"""),"")</f>
        <v/>
      </c>
      <c r="CJ5" s="41" t="str">
        <f>IFERROR(__xludf.DUMMYFUNCTION("""COMPUTED_VALUE"""),"")</f>
        <v/>
      </c>
      <c r="CK5" s="41" t="str">
        <f>IFERROR(__xludf.DUMMYFUNCTION("""COMPUTED_VALUE"""),"")</f>
        <v/>
      </c>
      <c r="CL5" s="41" t="str">
        <f>IFERROR(__xludf.DUMMYFUNCTION("""COMPUTED_VALUE"""),"")</f>
        <v/>
      </c>
      <c r="CM5" s="41" t="str">
        <f>IFERROR(__xludf.DUMMYFUNCTION("""COMPUTED_VALUE"""),"")</f>
        <v/>
      </c>
      <c r="CN5" s="41" t="str">
        <f>IFERROR(__xludf.DUMMYFUNCTION("""COMPUTED_VALUE"""),"")</f>
        <v/>
      </c>
      <c r="CO5" s="41" t="str">
        <f>IFERROR(__xludf.DUMMYFUNCTION("""COMPUTED_VALUE"""),"")</f>
        <v/>
      </c>
      <c r="CP5" s="41" t="str">
        <f>IFERROR(__xludf.DUMMYFUNCTION("""COMPUTED_VALUE"""),"")</f>
        <v/>
      </c>
      <c r="CQ5" s="41" t="str">
        <f>IFERROR(__xludf.DUMMYFUNCTION("""COMPUTED_VALUE"""),"")</f>
        <v/>
      </c>
      <c r="CR5" s="41" t="str">
        <f>IFERROR(__xludf.DUMMYFUNCTION("""COMPUTED_VALUE"""),"")</f>
        <v/>
      </c>
      <c r="CS5" s="41" t="str">
        <f>IFERROR(__xludf.DUMMYFUNCTION("""COMPUTED_VALUE"""),"")</f>
        <v/>
      </c>
      <c r="CT5" s="41" t="str">
        <f>IFERROR(__xludf.DUMMYFUNCTION("""COMPUTED_VALUE"""),"")</f>
        <v/>
      </c>
      <c r="CU5" s="41" t="str">
        <f>IFERROR(__xludf.DUMMYFUNCTION("""COMPUTED_VALUE"""),"")</f>
        <v/>
      </c>
      <c r="CV5" s="41" t="str">
        <f>IFERROR(__xludf.DUMMYFUNCTION("""COMPUTED_VALUE"""),"")</f>
        <v/>
      </c>
      <c r="CW5" s="41" t="str">
        <f>IFERROR(__xludf.DUMMYFUNCTION("""COMPUTED_VALUE"""),"")</f>
        <v/>
      </c>
      <c r="CX5" s="41" t="str">
        <f>IFERROR(__xludf.DUMMYFUNCTION("""COMPUTED_VALUE"""),"")</f>
        <v/>
      </c>
      <c r="CY5" s="41" t="str">
        <f>IFERROR(__xludf.DUMMYFUNCTION("""COMPUTED_VALUE"""),"")</f>
        <v/>
      </c>
      <c r="CZ5" s="41" t="str">
        <f>IFERROR(__xludf.DUMMYFUNCTION("""COMPUTED_VALUE"""),"")</f>
        <v/>
      </c>
      <c r="DA5" s="41" t="str">
        <f>IFERROR(__xludf.DUMMYFUNCTION("""COMPUTED_VALUE"""),"")</f>
        <v/>
      </c>
      <c r="DB5" s="41" t="str">
        <f>IFERROR(__xludf.DUMMYFUNCTION("""COMPUTED_VALUE"""),"")</f>
        <v/>
      </c>
      <c r="DC5" s="41" t="str">
        <f>IFERROR(__xludf.DUMMYFUNCTION("""COMPUTED_VALUE"""),"")</f>
        <v/>
      </c>
      <c r="DD5" s="41" t="str">
        <f>IFERROR(__xludf.DUMMYFUNCTION("""COMPUTED_VALUE"""),"")</f>
        <v/>
      </c>
      <c r="DE5" s="41" t="str">
        <f>IFERROR(__xludf.DUMMYFUNCTION("""COMPUTED_VALUE"""),"")</f>
        <v/>
      </c>
      <c r="DF5" s="41" t="str">
        <f>IFERROR(__xludf.DUMMYFUNCTION("""COMPUTED_VALUE"""),"")</f>
        <v/>
      </c>
      <c r="DG5" s="41" t="str">
        <f>IFERROR(__xludf.DUMMYFUNCTION("""COMPUTED_VALUE"""),"")</f>
        <v/>
      </c>
      <c r="DH5" s="41" t="str">
        <f>IFERROR(__xludf.DUMMYFUNCTION("""COMPUTED_VALUE"""),"")</f>
        <v/>
      </c>
      <c r="DI5" s="41" t="str">
        <f>IFERROR(__xludf.DUMMYFUNCTION("""COMPUTED_VALUE"""),"")</f>
        <v/>
      </c>
      <c r="DJ5" s="41" t="str">
        <f>IFERROR(__xludf.DUMMYFUNCTION("""COMPUTED_VALUE"""),"")</f>
        <v/>
      </c>
      <c r="DK5" s="41" t="str">
        <f>IFERROR(__xludf.DUMMYFUNCTION("""COMPUTED_VALUE"""),"")</f>
        <v/>
      </c>
      <c r="DL5" s="41" t="str">
        <f>IFERROR(__xludf.DUMMYFUNCTION("""COMPUTED_VALUE"""),"")</f>
        <v/>
      </c>
      <c r="DM5" s="41" t="str">
        <f>IFERROR(__xludf.DUMMYFUNCTION("""COMPUTED_VALUE"""),"")</f>
        <v/>
      </c>
      <c r="DN5" s="41" t="str">
        <f>IFERROR(__xludf.DUMMYFUNCTION("""COMPUTED_VALUE"""),"")</f>
        <v/>
      </c>
      <c r="DO5" s="41" t="str">
        <f>IFERROR(__xludf.DUMMYFUNCTION("""COMPUTED_VALUE"""),"")</f>
        <v/>
      </c>
      <c r="DP5" s="41" t="str">
        <f>IFERROR(__xludf.DUMMYFUNCTION("""COMPUTED_VALUE"""),"")</f>
        <v/>
      </c>
      <c r="DQ5" s="41" t="str">
        <f>IFERROR(__xludf.DUMMYFUNCTION("""COMPUTED_VALUE"""),"")</f>
        <v/>
      </c>
      <c r="DR5" s="41" t="str">
        <f>IFERROR(__xludf.DUMMYFUNCTION("""COMPUTED_VALUE"""),"")</f>
        <v/>
      </c>
      <c r="DS5" s="41" t="str">
        <f>IFERROR(__xludf.DUMMYFUNCTION("""COMPUTED_VALUE"""),"")</f>
        <v/>
      </c>
      <c r="DT5" s="41" t="str">
        <f>IFERROR(__xludf.DUMMYFUNCTION("""COMPUTED_VALUE"""),"")</f>
        <v/>
      </c>
      <c r="DU5" s="41" t="str">
        <f>IFERROR(__xludf.DUMMYFUNCTION("""COMPUTED_VALUE"""),"")</f>
        <v/>
      </c>
      <c r="DV5" s="41" t="str">
        <f>IFERROR(__xludf.DUMMYFUNCTION("""COMPUTED_VALUE"""),"")</f>
        <v/>
      </c>
      <c r="DW5" s="41" t="str">
        <f>IFERROR(__xludf.DUMMYFUNCTION("""COMPUTED_VALUE"""),"")</f>
        <v/>
      </c>
      <c r="DX5" s="41" t="str">
        <f>IFERROR(__xludf.DUMMYFUNCTION("""COMPUTED_VALUE"""),"")</f>
        <v/>
      </c>
      <c r="DY5" s="41" t="str">
        <f>IFERROR(__xludf.DUMMYFUNCTION("""COMPUTED_VALUE"""),"")</f>
        <v/>
      </c>
      <c r="DZ5" s="41" t="str">
        <f>IFERROR(__xludf.DUMMYFUNCTION("""COMPUTED_VALUE"""),"")</f>
        <v/>
      </c>
      <c r="EA5" s="41" t="str">
        <f>IFERROR(__xludf.DUMMYFUNCTION("""COMPUTED_VALUE"""),"")</f>
        <v/>
      </c>
      <c r="EB5" s="41" t="str">
        <f>IFERROR(__xludf.DUMMYFUNCTION("""COMPUTED_VALUE"""),"")</f>
        <v/>
      </c>
      <c r="EC5" s="41" t="str">
        <f>IFERROR(__xludf.DUMMYFUNCTION("""COMPUTED_VALUE"""),"")</f>
        <v/>
      </c>
      <c r="ED5" s="41" t="str">
        <f>IFERROR(__xludf.DUMMYFUNCTION("""COMPUTED_VALUE"""),"")</f>
        <v/>
      </c>
      <c r="EE5" s="41" t="str">
        <f>IFERROR(__xludf.DUMMYFUNCTION("""COMPUTED_VALUE"""),"")</f>
        <v/>
      </c>
      <c r="EF5" s="41" t="str">
        <f>IFERROR(__xludf.DUMMYFUNCTION("""COMPUTED_VALUE"""),"")</f>
        <v/>
      </c>
      <c r="EG5" s="41" t="str">
        <f>IFERROR(__xludf.DUMMYFUNCTION("""COMPUTED_VALUE"""),"")</f>
        <v/>
      </c>
      <c r="EH5" s="41" t="str">
        <f>IFERROR(__xludf.DUMMYFUNCTION("""COMPUTED_VALUE"""),"")</f>
        <v/>
      </c>
      <c r="EI5" s="41" t="str">
        <f>IFERROR(__xludf.DUMMYFUNCTION("""COMPUTED_VALUE"""),"")</f>
        <v/>
      </c>
      <c r="EJ5" s="41" t="str">
        <f>IFERROR(__xludf.DUMMYFUNCTION("""COMPUTED_VALUE"""),"")</f>
        <v/>
      </c>
      <c r="EK5" s="41" t="str">
        <f>IFERROR(__xludf.DUMMYFUNCTION("""COMPUTED_VALUE"""),"")</f>
        <v/>
      </c>
      <c r="EL5" s="41" t="str">
        <f>IFERROR(__xludf.DUMMYFUNCTION("""COMPUTED_VALUE"""),"")</f>
        <v/>
      </c>
      <c r="EM5" s="41" t="str">
        <f>IFERROR(__xludf.DUMMYFUNCTION("""COMPUTED_VALUE"""),"")</f>
        <v/>
      </c>
      <c r="EN5" s="41" t="str">
        <f>IFERROR(__xludf.DUMMYFUNCTION("""COMPUTED_VALUE"""),"")</f>
        <v/>
      </c>
      <c r="EO5" s="41" t="str">
        <f>IFERROR(__xludf.DUMMYFUNCTION("""COMPUTED_VALUE"""),"")</f>
        <v/>
      </c>
      <c r="EP5" s="41" t="str">
        <f>IFERROR(__xludf.DUMMYFUNCTION("""COMPUTED_VALUE"""),"")</f>
        <v/>
      </c>
      <c r="EQ5" s="41" t="str">
        <f>IFERROR(__xludf.DUMMYFUNCTION("""COMPUTED_VALUE"""),"")</f>
        <v/>
      </c>
      <c r="ER5" s="41" t="str">
        <f>IFERROR(__xludf.DUMMYFUNCTION("""COMPUTED_VALUE"""),"")</f>
        <v/>
      </c>
      <c r="ES5" s="41" t="str">
        <f>IFERROR(__xludf.DUMMYFUNCTION("""COMPUTED_VALUE"""),"")</f>
        <v/>
      </c>
      <c r="ET5" s="41" t="str">
        <f>IFERROR(__xludf.DUMMYFUNCTION("""COMPUTED_VALUE"""),"")</f>
        <v/>
      </c>
      <c r="EU5" s="41" t="str">
        <f>IFERROR(__xludf.DUMMYFUNCTION("""COMPUTED_VALUE"""),"")</f>
        <v/>
      </c>
      <c r="EV5" s="41" t="str">
        <f>IFERROR(__xludf.DUMMYFUNCTION("""COMPUTED_VALUE"""),"")</f>
        <v/>
      </c>
      <c r="EW5" s="41" t="str">
        <f>IFERROR(__xludf.DUMMYFUNCTION("""COMPUTED_VALUE"""),"")</f>
        <v/>
      </c>
      <c r="EX5" s="41" t="str">
        <f>IFERROR(__xludf.DUMMYFUNCTION("""COMPUTED_VALUE"""),"")</f>
        <v/>
      </c>
    </row>
    <row r="6" ht="15.75" customHeight="1">
      <c r="A6" s="11"/>
      <c r="B6" s="11"/>
      <c r="C6" s="8"/>
      <c r="D6" s="11"/>
      <c r="E6" s="57"/>
      <c r="F6" s="8"/>
      <c r="G6" s="8"/>
      <c r="H6" s="8"/>
      <c r="I6" s="8"/>
      <c r="J6" s="8"/>
      <c r="K6" s="8"/>
      <c r="L6" s="8"/>
      <c r="M6" s="8"/>
      <c r="N6" s="8"/>
      <c r="O6" s="8"/>
      <c r="R6" s="9" t="b">
        <v>0</v>
      </c>
      <c r="S6" s="9" t="s">
        <v>24</v>
      </c>
      <c r="T6" s="9" t="b">
        <v>0</v>
      </c>
      <c r="U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#N/A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25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IFERROR(__xludf.DUMMYFUNCTION("""COMPUTED_VALUE"""),"CopyCalculatedPreferenceToolbar")</f>
        <v>CopyCalculatedPreferenceToolbar</v>
      </c>
      <c r="CX4" s="36" t="str">
        <f>IFERROR(__xludf.DUMMYFUNCTION("""COMPUTED_VALUE"""),"CloseOrder")</f>
        <v>CloseOrder</v>
      </c>
      <c r="CY4" s="36" t="str">
        <f>IFERROR(__xludf.DUMMYFUNCTION("""COMPUTED_VALUE"""),"DisableChecksideForAsset")</f>
        <v>DisableChecksideForAsset</v>
      </c>
      <c r="CZ4" s="36" t="str">
        <f>IFERROR(__xludf.DUMMYFUNCTION("""COMPUTED_VALUE"""),"DisableChecksideForAccount")</f>
        <v>DisableChecksideForAccount</v>
      </c>
      <c r="DA4" s="36" t="str">
        <f>IFERROR(__xludf.DUMMYFUNCTION("""COMPUTED_VALUE"""),"DisableChecksideForCounterParty")</f>
        <v>DisableChecksideForCounterParty</v>
      </c>
      <c r="DB4" s="36" t="str">
        <f>IFERROR(__xludf.DUMMYFUNCTION("""COMPUTED_VALUE"""),"DisableCheckside")</f>
        <v>DisableCheckside</v>
      </c>
      <c r="DC4" s="36" t="str">
        <f>IFERROR(__xludf.DUMMYFUNCTION("""COMPUTED_VALUE"""),"ApplyMasterFundFilter")</f>
        <v>ApplyMasterFundFilter</v>
      </c>
      <c r="DD4" s="36" t="str">
        <f>IFERROR(__xludf.DUMMYFUNCTION("""COMPUTED_VALUE"""),"ShowMasterFundOnTT")</f>
        <v>ShowMasterFundOnTT</v>
      </c>
      <c r="DE4" s="36" t="str">
        <f>IFERROR(__xludf.DUMMYFUNCTION("""COMPUTED_VALUE"""),"ShowMasterFundAsClient")</f>
        <v>ShowMasterFundAsClient</v>
      </c>
      <c r="DF4" s="36" t="str">
        <f>IFERROR(__xludf.DUMMYFUNCTION("""COMPUTED_VALUE"""),"SetBrokerAccountMapping")</f>
        <v>SetBrokerAccountMapping</v>
      </c>
      <c r="DG4" s="36" t="str">
        <f>IFERROR(__xludf.DUMMYFUNCTION("""COMPUTED_VALUE"""),"EditUnallocatedGridWPF")</f>
        <v>EditUnallocatedGridWPF</v>
      </c>
      <c r="DH4" s="36" t="str">
        <f>IFERROR(__xludf.DUMMYFUNCTION("""COMPUTED_VALUE"""),"EditAllocatedGridWPF")</f>
        <v>EditAllocatedGridWPF</v>
      </c>
      <c r="DI4" s="36" t="str">
        <f>IFERROR(__xludf.DUMMYFUNCTION("""COMPUTED_VALUE"""),"EditAllocatedGridTaxlot")</f>
        <v>EditAllocatedGridTaxlot</v>
      </c>
      <c r="DJ4" s="36" t="str">
        <f>IFERROR(__xludf.DUMMYFUNCTION("""COMPUTED_VALUE"""),"ExpandCollapseAllocatedGrid")</f>
        <v>ExpandCollapseAllocatedGrid</v>
      </c>
      <c r="DK4" s="36" t="str">
        <f>IFERROR(__xludf.DUMMYFUNCTION("""COMPUTED_VALUE"""),"ExpandCollapseUnallocatedGrid")</f>
        <v>ExpandCollapseUnallocatedGrid</v>
      </c>
      <c r="DL4" s="36" t="str">
        <f>IFERROR(__xludf.DUMMYFUNCTION("""COMPUTED_VALUE"""),"")</f>
        <v/>
      </c>
      <c r="DM4" s="36" t="str">
        <f>IFERROR(__xludf.DUMMYFUNCTION("""COMPUTED_VALUE"""),"")</f>
        <v/>
      </c>
      <c r="DN4" s="36" t="str">
        <f>IFERROR(__xludf.DUMMYFUNCTION("""COMPUTED_VALUE"""),"")</f>
        <v/>
      </c>
      <c r="DO4" s="36" t="str">
        <f>IFERROR(__xludf.DUMMYFUNCTION("""COMPUTED_VALUE"""),"")</f>
        <v/>
      </c>
      <c r="DP4" s="36" t="str">
        <f>IFERROR(__xludf.DUMMYFUNCTION("""COMPUTED_VALUE"""),"")</f>
        <v/>
      </c>
      <c r="DQ4" s="36" t="str">
        <f>IFERROR(__xludf.DUMMYFUNCTION("""COMPUTED_VALUE"""),"")</f>
        <v/>
      </c>
      <c r="DR4" s="36" t="str">
        <f>IFERROR(__xludf.DUMMYFUNCTION("""COMPUTED_VALUE"""),"")</f>
        <v/>
      </c>
      <c r="DS4" s="36" t="str">
        <f>IFERROR(__xludf.DUMMYFUNCTION("""COMPUTED_VALUE"""),"")</f>
        <v/>
      </c>
      <c r="DT4" s="36" t="str">
        <f>IFERROR(__xludf.DUMMYFUNCTION("""COMPUTED_VALUE"""),"")</f>
        <v/>
      </c>
      <c r="DU4" s="36" t="str">
        <f>IFERROR(__xludf.DUMMYFUNCTION("""COMPUTED_VALUE"""),"")</f>
        <v/>
      </c>
      <c r="DV4" s="36" t="str">
        <f>IFERROR(__xludf.DUMMYFUNCTION("""COMPUTED_VALUE"""),"")</f>
        <v/>
      </c>
      <c r="DW4" s="36" t="str">
        <f>IFERROR(__xludf.DUMMYFUNCTION("""COMPUTED_VALUE"""),"")</f>
        <v/>
      </c>
      <c r="DX4" s="36" t="str">
        <f>IFERROR(__xludf.DUMMYFUNCTION("""COMPUTED_VALUE"""),"")</f>
        <v/>
      </c>
      <c r="DY4" s="36" t="str">
        <f>IFERROR(__xludf.DUMMYFUNCTION("""COMPUTED_VALUE"""),"")</f>
        <v/>
      </c>
      <c r="DZ4" s="36" t="str">
        <f>IFERROR(__xludf.DUMMYFUNCTION("""COMPUTED_VALUE"""),"")</f>
        <v/>
      </c>
      <c r="EA4" s="36" t="str">
        <f>IFERROR(__xludf.DUMMYFUNCTION("""COMPUTED_VALUE"""),"")</f>
        <v/>
      </c>
      <c r="EB4" s="36" t="str">
        <f>IFERROR(__xludf.DUMMYFUNCTION("""COMPUTED_VALUE"""),"")</f>
        <v/>
      </c>
      <c r="EC4" s="36" t="str">
        <f>IFERROR(__xludf.DUMMYFUNCTION("""COMPUTED_VALUE"""),"")</f>
        <v/>
      </c>
      <c r="ED4" s="36" t="str">
        <f>IFERROR(__xludf.DUMMYFUNCTION("""COMPUTED_VALUE"""),"")</f>
        <v/>
      </c>
      <c r="EE4" s="36" t="str">
        <f>IFERROR(__xludf.DUMMYFUNCTION("""COMPUTED_VALUE"""),"")</f>
        <v/>
      </c>
      <c r="EF4" s="36" t="str">
        <f>IFERROR(__xludf.DUMMYFUNCTION("""COMPUTED_VALUE"""),"")</f>
        <v/>
      </c>
      <c r="EG4" s="36" t="str">
        <f>IFERROR(__xludf.DUMMYFUNCTION("""COMPUTED_VALUE"""),"")</f>
        <v/>
      </c>
      <c r="EH4" s="36" t="str">
        <f>IFERROR(__xludf.DUMMYFUNCTION("""COMPUTED_VALUE"""),"")</f>
        <v/>
      </c>
      <c r="EI4" s="36" t="str">
        <f>IFERROR(__xludf.DUMMYFUNCTION("""COMPUTED_VALUE"""),"")</f>
        <v/>
      </c>
      <c r="EJ4" s="36" t="str">
        <f>IFERROR(__xludf.DUMMYFUNCTION("""COMPUTED_VALUE"""),"")</f>
        <v/>
      </c>
      <c r="EK4" s="36" t="str">
        <f>IFERROR(__xludf.DUMMYFUNCTION("""COMPUTED_VALUE"""),"")</f>
        <v/>
      </c>
      <c r="EL4" s="36" t="str">
        <f>IFERROR(__xludf.DUMMYFUNCTION("""COMPUTED_VALUE"""),"")</f>
        <v/>
      </c>
      <c r="EM4" s="36" t="str">
        <f>IFERROR(__xludf.DUMMYFUNCTION("""COMPUTED_VALUE"""),"")</f>
        <v/>
      </c>
      <c r="EN4" s="36" t="str">
        <f>IFERROR(__xludf.DUMMYFUNCTION("""COMPUTED_VALUE"""),"")</f>
        <v/>
      </c>
      <c r="EO4" s="36" t="str">
        <f>IFERROR(__xludf.DUMMYFUNCTION("""COMPUTED_VALUE"""),"")</f>
        <v/>
      </c>
      <c r="EP4" s="36" t="str">
        <f>IFERROR(__xludf.DUMMYFUNCTION("""COMPUTED_VALUE"""),"")</f>
        <v/>
      </c>
      <c r="EQ4" s="36" t="str">
        <f>IFERROR(__xludf.DUMMYFUNCTION("""COMPUTED_VALUE"""),"")</f>
        <v/>
      </c>
      <c r="ER4" s="36" t="str">
        <f>IFERROR(__xludf.DUMMYFUNCTION("""COMPUTED_VALUE"""),"")</f>
        <v/>
      </c>
      <c r="ES4" s="36" t="str">
        <f>IFERROR(__xludf.DUMMYFUNCTION("""COMPUTED_VALUE"""),"")</f>
        <v/>
      </c>
      <c r="ET4" s="36" t="str">
        <f>IFERROR(__xludf.DUMMYFUNCTION("""COMPUTED_VALUE"""),"")</f>
        <v/>
      </c>
      <c r="EU4" s="36" t="str">
        <f>IFERROR(__xludf.DUMMYFUNCTION("""COMPUTED_VALUE"""),"")</f>
        <v/>
      </c>
      <c r="EV4" s="36" t="str">
        <f>IFERROR(__xludf.DUMMYFUNCTION("""COMPUTED_VALUE"""),"")</f>
        <v/>
      </c>
      <c r="EW4" s="36" t="str">
        <f>IFERROR(__xludf.DUMMYFUNCTION("""COMPUTED_VALUE"""),"")</f>
        <v/>
      </c>
      <c r="EX4" s="36" t="str">
        <f>IFERROR(__xludf.DUMMYFUNCTION("""COMPUTED_VALUE"""),"")</f>
        <v/>
      </c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IFERROR(__xludf.DUMMYFUNCTION("""COMPUTED_VALUE"""),"Symbol")</f>
        <v>Symbol</v>
      </c>
      <c r="C5" s="55" t="str">
        <f>IFERROR(__xludf.DUMMYFUNCTION("""COMPUTED_VALUE"""),"Side")</f>
        <v>Side</v>
      </c>
      <c r="D5" s="55" t="str">
        <f>IFERROR(__xludf.DUMMYFUNCTION("""COMPUTED_VALUE"""),"Quantity")</f>
        <v>Quantity</v>
      </c>
      <c r="E5" s="55" t="str">
        <f>IFERROR(__xludf.DUMMYFUNCTION("""COMPUTED_VALUE"""),"Executed Qty")</f>
        <v>Executed Qty</v>
      </c>
      <c r="F5" s="56" t="str">
        <f>IFERROR(__xludf.DUMMYFUNCTION("""COMPUTED_VALUE"""),"Trade Date")</f>
        <v>Trade Date</v>
      </c>
      <c r="G5" s="55" t="str">
        <f>IFERROR(__xludf.DUMMYFUNCTION("""COMPUTED_VALUE"""),"Net Amount( Local)")</f>
        <v>Net Amount( Local)</v>
      </c>
      <c r="H5" s="55" t="str">
        <f>IFERROR(__xludf.DUMMYFUNCTION("""COMPUTED_VALUE"""),"Net Amount( Base)")</f>
        <v>Net Amount( Base)</v>
      </c>
      <c r="I5" s="55" t="str">
        <f>IFERROR(__xludf.DUMMYFUNCTION("""COMPUTED_VALUE"""),"Principal Amount( Local)")</f>
        <v>Principal Amount( Local)</v>
      </c>
      <c r="J5" s="55" t="str">
        <f>IFERROR(__xludf.DUMMYFUNCTION("""COMPUTED_VALUE"""),"Transaction Type")</f>
        <v>Transaction Type</v>
      </c>
      <c r="K5" s="55" t="str">
        <f>IFERROR(__xludf.DUMMYFUNCTION("""COMPUTED_VALUE"""),"Principal Amount( Base)")</f>
        <v>Principal Amount( Base)</v>
      </c>
      <c r="L5" s="55" t="str">
        <f>IFERROR(__xludf.DUMMYFUNCTION("""COMPUTED_VALUE"""),"Execution Time")</f>
        <v>Execution Time</v>
      </c>
      <c r="M5" s="55" t="str">
        <f>IFERROR(__xludf.DUMMYFUNCTION("""COMPUTED_VALUE"""),"Trading Account")</f>
        <v>Trading Account</v>
      </c>
      <c r="N5" s="55" t="str">
        <f>IFERROR(__xludf.DUMMYFUNCTION("""COMPUTED_VALUE"""),"Avg Price(Local)")</f>
        <v>Avg Price(Local)</v>
      </c>
      <c r="O5" s="55" t="str">
        <f>IFERROR(__xludf.DUMMYFUNCTION("""COMPUTED_VALUE"""),"Avg Price(Base)")</f>
        <v>Avg Price(Base)</v>
      </c>
      <c r="P5" s="55" t="str">
        <f>IFERROR(__xludf.DUMMYFUNCTION("""COMPUTED_VALUE"""),"Broker")</f>
        <v>Broker</v>
      </c>
      <c r="Q5" s="55" t="str">
        <f>IFERROR(__xludf.DUMMYFUNCTION("""COMPUTED_VALUE"""),"FX Rate")</f>
        <v>FX Rate</v>
      </c>
      <c r="R5" s="55" t="str">
        <f>IFERROR(__xludf.DUMMYFUNCTION("""COMPUTED_VALUE"""),"Venue")</f>
        <v>Venue</v>
      </c>
      <c r="S5" s="55" t="str">
        <f>IFERROR(__xludf.DUMMYFUNCTION("""COMPUTED_VALUE"""),"FX Conversion Operator")</f>
        <v>FX Conversion Operator</v>
      </c>
      <c r="T5" s="41" t="str">
        <f>IFERROR(__xludf.DUMMYFUNCTION("""COMPUTED_VALUE"""),"User")</f>
        <v>User</v>
      </c>
      <c r="U5" s="41" t="str">
        <f>IFERROR(__xludf.DUMMYFUNCTION("""COMPUTED_VALUE"""),"Asset Category")</f>
        <v>Asset Category</v>
      </c>
      <c r="V5" s="41" t="str">
        <f>IFERROR(__xludf.DUMMYFUNCTION("""COMPUTED_VALUE"""),"Settlement Currency")</f>
        <v>Settlement Currency</v>
      </c>
      <c r="W5" s="41" t="str">
        <f>IFERROR(__xludf.DUMMYFUNCTION("""COMPUTED_VALUE"""),"Commission Per Share")</f>
        <v>Commission Per Share</v>
      </c>
      <c r="X5" s="41" t="str">
        <f>IFERROR(__xludf.DUMMYFUNCTION("""COMPUTED_VALUE"""),"Soft Commission Per Share")</f>
        <v>Soft Commission Per Share</v>
      </c>
      <c r="Y5" s="41" t="str">
        <f>IFERROR(__xludf.DUMMYFUNCTION("""COMPUTED_VALUE"""),"Total Commission Per Share")</f>
        <v>Total Commission Per Share</v>
      </c>
      <c r="Z5" s="41" t="str">
        <f>IFERROR(__xludf.DUMMYFUNCTION("""COMPUTED_VALUE"""),"Change Type")</f>
        <v>Change Type</v>
      </c>
      <c r="AA5" s="41" t="str">
        <f>IFERROR(__xludf.DUMMYFUNCTION("""COMPUTED_VALUE"""),"Trade Attribute 1")</f>
        <v>Trade Attribute 1</v>
      </c>
      <c r="AB5" s="41" t="str">
        <f>IFERROR(__xludf.DUMMYFUNCTION("""COMPUTED_VALUE"""),"Trade Attribute 2")</f>
        <v>Trade Attribute 2</v>
      </c>
      <c r="AC5" s="41" t="str">
        <f>IFERROR(__xludf.DUMMYFUNCTION("""COMPUTED_VALUE"""),"Trade Attribute 3")</f>
        <v>Trade Attribute 3</v>
      </c>
      <c r="AD5" s="41" t="str">
        <f>IFERROR(__xludf.DUMMYFUNCTION("""COMPUTED_VALUE"""),"Trade Attribute 4")</f>
        <v>Trade Attribute 4</v>
      </c>
      <c r="AE5" s="41" t="str">
        <f>IFERROR(__xludf.DUMMYFUNCTION("""COMPUTED_VALUE"""),"Trade Attribute 5")</f>
        <v>Trade Attribute 5</v>
      </c>
      <c r="AF5" s="41" t="str">
        <f>IFERROR(__xludf.DUMMYFUNCTION("""COMPUTED_VALUE"""),"Trade Attribute 6")</f>
        <v>Trade Attribute 6</v>
      </c>
      <c r="AG5" s="41" t="str">
        <f>IFERROR(__xludf.DUMMYFUNCTION("""COMPUTED_VALUE"""),"IsPreAllocated")</f>
        <v>IsPreAllocated</v>
      </c>
      <c r="AH5" s="41" t="str">
        <f>IFERROR(__xludf.DUMMYFUNCTION("""COMPUTED_VALUE"""),"IsManual Group")</f>
        <v>IsManual Group</v>
      </c>
      <c r="AI5" s="41" t="str">
        <f>IFERROR(__xludf.DUMMYFUNCTION("""COMPUTED_VALUE"""),"IsAnotherTaxlotAttributesUpdated")</f>
        <v>IsAnotherTaxlotAttributesUpdated</v>
      </c>
      <c r="AJ5" s="41" t="str">
        <f>IFERROR(__xludf.DUMMYFUNCTION("""COMPUTED_VALUE"""),"ISNDF")</f>
        <v>ISNDF</v>
      </c>
      <c r="AK5" s="41" t="str">
        <f>IFERROR(__xludf.DUMMYFUNCTION("""COMPUTED_VALUE"""),"M2MProfitLoss")</f>
        <v>M2MProfitLoss</v>
      </c>
      <c r="AL5" s="41" t="str">
        <f>IFERROR(__xludf.DUMMYFUNCTION("""COMPUTED_VALUE"""),"Put Or Call")</f>
        <v>Put Or Call</v>
      </c>
      <c r="AM5" s="41" t="str">
        <f>IFERROR(__xludf.DUMMYFUNCTION("""COMPUTED_VALUE"""),"GroupID")</f>
        <v>GroupID</v>
      </c>
      <c r="AN5" s="41" t="str">
        <f>IFERROR(__xludf.DUMMYFUNCTION("""COMPUTED_VALUE"""),"UnAllocatedQty")</f>
        <v>UnAllocatedQty</v>
      </c>
      <c r="AO5" s="41" t="str">
        <f>IFERROR(__xludf.DUMMYFUNCTION("""COMPUTED_VALUE"""),"Allocated Qty")</f>
        <v>Allocated Qty</v>
      </c>
      <c r="AP5" s="41" t="str">
        <f>IFERROR(__xludf.DUMMYFUNCTION("""COMPUTED_VALUE"""),"Commission")</f>
        <v>Commission</v>
      </c>
      <c r="AQ5" s="41" t="str">
        <f>IFERROR(__xludf.DUMMYFUNCTION("""COMPUTED_VALUE"""),"Soft Commission")</f>
        <v>Soft Commission</v>
      </c>
      <c r="AR5" s="41" t="str">
        <f>IFERROR(__xludf.DUMMYFUNCTION("""COMPUTED_VALUE"""),"Other Broker Fees")</f>
        <v>Other Broker Fees</v>
      </c>
      <c r="AS5" s="41" t="str">
        <f>IFERROR(__xludf.DUMMYFUNCTION("""COMPUTED_VALUE"""),"Clearing Broker Fee")</f>
        <v>Clearing Broker Fee</v>
      </c>
      <c r="AT5" s="41" t="str">
        <f>IFERROR(__xludf.DUMMYFUNCTION("""COMPUTED_VALUE"""),"Total Commission And Fee")</f>
        <v>Total Commission And Fee</v>
      </c>
      <c r="AU5" s="41" t="str">
        <f>IFERROR(__xludf.DUMMYFUNCTION("""COMPUTED_VALUE"""),"Transaction Levy")</f>
        <v>Transaction Levy</v>
      </c>
      <c r="AV5" s="41" t="str">
        <f>IFERROR(__xludf.DUMMYFUNCTION("""COMPUTED_VALUE"""),"Stamp Duty")</f>
        <v>Stamp Duty</v>
      </c>
      <c r="AW5" s="41" t="str">
        <f>IFERROR(__xludf.DUMMYFUNCTION("""COMPUTED_VALUE"""),"AUEC Fee1")</f>
        <v>AUEC Fee1</v>
      </c>
      <c r="AX5" s="41" t="str">
        <f>IFERROR(__xludf.DUMMYFUNCTION("""COMPUTED_VALUE"""),"Tax On Commissions")</f>
        <v>Tax On Commissions</v>
      </c>
      <c r="AY5" s="41" t="str">
        <f>IFERROR(__xludf.DUMMYFUNCTION("""COMPUTED_VALUE"""),"AUEC Fee2")</f>
        <v>AUEC Fee2</v>
      </c>
      <c r="AZ5" s="41" t="str">
        <f>IFERROR(__xludf.DUMMYFUNCTION("""COMPUTED_VALUE"""),"SEC Fee")</f>
        <v>SEC Fee</v>
      </c>
      <c r="BA5" s="41" t="str">
        <f>IFERROR(__xludf.DUMMYFUNCTION("""COMPUTED_VALUE"""),"OCC Fee")</f>
        <v>OCC Fee</v>
      </c>
      <c r="BB5" s="41" t="str">
        <f>IFERROR(__xludf.DUMMYFUNCTION("""COMPUTED_VALUE"""),"ORF Fee")</f>
        <v>ORF Fee</v>
      </c>
      <c r="BC5" s="41" t="str">
        <f>IFERROR(__xludf.DUMMYFUNCTION("""COMPUTED_VALUE"""),"Option Premium Adjustment")</f>
        <v>Option Premium Adjustment</v>
      </c>
      <c r="BD5" s="41" t="str">
        <f>IFERROR(__xludf.DUMMYFUNCTION("""COMPUTED_VALUE"""),"Prana Msg Type")</f>
        <v>Prana Msg Type</v>
      </c>
      <c r="BE5" s="41" t="str">
        <f>IFERROR(__xludf.DUMMYFUNCTION("""COMPUTED_VALUE"""),"Total Commission")</f>
        <v>Total Commission</v>
      </c>
      <c r="BF5" s="41" t="str">
        <f>IFERROR(__xludf.DUMMYFUNCTION("""COMPUTED_VALUE"""),"Closing Status")</f>
        <v>Closing Status</v>
      </c>
      <c r="BG5" s="41" t="str">
        <f>IFERROR(__xludf.DUMMYFUNCTION("""COMPUTED_VALUE"""),"Closing Method")</f>
        <v>Closing Method</v>
      </c>
      <c r="BH5" s="41" t="str">
        <f>IFERROR(__xludf.DUMMYFUNCTION("""COMPUTED_VALUE"""),"Group Status")</f>
        <v>Group Status</v>
      </c>
      <c r="BI5" s="41" t="str">
        <f>IFERROR(__xludf.DUMMYFUNCTION("""COMPUTED_VALUE"""),"Allocation Scheme Name")</f>
        <v>Allocation Scheme Name</v>
      </c>
      <c r="BJ5" s="41" t="str">
        <f>IFERROR(__xludf.DUMMYFUNCTION("""COMPUTED_VALUE"""),"Change Comment")</f>
        <v>Change Comment</v>
      </c>
      <c r="BK5" s="41" t="str">
        <f>IFERROR(__xludf.DUMMYFUNCTION("""COMPUTED_VALUE"""),"Order Type")</f>
        <v>Order Type</v>
      </c>
      <c r="BL5" s="41" t="str">
        <f>IFERROR(__xludf.DUMMYFUNCTION("""COMPUTED_VALUE"""),"Underlying")</f>
        <v>Underlying</v>
      </c>
      <c r="BM5" s="41" t="str">
        <f>IFERROR(__xludf.DUMMYFUNCTION("""COMPUTED_VALUE"""),"Exchange")</f>
        <v>Exchange</v>
      </c>
      <c r="BN5" s="41" t="str">
        <f>IFERROR(__xludf.DUMMYFUNCTION("""COMPUTED_VALUE"""),"Currency")</f>
        <v>Currency</v>
      </c>
      <c r="BO5" s="41" t="str">
        <f>IFERROR(__xludf.DUMMYFUNCTION("""COMPUTED_VALUE"""),"AUECID")</f>
        <v>AUECID</v>
      </c>
      <c r="BP5" s="41" t="str">
        <f>IFERROR(__xludf.DUMMYFUNCTION("""COMPUTED_VALUE"""),"Cum Qty For Sub Order")</f>
        <v>Cum Qty For Sub Order</v>
      </c>
      <c r="BQ5" s="41" t="str">
        <f>IFERROR(__xludf.DUMMYFUNCTION("""COMPUTED_VALUE"""),"Contract Multiplier")</f>
        <v>Contract Multiplier</v>
      </c>
      <c r="BR5" s="41" t="str">
        <f>IFERROR(__xludf.DUMMYFUNCTION("""COMPUTED_VALUE"""),"Company")</f>
        <v>Company</v>
      </c>
      <c r="BS5" s="41" t="str">
        <f>IFERROR(__xludf.DUMMYFUNCTION("""COMPUTED_VALUE"""),"Nirvana Process Date")</f>
        <v>Nirvana Process Date</v>
      </c>
      <c r="BT5" s="41" t="str">
        <f>IFERROR(__xludf.DUMMYFUNCTION("""COMPUTED_VALUE"""),"Process Date")</f>
        <v>Process Date</v>
      </c>
      <c r="BU5" s="41" t="str">
        <f>IFERROR(__xludf.DUMMYFUNCTION("""COMPUTED_VALUE"""),"Original Purchase Date")</f>
        <v>Original Purchase Date</v>
      </c>
      <c r="BV5" s="41" t="str">
        <f>IFERROR(__xludf.DUMMYFUNCTION("""COMPUTED_VALUE"""),"Closing Date")</f>
        <v>Closing Date</v>
      </c>
      <c r="BW5" s="41" t="str">
        <f>IFERROR(__xludf.DUMMYFUNCTION("""COMPUTED_VALUE"""),"Settlement Date")</f>
        <v>Settlement Date</v>
      </c>
      <c r="BX5" s="41" t="str">
        <f>IFERROR(__xludf.DUMMYFUNCTION("""COMPUTED_VALUE"""),"Expiration Date")</f>
        <v>Expiration Date</v>
      </c>
      <c r="BY5" s="41" t="str">
        <f>IFERROR(__xludf.DUMMYFUNCTION("""COMPUTED_VALUE"""),"Description")</f>
        <v>Description</v>
      </c>
      <c r="BZ5" s="41" t="str">
        <f>IFERROR(__xludf.DUMMYFUNCTION("""COMPUTED_VALUE"""),"Underlying Symbol")</f>
        <v>Underlying Symbol</v>
      </c>
      <c r="CA5" s="41" t="str">
        <f>IFERROR(__xludf.DUMMYFUNCTION("""COMPUTED_VALUE"""),"Accrued Interest")</f>
        <v>Accrued Interest</v>
      </c>
      <c r="CB5" s="41" t="str">
        <f>IFERROR(__xludf.DUMMYFUNCTION("""COMPUTED_VALUE"""),"Accrual Basis")</f>
        <v>Accrual Basis</v>
      </c>
      <c r="CC5" s="41" t="str">
        <f>IFERROR(__xludf.DUMMYFUNCTION("""COMPUTED_VALUE"""),"Bond Type")</f>
        <v>Bond Type</v>
      </c>
      <c r="CD5" s="41" t="str">
        <f>IFERROR(__xludf.DUMMYFUNCTION("""COMPUTED_VALUE"""),"Coupon Rate")</f>
        <v>Coupon Rate</v>
      </c>
      <c r="CE5" s="41" t="str">
        <f>IFERROR(__xludf.DUMMYFUNCTION("""COMPUTED_VALUE"""),"Delta")</f>
        <v>Delta</v>
      </c>
      <c r="CF5" s="41" t="str">
        <f>IFERROR(__xludf.DUMMYFUNCTION("""COMPUTED_VALUE"""),"Bloomberg")</f>
        <v>Bloomberg</v>
      </c>
      <c r="CG5" s="41" t="str">
        <f>IFERROR(__xludf.DUMMYFUNCTION("""COMPUTED_VALUE"""),"Sedol Symbol")</f>
        <v>Sedol Symbol</v>
      </c>
      <c r="CH5" s="41" t="str">
        <f>IFERROR(__xludf.DUMMYFUNCTION("""COMPUTED_VALUE"""),"Cusip Symbol")</f>
        <v>Cusip Symbol</v>
      </c>
      <c r="CI5" s="41" t="str">
        <f>IFERROR(__xludf.DUMMYFUNCTION("""COMPUTED_VALUE"""),"ISIN")</f>
        <v>ISIN</v>
      </c>
      <c r="CJ5" s="41" t="str">
        <f>IFERROR(__xludf.DUMMYFUNCTION("""COMPUTED_VALUE"""),"OSISSymbol")</f>
        <v>OSISSymbol</v>
      </c>
      <c r="CK5" s="41" t="str">
        <f>IFERROR(__xludf.DUMMYFUNCTION("""COMPUTED_VALUE"""),"IDCOSymbol")</f>
        <v>IDCOSymbol</v>
      </c>
      <c r="CL5" s="41" t="str">
        <f>IFERROR(__xludf.DUMMYFUNCTION("""COMPUTED_VALUE"""),"Underlying Delta")</f>
        <v>Underlying Delta</v>
      </c>
      <c r="CM5" s="41" t="str">
        <f>IFERROR(__xludf.DUMMYFUNCTION("""COMPUTED_VALUE"""),"Internal Comments")</f>
        <v>Internal Comments</v>
      </c>
      <c r="CN5" s="41" t="str">
        <f>IFERROR(__xludf.DUMMYFUNCTION("""COMPUTED_VALUE"""),"Proxy Symbol")</f>
        <v>Proxy Symbol</v>
      </c>
      <c r="CO5" s="41" t="str">
        <f>IFERROR(__xludf.DUMMYFUNCTION("""COMPUTED_VALUE"""),"Transaction Source")</f>
        <v>Transaction Source</v>
      </c>
      <c r="CP5" s="41" t="str">
        <f>IFERROR(__xludf.DUMMYFUNCTION("""COMPUTED_VALUE"""),"Import File Name")</f>
        <v>Import File Name</v>
      </c>
      <c r="CQ5" s="41" t="str">
        <f>IFERROR(__xludf.DUMMYFUNCTION("""COMPUTED_VALUE"""),"Master Fund")</f>
        <v>Master Fund</v>
      </c>
      <c r="CR5" s="41" t="str">
        <f>IFERROR(__xludf.DUMMYFUNCTION("""COMPUTED_VALUE"""),"Client")</f>
        <v>Client</v>
      </c>
      <c r="CS5" s="41" t="str">
        <f>IFERROR(__xludf.DUMMYFUNCTION("""COMPUTED_VALUE"""),"")</f>
        <v/>
      </c>
      <c r="CT5" s="41" t="str">
        <f>IFERROR(__xludf.DUMMYFUNCTION("""COMPUTED_VALUE"""),"")</f>
        <v/>
      </c>
      <c r="CU5" s="41" t="str">
        <f>IFERROR(__xludf.DUMMYFUNCTION("""COMPUTED_VALUE"""),"")</f>
        <v/>
      </c>
      <c r="CV5" s="41" t="str">
        <f>IFERROR(__xludf.DUMMYFUNCTION("""COMPUTED_VALUE"""),"")</f>
        <v/>
      </c>
      <c r="CW5" s="41" t="str">
        <f>IFERROR(__xludf.DUMMYFUNCTION("""COMPUTED_VALUE"""),"")</f>
        <v/>
      </c>
      <c r="CX5" s="41" t="str">
        <f>IFERROR(__xludf.DUMMYFUNCTION("""COMPUTED_VALUE"""),"")</f>
        <v/>
      </c>
      <c r="CY5" s="41" t="str">
        <f>IFERROR(__xludf.DUMMYFUNCTION("""COMPUTED_VALUE"""),"")</f>
        <v/>
      </c>
      <c r="CZ5" s="41" t="str">
        <f>IFERROR(__xludf.DUMMYFUNCTION("""COMPUTED_VALUE"""),"")</f>
        <v/>
      </c>
      <c r="DA5" s="41" t="str">
        <f>IFERROR(__xludf.DUMMYFUNCTION("""COMPUTED_VALUE"""),"")</f>
        <v/>
      </c>
      <c r="DB5" s="41" t="str">
        <f>IFERROR(__xludf.DUMMYFUNCTION("""COMPUTED_VALUE"""),"")</f>
        <v/>
      </c>
      <c r="DC5" s="41" t="str">
        <f>IFERROR(__xludf.DUMMYFUNCTION("""COMPUTED_VALUE"""),"")</f>
        <v/>
      </c>
      <c r="DD5" s="41" t="str">
        <f>IFERROR(__xludf.DUMMYFUNCTION("""COMPUTED_VALUE"""),"")</f>
        <v/>
      </c>
      <c r="DE5" s="41" t="str">
        <f>IFERROR(__xludf.DUMMYFUNCTION("""COMPUTED_VALUE"""),"")</f>
        <v/>
      </c>
      <c r="DF5" s="41" t="str">
        <f>IFERROR(__xludf.DUMMYFUNCTION("""COMPUTED_VALUE"""),"")</f>
        <v/>
      </c>
      <c r="DG5" s="41" t="str">
        <f>IFERROR(__xludf.DUMMYFUNCTION("""COMPUTED_VALUE"""),"")</f>
        <v/>
      </c>
      <c r="DH5" s="41" t="str">
        <f>IFERROR(__xludf.DUMMYFUNCTION("""COMPUTED_VALUE"""),"")</f>
        <v/>
      </c>
      <c r="DI5" s="41" t="str">
        <f>IFERROR(__xludf.DUMMYFUNCTION("""COMPUTED_VALUE"""),"")</f>
        <v/>
      </c>
      <c r="DJ5" s="41" t="str">
        <f>IFERROR(__xludf.DUMMYFUNCTION("""COMPUTED_VALUE"""),"")</f>
        <v/>
      </c>
      <c r="DK5" s="41" t="str">
        <f>IFERROR(__xludf.DUMMYFUNCTION("""COMPUTED_VALUE"""),"")</f>
        <v/>
      </c>
      <c r="DL5" s="41" t="str">
        <f>IFERROR(__xludf.DUMMYFUNCTION("""COMPUTED_VALUE"""),"")</f>
        <v/>
      </c>
      <c r="DM5" s="41" t="str">
        <f>IFERROR(__xludf.DUMMYFUNCTION("""COMPUTED_VALUE"""),"")</f>
        <v/>
      </c>
      <c r="DN5" s="41" t="str">
        <f>IFERROR(__xludf.DUMMYFUNCTION("""COMPUTED_VALUE"""),"")</f>
        <v/>
      </c>
      <c r="DO5" s="41" t="str">
        <f>IFERROR(__xludf.DUMMYFUNCTION("""COMPUTED_VALUE"""),"")</f>
        <v/>
      </c>
      <c r="DP5" s="41" t="str">
        <f>IFERROR(__xludf.DUMMYFUNCTION("""COMPUTED_VALUE"""),"")</f>
        <v/>
      </c>
      <c r="DQ5" s="41" t="str">
        <f>IFERROR(__xludf.DUMMYFUNCTION("""COMPUTED_VALUE"""),"")</f>
        <v/>
      </c>
      <c r="DR5" s="41" t="str">
        <f>IFERROR(__xludf.DUMMYFUNCTION("""COMPUTED_VALUE"""),"")</f>
        <v/>
      </c>
      <c r="DS5" s="41" t="str">
        <f>IFERROR(__xludf.DUMMYFUNCTION("""COMPUTED_VALUE"""),"")</f>
        <v/>
      </c>
      <c r="DT5" s="41" t="str">
        <f>IFERROR(__xludf.DUMMYFUNCTION("""COMPUTED_VALUE"""),"")</f>
        <v/>
      </c>
      <c r="DU5" s="41" t="str">
        <f>IFERROR(__xludf.DUMMYFUNCTION("""COMPUTED_VALUE"""),"")</f>
        <v/>
      </c>
      <c r="DV5" s="41" t="str">
        <f>IFERROR(__xludf.DUMMYFUNCTION("""COMPUTED_VALUE"""),"")</f>
        <v/>
      </c>
      <c r="DW5" s="41" t="str">
        <f>IFERROR(__xludf.DUMMYFUNCTION("""COMPUTED_VALUE"""),"")</f>
        <v/>
      </c>
      <c r="DX5" s="41" t="str">
        <f>IFERROR(__xludf.DUMMYFUNCTION("""COMPUTED_VALUE"""),"")</f>
        <v/>
      </c>
      <c r="DY5" s="41" t="str">
        <f>IFERROR(__xludf.DUMMYFUNCTION("""COMPUTED_VALUE"""),"")</f>
        <v/>
      </c>
      <c r="DZ5" s="41" t="str">
        <f>IFERROR(__xludf.DUMMYFUNCTION("""COMPUTED_VALUE"""),"")</f>
        <v/>
      </c>
      <c r="EA5" s="41" t="str">
        <f>IFERROR(__xludf.DUMMYFUNCTION("""COMPUTED_VALUE"""),"")</f>
        <v/>
      </c>
      <c r="EB5" s="41" t="str">
        <f>IFERROR(__xludf.DUMMYFUNCTION("""COMPUTED_VALUE"""),"")</f>
        <v/>
      </c>
      <c r="EC5" s="41" t="str">
        <f>IFERROR(__xludf.DUMMYFUNCTION("""COMPUTED_VALUE"""),"")</f>
        <v/>
      </c>
      <c r="ED5" s="41" t="str">
        <f>IFERROR(__xludf.DUMMYFUNCTION("""COMPUTED_VALUE"""),"")</f>
        <v/>
      </c>
      <c r="EE5" s="41" t="str">
        <f>IFERROR(__xludf.DUMMYFUNCTION("""COMPUTED_VALUE"""),"")</f>
        <v/>
      </c>
      <c r="EF5" s="41" t="str">
        <f>IFERROR(__xludf.DUMMYFUNCTION("""COMPUTED_VALUE"""),"")</f>
        <v/>
      </c>
      <c r="EG5" s="41" t="str">
        <f>IFERROR(__xludf.DUMMYFUNCTION("""COMPUTED_VALUE"""),"")</f>
        <v/>
      </c>
      <c r="EH5" s="41" t="str">
        <f>IFERROR(__xludf.DUMMYFUNCTION("""COMPUTED_VALUE"""),"")</f>
        <v/>
      </c>
      <c r="EI5" s="41" t="str">
        <f>IFERROR(__xludf.DUMMYFUNCTION("""COMPUTED_VALUE"""),"")</f>
        <v/>
      </c>
      <c r="EJ5" s="41" t="str">
        <f>IFERROR(__xludf.DUMMYFUNCTION("""COMPUTED_VALUE"""),"")</f>
        <v/>
      </c>
      <c r="EK5" s="41" t="str">
        <f>IFERROR(__xludf.DUMMYFUNCTION("""COMPUTED_VALUE"""),"")</f>
        <v/>
      </c>
      <c r="EL5" s="41" t="str">
        <f>IFERROR(__xludf.DUMMYFUNCTION("""COMPUTED_VALUE"""),"")</f>
        <v/>
      </c>
      <c r="EM5" s="41" t="str">
        <f>IFERROR(__xludf.DUMMYFUNCTION("""COMPUTED_VALUE"""),"")</f>
        <v/>
      </c>
      <c r="EN5" s="41" t="str">
        <f>IFERROR(__xludf.DUMMYFUNCTION("""COMPUTED_VALUE"""),"")</f>
        <v/>
      </c>
      <c r="EO5" s="41" t="str">
        <f>IFERROR(__xludf.DUMMYFUNCTION("""COMPUTED_VALUE"""),"")</f>
        <v/>
      </c>
      <c r="EP5" s="41" t="str">
        <f>IFERROR(__xludf.DUMMYFUNCTION("""COMPUTED_VALUE"""),"")</f>
        <v/>
      </c>
      <c r="EQ5" s="41" t="str">
        <f>IFERROR(__xludf.DUMMYFUNCTION("""COMPUTED_VALUE"""),"")</f>
        <v/>
      </c>
      <c r="ER5" s="41" t="str">
        <f>IFERROR(__xludf.DUMMYFUNCTION("""COMPUTED_VALUE"""),"")</f>
        <v/>
      </c>
      <c r="ES5" s="41" t="str">
        <f>IFERROR(__xludf.DUMMYFUNCTION("""COMPUTED_VALUE"""),"")</f>
        <v/>
      </c>
      <c r="ET5" s="41" t="str">
        <f>IFERROR(__xludf.DUMMYFUNCTION("""COMPUTED_VALUE"""),"")</f>
        <v/>
      </c>
      <c r="EU5" s="41" t="str">
        <f>IFERROR(__xludf.DUMMYFUNCTION("""COMPUTED_VALUE"""),"")</f>
        <v/>
      </c>
      <c r="EV5" s="41" t="str">
        <f>IFERROR(__xludf.DUMMYFUNCTION("""COMPUTED_VALUE"""),"")</f>
        <v/>
      </c>
      <c r="EW5" s="41" t="str">
        <f>IFERROR(__xludf.DUMMYFUNCTION("""COMPUTED_VALUE"""),"")</f>
        <v/>
      </c>
      <c r="EX5" s="41" t="str">
        <f>IFERROR(__xludf.DUMMYFUNCTION("""COMPUTED_VALUE"""),"")</f>
        <v/>
      </c>
    </row>
    <row r="6" ht="15.75" customHeight="1">
      <c r="A6" s="42"/>
      <c r="B6" s="58" t="s">
        <v>16</v>
      </c>
      <c r="C6" s="59" t="s">
        <v>17</v>
      </c>
      <c r="D6" s="60">
        <v>100.0</v>
      </c>
      <c r="E6" s="61">
        <v>100.0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#N/A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26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IFERROR(__xludf.DUMMYFUNCTION("IF(C3="""","""",Transpose(IMPORTRANGE('_Settings'!$B$3,C3&amp;""!A4:A1000"")))"),"#REF!")</f>
        <v>#REF!</v>
      </c>
      <c r="C4" s="33"/>
      <c r="D4" s="33"/>
      <c r="E4" s="33"/>
      <c r="F4" s="33"/>
      <c r="G4" s="62">
        <v>44013.0</v>
      </c>
      <c r="H4" s="33"/>
      <c r="I4" s="33"/>
      <c r="J4" s="33"/>
      <c r="K4" s="33"/>
      <c r="L4" s="33"/>
      <c r="M4" s="33"/>
      <c r="N4" s="33"/>
      <c r="O4" s="33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IFERROR(__xludf.DUMMYFUNCTION("""COMPUTED_VALUE"""),"Side")</f>
        <v>Side</v>
      </c>
      <c r="C5" s="55" t="str">
        <f>IFERROR(__xludf.DUMMYFUNCTION("""COMPUTED_VALUE"""),"Venue")</f>
        <v>Venue</v>
      </c>
      <c r="D5" s="55" t="str">
        <f>IFERROR(__xludf.DUMMYFUNCTION("""COMPUTED_VALUE"""),"Transaction Levy")</f>
        <v>Transaction Levy</v>
      </c>
      <c r="E5" s="55" t="str">
        <f>IFERROR(__xludf.DUMMYFUNCTION("""COMPUTED_VALUE"""),"Executed Qty")</f>
        <v>Executed Qty</v>
      </c>
      <c r="F5" s="56" t="str">
        <f>IFERROR(__xludf.DUMMYFUNCTION("""COMPUTED_VALUE"""),"Trade Date")</f>
        <v>Trade Date</v>
      </c>
      <c r="G5" s="55" t="str">
        <f>IFERROR(__xludf.DUMMYFUNCTION("""COMPUTED_VALUE"""),"Process Date")</f>
        <v>Process Date</v>
      </c>
      <c r="H5" s="55" t="str">
        <f>IFERROR(__xludf.DUMMYFUNCTION("""COMPUTED_VALUE"""),"Original Purchase Date")</f>
        <v>Original Purchase Date</v>
      </c>
      <c r="I5" s="55" t="str">
        <f>IFERROR(__xludf.DUMMYFUNCTION("""COMPUTED_VALUE"""),"Settlement Date")</f>
        <v>Settlement Date</v>
      </c>
      <c r="J5" s="55" t="str">
        <f>IFERROR(__xludf.DUMMYFUNCTION("""COMPUTED_VALUE"""),"ISIN")</f>
        <v>ISIN</v>
      </c>
      <c r="K5" s="55" t="str">
        <f>IFERROR(__xludf.DUMMYFUNCTION("""COMPUTED_VALUE"""),"Internal Comments")</f>
        <v>Internal Comments</v>
      </c>
      <c r="L5" s="55" t="str">
        <f>IFERROR(__xludf.DUMMYFUNCTION("""COMPUTED_VALUE"""),"Accrued Interest")</f>
        <v>Accrued Interest</v>
      </c>
      <c r="M5" s="55" t="str">
        <f>IFERROR(__xludf.DUMMYFUNCTION("""COMPUTED_VALUE"""),"Broker")</f>
        <v>Broker</v>
      </c>
      <c r="N5" s="55" t="str">
        <f>IFERROR(__xludf.DUMMYFUNCTION("""COMPUTED_VALUE"""),"Transaction Type")</f>
        <v>Transaction Type</v>
      </c>
      <c r="O5" s="55" t="str">
        <f>IFERROR(__xludf.DUMMYFUNCTION("""COMPUTED_VALUE"""),"Trade Attribute 1")</f>
        <v>Trade Attribute 1</v>
      </c>
      <c r="P5" s="55" t="str">
        <f>IFERROR(__xludf.DUMMYFUNCTION("""COMPUTED_VALUE"""),"Trade Attribute 2")</f>
        <v>Trade Attribute 2</v>
      </c>
      <c r="Q5" s="55" t="str">
        <f>IFERROR(__xludf.DUMMYFUNCTION("""COMPUTED_VALUE"""),"Trade Attribute 3")</f>
        <v>Trade Attribute 3</v>
      </c>
      <c r="R5" s="55" t="str">
        <f>IFERROR(__xludf.DUMMYFUNCTION("""COMPUTED_VALUE"""),"Trade Attribute 4")</f>
        <v>Trade Attribute 4</v>
      </c>
      <c r="S5" s="55" t="str">
        <f>IFERROR(__xludf.DUMMYFUNCTION("""COMPUTED_VALUE"""),"Trade Attribute 5")</f>
        <v>Trade Attribute 5</v>
      </c>
      <c r="T5" s="41" t="str">
        <f>IFERROR(__xludf.DUMMYFUNCTION("""COMPUTED_VALUE"""),"Trade Attribute 6")</f>
        <v>Trade Attribute 6</v>
      </c>
      <c r="U5" s="41" t="str">
        <f>IFERROR(__xludf.DUMMYFUNCTION("""COMPUTED_VALUE"""),"Commission")</f>
        <v>Commission</v>
      </c>
      <c r="V5" s="41" t="str">
        <f>IFERROR(__xludf.DUMMYFUNCTION("""COMPUTED_VALUE"""),"Soft Commission")</f>
        <v>Soft Commission</v>
      </c>
      <c r="W5" s="41" t="str">
        <f>IFERROR(__xludf.DUMMYFUNCTION("""COMPUTED_VALUE"""),"Other Broker Fees")</f>
        <v>Other Broker Fees</v>
      </c>
      <c r="X5" s="41" t="str">
        <f>IFERROR(__xludf.DUMMYFUNCTION("""COMPUTED_VALUE"""),"Clearing Broker Fee")</f>
        <v>Clearing Broker Fee</v>
      </c>
      <c r="Y5" s="41" t="str">
        <f>IFERROR(__xludf.DUMMYFUNCTION("""COMPUTED_VALUE"""),"Stamp Duty")</f>
        <v>Stamp Duty</v>
      </c>
      <c r="Z5" s="41" t="str">
        <f>IFERROR(__xludf.DUMMYFUNCTION("""COMPUTED_VALUE"""),"AUEC Fee1")</f>
        <v>AUEC Fee1</v>
      </c>
      <c r="AA5" s="41" t="str">
        <f>IFERROR(__xludf.DUMMYFUNCTION("""COMPUTED_VALUE"""),"Tax On Commissions")</f>
        <v>Tax On Commissions</v>
      </c>
      <c r="AB5" s="41" t="str">
        <f>IFERROR(__xludf.DUMMYFUNCTION("""COMPUTED_VALUE"""),"AUEC Fee2")</f>
        <v>AUEC Fee2</v>
      </c>
      <c r="AC5" s="41" t="str">
        <f>IFERROR(__xludf.DUMMYFUNCTION("""COMPUTED_VALUE"""),"SEC Fee")</f>
        <v>SEC Fee</v>
      </c>
      <c r="AD5" s="41" t="str">
        <f>IFERROR(__xludf.DUMMYFUNCTION("""COMPUTED_VALUE"""),"OCC Fee")</f>
        <v>OCC Fee</v>
      </c>
      <c r="AE5" s="41" t="str">
        <f>IFERROR(__xludf.DUMMYFUNCTION("""COMPUTED_VALUE"""),"ORF Fee")</f>
        <v>ORF Fee</v>
      </c>
      <c r="AF5" s="41" t="str">
        <f>IFERROR(__xludf.DUMMYFUNCTION("""COMPUTED_VALUE"""),"Option Premium Adjustment")</f>
        <v>Option Premium Adjustment</v>
      </c>
      <c r="AG5" s="41" t="str">
        <f>IFERROR(__xludf.DUMMYFUNCTION("""COMPUTED_VALUE"""),"Change Comment")</f>
        <v>Change Comment</v>
      </c>
      <c r="AH5" s="41" t="str">
        <f>IFERROR(__xludf.DUMMYFUNCTION("""COMPUTED_VALUE"""),"Avg Price(Local)")</f>
        <v>Avg Price(Local)</v>
      </c>
      <c r="AI5" s="41" t="str">
        <f>IFERROR(__xludf.DUMMYFUNCTION("""COMPUTED_VALUE"""),"Nirvana Process Date")</f>
        <v>Nirvana Process Date</v>
      </c>
      <c r="AJ5" s="41" t="str">
        <f>IFERROR(__xludf.DUMMYFUNCTION("""COMPUTED_VALUE"""),"Closing Date")</f>
        <v>Closing Date</v>
      </c>
      <c r="AK5" s="41" t="str">
        <f>IFERROR(__xludf.DUMMYFUNCTION("""COMPUTED_VALUE"""),"Description")</f>
        <v>Description</v>
      </c>
      <c r="AL5" s="41" t="str">
        <f>IFERROR(__xludf.DUMMYFUNCTION("""COMPUTED_VALUE"""),"Coupon Rate")</f>
        <v>Coupon Rate</v>
      </c>
      <c r="AM5" s="41" t="str">
        <f>IFERROR(__xludf.DUMMYFUNCTION("""COMPUTED_VALUE"""),"Delta")</f>
        <v>Delta</v>
      </c>
      <c r="AN5" s="41" t="str">
        <f>IFERROR(__xludf.DUMMYFUNCTION("""COMPUTED_VALUE"""),"Symbol")</f>
        <v>Symbol</v>
      </c>
      <c r="AO5" s="41" t="str">
        <f>IFERROR(__xludf.DUMMYFUNCTION("""COMPUTED_VALUE"""),"Quantity")</f>
        <v>Quantity</v>
      </c>
      <c r="AP5" s="41" t="str">
        <f>IFERROR(__xludf.DUMMYFUNCTION("""COMPUTED_VALUE"""),"Avg Price(Base)")</f>
        <v>Avg Price(Base)</v>
      </c>
      <c r="AQ5" s="41" t="str">
        <f>IFERROR(__xludf.DUMMYFUNCTION("""COMPUTED_VALUE"""),"Sedol Symbol")</f>
        <v>Sedol Symbol</v>
      </c>
      <c r="AR5" s="41" t="str">
        <f>IFERROR(__xludf.DUMMYFUNCTION("""COMPUTED_VALUE"""),"")</f>
        <v/>
      </c>
      <c r="AS5" s="41" t="str">
        <f>IFERROR(__xludf.DUMMYFUNCTION("""COMPUTED_VALUE"""),"")</f>
        <v/>
      </c>
      <c r="AT5" s="41" t="str">
        <f>IFERROR(__xludf.DUMMYFUNCTION("""COMPUTED_VALUE"""),"")</f>
        <v/>
      </c>
      <c r="AU5" s="41" t="str">
        <f>IFERROR(__xludf.DUMMYFUNCTION("""COMPUTED_VALUE"""),"")</f>
        <v/>
      </c>
      <c r="AV5" s="41" t="str">
        <f>IFERROR(__xludf.DUMMYFUNCTION("""COMPUTED_VALUE"""),"")</f>
        <v/>
      </c>
      <c r="AW5" s="41" t="str">
        <f>IFERROR(__xludf.DUMMYFUNCTION("""COMPUTED_VALUE"""),"")</f>
        <v/>
      </c>
      <c r="AX5" s="41" t="str">
        <f>IFERROR(__xludf.DUMMYFUNCTION("""COMPUTED_VALUE"""),"")</f>
        <v/>
      </c>
      <c r="AY5" s="41" t="str">
        <f>IFERROR(__xludf.DUMMYFUNCTION("""COMPUTED_VALUE"""),"")</f>
        <v/>
      </c>
      <c r="AZ5" s="41" t="str">
        <f>IFERROR(__xludf.DUMMYFUNCTION("""COMPUTED_VALUE"""),"")</f>
        <v/>
      </c>
      <c r="BA5" s="41" t="str">
        <f>IFERROR(__xludf.DUMMYFUNCTION("""COMPUTED_VALUE"""),"")</f>
        <v/>
      </c>
      <c r="BB5" s="41" t="str">
        <f>IFERROR(__xludf.DUMMYFUNCTION("""COMPUTED_VALUE"""),"")</f>
        <v/>
      </c>
      <c r="BC5" s="41" t="str">
        <f>IFERROR(__xludf.DUMMYFUNCTION("""COMPUTED_VALUE"""),"")</f>
        <v/>
      </c>
      <c r="BD5" s="41" t="str">
        <f>IFERROR(__xludf.DUMMYFUNCTION("""COMPUTED_VALUE"""),"")</f>
        <v/>
      </c>
      <c r="BE5" s="41" t="str">
        <f>IFERROR(__xludf.DUMMYFUNCTION("""COMPUTED_VALUE"""),"")</f>
        <v/>
      </c>
      <c r="BF5" s="41" t="str">
        <f>IFERROR(__xludf.DUMMYFUNCTION("""COMPUTED_VALUE"""),"")</f>
        <v/>
      </c>
      <c r="BG5" s="41" t="str">
        <f>IFERROR(__xludf.DUMMYFUNCTION("""COMPUTED_VALUE"""),"")</f>
        <v/>
      </c>
      <c r="BH5" s="41" t="str">
        <f>IFERROR(__xludf.DUMMYFUNCTION("""COMPUTED_VALUE"""),"")</f>
        <v/>
      </c>
      <c r="BI5" s="41" t="str">
        <f>IFERROR(__xludf.DUMMYFUNCTION("""COMPUTED_VALUE"""),"")</f>
        <v/>
      </c>
      <c r="BJ5" s="41" t="str">
        <f>IFERROR(__xludf.DUMMYFUNCTION("""COMPUTED_VALUE"""),"")</f>
        <v/>
      </c>
      <c r="BK5" s="41" t="str">
        <f>IFERROR(__xludf.DUMMYFUNCTION("""COMPUTED_VALUE"""),"")</f>
        <v/>
      </c>
      <c r="BL5" s="41" t="str">
        <f>IFERROR(__xludf.DUMMYFUNCTION("""COMPUTED_VALUE"""),"")</f>
        <v/>
      </c>
      <c r="BM5" s="41" t="str">
        <f>IFERROR(__xludf.DUMMYFUNCTION("""COMPUTED_VALUE"""),"")</f>
        <v/>
      </c>
      <c r="BN5" s="41" t="str">
        <f>IFERROR(__xludf.DUMMYFUNCTION("""COMPUTED_VALUE"""),"")</f>
        <v/>
      </c>
      <c r="BO5" s="41" t="str">
        <f>IFERROR(__xludf.DUMMYFUNCTION("""COMPUTED_VALUE"""),"")</f>
        <v/>
      </c>
      <c r="BP5" s="41" t="str">
        <f>IFERROR(__xludf.DUMMYFUNCTION("""COMPUTED_VALUE"""),"")</f>
        <v/>
      </c>
      <c r="BQ5" s="41" t="str">
        <f>IFERROR(__xludf.DUMMYFUNCTION("""COMPUTED_VALUE"""),"")</f>
        <v/>
      </c>
      <c r="BR5" s="41" t="str">
        <f>IFERROR(__xludf.DUMMYFUNCTION("""COMPUTED_VALUE"""),"")</f>
        <v/>
      </c>
      <c r="BS5" s="41" t="str">
        <f>IFERROR(__xludf.DUMMYFUNCTION("""COMPUTED_VALUE"""),"")</f>
        <v/>
      </c>
      <c r="BT5" s="41" t="str">
        <f>IFERROR(__xludf.DUMMYFUNCTION("""COMPUTED_VALUE"""),"")</f>
        <v/>
      </c>
      <c r="BU5" s="41" t="str">
        <f>IFERROR(__xludf.DUMMYFUNCTION("""COMPUTED_VALUE"""),"")</f>
        <v/>
      </c>
      <c r="BV5" s="41" t="str">
        <f>IFERROR(__xludf.DUMMYFUNCTION("""COMPUTED_VALUE"""),"")</f>
        <v/>
      </c>
      <c r="BW5" s="41" t="str">
        <f>IFERROR(__xludf.DUMMYFUNCTION("""COMPUTED_VALUE"""),"")</f>
        <v/>
      </c>
      <c r="BX5" s="41" t="str">
        <f>IFERROR(__xludf.DUMMYFUNCTION("""COMPUTED_VALUE"""),"")</f>
        <v/>
      </c>
      <c r="BY5" s="41" t="str">
        <f>IFERROR(__xludf.DUMMYFUNCTION("""COMPUTED_VALUE"""),"")</f>
        <v/>
      </c>
      <c r="BZ5" s="41" t="str">
        <f>IFERROR(__xludf.DUMMYFUNCTION("""COMPUTED_VALUE"""),"")</f>
        <v/>
      </c>
      <c r="CA5" s="41" t="str">
        <f>IFERROR(__xludf.DUMMYFUNCTION("""COMPUTED_VALUE"""),"")</f>
        <v/>
      </c>
      <c r="CB5" s="41" t="str">
        <f>IFERROR(__xludf.DUMMYFUNCTION("""COMPUTED_VALUE"""),"")</f>
        <v/>
      </c>
      <c r="CC5" s="41" t="str">
        <f>IFERROR(__xludf.DUMMYFUNCTION("""COMPUTED_VALUE"""),"")</f>
        <v/>
      </c>
      <c r="CD5" s="41" t="str">
        <f>IFERROR(__xludf.DUMMYFUNCTION("""COMPUTED_VALUE"""),"")</f>
        <v/>
      </c>
      <c r="CE5" s="41" t="str">
        <f>IFERROR(__xludf.DUMMYFUNCTION("""COMPUTED_VALUE"""),"")</f>
        <v/>
      </c>
      <c r="CF5" s="41" t="str">
        <f>IFERROR(__xludf.DUMMYFUNCTION("""COMPUTED_VALUE"""),"")</f>
        <v/>
      </c>
      <c r="CG5" s="41" t="str">
        <f>IFERROR(__xludf.DUMMYFUNCTION("""COMPUTED_VALUE"""),"")</f>
        <v/>
      </c>
      <c r="CH5" s="41" t="str">
        <f>IFERROR(__xludf.DUMMYFUNCTION("""COMPUTED_VALUE"""),"")</f>
        <v/>
      </c>
      <c r="CI5" s="41" t="str">
        <f>IFERROR(__xludf.DUMMYFUNCTION("""COMPUTED_VALUE"""),"")</f>
        <v/>
      </c>
      <c r="CJ5" s="41" t="str">
        <f>IFERROR(__xludf.DUMMYFUNCTION("""COMPUTED_VALUE"""),"")</f>
        <v/>
      </c>
      <c r="CK5" s="41" t="str">
        <f>IFERROR(__xludf.DUMMYFUNCTION("""COMPUTED_VALUE"""),"")</f>
        <v/>
      </c>
      <c r="CL5" s="41" t="str">
        <f>IFERROR(__xludf.DUMMYFUNCTION("""COMPUTED_VALUE"""),"")</f>
        <v/>
      </c>
      <c r="CM5" s="41" t="str">
        <f>IFERROR(__xludf.DUMMYFUNCTION("""COMPUTED_VALUE"""),"")</f>
        <v/>
      </c>
      <c r="CN5" s="41" t="str">
        <f>IFERROR(__xludf.DUMMYFUNCTION("""COMPUTED_VALUE"""),"")</f>
        <v/>
      </c>
      <c r="CO5" s="41" t="str">
        <f>IFERROR(__xludf.DUMMYFUNCTION("""COMPUTED_VALUE"""),"")</f>
        <v/>
      </c>
      <c r="CP5" s="41" t="str">
        <f>IFERROR(__xludf.DUMMYFUNCTION("""COMPUTED_VALUE"""),"")</f>
        <v/>
      </c>
      <c r="CQ5" s="41" t="str">
        <f>IFERROR(__xludf.DUMMYFUNCTION("""COMPUTED_VALUE"""),"")</f>
        <v/>
      </c>
      <c r="CR5" s="41" t="str">
        <f>IFERROR(__xludf.DUMMYFUNCTION("""COMPUTED_VALUE"""),"")</f>
        <v/>
      </c>
      <c r="CS5" s="41" t="str">
        <f>IFERROR(__xludf.DUMMYFUNCTION("""COMPUTED_VALUE"""),"")</f>
        <v/>
      </c>
      <c r="CT5" s="41" t="str">
        <f>IFERROR(__xludf.DUMMYFUNCTION("""COMPUTED_VALUE"""),"")</f>
        <v/>
      </c>
      <c r="CU5" s="41" t="str">
        <f>IFERROR(__xludf.DUMMYFUNCTION("""COMPUTED_VALUE"""),"")</f>
        <v/>
      </c>
      <c r="CV5" s="41" t="str">
        <f>IFERROR(__xludf.DUMMYFUNCTION("""COMPUTED_VALUE"""),"")</f>
        <v/>
      </c>
      <c r="CW5" s="41" t="str">
        <f>IFERROR(__xludf.DUMMYFUNCTION("""COMPUTED_VALUE"""),"")</f>
        <v/>
      </c>
      <c r="CX5" s="41" t="str">
        <f>IFERROR(__xludf.DUMMYFUNCTION("""COMPUTED_VALUE"""),"")</f>
        <v/>
      </c>
      <c r="CY5" s="41" t="str">
        <f>IFERROR(__xludf.DUMMYFUNCTION("""COMPUTED_VALUE"""),"")</f>
        <v/>
      </c>
      <c r="CZ5" s="41" t="str">
        <f>IFERROR(__xludf.DUMMYFUNCTION("""COMPUTED_VALUE"""),"")</f>
        <v/>
      </c>
      <c r="DA5" s="41" t="str">
        <f>IFERROR(__xludf.DUMMYFUNCTION("""COMPUTED_VALUE"""),"")</f>
        <v/>
      </c>
      <c r="DB5" s="41" t="str">
        <f>IFERROR(__xludf.DUMMYFUNCTION("""COMPUTED_VALUE"""),"")</f>
        <v/>
      </c>
      <c r="DC5" s="41" t="str">
        <f>IFERROR(__xludf.DUMMYFUNCTION("""COMPUTED_VALUE"""),"")</f>
        <v/>
      </c>
      <c r="DD5" s="41" t="str">
        <f>IFERROR(__xludf.DUMMYFUNCTION("""COMPUTED_VALUE"""),"")</f>
        <v/>
      </c>
      <c r="DE5" s="41" t="str">
        <f>IFERROR(__xludf.DUMMYFUNCTION("""COMPUTED_VALUE"""),"")</f>
        <v/>
      </c>
      <c r="DF5" s="41" t="str">
        <f>IFERROR(__xludf.DUMMYFUNCTION("""COMPUTED_VALUE"""),"")</f>
        <v/>
      </c>
      <c r="DG5" s="41" t="str">
        <f>IFERROR(__xludf.DUMMYFUNCTION("""COMPUTED_VALUE"""),"")</f>
        <v/>
      </c>
      <c r="DH5" s="41" t="str">
        <f>IFERROR(__xludf.DUMMYFUNCTION("""COMPUTED_VALUE"""),"")</f>
        <v/>
      </c>
      <c r="DI5" s="41" t="str">
        <f>IFERROR(__xludf.DUMMYFUNCTION("""COMPUTED_VALUE"""),"")</f>
        <v/>
      </c>
      <c r="DJ5" s="41" t="str">
        <f>IFERROR(__xludf.DUMMYFUNCTION("""COMPUTED_VALUE"""),"")</f>
        <v/>
      </c>
      <c r="DK5" s="41" t="str">
        <f>IFERROR(__xludf.DUMMYFUNCTION("""COMPUTED_VALUE"""),"")</f>
        <v/>
      </c>
      <c r="DL5" s="41" t="str">
        <f>IFERROR(__xludf.DUMMYFUNCTION("""COMPUTED_VALUE"""),"")</f>
        <v/>
      </c>
      <c r="DM5" s="41" t="str">
        <f>IFERROR(__xludf.DUMMYFUNCTION("""COMPUTED_VALUE"""),"")</f>
        <v/>
      </c>
      <c r="DN5" s="41" t="str">
        <f>IFERROR(__xludf.DUMMYFUNCTION("""COMPUTED_VALUE"""),"")</f>
        <v/>
      </c>
      <c r="DO5" s="41" t="str">
        <f>IFERROR(__xludf.DUMMYFUNCTION("""COMPUTED_VALUE"""),"")</f>
        <v/>
      </c>
      <c r="DP5" s="41" t="str">
        <f>IFERROR(__xludf.DUMMYFUNCTION("""COMPUTED_VALUE"""),"")</f>
        <v/>
      </c>
      <c r="DQ5" s="41" t="str">
        <f>IFERROR(__xludf.DUMMYFUNCTION("""COMPUTED_VALUE"""),"")</f>
        <v/>
      </c>
      <c r="DR5" s="41" t="str">
        <f>IFERROR(__xludf.DUMMYFUNCTION("""COMPUTED_VALUE"""),"")</f>
        <v/>
      </c>
      <c r="DS5" s="41" t="str">
        <f>IFERROR(__xludf.DUMMYFUNCTION("""COMPUTED_VALUE"""),"")</f>
        <v/>
      </c>
      <c r="DT5" s="41" t="str">
        <f>IFERROR(__xludf.DUMMYFUNCTION("""COMPUTED_VALUE"""),"")</f>
        <v/>
      </c>
      <c r="DU5" s="41" t="str">
        <f>IFERROR(__xludf.DUMMYFUNCTION("""COMPUTED_VALUE"""),"")</f>
        <v/>
      </c>
      <c r="DV5" s="41" t="str">
        <f>IFERROR(__xludf.DUMMYFUNCTION("""COMPUTED_VALUE"""),"")</f>
        <v/>
      </c>
      <c r="DW5" s="41" t="str">
        <f>IFERROR(__xludf.DUMMYFUNCTION("""COMPUTED_VALUE"""),"")</f>
        <v/>
      </c>
      <c r="DX5" s="41" t="str">
        <f>IFERROR(__xludf.DUMMYFUNCTION("""COMPUTED_VALUE"""),"")</f>
        <v/>
      </c>
      <c r="DY5" s="41" t="str">
        <f>IFERROR(__xludf.DUMMYFUNCTION("""COMPUTED_VALUE"""),"")</f>
        <v/>
      </c>
      <c r="DZ5" s="41" t="str">
        <f>IFERROR(__xludf.DUMMYFUNCTION("""COMPUTED_VALUE"""),"")</f>
        <v/>
      </c>
      <c r="EA5" s="41" t="str">
        <f>IFERROR(__xludf.DUMMYFUNCTION("""COMPUTED_VALUE"""),"")</f>
        <v/>
      </c>
      <c r="EB5" s="41" t="str">
        <f>IFERROR(__xludf.DUMMYFUNCTION("""COMPUTED_VALUE"""),"")</f>
        <v/>
      </c>
      <c r="EC5" s="41" t="str">
        <f>IFERROR(__xludf.DUMMYFUNCTION("""COMPUTED_VALUE"""),"")</f>
        <v/>
      </c>
      <c r="ED5" s="41" t="str">
        <f>IFERROR(__xludf.DUMMYFUNCTION("""COMPUTED_VALUE"""),"")</f>
        <v/>
      </c>
      <c r="EE5" s="41" t="str">
        <f>IFERROR(__xludf.DUMMYFUNCTION("""COMPUTED_VALUE"""),"")</f>
        <v/>
      </c>
      <c r="EF5" s="41" t="str">
        <f>IFERROR(__xludf.DUMMYFUNCTION("""COMPUTED_VALUE"""),"")</f>
        <v/>
      </c>
      <c r="EG5" s="41" t="str">
        <f>IFERROR(__xludf.DUMMYFUNCTION("""COMPUTED_VALUE"""),"")</f>
        <v/>
      </c>
      <c r="EH5" s="41" t="str">
        <f>IFERROR(__xludf.DUMMYFUNCTION("""COMPUTED_VALUE"""),"")</f>
        <v/>
      </c>
      <c r="EI5" s="41" t="str">
        <f>IFERROR(__xludf.DUMMYFUNCTION("""COMPUTED_VALUE"""),"")</f>
        <v/>
      </c>
      <c r="EJ5" s="41" t="str">
        <f>IFERROR(__xludf.DUMMYFUNCTION("""COMPUTED_VALUE"""),"")</f>
        <v/>
      </c>
      <c r="EK5" s="41" t="str">
        <f>IFERROR(__xludf.DUMMYFUNCTION("""COMPUTED_VALUE"""),"")</f>
        <v/>
      </c>
      <c r="EL5" s="41" t="str">
        <f>IFERROR(__xludf.DUMMYFUNCTION("""COMPUTED_VALUE"""),"")</f>
        <v/>
      </c>
      <c r="EM5" s="41" t="str">
        <f>IFERROR(__xludf.DUMMYFUNCTION("""COMPUTED_VALUE"""),"")</f>
        <v/>
      </c>
      <c r="EN5" s="41" t="str">
        <f>IFERROR(__xludf.DUMMYFUNCTION("""COMPUTED_VALUE"""),"")</f>
        <v/>
      </c>
      <c r="EO5" s="41" t="str">
        <f>IFERROR(__xludf.DUMMYFUNCTION("""COMPUTED_VALUE"""),"")</f>
        <v/>
      </c>
      <c r="EP5" s="41" t="str">
        <f>IFERROR(__xludf.DUMMYFUNCTION("""COMPUTED_VALUE"""),"")</f>
        <v/>
      </c>
      <c r="EQ5" s="41" t="str">
        <f>IFERROR(__xludf.DUMMYFUNCTION("""COMPUTED_VALUE"""),"")</f>
        <v/>
      </c>
      <c r="ER5" s="41" t="str">
        <f>IFERROR(__xludf.DUMMYFUNCTION("""COMPUTED_VALUE"""),"")</f>
        <v/>
      </c>
      <c r="ES5" s="41" t="str">
        <f>IFERROR(__xludf.DUMMYFUNCTION("""COMPUTED_VALUE"""),"")</f>
        <v/>
      </c>
      <c r="ET5" s="41" t="str">
        <f>IFERROR(__xludf.DUMMYFUNCTION("""COMPUTED_VALUE"""),"")</f>
        <v/>
      </c>
      <c r="EU5" s="41" t="str">
        <f>IFERROR(__xludf.DUMMYFUNCTION("""COMPUTED_VALUE"""),"")</f>
        <v/>
      </c>
      <c r="EV5" s="41" t="str">
        <f>IFERROR(__xludf.DUMMYFUNCTION("""COMPUTED_VALUE"""),"")</f>
        <v/>
      </c>
      <c r="EW5" s="41" t="str">
        <f>IFERROR(__xludf.DUMMYFUNCTION("""COMPUTED_VALUE"""),"")</f>
        <v/>
      </c>
      <c r="EX5" s="41" t="str">
        <f>IFERROR(__xludf.DUMMYFUNCTION("""COMPUTED_VALUE"""),"")</f>
        <v/>
      </c>
    </row>
    <row r="6" ht="15.75" customHeight="1">
      <c r="A6" s="11"/>
      <c r="B6" s="11"/>
      <c r="C6" s="8"/>
      <c r="D6" s="11"/>
      <c r="E6" s="57"/>
      <c r="F6" s="63">
        <v>44013.0</v>
      </c>
      <c r="G6" s="63"/>
      <c r="H6" s="63"/>
      <c r="I6" s="63"/>
      <c r="J6" s="11"/>
      <c r="K6" s="8"/>
      <c r="L6" s="8"/>
      <c r="M6" s="11"/>
      <c r="N6" s="11"/>
      <c r="O6" s="64"/>
      <c r="P6" s="65"/>
      <c r="Q6" s="65"/>
      <c r="R6" s="65"/>
      <c r="S6" s="65"/>
      <c r="T6" s="64"/>
      <c r="AI6" s="66"/>
      <c r="AN6" s="9" t="s">
        <v>16</v>
      </c>
      <c r="AO6" s="9">
        <v>100.0</v>
      </c>
      <c r="AP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EditUnallocatedGridWPF!$4:$4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#N/A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25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IFERROR(__xludf.DUMMYFUNCTION("""COMPUTED_VALUE"""),"CopyCalculatedPreferenceToolbar")</f>
        <v>CopyCalculatedPreferenceToolbar</v>
      </c>
      <c r="CX4" s="36" t="str">
        <f>IFERROR(__xludf.DUMMYFUNCTION("""COMPUTED_VALUE"""),"CloseOrder")</f>
        <v>CloseOrder</v>
      </c>
      <c r="CY4" s="36" t="str">
        <f>IFERROR(__xludf.DUMMYFUNCTION("""COMPUTED_VALUE"""),"DisableChecksideForAsset")</f>
        <v>DisableChecksideForAsset</v>
      </c>
      <c r="CZ4" s="36" t="str">
        <f>IFERROR(__xludf.DUMMYFUNCTION("""COMPUTED_VALUE"""),"DisableChecksideForAccount")</f>
        <v>DisableChecksideForAccount</v>
      </c>
      <c r="DA4" s="36" t="str">
        <f>IFERROR(__xludf.DUMMYFUNCTION("""COMPUTED_VALUE"""),"DisableChecksideForCounterParty")</f>
        <v>DisableChecksideForCounterParty</v>
      </c>
      <c r="DB4" s="36" t="str">
        <f>IFERROR(__xludf.DUMMYFUNCTION("""COMPUTED_VALUE"""),"DisableCheckside")</f>
        <v>DisableCheckside</v>
      </c>
      <c r="DC4" s="36" t="str">
        <f>IFERROR(__xludf.DUMMYFUNCTION("""COMPUTED_VALUE"""),"ApplyMasterFundFilter")</f>
        <v>ApplyMasterFundFilter</v>
      </c>
      <c r="DD4" s="36" t="str">
        <f>IFERROR(__xludf.DUMMYFUNCTION("""COMPUTED_VALUE"""),"ShowMasterFundOnTT")</f>
        <v>ShowMasterFundOnTT</v>
      </c>
      <c r="DE4" s="36" t="str">
        <f>IFERROR(__xludf.DUMMYFUNCTION("""COMPUTED_VALUE"""),"ShowMasterFundAsClient")</f>
        <v>ShowMasterFundAsClient</v>
      </c>
      <c r="DF4" s="36" t="str">
        <f>IFERROR(__xludf.DUMMYFUNCTION("""COMPUTED_VALUE"""),"SetBrokerAccountMapping")</f>
        <v>SetBrokerAccountMapping</v>
      </c>
      <c r="DG4" s="36" t="str">
        <f>IFERROR(__xludf.DUMMYFUNCTION("""COMPUTED_VALUE"""),"EditUnallocatedGridWPF")</f>
        <v>EditUnallocatedGridWPF</v>
      </c>
      <c r="DH4" s="36" t="str">
        <f>IFERROR(__xludf.DUMMYFUNCTION("""COMPUTED_VALUE"""),"EditAllocatedGridWPF")</f>
        <v>EditAllocatedGridWPF</v>
      </c>
      <c r="DI4" s="36" t="str">
        <f>IFERROR(__xludf.DUMMYFUNCTION("""COMPUTED_VALUE"""),"EditAllocatedGridTaxlot")</f>
        <v>EditAllocatedGridTaxlot</v>
      </c>
      <c r="DJ4" s="36" t="str">
        <f>IFERROR(__xludf.DUMMYFUNCTION("""COMPUTED_VALUE"""),"ExpandCollapseAllocatedGrid")</f>
        <v>ExpandCollapseAllocatedGrid</v>
      </c>
      <c r="DK4" s="36" t="str">
        <f>IFERROR(__xludf.DUMMYFUNCTION("""COMPUTED_VALUE"""),"ExpandCollapseUnallocatedGrid")</f>
        <v>ExpandCollapseUnallocatedGrid</v>
      </c>
      <c r="DL4" s="36" t="str">
        <f>IFERROR(__xludf.DUMMYFUNCTION("""COMPUTED_VALUE"""),"")</f>
        <v/>
      </c>
      <c r="DM4" s="36" t="str">
        <f>IFERROR(__xludf.DUMMYFUNCTION("""COMPUTED_VALUE"""),"")</f>
        <v/>
      </c>
      <c r="DN4" s="36" t="str">
        <f>IFERROR(__xludf.DUMMYFUNCTION("""COMPUTED_VALUE"""),"")</f>
        <v/>
      </c>
      <c r="DO4" s="36" t="str">
        <f>IFERROR(__xludf.DUMMYFUNCTION("""COMPUTED_VALUE"""),"")</f>
        <v/>
      </c>
      <c r="DP4" s="36" t="str">
        <f>IFERROR(__xludf.DUMMYFUNCTION("""COMPUTED_VALUE"""),"")</f>
        <v/>
      </c>
      <c r="DQ4" s="36" t="str">
        <f>IFERROR(__xludf.DUMMYFUNCTION("""COMPUTED_VALUE"""),"")</f>
        <v/>
      </c>
      <c r="DR4" s="36" t="str">
        <f>IFERROR(__xludf.DUMMYFUNCTION("""COMPUTED_VALUE"""),"")</f>
        <v/>
      </c>
      <c r="DS4" s="36" t="str">
        <f>IFERROR(__xludf.DUMMYFUNCTION("""COMPUTED_VALUE"""),"")</f>
        <v/>
      </c>
      <c r="DT4" s="36" t="str">
        <f>IFERROR(__xludf.DUMMYFUNCTION("""COMPUTED_VALUE"""),"")</f>
        <v/>
      </c>
      <c r="DU4" s="36" t="str">
        <f>IFERROR(__xludf.DUMMYFUNCTION("""COMPUTED_VALUE"""),"")</f>
        <v/>
      </c>
      <c r="DV4" s="36" t="str">
        <f>IFERROR(__xludf.DUMMYFUNCTION("""COMPUTED_VALUE"""),"")</f>
        <v/>
      </c>
      <c r="DW4" s="36" t="str">
        <f>IFERROR(__xludf.DUMMYFUNCTION("""COMPUTED_VALUE"""),"")</f>
        <v/>
      </c>
      <c r="DX4" s="36" t="str">
        <f>IFERROR(__xludf.DUMMYFUNCTION("""COMPUTED_VALUE"""),"")</f>
        <v/>
      </c>
      <c r="DY4" s="36" t="str">
        <f>IFERROR(__xludf.DUMMYFUNCTION("""COMPUTED_VALUE"""),"")</f>
        <v/>
      </c>
      <c r="DZ4" s="36" t="str">
        <f>IFERROR(__xludf.DUMMYFUNCTION("""COMPUTED_VALUE"""),"")</f>
        <v/>
      </c>
      <c r="EA4" s="36" t="str">
        <f>IFERROR(__xludf.DUMMYFUNCTION("""COMPUTED_VALUE"""),"")</f>
        <v/>
      </c>
      <c r="EB4" s="36" t="str">
        <f>IFERROR(__xludf.DUMMYFUNCTION("""COMPUTED_VALUE"""),"")</f>
        <v/>
      </c>
      <c r="EC4" s="36" t="str">
        <f>IFERROR(__xludf.DUMMYFUNCTION("""COMPUTED_VALUE"""),"")</f>
        <v/>
      </c>
      <c r="ED4" s="36" t="str">
        <f>IFERROR(__xludf.DUMMYFUNCTION("""COMPUTED_VALUE"""),"")</f>
        <v/>
      </c>
      <c r="EE4" s="36" t="str">
        <f>IFERROR(__xludf.DUMMYFUNCTION("""COMPUTED_VALUE"""),"")</f>
        <v/>
      </c>
      <c r="EF4" s="36" t="str">
        <f>IFERROR(__xludf.DUMMYFUNCTION("""COMPUTED_VALUE"""),"")</f>
        <v/>
      </c>
      <c r="EG4" s="36" t="str">
        <f>IFERROR(__xludf.DUMMYFUNCTION("""COMPUTED_VALUE"""),"")</f>
        <v/>
      </c>
      <c r="EH4" s="36" t="str">
        <f>IFERROR(__xludf.DUMMYFUNCTION("""COMPUTED_VALUE"""),"")</f>
        <v/>
      </c>
      <c r="EI4" s="36" t="str">
        <f>IFERROR(__xludf.DUMMYFUNCTION("""COMPUTED_VALUE"""),"")</f>
        <v/>
      </c>
      <c r="EJ4" s="36" t="str">
        <f>IFERROR(__xludf.DUMMYFUNCTION("""COMPUTED_VALUE"""),"")</f>
        <v/>
      </c>
      <c r="EK4" s="36" t="str">
        <f>IFERROR(__xludf.DUMMYFUNCTION("""COMPUTED_VALUE"""),"")</f>
        <v/>
      </c>
      <c r="EL4" s="36" t="str">
        <f>IFERROR(__xludf.DUMMYFUNCTION("""COMPUTED_VALUE"""),"")</f>
        <v/>
      </c>
      <c r="EM4" s="36" t="str">
        <f>IFERROR(__xludf.DUMMYFUNCTION("""COMPUTED_VALUE"""),"")</f>
        <v/>
      </c>
      <c r="EN4" s="36" t="str">
        <f>IFERROR(__xludf.DUMMYFUNCTION("""COMPUTED_VALUE"""),"")</f>
        <v/>
      </c>
      <c r="EO4" s="36" t="str">
        <f>IFERROR(__xludf.DUMMYFUNCTION("""COMPUTED_VALUE"""),"")</f>
        <v/>
      </c>
      <c r="EP4" s="36" t="str">
        <f>IFERROR(__xludf.DUMMYFUNCTION("""COMPUTED_VALUE"""),"")</f>
        <v/>
      </c>
      <c r="EQ4" s="36" t="str">
        <f>IFERROR(__xludf.DUMMYFUNCTION("""COMPUTED_VALUE"""),"")</f>
        <v/>
      </c>
      <c r="ER4" s="36" t="str">
        <f>IFERROR(__xludf.DUMMYFUNCTION("""COMPUTED_VALUE"""),"")</f>
        <v/>
      </c>
      <c r="ES4" s="36" t="str">
        <f>IFERROR(__xludf.DUMMYFUNCTION("""COMPUTED_VALUE"""),"")</f>
        <v/>
      </c>
      <c r="ET4" s="36" t="str">
        <f>IFERROR(__xludf.DUMMYFUNCTION("""COMPUTED_VALUE"""),"")</f>
        <v/>
      </c>
      <c r="EU4" s="36" t="str">
        <f>IFERROR(__xludf.DUMMYFUNCTION("""COMPUTED_VALUE"""),"")</f>
        <v/>
      </c>
      <c r="EV4" s="36" t="str">
        <f>IFERROR(__xludf.DUMMYFUNCTION("""COMPUTED_VALUE"""),"")</f>
        <v/>
      </c>
      <c r="EW4" s="36" t="str">
        <f>IFERROR(__xludf.DUMMYFUNCTION("""COMPUTED_VALUE"""),"")</f>
        <v/>
      </c>
      <c r="EX4" s="36" t="str">
        <f>IFERROR(__xludf.DUMMYFUNCTION("""COMPUTED_VALUE"""),"")</f>
        <v/>
      </c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IFERROR(__xludf.DUMMYFUNCTION("""COMPUTED_VALUE"""),"Symbol")</f>
        <v>Symbol</v>
      </c>
      <c r="C5" s="55" t="str">
        <f>IFERROR(__xludf.DUMMYFUNCTION("""COMPUTED_VALUE"""),"Side")</f>
        <v>Side</v>
      </c>
      <c r="D5" s="55" t="str">
        <f>IFERROR(__xludf.DUMMYFUNCTION("""COMPUTED_VALUE"""),"Quantity")</f>
        <v>Quantity</v>
      </c>
      <c r="E5" s="55" t="str">
        <f>IFERROR(__xludf.DUMMYFUNCTION("""COMPUTED_VALUE"""),"Executed Qty")</f>
        <v>Executed Qty</v>
      </c>
      <c r="F5" s="56" t="str">
        <f>IFERROR(__xludf.DUMMYFUNCTION("""COMPUTED_VALUE"""),"Trade Date")</f>
        <v>Trade Date</v>
      </c>
      <c r="G5" s="55" t="str">
        <f>IFERROR(__xludf.DUMMYFUNCTION("""COMPUTED_VALUE"""),"Net Amount( Local)")</f>
        <v>Net Amount( Local)</v>
      </c>
      <c r="H5" s="55" t="str">
        <f>IFERROR(__xludf.DUMMYFUNCTION("""COMPUTED_VALUE"""),"Net Amount( Base)")</f>
        <v>Net Amount( Base)</v>
      </c>
      <c r="I5" s="55" t="str">
        <f>IFERROR(__xludf.DUMMYFUNCTION("""COMPUTED_VALUE"""),"Principal Amount( Local)")</f>
        <v>Principal Amount( Local)</v>
      </c>
      <c r="J5" s="55" t="str">
        <f>IFERROR(__xludf.DUMMYFUNCTION("""COMPUTED_VALUE"""),"Transaction Type")</f>
        <v>Transaction Type</v>
      </c>
      <c r="K5" s="55" t="str">
        <f>IFERROR(__xludf.DUMMYFUNCTION("""COMPUTED_VALUE"""),"Principal Amount( Base)")</f>
        <v>Principal Amount( Base)</v>
      </c>
      <c r="L5" s="55" t="str">
        <f>IFERROR(__xludf.DUMMYFUNCTION("""COMPUTED_VALUE"""),"Execution Time")</f>
        <v>Execution Time</v>
      </c>
      <c r="M5" s="55" t="str">
        <f>IFERROR(__xludf.DUMMYFUNCTION("""COMPUTED_VALUE"""),"Trading Account")</f>
        <v>Trading Account</v>
      </c>
      <c r="N5" s="55" t="str">
        <f>IFERROR(__xludf.DUMMYFUNCTION("""COMPUTED_VALUE"""),"Avg Price(Local)")</f>
        <v>Avg Price(Local)</v>
      </c>
      <c r="O5" s="55" t="str">
        <f>IFERROR(__xludf.DUMMYFUNCTION("""COMPUTED_VALUE"""),"Avg Price(Base)")</f>
        <v>Avg Price(Base)</v>
      </c>
      <c r="P5" s="55" t="str">
        <f>IFERROR(__xludf.DUMMYFUNCTION("""COMPUTED_VALUE"""),"Broker")</f>
        <v>Broker</v>
      </c>
      <c r="Q5" s="55" t="str">
        <f>IFERROR(__xludf.DUMMYFUNCTION("""COMPUTED_VALUE"""),"FX Rate")</f>
        <v>FX Rate</v>
      </c>
      <c r="R5" s="55" t="str">
        <f>IFERROR(__xludf.DUMMYFUNCTION("""COMPUTED_VALUE"""),"Venue")</f>
        <v>Venue</v>
      </c>
      <c r="S5" s="55" t="str">
        <f>IFERROR(__xludf.DUMMYFUNCTION("""COMPUTED_VALUE"""),"FX Conversion Operator")</f>
        <v>FX Conversion Operator</v>
      </c>
      <c r="T5" s="41" t="str">
        <f>IFERROR(__xludf.DUMMYFUNCTION("""COMPUTED_VALUE"""),"User")</f>
        <v>User</v>
      </c>
      <c r="U5" s="41" t="str">
        <f>IFERROR(__xludf.DUMMYFUNCTION("""COMPUTED_VALUE"""),"Asset Category")</f>
        <v>Asset Category</v>
      </c>
      <c r="V5" s="41" t="str">
        <f>IFERROR(__xludf.DUMMYFUNCTION("""COMPUTED_VALUE"""),"Settlement Currency")</f>
        <v>Settlement Currency</v>
      </c>
      <c r="W5" s="41" t="str">
        <f>IFERROR(__xludf.DUMMYFUNCTION("""COMPUTED_VALUE"""),"Commission Per Share")</f>
        <v>Commission Per Share</v>
      </c>
      <c r="X5" s="41" t="str">
        <f>IFERROR(__xludf.DUMMYFUNCTION("""COMPUTED_VALUE"""),"Soft Commission Per Share")</f>
        <v>Soft Commission Per Share</v>
      </c>
      <c r="Y5" s="41" t="str">
        <f>IFERROR(__xludf.DUMMYFUNCTION("""COMPUTED_VALUE"""),"Total Commission Per Share")</f>
        <v>Total Commission Per Share</v>
      </c>
      <c r="Z5" s="41" t="str">
        <f>IFERROR(__xludf.DUMMYFUNCTION("""COMPUTED_VALUE"""),"Change Type")</f>
        <v>Change Type</v>
      </c>
      <c r="AA5" s="41" t="str">
        <f>IFERROR(__xludf.DUMMYFUNCTION("""COMPUTED_VALUE"""),"Trade Attribute 1")</f>
        <v>Trade Attribute 1</v>
      </c>
      <c r="AB5" s="41" t="str">
        <f>IFERROR(__xludf.DUMMYFUNCTION("""COMPUTED_VALUE"""),"Trade Attribute 2")</f>
        <v>Trade Attribute 2</v>
      </c>
      <c r="AC5" s="41" t="str">
        <f>IFERROR(__xludf.DUMMYFUNCTION("""COMPUTED_VALUE"""),"Trade Attribute 3")</f>
        <v>Trade Attribute 3</v>
      </c>
      <c r="AD5" s="41" t="str">
        <f>IFERROR(__xludf.DUMMYFUNCTION("""COMPUTED_VALUE"""),"Trade Attribute 4")</f>
        <v>Trade Attribute 4</v>
      </c>
      <c r="AE5" s="41" t="str">
        <f>IFERROR(__xludf.DUMMYFUNCTION("""COMPUTED_VALUE"""),"Trade Attribute 5")</f>
        <v>Trade Attribute 5</v>
      </c>
      <c r="AF5" s="41" t="str">
        <f>IFERROR(__xludf.DUMMYFUNCTION("""COMPUTED_VALUE"""),"Trade Attribute 6")</f>
        <v>Trade Attribute 6</v>
      </c>
      <c r="AG5" s="41" t="str">
        <f>IFERROR(__xludf.DUMMYFUNCTION("""COMPUTED_VALUE"""),"IsPreAllocated")</f>
        <v>IsPreAllocated</v>
      </c>
      <c r="AH5" s="41" t="str">
        <f>IFERROR(__xludf.DUMMYFUNCTION("""COMPUTED_VALUE"""),"IsManual Group")</f>
        <v>IsManual Group</v>
      </c>
      <c r="AI5" s="41" t="str">
        <f>IFERROR(__xludf.DUMMYFUNCTION("""COMPUTED_VALUE"""),"IsAnotherTaxlotAttributesUpdated")</f>
        <v>IsAnotherTaxlotAttributesUpdated</v>
      </c>
      <c r="AJ5" s="41" t="str">
        <f>IFERROR(__xludf.DUMMYFUNCTION("""COMPUTED_VALUE"""),"ISNDF")</f>
        <v>ISNDF</v>
      </c>
      <c r="AK5" s="41" t="str">
        <f>IFERROR(__xludf.DUMMYFUNCTION("""COMPUTED_VALUE"""),"M2MProfitLoss")</f>
        <v>M2MProfitLoss</v>
      </c>
      <c r="AL5" s="41" t="str">
        <f>IFERROR(__xludf.DUMMYFUNCTION("""COMPUTED_VALUE"""),"Put Or Call")</f>
        <v>Put Or Call</v>
      </c>
      <c r="AM5" s="41" t="str">
        <f>IFERROR(__xludf.DUMMYFUNCTION("""COMPUTED_VALUE"""),"GroupID")</f>
        <v>GroupID</v>
      </c>
      <c r="AN5" s="41" t="str">
        <f>IFERROR(__xludf.DUMMYFUNCTION("""COMPUTED_VALUE"""),"UnAllocatedQty")</f>
        <v>UnAllocatedQty</v>
      </c>
      <c r="AO5" s="41" t="str">
        <f>IFERROR(__xludf.DUMMYFUNCTION("""COMPUTED_VALUE"""),"Allocated Qty")</f>
        <v>Allocated Qty</v>
      </c>
      <c r="AP5" s="41" t="str">
        <f>IFERROR(__xludf.DUMMYFUNCTION("""COMPUTED_VALUE"""),"Commission")</f>
        <v>Commission</v>
      </c>
      <c r="AQ5" s="41" t="str">
        <f>IFERROR(__xludf.DUMMYFUNCTION("""COMPUTED_VALUE"""),"Soft Commission")</f>
        <v>Soft Commission</v>
      </c>
      <c r="AR5" s="41" t="str">
        <f>IFERROR(__xludf.DUMMYFUNCTION("""COMPUTED_VALUE"""),"Other Broker Fees")</f>
        <v>Other Broker Fees</v>
      </c>
      <c r="AS5" s="41" t="str">
        <f>IFERROR(__xludf.DUMMYFUNCTION("""COMPUTED_VALUE"""),"Clearing Broker Fee")</f>
        <v>Clearing Broker Fee</v>
      </c>
      <c r="AT5" s="41" t="str">
        <f>IFERROR(__xludf.DUMMYFUNCTION("""COMPUTED_VALUE"""),"Total Commission And Fee")</f>
        <v>Total Commission And Fee</v>
      </c>
      <c r="AU5" s="41" t="str">
        <f>IFERROR(__xludf.DUMMYFUNCTION("""COMPUTED_VALUE"""),"Transaction Levy")</f>
        <v>Transaction Levy</v>
      </c>
      <c r="AV5" s="41" t="str">
        <f>IFERROR(__xludf.DUMMYFUNCTION("""COMPUTED_VALUE"""),"Stamp Duty")</f>
        <v>Stamp Duty</v>
      </c>
      <c r="AW5" s="41" t="str">
        <f>IFERROR(__xludf.DUMMYFUNCTION("""COMPUTED_VALUE"""),"AUEC Fee1")</f>
        <v>AUEC Fee1</v>
      </c>
      <c r="AX5" s="41" t="str">
        <f>IFERROR(__xludf.DUMMYFUNCTION("""COMPUTED_VALUE"""),"Tax On Commissions")</f>
        <v>Tax On Commissions</v>
      </c>
      <c r="AY5" s="41" t="str">
        <f>IFERROR(__xludf.DUMMYFUNCTION("""COMPUTED_VALUE"""),"AUEC Fee2")</f>
        <v>AUEC Fee2</v>
      </c>
      <c r="AZ5" s="41" t="str">
        <f>IFERROR(__xludf.DUMMYFUNCTION("""COMPUTED_VALUE"""),"SEC Fee")</f>
        <v>SEC Fee</v>
      </c>
      <c r="BA5" s="41" t="str">
        <f>IFERROR(__xludf.DUMMYFUNCTION("""COMPUTED_VALUE"""),"OCC Fee")</f>
        <v>OCC Fee</v>
      </c>
      <c r="BB5" s="41" t="str">
        <f>IFERROR(__xludf.DUMMYFUNCTION("""COMPUTED_VALUE"""),"ORF Fee")</f>
        <v>ORF Fee</v>
      </c>
      <c r="BC5" s="41" t="str">
        <f>IFERROR(__xludf.DUMMYFUNCTION("""COMPUTED_VALUE"""),"Option Premium Adjustment")</f>
        <v>Option Premium Adjustment</v>
      </c>
      <c r="BD5" s="41" t="str">
        <f>IFERROR(__xludf.DUMMYFUNCTION("""COMPUTED_VALUE"""),"Prana Msg Type")</f>
        <v>Prana Msg Type</v>
      </c>
      <c r="BE5" s="41" t="str">
        <f>IFERROR(__xludf.DUMMYFUNCTION("""COMPUTED_VALUE"""),"Total Commission")</f>
        <v>Total Commission</v>
      </c>
      <c r="BF5" s="41" t="str">
        <f>IFERROR(__xludf.DUMMYFUNCTION("""COMPUTED_VALUE"""),"Closing Status")</f>
        <v>Closing Status</v>
      </c>
      <c r="BG5" s="41" t="str">
        <f>IFERROR(__xludf.DUMMYFUNCTION("""COMPUTED_VALUE"""),"Closing Method")</f>
        <v>Closing Method</v>
      </c>
      <c r="BH5" s="41" t="str">
        <f>IFERROR(__xludf.DUMMYFUNCTION("""COMPUTED_VALUE"""),"Group Status")</f>
        <v>Group Status</v>
      </c>
      <c r="BI5" s="41" t="str">
        <f>IFERROR(__xludf.DUMMYFUNCTION("""COMPUTED_VALUE"""),"Allocation Scheme Name")</f>
        <v>Allocation Scheme Name</v>
      </c>
      <c r="BJ5" s="41" t="str">
        <f>IFERROR(__xludf.DUMMYFUNCTION("""COMPUTED_VALUE"""),"Change Comment")</f>
        <v>Change Comment</v>
      </c>
      <c r="BK5" s="41" t="str">
        <f>IFERROR(__xludf.DUMMYFUNCTION("""COMPUTED_VALUE"""),"Order Type")</f>
        <v>Order Type</v>
      </c>
      <c r="BL5" s="41" t="str">
        <f>IFERROR(__xludf.DUMMYFUNCTION("""COMPUTED_VALUE"""),"Underlying")</f>
        <v>Underlying</v>
      </c>
      <c r="BM5" s="41" t="str">
        <f>IFERROR(__xludf.DUMMYFUNCTION("""COMPUTED_VALUE"""),"Exchange")</f>
        <v>Exchange</v>
      </c>
      <c r="BN5" s="41" t="str">
        <f>IFERROR(__xludf.DUMMYFUNCTION("""COMPUTED_VALUE"""),"Currency")</f>
        <v>Currency</v>
      </c>
      <c r="BO5" s="41" t="str">
        <f>IFERROR(__xludf.DUMMYFUNCTION("""COMPUTED_VALUE"""),"AUECID")</f>
        <v>AUECID</v>
      </c>
      <c r="BP5" s="41" t="str">
        <f>IFERROR(__xludf.DUMMYFUNCTION("""COMPUTED_VALUE"""),"Cum Qty For Sub Order")</f>
        <v>Cum Qty For Sub Order</v>
      </c>
      <c r="BQ5" s="41" t="str">
        <f>IFERROR(__xludf.DUMMYFUNCTION("""COMPUTED_VALUE"""),"Contract Multiplier")</f>
        <v>Contract Multiplier</v>
      </c>
      <c r="BR5" s="41" t="str">
        <f>IFERROR(__xludf.DUMMYFUNCTION("""COMPUTED_VALUE"""),"Company")</f>
        <v>Company</v>
      </c>
      <c r="BS5" s="41" t="str">
        <f>IFERROR(__xludf.DUMMYFUNCTION("""COMPUTED_VALUE"""),"Nirvana Process Date")</f>
        <v>Nirvana Process Date</v>
      </c>
      <c r="BT5" s="41" t="str">
        <f>IFERROR(__xludf.DUMMYFUNCTION("""COMPUTED_VALUE"""),"Process Date")</f>
        <v>Process Date</v>
      </c>
      <c r="BU5" s="41" t="str">
        <f>IFERROR(__xludf.DUMMYFUNCTION("""COMPUTED_VALUE"""),"Original Purchase Date")</f>
        <v>Original Purchase Date</v>
      </c>
      <c r="BV5" s="41" t="str">
        <f>IFERROR(__xludf.DUMMYFUNCTION("""COMPUTED_VALUE"""),"Closing Date")</f>
        <v>Closing Date</v>
      </c>
      <c r="BW5" s="41" t="str">
        <f>IFERROR(__xludf.DUMMYFUNCTION("""COMPUTED_VALUE"""),"Settlement Date")</f>
        <v>Settlement Date</v>
      </c>
      <c r="BX5" s="41" t="str">
        <f>IFERROR(__xludf.DUMMYFUNCTION("""COMPUTED_VALUE"""),"Expiration Date")</f>
        <v>Expiration Date</v>
      </c>
      <c r="BY5" s="41" t="str">
        <f>IFERROR(__xludf.DUMMYFUNCTION("""COMPUTED_VALUE"""),"Description")</f>
        <v>Description</v>
      </c>
      <c r="BZ5" s="41" t="str">
        <f>IFERROR(__xludf.DUMMYFUNCTION("""COMPUTED_VALUE"""),"Underlying Symbol")</f>
        <v>Underlying Symbol</v>
      </c>
      <c r="CA5" s="41" t="str">
        <f>IFERROR(__xludf.DUMMYFUNCTION("""COMPUTED_VALUE"""),"Accrued Interest")</f>
        <v>Accrued Interest</v>
      </c>
      <c r="CB5" s="41" t="str">
        <f>IFERROR(__xludf.DUMMYFUNCTION("""COMPUTED_VALUE"""),"Accrual Basis")</f>
        <v>Accrual Basis</v>
      </c>
      <c r="CC5" s="41" t="str">
        <f>IFERROR(__xludf.DUMMYFUNCTION("""COMPUTED_VALUE"""),"Bond Type")</f>
        <v>Bond Type</v>
      </c>
      <c r="CD5" s="41" t="str">
        <f>IFERROR(__xludf.DUMMYFUNCTION("""COMPUTED_VALUE"""),"Coupon Rate")</f>
        <v>Coupon Rate</v>
      </c>
      <c r="CE5" s="41" t="str">
        <f>IFERROR(__xludf.DUMMYFUNCTION("""COMPUTED_VALUE"""),"Delta")</f>
        <v>Delta</v>
      </c>
      <c r="CF5" s="41" t="str">
        <f>IFERROR(__xludf.DUMMYFUNCTION("""COMPUTED_VALUE"""),"Bloomberg")</f>
        <v>Bloomberg</v>
      </c>
      <c r="CG5" s="41" t="str">
        <f>IFERROR(__xludf.DUMMYFUNCTION("""COMPUTED_VALUE"""),"Sedol Symbol")</f>
        <v>Sedol Symbol</v>
      </c>
      <c r="CH5" s="41" t="str">
        <f>IFERROR(__xludf.DUMMYFUNCTION("""COMPUTED_VALUE"""),"Cusip Symbol")</f>
        <v>Cusip Symbol</v>
      </c>
      <c r="CI5" s="41" t="str">
        <f>IFERROR(__xludf.DUMMYFUNCTION("""COMPUTED_VALUE"""),"ISIN")</f>
        <v>ISIN</v>
      </c>
      <c r="CJ5" s="41" t="str">
        <f>IFERROR(__xludf.DUMMYFUNCTION("""COMPUTED_VALUE"""),"OSISSymbol")</f>
        <v>OSISSymbol</v>
      </c>
      <c r="CK5" s="41" t="str">
        <f>IFERROR(__xludf.DUMMYFUNCTION("""COMPUTED_VALUE"""),"IDCOSymbol")</f>
        <v>IDCOSymbol</v>
      </c>
      <c r="CL5" s="41" t="str">
        <f>IFERROR(__xludf.DUMMYFUNCTION("""COMPUTED_VALUE"""),"Underlying Delta")</f>
        <v>Underlying Delta</v>
      </c>
      <c r="CM5" s="41" t="str">
        <f>IFERROR(__xludf.DUMMYFUNCTION("""COMPUTED_VALUE"""),"Internal Comments")</f>
        <v>Internal Comments</v>
      </c>
      <c r="CN5" s="41" t="str">
        <f>IFERROR(__xludf.DUMMYFUNCTION("""COMPUTED_VALUE"""),"Proxy Symbol")</f>
        <v>Proxy Symbol</v>
      </c>
      <c r="CO5" s="41" t="str">
        <f>IFERROR(__xludf.DUMMYFUNCTION("""COMPUTED_VALUE"""),"Transaction Source")</f>
        <v>Transaction Source</v>
      </c>
      <c r="CP5" s="41" t="str">
        <f>IFERROR(__xludf.DUMMYFUNCTION("""COMPUTED_VALUE"""),"Import File Name")</f>
        <v>Import File Name</v>
      </c>
      <c r="CQ5" s="41" t="str">
        <f>IFERROR(__xludf.DUMMYFUNCTION("""COMPUTED_VALUE"""),"Master Fund")</f>
        <v>Master Fund</v>
      </c>
      <c r="CR5" s="41" t="str">
        <f>IFERROR(__xludf.DUMMYFUNCTION("""COMPUTED_VALUE"""),"Client")</f>
        <v>Client</v>
      </c>
      <c r="CS5" s="41" t="str">
        <f>IFERROR(__xludf.DUMMYFUNCTION("""COMPUTED_VALUE"""),"")</f>
        <v/>
      </c>
      <c r="CT5" s="41" t="str">
        <f>IFERROR(__xludf.DUMMYFUNCTION("""COMPUTED_VALUE"""),"")</f>
        <v/>
      </c>
      <c r="CU5" s="41" t="str">
        <f>IFERROR(__xludf.DUMMYFUNCTION("""COMPUTED_VALUE"""),"")</f>
        <v/>
      </c>
      <c r="CV5" s="41" t="str">
        <f>IFERROR(__xludf.DUMMYFUNCTION("""COMPUTED_VALUE"""),"")</f>
        <v/>
      </c>
      <c r="CW5" s="41" t="str">
        <f>IFERROR(__xludf.DUMMYFUNCTION("""COMPUTED_VALUE"""),"")</f>
        <v/>
      </c>
      <c r="CX5" s="41" t="str">
        <f>IFERROR(__xludf.DUMMYFUNCTION("""COMPUTED_VALUE"""),"")</f>
        <v/>
      </c>
      <c r="CY5" s="41" t="str">
        <f>IFERROR(__xludf.DUMMYFUNCTION("""COMPUTED_VALUE"""),"")</f>
        <v/>
      </c>
      <c r="CZ5" s="41" t="str">
        <f>IFERROR(__xludf.DUMMYFUNCTION("""COMPUTED_VALUE"""),"")</f>
        <v/>
      </c>
      <c r="DA5" s="41" t="str">
        <f>IFERROR(__xludf.DUMMYFUNCTION("""COMPUTED_VALUE"""),"")</f>
        <v/>
      </c>
      <c r="DB5" s="41" t="str">
        <f>IFERROR(__xludf.DUMMYFUNCTION("""COMPUTED_VALUE"""),"")</f>
        <v/>
      </c>
      <c r="DC5" s="41" t="str">
        <f>IFERROR(__xludf.DUMMYFUNCTION("""COMPUTED_VALUE"""),"")</f>
        <v/>
      </c>
      <c r="DD5" s="41" t="str">
        <f>IFERROR(__xludf.DUMMYFUNCTION("""COMPUTED_VALUE"""),"")</f>
        <v/>
      </c>
      <c r="DE5" s="41" t="str">
        <f>IFERROR(__xludf.DUMMYFUNCTION("""COMPUTED_VALUE"""),"")</f>
        <v/>
      </c>
      <c r="DF5" s="41" t="str">
        <f>IFERROR(__xludf.DUMMYFUNCTION("""COMPUTED_VALUE"""),"")</f>
        <v/>
      </c>
      <c r="DG5" s="41" t="str">
        <f>IFERROR(__xludf.DUMMYFUNCTION("""COMPUTED_VALUE"""),"")</f>
        <v/>
      </c>
      <c r="DH5" s="41" t="str">
        <f>IFERROR(__xludf.DUMMYFUNCTION("""COMPUTED_VALUE"""),"")</f>
        <v/>
      </c>
      <c r="DI5" s="41" t="str">
        <f>IFERROR(__xludf.DUMMYFUNCTION("""COMPUTED_VALUE"""),"")</f>
        <v/>
      </c>
      <c r="DJ5" s="41" t="str">
        <f>IFERROR(__xludf.DUMMYFUNCTION("""COMPUTED_VALUE"""),"")</f>
        <v/>
      </c>
      <c r="DK5" s="41" t="str">
        <f>IFERROR(__xludf.DUMMYFUNCTION("""COMPUTED_VALUE"""),"")</f>
        <v/>
      </c>
      <c r="DL5" s="41" t="str">
        <f>IFERROR(__xludf.DUMMYFUNCTION("""COMPUTED_VALUE"""),"")</f>
        <v/>
      </c>
      <c r="DM5" s="41" t="str">
        <f>IFERROR(__xludf.DUMMYFUNCTION("""COMPUTED_VALUE"""),"")</f>
        <v/>
      </c>
      <c r="DN5" s="41" t="str">
        <f>IFERROR(__xludf.DUMMYFUNCTION("""COMPUTED_VALUE"""),"")</f>
        <v/>
      </c>
      <c r="DO5" s="41" t="str">
        <f>IFERROR(__xludf.DUMMYFUNCTION("""COMPUTED_VALUE"""),"")</f>
        <v/>
      </c>
      <c r="DP5" s="41" t="str">
        <f>IFERROR(__xludf.DUMMYFUNCTION("""COMPUTED_VALUE"""),"")</f>
        <v/>
      </c>
      <c r="DQ5" s="41" t="str">
        <f>IFERROR(__xludf.DUMMYFUNCTION("""COMPUTED_VALUE"""),"")</f>
        <v/>
      </c>
      <c r="DR5" s="41" t="str">
        <f>IFERROR(__xludf.DUMMYFUNCTION("""COMPUTED_VALUE"""),"")</f>
        <v/>
      </c>
      <c r="DS5" s="41" t="str">
        <f>IFERROR(__xludf.DUMMYFUNCTION("""COMPUTED_VALUE"""),"")</f>
        <v/>
      </c>
      <c r="DT5" s="41" t="str">
        <f>IFERROR(__xludf.DUMMYFUNCTION("""COMPUTED_VALUE"""),"")</f>
        <v/>
      </c>
      <c r="DU5" s="41" t="str">
        <f>IFERROR(__xludf.DUMMYFUNCTION("""COMPUTED_VALUE"""),"")</f>
        <v/>
      </c>
      <c r="DV5" s="41" t="str">
        <f>IFERROR(__xludf.DUMMYFUNCTION("""COMPUTED_VALUE"""),"")</f>
        <v/>
      </c>
      <c r="DW5" s="41" t="str">
        <f>IFERROR(__xludf.DUMMYFUNCTION("""COMPUTED_VALUE"""),"")</f>
        <v/>
      </c>
      <c r="DX5" s="41" t="str">
        <f>IFERROR(__xludf.DUMMYFUNCTION("""COMPUTED_VALUE"""),"")</f>
        <v/>
      </c>
      <c r="DY5" s="41" t="str">
        <f>IFERROR(__xludf.DUMMYFUNCTION("""COMPUTED_VALUE"""),"")</f>
        <v/>
      </c>
      <c r="DZ5" s="41" t="str">
        <f>IFERROR(__xludf.DUMMYFUNCTION("""COMPUTED_VALUE"""),"")</f>
        <v/>
      </c>
      <c r="EA5" s="41" t="str">
        <f>IFERROR(__xludf.DUMMYFUNCTION("""COMPUTED_VALUE"""),"")</f>
        <v/>
      </c>
      <c r="EB5" s="41" t="str">
        <f>IFERROR(__xludf.DUMMYFUNCTION("""COMPUTED_VALUE"""),"")</f>
        <v/>
      </c>
      <c r="EC5" s="41" t="str">
        <f>IFERROR(__xludf.DUMMYFUNCTION("""COMPUTED_VALUE"""),"")</f>
        <v/>
      </c>
      <c r="ED5" s="41" t="str">
        <f>IFERROR(__xludf.DUMMYFUNCTION("""COMPUTED_VALUE"""),"")</f>
        <v/>
      </c>
      <c r="EE5" s="41" t="str">
        <f>IFERROR(__xludf.DUMMYFUNCTION("""COMPUTED_VALUE"""),"")</f>
        <v/>
      </c>
      <c r="EF5" s="41" t="str">
        <f>IFERROR(__xludf.DUMMYFUNCTION("""COMPUTED_VALUE"""),"")</f>
        <v/>
      </c>
      <c r="EG5" s="41" t="str">
        <f>IFERROR(__xludf.DUMMYFUNCTION("""COMPUTED_VALUE"""),"")</f>
        <v/>
      </c>
      <c r="EH5" s="41" t="str">
        <f>IFERROR(__xludf.DUMMYFUNCTION("""COMPUTED_VALUE"""),"")</f>
        <v/>
      </c>
      <c r="EI5" s="41" t="str">
        <f>IFERROR(__xludf.DUMMYFUNCTION("""COMPUTED_VALUE"""),"")</f>
        <v/>
      </c>
      <c r="EJ5" s="41" t="str">
        <f>IFERROR(__xludf.DUMMYFUNCTION("""COMPUTED_VALUE"""),"")</f>
        <v/>
      </c>
      <c r="EK5" s="41" t="str">
        <f>IFERROR(__xludf.DUMMYFUNCTION("""COMPUTED_VALUE"""),"")</f>
        <v/>
      </c>
      <c r="EL5" s="41" t="str">
        <f>IFERROR(__xludf.DUMMYFUNCTION("""COMPUTED_VALUE"""),"")</f>
        <v/>
      </c>
      <c r="EM5" s="41" t="str">
        <f>IFERROR(__xludf.DUMMYFUNCTION("""COMPUTED_VALUE"""),"")</f>
        <v/>
      </c>
      <c r="EN5" s="41" t="str">
        <f>IFERROR(__xludf.DUMMYFUNCTION("""COMPUTED_VALUE"""),"")</f>
        <v/>
      </c>
      <c r="EO5" s="41" t="str">
        <f>IFERROR(__xludf.DUMMYFUNCTION("""COMPUTED_VALUE"""),"")</f>
        <v/>
      </c>
      <c r="EP5" s="41" t="str">
        <f>IFERROR(__xludf.DUMMYFUNCTION("""COMPUTED_VALUE"""),"")</f>
        <v/>
      </c>
      <c r="EQ5" s="41" t="str">
        <f>IFERROR(__xludf.DUMMYFUNCTION("""COMPUTED_VALUE"""),"")</f>
        <v/>
      </c>
      <c r="ER5" s="41" t="str">
        <f>IFERROR(__xludf.DUMMYFUNCTION("""COMPUTED_VALUE"""),"")</f>
        <v/>
      </c>
      <c r="ES5" s="41" t="str">
        <f>IFERROR(__xludf.DUMMYFUNCTION("""COMPUTED_VALUE"""),"")</f>
        <v/>
      </c>
      <c r="ET5" s="41" t="str">
        <f>IFERROR(__xludf.DUMMYFUNCTION("""COMPUTED_VALUE"""),"")</f>
        <v/>
      </c>
      <c r="EU5" s="41" t="str">
        <f>IFERROR(__xludf.DUMMYFUNCTION("""COMPUTED_VALUE"""),"")</f>
        <v/>
      </c>
      <c r="EV5" s="41" t="str">
        <f>IFERROR(__xludf.DUMMYFUNCTION("""COMPUTED_VALUE"""),"")</f>
        <v/>
      </c>
      <c r="EW5" s="41" t="str">
        <f>IFERROR(__xludf.DUMMYFUNCTION("""COMPUTED_VALUE"""),"")</f>
        <v/>
      </c>
      <c r="EX5" s="41" t="str">
        <f>IFERROR(__xludf.DUMMYFUNCTION("""COMPUTED_VALUE"""),"")</f>
        <v/>
      </c>
    </row>
    <row r="6" ht="15.75" customHeight="1">
      <c r="A6" s="8"/>
      <c r="B6" s="11" t="s">
        <v>19</v>
      </c>
      <c r="C6" s="11" t="s">
        <v>20</v>
      </c>
      <c r="D6" s="11">
        <v>150.0</v>
      </c>
      <c r="E6" s="11">
        <v>150.0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/>
      <c r="C7" s="11"/>
      <c r="D7" s="11"/>
      <c r="E7" s="1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#N/A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26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IFERROR(__xludf.DUMMYFUNCTION("""COMPUTED_VALUE"""),"CopyCalculatedPreferenceToolbar")</f>
        <v>CopyCalculatedPreferenceToolbar</v>
      </c>
      <c r="CX4" s="36" t="str">
        <f>IFERROR(__xludf.DUMMYFUNCTION("""COMPUTED_VALUE"""),"CloseOrder")</f>
        <v>CloseOrder</v>
      </c>
      <c r="CY4" s="36" t="str">
        <f>IFERROR(__xludf.DUMMYFUNCTION("""COMPUTED_VALUE"""),"DisableChecksideForAsset")</f>
        <v>DisableChecksideForAsset</v>
      </c>
      <c r="CZ4" s="36" t="str">
        <f>IFERROR(__xludf.DUMMYFUNCTION("""COMPUTED_VALUE"""),"DisableChecksideForAccount")</f>
        <v>DisableChecksideForAccount</v>
      </c>
      <c r="DA4" s="36" t="str">
        <f>IFERROR(__xludf.DUMMYFUNCTION("""COMPUTED_VALUE"""),"DisableChecksideForCounterParty")</f>
        <v>DisableChecksideForCounterParty</v>
      </c>
      <c r="DB4" s="36" t="str">
        <f>IFERROR(__xludf.DUMMYFUNCTION("""COMPUTED_VALUE"""),"DisableCheckside")</f>
        <v>DisableCheckside</v>
      </c>
      <c r="DC4" s="36" t="str">
        <f>IFERROR(__xludf.DUMMYFUNCTION("""COMPUTED_VALUE"""),"ApplyMasterFundFilter")</f>
        <v>ApplyMasterFundFilter</v>
      </c>
      <c r="DD4" s="36" t="str">
        <f>IFERROR(__xludf.DUMMYFUNCTION("""COMPUTED_VALUE"""),"ShowMasterFundOnTT")</f>
        <v>ShowMasterFundOnTT</v>
      </c>
      <c r="DE4" s="36" t="str">
        <f>IFERROR(__xludf.DUMMYFUNCTION("""COMPUTED_VALUE"""),"ShowMasterFundAsClient")</f>
        <v>ShowMasterFundAsClient</v>
      </c>
      <c r="DF4" s="36" t="str">
        <f>IFERROR(__xludf.DUMMYFUNCTION("""COMPUTED_VALUE"""),"SetBrokerAccountMapping")</f>
        <v>SetBrokerAccountMapping</v>
      </c>
      <c r="DG4" s="36" t="str">
        <f>IFERROR(__xludf.DUMMYFUNCTION("""COMPUTED_VALUE"""),"EditUnallocatedGridWPF")</f>
        <v>EditUnallocatedGridWPF</v>
      </c>
      <c r="DH4" s="36" t="str">
        <f>IFERROR(__xludf.DUMMYFUNCTION("""COMPUTED_VALUE"""),"EditAllocatedGridWPF")</f>
        <v>EditAllocatedGridWPF</v>
      </c>
      <c r="DI4" s="36" t="str">
        <f>IFERROR(__xludf.DUMMYFUNCTION("""COMPUTED_VALUE"""),"EditAllocatedGridTaxlot")</f>
        <v>EditAllocatedGridTaxlot</v>
      </c>
      <c r="DJ4" s="36" t="str">
        <f>IFERROR(__xludf.DUMMYFUNCTION("""COMPUTED_VALUE"""),"ExpandCollapseAllocatedGrid")</f>
        <v>ExpandCollapseAllocatedGrid</v>
      </c>
      <c r="DK4" s="36" t="str">
        <f>IFERROR(__xludf.DUMMYFUNCTION("""COMPUTED_VALUE"""),"ExpandCollapseUnallocatedGrid")</f>
        <v>ExpandCollapseUnallocatedGrid</v>
      </c>
      <c r="DL4" s="36" t="str">
        <f>IFERROR(__xludf.DUMMYFUNCTION("""COMPUTED_VALUE"""),"")</f>
        <v/>
      </c>
      <c r="DM4" s="36" t="str">
        <f>IFERROR(__xludf.DUMMYFUNCTION("""COMPUTED_VALUE"""),"")</f>
        <v/>
      </c>
      <c r="DN4" s="36" t="str">
        <f>IFERROR(__xludf.DUMMYFUNCTION("""COMPUTED_VALUE"""),"")</f>
        <v/>
      </c>
      <c r="DO4" s="36" t="str">
        <f>IFERROR(__xludf.DUMMYFUNCTION("""COMPUTED_VALUE"""),"")</f>
        <v/>
      </c>
      <c r="DP4" s="36" t="str">
        <f>IFERROR(__xludf.DUMMYFUNCTION("""COMPUTED_VALUE"""),"")</f>
        <v/>
      </c>
      <c r="DQ4" s="36" t="str">
        <f>IFERROR(__xludf.DUMMYFUNCTION("""COMPUTED_VALUE"""),"")</f>
        <v/>
      </c>
      <c r="DR4" s="36" t="str">
        <f>IFERROR(__xludf.DUMMYFUNCTION("""COMPUTED_VALUE"""),"")</f>
        <v/>
      </c>
      <c r="DS4" s="36" t="str">
        <f>IFERROR(__xludf.DUMMYFUNCTION("""COMPUTED_VALUE"""),"")</f>
        <v/>
      </c>
      <c r="DT4" s="36" t="str">
        <f>IFERROR(__xludf.DUMMYFUNCTION("""COMPUTED_VALUE"""),"")</f>
        <v/>
      </c>
      <c r="DU4" s="36" t="str">
        <f>IFERROR(__xludf.DUMMYFUNCTION("""COMPUTED_VALUE"""),"")</f>
        <v/>
      </c>
      <c r="DV4" s="36" t="str">
        <f>IFERROR(__xludf.DUMMYFUNCTION("""COMPUTED_VALUE"""),"")</f>
        <v/>
      </c>
      <c r="DW4" s="36" t="str">
        <f>IFERROR(__xludf.DUMMYFUNCTION("""COMPUTED_VALUE"""),"")</f>
        <v/>
      </c>
      <c r="DX4" s="36" t="str">
        <f>IFERROR(__xludf.DUMMYFUNCTION("""COMPUTED_VALUE"""),"")</f>
        <v/>
      </c>
      <c r="DY4" s="36" t="str">
        <f>IFERROR(__xludf.DUMMYFUNCTION("""COMPUTED_VALUE"""),"")</f>
        <v/>
      </c>
      <c r="DZ4" s="36" t="str">
        <f>IFERROR(__xludf.DUMMYFUNCTION("""COMPUTED_VALUE"""),"")</f>
        <v/>
      </c>
      <c r="EA4" s="36" t="str">
        <f>IFERROR(__xludf.DUMMYFUNCTION("""COMPUTED_VALUE"""),"")</f>
        <v/>
      </c>
      <c r="EB4" s="36" t="str">
        <f>IFERROR(__xludf.DUMMYFUNCTION("""COMPUTED_VALUE"""),"")</f>
        <v/>
      </c>
      <c r="EC4" s="36" t="str">
        <f>IFERROR(__xludf.DUMMYFUNCTION("""COMPUTED_VALUE"""),"")</f>
        <v/>
      </c>
      <c r="ED4" s="36" t="str">
        <f>IFERROR(__xludf.DUMMYFUNCTION("""COMPUTED_VALUE"""),"")</f>
        <v/>
      </c>
      <c r="EE4" s="36" t="str">
        <f>IFERROR(__xludf.DUMMYFUNCTION("""COMPUTED_VALUE"""),"")</f>
        <v/>
      </c>
      <c r="EF4" s="36" t="str">
        <f>IFERROR(__xludf.DUMMYFUNCTION("""COMPUTED_VALUE"""),"")</f>
        <v/>
      </c>
      <c r="EG4" s="36" t="str">
        <f>IFERROR(__xludf.DUMMYFUNCTION("""COMPUTED_VALUE"""),"")</f>
        <v/>
      </c>
      <c r="EH4" s="36" t="str">
        <f>IFERROR(__xludf.DUMMYFUNCTION("""COMPUTED_VALUE"""),"")</f>
        <v/>
      </c>
      <c r="EI4" s="36" t="str">
        <f>IFERROR(__xludf.DUMMYFUNCTION("""COMPUTED_VALUE"""),"")</f>
        <v/>
      </c>
      <c r="EJ4" s="36" t="str">
        <f>IFERROR(__xludf.DUMMYFUNCTION("""COMPUTED_VALUE"""),"")</f>
        <v/>
      </c>
      <c r="EK4" s="36" t="str">
        <f>IFERROR(__xludf.DUMMYFUNCTION("""COMPUTED_VALUE"""),"")</f>
        <v/>
      </c>
      <c r="EL4" s="36" t="str">
        <f>IFERROR(__xludf.DUMMYFUNCTION("""COMPUTED_VALUE"""),"")</f>
        <v/>
      </c>
      <c r="EM4" s="36" t="str">
        <f>IFERROR(__xludf.DUMMYFUNCTION("""COMPUTED_VALUE"""),"")</f>
        <v/>
      </c>
      <c r="EN4" s="36" t="str">
        <f>IFERROR(__xludf.DUMMYFUNCTION("""COMPUTED_VALUE"""),"")</f>
        <v/>
      </c>
      <c r="EO4" s="36" t="str">
        <f>IFERROR(__xludf.DUMMYFUNCTION("""COMPUTED_VALUE"""),"")</f>
        <v/>
      </c>
      <c r="EP4" s="36" t="str">
        <f>IFERROR(__xludf.DUMMYFUNCTION("""COMPUTED_VALUE"""),"")</f>
        <v/>
      </c>
      <c r="EQ4" s="36" t="str">
        <f>IFERROR(__xludf.DUMMYFUNCTION("""COMPUTED_VALUE"""),"")</f>
        <v/>
      </c>
      <c r="ER4" s="36" t="str">
        <f>IFERROR(__xludf.DUMMYFUNCTION("""COMPUTED_VALUE"""),"")</f>
        <v/>
      </c>
      <c r="ES4" s="36" t="str">
        <f>IFERROR(__xludf.DUMMYFUNCTION("""COMPUTED_VALUE"""),"")</f>
        <v/>
      </c>
      <c r="ET4" s="36" t="str">
        <f>IFERROR(__xludf.DUMMYFUNCTION("""COMPUTED_VALUE"""),"")</f>
        <v/>
      </c>
      <c r="EU4" s="36" t="str">
        <f>IFERROR(__xludf.DUMMYFUNCTION("""COMPUTED_VALUE"""),"")</f>
        <v/>
      </c>
      <c r="EV4" s="36" t="str">
        <f>IFERROR(__xludf.DUMMYFUNCTION("""COMPUTED_VALUE"""),"")</f>
        <v/>
      </c>
      <c r="EW4" s="36" t="str">
        <f>IFERROR(__xludf.DUMMYFUNCTION("""COMPUTED_VALUE"""),"")</f>
        <v/>
      </c>
      <c r="EX4" s="36" t="str">
        <f>IFERROR(__xludf.DUMMYFUNCTION("""COMPUTED_VALUE"""),"")</f>
        <v/>
      </c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IFERROR(__xludf.DUMMYFUNCTION("""COMPUTED_VALUE"""),"Side")</f>
        <v>Side</v>
      </c>
      <c r="C5" s="55" t="str">
        <f>IFERROR(__xludf.DUMMYFUNCTION("""COMPUTED_VALUE"""),"Venue")</f>
        <v>Venue</v>
      </c>
      <c r="D5" s="55" t="str">
        <f>IFERROR(__xludf.DUMMYFUNCTION("""COMPUTED_VALUE"""),"Transaction Levy")</f>
        <v>Transaction Levy</v>
      </c>
      <c r="E5" s="55" t="str">
        <f>IFERROR(__xludf.DUMMYFUNCTION("""COMPUTED_VALUE"""),"Executed Qty")</f>
        <v>Executed Qty</v>
      </c>
      <c r="F5" s="56" t="str">
        <f>IFERROR(__xludf.DUMMYFUNCTION("""COMPUTED_VALUE"""),"Trade Date")</f>
        <v>Trade Date</v>
      </c>
      <c r="G5" s="55" t="str">
        <f>IFERROR(__xludf.DUMMYFUNCTION("""COMPUTED_VALUE"""),"Process Date")</f>
        <v>Process Date</v>
      </c>
      <c r="H5" s="55" t="str">
        <f>IFERROR(__xludf.DUMMYFUNCTION("""COMPUTED_VALUE"""),"Original Purchase Date")</f>
        <v>Original Purchase Date</v>
      </c>
      <c r="I5" s="55" t="str">
        <f>IFERROR(__xludf.DUMMYFUNCTION("""COMPUTED_VALUE"""),"Settlement Date")</f>
        <v>Settlement Date</v>
      </c>
      <c r="J5" s="55" t="str">
        <f>IFERROR(__xludf.DUMMYFUNCTION("""COMPUTED_VALUE"""),"ISIN")</f>
        <v>ISIN</v>
      </c>
      <c r="K5" s="55" t="str">
        <f>IFERROR(__xludf.DUMMYFUNCTION("""COMPUTED_VALUE"""),"Internal Comments")</f>
        <v>Internal Comments</v>
      </c>
      <c r="L5" s="55" t="str">
        <f>IFERROR(__xludf.DUMMYFUNCTION("""COMPUTED_VALUE"""),"Accrued Interest")</f>
        <v>Accrued Interest</v>
      </c>
      <c r="M5" s="55" t="str">
        <f>IFERROR(__xludf.DUMMYFUNCTION("""COMPUTED_VALUE"""),"Broker")</f>
        <v>Broker</v>
      </c>
      <c r="N5" s="55" t="str">
        <f>IFERROR(__xludf.DUMMYFUNCTION("""COMPUTED_VALUE"""),"Transaction Type")</f>
        <v>Transaction Type</v>
      </c>
      <c r="O5" s="55" t="str">
        <f>IFERROR(__xludf.DUMMYFUNCTION("""COMPUTED_VALUE"""),"Trade Attribute 1")</f>
        <v>Trade Attribute 1</v>
      </c>
      <c r="P5" s="55" t="str">
        <f>IFERROR(__xludf.DUMMYFUNCTION("""COMPUTED_VALUE"""),"Trade Attribute 2")</f>
        <v>Trade Attribute 2</v>
      </c>
      <c r="Q5" s="55" t="str">
        <f>IFERROR(__xludf.DUMMYFUNCTION("""COMPUTED_VALUE"""),"Trade Attribute 3")</f>
        <v>Trade Attribute 3</v>
      </c>
      <c r="R5" s="55" t="str">
        <f>IFERROR(__xludf.DUMMYFUNCTION("""COMPUTED_VALUE"""),"Trade Attribute 4")</f>
        <v>Trade Attribute 4</v>
      </c>
      <c r="S5" s="55" t="str">
        <f>IFERROR(__xludf.DUMMYFUNCTION("""COMPUTED_VALUE"""),"Trade Attribute 5")</f>
        <v>Trade Attribute 5</v>
      </c>
      <c r="T5" s="41" t="str">
        <f>IFERROR(__xludf.DUMMYFUNCTION("""COMPUTED_VALUE"""),"Trade Attribute 6")</f>
        <v>Trade Attribute 6</v>
      </c>
      <c r="U5" s="41" t="str">
        <f>IFERROR(__xludf.DUMMYFUNCTION("""COMPUTED_VALUE"""),"Commission")</f>
        <v>Commission</v>
      </c>
      <c r="V5" s="41" t="str">
        <f>IFERROR(__xludf.DUMMYFUNCTION("""COMPUTED_VALUE"""),"Soft Commission")</f>
        <v>Soft Commission</v>
      </c>
      <c r="W5" s="41" t="str">
        <f>IFERROR(__xludf.DUMMYFUNCTION("""COMPUTED_VALUE"""),"Other Broker Fees")</f>
        <v>Other Broker Fees</v>
      </c>
      <c r="X5" s="41" t="str">
        <f>IFERROR(__xludf.DUMMYFUNCTION("""COMPUTED_VALUE"""),"Clearing Broker Fee")</f>
        <v>Clearing Broker Fee</v>
      </c>
      <c r="Y5" s="41" t="str">
        <f>IFERROR(__xludf.DUMMYFUNCTION("""COMPUTED_VALUE"""),"Stamp Duty")</f>
        <v>Stamp Duty</v>
      </c>
      <c r="Z5" s="41" t="str">
        <f>IFERROR(__xludf.DUMMYFUNCTION("""COMPUTED_VALUE"""),"AUEC Fee1")</f>
        <v>AUEC Fee1</v>
      </c>
      <c r="AA5" s="41" t="str">
        <f>IFERROR(__xludf.DUMMYFUNCTION("""COMPUTED_VALUE"""),"Tax On Commissions")</f>
        <v>Tax On Commissions</v>
      </c>
      <c r="AB5" s="41" t="str">
        <f>IFERROR(__xludf.DUMMYFUNCTION("""COMPUTED_VALUE"""),"AUEC Fee2")</f>
        <v>AUEC Fee2</v>
      </c>
      <c r="AC5" s="41" t="str">
        <f>IFERROR(__xludf.DUMMYFUNCTION("""COMPUTED_VALUE"""),"SEC Fee")</f>
        <v>SEC Fee</v>
      </c>
      <c r="AD5" s="41" t="str">
        <f>IFERROR(__xludf.DUMMYFUNCTION("""COMPUTED_VALUE"""),"OCC Fee")</f>
        <v>OCC Fee</v>
      </c>
      <c r="AE5" s="41" t="str">
        <f>IFERROR(__xludf.DUMMYFUNCTION("""COMPUTED_VALUE"""),"ORF Fee")</f>
        <v>ORF Fee</v>
      </c>
      <c r="AF5" s="41" t="str">
        <f>IFERROR(__xludf.DUMMYFUNCTION("""COMPUTED_VALUE"""),"Option Premium Adjustment")</f>
        <v>Option Premium Adjustment</v>
      </c>
      <c r="AG5" s="41" t="str">
        <f>IFERROR(__xludf.DUMMYFUNCTION("""COMPUTED_VALUE"""),"Change Comment")</f>
        <v>Change Comment</v>
      </c>
      <c r="AH5" s="41" t="str">
        <f>IFERROR(__xludf.DUMMYFUNCTION("""COMPUTED_VALUE"""),"Avg Price(Local)")</f>
        <v>Avg Price(Local)</v>
      </c>
      <c r="AI5" s="41" t="str">
        <f>IFERROR(__xludf.DUMMYFUNCTION("""COMPUTED_VALUE"""),"Nirvana Process Date")</f>
        <v>Nirvana Process Date</v>
      </c>
      <c r="AJ5" s="41" t="str">
        <f>IFERROR(__xludf.DUMMYFUNCTION("""COMPUTED_VALUE"""),"Closing Date")</f>
        <v>Closing Date</v>
      </c>
      <c r="AK5" s="41" t="str">
        <f>IFERROR(__xludf.DUMMYFUNCTION("""COMPUTED_VALUE"""),"Description")</f>
        <v>Description</v>
      </c>
      <c r="AL5" s="41" t="str">
        <f>IFERROR(__xludf.DUMMYFUNCTION("""COMPUTED_VALUE"""),"Coupon Rate")</f>
        <v>Coupon Rate</v>
      </c>
      <c r="AM5" s="41" t="str">
        <f>IFERROR(__xludf.DUMMYFUNCTION("""COMPUTED_VALUE"""),"Delta")</f>
        <v>Delta</v>
      </c>
      <c r="AN5" s="41" t="str">
        <f>IFERROR(__xludf.DUMMYFUNCTION("""COMPUTED_VALUE"""),"Symbol")</f>
        <v>Symbol</v>
      </c>
      <c r="AO5" s="41" t="str">
        <f>IFERROR(__xludf.DUMMYFUNCTION("""COMPUTED_VALUE"""),"Quantity")</f>
        <v>Quantity</v>
      </c>
      <c r="AP5" s="41" t="str">
        <f>IFERROR(__xludf.DUMMYFUNCTION("""COMPUTED_VALUE"""),"Avg Price(Base)")</f>
        <v>Avg Price(Base)</v>
      </c>
      <c r="AQ5" s="41" t="str">
        <f>IFERROR(__xludf.DUMMYFUNCTION("""COMPUTED_VALUE"""),"Sedol Symbol")</f>
        <v>Sedol Symbol</v>
      </c>
      <c r="AR5" s="41" t="str">
        <f>IFERROR(__xludf.DUMMYFUNCTION("""COMPUTED_VALUE"""),"")</f>
        <v/>
      </c>
      <c r="AS5" s="41" t="str">
        <f>IFERROR(__xludf.DUMMYFUNCTION("""COMPUTED_VALUE"""),"")</f>
        <v/>
      </c>
      <c r="AT5" s="41" t="str">
        <f>IFERROR(__xludf.DUMMYFUNCTION("""COMPUTED_VALUE"""),"")</f>
        <v/>
      </c>
      <c r="AU5" s="41" t="str">
        <f>IFERROR(__xludf.DUMMYFUNCTION("""COMPUTED_VALUE"""),"")</f>
        <v/>
      </c>
      <c r="AV5" s="41" t="str">
        <f>IFERROR(__xludf.DUMMYFUNCTION("""COMPUTED_VALUE"""),"")</f>
        <v/>
      </c>
      <c r="AW5" s="41" t="str">
        <f>IFERROR(__xludf.DUMMYFUNCTION("""COMPUTED_VALUE"""),"")</f>
        <v/>
      </c>
      <c r="AX5" s="41" t="str">
        <f>IFERROR(__xludf.DUMMYFUNCTION("""COMPUTED_VALUE"""),"")</f>
        <v/>
      </c>
      <c r="AY5" s="41" t="str">
        <f>IFERROR(__xludf.DUMMYFUNCTION("""COMPUTED_VALUE"""),"")</f>
        <v/>
      </c>
      <c r="AZ5" s="41" t="str">
        <f>IFERROR(__xludf.DUMMYFUNCTION("""COMPUTED_VALUE"""),"")</f>
        <v/>
      </c>
      <c r="BA5" s="41" t="str">
        <f>IFERROR(__xludf.DUMMYFUNCTION("""COMPUTED_VALUE"""),"")</f>
        <v/>
      </c>
      <c r="BB5" s="41" t="str">
        <f>IFERROR(__xludf.DUMMYFUNCTION("""COMPUTED_VALUE"""),"")</f>
        <v/>
      </c>
      <c r="BC5" s="41" t="str">
        <f>IFERROR(__xludf.DUMMYFUNCTION("""COMPUTED_VALUE"""),"")</f>
        <v/>
      </c>
      <c r="BD5" s="41" t="str">
        <f>IFERROR(__xludf.DUMMYFUNCTION("""COMPUTED_VALUE"""),"")</f>
        <v/>
      </c>
      <c r="BE5" s="41" t="str">
        <f>IFERROR(__xludf.DUMMYFUNCTION("""COMPUTED_VALUE"""),"")</f>
        <v/>
      </c>
      <c r="BF5" s="41" t="str">
        <f>IFERROR(__xludf.DUMMYFUNCTION("""COMPUTED_VALUE"""),"")</f>
        <v/>
      </c>
      <c r="BG5" s="41" t="str">
        <f>IFERROR(__xludf.DUMMYFUNCTION("""COMPUTED_VALUE"""),"")</f>
        <v/>
      </c>
      <c r="BH5" s="41" t="str">
        <f>IFERROR(__xludf.DUMMYFUNCTION("""COMPUTED_VALUE"""),"")</f>
        <v/>
      </c>
      <c r="BI5" s="41" t="str">
        <f>IFERROR(__xludf.DUMMYFUNCTION("""COMPUTED_VALUE"""),"")</f>
        <v/>
      </c>
      <c r="BJ5" s="41" t="str">
        <f>IFERROR(__xludf.DUMMYFUNCTION("""COMPUTED_VALUE"""),"")</f>
        <v/>
      </c>
      <c r="BK5" s="41" t="str">
        <f>IFERROR(__xludf.DUMMYFUNCTION("""COMPUTED_VALUE"""),"")</f>
        <v/>
      </c>
      <c r="BL5" s="41" t="str">
        <f>IFERROR(__xludf.DUMMYFUNCTION("""COMPUTED_VALUE"""),"")</f>
        <v/>
      </c>
      <c r="BM5" s="41" t="str">
        <f>IFERROR(__xludf.DUMMYFUNCTION("""COMPUTED_VALUE"""),"")</f>
        <v/>
      </c>
      <c r="BN5" s="41" t="str">
        <f>IFERROR(__xludf.DUMMYFUNCTION("""COMPUTED_VALUE"""),"")</f>
        <v/>
      </c>
      <c r="BO5" s="41" t="str">
        <f>IFERROR(__xludf.DUMMYFUNCTION("""COMPUTED_VALUE"""),"")</f>
        <v/>
      </c>
      <c r="BP5" s="41" t="str">
        <f>IFERROR(__xludf.DUMMYFUNCTION("""COMPUTED_VALUE"""),"")</f>
        <v/>
      </c>
      <c r="BQ5" s="41" t="str">
        <f>IFERROR(__xludf.DUMMYFUNCTION("""COMPUTED_VALUE"""),"")</f>
        <v/>
      </c>
      <c r="BR5" s="41" t="str">
        <f>IFERROR(__xludf.DUMMYFUNCTION("""COMPUTED_VALUE"""),"")</f>
        <v/>
      </c>
      <c r="BS5" s="41" t="str">
        <f>IFERROR(__xludf.DUMMYFUNCTION("""COMPUTED_VALUE"""),"")</f>
        <v/>
      </c>
      <c r="BT5" s="41" t="str">
        <f>IFERROR(__xludf.DUMMYFUNCTION("""COMPUTED_VALUE"""),"")</f>
        <v/>
      </c>
      <c r="BU5" s="41" t="str">
        <f>IFERROR(__xludf.DUMMYFUNCTION("""COMPUTED_VALUE"""),"")</f>
        <v/>
      </c>
      <c r="BV5" s="41" t="str">
        <f>IFERROR(__xludf.DUMMYFUNCTION("""COMPUTED_VALUE"""),"")</f>
        <v/>
      </c>
      <c r="BW5" s="41" t="str">
        <f>IFERROR(__xludf.DUMMYFUNCTION("""COMPUTED_VALUE"""),"")</f>
        <v/>
      </c>
      <c r="BX5" s="41" t="str">
        <f>IFERROR(__xludf.DUMMYFUNCTION("""COMPUTED_VALUE"""),"")</f>
        <v/>
      </c>
      <c r="BY5" s="41" t="str">
        <f>IFERROR(__xludf.DUMMYFUNCTION("""COMPUTED_VALUE"""),"")</f>
        <v/>
      </c>
      <c r="BZ5" s="41" t="str">
        <f>IFERROR(__xludf.DUMMYFUNCTION("""COMPUTED_VALUE"""),"")</f>
        <v/>
      </c>
      <c r="CA5" s="41" t="str">
        <f>IFERROR(__xludf.DUMMYFUNCTION("""COMPUTED_VALUE"""),"")</f>
        <v/>
      </c>
      <c r="CB5" s="41" t="str">
        <f>IFERROR(__xludf.DUMMYFUNCTION("""COMPUTED_VALUE"""),"")</f>
        <v/>
      </c>
      <c r="CC5" s="41" t="str">
        <f>IFERROR(__xludf.DUMMYFUNCTION("""COMPUTED_VALUE"""),"")</f>
        <v/>
      </c>
      <c r="CD5" s="41" t="str">
        <f>IFERROR(__xludf.DUMMYFUNCTION("""COMPUTED_VALUE"""),"")</f>
        <v/>
      </c>
      <c r="CE5" s="41" t="str">
        <f>IFERROR(__xludf.DUMMYFUNCTION("""COMPUTED_VALUE"""),"")</f>
        <v/>
      </c>
      <c r="CF5" s="41" t="str">
        <f>IFERROR(__xludf.DUMMYFUNCTION("""COMPUTED_VALUE"""),"")</f>
        <v/>
      </c>
      <c r="CG5" s="41" t="str">
        <f>IFERROR(__xludf.DUMMYFUNCTION("""COMPUTED_VALUE"""),"")</f>
        <v/>
      </c>
      <c r="CH5" s="41" t="str">
        <f>IFERROR(__xludf.DUMMYFUNCTION("""COMPUTED_VALUE"""),"")</f>
        <v/>
      </c>
      <c r="CI5" s="41" t="str">
        <f>IFERROR(__xludf.DUMMYFUNCTION("""COMPUTED_VALUE"""),"")</f>
        <v/>
      </c>
      <c r="CJ5" s="41" t="str">
        <f>IFERROR(__xludf.DUMMYFUNCTION("""COMPUTED_VALUE"""),"")</f>
        <v/>
      </c>
      <c r="CK5" s="41" t="str">
        <f>IFERROR(__xludf.DUMMYFUNCTION("""COMPUTED_VALUE"""),"")</f>
        <v/>
      </c>
      <c r="CL5" s="41" t="str">
        <f>IFERROR(__xludf.DUMMYFUNCTION("""COMPUTED_VALUE"""),"")</f>
        <v/>
      </c>
      <c r="CM5" s="41" t="str">
        <f>IFERROR(__xludf.DUMMYFUNCTION("""COMPUTED_VALUE"""),"")</f>
        <v/>
      </c>
      <c r="CN5" s="41" t="str">
        <f>IFERROR(__xludf.DUMMYFUNCTION("""COMPUTED_VALUE"""),"")</f>
        <v/>
      </c>
      <c r="CO5" s="41" t="str">
        <f>IFERROR(__xludf.DUMMYFUNCTION("""COMPUTED_VALUE"""),"")</f>
        <v/>
      </c>
      <c r="CP5" s="41" t="str">
        <f>IFERROR(__xludf.DUMMYFUNCTION("""COMPUTED_VALUE"""),"")</f>
        <v/>
      </c>
      <c r="CQ5" s="41" t="str">
        <f>IFERROR(__xludf.DUMMYFUNCTION("""COMPUTED_VALUE"""),"")</f>
        <v/>
      </c>
      <c r="CR5" s="41" t="str">
        <f>IFERROR(__xludf.DUMMYFUNCTION("""COMPUTED_VALUE"""),"")</f>
        <v/>
      </c>
      <c r="CS5" s="41" t="str">
        <f>IFERROR(__xludf.DUMMYFUNCTION("""COMPUTED_VALUE"""),"")</f>
        <v/>
      </c>
      <c r="CT5" s="41" t="str">
        <f>IFERROR(__xludf.DUMMYFUNCTION("""COMPUTED_VALUE"""),"")</f>
        <v/>
      </c>
      <c r="CU5" s="41" t="str">
        <f>IFERROR(__xludf.DUMMYFUNCTION("""COMPUTED_VALUE"""),"")</f>
        <v/>
      </c>
      <c r="CV5" s="41" t="str">
        <f>IFERROR(__xludf.DUMMYFUNCTION("""COMPUTED_VALUE"""),"")</f>
        <v/>
      </c>
      <c r="CW5" s="41" t="str">
        <f>IFERROR(__xludf.DUMMYFUNCTION("""COMPUTED_VALUE"""),"")</f>
        <v/>
      </c>
      <c r="CX5" s="41" t="str">
        <f>IFERROR(__xludf.DUMMYFUNCTION("""COMPUTED_VALUE"""),"")</f>
        <v/>
      </c>
      <c r="CY5" s="41" t="str">
        <f>IFERROR(__xludf.DUMMYFUNCTION("""COMPUTED_VALUE"""),"")</f>
        <v/>
      </c>
      <c r="CZ5" s="41" t="str">
        <f>IFERROR(__xludf.DUMMYFUNCTION("""COMPUTED_VALUE"""),"")</f>
        <v/>
      </c>
      <c r="DA5" s="41" t="str">
        <f>IFERROR(__xludf.DUMMYFUNCTION("""COMPUTED_VALUE"""),"")</f>
        <v/>
      </c>
      <c r="DB5" s="41" t="str">
        <f>IFERROR(__xludf.DUMMYFUNCTION("""COMPUTED_VALUE"""),"")</f>
        <v/>
      </c>
      <c r="DC5" s="41" t="str">
        <f>IFERROR(__xludf.DUMMYFUNCTION("""COMPUTED_VALUE"""),"")</f>
        <v/>
      </c>
      <c r="DD5" s="41" t="str">
        <f>IFERROR(__xludf.DUMMYFUNCTION("""COMPUTED_VALUE"""),"")</f>
        <v/>
      </c>
      <c r="DE5" s="41" t="str">
        <f>IFERROR(__xludf.DUMMYFUNCTION("""COMPUTED_VALUE"""),"")</f>
        <v/>
      </c>
      <c r="DF5" s="41" t="str">
        <f>IFERROR(__xludf.DUMMYFUNCTION("""COMPUTED_VALUE"""),"")</f>
        <v/>
      </c>
      <c r="DG5" s="41" t="str">
        <f>IFERROR(__xludf.DUMMYFUNCTION("""COMPUTED_VALUE"""),"")</f>
        <v/>
      </c>
      <c r="DH5" s="41" t="str">
        <f>IFERROR(__xludf.DUMMYFUNCTION("""COMPUTED_VALUE"""),"")</f>
        <v/>
      </c>
      <c r="DI5" s="41" t="str">
        <f>IFERROR(__xludf.DUMMYFUNCTION("""COMPUTED_VALUE"""),"")</f>
        <v/>
      </c>
      <c r="DJ5" s="41" t="str">
        <f>IFERROR(__xludf.DUMMYFUNCTION("""COMPUTED_VALUE"""),"")</f>
        <v/>
      </c>
      <c r="DK5" s="41" t="str">
        <f>IFERROR(__xludf.DUMMYFUNCTION("""COMPUTED_VALUE"""),"")</f>
        <v/>
      </c>
      <c r="DL5" s="41" t="str">
        <f>IFERROR(__xludf.DUMMYFUNCTION("""COMPUTED_VALUE"""),"")</f>
        <v/>
      </c>
      <c r="DM5" s="41" t="str">
        <f>IFERROR(__xludf.DUMMYFUNCTION("""COMPUTED_VALUE"""),"")</f>
        <v/>
      </c>
      <c r="DN5" s="41" t="str">
        <f>IFERROR(__xludf.DUMMYFUNCTION("""COMPUTED_VALUE"""),"")</f>
        <v/>
      </c>
      <c r="DO5" s="41" t="str">
        <f>IFERROR(__xludf.DUMMYFUNCTION("""COMPUTED_VALUE"""),"")</f>
        <v/>
      </c>
      <c r="DP5" s="41" t="str">
        <f>IFERROR(__xludf.DUMMYFUNCTION("""COMPUTED_VALUE"""),"")</f>
        <v/>
      </c>
      <c r="DQ5" s="41" t="str">
        <f>IFERROR(__xludf.DUMMYFUNCTION("""COMPUTED_VALUE"""),"")</f>
        <v/>
      </c>
      <c r="DR5" s="41" t="str">
        <f>IFERROR(__xludf.DUMMYFUNCTION("""COMPUTED_VALUE"""),"")</f>
        <v/>
      </c>
      <c r="DS5" s="41" t="str">
        <f>IFERROR(__xludf.DUMMYFUNCTION("""COMPUTED_VALUE"""),"")</f>
        <v/>
      </c>
      <c r="DT5" s="41" t="str">
        <f>IFERROR(__xludf.DUMMYFUNCTION("""COMPUTED_VALUE"""),"")</f>
        <v/>
      </c>
      <c r="DU5" s="41" t="str">
        <f>IFERROR(__xludf.DUMMYFUNCTION("""COMPUTED_VALUE"""),"")</f>
        <v/>
      </c>
      <c r="DV5" s="41" t="str">
        <f>IFERROR(__xludf.DUMMYFUNCTION("""COMPUTED_VALUE"""),"")</f>
        <v/>
      </c>
      <c r="DW5" s="41" t="str">
        <f>IFERROR(__xludf.DUMMYFUNCTION("""COMPUTED_VALUE"""),"")</f>
        <v/>
      </c>
      <c r="DX5" s="41" t="str">
        <f>IFERROR(__xludf.DUMMYFUNCTION("""COMPUTED_VALUE"""),"")</f>
        <v/>
      </c>
      <c r="DY5" s="41" t="str">
        <f>IFERROR(__xludf.DUMMYFUNCTION("""COMPUTED_VALUE"""),"")</f>
        <v/>
      </c>
      <c r="DZ5" s="41" t="str">
        <f>IFERROR(__xludf.DUMMYFUNCTION("""COMPUTED_VALUE"""),"")</f>
        <v/>
      </c>
      <c r="EA5" s="41" t="str">
        <f>IFERROR(__xludf.DUMMYFUNCTION("""COMPUTED_VALUE"""),"")</f>
        <v/>
      </c>
      <c r="EB5" s="41" t="str">
        <f>IFERROR(__xludf.DUMMYFUNCTION("""COMPUTED_VALUE"""),"")</f>
        <v/>
      </c>
      <c r="EC5" s="41" t="str">
        <f>IFERROR(__xludf.DUMMYFUNCTION("""COMPUTED_VALUE"""),"")</f>
        <v/>
      </c>
      <c r="ED5" s="41" t="str">
        <f>IFERROR(__xludf.DUMMYFUNCTION("""COMPUTED_VALUE"""),"")</f>
        <v/>
      </c>
      <c r="EE5" s="41" t="str">
        <f>IFERROR(__xludf.DUMMYFUNCTION("""COMPUTED_VALUE"""),"")</f>
        <v/>
      </c>
      <c r="EF5" s="41" t="str">
        <f>IFERROR(__xludf.DUMMYFUNCTION("""COMPUTED_VALUE"""),"")</f>
        <v/>
      </c>
      <c r="EG5" s="41" t="str">
        <f>IFERROR(__xludf.DUMMYFUNCTION("""COMPUTED_VALUE"""),"")</f>
        <v/>
      </c>
      <c r="EH5" s="41" t="str">
        <f>IFERROR(__xludf.DUMMYFUNCTION("""COMPUTED_VALUE"""),"")</f>
        <v/>
      </c>
      <c r="EI5" s="41" t="str">
        <f>IFERROR(__xludf.DUMMYFUNCTION("""COMPUTED_VALUE"""),"")</f>
        <v/>
      </c>
      <c r="EJ5" s="41" t="str">
        <f>IFERROR(__xludf.DUMMYFUNCTION("""COMPUTED_VALUE"""),"")</f>
        <v/>
      </c>
      <c r="EK5" s="41" t="str">
        <f>IFERROR(__xludf.DUMMYFUNCTION("""COMPUTED_VALUE"""),"")</f>
        <v/>
      </c>
      <c r="EL5" s="41" t="str">
        <f>IFERROR(__xludf.DUMMYFUNCTION("""COMPUTED_VALUE"""),"")</f>
        <v/>
      </c>
      <c r="EM5" s="41" t="str">
        <f>IFERROR(__xludf.DUMMYFUNCTION("""COMPUTED_VALUE"""),"")</f>
        <v/>
      </c>
      <c r="EN5" s="41" t="str">
        <f>IFERROR(__xludf.DUMMYFUNCTION("""COMPUTED_VALUE"""),"")</f>
        <v/>
      </c>
      <c r="EO5" s="41" t="str">
        <f>IFERROR(__xludf.DUMMYFUNCTION("""COMPUTED_VALUE"""),"")</f>
        <v/>
      </c>
      <c r="EP5" s="41" t="str">
        <f>IFERROR(__xludf.DUMMYFUNCTION("""COMPUTED_VALUE"""),"")</f>
        <v/>
      </c>
      <c r="EQ5" s="41" t="str">
        <f>IFERROR(__xludf.DUMMYFUNCTION("""COMPUTED_VALUE"""),"")</f>
        <v/>
      </c>
      <c r="ER5" s="41" t="str">
        <f>IFERROR(__xludf.DUMMYFUNCTION("""COMPUTED_VALUE"""),"")</f>
        <v/>
      </c>
      <c r="ES5" s="41" t="str">
        <f>IFERROR(__xludf.DUMMYFUNCTION("""COMPUTED_VALUE"""),"")</f>
        <v/>
      </c>
      <c r="ET5" s="41" t="str">
        <f>IFERROR(__xludf.DUMMYFUNCTION("""COMPUTED_VALUE"""),"")</f>
        <v/>
      </c>
      <c r="EU5" s="41" t="str">
        <f>IFERROR(__xludf.DUMMYFUNCTION("""COMPUTED_VALUE"""),"")</f>
        <v/>
      </c>
      <c r="EV5" s="41" t="str">
        <f>IFERROR(__xludf.DUMMYFUNCTION("""COMPUTED_VALUE"""),"")</f>
        <v/>
      </c>
      <c r="EW5" s="41" t="str">
        <f>IFERROR(__xludf.DUMMYFUNCTION("""COMPUTED_VALUE"""),"")</f>
        <v/>
      </c>
      <c r="EX5" s="41" t="str">
        <f>IFERROR(__xludf.DUMMYFUNCTION("""COMPUTED_VALUE"""),"")</f>
        <v/>
      </c>
    </row>
    <row r="6" ht="15.75" customHeight="1">
      <c r="A6" s="8"/>
      <c r="B6" s="11" t="s">
        <v>17</v>
      </c>
      <c r="C6" s="11" t="s">
        <v>27</v>
      </c>
      <c r="D6" s="11">
        <v>5.0</v>
      </c>
      <c r="E6" s="11">
        <v>40.0</v>
      </c>
      <c r="F6" s="63"/>
      <c r="G6" s="63">
        <v>44015.0</v>
      </c>
      <c r="H6" s="63">
        <v>44010.0</v>
      </c>
      <c r="I6" s="63">
        <v>44015.0</v>
      </c>
      <c r="J6" s="11" t="s">
        <v>28</v>
      </c>
      <c r="K6" s="11" t="s">
        <v>29</v>
      </c>
      <c r="L6" s="8"/>
      <c r="M6" s="11" t="s">
        <v>30</v>
      </c>
      <c r="N6" s="11"/>
      <c r="O6" s="64" t="s">
        <v>31</v>
      </c>
      <c r="P6" s="65" t="s">
        <v>32</v>
      </c>
      <c r="Q6" s="65" t="s">
        <v>33</v>
      </c>
      <c r="R6" s="65" t="s">
        <v>34</v>
      </c>
      <c r="S6" s="65" t="s">
        <v>35</v>
      </c>
      <c r="T6" s="64" t="s">
        <v>36</v>
      </c>
      <c r="U6" s="9">
        <v>1.0</v>
      </c>
      <c r="V6" s="9">
        <v>2.0</v>
      </c>
      <c r="W6" s="9">
        <v>15.0</v>
      </c>
      <c r="Z6" s="9">
        <v>2.0</v>
      </c>
      <c r="AA6" s="9">
        <v>5.0</v>
      </c>
      <c r="AB6" s="9">
        <v>2.0</v>
      </c>
      <c r="AC6" s="9">
        <v>5.0</v>
      </c>
      <c r="AD6" s="9">
        <v>4.0</v>
      </c>
      <c r="AE6" s="9">
        <v>6.0</v>
      </c>
      <c r="AF6" s="9">
        <v>7.0</v>
      </c>
      <c r="AI6" s="66"/>
      <c r="AN6" s="9" t="s">
        <v>19</v>
      </c>
      <c r="AO6" s="9">
        <v>150.0</v>
      </c>
      <c r="AP6" s="9">
        <v>15.0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EditUnallocatedGridWPF1!$4:$4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#N/A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25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IFERROR(__xludf.DUMMYFUNCTION("""COMPUTED_VALUE"""),"CopyCalculatedPreferenceToolbar")</f>
        <v>CopyCalculatedPreferenceToolbar</v>
      </c>
      <c r="CX4" s="36" t="str">
        <f>IFERROR(__xludf.DUMMYFUNCTION("""COMPUTED_VALUE"""),"CloseOrder")</f>
        <v>CloseOrder</v>
      </c>
      <c r="CY4" s="36" t="str">
        <f>IFERROR(__xludf.DUMMYFUNCTION("""COMPUTED_VALUE"""),"DisableChecksideForAsset")</f>
        <v>DisableChecksideForAsset</v>
      </c>
      <c r="CZ4" s="36" t="str">
        <f>IFERROR(__xludf.DUMMYFUNCTION("""COMPUTED_VALUE"""),"DisableChecksideForAccount")</f>
        <v>DisableChecksideForAccount</v>
      </c>
      <c r="DA4" s="36" t="str">
        <f>IFERROR(__xludf.DUMMYFUNCTION("""COMPUTED_VALUE"""),"DisableChecksideForCounterParty")</f>
        <v>DisableChecksideForCounterParty</v>
      </c>
      <c r="DB4" s="36" t="str">
        <f>IFERROR(__xludf.DUMMYFUNCTION("""COMPUTED_VALUE"""),"DisableCheckside")</f>
        <v>DisableCheckside</v>
      </c>
      <c r="DC4" s="36" t="str">
        <f>IFERROR(__xludf.DUMMYFUNCTION("""COMPUTED_VALUE"""),"ApplyMasterFundFilter")</f>
        <v>ApplyMasterFundFilter</v>
      </c>
      <c r="DD4" s="36" t="str">
        <f>IFERROR(__xludf.DUMMYFUNCTION("""COMPUTED_VALUE"""),"ShowMasterFundOnTT")</f>
        <v>ShowMasterFundOnTT</v>
      </c>
      <c r="DE4" s="36" t="str">
        <f>IFERROR(__xludf.DUMMYFUNCTION("""COMPUTED_VALUE"""),"ShowMasterFundAsClient")</f>
        <v>ShowMasterFundAsClient</v>
      </c>
      <c r="DF4" s="36" t="str">
        <f>IFERROR(__xludf.DUMMYFUNCTION("""COMPUTED_VALUE"""),"SetBrokerAccountMapping")</f>
        <v>SetBrokerAccountMapping</v>
      </c>
      <c r="DG4" s="36" t="str">
        <f>IFERROR(__xludf.DUMMYFUNCTION("""COMPUTED_VALUE"""),"EditUnallocatedGridWPF")</f>
        <v>EditUnallocatedGridWPF</v>
      </c>
      <c r="DH4" s="36" t="str">
        <f>IFERROR(__xludf.DUMMYFUNCTION("""COMPUTED_VALUE"""),"EditAllocatedGridWPF")</f>
        <v>EditAllocatedGridWPF</v>
      </c>
      <c r="DI4" s="36" t="str">
        <f>IFERROR(__xludf.DUMMYFUNCTION("""COMPUTED_VALUE"""),"EditAllocatedGridTaxlot")</f>
        <v>EditAllocatedGridTaxlot</v>
      </c>
      <c r="DJ4" s="36" t="str">
        <f>IFERROR(__xludf.DUMMYFUNCTION("""COMPUTED_VALUE"""),"ExpandCollapseAllocatedGrid")</f>
        <v>ExpandCollapseAllocatedGrid</v>
      </c>
      <c r="DK4" s="36" t="str">
        <f>IFERROR(__xludf.DUMMYFUNCTION("""COMPUTED_VALUE"""),"ExpandCollapseUnallocatedGrid")</f>
        <v>ExpandCollapseUnallocatedGrid</v>
      </c>
      <c r="DL4" s="36" t="str">
        <f>IFERROR(__xludf.DUMMYFUNCTION("""COMPUTED_VALUE"""),"")</f>
        <v/>
      </c>
      <c r="DM4" s="36" t="str">
        <f>IFERROR(__xludf.DUMMYFUNCTION("""COMPUTED_VALUE"""),"")</f>
        <v/>
      </c>
      <c r="DN4" s="36" t="str">
        <f>IFERROR(__xludf.DUMMYFUNCTION("""COMPUTED_VALUE"""),"")</f>
        <v/>
      </c>
      <c r="DO4" s="36" t="str">
        <f>IFERROR(__xludf.DUMMYFUNCTION("""COMPUTED_VALUE"""),"")</f>
        <v/>
      </c>
      <c r="DP4" s="36" t="str">
        <f>IFERROR(__xludf.DUMMYFUNCTION("""COMPUTED_VALUE"""),"")</f>
        <v/>
      </c>
      <c r="DQ4" s="36" t="str">
        <f>IFERROR(__xludf.DUMMYFUNCTION("""COMPUTED_VALUE"""),"")</f>
        <v/>
      </c>
      <c r="DR4" s="36" t="str">
        <f>IFERROR(__xludf.DUMMYFUNCTION("""COMPUTED_VALUE"""),"")</f>
        <v/>
      </c>
      <c r="DS4" s="36" t="str">
        <f>IFERROR(__xludf.DUMMYFUNCTION("""COMPUTED_VALUE"""),"")</f>
        <v/>
      </c>
      <c r="DT4" s="36" t="str">
        <f>IFERROR(__xludf.DUMMYFUNCTION("""COMPUTED_VALUE"""),"")</f>
        <v/>
      </c>
      <c r="DU4" s="36" t="str">
        <f>IFERROR(__xludf.DUMMYFUNCTION("""COMPUTED_VALUE"""),"")</f>
        <v/>
      </c>
      <c r="DV4" s="36" t="str">
        <f>IFERROR(__xludf.DUMMYFUNCTION("""COMPUTED_VALUE"""),"")</f>
        <v/>
      </c>
      <c r="DW4" s="36" t="str">
        <f>IFERROR(__xludf.DUMMYFUNCTION("""COMPUTED_VALUE"""),"")</f>
        <v/>
      </c>
      <c r="DX4" s="36" t="str">
        <f>IFERROR(__xludf.DUMMYFUNCTION("""COMPUTED_VALUE"""),"")</f>
        <v/>
      </c>
      <c r="DY4" s="36" t="str">
        <f>IFERROR(__xludf.DUMMYFUNCTION("""COMPUTED_VALUE"""),"")</f>
        <v/>
      </c>
      <c r="DZ4" s="36" t="str">
        <f>IFERROR(__xludf.DUMMYFUNCTION("""COMPUTED_VALUE"""),"")</f>
        <v/>
      </c>
      <c r="EA4" s="36" t="str">
        <f>IFERROR(__xludf.DUMMYFUNCTION("""COMPUTED_VALUE"""),"")</f>
        <v/>
      </c>
      <c r="EB4" s="36" t="str">
        <f>IFERROR(__xludf.DUMMYFUNCTION("""COMPUTED_VALUE"""),"")</f>
        <v/>
      </c>
      <c r="EC4" s="36" t="str">
        <f>IFERROR(__xludf.DUMMYFUNCTION("""COMPUTED_VALUE"""),"")</f>
        <v/>
      </c>
      <c r="ED4" s="36" t="str">
        <f>IFERROR(__xludf.DUMMYFUNCTION("""COMPUTED_VALUE"""),"")</f>
        <v/>
      </c>
      <c r="EE4" s="36" t="str">
        <f>IFERROR(__xludf.DUMMYFUNCTION("""COMPUTED_VALUE"""),"")</f>
        <v/>
      </c>
      <c r="EF4" s="36" t="str">
        <f>IFERROR(__xludf.DUMMYFUNCTION("""COMPUTED_VALUE"""),"")</f>
        <v/>
      </c>
      <c r="EG4" s="36" t="str">
        <f>IFERROR(__xludf.DUMMYFUNCTION("""COMPUTED_VALUE"""),"")</f>
        <v/>
      </c>
      <c r="EH4" s="36" t="str">
        <f>IFERROR(__xludf.DUMMYFUNCTION("""COMPUTED_VALUE"""),"")</f>
        <v/>
      </c>
      <c r="EI4" s="36" t="str">
        <f>IFERROR(__xludf.DUMMYFUNCTION("""COMPUTED_VALUE"""),"")</f>
        <v/>
      </c>
      <c r="EJ4" s="36" t="str">
        <f>IFERROR(__xludf.DUMMYFUNCTION("""COMPUTED_VALUE"""),"")</f>
        <v/>
      </c>
      <c r="EK4" s="36" t="str">
        <f>IFERROR(__xludf.DUMMYFUNCTION("""COMPUTED_VALUE"""),"")</f>
        <v/>
      </c>
      <c r="EL4" s="36" t="str">
        <f>IFERROR(__xludf.DUMMYFUNCTION("""COMPUTED_VALUE"""),"")</f>
        <v/>
      </c>
      <c r="EM4" s="36" t="str">
        <f>IFERROR(__xludf.DUMMYFUNCTION("""COMPUTED_VALUE"""),"")</f>
        <v/>
      </c>
      <c r="EN4" s="36" t="str">
        <f>IFERROR(__xludf.DUMMYFUNCTION("""COMPUTED_VALUE"""),"")</f>
        <v/>
      </c>
      <c r="EO4" s="36" t="str">
        <f>IFERROR(__xludf.DUMMYFUNCTION("""COMPUTED_VALUE"""),"")</f>
        <v/>
      </c>
      <c r="EP4" s="36" t="str">
        <f>IFERROR(__xludf.DUMMYFUNCTION("""COMPUTED_VALUE"""),"")</f>
        <v/>
      </c>
      <c r="EQ4" s="36" t="str">
        <f>IFERROR(__xludf.DUMMYFUNCTION("""COMPUTED_VALUE"""),"")</f>
        <v/>
      </c>
      <c r="ER4" s="36" t="str">
        <f>IFERROR(__xludf.DUMMYFUNCTION("""COMPUTED_VALUE"""),"")</f>
        <v/>
      </c>
      <c r="ES4" s="36" t="str">
        <f>IFERROR(__xludf.DUMMYFUNCTION("""COMPUTED_VALUE"""),"")</f>
        <v/>
      </c>
      <c r="ET4" s="36" t="str">
        <f>IFERROR(__xludf.DUMMYFUNCTION("""COMPUTED_VALUE"""),"")</f>
        <v/>
      </c>
      <c r="EU4" s="36" t="str">
        <f>IFERROR(__xludf.DUMMYFUNCTION("""COMPUTED_VALUE"""),"")</f>
        <v/>
      </c>
      <c r="EV4" s="36" t="str">
        <f>IFERROR(__xludf.DUMMYFUNCTION("""COMPUTED_VALUE"""),"")</f>
        <v/>
      </c>
      <c r="EW4" s="36" t="str">
        <f>IFERROR(__xludf.DUMMYFUNCTION("""COMPUTED_VALUE"""),"")</f>
        <v/>
      </c>
      <c r="EX4" s="36" t="str">
        <f>IFERROR(__xludf.DUMMYFUNCTION("""COMPUTED_VALUE"""),"")</f>
        <v/>
      </c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IFERROR(__xludf.DUMMYFUNCTION("""COMPUTED_VALUE"""),"Symbol")</f>
        <v>Symbol</v>
      </c>
      <c r="C5" s="55" t="str">
        <f>IFERROR(__xludf.DUMMYFUNCTION("""COMPUTED_VALUE"""),"Side")</f>
        <v>Side</v>
      </c>
      <c r="D5" s="55" t="str">
        <f>IFERROR(__xludf.DUMMYFUNCTION("""COMPUTED_VALUE"""),"Quantity")</f>
        <v>Quantity</v>
      </c>
      <c r="E5" s="55" t="str">
        <f>IFERROR(__xludf.DUMMYFUNCTION("""COMPUTED_VALUE"""),"Executed Qty")</f>
        <v>Executed Qty</v>
      </c>
      <c r="F5" s="56" t="str">
        <f>IFERROR(__xludf.DUMMYFUNCTION("""COMPUTED_VALUE"""),"Trade Date")</f>
        <v>Trade Date</v>
      </c>
      <c r="G5" s="55" t="str">
        <f>IFERROR(__xludf.DUMMYFUNCTION("""COMPUTED_VALUE"""),"Net Amount( Local)")</f>
        <v>Net Amount( Local)</v>
      </c>
      <c r="H5" s="55" t="str">
        <f>IFERROR(__xludf.DUMMYFUNCTION("""COMPUTED_VALUE"""),"Net Amount( Base)")</f>
        <v>Net Amount( Base)</v>
      </c>
      <c r="I5" s="55" t="str">
        <f>IFERROR(__xludf.DUMMYFUNCTION("""COMPUTED_VALUE"""),"Principal Amount( Local)")</f>
        <v>Principal Amount( Local)</v>
      </c>
      <c r="J5" s="55" t="str">
        <f>IFERROR(__xludf.DUMMYFUNCTION("""COMPUTED_VALUE"""),"Transaction Type")</f>
        <v>Transaction Type</v>
      </c>
      <c r="K5" s="55" t="str">
        <f>IFERROR(__xludf.DUMMYFUNCTION("""COMPUTED_VALUE"""),"Principal Amount( Base)")</f>
        <v>Principal Amount( Base)</v>
      </c>
      <c r="L5" s="55" t="str">
        <f>IFERROR(__xludf.DUMMYFUNCTION("""COMPUTED_VALUE"""),"Execution Time")</f>
        <v>Execution Time</v>
      </c>
      <c r="M5" s="55" t="str">
        <f>IFERROR(__xludf.DUMMYFUNCTION("""COMPUTED_VALUE"""),"Trading Account")</f>
        <v>Trading Account</v>
      </c>
      <c r="N5" s="55" t="str">
        <f>IFERROR(__xludf.DUMMYFUNCTION("""COMPUTED_VALUE"""),"Avg Price(Local)")</f>
        <v>Avg Price(Local)</v>
      </c>
      <c r="O5" s="55" t="str">
        <f>IFERROR(__xludf.DUMMYFUNCTION("""COMPUTED_VALUE"""),"Avg Price(Base)")</f>
        <v>Avg Price(Base)</v>
      </c>
      <c r="P5" s="55" t="str">
        <f>IFERROR(__xludf.DUMMYFUNCTION("""COMPUTED_VALUE"""),"Broker")</f>
        <v>Broker</v>
      </c>
      <c r="Q5" s="55" t="str">
        <f>IFERROR(__xludf.DUMMYFUNCTION("""COMPUTED_VALUE"""),"FX Rate")</f>
        <v>FX Rate</v>
      </c>
      <c r="R5" s="55" t="str">
        <f>IFERROR(__xludf.DUMMYFUNCTION("""COMPUTED_VALUE"""),"Venue")</f>
        <v>Venue</v>
      </c>
      <c r="S5" s="55" t="str">
        <f>IFERROR(__xludf.DUMMYFUNCTION("""COMPUTED_VALUE"""),"FX Conversion Operator")</f>
        <v>FX Conversion Operator</v>
      </c>
      <c r="T5" s="41" t="str">
        <f>IFERROR(__xludf.DUMMYFUNCTION("""COMPUTED_VALUE"""),"User")</f>
        <v>User</v>
      </c>
      <c r="U5" s="41" t="str">
        <f>IFERROR(__xludf.DUMMYFUNCTION("""COMPUTED_VALUE"""),"Asset Category")</f>
        <v>Asset Category</v>
      </c>
      <c r="V5" s="41" t="str">
        <f>IFERROR(__xludf.DUMMYFUNCTION("""COMPUTED_VALUE"""),"Settlement Currency")</f>
        <v>Settlement Currency</v>
      </c>
      <c r="W5" s="41" t="str">
        <f>IFERROR(__xludf.DUMMYFUNCTION("""COMPUTED_VALUE"""),"Commission Per Share")</f>
        <v>Commission Per Share</v>
      </c>
      <c r="X5" s="41" t="str">
        <f>IFERROR(__xludf.DUMMYFUNCTION("""COMPUTED_VALUE"""),"Soft Commission Per Share")</f>
        <v>Soft Commission Per Share</v>
      </c>
      <c r="Y5" s="41" t="str">
        <f>IFERROR(__xludf.DUMMYFUNCTION("""COMPUTED_VALUE"""),"Total Commission Per Share")</f>
        <v>Total Commission Per Share</v>
      </c>
      <c r="Z5" s="41" t="str">
        <f>IFERROR(__xludf.DUMMYFUNCTION("""COMPUTED_VALUE"""),"Change Type")</f>
        <v>Change Type</v>
      </c>
      <c r="AA5" s="41" t="str">
        <f>IFERROR(__xludf.DUMMYFUNCTION("""COMPUTED_VALUE"""),"Trade Attribute 1")</f>
        <v>Trade Attribute 1</v>
      </c>
      <c r="AB5" s="41" t="str">
        <f>IFERROR(__xludf.DUMMYFUNCTION("""COMPUTED_VALUE"""),"Trade Attribute 2")</f>
        <v>Trade Attribute 2</v>
      </c>
      <c r="AC5" s="41" t="str">
        <f>IFERROR(__xludf.DUMMYFUNCTION("""COMPUTED_VALUE"""),"Trade Attribute 3")</f>
        <v>Trade Attribute 3</v>
      </c>
      <c r="AD5" s="41" t="str">
        <f>IFERROR(__xludf.DUMMYFUNCTION("""COMPUTED_VALUE"""),"Trade Attribute 4")</f>
        <v>Trade Attribute 4</v>
      </c>
      <c r="AE5" s="41" t="str">
        <f>IFERROR(__xludf.DUMMYFUNCTION("""COMPUTED_VALUE"""),"Trade Attribute 5")</f>
        <v>Trade Attribute 5</v>
      </c>
      <c r="AF5" s="41" t="str">
        <f>IFERROR(__xludf.DUMMYFUNCTION("""COMPUTED_VALUE"""),"Trade Attribute 6")</f>
        <v>Trade Attribute 6</v>
      </c>
      <c r="AG5" s="41" t="str">
        <f>IFERROR(__xludf.DUMMYFUNCTION("""COMPUTED_VALUE"""),"IsPreAllocated")</f>
        <v>IsPreAllocated</v>
      </c>
      <c r="AH5" s="41" t="str">
        <f>IFERROR(__xludf.DUMMYFUNCTION("""COMPUTED_VALUE"""),"IsManual Group")</f>
        <v>IsManual Group</v>
      </c>
      <c r="AI5" s="41" t="str">
        <f>IFERROR(__xludf.DUMMYFUNCTION("""COMPUTED_VALUE"""),"IsAnotherTaxlotAttributesUpdated")</f>
        <v>IsAnotherTaxlotAttributesUpdated</v>
      </c>
      <c r="AJ5" s="41" t="str">
        <f>IFERROR(__xludf.DUMMYFUNCTION("""COMPUTED_VALUE"""),"ISNDF")</f>
        <v>ISNDF</v>
      </c>
      <c r="AK5" s="41" t="str">
        <f>IFERROR(__xludf.DUMMYFUNCTION("""COMPUTED_VALUE"""),"M2MProfitLoss")</f>
        <v>M2MProfitLoss</v>
      </c>
      <c r="AL5" s="41" t="str">
        <f>IFERROR(__xludf.DUMMYFUNCTION("""COMPUTED_VALUE"""),"Put Or Call")</f>
        <v>Put Or Call</v>
      </c>
      <c r="AM5" s="41" t="str">
        <f>IFERROR(__xludf.DUMMYFUNCTION("""COMPUTED_VALUE"""),"GroupID")</f>
        <v>GroupID</v>
      </c>
      <c r="AN5" s="41" t="str">
        <f>IFERROR(__xludf.DUMMYFUNCTION("""COMPUTED_VALUE"""),"UnAllocatedQty")</f>
        <v>UnAllocatedQty</v>
      </c>
      <c r="AO5" s="41" t="str">
        <f>IFERROR(__xludf.DUMMYFUNCTION("""COMPUTED_VALUE"""),"Allocated Qty")</f>
        <v>Allocated Qty</v>
      </c>
      <c r="AP5" s="41" t="str">
        <f>IFERROR(__xludf.DUMMYFUNCTION("""COMPUTED_VALUE"""),"Commission")</f>
        <v>Commission</v>
      </c>
      <c r="AQ5" s="41" t="str">
        <f>IFERROR(__xludf.DUMMYFUNCTION("""COMPUTED_VALUE"""),"Soft Commission")</f>
        <v>Soft Commission</v>
      </c>
      <c r="AR5" s="41" t="str">
        <f>IFERROR(__xludf.DUMMYFUNCTION("""COMPUTED_VALUE"""),"Other Broker Fees")</f>
        <v>Other Broker Fees</v>
      </c>
      <c r="AS5" s="41" t="str">
        <f>IFERROR(__xludf.DUMMYFUNCTION("""COMPUTED_VALUE"""),"Clearing Broker Fee")</f>
        <v>Clearing Broker Fee</v>
      </c>
      <c r="AT5" s="41" t="str">
        <f>IFERROR(__xludf.DUMMYFUNCTION("""COMPUTED_VALUE"""),"Total Commission And Fee")</f>
        <v>Total Commission And Fee</v>
      </c>
      <c r="AU5" s="41" t="str">
        <f>IFERROR(__xludf.DUMMYFUNCTION("""COMPUTED_VALUE"""),"Transaction Levy")</f>
        <v>Transaction Levy</v>
      </c>
      <c r="AV5" s="41" t="str">
        <f>IFERROR(__xludf.DUMMYFUNCTION("""COMPUTED_VALUE"""),"Stamp Duty")</f>
        <v>Stamp Duty</v>
      </c>
      <c r="AW5" s="41" t="str">
        <f>IFERROR(__xludf.DUMMYFUNCTION("""COMPUTED_VALUE"""),"AUEC Fee1")</f>
        <v>AUEC Fee1</v>
      </c>
      <c r="AX5" s="41" t="str">
        <f>IFERROR(__xludf.DUMMYFUNCTION("""COMPUTED_VALUE"""),"Tax On Commissions")</f>
        <v>Tax On Commissions</v>
      </c>
      <c r="AY5" s="41" t="str">
        <f>IFERROR(__xludf.DUMMYFUNCTION("""COMPUTED_VALUE"""),"AUEC Fee2")</f>
        <v>AUEC Fee2</v>
      </c>
      <c r="AZ5" s="41" t="str">
        <f>IFERROR(__xludf.DUMMYFUNCTION("""COMPUTED_VALUE"""),"SEC Fee")</f>
        <v>SEC Fee</v>
      </c>
      <c r="BA5" s="41" t="str">
        <f>IFERROR(__xludf.DUMMYFUNCTION("""COMPUTED_VALUE"""),"OCC Fee")</f>
        <v>OCC Fee</v>
      </c>
      <c r="BB5" s="41" t="str">
        <f>IFERROR(__xludf.DUMMYFUNCTION("""COMPUTED_VALUE"""),"ORF Fee")</f>
        <v>ORF Fee</v>
      </c>
      <c r="BC5" s="41" t="str">
        <f>IFERROR(__xludf.DUMMYFUNCTION("""COMPUTED_VALUE"""),"Option Premium Adjustment")</f>
        <v>Option Premium Adjustment</v>
      </c>
      <c r="BD5" s="41" t="str">
        <f>IFERROR(__xludf.DUMMYFUNCTION("""COMPUTED_VALUE"""),"Prana Msg Type")</f>
        <v>Prana Msg Type</v>
      </c>
      <c r="BE5" s="41" t="str">
        <f>IFERROR(__xludf.DUMMYFUNCTION("""COMPUTED_VALUE"""),"Total Commission")</f>
        <v>Total Commission</v>
      </c>
      <c r="BF5" s="41" t="str">
        <f>IFERROR(__xludf.DUMMYFUNCTION("""COMPUTED_VALUE"""),"Closing Status")</f>
        <v>Closing Status</v>
      </c>
      <c r="BG5" s="41" t="str">
        <f>IFERROR(__xludf.DUMMYFUNCTION("""COMPUTED_VALUE"""),"Closing Method")</f>
        <v>Closing Method</v>
      </c>
      <c r="BH5" s="41" t="str">
        <f>IFERROR(__xludf.DUMMYFUNCTION("""COMPUTED_VALUE"""),"Group Status")</f>
        <v>Group Status</v>
      </c>
      <c r="BI5" s="41" t="str">
        <f>IFERROR(__xludf.DUMMYFUNCTION("""COMPUTED_VALUE"""),"Allocation Scheme Name")</f>
        <v>Allocation Scheme Name</v>
      </c>
      <c r="BJ5" s="41" t="str">
        <f>IFERROR(__xludf.DUMMYFUNCTION("""COMPUTED_VALUE"""),"Change Comment")</f>
        <v>Change Comment</v>
      </c>
      <c r="BK5" s="41" t="str">
        <f>IFERROR(__xludf.DUMMYFUNCTION("""COMPUTED_VALUE"""),"Order Type")</f>
        <v>Order Type</v>
      </c>
      <c r="BL5" s="41" t="str">
        <f>IFERROR(__xludf.DUMMYFUNCTION("""COMPUTED_VALUE"""),"Underlying")</f>
        <v>Underlying</v>
      </c>
      <c r="BM5" s="41" t="str">
        <f>IFERROR(__xludf.DUMMYFUNCTION("""COMPUTED_VALUE"""),"Exchange")</f>
        <v>Exchange</v>
      </c>
      <c r="BN5" s="41" t="str">
        <f>IFERROR(__xludf.DUMMYFUNCTION("""COMPUTED_VALUE"""),"Currency")</f>
        <v>Currency</v>
      </c>
      <c r="BO5" s="41" t="str">
        <f>IFERROR(__xludf.DUMMYFUNCTION("""COMPUTED_VALUE"""),"AUECID")</f>
        <v>AUECID</v>
      </c>
      <c r="BP5" s="41" t="str">
        <f>IFERROR(__xludf.DUMMYFUNCTION("""COMPUTED_VALUE"""),"Cum Qty For Sub Order")</f>
        <v>Cum Qty For Sub Order</v>
      </c>
      <c r="BQ5" s="41" t="str">
        <f>IFERROR(__xludf.DUMMYFUNCTION("""COMPUTED_VALUE"""),"Contract Multiplier")</f>
        <v>Contract Multiplier</v>
      </c>
      <c r="BR5" s="41" t="str">
        <f>IFERROR(__xludf.DUMMYFUNCTION("""COMPUTED_VALUE"""),"Company")</f>
        <v>Company</v>
      </c>
      <c r="BS5" s="41" t="str">
        <f>IFERROR(__xludf.DUMMYFUNCTION("""COMPUTED_VALUE"""),"Nirvana Process Date")</f>
        <v>Nirvana Process Date</v>
      </c>
      <c r="BT5" s="41" t="str">
        <f>IFERROR(__xludf.DUMMYFUNCTION("""COMPUTED_VALUE"""),"Process Date")</f>
        <v>Process Date</v>
      </c>
      <c r="BU5" s="41" t="str">
        <f>IFERROR(__xludf.DUMMYFUNCTION("""COMPUTED_VALUE"""),"Original Purchase Date")</f>
        <v>Original Purchase Date</v>
      </c>
      <c r="BV5" s="41" t="str">
        <f>IFERROR(__xludf.DUMMYFUNCTION("""COMPUTED_VALUE"""),"Closing Date")</f>
        <v>Closing Date</v>
      </c>
      <c r="BW5" s="41" t="str">
        <f>IFERROR(__xludf.DUMMYFUNCTION("""COMPUTED_VALUE"""),"Settlement Date")</f>
        <v>Settlement Date</v>
      </c>
      <c r="BX5" s="41" t="str">
        <f>IFERROR(__xludf.DUMMYFUNCTION("""COMPUTED_VALUE"""),"Expiration Date")</f>
        <v>Expiration Date</v>
      </c>
      <c r="BY5" s="41" t="str">
        <f>IFERROR(__xludf.DUMMYFUNCTION("""COMPUTED_VALUE"""),"Description")</f>
        <v>Description</v>
      </c>
      <c r="BZ5" s="41" t="str">
        <f>IFERROR(__xludf.DUMMYFUNCTION("""COMPUTED_VALUE"""),"Underlying Symbol")</f>
        <v>Underlying Symbol</v>
      </c>
      <c r="CA5" s="41" t="str">
        <f>IFERROR(__xludf.DUMMYFUNCTION("""COMPUTED_VALUE"""),"Accrued Interest")</f>
        <v>Accrued Interest</v>
      </c>
      <c r="CB5" s="41" t="str">
        <f>IFERROR(__xludf.DUMMYFUNCTION("""COMPUTED_VALUE"""),"Accrual Basis")</f>
        <v>Accrual Basis</v>
      </c>
      <c r="CC5" s="41" t="str">
        <f>IFERROR(__xludf.DUMMYFUNCTION("""COMPUTED_VALUE"""),"Bond Type")</f>
        <v>Bond Type</v>
      </c>
      <c r="CD5" s="41" t="str">
        <f>IFERROR(__xludf.DUMMYFUNCTION("""COMPUTED_VALUE"""),"Coupon Rate")</f>
        <v>Coupon Rate</v>
      </c>
      <c r="CE5" s="41" t="str">
        <f>IFERROR(__xludf.DUMMYFUNCTION("""COMPUTED_VALUE"""),"Delta")</f>
        <v>Delta</v>
      </c>
      <c r="CF5" s="41" t="str">
        <f>IFERROR(__xludf.DUMMYFUNCTION("""COMPUTED_VALUE"""),"Bloomberg")</f>
        <v>Bloomberg</v>
      </c>
      <c r="CG5" s="41" t="str">
        <f>IFERROR(__xludf.DUMMYFUNCTION("""COMPUTED_VALUE"""),"Sedol Symbol")</f>
        <v>Sedol Symbol</v>
      </c>
      <c r="CH5" s="41" t="str">
        <f>IFERROR(__xludf.DUMMYFUNCTION("""COMPUTED_VALUE"""),"Cusip Symbol")</f>
        <v>Cusip Symbol</v>
      </c>
      <c r="CI5" s="41" t="str">
        <f>IFERROR(__xludf.DUMMYFUNCTION("""COMPUTED_VALUE"""),"ISIN")</f>
        <v>ISIN</v>
      </c>
      <c r="CJ5" s="41" t="str">
        <f>IFERROR(__xludf.DUMMYFUNCTION("""COMPUTED_VALUE"""),"OSISSymbol")</f>
        <v>OSISSymbol</v>
      </c>
      <c r="CK5" s="41" t="str">
        <f>IFERROR(__xludf.DUMMYFUNCTION("""COMPUTED_VALUE"""),"IDCOSymbol")</f>
        <v>IDCOSymbol</v>
      </c>
      <c r="CL5" s="41" t="str">
        <f>IFERROR(__xludf.DUMMYFUNCTION("""COMPUTED_VALUE"""),"Underlying Delta")</f>
        <v>Underlying Delta</v>
      </c>
      <c r="CM5" s="41" t="str">
        <f>IFERROR(__xludf.DUMMYFUNCTION("""COMPUTED_VALUE"""),"Internal Comments")</f>
        <v>Internal Comments</v>
      </c>
      <c r="CN5" s="41" t="str">
        <f>IFERROR(__xludf.DUMMYFUNCTION("""COMPUTED_VALUE"""),"Proxy Symbol")</f>
        <v>Proxy Symbol</v>
      </c>
      <c r="CO5" s="41" t="str">
        <f>IFERROR(__xludf.DUMMYFUNCTION("""COMPUTED_VALUE"""),"Transaction Source")</f>
        <v>Transaction Source</v>
      </c>
      <c r="CP5" s="41" t="str">
        <f>IFERROR(__xludf.DUMMYFUNCTION("""COMPUTED_VALUE"""),"Import File Name")</f>
        <v>Import File Name</v>
      </c>
      <c r="CQ5" s="41" t="str">
        <f>IFERROR(__xludf.DUMMYFUNCTION("""COMPUTED_VALUE"""),"Master Fund")</f>
        <v>Master Fund</v>
      </c>
      <c r="CR5" s="41" t="str">
        <f>IFERROR(__xludf.DUMMYFUNCTION("""COMPUTED_VALUE"""),"Client")</f>
        <v>Client</v>
      </c>
      <c r="CS5" s="41" t="str">
        <f>IFERROR(__xludf.DUMMYFUNCTION("""COMPUTED_VALUE"""),"")</f>
        <v/>
      </c>
      <c r="CT5" s="41" t="str">
        <f>IFERROR(__xludf.DUMMYFUNCTION("""COMPUTED_VALUE"""),"")</f>
        <v/>
      </c>
      <c r="CU5" s="41" t="str">
        <f>IFERROR(__xludf.DUMMYFUNCTION("""COMPUTED_VALUE"""),"")</f>
        <v/>
      </c>
      <c r="CV5" s="41" t="str">
        <f>IFERROR(__xludf.DUMMYFUNCTION("""COMPUTED_VALUE"""),"")</f>
        <v/>
      </c>
      <c r="CW5" s="41" t="str">
        <f>IFERROR(__xludf.DUMMYFUNCTION("""COMPUTED_VALUE"""),"")</f>
        <v/>
      </c>
      <c r="CX5" s="41" t="str">
        <f>IFERROR(__xludf.DUMMYFUNCTION("""COMPUTED_VALUE"""),"")</f>
        <v/>
      </c>
      <c r="CY5" s="41" t="str">
        <f>IFERROR(__xludf.DUMMYFUNCTION("""COMPUTED_VALUE"""),"")</f>
        <v/>
      </c>
      <c r="CZ5" s="41" t="str">
        <f>IFERROR(__xludf.DUMMYFUNCTION("""COMPUTED_VALUE"""),"")</f>
        <v/>
      </c>
      <c r="DA5" s="41" t="str">
        <f>IFERROR(__xludf.DUMMYFUNCTION("""COMPUTED_VALUE"""),"")</f>
        <v/>
      </c>
      <c r="DB5" s="41" t="str">
        <f>IFERROR(__xludf.DUMMYFUNCTION("""COMPUTED_VALUE"""),"")</f>
        <v/>
      </c>
      <c r="DC5" s="41" t="str">
        <f>IFERROR(__xludf.DUMMYFUNCTION("""COMPUTED_VALUE"""),"")</f>
        <v/>
      </c>
      <c r="DD5" s="41" t="str">
        <f>IFERROR(__xludf.DUMMYFUNCTION("""COMPUTED_VALUE"""),"")</f>
        <v/>
      </c>
      <c r="DE5" s="41" t="str">
        <f>IFERROR(__xludf.DUMMYFUNCTION("""COMPUTED_VALUE"""),"")</f>
        <v/>
      </c>
      <c r="DF5" s="41" t="str">
        <f>IFERROR(__xludf.DUMMYFUNCTION("""COMPUTED_VALUE"""),"")</f>
        <v/>
      </c>
      <c r="DG5" s="41" t="str">
        <f>IFERROR(__xludf.DUMMYFUNCTION("""COMPUTED_VALUE"""),"")</f>
        <v/>
      </c>
      <c r="DH5" s="41" t="str">
        <f>IFERROR(__xludf.DUMMYFUNCTION("""COMPUTED_VALUE"""),"")</f>
        <v/>
      </c>
      <c r="DI5" s="41" t="str">
        <f>IFERROR(__xludf.DUMMYFUNCTION("""COMPUTED_VALUE"""),"")</f>
        <v/>
      </c>
      <c r="DJ5" s="41" t="str">
        <f>IFERROR(__xludf.DUMMYFUNCTION("""COMPUTED_VALUE"""),"")</f>
        <v/>
      </c>
      <c r="DK5" s="41" t="str">
        <f>IFERROR(__xludf.DUMMYFUNCTION("""COMPUTED_VALUE"""),"")</f>
        <v/>
      </c>
      <c r="DL5" s="41" t="str">
        <f>IFERROR(__xludf.DUMMYFUNCTION("""COMPUTED_VALUE"""),"")</f>
        <v/>
      </c>
      <c r="DM5" s="41" t="str">
        <f>IFERROR(__xludf.DUMMYFUNCTION("""COMPUTED_VALUE"""),"")</f>
        <v/>
      </c>
      <c r="DN5" s="41" t="str">
        <f>IFERROR(__xludf.DUMMYFUNCTION("""COMPUTED_VALUE"""),"")</f>
        <v/>
      </c>
      <c r="DO5" s="41" t="str">
        <f>IFERROR(__xludf.DUMMYFUNCTION("""COMPUTED_VALUE"""),"")</f>
        <v/>
      </c>
      <c r="DP5" s="41" t="str">
        <f>IFERROR(__xludf.DUMMYFUNCTION("""COMPUTED_VALUE"""),"")</f>
        <v/>
      </c>
      <c r="DQ5" s="41" t="str">
        <f>IFERROR(__xludf.DUMMYFUNCTION("""COMPUTED_VALUE"""),"")</f>
        <v/>
      </c>
      <c r="DR5" s="41" t="str">
        <f>IFERROR(__xludf.DUMMYFUNCTION("""COMPUTED_VALUE"""),"")</f>
        <v/>
      </c>
      <c r="DS5" s="41" t="str">
        <f>IFERROR(__xludf.DUMMYFUNCTION("""COMPUTED_VALUE"""),"")</f>
        <v/>
      </c>
      <c r="DT5" s="41" t="str">
        <f>IFERROR(__xludf.DUMMYFUNCTION("""COMPUTED_VALUE"""),"")</f>
        <v/>
      </c>
      <c r="DU5" s="41" t="str">
        <f>IFERROR(__xludf.DUMMYFUNCTION("""COMPUTED_VALUE"""),"")</f>
        <v/>
      </c>
      <c r="DV5" s="41" t="str">
        <f>IFERROR(__xludf.DUMMYFUNCTION("""COMPUTED_VALUE"""),"")</f>
        <v/>
      </c>
      <c r="DW5" s="41" t="str">
        <f>IFERROR(__xludf.DUMMYFUNCTION("""COMPUTED_VALUE"""),"")</f>
        <v/>
      </c>
      <c r="DX5" s="41" t="str">
        <f>IFERROR(__xludf.DUMMYFUNCTION("""COMPUTED_VALUE"""),"")</f>
        <v/>
      </c>
      <c r="DY5" s="41" t="str">
        <f>IFERROR(__xludf.DUMMYFUNCTION("""COMPUTED_VALUE"""),"")</f>
        <v/>
      </c>
      <c r="DZ5" s="41" t="str">
        <f>IFERROR(__xludf.DUMMYFUNCTION("""COMPUTED_VALUE"""),"")</f>
        <v/>
      </c>
      <c r="EA5" s="41" t="str">
        <f>IFERROR(__xludf.DUMMYFUNCTION("""COMPUTED_VALUE"""),"")</f>
        <v/>
      </c>
      <c r="EB5" s="41" t="str">
        <f>IFERROR(__xludf.DUMMYFUNCTION("""COMPUTED_VALUE"""),"")</f>
        <v/>
      </c>
      <c r="EC5" s="41" t="str">
        <f>IFERROR(__xludf.DUMMYFUNCTION("""COMPUTED_VALUE"""),"")</f>
        <v/>
      </c>
      <c r="ED5" s="41" t="str">
        <f>IFERROR(__xludf.DUMMYFUNCTION("""COMPUTED_VALUE"""),"")</f>
        <v/>
      </c>
      <c r="EE5" s="41" t="str">
        <f>IFERROR(__xludf.DUMMYFUNCTION("""COMPUTED_VALUE"""),"")</f>
        <v/>
      </c>
      <c r="EF5" s="41" t="str">
        <f>IFERROR(__xludf.DUMMYFUNCTION("""COMPUTED_VALUE"""),"")</f>
        <v/>
      </c>
      <c r="EG5" s="41" t="str">
        <f>IFERROR(__xludf.DUMMYFUNCTION("""COMPUTED_VALUE"""),"")</f>
        <v/>
      </c>
      <c r="EH5" s="41" t="str">
        <f>IFERROR(__xludf.DUMMYFUNCTION("""COMPUTED_VALUE"""),"")</f>
        <v/>
      </c>
      <c r="EI5" s="41" t="str">
        <f>IFERROR(__xludf.DUMMYFUNCTION("""COMPUTED_VALUE"""),"")</f>
        <v/>
      </c>
      <c r="EJ5" s="41" t="str">
        <f>IFERROR(__xludf.DUMMYFUNCTION("""COMPUTED_VALUE"""),"")</f>
        <v/>
      </c>
      <c r="EK5" s="41" t="str">
        <f>IFERROR(__xludf.DUMMYFUNCTION("""COMPUTED_VALUE"""),"")</f>
        <v/>
      </c>
      <c r="EL5" s="41" t="str">
        <f>IFERROR(__xludf.DUMMYFUNCTION("""COMPUTED_VALUE"""),"")</f>
        <v/>
      </c>
      <c r="EM5" s="41" t="str">
        <f>IFERROR(__xludf.DUMMYFUNCTION("""COMPUTED_VALUE"""),"")</f>
        <v/>
      </c>
      <c r="EN5" s="41" t="str">
        <f>IFERROR(__xludf.DUMMYFUNCTION("""COMPUTED_VALUE"""),"")</f>
        <v/>
      </c>
      <c r="EO5" s="41" t="str">
        <f>IFERROR(__xludf.DUMMYFUNCTION("""COMPUTED_VALUE"""),"")</f>
        <v/>
      </c>
      <c r="EP5" s="41" t="str">
        <f>IFERROR(__xludf.DUMMYFUNCTION("""COMPUTED_VALUE"""),"")</f>
        <v/>
      </c>
      <c r="EQ5" s="41" t="str">
        <f>IFERROR(__xludf.DUMMYFUNCTION("""COMPUTED_VALUE"""),"")</f>
        <v/>
      </c>
      <c r="ER5" s="41" t="str">
        <f>IFERROR(__xludf.DUMMYFUNCTION("""COMPUTED_VALUE"""),"")</f>
        <v/>
      </c>
      <c r="ES5" s="41" t="str">
        <f>IFERROR(__xludf.DUMMYFUNCTION("""COMPUTED_VALUE"""),"")</f>
        <v/>
      </c>
      <c r="ET5" s="41" t="str">
        <f>IFERROR(__xludf.DUMMYFUNCTION("""COMPUTED_VALUE"""),"")</f>
        <v/>
      </c>
      <c r="EU5" s="41" t="str">
        <f>IFERROR(__xludf.DUMMYFUNCTION("""COMPUTED_VALUE"""),"")</f>
        <v/>
      </c>
      <c r="EV5" s="41" t="str">
        <f>IFERROR(__xludf.DUMMYFUNCTION("""COMPUTED_VALUE"""),"")</f>
        <v/>
      </c>
      <c r="EW5" s="41" t="str">
        <f>IFERROR(__xludf.DUMMYFUNCTION("""COMPUTED_VALUE"""),"")</f>
        <v/>
      </c>
      <c r="EX5" s="41" t="str">
        <f>IFERROR(__xludf.DUMMYFUNCTION("""COMPUTED_VALUE"""),"")</f>
        <v/>
      </c>
    </row>
    <row r="6" ht="15.75" customHeight="1">
      <c r="A6" s="11"/>
      <c r="B6" s="11" t="s">
        <v>21</v>
      </c>
      <c r="C6" s="11" t="s">
        <v>17</v>
      </c>
      <c r="D6" s="11">
        <v>200.0</v>
      </c>
      <c r="E6" s="11">
        <v>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#N/A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26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IFERROR(__xludf.DUMMYFUNCTION("""COMPUTED_VALUE"""),"CopyCalculatedPreferenceToolbar")</f>
        <v>CopyCalculatedPreferenceToolbar</v>
      </c>
      <c r="CX4" s="36" t="str">
        <f>IFERROR(__xludf.DUMMYFUNCTION("""COMPUTED_VALUE"""),"CloseOrder")</f>
        <v>CloseOrder</v>
      </c>
      <c r="CY4" s="36" t="str">
        <f>IFERROR(__xludf.DUMMYFUNCTION("""COMPUTED_VALUE"""),"DisableChecksideForAsset")</f>
        <v>DisableChecksideForAsset</v>
      </c>
      <c r="CZ4" s="36" t="str">
        <f>IFERROR(__xludf.DUMMYFUNCTION("""COMPUTED_VALUE"""),"DisableChecksideForAccount")</f>
        <v>DisableChecksideForAccount</v>
      </c>
      <c r="DA4" s="36" t="str">
        <f>IFERROR(__xludf.DUMMYFUNCTION("""COMPUTED_VALUE"""),"DisableChecksideForCounterParty")</f>
        <v>DisableChecksideForCounterParty</v>
      </c>
      <c r="DB4" s="36" t="str">
        <f>IFERROR(__xludf.DUMMYFUNCTION("""COMPUTED_VALUE"""),"DisableCheckside")</f>
        <v>DisableCheckside</v>
      </c>
      <c r="DC4" s="36" t="str">
        <f>IFERROR(__xludf.DUMMYFUNCTION("""COMPUTED_VALUE"""),"ApplyMasterFundFilter")</f>
        <v>ApplyMasterFundFilter</v>
      </c>
      <c r="DD4" s="36" t="str">
        <f>IFERROR(__xludf.DUMMYFUNCTION("""COMPUTED_VALUE"""),"ShowMasterFundOnTT")</f>
        <v>ShowMasterFundOnTT</v>
      </c>
      <c r="DE4" s="36" t="str">
        <f>IFERROR(__xludf.DUMMYFUNCTION("""COMPUTED_VALUE"""),"ShowMasterFundAsClient")</f>
        <v>ShowMasterFundAsClient</v>
      </c>
      <c r="DF4" s="36" t="str">
        <f>IFERROR(__xludf.DUMMYFUNCTION("""COMPUTED_VALUE"""),"SetBrokerAccountMapping")</f>
        <v>SetBrokerAccountMapping</v>
      </c>
      <c r="DG4" s="36" t="str">
        <f>IFERROR(__xludf.DUMMYFUNCTION("""COMPUTED_VALUE"""),"EditUnallocatedGridWPF")</f>
        <v>EditUnallocatedGridWPF</v>
      </c>
      <c r="DH4" s="36" t="str">
        <f>IFERROR(__xludf.DUMMYFUNCTION("""COMPUTED_VALUE"""),"EditAllocatedGridWPF")</f>
        <v>EditAllocatedGridWPF</v>
      </c>
      <c r="DI4" s="36" t="str">
        <f>IFERROR(__xludf.DUMMYFUNCTION("""COMPUTED_VALUE"""),"EditAllocatedGridTaxlot")</f>
        <v>EditAllocatedGridTaxlot</v>
      </c>
      <c r="DJ4" s="36" t="str">
        <f>IFERROR(__xludf.DUMMYFUNCTION("""COMPUTED_VALUE"""),"ExpandCollapseAllocatedGrid")</f>
        <v>ExpandCollapseAllocatedGrid</v>
      </c>
      <c r="DK4" s="36" t="str">
        <f>IFERROR(__xludf.DUMMYFUNCTION("""COMPUTED_VALUE"""),"ExpandCollapseUnallocatedGrid")</f>
        <v>ExpandCollapseUnallocatedGrid</v>
      </c>
      <c r="DL4" s="36" t="str">
        <f>IFERROR(__xludf.DUMMYFUNCTION("""COMPUTED_VALUE"""),"")</f>
        <v/>
      </c>
      <c r="DM4" s="36" t="str">
        <f>IFERROR(__xludf.DUMMYFUNCTION("""COMPUTED_VALUE"""),"")</f>
        <v/>
      </c>
      <c r="DN4" s="36" t="str">
        <f>IFERROR(__xludf.DUMMYFUNCTION("""COMPUTED_VALUE"""),"")</f>
        <v/>
      </c>
      <c r="DO4" s="36" t="str">
        <f>IFERROR(__xludf.DUMMYFUNCTION("""COMPUTED_VALUE"""),"")</f>
        <v/>
      </c>
      <c r="DP4" s="36" t="str">
        <f>IFERROR(__xludf.DUMMYFUNCTION("""COMPUTED_VALUE"""),"")</f>
        <v/>
      </c>
      <c r="DQ4" s="36" t="str">
        <f>IFERROR(__xludf.DUMMYFUNCTION("""COMPUTED_VALUE"""),"")</f>
        <v/>
      </c>
      <c r="DR4" s="36" t="str">
        <f>IFERROR(__xludf.DUMMYFUNCTION("""COMPUTED_VALUE"""),"")</f>
        <v/>
      </c>
      <c r="DS4" s="36" t="str">
        <f>IFERROR(__xludf.DUMMYFUNCTION("""COMPUTED_VALUE"""),"")</f>
        <v/>
      </c>
      <c r="DT4" s="36" t="str">
        <f>IFERROR(__xludf.DUMMYFUNCTION("""COMPUTED_VALUE"""),"")</f>
        <v/>
      </c>
      <c r="DU4" s="36" t="str">
        <f>IFERROR(__xludf.DUMMYFUNCTION("""COMPUTED_VALUE"""),"")</f>
        <v/>
      </c>
      <c r="DV4" s="36" t="str">
        <f>IFERROR(__xludf.DUMMYFUNCTION("""COMPUTED_VALUE"""),"")</f>
        <v/>
      </c>
      <c r="DW4" s="36" t="str">
        <f>IFERROR(__xludf.DUMMYFUNCTION("""COMPUTED_VALUE"""),"")</f>
        <v/>
      </c>
      <c r="DX4" s="36" t="str">
        <f>IFERROR(__xludf.DUMMYFUNCTION("""COMPUTED_VALUE"""),"")</f>
        <v/>
      </c>
      <c r="DY4" s="36" t="str">
        <f>IFERROR(__xludf.DUMMYFUNCTION("""COMPUTED_VALUE"""),"")</f>
        <v/>
      </c>
      <c r="DZ4" s="36" t="str">
        <f>IFERROR(__xludf.DUMMYFUNCTION("""COMPUTED_VALUE"""),"")</f>
        <v/>
      </c>
      <c r="EA4" s="36" t="str">
        <f>IFERROR(__xludf.DUMMYFUNCTION("""COMPUTED_VALUE"""),"")</f>
        <v/>
      </c>
      <c r="EB4" s="36" t="str">
        <f>IFERROR(__xludf.DUMMYFUNCTION("""COMPUTED_VALUE"""),"")</f>
        <v/>
      </c>
      <c r="EC4" s="36" t="str">
        <f>IFERROR(__xludf.DUMMYFUNCTION("""COMPUTED_VALUE"""),"")</f>
        <v/>
      </c>
      <c r="ED4" s="36" t="str">
        <f>IFERROR(__xludf.DUMMYFUNCTION("""COMPUTED_VALUE"""),"")</f>
        <v/>
      </c>
      <c r="EE4" s="36" t="str">
        <f>IFERROR(__xludf.DUMMYFUNCTION("""COMPUTED_VALUE"""),"")</f>
        <v/>
      </c>
      <c r="EF4" s="36" t="str">
        <f>IFERROR(__xludf.DUMMYFUNCTION("""COMPUTED_VALUE"""),"")</f>
        <v/>
      </c>
      <c r="EG4" s="36" t="str">
        <f>IFERROR(__xludf.DUMMYFUNCTION("""COMPUTED_VALUE"""),"")</f>
        <v/>
      </c>
      <c r="EH4" s="36" t="str">
        <f>IFERROR(__xludf.DUMMYFUNCTION("""COMPUTED_VALUE"""),"")</f>
        <v/>
      </c>
      <c r="EI4" s="36" t="str">
        <f>IFERROR(__xludf.DUMMYFUNCTION("""COMPUTED_VALUE"""),"")</f>
        <v/>
      </c>
      <c r="EJ4" s="36" t="str">
        <f>IFERROR(__xludf.DUMMYFUNCTION("""COMPUTED_VALUE"""),"")</f>
        <v/>
      </c>
      <c r="EK4" s="36" t="str">
        <f>IFERROR(__xludf.DUMMYFUNCTION("""COMPUTED_VALUE"""),"")</f>
        <v/>
      </c>
      <c r="EL4" s="36" t="str">
        <f>IFERROR(__xludf.DUMMYFUNCTION("""COMPUTED_VALUE"""),"")</f>
        <v/>
      </c>
      <c r="EM4" s="36" t="str">
        <f>IFERROR(__xludf.DUMMYFUNCTION("""COMPUTED_VALUE"""),"")</f>
        <v/>
      </c>
      <c r="EN4" s="36" t="str">
        <f>IFERROR(__xludf.DUMMYFUNCTION("""COMPUTED_VALUE"""),"")</f>
        <v/>
      </c>
      <c r="EO4" s="36" t="str">
        <f>IFERROR(__xludf.DUMMYFUNCTION("""COMPUTED_VALUE"""),"")</f>
        <v/>
      </c>
      <c r="EP4" s="36" t="str">
        <f>IFERROR(__xludf.DUMMYFUNCTION("""COMPUTED_VALUE"""),"")</f>
        <v/>
      </c>
      <c r="EQ4" s="36" t="str">
        <f>IFERROR(__xludf.DUMMYFUNCTION("""COMPUTED_VALUE"""),"")</f>
        <v/>
      </c>
      <c r="ER4" s="36" t="str">
        <f>IFERROR(__xludf.DUMMYFUNCTION("""COMPUTED_VALUE"""),"")</f>
        <v/>
      </c>
      <c r="ES4" s="36" t="str">
        <f>IFERROR(__xludf.DUMMYFUNCTION("""COMPUTED_VALUE"""),"")</f>
        <v/>
      </c>
      <c r="ET4" s="36" t="str">
        <f>IFERROR(__xludf.DUMMYFUNCTION("""COMPUTED_VALUE"""),"")</f>
        <v/>
      </c>
      <c r="EU4" s="36" t="str">
        <f>IFERROR(__xludf.DUMMYFUNCTION("""COMPUTED_VALUE"""),"")</f>
        <v/>
      </c>
      <c r="EV4" s="36" t="str">
        <f>IFERROR(__xludf.DUMMYFUNCTION("""COMPUTED_VALUE"""),"")</f>
        <v/>
      </c>
      <c r="EW4" s="36" t="str">
        <f>IFERROR(__xludf.DUMMYFUNCTION("""COMPUTED_VALUE"""),"")</f>
        <v/>
      </c>
      <c r="EX4" s="36" t="str">
        <f>IFERROR(__xludf.DUMMYFUNCTION("""COMPUTED_VALUE"""),"")</f>
        <v/>
      </c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IFERROR(__xludf.DUMMYFUNCTION("""COMPUTED_VALUE"""),"Side")</f>
        <v>Side</v>
      </c>
      <c r="C5" s="55" t="str">
        <f>IFERROR(__xludf.DUMMYFUNCTION("""COMPUTED_VALUE"""),"Venue")</f>
        <v>Venue</v>
      </c>
      <c r="D5" s="55" t="str">
        <f>IFERROR(__xludf.DUMMYFUNCTION("""COMPUTED_VALUE"""),"Transaction Levy")</f>
        <v>Transaction Levy</v>
      </c>
      <c r="E5" s="55" t="str">
        <f>IFERROR(__xludf.DUMMYFUNCTION("""COMPUTED_VALUE"""),"Executed Qty")</f>
        <v>Executed Qty</v>
      </c>
      <c r="F5" s="56" t="str">
        <f>IFERROR(__xludf.DUMMYFUNCTION("""COMPUTED_VALUE"""),"Trade Date")</f>
        <v>Trade Date</v>
      </c>
      <c r="G5" s="55" t="str">
        <f>IFERROR(__xludf.DUMMYFUNCTION("""COMPUTED_VALUE"""),"Process Date")</f>
        <v>Process Date</v>
      </c>
      <c r="H5" s="55" t="str">
        <f>IFERROR(__xludf.DUMMYFUNCTION("""COMPUTED_VALUE"""),"Original Purchase Date")</f>
        <v>Original Purchase Date</v>
      </c>
      <c r="I5" s="55" t="str">
        <f>IFERROR(__xludf.DUMMYFUNCTION("""COMPUTED_VALUE"""),"Settlement Date")</f>
        <v>Settlement Date</v>
      </c>
      <c r="J5" s="55" t="str">
        <f>IFERROR(__xludf.DUMMYFUNCTION("""COMPUTED_VALUE"""),"ISIN")</f>
        <v>ISIN</v>
      </c>
      <c r="K5" s="55" t="str">
        <f>IFERROR(__xludf.DUMMYFUNCTION("""COMPUTED_VALUE"""),"Internal Comments")</f>
        <v>Internal Comments</v>
      </c>
      <c r="L5" s="55" t="str">
        <f>IFERROR(__xludf.DUMMYFUNCTION("""COMPUTED_VALUE"""),"Accrued Interest")</f>
        <v>Accrued Interest</v>
      </c>
      <c r="M5" s="55" t="str">
        <f>IFERROR(__xludf.DUMMYFUNCTION("""COMPUTED_VALUE"""),"Broker")</f>
        <v>Broker</v>
      </c>
      <c r="N5" s="55" t="str">
        <f>IFERROR(__xludf.DUMMYFUNCTION("""COMPUTED_VALUE"""),"Transaction Type")</f>
        <v>Transaction Type</v>
      </c>
      <c r="O5" s="55" t="str">
        <f>IFERROR(__xludf.DUMMYFUNCTION("""COMPUTED_VALUE"""),"Trade Attribute 1")</f>
        <v>Trade Attribute 1</v>
      </c>
      <c r="P5" s="55" t="str">
        <f>IFERROR(__xludf.DUMMYFUNCTION("""COMPUTED_VALUE"""),"Trade Attribute 2")</f>
        <v>Trade Attribute 2</v>
      </c>
      <c r="Q5" s="55" t="str">
        <f>IFERROR(__xludf.DUMMYFUNCTION("""COMPUTED_VALUE"""),"Trade Attribute 3")</f>
        <v>Trade Attribute 3</v>
      </c>
      <c r="R5" s="55" t="str">
        <f>IFERROR(__xludf.DUMMYFUNCTION("""COMPUTED_VALUE"""),"Trade Attribute 4")</f>
        <v>Trade Attribute 4</v>
      </c>
      <c r="S5" s="55" t="str">
        <f>IFERROR(__xludf.DUMMYFUNCTION("""COMPUTED_VALUE"""),"Trade Attribute 5")</f>
        <v>Trade Attribute 5</v>
      </c>
      <c r="T5" s="41" t="str">
        <f>IFERROR(__xludf.DUMMYFUNCTION("""COMPUTED_VALUE"""),"Trade Attribute 6")</f>
        <v>Trade Attribute 6</v>
      </c>
      <c r="U5" s="41" t="str">
        <f>IFERROR(__xludf.DUMMYFUNCTION("""COMPUTED_VALUE"""),"Commission")</f>
        <v>Commission</v>
      </c>
      <c r="V5" s="41" t="str">
        <f>IFERROR(__xludf.DUMMYFUNCTION("""COMPUTED_VALUE"""),"Soft Commission")</f>
        <v>Soft Commission</v>
      </c>
      <c r="W5" s="41" t="str">
        <f>IFERROR(__xludf.DUMMYFUNCTION("""COMPUTED_VALUE"""),"Other Broker Fees")</f>
        <v>Other Broker Fees</v>
      </c>
      <c r="X5" s="41" t="str">
        <f>IFERROR(__xludf.DUMMYFUNCTION("""COMPUTED_VALUE"""),"Clearing Broker Fee")</f>
        <v>Clearing Broker Fee</v>
      </c>
      <c r="Y5" s="41" t="str">
        <f>IFERROR(__xludf.DUMMYFUNCTION("""COMPUTED_VALUE"""),"Stamp Duty")</f>
        <v>Stamp Duty</v>
      </c>
      <c r="Z5" s="41" t="str">
        <f>IFERROR(__xludf.DUMMYFUNCTION("""COMPUTED_VALUE"""),"AUEC Fee1")</f>
        <v>AUEC Fee1</v>
      </c>
      <c r="AA5" s="41" t="str">
        <f>IFERROR(__xludf.DUMMYFUNCTION("""COMPUTED_VALUE"""),"Tax On Commissions")</f>
        <v>Tax On Commissions</v>
      </c>
      <c r="AB5" s="41" t="str">
        <f>IFERROR(__xludf.DUMMYFUNCTION("""COMPUTED_VALUE"""),"AUEC Fee2")</f>
        <v>AUEC Fee2</v>
      </c>
      <c r="AC5" s="41" t="str">
        <f>IFERROR(__xludf.DUMMYFUNCTION("""COMPUTED_VALUE"""),"SEC Fee")</f>
        <v>SEC Fee</v>
      </c>
      <c r="AD5" s="41" t="str">
        <f>IFERROR(__xludf.DUMMYFUNCTION("""COMPUTED_VALUE"""),"OCC Fee")</f>
        <v>OCC Fee</v>
      </c>
      <c r="AE5" s="41" t="str">
        <f>IFERROR(__xludf.DUMMYFUNCTION("""COMPUTED_VALUE"""),"ORF Fee")</f>
        <v>ORF Fee</v>
      </c>
      <c r="AF5" s="41" t="str">
        <f>IFERROR(__xludf.DUMMYFUNCTION("""COMPUTED_VALUE"""),"Option Premium Adjustment")</f>
        <v>Option Premium Adjustment</v>
      </c>
      <c r="AG5" s="41" t="str">
        <f>IFERROR(__xludf.DUMMYFUNCTION("""COMPUTED_VALUE"""),"Change Comment")</f>
        <v>Change Comment</v>
      </c>
      <c r="AH5" s="41" t="str">
        <f>IFERROR(__xludf.DUMMYFUNCTION("""COMPUTED_VALUE"""),"Avg Price(Local)")</f>
        <v>Avg Price(Local)</v>
      </c>
      <c r="AI5" s="41" t="str">
        <f>IFERROR(__xludf.DUMMYFUNCTION("""COMPUTED_VALUE"""),"Nirvana Process Date")</f>
        <v>Nirvana Process Date</v>
      </c>
      <c r="AJ5" s="41" t="str">
        <f>IFERROR(__xludf.DUMMYFUNCTION("""COMPUTED_VALUE"""),"Closing Date")</f>
        <v>Closing Date</v>
      </c>
      <c r="AK5" s="41" t="str">
        <f>IFERROR(__xludf.DUMMYFUNCTION("""COMPUTED_VALUE"""),"Description")</f>
        <v>Description</v>
      </c>
      <c r="AL5" s="41" t="str">
        <f>IFERROR(__xludf.DUMMYFUNCTION("""COMPUTED_VALUE"""),"Coupon Rate")</f>
        <v>Coupon Rate</v>
      </c>
      <c r="AM5" s="41" t="str">
        <f>IFERROR(__xludf.DUMMYFUNCTION("""COMPUTED_VALUE"""),"Delta")</f>
        <v>Delta</v>
      </c>
      <c r="AN5" s="41" t="str">
        <f>IFERROR(__xludf.DUMMYFUNCTION("""COMPUTED_VALUE"""),"Symbol")</f>
        <v>Symbol</v>
      </c>
      <c r="AO5" s="41" t="str">
        <f>IFERROR(__xludf.DUMMYFUNCTION("""COMPUTED_VALUE"""),"Quantity")</f>
        <v>Quantity</v>
      </c>
      <c r="AP5" s="41" t="str">
        <f>IFERROR(__xludf.DUMMYFUNCTION("""COMPUTED_VALUE"""),"Avg Price(Base)")</f>
        <v>Avg Price(Base)</v>
      </c>
      <c r="AQ5" s="41" t="str">
        <f>IFERROR(__xludf.DUMMYFUNCTION("""COMPUTED_VALUE"""),"Sedol Symbol")</f>
        <v>Sedol Symbol</v>
      </c>
      <c r="AR5" s="41" t="str">
        <f>IFERROR(__xludf.DUMMYFUNCTION("""COMPUTED_VALUE"""),"")</f>
        <v/>
      </c>
      <c r="AS5" s="41" t="str">
        <f>IFERROR(__xludf.DUMMYFUNCTION("""COMPUTED_VALUE"""),"")</f>
        <v/>
      </c>
      <c r="AT5" s="41" t="str">
        <f>IFERROR(__xludf.DUMMYFUNCTION("""COMPUTED_VALUE"""),"")</f>
        <v/>
      </c>
      <c r="AU5" s="41" t="str">
        <f>IFERROR(__xludf.DUMMYFUNCTION("""COMPUTED_VALUE"""),"")</f>
        <v/>
      </c>
      <c r="AV5" s="41" t="str">
        <f>IFERROR(__xludf.DUMMYFUNCTION("""COMPUTED_VALUE"""),"")</f>
        <v/>
      </c>
      <c r="AW5" s="41" t="str">
        <f>IFERROR(__xludf.DUMMYFUNCTION("""COMPUTED_VALUE"""),"")</f>
        <v/>
      </c>
      <c r="AX5" s="41" t="str">
        <f>IFERROR(__xludf.DUMMYFUNCTION("""COMPUTED_VALUE"""),"")</f>
        <v/>
      </c>
      <c r="AY5" s="41" t="str">
        <f>IFERROR(__xludf.DUMMYFUNCTION("""COMPUTED_VALUE"""),"")</f>
        <v/>
      </c>
      <c r="AZ5" s="41" t="str">
        <f>IFERROR(__xludf.DUMMYFUNCTION("""COMPUTED_VALUE"""),"")</f>
        <v/>
      </c>
      <c r="BA5" s="41" t="str">
        <f>IFERROR(__xludf.DUMMYFUNCTION("""COMPUTED_VALUE"""),"")</f>
        <v/>
      </c>
      <c r="BB5" s="41" t="str">
        <f>IFERROR(__xludf.DUMMYFUNCTION("""COMPUTED_VALUE"""),"")</f>
        <v/>
      </c>
      <c r="BC5" s="41" t="str">
        <f>IFERROR(__xludf.DUMMYFUNCTION("""COMPUTED_VALUE"""),"")</f>
        <v/>
      </c>
      <c r="BD5" s="41" t="str">
        <f>IFERROR(__xludf.DUMMYFUNCTION("""COMPUTED_VALUE"""),"")</f>
        <v/>
      </c>
      <c r="BE5" s="41" t="str">
        <f>IFERROR(__xludf.DUMMYFUNCTION("""COMPUTED_VALUE"""),"")</f>
        <v/>
      </c>
      <c r="BF5" s="41" t="str">
        <f>IFERROR(__xludf.DUMMYFUNCTION("""COMPUTED_VALUE"""),"")</f>
        <v/>
      </c>
      <c r="BG5" s="41" t="str">
        <f>IFERROR(__xludf.DUMMYFUNCTION("""COMPUTED_VALUE"""),"")</f>
        <v/>
      </c>
      <c r="BH5" s="41" t="str">
        <f>IFERROR(__xludf.DUMMYFUNCTION("""COMPUTED_VALUE"""),"")</f>
        <v/>
      </c>
      <c r="BI5" s="41" t="str">
        <f>IFERROR(__xludf.DUMMYFUNCTION("""COMPUTED_VALUE"""),"")</f>
        <v/>
      </c>
      <c r="BJ5" s="41" t="str">
        <f>IFERROR(__xludf.DUMMYFUNCTION("""COMPUTED_VALUE"""),"")</f>
        <v/>
      </c>
      <c r="BK5" s="41" t="str">
        <f>IFERROR(__xludf.DUMMYFUNCTION("""COMPUTED_VALUE"""),"")</f>
        <v/>
      </c>
      <c r="BL5" s="41" t="str">
        <f>IFERROR(__xludf.DUMMYFUNCTION("""COMPUTED_VALUE"""),"")</f>
        <v/>
      </c>
      <c r="BM5" s="41" t="str">
        <f>IFERROR(__xludf.DUMMYFUNCTION("""COMPUTED_VALUE"""),"")</f>
        <v/>
      </c>
      <c r="BN5" s="41" t="str">
        <f>IFERROR(__xludf.DUMMYFUNCTION("""COMPUTED_VALUE"""),"")</f>
        <v/>
      </c>
      <c r="BO5" s="41" t="str">
        <f>IFERROR(__xludf.DUMMYFUNCTION("""COMPUTED_VALUE"""),"")</f>
        <v/>
      </c>
      <c r="BP5" s="41" t="str">
        <f>IFERROR(__xludf.DUMMYFUNCTION("""COMPUTED_VALUE"""),"")</f>
        <v/>
      </c>
      <c r="BQ5" s="41" t="str">
        <f>IFERROR(__xludf.DUMMYFUNCTION("""COMPUTED_VALUE"""),"")</f>
        <v/>
      </c>
      <c r="BR5" s="41" t="str">
        <f>IFERROR(__xludf.DUMMYFUNCTION("""COMPUTED_VALUE"""),"")</f>
        <v/>
      </c>
      <c r="BS5" s="41" t="str">
        <f>IFERROR(__xludf.DUMMYFUNCTION("""COMPUTED_VALUE"""),"")</f>
        <v/>
      </c>
      <c r="BT5" s="41" t="str">
        <f>IFERROR(__xludf.DUMMYFUNCTION("""COMPUTED_VALUE"""),"")</f>
        <v/>
      </c>
      <c r="BU5" s="41" t="str">
        <f>IFERROR(__xludf.DUMMYFUNCTION("""COMPUTED_VALUE"""),"")</f>
        <v/>
      </c>
      <c r="BV5" s="41" t="str">
        <f>IFERROR(__xludf.DUMMYFUNCTION("""COMPUTED_VALUE"""),"")</f>
        <v/>
      </c>
      <c r="BW5" s="41" t="str">
        <f>IFERROR(__xludf.DUMMYFUNCTION("""COMPUTED_VALUE"""),"")</f>
        <v/>
      </c>
      <c r="BX5" s="41" t="str">
        <f>IFERROR(__xludf.DUMMYFUNCTION("""COMPUTED_VALUE"""),"")</f>
        <v/>
      </c>
      <c r="BY5" s="41" t="str">
        <f>IFERROR(__xludf.DUMMYFUNCTION("""COMPUTED_VALUE"""),"")</f>
        <v/>
      </c>
      <c r="BZ5" s="41" t="str">
        <f>IFERROR(__xludf.DUMMYFUNCTION("""COMPUTED_VALUE"""),"")</f>
        <v/>
      </c>
      <c r="CA5" s="41" t="str">
        <f>IFERROR(__xludf.DUMMYFUNCTION("""COMPUTED_VALUE"""),"")</f>
        <v/>
      </c>
      <c r="CB5" s="41" t="str">
        <f>IFERROR(__xludf.DUMMYFUNCTION("""COMPUTED_VALUE"""),"")</f>
        <v/>
      </c>
      <c r="CC5" s="41" t="str">
        <f>IFERROR(__xludf.DUMMYFUNCTION("""COMPUTED_VALUE"""),"")</f>
        <v/>
      </c>
      <c r="CD5" s="41" t="str">
        <f>IFERROR(__xludf.DUMMYFUNCTION("""COMPUTED_VALUE"""),"")</f>
        <v/>
      </c>
      <c r="CE5" s="41" t="str">
        <f>IFERROR(__xludf.DUMMYFUNCTION("""COMPUTED_VALUE"""),"")</f>
        <v/>
      </c>
      <c r="CF5" s="41" t="str">
        <f>IFERROR(__xludf.DUMMYFUNCTION("""COMPUTED_VALUE"""),"")</f>
        <v/>
      </c>
      <c r="CG5" s="41" t="str">
        <f>IFERROR(__xludf.DUMMYFUNCTION("""COMPUTED_VALUE"""),"")</f>
        <v/>
      </c>
      <c r="CH5" s="41" t="str">
        <f>IFERROR(__xludf.DUMMYFUNCTION("""COMPUTED_VALUE"""),"")</f>
        <v/>
      </c>
      <c r="CI5" s="41" t="str">
        <f>IFERROR(__xludf.DUMMYFUNCTION("""COMPUTED_VALUE"""),"")</f>
        <v/>
      </c>
      <c r="CJ5" s="41" t="str">
        <f>IFERROR(__xludf.DUMMYFUNCTION("""COMPUTED_VALUE"""),"")</f>
        <v/>
      </c>
      <c r="CK5" s="41" t="str">
        <f>IFERROR(__xludf.DUMMYFUNCTION("""COMPUTED_VALUE"""),"")</f>
        <v/>
      </c>
      <c r="CL5" s="41" t="str">
        <f>IFERROR(__xludf.DUMMYFUNCTION("""COMPUTED_VALUE"""),"")</f>
        <v/>
      </c>
      <c r="CM5" s="41" t="str">
        <f>IFERROR(__xludf.DUMMYFUNCTION("""COMPUTED_VALUE"""),"")</f>
        <v/>
      </c>
      <c r="CN5" s="41" t="str">
        <f>IFERROR(__xludf.DUMMYFUNCTION("""COMPUTED_VALUE"""),"")</f>
        <v/>
      </c>
      <c r="CO5" s="41" t="str">
        <f>IFERROR(__xludf.DUMMYFUNCTION("""COMPUTED_VALUE"""),"")</f>
        <v/>
      </c>
      <c r="CP5" s="41" t="str">
        <f>IFERROR(__xludf.DUMMYFUNCTION("""COMPUTED_VALUE"""),"")</f>
        <v/>
      </c>
      <c r="CQ5" s="41" t="str">
        <f>IFERROR(__xludf.DUMMYFUNCTION("""COMPUTED_VALUE"""),"")</f>
        <v/>
      </c>
      <c r="CR5" s="41" t="str">
        <f>IFERROR(__xludf.DUMMYFUNCTION("""COMPUTED_VALUE"""),"")</f>
        <v/>
      </c>
      <c r="CS5" s="41" t="str">
        <f>IFERROR(__xludf.DUMMYFUNCTION("""COMPUTED_VALUE"""),"")</f>
        <v/>
      </c>
      <c r="CT5" s="41" t="str">
        <f>IFERROR(__xludf.DUMMYFUNCTION("""COMPUTED_VALUE"""),"")</f>
        <v/>
      </c>
      <c r="CU5" s="41" t="str">
        <f>IFERROR(__xludf.DUMMYFUNCTION("""COMPUTED_VALUE"""),"")</f>
        <v/>
      </c>
      <c r="CV5" s="41" t="str">
        <f>IFERROR(__xludf.DUMMYFUNCTION("""COMPUTED_VALUE"""),"")</f>
        <v/>
      </c>
      <c r="CW5" s="41" t="str">
        <f>IFERROR(__xludf.DUMMYFUNCTION("""COMPUTED_VALUE"""),"")</f>
        <v/>
      </c>
      <c r="CX5" s="41" t="str">
        <f>IFERROR(__xludf.DUMMYFUNCTION("""COMPUTED_VALUE"""),"")</f>
        <v/>
      </c>
      <c r="CY5" s="41" t="str">
        <f>IFERROR(__xludf.DUMMYFUNCTION("""COMPUTED_VALUE"""),"")</f>
        <v/>
      </c>
      <c r="CZ5" s="41" t="str">
        <f>IFERROR(__xludf.DUMMYFUNCTION("""COMPUTED_VALUE"""),"")</f>
        <v/>
      </c>
      <c r="DA5" s="41" t="str">
        <f>IFERROR(__xludf.DUMMYFUNCTION("""COMPUTED_VALUE"""),"")</f>
        <v/>
      </c>
      <c r="DB5" s="41" t="str">
        <f>IFERROR(__xludf.DUMMYFUNCTION("""COMPUTED_VALUE"""),"")</f>
        <v/>
      </c>
      <c r="DC5" s="41" t="str">
        <f>IFERROR(__xludf.DUMMYFUNCTION("""COMPUTED_VALUE"""),"")</f>
        <v/>
      </c>
      <c r="DD5" s="41" t="str">
        <f>IFERROR(__xludf.DUMMYFUNCTION("""COMPUTED_VALUE"""),"")</f>
        <v/>
      </c>
      <c r="DE5" s="41" t="str">
        <f>IFERROR(__xludf.DUMMYFUNCTION("""COMPUTED_VALUE"""),"")</f>
        <v/>
      </c>
      <c r="DF5" s="41" t="str">
        <f>IFERROR(__xludf.DUMMYFUNCTION("""COMPUTED_VALUE"""),"")</f>
        <v/>
      </c>
      <c r="DG5" s="41" t="str">
        <f>IFERROR(__xludf.DUMMYFUNCTION("""COMPUTED_VALUE"""),"")</f>
        <v/>
      </c>
      <c r="DH5" s="41" t="str">
        <f>IFERROR(__xludf.DUMMYFUNCTION("""COMPUTED_VALUE"""),"")</f>
        <v/>
      </c>
      <c r="DI5" s="41" t="str">
        <f>IFERROR(__xludf.DUMMYFUNCTION("""COMPUTED_VALUE"""),"")</f>
        <v/>
      </c>
      <c r="DJ5" s="41" t="str">
        <f>IFERROR(__xludf.DUMMYFUNCTION("""COMPUTED_VALUE"""),"")</f>
        <v/>
      </c>
      <c r="DK5" s="41" t="str">
        <f>IFERROR(__xludf.DUMMYFUNCTION("""COMPUTED_VALUE"""),"")</f>
        <v/>
      </c>
      <c r="DL5" s="41" t="str">
        <f>IFERROR(__xludf.DUMMYFUNCTION("""COMPUTED_VALUE"""),"")</f>
        <v/>
      </c>
      <c r="DM5" s="41" t="str">
        <f>IFERROR(__xludf.DUMMYFUNCTION("""COMPUTED_VALUE"""),"")</f>
        <v/>
      </c>
      <c r="DN5" s="41" t="str">
        <f>IFERROR(__xludf.DUMMYFUNCTION("""COMPUTED_VALUE"""),"")</f>
        <v/>
      </c>
      <c r="DO5" s="41" t="str">
        <f>IFERROR(__xludf.DUMMYFUNCTION("""COMPUTED_VALUE"""),"")</f>
        <v/>
      </c>
      <c r="DP5" s="41" t="str">
        <f>IFERROR(__xludf.DUMMYFUNCTION("""COMPUTED_VALUE"""),"")</f>
        <v/>
      </c>
      <c r="DQ5" s="41" t="str">
        <f>IFERROR(__xludf.DUMMYFUNCTION("""COMPUTED_VALUE"""),"")</f>
        <v/>
      </c>
      <c r="DR5" s="41" t="str">
        <f>IFERROR(__xludf.DUMMYFUNCTION("""COMPUTED_VALUE"""),"")</f>
        <v/>
      </c>
      <c r="DS5" s="41" t="str">
        <f>IFERROR(__xludf.DUMMYFUNCTION("""COMPUTED_VALUE"""),"")</f>
        <v/>
      </c>
      <c r="DT5" s="41" t="str">
        <f>IFERROR(__xludf.DUMMYFUNCTION("""COMPUTED_VALUE"""),"")</f>
        <v/>
      </c>
      <c r="DU5" s="41" t="str">
        <f>IFERROR(__xludf.DUMMYFUNCTION("""COMPUTED_VALUE"""),"")</f>
        <v/>
      </c>
      <c r="DV5" s="41" t="str">
        <f>IFERROR(__xludf.DUMMYFUNCTION("""COMPUTED_VALUE"""),"")</f>
        <v/>
      </c>
      <c r="DW5" s="41" t="str">
        <f>IFERROR(__xludf.DUMMYFUNCTION("""COMPUTED_VALUE"""),"")</f>
        <v/>
      </c>
      <c r="DX5" s="41" t="str">
        <f>IFERROR(__xludf.DUMMYFUNCTION("""COMPUTED_VALUE"""),"")</f>
        <v/>
      </c>
      <c r="DY5" s="41" t="str">
        <f>IFERROR(__xludf.DUMMYFUNCTION("""COMPUTED_VALUE"""),"")</f>
        <v/>
      </c>
      <c r="DZ5" s="41" t="str">
        <f>IFERROR(__xludf.DUMMYFUNCTION("""COMPUTED_VALUE"""),"")</f>
        <v/>
      </c>
      <c r="EA5" s="41" t="str">
        <f>IFERROR(__xludf.DUMMYFUNCTION("""COMPUTED_VALUE"""),"")</f>
        <v/>
      </c>
      <c r="EB5" s="41" t="str">
        <f>IFERROR(__xludf.DUMMYFUNCTION("""COMPUTED_VALUE"""),"")</f>
        <v/>
      </c>
      <c r="EC5" s="41" t="str">
        <f>IFERROR(__xludf.DUMMYFUNCTION("""COMPUTED_VALUE"""),"")</f>
        <v/>
      </c>
      <c r="ED5" s="41" t="str">
        <f>IFERROR(__xludf.DUMMYFUNCTION("""COMPUTED_VALUE"""),"")</f>
        <v/>
      </c>
      <c r="EE5" s="41" t="str">
        <f>IFERROR(__xludf.DUMMYFUNCTION("""COMPUTED_VALUE"""),"")</f>
        <v/>
      </c>
      <c r="EF5" s="41" t="str">
        <f>IFERROR(__xludf.DUMMYFUNCTION("""COMPUTED_VALUE"""),"")</f>
        <v/>
      </c>
      <c r="EG5" s="41" t="str">
        <f>IFERROR(__xludf.DUMMYFUNCTION("""COMPUTED_VALUE"""),"")</f>
        <v/>
      </c>
      <c r="EH5" s="41" t="str">
        <f>IFERROR(__xludf.DUMMYFUNCTION("""COMPUTED_VALUE"""),"")</f>
        <v/>
      </c>
      <c r="EI5" s="41" t="str">
        <f>IFERROR(__xludf.DUMMYFUNCTION("""COMPUTED_VALUE"""),"")</f>
        <v/>
      </c>
      <c r="EJ5" s="41" t="str">
        <f>IFERROR(__xludf.DUMMYFUNCTION("""COMPUTED_VALUE"""),"")</f>
        <v/>
      </c>
      <c r="EK5" s="41" t="str">
        <f>IFERROR(__xludf.DUMMYFUNCTION("""COMPUTED_VALUE"""),"")</f>
        <v/>
      </c>
      <c r="EL5" s="41" t="str">
        <f>IFERROR(__xludf.DUMMYFUNCTION("""COMPUTED_VALUE"""),"")</f>
        <v/>
      </c>
      <c r="EM5" s="41" t="str">
        <f>IFERROR(__xludf.DUMMYFUNCTION("""COMPUTED_VALUE"""),"")</f>
        <v/>
      </c>
      <c r="EN5" s="41" t="str">
        <f>IFERROR(__xludf.DUMMYFUNCTION("""COMPUTED_VALUE"""),"")</f>
        <v/>
      </c>
      <c r="EO5" s="41" t="str">
        <f>IFERROR(__xludf.DUMMYFUNCTION("""COMPUTED_VALUE"""),"")</f>
        <v/>
      </c>
      <c r="EP5" s="41" t="str">
        <f>IFERROR(__xludf.DUMMYFUNCTION("""COMPUTED_VALUE"""),"")</f>
        <v/>
      </c>
      <c r="EQ5" s="41" t="str">
        <f>IFERROR(__xludf.DUMMYFUNCTION("""COMPUTED_VALUE"""),"")</f>
        <v/>
      </c>
      <c r="ER5" s="41" t="str">
        <f>IFERROR(__xludf.DUMMYFUNCTION("""COMPUTED_VALUE"""),"")</f>
        <v/>
      </c>
      <c r="ES5" s="41" t="str">
        <f>IFERROR(__xludf.DUMMYFUNCTION("""COMPUTED_VALUE"""),"")</f>
        <v/>
      </c>
      <c r="ET5" s="41" t="str">
        <f>IFERROR(__xludf.DUMMYFUNCTION("""COMPUTED_VALUE"""),"")</f>
        <v/>
      </c>
      <c r="EU5" s="41" t="str">
        <f>IFERROR(__xludf.DUMMYFUNCTION("""COMPUTED_VALUE"""),"")</f>
        <v/>
      </c>
      <c r="EV5" s="41" t="str">
        <f>IFERROR(__xludf.DUMMYFUNCTION("""COMPUTED_VALUE"""),"")</f>
        <v/>
      </c>
      <c r="EW5" s="41" t="str">
        <f>IFERROR(__xludf.DUMMYFUNCTION("""COMPUTED_VALUE"""),"")</f>
        <v/>
      </c>
      <c r="EX5" s="41" t="str">
        <f>IFERROR(__xludf.DUMMYFUNCTION("""COMPUTED_VALUE"""),"")</f>
        <v/>
      </c>
    </row>
    <row r="6" ht="15.75" customHeight="1">
      <c r="A6" s="8"/>
      <c r="B6" s="11" t="s">
        <v>20</v>
      </c>
      <c r="C6" s="8"/>
      <c r="D6" s="11">
        <v>5.0</v>
      </c>
      <c r="E6" s="11">
        <v>50.0</v>
      </c>
      <c r="F6" s="63"/>
      <c r="G6" s="63"/>
      <c r="H6" s="8"/>
      <c r="I6" s="8"/>
      <c r="J6" s="11"/>
      <c r="K6" s="8"/>
      <c r="L6" s="8"/>
      <c r="M6" s="11"/>
      <c r="N6" s="11"/>
      <c r="O6" s="49"/>
      <c r="P6" s="59"/>
      <c r="Q6" s="59"/>
      <c r="R6" s="59"/>
      <c r="S6" s="59"/>
      <c r="T6" s="49"/>
      <c r="U6" s="9">
        <v>1.0</v>
      </c>
      <c r="V6" s="9">
        <v>2.0</v>
      </c>
      <c r="Y6" s="9">
        <v>10.0</v>
      </c>
      <c r="Z6" s="9">
        <v>3.0</v>
      </c>
      <c r="AA6" s="9">
        <v>6.0</v>
      </c>
      <c r="AB6" s="9">
        <v>3.0</v>
      </c>
      <c r="AC6" s="9">
        <v>6.0</v>
      </c>
      <c r="AD6" s="9">
        <v>5.0</v>
      </c>
      <c r="AE6" s="9">
        <v>7.0</v>
      </c>
      <c r="AF6" s="9">
        <v>8.0</v>
      </c>
      <c r="AH6" s="9">
        <v>15.0</v>
      </c>
      <c r="AJ6" s="66" t="s">
        <v>37</v>
      </c>
      <c r="AK6" s="9" t="s">
        <v>29</v>
      </c>
      <c r="AN6" s="9" t="s">
        <v>21</v>
      </c>
      <c r="AO6" s="9">
        <v>200.0</v>
      </c>
      <c r="AP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EditUnallocatedGridWPF2!$4:$4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#N/A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38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IFERROR(__xludf.DUMMYFUNCTION("""COMPUTED_VALUE"""),"CopyCalculatedPreferenceToolbar")</f>
        <v>CopyCalculatedPreferenceToolbar</v>
      </c>
      <c r="CX4" s="36" t="str">
        <f>IFERROR(__xludf.DUMMYFUNCTION("""COMPUTED_VALUE"""),"CloseOrder")</f>
        <v>CloseOrder</v>
      </c>
      <c r="CY4" s="36" t="str">
        <f>IFERROR(__xludf.DUMMYFUNCTION("""COMPUTED_VALUE"""),"DisableChecksideForAsset")</f>
        <v>DisableChecksideForAsset</v>
      </c>
      <c r="CZ4" s="36" t="str">
        <f>IFERROR(__xludf.DUMMYFUNCTION("""COMPUTED_VALUE"""),"DisableChecksideForAccount")</f>
        <v>DisableChecksideForAccount</v>
      </c>
      <c r="DA4" s="36" t="str">
        <f>IFERROR(__xludf.DUMMYFUNCTION("""COMPUTED_VALUE"""),"DisableChecksideForCounterParty")</f>
        <v>DisableChecksideForCounterParty</v>
      </c>
      <c r="DB4" s="36" t="str">
        <f>IFERROR(__xludf.DUMMYFUNCTION("""COMPUTED_VALUE"""),"DisableCheckside")</f>
        <v>DisableCheckside</v>
      </c>
      <c r="DC4" s="36" t="str">
        <f>IFERROR(__xludf.DUMMYFUNCTION("""COMPUTED_VALUE"""),"ApplyMasterFundFilter")</f>
        <v>ApplyMasterFundFilter</v>
      </c>
      <c r="DD4" s="36" t="str">
        <f>IFERROR(__xludf.DUMMYFUNCTION("""COMPUTED_VALUE"""),"ShowMasterFundOnTT")</f>
        <v>ShowMasterFundOnTT</v>
      </c>
      <c r="DE4" s="36" t="str">
        <f>IFERROR(__xludf.DUMMYFUNCTION("""COMPUTED_VALUE"""),"ShowMasterFundAsClient")</f>
        <v>ShowMasterFundAsClient</v>
      </c>
      <c r="DF4" s="36" t="str">
        <f>IFERROR(__xludf.DUMMYFUNCTION("""COMPUTED_VALUE"""),"SetBrokerAccountMapping")</f>
        <v>SetBrokerAccountMapping</v>
      </c>
      <c r="DG4" s="36" t="str">
        <f>IFERROR(__xludf.DUMMYFUNCTION("""COMPUTED_VALUE"""),"EditUnallocatedGridWPF")</f>
        <v>EditUnallocatedGridWPF</v>
      </c>
      <c r="DH4" s="36" t="str">
        <f>IFERROR(__xludf.DUMMYFUNCTION("""COMPUTED_VALUE"""),"EditAllocatedGridWPF")</f>
        <v>EditAllocatedGridWPF</v>
      </c>
      <c r="DI4" s="36" t="str">
        <f>IFERROR(__xludf.DUMMYFUNCTION("""COMPUTED_VALUE"""),"EditAllocatedGridTaxlot")</f>
        <v>EditAllocatedGridTaxlot</v>
      </c>
      <c r="DJ4" s="36" t="str">
        <f>IFERROR(__xludf.DUMMYFUNCTION("""COMPUTED_VALUE"""),"ExpandCollapseAllocatedGrid")</f>
        <v>ExpandCollapseAllocatedGrid</v>
      </c>
      <c r="DK4" s="36" t="str">
        <f>IFERROR(__xludf.DUMMYFUNCTION("""COMPUTED_VALUE"""),"ExpandCollapseUnallocatedGrid")</f>
        <v>ExpandCollapseUnallocatedGrid</v>
      </c>
      <c r="DL4" s="36" t="str">
        <f>IFERROR(__xludf.DUMMYFUNCTION("""COMPUTED_VALUE"""),"")</f>
        <v/>
      </c>
      <c r="DM4" s="36" t="str">
        <f>IFERROR(__xludf.DUMMYFUNCTION("""COMPUTED_VALUE"""),"")</f>
        <v/>
      </c>
      <c r="DN4" s="36" t="str">
        <f>IFERROR(__xludf.DUMMYFUNCTION("""COMPUTED_VALUE"""),"")</f>
        <v/>
      </c>
      <c r="DO4" s="36" t="str">
        <f>IFERROR(__xludf.DUMMYFUNCTION("""COMPUTED_VALUE"""),"")</f>
        <v/>
      </c>
      <c r="DP4" s="36" t="str">
        <f>IFERROR(__xludf.DUMMYFUNCTION("""COMPUTED_VALUE"""),"")</f>
        <v/>
      </c>
      <c r="DQ4" s="36" t="str">
        <f>IFERROR(__xludf.DUMMYFUNCTION("""COMPUTED_VALUE"""),"")</f>
        <v/>
      </c>
      <c r="DR4" s="36" t="str">
        <f>IFERROR(__xludf.DUMMYFUNCTION("""COMPUTED_VALUE"""),"")</f>
        <v/>
      </c>
      <c r="DS4" s="36" t="str">
        <f>IFERROR(__xludf.DUMMYFUNCTION("""COMPUTED_VALUE"""),"")</f>
        <v/>
      </c>
      <c r="DT4" s="36" t="str">
        <f>IFERROR(__xludf.DUMMYFUNCTION("""COMPUTED_VALUE"""),"")</f>
        <v/>
      </c>
      <c r="DU4" s="36" t="str">
        <f>IFERROR(__xludf.DUMMYFUNCTION("""COMPUTED_VALUE"""),"")</f>
        <v/>
      </c>
      <c r="DV4" s="36" t="str">
        <f>IFERROR(__xludf.DUMMYFUNCTION("""COMPUTED_VALUE"""),"")</f>
        <v/>
      </c>
      <c r="DW4" s="36" t="str">
        <f>IFERROR(__xludf.DUMMYFUNCTION("""COMPUTED_VALUE"""),"")</f>
        <v/>
      </c>
      <c r="DX4" s="36" t="str">
        <f>IFERROR(__xludf.DUMMYFUNCTION("""COMPUTED_VALUE"""),"")</f>
        <v/>
      </c>
      <c r="DY4" s="36" t="str">
        <f>IFERROR(__xludf.DUMMYFUNCTION("""COMPUTED_VALUE"""),"")</f>
        <v/>
      </c>
      <c r="DZ4" s="36" t="str">
        <f>IFERROR(__xludf.DUMMYFUNCTION("""COMPUTED_VALUE"""),"")</f>
        <v/>
      </c>
      <c r="EA4" s="36" t="str">
        <f>IFERROR(__xludf.DUMMYFUNCTION("""COMPUTED_VALUE"""),"")</f>
        <v/>
      </c>
      <c r="EB4" s="36" t="str">
        <f>IFERROR(__xludf.DUMMYFUNCTION("""COMPUTED_VALUE"""),"")</f>
        <v/>
      </c>
      <c r="EC4" s="36" t="str">
        <f>IFERROR(__xludf.DUMMYFUNCTION("""COMPUTED_VALUE"""),"")</f>
        <v/>
      </c>
      <c r="ED4" s="36" t="str">
        <f>IFERROR(__xludf.DUMMYFUNCTION("""COMPUTED_VALUE"""),"")</f>
        <v/>
      </c>
      <c r="EE4" s="36" t="str">
        <f>IFERROR(__xludf.DUMMYFUNCTION("""COMPUTED_VALUE"""),"")</f>
        <v/>
      </c>
      <c r="EF4" s="36" t="str">
        <f>IFERROR(__xludf.DUMMYFUNCTION("""COMPUTED_VALUE"""),"")</f>
        <v/>
      </c>
      <c r="EG4" s="36" t="str">
        <f>IFERROR(__xludf.DUMMYFUNCTION("""COMPUTED_VALUE"""),"")</f>
        <v/>
      </c>
      <c r="EH4" s="36" t="str">
        <f>IFERROR(__xludf.DUMMYFUNCTION("""COMPUTED_VALUE"""),"")</f>
        <v/>
      </c>
      <c r="EI4" s="36" t="str">
        <f>IFERROR(__xludf.DUMMYFUNCTION("""COMPUTED_VALUE"""),"")</f>
        <v/>
      </c>
      <c r="EJ4" s="36" t="str">
        <f>IFERROR(__xludf.DUMMYFUNCTION("""COMPUTED_VALUE"""),"")</f>
        <v/>
      </c>
      <c r="EK4" s="36" t="str">
        <f>IFERROR(__xludf.DUMMYFUNCTION("""COMPUTED_VALUE"""),"")</f>
        <v/>
      </c>
      <c r="EL4" s="36" t="str">
        <f>IFERROR(__xludf.DUMMYFUNCTION("""COMPUTED_VALUE"""),"")</f>
        <v/>
      </c>
      <c r="EM4" s="36" t="str">
        <f>IFERROR(__xludf.DUMMYFUNCTION("""COMPUTED_VALUE"""),"")</f>
        <v/>
      </c>
      <c r="EN4" s="36" t="str">
        <f>IFERROR(__xludf.DUMMYFUNCTION("""COMPUTED_VALUE"""),"")</f>
        <v/>
      </c>
      <c r="EO4" s="36" t="str">
        <f>IFERROR(__xludf.DUMMYFUNCTION("""COMPUTED_VALUE"""),"")</f>
        <v/>
      </c>
      <c r="EP4" s="36" t="str">
        <f>IFERROR(__xludf.DUMMYFUNCTION("""COMPUTED_VALUE"""),"")</f>
        <v/>
      </c>
      <c r="EQ4" s="36" t="str">
        <f>IFERROR(__xludf.DUMMYFUNCTION("""COMPUTED_VALUE"""),"")</f>
        <v/>
      </c>
      <c r="ER4" s="36" t="str">
        <f>IFERROR(__xludf.DUMMYFUNCTION("""COMPUTED_VALUE"""),"")</f>
        <v/>
      </c>
      <c r="ES4" s="36" t="str">
        <f>IFERROR(__xludf.DUMMYFUNCTION("""COMPUTED_VALUE"""),"")</f>
        <v/>
      </c>
      <c r="ET4" s="36" t="str">
        <f>IFERROR(__xludf.DUMMYFUNCTION("""COMPUTED_VALUE"""),"")</f>
        <v/>
      </c>
      <c r="EU4" s="36" t="str">
        <f>IFERROR(__xludf.DUMMYFUNCTION("""COMPUTED_VALUE"""),"")</f>
        <v/>
      </c>
      <c r="EV4" s="36" t="str">
        <f>IFERROR(__xludf.DUMMYFUNCTION("""COMPUTED_VALUE"""),"")</f>
        <v/>
      </c>
      <c r="EW4" s="36" t="str">
        <f>IFERROR(__xludf.DUMMYFUNCTION("""COMPUTED_VALUE"""),"")</f>
        <v/>
      </c>
      <c r="EX4" s="36" t="str">
        <f>IFERROR(__xludf.DUMMYFUNCTION("""COMPUTED_VALUE"""),"")</f>
        <v/>
      </c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IFERROR(__xludf.DUMMYFUNCTION("""COMPUTED_VALUE"""),"Accrual Basis")</f>
        <v>Accrual Basis</v>
      </c>
      <c r="C5" s="55" t="str">
        <f>IFERROR(__xludf.DUMMYFUNCTION("""COMPUTED_VALUE"""),"Accrued Interest")</f>
        <v>Accrued Interest</v>
      </c>
      <c r="D5" s="55" t="str">
        <f>IFERROR(__xludf.DUMMYFUNCTION("""COMPUTED_VALUE"""),"Allocated Qty")</f>
        <v>Allocated Qty</v>
      </c>
      <c r="E5" s="55" t="str">
        <f>IFERROR(__xludf.DUMMYFUNCTION("""COMPUTED_VALUE"""),"Allocation Scheme Name")</f>
        <v>Allocation Scheme Name</v>
      </c>
      <c r="F5" s="56" t="str">
        <f>IFERROR(__xludf.DUMMYFUNCTION("""COMPUTED_VALUE"""),"Asset Category")</f>
        <v>Asset Category</v>
      </c>
      <c r="G5" s="55" t="str">
        <f>IFERROR(__xludf.DUMMYFUNCTION("""COMPUTED_VALUE"""),"AUEC Fee1")</f>
        <v>AUEC Fee1</v>
      </c>
      <c r="H5" s="55" t="str">
        <f>IFERROR(__xludf.DUMMYFUNCTION("""COMPUTED_VALUE"""),"AUEC Fee2")</f>
        <v>AUEC Fee2</v>
      </c>
      <c r="I5" s="55" t="str">
        <f>IFERROR(__xludf.DUMMYFUNCTION("""COMPUTED_VALUE"""),"AUECID")</f>
        <v>AUECID</v>
      </c>
      <c r="J5" s="55" t="str">
        <f>IFERROR(__xludf.DUMMYFUNCTION("""COMPUTED_VALUE"""),"Avg Price(Base)")</f>
        <v>Avg Price(Base)</v>
      </c>
      <c r="K5" s="55" t="str">
        <f>IFERROR(__xludf.DUMMYFUNCTION("""COMPUTED_VALUE"""),"Avg Price(Local)")</f>
        <v>Avg Price(Local)</v>
      </c>
      <c r="L5" s="55" t="str">
        <f>IFERROR(__xludf.DUMMYFUNCTION("""COMPUTED_VALUE"""),"Bloomberg")</f>
        <v>Bloomberg</v>
      </c>
      <c r="M5" s="55" t="str">
        <f>IFERROR(__xludf.DUMMYFUNCTION("""COMPUTED_VALUE"""),"Bond Type")</f>
        <v>Bond Type</v>
      </c>
      <c r="N5" s="55" t="str">
        <f>IFERROR(__xludf.DUMMYFUNCTION("""COMPUTED_VALUE"""),"Broker")</f>
        <v>Broker</v>
      </c>
      <c r="O5" s="55" t="str">
        <f>IFERROR(__xludf.DUMMYFUNCTION("""COMPUTED_VALUE"""),"Change Comment")</f>
        <v>Change Comment</v>
      </c>
      <c r="P5" s="55" t="str">
        <f>IFERROR(__xludf.DUMMYFUNCTION("""COMPUTED_VALUE"""),"Change Type")</f>
        <v>Change Type</v>
      </c>
      <c r="Q5" s="55" t="str">
        <f>IFERROR(__xludf.DUMMYFUNCTION("""COMPUTED_VALUE"""),"Clearing Broker Fee")</f>
        <v>Clearing Broker Fee</v>
      </c>
      <c r="R5" s="55" t="str">
        <f>IFERROR(__xludf.DUMMYFUNCTION("""COMPUTED_VALUE"""),"Closing Method")</f>
        <v>Closing Method</v>
      </c>
      <c r="S5" s="55" t="str">
        <f>IFERROR(__xludf.DUMMYFUNCTION("""COMPUTED_VALUE"""),"Closing Status")</f>
        <v>Closing Status</v>
      </c>
      <c r="T5" s="41" t="str">
        <f>IFERROR(__xludf.DUMMYFUNCTION("""COMPUTED_VALUE"""),"Commission")</f>
        <v>Commission</v>
      </c>
      <c r="U5" s="41" t="str">
        <f>IFERROR(__xludf.DUMMYFUNCTION("""COMPUTED_VALUE"""),"Commission Per Share")</f>
        <v>Commission Per Share</v>
      </c>
      <c r="V5" s="41" t="str">
        <f>IFERROR(__xludf.DUMMYFUNCTION("""COMPUTED_VALUE"""),"Company")</f>
        <v>Company</v>
      </c>
      <c r="W5" s="41" t="str">
        <f>IFERROR(__xludf.DUMMYFUNCTION("""COMPUTED_VALUE"""),"Contract Multiplier")</f>
        <v>Contract Multiplier</v>
      </c>
      <c r="X5" s="41" t="str">
        <f>IFERROR(__xludf.DUMMYFUNCTION("""COMPUTED_VALUE"""),"Coupon Rate")</f>
        <v>Coupon Rate</v>
      </c>
      <c r="Y5" s="41" t="str">
        <f>IFERROR(__xludf.DUMMYFUNCTION("""COMPUTED_VALUE"""),"Cum Qty For Sub Order")</f>
        <v>Cum Qty For Sub Order</v>
      </c>
      <c r="Z5" s="41" t="str">
        <f>IFERROR(__xludf.DUMMYFUNCTION("""COMPUTED_VALUE"""),"Currency")</f>
        <v>Currency</v>
      </c>
      <c r="AA5" s="41" t="str">
        <f>IFERROR(__xludf.DUMMYFUNCTION("""COMPUTED_VALUE"""),"Cusip Symbol")</f>
        <v>Cusip Symbol</v>
      </c>
      <c r="AB5" s="41" t="str">
        <f>IFERROR(__xludf.DUMMYFUNCTION("""COMPUTED_VALUE"""),"Delta")</f>
        <v>Delta</v>
      </c>
      <c r="AC5" s="41" t="str">
        <f>IFERROR(__xludf.DUMMYFUNCTION("""COMPUTED_VALUE"""),"Description")</f>
        <v>Description</v>
      </c>
      <c r="AD5" s="41" t="str">
        <f>IFERROR(__xludf.DUMMYFUNCTION("""COMPUTED_VALUE"""),"Exchange")</f>
        <v>Exchange</v>
      </c>
      <c r="AE5" s="41" t="str">
        <f>IFERROR(__xludf.DUMMYFUNCTION("""COMPUTED_VALUE"""),"Executed Qty")</f>
        <v>Executed Qty</v>
      </c>
      <c r="AF5" s="41" t="str">
        <f>IFERROR(__xludf.DUMMYFUNCTION("""COMPUTED_VALUE"""),"Execution Time")</f>
        <v>Execution Time</v>
      </c>
      <c r="AG5" s="41" t="str">
        <f>IFERROR(__xludf.DUMMYFUNCTION("""COMPUTED_VALUE"""),"FX Conversion Operator")</f>
        <v>FX Conversion Operator</v>
      </c>
      <c r="AH5" s="41" t="str">
        <f>IFERROR(__xludf.DUMMYFUNCTION("""COMPUTED_VALUE"""),"FX Rate")</f>
        <v>FX Rate</v>
      </c>
      <c r="AI5" s="41" t="str">
        <f>IFERROR(__xludf.DUMMYFUNCTION("""COMPUTED_VALUE"""),"Group Status")</f>
        <v>Group Status</v>
      </c>
      <c r="AJ5" s="41" t="str">
        <f>IFERROR(__xludf.DUMMYFUNCTION("""COMPUTED_VALUE"""),"GroupID")</f>
        <v>GroupID</v>
      </c>
      <c r="AK5" s="41" t="str">
        <f>IFERROR(__xludf.DUMMYFUNCTION("""COMPUTED_VALUE"""),"IDCOSymbol")</f>
        <v>IDCOSymbol</v>
      </c>
      <c r="AL5" s="41" t="str">
        <f>IFERROR(__xludf.DUMMYFUNCTION("""COMPUTED_VALUE"""),"Import File Name")</f>
        <v>Import File Name</v>
      </c>
      <c r="AM5" s="41" t="str">
        <f>IFERROR(__xludf.DUMMYFUNCTION("""COMPUTED_VALUE"""),"Internal Comments")</f>
        <v>Internal Comments</v>
      </c>
      <c r="AN5" s="41" t="str">
        <f>IFERROR(__xludf.DUMMYFUNCTION("""COMPUTED_VALUE"""),"IsAnotherTaxlotAttributesUpdated")</f>
        <v>IsAnotherTaxlotAttributesUpdated</v>
      </c>
      <c r="AO5" s="41" t="str">
        <f>IFERROR(__xludf.DUMMYFUNCTION("""COMPUTED_VALUE"""),"ISIN")</f>
        <v>ISIN</v>
      </c>
      <c r="AP5" s="41" t="str">
        <f>IFERROR(__xludf.DUMMYFUNCTION("""COMPUTED_VALUE"""),"IsManual Group")</f>
        <v>IsManual Group</v>
      </c>
      <c r="AQ5" s="41" t="str">
        <f>IFERROR(__xludf.DUMMYFUNCTION("""COMPUTED_VALUE"""),"ISNDF")</f>
        <v>ISNDF</v>
      </c>
      <c r="AR5" s="41" t="str">
        <f>IFERROR(__xludf.DUMMYFUNCTION("""COMPUTED_VALUE"""),"IsPreAllocated")</f>
        <v>IsPreAllocated</v>
      </c>
      <c r="AS5" s="41" t="str">
        <f>IFERROR(__xludf.DUMMYFUNCTION("""COMPUTED_VALUE"""),"M2MProfitLoss")</f>
        <v>M2MProfitLoss</v>
      </c>
      <c r="AT5" s="41" t="str">
        <f>IFERROR(__xludf.DUMMYFUNCTION("""COMPUTED_VALUE"""),"Net Amount( Base)")</f>
        <v>Net Amount( Base)</v>
      </c>
      <c r="AU5" s="41" t="str">
        <f>IFERROR(__xludf.DUMMYFUNCTION("""COMPUTED_VALUE"""),"Net Amount( Local)")</f>
        <v>Net Amount( Local)</v>
      </c>
      <c r="AV5" s="41" t="str">
        <f>IFERROR(__xludf.DUMMYFUNCTION("""COMPUTED_VALUE"""),"Nirvana Process Date")</f>
        <v>Nirvana Process Date</v>
      </c>
      <c r="AW5" s="41" t="str">
        <f>IFERROR(__xludf.DUMMYFUNCTION("""COMPUTED_VALUE"""),"OCC Fee")</f>
        <v>OCC Fee</v>
      </c>
      <c r="AX5" s="41" t="str">
        <f>IFERROR(__xludf.DUMMYFUNCTION("""COMPUTED_VALUE"""),"Option Premium Adjustment")</f>
        <v>Option Premium Adjustment</v>
      </c>
      <c r="AY5" s="41" t="str">
        <f>IFERROR(__xludf.DUMMYFUNCTION("""COMPUTED_VALUE"""),"Order Type")</f>
        <v>Order Type</v>
      </c>
      <c r="AZ5" s="41" t="str">
        <f>IFERROR(__xludf.DUMMYFUNCTION("""COMPUTED_VALUE"""),"ORF Fee")</f>
        <v>ORF Fee</v>
      </c>
      <c r="BA5" s="41" t="str">
        <f>IFERROR(__xludf.DUMMYFUNCTION("""COMPUTED_VALUE"""),"Original Purchase Date")</f>
        <v>Original Purchase Date</v>
      </c>
      <c r="BB5" s="41" t="str">
        <f>IFERROR(__xludf.DUMMYFUNCTION("""COMPUTED_VALUE"""),"OSISSymbol")</f>
        <v>OSISSymbol</v>
      </c>
      <c r="BC5" s="41" t="str">
        <f>IFERROR(__xludf.DUMMYFUNCTION("""COMPUTED_VALUE"""),"Other Broker Fees")</f>
        <v>Other Broker Fees</v>
      </c>
      <c r="BD5" s="41" t="str">
        <f>IFERROR(__xludf.DUMMYFUNCTION("""COMPUTED_VALUE"""),"Prana Msg Type")</f>
        <v>Prana Msg Type</v>
      </c>
      <c r="BE5" s="41" t="str">
        <f>IFERROR(__xludf.DUMMYFUNCTION("""COMPUTED_VALUE"""),"Principal Amount( Base)")</f>
        <v>Principal Amount( Base)</v>
      </c>
      <c r="BF5" s="41" t="str">
        <f>IFERROR(__xludf.DUMMYFUNCTION("""COMPUTED_VALUE"""),"Principal Amount( Local)")</f>
        <v>Principal Amount( Local)</v>
      </c>
      <c r="BG5" s="41" t="str">
        <f>IFERROR(__xludf.DUMMYFUNCTION("""COMPUTED_VALUE"""),"Process Date")</f>
        <v>Process Date</v>
      </c>
      <c r="BH5" s="41" t="str">
        <f>IFERROR(__xludf.DUMMYFUNCTION("""COMPUTED_VALUE"""),"Proxy Symbol")</f>
        <v>Proxy Symbol</v>
      </c>
      <c r="BI5" s="41" t="str">
        <f>IFERROR(__xludf.DUMMYFUNCTION("""COMPUTED_VALUE"""),"Put Or Call")</f>
        <v>Put Or Call</v>
      </c>
      <c r="BJ5" s="41" t="str">
        <f>IFERROR(__xludf.DUMMYFUNCTION("""COMPUTED_VALUE"""),"Quantity")</f>
        <v>Quantity</v>
      </c>
      <c r="BK5" s="41" t="str">
        <f>IFERROR(__xludf.DUMMYFUNCTION("""COMPUTED_VALUE"""),"SEC Fee")</f>
        <v>SEC Fee</v>
      </c>
      <c r="BL5" s="41" t="str">
        <f>IFERROR(__xludf.DUMMYFUNCTION("""COMPUTED_VALUE"""),"Sedol Symbol")</f>
        <v>Sedol Symbol</v>
      </c>
      <c r="BM5" s="41" t="str">
        <f>IFERROR(__xludf.DUMMYFUNCTION("""COMPUTED_VALUE"""),"Settlement Currency")</f>
        <v>Settlement Currency</v>
      </c>
      <c r="BN5" s="41" t="str">
        <f>IFERROR(__xludf.DUMMYFUNCTION("""COMPUTED_VALUE"""),"Settlement Date")</f>
        <v>Settlement Date</v>
      </c>
      <c r="BO5" s="41" t="str">
        <f>IFERROR(__xludf.DUMMYFUNCTION("""COMPUTED_VALUE"""),"Side")</f>
        <v>Side</v>
      </c>
      <c r="BP5" s="41" t="str">
        <f>IFERROR(__xludf.DUMMYFUNCTION("""COMPUTED_VALUE"""),"Soft Commission")</f>
        <v>Soft Commission</v>
      </c>
      <c r="BQ5" s="41" t="str">
        <f>IFERROR(__xludf.DUMMYFUNCTION("""COMPUTED_VALUE"""),"Soft Commission Per Share")</f>
        <v>Soft Commission Per Share</v>
      </c>
      <c r="BR5" s="41" t="str">
        <f>IFERROR(__xludf.DUMMYFUNCTION("""COMPUTED_VALUE"""),"Stamp Duty")</f>
        <v>Stamp Duty</v>
      </c>
      <c r="BS5" s="41" t="str">
        <f>IFERROR(__xludf.DUMMYFUNCTION("""COMPUTED_VALUE"""),"Symbol")</f>
        <v>Symbol</v>
      </c>
      <c r="BT5" s="41" t="str">
        <f>IFERROR(__xludf.DUMMYFUNCTION("""COMPUTED_VALUE"""),"Tax On Commissions")</f>
        <v>Tax On Commissions</v>
      </c>
      <c r="BU5" s="41" t="str">
        <f>IFERROR(__xludf.DUMMYFUNCTION("""COMPUTED_VALUE"""),"Total Commission")</f>
        <v>Total Commission</v>
      </c>
      <c r="BV5" s="41" t="str">
        <f>IFERROR(__xludf.DUMMYFUNCTION("""COMPUTED_VALUE"""),"Total Commission And Fee")</f>
        <v>Total Commission And Fee</v>
      </c>
      <c r="BW5" s="41" t="str">
        <f>IFERROR(__xludf.DUMMYFUNCTION("""COMPUTED_VALUE"""),"Total Commission Per Share")</f>
        <v>Total Commission Per Share</v>
      </c>
      <c r="BX5" s="41" t="str">
        <f>IFERROR(__xludf.DUMMYFUNCTION("""COMPUTED_VALUE"""),"Trade Attribute 1")</f>
        <v>Trade Attribute 1</v>
      </c>
      <c r="BY5" s="41" t="str">
        <f>IFERROR(__xludf.DUMMYFUNCTION("""COMPUTED_VALUE"""),"Trade Attribute 2")</f>
        <v>Trade Attribute 2</v>
      </c>
      <c r="BZ5" s="41" t="str">
        <f>IFERROR(__xludf.DUMMYFUNCTION("""COMPUTED_VALUE"""),"Trade Attribute 3")</f>
        <v>Trade Attribute 3</v>
      </c>
      <c r="CA5" s="41" t="str">
        <f>IFERROR(__xludf.DUMMYFUNCTION("""COMPUTED_VALUE"""),"Trade Attribute 4")</f>
        <v>Trade Attribute 4</v>
      </c>
      <c r="CB5" s="41" t="str">
        <f>IFERROR(__xludf.DUMMYFUNCTION("""COMPUTED_VALUE"""),"Trade Attribute 5")</f>
        <v>Trade Attribute 5</v>
      </c>
      <c r="CC5" s="41" t="str">
        <f>IFERROR(__xludf.DUMMYFUNCTION("""COMPUTED_VALUE"""),"Trade Attribute 6")</f>
        <v>Trade Attribute 6</v>
      </c>
      <c r="CD5" s="41" t="str">
        <f>IFERROR(__xludf.DUMMYFUNCTION("""COMPUTED_VALUE"""),"Trade Date")</f>
        <v>Trade Date</v>
      </c>
      <c r="CE5" s="41" t="str">
        <f>IFERROR(__xludf.DUMMYFUNCTION("""COMPUTED_VALUE"""),"Trading Account")</f>
        <v>Trading Account</v>
      </c>
      <c r="CF5" s="41" t="str">
        <f>IFERROR(__xludf.DUMMYFUNCTION("""COMPUTED_VALUE"""),"Transaction Levy")</f>
        <v>Transaction Levy</v>
      </c>
      <c r="CG5" s="41" t="str">
        <f>IFERROR(__xludf.DUMMYFUNCTION("""COMPUTED_VALUE"""),"Transaction Source")</f>
        <v>Transaction Source</v>
      </c>
      <c r="CH5" s="41" t="str">
        <f>IFERROR(__xludf.DUMMYFUNCTION("""COMPUTED_VALUE"""),"Transaction Type")</f>
        <v>Transaction Type</v>
      </c>
      <c r="CI5" s="41" t="str">
        <f>IFERROR(__xludf.DUMMYFUNCTION("""COMPUTED_VALUE"""),"UnAllocatedQty")</f>
        <v>UnAllocatedQty</v>
      </c>
      <c r="CJ5" s="41" t="str">
        <f>IFERROR(__xludf.DUMMYFUNCTION("""COMPUTED_VALUE"""),"Underlying")</f>
        <v>Underlying</v>
      </c>
      <c r="CK5" s="41" t="str">
        <f>IFERROR(__xludf.DUMMYFUNCTION("""COMPUTED_VALUE"""),"Underlying Delta")</f>
        <v>Underlying Delta</v>
      </c>
      <c r="CL5" s="41" t="str">
        <f>IFERROR(__xludf.DUMMYFUNCTION("""COMPUTED_VALUE"""),"Underlying Symbol")</f>
        <v>Underlying Symbol</v>
      </c>
      <c r="CM5" s="41" t="str">
        <f>IFERROR(__xludf.DUMMYFUNCTION("""COMPUTED_VALUE"""),"User")</f>
        <v>User</v>
      </c>
      <c r="CN5" s="41" t="str">
        <f>IFERROR(__xludf.DUMMYFUNCTION("""COMPUTED_VALUE"""),"Venue")</f>
        <v>Venue</v>
      </c>
      <c r="CO5" s="41" t="str">
        <f>IFERROR(__xludf.DUMMYFUNCTION("""COMPUTED_VALUE"""),"Closing Date")</f>
        <v>Closing Date</v>
      </c>
      <c r="CP5" s="41" t="str">
        <f>IFERROR(__xludf.DUMMYFUNCTION("""COMPUTED_VALUE"""),"Expiration Date")</f>
        <v>Expiration Date</v>
      </c>
      <c r="CQ5" s="41" t="str">
        <f>IFERROR(__xludf.DUMMYFUNCTION("""COMPUTED_VALUE"""),"Master Fund")</f>
        <v>Master Fund</v>
      </c>
      <c r="CR5" s="41" t="str">
        <f>IFERROR(__xludf.DUMMYFUNCTION("""COMPUTED_VALUE"""),"")</f>
        <v/>
      </c>
      <c r="CS5" s="41" t="str">
        <f>IFERROR(__xludf.DUMMYFUNCTION("""COMPUTED_VALUE"""),"")</f>
        <v/>
      </c>
      <c r="CT5" s="41" t="str">
        <f>IFERROR(__xludf.DUMMYFUNCTION("""COMPUTED_VALUE"""),"")</f>
        <v/>
      </c>
      <c r="CU5" s="41" t="str">
        <f>IFERROR(__xludf.DUMMYFUNCTION("""COMPUTED_VALUE"""),"")</f>
        <v/>
      </c>
      <c r="CV5" s="41" t="str">
        <f>IFERROR(__xludf.DUMMYFUNCTION("""COMPUTED_VALUE"""),"")</f>
        <v/>
      </c>
      <c r="CW5" s="41" t="str">
        <f>IFERROR(__xludf.DUMMYFUNCTION("""COMPUTED_VALUE"""),"")</f>
        <v/>
      </c>
      <c r="CX5" s="41" t="str">
        <f>IFERROR(__xludf.DUMMYFUNCTION("""COMPUTED_VALUE"""),"")</f>
        <v/>
      </c>
      <c r="CY5" s="41" t="str">
        <f>IFERROR(__xludf.DUMMYFUNCTION("""COMPUTED_VALUE"""),"")</f>
        <v/>
      </c>
      <c r="CZ5" s="41" t="str">
        <f>IFERROR(__xludf.DUMMYFUNCTION("""COMPUTED_VALUE"""),"")</f>
        <v/>
      </c>
      <c r="DA5" s="41" t="str">
        <f>IFERROR(__xludf.DUMMYFUNCTION("""COMPUTED_VALUE"""),"")</f>
        <v/>
      </c>
      <c r="DB5" s="41" t="str">
        <f>IFERROR(__xludf.DUMMYFUNCTION("""COMPUTED_VALUE"""),"")</f>
        <v/>
      </c>
      <c r="DC5" s="41" t="str">
        <f>IFERROR(__xludf.DUMMYFUNCTION("""COMPUTED_VALUE"""),"")</f>
        <v/>
      </c>
      <c r="DD5" s="41" t="str">
        <f>IFERROR(__xludf.DUMMYFUNCTION("""COMPUTED_VALUE"""),"")</f>
        <v/>
      </c>
      <c r="DE5" s="41" t="str">
        <f>IFERROR(__xludf.DUMMYFUNCTION("""COMPUTED_VALUE"""),"")</f>
        <v/>
      </c>
      <c r="DF5" s="41" t="str">
        <f>IFERROR(__xludf.DUMMYFUNCTION("""COMPUTED_VALUE"""),"")</f>
        <v/>
      </c>
      <c r="DG5" s="41" t="str">
        <f>IFERROR(__xludf.DUMMYFUNCTION("""COMPUTED_VALUE"""),"")</f>
        <v/>
      </c>
      <c r="DH5" s="41" t="str">
        <f>IFERROR(__xludf.DUMMYFUNCTION("""COMPUTED_VALUE"""),"")</f>
        <v/>
      </c>
      <c r="DI5" s="41" t="str">
        <f>IFERROR(__xludf.DUMMYFUNCTION("""COMPUTED_VALUE"""),"")</f>
        <v/>
      </c>
      <c r="DJ5" s="41" t="str">
        <f>IFERROR(__xludf.DUMMYFUNCTION("""COMPUTED_VALUE"""),"")</f>
        <v/>
      </c>
      <c r="DK5" s="41" t="str">
        <f>IFERROR(__xludf.DUMMYFUNCTION("""COMPUTED_VALUE"""),"")</f>
        <v/>
      </c>
      <c r="DL5" s="41" t="str">
        <f>IFERROR(__xludf.DUMMYFUNCTION("""COMPUTED_VALUE"""),"")</f>
        <v/>
      </c>
      <c r="DM5" s="41" t="str">
        <f>IFERROR(__xludf.DUMMYFUNCTION("""COMPUTED_VALUE"""),"")</f>
        <v/>
      </c>
      <c r="DN5" s="41" t="str">
        <f>IFERROR(__xludf.DUMMYFUNCTION("""COMPUTED_VALUE"""),"")</f>
        <v/>
      </c>
      <c r="DO5" s="41" t="str">
        <f>IFERROR(__xludf.DUMMYFUNCTION("""COMPUTED_VALUE"""),"")</f>
        <v/>
      </c>
      <c r="DP5" s="41" t="str">
        <f>IFERROR(__xludf.DUMMYFUNCTION("""COMPUTED_VALUE"""),"")</f>
        <v/>
      </c>
      <c r="DQ5" s="41" t="str">
        <f>IFERROR(__xludf.DUMMYFUNCTION("""COMPUTED_VALUE"""),"")</f>
        <v/>
      </c>
      <c r="DR5" s="41" t="str">
        <f>IFERROR(__xludf.DUMMYFUNCTION("""COMPUTED_VALUE"""),"")</f>
        <v/>
      </c>
      <c r="DS5" s="41" t="str">
        <f>IFERROR(__xludf.DUMMYFUNCTION("""COMPUTED_VALUE"""),"")</f>
        <v/>
      </c>
      <c r="DT5" s="41" t="str">
        <f>IFERROR(__xludf.DUMMYFUNCTION("""COMPUTED_VALUE"""),"")</f>
        <v/>
      </c>
      <c r="DU5" s="41" t="str">
        <f>IFERROR(__xludf.DUMMYFUNCTION("""COMPUTED_VALUE"""),"")</f>
        <v/>
      </c>
      <c r="DV5" s="41" t="str">
        <f>IFERROR(__xludf.DUMMYFUNCTION("""COMPUTED_VALUE"""),"")</f>
        <v/>
      </c>
      <c r="DW5" s="41" t="str">
        <f>IFERROR(__xludf.DUMMYFUNCTION("""COMPUTED_VALUE"""),"")</f>
        <v/>
      </c>
      <c r="DX5" s="41" t="str">
        <f>IFERROR(__xludf.DUMMYFUNCTION("""COMPUTED_VALUE"""),"")</f>
        <v/>
      </c>
      <c r="DY5" s="41" t="str">
        <f>IFERROR(__xludf.DUMMYFUNCTION("""COMPUTED_VALUE"""),"")</f>
        <v/>
      </c>
      <c r="DZ5" s="41" t="str">
        <f>IFERROR(__xludf.DUMMYFUNCTION("""COMPUTED_VALUE"""),"")</f>
        <v/>
      </c>
      <c r="EA5" s="41" t="str">
        <f>IFERROR(__xludf.DUMMYFUNCTION("""COMPUTED_VALUE"""),"")</f>
        <v/>
      </c>
      <c r="EB5" s="41" t="str">
        <f>IFERROR(__xludf.DUMMYFUNCTION("""COMPUTED_VALUE"""),"")</f>
        <v/>
      </c>
      <c r="EC5" s="41" t="str">
        <f>IFERROR(__xludf.DUMMYFUNCTION("""COMPUTED_VALUE"""),"")</f>
        <v/>
      </c>
      <c r="ED5" s="41" t="str">
        <f>IFERROR(__xludf.DUMMYFUNCTION("""COMPUTED_VALUE"""),"")</f>
        <v/>
      </c>
      <c r="EE5" s="41" t="str">
        <f>IFERROR(__xludf.DUMMYFUNCTION("""COMPUTED_VALUE"""),"")</f>
        <v/>
      </c>
      <c r="EF5" s="41" t="str">
        <f>IFERROR(__xludf.DUMMYFUNCTION("""COMPUTED_VALUE"""),"")</f>
        <v/>
      </c>
      <c r="EG5" s="41" t="str">
        <f>IFERROR(__xludf.DUMMYFUNCTION("""COMPUTED_VALUE"""),"")</f>
        <v/>
      </c>
      <c r="EH5" s="41" t="str">
        <f>IFERROR(__xludf.DUMMYFUNCTION("""COMPUTED_VALUE"""),"")</f>
        <v/>
      </c>
      <c r="EI5" s="41" t="str">
        <f>IFERROR(__xludf.DUMMYFUNCTION("""COMPUTED_VALUE"""),"")</f>
        <v/>
      </c>
      <c r="EJ5" s="41" t="str">
        <f>IFERROR(__xludf.DUMMYFUNCTION("""COMPUTED_VALUE"""),"")</f>
        <v/>
      </c>
      <c r="EK5" s="41" t="str">
        <f>IFERROR(__xludf.DUMMYFUNCTION("""COMPUTED_VALUE"""),"")</f>
        <v/>
      </c>
      <c r="EL5" s="41" t="str">
        <f>IFERROR(__xludf.DUMMYFUNCTION("""COMPUTED_VALUE"""),"")</f>
        <v/>
      </c>
      <c r="EM5" s="41" t="str">
        <f>IFERROR(__xludf.DUMMYFUNCTION("""COMPUTED_VALUE"""),"")</f>
        <v/>
      </c>
      <c r="EN5" s="41" t="str">
        <f>IFERROR(__xludf.DUMMYFUNCTION("""COMPUTED_VALUE"""),"")</f>
        <v/>
      </c>
      <c r="EO5" s="41" t="str">
        <f>IFERROR(__xludf.DUMMYFUNCTION("""COMPUTED_VALUE"""),"")</f>
        <v/>
      </c>
      <c r="EP5" s="41" t="str">
        <f>IFERROR(__xludf.DUMMYFUNCTION("""COMPUTED_VALUE"""),"")</f>
        <v/>
      </c>
      <c r="EQ5" s="41" t="str">
        <f>IFERROR(__xludf.DUMMYFUNCTION("""COMPUTED_VALUE"""),"")</f>
        <v/>
      </c>
      <c r="ER5" s="41" t="str">
        <f>IFERROR(__xludf.DUMMYFUNCTION("""COMPUTED_VALUE"""),"")</f>
        <v/>
      </c>
      <c r="ES5" s="41" t="str">
        <f>IFERROR(__xludf.DUMMYFUNCTION("""COMPUTED_VALUE"""),"")</f>
        <v/>
      </c>
      <c r="ET5" s="41" t="str">
        <f>IFERROR(__xludf.DUMMYFUNCTION("""COMPUTED_VALUE"""),"")</f>
        <v/>
      </c>
      <c r="EU5" s="41" t="str">
        <f>IFERROR(__xludf.DUMMYFUNCTION("""COMPUTED_VALUE"""),"")</f>
        <v/>
      </c>
      <c r="EV5" s="41" t="str">
        <f>IFERROR(__xludf.DUMMYFUNCTION("""COMPUTED_VALUE"""),"")</f>
        <v/>
      </c>
      <c r="EW5" s="41" t="str">
        <f>IFERROR(__xludf.DUMMYFUNCTION("""COMPUTED_VALUE"""),"")</f>
        <v/>
      </c>
      <c r="EX5" s="41" t="str">
        <f>IFERROR(__xludf.DUMMYFUNCTION("""COMPUTED_VALUE"""),"")</f>
        <v/>
      </c>
    </row>
    <row r="6" ht="15.75" customHeight="1">
      <c r="A6" s="11"/>
      <c r="B6" s="11"/>
      <c r="C6" s="8"/>
      <c r="D6" s="11"/>
      <c r="E6" s="57"/>
      <c r="F6" s="67" t="s">
        <v>39</v>
      </c>
      <c r="G6" s="68">
        <v>4.0</v>
      </c>
      <c r="H6" s="68">
        <v>5.0</v>
      </c>
      <c r="I6" s="8"/>
      <c r="J6" s="68">
        <v>10.0</v>
      </c>
      <c r="K6" s="68">
        <v>10.0</v>
      </c>
      <c r="L6" s="8"/>
      <c r="M6" s="8"/>
      <c r="N6" s="67" t="s">
        <v>40</v>
      </c>
      <c r="O6" s="67"/>
      <c r="Q6" s="68">
        <v>0.0</v>
      </c>
      <c r="T6" s="68">
        <v>0.0</v>
      </c>
      <c r="AB6" s="68"/>
      <c r="AC6" s="67"/>
      <c r="AE6" s="68">
        <v>100.0</v>
      </c>
      <c r="AM6" s="67" t="s">
        <v>41</v>
      </c>
      <c r="AO6" s="67"/>
      <c r="AT6" s="68">
        <v>1014.0006</v>
      </c>
      <c r="AU6" s="68">
        <v>1014.0006</v>
      </c>
      <c r="AV6" s="69">
        <v>44012.0</v>
      </c>
      <c r="AW6" s="68">
        <v>0.0</v>
      </c>
      <c r="AX6" s="68">
        <v>0.0</v>
      </c>
      <c r="AY6" s="67"/>
      <c r="AZ6" s="68">
        <v>0.0</v>
      </c>
      <c r="BA6" s="69">
        <v>44013.0</v>
      </c>
      <c r="BC6" s="68">
        <v>0.0</v>
      </c>
      <c r="BE6" s="68">
        <v>1000.0</v>
      </c>
      <c r="BF6" s="68">
        <v>1000.0</v>
      </c>
      <c r="BG6" s="69">
        <v>44013.0</v>
      </c>
      <c r="BJ6" s="68">
        <v>100.0</v>
      </c>
      <c r="BK6" s="68">
        <v>0.0</v>
      </c>
      <c r="BN6" s="69">
        <v>44016.0</v>
      </c>
      <c r="BO6" s="67" t="s">
        <v>17</v>
      </c>
      <c r="BP6" s="68">
        <v>0.0</v>
      </c>
      <c r="BR6" s="68">
        <v>6.0E-4</v>
      </c>
      <c r="BS6" s="67" t="s">
        <v>16</v>
      </c>
      <c r="BT6" s="68">
        <v>3.0</v>
      </c>
      <c r="BU6" s="68">
        <v>0.0</v>
      </c>
      <c r="BV6" s="68">
        <v>14.0006</v>
      </c>
      <c r="BX6" s="67" t="s">
        <v>42</v>
      </c>
      <c r="BY6" s="67" t="s">
        <v>42</v>
      </c>
      <c r="BZ6" s="67" t="s">
        <v>42</v>
      </c>
      <c r="CA6" s="67" t="s">
        <v>42</v>
      </c>
      <c r="CB6" s="67" t="s">
        <v>42</v>
      </c>
      <c r="CC6" s="67" t="s">
        <v>42</v>
      </c>
      <c r="CD6" s="69">
        <v>44013.0</v>
      </c>
      <c r="CF6" s="68">
        <v>2.0</v>
      </c>
      <c r="CH6" s="67" t="s">
        <v>17</v>
      </c>
      <c r="CI6" s="68"/>
      <c r="CN6" s="67" t="s">
        <v>27</v>
      </c>
      <c r="CO6" s="70" t="s">
        <v>43</v>
      </c>
    </row>
    <row r="7" ht="15.75" customHeight="1">
      <c r="A7" s="8"/>
      <c r="B7" s="8"/>
      <c r="C7" s="8"/>
      <c r="D7" s="8"/>
      <c r="E7" s="8"/>
      <c r="F7" s="67" t="s">
        <v>39</v>
      </c>
      <c r="G7" s="68">
        <v>2.0</v>
      </c>
      <c r="H7" s="68">
        <v>2.0</v>
      </c>
      <c r="I7" s="8"/>
      <c r="J7" s="68">
        <v>15.0</v>
      </c>
      <c r="K7" s="68">
        <v>15.0</v>
      </c>
      <c r="L7" s="8"/>
      <c r="M7" s="8"/>
      <c r="N7" s="67" t="s">
        <v>30</v>
      </c>
      <c r="O7" s="67"/>
      <c r="Q7" s="68">
        <v>0.0</v>
      </c>
      <c r="T7" s="68">
        <v>1.0</v>
      </c>
      <c r="AB7" s="68"/>
      <c r="AC7" s="67"/>
      <c r="AE7" s="68">
        <v>40.0</v>
      </c>
      <c r="AM7" s="67" t="s">
        <v>29</v>
      </c>
      <c r="AO7" s="67"/>
      <c r="AT7" s="68">
        <v>654.0013</v>
      </c>
      <c r="AU7" s="68">
        <v>654.0013</v>
      </c>
      <c r="AV7" s="69">
        <v>44012.0</v>
      </c>
      <c r="AW7" s="68">
        <v>4.0</v>
      </c>
      <c r="AX7" s="68">
        <v>7.0</v>
      </c>
      <c r="AY7" s="67"/>
      <c r="AZ7" s="68">
        <v>6.0</v>
      </c>
      <c r="BA7" s="69">
        <v>44010.0</v>
      </c>
      <c r="BC7" s="68">
        <v>15.0</v>
      </c>
      <c r="BE7" s="68">
        <v>600.0</v>
      </c>
      <c r="BF7" s="68">
        <v>600.0</v>
      </c>
      <c r="BG7" s="69">
        <v>44015.0</v>
      </c>
      <c r="BJ7" s="68">
        <v>150.0</v>
      </c>
      <c r="BK7" s="68">
        <v>5.0</v>
      </c>
      <c r="BN7" s="69">
        <v>44015.0</v>
      </c>
      <c r="BO7" s="67" t="s">
        <v>17</v>
      </c>
      <c r="BP7" s="68">
        <v>2.0</v>
      </c>
      <c r="BR7" s="68">
        <v>0.0013</v>
      </c>
      <c r="BS7" s="67" t="s">
        <v>19</v>
      </c>
      <c r="BT7" s="68">
        <v>5.0</v>
      </c>
      <c r="BU7" s="68">
        <v>3.0</v>
      </c>
      <c r="BV7" s="68">
        <v>54.0013</v>
      </c>
      <c r="BX7" s="67" t="s">
        <v>31</v>
      </c>
      <c r="BY7" s="67" t="s">
        <v>32</v>
      </c>
      <c r="BZ7" s="67" t="s">
        <v>33</v>
      </c>
      <c r="CA7" s="67" t="s">
        <v>34</v>
      </c>
      <c r="CB7" s="67" t="s">
        <v>35</v>
      </c>
      <c r="CC7" s="67" t="s">
        <v>36</v>
      </c>
      <c r="CD7" s="69">
        <v>44012.0</v>
      </c>
      <c r="CF7" s="68">
        <v>5.0</v>
      </c>
      <c r="CH7" s="67" t="s">
        <v>17</v>
      </c>
      <c r="CI7" s="68"/>
      <c r="CN7" s="67" t="s">
        <v>27</v>
      </c>
      <c r="CO7" s="70" t="s">
        <v>43</v>
      </c>
    </row>
    <row r="8" ht="15.75" customHeight="1">
      <c r="A8" s="8"/>
      <c r="B8" s="8"/>
      <c r="C8" s="8"/>
      <c r="D8" s="8"/>
      <c r="E8" s="8"/>
      <c r="F8" s="67" t="s">
        <v>39</v>
      </c>
      <c r="G8" s="68">
        <v>3.0</v>
      </c>
      <c r="H8" s="68">
        <v>3.0</v>
      </c>
      <c r="I8" s="8"/>
      <c r="J8" s="68">
        <v>15.0</v>
      </c>
      <c r="K8" s="68">
        <v>15.0</v>
      </c>
      <c r="L8" s="8"/>
      <c r="M8" s="8"/>
      <c r="N8" s="67" t="s">
        <v>40</v>
      </c>
      <c r="O8" s="67"/>
      <c r="Q8" s="68">
        <v>0.0</v>
      </c>
      <c r="T8" s="68">
        <v>1.0</v>
      </c>
      <c r="AB8" s="68"/>
      <c r="AC8" s="67"/>
      <c r="AE8" s="68">
        <v>50.0</v>
      </c>
      <c r="AM8" s="67" t="s">
        <v>41</v>
      </c>
      <c r="AO8" s="67"/>
      <c r="AT8" s="68">
        <v>694.0</v>
      </c>
      <c r="AU8" s="68">
        <v>694.0</v>
      </c>
      <c r="AV8" s="69">
        <v>44012.0</v>
      </c>
      <c r="AW8" s="68">
        <v>5.0</v>
      </c>
      <c r="AX8" s="68">
        <v>8.0</v>
      </c>
      <c r="AY8" s="67"/>
      <c r="AZ8" s="68">
        <v>7.0</v>
      </c>
      <c r="BA8" s="69">
        <v>44012.0</v>
      </c>
      <c r="BC8" s="68">
        <v>0.0</v>
      </c>
      <c r="BE8" s="68">
        <v>750.0</v>
      </c>
      <c r="BF8" s="68">
        <v>750.0</v>
      </c>
      <c r="BG8" s="69">
        <v>44012.0</v>
      </c>
      <c r="BJ8" s="68">
        <v>200.0</v>
      </c>
      <c r="BK8" s="68">
        <v>6.0</v>
      </c>
      <c r="BN8" s="69">
        <v>44015.0</v>
      </c>
      <c r="BO8" s="67" t="s">
        <v>20</v>
      </c>
      <c r="BP8" s="68">
        <v>2.0</v>
      </c>
      <c r="BR8" s="68">
        <v>10.0</v>
      </c>
      <c r="BS8" s="67" t="s">
        <v>21</v>
      </c>
      <c r="BT8" s="68">
        <v>6.0</v>
      </c>
      <c r="BU8" s="68">
        <v>3.0</v>
      </c>
      <c r="BV8" s="68">
        <v>56.0</v>
      </c>
      <c r="BX8" s="67" t="s">
        <v>42</v>
      </c>
      <c r="BY8" s="67" t="s">
        <v>42</v>
      </c>
      <c r="BZ8" s="67" t="s">
        <v>42</v>
      </c>
      <c r="CA8" s="67" t="s">
        <v>42</v>
      </c>
      <c r="CB8" s="67" t="s">
        <v>42</v>
      </c>
      <c r="CC8" s="67" t="s">
        <v>42</v>
      </c>
      <c r="CD8" s="69">
        <v>44012.0</v>
      </c>
      <c r="CF8" s="68">
        <v>5.0</v>
      </c>
      <c r="CH8" s="67" t="s">
        <v>20</v>
      </c>
      <c r="CI8" s="68"/>
      <c r="CN8" s="67" t="s">
        <v>27</v>
      </c>
      <c r="CO8" s="70" t="s">
        <v>37</v>
      </c>
    </row>
    <row r="9" ht="15.75" customHeight="1">
      <c r="A9" s="8"/>
      <c r="B9" s="8"/>
      <c r="C9" s="8"/>
      <c r="D9" s="8"/>
      <c r="E9" s="8"/>
      <c r="F9" s="8"/>
      <c r="G9" s="67"/>
      <c r="H9" s="67"/>
      <c r="I9" s="8"/>
      <c r="J9" s="67"/>
      <c r="K9" s="67"/>
      <c r="L9" s="8"/>
      <c r="M9" s="8"/>
      <c r="N9" s="8"/>
      <c r="O9" s="67"/>
      <c r="P9" s="67"/>
      <c r="Q9" s="67"/>
      <c r="T9" s="67"/>
      <c r="AB9" s="67"/>
      <c r="AE9" s="67"/>
      <c r="AM9" s="67"/>
      <c r="AT9" s="67"/>
      <c r="AU9" s="67"/>
      <c r="AV9" s="67"/>
      <c r="AW9" s="67"/>
      <c r="AX9" s="67"/>
      <c r="AY9" s="67"/>
      <c r="BA9" s="67"/>
      <c r="BC9" s="67"/>
      <c r="BE9" s="67"/>
      <c r="BF9" s="67"/>
      <c r="BG9" s="67"/>
      <c r="BJ9" s="67"/>
      <c r="BN9" s="67"/>
      <c r="BP9" s="67"/>
      <c r="BT9" s="67"/>
      <c r="BU9" s="67"/>
      <c r="BV9" s="67"/>
      <c r="BX9" s="67"/>
      <c r="BY9" s="67"/>
      <c r="BZ9" s="67"/>
      <c r="CA9" s="67"/>
      <c r="CB9" s="67"/>
      <c r="CC9" s="67"/>
      <c r="CD9" s="67"/>
      <c r="CF9" s="67"/>
      <c r="CH9" s="67"/>
      <c r="CI9" s="67"/>
      <c r="CO9" s="67"/>
    </row>
    <row r="10" ht="15.75" customHeight="1">
      <c r="A10" s="8"/>
      <c r="B10" s="8"/>
      <c r="C10" s="8"/>
      <c r="D10" s="8"/>
      <c r="E10" s="8"/>
      <c r="F10" s="8"/>
      <c r="G10" s="67"/>
      <c r="H10" s="8"/>
      <c r="I10" s="8"/>
      <c r="J10" s="8"/>
      <c r="K10" s="8"/>
      <c r="L10" s="8"/>
      <c r="M10" s="8"/>
      <c r="N10" s="8"/>
      <c r="O10" s="8"/>
      <c r="AT10" s="67"/>
      <c r="AX10" s="67"/>
      <c r="BJ10" s="67"/>
      <c r="BU10" s="67"/>
      <c r="CH10" s="6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