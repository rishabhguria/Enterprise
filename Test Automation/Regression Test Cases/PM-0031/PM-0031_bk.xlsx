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ForexConversion" sheetId="7" r:id="rId9"/>
    <sheet state="visible" name="UpdateForexConversion" sheetId="8" r:id="rId10"/>
    <sheet state="visible" name="PricingInput" sheetId="9" r:id="rId11"/>
    <sheet state="visible" name="GetDayEndCash" sheetId="10" r:id="rId12"/>
    <sheet state="visible" name="CreateDoneAwayOrder1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<sst xmlns="http://schemas.openxmlformats.org/spreadsheetml/2006/main" count="349" uniqueCount="57">
  <si>
    <t>Modules Info</t>
  </si>
  <si>
    <t>Master Data Info</t>
  </si>
  <si>
    <t>Settings</t>
  </si>
  <si>
    <t>Module</t>
  </si>
  <si>
    <t>Modules</t>
  </si>
  <si>
    <t>Module Step Setting File</t>
  </si>
  <si>
    <t>1sG6uB28jAaiyaldDeMtbboQN41jJ2tAmE2rg6U9qH5o</t>
  </si>
  <si>
    <t>Master Data Settings File</t>
  </si>
  <si>
    <t>1hEhI9rg16D4Xvfk19pDaFUFF78jjfIG29BBaNg8kT0A</t>
  </si>
  <si>
    <t>Step</t>
  </si>
  <si>
    <t>Master Data Sheet</t>
  </si>
  <si>
    <t>Data</t>
  </si>
  <si>
    <t>DailyValuation</t>
  </si>
  <si>
    <t>TradingTicket</t>
  </si>
  <si>
    <t>GetMarkPriceData</t>
  </si>
  <si>
    <t>Data Format</t>
  </si>
  <si>
    <t>Input Format</t>
  </si>
  <si>
    <t>CreateDoneAwayOrder</t>
  </si>
  <si>
    <t>KGDFUT</t>
  </si>
  <si>
    <t>Buy</t>
  </si>
  <si>
    <t>Allocation1</t>
  </si>
  <si>
    <t>GS</t>
  </si>
  <si>
    <t>Flat Amount</t>
  </si>
  <si>
    <t>NQ Z7</t>
  </si>
  <si>
    <t>UpdateMarkPrice</t>
  </si>
  <si>
    <t>GetForexConversion</t>
  </si>
  <si>
    <t>UpdateForexConversion</t>
  </si>
  <si>
    <t>PricingInput</t>
  </si>
  <si>
    <t>TRY</t>
  </si>
  <si>
    <t>USD</t>
  </si>
  <si>
    <t>USD AO-FX</t>
  </si>
  <si>
    <t>GeneralLedger</t>
  </si>
  <si>
    <t>GetDayEndCash</t>
  </si>
  <si>
    <t>NewMF</t>
  </si>
  <si>
    <t>Sell</t>
  </si>
  <si>
    <t>PortfolioManagement</t>
  </si>
  <si>
    <t>CheckPortfolioManagement</t>
  </si>
  <si>
    <t>Long</t>
  </si>
  <si>
    <t>FIMAT</t>
  </si>
  <si>
    <t>Strategy Unallocated</t>
  </si>
  <si>
    <t>Future</t>
  </si>
  <si>
    <t>AsiaXJapan</t>
  </si>
  <si>
    <t>HKG</t>
  </si>
  <si>
    <t>HKD</t>
  </si>
  <si>
    <t/>
  </si>
  <si>
    <t>BrokerNotes</t>
  </si>
  <si>
    <t>DefaultNotes</t>
  </si>
  <si>
    <t>Undefined</t>
  </si>
  <si>
    <t>jpearce</t>
  </si>
  <si>
    <t>User Defined</t>
  </si>
  <si>
    <t>Default</t>
  </si>
  <si>
    <t>UK</t>
  </si>
  <si>
    <t>Yes</t>
  </si>
  <si>
    <t>US</t>
  </si>
  <si>
    <t>CMEE</t>
  </si>
  <si>
    <t>unique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</si>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</sst>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6" fontId="13" numFmtId="0" xfId="0" applyAlignment="1" applyFill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on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3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7" numFmtId="4" xfId="0" applyAlignment="1" applyFont="1" applyNumberFormat="1">
      <alignment shrinkToFit="0" wrapText="0"/>
    </xf>
    <xf borderId="0" fillId="0" fontId="3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7" numFmtId="4" xfId="0" applyAlignment="1" applyBorder="1" applyFont="1" applyNumberFormat="1">
      <alignment readingOrder="0" shrinkToFit="0" wrapText="0"/>
    </xf>
    <xf borderId="4" fillId="3" fontId="7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0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2" t="s">
        <v>7</v>
      </c>
      <c r="B4" s="10" t="s">
        <v>8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2" t="s">
        <v>3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13</v>
      </c>
      <c r="D3" s="8" t="s">
        <v>9</v>
      </c>
      <c r="E3" s="21" t="s">
        <v>17</v>
      </c>
      <c r="F3" s="8" t="s">
        <v>15</v>
      </c>
      <c r="G3" s="13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0" t="s">
        <v>18</v>
      </c>
      <c r="C6" s="31" t="s">
        <v>19</v>
      </c>
      <c r="D6" s="32">
        <v>100.0</v>
      </c>
      <c r="E6" s="34"/>
      <c r="F6" s="31" t="s">
        <v>20</v>
      </c>
      <c r="G6" s="10" t="s">
        <v>21</v>
      </c>
      <c r="H6" s="7"/>
      <c r="I6" s="7"/>
      <c r="J6" s="35">
        <v>5.0</v>
      </c>
      <c r="K6" s="7"/>
      <c r="L6" s="7"/>
      <c r="M6" s="7"/>
      <c r="N6" s="36">
        <f>Today()-1</f>
        <v>43662</v>
      </c>
      <c r="O6" s="10">
        <v>7.85</v>
      </c>
      <c r="R6" s="29" t="s">
        <v>22</v>
      </c>
      <c r="S6" s="35">
        <v>50.0</v>
      </c>
    </row>
    <row r="7" ht="15.75" customHeight="1">
      <c r="A7" s="7"/>
      <c r="B7" s="31" t="s">
        <v>23</v>
      </c>
      <c r="C7" s="31" t="s">
        <v>19</v>
      </c>
      <c r="D7" s="35">
        <v>100.0</v>
      </c>
      <c r="E7" s="7"/>
      <c r="F7" s="31" t="s">
        <v>20</v>
      </c>
      <c r="G7" s="10" t="s">
        <v>21</v>
      </c>
      <c r="H7" s="7"/>
      <c r="I7" s="7"/>
      <c r="J7" s="35">
        <v>33.0</v>
      </c>
      <c r="K7" s="7"/>
      <c r="L7" s="7"/>
      <c r="M7" s="7"/>
      <c r="N7" s="36">
        <f>today()-1</f>
        <v>43662</v>
      </c>
      <c r="O7" s="7"/>
      <c r="R7" s="29" t="s">
        <v>22</v>
      </c>
      <c r="S7" s="35">
        <v>20.0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14</v>
      </c>
      <c r="F3" s="8" t="s">
        <v>15</v>
      </c>
      <c r="G3" s="13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3">
        <f>today()-1</f>
        <v>43662</v>
      </c>
      <c r="C6" s="36">
        <f>today()</f>
        <v>43663</v>
      </c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24</v>
      </c>
      <c r="F3" s="8" t="s">
        <v>15</v>
      </c>
      <c r="G3" s="13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7" t="s">
        <v>18</v>
      </c>
      <c r="C6" s="35">
        <v>6.0</v>
      </c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1" t="s">
        <v>23</v>
      </c>
      <c r="C7" s="35">
        <v>30.0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25</v>
      </c>
      <c r="F3" s="8" t="s">
        <v>15</v>
      </c>
      <c r="G3" s="13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3">
        <f t="shared" ref="B6:C6" si="1">today()-1</f>
        <v>43662</v>
      </c>
      <c r="C6" s="36">
        <f t="shared" si="1"/>
        <v>43662</v>
      </c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26</v>
      </c>
      <c r="F3" s="8" t="s">
        <v>15</v>
      </c>
      <c r="G3" s="13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8" t="s">
        <v>28</v>
      </c>
      <c r="C6" s="39" t="s">
        <v>29</v>
      </c>
      <c r="D6" s="40" t="s">
        <v>30</v>
      </c>
      <c r="E6" s="41">
        <v>0.766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27</v>
      </c>
      <c r="D3" s="8" t="s">
        <v>9</v>
      </c>
      <c r="E3" s="21" t="s">
        <v>27</v>
      </c>
      <c r="F3" s="8" t="s">
        <v>15</v>
      </c>
      <c r="G3" s="13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7" t="s">
        <v>18</v>
      </c>
      <c r="C6" s="35">
        <v>8.0</v>
      </c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1" t="s">
        <v>23</v>
      </c>
      <c r="C7" s="35">
        <v>31.0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31</v>
      </c>
      <c r="D3" s="8" t="s">
        <v>9</v>
      </c>
      <c r="E3" s="21" t="s">
        <v>32</v>
      </c>
      <c r="F3" s="8" t="s">
        <v>15</v>
      </c>
      <c r="G3" s="13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33</v>
      </c>
      <c r="C6" s="10" t="s">
        <v>20</v>
      </c>
      <c r="D6" s="33">
        <f t="shared" ref="D6:E6" si="1">today()-1</f>
        <v>43662</v>
      </c>
      <c r="E6" s="33">
        <f t="shared" si="1"/>
        <v>43662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13</v>
      </c>
      <c r="D3" s="8" t="s">
        <v>9</v>
      </c>
      <c r="E3" s="21" t="s">
        <v>17</v>
      </c>
      <c r="F3" s="8" t="s">
        <v>15</v>
      </c>
      <c r="G3" s="13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7" t="s">
        <v>18</v>
      </c>
      <c r="C6" s="31" t="s">
        <v>34</v>
      </c>
      <c r="D6" s="32">
        <v>50.0</v>
      </c>
      <c r="E6" s="34"/>
      <c r="F6" s="31" t="s">
        <v>20</v>
      </c>
      <c r="G6" s="7"/>
      <c r="H6" s="7"/>
      <c r="I6" s="7"/>
      <c r="J6" s="35">
        <v>7.0</v>
      </c>
      <c r="K6" s="7"/>
      <c r="L6" s="7"/>
      <c r="M6" s="7"/>
      <c r="N6" s="36">
        <f t="shared" ref="N6:N7" si="1">today()</f>
        <v>43663</v>
      </c>
      <c r="O6" s="10">
        <v>7.86</v>
      </c>
      <c r="R6" s="29" t="s">
        <v>22</v>
      </c>
      <c r="S6" s="35">
        <v>10.0</v>
      </c>
    </row>
    <row r="7" ht="15.75" customHeight="1">
      <c r="A7" s="7"/>
      <c r="B7" s="31" t="s">
        <v>23</v>
      </c>
      <c r="C7" s="31" t="s">
        <v>34</v>
      </c>
      <c r="D7" s="35">
        <v>45.0</v>
      </c>
      <c r="E7" s="7"/>
      <c r="F7" s="42" t="s">
        <v>20</v>
      </c>
      <c r="G7" s="7"/>
      <c r="H7" s="7"/>
      <c r="I7" s="7"/>
      <c r="J7" s="35">
        <v>32.0</v>
      </c>
      <c r="K7" s="7"/>
      <c r="L7" s="7"/>
      <c r="M7" s="7"/>
      <c r="N7" s="36">
        <f t="shared" si="1"/>
        <v>43663</v>
      </c>
      <c r="O7" s="7"/>
      <c r="R7" s="29" t="s">
        <v>22</v>
      </c>
      <c r="S7" s="35">
        <v>5.0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5" width="14.43"/>
    <col customWidth="1" min="36" max="36" width="24.43"/>
    <col customWidth="1" min="37" max="166" width="14.43"/>
  </cols>
  <sheetData>
    <row r="1" ht="15.75" customHeight="1">
      <c r="A1" s="43"/>
      <c r="B1" s="44" t="s">
        <v>11</v>
      </c>
      <c r="C1" s="4"/>
      <c r="D1" s="4"/>
      <c r="E1" s="4"/>
      <c r="F1" s="4"/>
      <c r="G1" s="4"/>
      <c r="H1" s="5"/>
      <c r="I1" s="43"/>
      <c r="J1" s="43"/>
      <c r="K1" s="43"/>
      <c r="L1" s="43"/>
      <c r="M1" s="43"/>
      <c r="N1" s="43"/>
      <c r="O1" s="43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</row>
    <row r="2" ht="15.75" customHeight="1">
      <c r="A2" s="46"/>
      <c r="B2" s="46"/>
      <c r="C2" s="46"/>
      <c r="D2" s="46"/>
      <c r="E2" s="46"/>
      <c r="F2" s="46"/>
      <c r="G2" s="46"/>
      <c r="H2" s="46"/>
      <c r="I2" s="46"/>
      <c r="J2" s="47" t="str">
        <f> VLOOKUP($E$3,'_MasterData'!B4:D1000,3,FALSE)</f>
        <v>#N/A</v>
      </c>
      <c r="K2" s="47"/>
      <c r="L2" s="46"/>
      <c r="M2" s="46"/>
      <c r="N2" s="46"/>
      <c r="O2" s="46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</row>
    <row r="3" ht="15.75" customHeight="1">
      <c r="A3" s="49"/>
      <c r="B3" s="50" t="s">
        <v>3</v>
      </c>
      <c r="C3" s="51" t="s">
        <v>35</v>
      </c>
      <c r="D3" s="50" t="s">
        <v>9</v>
      </c>
      <c r="E3" s="51" t="s">
        <v>36</v>
      </c>
      <c r="F3" s="50" t="s">
        <v>15</v>
      </c>
      <c r="G3" s="52" t="s">
        <v>16</v>
      </c>
      <c r="H3" s="50"/>
      <c r="I3" s="49"/>
      <c r="J3" s="49"/>
      <c r="K3" s="49"/>
      <c r="L3" s="49"/>
      <c r="M3" s="49"/>
      <c r="N3" s="49"/>
      <c r="O3" s="49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</row>
    <row r="4" ht="15.75" customHeight="1">
      <c r="A4" s="54"/>
      <c r="B4" s="54" t="str">
        <f>IFERROR(__xludf.DUMMYFUNCTION("IF(C3="""","""",Transpose(IMPORTRANGE('_Settings'!$B$3,C3&amp;""!A4:A1000"")))"),"CheckDashboardPM")</f>
        <v>CheckDashboardPM</v>
      </c>
      <c r="C4" s="54" t="str">
        <f>IFERROR(__xludf.DUMMYFUNCTION("""COMPUTED_VALUE"""),"CheckPortfolioManagement")</f>
        <v>CheckPortfolioManagement</v>
      </c>
      <c r="D4" s="54" t="str">
        <f>IFERROR(__xludf.DUMMYFUNCTION("""COMPUTED_VALUE"""),"OpenPSTFromPM")</f>
        <v>OpenPSTFromPM</v>
      </c>
      <c r="E4" s="54" t="str">
        <f>IFERROR(__xludf.DUMMYFUNCTION("""COMPUTED_VALUE"""),"ClosePM")</f>
        <v>ClosePM</v>
      </c>
      <c r="F4" s="54" t="str">
        <f>IFERROR(__xludf.DUMMYFUNCTION("""COMPUTED_VALUE"""),"FilterPM")</f>
        <v>FilterPM</v>
      </c>
      <c r="G4" s="54" t="str">
        <f>IFERROR(__xludf.DUMMYFUNCTION("""COMPUTED_VALUE"""),"GroupRowPM")</f>
        <v>GroupRowPM</v>
      </c>
      <c r="H4" s="54" t="str">
        <f>IFERROR(__xludf.DUMMYFUNCTION("""COMPUTED_VALUE"""),"CheckDashboardWithPM")</f>
        <v>CheckDashboardWithPM</v>
      </c>
      <c r="I4" s="54" t="str">
        <f>IFERROR(__xludf.DUMMYFUNCTION("""COMPUTED_VALUE"""),"RemoveFilterPM")</f>
        <v>RemoveFilterPM</v>
      </c>
      <c r="J4" s="54" t="str">
        <f>IFERROR(__xludf.DUMMYFUNCTION("""COMPUTED_VALUE"""),"CheckSummaryRowsPM")</f>
        <v>CheckSummaryRowsPM</v>
      </c>
      <c r="K4" s="54" t="str">
        <f>IFERROR(__xludf.DUMMYFUNCTION("""COMPUTED_VALUE"""),"OpenPTTFromPM")</f>
        <v>OpenPTTFromPM</v>
      </c>
      <c r="L4" s="54" t="str">
        <f>IFERROR(__xludf.DUMMYFUNCTION("""COMPUTED_VALUE"""),"OpenCreateTransactionFromPM")</f>
        <v>OpenCreateTransactionFromPM</v>
      </c>
      <c r="M4" s="54" t="str">
        <f>IFERROR(__xludf.DUMMYFUNCTION("""COMPUTED_VALUE"""),"OpenClosingFromPM")</f>
        <v>OpenClosingFromPM</v>
      </c>
      <c r="N4" s="54" t="str">
        <f>IFERROR(__xludf.DUMMYFUNCTION("""COMPUTED_VALUE"""),"OpenCorporateActionFromPM")</f>
        <v>OpenCorporateActionFromPM</v>
      </c>
      <c r="O4" s="54" t="str">
        <f>IFERROR(__xludf.DUMMYFUNCTION("""COMPUTED_VALUE"""),"OpenDailyValuationFromPM")</f>
        <v>OpenDailyValuationFromPM</v>
      </c>
      <c r="P4" s="55" t="str">
        <f>IFERROR(__xludf.DUMMYFUNCTION("""COMPUTED_VALUE"""),"ClosePositionFromPM")</f>
        <v>ClosePositionFromPM</v>
      </c>
      <c r="Q4" s="55" t="str">
        <f>IFERROR(__xludf.DUMMYFUNCTION("""COMPUTED_VALUE"""),"ShowSummaryToolFromPM")</f>
        <v>ShowSummaryToolFromPM</v>
      </c>
      <c r="R4" s="55" t="str">
        <f>IFERROR(__xludf.DUMMYFUNCTION("""COMPUTED_VALUE"""),"HideSummaryToolFromPM")</f>
        <v>HideSummaryToolFromPM</v>
      </c>
      <c r="S4" s="55" t="str">
        <f>IFERROR(__xludf.DUMMYFUNCTION("""COMPUTED_VALUE"""),"CloseAccountPositionFromPM")</f>
        <v>CloseAccountPositionFromPM</v>
      </c>
      <c r="T4" s="55" t="str">
        <f>IFERROR(__xludf.DUMMYFUNCTION("""COMPUTED_VALUE"""),"CloseSelectedTaxlotsFromPM")</f>
        <v>CloseSelectedTaxlotsFromPM</v>
      </c>
      <c r="U4" s="55" t="str">
        <f>IFERROR(__xludf.DUMMYFUNCTION("""COMPUTED_VALUE"""),"ExpandCollapsePM")</f>
        <v>ExpandCollapsePM</v>
      </c>
      <c r="V4" s="55" t="str">
        <f>IFERROR(__xludf.DUMMYFUNCTION("""COMPUTED_VALUE"""),"AddCustomViewPM")</f>
        <v>AddCustomViewPM</v>
      </c>
      <c r="W4" s="55" t="str">
        <f>IFERROR(__xludf.DUMMYFUNCTION("""COMPUTED_VALUE"""),"AddCustomViewRightClickPM")</f>
        <v>AddCustomViewRightClickPM</v>
      </c>
      <c r="X4" s="55" t="str">
        <f>IFERROR(__xludf.DUMMYFUNCTION("""COMPUTED_VALUE"""),"RenameCustomViewPM")</f>
        <v>RenameCustomViewPM</v>
      </c>
      <c r="Y4" s="55" t="str">
        <f>IFERROR(__xludf.DUMMYFUNCTION("""COMPUTED_VALUE"""),"DeleteCustomViewPM")</f>
        <v>DeleteCustomViewPM</v>
      </c>
      <c r="Z4" s="55" t="str">
        <f>IFERROR(__xludf.DUMMYFUNCTION("""COMPUTED_VALUE"""),"")</f>
        <v/>
      </c>
      <c r="AA4" s="55" t="str">
        <f>IFERROR(__xludf.DUMMYFUNCTION("""COMPUTED_VALUE"""),"")</f>
        <v/>
      </c>
      <c r="AB4" s="55" t="str">
        <f>IFERROR(__xludf.DUMMYFUNCTION("""COMPUTED_VALUE"""),"")</f>
        <v/>
      </c>
      <c r="AC4" s="55" t="str">
        <f>IFERROR(__xludf.DUMMYFUNCTION("""COMPUTED_VALUE"""),"")</f>
        <v/>
      </c>
      <c r="AD4" s="55" t="str">
        <f>IFERROR(__xludf.DUMMYFUNCTION("""COMPUTED_VALUE"""),"")</f>
        <v/>
      </c>
      <c r="AE4" s="55" t="str">
        <f>IFERROR(__xludf.DUMMYFUNCTION("""COMPUTED_VALUE"""),"")</f>
        <v/>
      </c>
      <c r="AF4" s="55" t="str">
        <f>IFERROR(__xludf.DUMMYFUNCTION("""COMPUTED_VALUE"""),"")</f>
        <v/>
      </c>
      <c r="AG4" s="55" t="str">
        <f>IFERROR(__xludf.DUMMYFUNCTION("""COMPUTED_VALUE"""),"")</f>
        <v/>
      </c>
      <c r="AH4" s="55" t="str">
        <f>IFERROR(__xludf.DUMMYFUNCTION("""COMPUTED_VALUE"""),"")</f>
        <v/>
      </c>
      <c r="AI4" s="55" t="str">
        <f>IFERROR(__xludf.DUMMYFUNCTION("""COMPUTED_VALUE"""),"")</f>
        <v/>
      </c>
      <c r="AJ4" s="55" t="str">
        <f>IFERROR(__xludf.DUMMYFUNCTION("""COMPUTED_VALUE"""),"")</f>
        <v/>
      </c>
      <c r="AK4" s="55" t="str">
        <f>IFERROR(__xludf.DUMMYFUNCTION("""COMPUTED_VALUE"""),"")</f>
        <v/>
      </c>
      <c r="AL4" s="55" t="str">
        <f>IFERROR(__xludf.DUMMYFUNCTION("""COMPUTED_VALUE"""),"")</f>
        <v/>
      </c>
      <c r="AM4" s="55" t="str">
        <f>IFERROR(__xludf.DUMMYFUNCTION("""COMPUTED_VALUE"""),"")</f>
        <v/>
      </c>
      <c r="AN4" s="55" t="str">
        <f>IFERROR(__xludf.DUMMYFUNCTION("""COMPUTED_VALUE"""),"")</f>
        <v/>
      </c>
      <c r="AO4" s="55" t="str">
        <f>IFERROR(__xludf.DUMMYFUNCTION("""COMPUTED_VALUE"""),"")</f>
        <v/>
      </c>
      <c r="AP4" s="55" t="str">
        <f>IFERROR(__xludf.DUMMYFUNCTION("""COMPUTED_VALUE"""),"")</f>
        <v/>
      </c>
      <c r="AQ4" s="55" t="str">
        <f>IFERROR(__xludf.DUMMYFUNCTION("""COMPUTED_VALUE"""),"")</f>
        <v/>
      </c>
      <c r="AR4" s="55" t="str">
        <f>IFERROR(__xludf.DUMMYFUNCTION("""COMPUTED_VALUE"""),"")</f>
        <v/>
      </c>
      <c r="AS4" s="55" t="str">
        <f>IFERROR(__xludf.DUMMYFUNCTION("""COMPUTED_VALUE"""),"")</f>
        <v/>
      </c>
      <c r="AT4" s="55" t="str">
        <f>IFERROR(__xludf.DUMMYFUNCTION("""COMPUTED_VALUE"""),"")</f>
        <v/>
      </c>
      <c r="AU4" s="55" t="str">
        <f>IFERROR(__xludf.DUMMYFUNCTION("""COMPUTED_VALUE"""),"")</f>
        <v/>
      </c>
      <c r="AV4" s="55" t="str">
        <f>IFERROR(__xludf.DUMMYFUNCTION("""COMPUTED_VALUE"""),"")</f>
        <v/>
      </c>
      <c r="AW4" s="55" t="str">
        <f>IFERROR(__xludf.DUMMYFUNCTION("""COMPUTED_VALUE"""),"")</f>
        <v/>
      </c>
      <c r="AX4" s="55" t="str">
        <f>IFERROR(__xludf.DUMMYFUNCTION("""COMPUTED_VALUE"""),"")</f>
        <v/>
      </c>
      <c r="AY4" s="55" t="str">
        <f>IFERROR(__xludf.DUMMYFUNCTION("""COMPUTED_VALUE"""),"")</f>
        <v/>
      </c>
      <c r="AZ4" s="55" t="str">
        <f>IFERROR(__xludf.DUMMYFUNCTION("""COMPUTED_VALUE"""),"")</f>
        <v/>
      </c>
      <c r="BA4" s="55" t="str">
        <f>IFERROR(__xludf.DUMMYFUNCTION("""COMPUTED_VALUE"""),"")</f>
        <v/>
      </c>
      <c r="BB4" s="55" t="str">
        <f>IFERROR(__xludf.DUMMYFUNCTION("""COMPUTED_VALUE"""),"")</f>
        <v/>
      </c>
      <c r="BC4" s="55" t="str">
        <f>IFERROR(__xludf.DUMMYFUNCTION("""COMPUTED_VALUE"""),"")</f>
        <v/>
      </c>
      <c r="BD4" s="55" t="str">
        <f>IFERROR(__xludf.DUMMYFUNCTION("""COMPUTED_VALUE"""),"")</f>
        <v/>
      </c>
      <c r="BE4" s="55" t="str">
        <f>IFERROR(__xludf.DUMMYFUNCTION("""COMPUTED_VALUE"""),"")</f>
        <v/>
      </c>
      <c r="BF4" s="55" t="str">
        <f>IFERROR(__xludf.DUMMYFUNCTION("""COMPUTED_VALUE"""),"")</f>
        <v/>
      </c>
      <c r="BG4" s="55" t="str">
        <f>IFERROR(__xludf.DUMMYFUNCTION("""COMPUTED_VALUE"""),"")</f>
        <v/>
      </c>
      <c r="BH4" s="55" t="str">
        <f>IFERROR(__xludf.DUMMYFUNCTION("""COMPUTED_VALUE"""),"")</f>
        <v/>
      </c>
      <c r="BI4" s="55" t="str">
        <f>IFERROR(__xludf.DUMMYFUNCTION("""COMPUTED_VALUE"""),"")</f>
        <v/>
      </c>
      <c r="BJ4" s="55" t="str">
        <f>IFERROR(__xludf.DUMMYFUNCTION("""COMPUTED_VALUE"""),"")</f>
        <v/>
      </c>
      <c r="BK4" s="55" t="str">
        <f>IFERROR(__xludf.DUMMYFUNCTION("""COMPUTED_VALUE"""),"")</f>
        <v/>
      </c>
      <c r="BL4" s="55" t="str">
        <f>IFERROR(__xludf.DUMMYFUNCTION("""COMPUTED_VALUE"""),"")</f>
        <v/>
      </c>
      <c r="BM4" s="55" t="str">
        <f>IFERROR(__xludf.DUMMYFUNCTION("""COMPUTED_VALUE"""),"")</f>
        <v/>
      </c>
      <c r="BN4" s="55" t="str">
        <f>IFERROR(__xludf.DUMMYFUNCTION("""COMPUTED_VALUE"""),"")</f>
        <v/>
      </c>
      <c r="BO4" s="55" t="str">
        <f>IFERROR(__xludf.DUMMYFUNCTION("""COMPUTED_VALUE"""),"")</f>
        <v/>
      </c>
      <c r="BP4" s="55" t="str">
        <f>IFERROR(__xludf.DUMMYFUNCTION("""COMPUTED_VALUE"""),"")</f>
        <v/>
      </c>
      <c r="BQ4" s="55" t="str">
        <f>IFERROR(__xludf.DUMMYFUNCTION("""COMPUTED_VALUE"""),"")</f>
        <v/>
      </c>
      <c r="BR4" s="55" t="str">
        <f>IFERROR(__xludf.DUMMYFUNCTION("""COMPUTED_VALUE"""),"")</f>
        <v/>
      </c>
      <c r="BS4" s="55" t="str">
        <f>IFERROR(__xludf.DUMMYFUNCTION("""COMPUTED_VALUE"""),"")</f>
        <v/>
      </c>
      <c r="BT4" s="55" t="str">
        <f>IFERROR(__xludf.DUMMYFUNCTION("""COMPUTED_VALUE"""),"")</f>
        <v/>
      </c>
      <c r="BU4" s="55" t="str">
        <f>IFERROR(__xludf.DUMMYFUNCTION("""COMPUTED_VALUE"""),"")</f>
        <v/>
      </c>
      <c r="BV4" s="55" t="str">
        <f>IFERROR(__xludf.DUMMYFUNCTION("""COMPUTED_VALUE"""),"")</f>
        <v/>
      </c>
      <c r="BW4" s="55" t="str">
        <f>IFERROR(__xludf.DUMMYFUNCTION("""COMPUTED_VALUE"""),"")</f>
        <v/>
      </c>
      <c r="BX4" s="55" t="str">
        <f>IFERROR(__xludf.DUMMYFUNCTION("""COMPUTED_VALUE"""),"")</f>
        <v/>
      </c>
      <c r="BY4" s="55" t="str">
        <f>IFERROR(__xludf.DUMMYFUNCTION("""COMPUTED_VALUE"""),"")</f>
        <v/>
      </c>
      <c r="BZ4" s="55" t="str">
        <f>IFERROR(__xludf.DUMMYFUNCTION("""COMPUTED_VALUE"""),"")</f>
        <v/>
      </c>
      <c r="CA4" s="55" t="str">
        <f>IFERROR(__xludf.DUMMYFUNCTION("""COMPUTED_VALUE"""),"")</f>
        <v/>
      </c>
      <c r="CB4" s="55" t="str">
        <f>IFERROR(__xludf.DUMMYFUNCTION("""COMPUTED_VALUE"""),"")</f>
        <v/>
      </c>
      <c r="CC4" s="55" t="str">
        <f>IFERROR(__xludf.DUMMYFUNCTION("""COMPUTED_VALUE"""),"")</f>
        <v/>
      </c>
      <c r="CD4" s="55" t="str">
        <f>IFERROR(__xludf.DUMMYFUNCTION("""COMPUTED_VALUE"""),"")</f>
        <v/>
      </c>
      <c r="CE4" s="55" t="str">
        <f>IFERROR(__xludf.DUMMYFUNCTION("""COMPUTED_VALUE"""),"")</f>
        <v/>
      </c>
      <c r="CF4" s="55" t="str">
        <f>IFERROR(__xludf.DUMMYFUNCTION("""COMPUTED_VALUE"""),"")</f>
        <v/>
      </c>
      <c r="CG4" s="55" t="str">
        <f>IFERROR(__xludf.DUMMYFUNCTION("""COMPUTED_VALUE"""),"")</f>
        <v/>
      </c>
      <c r="CH4" s="55" t="str">
        <f>IFERROR(__xludf.DUMMYFUNCTION("""COMPUTED_VALUE"""),"")</f>
        <v/>
      </c>
      <c r="CI4" s="55" t="str">
        <f>IFERROR(__xludf.DUMMYFUNCTION("""COMPUTED_VALUE"""),"")</f>
        <v/>
      </c>
      <c r="CJ4" s="55" t="str">
        <f>IFERROR(__xludf.DUMMYFUNCTION("""COMPUTED_VALUE"""),"")</f>
        <v/>
      </c>
      <c r="CK4" s="55" t="str">
        <f>IFERROR(__xludf.DUMMYFUNCTION("""COMPUTED_VALUE"""),"")</f>
        <v/>
      </c>
      <c r="CL4" s="55" t="str">
        <f>IFERROR(__xludf.DUMMYFUNCTION("""COMPUTED_VALUE"""),"")</f>
        <v/>
      </c>
      <c r="CM4" s="55" t="str">
        <f>IFERROR(__xludf.DUMMYFUNCTION("""COMPUTED_VALUE"""),"")</f>
        <v/>
      </c>
      <c r="CN4" s="55" t="str">
        <f>IFERROR(__xludf.DUMMYFUNCTION("""COMPUTED_VALUE"""),"")</f>
        <v/>
      </c>
      <c r="CO4" s="55" t="str">
        <f>IFERROR(__xludf.DUMMYFUNCTION("""COMPUTED_VALUE"""),"")</f>
        <v/>
      </c>
      <c r="CP4" s="55" t="str">
        <f>IFERROR(__xludf.DUMMYFUNCTION("""COMPUTED_VALUE"""),"")</f>
        <v/>
      </c>
      <c r="CQ4" s="55" t="str">
        <f>IFERROR(__xludf.DUMMYFUNCTION("""COMPUTED_VALUE"""),"")</f>
        <v/>
      </c>
      <c r="CR4" s="55" t="str">
        <f>IFERROR(__xludf.DUMMYFUNCTION("""COMPUTED_VALUE"""),"")</f>
        <v/>
      </c>
      <c r="CS4" s="55" t="str">
        <f>IFERROR(__xludf.DUMMYFUNCTION("""COMPUTED_VALUE"""),"")</f>
        <v/>
      </c>
      <c r="CT4" s="55" t="str">
        <f>IFERROR(__xludf.DUMMYFUNCTION("""COMPUTED_VALUE"""),"")</f>
        <v/>
      </c>
      <c r="CU4" s="55" t="str">
        <f>IFERROR(__xludf.DUMMYFUNCTION("""COMPUTED_VALUE"""),"")</f>
        <v/>
      </c>
      <c r="CV4" s="55" t="str">
        <f>IFERROR(__xludf.DUMMYFUNCTION("""COMPUTED_VALUE"""),"")</f>
        <v/>
      </c>
      <c r="CW4" s="55" t="str">
        <f>IFERROR(__xludf.DUMMYFUNCTION("""COMPUTED_VALUE"""),"")</f>
        <v/>
      </c>
      <c r="CX4" s="55" t="str">
        <f>IFERROR(__xludf.DUMMYFUNCTION("""COMPUTED_VALUE"""),"")</f>
        <v/>
      </c>
      <c r="CY4" s="55" t="str">
        <f>IFERROR(__xludf.DUMMYFUNCTION("""COMPUTED_VALUE"""),"")</f>
        <v/>
      </c>
      <c r="CZ4" s="55" t="str">
        <f>IFERROR(__xludf.DUMMYFUNCTION("""COMPUTED_VALUE"""),"")</f>
        <v/>
      </c>
      <c r="DA4" s="55" t="str">
        <f>IFERROR(__xludf.DUMMYFUNCTION("""COMPUTED_VALUE"""),"")</f>
        <v/>
      </c>
      <c r="DB4" s="55" t="str">
        <f>IFERROR(__xludf.DUMMYFUNCTION("""COMPUTED_VALUE"""),"")</f>
        <v/>
      </c>
      <c r="DC4" s="55" t="str">
        <f>IFERROR(__xludf.DUMMYFUNCTION("""COMPUTED_VALUE"""),"")</f>
        <v/>
      </c>
      <c r="DD4" s="55" t="str">
        <f>IFERROR(__xludf.DUMMYFUNCTION("""COMPUTED_VALUE"""),"")</f>
        <v/>
      </c>
      <c r="DE4" s="55" t="str">
        <f>IFERROR(__xludf.DUMMYFUNCTION("""COMPUTED_VALUE"""),"")</f>
        <v/>
      </c>
      <c r="DF4" s="55" t="str">
        <f>IFERROR(__xludf.DUMMYFUNCTION("""COMPUTED_VALUE"""),"")</f>
        <v/>
      </c>
      <c r="DG4" s="55" t="str">
        <f>IFERROR(__xludf.DUMMYFUNCTION("""COMPUTED_VALUE"""),"")</f>
        <v/>
      </c>
      <c r="DH4" s="55" t="str">
        <f>IFERROR(__xludf.DUMMYFUNCTION("""COMPUTED_VALUE"""),"")</f>
        <v/>
      </c>
      <c r="DI4" s="55" t="str">
        <f>IFERROR(__xludf.DUMMYFUNCTION("""COMPUTED_VALUE"""),"")</f>
        <v/>
      </c>
      <c r="DJ4" s="55" t="str">
        <f>IFERROR(__xludf.DUMMYFUNCTION("""COMPUTED_VALUE"""),"")</f>
        <v/>
      </c>
      <c r="DK4" s="55" t="str">
        <f>IFERROR(__xludf.DUMMYFUNCTION("""COMPUTED_VALUE"""),"")</f>
        <v/>
      </c>
      <c r="DL4" s="55" t="str">
        <f>IFERROR(__xludf.DUMMYFUNCTION("""COMPUTED_VALUE"""),"")</f>
        <v/>
      </c>
      <c r="DM4" s="55" t="str">
        <f>IFERROR(__xludf.DUMMYFUNCTION("""COMPUTED_VALUE"""),"")</f>
        <v/>
      </c>
      <c r="DN4" s="55" t="str">
        <f>IFERROR(__xludf.DUMMYFUNCTION("""COMPUTED_VALUE"""),"")</f>
        <v/>
      </c>
      <c r="DO4" s="55" t="str">
        <f>IFERROR(__xludf.DUMMYFUNCTION("""COMPUTED_VALUE"""),"")</f>
        <v/>
      </c>
      <c r="DP4" s="55" t="str">
        <f>IFERROR(__xludf.DUMMYFUNCTION("""COMPUTED_VALUE"""),"")</f>
        <v/>
      </c>
      <c r="DQ4" s="55" t="str">
        <f>IFERROR(__xludf.DUMMYFUNCTION("""COMPUTED_VALUE"""),"")</f>
        <v/>
      </c>
      <c r="DR4" s="55" t="str">
        <f>IFERROR(__xludf.DUMMYFUNCTION("""COMPUTED_VALUE"""),"")</f>
        <v/>
      </c>
      <c r="DS4" s="55" t="str">
        <f>IFERROR(__xludf.DUMMYFUNCTION("""COMPUTED_VALUE"""),"")</f>
        <v/>
      </c>
      <c r="DT4" s="55" t="str">
        <f>IFERROR(__xludf.DUMMYFUNCTION("""COMPUTED_VALUE"""),"")</f>
        <v/>
      </c>
      <c r="DU4" s="55" t="str">
        <f>IFERROR(__xludf.DUMMYFUNCTION("""COMPUTED_VALUE"""),"")</f>
        <v/>
      </c>
      <c r="DV4" s="55" t="str">
        <f>IFERROR(__xludf.DUMMYFUNCTION("""COMPUTED_VALUE"""),"")</f>
        <v/>
      </c>
      <c r="DW4" s="55" t="str">
        <f>IFERROR(__xludf.DUMMYFUNCTION("""COMPUTED_VALUE"""),"")</f>
        <v/>
      </c>
      <c r="DX4" s="55" t="str">
        <f>IFERROR(__xludf.DUMMYFUNCTION("""COMPUTED_VALUE"""),"")</f>
        <v/>
      </c>
      <c r="DY4" s="55" t="str">
        <f>IFERROR(__xludf.DUMMYFUNCTION("""COMPUTED_VALUE"""),"")</f>
        <v/>
      </c>
      <c r="DZ4" s="55" t="str">
        <f>IFERROR(__xludf.DUMMYFUNCTION("""COMPUTED_VALUE"""),"")</f>
        <v/>
      </c>
      <c r="EA4" s="55" t="str">
        <f>IFERROR(__xludf.DUMMYFUNCTION("""COMPUTED_VALUE"""),"")</f>
        <v/>
      </c>
      <c r="EB4" s="55" t="str">
        <f>IFERROR(__xludf.DUMMYFUNCTION("""COMPUTED_VALUE"""),"")</f>
        <v/>
      </c>
      <c r="EC4" s="55" t="str">
        <f>IFERROR(__xludf.DUMMYFUNCTION("""COMPUTED_VALUE"""),"")</f>
        <v/>
      </c>
      <c r="ED4" s="55" t="str">
        <f>IFERROR(__xludf.DUMMYFUNCTION("""COMPUTED_VALUE"""),"")</f>
        <v/>
      </c>
      <c r="EE4" s="55" t="str">
        <f>IFERROR(__xludf.DUMMYFUNCTION("""COMPUTED_VALUE"""),"")</f>
        <v/>
      </c>
      <c r="EF4" s="55" t="str">
        <f>IFERROR(__xludf.DUMMYFUNCTION("""COMPUTED_VALUE"""),"")</f>
        <v/>
      </c>
      <c r="EG4" s="55" t="str">
        <f>IFERROR(__xludf.DUMMYFUNCTION("""COMPUTED_VALUE"""),"")</f>
        <v/>
      </c>
      <c r="EH4" s="55" t="str">
        <f>IFERROR(__xludf.DUMMYFUNCTION("""COMPUTED_VALUE"""),"")</f>
        <v/>
      </c>
      <c r="EI4" s="55" t="str">
        <f>IFERROR(__xludf.DUMMYFUNCTION("""COMPUTED_VALUE"""),"")</f>
        <v/>
      </c>
      <c r="EJ4" s="55" t="str">
        <f>IFERROR(__xludf.DUMMYFUNCTION("""COMPUTED_VALUE"""),"")</f>
        <v/>
      </c>
      <c r="EK4" s="55" t="str">
        <f>IFERROR(__xludf.DUMMYFUNCTION("""COMPUTED_VALUE"""),"")</f>
        <v/>
      </c>
      <c r="EL4" s="55" t="str">
        <f>IFERROR(__xludf.DUMMYFUNCTION("""COMPUTED_VALUE"""),"")</f>
        <v/>
      </c>
      <c r="EM4" s="55" t="str">
        <f>IFERROR(__xludf.DUMMYFUNCTION("""COMPUTED_VALUE"""),"")</f>
        <v/>
      </c>
      <c r="EN4" s="55" t="str">
        <f>IFERROR(__xludf.DUMMYFUNCTION("""COMPUTED_VALUE"""),"")</f>
        <v/>
      </c>
      <c r="EO4" s="55" t="str">
        <f>IFERROR(__xludf.DUMMYFUNCTION("""COMPUTED_VALUE"""),"")</f>
        <v/>
      </c>
      <c r="EP4" s="55" t="str">
        <f>IFERROR(__xludf.DUMMYFUNCTION("""COMPUTED_VALUE"""),"")</f>
        <v/>
      </c>
      <c r="EQ4" s="55" t="str">
        <f>IFERROR(__xludf.DUMMYFUNCTION("""COMPUTED_VALUE"""),"")</f>
        <v/>
      </c>
      <c r="ER4" s="55" t="str">
        <f>IFERROR(__xludf.DUMMYFUNCTION("""COMPUTED_VALUE"""),"")</f>
        <v/>
      </c>
      <c r="ES4" s="55" t="str">
        <f>IFERROR(__xludf.DUMMYFUNCTION("""COMPUTED_VALUE"""),"")</f>
        <v/>
      </c>
      <c r="ET4" s="55" t="str">
        <f>IFERROR(__xludf.DUMMYFUNCTION("""COMPUTED_VALUE"""),"")</f>
        <v/>
      </c>
      <c r="EU4" s="55" t="str">
        <f>IFERROR(__xludf.DUMMYFUNCTION("""COMPUTED_VALUE"""),"")</f>
        <v/>
      </c>
      <c r="EV4" s="55" t="str">
        <f>IFERROR(__xludf.DUMMYFUNCTION("""COMPUTED_VALUE"""),"")</f>
        <v/>
      </c>
      <c r="EW4" s="55" t="str">
        <f>IFERROR(__xludf.DUMMYFUNCTION("""COMPUTED_VALUE"""),"")</f>
        <v/>
      </c>
      <c r="EX4" s="55" t="str">
        <f>IFERROR(__xludf.DUMMYFUNCTION("""COMPUTED_VALUE"""),"")</f>
        <v/>
      </c>
      <c r="EY4" s="55" t="str">
        <f>IFERROR(__xludf.DUMMYFUNCTION("""COMPUTED_VALUE"""),"")</f>
        <v/>
      </c>
      <c r="EZ4" s="55" t="str">
        <f>IFERROR(__xludf.DUMMYFUNCTION("""COMPUTED_VALUE"""),"")</f>
        <v/>
      </c>
      <c r="FA4" s="55" t="str">
        <f>IFERROR(__xludf.DUMMYFUNCTION("""COMPUTED_VALUE"""),"")</f>
        <v/>
      </c>
      <c r="FB4" s="55" t="str">
        <f>IFERROR(__xludf.DUMMYFUNCTION("""COMPUTED_VALUE"""),"")</f>
        <v/>
      </c>
      <c r="FC4" s="55" t="str">
        <f>IFERROR(__xludf.DUMMYFUNCTION("""COMPUTED_VALUE"""),"")</f>
        <v/>
      </c>
      <c r="FD4" s="55" t="str">
        <f>IFERROR(__xludf.DUMMYFUNCTION("""COMPUTED_VALUE"""),"")</f>
        <v/>
      </c>
      <c r="FE4" s="55" t="str">
        <f>IFERROR(__xludf.DUMMYFUNCTION("""COMPUTED_VALUE"""),"")</f>
        <v/>
      </c>
      <c r="FF4" s="55" t="str">
        <f>IFERROR(__xludf.DUMMYFUNCTION("""COMPUTED_VALUE"""),"")</f>
        <v/>
      </c>
      <c r="FG4" s="55" t="str">
        <f>IFERROR(__xludf.DUMMYFUNCTION("""COMPUTED_VALUE"""),"")</f>
        <v/>
      </c>
      <c r="FH4" s="55" t="str">
        <f>IFERROR(__xludf.DUMMYFUNCTION("""COMPUTED_VALUE"""),"")</f>
        <v/>
      </c>
      <c r="FI4" s="55" t="str">
        <f>IFERROR(__xludf.DUMMYFUNCTION("""COMPUTED_VALUE"""),"")</f>
        <v/>
      </c>
      <c r="FJ4" s="55" t="str">
        <f>IFERROR(__xludf.DUMMYFUNCTION("""COMPUTED_VALUE"""),"")</f>
        <v/>
      </c>
    </row>
    <row r="5" ht="15.75" customHeight="1">
      <c r="A5" s="56" t="str">
        <f>IFERROR(__xludf.DUMMYFUNCTION("TRANSPOSE(IMPORTRANGE(VLOOKUP($E$3,IMPORTRANGE('_Settings'!$B$3,$C$3&amp;""!A4:B1000""),2,FALSE),$G$3&amp;""!A4:A1000""))"),"")</f>
        <v/>
      </c>
      <c r="B5" s="57" t="str">
        <f>IFERROR(__xludf.DUMMYFUNCTION("""COMPUTED_VALUE"""),"Trade Date")</f>
        <v>Trade Date</v>
      </c>
      <c r="C5" s="57" t="str">
        <f>IFERROR(__xludf.DUMMYFUNCTION("""COMPUTED_VALUE"""),"Symbol")</f>
        <v>Symbol</v>
      </c>
      <c r="D5" s="57" t="str">
        <f>IFERROR(__xludf.DUMMYFUNCTION("""COMPUTED_VALUE"""),"Position")</f>
        <v>Position</v>
      </c>
      <c r="E5" s="57" t="str">
        <f>IFERROR(__xludf.DUMMYFUNCTION("""COMPUTED_VALUE"""),"Account")</f>
        <v>Account</v>
      </c>
      <c r="F5" s="58" t="str">
        <f>IFERROR(__xludf.DUMMYFUNCTION("""COMPUTED_VALUE"""),"MasterFund")</f>
        <v>MasterFund</v>
      </c>
      <c r="G5" s="57" t="str">
        <f>IFERROR(__xludf.DUMMYFUNCTION("""COMPUTED_VALUE"""),"Cost Basis")</f>
        <v>Cost Basis</v>
      </c>
      <c r="H5" s="57" t="str">
        <f>IFERROR(__xludf.DUMMYFUNCTION("""COMPUTED_VALUE"""),"Position Side")</f>
        <v>Position Side</v>
      </c>
      <c r="I5" s="57" t="str">
        <f>IFERROR(__xludf.DUMMYFUNCTION("""COMPUTED_VALUE"""),"Market Value (Base)")</f>
        <v>Market Value (Base)</v>
      </c>
      <c r="J5" s="57" t="str">
        <f>IFERROR(__xludf.DUMMYFUNCTION("""COMPUTED_VALUE"""),"% Day P&amp;L (Gross MV)")</f>
        <v>% Day P&amp;L (Gross MV)</v>
      </c>
      <c r="K5" s="57" t="str">
        <f>IFERROR(__xludf.DUMMYFUNCTION("""COMPUTED_VALUE"""),"Net Exposure (Base)")</f>
        <v>Net Exposure (Base)</v>
      </c>
      <c r="L5" s="57" t="str">
        <f>IFERROR(__xludf.DUMMYFUNCTION("""COMPUTED_VALUE"""),"Beta Adj. Gross Exposure (Base)")</f>
        <v>Beta Adj. Gross Exposure (Base)</v>
      </c>
      <c r="M5" s="57" t="str">
        <f>IFERROR(__xludf.DUMMYFUNCTION("""COMPUTED_VALUE"""),"Beta Adj. Gross Exposure (Underlying) (Base)")</f>
        <v>Beta Adj. Gross Exposure (Underlying) (Base)</v>
      </c>
      <c r="N5" s="57" t="str">
        <f>IFERROR(__xludf.DUMMYFUNCTION("""COMPUTED_VALUE"""),"Day P&amp;L (Base)")</f>
        <v>Day P&amp;L (Base)</v>
      </c>
      <c r="O5" s="57" t="str">
        <f>IFERROR(__xludf.DUMMYFUNCTION("""COMPUTED_VALUE"""),"Security Name")</f>
        <v>Security Name</v>
      </c>
      <c r="P5" s="57" t="str">
        <f>IFERROR(__xludf.DUMMYFUNCTION("""COMPUTED_VALUE"""),"Closing Mark")</f>
        <v>Closing Mark</v>
      </c>
      <c r="Q5" s="57" t="str">
        <f>IFERROR(__xludf.DUMMYFUNCTION("""COMPUTED_VALUE"""),"Cost Basis P&amp;L (Base)")</f>
        <v>Cost Basis P&amp;L (Base)</v>
      </c>
      <c r="R5" s="57" t="str">
        <f>IFERROR(__xludf.DUMMYFUNCTION("""COMPUTED_VALUE"""),"Prime Broker")</f>
        <v>Prime Broker</v>
      </c>
      <c r="S5" s="57" t="str">
        <f>IFERROR(__xludf.DUMMYFUNCTION("""COMPUTED_VALUE"""),"Strategy")</f>
        <v>Strategy</v>
      </c>
      <c r="T5" s="59" t="str">
        <f>IFERROR(__xludf.DUMMYFUNCTION("""COMPUTED_VALUE"""),"Asset Class")</f>
        <v>Asset Class</v>
      </c>
      <c r="U5" s="59" t="str">
        <f>IFERROR(__xludf.DUMMYFUNCTION("""COMPUTED_VALUE"""),"Underlying")</f>
        <v>Underlying</v>
      </c>
      <c r="V5" s="59" t="str">
        <f>IFERROR(__xludf.DUMMYFUNCTION("""COMPUTED_VALUE"""),"Exchange")</f>
        <v>Exchange</v>
      </c>
      <c r="W5" s="59" t="str">
        <f>IFERROR(__xludf.DUMMYFUNCTION("""COMPUTED_VALUE"""),"Trade Currency")</f>
        <v>Trade Currency</v>
      </c>
      <c r="X5" s="59" t="str">
        <f>IFERROR(__xludf.DUMMYFUNCTION("""COMPUTED_VALUE"""),"Multiplier")</f>
        <v>Multiplier</v>
      </c>
      <c r="Y5" s="59" t="str">
        <f>IFERROR(__xludf.DUMMYFUNCTION("""COMPUTED_VALUE"""),"FX Rate")</f>
        <v>FX Rate</v>
      </c>
      <c r="Z5" s="59" t="str">
        <f>IFERROR(__xludf.DUMMYFUNCTION("""COMPUTED_VALUE"""),"Vs Currency")</f>
        <v>Vs Currency</v>
      </c>
      <c r="AA5" s="59" t="str">
        <f>IFERROR(__xludf.DUMMYFUNCTION("""COMPUTED_VALUE"""),"Lead Currency")</f>
        <v>Lead Currency</v>
      </c>
      <c r="AB5" s="59" t="str">
        <f>IFERROR(__xludf.DUMMYFUNCTION("""COMPUTED_VALUE"""),"Dividend Yield (%)")</f>
        <v>Dividend Yield (%)</v>
      </c>
      <c r="AC5" s="59" t="str">
        <f>IFERROR(__xludf.DUMMYFUNCTION("""COMPUTED_VALUE"""),"% Change")</f>
        <v>% Change</v>
      </c>
      <c r="AD5" s="59" t="str">
        <f>IFERROR(__xludf.DUMMYFUNCTION("""COMPUTED_VALUE"""),"Net Exposure (Local)")</f>
        <v>Net Exposure (Local)</v>
      </c>
      <c r="AE5" s="59" t="str">
        <f>IFERROR(__xludf.DUMMYFUNCTION("""COMPUTED_VALUE"""),"Exposure (Local)")</f>
        <v>Exposure (Local)</v>
      </c>
      <c r="AF5" s="59" t="str">
        <f>IFERROR(__xludf.DUMMYFUNCTION("""COMPUTED_VALUE"""),"Delta Adj. Position")</f>
        <v>Delta Adj. Position</v>
      </c>
      <c r="AG5" s="59" t="str">
        <f>IFERROR(__xludf.DUMMYFUNCTION("""COMPUTED_VALUE"""),"Exposure (Base)")</f>
        <v>Exposure (Base)</v>
      </c>
      <c r="AH5" s="59" t="str">
        <f>IFERROR(__xludf.DUMMYFUNCTION("""COMPUTED_VALUE"""),"Beta Adj. Exposure (Local)")</f>
        <v>Beta Adj. Exposure (Local)</v>
      </c>
      <c r="AI5" s="59" t="str">
        <f>IFERROR(__xludf.DUMMYFUNCTION("""COMPUTED_VALUE"""),"Beta Adj. Exposure (Base)")</f>
        <v>Beta Adj. Exposure (Base)</v>
      </c>
      <c r="AJ5" s="59" t="str">
        <f>IFERROR(__xludf.DUMMYFUNCTION("""COMPUTED_VALUE"""),"Exposure (BP)(Base)")</f>
        <v>Exposure (BP)(Base)</v>
      </c>
      <c r="AK5" s="59" t="str">
        <f>IFERROR(__xludf.DUMMYFUNCTION("""COMPUTED_VALUE"""),"Day P&amp;L (Local)")</f>
        <v>Day P&amp;L (Local)</v>
      </c>
      <c r="AL5" s="59" t="str">
        <f>IFERROR(__xludf.DUMMYFUNCTION("""COMPUTED_VALUE"""),"Delta")</f>
        <v>Delta</v>
      </c>
      <c r="AM5" s="59" t="str">
        <f>IFERROR(__xludf.DUMMYFUNCTION("""COMPUTED_VALUE"""),"Leveraged Factor")</f>
        <v>Leveraged Factor</v>
      </c>
      <c r="AN5" s="59" t="str">
        <f>IFERROR(__xludf.DUMMYFUNCTION("""COMPUTED_VALUE"""),"Order Side")</f>
        <v>Order Side</v>
      </c>
      <c r="AO5" s="59" t="str">
        <f>IFERROR(__xludf.DUMMYFUNCTION("""COMPUTED_VALUE"""),"Master Strategy")</f>
        <v>Master Strategy</v>
      </c>
      <c r="AP5" s="59" t="str">
        <f>IFERROR(__xludf.DUMMYFUNCTION("""COMPUTED_VALUE"""),"Transaction Side")</f>
        <v>Transaction Side</v>
      </c>
      <c r="AQ5" s="59" t="str">
        <f>IFERROR(__xludf.DUMMYFUNCTION("""COMPUTED_VALUE"""),"Underlying Symbol")</f>
        <v>Underlying Symbol</v>
      </c>
      <c r="AR5" s="59" t="str">
        <f>IFERROR(__xludf.DUMMYFUNCTION("""COMPUTED_VALUE"""),"Underlying Price")</f>
        <v>Underlying Price</v>
      </c>
      <c r="AS5" s="59" t="str">
        <f>IFERROR(__xludf.DUMMYFUNCTION("""COMPUTED_VALUE"""),"Side Multiplier")</f>
        <v>Side Multiplier</v>
      </c>
      <c r="AT5" s="59" t="str">
        <f>IFERROR(__xludf.DUMMYFUNCTION("""COMPUTED_VALUE"""),"Description")</f>
        <v>Description</v>
      </c>
      <c r="AU5" s="59" t="str">
        <f>IFERROR(__xludf.DUMMYFUNCTION("""COMPUTED_VALUE"""),"Internal Comments")</f>
        <v>Internal Comments</v>
      </c>
      <c r="AV5" s="59" t="str">
        <f>IFERROR(__xludf.DUMMYFUNCTION("""COMPUTED_VALUE"""),"FX Rate On Trade Date")</f>
        <v>FX Rate On Trade Date</v>
      </c>
      <c r="AW5" s="59" t="str">
        <f>IFERROR(__xludf.DUMMYFUNCTION("""COMPUTED_VALUE"""),"Cost Basis P&amp;L (Local)")</f>
        <v>Cost Basis P&amp;L (Local)</v>
      </c>
      <c r="AX5" s="59" t="str">
        <f>IFERROR(__xludf.DUMMYFUNCTION("""COMPUTED_VALUE"""),"Day Interest")</f>
        <v>Day Interest</v>
      </c>
      <c r="AY5" s="59" t="str">
        <f>IFERROR(__xludf.DUMMYFUNCTION("""COMPUTED_VALUE"""),"Total Interest")</f>
        <v>Total Interest</v>
      </c>
      <c r="AZ5" s="59" t="str">
        <f>IFERROR(__xludf.DUMMYFUNCTION("""COMPUTED_VALUE"""),"Market Value (Local)")</f>
        <v>Market Value (Local)</v>
      </c>
      <c r="BA5" s="59" t="str">
        <f>IFERROR(__xludf.DUMMYFUNCTION("""COMPUTED_VALUE"""),"% Gain/Loss Day")</f>
        <v>% Gain/Loss Day</v>
      </c>
      <c r="BB5" s="59" t="str">
        <f>IFERROR(__xludf.DUMMYFUNCTION("""COMPUTED_VALUE"""),"Update Time (Last Price)")</f>
        <v>Update Time (Last Price)</v>
      </c>
      <c r="BC5" s="59" t="str">
        <f>IFERROR(__xludf.DUMMYFUNCTION("""COMPUTED_VALUE"""),"Beta")</f>
        <v>Beta</v>
      </c>
      <c r="BD5" s="59" t="str">
        <f>IFERROR(__xludf.DUMMYFUNCTION("""COMPUTED_VALUE"""),"Cash Impact (Local)")</f>
        <v>Cash Impact (Local)</v>
      </c>
      <c r="BE5" s="59" t="str">
        <f>IFERROR(__xludf.DUMMYFUNCTION("""COMPUTED_VALUE"""),"User Asset")</f>
        <v>User Asset</v>
      </c>
      <c r="BF5" s="59" t="str">
        <f>IFERROR(__xludf.DUMMYFUNCTION("""COMPUTED_VALUE"""),"Security Type")</f>
        <v>Security Type</v>
      </c>
      <c r="BG5" s="59" t="str">
        <f>IFERROR(__xludf.DUMMYFUNCTION("""COMPUTED_VALUE"""),"Sector")</f>
        <v>Sector</v>
      </c>
      <c r="BH5" s="59" t="str">
        <f>IFERROR(__xludf.DUMMYFUNCTION("""COMPUTED_VALUE"""),"Sub Sector")</f>
        <v>Sub Sector</v>
      </c>
      <c r="BI5" s="59" t="str">
        <f>IFERROR(__xludf.DUMMYFUNCTION("""COMPUTED_VALUE"""),"Country")</f>
        <v>Country</v>
      </c>
      <c r="BJ5" s="59" t="str">
        <f>IFERROR(__xludf.DUMMYFUNCTION("""COMPUTED_VALUE"""),"Market Cap")</f>
        <v>Market Cap</v>
      </c>
      <c r="BK5" s="59" t="str">
        <f>IFERROR(__xludf.DUMMYFUNCTION("""COMPUTED_VALUE"""),"Shares Outstanding")</f>
        <v>Shares Outstanding</v>
      </c>
      <c r="BL5" s="59" t="str">
        <f>IFERROR(__xludf.DUMMYFUNCTION("""COMPUTED_VALUE"""),"Avg Volume 20 Day")</f>
        <v>Avg Volume 20 Day</v>
      </c>
      <c r="BM5" s="59" t="str">
        <f>IFERROR(__xludf.DUMMYFUNCTION("""COMPUTED_VALUE"""),"% Avg Volume (Delta Adj.)")</f>
        <v>% Avg Volume (Delta Adj.)</v>
      </c>
      <c r="BN5" s="59" t="str">
        <f>IFERROR(__xludf.DUMMYFUNCTION("""COMPUTED_VALUE"""),"Ex Dividend Date")</f>
        <v>Ex Dividend Date</v>
      </c>
      <c r="BO5" s="59" t="str">
        <f>IFERROR(__xludf.DUMMYFUNCTION("""COMPUTED_VALUE"""),"Cash Impact (Base)")</f>
        <v>Cash Impact (Base)</v>
      </c>
      <c r="BP5" s="59" t="str">
        <f>IFERROR(__xludf.DUMMYFUNCTION("""COMPUTED_VALUE"""),"Volatility (%)")</f>
        <v>Volatility (%)</v>
      </c>
      <c r="BQ5" s="59" t="str">
        <f>IFERROR(__xludf.DUMMYFUNCTION("""COMPUTED_VALUE"""),"User")</f>
        <v>User</v>
      </c>
      <c r="BR5" s="59" t="str">
        <f>IFERROR(__xludf.DUMMYFUNCTION("""COMPUTED_VALUE"""),"Broker")</f>
        <v>Broker</v>
      </c>
      <c r="BS5" s="59" t="str">
        <f>IFERROR(__xludf.DUMMYFUNCTION("""COMPUTED_VALUE"""),"Earned Dividend (Local)")</f>
        <v>Earned Dividend (Local)</v>
      </c>
      <c r="BT5" s="59" t="str">
        <f>IFERROR(__xludf.DUMMYFUNCTION("""COMPUTED_VALUE"""),"Earned Dividend (Base)")</f>
        <v>Earned Dividend (Base)</v>
      </c>
      <c r="BU5" s="59" t="str">
        <f>IFERROR(__xludf.DUMMYFUNCTION("""COMPUTED_VALUE"""),"Put/Call")</f>
        <v>Put/Call</v>
      </c>
      <c r="BV5" s="59" t="str">
        <f>IFERROR(__xludf.DUMMYFUNCTION("""COMPUTED_VALUE"""),"Expiration Date")</f>
        <v>Expiration Date</v>
      </c>
      <c r="BW5" s="59" t="str">
        <f>IFERROR(__xludf.DUMMYFUNCTION("""COMPUTED_VALUE"""),"Strike Price")</f>
        <v>Strike Price</v>
      </c>
      <c r="BX5" s="59" t="str">
        <f>IFERROR(__xludf.DUMMYFUNCTION("""COMPUTED_VALUE"""),"Gross Exposure (Base)")</f>
        <v>Gross Exposure (Base)</v>
      </c>
      <c r="BY5" s="59" t="str">
        <f>IFERROR(__xludf.DUMMYFUNCTION("""COMPUTED_VALUE"""),"Gross Market Value (Base)")</f>
        <v>Gross Market Value (Base)</v>
      </c>
      <c r="BZ5" s="59" t="str">
        <f>IFERROR(__xludf.DUMMYFUNCTION("""COMPUTED_VALUE"""),"Px Selected Feed (Local)")</f>
        <v>Px Selected Feed (Local)</v>
      </c>
      <c r="CA5" s="59" t="str">
        <f>IFERROR(__xludf.DUMMYFUNCTION("""COMPUTED_VALUE"""),"Px Selected Feed (Base)")</f>
        <v>Px Selected Feed (Base)</v>
      </c>
      <c r="CB5" s="59" t="str">
        <f>IFERROR(__xludf.DUMMYFUNCTION("""COMPUTED_VALUE"""),"Settlement Date")</f>
        <v>Settlement Date</v>
      </c>
      <c r="CC5" s="59" t="str">
        <f>IFERROR(__xludf.DUMMYFUNCTION("""COMPUTED_VALUE"""),"% Avg Volume")</f>
        <v>% Avg Volume</v>
      </c>
      <c r="CD5" s="59" t="str">
        <f>IFERROR(__xludf.DUMMYFUNCTION("""COMPUTED_VALUE"""),"Day P&amp;L (Base)(Price Gain)")</f>
        <v>Day P&amp;L (Base)(Price Gain)</v>
      </c>
      <c r="CE5" s="59" t="str">
        <f>IFERROR(__xludf.DUMMYFUNCTION("""COMPUTED_VALUE"""),"Day P&amp;L (Base)(FX Gain)")</f>
        <v>Day P&amp;L (Base)(FX Gain)</v>
      </c>
      <c r="CF5" s="59" t="str">
        <f>IFERROR(__xludf.DUMMYFUNCTION("""COMPUTED_VALUE"""),"Cost Basis P&amp;L (Base)(FX Gain)")</f>
        <v>Cost Basis P&amp;L (Base)(FX Gain)</v>
      </c>
      <c r="CG5" s="59" t="str">
        <f>IFERROR(__xludf.DUMMYFUNCTION("""COMPUTED_VALUE"""),"Cost Basis P&amp;L (Base)(Price Gain)")</f>
        <v>Cost Basis P&amp;L (Base)(Price Gain)</v>
      </c>
      <c r="CH5" s="59" t="str">
        <f>IFERROR(__xludf.DUMMYFUNCTION("""COMPUTED_VALUE"""),"% Gain/Loss Cost")</f>
        <v>% Gain/Loss Cost</v>
      </c>
      <c r="CI5" s="59" t="str">
        <f>IFERROR(__xludf.DUMMYFUNCTION("""COMPUTED_VALUE"""),"Underlying Value (Options)")</f>
        <v>Underlying Value (Options)</v>
      </c>
      <c r="CJ5" s="59" t="str">
        <f>IFERROR(__xludf.DUMMYFUNCTION("""COMPUTED_VALUE"""),"Avg Volume 20 Day (Underlying Symbol)")</f>
        <v>Avg Volume 20 Day (Underlying Symbol)</v>
      </c>
      <c r="CK5" s="59" t="str">
        <f>IFERROR(__xludf.DUMMYFUNCTION("""COMPUTED_VALUE"""),"IsStaleData")</f>
        <v>IsStaleData</v>
      </c>
      <c r="CL5" s="59" t="str">
        <f>IFERROR(__xludf.DUMMYFUNCTION("""COMPUTED_VALUE"""),"IDCO")</f>
        <v>IDCO</v>
      </c>
      <c r="CM5" s="59" t="str">
        <f>IFERROR(__xludf.DUMMYFUNCTION("""COMPUTED_VALUE"""),"OSI")</f>
        <v>OSI</v>
      </c>
      <c r="CN5" s="59" t="str">
        <f>IFERROR(__xludf.DUMMYFUNCTION("""COMPUTED_VALUE"""),"SEDOL")</f>
        <v>SEDOL</v>
      </c>
      <c r="CO5" s="59" t="str">
        <f>IFERROR(__xludf.DUMMYFUNCTION("""COMPUTED_VALUE"""),"CUSIP")</f>
        <v>CUSIP</v>
      </c>
      <c r="CP5" s="59" t="str">
        <f>IFERROR(__xludf.DUMMYFUNCTION("""COMPUTED_VALUE"""),"Bloomberg")</f>
        <v>Bloomberg</v>
      </c>
      <c r="CQ5" s="59" t="str">
        <f>IFERROR(__xludf.DUMMYFUNCTION("""COMPUTED_VALUE"""),"ISIN")</f>
        <v>ISIN</v>
      </c>
      <c r="CR5" s="59" t="str">
        <f>IFERROR(__xludf.DUMMYFUNCTION("""COMPUTED_VALUE"""),"Start Trade Date")</f>
        <v>Start Trade Date</v>
      </c>
      <c r="CS5" s="59" t="str">
        <f>IFERROR(__xludf.DUMMYFUNCTION("""COMPUTED_VALUE"""),"Cost Basis (Break Even)")</f>
        <v>Cost Basis (Break Even)</v>
      </c>
      <c r="CT5" s="59" t="str">
        <f>IFERROR(__xludf.DUMMYFUNCTION("""COMPUTED_VALUE"""),"Trade Attribute 3")</f>
        <v>Trade Attribute 3</v>
      </c>
      <c r="CU5" s="59" t="str">
        <f>IFERROR(__xludf.DUMMYFUNCTION("""COMPUTED_VALUE"""),"Trade Attribute 4")</f>
        <v>Trade Attribute 4</v>
      </c>
      <c r="CV5" s="59" t="str">
        <f>IFERROR(__xludf.DUMMYFUNCTION("""COMPUTED_VALUE"""),"Trade Attribute 5")</f>
        <v>Trade Attribute 5</v>
      </c>
      <c r="CW5" s="59" t="str">
        <f>IFERROR(__xludf.DUMMYFUNCTION("""COMPUTED_VALUE"""),"Trade Attribute 6")</f>
        <v>Trade Attribute 6</v>
      </c>
      <c r="CX5" s="59" t="str">
        <f>IFERROR(__xludf.DUMMYFUNCTION("""COMPUTED_VALUE"""),"Proxy Symbol")</f>
        <v>Proxy Symbol</v>
      </c>
      <c r="CY5" s="59" t="str">
        <f>IFERROR(__xludf.DUMMYFUNCTION("""COMPUTED_VALUE"""),"Pricing Source")</f>
        <v>Pricing Source</v>
      </c>
      <c r="CZ5" s="59" t="str">
        <f>IFERROR(__xludf.DUMMYFUNCTION("""COMPUTED_VALUE"""),"Delta Source")</f>
        <v>Delta Source</v>
      </c>
      <c r="DA5" s="59" t="str">
        <f>IFERROR(__xludf.DUMMYFUNCTION("""COMPUTED_VALUE"""),"Gross Exposure (Local)")</f>
        <v>Gross Exposure (Local)</v>
      </c>
      <c r="DB5" s="59" t="str">
        <f>IFERROR(__xludf.DUMMYFUNCTION("""COMPUTED_VALUE"""),"% Day P&amp;L (Net MV)")</f>
        <v>% Day P&amp;L (Net MV)</v>
      </c>
      <c r="DC5" s="59" t="str">
        <f>IFERROR(__xludf.DUMMYFUNCTION("""COMPUTED_VALUE"""),"Expiration Month")</f>
        <v>Expiration Month</v>
      </c>
      <c r="DD5" s="59" t="str">
        <f>IFERROR(__xludf.DUMMYFUNCTION("""COMPUTED_VALUE"""),"Delta Adj. Position (LME)")</f>
        <v>Delta Adj. Position (LME)</v>
      </c>
      <c r="DE5" s="59" t="str">
        <f>IFERROR(__xludf.DUMMYFUNCTION("""COMPUTED_VALUE"""),"Premium")</f>
        <v>Premium</v>
      </c>
      <c r="DF5" s="59" t="str">
        <f>IFERROR(__xludf.DUMMYFUNCTION("""COMPUTED_VALUE"""),"Premium $")</f>
        <v>Premium $</v>
      </c>
      <c r="DG5" s="59" t="str">
        <f>IFERROR(__xludf.DUMMYFUNCTION("""COMPUTED_VALUE"""),"Forward Points")</f>
        <v>Forward Points</v>
      </c>
      <c r="DH5" s="59" t="str">
        <f>IFERROR(__xludf.DUMMYFUNCTION("""COMPUTED_VALUE"""),"Closing Mark (Underlying)")</f>
        <v>Closing Mark (Underlying)</v>
      </c>
      <c r="DI5" s="59" t="str">
        <f>IFERROR(__xludf.DUMMYFUNCTION("""COMPUTED_VALUE"""),"% Change (Underlying Price)")</f>
        <v>% Change (Underlying Price)</v>
      </c>
      <c r="DJ5" s="59" t="str">
        <f>IFERROR(__xludf.DUMMYFUNCTION("""COMPUTED_VALUE"""),"Transaction Type")</f>
        <v>Transaction Type</v>
      </c>
      <c r="DK5" s="59" t="str">
        <f>IFERROR(__xludf.DUMMYFUNCTION("""COMPUTED_VALUE"""),"Closing Market Value (Local)")</f>
        <v>Closing Market Value (Local)</v>
      </c>
      <c r="DL5" s="59" t="str">
        <f>IFERROR(__xludf.DUMMYFUNCTION("""COMPUTED_VALUE"""),"Closing Market Value (Base)")</f>
        <v>Closing Market Value (Base)</v>
      </c>
      <c r="DM5" s="59" t="str">
        <f>IFERROR(__xludf.DUMMYFUNCTION("""COMPUTED_VALUE"""),"Closing FX Rate")</f>
        <v>Closing FX Rate</v>
      </c>
      <c r="DN5" s="59" t="str">
        <f>IFERROR(__xludf.DUMMYFUNCTION("""COMPUTED_VALUE"""),"Change In Underlying Price")</f>
        <v>Change In Underlying Price</v>
      </c>
      <c r="DO5" s="59" t="str">
        <f>IFERROR(__xludf.DUMMYFUNCTION("""COMPUTED_VALUE"""),"RIC")</f>
        <v>RIC</v>
      </c>
      <c r="DP5" s="59" t="str">
        <f>IFERROR(__xludf.DUMMYFUNCTION("""COMPUTED_VALUE"""),"Position Side Exposure (Boxed)")</f>
        <v>Position Side Exposure (Boxed)</v>
      </c>
      <c r="DQ5" s="59" t="str">
        <f>IFERROR(__xludf.DUMMYFUNCTION("""COMPUTED_VALUE"""),"Analyst")</f>
        <v>Analyst</v>
      </c>
      <c r="DR5" s="59" t="str">
        <f>IFERROR(__xludf.DUMMYFUNCTION("""COMPUTED_VALUE"""),"Country Of Risk")</f>
        <v>Country Of Risk</v>
      </c>
      <c r="DS5" s="59" t="str">
        <f>IFERROR(__xludf.DUMMYFUNCTION("""COMPUTED_VALUE"""),"Custom UDA1")</f>
        <v>Custom UDA1</v>
      </c>
      <c r="DT5" s="59" t="str">
        <f>IFERROR(__xludf.DUMMYFUNCTION("""COMPUTED_VALUE"""),"Custom UDA2")</f>
        <v>Custom UDA2</v>
      </c>
      <c r="DU5" s="59" t="str">
        <f>IFERROR(__xludf.DUMMYFUNCTION("""COMPUTED_VALUE"""),"Custom UDA3")</f>
        <v>Custom UDA3</v>
      </c>
      <c r="DV5" s="59" t="str">
        <f>IFERROR(__xludf.DUMMYFUNCTION("""COMPUTED_VALUE"""),"Custom UDA4")</f>
        <v>Custom UDA4</v>
      </c>
      <c r="DW5" s="59" t="str">
        <f>IFERROR(__xludf.DUMMYFUNCTION("""COMPUTED_VALUE"""),"Custom UDA5")</f>
        <v>Custom UDA5</v>
      </c>
      <c r="DX5" s="59" t="str">
        <f>IFERROR(__xludf.DUMMYFUNCTION("""COMPUTED_VALUE"""),"Custom UDA6")</f>
        <v>Custom UDA6</v>
      </c>
      <c r="DY5" s="59" t="str">
        <f>IFERROR(__xludf.DUMMYFUNCTION("""COMPUTED_VALUE"""),"Custom UDA7")</f>
        <v>Custom UDA7</v>
      </c>
      <c r="DZ5" s="59" t="str">
        <f>IFERROR(__xludf.DUMMYFUNCTION("""COMPUTED_VALUE"""),"Issuer")</f>
        <v>Issuer</v>
      </c>
      <c r="EA5" s="59" t="str">
        <f>IFERROR(__xludf.DUMMYFUNCTION("""COMPUTED_VALUE"""),"Liquid Tag")</f>
        <v>Liquid Tag</v>
      </c>
      <c r="EB5" s="59" t="str">
        <f>IFERROR(__xludf.DUMMYFUNCTION("""COMPUTED_VALUE"""),"Market Cap UDA")</f>
        <v>Market Cap UDA</v>
      </c>
      <c r="EC5" s="59" t="str">
        <f>IFERROR(__xludf.DUMMYFUNCTION("""COMPUTED_VALUE"""),"Region")</f>
        <v>Region</v>
      </c>
      <c r="ED5" s="59" t="str">
        <f>IFERROR(__xludf.DUMMYFUNCTION("""COMPUTED_VALUE"""),"Risk Currency")</f>
        <v>Risk Currency</v>
      </c>
      <c r="EE5" s="59" t="str">
        <f>IFERROR(__xludf.DUMMYFUNCTION("""COMPUTED_VALUE"""),"UCITS Eligible Tag")</f>
        <v>UCITS Eligible Tag</v>
      </c>
      <c r="EF5" s="59" t="str">
        <f>IFERROR(__xludf.DUMMYFUNCTION("""COMPUTED_VALUE"""),"FX Rate (Display)")</f>
        <v>FX Rate (Display)</v>
      </c>
      <c r="EG5" s="59" t="str">
        <f>IFERROR(__xludf.DUMMYFUNCTION("""COMPUTED_VALUE"""),"% Net Exposure (Base)")</f>
        <v>% Net Exposure (Base)</v>
      </c>
      <c r="EH5" s="59" t="str">
        <f>IFERROR(__xludf.DUMMYFUNCTION("""COMPUTED_VALUE"""),"% Gross Exposure (Base)")</f>
        <v>% Gross Exposure (Base)</v>
      </c>
      <c r="EI5" s="59" t="str">
        <f>IFERROR(__xludf.DUMMYFUNCTION("""COMPUTED_VALUE"""),"% Exposure (Base)")</f>
        <v>% Exposure (Base)</v>
      </c>
      <c r="EJ5" s="59" t="str">
        <f>IFERROR(__xludf.DUMMYFUNCTION("""COMPUTED_VALUE"""),"% Gross Exposure (Underlying) (Base)")</f>
        <v>% Gross Exposure (Underlying) (Base)</v>
      </c>
      <c r="EK5" s="59" t="str">
        <f>IFERROR(__xludf.DUMMYFUNCTION("""COMPUTED_VALUE"""),"% Beta Adj. Gross Exposure (Base)")</f>
        <v>% Beta Adj. Gross Exposure (Base)</v>
      </c>
      <c r="EL5" s="59" t="str">
        <f>IFERROR(__xludf.DUMMYFUNCTION("""COMPUTED_VALUE"""),"Position Side Exposure (Underlying)")</f>
        <v>Position Side Exposure (Underlying)</v>
      </c>
      <c r="EM5" s="59" t="str">
        <f>IFERROR(__xludf.DUMMYFUNCTION("""COMPUTED_VALUE"""),"Gross Exposure (Underlying) (Base)")</f>
        <v>Gross Exposure (Underlying) (Base)</v>
      </c>
      <c r="EN5" s="59" t="str">
        <f>IFERROR(__xludf.DUMMYFUNCTION("""COMPUTED_VALUE"""),"Gross Exposure (Underlying)")</f>
        <v>Gross Exposure (Underlying)</v>
      </c>
      <c r="EO5" s="59" t="str">
        <f>IFERROR(__xludf.DUMMYFUNCTION("""COMPUTED_VALUE"""),"Day Return")</f>
        <v>Day Return</v>
      </c>
      <c r="EP5" s="59" t="str">
        <f>IFERROR(__xludf.DUMMYFUNCTION("""COMPUTED_VALUE"""),"Start of Day NAV")</f>
        <v>Start of Day NAV</v>
      </c>
      <c r="EQ5" s="59" t="str">
        <f>IFERROR(__xludf.DUMMYFUNCTION("""COMPUTED_VALUE"""),"% Gross Market Value (Base)")</f>
        <v>% Gross Market Value (Base)</v>
      </c>
      <c r="ER5" s="59" t="str">
        <f>IFERROR(__xludf.DUMMYFUNCTION("""COMPUTED_VALUE"""),"Beta Adj. Gross Exposure (Underlying) (Local)")</f>
        <v>Beta Adj. Gross Exposure (Underlying) (Local)</v>
      </c>
      <c r="ES5" s="59" t="str">
        <f>IFERROR(__xludf.DUMMYFUNCTION("""COMPUTED_VALUE"""),"NAV")</f>
        <v>NAV</v>
      </c>
      <c r="ET5" s="59" t="str">
        <f>IFERROR(__xludf.DUMMYFUNCTION("""COMPUTED_VALUE"""),"% P&amp;L Contribution")</f>
        <v>% P&amp;L Contribution</v>
      </c>
      <c r="EU5" s="59" t="str">
        <f>IFERROR(__xludf.DUMMYFUNCTION("""COMPUTED_VALUE"""),"% Net Market Value (Base)")</f>
        <v>% Net Market Value (Base)</v>
      </c>
      <c r="EV5" s="59" t="str">
        <f>IFERROR(__xludf.DUMMYFUNCTION("""COMPUTED_VALUE"""),"Position Side Exposure")</f>
        <v>Position Side Exposure</v>
      </c>
      <c r="EW5" s="59" t="str">
        <f>IFERROR(__xludf.DUMMYFUNCTION("""COMPUTED_VALUE"""),"NAV (Touch)")</f>
        <v>NAV (Touch)</v>
      </c>
      <c r="EX5" s="59" t="str">
        <f>IFERROR(__xludf.DUMMYFUNCTION("""COMPUTED_VALUE"""),"IgnorePropertyChangeEvents")</f>
        <v>IgnorePropertyChangeEvents</v>
      </c>
      <c r="EY5" s="59" t="str">
        <f>IFERROR(__xludf.DUMMYFUNCTION("""COMPUTED_VALUE"""),"Trade Attribute 1")</f>
        <v>Trade Attribute 1</v>
      </c>
      <c r="EZ5" s="59" t="str">
        <f>IFERROR(__xludf.DUMMYFUNCTION("""COMPUTED_VALUE"""),"Trade Attribute 2")</f>
        <v>Trade Attribute 2</v>
      </c>
      <c r="FA5" s="59" t="str">
        <f>IFERROR(__xludf.DUMMYFUNCTION("""COMPUTED_VALUE"""),"")</f>
        <v/>
      </c>
      <c r="FB5" s="59" t="str">
        <f>IFERROR(__xludf.DUMMYFUNCTION("""COMPUTED_VALUE"""),"")</f>
        <v/>
      </c>
      <c r="FC5" s="59" t="str">
        <f>IFERROR(__xludf.DUMMYFUNCTION("""COMPUTED_VALUE"""),"")</f>
        <v/>
      </c>
      <c r="FD5" s="59" t="str">
        <f>IFERROR(__xludf.DUMMYFUNCTION("""COMPUTED_VALUE"""),"")</f>
        <v/>
      </c>
      <c r="FE5" s="59" t="str">
        <f>IFERROR(__xludf.DUMMYFUNCTION("""COMPUTED_VALUE"""),"")</f>
        <v/>
      </c>
      <c r="FF5" s="59" t="str">
        <f>IFERROR(__xludf.DUMMYFUNCTION("""COMPUTED_VALUE"""),"")</f>
        <v/>
      </c>
      <c r="FG5" s="59" t="str">
        <f>IFERROR(__xludf.DUMMYFUNCTION("""COMPUTED_VALUE"""),"")</f>
        <v/>
      </c>
      <c r="FH5" s="59" t="str">
        <f>IFERROR(__xludf.DUMMYFUNCTION("""COMPUTED_VALUE"""),"")</f>
        <v/>
      </c>
      <c r="FI5" s="59" t="str">
        <f>IFERROR(__xludf.DUMMYFUNCTION("""COMPUTED_VALUE"""),"")</f>
        <v/>
      </c>
      <c r="FJ5" s="59" t="str">
        <f>IFERROR(__xludf.DUMMYFUNCTION("""COMPUTED_VALUE"""),"")</f>
        <v/>
      </c>
    </row>
    <row r="6" ht="15.75" customHeight="1">
      <c r="A6" s="60"/>
      <c r="B6" s="60"/>
      <c r="C6" s="61" t="s">
        <v>18</v>
      </c>
      <c r="D6" s="62">
        <v>100.0</v>
      </c>
      <c r="E6" s="61" t="s">
        <v>20</v>
      </c>
      <c r="F6" s="61" t="s">
        <v>33</v>
      </c>
      <c r="G6" s="62">
        <v>5.0</v>
      </c>
      <c r="H6" s="61" t="s">
        <v>37</v>
      </c>
      <c r="I6" s="63">
        <v>1019.11</v>
      </c>
      <c r="J6" s="62">
        <v>100.0</v>
      </c>
      <c r="K6" s="63">
        <v>1019.11</v>
      </c>
      <c r="L6" s="63">
        <v>1019.11</v>
      </c>
      <c r="M6" s="63">
        <v>510.2</v>
      </c>
      <c r="N6" s="63">
        <v>1019.11</v>
      </c>
      <c r="O6" s="61" t="s">
        <v>18</v>
      </c>
      <c r="P6" s="62">
        <v>6.0</v>
      </c>
      <c r="Q6" s="63">
        <v>382.17</v>
      </c>
      <c r="R6" s="61" t="s">
        <v>38</v>
      </c>
      <c r="S6" s="61" t="s">
        <v>39</v>
      </c>
      <c r="T6" s="61" t="s">
        <v>40</v>
      </c>
      <c r="U6" s="61" t="s">
        <v>41</v>
      </c>
      <c r="V6" s="61" t="s">
        <v>42</v>
      </c>
      <c r="W6" s="61" t="s">
        <v>43</v>
      </c>
      <c r="X6" s="62">
        <v>10.0</v>
      </c>
      <c r="Y6" s="62"/>
      <c r="Z6" s="61" t="s">
        <v>44</v>
      </c>
      <c r="AA6" s="61" t="s">
        <v>44</v>
      </c>
      <c r="AB6" s="62">
        <v>0.0</v>
      </c>
      <c r="AC6" s="63">
        <v>33.33</v>
      </c>
      <c r="AD6" s="62">
        <v>8000.0</v>
      </c>
      <c r="AE6" s="62">
        <v>8000.0</v>
      </c>
      <c r="AF6" s="62">
        <v>100.0</v>
      </c>
      <c r="AG6" s="63">
        <v>1019.11</v>
      </c>
      <c r="AH6" s="62">
        <v>8000.0</v>
      </c>
      <c r="AI6" s="63">
        <v>1019.11</v>
      </c>
      <c r="AJ6" s="63">
        <v>2657.04</v>
      </c>
      <c r="AK6" s="62">
        <v>2000.0</v>
      </c>
      <c r="AL6" s="62">
        <v>1.0</v>
      </c>
      <c r="AM6" s="62">
        <v>1.0</v>
      </c>
      <c r="AN6" s="61" t="s">
        <v>19</v>
      </c>
      <c r="AO6" s="61" t="s">
        <v>44</v>
      </c>
      <c r="AP6" s="61" t="s">
        <v>37</v>
      </c>
      <c r="AQ6" s="61" t="s">
        <v>18</v>
      </c>
      <c r="AR6" s="62">
        <v>8.0</v>
      </c>
      <c r="AS6" s="62">
        <v>1.0</v>
      </c>
      <c r="AT6" s="61" t="s">
        <v>45</v>
      </c>
      <c r="AU6" s="61" t="s">
        <v>46</v>
      </c>
      <c r="AV6" s="62"/>
      <c r="AW6" s="62">
        <v>3000.0</v>
      </c>
      <c r="AX6" s="62">
        <v>0.0</v>
      </c>
      <c r="AY6" s="62">
        <v>0.0</v>
      </c>
      <c r="AZ6" s="62">
        <v>2000.0</v>
      </c>
      <c r="BA6" s="62">
        <v>160.0</v>
      </c>
      <c r="BB6" s="61"/>
      <c r="BC6" s="62">
        <v>1.0</v>
      </c>
      <c r="BD6" s="62">
        <v>0.0</v>
      </c>
      <c r="BE6" s="61" t="s">
        <v>40</v>
      </c>
      <c r="BF6" s="61" t="s">
        <v>47</v>
      </c>
      <c r="BG6" s="61" t="s">
        <v>47</v>
      </c>
      <c r="BH6" s="61" t="s">
        <v>47</v>
      </c>
      <c r="BI6" s="61" t="s">
        <v>47</v>
      </c>
      <c r="BJ6" s="62">
        <v>0.0</v>
      </c>
      <c r="BK6" s="62">
        <v>0.0</v>
      </c>
      <c r="BL6" s="62">
        <v>0.0</v>
      </c>
      <c r="BM6" s="62">
        <v>0.0</v>
      </c>
      <c r="BN6" s="61"/>
      <c r="BO6" s="62">
        <v>0.0</v>
      </c>
      <c r="BP6" s="62">
        <v>0.0</v>
      </c>
      <c r="BQ6" s="61" t="s">
        <v>48</v>
      </c>
      <c r="BR6" s="61" t="s">
        <v>21</v>
      </c>
      <c r="BS6" s="62">
        <v>0.0</v>
      </c>
      <c r="BT6" s="62">
        <v>0.0</v>
      </c>
      <c r="BU6" s="61" t="s">
        <v>40</v>
      </c>
      <c r="BV6" s="61"/>
      <c r="BW6" s="62">
        <v>0.0</v>
      </c>
      <c r="BX6" s="63">
        <v>1019.11</v>
      </c>
      <c r="BY6" s="63">
        <v>1019.11</v>
      </c>
      <c r="BZ6" s="62">
        <v>8.0</v>
      </c>
      <c r="CA6" s="63">
        <v>1.02</v>
      </c>
      <c r="CB6" s="61"/>
      <c r="CC6" s="62">
        <v>0.0</v>
      </c>
      <c r="CD6" s="63">
        <v>254.78</v>
      </c>
      <c r="CE6" s="63">
        <v>764.33</v>
      </c>
      <c r="CF6" s="62">
        <v>0.0</v>
      </c>
      <c r="CG6" s="63">
        <v>382.17</v>
      </c>
      <c r="CH6" s="62">
        <v>60.0</v>
      </c>
      <c r="CI6" s="62">
        <v>0.0</v>
      </c>
      <c r="CJ6" s="62">
        <v>0.0</v>
      </c>
      <c r="CK6" s="64" t="b">
        <v>0</v>
      </c>
      <c r="CL6" s="61" t="s">
        <v>44</v>
      </c>
      <c r="CM6" s="61" t="s">
        <v>44</v>
      </c>
      <c r="CN6" s="61" t="s">
        <v>44</v>
      </c>
      <c r="CO6" s="61" t="s">
        <v>44</v>
      </c>
      <c r="CP6" s="61" t="s">
        <v>44</v>
      </c>
      <c r="CQ6" s="61" t="s">
        <v>44</v>
      </c>
      <c r="CR6" s="62"/>
      <c r="CS6" s="62">
        <v>5.0</v>
      </c>
      <c r="CT6" s="61" t="s">
        <v>44</v>
      </c>
      <c r="CU6" s="61" t="s">
        <v>44</v>
      </c>
      <c r="CV6" s="61" t="s">
        <v>44</v>
      </c>
      <c r="CW6" s="61" t="s">
        <v>44</v>
      </c>
      <c r="CX6" s="61" t="s">
        <v>44</v>
      </c>
      <c r="CY6" s="61" t="s">
        <v>49</v>
      </c>
      <c r="CZ6" s="61" t="s">
        <v>50</v>
      </c>
      <c r="DA6" s="62">
        <v>8000.0</v>
      </c>
      <c r="DB6" s="62">
        <v>100.0</v>
      </c>
      <c r="DC6" s="62"/>
      <c r="DD6" s="62">
        <v>100.0</v>
      </c>
      <c r="DE6" s="62">
        <v>0.0</v>
      </c>
      <c r="DF6" s="62">
        <v>0.0</v>
      </c>
      <c r="DG6" s="62">
        <v>0.0</v>
      </c>
      <c r="DH6" s="62">
        <v>6.0</v>
      </c>
      <c r="DI6" s="63">
        <v>33.33</v>
      </c>
      <c r="DJ6" s="61" t="s">
        <v>19</v>
      </c>
      <c r="DK6" s="62">
        <v>0.0</v>
      </c>
      <c r="DL6" s="62">
        <v>0.0</v>
      </c>
      <c r="DM6" s="62">
        <v>0.0</v>
      </c>
      <c r="DN6" s="62">
        <v>2.0</v>
      </c>
      <c r="DO6" s="61" t="s">
        <v>44</v>
      </c>
      <c r="DP6" s="61" t="s">
        <v>37</v>
      </c>
      <c r="DQ6" s="61" t="s">
        <v>47</v>
      </c>
      <c r="DR6" s="61" t="s">
        <v>51</v>
      </c>
      <c r="DS6" s="61" t="s">
        <v>47</v>
      </c>
      <c r="DT6" s="61" t="s">
        <v>47</v>
      </c>
      <c r="DU6" s="61" t="s">
        <v>47</v>
      </c>
      <c r="DV6" s="61" t="s">
        <v>47</v>
      </c>
      <c r="DW6" s="61" t="s">
        <v>47</v>
      </c>
      <c r="DX6" s="61" t="s">
        <v>47</v>
      </c>
      <c r="DY6" s="61" t="s">
        <v>47</v>
      </c>
      <c r="DZ6" s="61" t="s">
        <v>18</v>
      </c>
      <c r="EA6" s="61" t="s">
        <v>52</v>
      </c>
      <c r="EB6" s="61" t="s">
        <v>47</v>
      </c>
      <c r="EC6" s="61" t="s">
        <v>47</v>
      </c>
      <c r="ED6" s="61" t="s">
        <v>43</v>
      </c>
      <c r="EE6" s="61" t="s">
        <v>52</v>
      </c>
      <c r="EF6" s="62">
        <v>7.85</v>
      </c>
      <c r="EG6" s="63">
        <v>26.57</v>
      </c>
      <c r="EH6" s="63">
        <v>26.57</v>
      </c>
      <c r="EI6" s="63">
        <v>26.57</v>
      </c>
      <c r="EJ6" s="63">
        <v>13.3</v>
      </c>
      <c r="EK6" s="63">
        <v>13.3</v>
      </c>
      <c r="EL6" s="61" t="s">
        <v>37</v>
      </c>
      <c r="EM6" s="63">
        <v>510.2</v>
      </c>
      <c r="EN6" s="62">
        <v>4000.0</v>
      </c>
      <c r="EO6" s="62">
        <v>0.0</v>
      </c>
      <c r="EP6" s="62">
        <v>-20.0</v>
      </c>
      <c r="EQ6" s="63">
        <v>26.57</v>
      </c>
      <c r="ER6" s="62">
        <v>4000.0</v>
      </c>
      <c r="ES6" s="63">
        <v>3835.5</v>
      </c>
      <c r="ET6" s="63">
        <v>26.57</v>
      </c>
      <c r="EU6" s="63">
        <v>26.57</v>
      </c>
      <c r="EV6" s="61" t="s">
        <v>37</v>
      </c>
      <c r="EW6" s="63">
        <v>3835.5</v>
      </c>
      <c r="EX6" s="64" t="b">
        <v>0</v>
      </c>
      <c r="EY6" s="61" t="s">
        <v>44</v>
      </c>
      <c r="EZ6" s="61" t="s">
        <v>44</v>
      </c>
      <c r="FA6" s="48"/>
      <c r="FB6" s="48"/>
      <c r="FC6" s="48"/>
      <c r="FD6" s="48"/>
      <c r="FE6" s="48"/>
      <c r="FF6" s="48"/>
      <c r="FG6" s="48"/>
      <c r="FH6" s="48"/>
      <c r="FI6" s="48"/>
      <c r="FJ6" s="48"/>
    </row>
    <row r="7" ht="15.75" customHeight="1">
      <c r="A7" s="46"/>
      <c r="B7" s="46"/>
      <c r="C7" s="61" t="s">
        <v>23</v>
      </c>
      <c r="D7" s="62">
        <v>100.0</v>
      </c>
      <c r="E7" s="61" t="s">
        <v>20</v>
      </c>
      <c r="F7" s="61" t="s">
        <v>33</v>
      </c>
      <c r="G7" s="62">
        <v>33.0</v>
      </c>
      <c r="H7" s="61" t="s">
        <v>37</v>
      </c>
      <c r="I7" s="62">
        <v>2000.0</v>
      </c>
      <c r="J7" s="62">
        <v>100.0</v>
      </c>
      <c r="K7" s="62">
        <v>62000.0</v>
      </c>
      <c r="L7" s="62">
        <v>62000.0</v>
      </c>
      <c r="M7" s="62">
        <v>34100.0</v>
      </c>
      <c r="N7" s="62">
        <v>2000.0</v>
      </c>
      <c r="O7" s="61" t="s">
        <v>23</v>
      </c>
      <c r="P7" s="62">
        <v>30.0</v>
      </c>
      <c r="Q7" s="62">
        <v>-4000.0</v>
      </c>
      <c r="R7" s="61" t="s">
        <v>38</v>
      </c>
      <c r="S7" s="61" t="s">
        <v>39</v>
      </c>
      <c r="T7" s="61" t="s">
        <v>40</v>
      </c>
      <c r="U7" s="61" t="s">
        <v>53</v>
      </c>
      <c r="V7" s="61" t="s">
        <v>54</v>
      </c>
      <c r="W7" s="61" t="s">
        <v>29</v>
      </c>
      <c r="X7" s="62">
        <v>20.0</v>
      </c>
      <c r="Y7" s="62"/>
      <c r="Z7" s="61" t="s">
        <v>44</v>
      </c>
      <c r="AA7" s="61" t="s">
        <v>44</v>
      </c>
      <c r="AB7" s="62">
        <v>0.0</v>
      </c>
      <c r="AC7" s="63">
        <v>3.33</v>
      </c>
      <c r="AD7" s="62">
        <v>62000.0</v>
      </c>
      <c r="AE7" s="62">
        <v>62000.0</v>
      </c>
      <c r="AF7" s="62">
        <v>100.0</v>
      </c>
      <c r="AG7" s="62">
        <v>62000.0</v>
      </c>
      <c r="AH7" s="62">
        <v>62000.0</v>
      </c>
      <c r="AI7" s="62">
        <v>62000.0</v>
      </c>
      <c r="AJ7" s="63">
        <v>161647.97</v>
      </c>
      <c r="AK7" s="62">
        <v>2000.0</v>
      </c>
      <c r="AL7" s="62">
        <v>1.0</v>
      </c>
      <c r="AM7" s="62">
        <v>1.0</v>
      </c>
      <c r="AN7" s="61" t="s">
        <v>19</v>
      </c>
      <c r="AO7" s="61" t="s">
        <v>44</v>
      </c>
      <c r="AP7" s="61" t="s">
        <v>37</v>
      </c>
      <c r="AQ7" s="61" t="s">
        <v>23</v>
      </c>
      <c r="AR7" s="62">
        <v>31.0</v>
      </c>
      <c r="AS7" s="62">
        <v>1.0</v>
      </c>
      <c r="AT7" s="61" t="s">
        <v>45</v>
      </c>
      <c r="AU7" s="61" t="s">
        <v>46</v>
      </c>
      <c r="AV7" s="62"/>
      <c r="AW7" s="62">
        <v>-4000.0</v>
      </c>
      <c r="AX7" s="62">
        <v>0.0</v>
      </c>
      <c r="AY7" s="62">
        <v>0.0</v>
      </c>
      <c r="AZ7" s="62">
        <v>2000.0</v>
      </c>
      <c r="BA7" s="63">
        <v>3.03</v>
      </c>
      <c r="BB7" s="61"/>
      <c r="BC7" s="62">
        <v>1.0</v>
      </c>
      <c r="BD7" s="62">
        <v>0.0</v>
      </c>
      <c r="BE7" s="61" t="s">
        <v>40</v>
      </c>
      <c r="BF7" s="61" t="s">
        <v>47</v>
      </c>
      <c r="BG7" s="61" t="s">
        <v>47</v>
      </c>
      <c r="BH7" s="61" t="s">
        <v>47</v>
      </c>
      <c r="BI7" s="61" t="s">
        <v>47</v>
      </c>
      <c r="BJ7" s="62">
        <v>0.0</v>
      </c>
      <c r="BK7" s="62">
        <v>0.0</v>
      </c>
      <c r="BL7" s="62">
        <v>0.0</v>
      </c>
      <c r="BM7" s="62">
        <v>0.0</v>
      </c>
      <c r="BN7" s="61"/>
      <c r="BO7" s="62">
        <v>0.0</v>
      </c>
      <c r="BP7" s="62">
        <v>0.0</v>
      </c>
      <c r="BQ7" s="61" t="s">
        <v>48</v>
      </c>
      <c r="BR7" s="61" t="s">
        <v>21</v>
      </c>
      <c r="BS7" s="62">
        <v>0.0</v>
      </c>
      <c r="BT7" s="62">
        <v>0.0</v>
      </c>
      <c r="BU7" s="61" t="s">
        <v>40</v>
      </c>
      <c r="BV7" s="61"/>
      <c r="BW7" s="62">
        <v>0.0</v>
      </c>
      <c r="BX7" s="62">
        <v>62000.0</v>
      </c>
      <c r="BY7" s="62">
        <v>2000.0</v>
      </c>
      <c r="BZ7" s="62">
        <v>31.0</v>
      </c>
      <c r="CA7" s="62">
        <v>31.0</v>
      </c>
      <c r="CB7" s="61"/>
      <c r="CC7" s="62">
        <v>0.0</v>
      </c>
      <c r="CD7" s="62">
        <v>2000.0</v>
      </c>
      <c r="CE7" s="62">
        <v>0.0</v>
      </c>
      <c r="CF7" s="62">
        <v>0.0</v>
      </c>
      <c r="CG7" s="62">
        <v>-4000.0</v>
      </c>
      <c r="CH7" s="63">
        <v>-6.06</v>
      </c>
      <c r="CI7" s="62">
        <v>0.0</v>
      </c>
      <c r="CJ7" s="62">
        <v>0.0</v>
      </c>
      <c r="CK7" s="64" t="b">
        <v>0</v>
      </c>
      <c r="CL7" s="61" t="s">
        <v>44</v>
      </c>
      <c r="CM7" s="61" t="s">
        <v>44</v>
      </c>
      <c r="CN7" s="61" t="s">
        <v>44</v>
      </c>
      <c r="CO7" s="61" t="s">
        <v>44</v>
      </c>
      <c r="CP7" s="61" t="s">
        <v>44</v>
      </c>
      <c r="CQ7" s="61" t="s">
        <v>44</v>
      </c>
      <c r="CR7" s="62"/>
      <c r="CS7" s="62">
        <v>33.0</v>
      </c>
      <c r="CT7" s="61" t="s">
        <v>44</v>
      </c>
      <c r="CU7" s="61" t="s">
        <v>44</v>
      </c>
      <c r="CV7" s="61" t="s">
        <v>44</v>
      </c>
      <c r="CW7" s="61" t="s">
        <v>44</v>
      </c>
      <c r="CX7" s="61" t="s">
        <v>44</v>
      </c>
      <c r="CY7" s="61" t="s">
        <v>49</v>
      </c>
      <c r="CZ7" s="61" t="s">
        <v>50</v>
      </c>
      <c r="DA7" s="62">
        <v>62000.0</v>
      </c>
      <c r="DB7" s="62">
        <v>100.0</v>
      </c>
      <c r="DC7" s="62"/>
      <c r="DD7" s="62">
        <v>100.0</v>
      </c>
      <c r="DE7" s="62">
        <v>0.0</v>
      </c>
      <c r="DF7" s="62">
        <v>0.0</v>
      </c>
      <c r="DG7" s="62">
        <v>0.0</v>
      </c>
      <c r="DH7" s="62">
        <v>30.0</v>
      </c>
      <c r="DI7" s="63">
        <v>3.33</v>
      </c>
      <c r="DJ7" s="61" t="s">
        <v>19</v>
      </c>
      <c r="DK7" s="62">
        <v>0.0</v>
      </c>
      <c r="DL7" s="62">
        <v>0.0</v>
      </c>
      <c r="DM7" s="62">
        <v>1.0</v>
      </c>
      <c r="DN7" s="62">
        <v>1.0</v>
      </c>
      <c r="DO7" s="61" t="s">
        <v>44</v>
      </c>
      <c r="DP7" s="61" t="s">
        <v>37</v>
      </c>
      <c r="DQ7" s="61" t="s">
        <v>55</v>
      </c>
      <c r="DR7" s="61" t="s">
        <v>55</v>
      </c>
      <c r="DS7" s="61" t="s">
        <v>55</v>
      </c>
      <c r="DT7" s="61" t="s">
        <v>55</v>
      </c>
      <c r="DU7" s="61" t="s">
        <v>55</v>
      </c>
      <c r="DV7" s="61" t="s">
        <v>55</v>
      </c>
      <c r="DW7" s="61" t="s">
        <v>55</v>
      </c>
      <c r="DX7" s="61" t="s">
        <v>55</v>
      </c>
      <c r="DY7" s="61" t="s">
        <v>55</v>
      </c>
      <c r="DZ7" s="61" t="s">
        <v>23</v>
      </c>
      <c r="EA7" s="61" t="s">
        <v>55</v>
      </c>
      <c r="EB7" s="61" t="s">
        <v>55</v>
      </c>
      <c r="EC7" s="61" t="s">
        <v>55</v>
      </c>
      <c r="ED7" s="61" t="s">
        <v>29</v>
      </c>
      <c r="EE7" s="61" t="s">
        <v>55</v>
      </c>
      <c r="EF7" s="62">
        <v>0.0</v>
      </c>
      <c r="EG7" s="63">
        <v>1616.48</v>
      </c>
      <c r="EH7" s="63">
        <v>1616.48</v>
      </c>
      <c r="EI7" s="63">
        <v>1616.48</v>
      </c>
      <c r="EJ7" s="63">
        <v>889.06</v>
      </c>
      <c r="EK7" s="63">
        <v>889.06</v>
      </c>
      <c r="EL7" s="61" t="s">
        <v>37</v>
      </c>
      <c r="EM7" s="62">
        <v>34100.0</v>
      </c>
      <c r="EN7" s="62">
        <v>34100.0</v>
      </c>
      <c r="EO7" s="62">
        <v>0.0</v>
      </c>
      <c r="EP7" s="62">
        <v>-20.0</v>
      </c>
      <c r="EQ7" s="63">
        <v>52.14</v>
      </c>
      <c r="ER7" s="62">
        <v>34100.0</v>
      </c>
      <c r="ES7" s="63">
        <v>3835.5</v>
      </c>
      <c r="ET7" s="63">
        <v>52.14</v>
      </c>
      <c r="EU7" s="63">
        <v>52.14</v>
      </c>
      <c r="EV7" s="61" t="s">
        <v>37</v>
      </c>
      <c r="EW7" s="63">
        <v>3835.5</v>
      </c>
      <c r="EX7" s="64" t="b">
        <v>0</v>
      </c>
      <c r="EY7" s="61" t="s">
        <v>44</v>
      </c>
      <c r="EZ7" s="61" t="s">
        <v>44</v>
      </c>
      <c r="FA7" s="48"/>
      <c r="FB7" s="48"/>
      <c r="FC7" s="48"/>
      <c r="FD7" s="48"/>
      <c r="FE7" s="48"/>
      <c r="FF7" s="48"/>
      <c r="FG7" s="48"/>
      <c r="FH7" s="48"/>
      <c r="FI7" s="48"/>
      <c r="FJ7" s="48"/>
    </row>
    <row r="8" ht="15.75" customHeight="1">
      <c r="A8" s="46"/>
      <c r="B8" s="46"/>
      <c r="C8" s="61" t="s">
        <v>18</v>
      </c>
      <c r="D8" s="62">
        <v>-50.0</v>
      </c>
      <c r="E8" s="61" t="s">
        <v>20</v>
      </c>
      <c r="F8" s="61" t="s">
        <v>33</v>
      </c>
      <c r="G8" s="62">
        <v>7.0</v>
      </c>
      <c r="H8" s="61" t="s">
        <v>37</v>
      </c>
      <c r="I8" s="63">
        <v>-63.61</v>
      </c>
      <c r="J8" s="62">
        <v>-100.0</v>
      </c>
      <c r="K8" s="63">
        <v>-508.91</v>
      </c>
      <c r="L8" s="63">
        <v>508.91</v>
      </c>
      <c r="M8" s="63">
        <v>510.2</v>
      </c>
      <c r="N8" s="63">
        <v>-63.61</v>
      </c>
      <c r="O8" s="61" t="s">
        <v>18</v>
      </c>
      <c r="P8" s="62">
        <v>6.0</v>
      </c>
      <c r="Q8" s="63">
        <v>-63.61</v>
      </c>
      <c r="R8" s="61" t="s">
        <v>38</v>
      </c>
      <c r="S8" s="61" t="s">
        <v>39</v>
      </c>
      <c r="T8" s="61" t="s">
        <v>40</v>
      </c>
      <c r="U8" s="61" t="s">
        <v>41</v>
      </c>
      <c r="V8" s="61" t="s">
        <v>42</v>
      </c>
      <c r="W8" s="61" t="s">
        <v>43</v>
      </c>
      <c r="X8" s="62">
        <v>10.0</v>
      </c>
      <c r="Y8" s="62"/>
      <c r="Z8" s="61" t="s">
        <v>44</v>
      </c>
      <c r="AA8" s="61" t="s">
        <v>44</v>
      </c>
      <c r="AB8" s="62">
        <v>0.0</v>
      </c>
      <c r="AC8" s="63">
        <v>33.33</v>
      </c>
      <c r="AD8" s="62">
        <v>-4000.0</v>
      </c>
      <c r="AE8" s="62">
        <v>-4000.0</v>
      </c>
      <c r="AF8" s="62">
        <v>-50.0</v>
      </c>
      <c r="AG8" s="63">
        <v>-508.91</v>
      </c>
      <c r="AH8" s="62">
        <v>-4000.0</v>
      </c>
      <c r="AI8" s="63">
        <v>-508.91</v>
      </c>
      <c r="AJ8" s="63">
        <v>-1326.83</v>
      </c>
      <c r="AK8" s="62">
        <v>-500.0</v>
      </c>
      <c r="AL8" s="62">
        <v>1.0</v>
      </c>
      <c r="AM8" s="62">
        <v>1.0</v>
      </c>
      <c r="AN8" s="61" t="s">
        <v>34</v>
      </c>
      <c r="AO8" s="61" t="s">
        <v>44</v>
      </c>
      <c r="AP8" s="61" t="s">
        <v>37</v>
      </c>
      <c r="AQ8" s="61" t="s">
        <v>18</v>
      </c>
      <c r="AR8" s="62">
        <v>8.0</v>
      </c>
      <c r="AS8" s="62">
        <v>-1.0</v>
      </c>
      <c r="AT8" s="61" t="s">
        <v>45</v>
      </c>
      <c r="AU8" s="61" t="s">
        <v>46</v>
      </c>
      <c r="AV8" s="62"/>
      <c r="AW8" s="62">
        <v>-500.0</v>
      </c>
      <c r="AX8" s="62">
        <v>0.0</v>
      </c>
      <c r="AY8" s="62">
        <v>0.0</v>
      </c>
      <c r="AZ8" s="62">
        <v>-500.0</v>
      </c>
      <c r="BA8" s="63">
        <v>-114.29</v>
      </c>
      <c r="BB8" s="61"/>
      <c r="BC8" s="62">
        <v>1.0</v>
      </c>
      <c r="BD8" s="62">
        <v>0.0</v>
      </c>
      <c r="BE8" s="61" t="s">
        <v>40</v>
      </c>
      <c r="BF8" s="61" t="s">
        <v>47</v>
      </c>
      <c r="BG8" s="61" t="s">
        <v>47</v>
      </c>
      <c r="BH8" s="61" t="s">
        <v>47</v>
      </c>
      <c r="BI8" s="61" t="s">
        <v>47</v>
      </c>
      <c r="BJ8" s="62">
        <v>0.0</v>
      </c>
      <c r="BK8" s="62">
        <v>0.0</v>
      </c>
      <c r="BL8" s="62">
        <v>0.0</v>
      </c>
      <c r="BM8" s="62">
        <v>0.0</v>
      </c>
      <c r="BN8" s="61"/>
      <c r="BO8" s="62">
        <v>0.0</v>
      </c>
      <c r="BP8" s="62">
        <v>0.0</v>
      </c>
      <c r="BQ8" s="61" t="s">
        <v>48</v>
      </c>
      <c r="BR8" s="61" t="s">
        <v>56</v>
      </c>
      <c r="BS8" s="62">
        <v>0.0</v>
      </c>
      <c r="BT8" s="62">
        <v>0.0</v>
      </c>
      <c r="BU8" s="61" t="s">
        <v>40</v>
      </c>
      <c r="BV8" s="61"/>
      <c r="BW8" s="62">
        <v>0.0</v>
      </c>
      <c r="BX8" s="63">
        <v>508.91</v>
      </c>
      <c r="BY8" s="63">
        <v>63.61</v>
      </c>
      <c r="BZ8" s="62">
        <v>8.0</v>
      </c>
      <c r="CA8" s="63">
        <v>1.02</v>
      </c>
      <c r="CB8" s="61"/>
      <c r="CC8" s="62">
        <v>0.0</v>
      </c>
      <c r="CD8" s="63">
        <v>-63.61</v>
      </c>
      <c r="CE8" s="62">
        <v>0.0</v>
      </c>
      <c r="CF8" s="62">
        <v>0.0</v>
      </c>
      <c r="CG8" s="63">
        <v>-63.61</v>
      </c>
      <c r="CH8" s="63">
        <v>-14.29</v>
      </c>
      <c r="CI8" s="62">
        <v>0.0</v>
      </c>
      <c r="CJ8" s="62">
        <v>0.0</v>
      </c>
      <c r="CK8" s="64" t="b">
        <v>0</v>
      </c>
      <c r="CL8" s="61" t="s">
        <v>44</v>
      </c>
      <c r="CM8" s="61" t="s">
        <v>44</v>
      </c>
      <c r="CN8" s="61" t="s">
        <v>44</v>
      </c>
      <c r="CO8" s="61" t="s">
        <v>44</v>
      </c>
      <c r="CP8" s="61" t="s">
        <v>44</v>
      </c>
      <c r="CQ8" s="61" t="s">
        <v>44</v>
      </c>
      <c r="CR8" s="62"/>
      <c r="CS8" s="62">
        <v>7.0</v>
      </c>
      <c r="CT8" s="61" t="s">
        <v>44</v>
      </c>
      <c r="CU8" s="61" t="s">
        <v>44</v>
      </c>
      <c r="CV8" s="61" t="s">
        <v>44</v>
      </c>
      <c r="CW8" s="61" t="s">
        <v>44</v>
      </c>
      <c r="CX8" s="61" t="s">
        <v>44</v>
      </c>
      <c r="CY8" s="61" t="s">
        <v>49</v>
      </c>
      <c r="CZ8" s="61" t="s">
        <v>50</v>
      </c>
      <c r="DA8" s="62">
        <v>4000.0</v>
      </c>
      <c r="DB8" s="62">
        <v>100.0</v>
      </c>
      <c r="DC8" s="62"/>
      <c r="DD8" s="62">
        <v>-50.0</v>
      </c>
      <c r="DE8" s="62">
        <v>0.0</v>
      </c>
      <c r="DF8" s="62">
        <v>0.0</v>
      </c>
      <c r="DG8" s="62">
        <v>0.0</v>
      </c>
      <c r="DH8" s="62">
        <v>6.0</v>
      </c>
      <c r="DI8" s="63">
        <v>33.33</v>
      </c>
      <c r="DJ8" s="61" t="s">
        <v>34</v>
      </c>
      <c r="DK8" s="62">
        <v>0.0</v>
      </c>
      <c r="DL8" s="62">
        <v>0.0</v>
      </c>
      <c r="DM8" s="62">
        <v>0.0</v>
      </c>
      <c r="DN8" s="62">
        <v>2.0</v>
      </c>
      <c r="DO8" s="61" t="s">
        <v>44</v>
      </c>
      <c r="DP8" s="61" t="s">
        <v>37</v>
      </c>
      <c r="DQ8" s="61" t="s">
        <v>47</v>
      </c>
      <c r="DR8" s="61" t="s">
        <v>51</v>
      </c>
      <c r="DS8" s="61" t="s">
        <v>47</v>
      </c>
      <c r="DT8" s="61" t="s">
        <v>47</v>
      </c>
      <c r="DU8" s="61" t="s">
        <v>47</v>
      </c>
      <c r="DV8" s="61" t="s">
        <v>47</v>
      </c>
      <c r="DW8" s="61" t="s">
        <v>47</v>
      </c>
      <c r="DX8" s="61" t="s">
        <v>47</v>
      </c>
      <c r="DY8" s="61" t="s">
        <v>47</v>
      </c>
      <c r="DZ8" s="61" t="s">
        <v>18</v>
      </c>
      <c r="EA8" s="61" t="s">
        <v>52</v>
      </c>
      <c r="EB8" s="61" t="s">
        <v>47</v>
      </c>
      <c r="EC8" s="61" t="s">
        <v>47</v>
      </c>
      <c r="ED8" s="61" t="s">
        <v>43</v>
      </c>
      <c r="EE8" s="61" t="s">
        <v>52</v>
      </c>
      <c r="EF8" s="62">
        <v>7.86</v>
      </c>
      <c r="EG8" s="63">
        <v>-13.27</v>
      </c>
      <c r="EH8" s="63">
        <v>13.27</v>
      </c>
      <c r="EI8" s="63">
        <v>-13.27</v>
      </c>
      <c r="EJ8" s="63">
        <v>13.3</v>
      </c>
      <c r="EK8" s="63">
        <v>13.3</v>
      </c>
      <c r="EL8" s="61" t="s">
        <v>37</v>
      </c>
      <c r="EM8" s="63">
        <v>510.2</v>
      </c>
      <c r="EN8" s="62">
        <v>4000.0</v>
      </c>
      <c r="EO8" s="62">
        <v>0.0</v>
      </c>
      <c r="EP8" s="62">
        <v>-20.0</v>
      </c>
      <c r="EQ8" s="63">
        <v>1.66</v>
      </c>
      <c r="ER8" s="62">
        <v>4000.0</v>
      </c>
      <c r="ES8" s="63">
        <v>3835.5</v>
      </c>
      <c r="ET8" s="63">
        <v>-1.66</v>
      </c>
      <c r="EU8" s="63">
        <v>-1.66</v>
      </c>
      <c r="EV8" s="61" t="s">
        <v>37</v>
      </c>
      <c r="EW8" s="63">
        <v>3835.5</v>
      </c>
      <c r="EX8" s="64" t="b">
        <v>0</v>
      </c>
      <c r="EY8" s="61" t="s">
        <v>44</v>
      </c>
      <c r="EZ8" s="61" t="s">
        <v>44</v>
      </c>
      <c r="FA8" s="48"/>
      <c r="FB8" s="48"/>
      <c r="FC8" s="48"/>
      <c r="FD8" s="48"/>
      <c r="FE8" s="48"/>
      <c r="FF8" s="48"/>
      <c r="FG8" s="48"/>
      <c r="FH8" s="48"/>
      <c r="FI8" s="48"/>
      <c r="FJ8" s="48"/>
    </row>
    <row r="9" ht="15.75" customHeight="1">
      <c r="A9" s="46"/>
      <c r="B9" s="46"/>
      <c r="C9" s="61" t="s">
        <v>23</v>
      </c>
      <c r="D9" s="62">
        <v>-45.0</v>
      </c>
      <c r="E9" s="61" t="s">
        <v>20</v>
      </c>
      <c r="F9" s="61" t="s">
        <v>33</v>
      </c>
      <c r="G9" s="62">
        <v>32.0</v>
      </c>
      <c r="H9" s="61" t="s">
        <v>37</v>
      </c>
      <c r="I9" s="62">
        <v>900.0</v>
      </c>
      <c r="J9" s="62">
        <v>100.0</v>
      </c>
      <c r="K9" s="62">
        <v>-27900.0</v>
      </c>
      <c r="L9" s="62">
        <v>27900.0</v>
      </c>
      <c r="M9" s="62">
        <v>34100.0</v>
      </c>
      <c r="N9" s="62">
        <v>900.0</v>
      </c>
      <c r="O9" s="61" t="s">
        <v>23</v>
      </c>
      <c r="P9" s="62">
        <v>30.0</v>
      </c>
      <c r="Q9" s="62">
        <v>900.0</v>
      </c>
      <c r="R9" s="61" t="s">
        <v>38</v>
      </c>
      <c r="S9" s="61" t="s">
        <v>39</v>
      </c>
      <c r="T9" s="61" t="s">
        <v>40</v>
      </c>
      <c r="U9" s="61" t="s">
        <v>53</v>
      </c>
      <c r="V9" s="61" t="s">
        <v>54</v>
      </c>
      <c r="W9" s="61" t="s">
        <v>29</v>
      </c>
      <c r="X9" s="62">
        <v>20.0</v>
      </c>
      <c r="Y9" s="62"/>
      <c r="Z9" s="61" t="s">
        <v>44</v>
      </c>
      <c r="AA9" s="61" t="s">
        <v>44</v>
      </c>
      <c r="AB9" s="62">
        <v>0.0</v>
      </c>
      <c r="AC9" s="63">
        <v>3.33</v>
      </c>
      <c r="AD9" s="62">
        <v>-27900.0</v>
      </c>
      <c r="AE9" s="62">
        <v>-27900.0</v>
      </c>
      <c r="AF9" s="62">
        <v>-45.0</v>
      </c>
      <c r="AG9" s="62">
        <v>-27900.0</v>
      </c>
      <c r="AH9" s="62">
        <v>-27900.0</v>
      </c>
      <c r="AI9" s="62">
        <v>-27900.0</v>
      </c>
      <c r="AJ9" s="63">
        <v>-72741.59</v>
      </c>
      <c r="AK9" s="62">
        <v>900.0</v>
      </c>
      <c r="AL9" s="62">
        <v>1.0</v>
      </c>
      <c r="AM9" s="62">
        <v>1.0</v>
      </c>
      <c r="AN9" s="61" t="s">
        <v>34</v>
      </c>
      <c r="AO9" s="61" t="s">
        <v>44</v>
      </c>
      <c r="AP9" s="61" t="s">
        <v>37</v>
      </c>
      <c r="AQ9" s="61" t="s">
        <v>23</v>
      </c>
      <c r="AR9" s="62">
        <v>31.0</v>
      </c>
      <c r="AS9" s="62">
        <v>-1.0</v>
      </c>
      <c r="AT9" s="61" t="s">
        <v>45</v>
      </c>
      <c r="AU9" s="61" t="s">
        <v>46</v>
      </c>
      <c r="AV9" s="62"/>
      <c r="AW9" s="62">
        <v>900.0</v>
      </c>
      <c r="AX9" s="62">
        <v>0.0</v>
      </c>
      <c r="AY9" s="62">
        <v>0.0</v>
      </c>
      <c r="AZ9" s="62">
        <v>900.0</v>
      </c>
      <c r="BA9" s="63">
        <v>3.13</v>
      </c>
      <c r="BB9" s="61"/>
      <c r="BC9" s="62">
        <v>1.0</v>
      </c>
      <c r="BD9" s="62">
        <v>0.0</v>
      </c>
      <c r="BE9" s="61" t="s">
        <v>40</v>
      </c>
      <c r="BF9" s="61" t="s">
        <v>47</v>
      </c>
      <c r="BG9" s="61" t="s">
        <v>47</v>
      </c>
      <c r="BH9" s="61" t="s">
        <v>47</v>
      </c>
      <c r="BI9" s="61" t="s">
        <v>47</v>
      </c>
      <c r="BJ9" s="62">
        <v>0.0</v>
      </c>
      <c r="BK9" s="62">
        <v>0.0</v>
      </c>
      <c r="BL9" s="62">
        <v>0.0</v>
      </c>
      <c r="BM9" s="62">
        <v>0.0</v>
      </c>
      <c r="BN9" s="61"/>
      <c r="BO9" s="62">
        <v>0.0</v>
      </c>
      <c r="BP9" s="62">
        <v>0.0</v>
      </c>
      <c r="BQ9" s="61" t="s">
        <v>48</v>
      </c>
      <c r="BR9" s="61" t="s">
        <v>56</v>
      </c>
      <c r="BS9" s="62">
        <v>0.0</v>
      </c>
      <c r="BT9" s="62">
        <v>0.0</v>
      </c>
      <c r="BU9" s="61" t="s">
        <v>40</v>
      </c>
      <c r="BV9" s="61"/>
      <c r="BW9" s="62">
        <v>0.0</v>
      </c>
      <c r="BX9" s="62">
        <v>27900.0</v>
      </c>
      <c r="BY9" s="62">
        <v>900.0</v>
      </c>
      <c r="BZ9" s="62">
        <v>31.0</v>
      </c>
      <c r="CA9" s="62">
        <v>31.0</v>
      </c>
      <c r="CB9" s="61"/>
      <c r="CC9" s="62">
        <v>0.0</v>
      </c>
      <c r="CD9" s="62">
        <v>900.0</v>
      </c>
      <c r="CE9" s="62">
        <v>0.0</v>
      </c>
      <c r="CF9" s="62">
        <v>0.0</v>
      </c>
      <c r="CG9" s="62">
        <v>900.0</v>
      </c>
      <c r="CH9" s="63">
        <v>3.13</v>
      </c>
      <c r="CI9" s="62">
        <v>0.0</v>
      </c>
      <c r="CJ9" s="62">
        <v>0.0</v>
      </c>
      <c r="CK9" s="64" t="b">
        <v>0</v>
      </c>
      <c r="CL9" s="61" t="s">
        <v>44</v>
      </c>
      <c r="CM9" s="61" t="s">
        <v>44</v>
      </c>
      <c r="CN9" s="61" t="s">
        <v>44</v>
      </c>
      <c r="CO9" s="61" t="s">
        <v>44</v>
      </c>
      <c r="CP9" s="61" t="s">
        <v>44</v>
      </c>
      <c r="CQ9" s="61" t="s">
        <v>44</v>
      </c>
      <c r="CR9" s="62"/>
      <c r="CS9" s="62">
        <v>32.0</v>
      </c>
      <c r="CT9" s="61" t="s">
        <v>44</v>
      </c>
      <c r="CU9" s="61" t="s">
        <v>44</v>
      </c>
      <c r="CV9" s="61" t="s">
        <v>44</v>
      </c>
      <c r="CW9" s="61" t="s">
        <v>44</v>
      </c>
      <c r="CX9" s="61" t="s">
        <v>44</v>
      </c>
      <c r="CY9" s="61" t="s">
        <v>49</v>
      </c>
      <c r="CZ9" s="61" t="s">
        <v>50</v>
      </c>
      <c r="DA9" s="62">
        <v>27900.0</v>
      </c>
      <c r="DB9" s="62">
        <v>100.0</v>
      </c>
      <c r="DC9" s="62"/>
      <c r="DD9" s="62">
        <v>-45.0</v>
      </c>
      <c r="DE9" s="62">
        <v>0.0</v>
      </c>
      <c r="DF9" s="62">
        <v>0.0</v>
      </c>
      <c r="DG9" s="62">
        <v>0.0</v>
      </c>
      <c r="DH9" s="62">
        <v>30.0</v>
      </c>
      <c r="DI9" s="63">
        <v>3.33</v>
      </c>
      <c r="DJ9" s="61" t="s">
        <v>34</v>
      </c>
      <c r="DK9" s="62">
        <v>0.0</v>
      </c>
      <c r="DL9" s="62">
        <v>0.0</v>
      </c>
      <c r="DM9" s="62">
        <v>1.0</v>
      </c>
      <c r="DN9" s="62">
        <v>1.0</v>
      </c>
      <c r="DO9" s="61" t="s">
        <v>44</v>
      </c>
      <c r="DP9" s="61" t="s">
        <v>37</v>
      </c>
      <c r="DQ9" s="61" t="s">
        <v>55</v>
      </c>
      <c r="DR9" s="61" t="s">
        <v>55</v>
      </c>
      <c r="DS9" s="61" t="s">
        <v>55</v>
      </c>
      <c r="DT9" s="61" t="s">
        <v>55</v>
      </c>
      <c r="DU9" s="61" t="s">
        <v>55</v>
      </c>
      <c r="DV9" s="61" t="s">
        <v>55</v>
      </c>
      <c r="DW9" s="61" t="s">
        <v>55</v>
      </c>
      <c r="DX9" s="61" t="s">
        <v>55</v>
      </c>
      <c r="DY9" s="61" t="s">
        <v>55</v>
      </c>
      <c r="DZ9" s="61" t="s">
        <v>23</v>
      </c>
      <c r="EA9" s="61" t="s">
        <v>55</v>
      </c>
      <c r="EB9" s="61" t="s">
        <v>55</v>
      </c>
      <c r="EC9" s="61" t="s">
        <v>55</v>
      </c>
      <c r="ED9" s="61" t="s">
        <v>29</v>
      </c>
      <c r="EE9" s="61" t="s">
        <v>55</v>
      </c>
      <c r="EF9" s="62">
        <v>0.0</v>
      </c>
      <c r="EG9" s="63">
        <v>-727.42</v>
      </c>
      <c r="EH9" s="63">
        <v>727.42</v>
      </c>
      <c r="EI9" s="63">
        <v>-727.42</v>
      </c>
      <c r="EJ9" s="63">
        <v>889.06</v>
      </c>
      <c r="EK9" s="63">
        <v>889.06</v>
      </c>
      <c r="EL9" s="61" t="s">
        <v>37</v>
      </c>
      <c r="EM9" s="62">
        <v>34100.0</v>
      </c>
      <c r="EN9" s="62">
        <v>34100.0</v>
      </c>
      <c r="EO9" s="62">
        <v>0.0</v>
      </c>
      <c r="EP9" s="62">
        <v>-20.0</v>
      </c>
      <c r="EQ9" s="63">
        <v>23.47</v>
      </c>
      <c r="ER9" s="62">
        <v>34100.0</v>
      </c>
      <c r="ES9" s="63">
        <v>3835.5</v>
      </c>
      <c r="ET9" s="63">
        <v>23.47</v>
      </c>
      <c r="EU9" s="63">
        <v>23.47</v>
      </c>
      <c r="EV9" s="61" t="s">
        <v>37</v>
      </c>
      <c r="EW9" s="63">
        <v>3835.5</v>
      </c>
      <c r="EX9" s="64" t="b">
        <v>0</v>
      </c>
      <c r="EY9" s="61" t="s">
        <v>44</v>
      </c>
      <c r="EZ9" s="61" t="s">
        <v>44</v>
      </c>
      <c r="FA9" s="48"/>
      <c r="FB9" s="48"/>
      <c r="FC9" s="48"/>
      <c r="FD9" s="48"/>
      <c r="FE9" s="48"/>
      <c r="FF9" s="48"/>
      <c r="FG9" s="48"/>
      <c r="FH9" s="48"/>
      <c r="FI9" s="48"/>
      <c r="FJ9" s="48"/>
    </row>
    <row r="10" ht="15.7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</row>
    <row r="11" ht="15.7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</row>
    <row r="12" ht="15.7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</row>
    <row r="13" ht="15.7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</row>
    <row r="14" ht="15.7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</row>
    <row r="15" ht="15.7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</row>
    <row r="16" ht="15.7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</row>
    <row r="17" ht="15.7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</row>
    <row r="18" ht="15.7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</row>
    <row r="19" ht="15.7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</row>
    <row r="20" ht="15.7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</row>
    <row r="21" ht="15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</row>
    <row r="22" ht="15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</row>
    <row r="23" ht="15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</row>
    <row r="24" ht="15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</row>
    <row r="25" ht="15.7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</row>
    <row r="26" ht="15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</row>
    <row r="27" ht="15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</row>
    <row r="28" ht="15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</row>
    <row r="29" ht="15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</row>
    <row r="30" ht="15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</row>
    <row r="31" ht="15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</row>
    <row r="32" ht="15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</row>
    <row r="34" ht="15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</row>
    <row r="35" ht="15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</row>
    <row r="36" ht="15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</row>
    <row r="37" ht="15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</row>
    <row r="38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</row>
    <row r="39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</row>
    <row r="40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</row>
    <row r="41" ht="15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</row>
    <row r="42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</row>
    <row r="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</row>
    <row r="44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</row>
    <row r="45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</row>
    <row r="47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</row>
    <row r="4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</row>
    <row r="49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</row>
    <row r="50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8"/>
      <c r="FB50" s="48"/>
      <c r="FC50" s="48"/>
      <c r="FD50" s="48"/>
      <c r="FE50" s="48"/>
      <c r="FF50" s="48"/>
      <c r="FG50" s="48"/>
      <c r="FH50" s="48"/>
      <c r="FI50" s="48"/>
      <c r="FJ50" s="48"/>
    </row>
    <row r="51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</row>
    <row r="52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8"/>
      <c r="FB52" s="48"/>
      <c r="FC52" s="48"/>
      <c r="FD52" s="48"/>
      <c r="FE52" s="48"/>
      <c r="FF52" s="48"/>
      <c r="FG52" s="48"/>
      <c r="FH52" s="48"/>
      <c r="FI52" s="48"/>
      <c r="FJ52" s="48"/>
    </row>
    <row r="53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</row>
    <row r="54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8"/>
      <c r="FB54" s="48"/>
      <c r="FC54" s="48"/>
      <c r="FD54" s="48"/>
      <c r="FE54" s="48"/>
      <c r="FF54" s="48"/>
      <c r="FG54" s="48"/>
      <c r="FH54" s="48"/>
      <c r="FI54" s="48"/>
      <c r="FJ54" s="48"/>
    </row>
    <row r="55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8"/>
      <c r="FB55" s="48"/>
      <c r="FC55" s="48"/>
      <c r="FD55" s="48"/>
      <c r="FE55" s="48"/>
      <c r="FF55" s="48"/>
      <c r="FG55" s="48"/>
      <c r="FH55" s="48"/>
      <c r="FI55" s="48"/>
      <c r="FJ55" s="48"/>
    </row>
    <row r="56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8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8"/>
      <c r="FB56" s="48"/>
      <c r="FC56" s="48"/>
      <c r="FD56" s="48"/>
      <c r="FE56" s="48"/>
      <c r="FF56" s="48"/>
      <c r="FG56" s="48"/>
      <c r="FH56" s="48"/>
      <c r="FI56" s="48"/>
      <c r="FJ56" s="48"/>
    </row>
    <row r="57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8"/>
      <c r="FB57" s="48"/>
      <c r="FC57" s="48"/>
      <c r="FD57" s="48"/>
      <c r="FE57" s="48"/>
      <c r="FF57" s="48"/>
      <c r="FG57" s="48"/>
      <c r="FH57" s="48"/>
      <c r="FI57" s="48"/>
      <c r="FJ57" s="48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8"/>
      <c r="FB58" s="48"/>
      <c r="FC58" s="48"/>
      <c r="FD58" s="48"/>
      <c r="FE58" s="48"/>
      <c r="FF58" s="48"/>
      <c r="FG58" s="48"/>
      <c r="FH58" s="48"/>
      <c r="FI58" s="48"/>
      <c r="FJ58" s="48"/>
    </row>
    <row r="59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8"/>
      <c r="FB59" s="48"/>
      <c r="FC59" s="48"/>
      <c r="FD59" s="48"/>
      <c r="FE59" s="48"/>
      <c r="FF59" s="48"/>
      <c r="FG59" s="48"/>
      <c r="FH59" s="48"/>
      <c r="FI59" s="48"/>
      <c r="FJ59" s="48"/>
    </row>
    <row r="60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8"/>
      <c r="FB60" s="48"/>
      <c r="FC60" s="48"/>
      <c r="FD60" s="48"/>
      <c r="FE60" s="48"/>
      <c r="FF60" s="48"/>
      <c r="FG60" s="48"/>
      <c r="FH60" s="48"/>
      <c r="FI60" s="48"/>
      <c r="FJ60" s="48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8"/>
      <c r="FB61" s="48"/>
      <c r="FC61" s="48"/>
      <c r="FD61" s="48"/>
      <c r="FE61" s="48"/>
      <c r="FF61" s="48"/>
      <c r="FG61" s="48"/>
      <c r="FH61" s="48"/>
      <c r="FI61" s="48"/>
      <c r="FJ61" s="48"/>
    </row>
    <row r="62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8"/>
      <c r="FB62" s="48"/>
      <c r="FC62" s="48"/>
      <c r="FD62" s="48"/>
      <c r="FE62" s="48"/>
      <c r="FF62" s="48"/>
      <c r="FG62" s="48"/>
      <c r="FH62" s="48"/>
      <c r="FI62" s="48"/>
      <c r="FJ62" s="48"/>
    </row>
    <row r="6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8"/>
      <c r="FB63" s="48"/>
      <c r="FC63" s="48"/>
      <c r="FD63" s="48"/>
      <c r="FE63" s="48"/>
      <c r="FF63" s="48"/>
      <c r="FG63" s="48"/>
      <c r="FH63" s="48"/>
      <c r="FI63" s="48"/>
      <c r="FJ63" s="48"/>
    </row>
    <row r="64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8"/>
      <c r="FB64" s="48"/>
      <c r="FC64" s="48"/>
      <c r="FD64" s="48"/>
      <c r="FE64" s="48"/>
      <c r="FF64" s="48"/>
      <c r="FG64" s="48"/>
      <c r="FH64" s="48"/>
      <c r="FI64" s="48"/>
      <c r="FJ64" s="48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8"/>
      <c r="FB65" s="48"/>
      <c r="FC65" s="48"/>
      <c r="FD65" s="48"/>
      <c r="FE65" s="48"/>
      <c r="FF65" s="48"/>
      <c r="FG65" s="48"/>
      <c r="FH65" s="48"/>
      <c r="FI65" s="48"/>
      <c r="FJ65" s="48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8"/>
      <c r="FB66" s="48"/>
      <c r="FC66" s="48"/>
      <c r="FD66" s="48"/>
      <c r="FE66" s="48"/>
      <c r="FF66" s="48"/>
      <c r="FG66" s="48"/>
      <c r="FH66" s="48"/>
      <c r="FI66" s="48"/>
      <c r="FJ66" s="48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8"/>
      <c r="FB67" s="48"/>
      <c r="FC67" s="48"/>
      <c r="FD67" s="48"/>
      <c r="FE67" s="48"/>
      <c r="FF67" s="48"/>
      <c r="FG67" s="48"/>
      <c r="FH67" s="48"/>
      <c r="FI67" s="48"/>
      <c r="FJ67" s="48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8"/>
      <c r="FB68" s="48"/>
      <c r="FC68" s="48"/>
      <c r="FD68" s="48"/>
      <c r="FE68" s="48"/>
      <c r="FF68" s="48"/>
      <c r="FG68" s="48"/>
      <c r="FH68" s="48"/>
      <c r="FI68" s="48"/>
      <c r="FJ68" s="48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8"/>
      <c r="FG69" s="48"/>
      <c r="FH69" s="48"/>
      <c r="FI69" s="48"/>
      <c r="FJ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8"/>
      <c r="FB70" s="48"/>
      <c r="FC70" s="48"/>
      <c r="FD70" s="48"/>
      <c r="FE70" s="48"/>
      <c r="FF70" s="48"/>
      <c r="FG70" s="48"/>
      <c r="FH70" s="48"/>
      <c r="FI70" s="48"/>
      <c r="FJ70" s="48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8"/>
      <c r="FB71" s="48"/>
      <c r="FC71" s="48"/>
      <c r="FD71" s="48"/>
      <c r="FE71" s="48"/>
      <c r="FF71" s="48"/>
      <c r="FG71" s="48"/>
      <c r="FH71" s="48"/>
      <c r="FI71" s="48"/>
      <c r="FJ71" s="48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/>
      <c r="FI72" s="48"/>
      <c r="FJ72" s="48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8"/>
      <c r="FB73" s="48"/>
      <c r="FC73" s="48"/>
      <c r="FD73" s="48"/>
      <c r="FE73" s="48"/>
      <c r="FF73" s="48"/>
      <c r="FG73" s="48"/>
      <c r="FH73" s="48"/>
      <c r="FI73" s="48"/>
      <c r="FJ73" s="48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8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8"/>
      <c r="FB74" s="48"/>
      <c r="FC74" s="48"/>
      <c r="FD74" s="48"/>
      <c r="FE74" s="48"/>
      <c r="FF74" s="48"/>
      <c r="FG74" s="48"/>
      <c r="FH74" s="48"/>
      <c r="FI74" s="48"/>
      <c r="FJ74" s="48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8"/>
      <c r="FB75" s="48"/>
      <c r="FC75" s="48"/>
      <c r="FD75" s="48"/>
      <c r="FE75" s="48"/>
      <c r="FF75" s="48"/>
      <c r="FG75" s="48"/>
      <c r="FH75" s="48"/>
      <c r="FI75" s="48"/>
      <c r="FJ75" s="48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8"/>
      <c r="FB76" s="48"/>
      <c r="FC76" s="48"/>
      <c r="FD76" s="48"/>
      <c r="FE76" s="48"/>
      <c r="FF76" s="48"/>
      <c r="FG76" s="48"/>
      <c r="FH76" s="48"/>
      <c r="FI76" s="48"/>
      <c r="FJ76" s="48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8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  <c r="EX77" s="48"/>
      <c r="EY77" s="48"/>
      <c r="EZ77" s="48"/>
      <c r="FA77" s="48"/>
      <c r="FB77" s="48"/>
      <c r="FC77" s="48"/>
      <c r="FD77" s="48"/>
      <c r="FE77" s="48"/>
      <c r="FF77" s="48"/>
      <c r="FG77" s="48"/>
      <c r="FH77" s="48"/>
      <c r="FI77" s="48"/>
      <c r="FJ77" s="48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8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  <c r="EY78" s="48"/>
      <c r="EZ78" s="48"/>
      <c r="FA78" s="48"/>
      <c r="FB78" s="48"/>
      <c r="FC78" s="48"/>
      <c r="FD78" s="48"/>
      <c r="FE78" s="48"/>
      <c r="FF78" s="48"/>
      <c r="FG78" s="48"/>
      <c r="FH78" s="48"/>
      <c r="FI78" s="48"/>
      <c r="FJ78" s="48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8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  <c r="EX79" s="48"/>
      <c r="EY79" s="48"/>
      <c r="EZ79" s="48"/>
      <c r="FA79" s="48"/>
      <c r="FB79" s="48"/>
      <c r="FC79" s="48"/>
      <c r="FD79" s="48"/>
      <c r="FE79" s="48"/>
      <c r="FF79" s="48"/>
      <c r="FG79" s="48"/>
      <c r="FH79" s="48"/>
      <c r="FI79" s="48"/>
      <c r="FJ79" s="48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8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  <c r="EY80" s="48"/>
      <c r="EZ80" s="48"/>
      <c r="FA80" s="48"/>
      <c r="FB80" s="48"/>
      <c r="FC80" s="48"/>
      <c r="FD80" s="48"/>
      <c r="FE80" s="48"/>
      <c r="FF80" s="48"/>
      <c r="FG80" s="48"/>
      <c r="FH80" s="48"/>
      <c r="FI80" s="48"/>
      <c r="FJ80" s="48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8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8"/>
      <c r="FB81" s="48"/>
      <c r="FC81" s="48"/>
      <c r="FD81" s="48"/>
      <c r="FE81" s="48"/>
      <c r="FF81" s="48"/>
      <c r="FG81" s="48"/>
      <c r="FH81" s="48"/>
      <c r="FI81" s="48"/>
      <c r="FJ81" s="48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8"/>
      <c r="FB82" s="48"/>
      <c r="FC82" s="48"/>
      <c r="FD82" s="48"/>
      <c r="FE82" s="48"/>
      <c r="FF82" s="48"/>
      <c r="FG82" s="48"/>
      <c r="FH82" s="48"/>
      <c r="FI82" s="48"/>
      <c r="FJ82" s="48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8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  <c r="EX83" s="48"/>
      <c r="EY83" s="48"/>
      <c r="EZ83" s="48"/>
      <c r="FA83" s="48"/>
      <c r="FB83" s="48"/>
      <c r="FC83" s="48"/>
      <c r="FD83" s="48"/>
      <c r="FE83" s="48"/>
      <c r="FF83" s="48"/>
      <c r="FG83" s="48"/>
      <c r="FH83" s="48"/>
      <c r="FI83" s="48"/>
      <c r="FJ83" s="48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8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  <c r="EX84" s="48"/>
      <c r="EY84" s="48"/>
      <c r="EZ84" s="48"/>
      <c r="FA84" s="48"/>
      <c r="FB84" s="48"/>
      <c r="FC84" s="48"/>
      <c r="FD84" s="48"/>
      <c r="FE84" s="48"/>
      <c r="FF84" s="48"/>
      <c r="FG84" s="48"/>
      <c r="FH84" s="48"/>
      <c r="FI84" s="48"/>
      <c r="FJ84" s="48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8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8"/>
      <c r="FB85" s="48"/>
      <c r="FC85" s="48"/>
      <c r="FD85" s="48"/>
      <c r="FE85" s="48"/>
      <c r="FF85" s="48"/>
      <c r="FG85" s="48"/>
      <c r="FH85" s="48"/>
      <c r="FI85" s="48"/>
      <c r="FJ85" s="48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8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  <c r="EX86" s="48"/>
      <c r="EY86" s="48"/>
      <c r="EZ86" s="48"/>
      <c r="FA86" s="48"/>
      <c r="FB86" s="48"/>
      <c r="FC86" s="48"/>
      <c r="FD86" s="48"/>
      <c r="FE86" s="48"/>
      <c r="FF86" s="48"/>
      <c r="FG86" s="48"/>
      <c r="FH86" s="48"/>
      <c r="FI86" s="48"/>
      <c r="FJ86" s="48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8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  <c r="EX87" s="48"/>
      <c r="EY87" s="48"/>
      <c r="EZ87" s="48"/>
      <c r="FA87" s="48"/>
      <c r="FB87" s="48"/>
      <c r="FC87" s="48"/>
      <c r="FD87" s="48"/>
      <c r="FE87" s="48"/>
      <c r="FF87" s="48"/>
      <c r="FG87" s="48"/>
      <c r="FH87" s="48"/>
      <c r="FI87" s="48"/>
      <c r="FJ87" s="48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8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  <c r="EX88" s="48"/>
      <c r="EY88" s="48"/>
      <c r="EZ88" s="48"/>
      <c r="FA88" s="48"/>
      <c r="FB88" s="48"/>
      <c r="FC88" s="48"/>
      <c r="FD88" s="48"/>
      <c r="FE88" s="48"/>
      <c r="FF88" s="48"/>
      <c r="FG88" s="48"/>
      <c r="FH88" s="48"/>
      <c r="FI88" s="48"/>
      <c r="FJ88" s="48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  <c r="EX89" s="48"/>
      <c r="EY89" s="48"/>
      <c r="EZ89" s="48"/>
      <c r="FA89" s="48"/>
      <c r="FB89" s="48"/>
      <c r="FC89" s="48"/>
      <c r="FD89" s="48"/>
      <c r="FE89" s="48"/>
      <c r="FF89" s="48"/>
      <c r="FG89" s="48"/>
      <c r="FH89" s="48"/>
      <c r="FI89" s="48"/>
      <c r="FJ89" s="48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  <c r="EX90" s="48"/>
      <c r="EY90" s="48"/>
      <c r="EZ90" s="48"/>
      <c r="FA90" s="48"/>
      <c r="FB90" s="48"/>
      <c r="FC90" s="48"/>
      <c r="FD90" s="48"/>
      <c r="FE90" s="48"/>
      <c r="FF90" s="48"/>
      <c r="FG90" s="48"/>
      <c r="FH90" s="48"/>
      <c r="FI90" s="48"/>
      <c r="FJ90" s="48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  <c r="EY91" s="48"/>
      <c r="EZ91" s="48"/>
      <c r="FA91" s="48"/>
      <c r="FB91" s="48"/>
      <c r="FC91" s="48"/>
      <c r="FD91" s="48"/>
      <c r="FE91" s="48"/>
      <c r="FF91" s="48"/>
      <c r="FG91" s="48"/>
      <c r="FH91" s="48"/>
      <c r="FI91" s="48"/>
      <c r="FJ91" s="48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8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  <c r="EY92" s="48"/>
      <c r="EZ92" s="48"/>
      <c r="FA92" s="48"/>
      <c r="FB92" s="48"/>
      <c r="FC92" s="48"/>
      <c r="FD92" s="48"/>
      <c r="FE92" s="48"/>
      <c r="FF92" s="48"/>
      <c r="FG92" s="48"/>
      <c r="FH92" s="48"/>
      <c r="FI92" s="48"/>
      <c r="FJ92" s="48"/>
    </row>
    <row r="9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8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  <c r="EX93" s="48"/>
      <c r="EY93" s="48"/>
      <c r="EZ93" s="48"/>
      <c r="FA93" s="48"/>
      <c r="FB93" s="48"/>
      <c r="FC93" s="48"/>
      <c r="FD93" s="48"/>
      <c r="FE93" s="48"/>
      <c r="FF93" s="48"/>
      <c r="FG93" s="48"/>
      <c r="FH93" s="48"/>
      <c r="FI93" s="48"/>
      <c r="FJ93" s="48"/>
    </row>
    <row r="94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8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8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  <c r="EX94" s="48"/>
      <c r="EY94" s="48"/>
      <c r="EZ94" s="48"/>
      <c r="FA94" s="48"/>
      <c r="FB94" s="48"/>
      <c r="FC94" s="48"/>
      <c r="FD94" s="48"/>
      <c r="FE94" s="48"/>
      <c r="FF94" s="48"/>
      <c r="FG94" s="48"/>
      <c r="FH94" s="48"/>
      <c r="FI94" s="48"/>
      <c r="FJ94" s="48"/>
    </row>
    <row r="9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8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8"/>
      <c r="DV95" s="48"/>
      <c r="DW95" s="48"/>
      <c r="DX95" s="48"/>
      <c r="DY95" s="48"/>
      <c r="DZ95" s="48"/>
      <c r="EA95" s="48"/>
      <c r="EB95" s="48"/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  <c r="EV95" s="48"/>
      <c r="EW95" s="48"/>
      <c r="EX95" s="48"/>
      <c r="EY95" s="48"/>
      <c r="EZ95" s="48"/>
      <c r="FA95" s="48"/>
      <c r="FB95" s="48"/>
      <c r="FC95" s="48"/>
      <c r="FD95" s="48"/>
      <c r="FE95" s="48"/>
      <c r="FF95" s="48"/>
      <c r="FG95" s="48"/>
      <c r="FH95" s="48"/>
      <c r="FI95" s="48"/>
      <c r="FJ95" s="48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8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8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  <c r="EX96" s="48"/>
      <c r="EY96" s="48"/>
      <c r="EZ96" s="48"/>
      <c r="FA96" s="48"/>
      <c r="FB96" s="48"/>
      <c r="FC96" s="48"/>
      <c r="FD96" s="48"/>
      <c r="FE96" s="48"/>
      <c r="FF96" s="48"/>
      <c r="FG96" s="48"/>
      <c r="FH96" s="48"/>
      <c r="FI96" s="48"/>
      <c r="FJ96" s="48"/>
    </row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  <c r="EY97" s="48"/>
      <c r="EZ97" s="48"/>
      <c r="FA97" s="48"/>
      <c r="FB97" s="48"/>
      <c r="FC97" s="48"/>
      <c r="FD97" s="48"/>
      <c r="FE97" s="48"/>
      <c r="FF97" s="48"/>
      <c r="FG97" s="48"/>
      <c r="FH97" s="48"/>
      <c r="FI97" s="48"/>
      <c r="FJ97" s="48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8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8"/>
      <c r="EI98" s="48"/>
      <c r="EJ98" s="48"/>
      <c r="EK98" s="48"/>
      <c r="EL98" s="48"/>
      <c r="EM98" s="48"/>
      <c r="EN98" s="48"/>
      <c r="EO98" s="48"/>
      <c r="EP98" s="48"/>
      <c r="EQ98" s="48"/>
      <c r="ER98" s="48"/>
      <c r="ES98" s="48"/>
      <c r="ET98" s="48"/>
      <c r="EU98" s="48"/>
      <c r="EV98" s="48"/>
      <c r="EW98" s="48"/>
      <c r="EX98" s="48"/>
      <c r="EY98" s="48"/>
      <c r="EZ98" s="48"/>
      <c r="FA98" s="48"/>
      <c r="FB98" s="48"/>
      <c r="FC98" s="48"/>
      <c r="FD98" s="48"/>
      <c r="FE98" s="48"/>
      <c r="FF98" s="48"/>
      <c r="FG98" s="48"/>
      <c r="FH98" s="48"/>
      <c r="FI98" s="48"/>
      <c r="FJ98" s="48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8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  <c r="DE99" s="48"/>
      <c r="DF99" s="48"/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8"/>
      <c r="DV99" s="48"/>
      <c r="DW99" s="48"/>
      <c r="DX99" s="48"/>
      <c r="DY99" s="48"/>
      <c r="DZ99" s="48"/>
      <c r="EA99" s="48"/>
      <c r="EB99" s="48"/>
      <c r="EC99" s="48"/>
      <c r="ED99" s="48"/>
      <c r="EE99" s="48"/>
      <c r="EF99" s="48"/>
      <c r="EG99" s="48"/>
      <c r="EH99" s="48"/>
      <c r="EI99" s="48"/>
      <c r="EJ99" s="48"/>
      <c r="EK99" s="48"/>
      <c r="EL99" s="48"/>
      <c r="EM99" s="48"/>
      <c r="EN99" s="48"/>
      <c r="EO99" s="48"/>
      <c r="EP99" s="48"/>
      <c r="EQ99" s="48"/>
      <c r="ER99" s="48"/>
      <c r="ES99" s="48"/>
      <c r="ET99" s="48"/>
      <c r="EU99" s="48"/>
      <c r="EV99" s="48"/>
      <c r="EW99" s="48"/>
      <c r="EX99" s="48"/>
      <c r="EY99" s="48"/>
      <c r="EZ99" s="48"/>
      <c r="FA99" s="48"/>
      <c r="FB99" s="48"/>
      <c r="FC99" s="48"/>
      <c r="FD99" s="48"/>
      <c r="FE99" s="48"/>
      <c r="FF99" s="48"/>
      <c r="FG99" s="48"/>
      <c r="FH99" s="48"/>
      <c r="FI99" s="48"/>
      <c r="FJ99" s="48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8"/>
      <c r="FB100" s="48"/>
      <c r="FC100" s="48"/>
      <c r="FD100" s="48"/>
      <c r="FE100" s="48"/>
      <c r="FF100" s="48"/>
      <c r="FG100" s="48"/>
      <c r="FH100" s="48"/>
      <c r="FI100" s="48"/>
      <c r="FJ100" s="4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