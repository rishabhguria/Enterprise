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ilyCalculationsData" sheetId="7" r:id="rId9"/>
    <sheet state="visible" name="VerifyDailyCalTransactions" sheetId="8" r:id="rId10"/>
    <sheet state="visible" name="GetTradingTransaction" sheetId="9" r:id="rId11"/>
    <sheet state="visible" name="GetDataAllocation" sheetId="10" r:id="rId12"/>
    <sheet state="visible" name="VerifyTradingTransac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<sst xmlns="http://schemas.openxmlformats.org/spreadsheetml/2006/main" count="251" uniqueCount="59">
  <si>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</si>
  <si>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</si>
  <si>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</si>
  <si>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</si>
  <si>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</si>
  <si>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</si>
  <si>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</si>
  <si>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</si>
  <si>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</si>
  <si>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</si>
  <si>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</si>
  <si>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</si>
  <si>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</si>
  <si>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</si>
  <si>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</si>
  <si>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</si>
  <si>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313385BH9</t>
  </si>
  <si>
    <t>Buy</t>
  </si>
  <si>
    <t>Allocation1</t>
  </si>
  <si>
    <t>DailyValuation</t>
  </si>
  <si>
    <t>GetForexConversion</t>
  </si>
  <si>
    <t>UpdateForexConversionMonthly</t>
  </si>
  <si>
    <t>USD</t>
  </si>
  <si>
    <t>CAD</t>
  </si>
  <si>
    <t>CAD A0-FX</t>
  </si>
  <si>
    <t>GeneralLedger</t>
  </si>
  <si>
    <t>GetDailyCalculationsData</t>
  </si>
  <si>
    <t>VerifyDailyCalTransactions</t>
  </si>
  <si>
    <t>Bond_Interest_Receivable</t>
  </si>
  <si>
    <t>DailyCalculation</t>
  </si>
  <si>
    <t>GetTradingTransaction</t>
  </si>
  <si>
    <t>Allocation</t>
  </si>
  <si>
    <t>GetDataAllocation</t>
  </si>
  <si>
    <t>Historical</t>
  </si>
  <si>
    <t>VerifyTradingTransaction</t>
  </si>
  <si>
    <t>D</t>
  </si>
  <si>
    <t>DR</t>
  </si>
  <si>
    <t>Trading</t>
  </si>
  <si>
    <t>BrokerNotes</t>
  </si>
  <si>
    <t>Interest - Payable [Liability]</t>
  </si>
  <si>
    <t>CR</t>
  </si>
  <si>
    <t>Cash [Cash]</t>
  </si>
  <si>
    <t>Investment - Long Bond [Asset]</t>
  </si>
  <si>
    <t>CheckAllocatedGroups</t>
  </si>
  <si>
    <t/>
  </si>
  <si>
    <t>Manual</t>
  </si>
  <si>
    <t>FixedIncome</t>
  </si>
  <si>
    <t>MS</t>
  </si>
  <si>
    <t>Open</t>
  </si>
  <si>
    <t>OTC</t>
  </si>
  <si>
    <t>None</t>
  </si>
  <si>
    <t>DefaultNotes</t>
  </si>
  <si>
    <t>Market</t>
  </si>
  <si>
    <t>InternalOrder</t>
  </si>
  <si>
    <t>Strategy Unallocated</t>
  </si>
  <si>
    <t>GCCAP1</t>
  </si>
  <si>
    <t>EmergingDebt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</si>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</sst>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  <font>
      <sz val="9.0"/>
      <color rgb="FF000000"/>
      <name val="Arial"/>
    </font>
    <font>
      <u/>
      <color rgb="FFD9D9D9"/>
    </font>
    <font>
      <sz val="9.0"/>
      <color rgb="FFE7E8E9"/>
      <name val="&quot;Segoe UI&quot;"/>
    </font>
    <font>
      <sz val="9.0"/>
      <color rgb="FF868686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868686"/>
        <bgColor rgb="FF86868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right"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6" fontId="13" numFmtId="165" xfId="0" applyAlignment="1" applyBorder="1" applyFont="1" applyNumberFormat="1">
      <alignment horizontal="right" readingOrder="0" shrinkToFit="0" wrapText="0"/>
    </xf>
    <xf borderId="5" fillId="6" fontId="13" numFmtId="0" xfId="0" applyAlignment="1" applyBorder="1" applyFont="1">
      <alignment horizontal="right" readingOrder="0" shrinkToFit="0" wrapText="0"/>
    </xf>
    <xf borderId="0" fillId="0" fontId="14" numFmtId="0" xfId="0" applyAlignment="1" applyFont="1">
      <alignment shrinkToFit="0" vertical="bottom" wrapText="0"/>
    </xf>
    <xf borderId="5" fillId="7" fontId="13" numFmtId="165" xfId="0" applyAlignment="1" applyBorder="1" applyFill="1" applyFont="1" applyNumberFormat="1">
      <alignment horizontal="right" readingOrder="0" shrinkToFit="0" wrapText="0"/>
    </xf>
    <xf borderId="5" fillId="7" fontId="13" numFmtId="0" xfId="0" applyAlignment="1" applyBorder="1" applyFont="1">
      <alignment horizontal="right" readingOrder="0" shrinkToFit="0" wrapText="0"/>
    </xf>
    <xf borderId="5" fillId="7" fontId="15" numFmtId="0" xfId="0" applyAlignment="1" applyBorder="1" applyFont="1">
      <alignment horizontal="right" readingOrder="0" shrinkToFit="0" wrapText="0"/>
    </xf>
    <xf borderId="0" fillId="8" fontId="13" numFmtId="166" xfId="0" applyAlignment="1" applyFill="1" applyFont="1" applyNumberFormat="1">
      <alignment horizontal="right" readingOrder="0" shrinkToFit="0" wrapText="0"/>
    </xf>
    <xf borderId="0" fillId="8" fontId="13" numFmtId="0" xfId="0" applyAlignment="1" applyFont="1">
      <alignment horizontal="right" readingOrder="0" shrinkToFit="0" wrapText="0"/>
    </xf>
    <xf borderId="5" fillId="6" fontId="15" numFmtId="0" xfId="0" applyAlignment="1" applyBorder="1" applyFont="1">
      <alignment horizontal="right" readingOrder="0" shrinkToFit="0" wrapText="0"/>
    </xf>
    <xf borderId="0" fillId="0" fontId="14" numFmtId="0" xfId="0" applyAlignment="1" applyFont="1">
      <alignment shrinkToFit="0" vertical="bottom" wrapText="0"/>
    </xf>
    <xf borderId="6" fillId="6" fontId="13" numFmtId="165" xfId="0" applyAlignment="1" applyBorder="1" applyFont="1" applyNumberFormat="1">
      <alignment horizontal="right" readingOrder="0" shrinkToFit="0" wrapText="0"/>
    </xf>
    <xf borderId="6" fillId="6" fontId="13" numFmtId="0" xfId="0" applyAlignment="1" applyBorder="1" applyFont="1">
      <alignment horizontal="right" readingOrder="0" shrinkToFit="0" wrapText="0"/>
    </xf>
    <xf borderId="6" fillId="6" fontId="15" numFmtId="0" xfId="0" applyAlignment="1" applyBorder="1" applyFont="1">
      <alignment horizontal="right" readingOrder="0" shrinkToFit="0" wrapText="0"/>
    </xf>
    <xf borderId="0" fillId="6" fontId="13" numFmtId="166" xfId="0" applyAlignment="1" applyFont="1" applyNumberFormat="1">
      <alignment horizontal="right" readingOrder="0" shrinkToFit="0" wrapText="0"/>
    </xf>
    <xf borderId="0" fillId="4" fontId="16" numFmtId="0" xfId="0" applyFont="1"/>
    <xf borderId="7" fillId="6" fontId="13" numFmtId="0" xfId="0" applyAlignment="1" applyBorder="1" applyFont="1">
      <alignment horizontal="right" readingOrder="0" shrinkToFit="0" wrapText="0"/>
    </xf>
    <xf borderId="7" fillId="6" fontId="17" numFmtId="0" xfId="0" applyAlignment="1" applyBorder="1" applyFont="1">
      <alignment horizontal="right" readingOrder="0" shrinkToFit="0" wrapText="0"/>
    </xf>
    <xf borderId="5" fillId="6" fontId="13" numFmtId="0" xfId="0" applyAlignment="1" applyBorder="1" applyFont="1">
      <alignment horizontal="right" vertical="bottom"/>
    </xf>
    <xf borderId="7" fillId="8" fontId="18" numFmtId="0" xfId="0" applyAlignment="1" applyBorder="1" applyFont="1">
      <alignment horizontal="right" readingOrder="0" shrinkToFit="0" wrapText="0"/>
    </xf>
    <xf borderId="7" fillId="8" fontId="13" numFmtId="0" xfId="0" applyAlignment="1" applyBorder="1" applyFont="1">
      <alignment horizontal="right" readingOrder="0" shrinkToFit="0" wrapText="0"/>
    </xf>
    <xf borderId="0" fillId="6" fontId="1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 t="s">
        <v>17</v>
      </c>
      <c r="D6" s="13">
        <v>100000.0</v>
      </c>
      <c r="E6" s="8"/>
      <c r="F6" s="13" t="s">
        <v>18</v>
      </c>
      <c r="G6" s="8"/>
      <c r="H6" s="8"/>
      <c r="I6" s="8"/>
      <c r="J6" s="13">
        <v>100.0</v>
      </c>
      <c r="K6" s="8"/>
      <c r="L6" s="8"/>
      <c r="M6" s="8"/>
      <c r="N6" s="32">
        <v>44505.0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44505.0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IFERROR(__xludf.DUMMYFUNCTION("""COMPUTED_VALUE"""),"Date")</f>
        <v>Date</v>
      </c>
      <c r="F5" s="29" t="str">
        <f>IFERROR(__xludf.DUMMYFUNCTION("""COMPUTED_VALUE"""),"Price")</f>
        <v>Price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23</v>
      </c>
      <c r="D6" s="34" t="s">
        <v>24</v>
      </c>
      <c r="E6" s="36">
        <v>44506.0</v>
      </c>
      <c r="F6" s="37">
        <v>1.28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22</v>
      </c>
      <c r="C7" s="38" t="s">
        <v>23</v>
      </c>
      <c r="D7" s="38" t="s">
        <v>24</v>
      </c>
      <c r="E7" s="36">
        <v>44507.0</v>
      </c>
      <c r="F7" s="39">
        <v>1.3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22</v>
      </c>
      <c r="C8" s="38" t="s">
        <v>23</v>
      </c>
      <c r="D8" s="38" t="s">
        <v>24</v>
      </c>
      <c r="E8" s="36">
        <v>44508.0</v>
      </c>
      <c r="F8" s="39">
        <v>1.32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22</v>
      </c>
      <c r="C9" s="38" t="s">
        <v>23</v>
      </c>
      <c r="D9" s="38" t="s">
        <v>24</v>
      </c>
      <c r="E9" s="36">
        <v>44509.0</v>
      </c>
      <c r="F9" s="40">
        <v>1.29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4"/>
      <c r="C6" s="35" t="s">
        <v>18</v>
      </c>
      <c r="D6" s="36">
        <v>44505.0</v>
      </c>
      <c r="E6" s="36">
        <v>44509.0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IFERROR(__xludf.DUMMYFUNCTION("""COMPUTED_VALUE"""),"Net Amount(Local)")</f>
        <v>Net Amount(Local)</v>
      </c>
      <c r="G5" s="28" t="str">
        <f>IFERROR(__xludf.DUMMYFUNCTION("""COMPUTED_VALUE"""),"ActivityType")</f>
        <v>ActivityType</v>
      </c>
      <c r="H5" s="28" t="str">
        <f>IFERROR(__xludf.DUMMYFUNCTION("""COMPUTED_VALUE"""),"Transaction Source")</f>
        <v>Transaction Source</v>
      </c>
      <c r="I5" s="28" t="str">
        <f>IFERROR(__xludf.DUMMYFUNCTION("""COMPUTED_VALUE"""),"Total Commissions")</f>
        <v>Total Commissions</v>
      </c>
      <c r="J5" s="28" t="str">
        <f>IFERROR(__xludf.DUMMYFUNCTION("""COMPUTED_VALUE"""),"Balance Type")</f>
        <v>Balance Type</v>
      </c>
      <c r="K5" s="28" t="str">
        <f>IFERROR(__xludf.DUMMYFUNCTION("""COMPUTED_VALUE"""),"Settlement Date")</f>
        <v>Settlement Date</v>
      </c>
      <c r="L5" s="28" t="str">
        <f>IFERROR(__xludf.DUMMYFUNCTION("""COMPUTED_VALUE"""),"Lead Currency")</f>
        <v>Lead Currency</v>
      </c>
      <c r="M5" s="28" t="str">
        <f>IFERROR(__xludf.DUMMYFUNCTION("""COMPUTED_VALUE"""),"Vs Currency")</f>
        <v>Vs Currency</v>
      </c>
      <c r="N5" s="28" t="str">
        <f>IFERROR(__xludf.DUMMYFUNCTION("""COMPUTED_VALUE"""),"Quantity")</f>
        <v>Quantity</v>
      </c>
      <c r="O5" s="28" t="str">
        <f>IFERROR(__xludf.DUMMYFUNCTION("""COMPUTED_VALUE"""),"Commission")</f>
        <v>Commission</v>
      </c>
      <c r="P5" s="28" t="str">
        <f>IFERROR(__xludf.DUMMYFUNCTION("""COMPUTED_VALUE"""),"Soft Commission")</f>
        <v>Soft Commission</v>
      </c>
      <c r="Q5" s="28" t="str">
        <f>IFERROR(__xludf.DUMMYFUNCTION("""COMPUTED_VALUE"""),"Other Broker Fees")</f>
        <v>Other Broker Fees</v>
      </c>
      <c r="R5" s="28" t="str">
        <f>IFERROR(__xludf.DUMMYFUNCTION("""COMPUTED_VALUE"""),"Clearing Broker Fees")</f>
        <v>Clearing Broker Fees</v>
      </c>
      <c r="S5" s="28" t="str">
        <f>IFERROR(__xludf.DUMMYFUNCTION("""COMPUTED_VALUE"""),"Stamp Duty")</f>
        <v>Stamp Duty</v>
      </c>
      <c r="T5" s="30" t="str">
        <f>IFERROR(__xludf.DUMMYFUNCTION("""COMPUTED_VALUE"""),"Transaction Levy")</f>
        <v>Transaction Levy</v>
      </c>
      <c r="U5" s="30" t="str">
        <f>IFERROR(__xludf.DUMMYFUNCTION("""COMPUTED_VALUE"""),"AUEC Fee1")</f>
        <v>AUEC Fee1</v>
      </c>
      <c r="V5" s="30" t="str">
        <f>IFERROR(__xludf.DUMMYFUNCTION("""COMPUTED_VALUE"""),"Tax On Commissions")</f>
        <v>Tax On Commissions</v>
      </c>
      <c r="W5" s="30" t="str">
        <f>IFERROR(__xludf.DUMMYFUNCTION("""COMPUTED_VALUE"""),"AUEC Fee2")</f>
        <v>AUEC Fee2</v>
      </c>
      <c r="X5" s="30" t="str">
        <f>IFERROR(__xludf.DUMMYFUNCTION("""COMPUTED_VALUE"""),"SEC Fee")</f>
        <v>SEC Fee</v>
      </c>
      <c r="Y5" s="30" t="str">
        <f>IFERROR(__xludf.DUMMYFUNCTION("""COMPUTED_VALUE"""),"OCC Fee")</f>
        <v>OCC Fee</v>
      </c>
      <c r="Z5" s="30" t="str">
        <f>IFERROR(__xludf.DUMMYFUNCTION("""COMPUTED_VALUE"""),"ORF Fee")</f>
        <v>ORF Fee</v>
      </c>
      <c r="AA5" s="30" t="str">
        <f>IFERROR(__xludf.DUMMYFUNCTION("""COMPUTED_VALUE"""),"Fx Rate")</f>
        <v>Fx Rate</v>
      </c>
      <c r="AB5" s="30" t="str">
        <f>IFERROR(__xludf.DUMMYFUNCTION("""COMPUTED_VALUE"""),"Modify Date")</f>
        <v>Modify Date</v>
      </c>
      <c r="AC5" s="30" t="str">
        <f>IFERROR(__xludf.DUMMYFUNCTION("""COMPUTED_VALUE"""),"Entry Date")</f>
        <v>Entry Date</v>
      </c>
      <c r="AD5" s="30" t="str">
        <f>IFERROR(__xludf.DUMMYFUNCTION("""COMPUTED_VALUE"""),"User")</f>
        <v>User</v>
      </c>
      <c r="AE5" s="30" t="str">
        <f>IFERROR(__xludf.DUMMYFUNCTION("""COMPUTED_VALUE"""),"FX Conversion Method Operator")</f>
        <v>FX Conversion Method Operator</v>
      </c>
      <c r="AF5" s="30" t="str">
        <f>IFERROR(__xludf.DUMMYFUNCTION("""COMPUTED_VALUE"""),"Description")</f>
        <v>Description</v>
      </c>
      <c r="AG5" s="30" t="str">
        <f>IFERROR(__xludf.DUMMYFUNCTION("""COMPUTED_VALUE"""),"Activity Source")</f>
        <v>Activity Source</v>
      </c>
      <c r="AH5" s="30" t="str">
        <f>IFERROR(__xludf.DUMMYFUNCTION("""COMPUTED_VALUE"""),"OptionPremiumAdjustment")</f>
        <v>OptionPremiumAdjustment</v>
      </c>
      <c r="AI5" s="30" t="str">
        <f>IFERROR(__xludf.DUMMYFUNCTION("""COMPUTED_VALUE"""),"Settlement Currency")</f>
        <v>Settlement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v>44506.0</v>
      </c>
      <c r="C6" s="43" t="s">
        <v>18</v>
      </c>
      <c r="D6" s="43" t="s">
        <v>16</v>
      </c>
      <c r="E6" s="43" t="s">
        <v>23</v>
      </c>
      <c r="F6" s="43">
        <v>0.0</v>
      </c>
      <c r="G6" s="43" t="s">
        <v>28</v>
      </c>
      <c r="H6" s="43" t="s">
        <v>29</v>
      </c>
      <c r="I6" s="43">
        <v>0.0</v>
      </c>
      <c r="J6" s="8"/>
      <c r="K6" s="8"/>
      <c r="L6" s="8"/>
      <c r="M6" s="8"/>
      <c r="N6" s="8"/>
      <c r="O6" s="8"/>
    </row>
    <row r="7" ht="15.75" customHeight="1">
      <c r="A7" s="44"/>
      <c r="B7" s="45">
        <v>44508.0</v>
      </c>
      <c r="C7" s="46" t="s">
        <v>18</v>
      </c>
      <c r="D7" s="46" t="s">
        <v>16</v>
      </c>
      <c r="E7" s="46" t="s">
        <v>23</v>
      </c>
      <c r="F7" s="47">
        <v>21.92</v>
      </c>
      <c r="G7" s="46" t="s">
        <v>28</v>
      </c>
      <c r="H7" s="46" t="s">
        <v>29</v>
      </c>
      <c r="I7" s="46">
        <v>0.0</v>
      </c>
      <c r="J7" s="48"/>
      <c r="K7" s="49"/>
      <c r="L7" s="49"/>
      <c r="M7" s="49"/>
      <c r="N7" s="31"/>
      <c r="O7" s="49"/>
      <c r="P7" s="49"/>
      <c r="Q7" s="49"/>
      <c r="R7" s="31"/>
      <c r="S7" s="49"/>
      <c r="T7" s="49"/>
    </row>
    <row r="8" ht="15.75" customHeight="1">
      <c r="A8" s="8"/>
      <c r="B8" s="42">
        <v>44507.0</v>
      </c>
      <c r="C8" s="43" t="s">
        <v>18</v>
      </c>
      <c r="D8" s="43" t="s">
        <v>16</v>
      </c>
      <c r="E8" s="43" t="s">
        <v>23</v>
      </c>
      <c r="F8" s="50">
        <v>21.92</v>
      </c>
      <c r="G8" s="43" t="s">
        <v>28</v>
      </c>
      <c r="H8" s="43" t="s">
        <v>29</v>
      </c>
      <c r="I8" s="43">
        <v>0.0</v>
      </c>
      <c r="J8" s="8"/>
      <c r="K8" s="8"/>
      <c r="L8" s="8"/>
      <c r="M8" s="8"/>
      <c r="N8" s="8"/>
      <c r="O8" s="8"/>
    </row>
    <row r="9" ht="15.75" customHeight="1">
      <c r="A9" s="8"/>
      <c r="B9" s="45">
        <v>44505.0</v>
      </c>
      <c r="C9" s="46" t="s">
        <v>18</v>
      </c>
      <c r="D9" s="46" t="s">
        <v>16</v>
      </c>
      <c r="E9" s="46" t="s">
        <v>23</v>
      </c>
      <c r="F9" s="46">
        <v>0.0</v>
      </c>
      <c r="G9" s="46" t="s">
        <v>28</v>
      </c>
      <c r="H9" s="46" t="s">
        <v>29</v>
      </c>
      <c r="I9" s="46">
        <v>0.0</v>
      </c>
      <c r="J9" s="8"/>
      <c r="K9" s="8"/>
      <c r="L9" s="8"/>
      <c r="M9" s="8"/>
      <c r="N9" s="8"/>
      <c r="O9" s="8"/>
    </row>
    <row r="10" ht="15.75" customHeight="1">
      <c r="A10" s="51"/>
      <c r="B10" s="52">
        <v>44509.0</v>
      </c>
      <c r="C10" s="53" t="s">
        <v>18</v>
      </c>
      <c r="D10" s="53" t="s">
        <v>16</v>
      </c>
      <c r="E10" s="53" t="s">
        <v>23</v>
      </c>
      <c r="F10" s="54">
        <v>21.92</v>
      </c>
      <c r="G10" s="53" t="s">
        <v>28</v>
      </c>
      <c r="H10" s="53" t="s">
        <v>29</v>
      </c>
      <c r="I10" s="53">
        <v>0.0</v>
      </c>
      <c r="J10" s="55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1IuJkgEDoDUSnmXhZVZdA_x-3VnlMPyzRsUMpf_eRTTQ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4"/>
      <c r="C6" s="35" t="s">
        <v>18</v>
      </c>
      <c r="D6" s="36">
        <v>44505.0</v>
      </c>
      <c r="E6" s="36">
        <v>44509.0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2">
        <v>44505.0</v>
      </c>
      <c r="D6" s="32">
        <v>44505.0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IFERROR(__xludf.DUMMYFUNCTION("""COMPUTED_VALUE"""),"Modify Date")</f>
        <v>Modify Date</v>
      </c>
      <c r="D5" s="28" t="str">
        <f>IFERROR(__xludf.DUMMYFUNCTION("""COMPUTED_VALUE"""),"Entry Date")</f>
        <v>Entry Date</v>
      </c>
      <c r="E5" s="28" t="str">
        <f>IFERROR(__xludf.DUMMYFUNCTION("""COMPUTED_VALUE"""),"DR")</f>
        <v>DR</v>
      </c>
      <c r="F5" s="29" t="str">
        <f>IFERROR(__xludf.DUMMYFUNCTION("""COMPUTED_VALUE"""),"CR")</f>
        <v>CR</v>
      </c>
      <c r="G5" s="28" t="str">
        <f>IFERROR(__xludf.DUMMYFUNCTION("""COMPUTED_VALUE"""),"Fx Rate")</f>
        <v>Fx Rate</v>
      </c>
      <c r="H5" s="28" t="str">
        <f>IFERROR(__xludf.DUMMYFUNCTION("""COMPUTED_VALUE"""),"FX Conversion Method Operator")</f>
        <v>FX Conversion Method Operator</v>
      </c>
      <c r="I5" s="28" t="str">
        <f>IFERROR(__xludf.DUMMYFUNCTION("""COMPUTED_VALUE"""),"Account Side")</f>
        <v>Account Side</v>
      </c>
      <c r="J5" s="28" t="str">
        <f>IFERROR(__xludf.DUMMYFUNCTION("""COMPUTED_VALUE"""),"TransactionSource")</f>
        <v>TransactionSource</v>
      </c>
      <c r="K5" s="28" t="str">
        <f>IFERROR(__xludf.DUMMYFUNCTION("""COMPUTED_VALUE"""),"Currency")</f>
        <v>Currency</v>
      </c>
      <c r="L5" s="28" t="str">
        <f>IFERROR(__xludf.DUMMYFUNCTION("""COMPUTED_VALUE"""),"Base Currency")</f>
        <v>Base Currency</v>
      </c>
      <c r="M5" s="28" t="str">
        <f>IFERROR(__xludf.DUMMYFUNCTION("""COMPUTED_VALUE"""),"Symbol")</f>
        <v>Symbol</v>
      </c>
      <c r="N5" s="28" t="str">
        <f>IFERROR(__xludf.DUMMYFUNCTION("""COMPUTED_VALUE"""),"Description")</f>
        <v>Description</v>
      </c>
      <c r="O5" s="28" t="str">
        <f>IFERROR(__xludf.DUMMYFUNCTION("""COMPUTED_VALUE"""),"DR (Base)")</f>
        <v>DR (Base)</v>
      </c>
      <c r="P5" s="28" t="str">
        <f>IFERROR(__xludf.DUMMYFUNCTION("""COMPUTED_VALUE"""),"CR (Base)")</f>
        <v>CR (Base)</v>
      </c>
      <c r="Q5" s="28" t="str">
        <f>IFERROR(__xludf.DUMMYFUNCTION("""COMPUTED_VALUE"""),"Cash Sub-Account")</f>
        <v>Cash Sub-Account</v>
      </c>
      <c r="R5" s="28" t="str">
        <f>IFERROR(__xludf.DUMMYFUNCTION("""COMPUTED_VALUE"""),"Account")</f>
        <v>Account</v>
      </c>
      <c r="S5" s="28" t="str">
        <f>IFERROR(__xludf.DUMMYFUNCTION("""COMPUTED_VALUE"""),"TaxLotId")</f>
        <v>TaxLotId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7">
        <v>87.67123288</v>
      </c>
      <c r="F6" s="58">
        <v>0.0</v>
      </c>
      <c r="G6" s="31">
        <v>0.0</v>
      </c>
      <c r="H6" s="31" t="s">
        <v>35</v>
      </c>
      <c r="I6" s="31" t="s">
        <v>36</v>
      </c>
      <c r="J6" s="31" t="s">
        <v>37</v>
      </c>
      <c r="K6" s="31" t="s">
        <v>23</v>
      </c>
      <c r="L6" s="31" t="s">
        <v>22</v>
      </c>
      <c r="M6" s="31" t="s">
        <v>16</v>
      </c>
      <c r="N6" s="31" t="s">
        <v>38</v>
      </c>
      <c r="O6" s="31">
        <v>0.0</v>
      </c>
      <c r="P6" s="31">
        <v>0.0</v>
      </c>
      <c r="Q6" s="31" t="s">
        <v>39</v>
      </c>
      <c r="R6" s="59" t="s">
        <v>18</v>
      </c>
    </row>
    <row r="7" ht="15.75" customHeight="1">
      <c r="A7" s="8"/>
      <c r="B7" s="8"/>
      <c r="C7" s="8"/>
      <c r="D7" s="8"/>
      <c r="E7" s="60">
        <v>0.0</v>
      </c>
      <c r="F7" s="61">
        <v>87.67123288</v>
      </c>
      <c r="G7" s="49">
        <v>0.0</v>
      </c>
      <c r="H7" s="49" t="s">
        <v>35</v>
      </c>
      <c r="I7" s="49" t="s">
        <v>40</v>
      </c>
      <c r="J7" s="49" t="s">
        <v>37</v>
      </c>
      <c r="K7" s="31" t="s">
        <v>23</v>
      </c>
      <c r="L7" s="49" t="s">
        <v>22</v>
      </c>
      <c r="M7" s="31" t="s">
        <v>16</v>
      </c>
      <c r="N7" s="31" t="s">
        <v>38</v>
      </c>
      <c r="O7" s="49">
        <v>0.0</v>
      </c>
      <c r="P7" s="49">
        <v>0.0</v>
      </c>
      <c r="Q7" s="49" t="s">
        <v>41</v>
      </c>
      <c r="R7" s="62" t="s">
        <v>18</v>
      </c>
    </row>
    <row r="8" ht="15.75" customHeight="1">
      <c r="A8" s="8"/>
      <c r="B8" s="8"/>
      <c r="C8" s="8"/>
      <c r="D8" s="8"/>
      <c r="E8" s="57">
        <v>100000.0</v>
      </c>
      <c r="F8" s="58">
        <v>0.0</v>
      </c>
      <c r="G8" s="31">
        <v>0.0</v>
      </c>
      <c r="H8" s="31" t="s">
        <v>35</v>
      </c>
      <c r="I8" s="31" t="s">
        <v>36</v>
      </c>
      <c r="J8" s="31" t="s">
        <v>37</v>
      </c>
      <c r="K8" s="31" t="s">
        <v>23</v>
      </c>
      <c r="L8" s="31" t="s">
        <v>22</v>
      </c>
      <c r="M8" s="31" t="s">
        <v>16</v>
      </c>
      <c r="N8" s="31" t="s">
        <v>38</v>
      </c>
      <c r="O8" s="31">
        <v>0.0</v>
      </c>
      <c r="P8" s="31">
        <v>0.0</v>
      </c>
      <c r="Q8" s="31" t="s">
        <v>42</v>
      </c>
      <c r="R8" s="59" t="s">
        <v>18</v>
      </c>
    </row>
    <row r="9" ht="15.75" customHeight="1">
      <c r="A9" s="8"/>
      <c r="B9" s="8"/>
      <c r="C9" s="8"/>
      <c r="D9" s="8"/>
      <c r="E9" s="60">
        <v>0.0</v>
      </c>
      <c r="F9" s="61">
        <v>100000.0</v>
      </c>
      <c r="G9" s="49">
        <v>0.0</v>
      </c>
      <c r="H9" s="49" t="s">
        <v>35</v>
      </c>
      <c r="I9" s="49" t="s">
        <v>40</v>
      </c>
      <c r="J9" s="49" t="s">
        <v>37</v>
      </c>
      <c r="K9" s="31" t="s">
        <v>23</v>
      </c>
      <c r="L9" s="49" t="s">
        <v>22</v>
      </c>
      <c r="M9" s="31" t="s">
        <v>16</v>
      </c>
      <c r="N9" s="31" t="s">
        <v>38</v>
      </c>
      <c r="O9" s="49">
        <v>0.0</v>
      </c>
      <c r="P9" s="49">
        <v>0.0</v>
      </c>
      <c r="Q9" s="49" t="s">
        <v>41</v>
      </c>
      <c r="R9" s="62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8"/>
      <c r="B6" s="8" t="s">
        <v>18</v>
      </c>
      <c r="C6" s="8" t="s">
        <v>44</v>
      </c>
      <c r="D6" s="8">
        <v>87.6712328767123</v>
      </c>
      <c r="E6" s="8">
        <v>100000.0</v>
      </c>
      <c r="F6" s="8" t="s">
        <v>45</v>
      </c>
      <c r="G6" s="8" t="s">
        <v>46</v>
      </c>
      <c r="H6" s="8">
        <v>0.0</v>
      </c>
      <c r="I6" s="8">
        <v>0.0</v>
      </c>
      <c r="J6" s="8">
        <v>80.0</v>
      </c>
      <c r="K6" s="8">
        <v>0.0</v>
      </c>
      <c r="L6" s="8">
        <v>100.0</v>
      </c>
      <c r="M6" s="8"/>
      <c r="N6" s="8" t="s">
        <v>44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V6" t="s">
        <v>16</v>
      </c>
      <c r="W6">
        <v>0.01</v>
      </c>
      <c r="X6" t="s">
        <v>44</v>
      </c>
      <c r="Y6" t="s">
        <v>44</v>
      </c>
      <c r="Z6" t="s">
        <v>23</v>
      </c>
      <c r="AB6">
        <v>1.0</v>
      </c>
      <c r="AC6" t="s">
        <v>38</v>
      </c>
      <c r="AD6" t="s">
        <v>49</v>
      </c>
      <c r="AE6">
        <v>100000.0</v>
      </c>
      <c r="AF6" t="s">
        <v>44</v>
      </c>
      <c r="AH6" t="s">
        <v>35</v>
      </c>
      <c r="AI6">
        <v>0.0</v>
      </c>
      <c r="AJ6" t="s">
        <v>50</v>
      </c>
      <c r="AM6" t="s">
        <v>51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0.0</v>
      </c>
      <c r="AU6">
        <v>100087.671232877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0.0</v>
      </c>
      <c r="BF6">
        <v>100000.0</v>
      </c>
      <c r="BJ6">
        <v>100000.0</v>
      </c>
      <c r="BK6">
        <v>0.0</v>
      </c>
      <c r="BL6" t="s">
        <v>44</v>
      </c>
      <c r="BM6" t="s">
        <v>23</v>
      </c>
      <c r="BO6" t="s">
        <v>17</v>
      </c>
      <c r="BP6">
        <v>0.0</v>
      </c>
      <c r="BQ6">
        <v>0.0</v>
      </c>
      <c r="BR6">
        <v>0.0</v>
      </c>
      <c r="BS6" t="s">
        <v>54</v>
      </c>
      <c r="BT6" t="s">
        <v>16</v>
      </c>
      <c r="BU6">
        <v>0.0</v>
      </c>
      <c r="BV6">
        <v>0.0</v>
      </c>
      <c r="BW6">
        <v>0.0</v>
      </c>
      <c r="BX6">
        <v>0.0</v>
      </c>
      <c r="CF6" t="s">
        <v>55</v>
      </c>
      <c r="CG6">
        <v>0.0</v>
      </c>
      <c r="CH6" t="s">
        <v>12</v>
      </c>
      <c r="CI6" t="s">
        <v>17</v>
      </c>
      <c r="CJ6">
        <v>0.0</v>
      </c>
      <c r="CK6" t="s">
        <v>56</v>
      </c>
      <c r="CL6">
        <v>1.0</v>
      </c>
      <c r="CM6" t="s">
        <v>16</v>
      </c>
      <c r="CN6" t="s">
        <v>57</v>
      </c>
      <c r="CO6" t="s">
        <v>58</v>
      </c>
      <c r="CS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63"/>
      <c r="B10" s="63"/>
      <c r="C10" s="8"/>
      <c r="D10" s="6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