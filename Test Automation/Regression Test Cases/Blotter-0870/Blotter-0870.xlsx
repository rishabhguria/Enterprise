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ServerConfig" sheetId="4" r:id="rId6"/>
    <sheet state="visible" name="CustomOrderTT" sheetId="5" r:id="rId7"/>
    <sheet state="visible" name="SelectTrade" sheetId="6" r:id="rId8"/>
    <sheet state="visible" name="AcknowledgeTrade" sheetId="7" r:id="rId9"/>
    <sheet state="visible" name="ExecuteTrade" sheetId="8" r:id="rId10"/>
    <sheet state="visible" name="ExecuteTrade1" sheetId="9" r:id="rId11"/>
    <sheet state="visible" name="ExecuteTrade2" sheetId="10" r:id="rId12"/>
    <sheet state="visible" name="ChangeDate" sheetId="11" r:id="rId13"/>
    <sheet state="visible" name="RestartReleasesAndServices" sheetId="12" r:id="rId14"/>
    <sheet state="visible" name="SelectTradeOnOrderGrid" sheetId="13" r:id="rId15"/>
    <sheet state="visible" name="ReplaceSubOrder" sheetId="14" r:id="rId16"/>
    <sheet state="visible" name="CustomOrderTT1" sheetId="15" r:id="rId17"/>
    <sheet state="visible" name="AllocateFromBlotter" sheetId="16" r:id="rId18"/>
    <sheet state="visible" name="VerifySubOrder" sheetId="17" r:id="rId19"/>
    <sheet state="visible" name="GetDataAllocation" sheetId="18" r:id="rId20"/>
    <sheet state="visible" name="CheckAllocatedGroups" sheetId="19" r:id="rId21"/>
    <sheet state="visible" name="CheckAllocatedGroups1" sheetId="20" r:id="rId22"/>
    <sheet state="visible" name="ChangeDate1" sheetId="21" r:id="rId23"/>
    <sheet state="visible" name="AddCalculatedPreferences" sheetId="22" r:id="rId24"/>
    <sheet state="visible" name="SetAccountValueCalculatedPref" sheetId="23" r:id="rId25"/>
    <sheet state="visible" name="SetDefaultRuleCalculatedPref" sheetId="24" r:id="rId26"/>
    <sheet state="visible" name="SelectUnallocatedGroup" sheetId="25" r:id="rId27"/>
    <sheet state="visible" name="EnterAccountValuesToAllocate" sheetId="26" r:id="rId28"/>
  </sheets>
  <definedNames/>
  <calcPr/>
</workbook>
</file>

<file path=xl/sharedStrings.xml><?xml version="1.0" encoding="utf-8"?>
<sst xmlns="http://schemas.openxmlformats.org/spreadsheetml/2006/main" count="891" uniqueCount="291">
  <si>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</si>
  <si>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</si>
  <si>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</si>
  <si>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</si>
  <si>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</si>
  <si>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</si>
  <si>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</si>
  <si>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</si>
  <si>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</si>
  <si>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</si>
  <si>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</si>
  <si>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</si>
  <si>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TradeServer</t>
  </si>
  <si>
    <t>UpdateServerConfig</t>
  </si>
  <si>
    <t>Data Format</t>
  </si>
  <si>
    <t>Input Format</t>
  </si>
  <si>
    <t>AppSetting_Key</t>
  </si>
  <si>
    <t>AppSetting_Value</t>
  </si>
  <si>
    <t>MultiDayTIF</t>
  </si>
  <si>
    <t>TradingTicket</t>
  </si>
  <si>
    <t>CustomOrderTT</t>
  </si>
  <si>
    <t>Symbol</t>
  </si>
  <si>
    <t>Quantity</t>
  </si>
  <si>
    <t>Price</t>
  </si>
  <si>
    <t>Order type button</t>
  </si>
  <si>
    <t>SharesOutstandingPopUp</t>
  </si>
  <si>
    <t>TT_Open</t>
  </si>
  <si>
    <t>SharesOutstandingPopUpQty</t>
  </si>
  <si>
    <t>AllocationMethod</t>
  </si>
  <si>
    <t>Order Side</t>
  </si>
  <si>
    <t>DB_Check</t>
  </si>
  <si>
    <t>CommissionBasis</t>
  </si>
  <si>
    <t>CommissionRate</t>
  </si>
  <si>
    <t>SoftBasis</t>
  </si>
  <si>
    <t>SoftRate</t>
  </si>
  <si>
    <t>Account</t>
  </si>
  <si>
    <t>Account %</t>
  </si>
  <si>
    <t>VerifySuggestions</t>
  </si>
  <si>
    <t>SymbolToPickFromSuggesstions</t>
  </si>
  <si>
    <t>TypedSymbolAvailableOnSuggestion</t>
  </si>
  <si>
    <t>TIF</t>
  </si>
  <si>
    <t>Order Type</t>
  </si>
  <si>
    <t>Stop</t>
  </si>
  <si>
    <t>Limit</t>
  </si>
  <si>
    <t>Expiration Date</t>
  </si>
  <si>
    <t>Trade Date</t>
  </si>
  <si>
    <t>Broker</t>
  </si>
  <si>
    <t>Padlock Visiblity</t>
  </si>
  <si>
    <t>Padlock Unlock</t>
  </si>
  <si>
    <t>Venue</t>
  </si>
  <si>
    <t>Fx Rate</t>
  </si>
  <si>
    <t>Fx Operator</t>
  </si>
  <si>
    <t>PendingApprovalPopUp</t>
  </si>
  <si>
    <t>TradeBy</t>
  </si>
  <si>
    <t>BookAsSwap</t>
  </si>
  <si>
    <t>RoundLot</t>
  </si>
  <si>
    <t>Increment</t>
  </si>
  <si>
    <t>Decrement</t>
  </si>
  <si>
    <t>Trade Attribute 01</t>
  </si>
  <si>
    <t>Trade Attribute 02</t>
  </si>
  <si>
    <t>Trade Attribute 03</t>
  </si>
  <si>
    <t>Trade Attribute 04</t>
  </si>
  <si>
    <t>Trade Attribute 05</t>
  </si>
  <si>
    <t>Trade Attribute 06</t>
  </si>
  <si>
    <t>MSFT</t>
  </si>
  <si>
    <t>Send</t>
  </si>
  <si>
    <t>Unallocated</t>
  </si>
  <si>
    <t>Buy</t>
  </si>
  <si>
    <t>Good Till Date</t>
  </si>
  <si>
    <t>Simulator</t>
  </si>
  <si>
    <t>SelectTrade</t>
  </si>
  <si>
    <t>Side</t>
  </si>
  <si>
    <t>AvgPrice</t>
  </si>
  <si>
    <t>AcknowledgeTrade</t>
  </si>
  <si>
    <t>ExecuteTrade</t>
  </si>
  <si>
    <t>Shares</t>
  </si>
  <si>
    <t>ClearAllPrice</t>
  </si>
  <si>
    <t>Admin</t>
  </si>
  <si>
    <t>ChangeDate</t>
  </si>
  <si>
    <t>DateOrReset</t>
  </si>
  <si>
    <t>Today()+1</t>
  </si>
  <si>
    <t>Compliance</t>
  </si>
  <si>
    <t>RestartReleasesAndServices</t>
  </si>
  <si>
    <t>Restart Basket</t>
  </si>
  <si>
    <t>DontShutSimulator</t>
  </si>
  <si>
    <t>Blotter</t>
  </si>
  <si>
    <t>SelectTradeOnOrderGrid</t>
  </si>
  <si>
    <t>Avg Fill Price (Base)</t>
  </si>
  <si>
    <t>Transaction Time</t>
  </si>
  <si>
    <t>Algo</t>
  </si>
  <si>
    <t>Status</t>
  </si>
  <si>
    <t>Target Qty</t>
  </si>
  <si>
    <t>Total Executed Qty</t>
  </si>
  <si>
    <t>% Executed</t>
  </si>
  <si>
    <t>Day Executed Qty</t>
  </si>
  <si>
    <t>Uncommitted Qty</t>
  </si>
  <si>
    <t>Limit Price</t>
  </si>
  <si>
    <t>Last Fill Price (Local)</t>
  </si>
  <si>
    <t>Stop Price</t>
  </si>
  <si>
    <t>Avg Fill Price (Local)</t>
  </si>
  <si>
    <t>OrderID</t>
  </si>
  <si>
    <t>Principal Amount (Local)</t>
  </si>
  <si>
    <t>Principal Amount (Base)</t>
  </si>
  <si>
    <t>Peg</t>
  </si>
  <si>
    <t>ParentClOrderID</t>
  </si>
  <si>
    <t>Strike Price</t>
  </si>
  <si>
    <t>Last Shares</t>
  </si>
  <si>
    <t>Working Qty</t>
  </si>
  <si>
    <t>Bloomberg Symbol</t>
  </si>
  <si>
    <t>Imported File Name</t>
  </si>
  <si>
    <t>Master Fund</t>
  </si>
  <si>
    <t>Day Average Price</t>
  </si>
  <si>
    <t>Asset Class</t>
  </si>
  <si>
    <t>Underlying Country</t>
  </si>
  <si>
    <t>Trader</t>
  </si>
  <si>
    <t>User</t>
  </si>
  <si>
    <t>Settlement Currency</t>
  </si>
  <si>
    <t>FX Conversion Operator</t>
  </si>
  <si>
    <t>Process Date</t>
  </si>
  <si>
    <t>Underlying Symbol</t>
  </si>
  <si>
    <t>Put/Call</t>
  </si>
  <si>
    <t>FX Rate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</si>
  <si>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</si>
  <si>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</si>
  <si>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</si>
  <si>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</si>
  <si>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</si>
  <si>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</si>
  <si>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Internal Comments</t>
  </si>
  <si>
    <t>Allocation Scheme Name</t>
  </si>
  <si>
    <t>Start of Day Qty</t>
  </si>
  <si>
    <t>Leaves</t>
  </si>
  <si>
    <t>CheckBox</t>
  </si>
  <si>
    <t>Action on toolbar</t>
  </si>
  <si>
    <t>ReplaceSubOrder</t>
  </si>
  <si>
    <t>Settlement FxRate Operator</t>
  </si>
  <si>
    <t>Executed Qty</t>
  </si>
  <si>
    <t>Remaining Qty</t>
  </si>
  <si>
    <t>Settlement FxRate</t>
  </si>
  <si>
    <t>Settlement Price</t>
  </si>
  <si>
    <t>Replace</t>
  </si>
  <si>
    <t>GTC</t>
  </si>
  <si>
    <t>AllocateFromBlotter</t>
  </si>
  <si>
    <t>PreferenceName</t>
  </si>
  <si>
    <t>Target Allocation Percentage</t>
  </si>
  <si>
    <t>TargetAllocationQuantity</t>
  </si>
  <si>
    <t>ViewAllocationVerfication</t>
  </si>
  <si>
    <t>RESET</t>
  </si>
  <si>
    <t>Positions_Symbol</t>
  </si>
  <si>
    <t>VerifySubOrder</t>
  </si>
  <si>
    <t>Current User</t>
  </si>
  <si>
    <t>Status (With Rollover)</t>
  </si>
  <si>
    <t>Unexecuted Qty</t>
  </si>
  <si>
    <t>Strategy</t>
  </si>
  <si>
    <t>Actual User</t>
  </si>
  <si>
    <t>% Completed</t>
  </si>
  <si>
    <t>MandatoryColumn</t>
  </si>
  <si>
    <t>Expiry Date</t>
  </si>
  <si>
    <t>MSFT US EQUITY</t>
  </si>
  <si>
    <t>NASDAQ</t>
  </si>
  <si>
    <t>jpearce</t>
  </si>
  <si>
    <t>GCCAP1</t>
  </si>
  <si>
    <t>USD</t>
  </si>
  <si>
    <t>NONE</t>
  </si>
  <si>
    <t>DefaultNotes</t>
  </si>
  <si>
    <t>M</t>
  </si>
  <si>
    <t>Equity</t>
  </si>
  <si>
    <t>Replaced</t>
  </si>
  <si>
    <t>MS</t>
  </si>
  <si>
    <t>Allocation2</t>
  </si>
  <si>
    <t>Strategy Unallocated</t>
  </si>
  <si>
    <t>Allocation</t>
  </si>
  <si>
    <t>GetDataAllocation</t>
  </si>
  <si>
    <t>RangeType</t>
  </si>
  <si>
    <t>From</t>
  </si>
  <si>
    <t>To</t>
  </si>
  <si>
    <t>FilterTabName</t>
  </si>
  <si>
    <t>Asset</t>
  </si>
  <si>
    <t>Currency</t>
  </si>
  <si>
    <t>Exchange</t>
  </si>
  <si>
    <t>StrategyName</t>
  </si>
  <si>
    <t>Underlying</t>
  </si>
  <si>
    <t>TradingAccount</t>
  </si>
  <si>
    <t>PreAllocated</t>
  </si>
  <si>
    <t>ManualGroup</t>
  </si>
  <si>
    <t>Historical</t>
  </si>
  <si>
    <t>CheckAllocatedGroups</t>
  </si>
  <si>
    <t>Account Name</t>
  </si>
  <si>
    <t>Accrual Basis</t>
  </si>
  <si>
    <t>Accrued Interest</t>
  </si>
  <si>
    <t>Allocated Qty</t>
  </si>
  <si>
    <t>Asset Category</t>
  </si>
  <si>
    <t>AUEC Fee1</t>
  </si>
  <si>
    <t>AUEC Fee2</t>
  </si>
  <si>
    <t>AUECID</t>
  </si>
  <si>
    <t>Avg Price(Base)</t>
  </si>
  <si>
    <t>Avg Price(Local)</t>
  </si>
  <si>
    <t>Bloomberg</t>
  </si>
  <si>
    <t>Bond Type</t>
  </si>
  <si>
    <t>Change Comment</t>
  </si>
  <si>
    <t>Change Type</t>
  </si>
  <si>
    <t>Clearing Broker Fee</t>
  </si>
  <si>
    <t>Closing Status</t>
  </si>
  <si>
    <t>Commission</t>
  </si>
  <si>
    <t>Commission Per Share</t>
  </si>
  <si>
    <t>Company</t>
  </si>
  <si>
    <t>Contract Multiplier</t>
  </si>
  <si>
    <t>Coupon Rate</t>
  </si>
  <si>
    <t>Cum Qty For Sub Order</t>
  </si>
  <si>
    <t>Cusip Symbol</t>
  </si>
  <si>
    <t>Delta</t>
  </si>
  <si>
    <t>Description</t>
  </si>
  <si>
    <t>Exceution Time</t>
  </si>
  <si>
    <t>Group Status</t>
  </si>
  <si>
    <t>IDCOSymbol</t>
  </si>
  <si>
    <t>Import File Name</t>
  </si>
  <si>
    <t>IsAnotherTaxlotAttributesUpdated</t>
  </si>
  <si>
    <t>ISIN</t>
  </si>
  <si>
    <t>IsManual Group</t>
  </si>
  <si>
    <t>ISNDF</t>
  </si>
  <si>
    <t>IsPreAllocated</t>
  </si>
  <si>
    <t>M2MProfitLoss</t>
  </si>
  <si>
    <t>Net Amount( Base)</t>
  </si>
  <si>
    <t>Net Amount( Local)</t>
  </si>
  <si>
    <t>Nirvana Process Date</t>
  </si>
  <si>
    <t>OCC Fee</t>
  </si>
  <si>
    <t>Option Premium Adjustment</t>
  </si>
  <si>
    <t>ORF Fee</t>
  </si>
  <si>
    <t>Original Purchase Date</t>
  </si>
  <si>
    <t>OSISSymbol</t>
  </si>
  <si>
    <t>Other Broker Fees</t>
  </si>
  <si>
    <t>Prana Msg Type</t>
  </si>
  <si>
    <t>Principal Amount( Base)</t>
  </si>
  <si>
    <t>Principal Amount( Local)</t>
  </si>
  <si>
    <t>Proxy Symbol</t>
  </si>
  <si>
    <t>Put Or Call</t>
  </si>
  <si>
    <t>SEC Fee</t>
  </si>
  <si>
    <t>Sedol Symbol</t>
  </si>
  <si>
    <t>Settlement Date</t>
  </si>
  <si>
    <t>Soft Commission</t>
  </si>
  <si>
    <t>Soft Commission Per Share</t>
  </si>
  <si>
    <t>Stamp Duty</t>
  </si>
  <si>
    <t>Strategy Name</t>
  </si>
  <si>
    <t>Tax On Commissions</t>
  </si>
  <si>
    <t>Total Commission</t>
  </si>
  <si>
    <t>Total Commission And Fee</t>
  </si>
  <si>
    <t>Total Commission Per Share</t>
  </si>
  <si>
    <t>Trading Account</t>
  </si>
  <si>
    <t>Transaction Levy</t>
  </si>
  <si>
    <t>Transaction Source</t>
  </si>
  <si>
    <t>Transaction Type</t>
  </si>
  <si>
    <t>UnAllocatedQty</t>
  </si>
  <si>
    <t>Underlying Delta</t>
  </si>
  <si>
    <t>Closing Method</t>
  </si>
  <si>
    <t>Closing Date</t>
  </si>
  <si>
    <t>GroupID</t>
  </si>
  <si>
    <t>Client</t>
  </si>
  <si>
    <t>Borrow Broker</t>
  </si>
  <si>
    <t>ACTIV Symbol</t>
  </si>
  <si>
    <t>Borrower Id</t>
  </si>
  <si>
    <t>Borrow Rate(%)</t>
  </si>
  <si>
    <t>Testing Type</t>
  </si>
  <si>
    <t>Testing Column</t>
  </si>
  <si>
    <t>Testing Col Value</t>
  </si>
  <si>
    <t>DuplicateRow</t>
  </si>
  <si>
    <t>DuplicateCountOnUI</t>
  </si>
  <si>
    <t>Actual_365</t>
  </si>
  <si>
    <t>Treasury</t>
  </si>
  <si>
    <t>Open</t>
  </si>
  <si>
    <t>MICROSOFT INC</t>
  </si>
  <si>
    <t>None</t>
  </si>
  <si>
    <t>InternalOrder</t>
  </si>
  <si>
    <t>FIX</t>
  </si>
  <si>
    <t>NewMF1</t>
  </si>
  <si>
    <t>US</t>
  </si>
  <si>
    <t>Manual</t>
  </si>
  <si>
    <t>reset</t>
  </si>
  <si>
    <t>Test</t>
  </si>
  <si>
    <t>AccountName</t>
  </si>
  <si>
    <t>Percentage</t>
  </si>
  <si>
    <t>Allocation1</t>
  </si>
  <si>
    <t>RemainderAllocationTo</t>
  </si>
  <si>
    <t>Target%AsOf</t>
  </si>
  <si>
    <t>ProrataAccounts</t>
  </si>
  <si>
    <t>DateUptoDays</t>
  </si>
  <si>
    <t>MatchClosingTransactions</t>
  </si>
  <si>
    <t>Trade Quantity</t>
  </si>
  <si>
    <t>Current Preference</t>
  </si>
  <si>
    <t>Execution Time</t>
  </si>
  <si>
    <t>Account Percentage</t>
  </si>
  <si>
    <t>Account Quantity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</si>
</sst>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222222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6" fontId="13" numFmtId="0" xfId="0" applyAlignment="1" applyFill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14" xfId="0" applyAlignment="1" applyFont="1" applyNumberFormat="1">
      <alignment vertical="bottom"/>
    </xf>
    <xf borderId="0" fillId="0" fontId="5" numFmtId="0" xfId="0" applyAlignment="1" applyFont="1">
      <alignment readingOrder="0" shrinkToFit="0" wrapText="0"/>
    </xf>
    <xf borderId="0" fillId="5" fontId="4" numFmtId="0" xfId="0" applyAlignment="1" applyFont="1">
      <alignment readingOrder="0" shrinkToFit="0" wrapText="0"/>
    </xf>
    <xf borderId="0" fillId="0" fontId="3" numFmtId="0" xfId="0" applyAlignment="1" applyFont="1">
      <alignment horizontal="center" vertical="bottom"/>
    </xf>
    <xf borderId="0" fillId="5" fontId="10" numFmtId="0" xfId="0" applyAlignment="1" applyFont="1">
      <alignment readingOrder="0"/>
    </xf>
    <xf borderId="0" fillId="0" fontId="3" numFmtId="14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5" fontId="3" numFmtId="0" xfId="0" applyAlignment="1" applyFont="1">
      <alignment vertical="bottom"/>
    </xf>
    <xf borderId="4" fillId="5" fontId="4" numFmtId="0" xfId="0" applyAlignment="1" applyBorder="1" applyFont="1">
      <alignment readingOrder="0" vertical="bottom"/>
    </xf>
    <xf borderId="4" fillId="5" fontId="3" numFmtId="0" xfId="0" applyAlignment="1" applyBorder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IFERROR(__xludf.DUMMYFUNCTION("IF(C3="""","""",Transpose(IMPORTRANGE('_Settings'!$B$3,C3&amp;""!A4:A1000"")))"),"RestartServer")</f>
        <v>RestartServer</v>
      </c>
      <c r="C4" s="24" t="str">
        <f>IFERROR(__xludf.DUMMYFUNCTION("""COMPUTED_VALUE"""),"UpdateServerConfig")</f>
        <v>UpdateServerConfig</v>
      </c>
      <c r="D4" s="24" t="str">
        <f>IFERROR(__xludf.DUMMYFUNCTION("""COMPUTED_VALUE"""),"StartTradeServer")</f>
        <v>StartTradeServer</v>
      </c>
      <c r="E4" s="24" t="str">
        <f>IFERROR(__xludf.DUMMYFUNCTION("""COMPUTED_VALUE"""),"CloseTradeServer")</f>
        <v>CloseTradeServer</v>
      </c>
      <c r="F4" s="24" t="str">
        <f>IFERROR(__xludf.DUMMYFUNCTION("""COMPUTED_VALUE"""),"ConnectToSimAutoMan")</f>
        <v>ConnectToSimAutoMan</v>
      </c>
      <c r="G4" s="24" t="str">
        <f>IFERROR(__xludf.DUMMYFUNCTION("""COMPUTED_VALUE"""),"BrokerConnectionThroughTUI")</f>
        <v>BrokerConnectionThroughTUI</v>
      </c>
      <c r="H4" s="24" t="str">
        <f>IFERROR(__xludf.DUMMYFUNCTION("""COMPUTED_VALUE"""),"RestartServerOnly")</f>
        <v>RestartServerOnly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7" t="s">
        <v>16</v>
      </c>
      <c r="C5" s="27" t="s">
        <v>17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18</v>
      </c>
      <c r="C6" s="32">
        <v>1.0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UpdateServerConfig!$4:$4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7" t="s">
        <v>21</v>
      </c>
      <c r="C5" s="27" t="s">
        <v>22</v>
      </c>
      <c r="D5" s="27" t="s">
        <v>23</v>
      </c>
      <c r="E5" s="27" t="s">
        <v>24</v>
      </c>
      <c r="F5" s="28" t="s">
        <v>25</v>
      </c>
      <c r="G5" s="27" t="s">
        <v>26</v>
      </c>
      <c r="H5" s="27" t="s">
        <v>27</v>
      </c>
      <c r="I5" s="27" t="s">
        <v>28</v>
      </c>
      <c r="J5" s="27" t="s">
        <v>29</v>
      </c>
      <c r="K5" s="27" t="s">
        <v>30</v>
      </c>
      <c r="L5" s="27" t="s">
        <v>31</v>
      </c>
      <c r="M5" s="27" t="s">
        <v>32</v>
      </c>
      <c r="N5" s="27" t="s">
        <v>33</v>
      </c>
      <c r="O5" s="27" t="s">
        <v>34</v>
      </c>
      <c r="P5" s="27" t="s">
        <v>35</v>
      </c>
      <c r="Q5" s="27" t="s">
        <v>36</v>
      </c>
      <c r="R5" s="27" t="s">
        <v>37</v>
      </c>
      <c r="S5" s="27" t="s">
        <v>38</v>
      </c>
      <c r="T5" s="29" t="s">
        <v>39</v>
      </c>
      <c r="U5" s="29" t="s">
        <v>40</v>
      </c>
      <c r="V5" s="29" t="s">
        <v>41</v>
      </c>
      <c r="W5" s="29" t="s">
        <v>42</v>
      </c>
      <c r="X5" s="29" t="s">
        <v>43</v>
      </c>
      <c r="Y5" s="29" t="s">
        <v>44</v>
      </c>
      <c r="Z5" s="29" t="s">
        <v>45</v>
      </c>
      <c r="AA5" s="29" t="s">
        <v>46</v>
      </c>
      <c r="AB5" s="29" t="s">
        <v>47</v>
      </c>
      <c r="AC5" s="29" t="s">
        <v>48</v>
      </c>
      <c r="AD5" s="29" t="s">
        <v>49</v>
      </c>
      <c r="AE5" s="29" t="s">
        <v>50</v>
      </c>
      <c r="AF5" s="29" t="s">
        <v>51</v>
      </c>
      <c r="AG5" s="29" t="s">
        <v>52</v>
      </c>
      <c r="AH5" s="29" t="s">
        <v>53</v>
      </c>
      <c r="AI5" s="29" t="s">
        <v>54</v>
      </c>
      <c r="AJ5" s="29" t="s">
        <v>55</v>
      </c>
      <c r="AK5" s="29" t="s">
        <v>56</v>
      </c>
      <c r="AL5" s="29" t="s">
        <v>57</v>
      </c>
      <c r="AM5" s="29" t="s">
        <v>58</v>
      </c>
      <c r="AN5" s="29" t="s">
        <v>59</v>
      </c>
      <c r="AO5" s="29" t="s">
        <v>60</v>
      </c>
      <c r="AP5" s="29" t="s">
        <v>61</v>
      </c>
      <c r="AQ5" s="29" t="s">
        <v>62</v>
      </c>
      <c r="AR5" s="29" t="s">
        <v>63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64</v>
      </c>
      <c r="C6" s="35">
        <v>10000.0</v>
      </c>
      <c r="D6" s="30"/>
      <c r="E6" s="36" t="s">
        <v>65</v>
      </c>
      <c r="F6" s="33"/>
      <c r="G6" s="33"/>
      <c r="H6" s="33"/>
      <c r="I6" s="36" t="s">
        <v>66</v>
      </c>
      <c r="J6" s="36" t="s">
        <v>67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7" t="s">
        <v>68</v>
      </c>
      <c r="V6" s="33" t="s">
        <v>43</v>
      </c>
      <c r="W6" s="33"/>
      <c r="X6" s="35">
        <v>10.0</v>
      </c>
      <c r="Y6" s="38">
        <f>TODAY()+5</f>
        <v>45823</v>
      </c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69</v>
      </c>
      <c r="D3" s="5" t="s">
        <v>9</v>
      </c>
      <c r="E3" s="22" t="s">
        <v>70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71</v>
      </c>
      <c r="C5" s="28" t="s">
        <v>21</v>
      </c>
      <c r="D5" s="28" t="s">
        <v>41</v>
      </c>
      <c r="E5" s="28" t="s">
        <v>23</v>
      </c>
      <c r="F5" s="28" t="s">
        <v>72</v>
      </c>
      <c r="G5" s="28" t="s">
        <v>22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64</v>
      </c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69</v>
      </c>
      <c r="D3" s="5" t="s">
        <v>9</v>
      </c>
      <c r="E3" s="22" t="s">
        <v>73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40"/>
      <c r="B5" s="28" t="s">
        <v>71</v>
      </c>
      <c r="C5" s="28" t="s">
        <v>21</v>
      </c>
      <c r="D5" s="28" t="s">
        <v>41</v>
      </c>
      <c r="E5" s="28" t="s">
        <v>23</v>
      </c>
      <c r="F5" s="28" t="s">
        <v>72</v>
      </c>
      <c r="G5" s="28" t="s">
        <v>22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64</v>
      </c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69</v>
      </c>
      <c r="D3" s="5" t="s">
        <v>9</v>
      </c>
      <c r="E3" s="22" t="s">
        <v>74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23</v>
      </c>
      <c r="C5" s="28" t="s">
        <v>75</v>
      </c>
      <c r="D5" s="28" t="s">
        <v>76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10.0</v>
      </c>
      <c r="C6" s="12">
        <v>5000.0</v>
      </c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69</v>
      </c>
      <c r="D3" s="5" t="s">
        <v>9</v>
      </c>
      <c r="E3" s="22" t="s">
        <v>74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23</v>
      </c>
      <c r="C5" s="28" t="s">
        <v>75</v>
      </c>
      <c r="D5" s="28" t="s">
        <v>76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10.0</v>
      </c>
      <c r="C6" s="12">
        <v>2500.0</v>
      </c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69</v>
      </c>
      <c r="D3" s="5" t="s">
        <v>9</v>
      </c>
      <c r="E3" s="22" t="s">
        <v>74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23</v>
      </c>
      <c r="C5" s="28" t="s">
        <v>75</v>
      </c>
      <c r="D5" s="28" t="s">
        <v>76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10.0</v>
      </c>
      <c r="C6" s="12">
        <v>100.0</v>
      </c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77</v>
      </c>
      <c r="D3" s="5" t="s">
        <v>9</v>
      </c>
      <c r="E3" s="22" t="s">
        <v>78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79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80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ChangeDate!$4:$4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81</v>
      </c>
      <c r="D3" s="5" t="s">
        <v>9</v>
      </c>
      <c r="E3" s="22" t="s">
        <v>82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 t="str">
        <f>IFERROR(__xludf.DUMMYFUNCTION("""COMPUTED_VALUE"""),"EnableDisableRule")</f>
        <v>EnableDisableRule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83</v>
      </c>
      <c r="C5" s="28" t="s">
        <v>84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41" t="b">
        <v>1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85</v>
      </c>
      <c r="D3" s="5" t="s">
        <v>9</v>
      </c>
      <c r="E3" s="22" t="s">
        <v>86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87</v>
      </c>
      <c r="C5" s="28" t="s">
        <v>88</v>
      </c>
      <c r="D5" s="28" t="s">
        <v>21</v>
      </c>
      <c r="E5" s="28" t="s">
        <v>89</v>
      </c>
      <c r="F5" s="28" t="s">
        <v>71</v>
      </c>
      <c r="G5" s="28" t="s">
        <v>90</v>
      </c>
      <c r="H5" s="28" t="s">
        <v>91</v>
      </c>
      <c r="I5" s="28" t="s">
        <v>92</v>
      </c>
      <c r="J5" s="28" t="s">
        <v>93</v>
      </c>
      <c r="K5" s="28" t="s">
        <v>94</v>
      </c>
      <c r="L5" s="28" t="s">
        <v>95</v>
      </c>
      <c r="M5" s="28" t="s">
        <v>96</v>
      </c>
      <c r="N5" s="28" t="s">
        <v>97</v>
      </c>
      <c r="O5" s="28" t="s">
        <v>98</v>
      </c>
      <c r="P5" s="28" t="s">
        <v>99</v>
      </c>
      <c r="Q5" s="28" t="s">
        <v>46</v>
      </c>
      <c r="R5" s="28" t="s">
        <v>35</v>
      </c>
      <c r="S5" s="28" t="s">
        <v>100</v>
      </c>
      <c r="T5" s="42" t="s">
        <v>41</v>
      </c>
      <c r="U5" s="42" t="s">
        <v>101</v>
      </c>
      <c r="V5" s="42" t="s">
        <v>102</v>
      </c>
      <c r="W5" s="42" t="s">
        <v>103</v>
      </c>
      <c r="X5" s="42" t="s">
        <v>104</v>
      </c>
      <c r="Y5" s="42" t="s">
        <v>105</v>
      </c>
      <c r="Z5" s="42" t="s">
        <v>106</v>
      </c>
      <c r="AA5" s="42" t="s">
        <v>107</v>
      </c>
      <c r="AB5" s="42" t="s">
        <v>108</v>
      </c>
      <c r="AC5" s="42" t="s">
        <v>109</v>
      </c>
      <c r="AD5" s="42" t="s">
        <v>110</v>
      </c>
      <c r="AE5" s="42" t="s">
        <v>111</v>
      </c>
      <c r="AF5" s="42" t="s">
        <v>112</v>
      </c>
      <c r="AG5" s="42" t="s">
        <v>113</v>
      </c>
      <c r="AH5" s="42" t="s">
        <v>114</v>
      </c>
      <c r="AI5" s="42" t="s">
        <v>115</v>
      </c>
      <c r="AJ5" s="42" t="s">
        <v>49</v>
      </c>
      <c r="AK5" s="42" t="s">
        <v>116</v>
      </c>
      <c r="AL5" s="42" t="s">
        <v>117</v>
      </c>
      <c r="AM5" s="42" t="s">
        <v>118</v>
      </c>
      <c r="AN5" s="42" t="s">
        <v>119</v>
      </c>
      <c r="AO5" s="42" t="s">
        <v>120</v>
      </c>
      <c r="AP5" s="42" t="s">
        <v>121</v>
      </c>
      <c r="AQ5" s="42" t="s">
        <v>122</v>
      </c>
      <c r="AR5" s="42" t="s">
        <v>123</v>
      </c>
      <c r="AS5" s="42" t="s">
        <v>124</v>
      </c>
      <c r="AT5" s="42" t="s">
        <v>125</v>
      </c>
      <c r="AU5" s="42" t="s">
        <v>126</v>
      </c>
      <c r="AV5" s="42" t="s">
        <v>127</v>
      </c>
      <c r="AW5" s="42" t="s">
        <v>128</v>
      </c>
      <c r="AX5" s="42" t="s">
        <v>129</v>
      </c>
      <c r="AY5" s="42" t="s">
        <v>130</v>
      </c>
      <c r="AZ5" s="42" t="s">
        <v>131</v>
      </c>
      <c r="BA5" s="42" t="s">
        <v>132</v>
      </c>
      <c r="BB5" s="42" t="s">
        <v>133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64</v>
      </c>
      <c r="E6" s="39"/>
      <c r="F6" s="12" t="s">
        <v>67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85</v>
      </c>
      <c r="D3" s="5" t="s">
        <v>9</v>
      </c>
      <c r="E3" s="22" t="s">
        <v>134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88</v>
      </c>
      <c r="C5" s="28" t="s">
        <v>89</v>
      </c>
      <c r="D5" s="28" t="s">
        <v>87</v>
      </c>
      <c r="E5" s="28" t="s">
        <v>108</v>
      </c>
      <c r="F5" s="28" t="s">
        <v>96</v>
      </c>
      <c r="G5" s="28" t="s">
        <v>107</v>
      </c>
      <c r="H5" s="28" t="s">
        <v>49</v>
      </c>
      <c r="I5" s="28" t="s">
        <v>115</v>
      </c>
      <c r="J5" s="28" t="s">
        <v>119</v>
      </c>
      <c r="K5" s="28" t="s">
        <v>113</v>
      </c>
      <c r="L5" s="28" t="s">
        <v>114</v>
      </c>
      <c r="M5" s="28" t="s">
        <v>122</v>
      </c>
      <c r="N5" s="28" t="s">
        <v>123</v>
      </c>
      <c r="O5" s="28" t="s">
        <v>124</v>
      </c>
      <c r="P5" s="28" t="s">
        <v>125</v>
      </c>
      <c r="Q5" s="28" t="s">
        <v>126</v>
      </c>
      <c r="R5" s="28" t="s">
        <v>127</v>
      </c>
      <c r="S5" s="28" t="s">
        <v>105</v>
      </c>
      <c r="T5" s="42" t="s">
        <v>98</v>
      </c>
      <c r="U5" s="42" t="s">
        <v>135</v>
      </c>
      <c r="V5" s="42" t="s">
        <v>116</v>
      </c>
      <c r="W5" s="42" t="s">
        <v>120</v>
      </c>
      <c r="X5" s="42" t="s">
        <v>118</v>
      </c>
      <c r="Y5" s="42" t="s">
        <v>103</v>
      </c>
      <c r="Z5" s="42" t="s">
        <v>104</v>
      </c>
      <c r="AA5" s="42" t="s">
        <v>100</v>
      </c>
      <c r="AB5" s="42" t="s">
        <v>110</v>
      </c>
      <c r="AC5" s="42" t="s">
        <v>106</v>
      </c>
      <c r="AD5" s="42" t="s">
        <v>128</v>
      </c>
      <c r="AE5" s="42" t="s">
        <v>121</v>
      </c>
      <c r="AF5" s="42" t="s">
        <v>109</v>
      </c>
      <c r="AG5" s="42" t="s">
        <v>117</v>
      </c>
      <c r="AH5" s="42" t="s">
        <v>111</v>
      </c>
      <c r="AI5" s="42" t="s">
        <v>112</v>
      </c>
      <c r="AJ5" s="42" t="s">
        <v>21</v>
      </c>
      <c r="AK5" s="42" t="s">
        <v>71</v>
      </c>
      <c r="AL5" s="42" t="s">
        <v>90</v>
      </c>
      <c r="AM5" s="42" t="s">
        <v>22</v>
      </c>
      <c r="AN5" s="42" t="s">
        <v>136</v>
      </c>
      <c r="AO5" s="42" t="s">
        <v>93</v>
      </c>
      <c r="AP5" s="42" t="s">
        <v>94</v>
      </c>
      <c r="AQ5" s="42" t="s">
        <v>137</v>
      </c>
      <c r="AR5" s="42" t="s">
        <v>97</v>
      </c>
      <c r="AS5" s="42" t="s">
        <v>99</v>
      </c>
      <c r="AT5" s="42" t="s">
        <v>46</v>
      </c>
      <c r="AU5" s="42" t="s">
        <v>35</v>
      </c>
      <c r="AV5" s="42" t="s">
        <v>41</v>
      </c>
      <c r="AW5" s="42" t="s">
        <v>101</v>
      </c>
      <c r="AX5" s="42" t="s">
        <v>102</v>
      </c>
      <c r="AY5" s="42" t="s">
        <v>138</v>
      </c>
      <c r="AZ5" s="42" t="s">
        <v>139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64</v>
      </c>
      <c r="AK6" s="9" t="s">
        <v>67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7" t="s">
        <v>21</v>
      </c>
      <c r="C5" s="27" t="s">
        <v>22</v>
      </c>
      <c r="D5" s="27" t="s">
        <v>23</v>
      </c>
      <c r="E5" s="27" t="s">
        <v>24</v>
      </c>
      <c r="F5" s="28" t="s">
        <v>25</v>
      </c>
      <c r="G5" s="27" t="s">
        <v>26</v>
      </c>
      <c r="H5" s="27" t="s">
        <v>27</v>
      </c>
      <c r="I5" s="27" t="s">
        <v>28</v>
      </c>
      <c r="J5" s="27" t="s">
        <v>29</v>
      </c>
      <c r="K5" s="27" t="s">
        <v>30</v>
      </c>
      <c r="L5" s="27" t="s">
        <v>31</v>
      </c>
      <c r="M5" s="27" t="s">
        <v>32</v>
      </c>
      <c r="N5" s="27" t="s">
        <v>33</v>
      </c>
      <c r="O5" s="27" t="s">
        <v>34</v>
      </c>
      <c r="P5" s="27" t="s">
        <v>35</v>
      </c>
      <c r="Q5" s="27" t="s">
        <v>36</v>
      </c>
      <c r="R5" s="27" t="s">
        <v>37</v>
      </c>
      <c r="S5" s="27" t="s">
        <v>38</v>
      </c>
      <c r="T5" s="29" t="s">
        <v>39</v>
      </c>
      <c r="U5" s="29" t="s">
        <v>40</v>
      </c>
      <c r="V5" s="29" t="s">
        <v>41</v>
      </c>
      <c r="W5" s="29" t="s">
        <v>42</v>
      </c>
      <c r="X5" s="29" t="s">
        <v>43</v>
      </c>
      <c r="Y5" s="29" t="s">
        <v>44</v>
      </c>
      <c r="Z5" s="29" t="s">
        <v>45</v>
      </c>
      <c r="AA5" s="29" t="s">
        <v>46</v>
      </c>
      <c r="AB5" s="29" t="s">
        <v>47</v>
      </c>
      <c r="AC5" s="29" t="s">
        <v>48</v>
      </c>
      <c r="AD5" s="29" t="s">
        <v>49</v>
      </c>
      <c r="AE5" s="29" t="s">
        <v>50</v>
      </c>
      <c r="AF5" s="29" t="s">
        <v>51</v>
      </c>
      <c r="AG5" s="29" t="s">
        <v>52</v>
      </c>
      <c r="AH5" s="29" t="s">
        <v>53</v>
      </c>
      <c r="AI5" s="29" t="s">
        <v>54</v>
      </c>
      <c r="AJ5" s="29" t="s">
        <v>55</v>
      </c>
      <c r="AK5" s="29" t="s">
        <v>56</v>
      </c>
      <c r="AL5" s="29" t="s">
        <v>57</v>
      </c>
      <c r="AM5" s="29" t="s">
        <v>58</v>
      </c>
      <c r="AN5" s="29" t="s">
        <v>59</v>
      </c>
      <c r="AO5" s="29" t="s">
        <v>60</v>
      </c>
      <c r="AP5" s="29" t="s">
        <v>61</v>
      </c>
      <c r="AQ5" s="29" t="s">
        <v>62</v>
      </c>
      <c r="AR5" s="29" t="s">
        <v>63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64</v>
      </c>
      <c r="C6" s="30"/>
      <c r="D6" s="30"/>
      <c r="E6" s="34" t="s">
        <v>140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7" t="s">
        <v>141</v>
      </c>
      <c r="V6" s="33" t="s">
        <v>43</v>
      </c>
      <c r="W6" s="33"/>
      <c r="X6" s="35">
        <v>10.0</v>
      </c>
      <c r="Y6" s="4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85</v>
      </c>
      <c r="D3" s="5" t="s">
        <v>9</v>
      </c>
      <c r="E3" s="22" t="s">
        <v>142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143</v>
      </c>
      <c r="C5" s="28" t="s">
        <v>35</v>
      </c>
      <c r="D5" s="28" t="s">
        <v>144</v>
      </c>
      <c r="E5" s="28" t="s">
        <v>145</v>
      </c>
      <c r="F5" s="28" t="s">
        <v>146</v>
      </c>
      <c r="G5" s="28" t="s">
        <v>147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148</v>
      </c>
      <c r="C6" s="8"/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AllocateFromBlotter!$4:$4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85</v>
      </c>
      <c r="D3" s="5" t="s">
        <v>9</v>
      </c>
      <c r="E3" s="22" t="s">
        <v>149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/>
      <c r="B5" s="28" t="s">
        <v>88</v>
      </c>
      <c r="C5" s="28" t="s">
        <v>89</v>
      </c>
      <c r="D5" s="28" t="s">
        <v>87</v>
      </c>
      <c r="E5" s="28" t="s">
        <v>108</v>
      </c>
      <c r="F5" s="28" t="s">
        <v>96</v>
      </c>
      <c r="G5" s="28" t="s">
        <v>107</v>
      </c>
      <c r="H5" s="28" t="s">
        <v>49</v>
      </c>
      <c r="I5" s="28" t="s">
        <v>150</v>
      </c>
      <c r="J5" s="28" t="s">
        <v>119</v>
      </c>
      <c r="K5" s="28" t="s">
        <v>113</v>
      </c>
      <c r="L5" s="28" t="s">
        <v>114</v>
      </c>
      <c r="M5" s="28" t="s">
        <v>127</v>
      </c>
      <c r="N5" s="28" t="s">
        <v>126</v>
      </c>
      <c r="O5" s="28" t="s">
        <v>125</v>
      </c>
      <c r="P5" s="28" t="s">
        <v>124</v>
      </c>
      <c r="Q5" s="28" t="s">
        <v>123</v>
      </c>
      <c r="R5" s="28" t="s">
        <v>122</v>
      </c>
      <c r="S5" s="28" t="s">
        <v>105</v>
      </c>
      <c r="T5" s="42" t="s">
        <v>98</v>
      </c>
      <c r="U5" s="42" t="s">
        <v>116</v>
      </c>
      <c r="V5" s="42" t="s">
        <v>120</v>
      </c>
      <c r="W5" s="42" t="s">
        <v>118</v>
      </c>
      <c r="X5" s="42" t="s">
        <v>103</v>
      </c>
      <c r="Y5" s="42" t="s">
        <v>104</v>
      </c>
      <c r="Z5" s="42" t="s">
        <v>100</v>
      </c>
      <c r="AA5" s="42" t="s">
        <v>110</v>
      </c>
      <c r="AB5" s="42" t="s">
        <v>106</v>
      </c>
      <c r="AC5" s="42" t="s">
        <v>128</v>
      </c>
      <c r="AD5" s="42" t="s">
        <v>121</v>
      </c>
      <c r="AE5" s="42" t="s">
        <v>109</v>
      </c>
      <c r="AF5" s="42" t="s">
        <v>117</v>
      </c>
      <c r="AG5" s="42" t="s">
        <v>111</v>
      </c>
      <c r="AH5" s="42" t="s">
        <v>112</v>
      </c>
      <c r="AI5" s="42" t="s">
        <v>21</v>
      </c>
      <c r="AJ5" s="42" t="s">
        <v>71</v>
      </c>
      <c r="AK5" s="42" t="s">
        <v>90</v>
      </c>
      <c r="AL5" s="42" t="s">
        <v>22</v>
      </c>
      <c r="AM5" s="42" t="s">
        <v>136</v>
      </c>
      <c r="AN5" s="42" t="s">
        <v>94</v>
      </c>
      <c r="AO5" s="42" t="s">
        <v>97</v>
      </c>
      <c r="AP5" s="42" t="s">
        <v>99</v>
      </c>
      <c r="AQ5" s="42" t="s">
        <v>46</v>
      </c>
      <c r="AR5" s="42" t="s">
        <v>35</v>
      </c>
      <c r="AS5" s="42" t="s">
        <v>41</v>
      </c>
      <c r="AT5" s="42" t="s">
        <v>101</v>
      </c>
      <c r="AU5" s="42" t="s">
        <v>102</v>
      </c>
      <c r="AV5" s="42" t="s">
        <v>129</v>
      </c>
      <c r="AW5" s="42" t="s">
        <v>151</v>
      </c>
      <c r="AX5" s="42" t="s">
        <v>152</v>
      </c>
      <c r="AY5" s="42" t="s">
        <v>153</v>
      </c>
      <c r="AZ5" s="42" t="s">
        <v>154</v>
      </c>
      <c r="BA5" s="42" t="s">
        <v>155</v>
      </c>
      <c r="BB5" s="42" t="s">
        <v>156</v>
      </c>
      <c r="BC5" s="42" t="s">
        <v>157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38"/>
      <c r="C6" s="33"/>
      <c r="D6" s="44">
        <v>10.0</v>
      </c>
      <c r="E6" s="33" t="s">
        <v>158</v>
      </c>
      <c r="F6" s="45">
        <v>10.0</v>
      </c>
      <c r="G6" s="45">
        <v>2500.0</v>
      </c>
      <c r="H6" s="33" t="s">
        <v>159</v>
      </c>
      <c r="I6" s="33" t="s">
        <v>160</v>
      </c>
      <c r="J6" s="33" t="s">
        <v>64</v>
      </c>
      <c r="K6" s="33"/>
      <c r="L6" s="33" t="s">
        <v>161</v>
      </c>
      <c r="M6" s="33"/>
      <c r="N6" s="33"/>
      <c r="O6" s="33"/>
      <c r="P6" s="33"/>
      <c r="Q6" s="33"/>
      <c r="R6" s="33"/>
      <c r="S6" s="33"/>
      <c r="T6" s="33"/>
      <c r="U6" s="33" t="s">
        <v>162</v>
      </c>
      <c r="V6" s="33" t="s">
        <v>163</v>
      </c>
      <c r="W6" s="38"/>
      <c r="X6" s="33"/>
      <c r="Y6" s="33"/>
      <c r="Z6" s="33"/>
      <c r="AA6" s="33"/>
      <c r="AB6" s="33"/>
      <c r="AC6" s="33" t="s">
        <v>164</v>
      </c>
      <c r="AD6" s="45">
        <v>1.0</v>
      </c>
      <c r="AE6" s="33"/>
      <c r="AF6" s="33" t="s">
        <v>165</v>
      </c>
      <c r="AG6" s="38"/>
      <c r="AH6" s="33" t="s">
        <v>166</v>
      </c>
      <c r="AI6" s="33" t="s">
        <v>64</v>
      </c>
      <c r="AJ6" s="33" t="s">
        <v>67</v>
      </c>
      <c r="AK6" s="33" t="s">
        <v>167</v>
      </c>
      <c r="AL6" s="45">
        <v>10000.0</v>
      </c>
      <c r="AM6" s="45">
        <v>7500.0</v>
      </c>
      <c r="AN6" s="33"/>
      <c r="AO6" s="33"/>
      <c r="AP6" s="45">
        <v>10.0</v>
      </c>
      <c r="AQ6" s="33" t="s">
        <v>168</v>
      </c>
      <c r="AR6" s="33" t="s">
        <v>169</v>
      </c>
      <c r="AS6" s="33" t="s">
        <v>43</v>
      </c>
      <c r="AT6" s="45">
        <v>75000.0</v>
      </c>
      <c r="AU6" s="45">
        <v>75000.0</v>
      </c>
      <c r="AV6" s="33" t="s">
        <v>148</v>
      </c>
      <c r="AW6" s="33" t="s">
        <v>167</v>
      </c>
      <c r="AX6" s="45">
        <v>2500.0</v>
      </c>
      <c r="AY6" s="33" t="s">
        <v>170</v>
      </c>
      <c r="AZ6" s="33" t="s">
        <v>160</v>
      </c>
      <c r="BA6" s="38"/>
      <c r="BB6" s="33"/>
      <c r="BC6" s="38"/>
      <c r="BD6" s="33"/>
      <c r="BE6" s="33"/>
      <c r="BF6" s="33"/>
      <c r="BG6" s="38"/>
      <c r="BH6" s="33"/>
      <c r="BI6" s="33"/>
      <c r="BJ6" s="33"/>
      <c r="BK6" s="33"/>
      <c r="BL6" s="33"/>
      <c r="BM6" s="33"/>
      <c r="BN6" s="38"/>
      <c r="BO6" s="33"/>
      <c r="BP6" s="33"/>
      <c r="BQ6" s="33"/>
      <c r="BR6" s="33"/>
      <c r="BS6" s="33"/>
      <c r="BT6" s="33"/>
      <c r="BU6" s="33"/>
      <c r="BV6" s="38"/>
      <c r="BW6" s="33"/>
      <c r="BX6" s="33"/>
      <c r="BY6" s="33"/>
      <c r="BZ6" s="33"/>
      <c r="CA6" s="33"/>
      <c r="CB6" s="38"/>
      <c r="CC6" s="33"/>
      <c r="CD6" s="33"/>
      <c r="CE6" s="38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8"/>
      <c r="CR6" s="38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8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171</v>
      </c>
      <c r="D3" s="5" t="s">
        <v>9</v>
      </c>
      <c r="E3" s="22" t="s">
        <v>172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46"/>
      <c r="B5" s="47" t="s">
        <v>173</v>
      </c>
      <c r="C5" s="47" t="s">
        <v>174</v>
      </c>
      <c r="D5" s="47" t="s">
        <v>175</v>
      </c>
      <c r="E5" s="47" t="s">
        <v>176</v>
      </c>
      <c r="F5" s="47" t="s">
        <v>21</v>
      </c>
      <c r="G5" s="47" t="s">
        <v>177</v>
      </c>
      <c r="H5" s="47" t="s">
        <v>71</v>
      </c>
      <c r="I5" s="47" t="s">
        <v>35</v>
      </c>
      <c r="J5" s="47" t="s">
        <v>46</v>
      </c>
      <c r="K5" s="47" t="s">
        <v>178</v>
      </c>
      <c r="L5" s="47" t="s">
        <v>179</v>
      </c>
      <c r="M5" s="47" t="s">
        <v>180</v>
      </c>
      <c r="N5" s="47" t="s">
        <v>181</v>
      </c>
      <c r="O5" s="47" t="s">
        <v>49</v>
      </c>
      <c r="P5" s="47" t="s">
        <v>182</v>
      </c>
      <c r="Q5" s="47" t="s">
        <v>183</v>
      </c>
      <c r="R5" s="47" t="s">
        <v>184</v>
      </c>
      <c r="S5" s="48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46"/>
      <c r="BB5" s="46"/>
      <c r="BC5" s="46"/>
      <c r="BD5" s="46"/>
      <c r="BE5" s="46"/>
      <c r="BF5" s="46"/>
      <c r="BG5" s="46"/>
      <c r="BH5" s="46"/>
      <c r="BI5" s="46"/>
      <c r="BJ5" s="46"/>
      <c r="BK5" s="46"/>
      <c r="BL5" s="46"/>
      <c r="BM5" s="46"/>
      <c r="BN5" s="46"/>
      <c r="BO5" s="46"/>
      <c r="BP5" s="46"/>
      <c r="BQ5" s="46"/>
      <c r="BR5" s="46"/>
      <c r="BS5" s="46"/>
      <c r="BT5" s="46"/>
      <c r="BU5" s="46"/>
      <c r="BV5" s="46"/>
      <c r="BW5" s="46"/>
      <c r="BX5" s="46"/>
      <c r="BY5" s="46"/>
      <c r="BZ5" s="46"/>
      <c r="CA5" s="46"/>
      <c r="CB5" s="46"/>
      <c r="CC5" s="46"/>
      <c r="CD5" s="46"/>
      <c r="CE5" s="46"/>
      <c r="CF5" s="46"/>
      <c r="CG5" s="46"/>
      <c r="CH5" s="46"/>
      <c r="CI5" s="46"/>
      <c r="CJ5" s="46"/>
      <c r="CK5" s="46"/>
      <c r="CL5" s="46"/>
      <c r="CM5" s="46"/>
      <c r="CN5" s="46"/>
      <c r="CO5" s="46"/>
      <c r="CP5" s="46"/>
      <c r="CQ5" s="46"/>
      <c r="CR5" s="46"/>
      <c r="CS5" s="46"/>
      <c r="CT5" s="46"/>
      <c r="CU5" s="46"/>
      <c r="CV5" s="46"/>
      <c r="CW5" s="46"/>
      <c r="CX5" s="46"/>
      <c r="CY5" s="46"/>
      <c r="CZ5" s="46"/>
      <c r="DA5" s="46"/>
      <c r="DB5" s="46"/>
      <c r="DC5" s="46"/>
      <c r="DD5" s="46"/>
      <c r="DE5" s="46"/>
      <c r="DF5" s="46"/>
      <c r="DG5" s="46"/>
      <c r="DH5" s="46"/>
      <c r="DI5" s="46"/>
      <c r="DJ5" s="46"/>
      <c r="DK5" s="46"/>
      <c r="DL5" s="46"/>
      <c r="DM5" s="46"/>
      <c r="DN5" s="46"/>
      <c r="DO5" s="46"/>
      <c r="DP5" s="46"/>
      <c r="DQ5" s="46"/>
      <c r="DR5" s="46"/>
      <c r="DS5" s="46"/>
      <c r="DT5" s="46"/>
      <c r="DU5" s="46"/>
      <c r="DV5" s="46"/>
      <c r="DW5" s="46"/>
      <c r="DX5" s="46"/>
      <c r="DY5" s="46"/>
      <c r="DZ5" s="46"/>
      <c r="EA5" s="46"/>
      <c r="EB5" s="46"/>
      <c r="EC5" s="46"/>
      <c r="ED5" s="46"/>
      <c r="EE5" s="46"/>
      <c r="EF5" s="46"/>
      <c r="EG5" s="46"/>
      <c r="EH5" s="46"/>
      <c r="EI5" s="46"/>
      <c r="EJ5" s="46"/>
      <c r="EK5" s="46"/>
      <c r="EL5" s="46"/>
      <c r="EM5" s="46"/>
      <c r="EN5" s="46"/>
      <c r="EO5" s="46"/>
      <c r="EP5" s="46"/>
      <c r="EQ5" s="46"/>
      <c r="ER5" s="46"/>
      <c r="ES5" s="46"/>
      <c r="ET5" s="46"/>
      <c r="EU5" s="46"/>
      <c r="EV5" s="46"/>
      <c r="EW5" s="46"/>
      <c r="EX5" s="46"/>
    </row>
    <row r="6" ht="15.75" customHeight="1">
      <c r="A6" s="12"/>
      <c r="B6" s="12" t="s">
        <v>185</v>
      </c>
      <c r="C6" s="49">
        <f>TODAY()-10</f>
        <v>45808</v>
      </c>
      <c r="D6" s="49">
        <f>TODAY()+2</f>
        <v>45820</v>
      </c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171</v>
      </c>
      <c r="D3" s="5" t="s">
        <v>9</v>
      </c>
      <c r="E3" s="22" t="s">
        <v>186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/>
      <c r="B5" s="28" t="s">
        <v>187</v>
      </c>
      <c r="C5" s="28" t="s">
        <v>188</v>
      </c>
      <c r="D5" s="28" t="s">
        <v>189</v>
      </c>
      <c r="E5" s="28" t="s">
        <v>190</v>
      </c>
      <c r="F5" s="28" t="s">
        <v>129</v>
      </c>
      <c r="G5" s="28" t="s">
        <v>191</v>
      </c>
      <c r="H5" s="28" t="s">
        <v>192</v>
      </c>
      <c r="I5" s="28" t="s">
        <v>193</v>
      </c>
      <c r="J5" s="28" t="s">
        <v>194</v>
      </c>
      <c r="K5" s="28" t="s">
        <v>195</v>
      </c>
      <c r="L5" s="28" t="s">
        <v>196</v>
      </c>
      <c r="M5" s="28" t="s">
        <v>197</v>
      </c>
      <c r="N5" s="28" t="s">
        <v>198</v>
      </c>
      <c r="O5" s="28" t="s">
        <v>46</v>
      </c>
      <c r="P5" s="28" t="s">
        <v>199</v>
      </c>
      <c r="Q5" s="28" t="s">
        <v>200</v>
      </c>
      <c r="R5" s="28" t="s">
        <v>201</v>
      </c>
      <c r="S5" s="28" t="s">
        <v>202</v>
      </c>
      <c r="T5" s="42" t="s">
        <v>203</v>
      </c>
      <c r="U5" s="42" t="s">
        <v>204</v>
      </c>
      <c r="V5" s="42" t="s">
        <v>205</v>
      </c>
      <c r="W5" s="42" t="s">
        <v>206</v>
      </c>
      <c r="X5" s="42" t="s">
        <v>207</v>
      </c>
      <c r="Y5" s="42" t="s">
        <v>208</v>
      </c>
      <c r="Z5" s="42" t="s">
        <v>178</v>
      </c>
      <c r="AA5" s="42" t="s">
        <v>209</v>
      </c>
      <c r="AB5" s="42" t="s">
        <v>210</v>
      </c>
      <c r="AC5" s="42" t="s">
        <v>211</v>
      </c>
      <c r="AD5" s="42" t="s">
        <v>179</v>
      </c>
      <c r="AE5" s="42" t="s">
        <v>136</v>
      </c>
      <c r="AF5" s="42" t="s">
        <v>212</v>
      </c>
      <c r="AG5" s="42" t="s">
        <v>44</v>
      </c>
      <c r="AH5" s="42" t="s">
        <v>117</v>
      </c>
      <c r="AI5" s="42" t="s">
        <v>121</v>
      </c>
      <c r="AJ5" s="42" t="s">
        <v>213</v>
      </c>
      <c r="AK5" s="42" t="s">
        <v>214</v>
      </c>
      <c r="AL5" s="42" t="s">
        <v>215</v>
      </c>
      <c r="AM5" s="42" t="s">
        <v>128</v>
      </c>
      <c r="AN5" s="42" t="s">
        <v>216</v>
      </c>
      <c r="AO5" s="42" t="s">
        <v>217</v>
      </c>
      <c r="AP5" s="42" t="s">
        <v>218</v>
      </c>
      <c r="AQ5" s="42" t="s">
        <v>219</v>
      </c>
      <c r="AR5" s="42" t="s">
        <v>220</v>
      </c>
      <c r="AS5" s="42" t="s">
        <v>221</v>
      </c>
      <c r="AT5" s="42" t="s">
        <v>222</v>
      </c>
      <c r="AU5" s="42" t="s">
        <v>223</v>
      </c>
      <c r="AV5" s="42" t="s">
        <v>224</v>
      </c>
      <c r="AW5" s="42" t="s">
        <v>225</v>
      </c>
      <c r="AX5" s="42" t="s">
        <v>226</v>
      </c>
      <c r="AY5" s="42" t="s">
        <v>41</v>
      </c>
      <c r="AZ5" s="42" t="s">
        <v>227</v>
      </c>
      <c r="BA5" s="42" t="s">
        <v>228</v>
      </c>
      <c r="BB5" s="42" t="s">
        <v>229</v>
      </c>
      <c r="BC5" s="42" t="s">
        <v>230</v>
      </c>
      <c r="BD5" s="42" t="s">
        <v>231</v>
      </c>
      <c r="BE5" s="42" t="s">
        <v>232</v>
      </c>
      <c r="BF5" s="42" t="s">
        <v>233</v>
      </c>
      <c r="BG5" s="42" t="s">
        <v>118</v>
      </c>
      <c r="BH5" s="42" t="s">
        <v>234</v>
      </c>
      <c r="BI5" s="42" t="s">
        <v>235</v>
      </c>
      <c r="BJ5" s="42" t="s">
        <v>22</v>
      </c>
      <c r="BK5" s="42" t="s">
        <v>236</v>
      </c>
      <c r="BL5" s="42" t="s">
        <v>237</v>
      </c>
      <c r="BM5" s="42" t="s">
        <v>116</v>
      </c>
      <c r="BN5" s="42" t="s">
        <v>238</v>
      </c>
      <c r="BO5" s="42" t="s">
        <v>71</v>
      </c>
      <c r="BP5" s="42" t="s">
        <v>239</v>
      </c>
      <c r="BQ5" s="42" t="s">
        <v>240</v>
      </c>
      <c r="BR5" s="42" t="s">
        <v>241</v>
      </c>
      <c r="BS5" s="42" t="s">
        <v>242</v>
      </c>
      <c r="BT5" s="42" t="s">
        <v>21</v>
      </c>
      <c r="BU5" s="42" t="s">
        <v>243</v>
      </c>
      <c r="BV5" s="42" t="s">
        <v>244</v>
      </c>
      <c r="BW5" s="42" t="s">
        <v>245</v>
      </c>
      <c r="BX5" s="42" t="s">
        <v>246</v>
      </c>
      <c r="BY5" s="42" t="s">
        <v>122</v>
      </c>
      <c r="BZ5" s="42" t="s">
        <v>123</v>
      </c>
      <c r="CA5" s="42" t="s">
        <v>124</v>
      </c>
      <c r="CB5" s="42" t="s">
        <v>125</v>
      </c>
      <c r="CC5" s="42" t="s">
        <v>126</v>
      </c>
      <c r="CD5" s="42" t="s">
        <v>127</v>
      </c>
      <c r="CE5" s="42" t="s">
        <v>45</v>
      </c>
      <c r="CF5" s="42" t="s">
        <v>247</v>
      </c>
      <c r="CG5" s="42" t="s">
        <v>248</v>
      </c>
      <c r="CH5" s="42" t="s">
        <v>249</v>
      </c>
      <c r="CI5" s="42" t="s">
        <v>250</v>
      </c>
      <c r="CJ5" s="42" t="s">
        <v>251</v>
      </c>
      <c r="CK5" s="42" t="s">
        <v>181</v>
      </c>
      <c r="CL5" s="42" t="s">
        <v>252</v>
      </c>
      <c r="CM5" s="42" t="s">
        <v>119</v>
      </c>
      <c r="CN5" s="42" t="s">
        <v>115</v>
      </c>
      <c r="CO5" s="42" t="s">
        <v>49</v>
      </c>
      <c r="CP5" s="42" t="s">
        <v>253</v>
      </c>
      <c r="CQ5" s="42" t="s">
        <v>254</v>
      </c>
      <c r="CR5" s="42" t="s">
        <v>255</v>
      </c>
      <c r="CS5" s="42" t="s">
        <v>256</v>
      </c>
      <c r="CT5" s="42" t="s">
        <v>257</v>
      </c>
      <c r="CU5" s="42" t="s">
        <v>258</v>
      </c>
      <c r="CV5" s="42" t="s">
        <v>259</v>
      </c>
      <c r="CW5" s="42" t="s">
        <v>260</v>
      </c>
      <c r="CX5" s="42" t="s">
        <v>110</v>
      </c>
      <c r="CY5" s="42" t="s">
        <v>156</v>
      </c>
      <c r="CZ5" s="42" t="s">
        <v>261</v>
      </c>
      <c r="DA5" s="42" t="s">
        <v>262</v>
      </c>
      <c r="DB5" s="42" t="s">
        <v>263</v>
      </c>
      <c r="DC5" s="42" t="s">
        <v>264</v>
      </c>
      <c r="DD5" s="42" t="s">
        <v>265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37" t="s">
        <v>169</v>
      </c>
      <c r="C6" s="33" t="s">
        <v>266</v>
      </c>
      <c r="D6" s="44"/>
      <c r="E6" s="45">
        <v>2500.0</v>
      </c>
      <c r="F6" s="33" t="s">
        <v>148</v>
      </c>
      <c r="G6" s="33" t="s">
        <v>166</v>
      </c>
      <c r="H6" s="45">
        <v>4.0</v>
      </c>
      <c r="I6" s="45">
        <v>5.0</v>
      </c>
      <c r="J6" s="45">
        <v>1.0</v>
      </c>
      <c r="K6" s="45">
        <v>10.0</v>
      </c>
      <c r="L6" s="45">
        <v>10.0</v>
      </c>
      <c r="M6" s="33" t="s">
        <v>158</v>
      </c>
      <c r="N6" s="33" t="s">
        <v>267</v>
      </c>
      <c r="O6" s="33" t="s">
        <v>168</v>
      </c>
      <c r="P6" s="33"/>
      <c r="Q6" s="45">
        <v>3.0</v>
      </c>
      <c r="R6" s="45"/>
      <c r="S6" s="33" t="s">
        <v>268</v>
      </c>
      <c r="T6" s="45"/>
      <c r="U6" s="45"/>
      <c r="V6" s="33" t="s">
        <v>269</v>
      </c>
      <c r="W6" s="43"/>
      <c r="X6" s="45"/>
      <c r="Y6" s="33"/>
      <c r="Z6" s="33" t="s">
        <v>162</v>
      </c>
      <c r="AA6" s="45"/>
      <c r="AB6" s="45">
        <v>1.0</v>
      </c>
      <c r="AC6" s="33"/>
      <c r="AD6" s="33" t="s">
        <v>159</v>
      </c>
      <c r="AE6" s="45">
        <v>2500.0</v>
      </c>
      <c r="AF6" s="33"/>
      <c r="AG6" s="43"/>
      <c r="AH6" s="33" t="s">
        <v>165</v>
      </c>
      <c r="AI6" s="45">
        <v>1.0</v>
      </c>
      <c r="AJ6" s="33" t="s">
        <v>270</v>
      </c>
      <c r="AK6" s="33"/>
      <c r="AL6" s="33"/>
      <c r="AM6" s="33"/>
      <c r="AN6" s="41" t="b">
        <v>0</v>
      </c>
      <c r="AO6" s="33"/>
      <c r="AP6" s="41" t="b">
        <v>0</v>
      </c>
      <c r="AQ6" s="41" t="b">
        <v>0</v>
      </c>
      <c r="AR6" s="41" t="b">
        <v>0</v>
      </c>
      <c r="AS6" s="45"/>
      <c r="AT6" s="45"/>
      <c r="AU6" s="45"/>
      <c r="AV6" s="43"/>
      <c r="AW6" s="45"/>
      <c r="AX6" s="45"/>
      <c r="AY6" s="33" t="s">
        <v>43</v>
      </c>
      <c r="AZ6" s="45"/>
      <c r="BA6" s="43"/>
      <c r="BB6" s="33"/>
      <c r="BC6" s="43"/>
      <c r="BD6" s="33" t="s">
        <v>271</v>
      </c>
      <c r="BE6" s="45">
        <v>25000.0</v>
      </c>
      <c r="BF6" s="45">
        <v>25000.0</v>
      </c>
      <c r="BG6" s="43"/>
      <c r="BH6" s="33"/>
      <c r="BI6" s="33"/>
      <c r="BJ6" s="45">
        <v>10000.0</v>
      </c>
      <c r="BK6" s="45"/>
      <c r="BL6" s="45"/>
      <c r="BM6" s="33" t="s">
        <v>162</v>
      </c>
      <c r="BN6" s="43"/>
      <c r="BO6" s="33" t="s">
        <v>67</v>
      </c>
      <c r="BP6" s="45"/>
      <c r="BQ6" s="45"/>
      <c r="BR6" s="45"/>
      <c r="BS6" s="33" t="s">
        <v>170</v>
      </c>
      <c r="BT6" s="33" t="s">
        <v>64</v>
      </c>
      <c r="BU6" s="45"/>
      <c r="BV6" s="43"/>
      <c r="BW6" s="45"/>
      <c r="BX6" s="45"/>
      <c r="BY6" s="33"/>
      <c r="BZ6" s="33"/>
      <c r="CA6" s="33"/>
      <c r="CB6" s="38"/>
      <c r="CC6" s="33"/>
      <c r="CD6" s="33"/>
      <c r="CE6" s="43"/>
      <c r="CF6" s="33" t="s">
        <v>161</v>
      </c>
      <c r="CG6" s="45"/>
      <c r="CH6" s="33" t="s">
        <v>272</v>
      </c>
      <c r="CI6" s="33" t="s">
        <v>67</v>
      </c>
      <c r="CJ6" s="45"/>
      <c r="CK6" s="33"/>
      <c r="CL6" s="45"/>
      <c r="CM6" s="33" t="s">
        <v>64</v>
      </c>
      <c r="CN6" s="33" t="s">
        <v>160</v>
      </c>
      <c r="CO6" s="33" t="s">
        <v>159</v>
      </c>
      <c r="CP6" s="33" t="s">
        <v>163</v>
      </c>
      <c r="CQ6" s="43"/>
      <c r="CR6" s="43"/>
      <c r="CS6" s="33"/>
      <c r="CT6" s="33"/>
      <c r="CU6" s="33"/>
      <c r="CV6" s="33"/>
      <c r="CW6" s="45"/>
      <c r="CX6" s="37" t="s">
        <v>273</v>
      </c>
      <c r="CY6" s="33"/>
      <c r="CZ6" s="33"/>
      <c r="DA6" s="33"/>
      <c r="DB6" s="33"/>
      <c r="DC6" s="38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171</v>
      </c>
      <c r="D3" s="5" t="s">
        <v>9</v>
      </c>
      <c r="E3" s="22" t="s">
        <v>186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/>
      <c r="B5" s="28" t="s">
        <v>187</v>
      </c>
      <c r="C5" s="28" t="s">
        <v>188</v>
      </c>
      <c r="D5" s="28" t="s">
        <v>189</v>
      </c>
      <c r="E5" s="28" t="s">
        <v>190</v>
      </c>
      <c r="F5" s="28" t="s">
        <v>129</v>
      </c>
      <c r="G5" s="28" t="s">
        <v>191</v>
      </c>
      <c r="H5" s="28" t="s">
        <v>192</v>
      </c>
      <c r="I5" s="28" t="s">
        <v>193</v>
      </c>
      <c r="J5" s="28" t="s">
        <v>194</v>
      </c>
      <c r="K5" s="28" t="s">
        <v>195</v>
      </c>
      <c r="L5" s="28" t="s">
        <v>196</v>
      </c>
      <c r="M5" s="28" t="s">
        <v>197</v>
      </c>
      <c r="N5" s="28" t="s">
        <v>198</v>
      </c>
      <c r="O5" s="28" t="s">
        <v>46</v>
      </c>
      <c r="P5" s="28" t="s">
        <v>199</v>
      </c>
      <c r="Q5" s="28" t="s">
        <v>200</v>
      </c>
      <c r="R5" s="28" t="s">
        <v>201</v>
      </c>
      <c r="S5" s="28" t="s">
        <v>202</v>
      </c>
      <c r="T5" s="42" t="s">
        <v>203</v>
      </c>
      <c r="U5" s="42" t="s">
        <v>204</v>
      </c>
      <c r="V5" s="42" t="s">
        <v>205</v>
      </c>
      <c r="W5" s="42" t="s">
        <v>206</v>
      </c>
      <c r="X5" s="42" t="s">
        <v>207</v>
      </c>
      <c r="Y5" s="42" t="s">
        <v>208</v>
      </c>
      <c r="Z5" s="42" t="s">
        <v>178</v>
      </c>
      <c r="AA5" s="42" t="s">
        <v>209</v>
      </c>
      <c r="AB5" s="42" t="s">
        <v>210</v>
      </c>
      <c r="AC5" s="42" t="s">
        <v>211</v>
      </c>
      <c r="AD5" s="42" t="s">
        <v>179</v>
      </c>
      <c r="AE5" s="42" t="s">
        <v>136</v>
      </c>
      <c r="AF5" s="42" t="s">
        <v>212</v>
      </c>
      <c r="AG5" s="42" t="s">
        <v>44</v>
      </c>
      <c r="AH5" s="42" t="s">
        <v>117</v>
      </c>
      <c r="AI5" s="42" t="s">
        <v>121</v>
      </c>
      <c r="AJ5" s="42" t="s">
        <v>213</v>
      </c>
      <c r="AK5" s="42" t="s">
        <v>214</v>
      </c>
      <c r="AL5" s="42" t="s">
        <v>215</v>
      </c>
      <c r="AM5" s="42" t="s">
        <v>128</v>
      </c>
      <c r="AN5" s="42" t="s">
        <v>216</v>
      </c>
      <c r="AO5" s="42" t="s">
        <v>217</v>
      </c>
      <c r="AP5" s="42" t="s">
        <v>218</v>
      </c>
      <c r="AQ5" s="42" t="s">
        <v>219</v>
      </c>
      <c r="AR5" s="42" t="s">
        <v>220</v>
      </c>
      <c r="AS5" s="42" t="s">
        <v>221</v>
      </c>
      <c r="AT5" s="42" t="s">
        <v>222</v>
      </c>
      <c r="AU5" s="42" t="s">
        <v>223</v>
      </c>
      <c r="AV5" s="42" t="s">
        <v>224</v>
      </c>
      <c r="AW5" s="42" t="s">
        <v>225</v>
      </c>
      <c r="AX5" s="42" t="s">
        <v>226</v>
      </c>
      <c r="AY5" s="42" t="s">
        <v>41</v>
      </c>
      <c r="AZ5" s="42" t="s">
        <v>227</v>
      </c>
      <c r="BA5" s="42" t="s">
        <v>228</v>
      </c>
      <c r="BB5" s="42" t="s">
        <v>229</v>
      </c>
      <c r="BC5" s="42" t="s">
        <v>230</v>
      </c>
      <c r="BD5" s="42" t="s">
        <v>231</v>
      </c>
      <c r="BE5" s="42" t="s">
        <v>232</v>
      </c>
      <c r="BF5" s="42" t="s">
        <v>233</v>
      </c>
      <c r="BG5" s="42" t="s">
        <v>118</v>
      </c>
      <c r="BH5" s="42" t="s">
        <v>234</v>
      </c>
      <c r="BI5" s="42" t="s">
        <v>235</v>
      </c>
      <c r="BJ5" s="42" t="s">
        <v>22</v>
      </c>
      <c r="BK5" s="42" t="s">
        <v>236</v>
      </c>
      <c r="BL5" s="42" t="s">
        <v>237</v>
      </c>
      <c r="BM5" s="42" t="s">
        <v>116</v>
      </c>
      <c r="BN5" s="42" t="s">
        <v>238</v>
      </c>
      <c r="BO5" s="42" t="s">
        <v>71</v>
      </c>
      <c r="BP5" s="42" t="s">
        <v>239</v>
      </c>
      <c r="BQ5" s="42" t="s">
        <v>240</v>
      </c>
      <c r="BR5" s="42" t="s">
        <v>241</v>
      </c>
      <c r="BS5" s="42" t="s">
        <v>242</v>
      </c>
      <c r="BT5" s="42" t="s">
        <v>21</v>
      </c>
      <c r="BU5" s="42" t="s">
        <v>243</v>
      </c>
      <c r="BV5" s="42" t="s">
        <v>244</v>
      </c>
      <c r="BW5" s="42" t="s">
        <v>245</v>
      </c>
      <c r="BX5" s="42" t="s">
        <v>246</v>
      </c>
      <c r="BY5" s="42" t="s">
        <v>122</v>
      </c>
      <c r="BZ5" s="42" t="s">
        <v>123</v>
      </c>
      <c r="CA5" s="42" t="s">
        <v>124</v>
      </c>
      <c r="CB5" s="42" t="s">
        <v>125</v>
      </c>
      <c r="CC5" s="42" t="s">
        <v>126</v>
      </c>
      <c r="CD5" s="42" t="s">
        <v>127</v>
      </c>
      <c r="CE5" s="42" t="s">
        <v>45</v>
      </c>
      <c r="CF5" s="42" t="s">
        <v>247</v>
      </c>
      <c r="CG5" s="42" t="s">
        <v>248</v>
      </c>
      <c r="CH5" s="42" t="s">
        <v>249</v>
      </c>
      <c r="CI5" s="42" t="s">
        <v>250</v>
      </c>
      <c r="CJ5" s="42" t="s">
        <v>251</v>
      </c>
      <c r="CK5" s="42" t="s">
        <v>181</v>
      </c>
      <c r="CL5" s="42" t="s">
        <v>252</v>
      </c>
      <c r="CM5" s="42" t="s">
        <v>119</v>
      </c>
      <c r="CN5" s="42" t="s">
        <v>115</v>
      </c>
      <c r="CO5" s="42" t="s">
        <v>49</v>
      </c>
      <c r="CP5" s="42" t="s">
        <v>253</v>
      </c>
      <c r="CQ5" s="42" t="s">
        <v>254</v>
      </c>
      <c r="CR5" s="42" t="s">
        <v>255</v>
      </c>
      <c r="CS5" s="42" t="s">
        <v>256</v>
      </c>
      <c r="CT5" s="42" t="s">
        <v>257</v>
      </c>
      <c r="CU5" s="42" t="s">
        <v>258</v>
      </c>
      <c r="CV5" s="42" t="s">
        <v>259</v>
      </c>
      <c r="CW5" s="42" t="s">
        <v>260</v>
      </c>
      <c r="CX5" s="42" t="s">
        <v>110</v>
      </c>
      <c r="CY5" s="42" t="s">
        <v>156</v>
      </c>
      <c r="CZ5" s="42" t="s">
        <v>261</v>
      </c>
      <c r="DA5" s="42" t="s">
        <v>262</v>
      </c>
      <c r="DB5" s="42" t="s">
        <v>263</v>
      </c>
      <c r="DC5" s="42" t="s">
        <v>264</v>
      </c>
      <c r="DD5" s="42" t="s">
        <v>265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37" t="s">
        <v>169</v>
      </c>
      <c r="C6" s="33" t="s">
        <v>266</v>
      </c>
      <c r="D6" s="44"/>
      <c r="E6" s="45">
        <v>2500.0</v>
      </c>
      <c r="F6" s="33" t="s">
        <v>148</v>
      </c>
      <c r="G6" s="33" t="s">
        <v>166</v>
      </c>
      <c r="H6" s="45">
        <v>4.0</v>
      </c>
      <c r="I6" s="45">
        <v>5.0</v>
      </c>
      <c r="J6" s="45">
        <v>1.0</v>
      </c>
      <c r="K6" s="45">
        <v>10.0</v>
      </c>
      <c r="L6" s="45">
        <v>10.0</v>
      </c>
      <c r="M6" s="33" t="s">
        <v>158</v>
      </c>
      <c r="N6" s="33" t="s">
        <v>267</v>
      </c>
      <c r="O6" s="33" t="s">
        <v>168</v>
      </c>
      <c r="P6" s="33"/>
      <c r="Q6" s="45">
        <v>3.0</v>
      </c>
      <c r="R6" s="45"/>
      <c r="S6" s="33" t="s">
        <v>268</v>
      </c>
      <c r="T6" s="45"/>
      <c r="U6" s="45"/>
      <c r="V6" s="33" t="s">
        <v>269</v>
      </c>
      <c r="W6" s="43"/>
      <c r="X6" s="45"/>
      <c r="Y6" s="33"/>
      <c r="Z6" s="33" t="s">
        <v>162</v>
      </c>
      <c r="AA6" s="45"/>
      <c r="AB6" s="45">
        <v>1.0</v>
      </c>
      <c r="AC6" s="33"/>
      <c r="AD6" s="33" t="s">
        <v>159</v>
      </c>
      <c r="AE6" s="45">
        <v>2500.0</v>
      </c>
      <c r="AF6" s="33"/>
      <c r="AG6" s="43"/>
      <c r="AH6" s="33" t="s">
        <v>165</v>
      </c>
      <c r="AI6" s="45">
        <v>1.0</v>
      </c>
      <c r="AJ6" s="33" t="s">
        <v>270</v>
      </c>
      <c r="AK6" s="33"/>
      <c r="AL6" s="33"/>
      <c r="AM6" s="33"/>
      <c r="AN6" s="41" t="b">
        <v>0</v>
      </c>
      <c r="AO6" s="33"/>
      <c r="AP6" s="41" t="b">
        <v>0</v>
      </c>
      <c r="AQ6" s="41" t="b">
        <v>0</v>
      </c>
      <c r="AR6" s="41" t="b">
        <v>0</v>
      </c>
      <c r="AS6" s="45"/>
      <c r="AT6" s="45"/>
      <c r="AU6" s="45"/>
      <c r="AV6" s="43"/>
      <c r="AW6" s="45"/>
      <c r="AX6" s="45"/>
      <c r="AY6" s="33" t="s">
        <v>43</v>
      </c>
      <c r="AZ6" s="45"/>
      <c r="BA6" s="43"/>
      <c r="BB6" s="33"/>
      <c r="BC6" s="43"/>
      <c r="BD6" s="33" t="s">
        <v>271</v>
      </c>
      <c r="BE6" s="45">
        <v>25000.0</v>
      </c>
      <c r="BF6" s="45">
        <v>25000.0</v>
      </c>
      <c r="BG6" s="43"/>
      <c r="BH6" s="33"/>
      <c r="BI6" s="33"/>
      <c r="BJ6" s="45">
        <v>10000.0</v>
      </c>
      <c r="BK6" s="45"/>
      <c r="BL6" s="45"/>
      <c r="BM6" s="33" t="s">
        <v>162</v>
      </c>
      <c r="BN6" s="43"/>
      <c r="BO6" s="33" t="s">
        <v>67</v>
      </c>
      <c r="BP6" s="45"/>
      <c r="BQ6" s="45"/>
      <c r="BR6" s="45"/>
      <c r="BS6" s="33" t="s">
        <v>170</v>
      </c>
      <c r="BT6" s="33" t="s">
        <v>64</v>
      </c>
      <c r="BU6" s="45"/>
      <c r="BV6" s="43"/>
      <c r="BW6" s="45"/>
      <c r="BX6" s="45"/>
      <c r="BY6" s="33"/>
      <c r="BZ6" s="33"/>
      <c r="CA6" s="33"/>
      <c r="CB6" s="38"/>
      <c r="CC6" s="33"/>
      <c r="CD6" s="33"/>
      <c r="CE6" s="43"/>
      <c r="CF6" s="33" t="s">
        <v>161</v>
      </c>
      <c r="CG6" s="45">
        <v>2.0</v>
      </c>
      <c r="CH6" s="33" t="s">
        <v>272</v>
      </c>
      <c r="CI6" s="33" t="s">
        <v>67</v>
      </c>
      <c r="CJ6" s="45"/>
      <c r="CK6" s="33" t="s">
        <v>274</v>
      </c>
      <c r="CL6" s="45">
        <v>1.0</v>
      </c>
      <c r="CM6" s="33" t="s">
        <v>64</v>
      </c>
      <c r="CN6" s="33" t="s">
        <v>160</v>
      </c>
      <c r="CO6" s="33" t="s">
        <v>159</v>
      </c>
      <c r="CP6" s="33" t="s">
        <v>163</v>
      </c>
      <c r="CQ6" s="43"/>
      <c r="CR6" s="43"/>
      <c r="CS6" s="33"/>
      <c r="CT6" s="33"/>
      <c r="CU6" s="33"/>
      <c r="CV6" s="33"/>
      <c r="CW6" s="45"/>
      <c r="CX6" s="37" t="s">
        <v>273</v>
      </c>
      <c r="CY6" s="33"/>
      <c r="CZ6" s="33"/>
      <c r="DA6" s="33"/>
      <c r="DB6" s="33"/>
      <c r="DC6" s="38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33"/>
      <c r="B7" s="37" t="s">
        <v>169</v>
      </c>
      <c r="C7" s="33" t="s">
        <v>266</v>
      </c>
      <c r="D7" s="45"/>
      <c r="E7" s="45">
        <v>100.0</v>
      </c>
      <c r="F7" s="33" t="s">
        <v>275</v>
      </c>
      <c r="G7" s="33" t="s">
        <v>166</v>
      </c>
      <c r="H7" s="45">
        <v>4.0</v>
      </c>
      <c r="I7" s="45">
        <v>5.0</v>
      </c>
      <c r="J7" s="45">
        <v>1.0</v>
      </c>
      <c r="K7" s="45">
        <v>10.0</v>
      </c>
      <c r="L7" s="45">
        <v>10.0</v>
      </c>
      <c r="M7" s="33" t="s">
        <v>158</v>
      </c>
      <c r="N7" s="33" t="s">
        <v>267</v>
      </c>
      <c r="O7" s="33" t="s">
        <v>168</v>
      </c>
      <c r="P7" s="33"/>
      <c r="Q7" s="45">
        <v>3.0</v>
      </c>
      <c r="R7" s="45"/>
      <c r="S7" s="33" t="s">
        <v>268</v>
      </c>
      <c r="T7" s="45"/>
      <c r="U7" s="45"/>
      <c r="V7" s="33" t="s">
        <v>269</v>
      </c>
      <c r="W7" s="43"/>
      <c r="X7" s="45"/>
      <c r="Y7" s="33"/>
      <c r="Z7" s="33" t="s">
        <v>162</v>
      </c>
      <c r="AA7" s="45"/>
      <c r="AB7" s="45">
        <v>1.0</v>
      </c>
      <c r="AC7" s="33"/>
      <c r="AD7" s="33" t="s">
        <v>159</v>
      </c>
      <c r="AE7" s="45">
        <v>100.0</v>
      </c>
      <c r="AF7" s="33"/>
      <c r="AG7" s="43"/>
      <c r="AH7" s="33" t="s">
        <v>165</v>
      </c>
      <c r="AI7" s="45">
        <v>1.0</v>
      </c>
      <c r="AJ7" s="33" t="s">
        <v>270</v>
      </c>
      <c r="AK7" s="33"/>
      <c r="AL7" s="33"/>
      <c r="AM7" s="33" t="s">
        <v>164</v>
      </c>
      <c r="AN7" s="41" t="b">
        <v>0</v>
      </c>
      <c r="AO7" s="33"/>
      <c r="AP7" s="41" t="b">
        <v>0</v>
      </c>
      <c r="AQ7" s="41" t="b">
        <v>0</v>
      </c>
      <c r="AR7" s="41" t="b">
        <v>1</v>
      </c>
      <c r="AS7" s="45"/>
      <c r="AT7" s="45"/>
      <c r="AU7" s="45"/>
      <c r="AV7" s="43"/>
      <c r="AW7" s="45"/>
      <c r="AX7" s="45"/>
      <c r="AY7" s="33" t="s">
        <v>43</v>
      </c>
      <c r="AZ7" s="45"/>
      <c r="BA7" s="43"/>
      <c r="BB7" s="33"/>
      <c r="BC7" s="45"/>
      <c r="BD7" s="33" t="s">
        <v>271</v>
      </c>
      <c r="BE7" s="45">
        <v>1000.0</v>
      </c>
      <c r="BF7" s="45">
        <v>1000.0</v>
      </c>
      <c r="BG7" s="43"/>
      <c r="BH7" s="33"/>
      <c r="BI7" s="33"/>
      <c r="BJ7" s="45">
        <v>10000.0</v>
      </c>
      <c r="BK7" s="45"/>
      <c r="BL7" s="45"/>
      <c r="BM7" s="33" t="s">
        <v>162</v>
      </c>
      <c r="BN7" s="43"/>
      <c r="BO7" s="33" t="s">
        <v>67</v>
      </c>
      <c r="BP7" s="45"/>
      <c r="BQ7" s="45"/>
      <c r="BR7" s="45"/>
      <c r="BS7" s="33" t="s">
        <v>170</v>
      </c>
      <c r="BT7" s="33" t="s">
        <v>64</v>
      </c>
      <c r="BU7" s="45"/>
      <c r="BV7" s="45"/>
      <c r="BW7" s="45"/>
      <c r="BX7" s="45"/>
      <c r="BY7" s="33"/>
      <c r="BZ7" s="33"/>
      <c r="CA7" s="33"/>
      <c r="CB7" s="33"/>
      <c r="CC7" s="33"/>
      <c r="CD7" s="33"/>
      <c r="CE7" s="43"/>
      <c r="CF7" s="33" t="s">
        <v>161</v>
      </c>
      <c r="CG7" s="45">
        <v>2.0</v>
      </c>
      <c r="CH7" s="33" t="s">
        <v>19</v>
      </c>
      <c r="CI7" s="33" t="s">
        <v>67</v>
      </c>
      <c r="CJ7" s="45"/>
      <c r="CK7" s="33" t="s">
        <v>274</v>
      </c>
      <c r="CL7" s="45">
        <v>1.0</v>
      </c>
      <c r="CM7" s="33" t="s">
        <v>64</v>
      </c>
      <c r="CN7" s="33" t="s">
        <v>160</v>
      </c>
      <c r="CO7" s="33" t="s">
        <v>159</v>
      </c>
      <c r="CP7" s="33" t="s">
        <v>163</v>
      </c>
      <c r="CQ7" s="43"/>
      <c r="CR7" s="45"/>
      <c r="CS7" s="33"/>
      <c r="CT7" s="33"/>
      <c r="CU7" s="33"/>
      <c r="CV7" s="33"/>
      <c r="CW7" s="45"/>
      <c r="CX7" s="37" t="s">
        <v>273</v>
      </c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  <c r="EY7" s="33"/>
      <c r="EZ7" s="33"/>
      <c r="FA7" s="33"/>
      <c r="FB7" s="33"/>
      <c r="FC7" s="33"/>
      <c r="FD7" s="33"/>
      <c r="FE7" s="33"/>
      <c r="FF7" s="33"/>
      <c r="FG7" s="33"/>
      <c r="FH7" s="33"/>
      <c r="FI7" s="33"/>
      <c r="FJ7" s="33"/>
      <c r="FK7" s="33"/>
      <c r="FL7" s="33"/>
      <c r="FM7" s="33"/>
      <c r="FN7" s="33"/>
      <c r="FO7" s="33"/>
      <c r="FP7" s="33"/>
      <c r="FQ7" s="33"/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3"/>
      <c r="IV7" s="33"/>
      <c r="IW7" s="33"/>
      <c r="IX7" s="33"/>
      <c r="IY7" s="33"/>
      <c r="IZ7" s="33"/>
      <c r="JA7" s="33"/>
      <c r="JB7" s="33"/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  <c r="ZA7" s="33"/>
      <c r="ZB7" s="33"/>
      <c r="ZC7" s="33"/>
      <c r="ZD7" s="33"/>
      <c r="ZE7" s="33"/>
      <c r="ZF7" s="33"/>
      <c r="ZG7" s="33"/>
      <c r="ZH7" s="33"/>
      <c r="ZI7" s="33"/>
      <c r="ZJ7" s="33"/>
      <c r="ZK7" s="33"/>
      <c r="ZL7" s="33"/>
      <c r="ZM7" s="33"/>
      <c r="ZN7" s="33"/>
      <c r="ZO7" s="33"/>
      <c r="ZP7" s="33"/>
      <c r="ZQ7" s="33"/>
      <c r="ZR7" s="33"/>
      <c r="ZS7" s="33"/>
      <c r="ZT7" s="33"/>
      <c r="ZU7" s="33"/>
      <c r="ZV7" s="33"/>
      <c r="ZW7" s="33"/>
      <c r="ZX7" s="33"/>
      <c r="ZY7" s="33"/>
      <c r="ZZ7" s="33"/>
      <c r="AAA7" s="33"/>
      <c r="AAB7" s="33"/>
      <c r="AAC7" s="33"/>
      <c r="AAD7" s="33"/>
      <c r="AAE7" s="33"/>
      <c r="AAF7" s="33"/>
      <c r="AAG7" s="33"/>
      <c r="AAH7" s="33"/>
      <c r="AAI7" s="33"/>
      <c r="AAJ7" s="33"/>
      <c r="AAK7" s="33"/>
      <c r="AAL7" s="33"/>
      <c r="AAM7" s="33"/>
      <c r="AAN7" s="33"/>
      <c r="AAO7" s="33"/>
      <c r="AAP7" s="33"/>
      <c r="AAQ7" s="33"/>
      <c r="AAR7" s="33"/>
      <c r="AAS7" s="33"/>
      <c r="AAT7" s="33"/>
      <c r="AAU7" s="33"/>
      <c r="AAV7" s="33"/>
      <c r="AAW7" s="33"/>
      <c r="AAX7" s="33"/>
      <c r="AAY7" s="33"/>
      <c r="AAZ7" s="33"/>
      <c r="ABA7" s="33"/>
      <c r="ABB7" s="33"/>
      <c r="ABC7" s="33"/>
      <c r="ABD7" s="33"/>
      <c r="ABE7" s="33"/>
      <c r="ABF7" s="33"/>
      <c r="ABG7" s="33"/>
      <c r="ABH7" s="33"/>
      <c r="ABI7" s="33"/>
      <c r="ABJ7" s="33"/>
      <c r="ABK7" s="33"/>
      <c r="ABL7" s="33"/>
      <c r="ABM7" s="33"/>
      <c r="ABN7" s="33"/>
      <c r="ABO7" s="33"/>
      <c r="ABP7" s="33"/>
      <c r="ABQ7" s="33"/>
      <c r="ABR7" s="33"/>
      <c r="ABS7" s="33"/>
      <c r="ABT7" s="33"/>
      <c r="ABU7" s="33"/>
      <c r="ABV7" s="33"/>
      <c r="ABW7" s="33"/>
      <c r="ABX7" s="33"/>
      <c r="ABY7" s="33"/>
      <c r="ABZ7" s="33"/>
      <c r="ACA7" s="33"/>
      <c r="ACB7" s="33"/>
      <c r="ACC7" s="33"/>
      <c r="ACD7" s="33"/>
      <c r="ACE7" s="33"/>
      <c r="ACF7" s="33"/>
      <c r="ACG7" s="33"/>
      <c r="ACH7" s="33"/>
      <c r="ACI7" s="33"/>
      <c r="ACJ7" s="33"/>
      <c r="ACK7" s="33"/>
      <c r="ACL7" s="33"/>
      <c r="ACM7" s="33"/>
      <c r="ACN7" s="33"/>
      <c r="ACO7" s="33"/>
      <c r="ACP7" s="33"/>
      <c r="ACQ7" s="33"/>
      <c r="ACR7" s="33"/>
      <c r="ACS7" s="33"/>
      <c r="ACT7" s="33"/>
      <c r="ACU7" s="33"/>
      <c r="ACV7" s="33"/>
      <c r="ACW7" s="33"/>
      <c r="ACX7" s="33"/>
      <c r="ACY7" s="33"/>
      <c r="ACZ7" s="33"/>
      <c r="ADA7" s="33"/>
      <c r="ADB7" s="33"/>
      <c r="ADC7" s="33"/>
      <c r="ADD7" s="33"/>
      <c r="ADE7" s="33"/>
      <c r="ADF7" s="33"/>
      <c r="ADG7" s="33"/>
      <c r="ADH7" s="33"/>
      <c r="ADI7" s="33"/>
      <c r="ADJ7" s="33"/>
      <c r="ADK7" s="33"/>
      <c r="ADL7" s="33"/>
      <c r="ADM7" s="33"/>
      <c r="ADN7" s="33"/>
      <c r="ADO7" s="33"/>
      <c r="ADP7" s="33"/>
      <c r="ADQ7" s="33"/>
      <c r="ADR7" s="33"/>
      <c r="ADS7" s="33"/>
      <c r="ADT7" s="33"/>
      <c r="ADU7" s="33"/>
      <c r="ADV7" s="33"/>
      <c r="ADW7" s="33"/>
      <c r="ADX7" s="33"/>
      <c r="ADY7" s="33"/>
      <c r="ADZ7" s="33"/>
      <c r="AEA7" s="33"/>
      <c r="AEB7" s="33"/>
      <c r="AEC7" s="33"/>
      <c r="AED7" s="33"/>
      <c r="AEE7" s="33"/>
      <c r="AEF7" s="33"/>
      <c r="AEG7" s="33"/>
      <c r="AEH7" s="33"/>
      <c r="AEI7" s="33"/>
      <c r="AEJ7" s="33"/>
      <c r="AEK7" s="33"/>
      <c r="AEL7" s="33"/>
      <c r="AEM7" s="33"/>
      <c r="AEN7" s="33"/>
      <c r="AEO7" s="33"/>
      <c r="AEP7" s="33"/>
      <c r="AEQ7" s="33"/>
      <c r="AER7" s="33"/>
      <c r="AES7" s="33"/>
      <c r="AET7" s="33"/>
      <c r="AEU7" s="33"/>
      <c r="AEV7" s="33"/>
      <c r="AEW7" s="33"/>
      <c r="AEX7" s="33"/>
      <c r="AEY7" s="33"/>
      <c r="AEZ7" s="33"/>
      <c r="AFA7" s="33"/>
      <c r="AFB7" s="33"/>
      <c r="AFC7" s="33"/>
      <c r="AFD7" s="33"/>
      <c r="AFE7" s="33"/>
      <c r="AFF7" s="33"/>
      <c r="AFG7" s="33"/>
      <c r="AFH7" s="33"/>
      <c r="AFI7" s="33"/>
      <c r="AFJ7" s="33"/>
      <c r="AFK7" s="33"/>
      <c r="AFL7" s="33"/>
      <c r="AFM7" s="33"/>
      <c r="AFN7" s="33"/>
      <c r="AFO7" s="33"/>
      <c r="AFP7" s="33"/>
      <c r="AFQ7" s="33"/>
      <c r="AFR7" s="33"/>
      <c r="AFS7" s="33"/>
      <c r="AFT7" s="33"/>
      <c r="AFU7" s="33"/>
      <c r="AFV7" s="33"/>
      <c r="AFW7" s="33"/>
      <c r="AFX7" s="33"/>
      <c r="AFY7" s="33"/>
      <c r="AFZ7" s="33"/>
      <c r="AGA7" s="33"/>
      <c r="AGB7" s="33"/>
      <c r="AGC7" s="33"/>
      <c r="AGD7" s="33"/>
      <c r="AGE7" s="33"/>
      <c r="AGF7" s="33"/>
      <c r="AGG7" s="33"/>
      <c r="AGH7" s="33"/>
      <c r="AGI7" s="33"/>
      <c r="AGJ7" s="33"/>
      <c r="AGK7" s="33"/>
      <c r="AGL7" s="33"/>
      <c r="AGM7" s="33"/>
      <c r="AGN7" s="33"/>
      <c r="AGO7" s="33"/>
      <c r="AGP7" s="33"/>
      <c r="AGQ7" s="33"/>
      <c r="AGR7" s="33"/>
      <c r="AGS7" s="33"/>
      <c r="AGT7" s="33"/>
      <c r="AGU7" s="33"/>
      <c r="AGV7" s="33"/>
      <c r="AGW7" s="33"/>
      <c r="AGX7" s="33"/>
      <c r="AGY7" s="33"/>
      <c r="AGZ7" s="33"/>
      <c r="AHA7" s="33"/>
      <c r="AHB7" s="33"/>
      <c r="AHC7" s="33"/>
      <c r="AHD7" s="33"/>
      <c r="AHE7" s="33"/>
      <c r="AHF7" s="33"/>
      <c r="AHG7" s="33"/>
      <c r="AHH7" s="33"/>
      <c r="AHI7" s="33"/>
      <c r="AHJ7" s="33"/>
      <c r="AHK7" s="33"/>
      <c r="AHL7" s="33"/>
      <c r="AHM7" s="33"/>
      <c r="AHN7" s="33"/>
      <c r="AHO7" s="33"/>
      <c r="AHP7" s="33"/>
      <c r="AHQ7" s="33"/>
      <c r="AHR7" s="33"/>
      <c r="AHS7" s="33"/>
      <c r="AHT7" s="33"/>
      <c r="AHU7" s="33"/>
      <c r="AHV7" s="33"/>
      <c r="AHW7" s="33"/>
      <c r="AHX7" s="33"/>
      <c r="AHY7" s="33"/>
      <c r="AHZ7" s="33"/>
      <c r="AIA7" s="33"/>
      <c r="AIB7" s="33"/>
      <c r="AIC7" s="33"/>
      <c r="AID7" s="33"/>
      <c r="AIE7" s="33"/>
      <c r="AIF7" s="33"/>
      <c r="AIG7" s="33"/>
      <c r="AIH7" s="33"/>
      <c r="AII7" s="33"/>
      <c r="AIJ7" s="33"/>
      <c r="AIK7" s="33"/>
      <c r="AIL7" s="33"/>
      <c r="AIM7" s="33"/>
      <c r="AIN7" s="33"/>
      <c r="AIO7" s="33"/>
      <c r="AIP7" s="33"/>
      <c r="AIQ7" s="33"/>
      <c r="AIR7" s="33"/>
      <c r="AIS7" s="33"/>
      <c r="AIT7" s="33"/>
      <c r="AIU7" s="33"/>
      <c r="AIV7" s="33"/>
      <c r="AIW7" s="33"/>
      <c r="AIX7" s="33"/>
      <c r="AIY7" s="33"/>
      <c r="AIZ7" s="33"/>
      <c r="AJA7" s="33"/>
      <c r="AJB7" s="33"/>
      <c r="AJC7" s="33"/>
      <c r="AJD7" s="33"/>
      <c r="AJE7" s="33"/>
      <c r="AJF7" s="33"/>
      <c r="AJG7" s="33"/>
      <c r="AJH7" s="33"/>
      <c r="AJI7" s="33"/>
      <c r="AJJ7" s="33"/>
      <c r="AJK7" s="33"/>
      <c r="AJL7" s="33"/>
      <c r="AJM7" s="33"/>
      <c r="AJN7" s="33"/>
      <c r="AJO7" s="33"/>
      <c r="AJP7" s="33"/>
      <c r="AJQ7" s="33"/>
      <c r="AJR7" s="33"/>
      <c r="AJS7" s="33"/>
      <c r="AJT7" s="33"/>
      <c r="AJU7" s="33"/>
      <c r="AJV7" s="33"/>
      <c r="AJW7" s="33"/>
      <c r="AJX7" s="33"/>
      <c r="AJY7" s="33"/>
      <c r="AJZ7" s="33"/>
      <c r="AKA7" s="33"/>
      <c r="AKB7" s="33"/>
      <c r="AKC7" s="33"/>
      <c r="AKD7" s="33"/>
      <c r="AKE7" s="33"/>
      <c r="AKF7" s="33"/>
      <c r="AKG7" s="33"/>
      <c r="AKH7" s="33"/>
      <c r="AKI7" s="33"/>
      <c r="AKJ7" s="33"/>
      <c r="AKK7" s="33"/>
      <c r="AKL7" s="33"/>
      <c r="AKM7" s="33"/>
      <c r="AKN7" s="33"/>
      <c r="AKO7" s="33"/>
      <c r="AKP7" s="33"/>
      <c r="AKQ7" s="33"/>
      <c r="AKR7" s="33"/>
      <c r="AKS7" s="33"/>
      <c r="AKT7" s="33"/>
      <c r="AKU7" s="33"/>
      <c r="AKV7" s="33"/>
      <c r="AKW7" s="33"/>
      <c r="AKX7" s="33"/>
      <c r="AKY7" s="33"/>
      <c r="AKZ7" s="33"/>
      <c r="ALA7" s="33"/>
      <c r="ALB7" s="33"/>
      <c r="ALC7" s="33"/>
      <c r="ALD7" s="33"/>
      <c r="ALE7" s="33"/>
      <c r="ALF7" s="33"/>
      <c r="ALG7" s="33"/>
      <c r="ALH7" s="33"/>
      <c r="ALI7" s="33"/>
      <c r="ALJ7" s="33"/>
      <c r="ALK7" s="33"/>
      <c r="ALL7" s="33"/>
      <c r="ALM7" s="33"/>
      <c r="ALN7" s="33"/>
      <c r="ALO7" s="33"/>
      <c r="ALP7" s="33"/>
      <c r="ALQ7" s="33"/>
      <c r="ALR7" s="33"/>
      <c r="ALS7" s="33"/>
      <c r="ALT7" s="33"/>
      <c r="ALU7" s="33"/>
      <c r="ALV7" s="33"/>
      <c r="ALW7" s="33"/>
      <c r="ALX7" s="33"/>
      <c r="ALY7" s="33"/>
      <c r="ALZ7" s="33"/>
      <c r="AMA7" s="33"/>
      <c r="AMB7" s="33"/>
      <c r="AMC7" s="33"/>
      <c r="AMD7" s="33"/>
      <c r="AME7" s="33"/>
      <c r="AMF7" s="33"/>
      <c r="AMG7" s="33"/>
      <c r="AMH7" s="33"/>
      <c r="AMI7" s="33"/>
      <c r="AMJ7" s="33"/>
      <c r="AMK7" s="33"/>
      <c r="AML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77</v>
      </c>
      <c r="D3" s="5" t="s">
        <v>9</v>
      </c>
      <c r="E3" s="22" t="s">
        <v>78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79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12" t="s">
        <v>276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ChangeDate1!$4:$4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sheetData>
    <row r="5">
      <c r="A5" s="46"/>
      <c r="B5" s="47" t="s">
        <v>143</v>
      </c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46"/>
      <c r="BB5" s="46"/>
      <c r="BC5" s="46"/>
      <c r="BD5" s="46"/>
      <c r="BE5" s="46"/>
      <c r="BF5" s="46"/>
      <c r="BG5" s="46"/>
      <c r="BH5" s="46"/>
      <c r="BI5" s="46"/>
      <c r="BJ5" s="46"/>
      <c r="BK5" s="46"/>
      <c r="BL5" s="46"/>
      <c r="BM5" s="46"/>
      <c r="BN5" s="46"/>
      <c r="BO5" s="46"/>
      <c r="BP5" s="46"/>
      <c r="BQ5" s="46"/>
      <c r="BR5" s="46"/>
      <c r="BS5" s="46"/>
      <c r="BT5" s="46"/>
      <c r="BU5" s="46"/>
      <c r="BV5" s="46"/>
      <c r="BW5" s="46"/>
      <c r="BX5" s="46"/>
      <c r="BY5" s="46"/>
      <c r="BZ5" s="46"/>
      <c r="CA5" s="46"/>
      <c r="CB5" s="46"/>
      <c r="CC5" s="46"/>
      <c r="CD5" s="46"/>
      <c r="CE5" s="46"/>
      <c r="CF5" s="46"/>
      <c r="CG5" s="46"/>
      <c r="CH5" s="46"/>
      <c r="CI5" s="46"/>
      <c r="CJ5" s="46"/>
      <c r="CK5" s="46"/>
      <c r="CL5" s="46"/>
      <c r="CM5" s="46"/>
      <c r="CN5" s="46"/>
      <c r="CO5" s="46"/>
      <c r="CP5" s="46"/>
      <c r="CQ5" s="46"/>
      <c r="CR5" s="46"/>
      <c r="CS5" s="46"/>
      <c r="CT5" s="46"/>
      <c r="CU5" s="46"/>
      <c r="CV5" s="46"/>
      <c r="CW5" s="46"/>
      <c r="CX5" s="46"/>
      <c r="CY5" s="46"/>
      <c r="CZ5" s="46"/>
      <c r="DA5" s="46"/>
      <c r="DB5" s="46"/>
      <c r="DC5" s="46"/>
      <c r="DD5" s="46"/>
      <c r="DE5" s="46"/>
      <c r="DF5" s="46"/>
      <c r="DG5" s="46"/>
      <c r="DH5" s="46"/>
      <c r="DI5" s="46"/>
      <c r="DJ5" s="46"/>
      <c r="DK5" s="46"/>
      <c r="DL5" s="46"/>
      <c r="DM5" s="46"/>
      <c r="DN5" s="46"/>
      <c r="DO5" s="46"/>
      <c r="DP5" s="46"/>
      <c r="DQ5" s="46"/>
      <c r="DR5" s="46"/>
      <c r="DS5" s="46"/>
      <c r="DT5" s="46"/>
      <c r="DU5" s="46"/>
      <c r="DV5" s="46"/>
      <c r="DW5" s="46"/>
      <c r="DX5" s="46"/>
      <c r="DY5" s="46"/>
      <c r="DZ5" s="46"/>
      <c r="EA5" s="46"/>
      <c r="EB5" s="46"/>
      <c r="EC5" s="46"/>
      <c r="ED5" s="46"/>
      <c r="EE5" s="46"/>
      <c r="EF5" s="46"/>
      <c r="EG5" s="46"/>
      <c r="EH5" s="46"/>
      <c r="EI5" s="46"/>
      <c r="EJ5" s="46"/>
      <c r="EK5" s="46"/>
      <c r="EL5" s="46"/>
      <c r="EM5" s="46"/>
      <c r="EN5" s="46"/>
      <c r="EO5" s="46"/>
      <c r="EP5" s="46"/>
      <c r="EQ5" s="46"/>
      <c r="ER5" s="46"/>
      <c r="ES5" s="46"/>
      <c r="ET5" s="46"/>
      <c r="EU5" s="46"/>
      <c r="EV5" s="46"/>
      <c r="EW5" s="46"/>
      <c r="EX5" s="46"/>
    </row>
    <row r="6">
      <c r="A6" s="33"/>
      <c r="B6" s="50" t="s">
        <v>277</v>
      </c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sheetData>
    <row r="5">
      <c r="B5" s="9" t="s">
        <v>143</v>
      </c>
      <c r="C5" s="9" t="s">
        <v>278</v>
      </c>
      <c r="D5" s="9" t="s">
        <v>279</v>
      </c>
    </row>
    <row r="6">
      <c r="B6" s="9" t="s">
        <v>277</v>
      </c>
      <c r="C6" s="9" t="s">
        <v>280</v>
      </c>
      <c r="D6" s="9">
        <v>62.0</v>
      </c>
    </row>
    <row r="7">
      <c r="B7" s="9" t="s">
        <v>277</v>
      </c>
      <c r="C7" s="9" t="s">
        <v>169</v>
      </c>
      <c r="D7" s="9">
        <v>38.0</v>
      </c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sheetData>
    <row r="5">
      <c r="B5" s="9" t="s">
        <v>28</v>
      </c>
      <c r="C5" s="9" t="s">
        <v>281</v>
      </c>
      <c r="D5" s="9" t="s">
        <v>282</v>
      </c>
      <c r="E5" s="9" t="s">
        <v>283</v>
      </c>
      <c r="F5" s="9" t="s">
        <v>284</v>
      </c>
      <c r="G5" s="9" t="s">
        <v>285</v>
      </c>
      <c r="H5" s="9" t="s">
        <v>143</v>
      </c>
    </row>
    <row r="6">
      <c r="B6" s="9" t="s">
        <v>286</v>
      </c>
      <c r="D6" s="9" t="s">
        <v>287</v>
      </c>
      <c r="H6" s="9" t="s">
        <v>277</v>
      </c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sheetData>
    <row r="5">
      <c r="B5" s="9" t="s">
        <v>21</v>
      </c>
      <c r="C5" s="9" t="s">
        <v>71</v>
      </c>
      <c r="D5" s="9" t="s">
        <v>22</v>
      </c>
      <c r="E5" s="9" t="s">
        <v>136</v>
      </c>
      <c r="F5" s="9" t="s">
        <v>45</v>
      </c>
      <c r="G5" s="9" t="s">
        <v>223</v>
      </c>
      <c r="H5" s="9" t="s">
        <v>222</v>
      </c>
      <c r="I5" s="9" t="s">
        <v>233</v>
      </c>
      <c r="J5" s="9" t="s">
        <v>250</v>
      </c>
      <c r="K5" s="9" t="s">
        <v>232</v>
      </c>
      <c r="L5" s="9" t="s">
        <v>288</v>
      </c>
      <c r="M5" s="9" t="s">
        <v>247</v>
      </c>
      <c r="N5" s="9" t="s">
        <v>196</v>
      </c>
      <c r="O5" s="9" t="s">
        <v>195</v>
      </c>
      <c r="P5" s="9" t="s">
        <v>46</v>
      </c>
      <c r="Q5" s="9" t="s">
        <v>121</v>
      </c>
      <c r="R5" s="9" t="s">
        <v>49</v>
      </c>
      <c r="S5" s="9" t="s">
        <v>117</v>
      </c>
      <c r="T5" s="9" t="s">
        <v>115</v>
      </c>
      <c r="U5" s="9" t="s">
        <v>191</v>
      </c>
      <c r="V5" s="9" t="s">
        <v>116</v>
      </c>
      <c r="W5" s="9" t="s">
        <v>204</v>
      </c>
      <c r="X5" s="9" t="s">
        <v>240</v>
      </c>
      <c r="Y5" s="9" t="s">
        <v>246</v>
      </c>
      <c r="Z5" s="9" t="s">
        <v>200</v>
      </c>
      <c r="AA5" s="9" t="s">
        <v>122</v>
      </c>
      <c r="AB5" s="9" t="s">
        <v>123</v>
      </c>
      <c r="AC5" s="9" t="s">
        <v>124</v>
      </c>
      <c r="AD5" s="9" t="s">
        <v>125</v>
      </c>
      <c r="AE5" s="9" t="s">
        <v>126</v>
      </c>
      <c r="AF5" s="9" t="s">
        <v>127</v>
      </c>
      <c r="AG5" s="9" t="s">
        <v>220</v>
      </c>
      <c r="AH5" s="9" t="s">
        <v>218</v>
      </c>
      <c r="AI5" s="9" t="s">
        <v>216</v>
      </c>
      <c r="AJ5" s="9" t="s">
        <v>219</v>
      </c>
      <c r="AK5" s="9" t="s">
        <v>221</v>
      </c>
      <c r="AL5" s="9" t="s">
        <v>235</v>
      </c>
      <c r="AM5" s="9" t="s">
        <v>255</v>
      </c>
      <c r="AN5" s="9" t="s">
        <v>251</v>
      </c>
      <c r="AO5" s="9" t="s">
        <v>190</v>
      </c>
      <c r="AP5" s="9" t="s">
        <v>203</v>
      </c>
      <c r="AQ5" s="9" t="s">
        <v>239</v>
      </c>
      <c r="AR5" s="9" t="s">
        <v>230</v>
      </c>
      <c r="AS5" s="9" t="s">
        <v>201</v>
      </c>
      <c r="AT5" s="9" t="s">
        <v>245</v>
      </c>
      <c r="AU5" s="9" t="s">
        <v>248</v>
      </c>
      <c r="AV5" s="9" t="s">
        <v>241</v>
      </c>
      <c r="AW5" s="9" t="s">
        <v>192</v>
      </c>
      <c r="AX5" s="9" t="s">
        <v>243</v>
      </c>
      <c r="AY5" s="9" t="s">
        <v>193</v>
      </c>
      <c r="AZ5" s="9" t="s">
        <v>236</v>
      </c>
      <c r="BA5" s="9" t="s">
        <v>225</v>
      </c>
      <c r="BB5" s="9" t="s">
        <v>227</v>
      </c>
      <c r="BC5" s="9" t="s">
        <v>226</v>
      </c>
      <c r="BD5" s="9" t="s">
        <v>231</v>
      </c>
      <c r="BE5" s="9" t="s">
        <v>244</v>
      </c>
      <c r="BF5" s="9" t="s">
        <v>202</v>
      </c>
      <c r="BG5" s="9" t="s">
        <v>253</v>
      </c>
      <c r="BH5" s="9" t="s">
        <v>213</v>
      </c>
      <c r="BI5" s="9" t="s">
        <v>129</v>
      </c>
      <c r="BJ5" s="9" t="s">
        <v>199</v>
      </c>
      <c r="BK5" s="9" t="s">
        <v>41</v>
      </c>
      <c r="BL5" s="9" t="s">
        <v>181</v>
      </c>
      <c r="BM5" s="9" t="s">
        <v>179</v>
      </c>
      <c r="BN5" s="9" t="s">
        <v>178</v>
      </c>
      <c r="BO5" s="9" t="s">
        <v>194</v>
      </c>
      <c r="BP5" s="9" t="s">
        <v>208</v>
      </c>
      <c r="BQ5" s="9" t="s">
        <v>206</v>
      </c>
      <c r="BR5" s="9" t="s">
        <v>205</v>
      </c>
      <c r="BS5" s="9" t="s">
        <v>224</v>
      </c>
      <c r="BT5" s="9" t="s">
        <v>118</v>
      </c>
      <c r="BU5" s="9" t="s">
        <v>228</v>
      </c>
      <c r="BV5" s="9" t="s">
        <v>254</v>
      </c>
      <c r="BW5" s="9" t="s">
        <v>238</v>
      </c>
      <c r="BX5" s="9" t="s">
        <v>44</v>
      </c>
      <c r="BY5" s="9" t="s">
        <v>211</v>
      </c>
      <c r="BZ5" s="9" t="s">
        <v>119</v>
      </c>
      <c r="CA5" s="9" t="s">
        <v>189</v>
      </c>
      <c r="CB5" s="9" t="s">
        <v>188</v>
      </c>
      <c r="CC5" s="9" t="s">
        <v>198</v>
      </c>
      <c r="CD5" s="9" t="s">
        <v>207</v>
      </c>
      <c r="CE5" s="9" t="s">
        <v>210</v>
      </c>
      <c r="CF5" s="9" t="s">
        <v>197</v>
      </c>
      <c r="CG5" s="9" t="s">
        <v>237</v>
      </c>
      <c r="CH5" s="9" t="s">
        <v>209</v>
      </c>
      <c r="CI5" s="9" t="s">
        <v>217</v>
      </c>
      <c r="CJ5" s="9" t="s">
        <v>229</v>
      </c>
      <c r="CK5" s="9" t="s">
        <v>214</v>
      </c>
      <c r="CL5" s="9" t="s">
        <v>252</v>
      </c>
      <c r="CM5" s="9" t="s">
        <v>128</v>
      </c>
      <c r="CN5" s="9" t="s">
        <v>234</v>
      </c>
      <c r="CO5" s="9" t="s">
        <v>249</v>
      </c>
      <c r="CP5" s="9" t="s">
        <v>215</v>
      </c>
      <c r="CQ5" s="9" t="s">
        <v>110</v>
      </c>
      <c r="CR5" s="9" t="s">
        <v>256</v>
      </c>
    </row>
    <row r="6">
      <c r="B6" s="9" t="s">
        <v>64</v>
      </c>
      <c r="C6" s="9" t="s">
        <v>67</v>
      </c>
      <c r="D6" s="9">
        <v>2500.0</v>
      </c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sheetData>
    <row r="5">
      <c r="A5" s="46"/>
      <c r="B5" s="47" t="s">
        <v>187</v>
      </c>
      <c r="C5" s="47" t="s">
        <v>289</v>
      </c>
      <c r="D5" s="47" t="s">
        <v>290</v>
      </c>
      <c r="E5" s="47"/>
      <c r="F5" s="47"/>
      <c r="G5" s="47"/>
      <c r="H5" s="47"/>
      <c r="I5" s="47"/>
      <c r="J5" s="47"/>
      <c r="K5" s="47"/>
      <c r="L5" s="48"/>
      <c r="M5" s="48"/>
      <c r="N5" s="48"/>
      <c r="O5" s="48"/>
      <c r="P5" s="48"/>
      <c r="Q5" s="48"/>
      <c r="R5" s="48"/>
      <c r="S5" s="48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46"/>
      <c r="BB5" s="46"/>
      <c r="BC5" s="46"/>
      <c r="BD5" s="46"/>
      <c r="BE5" s="46"/>
      <c r="BF5" s="46"/>
      <c r="BG5" s="46"/>
      <c r="BH5" s="46"/>
      <c r="BI5" s="46"/>
      <c r="BJ5" s="46"/>
      <c r="BK5" s="46"/>
      <c r="BL5" s="46"/>
      <c r="BM5" s="46"/>
      <c r="BN5" s="46"/>
      <c r="BO5" s="46"/>
      <c r="BP5" s="46"/>
      <c r="BQ5" s="46"/>
      <c r="BR5" s="46"/>
      <c r="BS5" s="46"/>
      <c r="BT5" s="46"/>
      <c r="BU5" s="46"/>
      <c r="BV5" s="46"/>
      <c r="BW5" s="46"/>
      <c r="BX5" s="46"/>
      <c r="BY5" s="46"/>
      <c r="BZ5" s="46"/>
      <c r="CA5" s="46"/>
      <c r="CB5" s="46"/>
      <c r="CC5" s="46"/>
      <c r="CD5" s="46"/>
      <c r="CE5" s="46"/>
      <c r="CF5" s="46"/>
      <c r="CG5" s="46"/>
      <c r="CH5" s="46"/>
      <c r="CI5" s="46"/>
      <c r="CJ5" s="46"/>
      <c r="CK5" s="46"/>
      <c r="CL5" s="46"/>
      <c r="CM5" s="46"/>
      <c r="CN5" s="46"/>
      <c r="CO5" s="46"/>
      <c r="CP5" s="46"/>
      <c r="CQ5" s="46"/>
      <c r="CR5" s="46"/>
      <c r="CS5" s="46"/>
      <c r="CT5" s="46"/>
      <c r="CU5" s="46"/>
      <c r="CV5" s="46"/>
      <c r="CW5" s="46"/>
      <c r="CX5" s="46"/>
      <c r="CY5" s="46"/>
      <c r="CZ5" s="46"/>
      <c r="DA5" s="46"/>
      <c r="DB5" s="46"/>
      <c r="DC5" s="46"/>
      <c r="DD5" s="46"/>
      <c r="DE5" s="46"/>
      <c r="DF5" s="46"/>
      <c r="DG5" s="46"/>
      <c r="DH5" s="46"/>
      <c r="DI5" s="46"/>
      <c r="DJ5" s="46"/>
      <c r="DK5" s="46"/>
      <c r="DL5" s="46"/>
      <c r="DM5" s="46"/>
      <c r="DN5" s="46"/>
      <c r="DO5" s="46"/>
      <c r="DP5" s="46"/>
      <c r="DQ5" s="46"/>
      <c r="DR5" s="46"/>
      <c r="DS5" s="46"/>
      <c r="DT5" s="46"/>
      <c r="DU5" s="46"/>
      <c r="DV5" s="46"/>
      <c r="DW5" s="46"/>
      <c r="DX5" s="46"/>
      <c r="DY5" s="46"/>
      <c r="DZ5" s="46"/>
      <c r="EA5" s="46"/>
      <c r="EB5" s="46"/>
      <c r="EC5" s="46"/>
      <c r="ED5" s="46"/>
      <c r="EE5" s="46"/>
      <c r="EF5" s="46"/>
      <c r="EG5" s="46"/>
      <c r="EH5" s="46"/>
      <c r="EI5" s="46"/>
      <c r="EJ5" s="46"/>
      <c r="EK5" s="46"/>
      <c r="EL5" s="46"/>
      <c r="EM5" s="46"/>
      <c r="EN5" s="46"/>
      <c r="EO5" s="46"/>
      <c r="EP5" s="46"/>
      <c r="EQ5" s="46"/>
      <c r="ER5" s="46"/>
      <c r="ES5" s="46"/>
      <c r="ET5" s="46"/>
      <c r="EU5" s="46"/>
      <c r="EV5" s="46"/>
      <c r="EW5" s="46"/>
      <c r="EX5" s="46"/>
    </row>
    <row r="6">
      <c r="A6" s="33"/>
      <c r="B6" s="37" t="s">
        <v>280</v>
      </c>
      <c r="C6" s="50">
        <v>62.0</v>
      </c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>
      <c r="B7" s="37" t="s">
        <v>169</v>
      </c>
      <c r="C7" s="9">
        <v>38.0</v>
      </c>
    </row>
  </sheetData>
  <drawing r:id="rId1"/>
</worksheet>
</file>