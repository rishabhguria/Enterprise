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ustomOrderTT" sheetId="4" r:id="rId7"/>
    <sheet state="visible" name="PricingInput" sheetId="5" r:id="rId8"/>
    <sheet state="visible" name="GetDailyCash" sheetId="6" r:id="rId9"/>
    <sheet state="visible" name="UpdateMultipleDailyCash" sheetId="7" r:id="rId10"/>
    <sheet state="visible" name="CalculatePTT" sheetId="8" r:id="rId11"/>
    <sheet state="visible" name="VerifyPTT" sheetId="9" r:id="rId12"/>
    <sheet state="visible" name="OperationsonPTT" sheetId="10" r:id="rId13"/>
    <sheet state="visible" name="SetAccountFactor" sheetId="11" r:id="rId14"/>
    <sheet state="visible" name="VerifyPTTCompliance" sheetId="12" r:id="rId15"/>
    <sheet state="visible" name="TradePTT" sheetId="13" r:id="rId16"/>
    <sheet state="visible" name="CustomOrderTT1" sheetId="14" r:id="rId17"/>
    <sheet state="visible" name="CheckAllocatedGroups" sheetId="15" r:id="rId18"/>
  </sheets>
  <definedNames/>
  <calcPr/>
</workbook>
</file>

<file path=xl/sharedStrings.xml><?xml version="1.0" encoding="utf-8"?>
<sst xmlns="http://schemas.openxmlformats.org/spreadsheetml/2006/main" count="437" uniqueCount="70">
  <si>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</si>
  <si>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</si>
  <si>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</si>
  <si>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</si>
  <si>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</si>
  <si>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</si>
  <si>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</si>
  <si>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</si>
  <si>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</si>
  <si>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</si>
  <si>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</si>
  <si>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</si>
  <si>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</si>
  <si>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</si>
  <si>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</si>
  <si>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</si>
  <si>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</si>
  <si>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 Away</t>
  </si>
  <si>
    <t>Allocation3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</si>
  <si>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</si>
  <si>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</si>
  <si>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</si>
  <si>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</si>
  <si>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</si>
  <si>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</si>
  <si>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</si>
  <si>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CalculatePTT</t>
  </si>
  <si>
    <t>MasterFund</t>
  </si>
  <si>
    <t>NewMF</t>
  </si>
  <si>
    <t>VerifyPTT</t>
  </si>
  <si>
    <t>Buy</t>
  </si>
  <si>
    <t>OperationsonPTT</t>
  </si>
  <si>
    <t>ButtonTrade</t>
  </si>
  <si>
    <t>ButtonCheckCompliance</t>
  </si>
  <si>
    <t>ButtonCreateOrder</t>
  </si>
  <si>
    <t>ButtonPref</t>
  </si>
  <si>
    <t>ButtonExport</t>
  </si>
  <si>
    <t>ButtonCalculate</t>
  </si>
  <si>
    <t>CheckCompliance</t>
  </si>
  <si>
    <t>SetAccountFactor</t>
  </si>
  <si>
    <t>VerifyPTTCompliance</t>
  </si>
  <si>
    <t>Soft</t>
  </si>
  <si>
    <t>NMVGreater</t>
  </si>
  <si>
    <t>EnterSummary</t>
  </si>
  <si>
    <t>Global</t>
  </si>
  <si>
    <t>N/A</t>
  </si>
  <si>
    <t>TradePTT</t>
  </si>
  <si>
    <t>Decrease</t>
  </si>
  <si>
    <t>Allocation</t>
  </si>
  <si>
    <t>CheckAllocatedGroups</t>
  </si>
  <si>
    <t/>
  </si>
  <si>
    <t>Actual_365</t>
  </si>
  <si>
    <t>Equity</t>
  </si>
  <si>
    <t>AAPL US EQUITY</t>
  </si>
  <si>
    <t>Treasury</t>
  </si>
  <si>
    <t>MS</t>
  </si>
  <si>
    <t>Open</t>
  </si>
  <si>
    <t>APPLE</t>
  </si>
  <si>
    <t>NASDAQ</t>
  </si>
  <si>
    <t>M</t>
  </si>
  <si>
    <t>None</t>
  </si>
  <si>
    <t>Market</t>
  </si>
  <si>
    <t>InternalOrder</t>
  </si>
  <si>
    <t>Strategy Unallocated</t>
  </si>
  <si>
    <t>GCCAP1</t>
  </si>
  <si>
    <t>US</t>
  </si>
  <si>
    <t>jpearce</t>
  </si>
  <si>
    <t>NONE</t>
  </si>
  <si>
    <t>Multiple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</si>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</sst>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6" numFmtId="0" xfId="0" applyAlignment="1" applyFont="1">
      <alignment readingOrder="0"/>
    </xf>
    <xf borderId="3" fillId="3" fontId="8" numFmtId="0" xfId="0" applyAlignment="1" applyBorder="1" applyFont="1">
      <alignment shrinkToFit="0" wrapText="0"/>
    </xf>
    <xf borderId="3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IFERROR(__xludf.DUMMYFUNCTION("""COMPUTED_VALUE"""),"1M6ki1zHFPX_J-oYlQHbPkzpU8O-gBETIStHNMXhq2LY")</f>
        <v>1M6ki1zHFPX_J-oYlQHbPkzpU8O-gBETIStHNMXhq2LY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IFERROR(__xludf.DUMMYFUNCTION("""COMPUTED_VALUE"""),"1U-4IfRlC3qUMRnRVCAR_hKALXnY1sI4xOCfuq1PlavE")</f>
        <v>1U-4IfRlC3qUMRnRVCAR_hKALXnY1sI4xOCfuq1PlavE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IFERROR(__xludf.DUMMYFUNCTION("""COMPUTED_VALUE"""),"1v9UMAQA-yD9UreUAgBLbyi4tqqYMESm4YnqZhD5jKvk")</f>
        <v>1v9UMAQA-yD9UreUAgBLbyi4tqqYMESm4YnqZhD5jKvk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10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2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IFERROR(__xludf.DUMMYFUNCTION("""COMPUTED_VALUE"""),"FixDisconnectionPopup")</f>
        <v>FixDisconnectionPopup</v>
      </c>
      <c r="AN5" s="23" t="str">
        <f>IFERROR(__xludf.DUMMYFUNCTION("""COMPUTED_VALUE"""),"Trade Attribute 01")</f>
        <v>Trade Attribute 01</v>
      </c>
      <c r="AO5" s="23" t="str">
        <f>IFERROR(__xludf.DUMMYFUNCTION("""COMPUTED_VALUE"""),"Trade Attribute 02")</f>
        <v>Trade Attribute 02</v>
      </c>
      <c r="AP5" s="23" t="str">
        <f>IFERROR(__xludf.DUMMYFUNCTION("""COMPUTED_VALUE"""),"Trade Attribute 03")</f>
        <v>Trade Attribute 03</v>
      </c>
      <c r="AQ5" s="23" t="str">
        <f>IFERROR(__xludf.DUMMYFUNCTION("""COMPUTED_VALUE"""),"Trade Attribute 04")</f>
        <v>Trade Attribute 04</v>
      </c>
      <c r="AR5" s="23" t="str">
        <f>IFERROR(__xludf.DUMMYFUNCTION("""COMPUTED_VALUE"""),"Trade Attribute 05")</f>
        <v>Trade Attribute 05</v>
      </c>
      <c r="AS5" s="23" t="str">
        <f>IFERROR(__xludf.DUMMYFUNCTION("""COMPUTED_VALUE"""),"Trade Attribute 06")</f>
        <v>Trade Attribute 06</v>
      </c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</row>
    <row r="6" ht="15.75" customHeight="1">
      <c r="A6" s="6"/>
      <c r="B6" s="6" t="s">
        <v>16</v>
      </c>
      <c r="C6" s="6">
        <v>100.0</v>
      </c>
      <c r="D6" s="6">
        <v>10.0</v>
      </c>
      <c r="E6" s="6" t="s">
        <v>17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 t="s">
        <v>16</v>
      </c>
      <c r="C7" s="6">
        <v>100.0</v>
      </c>
      <c r="D7" s="6">
        <v>10.0</v>
      </c>
      <c r="E7" s="6" t="s">
        <v>17</v>
      </c>
      <c r="F7" s="6"/>
      <c r="G7" s="6"/>
      <c r="H7" s="6"/>
      <c r="I7" s="6" t="s">
        <v>18</v>
      </c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1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19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</row>
    <row r="4" ht="15.75" customHeight="1">
      <c r="A4" s="19"/>
      <c r="B4" s="19" t="str">
        <f>IFERROR(__xludf.DUMMYFUNCTION("IF(C3="""","""",Transpose(IMPORTRANGE('_Settings'!$B$3,C3&amp;""!A4:A1000"")))"),"PricingInput")</f>
        <v>PricingInput</v>
      </c>
      <c r="C4" s="19" t="str">
        <f>IFERROR(__xludf.DUMMYFUNCTION("""COMPUTED_VALUE"""),"UpdateSharesOutstanding")</f>
        <v>UpdateSharesOutstanding</v>
      </c>
      <c r="D4" s="19" t="str">
        <f>IFERROR(__xludf.DUMMYFUNCTION("""COMPUTED_VALUE"""),"EODTPreferences")</f>
        <v>EODTPreferences</v>
      </c>
      <c r="E4" s="19" t="str">
        <f>IFERROR(__xludf.DUMMYFUNCTION("""COMPUTED_VALUE"""),"LiveData")</f>
        <v>LiveData</v>
      </c>
      <c r="F4" s="19" t="str">
        <f>IFERROR(__xludf.DUMMYFUNCTION("""COMPUTED_VALUE"""),"UncheckDividendYield")</f>
        <v>UncheckDividendYield</v>
      </c>
      <c r="G4" s="19" t="str">
        <f>IFERROR(__xludf.DUMMYFUNCTION("""COMPUTED_VALUE"""),"VerifyPINavLockPopup")</f>
        <v>VerifyPINavLockPopup</v>
      </c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IFERROR(__xludf.DUMMYFUNCTION("""COMPUTED_VALUE"""),"User Px")</f>
        <v>User Px</v>
      </c>
      <c r="D5" s="22" t="str">
        <f>IFERROR(__xludf.DUMMYFUNCTION("""COMPUTED_VALUE"""),"Asset Class")</f>
        <v>Asset Class</v>
      </c>
      <c r="E5" s="22" t="str">
        <f>IFERROR(__xludf.DUMMYFUNCTION("""COMPUTED_VALUE"""),"Volatility(%)")</f>
        <v>Volatility(%)</v>
      </c>
      <c r="F5" s="22" t="str">
        <f>IFERROR(__xludf.DUMMYFUNCTION("""COMPUTED_VALUE"""),"Historical Volatility")</f>
        <v>Historical Volatility</v>
      </c>
      <c r="G5" s="22" t="str">
        <f>IFERROR(__xludf.DUMMYFUNCTION("""COMPUTED_VALUE"""),"User Volatility")</f>
        <v>User Volatility</v>
      </c>
      <c r="H5" s="22" t="str">
        <f>IFERROR(__xludf.DUMMYFUNCTION("""COMPUTED_VALUE"""),"Interest Rate")</f>
        <v>Interest Rate</v>
      </c>
      <c r="I5" s="22" t="str">
        <f>IFERROR(__xludf.DUMMYFUNCTION("""COMPUTED_VALUE"""),"User Interest Rate")</f>
        <v>User Interest Rate</v>
      </c>
      <c r="J5" s="22" t="str">
        <f>IFERROR(__xludf.DUMMYFUNCTION("""COMPUTED_VALUE"""),"Dividend Yield")</f>
        <v>Dividend Yield</v>
      </c>
      <c r="K5" s="22" t="str">
        <f>IFERROR(__xludf.DUMMYFUNCTION("""COMPUTED_VALUE"""),"User Dividend Yield")</f>
        <v>User Dividend Yield</v>
      </c>
      <c r="L5" s="22" t="str">
        <f>IFERROR(__xludf.DUMMYFUNCTION("""COMPUTED_VALUE"""),"Actual Delta")</f>
        <v>Actual Delta</v>
      </c>
      <c r="M5" s="22" t="str">
        <f>IFERROR(__xludf.DUMMYFUNCTION("""COMPUTED_VALUE"""),"User Delta")</f>
        <v>User Delta</v>
      </c>
      <c r="N5" s="22" t="str">
        <f>IFERROR(__xludf.DUMMYFUNCTION("""COMPUTED_VALUE"""),"Selected Px")</f>
        <v>Selected Px</v>
      </c>
      <c r="O5" s="22" t="str">
        <f>IFERROR(__xludf.DUMMYFUNCTION("""COMPUTED_VALUE"""),"Forward Points")</f>
        <v>Forward Points</v>
      </c>
      <c r="P5" s="22" t="str">
        <f>IFERROR(__xludf.DUMMYFUNCTION("""COMPUTED_VALUE"""),"Shares Outstanding")</f>
        <v>Shares Outstanding</v>
      </c>
      <c r="Q5" s="22" t="str">
        <f>IFERROR(__xludf.DUMMYFUNCTION("""COMPUTED_VALUE"""),"User Shares Outstanding")</f>
        <v>User Shares Outstanding</v>
      </c>
      <c r="R5" s="22" t="str">
        <f>IFERROR(__xludf.DUMMYFUNCTION("""COMPUTED_VALUE"""),"LastPriceUsed")</f>
        <v>LastPriceUsed</v>
      </c>
      <c r="S5" s="22" t="str">
        <f>IFERROR(__xludf.DUMMYFUNCTION("""COMPUTED_VALUE"""),"VolatilityUsed")</f>
        <v>VolatilityUsed</v>
      </c>
      <c r="T5" s="23" t="str">
        <f>IFERROR(__xludf.DUMMYFUNCTION("""COMPUTED_VALUE"""),"IntRateUsed")</f>
        <v>IntRateUsed</v>
      </c>
      <c r="U5" s="23" t="str">
        <f>IFERROR(__xludf.DUMMYFUNCTION("""COMPUTED_VALUE"""),"SM Shares Outstanding")</f>
        <v>SM Shares Outstanding</v>
      </c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ht="15.75" customHeight="1">
      <c r="A6" s="6"/>
      <c r="B6" s="6" t="s">
        <v>16</v>
      </c>
      <c r="C6" s="6">
        <v>10.0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20</v>
      </c>
      <c r="D3" s="4" t="s">
        <v>9</v>
      </c>
      <c r="E3" s="11" t="s">
        <v>21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tr">
        <f>IFERROR(__xludf.DUMMYFUNCTION("""COMPUTED_VALUE"""),"UpdateDailyCash")</f>
        <v>UpdateDailyCash</v>
      </c>
      <c r="D4" s="19" t="str">
        <f>IFERROR(__xludf.DUMMYFUNCTION("""COMPUTED_VALUE"""),"UpdateMultipleDailyCash")</f>
        <v>UpdateMultipleDailyCash</v>
      </c>
      <c r="E4" s="19" t="str">
        <f>IFERROR(__xludf.DUMMYFUNCTION("""COMPUTED_VALUE"""),"UpdateForexConversion")</f>
        <v>UpdateForexConversion</v>
      </c>
      <c r="F4" s="19" t="str">
        <f>IFERROR(__xludf.DUMMYFUNCTION("""COMPUTED_VALUE"""),"UpdateMarkPrice")</f>
        <v>UpdateMarkPrice</v>
      </c>
      <c r="G4" s="19" t="str">
        <f>IFERROR(__xludf.DUMMYFUNCTION("""COMPUTED_VALUE"""),"CleanUp")</f>
        <v>CleanUp</v>
      </c>
      <c r="H4" s="19" t="str">
        <f>IFERROR(__xludf.DUMMYFUNCTION("""COMPUTED_VALUE"""),"GetMarkPriceData")</f>
        <v>GetMarkPriceData</v>
      </c>
      <c r="I4" s="19" t="str">
        <f>IFERROR(__xludf.DUMMYFUNCTION("""COMPUTED_VALUE"""),"GetForwardPoints")</f>
        <v>GetForwardPoints</v>
      </c>
      <c r="J4" s="19" t="str">
        <f>IFERROR(__xludf.DUMMYFUNCTION("""COMPUTED_VALUE"""),"UpdateForwardPoints")</f>
        <v>UpdateForwardPoints</v>
      </c>
      <c r="K4" s="19" t="str">
        <f>IFERROR(__xludf.DUMMYFUNCTION("""COMPUTED_VALUE"""),"GetForexConversion")</f>
        <v>GetForexConversion</v>
      </c>
      <c r="L4" s="19" t="str">
        <f>IFERROR(__xludf.DUMMYFUNCTION("""COMPUTED_VALUE"""),"DeleteNAV")</f>
        <v>DeleteNAV</v>
      </c>
      <c r="M4" s="19" t="str">
        <f>IFERROR(__xludf.DUMMYFUNCTION("""COMPUTED_VALUE"""),"GetDailyCash")</f>
        <v>GetDailyCash</v>
      </c>
      <c r="N4" s="19" t="str">
        <f>IFERROR(__xludf.DUMMYFUNCTION("""COMPUTED_VALUE"""),"GetDailyBeta")</f>
        <v>GetDailyBeta</v>
      </c>
      <c r="O4" s="19" t="str">
        <f>IFERROR(__xludf.DUMMYFUNCTION("""COMPUTED_VALUE"""),"GetDailyVolatility")</f>
        <v>GetDailyVolatility</v>
      </c>
      <c r="P4" s="20" t="str">
        <f>IFERROR(__xludf.DUMMYFUNCTION("""COMPUTED_VALUE"""),"GetDailyDividendYield")</f>
        <v>GetDailyDividendYield</v>
      </c>
      <c r="Q4" s="20" t="str">
        <f>IFERROR(__xludf.DUMMYFUNCTION("""COMPUTED_VALUE"""),"GetDailyTradingVolume")</f>
        <v>GetDailyTradingVolume</v>
      </c>
      <c r="R4" s="20" t="str">
        <f>IFERROR(__xludf.DUMMYFUNCTION("""COMPUTED_VALUE"""),"GetDailyOutstandings")</f>
        <v>GetDailyOutstandings</v>
      </c>
      <c r="S4" s="20" t="str">
        <f>IFERROR(__xludf.DUMMYFUNCTION("""COMPUTED_VALUE"""),"GetDailyDelta")</f>
        <v>GetDailyDelta</v>
      </c>
      <c r="T4" s="20" t="str">
        <f>IFERROR(__xludf.DUMMYFUNCTION("""COMPUTED_VALUE"""),"UpdateDailyVolatility")</f>
        <v>UpdateDailyVolatility</v>
      </c>
      <c r="U4" s="20" t="str">
        <f>IFERROR(__xludf.DUMMYFUNCTION("""COMPUTED_VALUE"""),"UpdateDividendYield")</f>
        <v>UpdateDividendYield</v>
      </c>
      <c r="V4" s="20" t="str">
        <f>IFERROR(__xludf.DUMMYFUNCTION("""COMPUTED_VALUE"""),"UpdateTradingVolume")</f>
        <v>UpdateTradingVolume</v>
      </c>
      <c r="W4" s="20" t="str">
        <f>IFERROR(__xludf.DUMMYFUNCTION("""COMPUTED_VALUE"""),"UpdateDailyDelta")</f>
        <v>UpdateDailyDelta</v>
      </c>
      <c r="X4" s="20" t="str">
        <f>IFERROR(__xludf.DUMMYFUNCTION("""COMPUTED_VALUE"""),"UpdateDailyOutstandings")</f>
        <v>UpdateDailyOutstandings</v>
      </c>
      <c r="Y4" s="20" t="str">
        <f>IFERROR(__xludf.DUMMYFUNCTION("""COMPUTED_VALUE"""),"UpdateBeta")</f>
        <v>UpdateBeta</v>
      </c>
      <c r="Z4" s="20" t="str">
        <f>IFERROR(__xludf.DUMMYFUNCTION("""COMPUTED_VALUE"""),"UpdateNAV")</f>
        <v>UpdateNAV</v>
      </c>
      <c r="AA4" s="20" t="str">
        <f>IFERROR(__xludf.DUMMYFUNCTION("""COMPUTED_VALUE"""),"UpdateDailyCash")</f>
        <v>UpdateDailyCash</v>
      </c>
      <c r="AB4" s="20" t="str">
        <f>IFERROR(__xludf.DUMMYFUNCTION("""COMPUTED_VALUE"""),"UpdateDailyCreditLimt")</f>
        <v>UpdateDailyCreditLimt</v>
      </c>
      <c r="AC4" s="20" t="str">
        <f>IFERROR(__xludf.DUMMYFUNCTION("""COMPUTED_VALUE"""),"RemoveDailyCreditLimit")</f>
        <v>RemoveDailyCreditLimit</v>
      </c>
      <c r="AD4" s="20" t="str">
        <f>IFERROR(__xludf.DUMMYFUNCTION("""COMPUTED_VALUE"""),"RemoveDailyCash")</f>
        <v>RemoveDailyCash</v>
      </c>
      <c r="AE4" s="20" t="str">
        <f>IFERROR(__xludf.DUMMYFUNCTION("""COMPUTED_VALUE"""),"RemoveNAV")</f>
        <v>RemoveNAV</v>
      </c>
      <c r="AF4" s="20" t="str">
        <f>IFERROR(__xludf.DUMMYFUNCTION("""COMPUTED_VALUE"""),"UpdateForexConversionMonthly")</f>
        <v>UpdateForexConversionMonthly</v>
      </c>
      <c r="AG4" s="20" t="str">
        <f>IFERROR(__xludf.DUMMYFUNCTION("""COMPUTED_VALUE"""),"UpdateMarkPriceMonthly")</f>
        <v>UpdateMarkPriceMonthly</v>
      </c>
      <c r="AH4" s="20" t="str">
        <f>IFERROR(__xludf.DUMMYFUNCTION("""COMPUTED_VALUE"""),"VerifyDailyCash")</f>
        <v>VerifyDailyCash</v>
      </c>
      <c r="AI4" s="20" t="str">
        <f>IFERROR(__xludf.DUMMYFUNCTION("""COMPUTED_VALUE"""),"EnableBlankMarkPrices")</f>
        <v>EnableBlankMarkPrices</v>
      </c>
      <c r="AJ4" s="20" t="str">
        <f>IFERROR(__xludf.DUMMYFUNCTION("""COMPUTED_VALUE"""),"UpateSymbolBlankMP")</f>
        <v>UpateSymbolBlankMP</v>
      </c>
      <c r="AK4" s="20" t="str">
        <f>IFERROR(__xludf.DUMMYFUNCTION("""COMPUTED_VALUE"""),"UpdateBlankMP")</f>
        <v>UpdateBlankMP</v>
      </c>
      <c r="AL4" s="20" t="str">
        <f>IFERROR(__xludf.DUMMYFUNCTION("""COMPUTED_VALUE"""),"FilterBlankMP")</f>
        <v>FilterBlankMP</v>
      </c>
      <c r="AM4" s="20" t="str">
        <f>IFERROR(__xludf.DUMMYFUNCTION("""COMPUTED_VALUE"""),"VerifyDVNavLockPopup")</f>
        <v>VerifyDVNavLockPopup</v>
      </c>
      <c r="AN4" s="20" t="str">
        <f>IFERROR(__xludf.DUMMYFUNCTION("""COMPUTED_VALUE"""),"SelectDateAtMPFC")</f>
        <v>SelectDateAtMPFC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IFERROR(__xludf.DUMMYFUNCTION("""COMPUTED_VALUE"""),"Select Date")</f>
        <v>Select Date</v>
      </c>
      <c r="C5" s="22" t="str">
        <f>IFERROR(__xludf.DUMMYFUNCTION("""COMPUTED_VALUE"""),"Copy From")</f>
        <v>Copy From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</row>
    <row r="6" ht="15.75" customHeight="1">
      <c r="A6" s="6"/>
      <c r="B6" s="24">
        <f>TODAY()-1</f>
        <v>45929</v>
      </c>
      <c r="C6" s="24">
        <f>TODAY()</f>
        <v>45930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20</v>
      </c>
      <c r="D3" s="4" t="s">
        <v>9</v>
      </c>
      <c r="E3" s="11" t="s">
        <v>22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</row>
    <row r="4" ht="15.75" customHeight="1">
      <c r="A4" s="19"/>
      <c r="B4" s="19" t="str">
        <f>IFERROR(__xludf.DUMMYFUNCTION("IF(C3="""","""",Transpose(IMPORTRANGE('_Settings'!$B$3,C3&amp;""!A4:A1000"")))"),"UpdateBeta")</f>
        <v>UpdateBeta</v>
      </c>
      <c r="C4" s="19" t="str">
        <f>IFERROR(__xludf.DUMMYFUNCTION("""COMPUTED_VALUE"""),"UpdateDailyCash")</f>
        <v>UpdateDailyCash</v>
      </c>
      <c r="D4" s="19" t="str">
        <f>IFERROR(__xludf.DUMMYFUNCTION("""COMPUTED_VALUE"""),"UpdateMultipleDailyCash")</f>
        <v>UpdateMultipleDailyCash</v>
      </c>
      <c r="E4" s="19" t="str">
        <f>IFERROR(__xludf.DUMMYFUNCTION("""COMPUTED_VALUE"""),"UpdateForexConversion")</f>
        <v>UpdateForexConversion</v>
      </c>
      <c r="F4" s="19" t="str">
        <f>IFERROR(__xludf.DUMMYFUNCTION("""COMPUTED_VALUE"""),"UpdateMarkPrice")</f>
        <v>UpdateMarkPrice</v>
      </c>
      <c r="G4" s="19" t="str">
        <f>IFERROR(__xludf.DUMMYFUNCTION("""COMPUTED_VALUE"""),"CleanUp")</f>
        <v>CleanUp</v>
      </c>
      <c r="H4" s="19" t="str">
        <f>IFERROR(__xludf.DUMMYFUNCTION("""COMPUTED_VALUE"""),"GetMarkPriceData")</f>
        <v>GetMarkPriceData</v>
      </c>
      <c r="I4" s="19" t="str">
        <f>IFERROR(__xludf.DUMMYFUNCTION("""COMPUTED_VALUE"""),"GetForwardPoints")</f>
        <v>GetForwardPoints</v>
      </c>
      <c r="J4" s="19" t="str">
        <f>IFERROR(__xludf.DUMMYFUNCTION("""COMPUTED_VALUE"""),"UpdateForwardPoints")</f>
        <v>UpdateForwardPoints</v>
      </c>
      <c r="K4" s="19" t="str">
        <f>IFERROR(__xludf.DUMMYFUNCTION("""COMPUTED_VALUE"""),"GetForexConversion")</f>
        <v>GetForexConversion</v>
      </c>
      <c r="L4" s="19" t="str">
        <f>IFERROR(__xludf.DUMMYFUNCTION("""COMPUTED_VALUE"""),"DeleteNAV")</f>
        <v>DeleteNAV</v>
      </c>
      <c r="M4" s="19" t="str">
        <f>IFERROR(__xludf.DUMMYFUNCTION("""COMPUTED_VALUE"""),"GetDailyCash")</f>
        <v>GetDailyCash</v>
      </c>
      <c r="N4" s="19" t="str">
        <f>IFERROR(__xludf.DUMMYFUNCTION("""COMPUTED_VALUE"""),"GetDailyBeta")</f>
        <v>GetDailyBeta</v>
      </c>
      <c r="O4" s="19" t="str">
        <f>IFERROR(__xludf.DUMMYFUNCTION("""COMPUTED_VALUE"""),"GetDailyVolatility")</f>
        <v>GetDailyVolatility</v>
      </c>
      <c r="P4" s="20" t="str">
        <f>IFERROR(__xludf.DUMMYFUNCTION("""COMPUTED_VALUE"""),"GetDailyDividendYield")</f>
        <v>GetDailyDividendYield</v>
      </c>
      <c r="Q4" s="20" t="str">
        <f>IFERROR(__xludf.DUMMYFUNCTION("""COMPUTED_VALUE"""),"GetDailyTradingVolume")</f>
        <v>GetDailyTradingVolume</v>
      </c>
      <c r="R4" s="20" t="str">
        <f>IFERROR(__xludf.DUMMYFUNCTION("""COMPUTED_VALUE"""),"GetDailyOutstandings")</f>
        <v>GetDailyOutstandings</v>
      </c>
      <c r="S4" s="20" t="str">
        <f>IFERROR(__xludf.DUMMYFUNCTION("""COMPUTED_VALUE"""),"GetDailyDelta")</f>
        <v>GetDailyDelta</v>
      </c>
      <c r="T4" s="20" t="str">
        <f>IFERROR(__xludf.DUMMYFUNCTION("""COMPUTED_VALUE"""),"UpdateDailyVolatility")</f>
        <v>UpdateDailyVolatility</v>
      </c>
      <c r="U4" s="20" t="str">
        <f>IFERROR(__xludf.DUMMYFUNCTION("""COMPUTED_VALUE"""),"UpdateDividendYield")</f>
        <v>UpdateDividendYield</v>
      </c>
      <c r="V4" s="20" t="str">
        <f>IFERROR(__xludf.DUMMYFUNCTION("""COMPUTED_VALUE"""),"UpdateTradingVolume")</f>
        <v>UpdateTradingVolume</v>
      </c>
      <c r="W4" s="20" t="str">
        <f>IFERROR(__xludf.DUMMYFUNCTION("""COMPUTED_VALUE"""),"UpdateDailyDelta")</f>
        <v>UpdateDailyDelta</v>
      </c>
      <c r="X4" s="20" t="str">
        <f>IFERROR(__xludf.DUMMYFUNCTION("""COMPUTED_VALUE"""),"UpdateDailyOutstandings")</f>
        <v>UpdateDailyOutstandings</v>
      </c>
      <c r="Y4" s="20" t="str">
        <f>IFERROR(__xludf.DUMMYFUNCTION("""COMPUTED_VALUE"""),"UpdateBeta")</f>
        <v>UpdateBeta</v>
      </c>
      <c r="Z4" s="20" t="str">
        <f>IFERROR(__xludf.DUMMYFUNCTION("""COMPUTED_VALUE"""),"UpdateNAV")</f>
        <v>UpdateNAV</v>
      </c>
      <c r="AA4" s="20" t="str">
        <f>IFERROR(__xludf.DUMMYFUNCTION("""COMPUTED_VALUE"""),"UpdateDailyCash")</f>
        <v>UpdateDailyCash</v>
      </c>
      <c r="AB4" s="20" t="str">
        <f>IFERROR(__xludf.DUMMYFUNCTION("""COMPUTED_VALUE"""),"UpdateDailyCreditLimt")</f>
        <v>UpdateDailyCreditLimt</v>
      </c>
      <c r="AC4" s="20" t="str">
        <f>IFERROR(__xludf.DUMMYFUNCTION("""COMPUTED_VALUE"""),"RemoveDailyCreditLimit")</f>
        <v>RemoveDailyCreditLimit</v>
      </c>
      <c r="AD4" s="20" t="str">
        <f>IFERROR(__xludf.DUMMYFUNCTION("""COMPUTED_VALUE"""),"RemoveDailyCash")</f>
        <v>RemoveDailyCash</v>
      </c>
      <c r="AE4" s="20" t="str">
        <f>IFERROR(__xludf.DUMMYFUNCTION("""COMPUTED_VALUE"""),"RemoveNAV")</f>
        <v>RemoveNAV</v>
      </c>
      <c r="AF4" s="20" t="str">
        <f>IFERROR(__xludf.DUMMYFUNCTION("""COMPUTED_VALUE"""),"UpdateForexConversionMonthly")</f>
        <v>UpdateForexConversionMonthly</v>
      </c>
      <c r="AG4" s="20" t="str">
        <f>IFERROR(__xludf.DUMMYFUNCTION("""COMPUTED_VALUE"""),"UpdateMarkPriceMonthly")</f>
        <v>UpdateMarkPriceMonthly</v>
      </c>
      <c r="AH4" s="20" t="str">
        <f>IFERROR(__xludf.DUMMYFUNCTION("""COMPUTED_VALUE"""),"VerifyDailyCash")</f>
        <v>VerifyDailyCash</v>
      </c>
      <c r="AI4" s="20" t="str">
        <f>IFERROR(__xludf.DUMMYFUNCTION("""COMPUTED_VALUE"""),"EnableBlankMarkPrices")</f>
        <v>EnableBlankMarkPrices</v>
      </c>
      <c r="AJ4" s="20" t="str">
        <f>IFERROR(__xludf.DUMMYFUNCTION("""COMPUTED_VALUE"""),"UpateSymbolBlankMP")</f>
        <v>UpateSymbolBlankMP</v>
      </c>
      <c r="AK4" s="20" t="str">
        <f>IFERROR(__xludf.DUMMYFUNCTION("""COMPUTED_VALUE"""),"UpdateBlankMP")</f>
        <v>UpdateBlankMP</v>
      </c>
      <c r="AL4" s="20" t="str">
        <f>IFERROR(__xludf.DUMMYFUNCTION("""COMPUTED_VALUE"""),"FilterBlankMP")</f>
        <v>FilterBlankMP</v>
      </c>
      <c r="AM4" s="20" t="str">
        <f>IFERROR(__xludf.DUMMYFUNCTION("""COMPUTED_VALUE"""),"VerifyDVNavLockPopup")</f>
        <v>VerifyDVNavLockPopup</v>
      </c>
      <c r="AN4" s="20" t="str">
        <f>IFERROR(__xludf.DUMMYFUNCTION("""COMPUTED_VALUE"""),"SelectDateAtMPFC")</f>
        <v>SelectDateAtMPFC</v>
      </c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IFERROR(__xludf.DUMMYFUNCTION("""COMPUTED_VALUE"""),"Account")</f>
        <v>Account</v>
      </c>
      <c r="C5" s="22" t="str">
        <f>IFERROR(__xludf.DUMMYFUNCTION("""COMPUTED_VALUE"""),"Local Currency")</f>
        <v>Local Currency</v>
      </c>
      <c r="D5" s="22" t="str">
        <f>IFERROR(__xludf.DUMMYFUNCTION("""COMPUTED_VALUE"""),"Cash Value Local")</f>
        <v>Cash Value Local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</row>
    <row r="6" ht="15.75" customHeight="1">
      <c r="A6" s="6"/>
      <c r="B6" s="6" t="s">
        <v>23</v>
      </c>
      <c r="C6" s="6" t="s">
        <v>24</v>
      </c>
      <c r="D6" s="6">
        <v>10000.0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 t="s">
        <v>18</v>
      </c>
      <c r="C7" s="6" t="s">
        <v>24</v>
      </c>
      <c r="D7" s="6">
        <v>10000.0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25</v>
      </c>
      <c r="D3" s="4" t="s">
        <v>9</v>
      </c>
      <c r="E3" s="11" t="s">
        <v>26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</row>
    <row r="4" ht="15.75" customHeight="1">
      <c r="A4" s="19"/>
      <c r="B4" s="19" t="str">
        <f>IFERROR(__xludf.DUMMYFUNCTION("IF(C3="""","""",Transpose(IMPORTRANGE('_Settings'!$B$3,C3&amp;""!A4:A1000"")))"),"CalculatePTT")</f>
        <v>CalculatePTT</v>
      </c>
      <c r="C4" s="19" t="str">
        <f>IFERROR(__xludf.DUMMYFUNCTION("""COMPUTED_VALUE"""),"TradeUsingPTT")</f>
        <v>TradeUsingPTT</v>
      </c>
      <c r="D4" s="19" t="str">
        <f>IFERROR(__xludf.DUMMYFUNCTION("""COMPUTED_VALUE"""),"VerifyPTTCompliance")</f>
        <v>VerifyPTTCompliance</v>
      </c>
      <c r="E4" s="19" t="str">
        <f>IFERROR(__xludf.DUMMYFUNCTION("""COMPUTED_VALUE"""),"StageOrderUsingPTT")</f>
        <v>StageOrderUsingPTT</v>
      </c>
      <c r="F4" s="19" t="str">
        <f>IFERROR(__xludf.DUMMYFUNCTION("""COMPUTED_VALUE"""),"CreateOrderPTT")</f>
        <v>CreateOrderPTT</v>
      </c>
      <c r="G4" s="19" t="str">
        <f>IFERROR(__xludf.DUMMYFUNCTION("""COMPUTED_VALUE"""),"TradePTT")</f>
        <v>TradePTT</v>
      </c>
      <c r="H4" s="19" t="str">
        <f>IFERROR(__xludf.DUMMYFUNCTION("""COMPUTED_VALUE"""),"VerifyPTT")</f>
        <v>VerifyPTT</v>
      </c>
      <c r="I4" s="19" t="str">
        <f>IFERROR(__xludf.DUMMYFUNCTION("""COMPUTED_VALUE"""),"OpenMultiTTFromPTT")</f>
        <v>OpenMultiTTFromPTT</v>
      </c>
      <c r="J4" s="19" t="str">
        <f>IFERROR(__xludf.DUMMYFUNCTION("""COMPUTED_VALUE"""),"SelectMultiTT")</f>
        <v>SelectMultiTT</v>
      </c>
      <c r="K4" s="19" t="str">
        <f>IFERROR(__xludf.DUMMYFUNCTION("""COMPUTED_VALUE"""),"EditMultiTT")</f>
        <v>EditMultiTT</v>
      </c>
      <c r="L4" s="19" t="str">
        <f>IFERROR(__xludf.DUMMYFUNCTION("""COMPUTED_VALUE"""),"SetAccountFactor")</f>
        <v>SetAccountFactor</v>
      </c>
      <c r="M4" s="19" t="str">
        <f>IFERROR(__xludf.DUMMYFUNCTION("""COMPUTED_VALUE"""),"SetPTTPreference")</f>
        <v>SetPTTPreference</v>
      </c>
      <c r="N4" s="19" t="str">
        <f>IFERROR(__xludf.DUMMYFUNCTION("""COMPUTED_VALUE"""),"SetLongShortPTTPreference")</f>
        <v>SetLongShortPTTPreference</v>
      </c>
      <c r="O4" s="19" t="str">
        <f>IFERROR(__xludf.DUMMYFUNCTION("""COMPUTED_VALUE"""),"SelectPTTRecord")</f>
        <v>SelectPTTRecord</v>
      </c>
      <c r="P4" s="20" t="str">
        <f>IFERROR(__xludf.DUMMYFUNCTION("""COMPUTED_VALUE"""),"EditPTTRecordAndExecuteOrder")</f>
        <v>EditPTTRecordAndExecuteOrder</v>
      </c>
      <c r="Q4" s="20" t="str">
        <f>IFERROR(__xludf.DUMMYFUNCTION("""COMPUTED_VALUE"""),"CreateOrderAfterEditPTT")</f>
        <v>CreateOrderAfterEditPTT</v>
      </c>
      <c r="R4" s="20" t="str">
        <f>IFERROR(__xludf.DUMMYFUNCTION("""COMPUTED_VALUE"""),"EditPTTWPFGrid")</f>
        <v>EditPTTWPFGrid</v>
      </c>
      <c r="S4" s="20" t="str">
        <f>IFERROR(__xludf.DUMMYFUNCTION("""COMPUTED_VALUE"""),"SetDefaultSymbology")</f>
        <v>SetDefaultSymbology</v>
      </c>
      <c r="T4" s="20" t="str">
        <f>IFERROR(__xludf.DUMMYFUNCTION("""COMPUTED_VALUE"""),"EditPTTAccountLevelWPF")</f>
        <v>EditPTTAccountLevelWPF</v>
      </c>
      <c r="U4" s="20" t="str">
        <f>IFERROR(__xludf.DUMMYFUNCTION("""COMPUTED_VALUE"""),"AutoStageImportFromPTTExport")</f>
        <v>AutoStageImportFromPTTExport</v>
      </c>
      <c r="V4" s="20" t="str">
        <f>IFERROR(__xludf.DUMMYFUNCTION("""COMPUTED_VALUE"""),"OpenPreferencesFromPTT")</f>
        <v>OpenPreferencesFromPTT</v>
      </c>
      <c r="W4" s="20" t="str">
        <f>IFERROR(__xludf.DUMMYFUNCTION("""COMPUTED_VALUE"""),"VerifyTradeSummary")</f>
        <v>VerifyTradeSummary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IFERROR(__xludf.DUMMYFUNCTION("""COMPUTED_VALUE"""),"Ticker")</f>
        <v>Ticker</v>
      </c>
      <c r="C5" s="22" t="str">
        <f>IFERROR(__xludf.DUMMYFUNCTION("""COMPUTED_VALUE"""),"Add/Set")</f>
        <v>Add/Set</v>
      </c>
      <c r="D5" s="22" t="str">
        <f>IFERROR(__xludf.DUMMYFUNCTION("""COMPUTED_VALUE"""),"Type")</f>
        <v>Type</v>
      </c>
      <c r="E5" s="22" t="str">
        <f>IFERROR(__xludf.DUMMYFUNCTION("""COMPUTED_VALUE"""),"Target")</f>
        <v>Target</v>
      </c>
      <c r="F5" s="22" t="str">
        <f>IFERROR(__xludf.DUMMYFUNCTION("""COMPUTED_VALUE"""),"Price")</f>
        <v>Price</v>
      </c>
      <c r="G5" s="22" t="str">
        <f>IFERROR(__xludf.DUMMYFUNCTION("""COMPUTED_VALUE"""),"Combined Account Total")</f>
        <v>Combined Account Total</v>
      </c>
      <c r="H5" s="22" t="str">
        <f>IFERROR(__xludf.DUMMYFUNCTION("""COMPUTED_VALUE"""),"MasterFund/Account")</f>
        <v>MasterFund/Account</v>
      </c>
      <c r="I5" s="22" t="str">
        <f>IFERROR(__xludf.DUMMYFUNCTION("""COMPUTED_VALUE"""),"Accounts")</f>
        <v>Accounts</v>
      </c>
      <c r="J5" s="22" t="str">
        <f>IFERROR(__xludf.DUMMYFUNCTION("""COMPUTED_VALUE"""),"Master Funds")</f>
        <v>Master Funds</v>
      </c>
      <c r="K5" s="22" t="str">
        <f>IFERROR(__xludf.DUMMYFUNCTION("""COMPUTED_VALUE"""),"Round Lots")</f>
        <v>Round Lots</v>
      </c>
      <c r="L5" s="22" t="str">
        <f>IFERROR(__xludf.DUMMYFUNCTION("""COMPUTED_VALUE"""),"Use Custodian Broker")</f>
        <v>Use Custodian Broker</v>
      </c>
      <c r="M5" s="22" t="str">
        <f>IFERROR(__xludf.DUMMYFUNCTION("""COMPUTED_VALUE"""),"Broker")</f>
        <v>Broker</v>
      </c>
      <c r="N5" s="22" t="str">
        <f>IFERROR(__xludf.DUMMYFUNCTION("""COMPUTED_VALUE"""),"Venue")</f>
        <v>Venue</v>
      </c>
      <c r="O5" s="22" t="str">
        <f>IFERROR(__xludf.DUMMYFUNCTION("""COMPUTED_VALUE"""),"TIF")</f>
        <v>TIF</v>
      </c>
      <c r="P5" s="22" t="str">
        <f>IFERROR(__xludf.DUMMYFUNCTION("""COMPUTED_VALUE"""),"Order Type")</f>
        <v>Order Type</v>
      </c>
      <c r="Q5" s="22" t="str">
        <f>IFERROR(__xludf.DUMMYFUNCTION("""COMPUTED_VALUE"""),"Stop")</f>
        <v>Stop</v>
      </c>
      <c r="R5" s="22" t="str">
        <f>IFERROR(__xludf.DUMMYFUNCTION("""COMPUTED_VALUE"""),"Limit")</f>
        <v>Limit</v>
      </c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 ht="15.75" customHeight="1">
      <c r="A6" s="6"/>
      <c r="B6" s="6" t="s">
        <v>16</v>
      </c>
      <c r="C6" s="6"/>
      <c r="D6" s="6"/>
      <c r="E6" s="6">
        <v>10.0</v>
      </c>
      <c r="F6" s="6"/>
      <c r="G6" s="6"/>
      <c r="H6" s="6" t="s">
        <v>27</v>
      </c>
      <c r="I6" s="6" t="s">
        <v>28</v>
      </c>
      <c r="J6" s="6" t="s">
        <v>28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25</v>
      </c>
      <c r="D3" s="4" t="s">
        <v>9</v>
      </c>
      <c r="E3" s="11" t="s">
        <v>29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</row>
    <row r="4" ht="15.75" customHeight="1">
      <c r="A4" s="19"/>
      <c r="B4" s="19" t="str">
        <f>IFERROR(__xludf.DUMMYFUNCTION("IF(C3="""","""",Transpose(IMPORTRANGE('_Settings'!$B$3,C3&amp;""!A4:A1000"")))"),"CalculatePTT")</f>
        <v>CalculatePTT</v>
      </c>
      <c r="C4" s="19" t="str">
        <f>IFERROR(__xludf.DUMMYFUNCTION("""COMPUTED_VALUE"""),"TradeUsingPTT")</f>
        <v>TradeUsingPTT</v>
      </c>
      <c r="D4" s="19" t="str">
        <f>IFERROR(__xludf.DUMMYFUNCTION("""COMPUTED_VALUE"""),"VerifyPTTCompliance")</f>
        <v>VerifyPTTCompliance</v>
      </c>
      <c r="E4" s="19" t="str">
        <f>IFERROR(__xludf.DUMMYFUNCTION("""COMPUTED_VALUE"""),"StageOrderUsingPTT")</f>
        <v>StageOrderUsingPTT</v>
      </c>
      <c r="F4" s="19" t="str">
        <f>IFERROR(__xludf.DUMMYFUNCTION("""COMPUTED_VALUE"""),"CreateOrderPTT")</f>
        <v>CreateOrderPTT</v>
      </c>
      <c r="G4" s="19" t="str">
        <f>IFERROR(__xludf.DUMMYFUNCTION("""COMPUTED_VALUE"""),"TradePTT")</f>
        <v>TradePTT</v>
      </c>
      <c r="H4" s="19" t="str">
        <f>IFERROR(__xludf.DUMMYFUNCTION("""COMPUTED_VALUE"""),"VerifyPTT")</f>
        <v>VerifyPTT</v>
      </c>
      <c r="I4" s="19" t="str">
        <f>IFERROR(__xludf.DUMMYFUNCTION("""COMPUTED_VALUE"""),"OpenMultiTTFromPTT")</f>
        <v>OpenMultiTTFromPTT</v>
      </c>
      <c r="J4" s="19" t="str">
        <f>IFERROR(__xludf.DUMMYFUNCTION("""COMPUTED_VALUE"""),"SelectMultiTT")</f>
        <v>SelectMultiTT</v>
      </c>
      <c r="K4" s="19" t="str">
        <f>IFERROR(__xludf.DUMMYFUNCTION("""COMPUTED_VALUE"""),"EditMultiTT")</f>
        <v>EditMultiTT</v>
      </c>
      <c r="L4" s="19" t="str">
        <f>IFERROR(__xludf.DUMMYFUNCTION("""COMPUTED_VALUE"""),"SetAccountFactor")</f>
        <v>SetAccountFactor</v>
      </c>
      <c r="M4" s="19" t="str">
        <f>IFERROR(__xludf.DUMMYFUNCTION("""COMPUTED_VALUE"""),"SetPTTPreference")</f>
        <v>SetPTTPreference</v>
      </c>
      <c r="N4" s="19" t="str">
        <f>IFERROR(__xludf.DUMMYFUNCTION("""COMPUTED_VALUE"""),"SetLongShortPTTPreference")</f>
        <v>SetLongShortPTTPreference</v>
      </c>
      <c r="O4" s="19" t="str">
        <f>IFERROR(__xludf.DUMMYFUNCTION("""COMPUTED_VALUE"""),"SelectPTTRecord")</f>
        <v>SelectPTTRecord</v>
      </c>
      <c r="P4" s="20" t="str">
        <f>IFERROR(__xludf.DUMMYFUNCTION("""COMPUTED_VALUE"""),"EditPTTRecordAndExecuteOrder")</f>
        <v>EditPTTRecordAndExecuteOrder</v>
      </c>
      <c r="Q4" s="20" t="str">
        <f>IFERROR(__xludf.DUMMYFUNCTION("""COMPUTED_VALUE"""),"CreateOrderAfterEditPTT")</f>
        <v>CreateOrderAfterEditPTT</v>
      </c>
      <c r="R4" s="20" t="str">
        <f>IFERROR(__xludf.DUMMYFUNCTION("""COMPUTED_VALUE"""),"EditPTTWPFGrid")</f>
        <v>EditPTTWPFGrid</v>
      </c>
      <c r="S4" s="20" t="str">
        <f>IFERROR(__xludf.DUMMYFUNCTION("""COMPUTED_VALUE"""),"SetDefaultSymbology")</f>
        <v>SetDefaultSymbology</v>
      </c>
      <c r="T4" s="20" t="str">
        <f>IFERROR(__xludf.DUMMYFUNCTION("""COMPUTED_VALUE"""),"EditPTTAccountLevelWPF")</f>
        <v>EditPTTAccountLevelWPF</v>
      </c>
      <c r="U4" s="20" t="str">
        <f>IFERROR(__xludf.DUMMYFUNCTION("""COMPUTED_VALUE"""),"AutoStageImportFromPTTExport")</f>
        <v>AutoStageImportFromPTTExport</v>
      </c>
      <c r="V4" s="20" t="str">
        <f>IFERROR(__xludf.DUMMYFUNCTION("""COMPUTED_VALUE"""),"OpenPreferencesFromPTT")</f>
        <v>OpenPreferencesFromPTT</v>
      </c>
      <c r="W4" s="20" t="str">
        <f>IFERROR(__xludf.DUMMYFUNCTION("""COMPUTED_VALUE"""),"VerifyTradeSummary")</f>
        <v>VerifyTradeSummary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IFERROR(__xludf.DUMMYFUNCTION("""COMPUTED_VALUE"""),"Account Name")</f>
        <v>Account Name</v>
      </c>
      <c r="C5" s="22" t="str">
        <f>IFERROR(__xludf.DUMMYFUNCTION("""COMPUTED_VALUE"""),"Account NAV")</f>
        <v>Account NAV</v>
      </c>
      <c r="D5" s="22" t="str">
        <f>IFERROR(__xludf.DUMMYFUNCTION("""COMPUTED_VALUE"""),"Starting Position")</f>
        <v>Starting Position</v>
      </c>
      <c r="E5" s="22" t="str">
        <f>IFERROR(__xludf.DUMMYFUNCTION("""COMPUTED_VALUE"""),"Starting Value")</f>
        <v>Starting Value</v>
      </c>
      <c r="F5" s="22" t="str">
        <f>IFERROR(__xludf.DUMMYFUNCTION("""COMPUTED_VALUE"""),"Starting %")</f>
        <v>Starting %</v>
      </c>
      <c r="G5" s="22" t="str">
        <f>IFERROR(__xludf.DUMMYFUNCTION("""COMPUTED_VALUE"""),"% Change")</f>
        <v>% Change</v>
      </c>
      <c r="H5" s="22" t="str">
        <f>IFERROR(__xludf.DUMMYFUNCTION("""COMPUTED_VALUE"""),"Ending %")</f>
        <v>Ending %</v>
      </c>
      <c r="I5" s="22" t="str">
        <f>IFERROR(__xludf.DUMMYFUNCTION("""COMPUTED_VALUE"""),"Trade Quantity")</f>
        <v>Trade Quantity</v>
      </c>
      <c r="J5" s="22" t="str">
        <f>IFERROR(__xludf.DUMMYFUNCTION("""COMPUTED_VALUE"""),"Ending Position")</f>
        <v>Ending Position</v>
      </c>
      <c r="K5" s="22" t="str">
        <f>IFERROR(__xludf.DUMMYFUNCTION("""COMPUTED_VALUE"""),"Ending Value")</f>
        <v>Ending Value</v>
      </c>
      <c r="L5" s="22" t="str">
        <f>IFERROR(__xludf.DUMMYFUNCTION("""COMPUTED_VALUE"""),"% Allocation")</f>
        <v>% Allocation</v>
      </c>
      <c r="M5" s="22" t="str">
        <f>IFERROR(__xludf.DUMMYFUNCTION("""COMPUTED_VALUE"""),"Fx Rate")</f>
        <v>Fx Rate</v>
      </c>
      <c r="N5" s="22" t="str">
        <f>IFERROR(__xludf.DUMMYFUNCTION("""COMPUTED_VALUE"""),"Starting BP")</f>
        <v>Starting BP</v>
      </c>
      <c r="O5" s="22" t="str">
        <f>IFERROR(__xludf.DUMMYFUNCTION("""COMPUTED_VALUE"""),"BP Change")</f>
        <v>BP Change</v>
      </c>
      <c r="P5" s="22" t="str">
        <f>IFERROR(__xludf.DUMMYFUNCTION("""COMPUTED_VALUE"""),"Ending BP")</f>
        <v>Ending BP</v>
      </c>
      <c r="Q5" s="22" t="str">
        <f>IFERROR(__xludf.DUMMYFUNCTION("""COMPUTED_VALUE"""),"MasterFund Name")</f>
        <v>MasterFund Name</v>
      </c>
      <c r="R5" s="22" t="str">
        <f>IFERROR(__xludf.DUMMYFUNCTION("""COMPUTED_VALUE"""),"Order Side")</f>
        <v>Order Side</v>
      </c>
      <c r="S5" s="22" t="str">
        <f>IFERROR(__xludf.DUMMYFUNCTION("""COMPUTED_VALUE"""),"Round Lots")</f>
        <v>Round Lots</v>
      </c>
      <c r="T5" s="23" t="str">
        <f>IFERROR(__xludf.DUMMYFUNCTION("""COMPUTED_VALUE"""),"Verify RoundLots In Input Parameters")</f>
        <v>Verify RoundLots In Input Parameters</v>
      </c>
      <c r="U5" s="23" t="str">
        <f>IFERROR(__xludf.DUMMYFUNCTION("""COMPUTED_VALUE"""),"Change Amt")</f>
        <v>Change Amt</v>
      </c>
      <c r="V5" s="23" t="str">
        <f>IFERROR(__xludf.DUMMYFUNCTION("""COMPUTED_VALUE"""),"Group")</f>
        <v>Group</v>
      </c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 ht="15.75" customHeight="1">
      <c r="A6" s="6"/>
      <c r="C6" s="6"/>
      <c r="D6" s="6">
        <v>200.0</v>
      </c>
      <c r="E6" s="6">
        <v>2000.0</v>
      </c>
      <c r="F6" s="6">
        <v>10.0</v>
      </c>
      <c r="G6" s="6"/>
      <c r="H6" s="6"/>
      <c r="I6" s="6">
        <v>300.0</v>
      </c>
      <c r="J6" s="6">
        <v>500.0</v>
      </c>
      <c r="K6" s="6">
        <v>5000.0</v>
      </c>
      <c r="L6" s="6"/>
      <c r="M6" s="6"/>
      <c r="N6" s="6"/>
      <c r="O6" s="6"/>
      <c r="Q6" s="6"/>
      <c r="R6" s="8" t="s">
        <v>30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25</v>
      </c>
      <c r="D3" s="4" t="s">
        <v>9</v>
      </c>
      <c r="E3" s="11" t="s">
        <v>31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</row>
    <row r="4" ht="15.75" customHeight="1">
      <c r="A4" s="19"/>
      <c r="B4" s="19" t="str">
        <f>IFERROR(__xludf.DUMMYFUNCTION("IF(C3="""","""",Transpose(IMPORTRANGE('_Settings'!$B$3,C3&amp;""!A4:A1000"")))"),"CalculatePTT")</f>
        <v>CalculatePTT</v>
      </c>
      <c r="C4" s="19" t="str">
        <f>IFERROR(__xludf.DUMMYFUNCTION("""COMPUTED_VALUE"""),"TradeUsingPTT")</f>
        <v>TradeUsingPTT</v>
      </c>
      <c r="D4" s="19" t="str">
        <f>IFERROR(__xludf.DUMMYFUNCTION("""COMPUTED_VALUE"""),"VerifyPTTCompliance")</f>
        <v>VerifyPTTCompliance</v>
      </c>
      <c r="E4" s="19" t="str">
        <f>IFERROR(__xludf.DUMMYFUNCTION("""COMPUTED_VALUE"""),"StageOrderUsingPTT")</f>
        <v>StageOrderUsingPTT</v>
      </c>
      <c r="F4" s="19" t="str">
        <f>IFERROR(__xludf.DUMMYFUNCTION("""COMPUTED_VALUE"""),"CreateOrderPTT")</f>
        <v>CreateOrderPTT</v>
      </c>
      <c r="G4" s="19" t="str">
        <f>IFERROR(__xludf.DUMMYFUNCTION("""COMPUTED_VALUE"""),"TradePTT")</f>
        <v>TradePTT</v>
      </c>
      <c r="H4" s="19" t="str">
        <f>IFERROR(__xludf.DUMMYFUNCTION("""COMPUTED_VALUE"""),"VerifyPTT")</f>
        <v>VerifyPTT</v>
      </c>
      <c r="I4" s="19" t="str">
        <f>IFERROR(__xludf.DUMMYFUNCTION("""COMPUTED_VALUE"""),"OpenMultiTTFromPTT")</f>
        <v>OpenMultiTTFromPTT</v>
      </c>
      <c r="J4" s="19" t="str">
        <f>IFERROR(__xludf.DUMMYFUNCTION("""COMPUTED_VALUE"""),"SelectMultiTT")</f>
        <v>SelectMultiTT</v>
      </c>
      <c r="K4" s="19" t="str">
        <f>IFERROR(__xludf.DUMMYFUNCTION("""COMPUTED_VALUE"""),"EditMultiTT")</f>
        <v>EditMultiTT</v>
      </c>
      <c r="L4" s="19" t="str">
        <f>IFERROR(__xludf.DUMMYFUNCTION("""COMPUTED_VALUE"""),"SetAccountFactor")</f>
        <v>SetAccountFactor</v>
      </c>
      <c r="M4" s="19" t="str">
        <f>IFERROR(__xludf.DUMMYFUNCTION("""COMPUTED_VALUE"""),"SetPTTPreference")</f>
        <v>SetPTTPreference</v>
      </c>
      <c r="N4" s="19" t="str">
        <f>IFERROR(__xludf.DUMMYFUNCTION("""COMPUTED_VALUE"""),"SetLongShortPTTPreference")</f>
        <v>SetLongShortPTTPreference</v>
      </c>
      <c r="O4" s="19" t="str">
        <f>IFERROR(__xludf.DUMMYFUNCTION("""COMPUTED_VALUE"""),"SelectPTTRecord")</f>
        <v>SelectPTTRecord</v>
      </c>
      <c r="P4" s="20" t="str">
        <f>IFERROR(__xludf.DUMMYFUNCTION("""COMPUTED_VALUE"""),"EditPTTRecordAndExecuteOrder")</f>
        <v>EditPTTRecordAndExecuteOrder</v>
      </c>
      <c r="Q4" s="20" t="str">
        <f>IFERROR(__xludf.DUMMYFUNCTION("""COMPUTED_VALUE"""),"CreateOrderAfterEditPTT")</f>
        <v>CreateOrderAfterEditPTT</v>
      </c>
      <c r="R4" s="20" t="str">
        <f>IFERROR(__xludf.DUMMYFUNCTION("""COMPUTED_VALUE"""),"EditPTTWPFGrid")</f>
        <v>EditPTTWPFGrid</v>
      </c>
      <c r="S4" s="20" t="str">
        <f>IFERROR(__xludf.DUMMYFUNCTION("""COMPUTED_VALUE"""),"SetDefaultSymbology")</f>
        <v>SetDefaultSymbology</v>
      </c>
      <c r="T4" s="20" t="str">
        <f>IFERROR(__xludf.DUMMYFUNCTION("""COMPUTED_VALUE"""),"EditPTTAccountLevelWPF")</f>
        <v>EditPTTAccountLevelWPF</v>
      </c>
      <c r="U4" s="20" t="str">
        <f>IFERROR(__xludf.DUMMYFUNCTION("""COMPUTED_VALUE"""),"AutoStageImportFromPTTExport")</f>
        <v>AutoStageImportFromPTTExport</v>
      </c>
      <c r="V4" s="20" t="str">
        <f>IFERROR(__xludf.DUMMYFUNCTION("""COMPUTED_VALUE"""),"OpenPreferencesFromPTT")</f>
        <v>OpenPreferencesFromPTT</v>
      </c>
      <c r="W4" s="20" t="str">
        <f>IFERROR(__xludf.DUMMYFUNCTION("""COMPUTED_VALUE"""),"VerifyTradeSummary")</f>
        <v>VerifyTradeSummary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</row>
    <row r="5" ht="15.75" customHeight="1">
      <c r="A5" s="21"/>
      <c r="B5" s="25" t="s">
        <v>32</v>
      </c>
      <c r="C5" s="25" t="s">
        <v>33</v>
      </c>
      <c r="D5" s="25" t="s">
        <v>34</v>
      </c>
      <c r="E5" s="25" t="s">
        <v>35</v>
      </c>
      <c r="F5" s="25" t="s">
        <v>36</v>
      </c>
      <c r="G5" s="25" t="s">
        <v>37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 ht="15.75" customHeight="1">
      <c r="A6" s="6"/>
      <c r="C6" s="6" t="s">
        <v>38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OperationsonPTT!$4:$4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25</v>
      </c>
      <c r="D3" s="4" t="s">
        <v>9</v>
      </c>
      <c r="E3" s="11" t="s">
        <v>39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</row>
    <row r="4" ht="15.75" customHeight="1">
      <c r="A4" s="19"/>
      <c r="B4" s="19" t="str">
        <f>IFERROR(__xludf.DUMMYFUNCTION("IF(C3="""","""",Transpose(IMPORTRANGE('_Settings'!$B$3,C3&amp;""!A4:A1000"")))"),"CalculatePTT")</f>
        <v>CalculatePTT</v>
      </c>
      <c r="C4" s="19" t="str">
        <f>IFERROR(__xludf.DUMMYFUNCTION("""COMPUTED_VALUE"""),"TradeUsingPTT")</f>
        <v>TradeUsingPTT</v>
      </c>
      <c r="D4" s="19" t="str">
        <f>IFERROR(__xludf.DUMMYFUNCTION("""COMPUTED_VALUE"""),"VerifyPTTCompliance")</f>
        <v>VerifyPTTCompliance</v>
      </c>
      <c r="E4" s="19" t="str">
        <f>IFERROR(__xludf.DUMMYFUNCTION("""COMPUTED_VALUE"""),"StageOrderUsingPTT")</f>
        <v>StageOrderUsingPTT</v>
      </c>
      <c r="F4" s="19" t="str">
        <f>IFERROR(__xludf.DUMMYFUNCTION("""COMPUTED_VALUE"""),"CreateOrderPTT")</f>
        <v>CreateOrderPTT</v>
      </c>
      <c r="G4" s="19" t="str">
        <f>IFERROR(__xludf.DUMMYFUNCTION("""COMPUTED_VALUE"""),"TradePTT")</f>
        <v>TradePTT</v>
      </c>
      <c r="H4" s="19" t="str">
        <f>IFERROR(__xludf.DUMMYFUNCTION("""COMPUTED_VALUE"""),"VerifyPTT")</f>
        <v>VerifyPTT</v>
      </c>
      <c r="I4" s="19" t="str">
        <f>IFERROR(__xludf.DUMMYFUNCTION("""COMPUTED_VALUE"""),"OpenMultiTTFromPTT")</f>
        <v>OpenMultiTTFromPTT</v>
      </c>
      <c r="J4" s="19" t="str">
        <f>IFERROR(__xludf.DUMMYFUNCTION("""COMPUTED_VALUE"""),"SelectMultiTT")</f>
        <v>SelectMultiTT</v>
      </c>
      <c r="K4" s="19" t="str">
        <f>IFERROR(__xludf.DUMMYFUNCTION("""COMPUTED_VALUE"""),"EditMultiTT")</f>
        <v>EditMultiTT</v>
      </c>
      <c r="L4" s="19" t="str">
        <f>IFERROR(__xludf.DUMMYFUNCTION("""COMPUTED_VALUE"""),"SetAccountFactor")</f>
        <v>SetAccountFactor</v>
      </c>
      <c r="M4" s="19" t="str">
        <f>IFERROR(__xludf.DUMMYFUNCTION("""COMPUTED_VALUE"""),"SetPTTPreference")</f>
        <v>SetPTTPreference</v>
      </c>
      <c r="N4" s="19" t="str">
        <f>IFERROR(__xludf.DUMMYFUNCTION("""COMPUTED_VALUE"""),"SetLongShortPTTPreference")</f>
        <v>SetLongShortPTTPreference</v>
      </c>
      <c r="O4" s="19" t="str">
        <f>IFERROR(__xludf.DUMMYFUNCTION("""COMPUTED_VALUE"""),"SelectPTTRecord")</f>
        <v>SelectPTTRecord</v>
      </c>
      <c r="P4" s="20" t="str">
        <f>IFERROR(__xludf.DUMMYFUNCTION("""COMPUTED_VALUE"""),"EditPTTRecordAndExecuteOrder")</f>
        <v>EditPTTRecordAndExecuteOrder</v>
      </c>
      <c r="Q4" s="20" t="str">
        <f>IFERROR(__xludf.DUMMYFUNCTION("""COMPUTED_VALUE"""),"CreateOrderAfterEditPTT")</f>
        <v>CreateOrderAfterEditPTT</v>
      </c>
      <c r="R4" s="20" t="str">
        <f>IFERROR(__xludf.DUMMYFUNCTION("""COMPUTED_VALUE"""),"EditPTTWPFGrid")</f>
        <v>EditPTTWPFGrid</v>
      </c>
      <c r="S4" s="20" t="str">
        <f>IFERROR(__xludf.DUMMYFUNCTION("""COMPUTED_VALUE"""),"SetDefaultSymbology")</f>
        <v>SetDefaultSymbology</v>
      </c>
      <c r="T4" s="20" t="str">
        <f>IFERROR(__xludf.DUMMYFUNCTION("""COMPUTED_VALUE"""),"EditPTTAccountLevelWPF")</f>
        <v>EditPTTAccountLevelWPF</v>
      </c>
      <c r="U4" s="20" t="str">
        <f>IFERROR(__xludf.DUMMYFUNCTION("""COMPUTED_VALUE"""),"AutoStageImportFromPTTExport")</f>
        <v>AutoStageImportFromPTTExport</v>
      </c>
      <c r="V4" s="20" t="str">
        <f>IFERROR(__xludf.DUMMYFUNCTION("""COMPUTED_VALUE"""),"OpenPreferencesFromPTT")</f>
        <v>OpenPreferencesFromPTT</v>
      </c>
      <c r="W4" s="20" t="str">
        <f>IFERROR(__xludf.DUMMYFUNCTION("""COMPUTED_VALUE"""),"VerifyTradeSummary")</f>
        <v>VerifyTradeSummary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IFERROR(__xludf.DUMMYFUNCTION("""COMPUTED_VALUE"""),"Account")</f>
        <v>Account</v>
      </c>
      <c r="C5" s="22" t="str">
        <f>IFERROR(__xludf.DUMMYFUNCTION("""COMPUTED_VALUE"""),"AccountFactor")</f>
        <v>AccountFactor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 ht="15.75" customHeight="1">
      <c r="A6" s="6"/>
      <c r="B6" s="6" t="s">
        <v>23</v>
      </c>
      <c r="C6" s="6">
        <v>2.0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SetAccountFactor!$4:$4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25</v>
      </c>
      <c r="D3" s="4" t="s">
        <v>9</v>
      </c>
      <c r="E3" s="11" t="s">
        <v>40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</row>
    <row r="4" ht="15.75" customHeight="1">
      <c r="A4" s="19"/>
      <c r="B4" s="19" t="str">
        <f>IFERROR(__xludf.DUMMYFUNCTION("IF(C3="""","""",Transpose(IMPORTRANGE('_Settings'!$B$3,C3&amp;""!A4:A1000"")))"),"CalculatePTT")</f>
        <v>CalculatePTT</v>
      </c>
      <c r="C4" s="19" t="str">
        <f>IFERROR(__xludf.DUMMYFUNCTION("""COMPUTED_VALUE"""),"TradeUsingPTT")</f>
        <v>TradeUsingPTT</v>
      </c>
      <c r="D4" s="19" t="str">
        <f>IFERROR(__xludf.DUMMYFUNCTION("""COMPUTED_VALUE"""),"VerifyPTTCompliance")</f>
        <v>VerifyPTTCompliance</v>
      </c>
      <c r="E4" s="19" t="str">
        <f>IFERROR(__xludf.DUMMYFUNCTION("""COMPUTED_VALUE"""),"StageOrderUsingPTT")</f>
        <v>StageOrderUsingPTT</v>
      </c>
      <c r="F4" s="19" t="str">
        <f>IFERROR(__xludf.DUMMYFUNCTION("""COMPUTED_VALUE"""),"CreateOrderPTT")</f>
        <v>CreateOrderPTT</v>
      </c>
      <c r="G4" s="19" t="str">
        <f>IFERROR(__xludf.DUMMYFUNCTION("""COMPUTED_VALUE"""),"TradePTT")</f>
        <v>TradePTT</v>
      </c>
      <c r="H4" s="19" t="str">
        <f>IFERROR(__xludf.DUMMYFUNCTION("""COMPUTED_VALUE"""),"VerifyPTT")</f>
        <v>VerifyPTT</v>
      </c>
      <c r="I4" s="19" t="str">
        <f>IFERROR(__xludf.DUMMYFUNCTION("""COMPUTED_VALUE"""),"OpenMultiTTFromPTT")</f>
        <v>OpenMultiTTFromPTT</v>
      </c>
      <c r="J4" s="19" t="str">
        <f>IFERROR(__xludf.DUMMYFUNCTION("""COMPUTED_VALUE"""),"SelectMultiTT")</f>
        <v>SelectMultiTT</v>
      </c>
      <c r="K4" s="19" t="str">
        <f>IFERROR(__xludf.DUMMYFUNCTION("""COMPUTED_VALUE"""),"EditMultiTT")</f>
        <v>EditMultiTT</v>
      </c>
      <c r="L4" s="19" t="str">
        <f>IFERROR(__xludf.DUMMYFUNCTION("""COMPUTED_VALUE"""),"SetAccountFactor")</f>
        <v>SetAccountFactor</v>
      </c>
      <c r="M4" s="19" t="str">
        <f>IFERROR(__xludf.DUMMYFUNCTION("""COMPUTED_VALUE"""),"SetPTTPreference")</f>
        <v>SetPTTPreference</v>
      </c>
      <c r="N4" s="19" t="str">
        <f>IFERROR(__xludf.DUMMYFUNCTION("""COMPUTED_VALUE"""),"SetLongShortPTTPreference")</f>
        <v>SetLongShortPTTPreference</v>
      </c>
      <c r="O4" s="19" t="str">
        <f>IFERROR(__xludf.DUMMYFUNCTION("""COMPUTED_VALUE"""),"SelectPTTRecord")</f>
        <v>SelectPTTRecord</v>
      </c>
      <c r="P4" s="20" t="str">
        <f>IFERROR(__xludf.DUMMYFUNCTION("""COMPUTED_VALUE"""),"EditPTTRecordAndExecuteOrder")</f>
        <v>EditPTTRecordAndExecuteOrder</v>
      </c>
      <c r="Q4" s="20" t="str">
        <f>IFERROR(__xludf.DUMMYFUNCTION("""COMPUTED_VALUE"""),"CreateOrderAfterEditPTT")</f>
        <v>CreateOrderAfterEditPTT</v>
      </c>
      <c r="R4" s="20" t="str">
        <f>IFERROR(__xludf.DUMMYFUNCTION("""COMPUTED_VALUE"""),"EditPTTWPFGrid")</f>
        <v>EditPTTWPFGrid</v>
      </c>
      <c r="S4" s="20" t="str">
        <f>IFERROR(__xludf.DUMMYFUNCTION("""COMPUTED_VALUE"""),"SetDefaultSymbology")</f>
        <v>SetDefaultSymbology</v>
      </c>
      <c r="T4" s="20" t="str">
        <f>IFERROR(__xludf.DUMMYFUNCTION("""COMPUTED_VALUE"""),"EditPTTAccountLevelWPF")</f>
        <v>EditPTTAccountLevelWPF</v>
      </c>
      <c r="U4" s="20" t="str">
        <f>IFERROR(__xludf.DUMMYFUNCTION("""COMPUTED_VALUE"""),"AutoStageImportFromPTTExport")</f>
        <v>AutoStageImportFromPTTExport</v>
      </c>
      <c r="V4" s="20" t="str">
        <f>IFERROR(__xludf.DUMMYFUNCTION("""COMPUTED_VALUE"""),"OpenPreferencesFromPTT")</f>
        <v>OpenPreferencesFromPTT</v>
      </c>
      <c r="W4" s="20" t="str">
        <f>IFERROR(__xludf.DUMMYFUNCTION("""COMPUTED_VALUE"""),"VerifyTradeSummary")</f>
        <v>VerifyTradeSummary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IFERROR(__xludf.DUMMYFUNCTION("""COMPUTED_VALUE"""),"Alert Type")</f>
        <v>Alert Type</v>
      </c>
      <c r="C5" s="22" t="str">
        <f>IFERROR(__xludf.DUMMYFUNCTION("""COMPUTED_VALUE"""),"Rule Name")</f>
        <v>Rule Name</v>
      </c>
      <c r="D5" s="22" t="str">
        <f>IFERROR(__xludf.DUMMYFUNCTION("""COMPUTED_VALUE"""),"Description of Rule")</f>
        <v>Description of Rule</v>
      </c>
      <c r="E5" s="22" t="str">
        <f>IFERROR(__xludf.DUMMYFUNCTION("""COMPUTED_VALUE"""),"Dimensions")</f>
        <v>Dimensions</v>
      </c>
      <c r="F5" s="22" t="str">
        <f>IFERROR(__xludf.DUMMYFUNCTION("""COMPUTED_VALUE"""),"Threshold")</f>
        <v>Threshold</v>
      </c>
      <c r="G5" s="22" t="str">
        <f>IFERROR(__xludf.DUMMYFUNCTION("""COMPUTED_VALUE"""),"Actual Result")</f>
        <v>Actual Result</v>
      </c>
      <c r="H5" s="22" t="str">
        <f>IFERROR(__xludf.DUMMYFUNCTION("""COMPUTED_VALUE"""),"Comments")</f>
        <v>Comments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 ht="15.75" customHeight="1">
      <c r="A6" s="6"/>
      <c r="B6" s="6" t="s">
        <v>41</v>
      </c>
      <c r="C6" s="6" t="s">
        <v>42</v>
      </c>
      <c r="D6" s="6" t="s">
        <v>43</v>
      </c>
      <c r="E6" s="6" t="s">
        <v>44</v>
      </c>
      <c r="F6" s="6" t="s">
        <v>45</v>
      </c>
      <c r="G6" s="6" t="s">
        <v>45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25</v>
      </c>
      <c r="D3" s="4" t="s">
        <v>9</v>
      </c>
      <c r="E3" s="11" t="s">
        <v>46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</row>
    <row r="4" ht="15.75" customHeight="1">
      <c r="A4" s="19"/>
      <c r="B4" s="19" t="str">
        <f>IFERROR(__xludf.DUMMYFUNCTION("IF(C3="""","""",Transpose(IMPORTRANGE('_Settings'!$B$3,C3&amp;""!A4:A1000"")))"),"CalculatePTT")</f>
        <v>CalculatePTT</v>
      </c>
      <c r="C4" s="19" t="str">
        <f>IFERROR(__xludf.DUMMYFUNCTION("""COMPUTED_VALUE"""),"TradeUsingPTT")</f>
        <v>TradeUsingPTT</v>
      </c>
      <c r="D4" s="19" t="str">
        <f>IFERROR(__xludf.DUMMYFUNCTION("""COMPUTED_VALUE"""),"VerifyPTTCompliance")</f>
        <v>VerifyPTTCompliance</v>
      </c>
      <c r="E4" s="19" t="str">
        <f>IFERROR(__xludf.DUMMYFUNCTION("""COMPUTED_VALUE"""),"StageOrderUsingPTT")</f>
        <v>StageOrderUsingPTT</v>
      </c>
      <c r="F4" s="19" t="str">
        <f>IFERROR(__xludf.DUMMYFUNCTION("""COMPUTED_VALUE"""),"CreateOrderPTT")</f>
        <v>CreateOrderPTT</v>
      </c>
      <c r="G4" s="19" t="str">
        <f>IFERROR(__xludf.DUMMYFUNCTION("""COMPUTED_VALUE"""),"TradePTT")</f>
        <v>TradePTT</v>
      </c>
      <c r="H4" s="19" t="str">
        <f>IFERROR(__xludf.DUMMYFUNCTION("""COMPUTED_VALUE"""),"VerifyPTT")</f>
        <v>VerifyPTT</v>
      </c>
      <c r="I4" s="19" t="str">
        <f>IFERROR(__xludf.DUMMYFUNCTION("""COMPUTED_VALUE"""),"OpenMultiTTFromPTT")</f>
        <v>OpenMultiTTFromPTT</v>
      </c>
      <c r="J4" s="19" t="str">
        <f>IFERROR(__xludf.DUMMYFUNCTION("""COMPUTED_VALUE"""),"SelectMultiTT")</f>
        <v>SelectMultiTT</v>
      </c>
      <c r="K4" s="19" t="str">
        <f>IFERROR(__xludf.DUMMYFUNCTION("""COMPUTED_VALUE"""),"EditMultiTT")</f>
        <v>EditMultiTT</v>
      </c>
      <c r="L4" s="19" t="str">
        <f>IFERROR(__xludf.DUMMYFUNCTION("""COMPUTED_VALUE"""),"SetAccountFactor")</f>
        <v>SetAccountFactor</v>
      </c>
      <c r="M4" s="19" t="str">
        <f>IFERROR(__xludf.DUMMYFUNCTION("""COMPUTED_VALUE"""),"SetPTTPreference")</f>
        <v>SetPTTPreference</v>
      </c>
      <c r="N4" s="19" t="str">
        <f>IFERROR(__xludf.DUMMYFUNCTION("""COMPUTED_VALUE"""),"SetLongShortPTTPreference")</f>
        <v>SetLongShortPTTPreference</v>
      </c>
      <c r="O4" s="19" t="str">
        <f>IFERROR(__xludf.DUMMYFUNCTION("""COMPUTED_VALUE"""),"SelectPTTRecord")</f>
        <v>SelectPTTRecord</v>
      </c>
      <c r="P4" s="20" t="str">
        <f>IFERROR(__xludf.DUMMYFUNCTION("""COMPUTED_VALUE"""),"EditPTTRecordAndExecuteOrder")</f>
        <v>EditPTTRecordAndExecuteOrder</v>
      </c>
      <c r="Q4" s="20" t="str">
        <f>IFERROR(__xludf.DUMMYFUNCTION("""COMPUTED_VALUE"""),"CreateOrderAfterEditPTT")</f>
        <v>CreateOrderAfterEditPTT</v>
      </c>
      <c r="R4" s="20" t="str">
        <f>IFERROR(__xludf.DUMMYFUNCTION("""COMPUTED_VALUE"""),"EditPTTWPFGrid")</f>
        <v>EditPTTWPFGrid</v>
      </c>
      <c r="S4" s="20" t="str">
        <f>IFERROR(__xludf.DUMMYFUNCTION("""COMPUTED_VALUE"""),"SetDefaultSymbology")</f>
        <v>SetDefaultSymbology</v>
      </c>
      <c r="T4" s="20" t="str">
        <f>IFERROR(__xludf.DUMMYFUNCTION("""COMPUTED_VALUE"""),"EditPTTAccountLevelWPF")</f>
        <v>EditPTTAccountLevelWPF</v>
      </c>
      <c r="U4" s="20" t="str">
        <f>IFERROR(__xludf.DUMMYFUNCTION("""COMPUTED_VALUE"""),"AutoStageImportFromPTTExport")</f>
        <v>AutoStageImportFromPTTExport</v>
      </c>
      <c r="V4" s="20" t="str">
        <f>IFERROR(__xludf.DUMMYFUNCTION("""COMPUTED_VALUE"""),"OpenPreferencesFromPTT")</f>
        <v>OpenPreferencesFromPTT</v>
      </c>
      <c r="W4" s="20" t="str">
        <f>IFERROR(__xludf.DUMMYFUNCTION("""COMPUTED_VALUE"""),"VerifyTradeSummary")</f>
        <v>VerifyTradeSummary</v>
      </c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IFERROR(__xludf.DUMMYFUNCTION("""COMPUTED_VALUE"""),"Ticker")</f>
        <v>Ticker</v>
      </c>
      <c r="C5" s="22" t="str">
        <f>IFERROR(__xludf.DUMMYFUNCTION("""COMPUTED_VALUE"""),"Add/Set")</f>
        <v>Add/Set</v>
      </c>
      <c r="D5" s="22" t="str">
        <f>IFERROR(__xludf.DUMMYFUNCTION("""COMPUTED_VALUE"""),"Type")</f>
        <v>Type</v>
      </c>
      <c r="E5" s="22" t="str">
        <f>IFERROR(__xludf.DUMMYFUNCTION("""COMPUTED_VALUE"""),"Target")</f>
        <v>Target</v>
      </c>
      <c r="F5" s="22" t="str">
        <f>IFERROR(__xludf.DUMMYFUNCTION("""COMPUTED_VALUE"""),"Price")</f>
        <v>Price</v>
      </c>
      <c r="G5" s="22" t="str">
        <f>IFERROR(__xludf.DUMMYFUNCTION("""COMPUTED_VALUE"""),"Combined Account Total")</f>
        <v>Combined Account Total</v>
      </c>
      <c r="H5" s="22" t="str">
        <f>IFERROR(__xludf.DUMMYFUNCTION("""COMPUTED_VALUE"""),"MasterFund/Account")</f>
        <v>MasterFund/Account</v>
      </c>
      <c r="I5" s="22" t="str">
        <f>IFERROR(__xludf.DUMMYFUNCTION("""COMPUTED_VALUE"""),"Accounts")</f>
        <v>Accounts</v>
      </c>
      <c r="J5" s="22" t="str">
        <f>IFERROR(__xludf.DUMMYFUNCTION("""COMPUTED_VALUE"""),"MTT POP UP?")</f>
        <v>MTT POP UP?</v>
      </c>
      <c r="K5" s="22" t="str">
        <f>IFERROR(__xludf.DUMMYFUNCTION("""COMPUTED_VALUE"""),"Use Custodian Broker")</f>
        <v>Use Custodian Broker</v>
      </c>
      <c r="L5" s="22" t="str">
        <f>IFERROR(__xludf.DUMMYFUNCTION("""COMPUTED_VALUE"""),"Round Lots")</f>
        <v>Round Lots</v>
      </c>
      <c r="M5" s="22" t="str">
        <f>IFERROR(__xludf.DUMMYFUNCTION("""COMPUTED_VALUE"""),"Broker")</f>
        <v>Broker</v>
      </c>
      <c r="N5" s="22" t="str">
        <f>IFERROR(__xludf.DUMMYFUNCTION("""COMPUTED_VALUE"""),"Venue")</f>
        <v>Venue</v>
      </c>
      <c r="O5" s="22" t="str">
        <f>IFERROR(__xludf.DUMMYFUNCTION("""COMPUTED_VALUE"""),"TIF")</f>
        <v>TIF</v>
      </c>
      <c r="P5" s="22" t="str">
        <f>IFERROR(__xludf.DUMMYFUNCTION("""COMPUTED_VALUE"""),"Order Type")</f>
        <v>Order Type</v>
      </c>
      <c r="Q5" s="22" t="str">
        <f>IFERROR(__xludf.DUMMYFUNCTION("""COMPUTED_VALUE"""),"Stop")</f>
        <v>Stop</v>
      </c>
      <c r="R5" s="22" t="str">
        <f>IFERROR(__xludf.DUMMYFUNCTION("""COMPUTED_VALUE"""),"Limit")</f>
        <v>Limit</v>
      </c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 ht="15.75" customHeight="1">
      <c r="A6" s="6"/>
      <c r="B6" s="6" t="s">
        <v>16</v>
      </c>
      <c r="C6" s="6" t="s">
        <v>47</v>
      </c>
      <c r="D6" s="6"/>
      <c r="E6" s="6">
        <v>10.0</v>
      </c>
      <c r="F6" s="6"/>
      <c r="G6" s="6"/>
      <c r="H6" s="6" t="s">
        <v>27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2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IFERROR(__xludf.DUMMYFUNCTION("""COMPUTED_VALUE"""),"FixDisconnectionPopup")</f>
        <v>FixDisconnectionPopup</v>
      </c>
      <c r="AN5" s="23" t="str">
        <f>IFERROR(__xludf.DUMMYFUNCTION("""COMPUTED_VALUE"""),"Trade Attribute 01")</f>
        <v>Trade Attribute 01</v>
      </c>
      <c r="AO5" s="23" t="str">
        <f>IFERROR(__xludf.DUMMYFUNCTION("""COMPUTED_VALUE"""),"Trade Attribute 02")</f>
        <v>Trade Attribute 02</v>
      </c>
      <c r="AP5" s="23" t="str">
        <f>IFERROR(__xludf.DUMMYFUNCTION("""COMPUTED_VALUE"""),"Trade Attribute 03")</f>
        <v>Trade Attribute 03</v>
      </c>
      <c r="AQ5" s="23" t="str">
        <f>IFERROR(__xludf.DUMMYFUNCTION("""COMPUTED_VALUE"""),"Trade Attribute 04")</f>
        <v>Trade Attribute 04</v>
      </c>
      <c r="AR5" s="23" t="str">
        <f>IFERROR(__xludf.DUMMYFUNCTION("""COMPUTED_VALUE"""),"Trade Attribute 05")</f>
        <v>Trade Attribute 05</v>
      </c>
      <c r="AS5" s="23" t="str">
        <f>IFERROR(__xludf.DUMMYFUNCTION("""COMPUTED_VALUE"""),"Trade Attribute 06")</f>
        <v>Trade Attribute 06</v>
      </c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</row>
    <row r="6" ht="15.75" customHeight="1">
      <c r="A6" s="6"/>
      <c r="B6" s="6"/>
      <c r="C6" s="6"/>
      <c r="D6" s="6">
        <v>140.0</v>
      </c>
      <c r="E6" s="6" t="s">
        <v>17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48</v>
      </c>
      <c r="D3" s="4" t="s">
        <v>9</v>
      </c>
      <c r="E3" s="11" t="s">
        <v>49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tr">
        <f>IFERROR(__xludf.DUMMYFUNCTION("""COMPUTED_VALUE"""),"CheckAllocatedGroups")</f>
        <v>CheckAllocatedGroups</v>
      </c>
      <c r="D4" s="19" t="str">
        <f>IFERROR(__xludf.DUMMYFUNCTION("""COMPUTED_VALUE"""),"GetDataAllocation")</f>
        <v>GetDataAllocation</v>
      </c>
      <c r="E4" s="19" t="str">
        <f>IFERROR(__xludf.DUMMYFUNCTION("""COMPUTED_VALUE"""),"SelectAllocatedGroup")</f>
        <v>SelectAllocatedGroup</v>
      </c>
      <c r="F4" s="19" t="str">
        <f>IFERROR(__xludf.DUMMYFUNCTION("""COMPUTED_VALUE"""),"EditTradesAllocated")</f>
        <v>EditTradesAllocated</v>
      </c>
      <c r="G4" s="19" t="str">
        <f>IFERROR(__xludf.DUMMYFUNCTION("""COMPUTED_VALUE"""),"EditTradesUnallocated")</f>
        <v>EditTradesUnallocated</v>
      </c>
      <c r="H4" s="19" t="str">
        <f>IFERROR(__xludf.DUMMYFUNCTION("""COMPUTED_VALUE"""),"EditTradesAllocated")</f>
        <v>EditTradesAllocated</v>
      </c>
      <c r="I4" s="19" t="str">
        <f>IFERROR(__xludf.DUMMYFUNCTION("""COMPUTED_VALUE"""),"Reallocate")</f>
        <v>Reallocate</v>
      </c>
      <c r="J4" s="19" t="str">
        <f>IFERROR(__xludf.DUMMYFUNCTION("""COMPUTED_VALUE"""),"EditUnallocatedGroupSidePanel")</f>
        <v>EditUnallocatedGroupSidePanel</v>
      </c>
      <c r="K4" s="19" t="str">
        <f>IFERROR(__xludf.DUMMYFUNCTION("""COMPUTED_VALUE"""),"TradeAttributeBulkChange")</f>
        <v>TradeAttributeBulkChange</v>
      </c>
      <c r="L4" s="19" t="str">
        <f>IFERROR(__xludf.DUMMYFUNCTION("""COMPUTED_VALUE"""),"ApplyBulkUpdateOnGroups")</f>
        <v>ApplyBulkUpdateOnGroups</v>
      </c>
      <c r="M4" s="19" t="str">
        <f>IFERROR(__xludf.DUMMYFUNCTION("""COMPUTED_VALUE"""),"ApplyPrefetchFilters")</f>
        <v>ApplyPrefetchFilters</v>
      </c>
      <c r="N4" s="19" t="str">
        <f>IFERROR(__xludf.DUMMYFUNCTION("""COMPUTED_VALUE"""),"GeneralPreferencesDefaultRule")</f>
        <v>GeneralPreferencesDefaultRule</v>
      </c>
      <c r="O4" s="19" t="str">
        <f>IFERROR(__xludf.DUMMYFUNCTION("""COMPUTED_VALUE"""),"GeneralPrefCompanyUserWise")</f>
        <v>GeneralPrefCompanyUserWise</v>
      </c>
      <c r="P4" s="20" t="str">
        <f>IFERROR(__xludf.DUMMYFUNCTION("""COMPUTED_VALUE"""),"RenameTradeAttributes")</f>
        <v>RenameTradeAttributes</v>
      </c>
      <c r="Q4" s="20" t="str">
        <f>IFERROR(__xludf.DUMMYFUNCTION("""COMPUTED_VALUE"""),"SetGroupingRules")</f>
        <v>SetGroupingRules</v>
      </c>
      <c r="R4" s="20" t="str">
        <f>IFERROR(__xludf.DUMMYFUNCTION("""COMPUTED_VALUE"""),"SetMasterFundRatio")</f>
        <v>SetMasterFundRatio</v>
      </c>
      <c r="S4" s="20" t="str">
        <f>IFERROR(__xludf.DUMMYFUNCTION("""COMPUTED_VALUE"""),"CheckFixedPreference")</f>
        <v>CheckFixedPreference</v>
      </c>
      <c r="T4" s="20" t="str">
        <f>IFERROR(__xludf.DUMMYFUNCTION("""COMPUTED_VALUE"""),"GetFixedPreference")</f>
        <v>GetFixedPreference</v>
      </c>
      <c r="U4" s="20" t="str">
        <f>IFERROR(__xludf.DUMMYFUNCTION("""COMPUTED_VALUE"""),"AddCalculatedPreferences")</f>
        <v>AddCalculatedPreferences</v>
      </c>
      <c r="V4" s="20" t="str">
        <f>IFERROR(__xludf.DUMMYFUNCTION("""COMPUTED_VALUE"""),"BulkChangeCalculatedPreferences")</f>
        <v>BulkChangeCalculatedPreferences</v>
      </c>
      <c r="W4" s="20" t="str">
        <f>IFERROR(__xludf.DUMMYFUNCTION("""COMPUTED_VALUE"""),"DeleteCalculatedPreferences")</f>
        <v>DeleteCalculatedPreferences</v>
      </c>
      <c r="X4" s="20" t="str">
        <f>IFERROR(__xludf.DUMMYFUNCTION("""COMPUTED_VALUE"""),"RenameCalculatedPreferences")</f>
        <v>RenameCalculatedPreferences</v>
      </c>
      <c r="Y4" s="20" t="str">
        <f>IFERROR(__xludf.DUMMYFUNCTION("""COMPUTED_VALUE"""),"CopyCalculatedPreferences")</f>
        <v>CopyCalculatedPreferences</v>
      </c>
      <c r="Z4" s="20" t="str">
        <f>IFERROR(__xludf.DUMMYFUNCTION("""COMPUTED_VALUE"""),"RunAutoGroup")</f>
        <v>RunAutoGroup</v>
      </c>
      <c r="AA4" s="20" t="str">
        <f>IFERROR(__xludf.DUMMYFUNCTION("""COMPUTED_VALUE"""),"BookOrUpdateSwap")</f>
        <v>BookOrUpdateSwap</v>
      </c>
      <c r="AB4" s="20" t="str">
        <f>IFERROR(__xludf.DUMMYFUNCTION("""COMPUTED_VALUE"""),"RunProrata")</f>
        <v>RunProrata</v>
      </c>
      <c r="AC4" s="20" t="str">
        <f>IFERROR(__xludf.DUMMYFUNCTION("""COMPUTED_VALUE"""),"SetDefaultRuleCalculatedPref")</f>
        <v>SetDefaultRuleCalculatedPref</v>
      </c>
      <c r="AD4" s="20" t="str">
        <f>IFERROR(__xludf.DUMMYFUNCTION("""COMPUTED_VALUE"""),"SetAccountValueCalculatedPref")</f>
        <v>SetAccountValueCalculatedPref</v>
      </c>
      <c r="AE4" s="20" t="str">
        <f>IFERROR(__xludf.DUMMYFUNCTION("""COMPUTED_VALUE"""),"TradeAttributeBulkChangeGroups")</f>
        <v>TradeAttributeBulkChangeGroups</v>
      </c>
      <c r="AF4" s="20" t="str">
        <f>IFERROR(__xludf.DUMMYFUNCTION("""COMPUTED_VALUE"""),"TradeAttributeBulkChangeTaxlots")</f>
        <v>TradeAttributeBulkChangeTaxlots</v>
      </c>
      <c r="AG4" s="20" t="str">
        <f>IFERROR(__xludf.DUMMYFUNCTION("""COMPUTED_VALUE"""),"AddCalculatedPreferenceToolbar")</f>
        <v>AddCalculatedPreferenceToolbar</v>
      </c>
      <c r="AH4" s="20" t="str">
        <f>IFERROR(__xludf.DUMMYFUNCTION("""COMPUTED_VALUE"""),"SetStrategyValueCalculatedPref")</f>
        <v>SetStrategyValueCalculatedPref</v>
      </c>
      <c r="AI4" s="20" t="str">
        <f>IFERROR(__xludf.DUMMYFUNCTION("""COMPUTED_VALUE"""),"ApplyBulkUpdateOnTaxlots")</f>
        <v>ApplyBulkUpdateOnTaxlots</v>
      </c>
      <c r="AJ4" s="20" t="str">
        <f>IFERROR(__xludf.DUMMYFUNCTION("""COMPUTED_VALUE"""),"CommissionBulkChangeOnGroups")</f>
        <v>CommissionBulkChangeOnGroups</v>
      </c>
      <c r="AK4" s="20" t="str">
        <f>IFERROR(__xludf.DUMMYFUNCTION("""COMPUTED_VALUE"""),"CommissionBulkChangeOnTaxlots")</f>
        <v>CommissionBulkChangeOnTaxlots</v>
      </c>
      <c r="AL4" s="20" t="str">
        <f>IFERROR(__xludf.DUMMYFUNCTION("""COMPUTED_VALUE"""),"SelectUnallocatedGroup")</f>
        <v>SelectUnallocatedGroup</v>
      </c>
      <c r="AM4" s="20" t="str">
        <f>IFERROR(__xludf.DUMMYFUNCTION("""COMPUTED_VALUE"""),"EnterAccountValuesToAllocate")</f>
        <v>EnterAccountValuesToAllocate</v>
      </c>
      <c r="AN4" s="20" t="str">
        <f>IFERROR(__xludf.DUMMYFUNCTION("""COMPUTED_VALUE"""),"EnterAllocatePreference")</f>
        <v>EnterAllocatePreference</v>
      </c>
      <c r="AO4" s="20" t="str">
        <f>IFERROR(__xludf.DUMMYFUNCTION("""COMPUTED_VALUE"""),"EnterStrategyValuesToAllocate")</f>
        <v>EnterStrategyValuesToAllocate</v>
      </c>
      <c r="AP4" s="20" t="str">
        <f>IFERROR(__xludf.DUMMYFUNCTION("""COMPUTED_VALUE"""),"CopyCalculatedPreferenceToolbar")</f>
        <v>CopyCalculatedPreferenceToolbar</v>
      </c>
      <c r="AQ4" s="20" t="str">
        <f>IFERROR(__xludf.DUMMYFUNCTION("""COMPUTED_VALUE"""),"SetGeneralRuleCalculatedPref")</f>
        <v>SetGeneralRuleCalculatedPref</v>
      </c>
      <c r="AR4" s="20" t="str">
        <f>IFERROR(__xludf.DUMMYFUNCTION("""COMPUTED_VALUE"""),"ExportAllCalculatedPreferences")</f>
        <v>ExportAllCalculatedPreferences</v>
      </c>
      <c r="AS4" s="20" t="str">
        <f>IFERROR(__xludf.DUMMYFUNCTION("""COMPUTED_VALUE"""),"SaveCalculatedPreferences")</f>
        <v>SaveCalculatedPreferences</v>
      </c>
      <c r="AT4" s="20" t="str">
        <f>IFERROR(__xludf.DUMMYFUNCTION("""COMPUTED_VALUE"""),"CloseCalculatedPreferences")</f>
        <v>CloseCalculatedPreferences</v>
      </c>
      <c r="AU4" s="20" t="str">
        <f>IFERROR(__xludf.DUMMYFUNCTION("""COMPUTED_VALUE"""),"ExportCalculatedPreference")</f>
        <v>ExportCalculatedPreference</v>
      </c>
      <c r="AV4" s="20" t="str">
        <f>IFERROR(__xludf.DUMMYFUNCTION("""COMPUTED_VALUE"""),"ImportCalculatedPreferences")</f>
        <v>ImportCalculatedPreferences</v>
      </c>
      <c r="AW4" s="20" t="str">
        <f>IFERROR(__xludf.DUMMYFUNCTION("""COMPUTED_VALUE"""),"OpenAuditTrailUnallocatedGroup")</f>
        <v>OpenAuditTrailUnallocatedGroup</v>
      </c>
      <c r="AX4" s="20" t="str">
        <f>IFERROR(__xludf.DUMMYFUNCTION("""COMPUTED_VALUE"""),"DeleteCalculatedPreferencesTool")</f>
        <v>DeleteCalculatedPreferencesTool</v>
      </c>
      <c r="AY4" s="20" t="str">
        <f>IFERROR(__xludf.DUMMYFUNCTION("""COMPUTED_VALUE"""),"ImportCalculatedPreferencesTool")</f>
        <v>ImportCalculatedPreferencesTool</v>
      </c>
      <c r="AZ4" s="20" t="str">
        <f>IFERROR(__xludf.DUMMYFUNCTION("""COMPUTED_VALUE"""),"ExportAllCalculatedPreferTool")</f>
        <v>ExportAllCalculatedPreferTool</v>
      </c>
      <c r="BA4" s="20" t="str">
        <f>IFERROR(__xludf.DUMMYFUNCTION("""COMPUTED_VALUE"""),"OpenAuditTrailAllocatedGroup")</f>
        <v>OpenAuditTrailAllocatedGroup</v>
      </c>
      <c r="BB4" s="20" t="str">
        <f>IFERROR(__xludf.DUMMYFUNCTION("""COMPUTED_VALUE"""),"OpenSymbolLookupUnallocateGroup")</f>
        <v>OpenSymbolLookupUnallocateGroup</v>
      </c>
      <c r="BC4" s="20" t="str">
        <f>IFERROR(__xludf.DUMMYFUNCTION("""COMPUTED_VALUE"""),"OpenSymbolLookupAllocatedGroup")</f>
        <v>OpenSymbolLookupAllocatedGroup</v>
      </c>
      <c r="BD4" s="20" t="str">
        <f>IFERROR(__xludf.DUMMYFUNCTION("""COMPUTED_VALUE"""),"DeleteFixedPreference")</f>
        <v>DeleteFixedPreference</v>
      </c>
      <c r="BE4" s="20" t="str">
        <f>IFERROR(__xludf.DUMMYFUNCTION("""COMPUTED_VALUE"""),"EditAllocatedGroupSidePanel")</f>
        <v>EditAllocatedGroupSidePanel</v>
      </c>
      <c r="BF4" s="20" t="str">
        <f>IFERROR(__xludf.DUMMYFUNCTION("""COMPUTED_VALUE"""),"CheckUnallocatedGroups")</f>
        <v>CheckUnallocatedGroups</v>
      </c>
      <c r="BG4" s="20" t="str">
        <f>IFERROR(__xludf.DUMMYFUNCTION("""COMPUTED_VALUE"""),"SetGeneralPreferences")</f>
        <v>SetGeneralPreferences</v>
      </c>
      <c r="BH4" s="20" t="str">
        <f>IFERROR(__xludf.DUMMYFUNCTION("""COMPUTED_VALUE"""),"GroupTrades")</f>
        <v>GroupTrades</v>
      </c>
      <c r="BI4" s="20" t="str">
        <f>IFERROR(__xludf.DUMMYFUNCTION("""COMPUTED_VALUE"""),"UngroupTrades")</f>
        <v>UngroupTrades</v>
      </c>
      <c r="BJ4" s="20" t="str">
        <f>IFERROR(__xludf.DUMMYFUNCTION("""COMPUTED_VALUE"""),"DeleteGroup")</f>
        <v>DeleteGroup</v>
      </c>
      <c r="BK4" s="20" t="str">
        <f>IFERROR(__xludf.DUMMYFUNCTION("""COMPUTED_VALUE"""),"CloseOrder")</f>
        <v>CloseOrder</v>
      </c>
      <c r="BL4" s="20" t="str">
        <f>IFERROR(__xludf.DUMMYFUNCTION("""COMPUTED_VALUE"""),"Unallocate")</f>
        <v>Unallocate</v>
      </c>
      <c r="BM4" s="20" t="str">
        <f>IFERROR(__xludf.DUMMYFUNCTION("""COMPUTED_VALUE"""),"CloseAllocation")</f>
        <v>CloseAllocation</v>
      </c>
      <c r="BN4" s="20" t="str">
        <f>IFERROR(__xludf.DUMMYFUNCTION("""COMPUTED_VALUE"""),"UpdateGRAccountValue")</f>
        <v>UpdateGRAccountValue</v>
      </c>
      <c r="BO4" s="20" t="str">
        <f>IFERROR(__xludf.DUMMYFUNCTION("""COMPUTED_VALUE"""),"UpdateGRStrategyValue")</f>
        <v>UpdateGRStrategyValue</v>
      </c>
      <c r="BP4" s="20" t="str">
        <f>IFERROR(__xludf.DUMMYFUNCTION("""COMPUTED_VALUE"""),"UpdateGRDefaultRule")</f>
        <v>UpdateGRDefaultRule</v>
      </c>
      <c r="BQ4" s="20" t="str">
        <f>IFERROR(__xludf.DUMMYFUNCTION("""COMPUTED_VALUE"""),"UpdateGeneralRulePref")</f>
        <v>UpdateGeneralRulePref</v>
      </c>
      <c r="BR4" s="20" t="str">
        <f>IFERROR(__xludf.DUMMYFUNCTION("""COMPUTED_VALUE"""),"ModifyGRPreferenceValues")</f>
        <v>ModifyGRPreferenceValues</v>
      </c>
      <c r="BS4" s="20" t="str">
        <f>IFERROR(__xludf.DUMMYFUNCTION("""COMPUTED_VALUE"""),"AddMFPreferences")</f>
        <v>AddMFPreferences</v>
      </c>
      <c r="BT4" s="20" t="str">
        <f>IFERROR(__xludf.DUMMYFUNCTION("""COMPUTED_VALUE"""),"AddMFPreferenceToolbar")</f>
        <v>AddMFPreferenceToolbar</v>
      </c>
      <c r="BU4" s="20" t="str">
        <f>IFERROR(__xludf.DUMMYFUNCTION("""COMPUTED_VALUE"""),"DeleteMFPreferences")</f>
        <v>DeleteMFPreferences</v>
      </c>
      <c r="BV4" s="20" t="str">
        <f>IFERROR(__xludf.DUMMYFUNCTION("""COMPUTED_VALUE"""),"DeleteMFPreferenceToolbar")</f>
        <v>DeleteMFPreferenceToolbar</v>
      </c>
      <c r="BW4" s="20" t="str">
        <f>IFERROR(__xludf.DUMMYFUNCTION("""COMPUTED_VALUE"""),"RenameMFPreferences")</f>
        <v>RenameMFPreferences</v>
      </c>
      <c r="BX4" s="20" t="str">
        <f>IFERROR(__xludf.DUMMYFUNCTION("""COMPUTED_VALUE"""),"SaveCloseMFPreference")</f>
        <v>SaveCloseMFPreference</v>
      </c>
      <c r="BY4" s="20" t="str">
        <f>IFERROR(__xludf.DUMMYFUNCTION("""COMPUTED_VALUE"""),"SetMFPrefAccountValues")</f>
        <v>SetMFPrefAccountValues</v>
      </c>
      <c r="BZ4" s="20" t="str">
        <f>IFERROR(__xludf.DUMMYFUNCTION("""COMPUTED_VALUE"""),"ModifyMFPrefGeneralRuleValues")</f>
        <v>ModifyMFPrefGeneralRuleValues</v>
      </c>
      <c r="CA4" s="20" t="str">
        <f>IFERROR(__xludf.DUMMYFUNCTION("""COMPUTED_VALUE"""),"SetMFPrefStrategyValues")</f>
        <v>SetMFPrefStrategyValues</v>
      </c>
      <c r="CB4" s="20" t="str">
        <f>IFERROR(__xludf.DUMMYFUNCTION("""COMPUTED_VALUE"""),"SetMFPrefGeneralRule")</f>
        <v>SetMFPrefGeneralRule</v>
      </c>
      <c r="CC4" s="20" t="str">
        <f>IFERROR(__xludf.DUMMYFUNCTION("""COMPUTED_VALUE"""),"SetMFPrefFundDistribution")</f>
        <v>SetMFPrefFundDistribution</v>
      </c>
      <c r="CD4" s="20" t="str">
        <f>IFERROR(__xludf.DUMMYFUNCTION("""COMPUTED_VALUE"""),"SetMFPreferencesDefaultRule")</f>
        <v>SetMFPreferencesDefaultRule</v>
      </c>
      <c r="CE4" s="20" t="str">
        <f>IFERROR(__xludf.DUMMYFUNCTION("""COMPUTED_VALUE"""),"SetMFPrefFundDefaultRule")</f>
        <v>SetMFPrefFundDefaultRule</v>
      </c>
      <c r="CF4" s="20" t="str">
        <f>IFERROR(__xludf.DUMMYFUNCTION("""COMPUTED_VALUE"""),"ClearPrefetchFilters")</f>
        <v>ClearPrefetchFilters</v>
      </c>
      <c r="CG4" s="20" t="str">
        <f>IFERROR(__xludf.DUMMYFUNCTION("""COMPUTED_VALUE"""),"ExpandCollapseAllUnallocated")</f>
        <v>ExpandCollapseAllUnallocated</v>
      </c>
      <c r="CH4" s="20" t="str">
        <f>IFERROR(__xludf.DUMMYFUNCTION("""COMPUTED_VALUE"""),"ExpandCollapseAllAllocated")</f>
        <v>ExpandCollapseAllAllocated</v>
      </c>
      <c r="CI4" s="20" t="str">
        <f>IFERROR(__xludf.DUMMYFUNCTION("""COMPUTED_VALUE"""),"GenerateCashTransaction")</f>
        <v>GenerateCashTransaction</v>
      </c>
      <c r="CJ4" s="20" t="str">
        <f>IFERROR(__xludf.DUMMYFUNCTION("""COMPUTED_VALUE"""),"SaveAllocation")</f>
        <v>SaveAllocation</v>
      </c>
      <c r="CK4" s="20" t="str">
        <f>IFERROR(__xludf.DUMMYFUNCTION("""COMPUTED_VALUE"""),"UnallocateWithOutSave")</f>
        <v>UnallocateWithOutSave</v>
      </c>
      <c r="CL4" s="20" t="str">
        <f>IFERROR(__xludf.DUMMYFUNCTION("""COMPUTED_VALUE"""),"EditUnallocatedGrid")</f>
        <v>EditUnallocatedGrid</v>
      </c>
      <c r="CM4" s="20" t="str">
        <f>IFERROR(__xludf.DUMMYFUNCTION("""COMPUTED_VALUE"""),"EditAllocatedGrid")</f>
        <v>EditAllocatedGrid</v>
      </c>
      <c r="CN4" s="20" t="str">
        <f>IFERROR(__xludf.DUMMYFUNCTION("""COMPUTED_VALUE"""),"SaveLayoutAllocatedGrid")</f>
        <v>SaveLayoutAllocatedGrid</v>
      </c>
      <c r="CO4" s="20" t="str">
        <f>IFERROR(__xludf.DUMMYFUNCTION("""COMPUTED_VALUE"""),"SaveLayoutUnallocatedGrid")</f>
        <v>SaveLayoutUnallocatedGrid</v>
      </c>
      <c r="CP4" s="20" t="str">
        <f>IFERROR(__xludf.DUMMYFUNCTION("""COMPUTED_VALUE"""),"SaveLayoutAllocationUI")</f>
        <v>SaveLayoutAllocationUI</v>
      </c>
      <c r="CQ4" s="20" t="str">
        <f>IFERROR(__xludf.DUMMYFUNCTION("""COMPUTED_VALUE"""),"ClearFiltersAllocatedGrid")</f>
        <v>ClearFiltersAllocatedGrid</v>
      </c>
      <c r="CR4" s="20" t="str">
        <f>IFERROR(__xludf.DUMMYFUNCTION("""COMPUTED_VALUE"""),"ClearFiltersUnallocatedGrid")</f>
        <v>ClearFiltersUnallocatedGrid</v>
      </c>
      <c r="CS4" s="20" t="str">
        <f>IFERROR(__xludf.DUMMYFUNCTION("""COMPUTED_VALUE"""),"VerifyLayoutAllocatedGrid")</f>
        <v>VerifyLayoutAllocatedGrid</v>
      </c>
      <c r="CT4" s="20" t="str">
        <f>IFERROR(__xludf.DUMMYFUNCTION("""COMPUTED_VALUE"""),"VerifyLayoutUnallocatedGrid")</f>
        <v>VerifyLayoutUnallocatedGrid</v>
      </c>
      <c r="CU4" s="20" t="str">
        <f>IFERROR(__xludf.DUMMYFUNCTION("""COMPUTED_VALUE"""),"CleanUp")</f>
        <v>CleanUp</v>
      </c>
      <c r="CV4" s="20" t="str">
        <f>IFERROR(__xludf.DUMMYFUNCTION("""COMPUTED_VALUE"""),"CheckAllocatedTaxlots")</f>
        <v>CheckAllocatedTaxlots</v>
      </c>
      <c r="CW4" s="20" t="str">
        <f>IFERROR(__xludf.DUMMYFUNCTION("""COMPUTED_VALUE"""),"DisableChecksideForAsset")</f>
        <v>DisableChecksideForAsset</v>
      </c>
      <c r="CX4" s="20" t="str">
        <f>IFERROR(__xludf.DUMMYFUNCTION("""COMPUTED_VALUE"""),"DisableChecksideForAccount")</f>
        <v>DisableChecksideForAccount</v>
      </c>
      <c r="CY4" s="20" t="str">
        <f>IFERROR(__xludf.DUMMYFUNCTION("""COMPUTED_VALUE"""),"DisableChecksideForCounterParty")</f>
        <v>DisableChecksideForCounterParty</v>
      </c>
      <c r="CZ4" s="20" t="str">
        <f>IFERROR(__xludf.DUMMYFUNCTION("""COMPUTED_VALUE"""),"DisableCheckside")</f>
        <v>DisableCheckside</v>
      </c>
      <c r="DA4" s="20" t="str">
        <f>IFERROR(__xludf.DUMMYFUNCTION("""COMPUTED_VALUE"""),"ApplyMasterFundFilter")</f>
        <v>ApplyMasterFundFilter</v>
      </c>
      <c r="DB4" s="20" t="str">
        <f>IFERROR(__xludf.DUMMYFUNCTION("""COMPUTED_VALUE"""),"ShowMasterFundOnTT")</f>
        <v>ShowMasterFundOnTT</v>
      </c>
      <c r="DC4" s="20" t="str">
        <f>IFERROR(__xludf.DUMMYFUNCTION("""COMPUTED_VALUE"""),"ShowMasterFundAsClient")</f>
        <v>ShowMasterFundAsClient</v>
      </c>
      <c r="DD4" s="20" t="str">
        <f>IFERROR(__xludf.DUMMYFUNCTION("""COMPUTED_VALUE"""),"SetBrokerAccountMapping")</f>
        <v>SetBrokerAccountMapping</v>
      </c>
      <c r="DE4" s="20" t="str">
        <f>IFERROR(__xludf.DUMMYFUNCTION("""COMPUTED_VALUE"""),"EditUnallocatedGridWPF")</f>
        <v>EditUnallocatedGridWPF</v>
      </c>
      <c r="DF4" s="20" t="str">
        <f>IFERROR(__xludf.DUMMYFUNCTION("""COMPUTED_VALUE"""),"EditAllocatedGridWPF")</f>
        <v>EditAllocatedGridWPF</v>
      </c>
      <c r="DG4" s="20" t="str">
        <f>IFERROR(__xludf.DUMMYFUNCTION("""COMPUTED_VALUE"""),"EditAllocatedGridTaxlot")</f>
        <v>EditAllocatedGridTaxlot</v>
      </c>
      <c r="DH4" s="20" t="str">
        <f>IFERROR(__xludf.DUMMYFUNCTION("""COMPUTED_VALUE"""),"ExpandCollapseAllocatedGrid")</f>
        <v>ExpandCollapseAllocatedGrid</v>
      </c>
      <c r="DI4" s="20" t="str">
        <f>IFERROR(__xludf.DUMMYFUNCTION("""COMPUTED_VALUE"""),"ExpandCollapseUnallocatedGrid")</f>
        <v>ExpandCollapseUnallocatedGrid</v>
      </c>
      <c r="DJ4" s="20" t="str">
        <f>IFERROR(__xludf.DUMMYFUNCTION("""COMPUTED_VALUE"""),"SetTradeAttributePreferences")</f>
        <v>SetTradeAttributePreferences</v>
      </c>
      <c r="DK4" s="20" t="str">
        <f>IFERROR(__xludf.DUMMYFUNCTION("""COMPUTED_VALUE"""),"EnterCustomAllocatePreference")</f>
        <v>EnterCustomAllocatePreference</v>
      </c>
      <c r="DL4" s="20" t="str">
        <f>IFERROR(__xludf.DUMMYFUNCTION("""COMPUTED_VALUE"""),"SetAutoGroupingPreferences")</f>
        <v>SetAutoGroupingPreferences</v>
      </c>
      <c r="DM4" s="20" t="str">
        <f>IFERROR(__xludf.DUMMYFUNCTION("""COMPUTED_VALUE"""),"SetAutoGroupingAccount")</f>
        <v>SetAutoGroupingAccount</v>
      </c>
      <c r="DN4" s="20" t="str">
        <f>IFERROR(__xludf.DUMMYFUNCTION("""COMPUTED_VALUE"""),"SetAvgPriceRounding")</f>
        <v>SetAvgPriceRounding</v>
      </c>
      <c r="DO4" s="20" t="str">
        <f>IFERROR(__xludf.DUMMYFUNCTION("""COMPUTED_VALUE"""),"IsAllocationOpen")</f>
        <v>IsAllocationOpen</v>
      </c>
      <c r="DP4" s="20" t="str">
        <f>IFERROR(__xludf.DUMMYFUNCTION("""COMPUTED_VALUE"""),"AllocationAuditTrail")</f>
        <v>AllocationAuditTrail</v>
      </c>
      <c r="DQ4" s="20" t="str">
        <f>IFERROR(__xludf.DUMMYFUNCTION("""COMPUTED_VALUE"""),"GetAuditTrailData")</f>
        <v>GetAuditTrailData</v>
      </c>
      <c r="DR4" s="20" t="str">
        <f>IFERROR(__xludf.DUMMYFUNCTION("""COMPUTED_VALUE"""),"CheckAuditTrailData")</f>
        <v>CheckAuditTrailData</v>
      </c>
      <c r="DS4" s="20" t="str">
        <f>IFERROR(__xludf.DUMMYFUNCTION("""COMPUTED_VALUE"""),"DeleteGroupWithOutSave")</f>
        <v>DeleteGroupWithOutSave</v>
      </c>
      <c r="DT4" s="20" t="str">
        <f>IFERROR(__xludf.DUMMYFUNCTION("""COMPUTED_VALUE"""),"CheckPreferences")</f>
        <v>CheckPreferences</v>
      </c>
      <c r="DU4" s="20" t="str">
        <f>IFERROR(__xludf.DUMMYFUNCTION("""COMPUTED_VALUE"""),"AllocateWithPopUp")</f>
        <v>AllocateWithPopUp</v>
      </c>
      <c r="DV4" s="20" t="str">
        <f>IFERROR(__xludf.DUMMYFUNCTION("""COMPUTED_VALUE"""),"SelectAllRowsAllocated")</f>
        <v>SelectAllRowsAllocated</v>
      </c>
      <c r="DW4" s="20" t="str">
        <f>IFERROR(__xludf.DUMMYFUNCTION("""COMPUTED_VALUE"""),"ModifyGRPreferenceValues")</f>
        <v>ModifyGRPreferenceValues</v>
      </c>
      <c r="DX4" s="20" t="str">
        <f>IFERROR(__xludf.DUMMYFUNCTION("""COMPUTED_VALUE"""),"VerifyAllocationNavLockPopup")</f>
        <v>VerifyAllocationNavLockPopup</v>
      </c>
      <c r="DY4" s="20" t="str">
        <f>IFERROR(__xludf.DUMMYFUNCTION("""COMPUTED_VALUE"""),"ReviewExistingPositions")</f>
        <v>ReviewExistingPositions</v>
      </c>
      <c r="DZ4" s="20" t="str">
        <f>IFERROR(__xludf.DUMMYFUNCTION("""COMPUTED_VALUE"""),"OperationsonAllocation")</f>
        <v>OperationsonAllocation</v>
      </c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IFERROR(__xludf.DUMMYFUNCTION("""COMPUTED_VALUE"""),"Account Name")</f>
        <v>Account Name</v>
      </c>
      <c r="C5" s="22" t="str">
        <f>IFERROR(__xludf.DUMMYFUNCTION("""COMPUTED_VALUE"""),"Accrual Basis")</f>
        <v>Accrual Basis</v>
      </c>
      <c r="D5" s="22" t="str">
        <f>IFERROR(__xludf.DUMMYFUNCTION("""COMPUTED_VALUE"""),"Accrued Interest")</f>
        <v>Accrued Interest</v>
      </c>
      <c r="E5" s="22" t="str">
        <f>IFERROR(__xludf.DUMMYFUNCTION("""COMPUTED_VALUE"""),"Allocated Qty")</f>
        <v>Allocated Qty</v>
      </c>
      <c r="F5" s="22" t="str">
        <f>IFERROR(__xludf.DUMMYFUNCTION("""COMPUTED_VALUE"""),"Allocation Scheme Name")</f>
        <v>Allocation Scheme Name</v>
      </c>
      <c r="G5" s="22" t="str">
        <f>IFERROR(__xludf.DUMMYFUNCTION("""COMPUTED_VALUE"""),"Asset Category")</f>
        <v>Asset Category</v>
      </c>
      <c r="H5" s="22" t="str">
        <f>IFERROR(__xludf.DUMMYFUNCTION("""COMPUTED_VALUE"""),"AUEC Fee1")</f>
        <v>AUEC Fee1</v>
      </c>
      <c r="I5" s="22" t="str">
        <f>IFERROR(__xludf.DUMMYFUNCTION("""COMPUTED_VALUE"""),"AUEC Fee2")</f>
        <v>AUEC Fee2</v>
      </c>
      <c r="J5" s="22" t="str">
        <f>IFERROR(__xludf.DUMMYFUNCTION("""COMPUTED_VALUE"""),"AUECID")</f>
        <v>AUECID</v>
      </c>
      <c r="K5" s="22" t="str">
        <f>IFERROR(__xludf.DUMMYFUNCTION("""COMPUTED_VALUE"""),"Avg Price(Base)")</f>
        <v>Avg Price(Base)</v>
      </c>
      <c r="L5" s="22" t="str">
        <f>IFERROR(__xludf.DUMMYFUNCTION("""COMPUTED_VALUE"""),"Avg Price(Local)")</f>
        <v>Avg Price(Local)</v>
      </c>
      <c r="M5" s="22" t="str">
        <f>IFERROR(__xludf.DUMMYFUNCTION("""COMPUTED_VALUE"""),"Bloomberg")</f>
        <v>Bloomberg</v>
      </c>
      <c r="N5" s="22" t="str">
        <f>IFERROR(__xludf.DUMMYFUNCTION("""COMPUTED_VALUE"""),"Bond Type")</f>
        <v>Bond Type</v>
      </c>
      <c r="O5" s="22" t="str">
        <f>IFERROR(__xludf.DUMMYFUNCTION("""COMPUTED_VALUE"""),"Broker")</f>
        <v>Broker</v>
      </c>
      <c r="P5" s="22" t="str">
        <f>IFERROR(__xludf.DUMMYFUNCTION("""COMPUTED_VALUE"""),"Change Comment")</f>
        <v>Change Comment</v>
      </c>
      <c r="Q5" s="22" t="str">
        <f>IFERROR(__xludf.DUMMYFUNCTION("""COMPUTED_VALUE"""),"Change Type")</f>
        <v>Change Type</v>
      </c>
      <c r="R5" s="22" t="str">
        <f>IFERROR(__xludf.DUMMYFUNCTION("""COMPUTED_VALUE"""),"Clearing Broker Fee")</f>
        <v>Clearing Broker Fee</v>
      </c>
      <c r="S5" s="22" t="str">
        <f>IFERROR(__xludf.DUMMYFUNCTION("""COMPUTED_VALUE"""),"Closing Status")</f>
        <v>Closing Status</v>
      </c>
      <c r="T5" s="23" t="str">
        <f>IFERROR(__xludf.DUMMYFUNCTION("""COMPUTED_VALUE"""),"Commission")</f>
        <v>Commission</v>
      </c>
      <c r="U5" s="23" t="str">
        <f>IFERROR(__xludf.DUMMYFUNCTION("""COMPUTED_VALUE"""),"Commission Per Share")</f>
        <v>Commission Per Share</v>
      </c>
      <c r="V5" s="23" t="str">
        <f>IFERROR(__xludf.DUMMYFUNCTION("""COMPUTED_VALUE"""),"Company")</f>
        <v>Company</v>
      </c>
      <c r="W5" s="23" t="str">
        <f>IFERROR(__xludf.DUMMYFUNCTION("""COMPUTED_VALUE"""),"Contract Multiplier")</f>
        <v>Contract Multiplier</v>
      </c>
      <c r="X5" s="23" t="str">
        <f>IFERROR(__xludf.DUMMYFUNCTION("""COMPUTED_VALUE"""),"Coupon Rate")</f>
        <v>Coupon Rate</v>
      </c>
      <c r="Y5" s="23" t="str">
        <f>IFERROR(__xludf.DUMMYFUNCTION("""COMPUTED_VALUE"""),"Cum Qty For Sub Order")</f>
        <v>Cum Qty For Sub Order</v>
      </c>
      <c r="Z5" s="23" t="str">
        <f>IFERROR(__xludf.DUMMYFUNCTION("""COMPUTED_VALUE"""),"Currency")</f>
        <v>Currency</v>
      </c>
      <c r="AA5" s="23" t="str">
        <f>IFERROR(__xludf.DUMMYFUNCTION("""COMPUTED_VALUE"""),"Cusip Symbol")</f>
        <v>Cusip Symbol</v>
      </c>
      <c r="AB5" s="23" t="str">
        <f>IFERROR(__xludf.DUMMYFUNCTION("""COMPUTED_VALUE"""),"Delta")</f>
        <v>Delta</v>
      </c>
      <c r="AC5" s="23" t="str">
        <f>IFERROR(__xludf.DUMMYFUNCTION("""COMPUTED_VALUE"""),"Description")</f>
        <v>Description</v>
      </c>
      <c r="AD5" s="23" t="str">
        <f>IFERROR(__xludf.DUMMYFUNCTION("""COMPUTED_VALUE"""),"Exchange")</f>
        <v>Exchange</v>
      </c>
      <c r="AE5" s="23" t="str">
        <f>IFERROR(__xludf.DUMMYFUNCTION("""COMPUTED_VALUE"""),"Executed Qty")</f>
        <v>Executed Qty</v>
      </c>
      <c r="AF5" s="23" t="str">
        <f>IFERROR(__xludf.DUMMYFUNCTION("""COMPUTED_VALUE"""),"Exceution Time")</f>
        <v>Exceution Time</v>
      </c>
      <c r="AG5" s="23" t="str">
        <f>IFERROR(__xludf.DUMMYFUNCTION("""COMPUTED_VALUE"""),"Expiration Date")</f>
        <v>Expiration Date</v>
      </c>
      <c r="AH5" s="23" t="str">
        <f>IFERROR(__xludf.DUMMYFUNCTION("""COMPUTED_VALUE"""),"FX Conversion Operator")</f>
        <v>FX Conversion Operator</v>
      </c>
      <c r="AI5" s="23" t="str">
        <f>IFERROR(__xludf.DUMMYFUNCTION("""COMPUTED_VALUE"""),"FX Rate")</f>
        <v>FX Rate</v>
      </c>
      <c r="AJ5" s="23" t="str">
        <f>IFERROR(__xludf.DUMMYFUNCTION("""COMPUTED_VALUE"""),"Group Status")</f>
        <v>Group Status</v>
      </c>
      <c r="AK5" s="23" t="str">
        <f>IFERROR(__xludf.DUMMYFUNCTION("""COMPUTED_VALUE"""),"IDCOSymbol")</f>
        <v>IDCOSymbol</v>
      </c>
      <c r="AL5" s="23" t="str">
        <f>IFERROR(__xludf.DUMMYFUNCTION("""COMPUTED_VALUE"""),"Import File Name")</f>
        <v>Import File Name</v>
      </c>
      <c r="AM5" s="23" t="str">
        <f>IFERROR(__xludf.DUMMYFUNCTION("""COMPUTED_VALUE"""),"Internal Comments")</f>
        <v>Internal Comments</v>
      </c>
      <c r="AN5" s="23" t="str">
        <f>IFERROR(__xludf.DUMMYFUNCTION("""COMPUTED_VALUE"""),"IsAnotherTaxlotAttributesUpdated")</f>
        <v>IsAnotherTaxlotAttributesUpdated</v>
      </c>
      <c r="AO5" s="23" t="str">
        <f>IFERROR(__xludf.DUMMYFUNCTION("""COMPUTED_VALUE"""),"ISIN")</f>
        <v>ISIN</v>
      </c>
      <c r="AP5" s="23" t="str">
        <f>IFERROR(__xludf.DUMMYFUNCTION("""COMPUTED_VALUE"""),"IsManual Group")</f>
        <v>IsManual Group</v>
      </c>
      <c r="AQ5" s="23" t="str">
        <f>IFERROR(__xludf.DUMMYFUNCTION("""COMPUTED_VALUE"""),"ISNDF")</f>
        <v>ISNDF</v>
      </c>
      <c r="AR5" s="23" t="str">
        <f>IFERROR(__xludf.DUMMYFUNCTION("""COMPUTED_VALUE"""),"IsPreAllocated")</f>
        <v>IsPreAllocated</v>
      </c>
      <c r="AS5" s="23" t="str">
        <f>IFERROR(__xludf.DUMMYFUNCTION("""COMPUTED_VALUE"""),"M2MProfitLoss")</f>
        <v>M2MProfitLoss</v>
      </c>
      <c r="AT5" s="23" t="str">
        <f>IFERROR(__xludf.DUMMYFUNCTION("""COMPUTED_VALUE"""),"Net Amount( Base)")</f>
        <v>Net Amount( Base)</v>
      </c>
      <c r="AU5" s="23" t="str">
        <f>IFERROR(__xludf.DUMMYFUNCTION("""COMPUTED_VALUE"""),"Net Amount( Local)")</f>
        <v>Net Amount( Local)</v>
      </c>
      <c r="AV5" s="23" t="str">
        <f>IFERROR(__xludf.DUMMYFUNCTION("""COMPUTED_VALUE"""),"Nirvana Process Date")</f>
        <v>Nirvana Process Date</v>
      </c>
      <c r="AW5" s="23" t="str">
        <f>IFERROR(__xludf.DUMMYFUNCTION("""COMPUTED_VALUE"""),"OCC Fee")</f>
        <v>OCC Fee</v>
      </c>
      <c r="AX5" s="23" t="str">
        <f>IFERROR(__xludf.DUMMYFUNCTION("""COMPUTED_VALUE"""),"Option Premium Adjustment")</f>
        <v>Option Premium Adjustment</v>
      </c>
      <c r="AY5" s="23" t="str">
        <f>IFERROR(__xludf.DUMMYFUNCTION("""COMPUTED_VALUE"""),"Order Type")</f>
        <v>Order Type</v>
      </c>
      <c r="AZ5" s="23" t="str">
        <f>IFERROR(__xludf.DUMMYFUNCTION("""COMPUTED_VALUE"""),"ORF Fee")</f>
        <v>ORF Fee</v>
      </c>
      <c r="BA5" s="23" t="str">
        <f>IFERROR(__xludf.DUMMYFUNCTION("""COMPUTED_VALUE"""),"Original Purchase Date")</f>
        <v>Original Purchase Date</v>
      </c>
      <c r="BB5" s="23" t="str">
        <f>IFERROR(__xludf.DUMMYFUNCTION("""COMPUTED_VALUE"""),"OSISSymbol")</f>
        <v>OSISSymbol</v>
      </c>
      <c r="BC5" s="23" t="str">
        <f>IFERROR(__xludf.DUMMYFUNCTION("""COMPUTED_VALUE"""),"Other Broker Fees")</f>
        <v>Other Broker Fees</v>
      </c>
      <c r="BD5" s="23" t="str">
        <f>IFERROR(__xludf.DUMMYFUNCTION("""COMPUTED_VALUE"""),"Prana Msg Type")</f>
        <v>Prana Msg Type</v>
      </c>
      <c r="BE5" s="23" t="str">
        <f>IFERROR(__xludf.DUMMYFUNCTION("""COMPUTED_VALUE"""),"Principal Amount( Base)")</f>
        <v>Principal Amount( Base)</v>
      </c>
      <c r="BF5" s="23" t="str">
        <f>IFERROR(__xludf.DUMMYFUNCTION("""COMPUTED_VALUE"""),"Principal Amount( Local)")</f>
        <v>Principal Amount( Local)</v>
      </c>
      <c r="BG5" s="23" t="str">
        <f>IFERROR(__xludf.DUMMYFUNCTION("""COMPUTED_VALUE"""),"Process Date")</f>
        <v>Process Date</v>
      </c>
      <c r="BH5" s="23" t="str">
        <f>IFERROR(__xludf.DUMMYFUNCTION("""COMPUTED_VALUE"""),"Proxy Symbol")</f>
        <v>Proxy Symbol</v>
      </c>
      <c r="BI5" s="23" t="str">
        <f>IFERROR(__xludf.DUMMYFUNCTION("""COMPUTED_VALUE"""),"Put Or Call")</f>
        <v>Put Or Call</v>
      </c>
      <c r="BJ5" s="23" t="str">
        <f>IFERROR(__xludf.DUMMYFUNCTION("""COMPUTED_VALUE"""),"Quantity")</f>
        <v>Quantity</v>
      </c>
      <c r="BK5" s="23" t="str">
        <f>IFERROR(__xludf.DUMMYFUNCTION("""COMPUTED_VALUE"""),"SEC Fee")</f>
        <v>SEC Fee</v>
      </c>
      <c r="BL5" s="23" t="str">
        <f>IFERROR(__xludf.DUMMYFUNCTION("""COMPUTED_VALUE"""),"Sedol Symbol")</f>
        <v>Sedol Symbol</v>
      </c>
      <c r="BM5" s="23" t="str">
        <f>IFERROR(__xludf.DUMMYFUNCTION("""COMPUTED_VALUE"""),"Settlement Currency")</f>
        <v>Settlement Currency</v>
      </c>
      <c r="BN5" s="23" t="str">
        <f>IFERROR(__xludf.DUMMYFUNCTION("""COMPUTED_VALUE"""),"Settlement Date")</f>
        <v>Settlement Date</v>
      </c>
      <c r="BO5" s="23" t="str">
        <f>IFERROR(__xludf.DUMMYFUNCTION("""COMPUTED_VALUE"""),"Side")</f>
        <v>Side</v>
      </c>
      <c r="BP5" s="23" t="str">
        <f>IFERROR(__xludf.DUMMYFUNCTION("""COMPUTED_VALUE"""),"Soft Commission")</f>
        <v>Soft Commission</v>
      </c>
      <c r="BQ5" s="23" t="str">
        <f>IFERROR(__xludf.DUMMYFUNCTION("""COMPUTED_VALUE"""),"Soft Commission Per Share")</f>
        <v>Soft Commission Per Share</v>
      </c>
      <c r="BR5" s="23" t="str">
        <f>IFERROR(__xludf.DUMMYFUNCTION("""COMPUTED_VALUE"""),"Stamp Duty")</f>
        <v>Stamp Duty</v>
      </c>
      <c r="BS5" s="23" t="str">
        <f>IFERROR(__xludf.DUMMYFUNCTION("""COMPUTED_VALUE"""),"Strategy Name")</f>
        <v>Strategy Name</v>
      </c>
      <c r="BT5" s="23" t="str">
        <f>IFERROR(__xludf.DUMMYFUNCTION("""COMPUTED_VALUE"""),"Symbol")</f>
        <v>Symbol</v>
      </c>
      <c r="BU5" s="23" t="str">
        <f>IFERROR(__xludf.DUMMYFUNCTION("""COMPUTED_VALUE"""),"Tax On Commissions")</f>
        <v>Tax On Commissions</v>
      </c>
      <c r="BV5" s="23" t="str">
        <f>IFERROR(__xludf.DUMMYFUNCTION("""COMPUTED_VALUE"""),"Total Commission")</f>
        <v>Total Commission</v>
      </c>
      <c r="BW5" s="23" t="str">
        <f>IFERROR(__xludf.DUMMYFUNCTION("""COMPUTED_VALUE"""),"Total Commission And Fee")</f>
        <v>Total Commission And Fee</v>
      </c>
      <c r="BX5" s="23" t="str">
        <f>IFERROR(__xludf.DUMMYFUNCTION("""COMPUTED_VALUE"""),"Total Commission Per Share")</f>
        <v>Total Commission Per Share</v>
      </c>
      <c r="BY5" s="23" t="str">
        <f>IFERROR(__xludf.DUMMYFUNCTION("""COMPUTED_VALUE"""),"Trade Attribute 1")</f>
        <v>Trade Attribute 1</v>
      </c>
      <c r="BZ5" s="23" t="str">
        <f>IFERROR(__xludf.DUMMYFUNCTION("""COMPUTED_VALUE"""),"Trade Attribute 2")</f>
        <v>Trade Attribute 2</v>
      </c>
      <c r="CA5" s="23" t="str">
        <f>IFERROR(__xludf.DUMMYFUNCTION("""COMPUTED_VALUE"""),"Trade Attribute 3")</f>
        <v>Trade Attribute 3</v>
      </c>
      <c r="CB5" s="23" t="str">
        <f>IFERROR(__xludf.DUMMYFUNCTION("""COMPUTED_VALUE"""),"Trade Attribute 4")</f>
        <v>Trade Attribute 4</v>
      </c>
      <c r="CC5" s="23" t="str">
        <f>IFERROR(__xludf.DUMMYFUNCTION("""COMPUTED_VALUE"""),"Trade Attribute 5")</f>
        <v>Trade Attribute 5</v>
      </c>
      <c r="CD5" s="23" t="str">
        <f>IFERROR(__xludf.DUMMYFUNCTION("""COMPUTED_VALUE"""),"Trade Attribute 6")</f>
        <v>Trade Attribute 6</v>
      </c>
      <c r="CE5" s="23" t="str">
        <f>IFERROR(__xludf.DUMMYFUNCTION("""COMPUTED_VALUE"""),"Trade Date")</f>
        <v>Trade Date</v>
      </c>
      <c r="CF5" s="23" t="str">
        <f>IFERROR(__xludf.DUMMYFUNCTION("""COMPUTED_VALUE"""),"Trading Account")</f>
        <v>Trading Account</v>
      </c>
      <c r="CG5" s="23" t="str">
        <f>IFERROR(__xludf.DUMMYFUNCTION("""COMPUTED_VALUE"""),"Transaction Levy")</f>
        <v>Transaction Levy</v>
      </c>
      <c r="CH5" s="23" t="str">
        <f>IFERROR(__xludf.DUMMYFUNCTION("""COMPUTED_VALUE"""),"Transaction Source")</f>
        <v>Transaction Source</v>
      </c>
      <c r="CI5" s="23" t="str">
        <f>IFERROR(__xludf.DUMMYFUNCTION("""COMPUTED_VALUE"""),"Transaction Type")</f>
        <v>Transaction Type</v>
      </c>
      <c r="CJ5" s="23" t="str">
        <f>IFERROR(__xludf.DUMMYFUNCTION("""COMPUTED_VALUE"""),"UnAllocatedQty")</f>
        <v>UnAllocatedQty</v>
      </c>
      <c r="CK5" s="23" t="str">
        <f>IFERROR(__xludf.DUMMYFUNCTION("""COMPUTED_VALUE"""),"Underlying")</f>
        <v>Underlying</v>
      </c>
      <c r="CL5" s="23" t="str">
        <f>IFERROR(__xludf.DUMMYFUNCTION("""COMPUTED_VALUE"""),"Underlying Delta")</f>
        <v>Underlying Delta</v>
      </c>
      <c r="CM5" s="23" t="str">
        <f>IFERROR(__xludf.DUMMYFUNCTION("""COMPUTED_VALUE"""),"Underlying Symbol")</f>
        <v>Underlying Symbol</v>
      </c>
      <c r="CN5" s="23" t="str">
        <f>IFERROR(__xludf.DUMMYFUNCTION("""COMPUTED_VALUE"""),"User")</f>
        <v>User</v>
      </c>
      <c r="CO5" s="23" t="str">
        <f>IFERROR(__xludf.DUMMYFUNCTION("""COMPUTED_VALUE"""),"Venue")</f>
        <v>Venue</v>
      </c>
      <c r="CP5" s="23" t="str">
        <f>IFERROR(__xludf.DUMMYFUNCTION("""COMPUTED_VALUE"""),"Closing Method")</f>
        <v>Closing Method</v>
      </c>
      <c r="CQ5" s="23" t="str">
        <f>IFERROR(__xludf.DUMMYFUNCTION("""COMPUTED_VALUE"""),"Closing Date")</f>
        <v>Closing Date</v>
      </c>
      <c r="CR5" s="23" t="str">
        <f>IFERROR(__xludf.DUMMYFUNCTION("""COMPUTED_VALUE"""),"GroupID")</f>
        <v>GroupID</v>
      </c>
      <c r="CS5" s="23" t="str">
        <f>IFERROR(__xludf.DUMMYFUNCTION("""COMPUTED_VALUE"""),"Client")</f>
        <v>Client</v>
      </c>
      <c r="CT5" s="23" t="str">
        <f>IFERROR(__xludf.DUMMYFUNCTION("""COMPUTED_VALUE"""),"Borrow Broker")</f>
        <v>Borrow Broker</v>
      </c>
      <c r="CU5" s="23" t="str">
        <f>IFERROR(__xludf.DUMMYFUNCTION("""COMPUTED_VALUE"""),"ACTIV Symbol")</f>
        <v>ACTIV Symbol</v>
      </c>
      <c r="CV5" s="23" t="str">
        <f>IFERROR(__xludf.DUMMYFUNCTION("""COMPUTED_VALUE"""),"Borrower Id")</f>
        <v>Borrower Id</v>
      </c>
      <c r="CW5" s="23" t="str">
        <f>IFERROR(__xludf.DUMMYFUNCTION("""COMPUTED_VALUE"""),"Borrow Rate(%)")</f>
        <v>Borrow Rate(%)</v>
      </c>
      <c r="CX5" s="23" t="str">
        <f>IFERROR(__xludf.DUMMYFUNCTION("""COMPUTED_VALUE"""),"Master Fund")</f>
        <v>Master Fund</v>
      </c>
      <c r="CY5" s="23" t="str">
        <f>IFERROR(__xludf.DUMMYFUNCTION("""COMPUTED_VALUE"""),"MandatoryColumn")</f>
        <v>MandatoryColumn</v>
      </c>
      <c r="CZ5" s="23" t="str">
        <f>IFERROR(__xludf.DUMMYFUNCTION("""COMPUTED_VALUE"""),"Testing Type")</f>
        <v>Testing Type</v>
      </c>
      <c r="DA5" s="23" t="str">
        <f>IFERROR(__xludf.DUMMYFUNCTION("""COMPUTED_VALUE"""),"Testing Column")</f>
        <v>Testing Column</v>
      </c>
      <c r="DB5" s="23" t="str">
        <f>IFERROR(__xludf.DUMMYFUNCTION("""COMPUTED_VALUE"""),"Testing Col Value")</f>
        <v>Testing Col Value</v>
      </c>
      <c r="DC5" s="23" t="str">
        <f>IFERROR(__xludf.DUMMYFUNCTION("""COMPUTED_VALUE"""),"DuplicateRow")</f>
        <v>DuplicateRow</v>
      </c>
      <c r="DD5" s="23" t="str">
        <f>IFERROR(__xludf.DUMMYFUNCTION("""COMPUTED_VALUE"""),"DuplicateCountOnUI")</f>
        <v>DuplicateCountOnUI</v>
      </c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</row>
    <row r="6" ht="15.75" customHeight="1">
      <c r="A6" s="6" t="s">
        <v>50</v>
      </c>
      <c r="B6" s="6" t="s">
        <v>23</v>
      </c>
      <c r="C6" s="6" t="s">
        <v>51</v>
      </c>
      <c r="D6" s="6"/>
      <c r="E6" s="6">
        <v>100.0</v>
      </c>
      <c r="F6" s="6"/>
      <c r="G6" s="6" t="s">
        <v>52</v>
      </c>
      <c r="H6" s="6">
        <v>4.0</v>
      </c>
      <c r="I6" s="6">
        <v>5.0</v>
      </c>
      <c r="J6" s="6">
        <v>1.0</v>
      </c>
      <c r="K6" s="6">
        <v>10.0</v>
      </c>
      <c r="L6" s="6">
        <v>10.0</v>
      </c>
      <c r="M6" s="6" t="s">
        <v>53</v>
      </c>
      <c r="N6" s="6" t="s">
        <v>54</v>
      </c>
      <c r="O6" s="6" t="s">
        <v>55</v>
      </c>
      <c r="Q6" s="7">
        <v>3.0</v>
      </c>
      <c r="R6" s="7">
        <v>0.0</v>
      </c>
      <c r="S6" s="7" t="s">
        <v>56</v>
      </c>
      <c r="T6" s="7">
        <v>0.0</v>
      </c>
      <c r="U6" s="7">
        <v>0.0</v>
      </c>
      <c r="V6" s="7" t="s">
        <v>57</v>
      </c>
      <c r="W6" s="7">
        <v>1.0</v>
      </c>
      <c r="X6" s="7">
        <v>0.0</v>
      </c>
      <c r="Y6" s="7" t="s">
        <v>50</v>
      </c>
      <c r="Z6" s="7" t="s">
        <v>24</v>
      </c>
      <c r="AA6" s="7" t="s">
        <v>16</v>
      </c>
      <c r="AB6" s="7">
        <v>1.0</v>
      </c>
      <c r="AD6" s="7" t="s">
        <v>58</v>
      </c>
      <c r="AE6" s="7">
        <v>100.0</v>
      </c>
      <c r="AF6" s="7" t="s">
        <v>50</v>
      </c>
      <c r="AH6" s="7" t="s">
        <v>59</v>
      </c>
      <c r="AI6" s="7">
        <v>1.0</v>
      </c>
      <c r="AJ6" s="7" t="s">
        <v>60</v>
      </c>
      <c r="AN6" s="7" t="b">
        <v>0</v>
      </c>
      <c r="AP6" s="7" t="b">
        <v>1</v>
      </c>
      <c r="AQ6" s="7" t="b">
        <v>0</v>
      </c>
      <c r="AR6" s="7" t="b">
        <v>1</v>
      </c>
      <c r="AS6" s="7">
        <v>0.0</v>
      </c>
      <c r="AT6" s="7">
        <v>1014.0006</v>
      </c>
      <c r="AU6" s="7">
        <v>1014.0006</v>
      </c>
      <c r="AW6" s="7">
        <v>0.0</v>
      </c>
      <c r="AX6" s="7">
        <v>0.0</v>
      </c>
      <c r="AY6" s="7" t="s">
        <v>61</v>
      </c>
      <c r="AZ6" s="7">
        <v>0.0</v>
      </c>
      <c r="BC6" s="7">
        <v>0.0</v>
      </c>
      <c r="BD6" s="7" t="s">
        <v>62</v>
      </c>
      <c r="BE6" s="7">
        <v>1000.0</v>
      </c>
      <c r="BF6" s="7">
        <v>1000.0</v>
      </c>
      <c r="BJ6" s="7">
        <v>100.0</v>
      </c>
      <c r="BK6" s="7">
        <v>0.0</v>
      </c>
      <c r="BL6" s="7" t="s">
        <v>50</v>
      </c>
      <c r="BM6" s="7" t="s">
        <v>24</v>
      </c>
      <c r="BO6" s="7" t="s">
        <v>30</v>
      </c>
      <c r="BP6" s="7">
        <v>0.0</v>
      </c>
      <c r="BQ6" s="7">
        <v>0.0</v>
      </c>
      <c r="BR6" s="7">
        <v>6.0E-4</v>
      </c>
      <c r="BS6" s="7" t="s">
        <v>63</v>
      </c>
      <c r="BT6" s="7" t="s">
        <v>16</v>
      </c>
      <c r="BU6" s="7">
        <v>3.0</v>
      </c>
      <c r="BV6" s="7">
        <v>0.0</v>
      </c>
      <c r="BW6" s="7">
        <v>14.0006</v>
      </c>
      <c r="BX6" s="7">
        <v>0.0</v>
      </c>
      <c r="CF6" s="7" t="s">
        <v>64</v>
      </c>
      <c r="CG6" s="7">
        <v>2.0</v>
      </c>
      <c r="CH6" s="7" t="s">
        <v>12</v>
      </c>
      <c r="CI6" s="7" t="s">
        <v>30</v>
      </c>
      <c r="CJ6" s="7">
        <v>0.0</v>
      </c>
      <c r="CK6" s="7" t="s">
        <v>65</v>
      </c>
      <c r="CL6" s="7">
        <v>1.0</v>
      </c>
      <c r="CM6" s="7" t="s">
        <v>16</v>
      </c>
      <c r="CN6" s="7" t="s">
        <v>66</v>
      </c>
      <c r="CO6" s="7" t="s">
        <v>58</v>
      </c>
      <c r="CP6" s="7" t="s">
        <v>67</v>
      </c>
      <c r="CW6" s="7">
        <v>0.0</v>
      </c>
      <c r="CX6" s="7" t="s">
        <v>28</v>
      </c>
      <c r="CY6" s="7" t="s">
        <v>50</v>
      </c>
      <c r="CZ6" s="7" t="s">
        <v>50</v>
      </c>
      <c r="DA6" s="7" t="s">
        <v>50</v>
      </c>
      <c r="DB6" s="7" t="s">
        <v>50</v>
      </c>
      <c r="DC6" s="7" t="s">
        <v>50</v>
      </c>
      <c r="DD6" s="7" t="s">
        <v>50</v>
      </c>
      <c r="DE6" s="7" t="s">
        <v>50</v>
      </c>
      <c r="DF6" s="7" t="s">
        <v>50</v>
      </c>
      <c r="DG6" s="7" t="s">
        <v>50</v>
      </c>
      <c r="DH6" s="7" t="s">
        <v>50</v>
      </c>
      <c r="DI6" s="7" t="s">
        <v>50</v>
      </c>
      <c r="DJ6" s="7" t="s">
        <v>50</v>
      </c>
      <c r="DK6" s="7" t="s">
        <v>50</v>
      </c>
      <c r="DL6" s="7" t="s">
        <v>50</v>
      </c>
      <c r="DM6" s="7" t="s">
        <v>50</v>
      </c>
      <c r="DN6" s="7" t="s">
        <v>50</v>
      </c>
      <c r="DO6" s="7" t="s">
        <v>50</v>
      </c>
      <c r="DP6" s="7" t="s">
        <v>50</v>
      </c>
      <c r="DQ6" s="7" t="s">
        <v>50</v>
      </c>
      <c r="DR6" s="7" t="s">
        <v>50</v>
      </c>
      <c r="DS6" s="7" t="s">
        <v>50</v>
      </c>
      <c r="DT6" s="7" t="s">
        <v>50</v>
      </c>
      <c r="DU6" s="7" t="s">
        <v>50</v>
      </c>
      <c r="DV6" s="7" t="s">
        <v>50</v>
      </c>
      <c r="DW6" s="7" t="s">
        <v>50</v>
      </c>
      <c r="DX6" s="7" t="s">
        <v>50</v>
      </c>
      <c r="DY6" s="7" t="s">
        <v>50</v>
      </c>
      <c r="DZ6" s="7" t="s">
        <v>50</v>
      </c>
      <c r="EA6" s="7" t="s">
        <v>50</v>
      </c>
      <c r="EB6" s="7" t="s">
        <v>50</v>
      </c>
      <c r="EC6" s="7" t="s">
        <v>50</v>
      </c>
      <c r="ED6" s="7" t="s">
        <v>50</v>
      </c>
      <c r="EE6" s="7" t="s">
        <v>50</v>
      </c>
      <c r="EF6" s="7" t="s">
        <v>50</v>
      </c>
      <c r="EG6" s="7" t="s">
        <v>50</v>
      </c>
      <c r="EH6" s="7" t="s">
        <v>50</v>
      </c>
      <c r="EI6" s="7" t="s">
        <v>50</v>
      </c>
      <c r="EJ6" s="7" t="s">
        <v>50</v>
      </c>
      <c r="EK6" s="7" t="s">
        <v>50</v>
      </c>
      <c r="EL6" s="7" t="s">
        <v>50</v>
      </c>
      <c r="EM6" s="7" t="s">
        <v>50</v>
      </c>
      <c r="EN6" s="7" t="s">
        <v>50</v>
      </c>
      <c r="EO6" s="7" t="s">
        <v>50</v>
      </c>
      <c r="EP6" s="7" t="s">
        <v>50</v>
      </c>
      <c r="EQ6" s="7" t="s">
        <v>50</v>
      </c>
      <c r="ER6" s="7" t="s">
        <v>50</v>
      </c>
      <c r="ES6" s="7" t="s">
        <v>50</v>
      </c>
      <c r="ET6" s="7" t="s">
        <v>50</v>
      </c>
      <c r="EU6" s="7" t="s">
        <v>50</v>
      </c>
      <c r="EV6" s="7" t="s">
        <v>50</v>
      </c>
      <c r="EW6" s="7" t="s">
        <v>50</v>
      </c>
      <c r="EX6" s="7" t="s">
        <v>50</v>
      </c>
      <c r="EY6" s="7" t="s">
        <v>50</v>
      </c>
      <c r="EZ6" s="7" t="s">
        <v>50</v>
      </c>
      <c r="FA6" s="7" t="s">
        <v>50</v>
      </c>
      <c r="FB6" s="7" t="s">
        <v>50</v>
      </c>
      <c r="FC6" s="7" t="s">
        <v>50</v>
      </c>
      <c r="FD6" s="7" t="s">
        <v>50</v>
      </c>
      <c r="FE6" s="7" t="s">
        <v>50</v>
      </c>
      <c r="FF6" s="7" t="s">
        <v>50</v>
      </c>
      <c r="FG6" s="7" t="s">
        <v>50</v>
      </c>
      <c r="FH6" s="7" t="s">
        <v>50</v>
      </c>
      <c r="FI6" s="7" t="s">
        <v>50</v>
      </c>
      <c r="FJ6" s="7" t="s">
        <v>50</v>
      </c>
      <c r="FK6" s="7" t="s">
        <v>50</v>
      </c>
      <c r="FL6" s="7" t="s">
        <v>50</v>
      </c>
      <c r="FM6" s="7" t="s">
        <v>50</v>
      </c>
      <c r="FN6" s="7" t="s">
        <v>50</v>
      </c>
      <c r="FO6" s="7" t="s">
        <v>50</v>
      </c>
      <c r="FP6" s="7" t="s">
        <v>50</v>
      </c>
      <c r="FQ6" s="7" t="s">
        <v>50</v>
      </c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</row>
    <row r="7" ht="15.75" customHeight="1">
      <c r="A7" s="6" t="s">
        <v>50</v>
      </c>
      <c r="B7" s="6" t="s">
        <v>18</v>
      </c>
      <c r="C7" s="6" t="s">
        <v>51</v>
      </c>
      <c r="D7" s="6"/>
      <c r="E7" s="6">
        <v>100.0</v>
      </c>
      <c r="F7" s="6"/>
      <c r="G7" s="6" t="s">
        <v>52</v>
      </c>
      <c r="H7" s="6">
        <v>4.0</v>
      </c>
      <c r="I7" s="6">
        <v>5.0</v>
      </c>
      <c r="J7" s="6">
        <v>1.0</v>
      </c>
      <c r="K7" s="6">
        <v>10.0</v>
      </c>
      <c r="L7" s="6">
        <v>10.0</v>
      </c>
      <c r="M7" s="6" t="s">
        <v>53</v>
      </c>
      <c r="N7" s="6" t="s">
        <v>54</v>
      </c>
      <c r="O7" s="6" t="s">
        <v>55</v>
      </c>
      <c r="Q7" s="7">
        <v>3.0</v>
      </c>
      <c r="R7" s="7">
        <v>0.0</v>
      </c>
      <c r="S7" s="7" t="s">
        <v>56</v>
      </c>
      <c r="T7" s="7">
        <v>0.0</v>
      </c>
      <c r="U7" s="7">
        <v>0.0</v>
      </c>
      <c r="V7" s="7" t="s">
        <v>57</v>
      </c>
      <c r="W7" s="7">
        <v>1.0</v>
      </c>
      <c r="X7" s="7">
        <v>0.0</v>
      </c>
      <c r="Y7" s="7" t="s">
        <v>50</v>
      </c>
      <c r="Z7" s="7" t="s">
        <v>24</v>
      </c>
      <c r="AA7" s="7" t="s">
        <v>16</v>
      </c>
      <c r="AB7" s="7">
        <v>1.0</v>
      </c>
      <c r="AD7" s="7" t="s">
        <v>58</v>
      </c>
      <c r="AE7" s="7">
        <v>100.0</v>
      </c>
      <c r="AF7" s="7" t="s">
        <v>50</v>
      </c>
      <c r="AH7" s="7" t="s">
        <v>59</v>
      </c>
      <c r="AI7" s="7">
        <v>1.0</v>
      </c>
      <c r="AJ7" s="7" t="s">
        <v>60</v>
      </c>
      <c r="AN7" s="7" t="b">
        <v>0</v>
      </c>
      <c r="AP7" s="7" t="b">
        <v>1</v>
      </c>
      <c r="AQ7" s="7" t="b">
        <v>0</v>
      </c>
      <c r="AR7" s="7" t="b">
        <v>1</v>
      </c>
      <c r="AS7" s="7">
        <v>0.0</v>
      </c>
      <c r="AT7" s="7">
        <v>1014.0006</v>
      </c>
      <c r="AU7" s="7">
        <v>1014.0006</v>
      </c>
      <c r="AW7" s="7">
        <v>0.0</v>
      </c>
      <c r="AX7" s="7">
        <v>0.0</v>
      </c>
      <c r="AY7" s="7" t="s">
        <v>61</v>
      </c>
      <c r="AZ7" s="7">
        <v>0.0</v>
      </c>
      <c r="BC7" s="7">
        <v>0.0</v>
      </c>
      <c r="BD7" s="7" t="s">
        <v>62</v>
      </c>
      <c r="BE7" s="7">
        <v>1000.0</v>
      </c>
      <c r="BF7" s="7">
        <v>1000.0</v>
      </c>
      <c r="BJ7" s="7">
        <v>100.0</v>
      </c>
      <c r="BK7" s="7">
        <v>0.0</v>
      </c>
      <c r="BL7" s="7" t="s">
        <v>50</v>
      </c>
      <c r="BM7" s="7" t="s">
        <v>24</v>
      </c>
      <c r="BO7" s="7" t="s">
        <v>30</v>
      </c>
      <c r="BP7" s="7">
        <v>0.0</v>
      </c>
      <c r="BQ7" s="7">
        <v>0.0</v>
      </c>
      <c r="BR7" s="7">
        <v>6.0E-4</v>
      </c>
      <c r="BS7" s="7" t="s">
        <v>63</v>
      </c>
      <c r="BT7" s="7" t="s">
        <v>16</v>
      </c>
      <c r="BU7" s="7">
        <v>3.0</v>
      </c>
      <c r="BV7" s="7">
        <v>0.0</v>
      </c>
      <c r="BW7" s="7">
        <v>14.0006</v>
      </c>
      <c r="BX7" s="7">
        <v>0.0</v>
      </c>
      <c r="CF7" s="7" t="s">
        <v>64</v>
      </c>
      <c r="CG7" s="7">
        <v>2.0</v>
      </c>
      <c r="CH7" s="7" t="s">
        <v>12</v>
      </c>
      <c r="CI7" s="7" t="s">
        <v>30</v>
      </c>
      <c r="CJ7" s="7">
        <v>0.0</v>
      </c>
      <c r="CK7" s="7" t="s">
        <v>65</v>
      </c>
      <c r="CL7" s="7">
        <v>1.0</v>
      </c>
      <c r="CM7" s="7" t="s">
        <v>16</v>
      </c>
      <c r="CN7" s="7" t="s">
        <v>66</v>
      </c>
      <c r="CO7" s="7" t="s">
        <v>58</v>
      </c>
      <c r="CP7" s="7" t="s">
        <v>67</v>
      </c>
      <c r="CW7" s="7">
        <v>0.0</v>
      </c>
      <c r="CX7" s="7" t="s">
        <v>28</v>
      </c>
      <c r="CY7" s="7" t="s">
        <v>50</v>
      </c>
      <c r="CZ7" s="7" t="s">
        <v>50</v>
      </c>
      <c r="DA7" s="7" t="s">
        <v>50</v>
      </c>
      <c r="DB7" s="7" t="s">
        <v>50</v>
      </c>
      <c r="DC7" s="7" t="s">
        <v>50</v>
      </c>
      <c r="DD7" s="7" t="s">
        <v>50</v>
      </c>
      <c r="DE7" s="7" t="s">
        <v>50</v>
      </c>
      <c r="DF7" s="7" t="s">
        <v>50</v>
      </c>
      <c r="DG7" s="7" t="s">
        <v>50</v>
      </c>
      <c r="DH7" s="7" t="s">
        <v>50</v>
      </c>
      <c r="DI7" s="7" t="s">
        <v>50</v>
      </c>
      <c r="DJ7" s="7" t="s">
        <v>50</v>
      </c>
      <c r="DK7" s="7" t="s">
        <v>50</v>
      </c>
      <c r="DL7" s="7" t="s">
        <v>50</v>
      </c>
      <c r="DM7" s="7" t="s">
        <v>50</v>
      </c>
      <c r="DN7" s="7" t="s">
        <v>50</v>
      </c>
      <c r="DO7" s="7" t="s">
        <v>50</v>
      </c>
      <c r="DP7" s="7" t="s">
        <v>50</v>
      </c>
      <c r="DQ7" s="7" t="s">
        <v>50</v>
      </c>
      <c r="DR7" s="7" t="s">
        <v>50</v>
      </c>
      <c r="DS7" s="7" t="s">
        <v>50</v>
      </c>
      <c r="DT7" s="7" t="s">
        <v>50</v>
      </c>
      <c r="DU7" s="7" t="s">
        <v>50</v>
      </c>
      <c r="DV7" s="7" t="s">
        <v>50</v>
      </c>
      <c r="DW7" s="7" t="s">
        <v>50</v>
      </c>
      <c r="DX7" s="7" t="s">
        <v>50</v>
      </c>
      <c r="DY7" s="7" t="s">
        <v>50</v>
      </c>
      <c r="DZ7" s="7" t="s">
        <v>50</v>
      </c>
      <c r="EA7" s="7" t="s">
        <v>50</v>
      </c>
      <c r="EB7" s="7" t="s">
        <v>50</v>
      </c>
      <c r="EC7" s="7" t="s">
        <v>50</v>
      </c>
      <c r="ED7" s="7" t="s">
        <v>50</v>
      </c>
      <c r="EE7" s="7" t="s">
        <v>50</v>
      </c>
      <c r="EF7" s="7" t="s">
        <v>50</v>
      </c>
      <c r="EG7" s="7" t="s">
        <v>50</v>
      </c>
      <c r="EH7" s="7" t="s">
        <v>50</v>
      </c>
      <c r="EI7" s="7" t="s">
        <v>50</v>
      </c>
      <c r="EJ7" s="7" t="s">
        <v>50</v>
      </c>
      <c r="EK7" s="7" t="s">
        <v>50</v>
      </c>
      <c r="EL7" s="7" t="s">
        <v>50</v>
      </c>
      <c r="EM7" s="7" t="s">
        <v>50</v>
      </c>
      <c r="EN7" s="7" t="s">
        <v>50</v>
      </c>
      <c r="EO7" s="7" t="s">
        <v>50</v>
      </c>
      <c r="EP7" s="7" t="s">
        <v>50</v>
      </c>
      <c r="EQ7" s="7" t="s">
        <v>50</v>
      </c>
      <c r="ER7" s="7" t="s">
        <v>50</v>
      </c>
      <c r="ES7" s="7" t="s">
        <v>50</v>
      </c>
      <c r="ET7" s="7" t="s">
        <v>50</v>
      </c>
      <c r="EU7" s="7" t="s">
        <v>50</v>
      </c>
      <c r="EV7" s="7" t="s">
        <v>50</v>
      </c>
      <c r="EW7" s="7" t="s">
        <v>50</v>
      </c>
      <c r="EX7" s="7" t="s">
        <v>50</v>
      </c>
      <c r="EY7" s="7" t="s">
        <v>50</v>
      </c>
      <c r="EZ7" s="7" t="s">
        <v>50</v>
      </c>
      <c r="FA7" s="7" t="s">
        <v>50</v>
      </c>
      <c r="FB7" s="7" t="s">
        <v>50</v>
      </c>
      <c r="FC7" s="7" t="s">
        <v>50</v>
      </c>
      <c r="FD7" s="7" t="s">
        <v>50</v>
      </c>
      <c r="FE7" s="7" t="s">
        <v>50</v>
      </c>
      <c r="FF7" s="7" t="s">
        <v>50</v>
      </c>
      <c r="FG7" s="7" t="s">
        <v>50</v>
      </c>
      <c r="FH7" s="7" t="s">
        <v>50</v>
      </c>
      <c r="FI7" s="7" t="s">
        <v>50</v>
      </c>
      <c r="FJ7" s="7" t="s">
        <v>50</v>
      </c>
      <c r="FK7" s="7" t="s">
        <v>50</v>
      </c>
      <c r="FL7" s="7" t="s">
        <v>50</v>
      </c>
      <c r="FM7" s="7" t="s">
        <v>50</v>
      </c>
      <c r="FN7" s="7" t="s">
        <v>50</v>
      </c>
      <c r="FO7" s="7" t="s">
        <v>50</v>
      </c>
      <c r="FP7" s="7" t="s">
        <v>50</v>
      </c>
      <c r="FQ7" s="7" t="s">
        <v>50</v>
      </c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</row>
    <row r="8" ht="15.75" customHeight="1">
      <c r="A8" s="6" t="s">
        <v>50</v>
      </c>
      <c r="B8" s="6" t="s">
        <v>68</v>
      </c>
      <c r="C8" s="6" t="s">
        <v>51</v>
      </c>
      <c r="D8" s="6"/>
      <c r="E8" s="6">
        <v>200.0</v>
      </c>
      <c r="F8" s="6"/>
      <c r="G8" s="6" t="s">
        <v>52</v>
      </c>
      <c r="H8" s="6">
        <v>4.0</v>
      </c>
      <c r="I8" s="6">
        <v>5.0</v>
      </c>
      <c r="J8" s="6">
        <v>1.0</v>
      </c>
      <c r="K8" s="6">
        <v>140.0</v>
      </c>
      <c r="L8" s="6">
        <v>140.0</v>
      </c>
      <c r="M8" s="6" t="s">
        <v>53</v>
      </c>
      <c r="N8" s="6" t="s">
        <v>54</v>
      </c>
      <c r="O8" s="6" t="s">
        <v>55</v>
      </c>
      <c r="Q8" s="7">
        <v>3.0</v>
      </c>
      <c r="R8" s="7">
        <v>0.0</v>
      </c>
      <c r="S8" s="7" t="s">
        <v>56</v>
      </c>
      <c r="T8" s="7">
        <v>0.0</v>
      </c>
      <c r="U8" s="7">
        <v>0.0</v>
      </c>
      <c r="V8" s="7" t="s">
        <v>57</v>
      </c>
      <c r="W8" s="7">
        <v>1.0</v>
      </c>
      <c r="X8" s="7">
        <v>0.0</v>
      </c>
      <c r="Y8" s="7" t="s">
        <v>50</v>
      </c>
      <c r="Z8" s="7" t="s">
        <v>24</v>
      </c>
      <c r="AA8" s="7" t="s">
        <v>16</v>
      </c>
      <c r="AB8" s="7">
        <v>1.0</v>
      </c>
      <c r="AD8" s="7" t="s">
        <v>58</v>
      </c>
      <c r="AE8" s="7">
        <v>200.0</v>
      </c>
      <c r="AF8" s="7" t="s">
        <v>50</v>
      </c>
      <c r="AH8" s="7" t="s">
        <v>59</v>
      </c>
      <c r="AI8" s="7">
        <v>1.0</v>
      </c>
      <c r="AJ8" s="7" t="s">
        <v>60</v>
      </c>
      <c r="AN8" s="7" t="b">
        <v>0</v>
      </c>
      <c r="AP8" s="7" t="b">
        <v>1</v>
      </c>
      <c r="AQ8" s="7" t="b">
        <v>0</v>
      </c>
      <c r="AR8" s="7" t="b">
        <v>1</v>
      </c>
      <c r="AS8" s="7">
        <v>0.0</v>
      </c>
      <c r="AT8" s="7">
        <v>27985.9843</v>
      </c>
      <c r="AU8" s="7">
        <v>27985.9843</v>
      </c>
      <c r="AW8" s="7">
        <v>0.0</v>
      </c>
      <c r="AX8" s="7">
        <v>0.0</v>
      </c>
      <c r="AY8" s="7" t="s">
        <v>61</v>
      </c>
      <c r="AZ8" s="7">
        <v>0.0</v>
      </c>
      <c r="BC8" s="7">
        <v>0.0</v>
      </c>
      <c r="BD8" s="7" t="s">
        <v>62</v>
      </c>
      <c r="BE8" s="7">
        <v>28000.0</v>
      </c>
      <c r="BF8" s="7">
        <v>28000.0</v>
      </c>
      <c r="BJ8" s="7">
        <v>200.0</v>
      </c>
      <c r="BK8" s="7">
        <v>0.0</v>
      </c>
      <c r="BL8" s="7" t="s">
        <v>50</v>
      </c>
      <c r="BM8" s="7" t="s">
        <v>24</v>
      </c>
      <c r="BO8" s="7" t="s">
        <v>69</v>
      </c>
      <c r="BP8" s="7">
        <v>0.0</v>
      </c>
      <c r="BQ8" s="7">
        <v>0.0</v>
      </c>
      <c r="BR8" s="7">
        <v>0.0157</v>
      </c>
      <c r="BS8" s="7" t="s">
        <v>63</v>
      </c>
      <c r="BT8" s="7" t="s">
        <v>16</v>
      </c>
      <c r="BU8" s="7">
        <v>3.0</v>
      </c>
      <c r="BV8" s="7">
        <v>0.0</v>
      </c>
      <c r="BW8" s="7">
        <v>14.0157</v>
      </c>
      <c r="BX8" s="7">
        <v>0.0</v>
      </c>
      <c r="CF8" s="7" t="s">
        <v>64</v>
      </c>
      <c r="CG8" s="7">
        <v>2.0</v>
      </c>
      <c r="CH8" s="7" t="s">
        <v>25</v>
      </c>
      <c r="CI8" s="7" t="s">
        <v>69</v>
      </c>
      <c r="CJ8" s="7">
        <v>0.0</v>
      </c>
      <c r="CK8" s="7" t="s">
        <v>65</v>
      </c>
      <c r="CL8" s="7">
        <v>1.0</v>
      </c>
      <c r="CM8" s="7" t="s">
        <v>16</v>
      </c>
      <c r="CN8" s="7" t="s">
        <v>66</v>
      </c>
      <c r="CO8" s="7" t="s">
        <v>58</v>
      </c>
      <c r="CP8" s="7" t="s">
        <v>67</v>
      </c>
      <c r="CW8" s="7">
        <v>0.0</v>
      </c>
      <c r="CX8" s="7" t="s">
        <v>28</v>
      </c>
      <c r="CY8" s="7" t="s">
        <v>50</v>
      </c>
      <c r="CZ8" s="7" t="s">
        <v>50</v>
      </c>
      <c r="DA8" s="7" t="s">
        <v>50</v>
      </c>
      <c r="DB8" s="7" t="s">
        <v>50</v>
      </c>
      <c r="DC8" s="7" t="s">
        <v>50</v>
      </c>
      <c r="DD8" s="7" t="s">
        <v>50</v>
      </c>
      <c r="DE8" s="7" t="s">
        <v>50</v>
      </c>
      <c r="DF8" s="7" t="s">
        <v>50</v>
      </c>
      <c r="DG8" s="7" t="s">
        <v>50</v>
      </c>
      <c r="DH8" s="7" t="s">
        <v>50</v>
      </c>
      <c r="DI8" s="7" t="s">
        <v>50</v>
      </c>
      <c r="DJ8" s="7" t="s">
        <v>50</v>
      </c>
      <c r="DK8" s="7" t="s">
        <v>50</v>
      </c>
      <c r="DL8" s="7" t="s">
        <v>50</v>
      </c>
      <c r="DM8" s="7" t="s">
        <v>50</v>
      </c>
      <c r="DN8" s="7" t="s">
        <v>50</v>
      </c>
      <c r="DO8" s="7" t="s">
        <v>50</v>
      </c>
      <c r="DP8" s="7" t="s">
        <v>50</v>
      </c>
      <c r="DQ8" s="7" t="s">
        <v>50</v>
      </c>
      <c r="DR8" s="7" t="s">
        <v>50</v>
      </c>
      <c r="DS8" s="7" t="s">
        <v>50</v>
      </c>
      <c r="DT8" s="7" t="s">
        <v>50</v>
      </c>
      <c r="DU8" s="7" t="s">
        <v>50</v>
      </c>
      <c r="DV8" s="7" t="s">
        <v>50</v>
      </c>
      <c r="DW8" s="7" t="s">
        <v>50</v>
      </c>
      <c r="DX8" s="7" t="s">
        <v>50</v>
      </c>
      <c r="DY8" s="7" t="s">
        <v>50</v>
      </c>
      <c r="DZ8" s="7" t="s">
        <v>50</v>
      </c>
      <c r="EA8" s="7" t="s">
        <v>50</v>
      </c>
      <c r="EB8" s="7" t="s">
        <v>50</v>
      </c>
      <c r="EC8" s="7" t="s">
        <v>50</v>
      </c>
      <c r="ED8" s="7" t="s">
        <v>50</v>
      </c>
      <c r="EE8" s="7" t="s">
        <v>50</v>
      </c>
      <c r="EF8" s="7" t="s">
        <v>50</v>
      </c>
      <c r="EG8" s="7" t="s">
        <v>50</v>
      </c>
      <c r="EH8" s="7" t="s">
        <v>50</v>
      </c>
      <c r="EI8" s="7" t="s">
        <v>50</v>
      </c>
      <c r="EJ8" s="7" t="s">
        <v>50</v>
      </c>
      <c r="EK8" s="7" t="s">
        <v>50</v>
      </c>
      <c r="EL8" s="7" t="s">
        <v>50</v>
      </c>
      <c r="EM8" s="7" t="s">
        <v>50</v>
      </c>
      <c r="EN8" s="7" t="s">
        <v>50</v>
      </c>
      <c r="EO8" s="7" t="s">
        <v>50</v>
      </c>
      <c r="EP8" s="7" t="s">
        <v>50</v>
      </c>
      <c r="EQ8" s="7" t="s">
        <v>50</v>
      </c>
      <c r="ER8" s="7" t="s">
        <v>50</v>
      </c>
      <c r="ES8" s="7" t="s">
        <v>50</v>
      </c>
      <c r="ET8" s="7" t="s">
        <v>50</v>
      </c>
      <c r="EU8" s="7" t="s">
        <v>50</v>
      </c>
      <c r="EV8" s="7" t="s">
        <v>50</v>
      </c>
      <c r="EW8" s="7" t="s">
        <v>50</v>
      </c>
      <c r="EX8" s="7" t="s">
        <v>50</v>
      </c>
      <c r="EY8" s="7" t="s">
        <v>50</v>
      </c>
      <c r="EZ8" s="7" t="s">
        <v>50</v>
      </c>
      <c r="FA8" s="7" t="s">
        <v>50</v>
      </c>
      <c r="FB8" s="7" t="s">
        <v>50</v>
      </c>
      <c r="FC8" s="7" t="s">
        <v>50</v>
      </c>
      <c r="FD8" s="7" t="s">
        <v>50</v>
      </c>
      <c r="FE8" s="7" t="s">
        <v>50</v>
      </c>
      <c r="FF8" s="7" t="s">
        <v>50</v>
      </c>
      <c r="FG8" s="7" t="s">
        <v>50</v>
      </c>
      <c r="FH8" s="7" t="s">
        <v>50</v>
      </c>
      <c r="FI8" s="7" t="s">
        <v>50</v>
      </c>
      <c r="FJ8" s="7" t="s">
        <v>50</v>
      </c>
      <c r="FK8" s="7" t="s">
        <v>50</v>
      </c>
      <c r="FL8" s="7" t="s">
        <v>50</v>
      </c>
      <c r="FM8" s="7" t="s">
        <v>50</v>
      </c>
      <c r="FN8" s="7" t="s">
        <v>50</v>
      </c>
      <c r="FO8" s="7" t="s">
        <v>50</v>
      </c>
      <c r="FP8" s="7" t="s">
        <v>50</v>
      </c>
      <c r="FQ8" s="7" t="s">
        <v>50</v>
      </c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