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reateDoneAwayOrder" sheetId="6" r:id="rId8"/>
    <sheet state="visible" name="PricingInput" sheetId="7" r:id="rId9"/>
    <sheet state="visible" name="FetchAccountPositions" sheetId="8" r:id="rId10"/>
    <sheet state="visible" name="AddCash" sheetId="9" r:id="rId11"/>
    <sheet state="visible" name="LockandUnlockGridData" sheetId="10" r:id="rId12"/>
    <sheet state="visible" name="RunRebalance" sheetId="11" r:id="rId13"/>
    <sheet state="visible" name="VerifyGridData" sheetId="12" r:id="rId14"/>
    <sheet state="visible" name="FetchAccountPositions1" sheetId="13" r:id="rId15"/>
    <sheet state="visible" name="AddCash1" sheetId="14" r:id="rId16"/>
    <sheet state="visible" name="LockandUnlockGridData1" sheetId="15" r:id="rId17"/>
    <sheet state="visible" name="VerifyGridData1" sheetId="16" r:id="rId18"/>
    <sheet state="visible" name="RunRebalance1" sheetId="17" r:id="rId19"/>
    <sheet state="visible" name="FetchAccountPositions2" sheetId="18" r:id="rId20"/>
    <sheet state="visible" name="AddCash2" sheetId="19" r:id="rId21"/>
    <sheet state="visible" name="LockandUnlockGridData2" sheetId="20" r:id="rId22"/>
    <sheet state="visible" name="RunRebalance2" sheetId="21" r:id="rId23"/>
    <sheet state="visible" name="VerifyGridData2" sheetId="22" r:id="rId24"/>
  </sheets>
  <definedNames/>
  <calcPr/>
</workbook>
</file>

<file path=xl/sharedStrings.xml><?xml version="1.0" encoding="utf-8"?>
<sst xmlns="http://schemas.openxmlformats.org/spreadsheetml/2006/main" count="304" uniqueCount="47">
  <si>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</si>
  <si>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</si>
  <si>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</si>
  <si>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</si>
  <si>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</si>
  <si>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</si>
  <si>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</si>
  <si>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</si>
  <si>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</si>
  <si>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</si>
  <si>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</si>
  <si>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</si>
  <si>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</si>
  <si>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</si>
  <si>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</si>
  <si>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</si>
  <si>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</si>
  <si>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</si>
  <si>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</si>
  <si>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Allocation3</t>
  </si>
  <si>
    <t>TradingTicket</t>
  </si>
  <si>
    <t>CreateDoneAwayOrder</t>
  </si>
  <si>
    <t>AAPL</t>
  </si>
  <si>
    <t>Buy</t>
  </si>
  <si>
    <t>MSFT</t>
  </si>
  <si>
    <t>Sell short</t>
  </si>
  <si>
    <t>GOOG</t>
  </si>
  <si>
    <t>PricingInput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</si>
  <si>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</si>
  <si>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</si>
  <si>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</si>
  <si>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</si>
  <si>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</si>
  <si>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</si>
  <si>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</si>
  <si>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</si>
  <si>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LockandUnlockGridData</t>
  </si>
  <si>
    <t>Equity</t>
  </si>
  <si>
    <t>Long</t>
  </si>
  <si>
    <t>Small Cap</t>
  </si>
  <si>
    <t>Information Technology</t>
  </si>
  <si>
    <t>Short</t>
  </si>
  <si>
    <t>Cash</t>
  </si>
  <si>
    <t>RunRebalance</t>
  </si>
  <si>
    <t>Nearest Round Off</t>
  </si>
  <si>
    <t>VerifyGridData</t>
  </si>
  <si>
    <t>Accruals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</si>
</sst>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8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readingOrder="0" vertical="bottom"/>
    </xf>
    <xf borderId="0" fillId="0" fontId="13" numFmtId="0" xfId="0" applyAlignment="1" applyFont="1">
      <alignment horizontal="left" readingOrder="0" vertical="bottom"/>
    </xf>
    <xf borderId="0" fillId="0" fontId="13" numFmtId="0" xfId="0" applyAlignment="1" applyFont="1">
      <alignment horizontal="right" readingOrder="0" vertical="bottom"/>
    </xf>
    <xf borderId="5" fillId="0" fontId="3" numFmtId="0" xfId="0" applyAlignment="1" applyBorder="1" applyFont="1">
      <alignment shrinkToFit="0" vertical="bottom" wrapText="0"/>
    </xf>
    <xf borderId="0" fillId="0" fontId="13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24" Type="http://schemas.openxmlformats.org/officeDocument/2006/relationships/worksheet" Target="worksheets/sheet22.xml"/><Relationship Id="rId12" Type="http://schemas.openxmlformats.org/officeDocument/2006/relationships/worksheet" Target="worksheets/sheet10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1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4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4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2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3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8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0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2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8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3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36.png"/><Relationship Id="rId2" Type="http://schemas.openxmlformats.org/officeDocument/2006/relationships/image" Target="../media/image37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IFERROR(__xludf.DUMMYFUNCTION("""COMPUTED_VALUE"""),"1g8wLprruaWRC_5pQcovqkv8ZCiMt5fspCOACibdkz7g")</f>
        <v>1g8wLprruaWRC_5pQcovqkv8ZCiMt5fspCOACibdkz7g</v>
      </c>
      <c r="D4" s="4" t="str">
        <f>IFERROR(__xludf.DUMMYFUNCTION("""COMPUTED_VALUE"""),"")</f>
        <v/>
      </c>
      <c r="E4" s="4" t="str">
        <f>IFERROR(__xludf.DUMMYFUNCTION("""COMPUTED_VALUE"""),"")</f>
        <v/>
      </c>
      <c r="F4" s="4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 t="str">
        <f>IFERROR(__xludf.DUMMYFUNCTION("""COMPUTED_VALUE"""),"")</f>
        <v/>
      </c>
      <c r="E5" s="4" t="str">
        <f>IFERROR(__xludf.DUMMYFUNCTION("""COMPUTED_VALUE"""),"")</f>
        <v/>
      </c>
      <c r="F5" s="4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 t="str">
        <f>IFERROR(__xludf.DUMMYFUNCTION("""COMPUTED_VALUE"""),"")</f>
        <v/>
      </c>
      <c r="E6" s="4" t="str">
        <f>IFERROR(__xludf.DUMMYFUNCTION("""COMPUTED_VALUE"""),"")</f>
        <v/>
      </c>
      <c r="F6" s="4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 t="str">
        <f>IFERROR(__xludf.DUMMYFUNCTION("""COMPUTED_VALUE"""),"")</f>
        <v/>
      </c>
      <c r="E7" s="4" t="str">
        <f>IFERROR(__xludf.DUMMYFUNCTION("""COMPUTED_VALUE"""),"")</f>
        <v/>
      </c>
      <c r="F7" s="4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 t="str">
        <f>IFERROR(__xludf.DUMMYFUNCTION("""COMPUTED_VALUE"""),"")</f>
        <v/>
      </c>
      <c r="E8" s="4" t="str">
        <f>IFERROR(__xludf.DUMMYFUNCTION("""COMPUTED_VALUE"""),"")</f>
        <v/>
      </c>
      <c r="F8" s="4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 t="str">
        <f>IFERROR(__xludf.DUMMYFUNCTION("""COMPUTED_VALUE"""),"")</f>
        <v/>
      </c>
      <c r="E9" s="4" t="str">
        <f>IFERROR(__xludf.DUMMYFUNCTION("""COMPUTED_VALUE"""),"")</f>
        <v/>
      </c>
      <c r="F9" s="4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 t="str">
        <f>IFERROR(__xludf.DUMMYFUNCTION("""COMPUTED_VALUE"""),"")</f>
        <v/>
      </c>
      <c r="E10" s="4" t="str">
        <f>IFERROR(__xludf.DUMMYFUNCTION("""COMPUTED_VALUE"""),"")</f>
        <v/>
      </c>
      <c r="F10" s="4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 t="str">
        <f>IFERROR(__xludf.DUMMYFUNCTION("""COMPUTED_VALUE"""),"")</f>
        <v/>
      </c>
      <c r="E11" s="4" t="str">
        <f>IFERROR(__xludf.DUMMYFUNCTION("""COMPUTED_VALUE"""),"")</f>
        <v/>
      </c>
      <c r="F11" s="4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 t="str">
        <f>IFERROR(__xludf.DUMMYFUNCTION("""COMPUTED_VALUE"""),"")</f>
        <v/>
      </c>
      <c r="E12" s="4" t="str">
        <f>IFERROR(__xludf.DUMMYFUNCTION("""COMPUTED_VALUE"""),"")</f>
        <v/>
      </c>
      <c r="F12" s="4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 t="str">
        <f>IFERROR(__xludf.DUMMYFUNCTION("""COMPUTED_VALUE"""),"")</f>
        <v/>
      </c>
      <c r="E13" s="4" t="str">
        <f>IFERROR(__xludf.DUMMYFUNCTION("""COMPUTED_VALUE"""),"")</f>
        <v/>
      </c>
      <c r="F13" s="4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 t="str">
        <f>IFERROR(__xludf.DUMMYFUNCTION("""COMPUTED_VALUE"""),"")</f>
        <v/>
      </c>
      <c r="E14" s="4" t="str">
        <f>IFERROR(__xludf.DUMMYFUNCTION("""COMPUTED_VALUE"""),"")</f>
        <v/>
      </c>
      <c r="F14" s="4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 t="str">
        <f>IFERROR(__xludf.DUMMYFUNCTION("""COMPUTED_VALUE"""),"")</f>
        <v/>
      </c>
      <c r="E15" s="4" t="str">
        <f>IFERROR(__xludf.DUMMYFUNCTION("""COMPUTED_VALUE"""),"")</f>
        <v/>
      </c>
      <c r="F15" s="4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 t="str">
        <f>IFERROR(__xludf.DUMMYFUNCTION("""COMPUTED_VALUE"""),"")</f>
        <v/>
      </c>
      <c r="E16" s="4" t="str">
        <f>IFERROR(__xludf.DUMMYFUNCTION("""COMPUTED_VALUE"""),"")</f>
        <v/>
      </c>
      <c r="F16" s="4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 t="str">
        <f>IFERROR(__xludf.DUMMYFUNCTION("""COMPUTED_VALUE"""),"")</f>
        <v/>
      </c>
      <c r="E17" s="4" t="str">
        <f>IFERROR(__xludf.DUMMYFUNCTION("""COMPUTED_VALUE"""),"")</f>
        <v/>
      </c>
      <c r="F17" s="4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 t="str">
        <f>IFERROR(__xludf.DUMMYFUNCTION("""COMPUTED_VALUE"""),"")</f>
        <v/>
      </c>
      <c r="E18" s="4" t="str">
        <f>IFERROR(__xludf.DUMMYFUNCTION("""COMPUTED_VALUE"""),"")</f>
        <v/>
      </c>
      <c r="F18" s="4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 t="str">
        <f>IFERROR(__xludf.DUMMYFUNCTION("""COMPUTED_VALUE"""),"")</f>
        <v/>
      </c>
      <c r="E19" s="4" t="str">
        <f>IFERROR(__xludf.DUMMYFUNCTION("""COMPUTED_VALUE"""),"")</f>
        <v/>
      </c>
      <c r="F19" s="4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 t="str">
        <f>IFERROR(__xludf.DUMMYFUNCTION("""COMPUTED_VALUE"""),"")</f>
        <v/>
      </c>
      <c r="E20" s="4" t="str">
        <f>IFERROR(__xludf.DUMMYFUNCTION("""COMPUTED_VALUE"""),"")</f>
        <v/>
      </c>
      <c r="F20" s="4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 t="str">
        <f>IFERROR(__xludf.DUMMYFUNCTION("""COMPUTED_VALUE"""),"")</f>
        <v/>
      </c>
      <c r="E21" s="4" t="str">
        <f>IFERROR(__xludf.DUMMYFUNCTION("""COMPUTED_VALUE"""),"")</f>
        <v/>
      </c>
      <c r="F21" s="4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 t="str">
        <f>IFERROR(__xludf.DUMMYFUNCTION("""COMPUTED_VALUE"""),"")</f>
        <v/>
      </c>
      <c r="E22" s="4" t="str">
        <f>IFERROR(__xludf.DUMMYFUNCTION("""COMPUTED_VALUE"""),"")</f>
        <v/>
      </c>
      <c r="F22" s="4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 t="str">
        <f>IFERROR(__xludf.DUMMYFUNCTION("""COMPUTED_VALUE"""),"")</f>
        <v/>
      </c>
      <c r="E23" s="4" t="str">
        <f>IFERROR(__xludf.DUMMYFUNCTION("""COMPUTED_VALUE"""),"")</f>
        <v/>
      </c>
      <c r="F23" s="4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 t="str">
        <f>IFERROR(__xludf.DUMMYFUNCTION("""COMPUTED_VALUE"""),"")</f>
        <v/>
      </c>
      <c r="E24" s="4" t="str">
        <f>IFERROR(__xludf.DUMMYFUNCTION("""COMPUTED_VALUE"""),"")</f>
        <v/>
      </c>
      <c r="F24" s="4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 t="str">
        <f>IFERROR(__xludf.DUMMYFUNCTION("""COMPUTED_VALUE"""),"")</f>
        <v/>
      </c>
      <c r="E25" s="4" t="str">
        <f>IFERROR(__xludf.DUMMYFUNCTION("""COMPUTED_VALUE"""),"")</f>
        <v/>
      </c>
      <c r="F25" s="4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 t="str">
        <f>IFERROR(__xludf.DUMMYFUNCTION("""COMPUTED_VALUE"""),"")</f>
        <v/>
      </c>
      <c r="E26" s="4" t="str">
        <f>IFERROR(__xludf.DUMMYFUNCTION("""COMPUTED_VALUE"""),"")</f>
        <v/>
      </c>
      <c r="F26" s="4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 t="str">
        <f>IFERROR(__xludf.DUMMYFUNCTION("""COMPUTED_VALUE"""),"")</f>
        <v/>
      </c>
      <c r="E27" s="4" t="str">
        <f>IFERROR(__xludf.DUMMYFUNCTION("""COMPUTED_VALUE"""),"")</f>
        <v/>
      </c>
      <c r="F27" s="4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 t="str">
        <f>IFERROR(__xludf.DUMMYFUNCTION("""COMPUTED_VALUE"""),"")</f>
        <v/>
      </c>
      <c r="E28" s="4" t="str">
        <f>IFERROR(__xludf.DUMMYFUNCTION("""COMPUTED_VALUE"""),"")</f>
        <v/>
      </c>
      <c r="F28" s="4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 t="str">
        <f>IFERROR(__xludf.DUMMYFUNCTION("""COMPUTED_VALUE"""),"")</f>
        <v/>
      </c>
      <c r="E29" s="4" t="str">
        <f>IFERROR(__xludf.DUMMYFUNCTION("""COMPUTED_VALUE"""),"")</f>
        <v/>
      </c>
      <c r="F29" s="4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 t="str">
        <f>IFERROR(__xludf.DUMMYFUNCTION("""COMPUTED_VALUE"""),"")</f>
        <v/>
      </c>
      <c r="E30" s="4" t="str">
        <f>IFERROR(__xludf.DUMMYFUNCTION("""COMPUTED_VALUE"""),"")</f>
        <v/>
      </c>
      <c r="F30" s="4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 t="str">
        <f>IFERROR(__xludf.DUMMYFUNCTION("""COMPUTED_VALUE"""),"")</f>
        <v/>
      </c>
      <c r="E31" s="4" t="str">
        <f>IFERROR(__xludf.DUMMYFUNCTION("""COMPUTED_VALUE"""),"")</f>
        <v/>
      </c>
      <c r="F31" s="4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 t="str">
        <f>IFERROR(__xludf.DUMMYFUNCTION("""COMPUTED_VALUE"""),"")</f>
        <v/>
      </c>
      <c r="E32" s="4" t="str">
        <f>IFERROR(__xludf.DUMMYFUNCTION("""COMPUTED_VALUE"""),"")</f>
        <v/>
      </c>
      <c r="F32" s="4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 t="str">
        <f>IFERROR(__xludf.DUMMYFUNCTION("""COMPUTED_VALUE"""),"")</f>
        <v/>
      </c>
      <c r="E33" s="4" t="str">
        <f>IFERROR(__xludf.DUMMYFUNCTION("""COMPUTED_VALUE"""),"")</f>
        <v/>
      </c>
      <c r="F33" s="4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IFERROR(__xludf.DUMMYFUNCTION("""COMPUTED_VALUE"""),"OpenClosingFromPM")</f>
        <v>OpenClosingFromPM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IFERROR(__xludf.DUMMYFUNCTION("""COMPUTED_VALUE"""),"OpenCorporateActionFromPM")</f>
        <v>OpenCorporateActionFromPM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IFERROR(__xludf.DUMMYFUNCTION("""COMPUTED_VALUE"""),"OpenDailyValuationFromPM")</f>
        <v>OpenDailyValuationFromPM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IFERROR(__xludf.DUMMYFUNCTION("""COMPUTED_VALUE"""),"ClosePositionFromPM")</f>
        <v>ClosePositionFromPM</v>
      </c>
      <c r="C320" t="str">
        <f>IFERROR(__xludf.DUMMYFUNCTION("""COMPUTED_VALUE"""),"1-P8y2jWa8-TgjIAgysm8LiFOFNCawLK6ehtNf8n3g0o")</f>
        <v>1-P8y2jWa8-TgjIAgysm8LiFOFNCawLK6ehtNf8n3g0o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IFERROR(__xludf.DUMMYFUNCTION("""COMPUTED_VALUE"""),"ShowSummaryToolFromPM")</f>
        <v>ShowSummaryToolFromPM</v>
      </c>
      <c r="C321" t="str">
        <f>IFERROR(__xludf.DUMMYFUNCTION("""COMPUTED_VALUE"""),"undefined")</f>
        <v>undefined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IFERROR(__xludf.DUMMYFUNCTION("""COMPUTED_VALUE"""),"HideSummaryToolFromPM")</f>
        <v>HideSummaryToolFromPM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IFERROR(__xludf.DUMMYFUNCTION("""COMPUTED_VALUE"""),"CloseAccountPositionFromPM")</f>
        <v>CloseAccountPositionFromPM</v>
      </c>
      <c r="C323" t="str">
        <f>IFERROR(__xludf.DUMMYFUNCTION("""COMPUTED_VALUE"""),"1r4mdKH6xHBGXly0xX_3kfVZnbgFRt6h09CKzb6B2j30")</f>
        <v>1r4mdKH6xHBGXly0xX_3kfVZnbgFRt6h09CKzb6B2j30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IFERROR(__xludf.DUMMYFUNCTION("""COMPUTED_VALUE"""),"CloseSelectedTaxlotsFromPM")</f>
        <v>CloseSelectedTaxlotsFromPM</v>
      </c>
      <c r="C324" t="str">
        <f>IFERROR(__xludf.DUMMYFUNCTION("""COMPUTED_VALUE"""),"1bepmvkmXtLL4UpGLcjeYXrovfZi8iUwi1A3os0v1Uj0")</f>
        <v>1bepmvkmXtLL4UpGLcjeYXrovfZi8iUwi1A3os0v1Uj0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IFERROR(__xludf.DUMMYFUNCTION("""COMPUTED_VALUE"""),"ExpandCollapsePM")</f>
        <v>ExpandCollapsePM</v>
      </c>
      <c r="C325" t="str">
        <f>IFERROR(__xludf.DUMMYFUNCTION("""COMPUTED_VALUE"""),"undefined")</f>
        <v>undefined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IFERROR(__xludf.DUMMYFUNCTION("""COMPUTED_VALUE"""),"AddCustomViewPM")</f>
        <v>AddCustomViewPM</v>
      </c>
      <c r="C326" t="str">
        <f>IFERROR(__xludf.DUMMYFUNCTION("""COMPUTED_VALUE"""),"1NbdvoXzq9bLTUkCX2_gVxCtjCR2kBldnGGw-z1Eim8I")</f>
        <v>1NbdvoXzq9bLTUkCX2_gVxCtjCR2kBldnGGw-z1Eim8I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IFERROR(__xludf.DUMMYFUNCTION("""COMPUTED_VALUE"""),"AddCustomViewRightClickPM")</f>
        <v>AddCustomViewRightClickPM</v>
      </c>
      <c r="C327" t="str">
        <f>IFERROR(__xludf.DUMMYFUNCTION("""COMPUTED_VALUE"""),"1Q7iif6wWXqCIfSrgSBzoU30gZbMUkNAMhcF68qLMvps")</f>
        <v>1Q7iif6wWXqCIfSrgSBzoU30gZbMUkNAMhcF68qLMvps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IFERROR(__xludf.DUMMYFUNCTION("""COMPUTED_VALUE"""),"RenameCustomViewPM")</f>
        <v>RenameCustomViewPM</v>
      </c>
      <c r="C328" t="str">
        <f>IFERROR(__xludf.DUMMYFUNCTION("""COMPUTED_VALUE"""),"11-lGY3oTzf5kpgkJM4lHHX32AUcd6BpZ2CU2UsLPpAE")</f>
        <v>11-lGY3oTzf5kpgkJM4lHHX32AUcd6BpZ2CU2UsLPpAE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IFERROR(__xludf.DUMMYFUNCTION("""COMPUTED_VALUE"""),"DeleteCustomViewPM")</f>
        <v>DeleteCustomViewPM</v>
      </c>
      <c r="C329" t="str">
        <f>IFERROR(__xludf.DUMMYFUNCTION("""COMPUTED_VALUE"""),"1X-gnstY40ismguHxChNKmthJ1G80Q49D37OBmzHA5BM")</f>
        <v>1X-gnstY40ismguHxChNKmthJ1G80Q49D37OBmzHA5BM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IFERROR(__xludf.DUMMYFUNCTION("""COMPUTED_VALUE"""),"Closing")</f>
        <v>Closing</v>
      </c>
      <c r="B330" t="str">
        <f>IFERROR(__xludf.DUMMYFUNCTION("""COMPUTED_VALUE"""),"SetClosingPreference")</f>
        <v>SetClosingPreference</v>
      </c>
      <c r="C330" t="str">
        <f>IFERROR(__xludf.DUMMYFUNCTION("""COMPUTED_VALUE"""),"1SBWCGC1qCDElP5xT215lxXFECJmufBKtZhmLiF-uDlE")</f>
        <v>1SBWCGC1qCDElP5xT215lxXFECJmufBKtZhmLiF-uDlE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IFERROR(__xludf.DUMMYFUNCTION("""COMPUTED_VALUE"""),"CreateTransaction")</f>
        <v>CreateTransaction</v>
      </c>
      <c r="B331" t="str">
        <f>IFERROR(__xludf.DUMMYFUNCTION("""COMPUTED_VALUE"""),"SaveTransaction")</f>
        <v>SaveTransaction</v>
      </c>
      <c r="C331" t="str">
        <f>IFERROR(__xludf.DUMMYFUNCTION("""COMPUTED_VALUE"""),"undefined")</f>
        <v>undefined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IFERROR(__xludf.DUMMYFUNCTION("""COMPUTED_VALUE"""),"EditUnallocatedGrid")</f>
        <v>EditUnallocatedGrid</v>
      </c>
      <c r="C332" t="str">
        <f>IFERROR(__xludf.DUMMYFUNCTION("""COMPUTED_VALUE"""),"13ZNMuqKcSpAW_MsR69_GoKBz_beluHfFVyViDpUnCkc")</f>
        <v>13ZNMuqKcSpAW_MsR69_GoKBz_beluHfFVyViDpUnCkc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IFERROR(__xludf.DUMMYFUNCTION("""COMPUTED_VALUE"""),"EditAllocatedGrid")</f>
        <v>EditAllocatedGrid</v>
      </c>
      <c r="C333" t="str">
        <f>IFERROR(__xludf.DUMMYFUNCTION("""COMPUTED_VALUE"""),"1Qe_MB72ABGFy_tC-AtAJSBoOqNECmDnuHW2p--em0xc")</f>
        <v>1Qe_MB72ABGFy_tC-AtAJSBoOqNECmDnuHW2p--em0xc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IFERROR(__xludf.DUMMYFUNCTION("""COMPUTED_VALUE"""),"SetPTTPreference")</f>
        <v>SetPTTPreference</v>
      </c>
      <c r="C334" t="str">
        <f>IFERROR(__xludf.DUMMYFUNCTION("""COMPUTED_VALUE"""),"1ldeUCvJu8gA2hZDe6NneM5_zHpORs3VIMmFqtZK_zTo")</f>
        <v>1ldeUCvJu8gA2hZDe6NneM5_zHpORs3VIMmFqtZK_zTo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IFERROR(__xludf.DUMMYFUNCTION("""COMPUTED_VALUE"""),"SetLongShortPTTPreference")</f>
        <v>SetLongShortPTTPreference</v>
      </c>
      <c r="C335" t="str">
        <f>IFERROR(__xludf.DUMMYFUNCTION("""COMPUTED_VALUE"""),"1K6pZbNryz6dksItb7aYYpqHUV4sWPVRsnYGiEZCb6BY")</f>
        <v>1K6pZbNryz6dksItb7aYYpqHUV4sWPVRsnYGiEZCb6BY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IFERROR(__xludf.DUMMYFUNCTION("""COMPUTED_VALUE"""),"TradingTicket")</f>
        <v>TradingTicket</v>
      </c>
      <c r="B336" t="str">
        <f>IFERROR(__xludf.DUMMYFUNCTION("""COMPUTED_VALUE"""),"VerifyTT")</f>
        <v>VerifyTT</v>
      </c>
      <c r="C336" t="str">
        <f>IFERROR(__xludf.DUMMYFUNCTION("""COMPUTED_VALUE"""),"1bKhXEya1wodNYLnY1-QcHI_XG3UWZaHQ81HV-TN-5Kc")</f>
        <v>1bKhXEya1wodNYLnY1-QcHI_XG3UWZaHQ81HV-TN-5Kc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IFERROR(__xludf.DUMMYFUNCTION("""COMPUTED_VALUE"""),"SaveLayoutAllocatedGrid")</f>
        <v>SaveLayoutAllocatedGrid</v>
      </c>
      <c r="C337" t="str">
        <f>IFERROR(__xludf.DUMMYFUNCTION("""COMPUTED_VALUE"""),"1aTyf1QMUlY1sd90ATn_Ik7tSnqoJNJ2ORUTgE2CcKVc")</f>
        <v>1aTyf1QMUlY1sd90ATn_Ik7tSnqoJNJ2ORUTgE2CcKVc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IFERROR(__xludf.DUMMYFUNCTION("""COMPUTED_VALUE"""),"SaveLayoutUnallocatedGrid")</f>
        <v>SaveLayoutUnallocatedGrid</v>
      </c>
      <c r="C338" t="str">
        <f>IFERROR(__xludf.DUMMYFUNCTION("""COMPUTED_VALUE"""),"14EKTplxgrSnZ3LrmPGSsdvC3A1Cn7Gl3iYaLoliVy5c")</f>
        <v>14EKTplxgrSnZ3LrmPGSsdvC3A1Cn7Gl3iYaLoliVy5c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IFERROR(__xludf.DUMMYFUNCTION("""COMPUTED_VALUE"""),"SaveLayoutAllocationUI")</f>
        <v>SaveLayoutAllocationUI</v>
      </c>
      <c r="C339" t="str">
        <f>IFERROR(__xludf.DUMMYFUNCTION("""COMPUTED_VALUE"""),"1w55ijS0jNdggXMegSAddndubbfCazPcYQ4T-iQXE9-8")</f>
        <v>1w55ijS0jNdggXMegSAddndubbfCazPcYQ4T-iQXE9-8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IFERROR(__xludf.DUMMYFUNCTION("""COMPUTED_VALUE"""),"ClearFiltersAllocatedGrid")</f>
        <v>ClearFiltersAllocatedGrid</v>
      </c>
      <c r="C340" t="str">
        <f>IFERROR(__xludf.DUMMYFUNCTION("""COMPUTED_VALUE"""),"undefined")</f>
        <v>undefined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IFERROR(__xludf.DUMMYFUNCTION("""COMPUTED_VALUE"""),"ClearFiltersUnallocatedGrid")</f>
        <v>ClearFiltersUnallocatedGrid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IFERROR(__xludf.DUMMYFUNCTION("""COMPUTED_VALUE"""),"VerifyLayoutAllocatedGrid")</f>
        <v>VerifyLayoutAllocatedGrid</v>
      </c>
      <c r="C342" t="str">
        <f>IFERROR(__xludf.DUMMYFUNCTION("""COMPUTED_VALUE"""),"1Dm60vGCrArH03PZJNSUJF2XSLE8bTZId3GMfDSiNsgE")</f>
        <v>1Dm60vGCrArH03PZJNSUJF2XSLE8bTZId3GMfDSiNsgE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IFERROR(__xludf.DUMMYFUNCTION("""COMPUTED_VALUE"""),"VerifyLayoutUnallocatedGrid")</f>
        <v>VerifyLayoutUnallocatedGrid</v>
      </c>
      <c r="C343" t="str">
        <f>IFERROR(__xludf.DUMMYFUNCTION("""COMPUTED_VALUE"""),"13oH5Ytu1wVsxt5b13YVUvBPplFK0NO_TK4bRhOZWxN8")</f>
        <v>13oH5Ytu1wVsxt5b13YVUvBPplFK0NO_TK4bRhOZWxN8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IFERROR(__xludf.DUMMYFUNCTION("""COMPUTED_VALUE"""),"UpdateForexConversionMonthly")</f>
        <v>UpdateForexConversionMonthly</v>
      </c>
      <c r="C344" t="str">
        <f>IFERROR(__xludf.DUMMYFUNCTION("""COMPUTED_VALUE"""),"1TZUZ5-nBzkzBtbjFUoa_EB6_eDzdYjS0ibH5XGYYwAw")</f>
        <v>1TZUZ5-nBzkzBtbjFUoa_EB6_eDzdYjS0ibH5XGYYwAw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IFERROR(__xludf.DUMMYFUNCTION("""COMPUTED_VALUE"""),"GeneralLedger")</f>
        <v>GeneralLedger</v>
      </c>
      <c r="B345" t="str">
        <f>IFERROR(__xludf.DUMMYFUNCTION("""COMPUTED_VALUE"""),"SaveTransaction")</f>
        <v>SaveTransaction</v>
      </c>
      <c r="C345" t="str">
        <f>IFERROR(__xludf.DUMMYFUNCTION("""COMPUTED_VALUE"""),"undefined")</f>
        <v>undefined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IFERROR(__xludf.DUMMYFUNCTION("""COMPUTED_VALUE"""),"UpdateMarkPriceMonthly")</f>
        <v>UpdateMarkPriceMonthly</v>
      </c>
      <c r="C346" t="str">
        <f>IFERROR(__xludf.DUMMYFUNCTION("""COMPUTED_VALUE"""),"1CAqtQbVxh4NllyrMXscZd9EiKnaMKSW-_a9zZtK2ULI")</f>
        <v>1CAqtQbVxh4NllyrMXscZd9EiKnaMKSW-_a9zZtK2ULI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IFERROR(__xludf.DUMMYFUNCTION("""COMPUTED_VALUE"""),"CleanUp")</f>
        <v>CleanUp</v>
      </c>
      <c r="C347" t="str">
        <f>IFERROR(__xludf.DUMMYFUNCTION("""COMPUTED_VALUE"""),"141237jvZTCMRUMwfe0LXJI6_OVqTlCniHe4xfwketxs")</f>
        <v>141237jvZTCMRUMwfe0LXJI6_OVqTlCniHe4xfwketxs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IFERROR(__xludf.DUMMYFUNCTION("""COMPUTED_VALUE"""),"CheckAllocatedTaxlots")</f>
        <v>CheckAllocatedTaxlots</v>
      </c>
      <c r="C348" t="str">
        <f>IFERROR(__xludf.DUMMYFUNCTION("""COMPUTED_VALUE"""),"1ly27YrdiNWaAup2LCqtlbPCuNU2qHnDVGbGX6s6cAJM")</f>
        <v>1ly27YrdiNWaAup2LCqtlbPCuNU2qHnDVGbGX6s6cAJM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IFERROR(__xludf.DUMMYFUNCTION("""COMPUTED_VALUE"""),"Closing")</f>
        <v>Closing</v>
      </c>
      <c r="B349" t="str">
        <f>IFERROR(__xludf.DUMMYFUNCTION("""COMPUTED_VALUE"""),"EditTradeUnexpiredUnsettled")</f>
        <v>EditTradeUnexpiredUnsettled</v>
      </c>
      <c r="C349" t="str">
        <f>IFERROR(__xludf.DUMMYFUNCTION("""COMPUTED_VALUE"""),"1gjlTvz7BOfWSUwRY25-5BkROLuD55WxDrFeD31t9BlQ")</f>
        <v>1gjlTvz7BOfWSUwRY25-5BkROLuD55WxDrFeD31t9BlQ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IFERROR(__xludf.DUMMYFUNCTION("""COMPUTED_VALUE"""),"ThirdParty")</f>
        <v>ThirdParty</v>
      </c>
      <c r="B350" t="str">
        <f>IFERROR(__xludf.DUMMYFUNCTION("""COMPUTED_VALUE"""),"VerifyThirdPartyView")</f>
        <v>VerifyThirdPartyView</v>
      </c>
      <c r="C350" t="str">
        <f>IFERROR(__xludf.DUMMYFUNCTION("""COMPUTED_VALUE"""),"1OPgUZqNYhV3KEPmPCahj5p6WvTvcu6yt-IilVEoYdck")</f>
        <v>1OPgUZqNYhV3KEPmPCahj5p6WvTvcu6yt-IilVEoYdck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IFERROR(__xludf.DUMMYFUNCTION("""COMPUTED_VALUE"""),"CheckCompliance")</f>
        <v>CheckCompliance</v>
      </c>
      <c r="C351" t="str">
        <f>IFERROR(__xludf.DUMMYFUNCTION("""COMPUTED_VALUE"""),"1rHjLXpZjBLQM6QWnpXPgAllc-YEEgN3ft01yzOc3Z_k")</f>
        <v>1rHjLXpZjBLQM6QWnpXPgAllc-YEEgN3ft01yzOc3Z_k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IFERROR(__xludf.DUMMYFUNCTION("""COMPUTED_VALUE"""),"VerifyAccountDivisorWindow")</f>
        <v>VerifyAccountDivisorWindow</v>
      </c>
      <c r="C352" t="str">
        <f>IFERROR(__xludf.DUMMYFUNCTION("""COMPUTED_VALUE"""),"1o2I6wY7Q2ZhQmtkXdRpqlxQVJ8IApk0IcIxM0anIe4E")</f>
        <v>1o2I6wY7Q2ZhQmtkXdRpqlxQVJ8IApk0IcIxM0anIe4E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IFERROR(__xludf.DUMMYFUNCTION("""COMPUTED_VALUE"""),"VerifyAccountSymbolDivisorWindow")</f>
        <v>VerifyAccountSymbolDivisorWindow</v>
      </c>
      <c r="C353" t="str">
        <f>IFERROR(__xludf.DUMMYFUNCTION("""COMPUTED_VALUE"""),"1ADKVvtlUcDE2a_GFsrcnF3qLRtLLDQ1rEJbzQws78i8")</f>
        <v>1ADKVvtlUcDE2a_GFsrcnF3qLRtLLDQ1rEJbzQws78i8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IFERROR(__xludf.DUMMYFUNCTION("""COMPUTED_VALUE"""),"VerifyAggregationAccountSymbolWithNav")</f>
        <v>VerifyAggregationAccountSymbolWithNav</v>
      </c>
      <c r="C354" t="str">
        <f>IFERROR(__xludf.DUMMYFUNCTION("""COMPUTED_VALUE"""),"1lnfZcSlUOa9o7gHKbVZNk25z7jkFzrWO3HCg1iRDEhg")</f>
        <v>1lnfZcSlUOa9o7gHKbVZNk25z7jkFzrWO3HCg1iRDEhg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IFERROR(__xludf.DUMMYFUNCTION("""COMPUTED_VALUE"""),"VerifyAggregationAccountWithNav")</f>
        <v>VerifyAggregationAccountWithNav</v>
      </c>
      <c r="C355" t="str">
        <f>IFERROR(__xludf.DUMMYFUNCTION("""COMPUTED_VALUE"""),"1bVQ8hXYcI8QA4dwbvx9VW307agnDiO6msA8_55Z9Ho4")</f>
        <v>1bVQ8hXYcI8QA4dwbvx9VW307agnDiO6msA8_55Z9Ho4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IFERROR(__xludf.DUMMYFUNCTION("""COMPUTED_VALUE"""),"VerifyAggregationMasterFundSymbolWithNav")</f>
        <v>VerifyAggregationMasterFundSymbolWithNav</v>
      </c>
      <c r="C356" t="str">
        <f>IFERROR(__xludf.DUMMYFUNCTION("""COMPUTED_VALUE"""),"149nnw4Cwl1HHouYCXdqP9R7Mx98I_xiisiVCYk7UJkk")</f>
        <v>149nnw4Cwl1HHouYCXdqP9R7Mx98I_xiisiVCYk7UJkk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IFERROR(__xludf.DUMMYFUNCTION("""COMPUTED_VALUE"""),"VerifyAggregationMasterFundUnderlyingSymbolWithNav")</f>
        <v>VerifyAggregationMasterFundUnderlyingSymbolWithNav</v>
      </c>
      <c r="C357" t="str">
        <f>IFERROR(__xludf.DUMMYFUNCTION("""COMPUTED_VALUE"""),"14DzH-ZDYwWbCfXuBzG8v04Qb1mQp1of2O6GLQXcWMsQ")</f>
        <v>14DzH-ZDYwWbCfXuBzG8v04Qb1mQp1of2O6GLQXcWMsQ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IFERROR(__xludf.DUMMYFUNCTION("""COMPUTED_VALUE"""),"VerifyAggregationMasterFundWithNav")</f>
        <v>VerifyAggregationMasterFundWithNav</v>
      </c>
      <c r="C358" t="str">
        <f>IFERROR(__xludf.DUMMYFUNCTION("""COMPUTED_VALUE"""),"1zsjoqOkIN3nYkIIxRHJMhmyX6J_C62DE3Oo2y7BGdVs")</f>
        <v>1zsjoqOkIN3nYkIIxRHJMhmyX6J_C62DE3Oo2y7BGdVs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IFERROR(__xludf.DUMMYFUNCTION("""COMPUTED_VALUE"""),"VerifyAggregationSectorWithNav")</f>
        <v>VerifyAggregationSectorWithNav</v>
      </c>
      <c r="C359" t="str">
        <f>IFERROR(__xludf.DUMMYFUNCTION("""COMPUTED_VALUE"""),"1PwtsUw7M1uKb7OUFflhtzsANVeSCTOQuOmvDpORnIho")</f>
        <v>1PwtsUw7M1uKb7OUFflhtzsANVeSCTOQuOmvDpORnIho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IFERROR(__xludf.DUMMYFUNCTION("""COMPUTED_VALUE"""),"VerifyAggregationUnderlyingSymbolWithNav")</f>
        <v>VerifyAggregationUnderlyingSymbolWithNav</v>
      </c>
      <c r="C360" t="str">
        <f>IFERROR(__xludf.DUMMYFUNCTION("""COMPUTED_VALUE"""),"176-KXks3ZB5ZHuKBMwUMw29_Cv2044sZyo8Km9DSXhY")</f>
        <v>176-KXks3ZB5ZHuKBMwUMw29_Cv2044sZyo8Km9DSXhY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IFERROR(__xludf.DUMMYFUNCTION("""COMPUTED_VALUE"""),"VerifyAuecWindow")</f>
        <v>VerifyAuecWindow</v>
      </c>
      <c r="C361" t="str">
        <f>IFERROR(__xludf.DUMMYFUNCTION("""COMPUTED_VALUE"""),"16b_2-FgoStwuBkNr_JjCAyklRXIuqbbe3yokDxprokc")</f>
        <v>16b_2-FgoStwuBkNr_JjCAyklRXIuqbbe3yokDxprokc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IFERROR(__xludf.DUMMYFUNCTION("""COMPUTED_VALUE"""),"VerifyBetaWindow")</f>
        <v>VerifyBetaWindow</v>
      </c>
      <c r="C362" t="str">
        <f>IFERROR(__xludf.DUMMYFUNCTION("""COMPUTED_VALUE"""),"1fbKcjC8gLwYcrNAXPL4_1obtoTCCX0MmPEKkR5s582U")</f>
        <v>1fbKcjC8gLwYcrNAXPL4_1obtoTCCX0MmPEKkR5s582U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IFERROR(__xludf.DUMMYFUNCTION("""COMPUTED_VALUE"""),"VerifyCustomSymbolDataWindow")</f>
        <v>VerifyCustomSymbolDataWindow</v>
      </c>
      <c r="C363" t="str">
        <f>IFERROR(__xludf.DUMMYFUNCTION("""COMPUTED_VALUE"""),"1-ro_FbZAIVOSxzuukFA-JqauiFzAp2zzPW1nR5HDbNQ")</f>
        <v>1-ro_FbZAIVOSxzuukFA-JqauiFzAp2zzPW1nR5HDbNQ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IFERROR(__xludf.DUMMYFUNCTION("""COMPUTED_VALUE"""),"VerifyDayEndCashAccountWindow")</f>
        <v>VerifyDayEndCashAccountWindow</v>
      </c>
      <c r="C364" t="str">
        <f>IFERROR(__xludf.DUMMYFUNCTION("""COMPUTED_VALUE"""),"14hibcKhSsVy9-wON6kpUuT3WpnX2wo9pBQzmPi8qLL0")</f>
        <v>14hibcKhSsVy9-wON6kpUuT3WpnX2wo9pBQzmPi8qLL0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IFERROR(__xludf.DUMMYFUNCTION("""COMPUTED_VALUE"""),"VerifyDbNavWindow")</f>
        <v>VerifyDbNavWindow</v>
      </c>
      <c r="C365" t="str">
        <f>IFERROR(__xludf.DUMMYFUNCTION("""COMPUTED_VALUE"""),"18-WlIts2DAJ-WJbsdY1Rpj5dOSmW5uYCwetKlx26fnQ")</f>
        <v>18-WlIts2DAJ-WJbsdY1Rpj5dOSmW5uYCwetKlx26fnQ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IFERROR(__xludf.DUMMYFUNCTION("""COMPUTED_VALUE"""),"VerifyGlobalDivisorWindow")</f>
        <v>VerifyGlobalDivisorWindow</v>
      </c>
      <c r="C366" t="str">
        <f>IFERROR(__xludf.DUMMYFUNCTION("""COMPUTED_VALUE"""),"1z5ONnrNdd3WVB7RZIGa-yHhn0U7mw19K0moh5ObmK-I")</f>
        <v>1z5ONnrNdd3WVB7RZIGa-yHhn0U7mw19K0moh5ObmK-I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IFERROR(__xludf.DUMMYFUNCTION("""COMPUTED_VALUE"""),"VerifyPmCalculationPreferenceWindow")</f>
        <v>VerifyPmCalculationPreferenceWindow</v>
      </c>
      <c r="C367" t="str">
        <f>IFERROR(__xludf.DUMMYFUNCTION("""COMPUTED_VALUE"""),"1yse7cNfakHdRjfRrq1SQW0Yxxopg67W_juGAkOyqHPk")</f>
        <v>1yse7cNfakHdRjfRrq1SQW0Yxxopg67W_juGAkOyqHPk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IFERROR(__xludf.DUMMYFUNCTION("""COMPUTED_VALUE"""),"VerifyRowCalculationBaseWindow")</f>
        <v>VerifyRowCalculationBaseWindow</v>
      </c>
      <c r="C368" t="str">
        <f>IFERROR(__xludf.DUMMYFUNCTION("""COMPUTED_VALUE"""),"16bZAwMHOfN8bD2TadtVor3HvDM0dtF51XYU1iRUEXpQ")</f>
        <v>16bZAwMHOfN8bD2TadtVor3HvDM0dtF51XYU1iRUEXpQ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IFERROR(__xludf.DUMMYFUNCTION("""COMPUTED_VALUE"""),"VerifySecurityWindow")</f>
        <v>VerifySecurityWindow</v>
      </c>
      <c r="C369" t="str">
        <f>IFERROR(__xludf.DUMMYFUNCTION("""COMPUTED_VALUE"""),"1xeK-JWq8oHwAbmnGt_N4qn9Nt8F9XHo5-Mtr0t_7pRw")</f>
        <v>1xeK-JWq8oHwAbmnGt_N4qn9Nt8F9XHo5-Mtr0t_7pRw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IFERROR(__xludf.DUMMYFUNCTION("""COMPUTED_VALUE"""),"VerifySymbolDataWindow")</f>
        <v>VerifySymbolDataWindow</v>
      </c>
      <c r="C370" t="str">
        <f>IFERROR(__xludf.DUMMYFUNCTION("""COMPUTED_VALUE"""),"13iKSNjdwzv3DKe_1fcHZJ8GUk5s-HKAGG5PE6MY-smA")</f>
        <v>13iKSNjdwzv3DKe_1fcHZJ8GUk5s-HKAGG5PE6MY-smA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IFERROR(__xludf.DUMMYFUNCTION("""COMPUTED_VALUE"""),"VerifySymbolDivisorWindow")</f>
        <v>VerifySymbolDivisorWindow</v>
      </c>
      <c r="C371" t="str">
        <f>IFERROR(__xludf.DUMMYFUNCTION("""COMPUTED_VALUE"""),"1uyHz1cQUHCK-GcBufMehtS9i6BspKa5HVCLnf4pfGuk")</f>
        <v>1uyHz1cQUHCK-GcBufMehtS9i6BspKa5HVCLnf4pfGuk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IFERROR(__xludf.DUMMYFUNCTION("""COMPUTED_VALUE"""),"VerifyTaxlotWindow")</f>
        <v>VerifyTaxlotWindow</v>
      </c>
      <c r="C372" t="str">
        <f>IFERROR(__xludf.DUMMYFUNCTION("""COMPUTED_VALUE"""),"1LmfcHeXwbnPa-An0b_OD4pDLm7pUlzSX41G5QZ2Uons")</f>
        <v>1LmfcHeXwbnPa-An0b_OD4pDLm7pUlzSX41G5QZ2Uons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IFERROR(__xludf.DUMMYFUNCTION("""COMPUTED_VALUE"""),"RestartEsper")</f>
        <v>RestartEsper</v>
      </c>
      <c r="C373" t="str">
        <f>IFERROR(__xludf.DUMMYFUNCTION("""COMPUTED_VALUE"""),"undefined")</f>
        <v>undefined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IFERROR(__xludf.DUMMYFUNCTION("""COMPUTED_VALUE"""),"VerifyAccountNavPreferenceWindow")</f>
        <v>VerifyAccountNavPreferenceWindow</v>
      </c>
      <c r="C374" t="str">
        <f>IFERROR(__xludf.DUMMYFUNCTION("""COMPUTED_VALUE"""),"1PbpS5QGNvwJE_YSvMrjHxbUPPQhcUDrQHC4N9KHYjWY")</f>
        <v>1PbpS5QGNvwJE_YSvMrjHxbUPPQhcUDrQHC4N9KHYjWY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 VerifyAggregationAccountUnderlyingSymbolWithNav")</f>
        <v> VerifyAggregationAccountUnderlyingSymbolWithNav</v>
      </c>
      <c r="C375" t="str">
        <f>IFERROR(__xludf.DUMMYFUNCTION("""COMPUTED_VALUE"""),"1e43aiziZ9lVzR6j8eABeYJVnCkgU34OcPRcWujsT2Sk")</f>
        <v>1e43aiziZ9lVzR6j8eABeYJVnCkgU34OcPRcWujsT2Sk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IFERROR(__xludf.DUMMYFUNCTION("""COMPUTED_VALUE"""),"VerifyAggregationAssetWithNav")</f>
        <v>VerifyAggregationAssetWithNav</v>
      </c>
      <c r="C376" t="str">
        <f>IFERROR(__xludf.DUMMYFUNCTION("""COMPUTED_VALUE"""),"1etvN2Ze8TA6NI_8xSaOdqLwhWnk9NXKUUDhi-_NctcY")</f>
        <v>1etvN2Ze8TA6NI_8xSaOdqLwhWnk9NXKUUDhi-_NctcY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IFERROR(__xludf.DUMMYFUNCTION("""COMPUTED_VALUE"""),"VerifyAggregationSymbolWithNav")</f>
        <v>VerifyAggregationSymbolWithNav</v>
      </c>
      <c r="C377" t="str">
        <f>IFERROR(__xludf.DUMMYFUNCTION("""COMPUTED_VALUE"""),"13XyCHzB6LhftZ5UNht5K7e3dan_fGbii_TnOOGLwDg0")</f>
        <v>13XyCHzB6LhftZ5UNht5K7e3dan_fGbii_TnOOGLwDg0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IFERROR(__xludf.DUMMYFUNCTION("""COMPUTED_VALUE"""),"VerifyAggregationSubSectorWithNav")</f>
        <v>VerifyAggregationSubSectorWithNav</v>
      </c>
      <c r="C378" t="str">
        <f>IFERROR(__xludf.DUMMYFUNCTION("""COMPUTED_VALUE"""),"1DBHQwTuKH0lzdeBCel_4raYQn6PkkFTYydpCHbsB4Qk")</f>
        <v>1DBHQwTuKH0lzdeBCel_4raYQn6PkkFTYydpCHbsB4Qk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IFERROR(__xludf.DUMMYFUNCTION("""COMPUTED_VALUE"""),"VerifyAggregationGlobalWithNav")</f>
        <v>VerifyAggregationGlobalWithNav</v>
      </c>
      <c r="C379" t="str">
        <f>IFERROR(__xludf.DUMMYFUNCTION("""COMPUTED_VALUE"""),"1XVSAkmIoWI-AC0BHXwWO3TqCkz2uOlJFE5eM6W0_Cew")</f>
        <v>1XVSAkmIoWI-AC0BHXwWO3TqCkz2uOlJFE5eM6W0_Cew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VerifyAggregationGlobalWithNav")</f>
        <v> 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IFERROR(__xludf.DUMMYFUNCTION("""COMPUTED_VALUE"""),"1z5ONnrNdd3WVB7RZIGa-yHhn0U7mw19K0moh5ObmK-I")</f>
        <v>1z5ONnrNdd3WVB7RZIGa-yHhn0U7mw19K0moh5ObmK-I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VerifyAccrualForAccountWindow")</f>
        <v> VerifyAccrualForAccountWindow</v>
      </c>
      <c r="C382" t="str">
        <f>IFERROR(__xludf.DUMMYFUNCTION("""COMPUTED_VALUE"""),"1zKkT3mW6MMJ2tPzzT2fHVQT6vyc0mePzllndBlUl5IM")</f>
        <v>1zKkT3mW6MMJ2tPzzT2fHVQT6vyc0mePzllndBlUl5IM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IFERROR(__xludf.DUMMYFUNCTION("""COMPUTED_VALUE"""),"1z5ONnrNdd3WVB7RZIGa-yHhn0U7mw19K0moh5ObmK-I")</f>
        <v>1z5ONnrNdd3WVB7RZIGa-yHhn0U7mw19K0moh5ObmK-I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IFERROR(__xludf.DUMMYFUNCTION("""COMPUTED_VALUE"""),"VerifyMasterFundDivisorWindow")</f>
        <v>VerifyMasterFundDivisorWindow</v>
      </c>
      <c r="C384" t="str">
        <f>IFERROR(__xludf.DUMMYFUNCTION("""COMPUTED_VALUE"""),"13rWeedH_MlhhxYACJeLeckVtBWejh246MGPN4QQpmMM")</f>
        <v>13rWeedH_MlhhxYACJeLeckVtBWejh246MGPN4QQpmMM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IFERROR(__xludf.DUMMYFUNCTION("""COMPUTED_VALUE"""),"VerifyMasterFundSymbolDivisorWindow")</f>
        <v>VerifyMasterFundSymbolDivisorWindow</v>
      </c>
      <c r="C385" t="str">
        <f>IFERROR(__xludf.DUMMYFUNCTION("""COMPUTED_VALUE"""),"1YPctyrs3yMgf0X1_jVz3LRORCo4B4cNqbyc_K0FujO0")</f>
        <v>1YPctyrs3yMgf0X1_jVz3LRORCo4B4cNqbyc_K0FujO0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IFERROR(__xludf.DUMMYFUNCTION("""COMPUTED_VALUE"""),"FetchAccountPositions")</f>
        <v>FetchAccountPositions</v>
      </c>
      <c r="C386" t="str">
        <f>IFERROR(__xludf.DUMMYFUNCTION("""COMPUTED_VALUE"""),"1BeNn_44h4ClIE46em_ho4qgzGnXy_GxtYTH3cBmtKPk")</f>
        <v>1BeNn_44h4ClIE46em_ho4qgzGnXy_GxtYTH3cBmtKPk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IFERROR(__xludf.DUMMYFUNCTION("""COMPUTED_VALUE"""),"AddCash")</f>
        <v>AddCash</v>
      </c>
      <c r="C387" t="str">
        <f>IFERROR(__xludf.DUMMYFUNCTION("""COMPUTED_VALUE"""),"1jkLpZFgLuRokIigwbjW9_Z47rlvj-YDlRcP_c4XkP_k")</f>
        <v>1jkLpZFgLuRokIigwbjW9_Z47rlvj-YDlRcP_c4XkP_k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IFERROR(__xludf.DUMMYFUNCTION("""COMPUTED_VALUE"""),"VerifyGridData")</f>
        <v>VerifyGridData</v>
      </c>
      <c r="C388" t="str">
        <f>IFERROR(__xludf.DUMMYFUNCTION("""COMPUTED_VALUE"""),"1mspGsgTjI-yT8NsZKZn8moOE-Vp0hoNdUziI1pFBq0I")</f>
        <v>1mspGsgTjI-yT8NsZKZn8moOE-Vp0hoNdUziI1pFBq0I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IFERROR(__xludf.DUMMYFUNCTION("""COMPUTED_VALUE"""),"RunRebalance")</f>
        <v>RunRebalance</v>
      </c>
      <c r="C389" t="str">
        <f>IFERROR(__xludf.DUMMYFUNCTION("""COMPUTED_VALUE"""),"1B2L3J6YUrDWz8rRtdvv0lYDQvnH8nYkmqQm12ZwK7jc")</f>
        <v>1B2L3J6YUrDWz8rRtdvv0lYDQvnH8nYkmqQm12ZwK7jc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IFERROR(__xludf.DUMMYFUNCTION("""COMPUTED_VALUE"""),"SelectTrade")</f>
        <v>SelectTrade</v>
      </c>
      <c r="C390" t="str">
        <f>IFERROR(__xludf.DUMMYFUNCTION("""COMPUTED_VALUE"""),"1FTTZIzpIKJz6P-IPbrA5EPTxiMe2ARbyGfgsnMXlct4")</f>
        <v>1FTTZIzpIKJz6P-IPbrA5EPTxiMe2ARbyGfgsnMXlct4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IFERROR(__xludf.DUMMYFUNCTION("""COMPUTED_VALUE"""),"AcknowledgeTrade")</f>
        <v>AcknowledgeTrade</v>
      </c>
      <c r="C391" t="str">
        <f>IFERROR(__xludf.DUMMYFUNCTION("""COMPUTED_VALUE"""),"1sQAsvIkAT3oSRlv0P4ERgM6O-p9EGHnCNRCfZZ6EKPM")</f>
        <v>1sQAsvIkAT3oSRlv0P4ERgM6O-p9EGHnCNRCfZZ6EKPM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IFERROR(__xludf.DUMMYFUNCTION("""COMPUTED_VALUE"""),"RejectTrade")</f>
        <v>RejectTrade</v>
      </c>
      <c r="C392" t="str">
        <f>IFERROR(__xludf.DUMMYFUNCTION("""COMPUTED_VALUE"""),"18DR7gQzurIoB_fivnSt8QoqUWcLVRpZQSDr37UqoXKU")</f>
        <v>18DR7gQzurIoB_fivnSt8QoqUWcLVRpZQSDr37UqoXKU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IFERROR(__xludf.DUMMYFUNCTION("""COMPUTED_VALUE"""),"ExecuteTrade")</f>
        <v>ExecuteTrade</v>
      </c>
      <c r="C393" t="str">
        <f>IFERROR(__xludf.DUMMYFUNCTION("""COMPUTED_VALUE"""),"1pp_DAI1bHvMNnrEvw8O7TeJWebgUjt3FSsdgjVWeJkE")</f>
        <v>1pp_DAI1bHvMNnrEvw8O7TeJWebgUjt3FSsdgjVWeJkE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IFERROR(__xludf.DUMMYFUNCTION("""COMPUTED_VALUE"""),"CancelTrade")</f>
        <v>CancelTrade</v>
      </c>
      <c r="C394" t="str">
        <f>IFERROR(__xludf.DUMMYFUNCTION("""COMPUTED_VALUE"""),"1hX7-3j5InwEYhwGhZXePVHcW-9vxINkOET671xdWGsc")</f>
        <v>1hX7-3j5InwEYhwGhZXePVHcW-9vxINkOET671xdWGsc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IFERROR(__xludf.DUMMYFUNCTION("""COMPUTED_VALUE"""),"OpenLiveTT")</f>
        <v>OpenLiveTT</v>
      </c>
      <c r="C395" t="str">
        <f>IFERROR(__xludf.DUMMYFUNCTION("""COMPUTED_VALUE"""),"1q3BIdA-Gau2cX2cBnlgy7eas26rbuZEdQMfROhYvOgI")</f>
        <v>1q3BIdA-Gau2cX2cBnlgy7eas26rbuZEdQMfROhYvOgI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IFERROR(__xludf.DUMMYFUNCTION("""COMPUTED_VALUE"""),"TradingTicket")</f>
        <v>TradingTicket</v>
      </c>
      <c r="B396" t="str">
        <f>IFERROR(__xludf.DUMMYFUNCTION("""COMPUTED_VALUE"""),"CreateLiveOrder")</f>
        <v>CreateLiveOrder</v>
      </c>
      <c r="C396" t="str">
        <f>IFERROR(__xludf.DUMMYFUNCTION("""COMPUTED_VALUE"""),"115Bw2-ohdF1ilHcVpmgJ2DX9SJjX1zI-6SvF3CpCjm8")</f>
        <v>115Bw2-ohdF1ilHcVpmgJ2DX9SJjX1zI-6SvF3CpCjm8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IFERROR(__xludf.DUMMYFUNCTION("""COMPUTED_VALUE"""),"SetManualResponse ")</f>
        <v>SetManualResponse </v>
      </c>
      <c r="C397" t="str">
        <f>IFERROR(__xludf.DUMMYFUNCTION("""COMPUTED_VALUE"""),"10qeNhV85AQPMToOqHZlhzdXyNnDNjiueFxVwGUI_MO4")</f>
        <v>10qeNhV85AQPMToOqHZlhzdXyNnDNjiueFxVwGUI_MO4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IFERROR(__xludf.DUMMYFUNCTION("""COMPUTED_VALUE"""),"ClearUI")</f>
        <v>ClearUI</v>
      </c>
      <c r="C398" t="str">
        <f>IFERROR(__xludf.DUMMYFUNCTION("""COMPUTED_VALUE"""),"1LO0lVmw42vb8rN4FBdD2nZspNUXqgQCerd4ip5U8His")</f>
        <v>1LO0lVmw42vb8rN4FBdD2nZspNUXqgQCerd4ip5U8His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IFERROR(__xludf.DUMMYFUNCTION("""COMPUTED_VALUE"""),"RebalanceAcrossSecurities")</f>
        <v>RebalanceAcrossSecurities</v>
      </c>
      <c r="C399" t="str">
        <f>IFERROR(__xludf.DUMMYFUNCTION("""COMPUTED_VALUE"""),"1C-pSRr2mYlstlgFOXGSaoMyr-7ZKnUyCiCZMgNR75C0")</f>
        <v>1C-pSRr2mYlstlgFOXGSaoMyr-7ZKnUyCiCZMgNR75C0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IFERROR(__xludf.DUMMYFUNCTION("""COMPUTED_VALUE"""),"ClearCalculations")</f>
        <v>ClearCalculations</v>
      </c>
      <c r="C400" t="str">
        <f>IFERROR(__xludf.DUMMYFUNCTION("""COMPUTED_VALUE"""),"1pQy7yDMWL8pTAYmkyQd-37O6NjL8-HJsxUSDe_0vr3Y")</f>
        <v>1pQy7yDMWL8pTAYmkyQd-37O6NjL8-HJsxUSDe_0vr3Y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IFERROR(__xludf.DUMMYFUNCTION("""COMPUTED_VALUE"""),"ModifyRebalance")</f>
        <v>ModifyRebalance</v>
      </c>
      <c r="C401" t="str">
        <f>IFERROR(__xludf.DUMMYFUNCTION("""COMPUTED_VALUE"""),"1PL-GKbx6oOTs--yRdzkUeclt9Wvb6f5jt4XN1oEGIZk")</f>
        <v>1PL-GKbx6oOTs--yRdzkUeclt9Wvb6f5jt4XN1oEGIZk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IFERROR(__xludf.DUMMYFUNCTION("""COMPUTED_VALUE"""),"SelectThirdParty")</f>
        <v>SelectThirdParty</v>
      </c>
      <c r="C402" t="str">
        <f>IFERROR(__xludf.DUMMYFUNCTION("""COMPUTED_VALUE"""),"1liR_hGZCDbVQXoq6lXJaHhVX-C6zpm2FZKNUaUnD7k8")</f>
        <v>1liR_hGZCDbVQXoq6lXJaHhVX-C6zpm2FZKNUaUnD7k8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IFERROR(__xludf.DUMMYFUNCTION("""COMPUTED_VALUE"""),"ViewThirdParty")</f>
        <v>ViewThirdParty</v>
      </c>
      <c r="C403" t="str">
        <f>IFERROR(__xludf.DUMMYFUNCTION("""COMPUTED_VALUE"""),"1L-T9YKEKNm_ncTLX6p563fxmzW1DvdfOn3fW5ZhQiKs")</f>
        <v>1L-T9YKEKNm_ncTLX6p563fxmzW1DvdfOn3fW5ZhQiKs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IFERROR(__xludf.DUMMYFUNCTION("""COMPUTED_VALUE"""),"ThirdPartyGenerate")</f>
        <v>ThirdPartyGenerate</v>
      </c>
      <c r="C404" t="str">
        <f>IFERROR(__xludf.DUMMYFUNCTION("""COMPUTED_VALUE"""),"1hWXI97uokXrkZMWLiuOrUPZMYEmIb2-QuYGHPvEooqk")</f>
        <v>1hWXI97uokXrkZMWLiuOrUPZMYEmIb2-QuYGHPvEooqk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IFERROR(__xludf.DUMMYFUNCTION("""COMPUTED_VALUE"""),"VerifyThirdPartyView")</f>
        <v>VerifyThirdPartyView</v>
      </c>
      <c r="C405" t="str">
        <f>IFERROR(__xludf.DUMMYFUNCTION("""COMPUTED_VALUE"""),"1OPgUZqNYhV3KEPmPCahj5p6WvTvcu6yt-IilVEoYdck")</f>
        <v>1OPgUZqNYhV3KEPmPCahj5p6WvTvcu6yt-IilVEoYdck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IFERROR(__xludf.DUMMYFUNCTION("""COMPUTED_VALUE"""),"VerifyThirdPartyGenerate")</f>
        <v>VerifyThirdPartyGenerate</v>
      </c>
      <c r="C406" t="str">
        <f>IFERROR(__xludf.DUMMYFUNCTION("""COMPUTED_VALUE"""),"1TX-aVCyjewgmTHgLEH493prpSt_ChoMDatfBG5cVehM")</f>
        <v>1TX-aVCyjewgmTHgLEH493prpSt_ChoMDatfBG5cVehM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IFERROR(__xludf.DUMMYFUNCTION("""COMPUTED_VALUE"""),"VerifyThirdPartySend")</f>
        <v>VerifyThirdPartySend</v>
      </c>
      <c r="C407" t="str">
        <f>IFERROR(__xludf.DUMMYFUNCTION("""COMPUTED_VALUE"""),"1TFrpzJZv_IpTrlD7aBcoe8mWXKXiq4OeBVw49pOpJY8")</f>
        <v>1TFrpzJZv_IpTrlD7aBcoe8mWXKXiq4OeBVw49pOpJY8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IFERROR(__xludf.DUMMYFUNCTION("""COMPUTED_VALUE"""),"ThirdPartySend")</f>
        <v>ThirdPartySend</v>
      </c>
      <c r="C408" t="str">
        <f>IFERROR(__xludf.DUMMYFUNCTION("""COMPUTED_VALUE"""),"1ELxt02tfMApvtpApk-Uz6JQVqK95xGCxH6tEwuv_yMQ")</f>
        <v>1ELxt02tfMApvtpApk-Uz6JQVqK95xGCxH6tEwuv_yMQ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IFERROR(__xludf.DUMMYFUNCTION("""COMPUTED_VALUE"""),"Blotter")</f>
        <v>Blotter</v>
      </c>
      <c r="B409" t="str">
        <f>IFERROR(__xludf.DUMMYFUNCTION("""COMPUTED_VALUE"""),"VerifyViewAllocationDetails")</f>
        <v>VerifyViewAllocationDetails</v>
      </c>
      <c r="C409" t="str">
        <f>IFERROR(__xludf.DUMMYFUNCTION("""COMPUTED_VALUE"""),"1onX95lO5NTDqGvP-5pv_fQlL0p1SAPerH3jm5s9xIbE")</f>
        <v>1onX95lO5NTDqGvP-5pv_fQlL0p1SAPerH3jm5s9xIbE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IFERROR(__xludf.DUMMYFUNCTION("""COMPUTED_VALUE"""),"SelectPTTRecord")</f>
        <v>SelectPTTRecord</v>
      </c>
      <c r="C410" t="str">
        <f>IFERROR(__xludf.DUMMYFUNCTION("""COMPUTED_VALUE"""),"1MzR4w0s74eMMAMcl-KSxjpoZfHiuOypwn42ACvmTkKM")</f>
        <v>1MzR4w0s74eMMAMcl-KSxjpoZfHiuOypwn42ACvmTkKM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IFERROR(__xludf.DUMMYFUNCTION("""COMPUTED_VALUE"""),"EditPTTRecord")</f>
        <v>EditPTTRecord</v>
      </c>
      <c r="C411" t="str">
        <f>IFERROR(__xludf.DUMMYFUNCTION("""COMPUTED_VALUE"""),"13Ecyy3eTKlOlM2mlZRP_nxQjfP02VfkmPAAS8AQWMQk")</f>
        <v>13Ecyy3eTKlOlM2mlZRP_nxQjfP02VfkmPAAS8AQWMQk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IFERROR(__xludf.DUMMYFUNCTION("""COMPUTED_VALUE"""),"Blotter")</f>
        <v>Blotter</v>
      </c>
      <c r="B412" t="str">
        <f>IFERROR(__xludf.DUMMYFUNCTION("""COMPUTED_VALUE"""),"GoToAllocation")</f>
        <v>GoToAllocation</v>
      </c>
      <c r="C412" t="str">
        <f>IFERROR(__xludf.DUMMYFUNCTION("""COMPUTED_VALUE"""),"1O10TSVXx7-qL87FJas1gFd9p3JugF_Bn4u9W7TpD46U")</f>
        <v>1O10TSVXx7-qL87FJas1gFd9p3JugF_Bn4u9W7TpD46U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IFERROR(__xludf.DUMMYFUNCTION("""COMPUTED_VALUE"""),"Simulator")</f>
        <v>Simulator</v>
      </c>
      <c r="B413" t="str">
        <f>IFERROR(__xludf.DUMMYFUNCTION("""COMPUTED_VALUE"""),"CloseSimulator")</f>
        <v>CloseSimulator</v>
      </c>
      <c r="C413" t="str">
        <f>IFERROR(__xludf.DUMMYFUNCTION("""COMPUTED_VALUE"""),"undefined")</f>
        <v>undefined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IFERROR(__xludf.DUMMYFUNCTION("""COMPUTED_VALUE"""),"GeneralLedger")</f>
        <v>GeneralLedger</v>
      </c>
      <c r="B414" t="str">
        <f>IFERROR(__xludf.DUMMYFUNCTION("""COMPUTED_VALUE"""),"VerifyCashTransaction")</f>
        <v>VerifyCashTransaction</v>
      </c>
      <c r="C414" t="str">
        <f>IFERROR(__xludf.DUMMYFUNCTION("""COMPUTED_VALUE"""),"1txiXYRv6RuxBB6CkKPa64Foilc8XIy5M-1KPAOBp9Z0")</f>
        <v>1txiXYRv6RuxBB6CkKPa64Foilc8XIy5M-1KPAOBp9Z0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IFERROR(__xludf.DUMMYFUNCTION("""COMPUTED_VALUE"""),"Rebalancer")</f>
        <v>Rebalancer</v>
      </c>
      <c r="B415" t="str">
        <f>IFERROR(__xludf.DUMMYFUNCTION("""COMPUTED_VALUE"""),"ModelPortfolio")</f>
        <v>ModelPortfolio</v>
      </c>
      <c r="C415" t="str">
        <f>IFERROR(__xludf.DUMMYFUNCTION("""COMPUTED_VALUE"""),"1w51NpunZkBS_x4rZvkQXu2o8AUhD_GQPCtuFN-r1AFw")</f>
        <v>1w51NpunZkBS_x4rZvkQXu2o8AUhD_GQPCtuFN-r1AFw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IFERROR(__xludf.DUMMYFUNCTION("""COMPUTED_VALUE"""),"DailyValuation")</f>
        <v>DailyValuation</v>
      </c>
      <c r="B416" t="str">
        <f>IFERROR(__xludf.DUMMYFUNCTION("""COMPUTED_VALUE"""),"VerifyDailyCash")</f>
        <v>VerifyDailyCash</v>
      </c>
      <c r="C416" t="str">
        <f>IFERROR(__xludf.DUMMYFUNCTION("""COMPUTED_VALUE"""),"1wXn8vaJbEg8VcRqhsw0cR1-Odkjr1m2zE8tXCmLX54g")</f>
        <v>1wXn8vaJbEg8VcRqhsw0cR1-Odkjr1m2zE8tXCmLX54g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IFERROR(__xludf.DUMMYFUNCTION("""COMPUTED_VALUE"""),"Admin")</f>
        <v>Admin</v>
      </c>
      <c r="B417" t="str">
        <f>IFERROR(__xludf.DUMMYFUNCTION("""COMPUTED_VALUE"""),"SetCheckSide")</f>
        <v>SetCheckSide</v>
      </c>
      <c r="C417" t="str">
        <f>IFERROR(__xludf.DUMMYFUNCTION("""COMPUTED_VALUE"""),"1yyQmTWt6_vzUYvOiD3DjjThIuA-7rtaxLv1CWXWSP1c")</f>
        <v>1yyQmTWt6_vzUYvOiD3DjjThIuA-7rtaxLv1CWXWSP1c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IFERROR(__xludf.DUMMYFUNCTION("""COMPUTED_VALUE"""),"OpenSpinOff")</f>
        <v>OpenSpinOff</v>
      </c>
      <c r="C418" t="str">
        <f>IFERROR(__xludf.DUMMYFUNCTION("""COMPUTED_VALUE"""),"1s7UywmXsvA66vGSvDSU_CidM0OgQwEbFnisEBEFmoz0")</f>
        <v>1s7UywmXsvA66vGSvDSU_CidM0OgQwEbFnisEBEFmoz0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IFERROR(__xludf.DUMMYFUNCTION("""COMPUTED_VALUE"""),"VerifyAndApplyCorpAction")</f>
        <v>VerifyAndApplyCorpAction</v>
      </c>
      <c r="C419" t="str">
        <f>IFERROR(__xludf.DUMMYFUNCTION("""COMPUTED_VALUE"""),"1cHNKlWy_s_rmmZHG2nid4hP7PjQozO104yUNI3CyU1o")</f>
        <v>1cHNKlWy_s_rmmZHG2nid4hP7PjQozO104yUNI3CyU1o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 ")</f>
        <v>CorporateAction </v>
      </c>
      <c r="B420" t="str">
        <f>IFERROR(__xludf.DUMMYFUNCTION("""COMPUTED_VALUE"""),"VerifyAndSaveCorpAction")</f>
        <v>VerifyAndSaveCorpAction</v>
      </c>
      <c r="C420" t="str">
        <f>IFERROR(__xludf.DUMMYFUNCTION("""COMPUTED_VALUE"""),"1bruEDkUzHa33GtKgwOjgeu-gUDGJFATMt-u7J51XEU4")</f>
        <v>1bruEDkUzHa33GtKgwOjgeu-gUDGJFATMt-u7J51XEU4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IFERROR(__xludf.DUMMYFUNCTION("""COMPUTED_VALUE"""),"DisableChecksideForAsset")</f>
        <v>DisableChecksideForAsset</v>
      </c>
      <c r="C421" t="str">
        <f>IFERROR(__xludf.DUMMYFUNCTION("""COMPUTED_VALUE"""),"1w1BRJVZsjn1B0PDYrYEKzXGEw-NFKSMIyNqeBCt4yec")</f>
        <v>1w1BRJVZsjn1B0PDYrYEKzXGEw-NFKSMIyNqeBCt4yec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IFERROR(__xludf.DUMMYFUNCTION("""COMPUTED_VALUE"""),"DisableChecksideForAccount")</f>
        <v>DisableChecksideForAccount</v>
      </c>
      <c r="C422" t="str">
        <f>IFERROR(__xludf.DUMMYFUNCTION("""COMPUTED_VALUE"""),"1m8_kQ_0tVJoTiBpYOtlKW23NWSHVfniRS6qC-gXm10s")</f>
        <v>1m8_kQ_0tVJoTiBpYOtlKW23NWSHVfniRS6qC-gXm10s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IFERROR(__xludf.DUMMYFUNCTION("""COMPUTED_VALUE"""),"DisableChecksideForCounterParty")</f>
        <v>DisableChecksideForCounterParty</v>
      </c>
      <c r="C423" t="str">
        <f>IFERROR(__xludf.DUMMYFUNCTION("""COMPUTED_VALUE"""),"17N8VCOwI2fnS5Lh1_oE2TZ5tHs8EeP3ATBk93WwvRHk")</f>
        <v>17N8VCOwI2fnS5Lh1_oE2TZ5tHs8EeP3ATBk93WwvRHk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IFERROR(__xludf.DUMMYFUNCTION("""COMPUTED_VALUE"""),"DisableCheckside")</f>
        <v>DisableCheckside</v>
      </c>
      <c r="C424" t="str">
        <f>IFERROR(__xludf.DUMMYFUNCTION("""COMPUTED_VALUE"""),"1F88uJdltwqga7oeOfytDjDGsBP4kpEF_aSFBEzDCUqY")</f>
        <v>1F88uJdltwqga7oeOfytDjDGsBP4kpEF_aSFBEzDCUqY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IFERROR(__xludf.DUMMYFUNCTION("""COMPUTED_VALUE"""),"ApplyMasterFundFilter")</f>
        <v>ApplyMasterFundFilter</v>
      </c>
      <c r="C425" t="str">
        <f>IFERROR(__xludf.DUMMYFUNCTION("""COMPUTED_VALUE"""),"1yIy9yo2gUgRLah_KTWBr8Q8ouxWuW7qEoYCxd-IyZqU")</f>
        <v>1yIy9yo2gUgRLah_KTWBr8Q8ouxWuW7qEoYCxd-IyZqU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IFERROR(__xludf.DUMMYFUNCTION("""COMPUTED_VALUE"""),"TradingTicket")</f>
        <v>TradingTicket</v>
      </c>
      <c r="B426" t="str">
        <f>IFERROR(__xludf.DUMMYFUNCTION("""COMPUTED_VALUE"""),"UpdateMasterFundOnTT")</f>
        <v>UpdateMasterFundOnTT</v>
      </c>
      <c r="C426" t="str">
        <f>IFERROR(__xludf.DUMMYFUNCTION("""COMPUTED_VALUE"""),"1vtwSXTZXLwVYR5bhmfKT7b9o6JVmS_9MOZn7CcypLvw")</f>
        <v>1vtwSXTZXLwVYR5bhmfKT7b9o6JVmS_9MOZn7CcypLvw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IFERROR(__xludf.DUMMYFUNCTION("""COMPUTED_VALUE"""),"ShowMasterFundOnTT")</f>
        <v>ShowMasterFundOnTT</v>
      </c>
      <c r="C427" t="str">
        <f>IFERROR(__xludf.DUMMYFUNCTION("""COMPUTED_VALUE"""),"1tY8_vmgwAtlU3wdGRDk8WSaRLCv6640XZ0pVR7jx06k")</f>
        <v>1tY8_vmgwAtlU3wdGRDk8WSaRLCv6640XZ0pVR7jx06k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IFERROR(__xludf.DUMMYFUNCTION("""COMPUTED_VALUE"""),"ShowMasterFundAsClient")</f>
        <v>ShowMasterFundAsClient</v>
      </c>
      <c r="C428" t="str">
        <f>IFERROR(__xludf.DUMMYFUNCTION("""COMPUTED_VALUE"""),"1dXSCZtp_PbY2-xO4HyuQFjP9rqovyxBIHohhAalWHdk")</f>
        <v>1dXSCZtp_PbY2-xO4HyuQFjP9rqovyxBIHohhAalWHdk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IFERROR(__xludf.DUMMYFUNCTION("""COMPUTED_VALUE"""),"SetBrokerAccountMapping")</f>
        <v>SetBrokerAccountMapping</v>
      </c>
      <c r="C429" t="str">
        <f>IFERROR(__xludf.DUMMYFUNCTION("""COMPUTED_VALUE"""),"1MPDRlprMFMS8DkR-4ntdGvBOQ6Gp4Cbkz1mGJyRiPBU")</f>
        <v>1MPDRlprMFMS8DkR-4ntdGvBOQ6Gp4Cbkz1mGJyRiPBU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IFERROR(__xludf.DUMMYFUNCTION("""COMPUTED_VALUE"""),"EditUnallocatedGridWPF")</f>
        <v>EditUnallocatedGridWPF</v>
      </c>
      <c r="C430" t="str">
        <f>IFERROR(__xludf.DUMMYFUNCTION("""COMPUTED_VALUE"""),"1FoqMjsh7kSUAPZgAsBdK0Dgz6XaVskoGr37G773xRsI")</f>
        <v>1FoqMjsh7kSUAPZgAsBdK0Dgz6XaVskoGr37G773xRsI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IFERROR(__xludf.DUMMYFUNCTION("""COMPUTED_VALUE"""),"EditAllocatedGridWPF")</f>
        <v>EditAllocatedGridWPF</v>
      </c>
      <c r="C431" t="str">
        <f>IFERROR(__xludf.DUMMYFUNCTION("""COMPUTED_VALUE"""),"1JDZt3yDzGJYLwgfnrM-1JpkYjLh4xdqn3im1wNwUiWg")</f>
        <v>1JDZt3yDzGJYLwgfnrM-1JpkYjLh4xdqn3im1wNwUiWg</v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IFERROR(__xludf.DUMMYFUNCTION("""COMPUTED_VALUE"""),"Admin")</f>
        <v>Admin</v>
      </c>
      <c r="B432" t="str">
        <f>IFERROR(__xludf.DUMMYFUNCTION("""COMPUTED_VALUE"""),"SetRollover")</f>
        <v>SetRollover</v>
      </c>
      <c r="C432" t="str">
        <f>IFERROR(__xludf.DUMMYFUNCTION("""COMPUTED_VALUE"""),"1mcj3boGZkRmnkbGNVOiMK0RBd1tDfxGwoUagq09FwTM")</f>
        <v>1mcj3boGZkRmnkbGNVOiMK0RBd1tDfxGwoUagq09FwTM</v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IFERROR(__xludf.DUMMYFUNCTION("""COMPUTED_VALUE"""),"Blotter")</f>
        <v>Blotter</v>
      </c>
      <c r="B433" t="str">
        <f>IFERROR(__xludf.DUMMYFUNCTION("""COMPUTED_VALUE"""),"VerifyRollover")</f>
        <v>VerifyRollover</v>
      </c>
      <c r="C433" t="str">
        <f>IFERROR(__xludf.DUMMYFUNCTION("""COMPUTED_VALUE"""),"1ZZ2-R1OHOoSZ9jUfqlZ7UX-MNoTL_RipoEPOEeDhUiU")</f>
        <v>1ZZ2-R1OHOoSZ9jUfqlZ7UX-MNoTL_RipoEPOEeDhUiU</v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IFERROR(__xludf.DUMMYFUNCTION("""COMPUTED_VALUE"""),"EditAllocatedGridTaxlot")</f>
        <v>EditAllocatedGridTaxlot</v>
      </c>
      <c r="C434" t="str">
        <f>IFERROR(__xludf.DUMMYFUNCTION("""COMPUTED_VALUE"""),"1tuNkOgVUAgmGZdePkvb6Kq4fOIVUbM2Oo-j35VwEMxU")</f>
        <v>1tuNkOgVUAgmGZdePkvb6Kq4fOIVUbM2Oo-j35VwEMxU</v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IFERROR(__xludf.DUMMYFUNCTION("""COMPUTED_VALUE"""),"ExpandCollapseAllocatedGrid")</f>
        <v>ExpandCollapseAllocatedGrid</v>
      </c>
      <c r="C435" t="str">
        <f>IFERROR(__xludf.DUMMYFUNCTION("""COMPUTED_VALUE"""),"1rFegPn3vtFd9CjW_Q7sLLAAJfMR24R2aIjZeDzV88kI")</f>
        <v>1rFegPn3vtFd9CjW_Q7sLLAAJfMR24R2aIjZeDzV88kI</v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IFERROR(__xludf.DUMMYFUNCTION("""COMPUTED_VALUE"""),"ExpandCollapseUnallocatedGrid")</f>
        <v>ExpandCollapseUnallocatedGrid</v>
      </c>
      <c r="C436" t="str">
        <f>IFERROR(__xludf.DUMMYFUNCTION("""COMPUTED_VALUE"""),"1AUbU9P9evi80SGX-0B0OEU4EIeSy8XoX0Jxc2neUG7Y")</f>
        <v>1AUbU9P9evi80SGX-0B0OEU4EIeSy8XoX0Jxc2neUG7Y</v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IFERROR(__xludf.DUMMYFUNCTION("""COMPUTED_VALUE"""),"Blotter")</f>
        <v>Blotter</v>
      </c>
      <c r="B437" t="str">
        <f>IFERROR(__xludf.DUMMYFUNCTION("""COMPUTED_VALUE"""),"VerifySubOrderAfterRollover")</f>
        <v>VerifySubOrderAfterRollover</v>
      </c>
      <c r="C437" t="str">
        <f>IFERROR(__xludf.DUMMYFUNCTION("""COMPUTED_VALUE"""),"1BmRHukyQ4miHL0fDoU1ytWmIfZkbbUhts6aUXOoJt1M")</f>
        <v>1BmRHukyQ4miHL0fDoU1ytWmIfZkbbUhts6aUXOoJt1M</v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IFERROR(__xludf.DUMMYFUNCTION("""COMPUTED_VALUE"""),"SelectTransactionImportType")</f>
        <v>SelectTransactionImportType</v>
      </c>
      <c r="C438" t="str">
        <f>IFERROR(__xludf.DUMMYFUNCTION("""COMPUTED_VALUE"""),"1ultylVChPDBFQEPMhDgNhsGAOiEjOy4yrylpQgIIDRs")</f>
        <v>1ultylVChPDBFQEPMhDgNhsGAOiEjOy4yrylpQgIIDRs</v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IFERROR(__xludf.DUMMYFUNCTION("""COMPUTED_VALUE"""),"SelectAllOnImport")</f>
        <v>SelectAllOnImport</v>
      </c>
      <c r="C439" t="str">
        <f>IFERROR(__xludf.DUMMYFUNCTION("""COMPUTED_VALUE"""),"1kfuraVHmWK4GQJ5l-V_xi5ZOvrVVE_6df75wO3Tczkw")</f>
        <v>1kfuraVHmWK4GQJ5l-V_xi5ZOvrVVE_6df75wO3Tczkw</v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IFERROR(__xludf.DUMMYFUNCTION("""COMPUTED_VALUE"""),"SelectMarkPriceImportType")</f>
        <v>SelectMarkPriceImportType</v>
      </c>
      <c r="C440" t="str">
        <f>IFERROR(__xludf.DUMMYFUNCTION("""COMPUTED_VALUE"""),"16WxFw58KivOf3P1utNNMuCYVONlWBgTIRn0wVd6Sq10")</f>
        <v>16WxFw58KivOf3P1utNNMuCYVONlWBgTIRn0wVd6Sq10</v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IFERROR(__xludf.DUMMYFUNCTION("""COMPUTED_VALUE"""),"SelectForexImportType")</f>
        <v>SelectForexImportType</v>
      </c>
      <c r="C441" t="str">
        <f>IFERROR(__xludf.DUMMYFUNCTION("""COMPUTED_VALUE"""),"1niCpVuSl0IoWtjAcvElNI0GeVHeA4cKvepxzq7Z4t0Y")</f>
        <v>1niCpVuSl0IoWtjAcvElNI0GeVHeA4cKvepxzq7Z4t0Y</v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IFERROR(__xludf.DUMMYFUNCTION("""COMPUTED_VALUE"""),"SelectDoubleEntryCashImportType")</f>
        <v>SelectDoubleEntryCashImportType</v>
      </c>
      <c r="C442" t="str">
        <f>IFERROR(__xludf.DUMMYFUNCTION("""COMPUTED_VALUE"""),"1c3AV5tCWYyTG5GupbNYTh4Y6mBGeI5Q18WF7jbA_FoE")</f>
        <v>1c3AV5tCWYyTG5GupbNYTh4Y6mBGeI5Q18WF7jbA_FoE</v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IFERROR(__xludf.DUMMYFUNCTION("""COMPUTED_VALUE"""),"Import")</f>
        <v>Import</v>
      </c>
      <c r="B443" t="str">
        <f>IFERROR(__xludf.DUMMYFUNCTION("""COMPUTED_VALUE"""),"SelectActivitiesImportType")</f>
        <v>SelectActivitiesImportType</v>
      </c>
      <c r="C443" t="str">
        <f>IFERROR(__xludf.DUMMYFUNCTION("""COMPUTED_VALUE"""),"1X6nskWL8-xWWF-gN9qfxhhV3aBuAeoxKsrdra5tJcpQ")</f>
        <v>1X6nskWL8-xWWF-gN9qfxhhV3aBuAeoxKsrdra5tJcpQ</v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IFERROR(__xludf.DUMMYFUNCTION("""COMPUTED_VALUE"""),"TradingTicket")</f>
        <v>TradingTicket</v>
      </c>
      <c r="B444" t="str">
        <f>IFERROR(__xludf.DUMMYFUNCTION("""COMPUTED_VALUE"""),"SetTTCompliancePreference")</f>
        <v>SetTTCompliancePreference</v>
      </c>
      <c r="C444" t="str">
        <f>IFERROR(__xludf.DUMMYFUNCTION("""COMPUTED_VALUE"""),"1OPa8vYQi1QXXNENlCNdP6ay_L5vU7WyWP5dErE2KHEA")</f>
        <v>1OPa8vYQi1QXXNENlCNdP6ay_L5vU7WyWP5dErE2KHEA</v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IFERROR(__xludf.DUMMYFUNCTION("""COMPUTED_VALUE"""),"Rebalancer")</f>
        <v>Rebalancer</v>
      </c>
      <c r="B445" t="str">
        <f>IFERROR(__xludf.DUMMYFUNCTION("""COMPUTED_VALUE"""),"LockandUnlockGridData")</f>
        <v>LockandUnlockGridData</v>
      </c>
      <c r="C445" t="str">
        <f>IFERROR(__xludf.DUMMYFUNCTION("""COMPUTED_VALUE"""),"1Km85kIYSTzG-NQHFDL8ZVRQQ0TKLUDOYsw-kdDX29xE")</f>
        <v>1Km85kIYSTzG-NQHFDL8ZVRQQ0TKLUDOYsw-kdDX29xE</v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IFERROR(__xludf.DUMMYFUNCTION("""COMPUTED_VALUE"""),"Allocation")</f>
        <v>Allocation</v>
      </c>
      <c r="B446" t="str">
        <f>IFERROR(__xludf.DUMMYFUNCTION("""COMPUTED_VALUE"""),"SetTradeAttributePreferences")</f>
        <v>SetTradeAttributePreferences</v>
      </c>
      <c r="C446" t="str">
        <f>IFERROR(__xludf.DUMMYFUNCTION("""COMPUTED_VALUE"""),"1jyPRPc_0lTWCpP9oldB5fgtg2dy3jSnXLkS_qYf40-I")</f>
        <v>1jyPRPc_0lTWCpP9oldB5fgtg2dy3jSnXLkS_qYf40-I</v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IFERROR(__xludf.DUMMYFUNCTION("""COMPUTED_VALUE"""),"VerifyAccountBalances")</f>
        <v>VerifyAccountBalances</v>
      </c>
      <c r="C447" t="str">
        <f>IFERROR(__xludf.DUMMYFUNCTION("""COMPUTED_VALUE"""),"1ym14EKcw7B3au8SvVteq2gmFR3cDcsMvQQEIm0TQjf4")</f>
        <v>1ym14EKcw7B3au8SvVteq2gmFR3cDcsMvQQEIm0TQjf4</v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IFERROR(__xludf.DUMMYFUNCTION("""COMPUTED_VALUE"""),"Rebalancer")</f>
        <v>Rebalancer</v>
      </c>
      <c r="B448" t="str">
        <f>IFERROR(__xludf.DUMMYFUNCTION("""COMPUTED_VALUE"""),"RefreshGridData")</f>
        <v>RefreshGridData</v>
      </c>
      <c r="C448" t="str">
        <f>IFERROR(__xludf.DUMMYFUNCTION("""COMPUTED_VALUE"""),"1iFsjUbnYA0Jwd89eYQjg5OrnW3lr2WGVb5quimwHrRw")</f>
        <v>1iFsjUbnYA0Jwd89eYQjg5OrnW3lr2WGVb5quimwHrRw</v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IFERROR(__xludf.DUMMYFUNCTION("""COMPUTED_VALUE"""),"GeneralLedger")</f>
        <v>GeneralLedger</v>
      </c>
      <c r="B449" t="str">
        <f>IFERROR(__xludf.DUMMYFUNCTION("""COMPUTED_VALUE"""),"AddMultipleOpeningBalTranItem")</f>
        <v>AddMultipleOpeningBalTranItem</v>
      </c>
      <c r="C449" t="str">
        <f>IFERROR(__xludf.DUMMYFUNCTION("""COMPUTED_VALUE"""),"14VkN8stineosylh8hvnYNK-GMxNG0uFZBKPjv00GOVc")</f>
        <v>14VkN8stineosylh8hvnYNK-GMxNG0uFZBKPjv00GOVc</v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IFERROR(__xludf.DUMMYFUNCTION("""COMPUTED_VALUE"""),"ApplyFilterOnImport")</f>
        <v>ApplyFilterOnImport</v>
      </c>
      <c r="C450" t="str">
        <f>IFERROR(__xludf.DUMMYFUNCTION("""COMPUTED_VALUE"""),"1NbH6CrAG4P2-tfFJ5m9jUCbnHY9N7cAluffYy9kFrtg")</f>
        <v>1NbH6CrAG4P2-tfFJ5m9jUCbnHY9N7cAluffYy9kFrtg</v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IFERROR(__xludf.DUMMYFUNCTION("""COMPUTED_VALUE"""),"Rebalancer")</f>
        <v>Rebalancer</v>
      </c>
      <c r="B451" t="str">
        <f>IFERROR(__xludf.DUMMYFUNCTION("""COMPUTED_VALUE"""),"SendtoStaging")</f>
        <v>SendtoStaging</v>
      </c>
      <c r="C451" t="str">
        <f>IFERROR(__xludf.DUMMYFUNCTION("""COMPUTED_VALUE"""),"1Zhte_TGc173a8WWc7feC_7HQ_A-M9Q7Np-aK2NPeTIo")</f>
        <v>1Zhte_TGc173a8WWc7feC_7HQ_A-M9Q7Np-aK2NPeTIo</v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IFERROR(__xludf.DUMMYFUNCTION("""COMPUTED_VALUE"""),"SetDefaultSymbology")</f>
        <v>SetDefaultSymbology</v>
      </c>
      <c r="C452" t="str">
        <f>IFERROR(__xludf.DUMMYFUNCTION("""COMPUTED_VALUE"""),"1b7zlTIVQjL2vZc0hUNmY0Nj3YpQi8BtYcWMr8_hvABw")</f>
        <v>1b7zlTIVQjL2vZc0hUNmY0Nj3YpQi8BtYcWMr8_hvABw</v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IFERROR(__xludf.DUMMYFUNCTION("""COMPUTED_VALUE"""),"Allocation")</f>
        <v>Allocation</v>
      </c>
      <c r="B453" t="str">
        <f>IFERROR(__xludf.DUMMYFUNCTION("""COMPUTED_VALUE"""),"EnterCustomAllocatePreference")</f>
        <v>EnterCustomAllocatePreference</v>
      </c>
      <c r="C453" t="str">
        <f>IFERROR(__xludf.DUMMYFUNCTION("""COMPUTED_VALUE"""),"1eNnQSyrPr_L4TcV7izBj89sySDQaYK6gNqNVbd2ChKE")</f>
        <v>1eNnQSyrPr_L4TcV7izBj89sySDQaYK6gNqNVbd2ChKE</v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IFERROR(__xludf.DUMMYFUNCTION("""COMPUTED_VALUE"""),"PTT")</f>
        <v>PTT</v>
      </c>
      <c r="B454" t="str">
        <f>IFERROR(__xludf.DUMMYFUNCTION("""COMPUTED_VALUE"""),"EditPTTAccountLevelWPF")</f>
        <v>EditPTTAccountLevelWPF</v>
      </c>
      <c r="C454" t="str">
        <f>IFERROR(__xludf.DUMMYFUNCTION("""COMPUTED_VALUE"""),"1lkoB4yg9KAzhNswvpJ9xWcz4YPaysGRGQuXBp7wigzQ")</f>
        <v>1lkoB4yg9KAzhNswvpJ9xWcz4YPaysGRGQuXBp7wigzQ</v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IFERROR(__xludf.DUMMYFUNCTION("""COMPUTED_VALUE"""),"PortfolioManagement")</f>
        <v>PortfolioManagement</v>
      </c>
      <c r="B455" t="str">
        <f>IFERROR(__xludf.DUMMYFUNCTION("""COMPUTED_VALUE"""),"OpenCreateTransactionFromPM")</f>
        <v>OpenCreateTransactionFromPM</v>
      </c>
      <c r="C455" t="str">
        <f>IFERROR(__xludf.DUMMYFUNCTION("""COMPUTED_VALUE"""),"1kYgb5moj5P-JWXvKHbuX1snB8mlE4Vdc4aiH1bDnoHI")</f>
        <v>1kYgb5moj5P-JWXvKHbuX1snB8mlE4Vdc4aiH1bDnoHI</v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IFERROR(__xludf.DUMMYFUNCTION("""COMPUTED_VALUE"""),"SetAutoGroupingPreferences")</f>
        <v>SetAutoGroupingPreferences</v>
      </c>
      <c r="C456" t="str">
        <f>IFERROR(__xludf.DUMMYFUNCTION("""COMPUTED_VALUE"""),"1D35ujYz3sSem5ddRMKhpDtAxLAuwzV3i4A0w31WFRjE")</f>
        <v>1D35ujYz3sSem5ddRMKhpDtAxLAuwzV3i4A0w31WFRjE</v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IFERROR(__xludf.DUMMYFUNCTION("""COMPUTED_VALUE"""),"SetAutoGroupingAccount")</f>
        <v>SetAutoGroupingAccount</v>
      </c>
      <c r="C457" t="str">
        <f>IFERROR(__xludf.DUMMYFUNCTION("""COMPUTED_VALUE"""),"1CF-lbRv2R0CjOCWWaoSCrEih5WxPa65LdKDcH_H7AvM")</f>
        <v>1CF-lbRv2R0CjOCWWaoSCrEih5WxPa65LdKDcH_H7AvM</v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IFERROR(__xludf.DUMMYFUNCTION("""COMPUTED_VALUE"""),"Allocation")</f>
        <v>Allocation</v>
      </c>
      <c r="B458" t="str">
        <f>IFERROR(__xludf.DUMMYFUNCTION("""COMPUTED_VALUE"""),"SetAvgPriceRounding")</f>
        <v>SetAvgPriceRounding</v>
      </c>
      <c r="C458" t="str">
        <f>IFERROR(__xludf.DUMMYFUNCTION("""COMPUTED_VALUE"""),"1appeOpkVhy6OTICRFxIDc71ZbQKU-Ynw5sV7KihABMU")</f>
        <v>1appeOpkVhy6OTICRFxIDc71ZbQKU-Ynw5sV7KihABMU</v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IFERROR(__xludf.DUMMYFUNCTION("""COMPUTED_VALUE"""),"SetActive")</f>
        <v>SetActive</v>
      </c>
      <c r="C459" t="str">
        <f>IFERROR(__xludf.DUMMYFUNCTION("""COMPUTED_VALUE"""),"1ymrfngxFmxi2NFQGgXVw211iNNJ37T-E5RaoFHqrBv0")</f>
        <v>1ymrfngxFmxi2NFQGgXVw211iNNJ37T-E5RaoFHqrBv0</v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IFERROR(__xludf.DUMMYFUNCTION("""COMPUTED_VALUE"""),"Admin")</f>
        <v>Admin</v>
      </c>
      <c r="B460" t="str">
        <f>IFERROR(__xludf.DUMMYFUNCTION("""COMPUTED_VALUE"""),"SetThirdPartyFormat")</f>
        <v>SetThirdPartyFormat</v>
      </c>
      <c r="C460" t="str">
        <f>IFERROR(__xludf.DUMMYFUNCTION("""COMPUTED_VALUE"""),"1YBuAIaPPp_zD8dJLcJZofXxiKAE6eZJzGO4FqDo7GTE")</f>
        <v>1YBuAIaPPp_zD8dJLcJZofXxiKAE6eZJzGO4FqDo7GTE</v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IFERROR(__xludf.DUMMYFUNCTION("""COMPUTED_VALUE"""),"RebalanceAcrossSecuritiesViaBloomberg")</f>
        <v>RebalanceAcrossSecuritiesViaBloomberg</v>
      </c>
      <c r="C461" t="str">
        <f>IFERROR(__xludf.DUMMYFUNCTION("""COMPUTED_VALUE"""),"1z93mn3V8oo4z9cPizVEsKkgznY19l8cLUIZiwvfNHFs")</f>
        <v>1z93mn3V8oo4z9cPizVEsKkgznY19l8cLUIZiwvfNHFs</v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IFERROR(__xludf.DUMMYFUNCTION("""COMPUTED_VALUE"""),"ThirdParty")</f>
        <v>ThirdParty</v>
      </c>
      <c r="B462" t="str">
        <f>IFERROR(__xludf.DUMMYFUNCTION("""COMPUTED_VALUE"""),"RefreshThirdParty")</f>
        <v>RefreshThirdParty</v>
      </c>
      <c r="C462" t="str">
        <f>IFERROR(__xludf.DUMMYFUNCTION("""COMPUTED_VALUE"""),"1lOOWkQYcBWumeD4F4mCbIz0B_-RtHa-lbk2xvVUXKAQ")</f>
        <v>1lOOWkQYcBWumeD4F4mCbIz0B_-RtHa-lbk2xvVUXKAQ</v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IFERROR(__xludf.DUMMYFUNCTION("""COMPUTED_VALUE"""),"Rebalancer")</f>
        <v>Rebalancer</v>
      </c>
      <c r="B463" t="str">
        <f>IFERROR(__xludf.DUMMYFUNCTION("""COMPUTED_VALUE"""),"AddUserAdjustedNAV")</f>
        <v>AddUserAdjustedNAV</v>
      </c>
      <c r="C463" t="str">
        <f>IFERROR(__xludf.DUMMYFUNCTION("""COMPUTED_VALUE"""),"1qQ0LJ_1IrYMh6SBmiw0AFS9zYw6kLYcDP2Wn07lO6Lk")</f>
        <v>1qQ0LJ_1IrYMh6SBmiw0AFS9zYw6kLYcDP2Wn07lO6Lk</v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IFERROR(__xludf.DUMMYFUNCTION("""COMPUTED_VALUE"""),"Allocation")</f>
        <v>Allocation</v>
      </c>
      <c r="B464" t="str">
        <f>IFERROR(__xludf.DUMMYFUNCTION("""COMPUTED_VALUE"""),"IsAllocationOpen")</f>
        <v>IsAllocationOpen</v>
      </c>
      <c r="C464" t="str">
        <f>IFERROR(__xludf.DUMMYFUNCTION("""COMPUTED_VALUE"""),"1Yj9sEWGLvIGVCkeE8wc3xNY8Z4yZNGigW0Bdgp8edvA")</f>
        <v>1Yj9sEWGLvIGVCkeE8wc3xNY8Z4yZNGigW0Bdgp8edvA</v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0">
        <f t="shared" ref="B6:C6" si="1">TODAY()</f>
        <v>44144</v>
      </c>
      <c r="C6" s="31">
        <f t="shared" si="1"/>
        <v>44144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 t="s">
        <v>17</v>
      </c>
      <c r="C6" s="34" t="s">
        <v>18</v>
      </c>
      <c r="D6" s="35">
        <v>10000.0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6" t="s">
        <v>19</v>
      </c>
      <c r="C7" s="36" t="s">
        <v>18</v>
      </c>
      <c r="D7" s="37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IFERROR(__xludf.DUMMYFUNCTION("""COMPUTED_VALUE"""),"CreateDoneAwayOrder")</f>
        <v>CreateDoneAwayOrder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IFERROR(__xludf.DUMMYFUNCTION("""COMPUTED_VALUE"""),"ShowMasterFundOnTT")</f>
        <v>ShowMasterFundOnTT</v>
      </c>
      <c r="S4" s="25" t="str">
        <f>IFERROR(__xludf.DUMMYFUNCTION("""COMPUTED_VALUE"""),"UpdateMasterFundOnTT")</f>
        <v>UpdateMasterFundOnTT</v>
      </c>
      <c r="T4" s="25" t="str">
        <f>IFERROR(__xludf.DUMMYFUNCTION("""COMPUTED_VALUE"""),"SetTTCompliancePreference")</f>
        <v>SetTTCompliancePreference</v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 t="s">
        <v>22</v>
      </c>
      <c r="C6" s="34" t="s">
        <v>23</v>
      </c>
      <c r="D6" s="35">
        <v>100.0</v>
      </c>
      <c r="E6" s="38">
        <v>100.0</v>
      </c>
      <c r="F6" s="34" t="s">
        <v>17</v>
      </c>
      <c r="G6" s="39"/>
      <c r="H6" s="39"/>
      <c r="I6" s="39"/>
      <c r="J6" s="38">
        <v>10.0</v>
      </c>
      <c r="K6" s="8"/>
      <c r="L6" s="8"/>
      <c r="M6" s="8"/>
      <c r="N6" s="31">
        <f t="shared" ref="N6:N9" si="1">TODAY()</f>
        <v>44144</v>
      </c>
      <c r="O6" s="8"/>
    </row>
    <row r="7" ht="15.75" customHeight="1">
      <c r="A7" s="8"/>
      <c r="B7" s="36" t="s">
        <v>22</v>
      </c>
      <c r="C7" s="36" t="s">
        <v>23</v>
      </c>
      <c r="D7" s="37">
        <v>100.0</v>
      </c>
      <c r="E7" s="37">
        <v>100.0</v>
      </c>
      <c r="F7" s="36" t="s">
        <v>19</v>
      </c>
      <c r="G7" s="40"/>
      <c r="H7" s="40"/>
      <c r="I7" s="40"/>
      <c r="J7" s="37">
        <v>10.0</v>
      </c>
      <c r="K7" s="8"/>
      <c r="L7" s="8"/>
      <c r="M7" s="8"/>
      <c r="N7" s="31">
        <f t="shared" si="1"/>
        <v>44144</v>
      </c>
      <c r="O7" s="8"/>
    </row>
    <row r="8" ht="15.75" customHeight="1">
      <c r="A8" s="8"/>
      <c r="B8" s="40" t="s">
        <v>24</v>
      </c>
      <c r="C8" s="40" t="s">
        <v>25</v>
      </c>
      <c r="D8" s="37">
        <v>200.0</v>
      </c>
      <c r="E8" s="37">
        <v>200.0</v>
      </c>
      <c r="F8" s="36" t="s">
        <v>17</v>
      </c>
      <c r="G8" s="40"/>
      <c r="H8" s="40"/>
      <c r="I8" s="40"/>
      <c r="J8" s="37">
        <v>10.0</v>
      </c>
      <c r="K8" s="8"/>
      <c r="L8" s="8"/>
      <c r="M8" s="8"/>
      <c r="N8" s="31">
        <f t="shared" si="1"/>
        <v>44144</v>
      </c>
      <c r="O8" s="8"/>
    </row>
    <row r="9" ht="15.75" customHeight="1">
      <c r="A9" s="8"/>
      <c r="B9" s="11" t="s">
        <v>26</v>
      </c>
      <c r="C9" s="11" t="s">
        <v>23</v>
      </c>
      <c r="D9" s="11">
        <v>100.0</v>
      </c>
      <c r="E9" s="11">
        <v>100.0</v>
      </c>
      <c r="F9" s="11" t="s">
        <v>17</v>
      </c>
      <c r="G9" s="8"/>
      <c r="H9" s="8"/>
      <c r="I9" s="8"/>
      <c r="J9" s="11">
        <v>15.0</v>
      </c>
      <c r="K9" s="8"/>
      <c r="L9" s="8"/>
      <c r="M9" s="8"/>
      <c r="N9" s="31">
        <f t="shared" si="1"/>
        <v>44144</v>
      </c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IFERROR(__xludf.DUMMYFUNCTION("""COMPUTED_VALUE"""),"")</f>
        <v/>
      </c>
      <c r="G4" s="24" t="str">
        <f>IFERROR(__xludf.DUMMYFUNCTION("""COMPUTED_VALUE"""),"")</f>
        <v/>
      </c>
      <c r="H4" s="24" t="str">
        <f>IFERROR(__xludf.DUMMYFUNCTION("""COMPUTED_VALUE"""),"")</f>
        <v/>
      </c>
      <c r="I4" s="24" t="str">
        <f>IFERROR(__xludf.DUMMYFUNCTION("""COMPUTED_VALUE"""),"")</f>
        <v/>
      </c>
      <c r="J4" s="24" t="str">
        <f>IFERROR(__xludf.DUMMYFUNCTION("""COMPUTED_VALUE"""),"")</f>
        <v/>
      </c>
      <c r="K4" s="24" t="str">
        <f>IFERROR(__xludf.DUMMYFUNCTION("""COMPUTED_VALUE"""),"")</f>
        <v/>
      </c>
      <c r="L4" s="24" t="str">
        <f>IFERROR(__xludf.DUMMYFUNCTION("""COMPUTED_VALUE"""),"")</f>
        <v/>
      </c>
      <c r="M4" s="24" t="str">
        <f>IFERROR(__xludf.DUMMYFUNCTION("""COMPUTED_VALUE"""),"")</f>
        <v/>
      </c>
      <c r="N4" s="24" t="str">
        <f>IFERROR(__xludf.DUMMYFUNCTION("""COMPUTED_VALUE"""),"")</f>
        <v/>
      </c>
      <c r="O4" s="24" t="str">
        <f>IFERROR(__xludf.DUMMYFUNCTION("""COMPUTED_VALUE"""),"")</f>
        <v/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33" t="s">
        <v>22</v>
      </c>
      <c r="C6" s="38">
        <v>10.0</v>
      </c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24</v>
      </c>
      <c r="C7" s="37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11" t="s">
        <v>26</v>
      </c>
      <c r="C8" s="11">
        <v>10.0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17</v>
      </c>
      <c r="C6" s="40" t="s">
        <v>30</v>
      </c>
      <c r="D6" s="41" t="s">
        <v>31</v>
      </c>
      <c r="E6" s="39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2">
        <v>1000.0</v>
      </c>
      <c r="C6" s="43" t="s">
        <v>34</v>
      </c>
      <c r="D6" s="41" t="s">
        <v>35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44" t="s">
        <v>17</v>
      </c>
      <c r="D6" s="44" t="s">
        <v>22</v>
      </c>
      <c r="E6" s="44" t="s">
        <v>37</v>
      </c>
      <c r="F6" s="44" t="s">
        <v>38</v>
      </c>
      <c r="G6" s="45">
        <v>10.0</v>
      </c>
      <c r="H6" s="45">
        <v>10.0</v>
      </c>
      <c r="I6" s="45">
        <v>1.0</v>
      </c>
      <c r="J6" s="45">
        <v>-200.0</v>
      </c>
      <c r="K6" s="45">
        <v>100.0</v>
      </c>
      <c r="L6" s="45">
        <v>1000.0</v>
      </c>
      <c r="M6" s="45">
        <v>1000.0</v>
      </c>
      <c r="N6" s="44">
        <v>-200.0</v>
      </c>
      <c r="O6" s="45">
        <v>100.0</v>
      </c>
      <c r="P6" s="45">
        <v>1000.0</v>
      </c>
      <c r="Q6" s="45">
        <v>1000.0</v>
      </c>
      <c r="R6" s="45">
        <v>0.0</v>
      </c>
      <c r="S6" s="45">
        <v>0.0</v>
      </c>
      <c r="T6" s="44" t="s">
        <v>39</v>
      </c>
    </row>
    <row r="7" ht="15.75" customHeight="1">
      <c r="A7" s="8"/>
      <c r="B7" s="8"/>
      <c r="C7" s="44" t="s">
        <v>17</v>
      </c>
      <c r="D7" s="44" t="s">
        <v>26</v>
      </c>
      <c r="E7" s="44" t="s">
        <v>37</v>
      </c>
      <c r="F7" s="44" t="s">
        <v>38</v>
      </c>
      <c r="G7" s="45">
        <v>10.0</v>
      </c>
      <c r="H7" s="45">
        <v>10.0</v>
      </c>
      <c r="I7" s="45">
        <v>1.0</v>
      </c>
      <c r="J7" s="45">
        <v>-200.0</v>
      </c>
      <c r="K7" s="45">
        <v>100.0</v>
      </c>
      <c r="L7" s="45">
        <v>1000.0</v>
      </c>
      <c r="M7" s="45">
        <v>1000.0</v>
      </c>
      <c r="N7" s="44">
        <v>-200.0</v>
      </c>
      <c r="O7" s="45">
        <v>100.0</v>
      </c>
      <c r="P7" s="45">
        <v>1000.0</v>
      </c>
      <c r="Q7" s="45">
        <v>1000.0</v>
      </c>
      <c r="R7" s="45">
        <v>0.0</v>
      </c>
      <c r="S7" s="45">
        <v>0.0</v>
      </c>
      <c r="T7" s="44" t="s">
        <v>40</v>
      </c>
    </row>
    <row r="8" ht="15.75" customHeight="1">
      <c r="A8" s="8"/>
      <c r="B8" s="8"/>
      <c r="C8" s="44" t="s">
        <v>17</v>
      </c>
      <c r="D8" s="44" t="s">
        <v>24</v>
      </c>
      <c r="E8" s="44" t="s">
        <v>37</v>
      </c>
      <c r="F8" s="44" t="s">
        <v>41</v>
      </c>
      <c r="G8" s="45">
        <v>10.0</v>
      </c>
      <c r="H8" s="45">
        <v>10.0</v>
      </c>
      <c r="I8" s="45">
        <v>1.0</v>
      </c>
      <c r="J8" s="45">
        <v>400.0</v>
      </c>
      <c r="K8" s="45">
        <v>200.0</v>
      </c>
      <c r="L8" s="45">
        <v>-2000.0</v>
      </c>
      <c r="M8" s="45">
        <v>-2000.0</v>
      </c>
      <c r="N8" s="44">
        <v>400.0</v>
      </c>
      <c r="O8" s="45">
        <v>200.0</v>
      </c>
      <c r="P8" s="45">
        <v>-2000.0</v>
      </c>
      <c r="Q8" s="45">
        <v>-2000.0</v>
      </c>
      <c r="R8" s="45">
        <v>0.0</v>
      </c>
      <c r="S8" s="45">
        <v>0.0</v>
      </c>
      <c r="T8" s="44" t="s">
        <v>40</v>
      </c>
    </row>
    <row r="9" ht="15.75" customHeight="1">
      <c r="A9" s="8"/>
      <c r="B9" s="8"/>
      <c r="C9" s="44" t="s">
        <v>17</v>
      </c>
      <c r="D9" s="44" t="s">
        <v>42</v>
      </c>
      <c r="E9" s="44" t="s">
        <v>42</v>
      </c>
      <c r="F9" s="44" t="s">
        <v>41</v>
      </c>
      <c r="G9" s="45">
        <v>1.0</v>
      </c>
      <c r="H9" s="45">
        <v>1.0</v>
      </c>
      <c r="I9" s="45">
        <v>1.0</v>
      </c>
      <c r="J9" s="45">
        <v>100.0</v>
      </c>
      <c r="K9" s="45">
        <v>500.0</v>
      </c>
      <c r="L9" s="45">
        <v>-500.0</v>
      </c>
      <c r="M9" s="45">
        <v>-500.0</v>
      </c>
      <c r="N9" s="44">
        <v>100.0</v>
      </c>
      <c r="O9" s="45">
        <v>500.0</v>
      </c>
      <c r="P9" s="45">
        <v>-500.0</v>
      </c>
      <c r="Q9" s="45">
        <v>-500.0</v>
      </c>
      <c r="R9" s="45">
        <v>0.0</v>
      </c>
      <c r="S9" s="45">
        <v>0.0</v>
      </c>
      <c r="T9" s="44" t="s">
        <v>42</v>
      </c>
    </row>
    <row r="10" ht="15.75" customHeight="1">
      <c r="A10" s="8"/>
      <c r="B10" s="8"/>
      <c r="C10" s="44"/>
      <c r="D10" s="44"/>
      <c r="E10" s="44"/>
      <c r="F10" s="44"/>
      <c r="G10" s="45"/>
      <c r="H10" s="45"/>
      <c r="I10" s="45"/>
      <c r="J10" s="45"/>
      <c r="K10" s="45"/>
      <c r="L10" s="45"/>
      <c r="M10" s="45"/>
      <c r="N10" s="44"/>
      <c r="O10" s="45"/>
      <c r="P10" s="45"/>
      <c r="Q10" s="45"/>
      <c r="R10" s="45"/>
      <c r="S10" s="45"/>
      <c r="T10" s="44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44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4"/>
      <c r="C6" s="44" t="s">
        <v>17</v>
      </c>
      <c r="D6" s="44" t="s">
        <v>22</v>
      </c>
      <c r="E6" s="44" t="s">
        <v>37</v>
      </c>
      <c r="F6" s="44" t="s">
        <v>38</v>
      </c>
      <c r="G6" s="45">
        <v>10.0</v>
      </c>
      <c r="H6" s="45">
        <v>10.0</v>
      </c>
      <c r="I6" s="45">
        <v>1.0</v>
      </c>
      <c r="J6" s="45"/>
      <c r="K6" s="45">
        <v>100.0</v>
      </c>
      <c r="L6" s="45">
        <v>1000.0</v>
      </c>
      <c r="M6" s="45">
        <v>1000.0</v>
      </c>
      <c r="N6" s="44"/>
      <c r="O6" s="45">
        <v>100.0</v>
      </c>
      <c r="P6" s="45">
        <v>1000.0</v>
      </c>
      <c r="Q6" s="45">
        <v>1000.0</v>
      </c>
      <c r="R6" s="45">
        <v>0.0</v>
      </c>
      <c r="S6" s="45">
        <v>0.0</v>
      </c>
      <c r="T6" s="44" t="s">
        <v>39</v>
      </c>
    </row>
    <row r="7" ht="15.75" customHeight="1">
      <c r="A7" s="8"/>
      <c r="B7" s="44"/>
      <c r="C7" s="44" t="s">
        <v>17</v>
      </c>
      <c r="D7" s="44" t="s">
        <v>26</v>
      </c>
      <c r="E7" s="44" t="s">
        <v>37</v>
      </c>
      <c r="F7" s="44" t="s">
        <v>38</v>
      </c>
      <c r="G7" s="45">
        <v>10.0</v>
      </c>
      <c r="H7" s="45">
        <v>10.0</v>
      </c>
      <c r="I7" s="45">
        <v>1.0</v>
      </c>
      <c r="J7" s="45"/>
      <c r="K7" s="45">
        <v>100.0</v>
      </c>
      <c r="L7" s="45">
        <v>1000.0</v>
      </c>
      <c r="M7" s="45">
        <v>1000.0</v>
      </c>
      <c r="N7" s="44"/>
      <c r="O7" s="45">
        <v>100.0</v>
      </c>
      <c r="P7" s="45">
        <v>1000.0</v>
      </c>
      <c r="Q7" s="45">
        <v>1000.0</v>
      </c>
      <c r="R7" s="45">
        <v>0.0</v>
      </c>
      <c r="S7" s="45">
        <v>0.0</v>
      </c>
      <c r="T7" s="44" t="s">
        <v>40</v>
      </c>
    </row>
    <row r="8" ht="15.75" customHeight="1">
      <c r="A8" s="8"/>
      <c r="B8" s="44"/>
      <c r="C8" s="44" t="s">
        <v>17</v>
      </c>
      <c r="D8" s="44" t="s">
        <v>24</v>
      </c>
      <c r="E8" s="44" t="s">
        <v>37</v>
      </c>
      <c r="F8" s="44" t="s">
        <v>41</v>
      </c>
      <c r="G8" s="45">
        <v>10.0</v>
      </c>
      <c r="H8" s="45">
        <v>10.0</v>
      </c>
      <c r="I8" s="45">
        <v>1.0</v>
      </c>
      <c r="J8" s="45"/>
      <c r="K8" s="45">
        <v>200.0</v>
      </c>
      <c r="L8" s="45">
        <v>-2000.0</v>
      </c>
      <c r="M8" s="45">
        <v>-2000.0</v>
      </c>
      <c r="N8" s="44"/>
      <c r="O8" s="45">
        <v>200.0</v>
      </c>
      <c r="P8" s="45">
        <v>-2000.0</v>
      </c>
      <c r="Q8" s="45">
        <v>-2000.0</v>
      </c>
      <c r="R8" s="45">
        <v>0.0</v>
      </c>
      <c r="S8" s="45">
        <v>0.0</v>
      </c>
      <c r="T8" s="44" t="s">
        <v>40</v>
      </c>
    </row>
    <row r="9" ht="15.75" customHeight="1">
      <c r="A9" s="8"/>
      <c r="B9" s="44"/>
      <c r="C9" s="44" t="s">
        <v>17</v>
      </c>
      <c r="D9" s="44" t="s">
        <v>46</v>
      </c>
      <c r="E9" s="44" t="s">
        <v>46</v>
      </c>
      <c r="F9" s="44" t="s">
        <v>38</v>
      </c>
      <c r="G9" s="45">
        <v>1.0</v>
      </c>
      <c r="H9" s="45">
        <v>1.0</v>
      </c>
      <c r="I9" s="45">
        <v>1.0</v>
      </c>
      <c r="J9" s="45"/>
      <c r="K9" s="45">
        <v>0.0</v>
      </c>
      <c r="L9" s="45">
        <v>0.0</v>
      </c>
      <c r="M9" s="45">
        <v>0.0</v>
      </c>
      <c r="N9" s="44"/>
      <c r="O9" s="45">
        <v>0.0</v>
      </c>
      <c r="P9" s="45">
        <v>0.0</v>
      </c>
      <c r="Q9" s="45">
        <v>0.0</v>
      </c>
      <c r="R9" s="45">
        <v>0.0</v>
      </c>
      <c r="S9" s="45">
        <v>0.0</v>
      </c>
      <c r="T9" s="44" t="s">
        <v>46</v>
      </c>
    </row>
    <row r="10" ht="15.75" customHeight="1">
      <c r="A10" s="8"/>
      <c r="B10" s="44"/>
      <c r="C10" s="44" t="s">
        <v>17</v>
      </c>
      <c r="D10" s="44" t="s">
        <v>42</v>
      </c>
      <c r="E10" s="44" t="s">
        <v>42</v>
      </c>
      <c r="F10" s="44" t="s">
        <v>41</v>
      </c>
      <c r="G10" s="45">
        <v>1.0</v>
      </c>
      <c r="H10" s="45">
        <v>1.0</v>
      </c>
      <c r="I10" s="45">
        <v>1.0</v>
      </c>
      <c r="J10" s="45"/>
      <c r="K10" s="45">
        <v>500.0</v>
      </c>
      <c r="L10" s="45">
        <v>-500.0</v>
      </c>
      <c r="M10" s="45">
        <v>-500.0</v>
      </c>
      <c r="N10" s="44"/>
      <c r="O10" s="45">
        <v>500.0</v>
      </c>
      <c r="P10" s="45">
        <v>-500.0</v>
      </c>
      <c r="Q10" s="45">
        <v>-500.0</v>
      </c>
      <c r="R10" s="45">
        <v>0.0</v>
      </c>
      <c r="S10" s="45">
        <v>0.0</v>
      </c>
      <c r="T10" s="44" t="s">
        <v>42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17</v>
      </c>
      <c r="C6" s="40" t="s">
        <v>30</v>
      </c>
      <c r="D6" s="41" t="s">
        <v>31</v>
      </c>
      <c r="E6" s="39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FetchAccountPositions1!$4:$4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2">
        <v>1000.0</v>
      </c>
      <c r="C6" s="43" t="s">
        <v>34</v>
      </c>
      <c r="D6" s="41" t="s">
        <v>35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AddCash1!$4:$4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44" t="s">
        <v>17</v>
      </c>
      <c r="D6" s="44" t="s">
        <v>22</v>
      </c>
      <c r="E6" s="44" t="s">
        <v>37</v>
      </c>
      <c r="F6" s="44" t="s">
        <v>38</v>
      </c>
      <c r="G6" s="45">
        <v>10.0</v>
      </c>
      <c r="H6" s="45">
        <v>10.0</v>
      </c>
      <c r="I6" s="45">
        <v>1.0</v>
      </c>
      <c r="J6" s="45">
        <v>-200.0</v>
      </c>
      <c r="K6" s="45">
        <v>100.0</v>
      </c>
      <c r="L6" s="45">
        <v>1000.0</v>
      </c>
      <c r="M6" s="45">
        <v>1000.0</v>
      </c>
      <c r="N6" s="44">
        <v>-200.0</v>
      </c>
      <c r="O6" s="45">
        <v>100.0</v>
      </c>
      <c r="P6" s="45">
        <v>1000.0</v>
      </c>
      <c r="Q6" s="45">
        <v>1000.0</v>
      </c>
      <c r="R6" s="45">
        <v>0.0</v>
      </c>
      <c r="S6" s="45">
        <v>0.0</v>
      </c>
      <c r="T6" s="44" t="s">
        <v>39</v>
      </c>
    </row>
    <row r="7" ht="15.75" customHeight="1">
      <c r="A7" s="8"/>
      <c r="B7" s="8"/>
      <c r="C7" s="44" t="s">
        <v>17</v>
      </c>
      <c r="D7" s="44" t="s">
        <v>42</v>
      </c>
      <c r="E7" s="44" t="s">
        <v>42</v>
      </c>
      <c r="F7" s="44" t="s">
        <v>41</v>
      </c>
      <c r="G7" s="45">
        <v>1.0</v>
      </c>
      <c r="H7" s="45">
        <v>1.0</v>
      </c>
      <c r="I7" s="45">
        <v>1.0</v>
      </c>
      <c r="J7" s="45">
        <v>100.0</v>
      </c>
      <c r="K7" s="45">
        <v>500.0</v>
      </c>
      <c r="L7" s="45">
        <v>-500.0</v>
      </c>
      <c r="M7" s="45">
        <v>-500.0</v>
      </c>
      <c r="N7" s="44">
        <v>100.0</v>
      </c>
      <c r="O7" s="45">
        <v>500.0</v>
      </c>
      <c r="P7" s="45">
        <v>-500.0</v>
      </c>
      <c r="Q7" s="45">
        <v>-500.0</v>
      </c>
      <c r="R7" s="45">
        <v>0.0</v>
      </c>
      <c r="S7" s="45">
        <v>0.0</v>
      </c>
      <c r="T7" s="44" t="s">
        <v>42</v>
      </c>
    </row>
    <row r="8" ht="15.75" customHeight="1">
      <c r="A8" s="8"/>
      <c r="B8" s="8"/>
      <c r="C8" s="44"/>
      <c r="D8" s="44"/>
      <c r="E8" s="44"/>
      <c r="F8" s="44"/>
      <c r="G8" s="45"/>
      <c r="H8" s="45"/>
      <c r="I8" s="45"/>
      <c r="J8" s="45"/>
      <c r="K8" s="45"/>
      <c r="L8" s="45"/>
      <c r="M8" s="45"/>
      <c r="N8" s="44"/>
      <c r="O8" s="45"/>
      <c r="P8" s="45"/>
      <c r="Q8" s="45"/>
      <c r="R8" s="45"/>
      <c r="S8" s="45"/>
      <c r="T8" s="4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LockandUnlockGridData1!$4:$4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44" t="s">
        <v>17</v>
      </c>
      <c r="D6" s="44" t="s">
        <v>22</v>
      </c>
      <c r="E6" s="44" t="s">
        <v>37</v>
      </c>
      <c r="F6" s="44" t="s">
        <v>38</v>
      </c>
      <c r="G6" s="45">
        <v>10.0</v>
      </c>
      <c r="H6" s="45">
        <v>10.0</v>
      </c>
      <c r="I6" s="45">
        <v>1.0</v>
      </c>
      <c r="J6" s="45"/>
      <c r="K6" s="45">
        <v>100.0</v>
      </c>
      <c r="L6" s="45">
        <v>1000.0</v>
      </c>
      <c r="M6" s="45">
        <v>1000.0</v>
      </c>
      <c r="N6" s="44"/>
      <c r="O6" s="45">
        <v>100.0</v>
      </c>
      <c r="P6" s="45">
        <v>1000.0</v>
      </c>
      <c r="Q6" s="45">
        <v>1000.0</v>
      </c>
      <c r="R6" s="45">
        <v>0.0</v>
      </c>
      <c r="S6" s="45">
        <v>0.0</v>
      </c>
      <c r="T6" s="44" t="s">
        <v>39</v>
      </c>
    </row>
    <row r="7" ht="15.75" customHeight="1">
      <c r="A7" s="8"/>
      <c r="B7" s="8"/>
      <c r="C7" s="44" t="s">
        <v>17</v>
      </c>
      <c r="D7" s="44" t="s">
        <v>26</v>
      </c>
      <c r="E7" s="44" t="s">
        <v>37</v>
      </c>
      <c r="F7" s="44" t="s">
        <v>38</v>
      </c>
      <c r="G7" s="45">
        <v>10.0</v>
      </c>
      <c r="H7" s="45">
        <v>10.0</v>
      </c>
      <c r="I7" s="45">
        <v>1.0</v>
      </c>
      <c r="J7" s="45"/>
      <c r="K7" s="45">
        <v>100.0</v>
      </c>
      <c r="L7" s="45">
        <v>1000.0</v>
      </c>
      <c r="M7" s="45">
        <v>1000.0</v>
      </c>
      <c r="N7" s="44"/>
      <c r="O7" s="45">
        <v>0.0</v>
      </c>
      <c r="P7" s="45">
        <v>0.0</v>
      </c>
      <c r="Q7" s="45">
        <v>0.0</v>
      </c>
      <c r="R7" s="45">
        <v>-100.0</v>
      </c>
      <c r="S7" s="47">
        <v>-1000.0</v>
      </c>
      <c r="T7" s="44" t="s">
        <v>40</v>
      </c>
    </row>
    <row r="8" ht="15.75" customHeight="1">
      <c r="A8" s="8"/>
      <c r="B8" s="8"/>
      <c r="C8" s="44" t="s">
        <v>17</v>
      </c>
      <c r="D8" s="44" t="s">
        <v>24</v>
      </c>
      <c r="E8" s="44" t="s">
        <v>37</v>
      </c>
      <c r="F8" s="44" t="s">
        <v>41</v>
      </c>
      <c r="G8" s="45">
        <v>10.0</v>
      </c>
      <c r="H8" s="45">
        <v>10.0</v>
      </c>
      <c r="I8" s="45">
        <v>1.0</v>
      </c>
      <c r="J8" s="45"/>
      <c r="K8" s="45">
        <v>200.0</v>
      </c>
      <c r="L8" s="45">
        <v>-2000.0</v>
      </c>
      <c r="M8" s="45">
        <v>-2000.0</v>
      </c>
      <c r="N8" s="44"/>
      <c r="O8" s="45">
        <v>0.0</v>
      </c>
      <c r="P8" s="45">
        <v>0.0</v>
      </c>
      <c r="Q8" s="45">
        <v>0.0</v>
      </c>
      <c r="R8" s="45">
        <v>-200.0</v>
      </c>
      <c r="S8" s="47">
        <v>2000.0</v>
      </c>
      <c r="T8" s="44" t="s">
        <v>40</v>
      </c>
    </row>
    <row r="9" ht="15.75" customHeight="1">
      <c r="A9" s="8"/>
      <c r="B9" s="8"/>
      <c r="C9" s="44" t="s">
        <v>17</v>
      </c>
      <c r="D9" s="44" t="s">
        <v>46</v>
      </c>
      <c r="E9" s="44" t="s">
        <v>46</v>
      </c>
      <c r="F9" s="44" t="s">
        <v>38</v>
      </c>
      <c r="G9" s="45">
        <v>1.0</v>
      </c>
      <c r="H9" s="45">
        <v>1.0</v>
      </c>
      <c r="I9" s="45">
        <v>1.0</v>
      </c>
      <c r="J9" s="45"/>
      <c r="K9" s="45">
        <v>0.0</v>
      </c>
      <c r="L9" s="45">
        <v>0.0</v>
      </c>
      <c r="M9" s="45">
        <v>0.0</v>
      </c>
      <c r="N9" s="44"/>
      <c r="O9" s="45">
        <v>0.0</v>
      </c>
      <c r="P9" s="45">
        <v>0.0</v>
      </c>
      <c r="Q9" s="45">
        <v>0.0</v>
      </c>
      <c r="R9" s="45">
        <v>0.0</v>
      </c>
      <c r="S9" s="47">
        <v>0.0</v>
      </c>
      <c r="T9" s="44" t="s">
        <v>46</v>
      </c>
    </row>
    <row r="10" ht="15.75" customHeight="1">
      <c r="A10" s="8"/>
      <c r="B10" s="8"/>
      <c r="C10" s="44" t="s">
        <v>17</v>
      </c>
      <c r="D10" s="44" t="s">
        <v>42</v>
      </c>
      <c r="E10" s="44" t="s">
        <v>42</v>
      </c>
      <c r="F10" s="44" t="s">
        <v>41</v>
      </c>
      <c r="G10" s="45">
        <v>1.0</v>
      </c>
      <c r="H10" s="45">
        <v>1.0</v>
      </c>
      <c r="I10" s="45">
        <v>1.0</v>
      </c>
      <c r="J10" s="45"/>
      <c r="K10" s="45">
        <v>500.0</v>
      </c>
      <c r="L10" s="45">
        <v>-500.0</v>
      </c>
      <c r="M10" s="45">
        <v>-500.0</v>
      </c>
      <c r="N10" s="44"/>
      <c r="O10" s="45">
        <v>500.0</v>
      </c>
      <c r="P10" s="45">
        <v>-500.0</v>
      </c>
      <c r="Q10" s="45">
        <v>-500.0</v>
      </c>
      <c r="R10" s="45">
        <v>0.0</v>
      </c>
      <c r="S10" s="45">
        <v>0.0</v>
      </c>
      <c r="T10" s="44" t="s">
        <v>42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VerifyGridData1!$4:$4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44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 t="s">
        <v>17</v>
      </c>
      <c r="C6" s="40" t="s">
        <v>30</v>
      </c>
      <c r="D6" s="41" t="s">
        <v>31</v>
      </c>
      <c r="E6" s="39" t="s">
        <v>32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FetchAccountPositions2!$4:$4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2">
        <v>1000.0</v>
      </c>
      <c r="C6" s="43" t="s">
        <v>34</v>
      </c>
      <c r="D6" s="41" t="s">
        <v>35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AddCash2!$4:$4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44" t="s">
        <v>17</v>
      </c>
      <c r="D6" s="44" t="s">
        <v>26</v>
      </c>
      <c r="E6" s="44" t="s">
        <v>37</v>
      </c>
      <c r="F6" s="44" t="s">
        <v>38</v>
      </c>
      <c r="G6" s="45">
        <v>10.0</v>
      </c>
      <c r="H6" s="45">
        <v>10.0</v>
      </c>
      <c r="I6" s="45">
        <v>1.0</v>
      </c>
      <c r="J6" s="45">
        <v>-200.0</v>
      </c>
      <c r="K6" s="45">
        <v>100.0</v>
      </c>
      <c r="L6" s="45">
        <v>1000.0</v>
      </c>
      <c r="M6" s="45">
        <v>1000.0</v>
      </c>
      <c r="N6" s="44">
        <v>-200.0</v>
      </c>
      <c r="O6" s="45">
        <v>100.0</v>
      </c>
      <c r="P6" s="45">
        <v>1000.0</v>
      </c>
      <c r="Q6" s="45">
        <v>1000.0</v>
      </c>
      <c r="R6" s="45">
        <v>0.0</v>
      </c>
      <c r="S6" s="45">
        <v>0.0</v>
      </c>
      <c r="T6" s="44" t="s">
        <v>40</v>
      </c>
    </row>
    <row r="7" ht="15.75" customHeight="1">
      <c r="A7" s="8"/>
      <c r="B7" s="8"/>
      <c r="C7" s="44" t="s">
        <v>17</v>
      </c>
      <c r="D7" s="44" t="s">
        <v>24</v>
      </c>
      <c r="E7" s="44" t="s">
        <v>37</v>
      </c>
      <c r="F7" s="44" t="s">
        <v>41</v>
      </c>
      <c r="G7" s="45">
        <v>10.0</v>
      </c>
      <c r="H7" s="45">
        <v>10.0</v>
      </c>
      <c r="I7" s="45">
        <v>1.0</v>
      </c>
      <c r="J7" s="45">
        <v>400.0</v>
      </c>
      <c r="K7" s="45">
        <v>200.0</v>
      </c>
      <c r="L7" s="45">
        <v>-2000.0</v>
      </c>
      <c r="M7" s="45">
        <v>-2000.0</v>
      </c>
      <c r="N7" s="44">
        <v>400.0</v>
      </c>
      <c r="O7" s="45">
        <v>200.0</v>
      </c>
      <c r="P7" s="45">
        <v>-2000.0</v>
      </c>
      <c r="Q7" s="45">
        <v>-2000.0</v>
      </c>
      <c r="R7" s="45">
        <v>0.0</v>
      </c>
      <c r="S7" s="45">
        <v>0.0</v>
      </c>
      <c r="T7" s="44" t="s">
        <v>40</v>
      </c>
    </row>
    <row r="8" ht="15.75" customHeight="1">
      <c r="A8" s="8"/>
      <c r="B8" s="8"/>
      <c r="C8" s="44" t="s">
        <v>17</v>
      </c>
      <c r="D8" s="44" t="s">
        <v>42</v>
      </c>
      <c r="E8" s="44" t="s">
        <v>42</v>
      </c>
      <c r="F8" s="44" t="s">
        <v>41</v>
      </c>
      <c r="G8" s="45">
        <v>1.0</v>
      </c>
      <c r="H8" s="45">
        <v>1.0</v>
      </c>
      <c r="I8" s="45">
        <v>1.0</v>
      </c>
      <c r="J8" s="45">
        <v>100.0</v>
      </c>
      <c r="K8" s="45">
        <v>500.0</v>
      </c>
      <c r="L8" s="45">
        <v>-500.0</v>
      </c>
      <c r="M8" s="45">
        <v>-500.0</v>
      </c>
      <c r="N8" s="44">
        <v>100.0</v>
      </c>
      <c r="O8" s="45">
        <v>500.0</v>
      </c>
      <c r="P8" s="45">
        <v>-500.0</v>
      </c>
      <c r="Q8" s="45">
        <v>-500.0</v>
      </c>
      <c r="R8" s="45">
        <v>0.0</v>
      </c>
      <c r="S8" s="45">
        <v>0.0</v>
      </c>
      <c r="T8" s="44" t="s">
        <v>42</v>
      </c>
      <c r="U8" s="44"/>
    </row>
    <row r="9" ht="15.75" customHeight="1">
      <c r="A9" s="8"/>
      <c r="B9" s="8"/>
      <c r="C9" s="44"/>
      <c r="D9" s="44"/>
      <c r="E9" s="44"/>
      <c r="F9" s="44"/>
      <c r="G9" s="45"/>
      <c r="H9" s="45"/>
      <c r="I9" s="45"/>
      <c r="J9" s="45"/>
      <c r="K9" s="45"/>
      <c r="L9" s="45"/>
      <c r="M9" s="45"/>
      <c r="N9" s="44"/>
      <c r="O9" s="45"/>
      <c r="P9" s="45"/>
      <c r="Q9" s="45"/>
      <c r="R9" s="45"/>
      <c r="S9" s="45"/>
      <c r="T9" s="4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LockandUnlockGridData2!$4:$4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46" t="s">
        <v>44</v>
      </c>
      <c r="C6" s="8"/>
      <c r="D6" s="11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IFERROR(__xludf.DUMMYFUNCTION("""COMPUTED_VALUE"""),"")</f>
        <v/>
      </c>
      <c r="Q4" s="25" t="str">
        <f>IFERROR(__xludf.DUMMYFUNCTION("""COMPUTED_VALUE"""),"")</f>
        <v/>
      </c>
      <c r="R4" s="25" t="str">
        <f>IFERROR(__xludf.DUMMYFUNCTION("""COMPUTED_VALUE"""),"")</f>
        <v/>
      </c>
      <c r="S4" s="25" t="str">
        <f>IFERROR(__xludf.DUMMYFUNCTION("""COMPUTED_VALUE"""),"")</f>
        <v/>
      </c>
      <c r="T4" s="25" t="str">
        <f>IFERROR(__xludf.DUMMYFUNCTION("""COMPUTED_VALUE"""),"")</f>
        <v/>
      </c>
      <c r="U4" s="25" t="str">
        <f>IFERROR(__xludf.DUMMYFUNCTION("""COMPUTED_VALUE"""),"")</f>
        <v/>
      </c>
      <c r="V4" s="25" t="str">
        <f>IFERROR(__xludf.DUMMYFUNCTION("""COMPUTED_VALUE"""),"")</f>
        <v/>
      </c>
      <c r="W4" s="25" t="str">
        <f>IFERROR(__xludf.DUMMYFUNCTION("""COMPUTED_VALUE"""),"")</f>
        <v/>
      </c>
      <c r="X4" s="25" t="str">
        <f>IFERROR(__xludf.DUMMYFUNCTION("""COMPUTED_VALUE"""),"")</f>
        <v/>
      </c>
      <c r="Y4" s="25" t="str">
        <f>IFERROR(__xludf.DUMMYFUNCTION("""COMPUTED_VALUE"""),"")</f>
        <v/>
      </c>
      <c r="Z4" s="25" t="str">
        <f>IFERROR(__xludf.DUMMYFUNCTION("""COMPUTED_VALUE"""),"")</f>
        <v/>
      </c>
      <c r="AA4" s="25" t="str">
        <f>IFERROR(__xludf.DUMMYFUNCTION("""COMPUTED_VALUE"""),"")</f>
        <v/>
      </c>
      <c r="AB4" s="25" t="str">
        <f>IFERROR(__xludf.DUMMYFUNCTION("""COMPUTED_VALUE"""),"")</f>
        <v/>
      </c>
      <c r="AC4" s="25" t="str">
        <f>IFERROR(__xludf.DUMMYFUNCTION("""COMPUTED_VALUE"""),"")</f>
        <v/>
      </c>
      <c r="AD4" s="25" t="str">
        <f>IFERROR(__xludf.DUMMYFUNCTION("""COMPUTED_VALUE"""),"")</f>
        <v/>
      </c>
      <c r="AE4" s="25" t="str">
        <f>IFERROR(__xludf.DUMMYFUNCTION("""COMPUTED_VALUE"""),"")</f>
        <v/>
      </c>
      <c r="AF4" s="25" t="str">
        <f>IFERROR(__xludf.DUMMYFUNCTION("""COMPUTED_VALUE"""),"")</f>
        <v/>
      </c>
      <c r="AG4" s="25" t="str">
        <f>IFERROR(__xludf.DUMMYFUNCTION("""COMPUTED_VALUE"""),"")</f>
        <v/>
      </c>
      <c r="AH4" s="25" t="str">
        <f>IFERROR(__xludf.DUMMYFUNCTION("""COMPUTED_VALUE"""),"")</f>
        <v/>
      </c>
      <c r="AI4" s="25" t="str">
        <f>IFERROR(__xludf.DUMMYFUNCTION("""COMPUTED_VALUE"""),"")</f>
        <v/>
      </c>
      <c r="AJ4" s="25" t="str">
        <f>IFERROR(__xludf.DUMMYFUNCTION("""COMPUTED_VALUE"""),"")</f>
        <v/>
      </c>
      <c r="AK4" s="25" t="str">
        <f>IFERROR(__xludf.DUMMYFUNCTION("""COMPUTED_VALUE"""),"")</f>
        <v/>
      </c>
      <c r="AL4" s="25" t="str">
        <f>IFERROR(__xludf.DUMMYFUNCTION("""COMPUTED_VALUE"""),"")</f>
        <v/>
      </c>
      <c r="AM4" s="25" t="str">
        <f>IFERROR(__xludf.DUMMYFUNCTION("""COMPUTED_VALUE"""),"")</f>
        <v/>
      </c>
      <c r="AN4" s="25" t="str">
        <f>IFERROR(__xludf.DUMMYFUNCTION("""COMPUTED_VALUE"""),"")</f>
        <v/>
      </c>
      <c r="AO4" s="25" t="str">
        <f>IFERROR(__xludf.DUMMYFUNCTION("""COMPUTED_VALUE"""),"")</f>
        <v/>
      </c>
      <c r="AP4" s="25" t="str">
        <f>IFERROR(__xludf.DUMMYFUNCTION("""COMPUTED_VALUE"""),"")</f>
        <v/>
      </c>
      <c r="AQ4" s="25" t="str">
        <f>IFERROR(__xludf.DUMMYFUNCTION("""COMPUTED_VALUE"""),"")</f>
        <v/>
      </c>
      <c r="AR4" s="25" t="str">
        <f>IFERROR(__xludf.DUMMYFUNCTION("""COMPUTED_VALUE"""),"")</f>
        <v/>
      </c>
      <c r="AS4" s="25" t="str">
        <f>IFERROR(__xludf.DUMMYFUNCTION("""COMPUTED_VALUE"""),"")</f>
        <v/>
      </c>
      <c r="AT4" s="25" t="str">
        <f>IFERROR(__xludf.DUMMYFUNCTION("""COMPUTED_VALUE"""),"")</f>
        <v/>
      </c>
      <c r="AU4" s="25" t="str">
        <f>IFERROR(__xludf.DUMMYFUNCTION("""COMPUTED_VALUE"""),"")</f>
        <v/>
      </c>
      <c r="AV4" s="25" t="str">
        <f>IFERROR(__xludf.DUMMYFUNCTION("""COMPUTED_VALUE"""),"")</f>
        <v/>
      </c>
      <c r="AW4" s="25" t="str">
        <f>IFERROR(__xludf.DUMMYFUNCTION("""COMPUTED_VALUE"""),"")</f>
        <v/>
      </c>
      <c r="AX4" s="25" t="str">
        <f>IFERROR(__xludf.DUMMYFUNCTION("""COMPUTED_VALUE"""),"")</f>
        <v/>
      </c>
      <c r="AY4" s="25" t="str">
        <f>IFERROR(__xludf.DUMMYFUNCTION("""COMPUTED_VALUE"""),"")</f>
        <v/>
      </c>
      <c r="AZ4" s="25" t="str">
        <f>IFERROR(__xludf.DUMMYFUNCTION("""COMPUTED_VALUE"""),"")</f>
        <v/>
      </c>
      <c r="BA4" s="25" t="str">
        <f>IFERROR(__xludf.DUMMYFUNCTION("""COMPUTED_VALUE"""),"")</f>
        <v/>
      </c>
      <c r="BB4" s="25" t="str">
        <f>IFERROR(__xludf.DUMMYFUNCTION("""COMPUTED_VALUE"""),"")</f>
        <v/>
      </c>
      <c r="BC4" s="25" t="str">
        <f>IFERROR(__xludf.DUMMYFUNCTION("""COMPUTED_VALUE"""),"")</f>
        <v/>
      </c>
      <c r="BD4" s="25" t="str">
        <f>IFERROR(__xludf.DUMMYFUNCTION("""COMPUTED_VALUE"""),"")</f>
        <v/>
      </c>
      <c r="BE4" s="25" t="str">
        <f>IFERROR(__xludf.DUMMYFUNCTION("""COMPUTED_VALUE"""),"")</f>
        <v/>
      </c>
      <c r="BF4" s="25" t="str">
        <f>IFERROR(__xludf.DUMMYFUNCTION("""COMPUTED_VALUE"""),"")</f>
        <v/>
      </c>
      <c r="BG4" s="25" t="str">
        <f>IFERROR(__xludf.DUMMYFUNCTION("""COMPUTED_VALUE"""),"")</f>
        <v/>
      </c>
      <c r="BH4" s="25" t="str">
        <f>IFERROR(__xludf.DUMMYFUNCTION("""COMPUTED_VALUE"""),"")</f>
        <v/>
      </c>
      <c r="BI4" s="25" t="str">
        <f>IFERROR(__xludf.DUMMYFUNCTION("""COMPUTED_VALUE"""),"")</f>
        <v/>
      </c>
      <c r="BJ4" s="25" t="str">
        <f>IFERROR(__xludf.DUMMYFUNCTION("""COMPUTED_VALUE"""),"")</f>
        <v/>
      </c>
      <c r="BK4" s="25" t="str">
        <f>IFERROR(__xludf.DUMMYFUNCTION("""COMPUTED_VALUE"""),"")</f>
        <v/>
      </c>
      <c r="BL4" s="25" t="str">
        <f>IFERROR(__xludf.DUMMYFUNCTION("""COMPUTED_VALUE"""),"")</f>
        <v/>
      </c>
      <c r="BM4" s="25" t="str">
        <f>IFERROR(__xludf.DUMMYFUNCTION("""COMPUTED_VALUE"""),"")</f>
        <v/>
      </c>
      <c r="BN4" s="25" t="str">
        <f>IFERROR(__xludf.DUMMYFUNCTION("""COMPUTED_VALUE"""),"")</f>
        <v/>
      </c>
      <c r="BO4" s="25" t="str">
        <f>IFERROR(__xludf.DUMMYFUNCTION("""COMPUTED_VALUE"""),"")</f>
        <v/>
      </c>
      <c r="BP4" s="25" t="str">
        <f>IFERROR(__xludf.DUMMYFUNCTION("""COMPUTED_VALUE"""),"")</f>
        <v/>
      </c>
      <c r="BQ4" s="25" t="str">
        <f>IFERROR(__xludf.DUMMYFUNCTION("""COMPUTED_VALUE"""),"")</f>
        <v/>
      </c>
      <c r="BR4" s="25" t="str">
        <f>IFERROR(__xludf.DUMMYFUNCTION("""COMPUTED_VALUE"""),"")</f>
        <v/>
      </c>
      <c r="BS4" s="25" t="str">
        <f>IFERROR(__xludf.DUMMYFUNCTION("""COMPUTED_VALUE"""),"")</f>
        <v/>
      </c>
      <c r="BT4" s="25" t="str">
        <f>IFERROR(__xludf.DUMMYFUNCTION("""COMPUTED_VALUE"""),"")</f>
        <v/>
      </c>
      <c r="BU4" s="25" t="str">
        <f>IFERROR(__xludf.DUMMYFUNCTION("""COMPUTED_VALUE"""),"")</f>
        <v/>
      </c>
      <c r="BV4" s="25" t="str">
        <f>IFERROR(__xludf.DUMMYFUNCTION("""COMPUTED_VALUE"""),"")</f>
        <v/>
      </c>
      <c r="BW4" s="25" t="str">
        <f>IFERROR(__xludf.DUMMYFUNCTION("""COMPUTED_VALUE"""),"")</f>
        <v/>
      </c>
      <c r="BX4" s="25" t="str">
        <f>IFERROR(__xludf.DUMMYFUNCTION("""COMPUTED_VALUE"""),"")</f>
        <v/>
      </c>
      <c r="BY4" s="25" t="str">
        <f>IFERROR(__xludf.DUMMYFUNCTION("""COMPUTED_VALUE"""),"")</f>
        <v/>
      </c>
      <c r="BZ4" s="25" t="str">
        <f>IFERROR(__xludf.DUMMYFUNCTION("""COMPUTED_VALUE"""),"")</f>
        <v/>
      </c>
      <c r="CA4" s="25" t="str">
        <f>IFERROR(__xludf.DUMMYFUNCTION("""COMPUTED_VALUE"""),"")</f>
        <v/>
      </c>
      <c r="CB4" s="25" t="str">
        <f>IFERROR(__xludf.DUMMYFUNCTION("""COMPUTED_VALUE"""),"")</f>
        <v/>
      </c>
      <c r="CC4" s="25" t="str">
        <f>IFERROR(__xludf.DUMMYFUNCTION("""COMPUTED_VALUE"""),"")</f>
        <v/>
      </c>
      <c r="CD4" s="25" t="str">
        <f>IFERROR(__xludf.DUMMYFUNCTION("""COMPUTED_VALUE"""),"")</f>
        <v/>
      </c>
      <c r="CE4" s="25" t="str">
        <f>IFERROR(__xludf.DUMMYFUNCTION("""COMPUTED_VALUE"""),"")</f>
        <v/>
      </c>
      <c r="CF4" s="25" t="str">
        <f>IFERROR(__xludf.DUMMYFUNCTION("""COMPUTED_VALUE"""),"")</f>
        <v/>
      </c>
      <c r="CG4" s="25" t="str">
        <f>IFERROR(__xludf.DUMMYFUNCTION("""COMPUTED_VALUE"""),"")</f>
        <v/>
      </c>
      <c r="CH4" s="25" t="str">
        <f>IFERROR(__xludf.DUMMYFUNCTION("""COMPUTED_VALUE"""),"")</f>
        <v/>
      </c>
      <c r="CI4" s="25" t="str">
        <f>IFERROR(__xludf.DUMMYFUNCTION("""COMPUTED_VALUE"""),"")</f>
        <v/>
      </c>
      <c r="CJ4" s="25" t="str">
        <f>IFERROR(__xludf.DUMMYFUNCTION("""COMPUTED_VALUE"""),"")</f>
        <v/>
      </c>
      <c r="CK4" s="25" t="str">
        <f>IFERROR(__xludf.DUMMYFUNCTION("""COMPUTED_VALUE"""),"")</f>
        <v/>
      </c>
      <c r="CL4" s="25" t="str">
        <f>IFERROR(__xludf.DUMMYFUNCTION("""COMPUTED_VALUE"""),"")</f>
        <v/>
      </c>
      <c r="CM4" s="25" t="str">
        <f>IFERROR(__xludf.DUMMYFUNCTION("""COMPUTED_VALUE"""),"")</f>
        <v/>
      </c>
      <c r="CN4" s="25" t="str">
        <f>IFERROR(__xludf.DUMMYFUNCTION("""COMPUTED_VALUE"""),"")</f>
        <v/>
      </c>
      <c r="CO4" s="25" t="str">
        <f>IFERROR(__xludf.DUMMYFUNCTION("""COMPUTED_VALUE"""),"")</f>
        <v/>
      </c>
      <c r="CP4" s="25" t="str">
        <f>IFERROR(__xludf.DUMMYFUNCTION("""COMPUTED_VALUE"""),"")</f>
        <v/>
      </c>
      <c r="CQ4" s="25" t="str">
        <f>IFERROR(__xludf.DUMMYFUNCTION("""COMPUTED_VALUE"""),"")</f>
        <v/>
      </c>
      <c r="CR4" s="25" t="str">
        <f>IFERROR(__xludf.DUMMYFUNCTION("""COMPUTED_VALUE"""),"")</f>
        <v/>
      </c>
      <c r="CS4" s="25" t="str">
        <f>IFERROR(__xludf.DUMMYFUNCTION("""COMPUTED_VALUE"""),"")</f>
        <v/>
      </c>
      <c r="CT4" s="25" t="str">
        <f>IFERROR(__xludf.DUMMYFUNCTION("""COMPUTED_VALUE"""),"")</f>
        <v/>
      </c>
      <c r="CU4" s="25" t="str">
        <f>IFERROR(__xludf.DUMMYFUNCTION("""COMPUTED_VALUE"""),"")</f>
        <v/>
      </c>
      <c r="CV4" s="25" t="str">
        <f>IFERROR(__xludf.DUMMYFUNCTION("""COMPUTED_VALUE"""),"")</f>
        <v/>
      </c>
      <c r="CW4" s="25" t="str">
        <f>IFERROR(__xludf.DUMMYFUNCTION("""COMPUTED_VALUE"""),"")</f>
        <v/>
      </c>
      <c r="CX4" s="25" t="str">
        <f>IFERROR(__xludf.DUMMYFUNCTION("""COMPUTED_VALUE"""),"")</f>
        <v/>
      </c>
      <c r="CY4" s="25" t="str">
        <f>IFERROR(__xludf.DUMMYFUNCTION("""COMPUTED_VALUE"""),"")</f>
        <v/>
      </c>
      <c r="CZ4" s="25" t="str">
        <f>IFERROR(__xludf.DUMMYFUNCTION("""COMPUTED_VALUE"""),"")</f>
        <v/>
      </c>
      <c r="DA4" s="25" t="str">
        <f>IFERROR(__xludf.DUMMYFUNCTION("""COMPUTED_VALUE"""),"")</f>
        <v/>
      </c>
      <c r="DB4" s="25" t="str">
        <f>IFERROR(__xludf.DUMMYFUNCTION("""COMPUTED_VALUE"""),"")</f>
        <v/>
      </c>
      <c r="DC4" s="25" t="str">
        <f>IFERROR(__xludf.DUMMYFUNCTION("""COMPUTED_VALUE"""),"")</f>
        <v/>
      </c>
      <c r="DD4" s="25" t="str">
        <f>IFERROR(__xludf.DUMMYFUNCTION("""COMPUTED_VALUE"""),"")</f>
        <v/>
      </c>
      <c r="DE4" s="25" t="str">
        <f>IFERROR(__xludf.DUMMYFUNCTION("""COMPUTED_VALUE"""),"")</f>
        <v/>
      </c>
      <c r="DF4" s="25" t="str">
        <f>IFERROR(__xludf.DUMMYFUNCTION("""COMPUTED_VALUE"""),"")</f>
        <v/>
      </c>
      <c r="DG4" s="25" t="str">
        <f>IFERROR(__xludf.DUMMYFUNCTION("""COMPUTED_VALUE"""),"")</f>
        <v/>
      </c>
      <c r="DH4" s="25" t="str">
        <f>IFERROR(__xludf.DUMMYFUNCTION("""COMPUTED_VALUE"""),"")</f>
        <v/>
      </c>
      <c r="DI4" s="25" t="str">
        <f>IFERROR(__xludf.DUMMYFUNCTION("""COMPUTED_VALUE"""),"")</f>
        <v/>
      </c>
      <c r="DJ4" s="25" t="str">
        <f>IFERROR(__xludf.DUMMYFUNCTION("""COMPUTED_VALUE"""),"")</f>
        <v/>
      </c>
      <c r="DK4" s="25" t="str">
        <f>IFERROR(__xludf.DUMMYFUNCTION("""COMPUTED_VALUE"""),"")</f>
        <v/>
      </c>
      <c r="DL4" s="25" t="str">
        <f>IFERROR(__xludf.DUMMYFUNCTION("""COMPUTED_VALUE"""),"")</f>
        <v/>
      </c>
      <c r="DM4" s="25" t="str">
        <f>IFERROR(__xludf.DUMMYFUNCTION("""COMPUTED_VALUE"""),"")</f>
        <v/>
      </c>
      <c r="DN4" s="25" t="str">
        <f>IFERROR(__xludf.DUMMYFUNCTION("""COMPUTED_VALUE"""),"")</f>
        <v/>
      </c>
      <c r="DO4" s="25" t="str">
        <f>IFERROR(__xludf.DUMMYFUNCTION("""COMPUTED_VALUE"""),"")</f>
        <v/>
      </c>
      <c r="DP4" s="25" t="str">
        <f>IFERROR(__xludf.DUMMYFUNCTION("""COMPUTED_VALUE"""),"")</f>
        <v/>
      </c>
      <c r="DQ4" s="25" t="str">
        <f>IFERROR(__xludf.DUMMYFUNCTION("""COMPUTED_VALUE"""),"")</f>
        <v/>
      </c>
      <c r="DR4" s="25" t="str">
        <f>IFERROR(__xludf.DUMMYFUNCTION("""COMPUTED_VALUE"""),"")</f>
        <v/>
      </c>
      <c r="DS4" s="25" t="str">
        <f>IFERROR(__xludf.DUMMYFUNCTION("""COMPUTED_VALUE"""),"")</f>
        <v/>
      </c>
      <c r="DT4" s="25" t="str">
        <f>IFERROR(__xludf.DUMMYFUNCTION("""COMPUTED_VALUE"""),"")</f>
        <v/>
      </c>
      <c r="DU4" s="25" t="str">
        <f>IFERROR(__xludf.DUMMYFUNCTION("""COMPUTED_VALUE"""),"")</f>
        <v/>
      </c>
      <c r="DV4" s="25" t="str">
        <f>IFERROR(__xludf.DUMMYFUNCTION("""COMPUTED_VALUE"""),"")</f>
        <v/>
      </c>
      <c r="DW4" s="25" t="str">
        <f>IFERROR(__xludf.DUMMYFUNCTION("""COMPUTED_VALUE"""),"")</f>
        <v/>
      </c>
      <c r="DX4" s="25" t="str">
        <f>IFERROR(__xludf.DUMMYFUNCTION("""COMPUTED_VALUE"""),"")</f>
        <v/>
      </c>
      <c r="DY4" s="25" t="str">
        <f>IFERROR(__xludf.DUMMYFUNCTION("""COMPUTED_VALUE"""),"")</f>
        <v/>
      </c>
      <c r="DZ4" s="25" t="str">
        <f>IFERROR(__xludf.DUMMYFUNCTION("""COMPUTED_VALUE"""),"")</f>
        <v/>
      </c>
      <c r="EA4" s="25" t="str">
        <f>IFERROR(__xludf.DUMMYFUNCTION("""COMPUTED_VALUE"""),"")</f>
        <v/>
      </c>
      <c r="EB4" s="25" t="str">
        <f>IFERROR(__xludf.DUMMYFUNCTION("""COMPUTED_VALUE"""),"")</f>
        <v/>
      </c>
      <c r="EC4" s="25" t="str">
        <f>IFERROR(__xludf.DUMMYFUNCTION("""COMPUTED_VALUE"""),"")</f>
        <v/>
      </c>
      <c r="ED4" s="25" t="str">
        <f>IFERROR(__xludf.DUMMYFUNCTION("""COMPUTED_VALUE"""),"")</f>
        <v/>
      </c>
      <c r="EE4" s="25" t="str">
        <f>IFERROR(__xludf.DUMMYFUNCTION("""COMPUTED_VALUE"""),"")</f>
        <v/>
      </c>
      <c r="EF4" s="25" t="str">
        <f>IFERROR(__xludf.DUMMYFUNCTION("""COMPUTED_VALUE"""),"")</f>
        <v/>
      </c>
      <c r="EG4" s="25" t="str">
        <f>IFERROR(__xludf.DUMMYFUNCTION("""COMPUTED_VALUE"""),"")</f>
        <v/>
      </c>
      <c r="EH4" s="25" t="str">
        <f>IFERROR(__xludf.DUMMYFUNCTION("""COMPUTED_VALUE"""),"")</f>
        <v/>
      </c>
      <c r="EI4" s="25" t="str">
        <f>IFERROR(__xludf.DUMMYFUNCTION("""COMPUTED_VALUE"""),"")</f>
        <v/>
      </c>
      <c r="EJ4" s="25" t="str">
        <f>IFERROR(__xludf.DUMMYFUNCTION("""COMPUTED_VALUE"""),"")</f>
        <v/>
      </c>
      <c r="EK4" s="25" t="str">
        <f>IFERROR(__xludf.DUMMYFUNCTION("""COMPUTED_VALUE"""),"")</f>
        <v/>
      </c>
      <c r="EL4" s="25" t="str">
        <f>IFERROR(__xludf.DUMMYFUNCTION("""COMPUTED_VALUE"""),"")</f>
        <v/>
      </c>
      <c r="EM4" s="25" t="str">
        <f>IFERROR(__xludf.DUMMYFUNCTION("""COMPUTED_VALUE"""),"")</f>
        <v/>
      </c>
      <c r="EN4" s="25" t="str">
        <f>IFERROR(__xludf.DUMMYFUNCTION("""COMPUTED_VALUE"""),"")</f>
        <v/>
      </c>
      <c r="EO4" s="25" t="str">
        <f>IFERROR(__xludf.DUMMYFUNCTION("""COMPUTED_VALUE"""),"")</f>
        <v/>
      </c>
      <c r="EP4" s="25" t="str">
        <f>IFERROR(__xludf.DUMMYFUNCTION("""COMPUTED_VALUE"""),"")</f>
        <v/>
      </c>
      <c r="EQ4" s="25" t="str">
        <f>IFERROR(__xludf.DUMMYFUNCTION("""COMPUTED_VALUE"""),"")</f>
        <v/>
      </c>
      <c r="ER4" s="25" t="str">
        <f>IFERROR(__xludf.DUMMYFUNCTION("""COMPUTED_VALUE"""),"")</f>
        <v/>
      </c>
      <c r="ES4" s="25" t="str">
        <f>IFERROR(__xludf.DUMMYFUNCTION("""COMPUTED_VALUE"""),"")</f>
        <v/>
      </c>
      <c r="ET4" s="25" t="str">
        <f>IFERROR(__xludf.DUMMYFUNCTION("""COMPUTED_VALUE"""),"")</f>
        <v/>
      </c>
      <c r="EU4" s="25" t="str">
        <f>IFERROR(__xludf.DUMMYFUNCTION("""COMPUTED_VALUE"""),"")</f>
        <v/>
      </c>
      <c r="EV4" s="25" t="str">
        <f>IFERROR(__xludf.DUMMYFUNCTION("""COMPUTED_VALUE"""),"")</f>
        <v/>
      </c>
      <c r="EW4" s="25" t="str">
        <f>IFERROR(__xludf.DUMMYFUNCTION("""COMPUTED_VALUE"""),"")</f>
        <v/>
      </c>
      <c r="EX4" s="25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IFERROR(__xludf.DUMMYFUNCTION("""COMPUTED_VALUE"""),"Lock/Unlock")</f>
        <v>Lock/Unlock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IFERROR(__xludf.DUMMYFUNCTION("""COMPUTED_VALUE"""),"Asset")</f>
        <v>Asset</v>
      </c>
      <c r="F5" s="28" t="str">
        <f>IFERROR(__xludf.DUMMYFUNCTION("""COMPUTED_VALUE"""),"Side")</f>
        <v>Side</v>
      </c>
      <c r="G5" s="27" t="str">
        <f>IFERROR(__xludf.DUMMYFUNCTION("""COMPUTED_VALUE"""),"Price (Local)")</f>
        <v>Price (Local)</v>
      </c>
      <c r="H5" s="27" t="str">
        <f>IFERROR(__xludf.DUMMYFUNCTION("""COMPUTED_VALUE"""),"Price")</f>
        <v>Price</v>
      </c>
      <c r="I5" s="27" t="str">
        <f>IFERROR(__xludf.DUMMYFUNCTION("""COMPUTED_VALUE"""),"FX Rate")</f>
        <v>FX Rate</v>
      </c>
      <c r="J5" s="27" t="str">
        <f>IFERROR(__xludf.DUMMYFUNCTION("""COMPUTED_VALUE"""),"Current %")</f>
        <v>Current %</v>
      </c>
      <c r="K5" s="27" t="str">
        <f>IFERROR(__xludf.DUMMYFUNCTION("""COMPUTED_VALUE"""),"Current Position")</f>
        <v>Current Position</v>
      </c>
      <c r="L5" s="27" t="str">
        <f>IFERROR(__xludf.DUMMYFUNCTION("""COMPUTED_VALUE"""),"Current Market Value (Local)")</f>
        <v>Current Market Value (Local)</v>
      </c>
      <c r="M5" s="27" t="str">
        <f>IFERROR(__xludf.DUMMYFUNCTION("""COMPUTED_VALUE"""),"Current Market Value")</f>
        <v>Current Market Value</v>
      </c>
      <c r="N5" s="27" t="str">
        <f>IFERROR(__xludf.DUMMYFUNCTION("""COMPUTED_VALUE"""),"Target %")</f>
        <v>Target %</v>
      </c>
      <c r="O5" s="27" t="str">
        <f>IFERROR(__xludf.DUMMYFUNCTION("""COMPUTED_VALUE"""),"Target Position")</f>
        <v>Target Position</v>
      </c>
      <c r="P5" s="27" t="str">
        <f>IFERROR(__xludf.DUMMYFUNCTION("""COMPUTED_VALUE"""),"Target Market Value (Local)")</f>
        <v>Target Market Value (Local)</v>
      </c>
      <c r="Q5" s="27" t="str">
        <f>IFERROR(__xludf.DUMMYFUNCTION("""COMPUTED_VALUE"""),"Target Market Value")</f>
        <v>Target Market Value</v>
      </c>
      <c r="R5" s="27" t="str">
        <f>IFERROR(__xludf.DUMMYFUNCTION("""COMPUTED_VALUE"""),"Buy/Sell Qty")</f>
        <v>Buy/Sell Qty</v>
      </c>
      <c r="S5" s="27" t="str">
        <f>IFERROR(__xludf.DUMMYFUNCTION("""COMPUTED_VALUE"""),"Buy/Sell Value")</f>
        <v>Buy/Sell Value</v>
      </c>
      <c r="T5" s="29" t="str">
        <f>IFERROR(__xludf.DUMMYFUNCTION("""COMPUTED_VALUE"""),"Sector")</f>
        <v>Sector</v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1"/>
      <c r="B6" s="11"/>
      <c r="C6" s="44" t="s">
        <v>17</v>
      </c>
      <c r="D6" s="44" t="s">
        <v>22</v>
      </c>
      <c r="E6" s="44" t="s">
        <v>37</v>
      </c>
      <c r="F6" s="44" t="s">
        <v>38</v>
      </c>
      <c r="G6" s="45">
        <v>10.0</v>
      </c>
      <c r="H6" s="45">
        <v>10.0</v>
      </c>
      <c r="I6" s="45">
        <v>1.0</v>
      </c>
      <c r="J6" s="45"/>
      <c r="K6" s="45">
        <v>100.0</v>
      </c>
      <c r="L6" s="45">
        <v>1000.0</v>
      </c>
      <c r="M6" s="45">
        <v>1000.0</v>
      </c>
      <c r="N6" s="44"/>
      <c r="O6" s="45">
        <v>200.0</v>
      </c>
      <c r="P6" s="45">
        <v>2000.0</v>
      </c>
      <c r="Q6" s="45">
        <v>2000.0</v>
      </c>
      <c r="R6" s="45">
        <v>100.0</v>
      </c>
      <c r="S6" s="47">
        <v>1000.0</v>
      </c>
      <c r="T6" s="44" t="s">
        <v>39</v>
      </c>
    </row>
    <row r="7" ht="15.75" customHeight="1">
      <c r="A7" s="8"/>
      <c r="B7" s="8"/>
      <c r="C7" s="44" t="s">
        <v>17</v>
      </c>
      <c r="D7" s="44" t="s">
        <v>26</v>
      </c>
      <c r="E7" s="44" t="s">
        <v>37</v>
      </c>
      <c r="F7" s="44" t="s">
        <v>38</v>
      </c>
      <c r="G7" s="45">
        <v>10.0</v>
      </c>
      <c r="H7" s="45">
        <v>10.0</v>
      </c>
      <c r="I7" s="45">
        <v>1.0</v>
      </c>
      <c r="J7" s="45"/>
      <c r="K7" s="45">
        <v>100.0</v>
      </c>
      <c r="L7" s="45">
        <v>1000.0</v>
      </c>
      <c r="M7" s="45">
        <v>1000.0</v>
      </c>
      <c r="N7" s="44"/>
      <c r="O7" s="45">
        <v>100.0</v>
      </c>
      <c r="P7" s="45">
        <v>1000.0</v>
      </c>
      <c r="Q7" s="45">
        <v>1000.0</v>
      </c>
      <c r="R7" s="45">
        <v>0.0</v>
      </c>
      <c r="S7" s="45">
        <v>0.0</v>
      </c>
      <c r="T7" s="44" t="s">
        <v>40</v>
      </c>
    </row>
    <row r="8" ht="15.75" customHeight="1">
      <c r="A8" s="8"/>
      <c r="B8" s="8"/>
      <c r="C8" s="44" t="s">
        <v>17</v>
      </c>
      <c r="D8" s="44" t="s">
        <v>24</v>
      </c>
      <c r="E8" s="44" t="s">
        <v>37</v>
      </c>
      <c r="F8" s="44" t="s">
        <v>41</v>
      </c>
      <c r="G8" s="45">
        <v>10.0</v>
      </c>
      <c r="H8" s="45">
        <v>10.0</v>
      </c>
      <c r="I8" s="45">
        <v>1.0</v>
      </c>
      <c r="J8" s="45"/>
      <c r="K8" s="45">
        <v>200.0</v>
      </c>
      <c r="L8" s="45">
        <v>-2000.0</v>
      </c>
      <c r="M8" s="45">
        <v>-2000.0</v>
      </c>
      <c r="N8" s="44"/>
      <c r="O8" s="45">
        <v>200.0</v>
      </c>
      <c r="P8" s="45">
        <v>-2000.0</v>
      </c>
      <c r="Q8" s="45">
        <v>-2000.0</v>
      </c>
      <c r="R8" s="45">
        <v>0.0</v>
      </c>
      <c r="S8" s="45">
        <v>0.0</v>
      </c>
      <c r="T8" s="44" t="s">
        <v>40</v>
      </c>
    </row>
    <row r="9" ht="15.75" customHeight="1">
      <c r="A9" s="8"/>
      <c r="B9" s="8"/>
      <c r="C9" s="44" t="s">
        <v>17</v>
      </c>
      <c r="D9" s="44" t="s">
        <v>46</v>
      </c>
      <c r="E9" s="44" t="s">
        <v>46</v>
      </c>
      <c r="F9" s="44" t="s">
        <v>38</v>
      </c>
      <c r="G9" s="45">
        <v>1.0</v>
      </c>
      <c r="H9" s="45">
        <v>1.0</v>
      </c>
      <c r="I9" s="45">
        <v>1.0</v>
      </c>
      <c r="J9" s="45"/>
      <c r="K9" s="45">
        <v>0.0</v>
      </c>
      <c r="L9" s="45">
        <v>0.0</v>
      </c>
      <c r="M9" s="45">
        <v>0.0</v>
      </c>
      <c r="N9" s="44"/>
      <c r="O9" s="45">
        <v>0.0</v>
      </c>
      <c r="P9" s="45">
        <v>0.0</v>
      </c>
      <c r="Q9" s="45">
        <v>0.0</v>
      </c>
      <c r="R9" s="45">
        <v>0.0</v>
      </c>
      <c r="S9" s="45">
        <v>0.0</v>
      </c>
      <c r="T9" s="44" t="s">
        <v>46</v>
      </c>
    </row>
    <row r="10" ht="15.75" customHeight="1">
      <c r="A10" s="8"/>
      <c r="B10" s="8"/>
      <c r="C10" s="44" t="s">
        <v>17</v>
      </c>
      <c r="D10" s="44" t="s">
        <v>42</v>
      </c>
      <c r="E10" s="44" t="s">
        <v>42</v>
      </c>
      <c r="F10" s="44" t="s">
        <v>41</v>
      </c>
      <c r="G10" s="45">
        <v>1.0</v>
      </c>
      <c r="H10" s="45">
        <v>1.0</v>
      </c>
      <c r="I10" s="45">
        <v>1.0</v>
      </c>
      <c r="J10" s="45"/>
      <c r="K10" s="45">
        <v>500.0</v>
      </c>
      <c r="L10" s="45">
        <v>-500.0</v>
      </c>
      <c r="M10" s="45">
        <v>-500.0</v>
      </c>
      <c r="N10" s="44"/>
      <c r="O10" s="45">
        <v>500.0</v>
      </c>
      <c r="P10" s="45">
        <v>-500.0</v>
      </c>
      <c r="Q10" s="45">
        <v>-500.0</v>
      </c>
      <c r="R10" s="45">
        <v>0.0</v>
      </c>
      <c r="S10" s="45">
        <v>0.0</v>
      </c>
      <c r="T10" s="44" t="s">
        <v>42</v>
      </c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VerifyGridData2!$4:$4</formula1>
    </dataValidation>
  </dataValidations>
  <drawing r:id="rId1"/>
</worksheet>
</file>