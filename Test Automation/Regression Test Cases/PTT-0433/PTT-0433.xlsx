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AddCalculatedPreferences1" sheetId="6" r:id="rId8"/>
    <sheet state="visible" name="SetAccountValueCalculatedPref1" sheetId="7" r:id="rId9"/>
    <sheet state="visible" name="SetDefaultRuleCalculatedPref" sheetId="8" r:id="rId10"/>
    <sheet state="visible" name="SetDollarAmountPermission" sheetId="9" r:id="rId11"/>
    <sheet state="visible" name="ChangeThemeOnModule" sheetId="10" r:id="rId12"/>
    <sheet state="visible" name="CustomOrderTT" sheetId="11" r:id="rId13"/>
    <sheet state="visible" name="PricingInput" sheetId="12" r:id="rId14"/>
    <sheet state="visible" name="GetDailyCash" sheetId="13" r:id="rId15"/>
    <sheet state="visible" name="UpdateMultipleDailyCash" sheetId="14" r:id="rId16"/>
    <sheet state="visible" name="CalculatePTT" sheetId="15" r:id="rId17"/>
    <sheet state="visible" name="CalculatePTT1" sheetId="16" r:id="rId18"/>
    <sheet state="visible" name="ChangeThemeOnModule1" sheetId="17" r:id="rId19"/>
  </sheets>
  <definedNames/>
  <calcPr/>
</workbook>
</file>

<file path=xl/sharedStrings.xml><?xml version="1.0" encoding="utf-8"?>
<sst xmlns="http://schemas.openxmlformats.org/spreadsheetml/2006/main" count="160" uniqueCount="47">
  <si>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</si>
  <si>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</si>
  <si>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</si>
  <si>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</si>
  <si>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</si>
  <si>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</si>
  <si>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</si>
  <si>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</si>
  <si>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</si>
  <si>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</si>
  <si>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</si>
  <si>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</si>
  <si>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</si>
  <si>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</si>
  <si>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</si>
  <si>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</si>
  <si>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Y1</t>
  </si>
  <si>
    <t>SetAccountValueCalculatedPref</t>
  </si>
  <si>
    <t>Allocation1</t>
  </si>
  <si>
    <t>Allocation3</t>
  </si>
  <si>
    <t>Y2</t>
  </si>
  <si>
    <t>Allocation2</t>
  </si>
  <si>
    <t>Allocation4</t>
  </si>
  <si>
    <t>SetDefaultRuleCalculatedPref</t>
  </si>
  <si>
    <t>Current Preference</t>
  </si>
  <si>
    <t>Admin</t>
  </si>
  <si>
    <t>SetDollarAmountPermission</t>
  </si>
  <si>
    <t>OpenFin</t>
  </si>
  <si>
    <t>ChangeThemeOnModule</t>
  </si>
  <si>
    <t>Trading Ticket</t>
  </si>
  <si>
    <t>LIGHT</t>
  </si>
  <si>
    <t>TradingTicket</t>
  </si>
  <si>
    <t>CustomOrderTT</t>
  </si>
  <si>
    <t>AAPL</t>
  </si>
  <si>
    <t>DoneAway</t>
  </si>
  <si>
    <t>Buy</t>
  </si>
  <si>
    <t>Sell short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</si>
  <si>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</si>
  <si>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</si>
  <si>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</si>
  <si>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</si>
  <si>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</si>
  <si>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</si>
  <si>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</si>
  <si>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AMT</t>
  </si>
  <si>
    <t>Allocation Preference</t>
  </si>
  <si>
    <t>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</si>
</sst>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22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24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3"/>
      <c r="D6" s="32" t="s">
        <v>30</v>
      </c>
      <c r="E6" s="34" t="s">
        <v>30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ChangeThemeOnModule!$4:$4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33</v>
      </c>
      <c r="C6" s="35">
        <v>100.0</v>
      </c>
      <c r="D6" s="36">
        <v>20.0</v>
      </c>
      <c r="E6" s="34" t="s">
        <v>34</v>
      </c>
      <c r="F6" s="33"/>
      <c r="G6" s="33"/>
      <c r="H6" s="33"/>
      <c r="I6" s="34" t="s">
        <v>18</v>
      </c>
      <c r="J6" s="34" t="s">
        <v>35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33</v>
      </c>
      <c r="C7" s="35">
        <v>200.0</v>
      </c>
      <c r="D7" s="35">
        <v>20.0</v>
      </c>
      <c r="E7" s="34" t="s">
        <v>34</v>
      </c>
      <c r="F7" s="33"/>
      <c r="G7" s="33"/>
      <c r="H7" s="33"/>
      <c r="I7" s="37" t="s">
        <v>19</v>
      </c>
      <c r="J7" s="37" t="s">
        <v>36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33</v>
      </c>
      <c r="C8" s="35">
        <v>100.0</v>
      </c>
      <c r="D8" s="35">
        <v>20.0</v>
      </c>
      <c r="E8" s="34" t="s">
        <v>34</v>
      </c>
      <c r="F8" s="33"/>
      <c r="G8" s="33"/>
      <c r="H8" s="33"/>
      <c r="I8" s="37" t="s">
        <v>21</v>
      </c>
      <c r="J8" s="34" t="s">
        <v>35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4" t="s">
        <v>33</v>
      </c>
      <c r="C9" s="35">
        <v>200.0</v>
      </c>
      <c r="D9" s="35">
        <v>20.0</v>
      </c>
      <c r="E9" s="34" t="s">
        <v>34</v>
      </c>
      <c r="F9" s="33"/>
      <c r="G9" s="33"/>
      <c r="H9" s="33"/>
      <c r="I9" s="37" t="s">
        <v>22</v>
      </c>
      <c r="J9" s="34" t="s">
        <v>35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>
        <f>TODAY()-1</f>
        <v>45809</v>
      </c>
      <c r="C6" s="38">
        <f>TODAY()</f>
        <v>45810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4" t="s">
        <v>41</v>
      </c>
      <c r="D6" s="36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21</v>
      </c>
      <c r="C7" s="34" t="s">
        <v>41</v>
      </c>
      <c r="D7" s="35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19</v>
      </c>
      <c r="C8" s="34" t="s">
        <v>41</v>
      </c>
      <c r="D8" s="35">
        <v>10000.0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22</v>
      </c>
      <c r="C9" s="34" t="s">
        <v>41</v>
      </c>
      <c r="D9" s="35">
        <v>10000.0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33</v>
      </c>
      <c r="C6" s="33"/>
      <c r="D6" s="32" t="s">
        <v>44</v>
      </c>
      <c r="E6" s="35">
        <v>1000.0</v>
      </c>
      <c r="F6" s="35">
        <v>10.0</v>
      </c>
      <c r="G6" s="33"/>
      <c r="H6" s="37" t="s">
        <v>45</v>
      </c>
      <c r="I6" s="37" t="s">
        <v>16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33</v>
      </c>
      <c r="C6" s="33"/>
      <c r="D6" s="32" t="s">
        <v>44</v>
      </c>
      <c r="E6" s="35">
        <v>1000.0</v>
      </c>
      <c r="F6" s="35">
        <v>10.0</v>
      </c>
      <c r="G6" s="33"/>
      <c r="H6" s="37" t="s">
        <v>45</v>
      </c>
      <c r="I6" s="37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4" t="s">
        <v>46</v>
      </c>
      <c r="D6" s="32" t="s">
        <v>30</v>
      </c>
      <c r="E6" s="34" t="s">
        <v>30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