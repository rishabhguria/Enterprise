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ctionOnToolBar" sheetId="4" r:id="rId6"/>
    <sheet state="visible" name="EditAttRenaming" sheetId="5" r:id="rId7"/>
    <sheet state="visible" name="ActiononAGP" sheetId="6" r:id="rId8"/>
    <sheet state="visible" name="CustomOrderTT" sheetId="7" r:id="rId9"/>
    <sheet state="visible" name="CalculatePTT" sheetId="8" r:id="rId10"/>
    <sheet state="visible" name="CustomOrderTT1" sheetId="9" r:id="rId11"/>
    <sheet state="visible" name="GetDailyCash" sheetId="10" r:id="rId12"/>
    <sheet state="visible" name="UpdateMultipleDailyCash" sheetId="11" r:id="rId13"/>
  </sheets>
  <definedNames/>
  <calcPr/>
</workbook>
</file>

<file path=xl/sharedStrings.xml><?xml version="1.0" encoding="utf-8"?>
<sst xmlns="http://schemas.openxmlformats.org/spreadsheetml/2006/main" count="651" uniqueCount="554">
  <si>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</si>
  <si>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</si>
  <si>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</si>
  <si>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</si>
  <si>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</si>
  <si>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</si>
  <si>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</si>
  <si>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</si>
  <si>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</si>
  <si>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</si>
  <si>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</si>
  <si>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MenuItemSaveLayout</t>
  </si>
  <si>
    <t>MenuItemGroup</t>
  </si>
  <si>
    <t>MenuItemExpand/Collapse All</t>
  </si>
  <si>
    <t>MenuItemUnAllocate</t>
  </si>
  <si>
    <t>MenuItemUngroup</t>
  </si>
  <si>
    <t>MenuItemGenerate Cash Transaction</t>
  </si>
  <si>
    <t>MenuItemClose Order</t>
  </si>
  <si>
    <t>MenuItemSecurity Master</t>
  </si>
  <si>
    <t>MenuItemAudit Trail</t>
  </si>
  <si>
    <t>MenuItemClear Filters</t>
  </si>
  <si>
    <t>MenuItemClear Delete</t>
  </si>
  <si>
    <t>CheckBox</t>
  </si>
  <si>
    <t>Account Name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</si>
  <si>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</si>
  <si>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</si>
  <si>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</si>
  <si>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</si>
  <si>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</si>
  <si>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</si>
  <si>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</si>
  <si>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</si>
  <si>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</si>
  <si>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</si>
  <si>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</si>
  <si>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</si>
  <si>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Broker</t>
  </si>
  <si>
    <t>Change Comment</t>
  </si>
  <si>
    <t>Change Type</t>
  </si>
  <si>
    <t>Clearing Broker Fee</t>
  </si>
  <si>
    <t>Closing Status</t>
  </si>
  <si>
    <t>Commission Per Share</t>
  </si>
  <si>
    <t>Company</t>
  </si>
  <si>
    <t>Contract Multiplier</t>
  </si>
  <si>
    <t>Coupon Rate</t>
  </si>
  <si>
    <t>Currency</t>
  </si>
  <si>
    <t>Cusip Symbol</t>
  </si>
  <si>
    <t>Delta</t>
  </si>
  <si>
    <t>Description</t>
  </si>
  <si>
    <t>Exchange</t>
  </si>
  <si>
    <t>Executed Qty</t>
  </si>
  <si>
    <t>Exceution Time</t>
  </si>
  <si>
    <t>Expiration Date</t>
  </si>
  <si>
    <t>FX Conversion Operator</t>
  </si>
  <si>
    <t>FX Rate</t>
  </si>
  <si>
    <t>Group Status</t>
  </si>
  <si>
    <t>IDCOSymbol</t>
  </si>
  <si>
    <t>Import File Name</t>
  </si>
  <si>
    <t>Internal Comments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</si>
  <si>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</si>
  <si>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</si>
  <si>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</si>
  <si>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</si>
  <si>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</si>
  <si>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</si>
  <si>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</si>
  <si>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</si>
  <si>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</si>
  <si>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</si>
  <si>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</si>
  <si>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Order Type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</si>
  <si>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</si>
  <si>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</si>
  <si>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</si>
  <si>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</si>
  <si>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</si>
  <si>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</si>
  <si>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</si>
  <si>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Process Date</t>
  </si>
  <si>
    <t>Proxy Symbol</t>
  </si>
  <si>
    <t>Put Or Call</t>
  </si>
  <si>
    <t>Quantity</t>
  </si>
  <si>
    <t>SEC Fee</t>
  </si>
  <si>
    <t>Sedol Symbol</t>
  </si>
  <si>
    <t>Settlement Currency</t>
  </si>
  <si>
    <t>Settlement Date</t>
  </si>
  <si>
    <t>Side</t>
  </si>
  <si>
    <t>Soft Commission</t>
  </si>
  <si>
    <t>Soft Commission Per Share</t>
  </si>
  <si>
    <t>Stamp Duty</t>
  </si>
  <si>
    <t>Strategy Name</t>
  </si>
  <si>
    <t>Symbol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</si>
  <si>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</si>
  <si>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</si>
  <si>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</si>
  <si>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</si>
  <si>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</si>
  <si>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</si>
  <si>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</si>
  <si>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</si>
  <si>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</si>
  <si>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</si>
  <si>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Trade Date</t>
  </si>
  <si>
    <t>Trading Account</t>
  </si>
  <si>
    <t>Transaction Levy</t>
  </si>
  <si>
    <t>Transaction Source</t>
  </si>
  <si>
    <t>Transaction Type</t>
  </si>
  <si>
    <t>UnAllocatedQty</t>
  </si>
  <si>
    <t>Underlying</t>
  </si>
  <si>
    <t>Underlying Delta</t>
  </si>
  <si>
    <t>Underlying Symbol</t>
  </si>
  <si>
    <t>User</t>
  </si>
  <si>
    <t>Venue</t>
  </si>
  <si>
    <t>Closing Method</t>
  </si>
  <si>
    <t>Closing Date</t>
  </si>
  <si>
    <t>GroupID</t>
  </si>
  <si>
    <t>Borrow Broker</t>
  </si>
  <si>
    <t>ACTIV Symbol</t>
  </si>
  <si>
    <t>Master Fund</t>
  </si>
  <si>
    <t>RangeTypeCurrent</t>
  </si>
  <si>
    <t>RangeTypeHistorical</t>
  </si>
  <si>
    <t>From</t>
  </si>
  <si>
    <t>To</t>
  </si>
  <si>
    <t>btnContinue</t>
  </si>
  <si>
    <t>ExecutedQty</t>
  </si>
  <si>
    <t>AvgPrice</t>
  </si>
  <si>
    <t>TradeDate</t>
  </si>
  <si>
    <t>ProcessDate</t>
  </si>
  <si>
    <t>OriginalPurchaseDate</t>
  </si>
  <si>
    <t>SettlementDate</t>
  </si>
  <si>
    <t>Commission</t>
  </si>
  <si>
    <t>SoftCommission</t>
  </si>
  <si>
    <t>OtherBrokerFees</t>
  </si>
  <si>
    <t>ClearingBrokerFees</t>
  </si>
  <si>
    <t>StampDuty</t>
  </si>
  <si>
    <t>TransactionLevy</t>
  </si>
  <si>
    <t>AUECFee1</t>
  </si>
  <si>
    <t>TaxOnCommissions</t>
  </si>
  <si>
    <t>AUECFee2</t>
  </si>
  <si>
    <t>SecFee</t>
  </si>
  <si>
    <t>OccFee</t>
  </si>
  <si>
    <t>OrfFee</t>
  </si>
  <si>
    <t>InternalComments</t>
  </si>
  <si>
    <t>FXRate</t>
  </si>
  <si>
    <t>FxConvOperator</t>
  </si>
  <si>
    <t>AccruedInterest</t>
  </si>
  <si>
    <t>TradeAttribute1</t>
  </si>
  <si>
    <t>TradeAttribute2</t>
  </si>
  <si>
    <t>TradeAttribute3</t>
  </si>
  <si>
    <t>TradeAttribute4</t>
  </si>
  <si>
    <t>TradeAttribute5</t>
  </si>
  <si>
    <t>TradeAttribute6</t>
  </si>
  <si>
    <t>TradeAttribute7</t>
  </si>
  <si>
    <t>TradeAttribute8</t>
  </si>
  <si>
    <t>TradeAttribute9</t>
  </si>
  <si>
    <t>TradeAttribute10</t>
  </si>
  <si>
    <t>TradeAttribute11</t>
  </si>
  <si>
    <t>TradeAttribute12</t>
  </si>
  <si>
    <t>TradeAttribute13</t>
  </si>
  <si>
    <t>TradeAttribute14</t>
  </si>
  <si>
    <t>TradeAttribute15</t>
  </si>
  <si>
    <t>TradeAttribute16</t>
  </si>
  <si>
    <t>TradeAttribute17</t>
  </si>
  <si>
    <t>TradeAttribute18</t>
  </si>
  <si>
    <t>TradeAttribute19</t>
  </si>
  <si>
    <t>TradeAttribute20</t>
  </si>
  <si>
    <t>TradeAttribute21</t>
  </si>
  <si>
    <t>TradeAttribute22</t>
  </si>
  <si>
    <t>TradeAttribute23</t>
  </si>
  <si>
    <t>TradeAttribute24</t>
  </si>
  <si>
    <t>TradeAttribute25</t>
  </si>
  <si>
    <t>TradeAttribute26</t>
  </si>
  <si>
    <t>TradeAttribute27</t>
  </si>
  <si>
    <t>TradeAttribute28</t>
  </si>
  <si>
    <t>TradeAttribute29</t>
  </si>
  <si>
    <t>TradeAttribute30</t>
  </si>
  <si>
    <t>TradeAttribute31</t>
  </si>
  <si>
    <t>TradeAttribute32</t>
  </si>
  <si>
    <t>TradeAttribute33</t>
  </si>
  <si>
    <t>TradeAttribute34</t>
  </si>
  <si>
    <t>TradeAttribute35</t>
  </si>
  <si>
    <t>TradeAttribute36</t>
  </si>
  <si>
    <t>TradeAttribute37</t>
  </si>
  <si>
    <t>TradeAttribute38</t>
  </si>
  <si>
    <t>TradeAttribute39</t>
  </si>
  <si>
    <t>TradeAttribute40</t>
  </si>
  <si>
    <t>TradeAttribute41</t>
  </si>
  <si>
    <t>TradeAttribute42</t>
  </si>
  <si>
    <t>TradeAttribute43</t>
  </si>
  <si>
    <t>TradeAttribute44</t>
  </si>
  <si>
    <t>TradeAttribute45</t>
  </si>
  <si>
    <t>TradeAttribute46</t>
  </si>
  <si>
    <t>AllocationMethod</t>
  </si>
  <si>
    <t>RemainderAllocationTo</t>
  </si>
  <si>
    <t>Target%AsOf</t>
  </si>
  <si>
    <t>ProrataAccounts</t>
  </si>
  <si>
    <t>DateUptoDays</t>
  </si>
  <si>
    <t>MatchClosing</t>
  </si>
  <si>
    <t>ValidateCheckSide</t>
  </si>
  <si>
    <t>DisabledChecksideAssets</t>
  </si>
  <si>
    <t>PrecisionValue</t>
  </si>
  <si>
    <t>UseCommissionInNetAmount</t>
  </si>
  <si>
    <t>SaveWithoutState</t>
  </si>
  <si>
    <t>SaveWithState</t>
  </si>
  <si>
    <t>ClearQuantities</t>
  </si>
  <si>
    <t>DefaultAllocation</t>
  </si>
  <si>
    <t>EnableMasterFund</t>
  </si>
  <si>
    <t>1MasterFund/1Symbol</t>
  </si>
  <si>
    <t>ShowAdvancedProrataUI</t>
  </si>
  <si>
    <t>FixedAllocationPreferenceName</t>
  </si>
  <si>
    <t>CalculatedPreferenceName</t>
  </si>
  <si>
    <t>ApplyOnDefaultRule</t>
  </si>
  <si>
    <t>ApplyOnSelectedPreferences</t>
  </si>
  <si>
    <t>MatchClosingTransactions</t>
  </si>
  <si>
    <t>AccountsForProrata</t>
  </si>
  <si>
    <t>NotionalValue</t>
  </si>
  <si>
    <t>Interest Rate</t>
  </si>
  <si>
    <t>Spread(B.P)</t>
  </si>
  <si>
    <t>First Reset Date</t>
  </si>
  <si>
    <t>DayCount</t>
  </si>
  <si>
    <t>Original T.Date</t>
  </si>
  <si>
    <t>OriginalCostBasis</t>
  </si>
  <si>
    <t>SwapDescription</t>
  </si>
  <si>
    <t>PreferenceTypeCalculated</t>
  </si>
  <si>
    <t>PreferenceTypeFixed</t>
  </si>
  <si>
    <t>PreferenceTypeCustom</t>
  </si>
  <si>
    <t>IsForceAllocation</t>
  </si>
  <si>
    <t>Get Data</t>
  </si>
  <si>
    <t>Auto-Group</t>
  </si>
  <si>
    <t>Prorata</t>
  </si>
  <si>
    <t>Export Data</t>
  </si>
  <si>
    <t>Close Data</t>
  </si>
  <si>
    <t>Save w/Status</t>
  </si>
  <si>
    <t>Save w/o Status</t>
  </si>
  <si>
    <t>Save</t>
  </si>
  <si>
    <t>Close</t>
  </si>
  <si>
    <t>AutoGroup</t>
  </si>
  <si>
    <t>TradingAC</t>
  </si>
  <si>
    <t>Apply</t>
  </si>
  <si>
    <t>Book as Swap</t>
  </si>
  <si>
    <t>Clear</t>
  </si>
  <si>
    <t>Cancel</t>
  </si>
  <si>
    <t>Allocate</t>
  </si>
  <si>
    <t>btnApplyAndClose</t>
  </si>
  <si>
    <t>Testing Type</t>
  </si>
  <si>
    <t>Testing Column</t>
  </si>
  <si>
    <t>Testing Col Value</t>
  </si>
  <si>
    <t>DuplicateRow</t>
  </si>
  <si>
    <t>DuplicateCountOnUI</t>
  </si>
  <si>
    <t>IsAllocatedHeaderChecked</t>
  </si>
  <si>
    <t>IsUnAllocatedHeaderChecked</t>
  </si>
  <si>
    <t>VerifyContainsAllocationStatusBar</t>
  </si>
  <si>
    <t>ExpansionIndicator</t>
  </si>
  <si>
    <t>VerifyToggleStateExpansionIndicatorState</t>
  </si>
  <si>
    <t>btnPreferences</t>
  </si>
  <si>
    <t>btnEditAllocationPreferences</t>
  </si>
  <si>
    <t>btnSnapshot</t>
  </si>
  <si>
    <t>toolStrip1</t>
  </si>
  <si>
    <t>GroupLevel</t>
  </si>
  <si>
    <t>TaxlotLevel</t>
  </si>
  <si>
    <t>MasterFundsCombo</t>
  </si>
  <si>
    <t>ThirdPartyDetailsCombo</t>
  </si>
  <si>
    <t>AccountListCombo</t>
  </si>
  <si>
    <t>TradeAttr1</t>
  </si>
  <si>
    <t>TradeAttr2</t>
  </si>
  <si>
    <t>TradeAttr3</t>
  </si>
  <si>
    <t>TradeAttr4</t>
  </si>
  <si>
    <t>TradeAttr5</t>
  </si>
  <si>
    <t>TradeAttr6</t>
  </si>
  <si>
    <t>TradeAttr7</t>
  </si>
  <si>
    <t>TradeAttr8</t>
  </si>
  <si>
    <t>TradeAttr9</t>
  </si>
  <si>
    <t>TradeAttr10</t>
  </si>
  <si>
    <t>TradeAttr11</t>
  </si>
  <si>
    <t>TradeAttr12</t>
  </si>
  <si>
    <t>TradeAttr13</t>
  </si>
  <si>
    <t>TradeAttr14</t>
  </si>
  <si>
    <t>TradeAttr15</t>
  </si>
  <si>
    <t>TradeAttr16</t>
  </si>
  <si>
    <t>TradeAttr17</t>
  </si>
  <si>
    <t>TradeAttr18</t>
  </si>
  <si>
    <t>TradeAttr19</t>
  </si>
  <si>
    <t>TradeAttr20</t>
  </si>
  <si>
    <t>TradeAttr21</t>
  </si>
  <si>
    <t>TradeAttr22</t>
  </si>
  <si>
    <t>TradeAttr23</t>
  </si>
  <si>
    <t>TradeAttr24</t>
  </si>
  <si>
    <t>TradeAttr25</t>
  </si>
  <si>
    <t>TradeAttr26</t>
  </si>
  <si>
    <t>TradeAttr27</t>
  </si>
  <si>
    <t>TradeAttr28</t>
  </si>
  <si>
    <t>TradeAttr29</t>
  </si>
  <si>
    <t>TradeAttr30</t>
  </si>
  <si>
    <t>TradeAttr31</t>
  </si>
  <si>
    <t>TradeAttr32</t>
  </si>
  <si>
    <t>TradeAttr33</t>
  </si>
  <si>
    <t>TradeAttr34</t>
  </si>
  <si>
    <t>TradeAttr35</t>
  </si>
  <si>
    <t>TradeAttr36</t>
  </si>
  <si>
    <t>TradeAttr37</t>
  </si>
  <si>
    <t>TradeAttr38</t>
  </si>
  <si>
    <t>TradeAttr39</t>
  </si>
  <si>
    <t>TradeAttr40</t>
  </si>
  <si>
    <t>TradeAttr41</t>
  </si>
  <si>
    <t>TradeAttr42</t>
  </si>
  <si>
    <t>TradeAttr43</t>
  </si>
  <si>
    <t>TradeAttr44</t>
  </si>
  <si>
    <t>TradeAttr45</t>
  </si>
  <si>
    <t>TradeAttr1Combo</t>
  </si>
  <si>
    <t>TradeAttr2Combo</t>
  </si>
  <si>
    <t>TradeAttr3Combo</t>
  </si>
  <si>
    <t>TradeAttr4Combo</t>
  </si>
  <si>
    <t>TradeAttr5Combo</t>
  </si>
  <si>
    <t>TradeAttr6Combo</t>
  </si>
  <si>
    <t>TradeAttr7Combo</t>
  </si>
  <si>
    <t>TradeAttr8Combo</t>
  </si>
  <si>
    <t>TradeAttr9Combo</t>
  </si>
  <si>
    <t>TradeAttr10Combo</t>
  </si>
  <si>
    <t>TradeAttr11Combo</t>
  </si>
  <si>
    <t>TradeAttr12Combo</t>
  </si>
  <si>
    <t>TradeAttr13Combo</t>
  </si>
  <si>
    <t>TradeAttr14Combo</t>
  </si>
  <si>
    <t>TradeAttr15Combo</t>
  </si>
  <si>
    <t>TradeAttr16Combo</t>
  </si>
  <si>
    <t>TradeAttr17Combo</t>
  </si>
  <si>
    <t>TradeAttr18Combo</t>
  </si>
  <si>
    <t>TradeAttr19Combo</t>
  </si>
  <si>
    <t>TradeAttr20Combo</t>
  </si>
  <si>
    <t>TradeAttr21Combo</t>
  </si>
  <si>
    <t>TradeAttr22Combo</t>
  </si>
  <si>
    <t>TradeAttr23Combo</t>
  </si>
  <si>
    <t>TradeAttr24Combo</t>
  </si>
  <si>
    <t>TradeAttr25Combo</t>
  </si>
  <si>
    <t>TradeAttr26Combo</t>
  </si>
  <si>
    <t>TradeAttr27Combo</t>
  </si>
  <si>
    <t>TradeAttr28Combo</t>
  </si>
  <si>
    <t>TradeAttr29Combo</t>
  </si>
  <si>
    <t>TradeAttr30Combo</t>
  </si>
  <si>
    <t>TradeAttr31Combo</t>
  </si>
  <si>
    <t>TradeAttr32Combo</t>
  </si>
  <si>
    <t>TradeAttr33Combo</t>
  </si>
  <si>
    <t>TradeAttr34Combo</t>
  </si>
  <si>
    <t>TradeAttr35Combo</t>
  </si>
  <si>
    <t>TradeAttr36Combo</t>
  </si>
  <si>
    <t>TradeAttr37Combo</t>
  </si>
  <si>
    <t>TradeAttr38Combo</t>
  </si>
  <si>
    <t>TradeAttr39Combo</t>
  </si>
  <si>
    <t>TradeAttr40Combo</t>
  </si>
  <si>
    <t>TradeAttr41Combo</t>
  </si>
  <si>
    <t>TradeAttr42Combo1</t>
  </si>
  <si>
    <t>TradeAttr42Combo</t>
  </si>
  <si>
    <t>TradeAttr43Combo</t>
  </si>
  <si>
    <t>TradeAttr44Combo</t>
  </si>
  <si>
    <t>TradeAttr45Combo</t>
  </si>
  <si>
    <t>SelectAll</t>
  </si>
  <si>
    <t>btnUpdate</t>
  </si>
  <si>
    <t>Select/UnSelect</t>
  </si>
  <si>
    <t>Preferences</t>
  </si>
  <si>
    <t>AttributeValue</t>
  </si>
  <si>
    <t>AttributeName</t>
  </si>
  <si>
    <t>KeepRecord</t>
  </si>
  <si>
    <t>DefaultValues</t>
  </si>
  <si>
    <t>Trade Attribute 01</t>
  </si>
  <si>
    <t>Nirvana.Samsara,NirvanaOne</t>
  </si>
  <si>
    <t>Trade Attribute 02</t>
  </si>
  <si>
    <t>NYSE,NASDAQ,NSE</t>
  </si>
  <si>
    <t>Trade Attribute 03</t>
  </si>
  <si>
    <t>META,Instagram,WhatsApp</t>
  </si>
  <si>
    <t>Trade Attribute 04</t>
  </si>
  <si>
    <t>TSLA,TWITTER,SPACEX</t>
  </si>
  <si>
    <t>Trade Attribute 05</t>
  </si>
  <si>
    <t>GOOGLE,INFOSYS,TCS</t>
  </si>
  <si>
    <t>Trade Attribute 06</t>
  </si>
  <si>
    <t>TATA,RELIANCE,AMZON</t>
  </si>
  <si>
    <t>Trade Attribute 7</t>
  </si>
  <si>
    <t>Trade Attribute 07</t>
  </si>
  <si>
    <t>Trade Attribute 8</t>
  </si>
  <si>
    <t>Trade Attribute 08</t>
  </si>
  <si>
    <t>Trade Attribute 9</t>
  </si>
  <si>
    <t>Trade Attribute 09</t>
  </si>
  <si>
    <t>Trade Attribute 10</t>
  </si>
  <si>
    <t>Trade Attribute 11</t>
  </si>
  <si>
    <t>Trade Attribute 12</t>
  </si>
  <si>
    <t>Trade Attribute 13</t>
  </si>
  <si>
    <t>Trade Attribute 14</t>
  </si>
  <si>
    <t>Trade Attribute 15</t>
  </si>
  <si>
    <t>Trade Attribute 16</t>
  </si>
  <si>
    <t>Trade Attribute 17</t>
  </si>
  <si>
    <t>Trade Attribute 18</t>
  </si>
  <si>
    <t>Trade Attribute 19</t>
  </si>
  <si>
    <t>Trade Attribute 20</t>
  </si>
  <si>
    <t>Trade Attribute 21</t>
  </si>
  <si>
    <t>Trade Attribute 22</t>
  </si>
  <si>
    <t>Trade Attribute 23</t>
  </si>
  <si>
    <t>Trade Attribute 24</t>
  </si>
  <si>
    <t>Trade Attribute 25</t>
  </si>
  <si>
    <t>Trade Attribute 26</t>
  </si>
  <si>
    <t>Trade Attribute 27</t>
  </si>
  <si>
    <t>Trade Attribute 28</t>
  </si>
  <si>
    <t>Trade Attribute 29</t>
  </si>
  <si>
    <t>Trade Attribute 30</t>
  </si>
  <si>
    <t>Trade Attribute 31</t>
  </si>
  <si>
    <t>Trade Attribute 32</t>
  </si>
  <si>
    <t>Trade Attribute 33</t>
  </si>
  <si>
    <t>Trade Attribute 34</t>
  </si>
  <si>
    <t>Trade Attribute 35</t>
  </si>
  <si>
    <t>Trade Attribute 36</t>
  </si>
  <si>
    <t>Trade Attribute 37</t>
  </si>
  <si>
    <t>Trade Attribute 38</t>
  </si>
  <si>
    <t>Trade Attribute 39</t>
  </si>
  <si>
    <t>Trade Attribute 40</t>
  </si>
  <si>
    <t>Trade Attribute 41</t>
  </si>
  <si>
    <t>Trade Attribute 42</t>
  </si>
  <si>
    <t>Trade Attribute 43</t>
  </si>
  <si>
    <t>Trade Attribute 44</t>
  </si>
  <si>
    <t>Trade Attribute 45</t>
  </si>
  <si>
    <t>ReapplyAllocation</t>
  </si>
  <si>
    <t>IsCustomPreference</t>
  </si>
  <si>
    <t>CommissionAlertOnBrokerChange</t>
  </si>
  <si>
    <t>RecalculateCommissionOnBrokerChange</t>
  </si>
  <si>
    <t>CommissionAlertOnAllocation</t>
  </si>
  <si>
    <t>RecalculateCommissionOnAllocation</t>
  </si>
  <si>
    <t>ProrataSchemeName</t>
  </si>
  <si>
    <t>ProrataAllocationSchemeBasis</t>
  </si>
  <si>
    <t>chkboxAutoGroup</t>
  </si>
  <si>
    <t>chkboxBroker</t>
  </si>
  <si>
    <t>chkboxTradeDate</t>
  </si>
  <si>
    <t>chkboxVenue</t>
  </si>
  <si>
    <t>chkboxProcessDate</t>
  </si>
  <si>
    <t>chkboxTradingAccount</t>
  </si>
  <si>
    <t>chkboxAssetClass</t>
  </si>
  <si>
    <t>chkboxTradeAttribute1</t>
  </si>
  <si>
    <t>chkboxTradeAttribute2</t>
  </si>
  <si>
    <t>chkboxTradeAttribute3</t>
  </si>
  <si>
    <t>chkboxTradeAttribute4</t>
  </si>
  <si>
    <t>chkboxTradeAttribute5</t>
  </si>
  <si>
    <t>chkboxTradeAttribute6</t>
  </si>
  <si>
    <t>chkboxTradeAttribute7</t>
  </si>
  <si>
    <t>chkboxTradeAttribute8</t>
  </si>
  <si>
    <t>chkboxTradeAttribute9</t>
  </si>
  <si>
    <t>chkboxTradeAttribute10</t>
  </si>
  <si>
    <t>chkboxTradeAttribute11</t>
  </si>
  <si>
    <t>chkboxTradeAttribute12</t>
  </si>
  <si>
    <t>chkboxTradeAttribute13</t>
  </si>
  <si>
    <t>chkboxTradeAttribute14</t>
  </si>
  <si>
    <t>chkboxTradeAttribute15</t>
  </si>
  <si>
    <t>chkboxTradeAttribute16</t>
  </si>
  <si>
    <t>chkboxTradeAttribute17</t>
  </si>
  <si>
    <t>chkboxTradeAttribute18</t>
  </si>
  <si>
    <t>chkboxTradeAttribute19</t>
  </si>
  <si>
    <t>chkboxTradeAttribute20</t>
  </si>
  <si>
    <t>chkboxTradeAttribute21</t>
  </si>
  <si>
    <t>chkboxTradeAttribute22</t>
  </si>
  <si>
    <t>chkboxTradeAttribute23</t>
  </si>
  <si>
    <t>chkboxTradeAttribute24</t>
  </si>
  <si>
    <t>chkboxTradeAttribute25</t>
  </si>
  <si>
    <t>chkboxTradeAttribute26</t>
  </si>
  <si>
    <t>chkboxTradeAttribute27</t>
  </si>
  <si>
    <t>chkboxTradeAttribute28</t>
  </si>
  <si>
    <t>chkboxTradeAttribute29</t>
  </si>
  <si>
    <t>chkboxTradeAttribute30</t>
  </si>
  <si>
    <t>chkboxTradeAttribute31</t>
  </si>
  <si>
    <t>chkboxTradeAttribute32</t>
  </si>
  <si>
    <t>chkboxTradeAttribute33</t>
  </si>
  <si>
    <t>chkboxTradeAttribute34</t>
  </si>
  <si>
    <t>chkboxTradeAttribute35</t>
  </si>
  <si>
    <t>chkboxTradeAttribute36</t>
  </si>
  <si>
    <t>chkboxTradeAttribute37</t>
  </si>
  <si>
    <t>chkboxTradeAttribute38</t>
  </si>
  <si>
    <t>chkboxTradeAttribute39</t>
  </si>
  <si>
    <t>chkboxTradeAttribute40</t>
  </si>
  <si>
    <t>chkboxTradeAttribute41</t>
  </si>
  <si>
    <t>chkboxTradeAttribute42</t>
  </si>
  <si>
    <t>chkboxTradeAttribute43</t>
  </si>
  <si>
    <t>chkboxTradeAttribute44</t>
  </si>
  <si>
    <t>chkboxTradeAttribute45</t>
  </si>
  <si>
    <t>btnSave</t>
  </si>
  <si>
    <t>btnClose</t>
  </si>
  <si>
    <t>AllocationPreferenceWindowbtnSave</t>
  </si>
  <si>
    <t>AllocationPreferenceWindowbtnClose</t>
  </si>
  <si>
    <t>VerifyToggleStatechkboxTradeAttribute1</t>
  </si>
  <si>
    <t>VerifyToggleStatechkboxTradeAttribute2</t>
  </si>
  <si>
    <t>VerifyToggleStatechkboxTradeAttribute3</t>
  </si>
  <si>
    <t>VerifyToggleStatechkboxTradeAttribute4</t>
  </si>
  <si>
    <t>VerifyToggleStatechkboxTradeAttribute5</t>
  </si>
  <si>
    <t>VerifyToggleStatechkboxTradeAttribute6</t>
  </si>
  <si>
    <t>VerifyToggleStatechkboxTradeAttribute7</t>
  </si>
  <si>
    <t>VerifyToggleStatechkboxTradeAttribute8</t>
  </si>
  <si>
    <t>VerifyToggleStatechkboxTradeAttribute9</t>
  </si>
  <si>
    <t>VerifyToggleStatechkboxTradeAttribute10</t>
  </si>
  <si>
    <t>VerifyToggleStatechkboxTradeAttribute11</t>
  </si>
  <si>
    <t>VerifyToggleStatechkboxTradeAttribute12</t>
  </si>
  <si>
    <t>VerifyToggleStatechkboxTradeAttribute13</t>
  </si>
  <si>
    <t>VerifyToggleStatechkboxTradeAttribute14</t>
  </si>
  <si>
    <t>VerifyToggleStatechkboxTradeAttribute15</t>
  </si>
  <si>
    <t>VerifyToggleStatechkboxTradeAttribute16</t>
  </si>
  <si>
    <t>VerifyToggleStatechkboxTradeAttribute17</t>
  </si>
  <si>
    <t>VerifyToggleStatechkboxTradeAttribute18</t>
  </si>
  <si>
    <t>VerifyToggleStatechkboxTradeAttribute19</t>
  </si>
  <si>
    <t>VerifyToggleStatechkboxTradeAttribute20</t>
  </si>
  <si>
    <t>VerifyToggleStatechkboxTradeAttribute21</t>
  </si>
  <si>
    <t>VerifyToggleStatechkboxTradeAttribute22</t>
  </si>
  <si>
    <t>VerifyToggleStatechkboxTradeAttribute23</t>
  </si>
  <si>
    <t>VerifyToggleStatechkboxTradeAttribute24</t>
  </si>
  <si>
    <t>VerifyToggleStatechkboxTradeAttribute25</t>
  </si>
  <si>
    <t>VerifyToggleStatechkboxTradeAttribute26</t>
  </si>
  <si>
    <t>VerifyToggleStatechkboxTradeAttribute27</t>
  </si>
  <si>
    <t>VerifyToggleStatechkboxTradeAttribute28</t>
  </si>
  <si>
    <t>VerifyToggleStatechkboxTradeAttribute29</t>
  </si>
  <si>
    <t>VerifyToggleStatechkboxTradeAttribute30</t>
  </si>
  <si>
    <t>VerifyToggleStatechkboxTradeAttribute31</t>
  </si>
  <si>
    <t>VerifyToggleStatechkboxTradeAttribute32</t>
  </si>
  <si>
    <t>VerifyToggleStatechkboxTradeAttribute33</t>
  </si>
  <si>
    <t>VerifyToggleStatechkboxTradeAttribute34</t>
  </si>
  <si>
    <t>VerifyToggleStatechkboxTradeAttribute35</t>
  </si>
  <si>
    <t>VerifyToggleStatechkboxTradeAttribute36</t>
  </si>
  <si>
    <t>VerifyToggleStatechkboxTradeAttribute37</t>
  </si>
  <si>
    <t>VerifyToggleStatechkboxTradeAttribute38</t>
  </si>
  <si>
    <t>VerifyToggleStatechkboxTradeAttribute39</t>
  </si>
  <si>
    <t>VerifyToggleStatechkboxTradeAttribute40</t>
  </si>
  <si>
    <t>VerifyToggleStatechkboxTradeAttribute41</t>
  </si>
  <si>
    <t>VerifyToggleStatechkboxTradeAttribute42</t>
  </si>
  <si>
    <t>VerifyToggleStatechkboxTradeAttribute43</t>
  </si>
  <si>
    <t>VerifyToggleStatechkboxTradeAttribute44</t>
  </si>
  <si>
    <t>VerifyToggleStatechkboxTradeAttribute45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</si>
  <si>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</si>
  <si>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</si>
  <si>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</si>
  <si>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</si>
  <si>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</si>
  <si>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</si>
  <si>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</si>
  <si>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Test1</t>
  </si>
  <si>
    <t>Test2</t>
  </si>
  <si>
    <t>Test3</t>
  </si>
  <si>
    <t>Test4</t>
  </si>
  <si>
    <t>Test5</t>
  </si>
  <si>
    <t>Test6</t>
  </si>
  <si>
    <t>Nirvana.Samsara
NirvanaOne
Test1</t>
  </si>
  <si>
    <t>NASDAQ
NSE
NYSE
Test2</t>
  </si>
  <si>
    <t>Instagram
META
WhatsApp</t>
  </si>
  <si>
    <t>SPACEX
TSLA
TWITTER</t>
  </si>
  <si>
    <t>GOOGLE
INFOSYS
TCS
Test5</t>
  </si>
  <si>
    <t>AMZON
RELIANCE
TATA</t>
  </si>
  <si>
    <t>PTT</t>
  </si>
  <si>
    <t>CalculatePTT</t>
  </si>
  <si>
    <t>Increase</t>
  </si>
  <si>
    <t>Percentage</t>
  </si>
  <si>
    <t>Account</t>
  </si>
  <si>
    <t>Allocation1</t>
  </si>
  <si>
    <t>DailyValuation</t>
  </si>
  <si>
    <t>GetDailyCash</t>
  </si>
  <si>
    <t>UpdateDailyCash</t>
  </si>
  <si>
    <t>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</si>
</sst>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Alignment="1" applyFont="1">
      <alignment readingOrder="0"/>
    </xf>
    <xf borderId="0" fillId="0" fontId="5" numFmtId="0" xfId="0" applyAlignment="1" applyFont="1">
      <alignment readingOrder="0" shrinkToFit="0" wrapText="0"/>
    </xf>
    <xf borderId="4" fillId="5" fontId="4" numFmtId="0" xfId="0" applyAlignment="1" applyBorder="1" applyFont="1">
      <alignment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47" width="12.63"/>
  </cols>
  <sheetData>
    <row r="1" ht="15.75" customHeight="1">
      <c r="A1" s="19"/>
      <c r="B1" s="1"/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/>
      <c r="K2" s="21"/>
      <c r="L2" s="8"/>
      <c r="M2" s="8"/>
      <c r="N2" s="8"/>
      <c r="O2" s="8"/>
    </row>
    <row r="3" ht="15.75" customHeight="1">
      <c r="A3" s="22"/>
      <c r="B3" s="5"/>
      <c r="C3" s="23"/>
      <c r="D3" s="5"/>
      <c r="E3" s="23"/>
      <c r="F3" s="5"/>
      <c r="G3" s="14"/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</row>
    <row r="4" ht="15.75" customHeight="1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</row>
    <row r="5" ht="15.75" customHeight="1">
      <c r="A5" s="27"/>
      <c r="B5" s="28" t="s">
        <v>11</v>
      </c>
      <c r="C5" s="28" t="s">
        <v>12</v>
      </c>
      <c r="D5" s="28" t="s">
        <v>13</v>
      </c>
      <c r="E5" s="28" t="s">
        <v>14</v>
      </c>
      <c r="F5" s="28" t="s">
        <v>15</v>
      </c>
      <c r="G5" s="28" t="s">
        <v>16</v>
      </c>
      <c r="H5" s="28" t="s">
        <v>17</v>
      </c>
      <c r="I5" s="28" t="s">
        <v>18</v>
      </c>
      <c r="J5" s="28" t="s">
        <v>19</v>
      </c>
      <c r="K5" s="28" t="s">
        <v>20</v>
      </c>
      <c r="L5" s="28" t="s">
        <v>21</v>
      </c>
      <c r="M5" s="28" t="s">
        <v>22</v>
      </c>
      <c r="N5" s="28" t="s">
        <v>23</v>
      </c>
      <c r="O5" s="28" t="s">
        <v>24</v>
      </c>
      <c r="P5" s="28" t="s">
        <v>25</v>
      </c>
      <c r="Q5" s="28" t="s">
        <v>26</v>
      </c>
      <c r="R5" s="28" t="s">
        <v>27</v>
      </c>
      <c r="S5" s="28" t="s">
        <v>28</v>
      </c>
      <c r="T5" s="29" t="s">
        <v>29</v>
      </c>
      <c r="U5" s="29" t="s">
        <v>30</v>
      </c>
      <c r="V5" s="29" t="s">
        <v>31</v>
      </c>
      <c r="W5" s="29" t="s">
        <v>32</v>
      </c>
      <c r="X5" s="29" t="s">
        <v>33</v>
      </c>
      <c r="Y5" s="29" t="s">
        <v>34</v>
      </c>
      <c r="Z5" s="29" t="s">
        <v>35</v>
      </c>
      <c r="AA5" s="29" t="s">
        <v>36</v>
      </c>
      <c r="AB5" s="29" t="s">
        <v>37</v>
      </c>
      <c r="AC5" s="29" t="s">
        <v>38</v>
      </c>
      <c r="AD5" s="29" t="s">
        <v>39</v>
      </c>
      <c r="AE5" s="29" t="s">
        <v>40</v>
      </c>
      <c r="AF5" s="29" t="s">
        <v>41</v>
      </c>
      <c r="AG5" s="29" t="s">
        <v>42</v>
      </c>
      <c r="AH5" s="29" t="s">
        <v>43</v>
      </c>
      <c r="AI5" s="29" t="s">
        <v>44</v>
      </c>
      <c r="AJ5" s="29" t="s">
        <v>45</v>
      </c>
      <c r="AK5" s="29" t="s">
        <v>46</v>
      </c>
      <c r="AL5" s="29" t="s">
        <v>47</v>
      </c>
      <c r="AM5" s="29" t="s">
        <v>48</v>
      </c>
      <c r="AN5" s="29" t="s">
        <v>49</v>
      </c>
      <c r="AO5" s="29" t="s">
        <v>50</v>
      </c>
      <c r="AP5" s="29" t="s">
        <v>51</v>
      </c>
      <c r="AQ5" s="29" t="s">
        <v>52</v>
      </c>
      <c r="AR5" s="29" t="s">
        <v>53</v>
      </c>
      <c r="AS5" s="29" t="s">
        <v>54</v>
      </c>
      <c r="AT5" s="29" t="s">
        <v>55</v>
      </c>
      <c r="AU5" s="29" t="s">
        <v>56</v>
      </c>
      <c r="AV5" s="29" t="s">
        <v>57</v>
      </c>
      <c r="AW5" s="29" t="s">
        <v>58</v>
      </c>
      <c r="AX5" s="29" t="s">
        <v>59</v>
      </c>
      <c r="AY5" s="29" t="s">
        <v>60</v>
      </c>
      <c r="AZ5" s="29" t="s">
        <v>61</v>
      </c>
      <c r="BA5" s="29" t="s">
        <v>62</v>
      </c>
      <c r="BB5" s="29" t="s">
        <v>63</v>
      </c>
      <c r="BC5" s="29" t="s">
        <v>64</v>
      </c>
      <c r="BD5" s="29" t="s">
        <v>65</v>
      </c>
      <c r="BE5" s="29" t="s">
        <v>66</v>
      </c>
      <c r="BF5" s="29" t="s">
        <v>67</v>
      </c>
      <c r="BG5" s="29" t="s">
        <v>68</v>
      </c>
      <c r="BH5" s="29" t="s">
        <v>69</v>
      </c>
      <c r="BI5" s="29" t="s">
        <v>70</v>
      </c>
      <c r="BJ5" s="29" t="s">
        <v>71</v>
      </c>
      <c r="BK5" s="29" t="s">
        <v>72</v>
      </c>
      <c r="BL5" s="29" t="s">
        <v>73</v>
      </c>
      <c r="BM5" s="29" t="s">
        <v>74</v>
      </c>
      <c r="BN5" s="29" t="s">
        <v>75</v>
      </c>
      <c r="BO5" s="29" t="s">
        <v>76</v>
      </c>
      <c r="BP5" s="29" t="s">
        <v>77</v>
      </c>
      <c r="BQ5" s="29" t="s">
        <v>78</v>
      </c>
      <c r="BR5" s="29" t="s">
        <v>79</v>
      </c>
      <c r="BS5" s="29" t="s">
        <v>80</v>
      </c>
      <c r="BT5" s="29" t="s">
        <v>81</v>
      </c>
      <c r="BU5" s="29" t="s">
        <v>82</v>
      </c>
      <c r="BV5" s="29" t="s">
        <v>83</v>
      </c>
      <c r="BW5" s="29" t="s">
        <v>84</v>
      </c>
      <c r="BX5" s="29" t="s">
        <v>85</v>
      </c>
      <c r="BY5" s="29" t="s">
        <v>86</v>
      </c>
      <c r="BZ5" s="29" t="s">
        <v>87</v>
      </c>
      <c r="CA5" s="29" t="s">
        <v>88</v>
      </c>
      <c r="CB5" s="29" t="s">
        <v>89</v>
      </c>
      <c r="CC5" s="29" t="s">
        <v>90</v>
      </c>
      <c r="CD5" s="29" t="s">
        <v>91</v>
      </c>
      <c r="CE5" s="29" t="s">
        <v>92</v>
      </c>
      <c r="CF5" s="29" t="s">
        <v>93</v>
      </c>
      <c r="CG5" s="29" t="s">
        <v>94</v>
      </c>
      <c r="CH5" s="29" t="s">
        <v>95</v>
      </c>
      <c r="CI5" s="29" t="s">
        <v>96</v>
      </c>
      <c r="CJ5" s="29" t="s">
        <v>97</v>
      </c>
      <c r="CK5" s="29" t="s">
        <v>98</v>
      </c>
      <c r="CL5" s="29" t="s">
        <v>99</v>
      </c>
      <c r="CM5" s="29" t="s">
        <v>100</v>
      </c>
      <c r="CN5" s="29" t="s">
        <v>101</v>
      </c>
      <c r="CO5" s="29" t="s">
        <v>102</v>
      </c>
      <c r="CP5" s="29" t="s">
        <v>103</v>
      </c>
      <c r="CQ5" s="29" t="s">
        <v>104</v>
      </c>
      <c r="CR5" s="29" t="s">
        <v>105</v>
      </c>
      <c r="CS5" s="29" t="s">
        <v>106</v>
      </c>
      <c r="CT5" s="29" t="s">
        <v>107</v>
      </c>
      <c r="CU5" s="29" t="s">
        <v>108</v>
      </c>
      <c r="CV5" s="29" t="s">
        <v>109</v>
      </c>
      <c r="CW5" s="29" t="s">
        <v>110</v>
      </c>
      <c r="CX5" s="29" t="s">
        <v>111</v>
      </c>
      <c r="CY5" s="29" t="s">
        <v>112</v>
      </c>
      <c r="CZ5" s="29" t="s">
        <v>113</v>
      </c>
      <c r="DA5" s="29" t="s">
        <v>114</v>
      </c>
      <c r="DB5" s="29" t="s">
        <v>115</v>
      </c>
      <c r="DC5" s="29" t="s">
        <v>116</v>
      </c>
      <c r="DD5" s="29" t="s">
        <v>117</v>
      </c>
      <c r="DE5" s="29" t="s">
        <v>118</v>
      </c>
      <c r="DF5" s="29" t="s">
        <v>119</v>
      </c>
      <c r="DG5" s="29" t="s">
        <v>120</v>
      </c>
      <c r="DH5" s="29" t="s">
        <v>121</v>
      </c>
      <c r="DI5" s="29" t="s">
        <v>122</v>
      </c>
      <c r="DJ5" s="29" t="s">
        <v>123</v>
      </c>
      <c r="DK5" s="29" t="s">
        <v>124</v>
      </c>
      <c r="DL5" s="29" t="s">
        <v>125</v>
      </c>
      <c r="DM5" s="29" t="s">
        <v>126</v>
      </c>
      <c r="DN5" s="29" t="s">
        <v>127</v>
      </c>
      <c r="DO5" s="29" t="s">
        <v>128</v>
      </c>
      <c r="DP5" s="29" t="s">
        <v>129</v>
      </c>
      <c r="DQ5" s="29" t="s">
        <v>130</v>
      </c>
      <c r="DR5" s="29" t="s">
        <v>131</v>
      </c>
      <c r="DS5" s="29" t="s">
        <v>132</v>
      </c>
      <c r="DT5" s="29" t="s">
        <v>133</v>
      </c>
      <c r="DU5" s="29" t="s">
        <v>134</v>
      </c>
      <c r="DV5" s="29" t="s">
        <v>135</v>
      </c>
      <c r="DW5" s="29" t="s">
        <v>136</v>
      </c>
      <c r="DX5" s="29" t="s">
        <v>137</v>
      </c>
      <c r="DY5" s="29" t="s">
        <v>138</v>
      </c>
      <c r="DZ5" s="29" t="s">
        <v>139</v>
      </c>
      <c r="EA5" s="29" t="s">
        <v>140</v>
      </c>
      <c r="EB5" s="29" t="s">
        <v>141</v>
      </c>
      <c r="EC5" s="29" t="s">
        <v>142</v>
      </c>
      <c r="ED5" s="29" t="s">
        <v>143</v>
      </c>
      <c r="EE5" s="29" t="s">
        <v>144</v>
      </c>
      <c r="EF5" s="29" t="s">
        <v>145</v>
      </c>
      <c r="EG5" s="29" t="s">
        <v>146</v>
      </c>
      <c r="EH5" s="29" t="s">
        <v>147</v>
      </c>
      <c r="EI5" s="29" t="s">
        <v>148</v>
      </c>
      <c r="EJ5" s="29" t="s">
        <v>149</v>
      </c>
      <c r="EK5" s="29" t="s">
        <v>150</v>
      </c>
      <c r="EL5" s="29" t="s">
        <v>151</v>
      </c>
      <c r="EM5" s="29" t="s">
        <v>152</v>
      </c>
      <c r="EN5" s="29" t="s">
        <v>153</v>
      </c>
      <c r="EO5" s="29" t="s">
        <v>154</v>
      </c>
      <c r="EP5" s="29" t="s">
        <v>155</v>
      </c>
      <c r="EQ5" s="29" t="s">
        <v>156</v>
      </c>
      <c r="ER5" s="29" t="s">
        <v>157</v>
      </c>
      <c r="ES5" s="29" t="s">
        <v>158</v>
      </c>
      <c r="ET5" s="29" t="s">
        <v>159</v>
      </c>
      <c r="EU5" s="29" t="s">
        <v>160</v>
      </c>
      <c r="EV5" s="29" t="s">
        <v>161</v>
      </c>
      <c r="EW5" s="29" t="s">
        <v>162</v>
      </c>
      <c r="EX5" s="29" t="s">
        <v>163</v>
      </c>
      <c r="EY5" s="29" t="s">
        <v>164</v>
      </c>
      <c r="EZ5" s="29" t="s">
        <v>165</v>
      </c>
      <c r="FA5" s="29" t="s">
        <v>166</v>
      </c>
      <c r="FB5" s="29" t="s">
        <v>167</v>
      </c>
      <c r="FC5" s="29" t="s">
        <v>168</v>
      </c>
      <c r="FD5" s="29" t="s">
        <v>169</v>
      </c>
      <c r="FE5" s="29" t="s">
        <v>170</v>
      </c>
      <c r="FF5" s="29" t="s">
        <v>171</v>
      </c>
      <c r="FG5" s="29" t="s">
        <v>172</v>
      </c>
      <c r="FH5" s="29" t="s">
        <v>173</v>
      </c>
      <c r="FI5" s="29" t="s">
        <v>174</v>
      </c>
      <c r="FJ5" s="29" t="s">
        <v>175</v>
      </c>
      <c r="FK5" s="29" t="s">
        <v>176</v>
      </c>
      <c r="FL5" s="29" t="s">
        <v>177</v>
      </c>
      <c r="FM5" s="29" t="s">
        <v>178</v>
      </c>
      <c r="FN5" s="29" t="s">
        <v>179</v>
      </c>
      <c r="FO5" s="29" t="s">
        <v>180</v>
      </c>
      <c r="FP5" s="29" t="s">
        <v>181</v>
      </c>
      <c r="FQ5" s="29" t="s">
        <v>182</v>
      </c>
      <c r="FR5" s="29" t="s">
        <v>183</v>
      </c>
      <c r="FS5" s="29" t="s">
        <v>184</v>
      </c>
      <c r="FT5" s="29" t="s">
        <v>185</v>
      </c>
      <c r="FU5" s="29" t="s">
        <v>186</v>
      </c>
      <c r="FV5" s="29" t="s">
        <v>187</v>
      </c>
      <c r="FW5" s="29" t="s">
        <v>188</v>
      </c>
      <c r="FX5" s="29" t="s">
        <v>189</v>
      </c>
      <c r="FY5" s="29" t="s">
        <v>190</v>
      </c>
      <c r="FZ5" s="29" t="s">
        <v>191</v>
      </c>
      <c r="GA5" s="29" t="s">
        <v>192</v>
      </c>
      <c r="GB5" s="29" t="s">
        <v>193</v>
      </c>
      <c r="GC5" s="29" t="s">
        <v>194</v>
      </c>
      <c r="GD5" s="29" t="s">
        <v>195</v>
      </c>
      <c r="GE5" s="29" t="s">
        <v>196</v>
      </c>
      <c r="GF5" s="29" t="s">
        <v>197</v>
      </c>
      <c r="GG5" s="29" t="s">
        <v>198</v>
      </c>
      <c r="GH5" s="29" t="s">
        <v>199</v>
      </c>
      <c r="GI5" s="29" t="s">
        <v>200</v>
      </c>
      <c r="GJ5" s="29" t="s">
        <v>201</v>
      </c>
      <c r="GK5" s="29" t="s">
        <v>202</v>
      </c>
      <c r="GL5" s="29" t="s">
        <v>203</v>
      </c>
      <c r="GM5" s="29" t="s">
        <v>204</v>
      </c>
      <c r="GN5" s="29" t="s">
        <v>205</v>
      </c>
      <c r="GO5" s="29" t="s">
        <v>206</v>
      </c>
      <c r="GP5" s="29" t="s">
        <v>207</v>
      </c>
      <c r="GQ5" s="29" t="s">
        <v>208</v>
      </c>
      <c r="GR5" s="29" t="s">
        <v>209</v>
      </c>
      <c r="GS5" s="29" t="s">
        <v>210</v>
      </c>
      <c r="GT5" s="29" t="s">
        <v>211</v>
      </c>
      <c r="GU5" s="29" t="s">
        <v>212</v>
      </c>
      <c r="GV5" s="29" t="s">
        <v>213</v>
      </c>
      <c r="GW5" s="29" t="s">
        <v>214</v>
      </c>
      <c r="GX5" s="29" t="s">
        <v>215</v>
      </c>
      <c r="GY5" s="29" t="s">
        <v>216</v>
      </c>
      <c r="GZ5" s="29" t="s">
        <v>217</v>
      </c>
      <c r="HA5" s="29" t="s">
        <v>218</v>
      </c>
      <c r="HB5" s="29" t="s">
        <v>219</v>
      </c>
      <c r="HC5" s="29" t="s">
        <v>220</v>
      </c>
      <c r="HD5" s="29" t="s">
        <v>221</v>
      </c>
      <c r="HE5" s="29" t="s">
        <v>222</v>
      </c>
      <c r="HF5" s="29" t="s">
        <v>223</v>
      </c>
      <c r="HG5" s="29" t="s">
        <v>224</v>
      </c>
      <c r="HH5" s="29" t="s">
        <v>225</v>
      </c>
      <c r="HI5" s="29" t="s">
        <v>226</v>
      </c>
      <c r="HJ5" s="29" t="s">
        <v>227</v>
      </c>
      <c r="HK5" s="29" t="s">
        <v>228</v>
      </c>
      <c r="HL5" s="29" t="s">
        <v>229</v>
      </c>
      <c r="HM5" s="29" t="s">
        <v>230</v>
      </c>
      <c r="HN5" s="29" t="s">
        <v>231</v>
      </c>
      <c r="HO5" s="29" t="s">
        <v>232</v>
      </c>
      <c r="HP5" s="29" t="s">
        <v>233</v>
      </c>
      <c r="HQ5" s="29" t="s">
        <v>234</v>
      </c>
      <c r="HR5" s="29" t="s">
        <v>235</v>
      </c>
      <c r="HS5" s="29" t="s">
        <v>236</v>
      </c>
      <c r="HT5" s="29" t="s">
        <v>237</v>
      </c>
      <c r="HU5" s="29" t="s">
        <v>238</v>
      </c>
      <c r="HV5" s="29" t="s">
        <v>239</v>
      </c>
      <c r="HW5" s="29" t="s">
        <v>240</v>
      </c>
      <c r="HX5" s="29" t="s">
        <v>241</v>
      </c>
      <c r="HY5" s="29" t="s">
        <v>242</v>
      </c>
      <c r="HZ5" s="29" t="s">
        <v>243</v>
      </c>
      <c r="IA5" s="29" t="s">
        <v>244</v>
      </c>
      <c r="IB5" s="29" t="s">
        <v>245</v>
      </c>
      <c r="IC5" s="29" t="s">
        <v>246</v>
      </c>
      <c r="ID5" s="29" t="s">
        <v>247</v>
      </c>
      <c r="IE5" s="29" t="s">
        <v>248</v>
      </c>
      <c r="IF5" s="29" t="s">
        <v>249</v>
      </c>
      <c r="IG5" s="29" t="s">
        <v>250</v>
      </c>
      <c r="IH5" s="29" t="s">
        <v>251</v>
      </c>
      <c r="II5" s="29" t="s">
        <v>252</v>
      </c>
      <c r="IJ5" s="29" t="s">
        <v>253</v>
      </c>
      <c r="IK5" s="29" t="s">
        <v>254</v>
      </c>
      <c r="IL5" s="29" t="s">
        <v>255</v>
      </c>
      <c r="IM5" s="29" t="s">
        <v>256</v>
      </c>
      <c r="IN5" s="29" t="s">
        <v>257</v>
      </c>
      <c r="IO5" s="29" t="s">
        <v>258</v>
      </c>
      <c r="IP5" s="29" t="s">
        <v>259</v>
      </c>
      <c r="IQ5" s="29" t="s">
        <v>260</v>
      </c>
      <c r="IR5" s="29" t="s">
        <v>261</v>
      </c>
      <c r="IS5" s="29" t="s">
        <v>262</v>
      </c>
      <c r="IT5" s="29" t="s">
        <v>263</v>
      </c>
      <c r="IU5" s="29" t="s">
        <v>264</v>
      </c>
      <c r="IV5" s="29" t="s">
        <v>265</v>
      </c>
      <c r="IW5" s="29" t="s">
        <v>266</v>
      </c>
      <c r="IX5" s="29" t="s">
        <v>267</v>
      </c>
      <c r="IY5" s="29" t="s">
        <v>268</v>
      </c>
      <c r="IZ5" s="29" t="s">
        <v>269</v>
      </c>
      <c r="JA5" s="29" t="s">
        <v>270</v>
      </c>
      <c r="JB5" s="29" t="s">
        <v>271</v>
      </c>
      <c r="JC5" s="29" t="s">
        <v>272</v>
      </c>
      <c r="JD5" s="29" t="s">
        <v>273</v>
      </c>
      <c r="JE5" s="29" t="s">
        <v>274</v>
      </c>
      <c r="JF5" s="29" t="s">
        <v>275</v>
      </c>
      <c r="JG5" s="29" t="s">
        <v>276</v>
      </c>
      <c r="JH5" s="29" t="s">
        <v>277</v>
      </c>
      <c r="JI5" s="29" t="s">
        <v>278</v>
      </c>
      <c r="JJ5" s="29" t="s">
        <v>279</v>
      </c>
      <c r="JK5" s="29" t="s">
        <v>280</v>
      </c>
      <c r="JL5" s="29" t="s">
        <v>281</v>
      </c>
      <c r="JM5" s="29" t="s">
        <v>282</v>
      </c>
      <c r="JN5" s="29" t="s">
        <v>283</v>
      </c>
      <c r="JO5" s="29" t="s">
        <v>284</v>
      </c>
      <c r="JP5" s="29" t="s">
        <v>285</v>
      </c>
      <c r="JQ5" s="29" t="s">
        <v>286</v>
      </c>
      <c r="JR5" s="29" t="s">
        <v>287</v>
      </c>
      <c r="JS5" s="29" t="s">
        <v>288</v>
      </c>
      <c r="JT5" s="29" t="s">
        <v>289</v>
      </c>
      <c r="JU5" s="29" t="s">
        <v>290</v>
      </c>
      <c r="JV5" s="29" t="s">
        <v>291</v>
      </c>
      <c r="JW5" s="29" t="s">
        <v>292</v>
      </c>
      <c r="JX5" s="29" t="s">
        <v>293</v>
      </c>
      <c r="JY5" s="29" t="s">
        <v>294</v>
      </c>
      <c r="JZ5" s="29" t="s">
        <v>295</v>
      </c>
      <c r="KA5" s="29" t="s">
        <v>296</v>
      </c>
      <c r="KB5" s="29" t="s">
        <v>297</v>
      </c>
      <c r="KC5" s="29" t="s">
        <v>298</v>
      </c>
      <c r="KD5" s="29" t="s">
        <v>299</v>
      </c>
      <c r="KE5" s="29" t="s">
        <v>300</v>
      </c>
      <c r="KF5" s="29" t="s">
        <v>301</v>
      </c>
      <c r="KG5" s="29" t="s">
        <v>302</v>
      </c>
      <c r="KH5" s="29" t="s">
        <v>303</v>
      </c>
      <c r="KI5" s="29" t="s">
        <v>304</v>
      </c>
      <c r="KJ5" s="29" t="s">
        <v>305</v>
      </c>
      <c r="KK5" s="29" t="s">
        <v>306</v>
      </c>
      <c r="KL5" s="29" t="s">
        <v>307</v>
      </c>
      <c r="KM5" s="29" t="s">
        <v>308</v>
      </c>
      <c r="KN5" s="29" t="s">
        <v>309</v>
      </c>
      <c r="KO5" s="29" t="s">
        <v>310</v>
      </c>
      <c r="KP5" s="29" t="s">
        <v>311</v>
      </c>
      <c r="KQ5" s="29" t="s">
        <v>312</v>
      </c>
      <c r="KR5" s="29" t="s">
        <v>313</v>
      </c>
      <c r="KS5" s="29" t="s">
        <v>314</v>
      </c>
      <c r="KT5" s="29" t="s">
        <v>315</v>
      </c>
      <c r="KU5" s="29" t="s">
        <v>316</v>
      </c>
      <c r="KV5" s="29" t="s">
        <v>317</v>
      </c>
      <c r="KW5" s="29" t="s">
        <v>318</v>
      </c>
      <c r="KX5" s="29" t="s">
        <v>319</v>
      </c>
      <c r="KY5" s="29" t="s">
        <v>320</v>
      </c>
      <c r="KZ5" s="29" t="s">
        <v>321</v>
      </c>
      <c r="LA5" s="29" t="s">
        <v>322</v>
      </c>
      <c r="LB5" s="29" t="s">
        <v>323</v>
      </c>
      <c r="LC5" s="29" t="s">
        <v>324</v>
      </c>
      <c r="LD5" s="29" t="s">
        <v>325</v>
      </c>
      <c r="LE5" s="29" t="s">
        <v>326</v>
      </c>
      <c r="LF5" s="29" t="s">
        <v>327</v>
      </c>
      <c r="LG5" s="29" t="s">
        <v>328</v>
      </c>
      <c r="LH5" s="29" t="s">
        <v>329</v>
      </c>
      <c r="LI5" s="29" t="s">
        <v>330</v>
      </c>
      <c r="LJ5" s="29" t="s">
        <v>331</v>
      </c>
      <c r="LK5" s="29" t="s">
        <v>332</v>
      </c>
      <c r="LL5" s="29" t="s">
        <v>333</v>
      </c>
      <c r="LM5" s="29" t="s">
        <v>334</v>
      </c>
      <c r="LN5" s="29" t="s">
        <v>335</v>
      </c>
      <c r="LO5" s="29" t="s">
        <v>336</v>
      </c>
      <c r="LP5" s="29" t="s">
        <v>337</v>
      </c>
      <c r="LQ5" s="29" t="s">
        <v>338</v>
      </c>
      <c r="LR5" s="29" t="s">
        <v>339</v>
      </c>
      <c r="LS5" s="29" t="s">
        <v>340</v>
      </c>
      <c r="LT5" s="29" t="s">
        <v>341</v>
      </c>
      <c r="LU5" s="29" t="s">
        <v>342</v>
      </c>
      <c r="LV5" s="29" t="s">
        <v>343</v>
      </c>
      <c r="LW5" s="29" t="s">
        <v>344</v>
      </c>
      <c r="LX5" s="29" t="s">
        <v>345</v>
      </c>
      <c r="LY5" s="29" t="s">
        <v>346</v>
      </c>
      <c r="LZ5" s="29" t="s">
        <v>347</v>
      </c>
      <c r="MA5" s="29" t="s">
        <v>348</v>
      </c>
      <c r="MB5" s="29" t="s">
        <v>349</v>
      </c>
      <c r="MC5" s="29" t="s">
        <v>350</v>
      </c>
      <c r="MD5" s="29" t="s">
        <v>351</v>
      </c>
      <c r="ME5" s="29" t="s">
        <v>352</v>
      </c>
      <c r="MF5" s="29" t="s">
        <v>353</v>
      </c>
      <c r="MG5" s="29" t="s">
        <v>354</v>
      </c>
      <c r="MH5" s="29" t="s">
        <v>355</v>
      </c>
      <c r="MI5" s="29" t="s">
        <v>356</v>
      </c>
    </row>
    <row r="6" ht="15.75" customHeight="1">
      <c r="A6" s="13"/>
      <c r="B6" s="13"/>
      <c r="C6" s="8"/>
      <c r="D6" s="13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IK6" s="9" t="s">
        <v>357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ActionOnToolBar!$4:$4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17.88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/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/>
      <c r="K2" s="21"/>
      <c r="L2" s="8"/>
      <c r="M2" s="8"/>
      <c r="N2" s="8"/>
      <c r="O2" s="8"/>
    </row>
    <row r="3" ht="15.75" customHeight="1">
      <c r="A3" s="22"/>
      <c r="B3" s="5"/>
      <c r="C3" s="23"/>
      <c r="D3" s="5"/>
      <c r="E3" s="23"/>
      <c r="F3" s="5"/>
      <c r="G3" s="14"/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8" t="s">
        <v>358</v>
      </c>
      <c r="C5" s="28" t="s">
        <v>359</v>
      </c>
      <c r="D5" s="28" t="s">
        <v>360</v>
      </c>
      <c r="E5" s="28" t="s">
        <v>361</v>
      </c>
      <c r="F5" s="28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</row>
    <row r="6" ht="15.75" customHeight="1">
      <c r="A6" s="13"/>
      <c r="B6" s="13" t="s">
        <v>96</v>
      </c>
      <c r="C6" s="13" t="s">
        <v>362</v>
      </c>
      <c r="D6" s="13" t="b">
        <v>1</v>
      </c>
      <c r="E6" s="13" t="s">
        <v>363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97</v>
      </c>
      <c r="C7" s="13" t="s">
        <v>364</v>
      </c>
      <c r="D7" s="13" t="b">
        <v>1</v>
      </c>
      <c r="E7" s="13" t="s">
        <v>365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98</v>
      </c>
      <c r="C8" s="13" t="s">
        <v>366</v>
      </c>
      <c r="D8" s="13" t="b">
        <v>0</v>
      </c>
      <c r="E8" s="13" t="s">
        <v>367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99</v>
      </c>
      <c r="C9" s="13" t="s">
        <v>368</v>
      </c>
      <c r="D9" s="13" t="b">
        <v>0</v>
      </c>
      <c r="E9" s="13" t="s">
        <v>369</v>
      </c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100</v>
      </c>
      <c r="C10" s="13" t="s">
        <v>370</v>
      </c>
      <c r="D10" s="13" t="b">
        <v>1</v>
      </c>
      <c r="E10" s="13" t="s">
        <v>371</v>
      </c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101</v>
      </c>
      <c r="C11" s="13" t="s">
        <v>372</v>
      </c>
      <c r="D11" s="13" t="b">
        <v>0</v>
      </c>
      <c r="E11" s="13" t="s">
        <v>373</v>
      </c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374</v>
      </c>
      <c r="C12" s="13" t="s">
        <v>375</v>
      </c>
      <c r="D12" s="13" t="b">
        <v>1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 t="s">
        <v>376</v>
      </c>
      <c r="C13" s="13" t="s">
        <v>377</v>
      </c>
      <c r="D13" s="13" t="b">
        <v>1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 t="s">
        <v>378</v>
      </c>
      <c r="C14" s="13" t="s">
        <v>379</v>
      </c>
      <c r="D14" s="13" t="b">
        <v>1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 t="s">
        <v>380</v>
      </c>
      <c r="C15" s="13" t="s">
        <v>380</v>
      </c>
      <c r="D15" s="13" t="b">
        <v>1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 t="s">
        <v>381</v>
      </c>
      <c r="C16" s="13" t="s">
        <v>381</v>
      </c>
      <c r="D16" s="13" t="b">
        <v>1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13" t="s">
        <v>382</v>
      </c>
      <c r="C17" s="13" t="s">
        <v>382</v>
      </c>
      <c r="D17" s="13" t="b">
        <v>1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13" t="s">
        <v>383</v>
      </c>
      <c r="C18" s="13" t="s">
        <v>383</v>
      </c>
      <c r="D18" s="13" t="b">
        <v>1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13" t="s">
        <v>384</v>
      </c>
      <c r="C19" s="13" t="s">
        <v>384</v>
      </c>
      <c r="D19" s="13" t="b">
        <v>1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13" t="s">
        <v>385</v>
      </c>
      <c r="C20" s="13" t="s">
        <v>385</v>
      </c>
      <c r="D20" s="13" t="b">
        <v>1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13" t="s">
        <v>386</v>
      </c>
      <c r="C21" s="13" t="s">
        <v>386</v>
      </c>
      <c r="D21" s="13" t="b">
        <v>1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13" t="s">
        <v>387</v>
      </c>
      <c r="C22" s="13" t="s">
        <v>387</v>
      </c>
      <c r="D22" s="13" t="b">
        <v>1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13" t="s">
        <v>388</v>
      </c>
      <c r="C23" s="13" t="s">
        <v>388</v>
      </c>
      <c r="D23" s="13" t="b">
        <v>1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13" t="s">
        <v>389</v>
      </c>
      <c r="C24" s="13" t="s">
        <v>389</v>
      </c>
      <c r="D24" s="13" t="b">
        <v>1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13" t="s">
        <v>390</v>
      </c>
      <c r="C25" s="13" t="s">
        <v>390</v>
      </c>
      <c r="D25" s="13" t="b">
        <v>1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13" t="s">
        <v>391</v>
      </c>
      <c r="C26" s="13" t="s">
        <v>391</v>
      </c>
      <c r="D26" s="13" t="b">
        <v>1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B27" s="9" t="s">
        <v>392</v>
      </c>
      <c r="C27" s="9" t="s">
        <v>392</v>
      </c>
      <c r="D27" s="9" t="b">
        <v>1</v>
      </c>
    </row>
    <row r="28" ht="15.75" customHeight="1">
      <c r="B28" s="9" t="s">
        <v>393</v>
      </c>
      <c r="C28" s="9" t="s">
        <v>393</v>
      </c>
      <c r="D28" s="9" t="b">
        <v>1</v>
      </c>
    </row>
    <row r="29" ht="15.75" customHeight="1">
      <c r="B29" s="9" t="s">
        <v>394</v>
      </c>
      <c r="C29" s="9" t="s">
        <v>394</v>
      </c>
      <c r="D29" s="9" t="b">
        <v>1</v>
      </c>
    </row>
    <row r="30" ht="15.75" customHeight="1">
      <c r="B30" s="9" t="s">
        <v>395</v>
      </c>
      <c r="C30" s="9" t="s">
        <v>395</v>
      </c>
      <c r="D30" s="9" t="b">
        <v>1</v>
      </c>
    </row>
    <row r="31" ht="15.75" customHeight="1">
      <c r="B31" s="9" t="s">
        <v>396</v>
      </c>
      <c r="C31" s="9" t="s">
        <v>396</v>
      </c>
      <c r="D31" s="9" t="b">
        <v>1</v>
      </c>
    </row>
    <row r="32" ht="15.75" customHeight="1">
      <c r="B32" s="9" t="s">
        <v>397</v>
      </c>
      <c r="C32" s="9" t="s">
        <v>397</v>
      </c>
      <c r="D32" s="9" t="b">
        <v>1</v>
      </c>
    </row>
    <row r="33" ht="15.75" customHeight="1">
      <c r="B33" s="9" t="s">
        <v>398</v>
      </c>
      <c r="C33" s="9" t="s">
        <v>398</v>
      </c>
      <c r="D33" s="9" t="b">
        <v>1</v>
      </c>
    </row>
    <row r="34" ht="15.75" customHeight="1">
      <c r="B34" s="9" t="s">
        <v>399</v>
      </c>
      <c r="C34" s="9" t="s">
        <v>399</v>
      </c>
      <c r="D34" s="9" t="b">
        <v>1</v>
      </c>
    </row>
    <row r="35" ht="15.75" customHeight="1">
      <c r="B35" s="9" t="s">
        <v>400</v>
      </c>
      <c r="C35" s="9" t="s">
        <v>400</v>
      </c>
      <c r="D35" s="9" t="b">
        <v>1</v>
      </c>
    </row>
    <row r="36" ht="15.75" customHeight="1">
      <c r="B36" s="9" t="s">
        <v>401</v>
      </c>
      <c r="C36" s="9" t="s">
        <v>401</v>
      </c>
      <c r="D36" s="9" t="b">
        <v>1</v>
      </c>
    </row>
    <row r="37" ht="15.75" customHeight="1">
      <c r="B37" s="9" t="s">
        <v>402</v>
      </c>
      <c r="C37" s="9" t="s">
        <v>402</v>
      </c>
      <c r="D37" s="9" t="b">
        <v>1</v>
      </c>
    </row>
    <row r="38" ht="15.75" customHeight="1">
      <c r="B38" s="9" t="s">
        <v>403</v>
      </c>
      <c r="C38" s="9" t="s">
        <v>403</v>
      </c>
      <c r="D38" s="9" t="b">
        <v>1</v>
      </c>
    </row>
    <row r="39" ht="15.75" customHeight="1">
      <c r="B39" s="9" t="s">
        <v>404</v>
      </c>
      <c r="C39" s="9" t="s">
        <v>404</v>
      </c>
      <c r="D39" s="9" t="b">
        <v>1</v>
      </c>
    </row>
    <row r="40" ht="15.75" customHeight="1">
      <c r="B40" s="9" t="s">
        <v>405</v>
      </c>
      <c r="C40" s="9" t="s">
        <v>405</v>
      </c>
      <c r="D40" s="9" t="b">
        <v>1</v>
      </c>
    </row>
    <row r="41" ht="15.75" customHeight="1">
      <c r="B41" s="9" t="s">
        <v>406</v>
      </c>
      <c r="C41" s="9" t="s">
        <v>406</v>
      </c>
      <c r="D41" s="9" t="b">
        <v>1</v>
      </c>
    </row>
    <row r="42" ht="15.75" customHeight="1">
      <c r="B42" s="9" t="s">
        <v>407</v>
      </c>
      <c r="C42" s="9" t="s">
        <v>407</v>
      </c>
      <c r="D42" s="9" t="b">
        <v>1</v>
      </c>
    </row>
    <row r="43" ht="15.75" customHeight="1">
      <c r="B43" s="9" t="s">
        <v>408</v>
      </c>
      <c r="C43" s="9" t="s">
        <v>408</v>
      </c>
      <c r="D43" s="9" t="b">
        <v>1</v>
      </c>
    </row>
    <row r="44" ht="15.75" customHeight="1">
      <c r="B44" s="9" t="s">
        <v>409</v>
      </c>
      <c r="C44" s="9" t="s">
        <v>409</v>
      </c>
      <c r="D44" s="9" t="b">
        <v>1</v>
      </c>
    </row>
    <row r="45" ht="15.75" customHeight="1">
      <c r="B45" s="9" t="s">
        <v>410</v>
      </c>
      <c r="C45" s="9" t="s">
        <v>410</v>
      </c>
      <c r="D45" s="9" t="b">
        <v>1</v>
      </c>
    </row>
    <row r="46" ht="15.75" customHeight="1">
      <c r="B46" s="9" t="s">
        <v>411</v>
      </c>
      <c r="C46" s="9" t="s">
        <v>411</v>
      </c>
      <c r="D46" s="9" t="b">
        <v>1</v>
      </c>
    </row>
    <row r="47" ht="15.75" customHeight="1">
      <c r="B47" s="9" t="s">
        <v>412</v>
      </c>
      <c r="C47" s="9" t="s">
        <v>412</v>
      </c>
      <c r="D47" s="9" t="b">
        <v>1</v>
      </c>
    </row>
    <row r="48" ht="15.75" customHeight="1">
      <c r="B48" s="9" t="s">
        <v>413</v>
      </c>
      <c r="C48" s="9" t="s">
        <v>413</v>
      </c>
      <c r="D48" s="9" t="b">
        <v>1</v>
      </c>
    </row>
    <row r="49" ht="15.75" customHeight="1">
      <c r="B49" s="9" t="s">
        <v>414</v>
      </c>
      <c r="C49" s="9" t="s">
        <v>414</v>
      </c>
      <c r="D49" s="9" t="b">
        <v>1</v>
      </c>
    </row>
    <row r="50" ht="15.75" customHeight="1">
      <c r="B50" s="9" t="s">
        <v>415</v>
      </c>
      <c r="C50" s="9" t="s">
        <v>415</v>
      </c>
      <c r="D50" s="9" t="b">
        <v>1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EditAttRenaming!$4:$4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/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/>
      <c r="K2" s="21"/>
      <c r="L2" s="8"/>
      <c r="M2" s="8"/>
      <c r="N2" s="8"/>
      <c r="O2" s="8"/>
    </row>
    <row r="3" ht="15.75" customHeight="1">
      <c r="A3" s="22"/>
      <c r="B3" s="5"/>
      <c r="C3" s="23"/>
      <c r="D3" s="5"/>
      <c r="E3" s="23"/>
      <c r="F3" s="5"/>
      <c r="G3" s="14"/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8" t="s">
        <v>198</v>
      </c>
      <c r="C5" s="28" t="s">
        <v>199</v>
      </c>
      <c r="D5" s="28" t="s">
        <v>200</v>
      </c>
      <c r="E5" s="28" t="s">
        <v>201</v>
      </c>
      <c r="F5" s="28" t="s">
        <v>202</v>
      </c>
      <c r="G5" s="28" t="s">
        <v>203</v>
      </c>
      <c r="H5" s="28" t="s">
        <v>204</v>
      </c>
      <c r="I5" s="28" t="s">
        <v>416</v>
      </c>
      <c r="J5" s="28" t="s">
        <v>205</v>
      </c>
      <c r="K5" s="28" t="s">
        <v>417</v>
      </c>
      <c r="L5" s="28" t="s">
        <v>192</v>
      </c>
      <c r="M5" s="28" t="s">
        <v>193</v>
      </c>
      <c r="N5" s="28" t="s">
        <v>194</v>
      </c>
      <c r="O5" s="28" t="s">
        <v>195</v>
      </c>
      <c r="P5" s="28" t="s">
        <v>196</v>
      </c>
      <c r="Q5" s="28" t="s">
        <v>197</v>
      </c>
      <c r="R5" s="28" t="s">
        <v>418</v>
      </c>
      <c r="S5" s="28" t="s">
        <v>419</v>
      </c>
      <c r="T5" s="29" t="s">
        <v>420</v>
      </c>
      <c r="U5" s="29" t="s">
        <v>421</v>
      </c>
      <c r="V5" s="29" t="s">
        <v>206</v>
      </c>
      <c r="W5" s="29" t="s">
        <v>207</v>
      </c>
      <c r="X5" s="29" t="s">
        <v>422</v>
      </c>
      <c r="Y5" s="29" t="s">
        <v>423</v>
      </c>
      <c r="Z5" s="29" t="s">
        <v>208</v>
      </c>
      <c r="AA5" s="29" t="s">
        <v>424</v>
      </c>
      <c r="AB5" s="29" t="s">
        <v>425</v>
      </c>
      <c r="AC5" s="29" t="s">
        <v>426</v>
      </c>
      <c r="AD5" s="29" t="s">
        <v>427</v>
      </c>
      <c r="AE5" s="29" t="s">
        <v>428</v>
      </c>
      <c r="AF5" s="29" t="s">
        <v>429</v>
      </c>
      <c r="AG5" s="29" t="s">
        <v>430</v>
      </c>
      <c r="AH5" s="29" t="s">
        <v>431</v>
      </c>
      <c r="AI5" s="29" t="s">
        <v>432</v>
      </c>
      <c r="AJ5" s="29" t="s">
        <v>433</v>
      </c>
      <c r="AK5" s="29" t="s">
        <v>434</v>
      </c>
      <c r="AL5" s="29" t="s">
        <v>435</v>
      </c>
      <c r="AM5" s="29" t="s">
        <v>436</v>
      </c>
      <c r="AN5" s="29" t="s">
        <v>437</v>
      </c>
      <c r="AO5" s="29" t="s">
        <v>438</v>
      </c>
      <c r="AP5" s="29" t="s">
        <v>439</v>
      </c>
      <c r="AQ5" s="29" t="s">
        <v>440</v>
      </c>
      <c r="AR5" s="29" t="s">
        <v>441</v>
      </c>
      <c r="AS5" s="29" t="s">
        <v>442</v>
      </c>
      <c r="AT5" s="29" t="s">
        <v>443</v>
      </c>
      <c r="AU5" s="29" t="s">
        <v>444</v>
      </c>
      <c r="AV5" s="29" t="s">
        <v>445</v>
      </c>
      <c r="AW5" s="29" t="s">
        <v>446</v>
      </c>
      <c r="AX5" s="29" t="s">
        <v>447</v>
      </c>
      <c r="AY5" s="29" t="s">
        <v>448</v>
      </c>
      <c r="AZ5" s="29" t="s">
        <v>449</v>
      </c>
      <c r="BA5" s="29" t="s">
        <v>450</v>
      </c>
      <c r="BB5" s="29" t="s">
        <v>451</v>
      </c>
      <c r="BC5" s="29" t="s">
        <v>452</v>
      </c>
      <c r="BD5" s="29" t="s">
        <v>453</v>
      </c>
      <c r="BE5" s="29" t="s">
        <v>454</v>
      </c>
      <c r="BF5" s="29" t="s">
        <v>455</v>
      </c>
      <c r="BG5" s="29" t="s">
        <v>456</v>
      </c>
      <c r="BH5" s="29" t="s">
        <v>457</v>
      </c>
      <c r="BI5" s="29" t="s">
        <v>458</v>
      </c>
      <c r="BJ5" s="29" t="s">
        <v>459</v>
      </c>
      <c r="BK5" s="29" t="s">
        <v>460</v>
      </c>
      <c r="BL5" s="29" t="s">
        <v>461</v>
      </c>
      <c r="BM5" s="29" t="s">
        <v>462</v>
      </c>
      <c r="BN5" s="29" t="s">
        <v>463</v>
      </c>
      <c r="BO5" s="29" t="s">
        <v>464</v>
      </c>
      <c r="BP5" s="29" t="s">
        <v>465</v>
      </c>
      <c r="BQ5" s="29" t="s">
        <v>466</v>
      </c>
      <c r="BR5" s="29" t="s">
        <v>467</v>
      </c>
      <c r="BS5" s="29" t="s">
        <v>468</v>
      </c>
      <c r="BT5" s="29" t="s">
        <v>469</v>
      </c>
      <c r="BU5" s="29" t="s">
        <v>470</v>
      </c>
      <c r="BV5" s="29" t="s">
        <v>471</v>
      </c>
      <c r="BW5" s="29" t="s">
        <v>472</v>
      </c>
      <c r="BX5" s="29" t="s">
        <v>473</v>
      </c>
      <c r="BY5" s="29" t="s">
        <v>474</v>
      </c>
      <c r="BZ5" s="29" t="s">
        <v>475</v>
      </c>
      <c r="CA5" s="29" t="s">
        <v>476</v>
      </c>
      <c r="CB5" s="29" t="s">
        <v>477</v>
      </c>
      <c r="CC5" s="29" t="s">
        <v>478</v>
      </c>
      <c r="CD5" s="29" t="s">
        <v>479</v>
      </c>
      <c r="CE5" s="29" t="s">
        <v>480</v>
      </c>
      <c r="CF5" s="29" t="s">
        <v>481</v>
      </c>
      <c r="CG5" s="29" t="s">
        <v>482</v>
      </c>
      <c r="CH5" s="29" t="s">
        <v>483</v>
      </c>
      <c r="CI5" s="29" t="s">
        <v>484</v>
      </c>
      <c r="CJ5" s="29" t="s">
        <v>485</v>
      </c>
      <c r="CK5" s="29" t="s">
        <v>486</v>
      </c>
      <c r="CL5" s="29" t="s">
        <v>487</v>
      </c>
      <c r="CM5" s="29" t="s">
        <v>488</v>
      </c>
      <c r="CN5" s="29" t="s">
        <v>489</v>
      </c>
      <c r="CO5" s="29" t="s">
        <v>490</v>
      </c>
      <c r="CP5" s="29" t="s">
        <v>491</v>
      </c>
      <c r="CQ5" s="29" t="s">
        <v>492</v>
      </c>
      <c r="CR5" s="29" t="s">
        <v>493</v>
      </c>
      <c r="CS5" s="29" t="s">
        <v>494</v>
      </c>
      <c r="CT5" s="29" t="s">
        <v>495</v>
      </c>
      <c r="CU5" s="29" t="s">
        <v>496</v>
      </c>
      <c r="CV5" s="29" t="s">
        <v>497</v>
      </c>
      <c r="CW5" s="29" t="s">
        <v>498</v>
      </c>
      <c r="CX5" s="29" t="s">
        <v>499</v>
      </c>
      <c r="CY5" s="29" t="s">
        <v>500</v>
      </c>
      <c r="CZ5" s="29" t="s">
        <v>501</v>
      </c>
      <c r="DA5" s="29" t="s">
        <v>502</v>
      </c>
      <c r="DB5" s="29" t="s">
        <v>503</v>
      </c>
      <c r="DC5" s="29" t="s">
        <v>504</v>
      </c>
      <c r="DD5" s="29" t="s">
        <v>505</v>
      </c>
      <c r="DE5" s="29" t="s">
        <v>506</v>
      </c>
      <c r="DF5" s="29" t="s">
        <v>507</v>
      </c>
      <c r="DG5" s="29" t="s">
        <v>508</v>
      </c>
      <c r="DH5" s="29" t="s">
        <v>509</v>
      </c>
      <c r="DI5" s="29" t="s">
        <v>510</v>
      </c>
      <c r="DJ5" s="29" t="s">
        <v>511</v>
      </c>
      <c r="DK5" s="29" t="s">
        <v>512</v>
      </c>
      <c r="DL5" s="29" t="s">
        <v>513</v>
      </c>
      <c r="DM5" s="29" t="s">
        <v>514</v>
      </c>
      <c r="DN5" s="29" t="s">
        <v>515</v>
      </c>
      <c r="DO5" s="29" t="s">
        <v>516</v>
      </c>
      <c r="DP5" s="29" t="s">
        <v>517</v>
      </c>
      <c r="DQ5" s="29" t="s">
        <v>518</v>
      </c>
      <c r="DR5" s="29" t="s">
        <v>519</v>
      </c>
      <c r="DS5" s="29" t="s">
        <v>520</v>
      </c>
      <c r="DT5" s="29" t="s">
        <v>521</v>
      </c>
      <c r="DU5" s="29" t="s">
        <v>522</v>
      </c>
      <c r="DV5" s="29" t="s">
        <v>523</v>
      </c>
      <c r="DW5" s="29" t="s">
        <v>524</v>
      </c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</row>
    <row r="6" ht="15.75" customHeight="1">
      <c r="A6" s="13"/>
      <c r="B6" s="13"/>
      <c r="C6" s="8"/>
      <c r="D6" s="13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CC6" s="9" t="s">
        <v>234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CD7" s="9" t="s">
        <v>235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ActiononAGP!$4:$4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44" width="12.63"/>
    <col customWidth="1" min="45" max="45" width="21.38"/>
    <col customWidth="1" min="46" max="154" width="12.63"/>
  </cols>
  <sheetData>
    <row r="1" ht="15.75" customHeight="1">
      <c r="A1" s="19"/>
      <c r="B1" s="1" t="s">
        <v>525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526</v>
      </c>
      <c r="D3" s="5" t="s">
        <v>9</v>
      </c>
      <c r="E3" s="23" t="s">
        <v>527</v>
      </c>
      <c r="F3" s="5" t="s">
        <v>528</v>
      </c>
      <c r="G3" s="14" t="s">
        <v>529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IFERROR(__xludf.DUMMYFUNCTION("""COMPUTED_VALUE"""),"Symbol")</f>
        <v>Symbol</v>
      </c>
      <c r="C5" s="31" t="str">
        <f>IFERROR(__xludf.DUMMYFUNCTION("""COMPUTED_VALUE"""),"Quantity")</f>
        <v>Quantity</v>
      </c>
      <c r="D5" s="31" t="str">
        <f>IFERROR(__xludf.DUMMYFUNCTION("""COMPUTED_VALUE"""),"Price")</f>
        <v>Price</v>
      </c>
      <c r="E5" s="31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31" t="str">
        <f>IFERROR(__xludf.DUMMYFUNCTION("""COMPUTED_VALUE"""),"TT_Open")</f>
        <v>TT_Open</v>
      </c>
      <c r="H5" s="31" t="str">
        <f>IFERROR(__xludf.DUMMYFUNCTION("""COMPUTED_VALUE"""),"SharesOutstandingPopUpQty")</f>
        <v>SharesOutstandingPopUpQty</v>
      </c>
      <c r="I5" s="31" t="str">
        <f>IFERROR(__xludf.DUMMYFUNCTION("""COMPUTED_VALUE"""),"AllocationMethod")</f>
        <v>AllocationMethod</v>
      </c>
      <c r="J5" s="31" t="str">
        <f>IFERROR(__xludf.DUMMYFUNCTION("""COMPUTED_VALUE"""),"Order Side")</f>
        <v>Order Side</v>
      </c>
      <c r="K5" s="31" t="str">
        <f>IFERROR(__xludf.DUMMYFUNCTION("""COMPUTED_VALUE"""),"DB_Check")</f>
        <v>DB_Check</v>
      </c>
      <c r="L5" s="31" t="str">
        <f>IFERROR(__xludf.DUMMYFUNCTION("""COMPUTED_VALUE"""),"CommissionBasis")</f>
        <v>CommissionBasis</v>
      </c>
      <c r="M5" s="31" t="str">
        <f>IFERROR(__xludf.DUMMYFUNCTION("""COMPUTED_VALUE"""),"CommissionRate")</f>
        <v>CommissionRate</v>
      </c>
      <c r="N5" s="31" t="str">
        <f>IFERROR(__xludf.DUMMYFUNCTION("""COMPUTED_VALUE"""),"SoftBasis")</f>
        <v>SoftBasis</v>
      </c>
      <c r="O5" s="31" t="str">
        <f>IFERROR(__xludf.DUMMYFUNCTION("""COMPUTED_VALUE"""),"SoftRate")</f>
        <v>SoftRate</v>
      </c>
      <c r="P5" s="31" t="str">
        <f>IFERROR(__xludf.DUMMYFUNCTION("""COMPUTED_VALUE"""),"Account")</f>
        <v>Account</v>
      </c>
      <c r="Q5" s="31" t="str">
        <f>IFERROR(__xludf.DUMMYFUNCTION("""COMPUTED_VALUE"""),"Account %")</f>
        <v>Account %</v>
      </c>
      <c r="R5" s="31" t="str">
        <f>IFERROR(__xludf.DUMMYFUNCTION("""COMPUTED_VALUE"""),"VerifySuggestions")</f>
        <v>VerifySuggestions</v>
      </c>
      <c r="S5" s="31" t="str">
        <f>IFERROR(__xludf.DUMMYFUNCTION("""COMPUTED_VALUE"""),"SymbolToPickFromSuggesstions")</f>
        <v>SymbolToPickFromSuggesstions</v>
      </c>
      <c r="T5" s="32" t="str">
        <f>IFERROR(__xludf.DUMMYFUNCTION("""COMPUTED_VALUE"""),"TypedSymbolAvailableOnSuggestion")</f>
        <v>TypedSymbolAvailableOnSuggestion</v>
      </c>
      <c r="U5" s="32" t="str">
        <f>IFERROR(__xludf.DUMMYFUNCTION("""COMPUTED_VALUE"""),"TIF")</f>
        <v>TIF</v>
      </c>
      <c r="V5" s="32" t="str">
        <f>IFERROR(__xludf.DUMMYFUNCTION("""COMPUTED_VALUE"""),"Order Type")</f>
        <v>Order Type</v>
      </c>
      <c r="W5" s="32" t="str">
        <f>IFERROR(__xludf.DUMMYFUNCTION("""COMPUTED_VALUE"""),"Stop")</f>
        <v>Stop</v>
      </c>
      <c r="X5" s="32" t="str">
        <f>IFERROR(__xludf.DUMMYFUNCTION("""COMPUTED_VALUE"""),"Limit")</f>
        <v>Limit</v>
      </c>
      <c r="Y5" s="32" t="str">
        <f>IFERROR(__xludf.DUMMYFUNCTION("""COMPUTED_VALUE"""),"Expiration Date")</f>
        <v>Expiration Date</v>
      </c>
      <c r="Z5" s="32" t="str">
        <f>IFERROR(__xludf.DUMMYFUNCTION("""COMPUTED_VALUE"""),"Trade Date")</f>
        <v>Trade Date</v>
      </c>
      <c r="AA5" s="32" t="str">
        <f>IFERROR(__xludf.DUMMYFUNCTION("""COMPUTED_VALUE"""),"Broker")</f>
        <v>Broker</v>
      </c>
      <c r="AB5" s="32" t="str">
        <f>IFERROR(__xludf.DUMMYFUNCTION("""COMPUTED_VALUE"""),"Padlock Visiblity")</f>
        <v>Padlock Visiblity</v>
      </c>
      <c r="AC5" s="32" t="str">
        <f>IFERROR(__xludf.DUMMYFUNCTION("""COMPUTED_VALUE"""),"Padlock Unlock")</f>
        <v>Padlock Unlock</v>
      </c>
      <c r="AD5" s="32" t="str">
        <f>IFERROR(__xludf.DUMMYFUNCTION("""COMPUTED_VALUE"""),"Venue")</f>
        <v>Venue</v>
      </c>
      <c r="AE5" s="32" t="str">
        <f>IFERROR(__xludf.DUMMYFUNCTION("""COMPUTED_VALUE"""),"Fx Rate")</f>
        <v>Fx Rate</v>
      </c>
      <c r="AF5" s="32" t="str">
        <f>IFERROR(__xludf.DUMMYFUNCTION("""COMPUTED_VALUE"""),"Fx Operator")</f>
        <v>Fx Operator</v>
      </c>
      <c r="AG5" s="32" t="str">
        <f>IFERROR(__xludf.DUMMYFUNCTION("""COMPUTED_VALUE"""),"PendingApprovalPopUp")</f>
        <v>PendingApprovalPopUp</v>
      </c>
      <c r="AH5" s="32" t="str">
        <f>IFERROR(__xludf.DUMMYFUNCTION("""COMPUTED_VALUE"""),"TradeBy")</f>
        <v>TradeBy</v>
      </c>
      <c r="AI5" s="32" t="str">
        <f>IFERROR(__xludf.DUMMYFUNCTION("""COMPUTED_VALUE"""),"BookAsSwap")</f>
        <v>BookAsSwap</v>
      </c>
      <c r="AJ5" s="32" t="str">
        <f>IFERROR(__xludf.DUMMYFUNCTION("""COMPUTED_VALUE"""),"RoundLot")</f>
        <v>RoundLot</v>
      </c>
      <c r="AK5" s="32" t="str">
        <f>IFERROR(__xludf.DUMMYFUNCTION("""COMPUTED_VALUE"""),"Increment")</f>
        <v>Increment</v>
      </c>
      <c r="AL5" s="32" t="str">
        <f>IFERROR(__xludf.DUMMYFUNCTION("""COMPUTED_VALUE"""),"Decrement")</f>
        <v>Decrement</v>
      </c>
      <c r="AM5" s="32" t="str">
        <f>IFERROR(__xludf.DUMMYFUNCTION("""COMPUTED_VALUE"""),"Trade Attribute 01")</f>
        <v>Trade Attribute 01</v>
      </c>
      <c r="AN5" s="32" t="str">
        <f>IFERROR(__xludf.DUMMYFUNCTION("""COMPUTED_VALUE"""),"Trade Attribute 02")</f>
        <v>Trade Attribute 02</v>
      </c>
      <c r="AO5" s="32" t="str">
        <f>IFERROR(__xludf.DUMMYFUNCTION("""COMPUTED_VALUE"""),"Trade Attribute 03")</f>
        <v>Trade Attribute 03</v>
      </c>
      <c r="AP5" s="32" t="str">
        <f>IFERROR(__xludf.DUMMYFUNCTION("""COMPUTED_VALUE"""),"Trade Attribute 04")</f>
        <v>Trade Attribute 04</v>
      </c>
      <c r="AQ5" s="32" t="str">
        <f>IFERROR(__xludf.DUMMYFUNCTION("""COMPUTED_VALUE"""),"Trade Attribute 05")</f>
        <v>Trade Attribute 05</v>
      </c>
      <c r="AR5" s="32" t="str">
        <f>IFERROR(__xludf.DUMMYFUNCTION("""COMPUTED_VALUE"""),"Trade Attribute 06")</f>
        <v>Trade Attribute 06</v>
      </c>
      <c r="AS5" s="32" t="str">
        <f>IFERROR(__xludf.DUMMYFUNCTION("""COMPUTED_VALUE"""),"Trade Attribute 01 suggestion")</f>
        <v>Trade Attribute 01 suggestion</v>
      </c>
      <c r="AT5" s="32" t="str">
        <f>IFERROR(__xludf.DUMMYFUNCTION("""COMPUTED_VALUE"""),"Trade Attribute 02 suggestion")</f>
        <v>Trade Attribute 02 suggestion</v>
      </c>
      <c r="AU5" s="32" t="str">
        <f>IFERROR(__xludf.DUMMYFUNCTION("""COMPUTED_VALUE"""),"Trade Attribute 03 suggestion")</f>
        <v>Trade Attribute 03 suggestion</v>
      </c>
      <c r="AV5" s="32" t="str">
        <f>IFERROR(__xludf.DUMMYFUNCTION("""COMPUTED_VALUE"""),"Trade Attribute 04 suggestion")</f>
        <v>Trade Attribute 04 suggestion</v>
      </c>
      <c r="AW5" s="32" t="str">
        <f>IFERROR(__xludf.DUMMYFUNCTION("""COMPUTED_VALUE"""),"Trade Attribute 05 suggestion")</f>
        <v>Trade Attribute 05 suggestion</v>
      </c>
      <c r="AX5" s="32" t="str">
        <f>IFERROR(__xludf.DUMMYFUNCTION("""COMPUTED_VALUE"""),"Trade Attribute 06 suggestion")</f>
        <v>Trade Attribute 06 suggestion</v>
      </c>
      <c r="AY5" s="32" t="str">
        <f>IFERROR(__xludf.DUMMYFUNCTION("""COMPUTED_VALUE"""),"Strategy")</f>
        <v>Strategy</v>
      </c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</row>
    <row r="6">
      <c r="B6" s="9" t="s">
        <v>530</v>
      </c>
      <c r="C6" s="9">
        <v>200.0</v>
      </c>
      <c r="D6" s="9">
        <v>10.0</v>
      </c>
      <c r="E6" s="9" t="s">
        <v>531</v>
      </c>
      <c r="AM6" s="9" t="s">
        <v>532</v>
      </c>
      <c r="AN6" s="9" t="s">
        <v>533</v>
      </c>
      <c r="AO6" s="9" t="s">
        <v>534</v>
      </c>
      <c r="AP6" s="9" t="s">
        <v>535</v>
      </c>
      <c r="AQ6" s="9" t="s">
        <v>536</v>
      </c>
      <c r="AR6" s="9" t="s">
        <v>537</v>
      </c>
    </row>
    <row r="7" ht="15.75" customHeight="1">
      <c r="A7" s="13"/>
      <c r="B7" s="13" t="s">
        <v>530</v>
      </c>
      <c r="C7" s="13">
        <v>100.0</v>
      </c>
      <c r="D7" s="13">
        <v>10.0</v>
      </c>
      <c r="E7" s="13" t="s">
        <v>531</v>
      </c>
      <c r="F7" s="8"/>
      <c r="G7" s="8"/>
      <c r="H7" s="8"/>
      <c r="I7" s="8"/>
      <c r="J7" s="8"/>
      <c r="K7" s="8"/>
      <c r="L7" s="8"/>
      <c r="M7" s="8"/>
      <c r="N7" s="8"/>
      <c r="O7" s="8"/>
      <c r="AS7" s="13" t="s">
        <v>538</v>
      </c>
      <c r="AT7" s="13" t="s">
        <v>539</v>
      </c>
      <c r="AU7" s="13" t="s">
        <v>540</v>
      </c>
      <c r="AV7" s="13" t="s">
        <v>541</v>
      </c>
      <c r="AW7" s="13" t="s">
        <v>542</v>
      </c>
      <c r="AX7" s="13" t="s">
        <v>543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525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544</v>
      </c>
      <c r="D3" s="5" t="s">
        <v>9</v>
      </c>
      <c r="E3" s="23" t="s">
        <v>545</v>
      </c>
      <c r="F3" s="5" t="s">
        <v>528</v>
      </c>
      <c r="G3" s="14" t="s">
        <v>529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IFERROR(__xludf.DUMMYFUNCTION("""COMPUTED_VALUE"""),"Ticker")</f>
        <v>Ticker</v>
      </c>
      <c r="C5" s="31" t="str">
        <f>IFERROR(__xludf.DUMMYFUNCTION("""COMPUTED_VALUE"""),"Add/Set")</f>
        <v>Add/Set</v>
      </c>
      <c r="D5" s="31" t="str">
        <f>IFERROR(__xludf.DUMMYFUNCTION("""COMPUTED_VALUE"""),"Type")</f>
        <v>Type</v>
      </c>
      <c r="E5" s="31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31" t="str">
        <f>IFERROR(__xludf.DUMMYFUNCTION("""COMPUTED_VALUE"""),"Combined Account Total")</f>
        <v>Combined Account Total</v>
      </c>
      <c r="H5" s="31" t="str">
        <f>IFERROR(__xludf.DUMMYFUNCTION("""COMPUTED_VALUE"""),"MasterFund/Account")</f>
        <v>MasterFund/Account</v>
      </c>
      <c r="I5" s="31" t="str">
        <f>IFERROR(__xludf.DUMMYFUNCTION("""COMPUTED_VALUE"""),"Accounts")</f>
        <v>Accounts</v>
      </c>
      <c r="J5" s="31" t="str">
        <f>IFERROR(__xludf.DUMMYFUNCTION("""COMPUTED_VALUE"""),"Master Funds")</f>
        <v>Master Funds</v>
      </c>
      <c r="K5" s="31" t="str">
        <f>IFERROR(__xludf.DUMMYFUNCTION("""COMPUTED_VALUE"""),"Round Lots")</f>
        <v>Round Lots</v>
      </c>
      <c r="L5" s="31" t="str">
        <f>IFERROR(__xludf.DUMMYFUNCTION("""COMPUTED_VALUE"""),"Use Custodian Broker")</f>
        <v>Use Custodian Broker</v>
      </c>
      <c r="M5" s="31" t="str">
        <f>IFERROR(__xludf.DUMMYFUNCTION("""COMPUTED_VALUE"""),"Broker")</f>
        <v>Broker</v>
      </c>
      <c r="N5" s="31" t="str">
        <f>IFERROR(__xludf.DUMMYFUNCTION("""COMPUTED_VALUE"""),"Venue")</f>
        <v>Venue</v>
      </c>
      <c r="O5" s="31" t="str">
        <f>IFERROR(__xludf.DUMMYFUNCTION("""COMPUTED_VALUE"""),"TIF")</f>
        <v>TIF</v>
      </c>
      <c r="P5" s="31" t="str">
        <f>IFERROR(__xludf.DUMMYFUNCTION("""COMPUTED_VALUE"""),"Order Type")</f>
        <v>Order Type</v>
      </c>
      <c r="Q5" s="31" t="str">
        <f>IFERROR(__xludf.DUMMYFUNCTION("""COMPUTED_VALUE"""),"Stop")</f>
        <v>Stop</v>
      </c>
      <c r="R5" s="31" t="str">
        <f>IFERROR(__xludf.DUMMYFUNCTION("""COMPUTED_VALUE"""),"Limit")</f>
        <v>Limit</v>
      </c>
      <c r="S5" s="31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</row>
    <row r="6" ht="15.75" customHeight="1">
      <c r="A6" s="33"/>
      <c r="B6" s="34" t="s">
        <v>530</v>
      </c>
      <c r="C6" s="35" t="s">
        <v>546</v>
      </c>
      <c r="D6" s="34" t="s">
        <v>547</v>
      </c>
      <c r="E6" s="36">
        <v>10.0</v>
      </c>
      <c r="F6" s="37"/>
      <c r="G6" s="37"/>
      <c r="H6" s="35" t="s">
        <v>548</v>
      </c>
      <c r="I6" s="35" t="s">
        <v>549</v>
      </c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525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526</v>
      </c>
      <c r="D3" s="5" t="s">
        <v>9</v>
      </c>
      <c r="E3" s="23" t="s">
        <v>527</v>
      </c>
      <c r="F3" s="5" t="s">
        <v>528</v>
      </c>
      <c r="G3" s="14" t="s">
        <v>529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IFERROR(__xludf.DUMMYFUNCTION("""COMPUTED_VALUE"""),"Symbol")</f>
        <v>Symbol</v>
      </c>
      <c r="C5" s="31" t="str">
        <f>IFERROR(__xludf.DUMMYFUNCTION("""COMPUTED_VALUE"""),"Quantity")</f>
        <v>Quantity</v>
      </c>
      <c r="D5" s="31" t="str">
        <f>IFERROR(__xludf.DUMMYFUNCTION("""COMPUTED_VALUE"""),"Price")</f>
        <v>Price</v>
      </c>
      <c r="E5" s="31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31" t="str">
        <f>IFERROR(__xludf.DUMMYFUNCTION("""COMPUTED_VALUE"""),"TT_Open")</f>
        <v>TT_Open</v>
      </c>
      <c r="H5" s="31" t="str">
        <f>IFERROR(__xludf.DUMMYFUNCTION("""COMPUTED_VALUE"""),"SharesOutstandingPopUpQty")</f>
        <v>SharesOutstandingPopUpQty</v>
      </c>
      <c r="I5" s="31" t="str">
        <f>IFERROR(__xludf.DUMMYFUNCTION("""COMPUTED_VALUE"""),"AllocationMethod")</f>
        <v>AllocationMethod</v>
      </c>
      <c r="J5" s="31" t="str">
        <f>IFERROR(__xludf.DUMMYFUNCTION("""COMPUTED_VALUE"""),"Order Side")</f>
        <v>Order Side</v>
      </c>
      <c r="K5" s="31" t="str">
        <f>IFERROR(__xludf.DUMMYFUNCTION("""COMPUTED_VALUE"""),"DB_Check")</f>
        <v>DB_Check</v>
      </c>
      <c r="L5" s="31" t="str">
        <f>IFERROR(__xludf.DUMMYFUNCTION("""COMPUTED_VALUE"""),"CommissionBasis")</f>
        <v>CommissionBasis</v>
      </c>
      <c r="M5" s="31" t="str">
        <f>IFERROR(__xludf.DUMMYFUNCTION("""COMPUTED_VALUE"""),"CommissionRate")</f>
        <v>CommissionRate</v>
      </c>
      <c r="N5" s="31" t="str">
        <f>IFERROR(__xludf.DUMMYFUNCTION("""COMPUTED_VALUE"""),"SoftBasis")</f>
        <v>SoftBasis</v>
      </c>
      <c r="O5" s="31" t="str">
        <f>IFERROR(__xludf.DUMMYFUNCTION("""COMPUTED_VALUE"""),"SoftRate")</f>
        <v>SoftRate</v>
      </c>
      <c r="P5" s="31" t="str">
        <f>IFERROR(__xludf.DUMMYFUNCTION("""COMPUTED_VALUE"""),"Account")</f>
        <v>Account</v>
      </c>
      <c r="Q5" s="31" t="str">
        <f>IFERROR(__xludf.DUMMYFUNCTION("""COMPUTED_VALUE"""),"Account %")</f>
        <v>Account %</v>
      </c>
      <c r="R5" s="31" t="str">
        <f>IFERROR(__xludf.DUMMYFUNCTION("""COMPUTED_VALUE"""),"VerifySuggestions")</f>
        <v>VerifySuggestions</v>
      </c>
      <c r="S5" s="31" t="str">
        <f>IFERROR(__xludf.DUMMYFUNCTION("""COMPUTED_VALUE"""),"SymbolToPickFromSuggesstions")</f>
        <v>SymbolToPickFromSuggesstions</v>
      </c>
      <c r="T5" s="32" t="str">
        <f>IFERROR(__xludf.DUMMYFUNCTION("""COMPUTED_VALUE"""),"TypedSymbolAvailableOnSuggestion")</f>
        <v>TypedSymbolAvailableOnSuggestion</v>
      </c>
      <c r="U5" s="32" t="str">
        <f>IFERROR(__xludf.DUMMYFUNCTION("""COMPUTED_VALUE"""),"TIF")</f>
        <v>TIF</v>
      </c>
      <c r="V5" s="32" t="str">
        <f>IFERROR(__xludf.DUMMYFUNCTION("""COMPUTED_VALUE"""),"Order Type")</f>
        <v>Order Type</v>
      </c>
      <c r="W5" s="32" t="str">
        <f>IFERROR(__xludf.DUMMYFUNCTION("""COMPUTED_VALUE"""),"Stop")</f>
        <v>Stop</v>
      </c>
      <c r="X5" s="32" t="str">
        <f>IFERROR(__xludf.DUMMYFUNCTION("""COMPUTED_VALUE"""),"Limit")</f>
        <v>Limit</v>
      </c>
      <c r="Y5" s="32" t="str">
        <f>IFERROR(__xludf.DUMMYFUNCTION("""COMPUTED_VALUE"""),"Expiration Date")</f>
        <v>Expiration Date</v>
      </c>
      <c r="Z5" s="32" t="str">
        <f>IFERROR(__xludf.DUMMYFUNCTION("""COMPUTED_VALUE"""),"Trade Date")</f>
        <v>Trade Date</v>
      </c>
      <c r="AA5" s="32" t="str">
        <f>IFERROR(__xludf.DUMMYFUNCTION("""COMPUTED_VALUE"""),"Broker")</f>
        <v>Broker</v>
      </c>
      <c r="AB5" s="32" t="str">
        <f>IFERROR(__xludf.DUMMYFUNCTION("""COMPUTED_VALUE"""),"Padlock Visiblity")</f>
        <v>Padlock Visiblity</v>
      </c>
      <c r="AC5" s="32" t="str">
        <f>IFERROR(__xludf.DUMMYFUNCTION("""COMPUTED_VALUE"""),"Padlock Unlock")</f>
        <v>Padlock Unlock</v>
      </c>
      <c r="AD5" s="32" t="str">
        <f>IFERROR(__xludf.DUMMYFUNCTION("""COMPUTED_VALUE"""),"Venue")</f>
        <v>Venue</v>
      </c>
      <c r="AE5" s="32" t="str">
        <f>IFERROR(__xludf.DUMMYFUNCTION("""COMPUTED_VALUE"""),"Fx Rate")</f>
        <v>Fx Rate</v>
      </c>
      <c r="AF5" s="32" t="str">
        <f>IFERROR(__xludf.DUMMYFUNCTION("""COMPUTED_VALUE"""),"Fx Operator")</f>
        <v>Fx Operator</v>
      </c>
      <c r="AG5" s="32" t="str">
        <f>IFERROR(__xludf.DUMMYFUNCTION("""COMPUTED_VALUE"""),"PendingApprovalPopUp")</f>
        <v>PendingApprovalPopUp</v>
      </c>
      <c r="AH5" s="32" t="str">
        <f>IFERROR(__xludf.DUMMYFUNCTION("""COMPUTED_VALUE"""),"TradeBy")</f>
        <v>TradeBy</v>
      </c>
      <c r="AI5" s="32" t="str">
        <f>IFERROR(__xludf.DUMMYFUNCTION("""COMPUTED_VALUE"""),"BookAsSwap")</f>
        <v>BookAsSwap</v>
      </c>
      <c r="AJ5" s="32" t="str">
        <f>IFERROR(__xludf.DUMMYFUNCTION("""COMPUTED_VALUE"""),"RoundLot")</f>
        <v>RoundLot</v>
      </c>
      <c r="AK5" s="32" t="str">
        <f>IFERROR(__xludf.DUMMYFUNCTION("""COMPUTED_VALUE"""),"Increment")</f>
        <v>Increment</v>
      </c>
      <c r="AL5" s="32" t="str">
        <f>IFERROR(__xludf.DUMMYFUNCTION("""COMPUTED_VALUE"""),"Decrement")</f>
        <v>Decrement</v>
      </c>
      <c r="AM5" s="32" t="str">
        <f>IFERROR(__xludf.DUMMYFUNCTION("""COMPUTED_VALUE"""),"Trade Attribute 01")</f>
        <v>Trade Attribute 01</v>
      </c>
      <c r="AN5" s="32" t="str">
        <f>IFERROR(__xludf.DUMMYFUNCTION("""COMPUTED_VALUE"""),"Trade Attribute 02")</f>
        <v>Trade Attribute 02</v>
      </c>
      <c r="AO5" s="32" t="str">
        <f>IFERROR(__xludf.DUMMYFUNCTION("""COMPUTED_VALUE"""),"Trade Attribute 03")</f>
        <v>Trade Attribute 03</v>
      </c>
      <c r="AP5" s="32" t="str">
        <f>IFERROR(__xludf.DUMMYFUNCTION("""COMPUTED_VALUE"""),"Trade Attribute 04")</f>
        <v>Trade Attribute 04</v>
      </c>
      <c r="AQ5" s="32" t="str">
        <f>IFERROR(__xludf.DUMMYFUNCTION("""COMPUTED_VALUE"""),"Trade Attribute 05")</f>
        <v>Trade Attribute 05</v>
      </c>
      <c r="AR5" s="32" t="str">
        <f>IFERROR(__xludf.DUMMYFUNCTION("""COMPUTED_VALUE"""),"Trade Attribute 06")</f>
        <v>Trade Attribute 06</v>
      </c>
      <c r="AS5" s="32" t="str">
        <f>IFERROR(__xludf.DUMMYFUNCTION("""COMPUTED_VALUE"""),"Trade Attribute 01 suggestion")</f>
        <v>Trade Attribute 01 suggestion</v>
      </c>
      <c r="AT5" s="32" t="str">
        <f>IFERROR(__xludf.DUMMYFUNCTION("""COMPUTED_VALUE"""),"Trade Attribute 02 suggestion")</f>
        <v>Trade Attribute 02 suggestion</v>
      </c>
      <c r="AU5" s="32" t="str">
        <f>IFERROR(__xludf.DUMMYFUNCTION("""COMPUTED_VALUE"""),"Trade Attribute 03 suggestion")</f>
        <v>Trade Attribute 03 suggestion</v>
      </c>
      <c r="AV5" s="32" t="str">
        <f>IFERROR(__xludf.DUMMYFUNCTION("""COMPUTED_VALUE"""),"Trade Attribute 04 suggestion")</f>
        <v>Trade Attribute 04 suggestion</v>
      </c>
      <c r="AW5" s="32" t="str">
        <f>IFERROR(__xludf.DUMMYFUNCTION("""COMPUTED_VALUE"""),"Trade Attribute 05 suggestion")</f>
        <v>Trade Attribute 05 suggestion</v>
      </c>
      <c r="AX5" s="32" t="str">
        <f>IFERROR(__xludf.DUMMYFUNCTION("""COMPUTED_VALUE"""),"Trade Attribute 06 suggestion")</f>
        <v>Trade Attribute 06 suggestion</v>
      </c>
      <c r="AY5" s="32" t="str">
        <f>IFERROR(__xludf.DUMMYFUNCTION("""COMPUTED_VALUE"""),"Strategy")</f>
        <v>Strategy</v>
      </c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</row>
    <row r="6" ht="15.75" customHeight="1">
      <c r="A6" s="13"/>
      <c r="B6" s="13"/>
      <c r="C6" s="13"/>
      <c r="D6" s="13">
        <v>10.0</v>
      </c>
      <c r="E6" s="13" t="s">
        <v>531</v>
      </c>
      <c r="F6" s="8"/>
      <c r="G6" s="8"/>
      <c r="H6" s="8"/>
      <c r="I6" s="8"/>
      <c r="J6" s="8"/>
      <c r="K6" s="8"/>
      <c r="L6" s="8"/>
      <c r="M6" s="8"/>
      <c r="N6" s="8"/>
      <c r="O6" s="8"/>
      <c r="AS6" s="13" t="s">
        <v>538</v>
      </c>
      <c r="AT6" s="13" t="s">
        <v>539</v>
      </c>
      <c r="AU6" s="13" t="s">
        <v>540</v>
      </c>
      <c r="AV6" s="13" t="s">
        <v>541</v>
      </c>
      <c r="AW6" s="13" t="s">
        <v>542</v>
      </c>
      <c r="AX6" s="13" t="s">
        <v>543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525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550</v>
      </c>
      <c r="D3" s="5" t="s">
        <v>9</v>
      </c>
      <c r="E3" s="23" t="s">
        <v>551</v>
      </c>
      <c r="F3" s="5" t="s">
        <v>528</v>
      </c>
      <c r="G3" s="14" t="s">
        <v>529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IFERROR(__xludf.DUMMYFUNCTION("""COMPUTED_VALUE"""),"Select Date")</f>
        <v>Select Date</v>
      </c>
      <c r="C5" s="31" t="str">
        <f>IFERROR(__xludf.DUMMYFUNCTION("""COMPUTED_VALUE"""),"Copy From")</f>
        <v>Copy From</v>
      </c>
      <c r="D5" s="31"/>
      <c r="E5" s="31"/>
      <c r="F5" s="28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</row>
    <row r="6" ht="15.75" customHeight="1">
      <c r="A6" s="13"/>
      <c r="B6" s="38">
        <f>TODAY()-1</f>
        <v>45914</v>
      </c>
      <c r="C6" s="38">
        <f>TODAY()</f>
        <v>45915</v>
      </c>
      <c r="D6" s="13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525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550</v>
      </c>
      <c r="D3" s="5" t="s">
        <v>9</v>
      </c>
      <c r="E3" s="23" t="s">
        <v>552</v>
      </c>
      <c r="F3" s="5" t="s">
        <v>528</v>
      </c>
      <c r="G3" s="14" t="s">
        <v>529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IFERROR(__xludf.DUMMYFUNCTION("""COMPUTED_VALUE"""),"Account")</f>
        <v>Account</v>
      </c>
      <c r="C5" s="31" t="str">
        <f>IFERROR(__xludf.DUMMYFUNCTION("""COMPUTED_VALUE"""),"Local Currency")</f>
        <v>Local Currency</v>
      </c>
      <c r="D5" s="31" t="str">
        <f>IFERROR(__xludf.DUMMYFUNCTION("""COMPUTED_VALUE"""),"Cash Value Local")</f>
        <v>Cash Value Local</v>
      </c>
      <c r="E5" s="31"/>
      <c r="F5" s="28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</row>
    <row r="6" ht="15.75" customHeight="1">
      <c r="A6" s="13"/>
      <c r="B6" s="34" t="s">
        <v>549</v>
      </c>
      <c r="C6" s="35" t="s">
        <v>553</v>
      </c>
      <c r="D6" s="39">
        <v>10000.0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