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60" windowHeight="10680" firstSheet="6" activeTab="10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PricingInput" sheetId="7" r:id="rId7"/>
    <sheet name="GetDataClosing" sheetId="8" r:id="rId8"/>
    <sheet name="AutomaticClosing" sheetId="9" r:id="rId9"/>
    <sheet name="GetDayEndCash" sheetId="10" r:id="rId10"/>
    <sheet name="CheckPortfolioManagement" sheetId="11" r:id="rId11"/>
  </sheets>
  <calcPr calcId="145621"/>
</workbook>
</file>

<file path=xl/calcChain.xml><?xml version="1.0" encoding="utf-8"?>
<calcChain xmlns="http://schemas.openxmlformats.org/spreadsheetml/2006/main">
  <c r="J2" i="11" l="1"/>
  <c r="E6" i="10"/>
  <c r="D6" i="10"/>
  <c r="J2" i="10"/>
  <c r="J2" i="9"/>
  <c r="D6" i="8"/>
  <c r="C6" i="8"/>
  <c r="J2" i="8"/>
  <c r="J2" i="7"/>
  <c r="J2" i="6"/>
  <c r="C6" i="5"/>
  <c r="B6" i="5"/>
  <c r="J2" i="5"/>
  <c r="N8" i="4"/>
  <c r="N7" i="4"/>
  <c r="N6" i="4"/>
  <c r="J2" i="4"/>
  <c r="DN5" i="11"/>
  <c r="BB5" i="11"/>
  <c r="EZ4" i="11"/>
  <c r="CN4" i="11"/>
  <c r="AB4" i="11"/>
  <c r="DP5" i="10"/>
  <c r="BD5" i="10"/>
  <c r="EP4" i="10"/>
  <c r="CD4" i="10"/>
  <c r="R4" i="10"/>
  <c r="DD5" i="9"/>
  <c r="AR5" i="9"/>
  <c r="ED4" i="9"/>
  <c r="BR4" i="9"/>
  <c r="F4" i="9"/>
  <c r="CT5" i="8"/>
  <c r="DE5" i="11"/>
  <c r="AS5" i="11"/>
  <c r="EQ4" i="11"/>
  <c r="CE4" i="11"/>
  <c r="S4" i="11"/>
  <c r="DG5" i="10"/>
  <c r="AU5" i="10"/>
  <c r="EG4" i="10"/>
  <c r="BU4" i="10"/>
  <c r="I4" i="10"/>
  <c r="DD5" i="11"/>
  <c r="AR5" i="11"/>
  <c r="EP4" i="11"/>
  <c r="CD4" i="11"/>
  <c r="R4" i="11"/>
  <c r="DF5" i="10"/>
  <c r="AT5" i="10"/>
  <c r="EF4" i="10"/>
  <c r="BT4" i="10"/>
  <c r="H4" i="10"/>
  <c r="CT5" i="9"/>
  <c r="AH5" i="9"/>
  <c r="EI5" i="11"/>
  <c r="BW5" i="11"/>
  <c r="K5" i="11"/>
  <c r="DI4" i="11"/>
  <c r="AW4" i="11"/>
  <c r="EP5" i="11"/>
  <c r="CD5" i="11"/>
  <c r="R5" i="11"/>
  <c r="DP4" i="11"/>
  <c r="BD4" i="11"/>
  <c r="FE5" i="11"/>
  <c r="CS5" i="11"/>
  <c r="AG5" i="11"/>
  <c r="EE4" i="11"/>
  <c r="BS4" i="11"/>
  <c r="G4" i="11"/>
  <c r="EN5" i="11"/>
  <c r="CB5" i="11"/>
  <c r="P5" i="11"/>
  <c r="DN4" i="11"/>
  <c r="BB4" i="11"/>
  <c r="EP5" i="10"/>
  <c r="CD5" i="10"/>
  <c r="R5" i="10"/>
  <c r="DD4" i="10"/>
  <c r="AR4" i="10"/>
  <c r="DO5" i="11"/>
  <c r="AU5" i="11"/>
  <c r="ES4" i="11"/>
  <c r="CG4" i="11"/>
  <c r="U4" i="11"/>
  <c r="DI5" i="10"/>
  <c r="AW5" i="10"/>
  <c r="EI4" i="10"/>
  <c r="BW4" i="10"/>
  <c r="K4" i="10"/>
  <c r="CW5" i="9"/>
  <c r="AY5" i="10"/>
  <c r="AE4" i="10"/>
  <c r="BZ5" i="9"/>
  <c r="EP4" i="9"/>
  <c r="BU4" i="9"/>
  <c r="EQ5" i="8"/>
  <c r="BX5" i="8"/>
  <c r="L5" i="8"/>
  <c r="CX4" i="8"/>
  <c r="AL4" i="8"/>
  <c r="DX5" i="7"/>
  <c r="BL5" i="7"/>
  <c r="EX4" i="7"/>
  <c r="CL4" i="7"/>
  <c r="Z4" i="7"/>
  <c r="AA5" i="10"/>
  <c r="M4" i="10"/>
  <c r="BL5" i="9"/>
  <c r="EF4" i="9"/>
  <c r="BK4" i="9"/>
  <c r="EF5" i="8"/>
  <c r="BO5" i="8"/>
  <c r="C5" i="8"/>
  <c r="CO4" i="8"/>
  <c r="AC4" i="8"/>
  <c r="DO5" i="7"/>
  <c r="BC5" i="7"/>
  <c r="EO4" i="7"/>
  <c r="CC4" i="7"/>
  <c r="Q4" i="7"/>
  <c r="C5" i="10"/>
  <c r="EU5" i="9"/>
  <c r="BA5" i="9"/>
  <c r="DU4" i="9"/>
  <c r="AZ4" i="9"/>
  <c r="EE5" i="8"/>
  <c r="BN5" i="8"/>
  <c r="B5" i="8"/>
  <c r="CN4" i="8"/>
  <c r="AB4" i="8"/>
  <c r="DN5" i="7"/>
  <c r="BB5" i="7"/>
  <c r="EN4" i="7"/>
  <c r="CB4" i="7"/>
  <c r="P4" i="7"/>
  <c r="BI5" i="10"/>
  <c r="AT4" i="10"/>
  <c r="CH5" i="9"/>
  <c r="EV4" i="9"/>
  <c r="CA4" i="9"/>
  <c r="E4" i="9"/>
  <c r="CK5" i="8"/>
  <c r="BK5" i="11"/>
  <c r="DF5" i="11"/>
  <c r="AT5" i="11"/>
  <c r="ER4" i="11"/>
  <c r="CF4" i="11"/>
  <c r="T4" i="11"/>
  <c r="DH5" i="10"/>
  <c r="AV5" i="10"/>
  <c r="EH4" i="10"/>
  <c r="BV4" i="10"/>
  <c r="J4" i="10"/>
  <c r="CV5" i="9"/>
  <c r="AJ5" i="9"/>
  <c r="DV4" i="9"/>
  <c r="BJ4" i="9"/>
  <c r="EX5" i="8"/>
  <c r="FI5" i="11"/>
  <c r="CW5" i="11"/>
  <c r="AK5" i="11"/>
  <c r="EI4" i="11"/>
  <c r="BW4" i="11"/>
  <c r="K4" i="11"/>
  <c r="CY5" i="10"/>
  <c r="AM5" i="10"/>
  <c r="DY4" i="10"/>
  <c r="BM4" i="10"/>
  <c r="FH5" i="11"/>
  <c r="CV5" i="11"/>
  <c r="AJ5" i="11"/>
  <c r="EH4" i="11"/>
  <c r="BV4" i="11"/>
  <c r="J4" i="11"/>
  <c r="CX5" i="10"/>
  <c r="AL5" i="10"/>
  <c r="DX4" i="10"/>
  <c r="BL4" i="10"/>
  <c r="EX5" i="9"/>
  <c r="CL5" i="9"/>
  <c r="Z5" i="9"/>
  <c r="EA5" i="11"/>
  <c r="BO5" i="11"/>
  <c r="C5" i="11"/>
  <c r="DA4" i="11"/>
  <c r="AO4" i="11"/>
  <c r="EH5" i="11"/>
  <c r="BV5" i="11"/>
  <c r="J5" i="11"/>
  <c r="DH4" i="11"/>
  <c r="AV4" i="11"/>
  <c r="EW5" i="11"/>
  <c r="CK5" i="11"/>
  <c r="Y5" i="11"/>
  <c r="DW4" i="11"/>
  <c r="BK4" i="11"/>
  <c r="EQ5" i="10"/>
  <c r="EF5" i="11"/>
  <c r="BT5" i="11"/>
  <c r="H5" i="11"/>
  <c r="DF4" i="11"/>
  <c r="AT4" i="11"/>
  <c r="EH5" i="10"/>
  <c r="BV5" i="10"/>
  <c r="J5" i="10"/>
  <c r="CV4" i="10"/>
  <c r="AJ4" i="10"/>
  <c r="DG5" i="11"/>
  <c r="AM5" i="11"/>
  <c r="EK4" i="11"/>
  <c r="BY4" i="11"/>
  <c r="M4" i="11"/>
  <c r="DA5" i="10"/>
  <c r="AO5" i="10"/>
  <c r="EA4" i="10"/>
  <c r="BO4" i="10"/>
  <c r="C4" i="10"/>
  <c r="CO5" i="9"/>
  <c r="AB5" i="10"/>
  <c r="N4" i="10"/>
  <c r="BM5" i="9"/>
  <c r="EG4" i="9"/>
  <c r="BL4" i="9"/>
  <c r="EG5" i="8"/>
  <c r="BP5" i="8"/>
  <c r="D5" i="8"/>
  <c r="CP4" i="8"/>
  <c r="AD4" i="8"/>
  <c r="DP5" i="7"/>
  <c r="BD5" i="7"/>
  <c r="EP4" i="7"/>
  <c r="CD4" i="7"/>
  <c r="R4" i="7"/>
  <c r="D5" i="10"/>
  <c r="EV5" i="9"/>
  <c r="BB5" i="9"/>
  <c r="DW4" i="9"/>
  <c r="BA4" i="9"/>
  <c r="DW5" i="8"/>
  <c r="BG5" i="8"/>
  <c r="ES4" i="8"/>
  <c r="CG4" i="8"/>
  <c r="U4" i="8"/>
  <c r="DG5" i="7"/>
  <c r="AU5" i="7"/>
  <c r="EG4" i="7"/>
  <c r="BU4" i="7"/>
  <c r="I4" i="7"/>
  <c r="ED4" i="10"/>
  <c r="EG5" i="9"/>
  <c r="AO5" i="9"/>
  <c r="DL4" i="9"/>
  <c r="AQ4" i="9"/>
  <c r="DV5" i="8"/>
  <c r="BF5" i="8"/>
  <c r="ER4" i="8"/>
  <c r="FJ5" i="11"/>
  <c r="CX5" i="11"/>
  <c r="AL5" i="11"/>
  <c r="EJ4" i="11"/>
  <c r="BX4" i="11"/>
  <c r="L4" i="11"/>
  <c r="CZ5" i="10"/>
  <c r="AN5" i="10"/>
  <c r="DZ4" i="10"/>
  <c r="BN4" i="10"/>
  <c r="B4" i="10"/>
  <c r="CN5" i="9"/>
  <c r="AB5" i="9"/>
  <c r="DN4" i="9"/>
  <c r="BB4" i="9"/>
  <c r="EP5" i="8"/>
  <c r="FA5" i="11"/>
  <c r="CO5" i="11"/>
  <c r="AC5" i="11"/>
  <c r="EA4" i="11"/>
  <c r="BO4" i="11"/>
  <c r="C4" i="11"/>
  <c r="CQ5" i="10"/>
  <c r="AE5" i="10"/>
  <c r="DQ4" i="10"/>
  <c r="BE4" i="10"/>
  <c r="EZ5" i="11"/>
  <c r="CN5" i="11"/>
  <c r="AB5" i="11"/>
  <c r="DZ4" i="11"/>
  <c r="BN4" i="11"/>
  <c r="B4" i="11"/>
  <c r="CP5" i="10"/>
  <c r="AD5" i="10"/>
  <c r="DP4" i="10"/>
  <c r="BD4" i="10"/>
  <c r="EP5" i="9"/>
  <c r="CD5" i="9"/>
  <c r="R5" i="9"/>
  <c r="DS5" i="11"/>
  <c r="BG5" i="11"/>
  <c r="FE4" i="11"/>
  <c r="CS4" i="11"/>
  <c r="AG4" i="11"/>
  <c r="DZ5" i="11"/>
  <c r="BN5" i="11"/>
  <c r="B5" i="11"/>
  <c r="CZ4" i="11"/>
  <c r="AN4" i="11"/>
  <c r="EO5" i="11"/>
  <c r="CC5" i="11"/>
  <c r="Q5" i="11"/>
  <c r="DO4" i="11"/>
  <c r="BC4" i="11"/>
  <c r="EI5" i="10"/>
  <c r="DX5" i="11"/>
  <c r="BL5" i="11"/>
  <c r="FJ4" i="11"/>
  <c r="CX4" i="11"/>
  <c r="AL4" i="11"/>
  <c r="DZ5" i="10"/>
  <c r="BN5" i="10"/>
  <c r="B5" i="10"/>
  <c r="CN4" i="10"/>
  <c r="AB4" i="10"/>
  <c r="CY5" i="11"/>
  <c r="AE5" i="11"/>
  <c r="EC4" i="11"/>
  <c r="BQ4" i="11"/>
  <c r="E4" i="11"/>
  <c r="CS5" i="10"/>
  <c r="AG5" i="10"/>
  <c r="DS4" i="10"/>
  <c r="BG4" i="10"/>
  <c r="ES5" i="9"/>
  <c r="CG5" i="9"/>
  <c r="E5" i="10"/>
  <c r="EW5" i="9"/>
  <c r="BC5" i="9"/>
  <c r="DX4" i="9"/>
  <c r="BC4" i="9"/>
  <c r="DX5" i="8"/>
  <c r="BH5" i="8"/>
  <c r="ET4" i="8"/>
  <c r="CH4" i="8"/>
  <c r="V4" i="8"/>
  <c r="DH5" i="7"/>
  <c r="AV5" i="7"/>
  <c r="EH4" i="7"/>
  <c r="BV4" i="7"/>
  <c r="J4" i="7"/>
  <c r="EE4" i="10"/>
  <c r="EI5" i="9"/>
  <c r="AQ5" i="9"/>
  <c r="DM4" i="9"/>
  <c r="AR4" i="9"/>
  <c r="DN5" i="8"/>
  <c r="AY5" i="8"/>
  <c r="EK4" i="8"/>
  <c r="FB5" i="11"/>
  <c r="CP5" i="11"/>
  <c r="AD5" i="11"/>
  <c r="EB4" i="11"/>
  <c r="BP4" i="11"/>
  <c r="D4" i="11"/>
  <c r="CR5" i="10"/>
  <c r="AF5" i="10"/>
  <c r="DR4" i="10"/>
  <c r="BF4" i="10"/>
  <c r="ER5" i="9"/>
  <c r="CF5" i="9"/>
  <c r="T5" i="9"/>
  <c r="DF4" i="9"/>
  <c r="AT4" i="9"/>
  <c r="EH5" i="8"/>
  <c r="ES5" i="11"/>
  <c r="CG5" i="11"/>
  <c r="U5" i="11"/>
  <c r="DS4" i="11"/>
  <c r="BG4" i="11"/>
  <c r="EU5" i="10"/>
  <c r="CI5" i="10"/>
  <c r="W5" i="10"/>
  <c r="DI4" i="10"/>
  <c r="AW4" i="10"/>
  <c r="ER5" i="11"/>
  <c r="CF5" i="11"/>
  <c r="T5" i="11"/>
  <c r="DR4" i="11"/>
  <c r="BF4" i="11"/>
  <c r="ET5" i="10"/>
  <c r="CH5" i="10"/>
  <c r="V5" i="10"/>
  <c r="DH4" i="10"/>
  <c r="AV4" i="10"/>
  <c r="EH5" i="9"/>
  <c r="BV5" i="9"/>
  <c r="J5" i="9"/>
  <c r="DK5" i="11"/>
  <c r="AY5" i="11"/>
  <c r="EW4" i="11"/>
  <c r="CK4" i="11"/>
  <c r="Y4" i="11"/>
  <c r="DR5" i="11"/>
  <c r="BF5" i="11"/>
  <c r="FD4" i="11"/>
  <c r="CR4" i="11"/>
  <c r="AF4" i="11"/>
  <c r="EG5" i="11"/>
  <c r="BU5" i="11"/>
  <c r="I5" i="11"/>
  <c r="DG4" i="11"/>
  <c r="AU4" i="11"/>
  <c r="EA5" i="10"/>
  <c r="DP5" i="11"/>
  <c r="BD5" i="11"/>
  <c r="FB4" i="11"/>
  <c r="CP4" i="11"/>
  <c r="AD4" i="11"/>
  <c r="DR5" i="10"/>
  <c r="BF5" i="10"/>
  <c r="ER4" i="10"/>
  <c r="CF4" i="10"/>
  <c r="FC5" i="11"/>
  <c r="CQ5" i="11"/>
  <c r="W5" i="11"/>
  <c r="DU4" i="11"/>
  <c r="BI4" i="11"/>
  <c r="EW5" i="10"/>
  <c r="CK5" i="10"/>
  <c r="Y5" i="10"/>
  <c r="DK4" i="10"/>
  <c r="AY4" i="10"/>
  <c r="EK5" i="9"/>
  <c r="BY5" i="9"/>
  <c r="EK4" i="10"/>
  <c r="EL5" i="9"/>
  <c r="AS5" i="9"/>
  <c r="DO4" i="9"/>
  <c r="AS4" i="9"/>
  <c r="DO5" i="8"/>
  <c r="AZ5" i="8"/>
  <c r="EL4" i="8"/>
  <c r="BZ4" i="8"/>
  <c r="N4" i="8"/>
  <c r="CZ5" i="7"/>
  <c r="AN5" i="7"/>
  <c r="DZ4" i="7"/>
  <c r="BN4" i="7"/>
  <c r="EK5" i="10"/>
  <c r="DM4" i="10"/>
  <c r="DW5" i="9"/>
  <c r="AF5" i="9"/>
  <c r="DD4" i="9"/>
  <c r="AI4" i="9"/>
  <c r="DE5" i="8"/>
  <c r="AQ5" i="8"/>
  <c r="EC4" i="8"/>
  <c r="BQ4" i="8"/>
  <c r="E4" i="8"/>
  <c r="CQ5" i="7"/>
  <c r="AE5" i="7"/>
  <c r="DQ4" i="7"/>
  <c r="BE4" i="7"/>
  <c r="DD5" i="10"/>
  <c r="CO4" i="10"/>
  <c r="DH5" i="9"/>
  <c r="U5" i="9"/>
  <c r="CT4" i="9"/>
  <c r="Y4" i="9"/>
  <c r="DD5" i="8"/>
  <c r="AP5" i="8"/>
  <c r="EB4" i="8"/>
  <c r="BP4" i="8"/>
  <c r="D4" i="8"/>
  <c r="CP5" i="7"/>
  <c r="AD5" i="7"/>
  <c r="DP4" i="7"/>
  <c r="BD4" i="7"/>
  <c r="EP5" i="6"/>
  <c r="EU4" i="10"/>
  <c r="ET5" i="9"/>
  <c r="AY5" i="9"/>
  <c r="DT4" i="9"/>
  <c r="AY4" i="9"/>
  <c r="ED5" i="8"/>
  <c r="ET5" i="11"/>
  <c r="CH5" i="11"/>
  <c r="V5" i="11"/>
  <c r="DT4" i="11"/>
  <c r="BH4" i="11"/>
  <c r="EV5" i="10"/>
  <c r="CJ5" i="10"/>
  <c r="X5" i="10"/>
  <c r="DJ4" i="10"/>
  <c r="AX4" i="10"/>
  <c r="EJ5" i="9"/>
  <c r="BX5" i="9"/>
  <c r="L5" i="9"/>
  <c r="CX4" i="9"/>
  <c r="AL4" i="9"/>
  <c r="DZ5" i="8"/>
  <c r="EK5" i="11"/>
  <c r="BY5" i="11"/>
  <c r="M5" i="11"/>
  <c r="DK4" i="11"/>
  <c r="AY4" i="11"/>
  <c r="EM5" i="10"/>
  <c r="CA5" i="10"/>
  <c r="O5" i="10"/>
  <c r="DA4" i="10"/>
  <c r="AO4" i="10"/>
  <c r="EJ5" i="11"/>
  <c r="BX5" i="11"/>
  <c r="L5" i="11"/>
  <c r="DJ4" i="11"/>
  <c r="AX4" i="11"/>
  <c r="EL5" i="10"/>
  <c r="BZ5" i="10"/>
  <c r="N5" i="10"/>
  <c r="CZ4" i="10"/>
  <c r="AN4" i="10"/>
  <c r="DZ5" i="9"/>
  <c r="BN5" i="9"/>
  <c r="B5" i="9"/>
  <c r="DC5" i="11"/>
  <c r="AQ5" i="11"/>
  <c r="EO4" i="11"/>
  <c r="CC4" i="11"/>
  <c r="Q4" i="11"/>
  <c r="DJ5" i="11"/>
  <c r="AX5" i="11"/>
  <c r="EV4" i="11"/>
  <c r="CJ4" i="11"/>
  <c r="X4" i="11"/>
  <c r="DY5" i="11"/>
  <c r="BM5" i="11"/>
  <c r="A5" i="11"/>
  <c r="CY4" i="11"/>
  <c r="AM4" i="11"/>
  <c r="DS5" i="10"/>
  <c r="DH5" i="11"/>
  <c r="AV5" i="11"/>
  <c r="ET4" i="11"/>
  <c r="CH4" i="11"/>
  <c r="V4" i="11"/>
  <c r="DJ5" i="10"/>
  <c r="AX5" i="10"/>
  <c r="EJ4" i="10"/>
  <c r="BX4" i="10"/>
  <c r="EU5" i="11"/>
  <c r="CI5" i="11"/>
  <c r="O5" i="11"/>
  <c r="DM4" i="11"/>
  <c r="BA4" i="11"/>
  <c r="EO5" i="10"/>
  <c r="CC5" i="10"/>
  <c r="Q5" i="10"/>
  <c r="DC4" i="10"/>
  <c r="AQ4" i="10"/>
  <c r="EC5" i="9"/>
  <c r="ES5" i="10"/>
  <c r="DN4" i="10"/>
  <c r="DX5" i="9"/>
  <c r="AG5" i="9"/>
  <c r="DE4" i="9"/>
  <c r="AJ4" i="9"/>
  <c r="DF5" i="8"/>
  <c r="AR5" i="8"/>
  <c r="ED4" i="8"/>
  <c r="BR4" i="8"/>
  <c r="F4" i="8"/>
  <c r="CR5" i="7"/>
  <c r="AF5" i="7"/>
  <c r="DR4" i="7"/>
  <c r="BF4" i="7"/>
  <c r="DE5" i="10"/>
  <c r="CP4" i="10"/>
  <c r="DI5" i="9"/>
  <c r="V5" i="9"/>
  <c r="CU4" i="9"/>
  <c r="Z4" i="9"/>
  <c r="CV5" i="8"/>
  <c r="AI5" i="8"/>
  <c r="DU4" i="8"/>
  <c r="BI4" i="8"/>
  <c r="EU5" i="7"/>
  <c r="CI5" i="7"/>
  <c r="W5" i="7"/>
  <c r="DI4" i="7"/>
  <c r="AW4" i="7"/>
  <c r="CG5" i="10"/>
  <c r="BR4" i="10"/>
  <c r="CU5" i="9"/>
  <c r="I5" i="9"/>
  <c r="CK4" i="9"/>
  <c r="P4" i="9"/>
  <c r="CU5" i="8"/>
  <c r="AH5" i="8"/>
  <c r="DT4" i="8"/>
  <c r="BH4" i="8"/>
  <c r="ET5" i="7"/>
  <c r="CH5" i="7"/>
  <c r="V5" i="7"/>
  <c r="DH4" i="7"/>
  <c r="AV4" i="7"/>
  <c r="EH5" i="6"/>
  <c r="EC4" i="10"/>
  <c r="EF5" i="9"/>
  <c r="AN5" i="9"/>
  <c r="DK4" i="9"/>
  <c r="AP4" i="9"/>
  <c r="DU5" i="8"/>
  <c r="EL5" i="11"/>
  <c r="BZ5" i="11"/>
  <c r="N5" i="11"/>
  <c r="DL4" i="11"/>
  <c r="AZ4" i="11"/>
  <c r="EN5" i="10"/>
  <c r="CB5" i="10"/>
  <c r="P5" i="10"/>
  <c r="DB4" i="10"/>
  <c r="AP4" i="10"/>
  <c r="EB5" i="9"/>
  <c r="BP5" i="9"/>
  <c r="D5" i="9"/>
  <c r="CP4" i="9"/>
  <c r="AD4" i="9"/>
  <c r="DR5" i="8"/>
  <c r="EC5" i="11"/>
  <c r="BQ5" i="11"/>
  <c r="E5" i="11"/>
  <c r="DC4" i="11"/>
  <c r="AQ4" i="11"/>
  <c r="EE5" i="10"/>
  <c r="BS5" i="10"/>
  <c r="G5" i="10"/>
  <c r="CS4" i="10"/>
  <c r="AG4" i="10"/>
  <c r="EB5" i="11"/>
  <c r="BP5" i="11"/>
  <c r="D5" i="11"/>
  <c r="DB4" i="11"/>
  <c r="AP4" i="11"/>
  <c r="ED5" i="10"/>
  <c r="BR5" i="10"/>
  <c r="F5" i="10"/>
  <c r="CR4" i="10"/>
  <c r="AF4" i="10"/>
  <c r="DR5" i="9"/>
  <c r="BF5" i="9"/>
  <c r="FG5" i="11"/>
  <c r="CU5" i="11"/>
  <c r="AI5" i="11"/>
  <c r="EG4" i="11"/>
  <c r="BU4" i="11"/>
  <c r="I4" i="11"/>
  <c r="DB5" i="11"/>
  <c r="AP5" i="11"/>
  <c r="EN4" i="11"/>
  <c r="CB4" i="11"/>
  <c r="P4" i="11"/>
  <c r="DQ5" i="11"/>
  <c r="BE5" i="11"/>
  <c r="FC4" i="11"/>
  <c r="CQ4" i="11"/>
  <c r="AE4" i="11"/>
  <c r="DK5" i="10"/>
  <c r="CZ5" i="11"/>
  <c r="AN5" i="11"/>
  <c r="EL4" i="11"/>
  <c r="BZ4" i="11"/>
  <c r="N4" i="11"/>
  <c r="DB5" i="10"/>
  <c r="AP5" i="10"/>
  <c r="EB4" i="10"/>
  <c r="BP4" i="10"/>
  <c r="EM5" i="11"/>
  <c r="CA5" i="11"/>
  <c r="G5" i="11"/>
  <c r="DE4" i="11"/>
  <c r="AS4" i="11"/>
  <c r="EG5" i="10"/>
  <c r="BU5" i="10"/>
  <c r="I5" i="10"/>
  <c r="CU4" i="10"/>
  <c r="AI4" i="10"/>
  <c r="DU5" i="9"/>
  <c r="DL5" i="10"/>
  <c r="CQ4" i="10"/>
  <c r="DK5" i="9"/>
  <c r="W5" i="9"/>
  <c r="CV4" i="9"/>
  <c r="AA4" i="9"/>
  <c r="CW5" i="8"/>
  <c r="AJ5" i="8"/>
  <c r="DV4" i="8"/>
  <c r="BJ4" i="8"/>
  <c r="EV5" i="7"/>
  <c r="CJ5" i="7"/>
  <c r="X5" i="7"/>
  <c r="DJ4" i="7"/>
  <c r="AX4" i="7"/>
  <c r="CM5" i="10"/>
  <c r="BS4" i="10"/>
  <c r="CX5" i="9"/>
  <c r="K5" i="9"/>
  <c r="CL4" i="9"/>
  <c r="Q4" i="9"/>
  <c r="CM5" i="8"/>
  <c r="AA5" i="8"/>
  <c r="DM4" i="8"/>
  <c r="BA4" i="8"/>
  <c r="EM5" i="7"/>
  <c r="CA5" i="7"/>
  <c r="O5" i="7"/>
  <c r="DA4" i="7"/>
  <c r="AO4" i="7"/>
  <c r="BO5" i="10"/>
  <c r="AU4" i="10"/>
  <c r="CI5" i="9"/>
  <c r="EW4" i="9"/>
  <c r="CB4" i="9"/>
  <c r="G4" i="9"/>
  <c r="CL5" i="8"/>
  <c r="Z5" i="8"/>
  <c r="DL4" i="8"/>
  <c r="AZ4" i="8"/>
  <c r="EL5" i="7"/>
  <c r="BZ5" i="7"/>
  <c r="ED5" i="11"/>
  <c r="BR5" i="11"/>
  <c r="F5" i="11"/>
  <c r="DD4" i="11"/>
  <c r="AR4" i="11"/>
  <c r="EF5" i="10"/>
  <c r="BT5" i="10"/>
  <c r="H5" i="10"/>
  <c r="CT4" i="10"/>
  <c r="AH4" i="10"/>
  <c r="DT5" i="9"/>
  <c r="BH5" i="9"/>
  <c r="ET4" i="9"/>
  <c r="CH4" i="9"/>
  <c r="V4" i="9"/>
  <c r="DJ5" i="8"/>
  <c r="DU5" i="11"/>
  <c r="BI5" i="11"/>
  <c r="FG4" i="11"/>
  <c r="CU4" i="11"/>
  <c r="AI4" i="11"/>
  <c r="DW5" i="10"/>
  <c r="BK5" i="10"/>
  <c r="EW4" i="10"/>
  <c r="CK4" i="10"/>
  <c r="Y4" i="10"/>
  <c r="DT5" i="11"/>
  <c r="BH5" i="11"/>
  <c r="FF4" i="11"/>
  <c r="CT4" i="11"/>
  <c r="AH4" i="11"/>
  <c r="DV5" i="10"/>
  <c r="BJ5" i="10"/>
  <c r="EV4" i="10"/>
  <c r="CJ4" i="10"/>
  <c r="X4" i="10"/>
  <c r="DJ5" i="9"/>
  <c r="AX5" i="9"/>
  <c r="EY5" i="11"/>
  <c r="CM5" i="11"/>
  <c r="AA5" i="11"/>
  <c r="DY4" i="11"/>
  <c r="BM4" i="11"/>
  <c r="FF5" i="11"/>
  <c r="CT5" i="11"/>
  <c r="AH5" i="11"/>
  <c r="EF4" i="11"/>
  <c r="BT4" i="11"/>
  <c r="H4" i="11"/>
  <c r="DI5" i="11"/>
  <c r="AW5" i="11"/>
  <c r="EU4" i="11"/>
  <c r="CI4" i="11"/>
  <c r="W4" i="11"/>
  <c r="FD5" i="11"/>
  <c r="CR5" i="11"/>
  <c r="AF5" i="11"/>
  <c r="ED4" i="11"/>
  <c r="BR4" i="11"/>
  <c r="F4" i="11"/>
  <c r="CT5" i="10"/>
  <c r="AH5" i="10"/>
  <c r="DT4" i="10"/>
  <c r="BH4" i="10"/>
  <c r="EE5" i="11"/>
  <c r="BS5" i="11"/>
  <c r="FI4" i="11"/>
  <c r="CW4" i="11"/>
  <c r="AK4" i="11"/>
  <c r="DY5" i="10"/>
  <c r="BM5" i="10"/>
  <c r="A5" i="10"/>
  <c r="CM4" i="10"/>
  <c r="AA4" i="10"/>
  <c r="DM5" i="9"/>
  <c r="CN5" i="10"/>
  <c r="BY4" i="10"/>
  <c r="CY5" i="9"/>
  <c r="M5" i="9"/>
  <c r="CM4" i="9"/>
  <c r="R4" i="9"/>
  <c r="CN5" i="8"/>
  <c r="AB5" i="8"/>
  <c r="DN4" i="8"/>
  <c r="BB4" i="8"/>
  <c r="EN5" i="7"/>
  <c r="CB5" i="7"/>
  <c r="P5" i="7"/>
  <c r="DB4" i="7"/>
  <c r="AP4" i="7"/>
  <c r="BP5" i="10"/>
  <c r="BA4" i="10"/>
  <c r="CJ5" i="9"/>
  <c r="EX4" i="9"/>
  <c r="CC4" i="9"/>
  <c r="H4" i="9"/>
  <c r="CE5" i="8"/>
  <c r="S5" i="8"/>
  <c r="DE4" i="8"/>
  <c r="AS4" i="8"/>
  <c r="EE5" i="7"/>
  <c r="BS5" i="7"/>
  <c r="G5" i="7"/>
  <c r="CS4" i="7"/>
  <c r="AG4" i="7"/>
  <c r="AR5" i="10"/>
  <c r="AC4" i="10"/>
  <c r="BU5" i="9"/>
  <c r="EN4" i="9"/>
  <c r="BS4" i="9"/>
  <c r="EW5" i="8"/>
  <c r="CD5" i="8"/>
  <c r="R5" i="8"/>
  <c r="DD4" i="8"/>
  <c r="AR4" i="8"/>
  <c r="ED5" i="7"/>
  <c r="BR5" i="7"/>
  <c r="F5" i="7"/>
  <c r="CR4" i="7"/>
  <c r="AF4" i="7"/>
  <c r="DC5" i="10"/>
  <c r="CI4" i="10"/>
  <c r="DG5" i="9"/>
  <c r="S5" i="9"/>
  <c r="CS4" i="9"/>
  <c r="X4" i="9"/>
  <c r="DC5" i="8"/>
  <c r="DV5" i="11"/>
  <c r="BJ5" i="11"/>
  <c r="FH4" i="11"/>
  <c r="CV4" i="11"/>
  <c r="AJ4" i="11"/>
  <c r="DX5" i="10"/>
  <c r="BL5" i="10"/>
  <c r="EX4" i="10"/>
  <c r="CL4" i="10"/>
  <c r="Z4" i="10"/>
  <c r="DL5" i="9"/>
  <c r="AZ5" i="9"/>
  <c r="EL4" i="9"/>
  <c r="BZ4" i="9"/>
  <c r="N4" i="9"/>
  <c r="DB5" i="8"/>
  <c r="DM5" i="11"/>
  <c r="BA5" i="11"/>
  <c r="EY4" i="11"/>
  <c r="CM4" i="11"/>
  <c r="AA4" i="11"/>
  <c r="DO5" i="10"/>
  <c r="BC5" i="10"/>
  <c r="EO4" i="10"/>
  <c r="CC4" i="10"/>
  <c r="Q4" i="10"/>
  <c r="DL5" i="11"/>
  <c r="AZ5" i="11"/>
  <c r="EX4" i="11"/>
  <c r="CL4" i="11"/>
  <c r="Z4" i="11"/>
  <c r="DN5" i="10"/>
  <c r="BB5" i="10"/>
  <c r="EN4" i="10"/>
  <c r="CB4" i="10"/>
  <c r="P4" i="10"/>
  <c r="DB5" i="9"/>
  <c r="AP5" i="9"/>
  <c r="EQ5" i="11"/>
  <c r="CE5" i="11"/>
  <c r="S5" i="11"/>
  <c r="DQ4" i="11"/>
  <c r="BE4" i="11"/>
  <c r="EX5" i="11"/>
  <c r="CL5" i="11"/>
  <c r="Z5" i="11"/>
  <c r="DX4" i="11"/>
  <c r="BL4" i="11"/>
  <c r="ER5" i="10"/>
  <c r="DA5" i="11"/>
  <c r="AO5" i="11"/>
  <c r="EM4" i="11"/>
  <c r="CA4" i="11"/>
  <c r="O4" i="11"/>
  <c r="EV5" i="11"/>
  <c r="CJ5" i="11"/>
  <c r="X5" i="11"/>
  <c r="DV4" i="11"/>
  <c r="BJ4" i="11"/>
  <c r="EX5" i="10"/>
  <c r="CL5" i="10"/>
  <c r="Z5" i="10"/>
  <c r="DL4" i="10"/>
  <c r="AZ4" i="10"/>
  <c r="DW5" i="11"/>
  <c r="BC5" i="11"/>
  <c r="FA4" i="11"/>
  <c r="CO4" i="11"/>
  <c r="AC4" i="11"/>
  <c r="DQ5" i="10"/>
  <c r="BE5" i="10"/>
  <c r="EQ4" i="10"/>
  <c r="CE4" i="10"/>
  <c r="S4" i="10"/>
  <c r="DE5" i="9"/>
  <c r="BQ5" i="10"/>
  <c r="BB4" i="10"/>
  <c r="CK5" i="9"/>
  <c r="A5" i="9"/>
  <c r="CD4" i="9"/>
  <c r="I4" i="9"/>
  <c r="CF5" i="8"/>
  <c r="T5" i="8"/>
  <c r="DF4" i="8"/>
  <c r="AT4" i="8"/>
  <c r="EF5" i="7"/>
  <c r="BT5" i="7"/>
  <c r="H5" i="7"/>
  <c r="CT4" i="7"/>
  <c r="AH4" i="7"/>
  <c r="AS5" i="10"/>
  <c r="AD4" i="10"/>
  <c r="BW5" i="9"/>
  <c r="EO4" i="9"/>
  <c r="BT4" i="9"/>
  <c r="EO5" i="8"/>
  <c r="BW5" i="8"/>
  <c r="K5" i="8"/>
  <c r="CW4" i="8"/>
  <c r="AK4" i="8"/>
  <c r="DW5" i="7"/>
  <c r="BK5" i="7"/>
  <c r="EW4" i="7"/>
  <c r="CK4" i="7"/>
  <c r="Y4" i="7"/>
  <c r="U5" i="10"/>
  <c r="L4" i="10"/>
  <c r="BK5" i="9"/>
  <c r="EE4" i="9"/>
  <c r="BI4" i="9"/>
  <c r="EN5" i="8"/>
  <c r="BV5" i="8"/>
  <c r="J5" i="8"/>
  <c r="BY4" i="8"/>
  <c r="DV5" i="9"/>
  <c r="CF4" i="8"/>
  <c r="BJ5" i="7"/>
  <c r="CJ4" i="7"/>
  <c r="CF5" i="10"/>
  <c r="CS5" i="9"/>
  <c r="CJ4" i="9"/>
  <c r="CS5" i="8"/>
  <c r="Y5" i="8"/>
  <c r="DK4" i="8"/>
  <c r="AY4" i="8"/>
  <c r="EK5" i="7"/>
  <c r="BY5" i="7"/>
  <c r="M5" i="7"/>
  <c r="CY4" i="7"/>
  <c r="AM4" i="7"/>
  <c r="CW5" i="10"/>
  <c r="CH4" i="10"/>
  <c r="DF5" i="9"/>
  <c r="Q5" i="9"/>
  <c r="CR4" i="9"/>
  <c r="W4" i="9"/>
  <c r="DA5" i="8"/>
  <c r="AN5" i="8"/>
  <c r="DZ4" i="8"/>
  <c r="BN4" i="8"/>
  <c r="B4" i="8"/>
  <c r="CN5" i="7"/>
  <c r="AB5" i="7"/>
  <c r="DN4" i="7"/>
  <c r="BB4" i="7"/>
  <c r="EN5" i="6"/>
  <c r="BY5" i="10"/>
  <c r="BJ4" i="10"/>
  <c r="CQ5" i="9"/>
  <c r="F5" i="9"/>
  <c r="CG4" i="9"/>
  <c r="L4" i="9"/>
  <c r="CQ5" i="8"/>
  <c r="AE5" i="8"/>
  <c r="DQ4" i="8"/>
  <c r="BE4" i="8"/>
  <c r="EI5" i="7"/>
  <c r="BW5" i="7"/>
  <c r="K5" i="7"/>
  <c r="BX5" i="10"/>
  <c r="BI4" i="10"/>
  <c r="CP5" i="9"/>
  <c r="E5" i="9"/>
  <c r="CF4" i="9"/>
  <c r="K4" i="9"/>
  <c r="CP5" i="8"/>
  <c r="AD5" i="8"/>
  <c r="DP4" i="8"/>
  <c r="BD4" i="8"/>
  <c r="EP5" i="7"/>
  <c r="CD5" i="7"/>
  <c r="R5" i="7"/>
  <c r="DD4" i="7"/>
  <c r="AR4" i="7"/>
  <c r="AZ5" i="10"/>
  <c r="AK4" i="10"/>
  <c r="BO5" i="9"/>
  <c r="EH4" i="9"/>
  <c r="BM4" i="9"/>
  <c r="EI5" i="8"/>
  <c r="BQ5" i="8"/>
  <c r="E5" i="8"/>
  <c r="CQ4" i="8"/>
  <c r="AE4" i="8"/>
  <c r="DQ5" i="7"/>
  <c r="BE5" i="7"/>
  <c r="EQ4" i="7"/>
  <c r="CE4" i="7"/>
  <c r="EU5" i="6"/>
  <c r="BZ5" i="6"/>
  <c r="N5" i="6"/>
  <c r="CZ4" i="6"/>
  <c r="AN4" i="6"/>
  <c r="DT5" i="5"/>
  <c r="BH5" i="5"/>
  <c r="ET4" i="5"/>
  <c r="CH4" i="5"/>
  <c r="V4" i="5"/>
  <c r="DC5" i="4"/>
  <c r="AQ5" i="4"/>
  <c r="EC4" i="4"/>
  <c r="BQ4" i="4"/>
  <c r="E4" i="4"/>
  <c r="B865" i="1"/>
  <c r="DY5" i="6"/>
  <c r="BI5" i="6"/>
  <c r="EU4" i="6"/>
  <c r="CI4" i="6"/>
  <c r="W4" i="6"/>
  <c r="DC5" i="5"/>
  <c r="AQ5" i="5"/>
  <c r="EC4" i="5"/>
  <c r="BQ4" i="5"/>
  <c r="E4" i="5"/>
  <c r="CT5" i="4"/>
  <c r="AH5" i="4"/>
  <c r="DT4" i="4"/>
  <c r="BH4" i="4"/>
  <c r="I869" i="1"/>
  <c r="E864" i="1"/>
  <c r="DN5" i="6"/>
  <c r="AZ5" i="6"/>
  <c r="EL4" i="6"/>
  <c r="BZ4" i="6"/>
  <c r="N4" i="6"/>
  <c r="DB5" i="5"/>
  <c r="AP5" i="5"/>
  <c r="EB4" i="5"/>
  <c r="BP4" i="5"/>
  <c r="D4" i="5"/>
  <c r="CS5" i="4"/>
  <c r="AG5" i="4"/>
  <c r="DS4" i="4"/>
  <c r="BG4" i="4"/>
  <c r="H869" i="1"/>
  <c r="D864" i="1"/>
  <c r="DD5" i="6"/>
  <c r="AQ5" i="6"/>
  <c r="EC4" i="6"/>
  <c r="BQ4" i="6"/>
  <c r="M4" i="8"/>
  <c r="AE5" i="9"/>
  <c r="BX4" i="8"/>
  <c r="AT5" i="7"/>
  <c r="BT4" i="7"/>
  <c r="AQ5" i="10"/>
  <c r="BT5" i="9"/>
  <c r="BQ4" i="9"/>
  <c r="CC5" i="8"/>
  <c r="Q5" i="8"/>
  <c r="DC4" i="8"/>
  <c r="AQ4" i="8"/>
  <c r="EC5" i="7"/>
  <c r="BQ5" i="7"/>
  <c r="E5" i="7"/>
  <c r="CQ4" i="7"/>
  <c r="AE4" i="7"/>
  <c r="CE5" i="10"/>
  <c r="BK4" i="10"/>
  <c r="CR5" i="9"/>
  <c r="G5" i="9"/>
  <c r="CI4" i="9"/>
  <c r="M4" i="9"/>
  <c r="CR5" i="8"/>
  <c r="AF5" i="8"/>
  <c r="DR4" i="8"/>
  <c r="BF4" i="8"/>
  <c r="ER5" i="7"/>
  <c r="CF5" i="7"/>
  <c r="T5" i="7"/>
  <c r="DF4" i="7"/>
  <c r="AT4" i="7"/>
  <c r="EF5" i="6"/>
  <c r="BG5" i="10"/>
  <c r="AM4" i="10"/>
  <c r="CC5" i="9"/>
  <c r="ES4" i="9"/>
  <c r="BX4" i="9"/>
  <c r="C4" i="9"/>
  <c r="CI5" i="8"/>
  <c r="W5" i="8"/>
  <c r="DI4" i="8"/>
  <c r="AW4" i="8"/>
  <c r="EA5" i="7"/>
  <c r="BO5" i="7"/>
  <c r="C5" i="7"/>
  <c r="BA5" i="10"/>
  <c r="AL4" i="10"/>
  <c r="CB5" i="9"/>
  <c r="ER4" i="9"/>
  <c r="BW4" i="9"/>
  <c r="B4" i="9"/>
  <c r="CH5" i="8"/>
  <c r="V5" i="8"/>
  <c r="DH4" i="8"/>
  <c r="AV4" i="8"/>
  <c r="EH5" i="7"/>
  <c r="BV5" i="7"/>
  <c r="J5" i="7"/>
  <c r="CV4" i="7"/>
  <c r="AJ4" i="7"/>
  <c r="AC5" i="10"/>
  <c r="O4" i="10"/>
  <c r="BD5" i="9"/>
  <c r="DY4" i="9"/>
  <c r="BD4" i="9"/>
  <c r="DY5" i="8"/>
  <c r="BI5" i="8"/>
  <c r="EU4" i="8"/>
  <c r="CI4" i="8"/>
  <c r="W4" i="8"/>
  <c r="DI5" i="7"/>
  <c r="AW5" i="7"/>
  <c r="EI4" i="7"/>
  <c r="BW4" i="7"/>
  <c r="EJ5" i="6"/>
  <c r="BR5" i="6"/>
  <c r="F5" i="6"/>
  <c r="CR4" i="6"/>
  <c r="AF4" i="6"/>
  <c r="DL5" i="5"/>
  <c r="AZ5" i="5"/>
  <c r="EL4" i="5"/>
  <c r="BZ4" i="5"/>
  <c r="N4" i="5"/>
  <c r="CU5" i="4"/>
  <c r="AI5" i="4"/>
  <c r="DU4" i="4"/>
  <c r="BI4" i="4"/>
  <c r="J869" i="1"/>
  <c r="F864" i="1"/>
  <c r="DO5" i="6"/>
  <c r="BA5" i="6"/>
  <c r="EM4" i="6"/>
  <c r="CA4" i="6"/>
  <c r="O4" i="6"/>
  <c r="CU5" i="5"/>
  <c r="AI5" i="5"/>
  <c r="DU4" i="5"/>
  <c r="BI4" i="5"/>
  <c r="EX5" i="4"/>
  <c r="CL5" i="4"/>
  <c r="Z5" i="4"/>
  <c r="DL4" i="4"/>
  <c r="AZ4" i="4"/>
  <c r="A869" i="1"/>
  <c r="I863" i="1"/>
  <c r="DE5" i="6"/>
  <c r="AR5" i="6"/>
  <c r="ED4" i="6"/>
  <c r="BR4" i="6"/>
  <c r="F4" i="6"/>
  <c r="CT5" i="5"/>
  <c r="AH5" i="5"/>
  <c r="DT4" i="5"/>
  <c r="BH4" i="5"/>
  <c r="EW5" i="4"/>
  <c r="CK5" i="4"/>
  <c r="Y5" i="4"/>
  <c r="DK4" i="4"/>
  <c r="AY4" i="4"/>
  <c r="L868" i="1"/>
  <c r="CO4" i="7"/>
  <c r="CU5" i="6"/>
  <c r="AI5" i="6"/>
  <c r="DU4" i="6"/>
  <c r="BI4" i="6"/>
  <c r="CY5" i="7"/>
  <c r="DC4" i="9"/>
  <c r="AJ4" i="8"/>
  <c r="AL5" i="7"/>
  <c r="BL4" i="7"/>
  <c r="T5" i="10"/>
  <c r="BJ5" i="9"/>
  <c r="BH4" i="9"/>
  <c r="BU5" i="8"/>
  <c r="I5" i="8"/>
  <c r="CU4" i="8"/>
  <c r="AI4" i="8"/>
  <c r="DU5" i="7"/>
  <c r="BI5" i="7"/>
  <c r="EU4" i="7"/>
  <c r="CI4" i="7"/>
  <c r="W4" i="7"/>
  <c r="BH5" i="10"/>
  <c r="AS4" i="10"/>
  <c r="CE5" i="9"/>
  <c r="EU4" i="9"/>
  <c r="BY4" i="9"/>
  <c r="D4" i="9"/>
  <c r="CJ5" i="8"/>
  <c r="X5" i="8"/>
  <c r="DJ4" i="8"/>
  <c r="AX4" i="8"/>
  <c r="EJ5" i="7"/>
  <c r="BX5" i="7"/>
  <c r="L5" i="7"/>
  <c r="CX4" i="7"/>
  <c r="AL4" i="7"/>
  <c r="DX5" i="6"/>
  <c r="AJ5" i="10"/>
  <c r="U4" i="10"/>
  <c r="BR5" i="9"/>
  <c r="EJ4" i="9"/>
  <c r="BO4" i="9"/>
  <c r="ET5" i="8"/>
  <c r="CA5" i="8"/>
  <c r="O5" i="8"/>
  <c r="DA4" i="8"/>
  <c r="AO4" i="8"/>
  <c r="DS5" i="7"/>
  <c r="BG5" i="7"/>
  <c r="ES4" i="7"/>
  <c r="AI5" i="10"/>
  <c r="T4" i="10"/>
  <c r="BQ5" i="9"/>
  <c r="EI4" i="9"/>
  <c r="BN4" i="9"/>
  <c r="ES5" i="8"/>
  <c r="BZ5" i="8"/>
  <c r="N5" i="8"/>
  <c r="CZ4" i="8"/>
  <c r="AN4" i="8"/>
  <c r="DZ5" i="7"/>
  <c r="BN5" i="7"/>
  <c r="B5" i="7"/>
  <c r="CN4" i="7"/>
  <c r="AB4" i="7"/>
  <c r="K5" i="10"/>
  <c r="EM5" i="9"/>
  <c r="AT5" i="9"/>
  <c r="DP4" i="9"/>
  <c r="AU4" i="9"/>
  <c r="DP5" i="8"/>
  <c r="BA5" i="8"/>
  <c r="EM4" i="8"/>
  <c r="CA4" i="8"/>
  <c r="O4" i="8"/>
  <c r="DA5" i="7"/>
  <c r="AO5" i="7"/>
  <c r="EA4" i="7"/>
  <c r="BO4" i="7"/>
  <c r="DZ5" i="6"/>
  <c r="BJ5" i="6"/>
  <c r="EV4" i="6"/>
  <c r="CJ4" i="6"/>
  <c r="X4" i="6"/>
  <c r="DD5" i="5"/>
  <c r="AR5" i="5"/>
  <c r="ED4" i="5"/>
  <c r="BR4" i="5"/>
  <c r="F4" i="5"/>
  <c r="CM5" i="4"/>
  <c r="AA5" i="4"/>
  <c r="DM4" i="4"/>
  <c r="BA4" i="4"/>
  <c r="B869" i="1"/>
  <c r="J863" i="1"/>
  <c r="DF5" i="6"/>
  <c r="AS5" i="6"/>
  <c r="EE4" i="6"/>
  <c r="BS4" i="6"/>
  <c r="G4" i="6"/>
  <c r="CM5" i="5"/>
  <c r="AA5" i="5"/>
  <c r="DM4" i="5"/>
  <c r="BA4" i="5"/>
  <c r="EP5" i="4"/>
  <c r="CD5" i="4"/>
  <c r="R5" i="4"/>
  <c r="DD4" i="4"/>
  <c r="AR4" i="4"/>
  <c r="E868" i="1"/>
  <c r="CW4" i="7"/>
  <c r="CV5" i="6"/>
  <c r="AJ5" i="6"/>
  <c r="DV4" i="6"/>
  <c r="BJ4" i="6"/>
  <c r="EX5" i="5"/>
  <c r="CL5" i="5"/>
  <c r="Z5" i="5"/>
  <c r="DL4" i="5"/>
  <c r="AZ4" i="5"/>
  <c r="EO5" i="4"/>
  <c r="CC5" i="4"/>
  <c r="Q5" i="4"/>
  <c r="DC4" i="4"/>
  <c r="AQ4" i="4"/>
  <c r="D868" i="1"/>
  <c r="AK4" i="7"/>
  <c r="CM5" i="6"/>
  <c r="AA5" i="6"/>
  <c r="DM4" i="6"/>
  <c r="BA4" i="6"/>
  <c r="AM5" i="7"/>
  <c r="AH4" i="9"/>
  <c r="T4" i="8"/>
  <c r="N5" i="7"/>
  <c r="AN4" i="7"/>
  <c r="DF4" i="10"/>
  <c r="AD5" i="9"/>
  <c r="AG4" i="9"/>
  <c r="BM5" i="8"/>
  <c r="A5" i="8"/>
  <c r="CM4" i="8"/>
  <c r="AA4" i="8"/>
  <c r="DM5" i="7"/>
  <c r="BA5" i="7"/>
  <c r="EM4" i="7"/>
  <c r="CA4" i="7"/>
  <c r="O4" i="7"/>
  <c r="AK5" i="10"/>
  <c r="V4" i="10"/>
  <c r="BS5" i="9"/>
  <c r="EK4" i="9"/>
  <c r="BP4" i="9"/>
  <c r="EU5" i="8"/>
  <c r="CB5" i="8"/>
  <c r="P5" i="8"/>
  <c r="DB4" i="8"/>
  <c r="AP4" i="8"/>
  <c r="EB5" i="7"/>
  <c r="BP5" i="7"/>
  <c r="D5" i="7"/>
  <c r="CP4" i="7"/>
  <c r="AD4" i="7"/>
  <c r="DP5" i="6"/>
  <c r="M5" i="10"/>
  <c r="E4" i="10"/>
  <c r="BG5" i="9"/>
  <c r="EA4" i="9"/>
  <c r="BF4" i="9"/>
  <c r="EK5" i="8"/>
  <c r="BS5" i="8"/>
  <c r="G5" i="8"/>
  <c r="CS4" i="8"/>
  <c r="AG4" i="8"/>
  <c r="DK5" i="7"/>
  <c r="AY5" i="7"/>
  <c r="EK4" i="7"/>
  <c r="L5" i="10"/>
  <c r="D4" i="10"/>
  <c r="BE5" i="9"/>
  <c r="DZ4" i="9"/>
  <c r="BE4" i="9"/>
  <c r="EJ5" i="8"/>
  <c r="BR5" i="8"/>
  <c r="F5" i="8"/>
  <c r="CR4" i="8"/>
  <c r="AF4" i="8"/>
  <c r="DR5" i="7"/>
  <c r="BF5" i="7"/>
  <c r="ER4" i="7"/>
  <c r="CF4" i="7"/>
  <c r="T4" i="7"/>
  <c r="EL4" i="10"/>
  <c r="DY5" i="9"/>
  <c r="AI5" i="9"/>
  <c r="DG4" i="9"/>
  <c r="AK4" i="9"/>
  <c r="DG5" i="8"/>
  <c r="AS5" i="8"/>
  <c r="EE4" i="8"/>
  <c r="BS4" i="8"/>
  <c r="G4" i="8"/>
  <c r="CS5" i="7"/>
  <c r="AG5" i="7"/>
  <c r="DS4" i="7"/>
  <c r="BG4" i="7"/>
  <c r="DQ5" i="6"/>
  <c r="BB5" i="6"/>
  <c r="EN4" i="6"/>
  <c r="CB4" i="6"/>
  <c r="P4" i="6"/>
  <c r="CV5" i="5"/>
  <c r="AJ5" i="5"/>
  <c r="DV4" i="5"/>
  <c r="BJ4" i="5"/>
  <c r="EQ5" i="4"/>
  <c r="CE5" i="4"/>
  <c r="S5" i="4"/>
  <c r="DE4" i="4"/>
  <c r="AS4" i="4"/>
  <c r="F868" i="1"/>
  <c r="DE4" i="7"/>
  <c r="CW5" i="6"/>
  <c r="AK5" i="6"/>
  <c r="DW4" i="6"/>
  <c r="BK4" i="6"/>
  <c r="EQ5" i="5"/>
  <c r="CE5" i="5"/>
  <c r="S5" i="5"/>
  <c r="DE4" i="5"/>
  <c r="AS4" i="5"/>
  <c r="EH5" i="4"/>
  <c r="BV5" i="4"/>
  <c r="J5" i="4"/>
  <c r="CV4" i="4"/>
  <c r="AJ4" i="4"/>
  <c r="I867" i="1"/>
  <c r="AQ4" i="7"/>
  <c r="CN5" i="6"/>
  <c r="AB5" i="6"/>
  <c r="DN4" i="6"/>
  <c r="BB4" i="6"/>
  <c r="EP5" i="5"/>
  <c r="CD5" i="5"/>
  <c r="R5" i="5"/>
  <c r="DD4" i="5"/>
  <c r="AR4" i="5"/>
  <c r="EG5" i="4"/>
  <c r="BU5" i="4"/>
  <c r="I5" i="4"/>
  <c r="CU4" i="4"/>
  <c r="AI4" i="4"/>
  <c r="H867" i="1"/>
  <c r="E4" i="7"/>
  <c r="CE5" i="6"/>
  <c r="S5" i="6"/>
  <c r="DE4" i="6"/>
  <c r="AS4" i="6"/>
  <c r="DY4" i="7"/>
  <c r="DM5" i="8"/>
  <c r="L4" i="8"/>
  <c r="EV4" i="7"/>
  <c r="X4" i="7"/>
  <c r="BQ4" i="10"/>
  <c r="H5" i="9"/>
  <c r="O4" i="9"/>
  <c r="BE5" i="8"/>
  <c r="EQ4" i="8"/>
  <c r="CE4" i="8"/>
  <c r="S4" i="8"/>
  <c r="DE5" i="7"/>
  <c r="AS5" i="7"/>
  <c r="EE4" i="7"/>
  <c r="BS4" i="7"/>
  <c r="G4" i="7"/>
  <c r="S5" i="10"/>
  <c r="F4" i="10"/>
  <c r="BI5" i="9"/>
  <c r="EB4" i="9"/>
  <c r="BG4" i="9"/>
  <c r="EL5" i="8"/>
  <c r="BT5" i="8"/>
  <c r="H5" i="8"/>
  <c r="CT4" i="8"/>
  <c r="AH4" i="8"/>
  <c r="DT5" i="7"/>
  <c r="BH5" i="7"/>
  <c r="ET4" i="7"/>
  <c r="CH4" i="7"/>
  <c r="V4" i="7"/>
  <c r="DH5" i="6"/>
  <c r="ES4" i="10"/>
  <c r="EO5" i="9"/>
  <c r="AV5" i="9"/>
  <c r="DR4" i="9"/>
  <c r="AW4" i="9"/>
  <c r="EB5" i="8"/>
  <c r="BK5" i="8"/>
  <c r="EW4" i="8"/>
  <c r="CK4" i="8"/>
  <c r="Y4" i="8"/>
  <c r="DC5" i="7"/>
  <c r="AQ5" i="7"/>
  <c r="EC4" i="7"/>
  <c r="EM4" i="10"/>
  <c r="EN5" i="9"/>
  <c r="AU5" i="9"/>
  <c r="DQ4" i="9"/>
  <c r="AV4" i="9"/>
  <c r="EA5" i="8"/>
  <c r="BJ5" i="8"/>
  <c r="EV4" i="8"/>
  <c r="CJ4" i="8"/>
  <c r="X4" i="8"/>
  <c r="DJ5" i="7"/>
  <c r="AX5" i="7"/>
  <c r="EJ4" i="7"/>
  <c r="BX4" i="7"/>
  <c r="L4" i="7"/>
  <c r="DO4" i="10"/>
  <c r="DN5" i="9"/>
  <c r="X5" i="9"/>
  <c r="CW4" i="9"/>
  <c r="AB4" i="9"/>
  <c r="CX5" i="8"/>
  <c r="AK5" i="8"/>
  <c r="DW4" i="8"/>
  <c r="BK4" i="8"/>
  <c r="EW5" i="7"/>
  <c r="CK5" i="7"/>
  <c r="Y5" i="7"/>
  <c r="DK4" i="7"/>
  <c r="AY4" i="7"/>
  <c r="DG5" i="6"/>
  <c r="AT5" i="6"/>
  <c r="EF4" i="6"/>
  <c r="BT4" i="6"/>
  <c r="H4" i="6"/>
  <c r="CN5" i="5"/>
  <c r="AB5" i="5"/>
  <c r="DN4" i="5"/>
  <c r="BB4" i="5"/>
  <c r="EI5" i="4"/>
  <c r="BW5" i="4"/>
  <c r="K5" i="4"/>
  <c r="CW4" i="4"/>
  <c r="AK4" i="4"/>
  <c r="J867" i="1"/>
  <c r="AS4" i="7"/>
  <c r="CO5" i="6"/>
  <c r="AC5" i="6"/>
  <c r="DO4" i="6"/>
  <c r="BC4" i="6"/>
  <c r="EI5" i="5"/>
  <c r="BW5" i="5"/>
  <c r="K5" i="5"/>
  <c r="CW4" i="5"/>
  <c r="AK4" i="5"/>
  <c r="DZ5" i="4"/>
  <c r="BN5" i="4"/>
  <c r="B5" i="4"/>
  <c r="CN4" i="4"/>
  <c r="AB4" i="4"/>
  <c r="A867" i="1"/>
  <c r="K4" i="7"/>
  <c r="CF5" i="6"/>
  <c r="T5" i="6"/>
  <c r="DF4" i="6"/>
  <c r="AT4" i="6"/>
  <c r="EH5" i="5"/>
  <c r="BV5" i="5"/>
  <c r="J5" i="5"/>
  <c r="CV4" i="5"/>
  <c r="AJ4" i="5"/>
  <c r="DY5" i="4"/>
  <c r="BM5" i="4"/>
  <c r="A5" i="4"/>
  <c r="CM4" i="4"/>
  <c r="AA4" i="4"/>
  <c r="L866" i="1"/>
  <c r="ER5" i="6"/>
  <c r="BW5" i="6"/>
  <c r="K5" i="6"/>
  <c r="CW4" i="6"/>
  <c r="AK4" i="6"/>
  <c r="BM4" i="7"/>
  <c r="AX5" i="8"/>
  <c r="DV5" i="7"/>
  <c r="EF4" i="7"/>
  <c r="H4" i="7"/>
  <c r="W4" i="10"/>
  <c r="EM4" i="9"/>
  <c r="EV5" i="8"/>
  <c r="AW5" i="8"/>
  <c r="EI4" i="8"/>
  <c r="BW4" i="8"/>
  <c r="K4" i="8"/>
  <c r="CW5" i="7"/>
  <c r="AK5" i="7"/>
  <c r="DW4" i="7"/>
  <c r="BK4" i="7"/>
  <c r="EW5" i="6"/>
  <c r="ET4" i="10"/>
  <c r="EQ5" i="9"/>
  <c r="AW5" i="9"/>
  <c r="DS4" i="9"/>
  <c r="AX4" i="9"/>
  <c r="EC5" i="8"/>
  <c r="BL5" i="8"/>
  <c r="EX4" i="8"/>
  <c r="CL4" i="8"/>
  <c r="Z4" i="8"/>
  <c r="DL5" i="7"/>
  <c r="AZ5" i="7"/>
  <c r="EL4" i="7"/>
  <c r="BZ4" i="7"/>
  <c r="N4" i="7"/>
  <c r="CZ5" i="6"/>
  <c r="DV4" i="10"/>
  <c r="ED5" i="9"/>
  <c r="AL5" i="9"/>
  <c r="DI4" i="9"/>
  <c r="AN4" i="9"/>
  <c r="DS5" i="8"/>
  <c r="BC5" i="8"/>
  <c r="EO4" i="8"/>
  <c r="CC4" i="8"/>
  <c r="Q4" i="8"/>
  <c r="CU5" i="7"/>
  <c r="AI5" i="7"/>
  <c r="DU4" i="7"/>
  <c r="DU4" i="10"/>
  <c r="EA5" i="9"/>
  <c r="AK5" i="9"/>
  <c r="DH4" i="9"/>
  <c r="AM4" i="9"/>
  <c r="DQ5" i="8"/>
  <c r="BB5" i="8"/>
  <c r="EN4" i="8"/>
  <c r="CB4" i="8"/>
  <c r="P4" i="8"/>
  <c r="DB5" i="7"/>
  <c r="AP5" i="7"/>
  <c r="EB4" i="7"/>
  <c r="BP4" i="7"/>
  <c r="DM5" i="10"/>
  <c r="CW4" i="10"/>
  <c r="CZ5" i="9"/>
  <c r="N5" i="9"/>
  <c r="CN4" i="9"/>
  <c r="S4" i="9"/>
  <c r="CO5" i="8"/>
  <c r="AC5" i="8"/>
  <c r="DO4" i="8"/>
  <c r="BC4" i="8"/>
  <c r="EO5" i="7"/>
  <c r="CC5" i="7"/>
  <c r="Q5" i="7"/>
  <c r="DC4" i="7"/>
  <c r="DM4" i="7"/>
  <c r="CX5" i="6"/>
  <c r="AL5" i="6"/>
  <c r="DX4" i="6"/>
  <c r="BL4" i="6"/>
  <c r="ER5" i="5"/>
  <c r="CF5" i="5"/>
  <c r="T5" i="5"/>
  <c r="DF4" i="5"/>
  <c r="AT4" i="5"/>
  <c r="EA5" i="4"/>
  <c r="BO5" i="4"/>
  <c r="C5" i="4"/>
  <c r="CO4" i="4"/>
  <c r="AC4" i="4"/>
  <c r="B867" i="1"/>
  <c r="M4" i="7"/>
  <c r="CG5" i="6"/>
  <c r="U5" i="6"/>
  <c r="DG4" i="6"/>
  <c r="AU4" i="6"/>
  <c r="EA5" i="5"/>
  <c r="BO5" i="5"/>
  <c r="C5" i="5"/>
  <c r="CO4" i="5"/>
  <c r="AC4" i="5"/>
  <c r="DR5" i="4"/>
  <c r="BF5" i="4"/>
  <c r="ER4" i="4"/>
  <c r="CF4" i="4"/>
  <c r="T4" i="4"/>
  <c r="E866" i="1"/>
  <c r="ES5" i="6"/>
  <c r="BX5" i="6"/>
  <c r="L5" i="6"/>
  <c r="CX4" i="6"/>
  <c r="AL4" i="6"/>
  <c r="DZ5" i="5"/>
  <c r="BN5" i="5"/>
  <c r="B5" i="5"/>
  <c r="CN4" i="5"/>
  <c r="AB4" i="5"/>
  <c r="DQ5" i="4"/>
  <c r="BE5" i="4"/>
  <c r="EQ4" i="4"/>
  <c r="CE4" i="4"/>
  <c r="S4" i="4"/>
  <c r="D866" i="1"/>
  <c r="EE5" i="6"/>
  <c r="BO5" i="6"/>
  <c r="C5" i="6"/>
  <c r="CO4" i="6"/>
  <c r="AC4" i="6"/>
  <c r="EJ5" i="10"/>
  <c r="EJ4" i="8"/>
  <c r="DF5" i="7"/>
  <c r="DX4" i="7"/>
  <c r="EX5" i="6"/>
  <c r="G4" i="10"/>
  <c r="EC4" i="9"/>
  <c r="EM5" i="8"/>
  <c r="AO5" i="8"/>
  <c r="EA4" i="8"/>
  <c r="BO4" i="8"/>
  <c r="C4" i="8"/>
  <c r="CO5" i="7"/>
  <c r="AC5" i="7"/>
  <c r="DO4" i="7"/>
  <c r="BC4" i="7"/>
  <c r="EO5" i="6"/>
  <c r="DW4" i="10"/>
  <c r="EE5" i="9"/>
  <c r="AM5" i="9"/>
  <c r="DJ4" i="9"/>
  <c r="AO4" i="9"/>
  <c r="DT5" i="8"/>
  <c r="BD5" i="8"/>
  <c r="EP4" i="8"/>
  <c r="CD4" i="8"/>
  <c r="R4" i="8"/>
  <c r="DD5" i="7"/>
  <c r="AR5" i="7"/>
  <c r="ED4" i="7"/>
  <c r="BR4" i="7"/>
  <c r="F4" i="7"/>
  <c r="DU5" i="10"/>
  <c r="CY4" i="10"/>
  <c r="DP5" i="9"/>
  <c r="AA5" i="9"/>
  <c r="CZ4" i="9"/>
  <c r="AE4" i="9"/>
  <c r="DI5" i="8"/>
  <c r="AU5" i="8"/>
  <c r="EG4" i="8"/>
  <c r="BU4" i="8"/>
  <c r="I4" i="8"/>
  <c r="CM5" i="7"/>
  <c r="AA5" i="7"/>
  <c r="DT5" i="10"/>
  <c r="CX4" i="10"/>
  <c r="DO5" i="9"/>
  <c r="Y5" i="9"/>
  <c r="CY4" i="9"/>
  <c r="AC4" i="9"/>
  <c r="DH5" i="8"/>
  <c r="AT5" i="8"/>
  <c r="EF4" i="8"/>
  <c r="BT4" i="8"/>
  <c r="H4" i="8"/>
  <c r="CT5" i="7"/>
  <c r="AH5" i="7"/>
  <c r="DT4" i="7"/>
  <c r="BH4" i="7"/>
  <c r="CO5" i="10"/>
  <c r="BZ4" i="10"/>
  <c r="CM5" i="9"/>
  <c r="C5" i="9"/>
  <c r="CE4" i="9"/>
  <c r="J4" i="9"/>
  <c r="CG5" i="8"/>
  <c r="U5" i="8"/>
  <c r="DG4" i="8"/>
  <c r="AU4" i="8"/>
  <c r="EG5" i="7"/>
  <c r="BU5" i="7"/>
  <c r="I5" i="7"/>
  <c r="CU4" i="7"/>
  <c r="BA4" i="7"/>
  <c r="CP5" i="6"/>
  <c r="AD5" i="6"/>
  <c r="DP4" i="6"/>
  <c r="BD4" i="6"/>
  <c r="EJ5" i="5"/>
  <c r="BX5" i="5"/>
  <c r="L5" i="5"/>
  <c r="CX4" i="5"/>
  <c r="AL4" i="5"/>
  <c r="DS5" i="4"/>
  <c r="BG5" i="4"/>
  <c r="ES4" i="4"/>
  <c r="CG4" i="4"/>
  <c r="U4" i="4"/>
  <c r="F866" i="1"/>
  <c r="ET5" i="6"/>
  <c r="BY5" i="6"/>
  <c r="M5" i="6"/>
  <c r="CY4" i="6"/>
  <c r="AM4" i="6"/>
  <c r="DS5" i="5"/>
  <c r="BG5" i="5"/>
  <c r="ES4" i="5"/>
  <c r="CG4" i="5"/>
  <c r="U4" i="5"/>
  <c r="DJ5" i="4"/>
  <c r="AX5" i="4"/>
  <c r="EJ4" i="4"/>
  <c r="BX4" i="4"/>
  <c r="L4" i="4"/>
  <c r="I865" i="1"/>
  <c r="EG5" i="6"/>
  <c r="BP5" i="6"/>
  <c r="D5" i="6"/>
  <c r="CP4" i="6"/>
  <c r="AD4" i="6"/>
  <c r="DR5" i="5"/>
  <c r="BF5" i="5"/>
  <c r="ER4" i="5"/>
  <c r="CF4" i="5"/>
  <c r="T4" i="5"/>
  <c r="DI5" i="4"/>
  <c r="AW5" i="4"/>
  <c r="EI4" i="4"/>
  <c r="BW4" i="4"/>
  <c r="K4" i="4"/>
  <c r="H865" i="1"/>
  <c r="DV5" i="6"/>
  <c r="BG5" i="6"/>
  <c r="ES4" i="6"/>
  <c r="CG4" i="6"/>
  <c r="U4" i="6"/>
  <c r="DG4" i="10"/>
  <c r="CV4" i="8"/>
  <c r="CX5" i="7"/>
  <c r="CZ4" i="7"/>
  <c r="EC5" i="10"/>
  <c r="DS5" i="9"/>
  <c r="DB4" i="9"/>
  <c r="DL5" i="8"/>
  <c r="AG5" i="8"/>
  <c r="DS4" i="8"/>
  <c r="BG4" i="8"/>
  <c r="ES5" i="7"/>
  <c r="CG5" i="7"/>
  <c r="U5" i="7"/>
  <c r="DG4" i="7"/>
  <c r="AU4" i="7"/>
  <c r="EB5" i="10"/>
  <c r="DE4" i="10"/>
  <c r="DQ5" i="9"/>
  <c r="AC5" i="9"/>
  <c r="DA4" i="9"/>
  <c r="AF4" i="9"/>
  <c r="DK5" i="8"/>
  <c r="AV5" i="8"/>
  <c r="EH4" i="8"/>
  <c r="BV4" i="8"/>
  <c r="J4" i="8"/>
  <c r="CV5" i="7"/>
  <c r="AJ5" i="7"/>
  <c r="DV4" i="7"/>
  <c r="BJ4" i="7"/>
  <c r="EV5" i="6"/>
  <c r="CV5" i="10"/>
  <c r="CG4" i="10"/>
  <c r="DC5" i="9"/>
  <c r="P5" i="9"/>
  <c r="CQ4" i="9"/>
  <c r="U4" i="9"/>
  <c r="CZ5" i="8"/>
  <c r="AM5" i="8"/>
  <c r="DY4" i="8"/>
  <c r="BM4" i="8"/>
  <c r="EQ5" i="7"/>
  <c r="CE5" i="7"/>
  <c r="S5" i="7"/>
  <c r="CU5" i="10"/>
  <c r="CA4" i="10"/>
  <c r="DA5" i="9"/>
  <c r="O5" i="9"/>
  <c r="CO4" i="9"/>
  <c r="T4" i="9"/>
  <c r="CY5" i="8"/>
  <c r="AL5" i="8"/>
  <c r="DX4" i="8"/>
  <c r="BL4" i="8"/>
  <c r="EX5" i="7"/>
  <c r="CL5" i="7"/>
  <c r="Z5" i="7"/>
  <c r="DL4" i="7"/>
  <c r="AZ4" i="7"/>
  <c r="BW5" i="10"/>
  <c r="BC4" i="10"/>
  <c r="CA5" i="9"/>
  <c r="EQ4" i="9"/>
  <c r="BV4" i="9"/>
  <c r="ER5" i="8"/>
  <c r="BY5" i="8"/>
  <c r="M5" i="8"/>
  <c r="CY4" i="8"/>
  <c r="AM4" i="8"/>
  <c r="DY5" i="7"/>
  <c r="BM5" i="7"/>
  <c r="A5" i="7"/>
  <c r="CM4" i="7"/>
  <c r="S4" i="7"/>
  <c r="CH5" i="6"/>
  <c r="V5" i="6"/>
  <c r="DH4" i="6"/>
  <c r="AV4" i="6"/>
  <c r="EB5" i="5"/>
  <c r="BP5" i="5"/>
  <c r="D5" i="5"/>
  <c r="CP4" i="5"/>
  <c r="AD4" i="5"/>
  <c r="DK5" i="4"/>
  <c r="AY5" i="4"/>
  <c r="EK4" i="4"/>
  <c r="BY4" i="4"/>
  <c r="M4" i="4"/>
  <c r="J865" i="1"/>
  <c r="EI5" i="6"/>
  <c r="BQ5" i="6"/>
  <c r="E5" i="6"/>
  <c r="CQ4" i="6"/>
  <c r="AE4" i="6"/>
  <c r="DK5" i="5"/>
  <c r="AY5" i="5"/>
  <c r="EK4" i="5"/>
  <c r="BY4" i="5"/>
  <c r="M4" i="5"/>
  <c r="DB5" i="4"/>
  <c r="AP5" i="4"/>
  <c r="EB4" i="4"/>
  <c r="BP4" i="4"/>
  <c r="D4" i="4"/>
  <c r="A865" i="1"/>
  <c r="DW5" i="6"/>
  <c r="BH5" i="6"/>
  <c r="ET4" i="6"/>
  <c r="CH4" i="6"/>
  <c r="V4" i="6"/>
  <c r="DJ5" i="5"/>
  <c r="AX5" i="5"/>
  <c r="EJ4" i="5"/>
  <c r="BX4" i="5"/>
  <c r="L4" i="5"/>
  <c r="DA5" i="4"/>
  <c r="AO5" i="4"/>
  <c r="EA4" i="4"/>
  <c r="BO4" i="4"/>
  <c r="C4" i="4"/>
  <c r="L864" i="1"/>
  <c r="DM5" i="6"/>
  <c r="AY5" i="6"/>
  <c r="EK4" i="6"/>
  <c r="BY4" i="6"/>
  <c r="M4" i="6"/>
  <c r="E4" i="6"/>
  <c r="CS5" i="5"/>
  <c r="AG5" i="5"/>
  <c r="DS4" i="5"/>
  <c r="BG4" i="5"/>
  <c r="EV5" i="4"/>
  <c r="CJ5" i="4"/>
  <c r="X5" i="4"/>
  <c r="DJ4" i="4"/>
  <c r="AX4" i="4"/>
  <c r="K868" i="1"/>
  <c r="CG4" i="7"/>
  <c r="CT5" i="6"/>
  <c r="AH5" i="6"/>
  <c r="DT4" i="6"/>
  <c r="BH4" i="6"/>
  <c r="EV5" i="5"/>
  <c r="CJ5" i="5"/>
  <c r="X5" i="5"/>
  <c r="DJ4" i="5"/>
  <c r="AX4" i="5"/>
  <c r="EM5" i="4"/>
  <c r="CA5" i="4"/>
  <c r="O5" i="4"/>
  <c r="DA4" i="4"/>
  <c r="AO4" i="4"/>
  <c r="EM5" i="6"/>
  <c r="BU5" i="6"/>
  <c r="I5" i="6"/>
  <c r="CU4" i="6"/>
  <c r="AI4" i="6"/>
  <c r="DW5" i="5"/>
  <c r="BK5" i="5"/>
  <c r="EW4" i="5"/>
  <c r="CK4" i="5"/>
  <c r="Y4" i="5"/>
  <c r="DF5" i="4"/>
  <c r="AT5" i="4"/>
  <c r="EF4" i="4"/>
  <c r="BT4" i="4"/>
  <c r="H4" i="4"/>
  <c r="DS5" i="6"/>
  <c r="BD5" i="6"/>
  <c r="EP4" i="6"/>
  <c r="CD4" i="6"/>
  <c r="R4" i="6"/>
  <c r="DF5" i="5"/>
  <c r="AT5" i="5"/>
  <c r="EF4" i="5"/>
  <c r="BT4" i="5"/>
  <c r="H4" i="5"/>
  <c r="CO5" i="4"/>
  <c r="AC5" i="4"/>
  <c r="DO4" i="4"/>
  <c r="BC4" i="4"/>
  <c r="D869" i="1"/>
  <c r="DR5" i="6"/>
  <c r="BC5" i="6"/>
  <c r="EO4" i="6"/>
  <c r="CC4" i="6"/>
  <c r="Q4" i="6"/>
  <c r="CW5" i="5"/>
  <c r="AK5" i="5"/>
  <c r="DW4" i="5"/>
  <c r="BK4" i="5"/>
  <c r="ER5" i="4"/>
  <c r="CF5" i="4"/>
  <c r="T5" i="4"/>
  <c r="DF4" i="4"/>
  <c r="AT4" i="4"/>
  <c r="G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J793" i="1"/>
  <c r="F788" i="1"/>
  <c r="B783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G861" i="1"/>
  <c r="C856" i="1"/>
  <c r="K850" i="1"/>
  <c r="G845" i="1"/>
  <c r="C840" i="1"/>
  <c r="K834" i="1"/>
  <c r="G829" i="1"/>
  <c r="C824" i="1"/>
  <c r="K818" i="1"/>
  <c r="EW5" i="5"/>
  <c r="CK5" i="5"/>
  <c r="Y5" i="5"/>
  <c r="DK4" i="5"/>
  <c r="AY4" i="5"/>
  <c r="EN5" i="4"/>
  <c r="CB5" i="4"/>
  <c r="P5" i="4"/>
  <c r="DB4" i="4"/>
  <c r="AP4" i="4"/>
  <c r="C868" i="1"/>
  <c r="AI4" i="7"/>
  <c r="CL5" i="6"/>
  <c r="Z5" i="6"/>
  <c r="DL4" i="6"/>
  <c r="AZ4" i="6"/>
  <c r="EN5" i="5"/>
  <c r="CB5" i="5"/>
  <c r="P5" i="5"/>
  <c r="DB4" i="5"/>
  <c r="AP4" i="5"/>
  <c r="EE5" i="4"/>
  <c r="BS5" i="4"/>
  <c r="G5" i="4"/>
  <c r="CS4" i="4"/>
  <c r="AG4" i="4"/>
  <c r="EC5" i="6"/>
  <c r="BM5" i="6"/>
  <c r="A5" i="6"/>
  <c r="CM4" i="6"/>
  <c r="AA4" i="6"/>
  <c r="DO5" i="5"/>
  <c r="BC5" i="5"/>
  <c r="EO4" i="5"/>
  <c r="CC4" i="5"/>
  <c r="Q4" i="5"/>
  <c r="CX5" i="4"/>
  <c r="AL5" i="4"/>
  <c r="DX4" i="4"/>
  <c r="BL4" i="4"/>
  <c r="A4" i="3"/>
  <c r="DJ5" i="6"/>
  <c r="AV5" i="6"/>
  <c r="EH4" i="6"/>
  <c r="BV4" i="6"/>
  <c r="J4" i="6"/>
  <c r="CX5" i="5"/>
  <c r="AL5" i="5"/>
  <c r="DX4" i="5"/>
  <c r="BL4" i="5"/>
  <c r="ES5" i="4"/>
  <c r="CG5" i="4"/>
  <c r="U5" i="4"/>
  <c r="DG4" i="4"/>
  <c r="AU4" i="4"/>
  <c r="H868" i="1"/>
  <c r="DI5" i="6"/>
  <c r="AU5" i="6"/>
  <c r="EG4" i="6"/>
  <c r="BU4" i="6"/>
  <c r="I4" i="6"/>
  <c r="CO5" i="5"/>
  <c r="AC5" i="5"/>
  <c r="DO4" i="5"/>
  <c r="BC4" i="5"/>
  <c r="EJ5" i="4"/>
  <c r="BX5" i="4"/>
  <c r="L5" i="4"/>
  <c r="CX4" i="4"/>
  <c r="AL4" i="4"/>
  <c r="K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K860" i="1"/>
  <c r="G855" i="1"/>
  <c r="C850" i="1"/>
  <c r="K844" i="1"/>
  <c r="G839" i="1"/>
  <c r="C834" i="1"/>
  <c r="K828" i="1"/>
  <c r="G823" i="1"/>
  <c r="C818" i="1"/>
  <c r="EO5" i="5"/>
  <c r="CC5" i="5"/>
  <c r="Q5" i="5"/>
  <c r="DC4" i="5"/>
  <c r="AQ4" i="5"/>
  <c r="EF5" i="4"/>
  <c r="BT5" i="4"/>
  <c r="H5" i="4"/>
  <c r="CT4" i="4"/>
  <c r="AH4" i="4"/>
  <c r="G867" i="1"/>
  <c r="D4" i="7"/>
  <c r="CD5" i="6"/>
  <c r="R5" i="6"/>
  <c r="DD4" i="6"/>
  <c r="AR4" i="6"/>
  <c r="EF5" i="5"/>
  <c r="BT5" i="5"/>
  <c r="H5" i="5"/>
  <c r="CT4" i="5"/>
  <c r="AH4" i="5"/>
  <c r="DW5" i="4"/>
  <c r="BK5" i="4"/>
  <c r="EW4" i="4"/>
  <c r="CK4" i="4"/>
  <c r="Y4" i="4"/>
  <c r="DT5" i="6"/>
  <c r="BE5" i="6"/>
  <c r="EQ4" i="6"/>
  <c r="CE4" i="6"/>
  <c r="S4" i="6"/>
  <c r="DG5" i="5"/>
  <c r="AU5" i="5"/>
  <c r="EG4" i="5"/>
  <c r="BU4" i="5"/>
  <c r="I4" i="5"/>
  <c r="CP5" i="4"/>
  <c r="AD5" i="4"/>
  <c r="DP4" i="4"/>
  <c r="BD4" i="4"/>
  <c r="E869" i="1"/>
  <c r="DA5" i="6"/>
  <c r="AN5" i="6"/>
  <c r="DZ4" i="6"/>
  <c r="BN4" i="6"/>
  <c r="B4" i="6"/>
  <c r="CP5" i="5"/>
  <c r="AD5" i="5"/>
  <c r="DP4" i="5"/>
  <c r="BD4" i="5"/>
  <c r="EK5" i="4"/>
  <c r="BY5" i="4"/>
  <c r="M5" i="4"/>
  <c r="CY4" i="4"/>
  <c r="AM4" i="4"/>
  <c r="L867" i="1"/>
  <c r="CY5" i="6"/>
  <c r="AM5" i="6"/>
  <c r="DY4" i="6"/>
  <c r="BM4" i="6"/>
  <c r="ES5" i="5"/>
  <c r="CG5" i="5"/>
  <c r="U5" i="5"/>
  <c r="DG4" i="5"/>
  <c r="AU4" i="5"/>
  <c r="EB5" i="4"/>
  <c r="BP5" i="4"/>
  <c r="D5" i="4"/>
  <c r="CP4" i="4"/>
  <c r="AD4" i="4"/>
  <c r="C867" i="1"/>
  <c r="J861" i="1"/>
  <c r="F856" i="1"/>
  <c r="B851" i="1"/>
  <c r="J84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B868" i="1"/>
  <c r="C860" i="1"/>
  <c r="K854" i="1"/>
  <c r="G849" i="1"/>
  <c r="C844" i="1"/>
  <c r="K838" i="1"/>
  <c r="G833" i="1"/>
  <c r="C828" i="1"/>
  <c r="K822" i="1"/>
  <c r="G817" i="1"/>
  <c r="EG5" i="5"/>
  <c r="BU5" i="5"/>
  <c r="I5" i="5"/>
  <c r="CU4" i="5"/>
  <c r="AI4" i="5"/>
  <c r="DX5" i="4"/>
  <c r="BL5" i="4"/>
  <c r="EX4" i="4"/>
  <c r="CL4" i="4"/>
  <c r="Z4" i="4"/>
  <c r="K866" i="1"/>
  <c r="EQ5" i="6"/>
  <c r="BV5" i="6"/>
  <c r="J5" i="6"/>
  <c r="CV4" i="6"/>
  <c r="AJ4" i="6"/>
  <c r="DX5" i="5"/>
  <c r="BL5" i="5"/>
  <c r="EX4" i="5"/>
  <c r="CL4" i="5"/>
  <c r="Z4" i="5"/>
  <c r="DO5" i="4"/>
  <c r="BC5" i="4"/>
  <c r="EO4" i="4"/>
  <c r="CC4" i="4"/>
  <c r="Q4" i="4"/>
  <c r="DK5" i="6"/>
  <c r="AW5" i="6"/>
  <c r="EI4" i="6"/>
  <c r="BW4" i="6"/>
  <c r="K4" i="6"/>
  <c r="CY5" i="5"/>
  <c r="AM5" i="5"/>
  <c r="DY4" i="5"/>
  <c r="BM4" i="5"/>
  <c r="ET5" i="4"/>
  <c r="CH5" i="4"/>
  <c r="V5" i="4"/>
  <c r="DH4" i="4"/>
  <c r="AV4" i="4"/>
  <c r="BQ4" i="7"/>
  <c r="CR5" i="6"/>
  <c r="AF5" i="6"/>
  <c r="DR4" i="6"/>
  <c r="BF4" i="6"/>
  <c r="ET5" i="5"/>
  <c r="CH5" i="5"/>
  <c r="V5" i="5"/>
  <c r="DH4" i="5"/>
  <c r="AV4" i="5"/>
  <c r="EC5" i="4"/>
  <c r="BQ5" i="4"/>
  <c r="E5" i="4"/>
  <c r="CQ4" i="4"/>
  <c r="AE4" i="4"/>
  <c r="D867" i="1"/>
  <c r="CQ5" i="6"/>
  <c r="AE5" i="6"/>
  <c r="DQ4" i="6"/>
  <c r="BE4" i="6"/>
  <c r="EK5" i="5"/>
  <c r="BY5" i="5"/>
  <c r="M5" i="5"/>
  <c r="CY4" i="5"/>
  <c r="AM4" i="5"/>
  <c r="DT5" i="4"/>
  <c r="BH5" i="4"/>
  <c r="ET4" i="4"/>
  <c r="CH4" i="4"/>
  <c r="V4" i="4"/>
  <c r="G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A861" i="1"/>
  <c r="I855" i="1"/>
  <c r="E850" i="1"/>
  <c r="A845" i="1"/>
  <c r="I839" i="1"/>
  <c r="E834" i="1"/>
  <c r="A829" i="1"/>
  <c r="I823" i="1"/>
  <c r="E818" i="1"/>
  <c r="A813" i="1"/>
  <c r="I807" i="1"/>
  <c r="E802" i="1"/>
  <c r="A797" i="1"/>
  <c r="I791" i="1"/>
  <c r="E786" i="1"/>
  <c r="I868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A866" i="1"/>
  <c r="G859" i="1"/>
  <c r="C854" i="1"/>
  <c r="K848" i="1"/>
  <c r="G843" i="1"/>
  <c r="C838" i="1"/>
  <c r="K832" i="1"/>
  <c r="G827" i="1"/>
  <c r="C822" i="1"/>
  <c r="K816" i="1"/>
  <c r="DY5" i="5"/>
  <c r="BM5" i="5"/>
  <c r="A5" i="5"/>
  <c r="CM4" i="5"/>
  <c r="AA4" i="5"/>
  <c r="DP5" i="4"/>
  <c r="BD5" i="4"/>
  <c r="EP4" i="4"/>
  <c r="CD4" i="4"/>
  <c r="R4" i="4"/>
  <c r="C866" i="1"/>
  <c r="ED5" i="6"/>
  <c r="BN5" i="6"/>
  <c r="B5" i="6"/>
  <c r="CN4" i="6"/>
  <c r="AB4" i="6"/>
  <c r="DP5" i="5"/>
  <c r="BD5" i="5"/>
  <c r="EP4" i="5"/>
  <c r="CD4" i="5"/>
  <c r="R4" i="5"/>
  <c r="DG5" i="4"/>
  <c r="AU5" i="4"/>
  <c r="EG4" i="4"/>
  <c r="BU4" i="4"/>
  <c r="I4" i="4"/>
  <c r="DB5" i="6"/>
  <c r="AO5" i="6"/>
  <c r="EA4" i="6"/>
  <c r="BO4" i="6"/>
  <c r="C4" i="6"/>
  <c r="CQ5" i="5"/>
  <c r="AE5" i="5"/>
  <c r="DQ4" i="5"/>
  <c r="BE4" i="5"/>
  <c r="EL5" i="4"/>
  <c r="BZ5" i="4"/>
  <c r="N5" i="4"/>
  <c r="CZ4" i="4"/>
  <c r="AN4" i="4"/>
  <c r="AA4" i="7"/>
  <c r="CJ5" i="6"/>
  <c r="X5" i="6"/>
  <c r="DJ4" i="6"/>
  <c r="AX4" i="6"/>
  <c r="EL5" i="5"/>
  <c r="BZ5" i="5"/>
  <c r="N5" i="5"/>
  <c r="CZ4" i="5"/>
  <c r="AN4" i="5"/>
  <c r="DU5" i="4"/>
  <c r="BI5" i="4"/>
  <c r="EU4" i="4"/>
  <c r="CI4" i="4"/>
  <c r="W4" i="4"/>
  <c r="BI4" i="7"/>
  <c r="CI5" i="6"/>
  <c r="W5" i="6"/>
  <c r="DI4" i="6"/>
  <c r="AW4" i="6"/>
  <c r="EC5" i="5"/>
  <c r="BQ5" i="5"/>
  <c r="E5" i="5"/>
  <c r="CQ4" i="5"/>
  <c r="AE4" i="5"/>
  <c r="DL5" i="4"/>
  <c r="AZ5" i="4"/>
  <c r="EL4" i="4"/>
  <c r="BZ4" i="4"/>
  <c r="N4" i="4"/>
  <c r="F869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F796" i="1"/>
  <c r="B791" i="1"/>
  <c r="J785" i="1"/>
  <c r="J868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I785" i="1"/>
  <c r="B866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I864" i="1"/>
  <c r="K858" i="1"/>
  <c r="G853" i="1"/>
  <c r="C848" i="1"/>
  <c r="K842" i="1"/>
  <c r="G837" i="1"/>
  <c r="C832" i="1"/>
  <c r="K826" i="1"/>
  <c r="G821" i="1"/>
  <c r="DQ5" i="5"/>
  <c r="BE5" i="5"/>
  <c r="EQ4" i="5"/>
  <c r="CE4" i="5"/>
  <c r="S4" i="5"/>
  <c r="DH5" i="4"/>
  <c r="AV5" i="4"/>
  <c r="EH4" i="4"/>
  <c r="BV4" i="4"/>
  <c r="J4" i="4"/>
  <c r="G865" i="1"/>
  <c r="DU5" i="6"/>
  <c r="BF5" i="6"/>
  <c r="ER4" i="6"/>
  <c r="CF4" i="6"/>
  <c r="T4" i="6"/>
  <c r="DH5" i="5"/>
  <c r="AV5" i="5"/>
  <c r="EH4" i="5"/>
  <c r="BV4" i="5"/>
  <c r="J4" i="5"/>
  <c r="CY5" i="4"/>
  <c r="AM5" i="4"/>
  <c r="DY4" i="4"/>
  <c r="BM4" i="4"/>
  <c r="BY4" i="7"/>
  <c r="CS5" i="6"/>
  <c r="AG5" i="6"/>
  <c r="DS4" i="6"/>
  <c r="BG4" i="6"/>
  <c r="EU5" i="5"/>
  <c r="CI5" i="5"/>
  <c r="W5" i="5"/>
  <c r="DI4" i="5"/>
  <c r="AW4" i="5"/>
  <c r="ED5" i="4"/>
  <c r="BR5" i="4"/>
  <c r="F5" i="4"/>
  <c r="CR4" i="4"/>
  <c r="AF4" i="4"/>
  <c r="B4" i="7"/>
  <c r="CB5" i="6"/>
  <c r="P5" i="6"/>
  <c r="DB4" i="6"/>
  <c r="AP4" i="6"/>
  <c r="ED5" i="5"/>
  <c r="BR5" i="5"/>
  <c r="F5" i="5"/>
  <c r="CR4" i="5"/>
  <c r="AF4" i="5"/>
  <c r="DM5" i="4"/>
  <c r="BA5" i="4"/>
  <c r="EM4" i="4"/>
  <c r="CA4" i="4"/>
  <c r="O4" i="4"/>
  <c r="U4" i="7"/>
  <c r="CA5" i="6"/>
  <c r="O5" i="6"/>
  <c r="DA4" i="6"/>
  <c r="AO4" i="6"/>
  <c r="DU5" i="5"/>
  <c r="BI5" i="5"/>
  <c r="EU4" i="5"/>
  <c r="CI4" i="5"/>
  <c r="W4" i="5"/>
  <c r="DD5" i="4"/>
  <c r="AR5" i="4"/>
  <c r="ED4" i="4"/>
  <c r="BR4" i="4"/>
  <c r="F4" i="4"/>
  <c r="I866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J795" i="1"/>
  <c r="F790" i="1"/>
  <c r="B785" i="1"/>
  <c r="H866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A785" i="1"/>
  <c r="J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G863" i="1"/>
  <c r="C858" i="1"/>
  <c r="K852" i="1"/>
  <c r="G847" i="1"/>
  <c r="C842" i="1"/>
  <c r="K836" i="1"/>
  <c r="G831" i="1"/>
  <c r="C826" i="1"/>
  <c r="K820" i="1"/>
  <c r="DI5" i="5"/>
  <c r="AW5" i="5"/>
  <c r="EI4" i="5"/>
  <c r="BW4" i="5"/>
  <c r="K4" i="5"/>
  <c r="CZ5" i="4"/>
  <c r="AN5" i="4"/>
  <c r="DZ4" i="4"/>
  <c r="BN4" i="4"/>
  <c r="B4" i="4"/>
  <c r="K864" i="1"/>
  <c r="DL5" i="6"/>
  <c r="AX5" i="6"/>
  <c r="EJ4" i="6"/>
  <c r="BX4" i="6"/>
  <c r="L4" i="6"/>
  <c r="CZ5" i="5"/>
  <c r="AN5" i="5"/>
  <c r="DZ4" i="5"/>
  <c r="BN4" i="5"/>
  <c r="B4" i="5"/>
  <c r="CQ5" i="4"/>
  <c r="AE5" i="4"/>
  <c r="DQ4" i="4"/>
  <c r="BE4" i="4"/>
  <c r="AC4" i="7"/>
  <c r="CK5" i="6"/>
  <c r="Y5" i="6"/>
  <c r="DK4" i="6"/>
  <c r="AY4" i="6"/>
  <c r="EM5" i="5"/>
  <c r="CA5" i="5"/>
  <c r="O5" i="5"/>
  <c r="DA4" i="5"/>
  <c r="AO4" i="5"/>
  <c r="DV5" i="4"/>
  <c r="BJ5" i="4"/>
  <c r="EV4" i="4"/>
  <c r="CJ4" i="4"/>
  <c r="X4" i="4"/>
  <c r="EL5" i="6"/>
  <c r="BT5" i="6"/>
  <c r="H5" i="6"/>
  <c r="CT4" i="6"/>
  <c r="AH4" i="6"/>
  <c r="DV5" i="5"/>
  <c r="BJ5" i="5"/>
  <c r="EV4" i="5"/>
  <c r="CJ4" i="5"/>
  <c r="X4" i="5"/>
  <c r="DE5" i="4"/>
  <c r="AS5" i="4"/>
  <c r="EE4" i="4"/>
  <c r="BS4" i="4"/>
  <c r="G4" i="4"/>
  <c r="EK5" i="6"/>
  <c r="BS5" i="6"/>
  <c r="G5" i="6"/>
  <c r="CS4" i="6"/>
  <c r="AG4" i="6"/>
  <c r="DM5" i="5"/>
  <c r="BA5" i="5"/>
  <c r="EM4" i="5"/>
  <c r="CA4" i="5"/>
  <c r="O4" i="5"/>
  <c r="CV5" i="4"/>
  <c r="AJ5" i="4"/>
  <c r="DV4" i="4"/>
  <c r="BJ4" i="4"/>
  <c r="K869" i="1"/>
  <c r="D865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B795" i="1"/>
  <c r="J789" i="1"/>
  <c r="F784" i="1"/>
  <c r="C865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E784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K862" i="1"/>
  <c r="G857" i="1"/>
  <c r="C852" i="1"/>
  <c r="K846" i="1"/>
  <c r="G841" i="1"/>
  <c r="C836" i="1"/>
  <c r="K830" i="1"/>
  <c r="G825" i="1"/>
  <c r="C820" i="1"/>
  <c r="DA5" i="5"/>
  <c r="AO5" i="5"/>
  <c r="EA4" i="5"/>
  <c r="BO4" i="5"/>
  <c r="C4" i="5"/>
  <c r="CR5" i="4"/>
  <c r="AF5" i="4"/>
  <c r="DR4" i="4"/>
  <c r="BF4" i="4"/>
  <c r="G869" i="1"/>
  <c r="C864" i="1"/>
  <c r="DC5" i="6"/>
  <c r="AP5" i="6"/>
  <c r="EB4" i="6"/>
  <c r="BP4" i="6"/>
  <c r="D4" i="6"/>
  <c r="CR5" i="5"/>
  <c r="AF5" i="5"/>
  <c r="DR4" i="5"/>
  <c r="BF4" i="5"/>
  <c r="EU5" i="4"/>
  <c r="CI5" i="4"/>
  <c r="W5" i="4"/>
  <c r="DI4" i="4"/>
  <c r="AW4" i="4"/>
  <c r="C4" i="7"/>
  <c r="CC5" i="6"/>
  <c r="Q5" i="6"/>
  <c r="DC4" i="6"/>
  <c r="AQ4" i="6"/>
  <c r="EE5" i="5"/>
  <c r="BS5" i="5"/>
  <c r="G5" i="5"/>
  <c r="CS4" i="5"/>
  <c r="AG4" i="5"/>
  <c r="DN5" i="4"/>
  <c r="BB5" i="4"/>
  <c r="EN4" i="4"/>
  <c r="CB4" i="4"/>
  <c r="P4" i="4"/>
  <c r="EB5" i="6"/>
  <c r="BL5" i="6"/>
  <c r="EX4" i="6"/>
  <c r="CL4" i="6"/>
  <c r="Z4" i="6"/>
  <c r="DN5" i="5"/>
  <c r="BB5" i="5"/>
  <c r="EN4" i="5"/>
  <c r="CB4" i="5"/>
  <c r="P4" i="5"/>
  <c r="CW5" i="4"/>
  <c r="AK5" i="4"/>
  <c r="DW4" i="4"/>
  <c r="BK4" i="4"/>
  <c r="L869" i="1"/>
  <c r="EA5" i="6"/>
  <c r="BK5" i="6"/>
  <c r="EW4" i="6"/>
  <c r="CK4" i="6"/>
  <c r="Y4" i="6"/>
  <c r="DE5" i="5"/>
  <c r="AS5" i="5"/>
  <c r="EE4" i="5"/>
  <c r="BS4" i="5"/>
  <c r="G4" i="5"/>
  <c r="CN5" i="4"/>
  <c r="AB5" i="4"/>
  <c r="DN4" i="4"/>
  <c r="BB4" i="4"/>
  <c r="C869" i="1"/>
  <c r="L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F794" i="1"/>
  <c r="B789" i="1"/>
  <c r="J783" i="1"/>
  <c r="K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I783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C862" i="1"/>
  <c r="K856" i="1"/>
  <c r="G851" i="1"/>
  <c r="C846" i="1"/>
  <c r="K840" i="1"/>
  <c r="G835" i="1"/>
  <c r="C830" i="1"/>
  <c r="K824" i="1"/>
  <c r="G819" i="1"/>
  <c r="C816" i="1"/>
  <c r="K810" i="1"/>
  <c r="G805" i="1"/>
  <c r="C800" i="1"/>
  <c r="K794" i="1"/>
  <c r="G789" i="1"/>
  <c r="C784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I862" i="1"/>
  <c r="E857" i="1"/>
  <c r="A852" i="1"/>
  <c r="I846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E776" i="1"/>
  <c r="A771" i="1"/>
  <c r="I765" i="1"/>
  <c r="E760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D776" i="1"/>
  <c r="L770" i="1"/>
  <c r="H765" i="1"/>
  <c r="D760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C776" i="1"/>
  <c r="K770" i="1"/>
  <c r="G765" i="1"/>
  <c r="C760" i="1"/>
  <c r="K754" i="1"/>
  <c r="G749" i="1"/>
  <c r="C744" i="1"/>
  <c r="K738" i="1"/>
  <c r="G733" i="1"/>
  <c r="C728" i="1"/>
  <c r="K722" i="1"/>
  <c r="G717" i="1"/>
  <c r="C712" i="1"/>
  <c r="K706" i="1"/>
  <c r="G701" i="1"/>
  <c r="J780" i="1"/>
  <c r="F775" i="1"/>
  <c r="B770" i="1"/>
  <c r="J764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I780" i="1"/>
  <c r="E775" i="1"/>
  <c r="A770" i="1"/>
  <c r="I764" i="1"/>
  <c r="E759" i="1"/>
  <c r="A754" i="1"/>
  <c r="I748" i="1"/>
  <c r="E743" i="1"/>
  <c r="A738" i="1"/>
  <c r="I732" i="1"/>
  <c r="E727" i="1"/>
  <c r="A722" i="1"/>
  <c r="I716" i="1"/>
  <c r="E711" i="1"/>
  <c r="A706" i="1"/>
  <c r="I700" i="1"/>
  <c r="D777" i="1"/>
  <c r="L771" i="1"/>
  <c r="H766" i="1"/>
  <c r="D761" i="1"/>
  <c r="L755" i="1"/>
  <c r="H750" i="1"/>
  <c r="D745" i="1"/>
  <c r="L739" i="1"/>
  <c r="H734" i="1"/>
  <c r="D729" i="1"/>
  <c r="L723" i="1"/>
  <c r="H718" i="1"/>
  <c r="D713" i="1"/>
  <c r="L707" i="1"/>
  <c r="H702" i="1"/>
  <c r="G778" i="1"/>
  <c r="C773" i="1"/>
  <c r="K767" i="1"/>
  <c r="G762" i="1"/>
  <c r="C757" i="1"/>
  <c r="K751" i="1"/>
  <c r="G746" i="1"/>
  <c r="C741" i="1"/>
  <c r="K735" i="1"/>
  <c r="G730" i="1"/>
  <c r="C725" i="1"/>
  <c r="K719" i="1"/>
  <c r="G714" i="1"/>
  <c r="C709" i="1"/>
  <c r="K703" i="1"/>
  <c r="J779" i="1"/>
  <c r="F774" i="1"/>
  <c r="B769" i="1"/>
  <c r="J763" i="1"/>
  <c r="F758" i="1"/>
  <c r="B753" i="1"/>
  <c r="J747" i="1"/>
  <c r="F742" i="1"/>
  <c r="B737" i="1"/>
  <c r="J731" i="1"/>
  <c r="F726" i="1"/>
  <c r="B721" i="1"/>
  <c r="J715" i="1"/>
  <c r="F710" i="1"/>
  <c r="B705" i="1"/>
  <c r="J699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L695" i="1"/>
  <c r="H690" i="1"/>
  <c r="D685" i="1"/>
  <c r="L679" i="1"/>
  <c r="H674" i="1"/>
  <c r="D669" i="1"/>
  <c r="L663" i="1"/>
  <c r="H658" i="1"/>
  <c r="D653" i="1"/>
  <c r="L647" i="1"/>
  <c r="H642" i="1"/>
  <c r="D637" i="1"/>
  <c r="L631" i="1"/>
  <c r="H626" i="1"/>
  <c r="D621" i="1"/>
  <c r="L615" i="1"/>
  <c r="H610" i="1"/>
  <c r="C693" i="1"/>
  <c r="K687" i="1"/>
  <c r="G682" i="1"/>
  <c r="C677" i="1"/>
  <c r="K671" i="1"/>
  <c r="G666" i="1"/>
  <c r="C661" i="1"/>
  <c r="K655" i="1"/>
  <c r="G650" i="1"/>
  <c r="G815" i="1"/>
  <c r="C810" i="1"/>
  <c r="K804" i="1"/>
  <c r="G799" i="1"/>
  <c r="C794" i="1"/>
  <c r="K788" i="1"/>
  <c r="G783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A862" i="1"/>
  <c r="I856" i="1"/>
  <c r="E851" i="1"/>
  <c r="A846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A781" i="1"/>
  <c r="I775" i="1"/>
  <c r="E770" i="1"/>
  <c r="A765" i="1"/>
  <c r="I759" i="1"/>
  <c r="E754" i="1"/>
  <c r="A749" i="1"/>
  <c r="I743" i="1"/>
  <c r="E738" i="1"/>
  <c r="A733" i="1"/>
  <c r="I727" i="1"/>
  <c r="E722" i="1"/>
  <c r="A717" i="1"/>
  <c r="I711" i="1"/>
  <c r="E706" i="1"/>
  <c r="A701" i="1"/>
  <c r="L780" i="1"/>
  <c r="H775" i="1"/>
  <c r="D770" i="1"/>
  <c r="L764" i="1"/>
  <c r="H759" i="1"/>
  <c r="D754" i="1"/>
  <c r="L748" i="1"/>
  <c r="H743" i="1"/>
  <c r="D738" i="1"/>
  <c r="L732" i="1"/>
  <c r="H727" i="1"/>
  <c r="D722" i="1"/>
  <c r="L716" i="1"/>
  <c r="H711" i="1"/>
  <c r="D706" i="1"/>
  <c r="L700" i="1"/>
  <c r="K780" i="1"/>
  <c r="G775" i="1"/>
  <c r="C770" i="1"/>
  <c r="K764" i="1"/>
  <c r="G759" i="1"/>
  <c r="C754" i="1"/>
  <c r="K748" i="1"/>
  <c r="G743" i="1"/>
  <c r="C738" i="1"/>
  <c r="K732" i="1"/>
  <c r="G727" i="1"/>
  <c r="C722" i="1"/>
  <c r="K716" i="1"/>
  <c r="G711" i="1"/>
  <c r="C706" i="1"/>
  <c r="K700" i="1"/>
  <c r="B780" i="1"/>
  <c r="J774" i="1"/>
  <c r="F769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A780" i="1"/>
  <c r="I774" i="1"/>
  <c r="E769" i="1"/>
  <c r="A764" i="1"/>
  <c r="I758" i="1"/>
  <c r="E753" i="1"/>
  <c r="A748" i="1"/>
  <c r="I742" i="1"/>
  <c r="E737" i="1"/>
  <c r="A732" i="1"/>
  <c r="I726" i="1"/>
  <c r="E721" i="1"/>
  <c r="A716" i="1"/>
  <c r="I710" i="1"/>
  <c r="E705" i="1"/>
  <c r="A700" i="1"/>
  <c r="H776" i="1"/>
  <c r="D771" i="1"/>
  <c r="L765" i="1"/>
  <c r="H760" i="1"/>
  <c r="D755" i="1"/>
  <c r="L749" i="1"/>
  <c r="H744" i="1"/>
  <c r="D739" i="1"/>
  <c r="L733" i="1"/>
  <c r="H728" i="1"/>
  <c r="D723" i="1"/>
  <c r="L717" i="1"/>
  <c r="H712" i="1"/>
  <c r="D707" i="1"/>
  <c r="L701" i="1"/>
  <c r="K777" i="1"/>
  <c r="G772" i="1"/>
  <c r="C767" i="1"/>
  <c r="K761" i="1"/>
  <c r="G756" i="1"/>
  <c r="C751" i="1"/>
  <c r="K745" i="1"/>
  <c r="G740" i="1"/>
  <c r="C735" i="1"/>
  <c r="K729" i="1"/>
  <c r="G724" i="1"/>
  <c r="C719" i="1"/>
  <c r="K713" i="1"/>
  <c r="G708" i="1"/>
  <c r="C703" i="1"/>
  <c r="B779" i="1"/>
  <c r="J773" i="1"/>
  <c r="F768" i="1"/>
  <c r="B763" i="1"/>
  <c r="J757" i="1"/>
  <c r="F752" i="1"/>
  <c r="B747" i="1"/>
  <c r="J741" i="1"/>
  <c r="F736" i="1"/>
  <c r="B731" i="1"/>
  <c r="J725" i="1"/>
  <c r="F720" i="1"/>
  <c r="B715" i="1"/>
  <c r="J709" i="1"/>
  <c r="F704" i="1"/>
  <c r="B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C699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D695" i="1"/>
  <c r="L689" i="1"/>
  <c r="H684" i="1"/>
  <c r="D679" i="1"/>
  <c r="L673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G692" i="1"/>
  <c r="C687" i="1"/>
  <c r="K681" i="1"/>
  <c r="G676" i="1"/>
  <c r="C671" i="1"/>
  <c r="K665" i="1"/>
  <c r="G660" i="1"/>
  <c r="C655" i="1"/>
  <c r="K649" i="1"/>
  <c r="K814" i="1"/>
  <c r="G809" i="1"/>
  <c r="C804" i="1"/>
  <c r="K798" i="1"/>
  <c r="G793" i="1"/>
  <c r="C788" i="1"/>
  <c r="K782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E861" i="1"/>
  <c r="A856" i="1"/>
  <c r="I850" i="1"/>
  <c r="E845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J866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E780" i="1"/>
  <c r="A775" i="1"/>
  <c r="I769" i="1"/>
  <c r="E764" i="1"/>
  <c r="A759" i="1"/>
  <c r="I753" i="1"/>
  <c r="E748" i="1"/>
  <c r="A743" i="1"/>
  <c r="I737" i="1"/>
  <c r="E732" i="1"/>
  <c r="A727" i="1"/>
  <c r="I721" i="1"/>
  <c r="E716" i="1"/>
  <c r="A711" i="1"/>
  <c r="I705" i="1"/>
  <c r="E700" i="1"/>
  <c r="D780" i="1"/>
  <c r="L774" i="1"/>
  <c r="H769" i="1"/>
  <c r="D764" i="1"/>
  <c r="L758" i="1"/>
  <c r="H753" i="1"/>
  <c r="D748" i="1"/>
  <c r="L742" i="1"/>
  <c r="H737" i="1"/>
  <c r="D732" i="1"/>
  <c r="L726" i="1"/>
  <c r="H721" i="1"/>
  <c r="D716" i="1"/>
  <c r="L710" i="1"/>
  <c r="H705" i="1"/>
  <c r="D700" i="1"/>
  <c r="C780" i="1"/>
  <c r="K774" i="1"/>
  <c r="G769" i="1"/>
  <c r="C764" i="1"/>
  <c r="K758" i="1"/>
  <c r="G753" i="1"/>
  <c r="C748" i="1"/>
  <c r="K742" i="1"/>
  <c r="G737" i="1"/>
  <c r="C732" i="1"/>
  <c r="K726" i="1"/>
  <c r="G721" i="1"/>
  <c r="C716" i="1"/>
  <c r="K710" i="1"/>
  <c r="G705" i="1"/>
  <c r="C700" i="1"/>
  <c r="F779" i="1"/>
  <c r="B774" i="1"/>
  <c r="J768" i="1"/>
  <c r="F763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E779" i="1"/>
  <c r="A774" i="1"/>
  <c r="I768" i="1"/>
  <c r="E763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L775" i="1"/>
  <c r="H770" i="1"/>
  <c r="D765" i="1"/>
  <c r="L759" i="1"/>
  <c r="H754" i="1"/>
  <c r="D749" i="1"/>
  <c r="L743" i="1"/>
  <c r="H738" i="1"/>
  <c r="D733" i="1"/>
  <c r="L727" i="1"/>
  <c r="H722" i="1"/>
  <c r="D717" i="1"/>
  <c r="L711" i="1"/>
  <c r="H706" i="1"/>
  <c r="D701" i="1"/>
  <c r="C777" i="1"/>
  <c r="K771" i="1"/>
  <c r="G766" i="1"/>
  <c r="C761" i="1"/>
  <c r="K755" i="1"/>
  <c r="G750" i="1"/>
  <c r="C745" i="1"/>
  <c r="K739" i="1"/>
  <c r="G734" i="1"/>
  <c r="C729" i="1"/>
  <c r="K723" i="1"/>
  <c r="G718" i="1"/>
  <c r="C713" i="1"/>
  <c r="K707" i="1"/>
  <c r="G702" i="1"/>
  <c r="F778" i="1"/>
  <c r="B773" i="1"/>
  <c r="J767" i="1"/>
  <c r="F762" i="1"/>
  <c r="B757" i="1"/>
  <c r="J751" i="1"/>
  <c r="F746" i="1"/>
  <c r="B741" i="1"/>
  <c r="J735" i="1"/>
  <c r="F730" i="1"/>
  <c r="B725" i="1"/>
  <c r="J719" i="1"/>
  <c r="F714" i="1"/>
  <c r="B709" i="1"/>
  <c r="J703" i="1"/>
  <c r="F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D697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H694" i="1"/>
  <c r="D689" i="1"/>
  <c r="L683" i="1"/>
  <c r="H678" i="1"/>
  <c r="D673" i="1"/>
  <c r="L667" i="1"/>
  <c r="H662" i="1"/>
  <c r="D657" i="1"/>
  <c r="L651" i="1"/>
  <c r="H646" i="1"/>
  <c r="D641" i="1"/>
  <c r="L635" i="1"/>
  <c r="H630" i="1"/>
  <c r="D625" i="1"/>
  <c r="L619" i="1"/>
  <c r="H614" i="1"/>
  <c r="H698" i="1"/>
  <c r="K691" i="1"/>
  <c r="G686" i="1"/>
  <c r="C681" i="1"/>
  <c r="K675" i="1"/>
  <c r="G670" i="1"/>
  <c r="C665" i="1"/>
  <c r="K659" i="1"/>
  <c r="G654" i="1"/>
  <c r="C649" i="1"/>
  <c r="C814" i="1"/>
  <c r="K808" i="1"/>
  <c r="G803" i="1"/>
  <c r="C798" i="1"/>
  <c r="K792" i="1"/>
  <c r="G787" i="1"/>
  <c r="C782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I860" i="1"/>
  <c r="E855" i="1"/>
  <c r="A850" i="1"/>
  <c r="I844" i="1"/>
  <c r="E839" i="1"/>
  <c r="A834" i="1"/>
  <c r="I828" i="1"/>
  <c r="E823" i="1"/>
  <c r="A818" i="1"/>
  <c r="I812" i="1"/>
  <c r="E807" i="1"/>
  <c r="A802" i="1"/>
  <c r="I796" i="1"/>
  <c r="E791" i="1"/>
  <c r="A786" i="1"/>
  <c r="E867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E865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I779" i="1"/>
  <c r="E774" i="1"/>
  <c r="A769" i="1"/>
  <c r="I763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H779" i="1"/>
  <c r="D774" i="1"/>
  <c r="L768" i="1"/>
  <c r="H763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G779" i="1"/>
  <c r="C774" i="1"/>
  <c r="K768" i="1"/>
  <c r="G763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J778" i="1"/>
  <c r="F773" i="1"/>
  <c r="B768" i="1"/>
  <c r="J762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I778" i="1"/>
  <c r="E773" i="1"/>
  <c r="A768" i="1"/>
  <c r="I762" i="1"/>
  <c r="E757" i="1"/>
  <c r="A752" i="1"/>
  <c r="I746" i="1"/>
  <c r="E741" i="1"/>
  <c r="A736" i="1"/>
  <c r="I730" i="1"/>
  <c r="E725" i="1"/>
  <c r="A720" i="1"/>
  <c r="I714" i="1"/>
  <c r="E709" i="1"/>
  <c r="A704" i="1"/>
  <c r="H780" i="1"/>
  <c r="D775" i="1"/>
  <c r="L769" i="1"/>
  <c r="H764" i="1"/>
  <c r="D759" i="1"/>
  <c r="L753" i="1"/>
  <c r="H748" i="1"/>
  <c r="D743" i="1"/>
  <c r="L737" i="1"/>
  <c r="H732" i="1"/>
  <c r="D727" i="1"/>
  <c r="L721" i="1"/>
  <c r="H716" i="1"/>
  <c r="D711" i="1"/>
  <c r="L705" i="1"/>
  <c r="H700" i="1"/>
  <c r="G776" i="1"/>
  <c r="C771" i="1"/>
  <c r="K765" i="1"/>
  <c r="G760" i="1"/>
  <c r="C755" i="1"/>
  <c r="K749" i="1"/>
  <c r="G744" i="1"/>
  <c r="C739" i="1"/>
  <c r="K733" i="1"/>
  <c r="G728" i="1"/>
  <c r="C723" i="1"/>
  <c r="K717" i="1"/>
  <c r="G712" i="1"/>
  <c r="C707" i="1"/>
  <c r="K701" i="1"/>
  <c r="J777" i="1"/>
  <c r="F772" i="1"/>
  <c r="B767" i="1"/>
  <c r="J761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A696" i="1"/>
  <c r="I690" i="1"/>
  <c r="E685" i="1"/>
  <c r="A680" i="1"/>
  <c r="I67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L693" i="1"/>
  <c r="H688" i="1"/>
  <c r="D683" i="1"/>
  <c r="L677" i="1"/>
  <c r="H672" i="1"/>
  <c r="D667" i="1"/>
  <c r="L661" i="1"/>
  <c r="H656" i="1"/>
  <c r="D651" i="1"/>
  <c r="L645" i="1"/>
  <c r="H640" i="1"/>
  <c r="D635" i="1"/>
  <c r="L629" i="1"/>
  <c r="H624" i="1"/>
  <c r="D619" i="1"/>
  <c r="L613" i="1"/>
  <c r="B697" i="1"/>
  <c r="C691" i="1"/>
  <c r="K685" i="1"/>
  <c r="G680" i="1"/>
  <c r="C675" i="1"/>
  <c r="K669" i="1"/>
  <c r="G664" i="1"/>
  <c r="C659" i="1"/>
  <c r="K653" i="1"/>
  <c r="G648" i="1"/>
  <c r="G813" i="1"/>
  <c r="C808" i="1"/>
  <c r="K802" i="1"/>
  <c r="G797" i="1"/>
  <c r="C792" i="1"/>
  <c r="K786" i="1"/>
  <c r="G781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F867" i="1"/>
  <c r="A860" i="1"/>
  <c r="I854" i="1"/>
  <c r="E849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F865" i="1"/>
  <c r="D859" i="1"/>
  <c r="L853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A864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A779" i="1"/>
  <c r="I773" i="1"/>
  <c r="E768" i="1"/>
  <c r="A763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L778" i="1"/>
  <c r="H773" i="1"/>
  <c r="D768" i="1"/>
  <c r="L762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K778" i="1"/>
  <c r="G773" i="1"/>
  <c r="C768" i="1"/>
  <c r="K762" i="1"/>
  <c r="G757" i="1"/>
  <c r="C752" i="1"/>
  <c r="K746" i="1"/>
  <c r="G741" i="1"/>
  <c r="C736" i="1"/>
  <c r="K730" i="1"/>
  <c r="G725" i="1"/>
  <c r="C720" i="1"/>
  <c r="K714" i="1"/>
  <c r="G709" i="1"/>
  <c r="C704" i="1"/>
  <c r="K698" i="1"/>
  <c r="B778" i="1"/>
  <c r="J772" i="1"/>
  <c r="F767" i="1"/>
  <c r="B762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A778" i="1"/>
  <c r="I772" i="1"/>
  <c r="E767" i="1"/>
  <c r="A762" i="1"/>
  <c r="I756" i="1"/>
  <c r="E751" i="1"/>
  <c r="A746" i="1"/>
  <c r="I740" i="1"/>
  <c r="E735" i="1"/>
  <c r="A730" i="1"/>
  <c r="I724" i="1"/>
  <c r="E719" i="1"/>
  <c r="A714" i="1"/>
  <c r="I708" i="1"/>
  <c r="E703" i="1"/>
  <c r="L779" i="1"/>
  <c r="H774" i="1"/>
  <c r="D769" i="1"/>
  <c r="L763" i="1"/>
  <c r="H758" i="1"/>
  <c r="D753" i="1"/>
  <c r="L747" i="1"/>
  <c r="H742" i="1"/>
  <c r="D737" i="1"/>
  <c r="L731" i="1"/>
  <c r="H726" i="1"/>
  <c r="D721" i="1"/>
  <c r="L715" i="1"/>
  <c r="H710" i="1"/>
  <c r="D705" i="1"/>
  <c r="L699" i="1"/>
  <c r="K775" i="1"/>
  <c r="G770" i="1"/>
  <c r="C765" i="1"/>
  <c r="K759" i="1"/>
  <c r="G754" i="1"/>
  <c r="C749" i="1"/>
  <c r="K743" i="1"/>
  <c r="G738" i="1"/>
  <c r="C733" i="1"/>
  <c r="K727" i="1"/>
  <c r="G722" i="1"/>
  <c r="C717" i="1"/>
  <c r="K711" i="1"/>
  <c r="G706" i="1"/>
  <c r="C701" i="1"/>
  <c r="B777" i="1"/>
  <c r="J771" i="1"/>
  <c r="F766" i="1"/>
  <c r="B761" i="1"/>
  <c r="J755" i="1"/>
  <c r="F750" i="1"/>
  <c r="B745" i="1"/>
  <c r="J739" i="1"/>
  <c r="F734" i="1"/>
  <c r="B729" i="1"/>
  <c r="J723" i="1"/>
  <c r="F718" i="1"/>
  <c r="B713" i="1"/>
  <c r="J707" i="1"/>
  <c r="F702" i="1"/>
  <c r="D699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D693" i="1"/>
  <c r="L687" i="1"/>
  <c r="H682" i="1"/>
  <c r="D677" i="1"/>
  <c r="L671" i="1"/>
  <c r="H666" i="1"/>
  <c r="D661" i="1"/>
  <c r="L655" i="1"/>
  <c r="H650" i="1"/>
  <c r="D645" i="1"/>
  <c r="L639" i="1"/>
  <c r="H634" i="1"/>
  <c r="D629" i="1"/>
  <c r="L623" i="1"/>
  <c r="H618" i="1"/>
  <c r="D613" i="1"/>
  <c r="K695" i="1"/>
  <c r="G690" i="1"/>
  <c r="C685" i="1"/>
  <c r="K679" i="1"/>
  <c r="G674" i="1"/>
  <c r="C669" i="1"/>
  <c r="K663" i="1"/>
  <c r="G658" i="1"/>
  <c r="C653" i="1"/>
  <c r="K647" i="1"/>
  <c r="K812" i="1"/>
  <c r="G807" i="1"/>
  <c r="C802" i="1"/>
  <c r="K796" i="1"/>
  <c r="G791" i="1"/>
  <c r="C786" i="1"/>
  <c r="A868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K865" i="1"/>
  <c r="E859" i="1"/>
  <c r="A854" i="1"/>
  <c r="I848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B864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E778" i="1"/>
  <c r="A773" i="1"/>
  <c r="I767" i="1"/>
  <c r="E762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D778" i="1"/>
  <c r="L772" i="1"/>
  <c r="H767" i="1"/>
  <c r="D762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C778" i="1"/>
  <c r="K772" i="1"/>
  <c r="G767" i="1"/>
  <c r="C762" i="1"/>
  <c r="K756" i="1"/>
  <c r="G751" i="1"/>
  <c r="C746" i="1"/>
  <c r="K740" i="1"/>
  <c r="G735" i="1"/>
  <c r="C730" i="1"/>
  <c r="K724" i="1"/>
  <c r="G719" i="1"/>
  <c r="C714" i="1"/>
  <c r="K708" i="1"/>
  <c r="G703" i="1"/>
  <c r="C698" i="1"/>
  <c r="F777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E777" i="1"/>
  <c r="A772" i="1"/>
  <c r="I766" i="1"/>
  <c r="E761" i="1"/>
  <c r="A756" i="1"/>
  <c r="I750" i="1"/>
  <c r="E745" i="1"/>
  <c r="A740" i="1"/>
  <c r="I734" i="1"/>
  <c r="E729" i="1"/>
  <c r="A724" i="1"/>
  <c r="I718" i="1"/>
  <c r="E713" i="1"/>
  <c r="A708" i="1"/>
  <c r="I702" i="1"/>
  <c r="D779" i="1"/>
  <c r="L773" i="1"/>
  <c r="H768" i="1"/>
  <c r="D763" i="1"/>
  <c r="L757" i="1"/>
  <c r="H752" i="1"/>
  <c r="D747" i="1"/>
  <c r="L741" i="1"/>
  <c r="H736" i="1"/>
  <c r="D731" i="1"/>
  <c r="L725" i="1"/>
  <c r="H720" i="1"/>
  <c r="D715" i="1"/>
  <c r="L709" i="1"/>
  <c r="H704" i="1"/>
  <c r="G780" i="1"/>
  <c r="C775" i="1"/>
  <c r="K769" i="1"/>
  <c r="G764" i="1"/>
  <c r="C759" i="1"/>
  <c r="K753" i="1"/>
  <c r="G748" i="1"/>
  <c r="C743" i="1"/>
  <c r="K737" i="1"/>
  <c r="G732" i="1"/>
  <c r="C727" i="1"/>
  <c r="K721" i="1"/>
  <c r="G716" i="1"/>
  <c r="C711" i="1"/>
  <c r="K705" i="1"/>
  <c r="G700" i="1"/>
  <c r="F776" i="1"/>
  <c r="B771" i="1"/>
  <c r="J765" i="1"/>
  <c r="F760" i="1"/>
  <c r="B755" i="1"/>
  <c r="J749" i="1"/>
  <c r="F744" i="1"/>
  <c r="B739" i="1"/>
  <c r="J733" i="1"/>
  <c r="F728" i="1"/>
  <c r="B723" i="1"/>
  <c r="J717" i="1"/>
  <c r="F712" i="1"/>
  <c r="B707" i="1"/>
  <c r="J701" i="1"/>
  <c r="E697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I694" i="1"/>
  <c r="E689" i="1"/>
  <c r="A684" i="1"/>
  <c r="I678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H692" i="1"/>
  <c r="D687" i="1"/>
  <c r="L681" i="1"/>
  <c r="H676" i="1"/>
  <c r="D671" i="1"/>
  <c r="L665" i="1"/>
  <c r="H660" i="1"/>
  <c r="D655" i="1"/>
  <c r="L649" i="1"/>
  <c r="H644" i="1"/>
  <c r="D639" i="1"/>
  <c r="L633" i="1"/>
  <c r="H628" i="1"/>
  <c r="D623" i="1"/>
  <c r="L617" i="1"/>
  <c r="H612" i="1"/>
  <c r="C695" i="1"/>
  <c r="K689" i="1"/>
  <c r="G684" i="1"/>
  <c r="C679" i="1"/>
  <c r="K673" i="1"/>
  <c r="G668" i="1"/>
  <c r="C663" i="1"/>
  <c r="K657" i="1"/>
  <c r="G652" i="1"/>
  <c r="C647" i="1"/>
  <c r="C812" i="1"/>
  <c r="K806" i="1"/>
  <c r="G801" i="1"/>
  <c r="C796" i="1"/>
  <c r="K790" i="1"/>
  <c r="G785" i="1"/>
  <c r="L865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G864" i="1"/>
  <c r="I858" i="1"/>
  <c r="E853" i="1"/>
  <c r="A848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I777" i="1"/>
  <c r="E772" i="1"/>
  <c r="A767" i="1"/>
  <c r="I761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H777" i="1"/>
  <c r="D772" i="1"/>
  <c r="L766" i="1"/>
  <c r="H761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G777" i="1"/>
  <c r="C772" i="1"/>
  <c r="K766" i="1"/>
  <c r="G761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J776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I776" i="1"/>
  <c r="E771" i="1"/>
  <c r="A766" i="1"/>
  <c r="I760" i="1"/>
  <c r="E755" i="1"/>
  <c r="A750" i="1"/>
  <c r="I744" i="1"/>
  <c r="E739" i="1"/>
  <c r="A734" i="1"/>
  <c r="I728" i="1"/>
  <c r="E723" i="1"/>
  <c r="A718" i="1"/>
  <c r="I712" i="1"/>
  <c r="E707" i="1"/>
  <c r="A702" i="1"/>
  <c r="H778" i="1"/>
  <c r="D773" i="1"/>
  <c r="L767" i="1"/>
  <c r="H762" i="1"/>
  <c r="D757" i="1"/>
  <c r="L751" i="1"/>
  <c r="H746" i="1"/>
  <c r="D741" i="1"/>
  <c r="L735" i="1"/>
  <c r="H730" i="1"/>
  <c r="D725" i="1"/>
  <c r="L719" i="1"/>
  <c r="H714" i="1"/>
  <c r="D709" i="1"/>
  <c r="L703" i="1"/>
  <c r="K779" i="1"/>
  <c r="G774" i="1"/>
  <c r="C769" i="1"/>
  <c r="K763" i="1"/>
  <c r="G758" i="1"/>
  <c r="C753" i="1"/>
  <c r="K747" i="1"/>
  <c r="G742" i="1"/>
  <c r="C737" i="1"/>
  <c r="K731" i="1"/>
  <c r="G726" i="1"/>
  <c r="C721" i="1"/>
  <c r="K715" i="1"/>
  <c r="G710" i="1"/>
  <c r="C705" i="1"/>
  <c r="K699" i="1"/>
  <c r="J775" i="1"/>
  <c r="F770" i="1"/>
  <c r="B765" i="1"/>
  <c r="J759" i="1"/>
  <c r="F754" i="1"/>
  <c r="B749" i="1"/>
  <c r="J743" i="1"/>
  <c r="F738" i="1"/>
  <c r="B733" i="1"/>
  <c r="J727" i="1"/>
  <c r="F722" i="1"/>
  <c r="B717" i="1"/>
  <c r="J711" i="1"/>
  <c r="F706" i="1"/>
  <c r="B701" i="1"/>
  <c r="C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98" i="1"/>
  <c r="L691" i="1"/>
  <c r="H686" i="1"/>
  <c r="D681" i="1"/>
  <c r="L675" i="1"/>
  <c r="H670" i="1"/>
  <c r="D665" i="1"/>
  <c r="L659" i="1"/>
  <c r="H654" i="1"/>
  <c r="D649" i="1"/>
  <c r="L643" i="1"/>
  <c r="H638" i="1"/>
  <c r="D633" i="1"/>
  <c r="L627" i="1"/>
  <c r="H622" i="1"/>
  <c r="D617" i="1"/>
  <c r="L611" i="1"/>
  <c r="G694" i="1"/>
  <c r="C689" i="1"/>
  <c r="K683" i="1"/>
  <c r="G678" i="1"/>
  <c r="C673" i="1"/>
  <c r="K667" i="1"/>
  <c r="G662" i="1"/>
  <c r="C657" i="1"/>
  <c r="K651" i="1"/>
  <c r="G646" i="1"/>
  <c r="G811" i="1"/>
  <c r="C806" i="1"/>
  <c r="K800" i="1"/>
  <c r="G795" i="1"/>
  <c r="C790" i="1"/>
  <c r="K784" i="1"/>
  <c r="H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E863" i="1"/>
  <c r="A858" i="1"/>
  <c r="I852" i="1"/>
  <c r="E847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A777" i="1"/>
  <c r="I771" i="1"/>
  <c r="E766" i="1"/>
  <c r="A761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L776" i="1"/>
  <c r="H771" i="1"/>
  <c r="D766" i="1"/>
  <c r="L760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K776" i="1"/>
  <c r="G771" i="1"/>
  <c r="C766" i="1"/>
  <c r="K760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B776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A776" i="1"/>
  <c r="I770" i="1"/>
  <c r="E765" i="1"/>
  <c r="A760" i="1"/>
  <c r="I754" i="1"/>
  <c r="E749" i="1"/>
  <c r="A744" i="1"/>
  <c r="I738" i="1"/>
  <c r="E733" i="1"/>
  <c r="A728" i="1"/>
  <c r="I722" i="1"/>
  <c r="E717" i="1"/>
  <c r="A712" i="1"/>
  <c r="I706" i="1"/>
  <c r="E701" i="1"/>
  <c r="L777" i="1"/>
  <c r="H772" i="1"/>
  <c r="D767" i="1"/>
  <c r="L761" i="1"/>
  <c r="H756" i="1"/>
  <c r="D751" i="1"/>
  <c r="L745" i="1"/>
  <c r="H740" i="1"/>
  <c r="D735" i="1"/>
  <c r="L729" i="1"/>
  <c r="H724" i="1"/>
  <c r="D719" i="1"/>
  <c r="L713" i="1"/>
  <c r="H708" i="1"/>
  <c r="D703" i="1"/>
  <c r="C779" i="1"/>
  <c r="K773" i="1"/>
  <c r="G768" i="1"/>
  <c r="C763" i="1"/>
  <c r="K757" i="1"/>
  <c r="G752" i="1"/>
  <c r="C747" i="1"/>
  <c r="K741" i="1"/>
  <c r="G736" i="1"/>
  <c r="C731" i="1"/>
  <c r="K725" i="1"/>
  <c r="G720" i="1"/>
  <c r="C715" i="1"/>
  <c r="K709" i="1"/>
  <c r="G704" i="1"/>
  <c r="F780" i="1"/>
  <c r="B775" i="1"/>
  <c r="J769" i="1"/>
  <c r="F764" i="1"/>
  <c r="B759" i="1"/>
  <c r="J753" i="1"/>
  <c r="F748" i="1"/>
  <c r="B743" i="1"/>
  <c r="J737" i="1"/>
  <c r="F732" i="1"/>
  <c r="B727" i="1"/>
  <c r="J721" i="1"/>
  <c r="F716" i="1"/>
  <c r="B711" i="1"/>
  <c r="J705" i="1"/>
  <c r="F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C697" i="1"/>
  <c r="D691" i="1"/>
  <c r="L685" i="1"/>
  <c r="H680" i="1"/>
  <c r="D675" i="1"/>
  <c r="L669" i="1"/>
  <c r="H664" i="1"/>
  <c r="D659" i="1"/>
  <c r="L653" i="1"/>
  <c r="H648" i="1"/>
  <c r="D643" i="1"/>
  <c r="L637" i="1"/>
  <c r="C683" i="1"/>
  <c r="C645" i="1"/>
  <c r="K639" i="1"/>
  <c r="G634" i="1"/>
  <c r="C629" i="1"/>
  <c r="K623" i="1"/>
  <c r="G618" i="1"/>
  <c r="G698" i="1"/>
  <c r="J691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B617" i="1"/>
  <c r="I695" i="1"/>
  <c r="E690" i="1"/>
  <c r="A685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I615" i="1"/>
  <c r="L694" i="1"/>
  <c r="H689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H607" i="1"/>
  <c r="D602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G607" i="1"/>
  <c r="C602" i="1"/>
  <c r="K596" i="1"/>
  <c r="G591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F607" i="1"/>
  <c r="B602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E607" i="1"/>
  <c r="A602" i="1"/>
  <c r="I596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D607" i="1"/>
  <c r="L601" i="1"/>
  <c r="H596" i="1"/>
  <c r="D591" i="1"/>
  <c r="L585" i="1"/>
  <c r="H580" i="1"/>
  <c r="D575" i="1"/>
  <c r="L569" i="1"/>
  <c r="H564" i="1"/>
  <c r="D559" i="1"/>
  <c r="L553" i="1"/>
  <c r="H548" i="1"/>
  <c r="D543" i="1"/>
  <c r="L537" i="1"/>
  <c r="H532" i="1"/>
  <c r="D527" i="1"/>
  <c r="G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D612" i="1"/>
  <c r="J605" i="1"/>
  <c r="F600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A611" i="1"/>
  <c r="A605" i="1"/>
  <c r="I599" i="1"/>
  <c r="E594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A525" i="1"/>
  <c r="I519" i="1"/>
  <c r="E514" i="1"/>
  <c r="A509" i="1"/>
  <c r="I503" i="1"/>
  <c r="E498" i="1"/>
  <c r="A493" i="1"/>
  <c r="I487" i="1"/>
  <c r="E482" i="1"/>
  <c r="H632" i="1"/>
  <c r="K677" i="1"/>
  <c r="G644" i="1"/>
  <c r="C639" i="1"/>
  <c r="K633" i="1"/>
  <c r="G628" i="1"/>
  <c r="C623" i="1"/>
  <c r="K617" i="1"/>
  <c r="I696" i="1"/>
  <c r="B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F616" i="1"/>
  <c r="A695" i="1"/>
  <c r="I689" i="1"/>
  <c r="E684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A615" i="1"/>
  <c r="D694" i="1"/>
  <c r="L688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L606" i="1"/>
  <c r="H60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K606" i="1"/>
  <c r="G601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J606" i="1"/>
  <c r="F601" i="1"/>
  <c r="B596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I606" i="1"/>
  <c r="E601" i="1"/>
  <c r="A596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H606" i="1"/>
  <c r="D601" i="1"/>
  <c r="L595" i="1"/>
  <c r="H590" i="1"/>
  <c r="D585" i="1"/>
  <c r="L579" i="1"/>
  <c r="H574" i="1"/>
  <c r="D569" i="1"/>
  <c r="L563" i="1"/>
  <c r="H558" i="1"/>
  <c r="D553" i="1"/>
  <c r="L547" i="1"/>
  <c r="H542" i="1"/>
  <c r="D537" i="1"/>
  <c r="L531" i="1"/>
  <c r="E612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B611" i="1"/>
  <c r="B605" i="1"/>
  <c r="J599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K609" i="1"/>
  <c r="E604" i="1"/>
  <c r="A599" i="1"/>
  <c r="I593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E524" i="1"/>
  <c r="A519" i="1"/>
  <c r="I513" i="1"/>
  <c r="E508" i="1"/>
  <c r="A503" i="1"/>
  <c r="I497" i="1"/>
  <c r="E492" i="1"/>
  <c r="A487" i="1"/>
  <c r="I481" i="1"/>
  <c r="D627" i="1"/>
  <c r="G672" i="1"/>
  <c r="K643" i="1"/>
  <c r="G638" i="1"/>
  <c r="C633" i="1"/>
  <c r="K627" i="1"/>
  <c r="G622" i="1"/>
  <c r="C617" i="1"/>
  <c r="J695" i="1"/>
  <c r="F690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J615" i="1"/>
  <c r="E694" i="1"/>
  <c r="A689" i="1"/>
  <c r="I683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E614" i="1"/>
  <c r="H693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3" i="1"/>
  <c r="D606" i="1"/>
  <c r="L600" i="1"/>
  <c r="H595" i="1"/>
  <c r="D590" i="1"/>
  <c r="L584" i="1"/>
  <c r="H579" i="1"/>
  <c r="D574" i="1"/>
  <c r="L568" i="1"/>
  <c r="H563" i="1"/>
  <c r="D558" i="1"/>
  <c r="L552" i="1"/>
  <c r="H547" i="1"/>
  <c r="D542" i="1"/>
  <c r="L536" i="1"/>
  <c r="H531" i="1"/>
  <c r="B613" i="1"/>
  <c r="C606" i="1"/>
  <c r="K600" i="1"/>
  <c r="G595" i="1"/>
  <c r="C590" i="1"/>
  <c r="K584" i="1"/>
  <c r="G579" i="1"/>
  <c r="C574" i="1"/>
  <c r="K568" i="1"/>
  <c r="G563" i="1"/>
  <c r="C558" i="1"/>
  <c r="K552" i="1"/>
  <c r="G547" i="1"/>
  <c r="C542" i="1"/>
  <c r="K536" i="1"/>
  <c r="G531" i="1"/>
  <c r="L612" i="1"/>
  <c r="B606" i="1"/>
  <c r="J600" i="1"/>
  <c r="F595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G612" i="1"/>
  <c r="A606" i="1"/>
  <c r="I600" i="1"/>
  <c r="E595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F612" i="1"/>
  <c r="L605" i="1"/>
  <c r="H600" i="1"/>
  <c r="D595" i="1"/>
  <c r="L589" i="1"/>
  <c r="H584" i="1"/>
  <c r="D579" i="1"/>
  <c r="L573" i="1"/>
  <c r="H568" i="1"/>
  <c r="D563" i="1"/>
  <c r="L557" i="1"/>
  <c r="H552" i="1"/>
  <c r="D547" i="1"/>
  <c r="L541" i="1"/>
  <c r="H536" i="1"/>
  <c r="D531" i="1"/>
  <c r="C611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610" i="1"/>
  <c r="F604" i="1"/>
  <c r="B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A609" i="1"/>
  <c r="I603" i="1"/>
  <c r="E598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I523" i="1"/>
  <c r="E518" i="1"/>
  <c r="A513" i="1"/>
  <c r="I507" i="1"/>
  <c r="E502" i="1"/>
  <c r="A497" i="1"/>
  <c r="I491" i="1"/>
  <c r="E486" i="1"/>
  <c r="L621" i="1"/>
  <c r="C667" i="1"/>
  <c r="C643" i="1"/>
  <c r="K637" i="1"/>
  <c r="G632" i="1"/>
  <c r="C627" i="1"/>
  <c r="K621" i="1"/>
  <c r="G616" i="1"/>
  <c r="B695" i="1"/>
  <c r="J689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I693" i="1"/>
  <c r="E688" i="1"/>
  <c r="A683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I613" i="1"/>
  <c r="L692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K697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K611" i="1"/>
  <c r="H605" i="1"/>
  <c r="D600" i="1"/>
  <c r="L594" i="1"/>
  <c r="H589" i="1"/>
  <c r="D584" i="1"/>
  <c r="L578" i="1"/>
  <c r="H573" i="1"/>
  <c r="D568" i="1"/>
  <c r="L562" i="1"/>
  <c r="H557" i="1"/>
  <c r="D552" i="1"/>
  <c r="L546" i="1"/>
  <c r="H541" i="1"/>
  <c r="D536" i="1"/>
  <c r="L530" i="1"/>
  <c r="J611" i="1"/>
  <c r="G605" i="1"/>
  <c r="C600" i="1"/>
  <c r="K594" i="1"/>
  <c r="G589" i="1"/>
  <c r="C584" i="1"/>
  <c r="K578" i="1"/>
  <c r="G573" i="1"/>
  <c r="C568" i="1"/>
  <c r="K562" i="1"/>
  <c r="G557" i="1"/>
  <c r="C552" i="1"/>
  <c r="K546" i="1"/>
  <c r="G541" i="1"/>
  <c r="C536" i="1"/>
  <c r="K530" i="1"/>
  <c r="I611" i="1"/>
  <c r="F605" i="1"/>
  <c r="B600" i="1"/>
  <c r="J594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H611" i="1"/>
  <c r="E605" i="1"/>
  <c r="A600" i="1"/>
  <c r="I594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G611" i="1"/>
  <c r="D605" i="1"/>
  <c r="L599" i="1"/>
  <c r="H594" i="1"/>
  <c r="D589" i="1"/>
  <c r="L583" i="1"/>
  <c r="H578" i="1"/>
  <c r="D573" i="1"/>
  <c r="L567" i="1"/>
  <c r="H562" i="1"/>
  <c r="D557" i="1"/>
  <c r="L551" i="1"/>
  <c r="H546" i="1"/>
  <c r="D541" i="1"/>
  <c r="L535" i="1"/>
  <c r="H530" i="1"/>
  <c r="D610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B609" i="1"/>
  <c r="J603" i="1"/>
  <c r="F598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E608" i="1"/>
  <c r="A603" i="1"/>
  <c r="I597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A523" i="1"/>
  <c r="I517" i="1"/>
  <c r="E512" i="1"/>
  <c r="A507" i="1"/>
  <c r="I501" i="1"/>
  <c r="E496" i="1"/>
  <c r="A491" i="1"/>
  <c r="I485" i="1"/>
  <c r="H616" i="1"/>
  <c r="K661" i="1"/>
  <c r="G642" i="1"/>
  <c r="C637" i="1"/>
  <c r="K631" i="1"/>
  <c r="G626" i="1"/>
  <c r="C621" i="1"/>
  <c r="K615" i="1"/>
  <c r="F694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J619" i="1"/>
  <c r="F614" i="1"/>
  <c r="A693" i="1"/>
  <c r="I687" i="1"/>
  <c r="E682" i="1"/>
  <c r="A67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D692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F696" i="1"/>
  <c r="K690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L610" i="1"/>
  <c r="L604" i="1"/>
  <c r="H599" i="1"/>
  <c r="D594" i="1"/>
  <c r="L588" i="1"/>
  <c r="H583" i="1"/>
  <c r="D578" i="1"/>
  <c r="L572" i="1"/>
  <c r="H567" i="1"/>
  <c r="D562" i="1"/>
  <c r="L556" i="1"/>
  <c r="H551" i="1"/>
  <c r="D546" i="1"/>
  <c r="L540" i="1"/>
  <c r="H535" i="1"/>
  <c r="D530" i="1"/>
  <c r="K610" i="1"/>
  <c r="K604" i="1"/>
  <c r="G599" i="1"/>
  <c r="C594" i="1"/>
  <c r="K588" i="1"/>
  <c r="G583" i="1"/>
  <c r="C578" i="1"/>
  <c r="K572" i="1"/>
  <c r="G567" i="1"/>
  <c r="C562" i="1"/>
  <c r="K556" i="1"/>
  <c r="G551" i="1"/>
  <c r="C546" i="1"/>
  <c r="K540" i="1"/>
  <c r="G535" i="1"/>
  <c r="C530" i="1"/>
  <c r="G610" i="1"/>
  <c r="J604" i="1"/>
  <c r="F599" i="1"/>
  <c r="B594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F610" i="1"/>
  <c r="I604" i="1"/>
  <c r="E599" i="1"/>
  <c r="A594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E610" i="1"/>
  <c r="H604" i="1"/>
  <c r="D599" i="1"/>
  <c r="L593" i="1"/>
  <c r="H588" i="1"/>
  <c r="D583" i="1"/>
  <c r="L577" i="1"/>
  <c r="H572" i="1"/>
  <c r="D567" i="1"/>
  <c r="L561" i="1"/>
  <c r="H556" i="1"/>
  <c r="D551" i="1"/>
  <c r="L545" i="1"/>
  <c r="H540" i="1"/>
  <c r="D535" i="1"/>
  <c r="L529" i="1"/>
  <c r="C609" i="1"/>
  <c r="K603" i="1"/>
  <c r="G598" i="1"/>
  <c r="C593" i="1"/>
  <c r="K587" i="1"/>
  <c r="G582" i="1"/>
  <c r="C577" i="1"/>
  <c r="K571" i="1"/>
  <c r="G566" i="1"/>
  <c r="C561" i="1"/>
  <c r="K555" i="1"/>
  <c r="G550" i="1"/>
  <c r="C545" i="1"/>
  <c r="K539" i="1"/>
  <c r="G534" i="1"/>
  <c r="C529" i="1"/>
  <c r="F608" i="1"/>
  <c r="B603" i="1"/>
  <c r="J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I607" i="1"/>
  <c r="E602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E522" i="1"/>
  <c r="A517" i="1"/>
  <c r="I511" i="1"/>
  <c r="E506" i="1"/>
  <c r="A501" i="1"/>
  <c r="I495" i="1"/>
  <c r="E490" i="1"/>
  <c r="A485" i="1"/>
  <c r="D611" i="1"/>
  <c r="G656" i="1"/>
  <c r="K641" i="1"/>
  <c r="G636" i="1"/>
  <c r="C631" i="1"/>
  <c r="K625" i="1"/>
  <c r="G620" i="1"/>
  <c r="C615" i="1"/>
  <c r="J693" i="1"/>
  <c r="F688" i="1"/>
  <c r="B683" i="1"/>
  <c r="J677" i="1"/>
  <c r="F672" i="1"/>
  <c r="B667" i="1"/>
  <c r="J661" i="1"/>
  <c r="F656" i="1"/>
  <c r="B651" i="1"/>
  <c r="J645" i="1"/>
  <c r="F640" i="1"/>
  <c r="B635" i="1"/>
  <c r="J629" i="1"/>
  <c r="F624" i="1"/>
  <c r="B619" i="1"/>
  <c r="J613" i="1"/>
  <c r="E692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A623" i="1"/>
  <c r="I617" i="1"/>
  <c r="L697" i="1"/>
  <c r="H691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D622" i="1"/>
  <c r="L616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J609" i="1"/>
  <c r="D604" i="1"/>
  <c r="L598" i="1"/>
  <c r="H593" i="1"/>
  <c r="D588" i="1"/>
  <c r="L582" i="1"/>
  <c r="H577" i="1"/>
  <c r="D572" i="1"/>
  <c r="L566" i="1"/>
  <c r="H561" i="1"/>
  <c r="D556" i="1"/>
  <c r="L550" i="1"/>
  <c r="H545" i="1"/>
  <c r="D540" i="1"/>
  <c r="L534" i="1"/>
  <c r="H529" i="1"/>
  <c r="I609" i="1"/>
  <c r="C604" i="1"/>
  <c r="K598" i="1"/>
  <c r="G593" i="1"/>
  <c r="C588" i="1"/>
  <c r="K582" i="1"/>
  <c r="G577" i="1"/>
  <c r="C572" i="1"/>
  <c r="K566" i="1"/>
  <c r="G561" i="1"/>
  <c r="C556" i="1"/>
  <c r="K550" i="1"/>
  <c r="G545" i="1"/>
  <c r="C540" i="1"/>
  <c r="K534" i="1"/>
  <c r="G529" i="1"/>
  <c r="H609" i="1"/>
  <c r="B604" i="1"/>
  <c r="J598" i="1"/>
  <c r="F593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G609" i="1"/>
  <c r="A604" i="1"/>
  <c r="I598" i="1"/>
  <c r="E593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D609" i="1"/>
  <c r="L603" i="1"/>
  <c r="H598" i="1"/>
  <c r="D593" i="1"/>
  <c r="L587" i="1"/>
  <c r="H582" i="1"/>
  <c r="D577" i="1"/>
  <c r="L571" i="1"/>
  <c r="H566" i="1"/>
  <c r="D561" i="1"/>
  <c r="L555" i="1"/>
  <c r="H550" i="1"/>
  <c r="D545" i="1"/>
  <c r="L539" i="1"/>
  <c r="H534" i="1"/>
  <c r="D529" i="1"/>
  <c r="G608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J607" i="1"/>
  <c r="F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A607" i="1"/>
  <c r="I60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I521" i="1"/>
  <c r="E516" i="1"/>
  <c r="A511" i="1"/>
  <c r="I505" i="1"/>
  <c r="E500" i="1"/>
  <c r="A495" i="1"/>
  <c r="I489" i="1"/>
  <c r="E484" i="1"/>
  <c r="K693" i="1"/>
  <c r="C651" i="1"/>
  <c r="C641" i="1"/>
  <c r="K635" i="1"/>
  <c r="G630" i="1"/>
  <c r="C625" i="1"/>
  <c r="K619" i="1"/>
  <c r="G614" i="1"/>
  <c r="B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F618" i="1"/>
  <c r="A698" i="1"/>
  <c r="I691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A617" i="1"/>
  <c r="G696" i="1"/>
  <c r="L690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L608" i="1"/>
  <c r="H603" i="1"/>
  <c r="D598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L528" i="1"/>
  <c r="K608" i="1"/>
  <c r="G603" i="1"/>
  <c r="C598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K528" i="1"/>
  <c r="J608" i="1"/>
  <c r="F603" i="1"/>
  <c r="B598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I608" i="1"/>
  <c r="E603" i="1"/>
  <c r="A598" i="1"/>
  <c r="I592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H608" i="1"/>
  <c r="D603" i="1"/>
  <c r="L597" i="1"/>
  <c r="H592" i="1"/>
  <c r="D587" i="1"/>
  <c r="L581" i="1"/>
  <c r="H576" i="1"/>
  <c r="D571" i="1"/>
  <c r="L565" i="1"/>
  <c r="H560" i="1"/>
  <c r="D555" i="1"/>
  <c r="L549" i="1"/>
  <c r="H544" i="1"/>
  <c r="D539" i="1"/>
  <c r="L533" i="1"/>
  <c r="H528" i="1"/>
  <c r="K607" i="1"/>
  <c r="G602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B607" i="1"/>
  <c r="J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E606" i="1"/>
  <c r="A601" i="1"/>
  <c r="I595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E526" i="1"/>
  <c r="A521" i="1"/>
  <c r="I515" i="1"/>
  <c r="E510" i="1"/>
  <c r="A505" i="1"/>
  <c r="I499" i="1"/>
  <c r="E494" i="1"/>
  <c r="A489" i="1"/>
  <c r="I483" i="1"/>
  <c r="G688" i="1"/>
  <c r="K645" i="1"/>
  <c r="G640" i="1"/>
  <c r="C635" i="1"/>
  <c r="K629" i="1"/>
  <c r="G624" i="1"/>
  <c r="C619" i="1"/>
  <c r="K613" i="1"/>
  <c r="F692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J617" i="1"/>
  <c r="H696" i="1"/>
  <c r="A691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E616" i="1"/>
  <c r="H695" i="1"/>
  <c r="D690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D608" i="1"/>
  <c r="L602" i="1"/>
  <c r="H597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D528" i="1"/>
  <c r="C608" i="1"/>
  <c r="K602" i="1"/>
  <c r="G597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C528" i="1"/>
  <c r="B608" i="1"/>
  <c r="J602" i="1"/>
  <c r="F597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A608" i="1"/>
  <c r="I602" i="1"/>
  <c r="E597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L607" i="1"/>
  <c r="H60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L527" i="1"/>
  <c r="C607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F606" i="1"/>
  <c r="B601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C612" i="1"/>
  <c r="I605" i="1"/>
  <c r="E600" i="1"/>
  <c r="A595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I525" i="1"/>
  <c r="E520" i="1"/>
  <c r="A515" i="1"/>
  <c r="I509" i="1"/>
  <c r="E504" i="1"/>
  <c r="A499" i="1"/>
  <c r="I493" i="1"/>
  <c r="E488" i="1"/>
  <c r="A483" i="1"/>
  <c r="A481" i="1"/>
  <c r="I475" i="1"/>
  <c r="E470" i="1"/>
  <c r="A465" i="1"/>
  <c r="I459" i="1"/>
  <c r="E454" i="1"/>
  <c r="A449" i="1"/>
  <c r="I443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F525" i="1"/>
  <c r="B520" i="1"/>
  <c r="J514" i="1"/>
  <c r="F509" i="1"/>
  <c r="B504" i="1"/>
  <c r="J498" i="1"/>
  <c r="F493" i="1"/>
  <c r="B488" i="1"/>
  <c r="J482" i="1"/>
  <c r="F477" i="1"/>
  <c r="B472" i="1"/>
  <c r="J466" i="1"/>
  <c r="F461" i="1"/>
  <c r="B456" i="1"/>
  <c r="J450" i="1"/>
  <c r="F445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F440" i="1"/>
  <c r="B435" i="1"/>
  <c r="J42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D438" i="1"/>
  <c r="L432" i="1"/>
  <c r="H42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K436" i="1"/>
  <c r="G431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J440" i="1"/>
  <c r="F435" i="1"/>
  <c r="B430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A440" i="1"/>
  <c r="I434" i="1"/>
  <c r="E429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E333" i="1"/>
  <c r="A328" i="1"/>
  <c r="I322" i="1"/>
  <c r="E317" i="1"/>
  <c r="A312" i="1"/>
  <c r="I306" i="1"/>
  <c r="E480" i="1"/>
  <c r="A475" i="1"/>
  <c r="I469" i="1"/>
  <c r="E464" i="1"/>
  <c r="A459" i="1"/>
  <c r="I453" i="1"/>
  <c r="E448" i="1"/>
  <c r="A443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J524" i="1"/>
  <c r="F519" i="1"/>
  <c r="B514" i="1"/>
  <c r="J508" i="1"/>
  <c r="F503" i="1"/>
  <c r="B498" i="1"/>
  <c r="J492" i="1"/>
  <c r="F487" i="1"/>
  <c r="B482" i="1"/>
  <c r="J476" i="1"/>
  <c r="F471" i="1"/>
  <c r="B466" i="1"/>
  <c r="J460" i="1"/>
  <c r="F455" i="1"/>
  <c r="B450" i="1"/>
  <c r="J444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J439" i="1"/>
  <c r="F434" i="1"/>
  <c r="B429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A439" i="1"/>
  <c r="I433" i="1"/>
  <c r="E428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H437" i="1"/>
  <c r="D432" i="1"/>
  <c r="L426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C442" i="1"/>
  <c r="C436" i="1"/>
  <c r="K43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B440" i="1"/>
  <c r="J434" i="1"/>
  <c r="F429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E439" i="1"/>
  <c r="A434" i="1"/>
  <c r="I42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A322" i="1"/>
  <c r="I316" i="1"/>
  <c r="E311" i="1"/>
  <c r="I479" i="1"/>
  <c r="E474" i="1"/>
  <c r="A469" i="1"/>
  <c r="I463" i="1"/>
  <c r="E458" i="1"/>
  <c r="A453" i="1"/>
  <c r="I447" i="1"/>
  <c r="E442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B524" i="1"/>
  <c r="J518" i="1"/>
  <c r="F513" i="1"/>
  <c r="B508" i="1"/>
  <c r="J502" i="1"/>
  <c r="F497" i="1"/>
  <c r="B492" i="1"/>
  <c r="J486" i="1"/>
  <c r="F481" i="1"/>
  <c r="B476" i="1"/>
  <c r="J470" i="1"/>
  <c r="F465" i="1"/>
  <c r="B460" i="1"/>
  <c r="J454" i="1"/>
  <c r="F449" i="1"/>
  <c r="B444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B439" i="1"/>
  <c r="J433" i="1"/>
  <c r="F428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L436" i="1"/>
  <c r="H43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K440" i="1"/>
  <c r="G435" i="1"/>
  <c r="C430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F439" i="1"/>
  <c r="B434" i="1"/>
  <c r="J42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I438" i="1"/>
  <c r="E433" i="1"/>
  <c r="A428" i="1"/>
  <c r="I422" i="1"/>
  <c r="E417" i="1"/>
  <c r="A412" i="1"/>
  <c r="I406" i="1"/>
  <c r="E401" i="1"/>
  <c r="A396" i="1"/>
  <c r="I390" i="1"/>
  <c r="E385" i="1"/>
  <c r="A380" i="1"/>
  <c r="I374" i="1"/>
  <c r="E369" i="1"/>
  <c r="A364" i="1"/>
  <c r="I358" i="1"/>
  <c r="E353" i="1"/>
  <c r="A348" i="1"/>
  <c r="I342" i="1"/>
  <c r="E337" i="1"/>
  <c r="A332" i="1"/>
  <c r="I326" i="1"/>
  <c r="E321" i="1"/>
  <c r="A316" i="1"/>
  <c r="I310" i="1"/>
  <c r="A479" i="1"/>
  <c r="I473" i="1"/>
  <c r="E468" i="1"/>
  <c r="A463" i="1"/>
  <c r="I457" i="1"/>
  <c r="E452" i="1"/>
  <c r="A447" i="1"/>
  <c r="I441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F523" i="1"/>
  <c r="B518" i="1"/>
  <c r="J512" i="1"/>
  <c r="F507" i="1"/>
  <c r="B502" i="1"/>
  <c r="J496" i="1"/>
  <c r="F491" i="1"/>
  <c r="B486" i="1"/>
  <c r="J480" i="1"/>
  <c r="F475" i="1"/>
  <c r="B470" i="1"/>
  <c r="J464" i="1"/>
  <c r="F459" i="1"/>
  <c r="B454" i="1"/>
  <c r="J448" i="1"/>
  <c r="F443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F438" i="1"/>
  <c r="B433" i="1"/>
  <c r="J42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D442" i="1"/>
  <c r="D436" i="1"/>
  <c r="L43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C440" i="1"/>
  <c r="K434" i="1"/>
  <c r="G429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J438" i="1"/>
  <c r="F433" i="1"/>
  <c r="B428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A438" i="1"/>
  <c r="I432" i="1"/>
  <c r="E427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E331" i="1"/>
  <c r="A326" i="1"/>
  <c r="I320" i="1"/>
  <c r="E315" i="1"/>
  <c r="A310" i="1"/>
  <c r="E478" i="1"/>
  <c r="A473" i="1"/>
  <c r="I467" i="1"/>
  <c r="E462" i="1"/>
  <c r="A457" i="1"/>
  <c r="I451" i="1"/>
  <c r="E446" i="1"/>
  <c r="A441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J522" i="1"/>
  <c r="F517" i="1"/>
  <c r="B512" i="1"/>
  <c r="J506" i="1"/>
  <c r="F501" i="1"/>
  <c r="B496" i="1"/>
  <c r="J490" i="1"/>
  <c r="F485" i="1"/>
  <c r="B480" i="1"/>
  <c r="J474" i="1"/>
  <c r="F469" i="1"/>
  <c r="B464" i="1"/>
  <c r="J458" i="1"/>
  <c r="F453" i="1"/>
  <c r="B448" i="1"/>
  <c r="J442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J437" i="1"/>
  <c r="F432" i="1"/>
  <c r="B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L440" i="1"/>
  <c r="H435" i="1"/>
  <c r="D430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G439" i="1"/>
  <c r="C434" i="1"/>
  <c r="K42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B438" i="1"/>
  <c r="J432" i="1"/>
  <c r="F427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E437" i="1"/>
  <c r="A432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I330" i="1"/>
  <c r="E325" i="1"/>
  <c r="A320" i="1"/>
  <c r="I314" i="1"/>
  <c r="E309" i="1"/>
  <c r="I477" i="1"/>
  <c r="E472" i="1"/>
  <c r="A467" i="1"/>
  <c r="I461" i="1"/>
  <c r="E456" i="1"/>
  <c r="A451" i="1"/>
  <c r="I445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B522" i="1"/>
  <c r="J516" i="1"/>
  <c r="F511" i="1"/>
  <c r="B506" i="1"/>
  <c r="J500" i="1"/>
  <c r="F495" i="1"/>
  <c r="B490" i="1"/>
  <c r="J484" i="1"/>
  <c r="F479" i="1"/>
  <c r="B474" i="1"/>
  <c r="J468" i="1"/>
  <c r="F463" i="1"/>
  <c r="B458" i="1"/>
  <c r="J452" i="1"/>
  <c r="F447" i="1"/>
  <c r="B442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B437" i="1"/>
  <c r="J43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K442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D440" i="1"/>
  <c r="L434" i="1"/>
  <c r="H42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K438" i="1"/>
  <c r="G433" i="1"/>
  <c r="C428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F437" i="1"/>
  <c r="B432" i="1"/>
  <c r="J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I436" i="1"/>
  <c r="E431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I324" i="1"/>
  <c r="E319" i="1"/>
  <c r="A314" i="1"/>
  <c r="I308" i="1"/>
  <c r="A477" i="1"/>
  <c r="I471" i="1"/>
  <c r="E466" i="1"/>
  <c r="A461" i="1"/>
  <c r="I455" i="1"/>
  <c r="E450" i="1"/>
  <c r="A445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F521" i="1"/>
  <c r="B516" i="1"/>
  <c r="J510" i="1"/>
  <c r="F505" i="1"/>
  <c r="B500" i="1"/>
  <c r="J494" i="1"/>
  <c r="F489" i="1"/>
  <c r="B484" i="1"/>
  <c r="J478" i="1"/>
  <c r="F473" i="1"/>
  <c r="B468" i="1"/>
  <c r="J462" i="1"/>
  <c r="F457" i="1"/>
  <c r="B452" i="1"/>
  <c r="J446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L442" i="1"/>
  <c r="F436" i="1"/>
  <c r="B431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H439" i="1"/>
  <c r="D434" i="1"/>
  <c r="L428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C438" i="1"/>
  <c r="K432" i="1"/>
  <c r="G427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J436" i="1"/>
  <c r="F431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G441" i="1"/>
  <c r="A436" i="1"/>
  <c r="I43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A324" i="1"/>
  <c r="I318" i="1"/>
  <c r="E313" i="1"/>
  <c r="A308" i="1"/>
  <c r="E476" i="1"/>
  <c r="A471" i="1"/>
  <c r="I465" i="1"/>
  <c r="E460" i="1"/>
  <c r="A455" i="1"/>
  <c r="I449" i="1"/>
  <c r="E444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B526" i="1"/>
  <c r="J520" i="1"/>
  <c r="F515" i="1"/>
  <c r="B510" i="1"/>
  <c r="J504" i="1"/>
  <c r="F499" i="1"/>
  <c r="B494" i="1"/>
  <c r="J488" i="1"/>
  <c r="F483" i="1"/>
  <c r="B478" i="1"/>
  <c r="J472" i="1"/>
  <c r="F467" i="1"/>
  <c r="B462" i="1"/>
  <c r="J456" i="1"/>
  <c r="F451" i="1"/>
  <c r="B446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C441" i="1"/>
  <c r="J435" i="1"/>
  <c r="F430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L438" i="1"/>
  <c r="H433" i="1"/>
  <c r="D428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G437" i="1"/>
  <c r="C432" i="1"/>
  <c r="K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H441" i="1"/>
  <c r="B436" i="1"/>
  <c r="J43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I440" i="1"/>
  <c r="E435" i="1"/>
  <c r="A430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A334" i="1"/>
  <c r="I328" i="1"/>
  <c r="E323" i="1"/>
  <c r="A318" i="1"/>
  <c r="I312" i="1"/>
  <c r="E307" i="1"/>
  <c r="A306" i="1"/>
  <c r="I300" i="1"/>
  <c r="E295" i="1"/>
  <c r="A290" i="1"/>
  <c r="I284" i="1"/>
  <c r="E279" i="1"/>
  <c r="A274" i="1"/>
  <c r="L437" i="1"/>
  <c r="H432" i="1"/>
  <c r="D42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C437" i="1"/>
  <c r="K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E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E305" i="1"/>
  <c r="A300" i="1"/>
  <c r="I294" i="1"/>
  <c r="E289" i="1"/>
  <c r="A284" i="1"/>
  <c r="I278" i="1"/>
  <c r="E273" i="1"/>
  <c r="D437" i="1"/>
  <c r="L431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G436" i="1"/>
  <c r="C431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I304" i="1"/>
  <c r="E299" i="1"/>
  <c r="A294" i="1"/>
  <c r="I288" i="1"/>
  <c r="E283" i="1"/>
  <c r="A278" i="1"/>
  <c r="I272" i="1"/>
  <c r="H436" i="1"/>
  <c r="D43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441" i="1"/>
  <c r="K435" i="1"/>
  <c r="G430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A304" i="1"/>
  <c r="I298" i="1"/>
  <c r="E293" i="1"/>
  <c r="A288" i="1"/>
  <c r="I282" i="1"/>
  <c r="E277" i="1"/>
  <c r="F441" i="1"/>
  <c r="L435" i="1"/>
  <c r="H43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G440" i="1"/>
  <c r="C435" i="1"/>
  <c r="K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E303" i="1"/>
  <c r="A298" i="1"/>
  <c r="I292" i="1"/>
  <c r="E287" i="1"/>
  <c r="A282" i="1"/>
  <c r="I276" i="1"/>
  <c r="H440" i="1"/>
  <c r="D435" i="1"/>
  <c r="L429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K439" i="1"/>
  <c r="G434" i="1"/>
  <c r="C429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A272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I302" i="1"/>
  <c r="E297" i="1"/>
  <c r="A292" i="1"/>
  <c r="I286" i="1"/>
  <c r="E281" i="1"/>
  <c r="A276" i="1"/>
  <c r="L439" i="1"/>
  <c r="H434" i="1"/>
  <c r="D42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C439" i="1"/>
  <c r="K433" i="1"/>
  <c r="G428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A302" i="1"/>
  <c r="I296" i="1"/>
  <c r="E291" i="1"/>
  <c r="A286" i="1"/>
  <c r="I280" i="1"/>
  <c r="E275" i="1"/>
  <c r="D439" i="1"/>
  <c r="L433" i="1"/>
  <c r="H42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G438" i="1"/>
  <c r="C433" i="1"/>
  <c r="K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C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E301" i="1"/>
  <c r="A296" i="1"/>
  <c r="I290" i="1"/>
  <c r="E285" i="1"/>
  <c r="A280" i="1"/>
  <c r="I274" i="1"/>
  <c r="H438" i="1"/>
  <c r="D433" i="1"/>
  <c r="L427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K437" i="1"/>
  <c r="G432" i="1"/>
  <c r="C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D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35" i="1"/>
  <c r="F126" i="1"/>
  <c r="B121" i="1"/>
  <c r="J115" i="1"/>
  <c r="F110" i="1"/>
  <c r="B10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K97" i="1"/>
  <c r="G92" i="1"/>
  <c r="C87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F100" i="1"/>
  <c r="B95" i="1"/>
  <c r="J89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I97" i="1"/>
  <c r="E92" i="1"/>
  <c r="A87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D100" i="1"/>
  <c r="L94" i="1"/>
  <c r="H89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D4" i="1"/>
  <c r="G97" i="1"/>
  <c r="C92" i="1"/>
  <c r="K86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B100" i="1"/>
  <c r="J94" i="1"/>
  <c r="F89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B4" i="1"/>
  <c r="E97" i="1"/>
  <c r="A92" i="1"/>
  <c r="I86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L99" i="1"/>
  <c r="H94" i="1"/>
  <c r="D89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H4" i="1"/>
  <c r="B131" i="1"/>
  <c r="J125" i="1"/>
  <c r="F120" i="1"/>
  <c r="B115" i="1"/>
  <c r="J109" i="1"/>
  <c r="F10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A103" i="1"/>
  <c r="C97" i="1"/>
  <c r="K91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J99" i="1"/>
  <c r="F94" i="1"/>
  <c r="B89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G102" i="1"/>
  <c r="A97" i="1"/>
  <c r="I91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H99" i="1"/>
  <c r="D94" i="1"/>
  <c r="L88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L8" i="1"/>
  <c r="C102" i="1"/>
  <c r="K96" i="1"/>
  <c r="G91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F99" i="1"/>
  <c r="B94" i="1"/>
  <c r="J88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A102" i="1"/>
  <c r="I96" i="1"/>
  <c r="E91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D99" i="1"/>
  <c r="L93" i="1"/>
  <c r="H88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F130" i="1"/>
  <c r="B125" i="1"/>
  <c r="J119" i="1"/>
  <c r="F114" i="1"/>
  <c r="B109" i="1"/>
  <c r="J10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K101" i="1"/>
  <c r="G96" i="1"/>
  <c r="C91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B99" i="1"/>
  <c r="J93" i="1"/>
  <c r="F88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I101" i="1"/>
  <c r="E96" i="1"/>
  <c r="A91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L98" i="1"/>
  <c r="H93" i="1"/>
  <c r="D88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D8" i="1"/>
  <c r="G101" i="1"/>
  <c r="C96" i="1"/>
  <c r="K90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J98" i="1"/>
  <c r="F93" i="1"/>
  <c r="B88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E101" i="1"/>
  <c r="A96" i="1"/>
  <c r="I90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H98" i="1"/>
  <c r="D93" i="1"/>
  <c r="L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J129" i="1"/>
  <c r="F124" i="1"/>
  <c r="B119" i="1"/>
  <c r="J113" i="1"/>
  <c r="F108" i="1"/>
  <c r="B10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C101" i="1"/>
  <c r="K95" i="1"/>
  <c r="G90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F98" i="1"/>
  <c r="B93" i="1"/>
  <c r="J87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A101" i="1"/>
  <c r="I95" i="1"/>
  <c r="E90" i="1"/>
  <c r="A85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D98" i="1"/>
  <c r="L92" i="1"/>
  <c r="H87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7" i="1"/>
  <c r="K100" i="1"/>
  <c r="G95" i="1"/>
  <c r="C90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B98" i="1"/>
  <c r="J92" i="1"/>
  <c r="F87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I100" i="1"/>
  <c r="E95" i="1"/>
  <c r="A90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I4" i="1"/>
  <c r="L97" i="1"/>
  <c r="H92" i="1"/>
  <c r="D87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B129" i="1"/>
  <c r="J123" i="1"/>
  <c r="F118" i="1"/>
  <c r="B113" i="1"/>
  <c r="J107" i="1"/>
  <c r="F10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G100" i="1"/>
  <c r="C95" i="1"/>
  <c r="K89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G4" i="1"/>
  <c r="J97" i="1"/>
  <c r="F92" i="1"/>
  <c r="B87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E100" i="1"/>
  <c r="A95" i="1"/>
  <c r="I89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H97" i="1"/>
  <c r="D92" i="1"/>
  <c r="L86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L6" i="1"/>
  <c r="C100" i="1"/>
  <c r="K94" i="1"/>
  <c r="G89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F97" i="1"/>
  <c r="B92" i="1"/>
  <c r="J86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A100" i="1"/>
  <c r="I94" i="1"/>
  <c r="E89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D97" i="1"/>
  <c r="L91" i="1"/>
  <c r="H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F128" i="1"/>
  <c r="B123" i="1"/>
  <c r="J117" i="1"/>
  <c r="F112" i="1"/>
  <c r="B10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K99" i="1"/>
  <c r="G94" i="1"/>
  <c r="C89" i="1"/>
  <c r="K83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I102" i="1"/>
  <c r="B97" i="1"/>
  <c r="J91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I99" i="1"/>
  <c r="E94" i="1"/>
  <c r="A89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E102" i="1"/>
  <c r="L96" i="1"/>
  <c r="H91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6" i="1"/>
  <c r="G99" i="1"/>
  <c r="C94" i="1"/>
  <c r="K88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B102" i="1"/>
  <c r="J96" i="1"/>
  <c r="F91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E99" i="1"/>
  <c r="A94" i="1"/>
  <c r="I88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L101" i="1"/>
  <c r="H96" i="1"/>
  <c r="D91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J127" i="1"/>
  <c r="F122" i="1"/>
  <c r="B117" i="1"/>
  <c r="J111" i="1"/>
  <c r="F10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C99" i="1"/>
  <c r="K93" i="1"/>
  <c r="G88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J101" i="1"/>
  <c r="F96" i="1"/>
  <c r="B91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A99" i="1"/>
  <c r="I93" i="1"/>
  <c r="E88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H101" i="1"/>
  <c r="D96" i="1"/>
  <c r="L90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H5" i="1"/>
  <c r="K98" i="1"/>
  <c r="G93" i="1"/>
  <c r="C88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F101" i="1"/>
  <c r="B96" i="1"/>
  <c r="J90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I98" i="1"/>
  <c r="E93" i="1"/>
  <c r="A88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D101" i="1"/>
  <c r="L95" i="1"/>
  <c r="H90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B127" i="1"/>
  <c r="J121" i="1"/>
  <c r="F116" i="1"/>
  <c r="B111" i="1"/>
  <c r="J10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G98" i="1"/>
  <c r="C93" i="1"/>
  <c r="K87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B101" i="1"/>
  <c r="J95" i="1"/>
  <c r="F90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E98" i="1"/>
  <c r="A93" i="1"/>
  <c r="I87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L100" i="1"/>
  <c r="H95" i="1"/>
  <c r="D90" i="1"/>
  <c r="L84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D10" i="1"/>
  <c r="L4" i="1"/>
  <c r="C98" i="1"/>
  <c r="K92" i="1"/>
  <c r="G87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J100" i="1"/>
  <c r="F95" i="1"/>
  <c r="B90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A98" i="1"/>
  <c r="I92" i="1"/>
  <c r="E87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H100" i="1"/>
  <c r="D95" i="1"/>
  <c r="L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</calcChain>
</file>

<file path=xl/sharedStrings.xml><?xml version="1.0" encoding="utf-8"?>
<sst xmlns="http://schemas.openxmlformats.org/spreadsheetml/2006/main" count="218" uniqueCount="61">
  <si>
    <t>Modules Info</t>
  </si>
  <si>
    <t>Master Data Info</t>
  </si>
  <si>
    <t>Settings</t>
  </si>
  <si>
    <t>Module Step Setting File</t>
  </si>
  <si>
    <t>1sG6uB28jAaiyaldDeMtbboQN41jJ2tAmE2rg6U9qH5o</t>
  </si>
  <si>
    <t>Modules</t>
  </si>
  <si>
    <t>Module</t>
  </si>
  <si>
    <t>Master Data Settings File</t>
  </si>
  <si>
    <t>Step</t>
  </si>
  <si>
    <t>1hEhI9rg16D4Xvfk19pDaFUFF78jjfIG29BBaNg8kT0A</t>
  </si>
  <si>
    <t>Master Data Sheet</t>
  </si>
  <si>
    <t>Data</t>
  </si>
  <si>
    <t>TradingTicket</t>
  </si>
  <si>
    <t>DailyValuation</t>
  </si>
  <si>
    <t>GetMarkPriceData</t>
  </si>
  <si>
    <t>Data Format</t>
  </si>
  <si>
    <t>CreateDoneAwayOrder</t>
  </si>
  <si>
    <t>Input Format</t>
  </si>
  <si>
    <t>O:AAPL 18B177.50D2</t>
  </si>
  <si>
    <t xml:space="preserve">Buy to Open </t>
  </si>
  <si>
    <t>Allocation1</t>
  </si>
  <si>
    <t>Flat Amount</t>
  </si>
  <si>
    <t>O:MSFT 18B104.00D2</t>
  </si>
  <si>
    <t xml:space="preserve">Sell to Open </t>
  </si>
  <si>
    <t>Sell to Close</t>
  </si>
  <si>
    <t>PricingInput</t>
  </si>
  <si>
    <t>UpdateMarkPrice</t>
  </si>
  <si>
    <t>AAPL</t>
  </si>
  <si>
    <t>MSFT</t>
  </si>
  <si>
    <t>Closing</t>
  </si>
  <si>
    <t>AutomaticClosing</t>
  </si>
  <si>
    <t>GetDataClosing</t>
  </si>
  <si>
    <t>FIFO</t>
  </si>
  <si>
    <t>None</t>
  </si>
  <si>
    <t>Default</t>
  </si>
  <si>
    <t>Historical</t>
  </si>
  <si>
    <t>GeneralLedger</t>
  </si>
  <si>
    <t>GetDayEndCash</t>
  </si>
  <si>
    <t>NewMF</t>
  </si>
  <si>
    <t>PortfolioManagement</t>
  </si>
  <si>
    <t>CheckPortfolioManagement</t>
  </si>
  <si>
    <t>Long</t>
  </si>
  <si>
    <t>FIMAT</t>
  </si>
  <si>
    <t>Strategy Unallocated</t>
  </si>
  <si>
    <t>EquityOption</t>
  </si>
  <si>
    <t>US</t>
  </si>
  <si>
    <t>OPTS</t>
  </si>
  <si>
    <t>USD</t>
  </si>
  <si>
    <t/>
  </si>
  <si>
    <t>Buy to Open</t>
  </si>
  <si>
    <t>BrokerNotes</t>
  </si>
  <si>
    <t>DefaultNotes</t>
  </si>
  <si>
    <t>Equity Call</t>
  </si>
  <si>
    <t>Undefined</t>
  </si>
  <si>
    <t>jpearce</t>
  </si>
  <si>
    <t>MS</t>
  </si>
  <si>
    <t>CALL</t>
  </si>
  <si>
    <t>User Defined</t>
  </si>
  <si>
    <t>unique</t>
  </si>
  <si>
    <t>Short</t>
  </si>
  <si>
    <t>Sell to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</si>
</sst>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sz val="14"/>
      <color rgb="FFFFFFFF"/>
      <name val="Calibri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sz val="10"/>
      <name val="Arial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6" fillId="0" borderId="0" xfId="0" applyFont="1" applyAlignment="1"/>
    <xf numFmtId="0" fontId="3" fillId="0" borderId="0" xfId="0" applyFont="1" applyAlignment="1"/>
    <xf numFmtId="0" fontId="6" fillId="3" borderId="4" xfId="0" applyFont="1" applyFill="1" applyBorder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3" fillId="0" borderId="0" xfId="0" applyNumberFormat="1" applyFont="1" applyAlignment="1"/>
    <xf numFmtId="0" fontId="6" fillId="0" borderId="0" xfId="0" applyFont="1" applyAlignment="1"/>
    <xf numFmtId="0" fontId="2" fillId="0" borderId="0" xfId="0" applyFont="1" applyAlignment="1"/>
    <xf numFmtId="14" fontId="3" fillId="0" borderId="0" xfId="0" applyNumberFormat="1" applyFont="1" applyAlignment="1"/>
    <xf numFmtId="0" fontId="6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/>
    <xf numFmtId="0" fontId="13" fillId="6" borderId="0" xfId="0" applyFont="1" applyFill="1" applyAlignment="1"/>
    <xf numFmtId="0" fontId="13" fillId="6" borderId="5" xfId="0" applyFont="1" applyFill="1" applyBorder="1" applyAlignment="1"/>
    <xf numFmtId="0" fontId="6" fillId="0" borderId="5" xfId="0" applyFont="1" applyBorder="1" applyAlignment="1">
      <alignment horizontal="right"/>
    </xf>
    <xf numFmtId="0" fontId="6" fillId="0" borderId="0" xfId="0" applyFont="1" applyAlignment="1"/>
    <xf numFmtId="0" fontId="6" fillId="0" borderId="0" xfId="0" applyFont="1" applyAlignment="1">
      <alignment horizontal="right"/>
    </xf>
    <xf numFmtId="4" fontId="5" fillId="2" borderId="0" xfId="0" applyNumberFormat="1" applyFont="1" applyFill="1" applyAlignment="1">
      <alignment horizontal="center"/>
    </xf>
    <xf numFmtId="4" fontId="2" fillId="2" borderId="0" xfId="0" applyNumberFormat="1" applyFont="1" applyFill="1"/>
    <xf numFmtId="4" fontId="3" fillId="0" borderId="0" xfId="0" applyNumberFormat="1" applyFont="1" applyAlignment="1"/>
    <xf numFmtId="4" fontId="7" fillId="0" borderId="0" xfId="0" applyNumberFormat="1" applyFont="1" applyAlignment="1"/>
    <xf numFmtId="4" fontId="2" fillId="0" borderId="0" xfId="0" applyNumberFormat="1" applyFont="1"/>
    <xf numFmtId="4" fontId="4" fillId="3" borderId="0" xfId="0" applyNumberFormat="1" applyFont="1" applyFill="1" applyAlignment="1"/>
    <xf numFmtId="4" fontId="4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7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4" fontId="4" fillId="5" borderId="0" xfId="0" applyNumberFormat="1" applyFont="1" applyFill="1" applyAlignment="1"/>
    <xf numFmtId="4" fontId="4" fillId="5" borderId="4" xfId="0" applyNumberFormat="1" applyFont="1" applyFill="1" applyBorder="1" applyAlignment="1"/>
    <xf numFmtId="4" fontId="4" fillId="5" borderId="4" xfId="0" applyNumberFormat="1" applyFont="1" applyFill="1" applyBorder="1" applyAlignment="1"/>
    <xf numFmtId="4" fontId="10" fillId="5" borderId="0" xfId="0" applyNumberFormat="1" applyFont="1" applyFill="1"/>
    <xf numFmtId="4" fontId="3" fillId="0" borderId="0" xfId="0" applyNumberFormat="1" applyFont="1" applyAlignment="1"/>
    <xf numFmtId="4" fontId="14" fillId="0" borderId="0" xfId="0" applyNumberFormat="1" applyFont="1" applyAlignment="1"/>
    <xf numFmtId="4" fontId="15" fillId="0" borderId="0" xfId="0" applyNumberFormat="1" applyFont="1" applyAlignment="1">
      <alignment horizontal="right"/>
    </xf>
    <xf numFmtId="14" fontId="14" fillId="0" borderId="0" xfId="0" applyNumberFormat="1" applyFont="1" applyAlignment="1"/>
    <xf numFmtId="4" fontId="1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activeCell="F26" sqref="F26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60" t="s">
        <v>0</v>
      </c>
      <c r="B1" s="61"/>
      <c r="C1" s="61"/>
      <c r="D1" s="61"/>
      <c r="E1" s="61"/>
      <c r="F1" s="62"/>
    </row>
    <row r="2" spans="1:12" ht="15.75" customHeight="1">
      <c r="A2" s="3"/>
      <c r="B2" s="3"/>
      <c r="C2" s="3"/>
      <c r="D2" s="3"/>
      <c r="E2" s="3"/>
      <c r="F2" s="3"/>
    </row>
    <row r="3" spans="1:12" ht="15.75" customHeight="1">
      <c r="A3" s="2" t="s">
        <v>5</v>
      </c>
      <c r="B3" s="5"/>
      <c r="C3" s="7"/>
      <c r="D3" s="7"/>
      <c r="E3" s="7"/>
      <c r="F3" s="7"/>
    </row>
    <row r="4" spans="1:12" ht="15.75" customHeight="1">
      <c r="A4" s="1" t="str">
        <f ca="1">IFERROR(__xludf.DUMMYFUNCTION("IMPORTRANGE('_Settings'!B3,""Modules!A4:L1000"")"),"Allocation")</f>
        <v>Allocation</v>
      </c>
      <c r="B4" s="3" t="str">
        <f ca="1">IFERROR(__xludf.DUMMYFUNCTION("""COMPUTED_VALUE"""),"Allocate")</f>
        <v>Allocate</v>
      </c>
      <c r="C4" s="3" t="str">
        <f ca="1">IFERROR(__xludf.DUMMYFUNCTION("""COMPUTED_VALUE"""),"Undefined")</f>
        <v>Undefined</v>
      </c>
      <c r="D4" s="3" t="str">
        <f ca="1">IFERROR(__xludf.DUMMYFUNCTION("""COMPUTED_VALUE"""),"")</f>
        <v/>
      </c>
      <c r="E4" s="3" t="str">
        <f ca="1">IFERROR(__xludf.DUMMYFUNCTION("""COMPUTED_VALUE"""),"")</f>
        <v/>
      </c>
      <c r="F4" s="3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1" t="str">
        <f ca="1">IFERROR(__xludf.DUMMYFUNCTION("""COMPUTED_VALUE"""),"Allocation")</f>
        <v>Allocation</v>
      </c>
      <c r="B5" s="3" t="str">
        <f ca="1">IFERROR(__xludf.DUMMYFUNCTION("""COMPUTED_VALUE"""),"CheckAllocatedGroups")</f>
        <v>CheckAllocatedGroups</v>
      </c>
      <c r="C5" s="3" t="str">
        <f ca="1">IFERROR(__xludf.DUMMYFUNCTION("""COMPUTED_VALUE"""),"1ASulLlGAl--JRs7NVIiQ-6Q2Y2P3o7Y40cokKmMg-UA")</f>
        <v>1ASulLlGAl--JRs7NVIiQ-6Q2Y2P3o7Y40cokKmMg-UA</v>
      </c>
      <c r="D5" s="3" t="str">
        <f ca="1">IFERROR(__xludf.DUMMYFUNCTION("""COMPUTED_VALUE"""),"")</f>
        <v/>
      </c>
      <c r="E5" s="3" t="str">
        <f ca="1">IFERROR(__xludf.DUMMYFUNCTION("""COMPUTED_VALUE"""),"")</f>
        <v/>
      </c>
      <c r="F5" s="3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3" t="str">
        <f ca="1">IFERROR(__xludf.DUMMYFUNCTION("""COMPUTED_VALUE"""),"Allocation")</f>
        <v>Allocation</v>
      </c>
      <c r="B6" s="3" t="str">
        <f ca="1">IFERROR(__xludf.DUMMYFUNCTION("""COMPUTED_VALUE"""),"Unallocate")</f>
        <v>Unallocate</v>
      </c>
      <c r="C6" s="3" t="str">
        <f ca="1">IFERROR(__xludf.DUMMYFUNCTION("""COMPUTED_VALUE"""),"153rAtnJuNh4UK26GjSOxUSjAHcOxzWv7CRGvmhrIJRs")</f>
        <v>153rAtnJuNh4UK26GjSOxUSjAHcOxzWv7CRGvmhrIJRs</v>
      </c>
      <c r="D6" s="3" t="str">
        <f ca="1">IFERROR(__xludf.DUMMYFUNCTION("""COMPUTED_VALUE"""),"")</f>
        <v/>
      </c>
      <c r="E6" s="3" t="str">
        <f ca="1">IFERROR(__xludf.DUMMYFUNCTION("""COMPUTED_VALUE"""),"")</f>
        <v/>
      </c>
      <c r="F6" s="3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3" t="str">
        <f ca="1">IFERROR(__xludf.DUMMYFUNCTION("""COMPUTED_VALUE"""),"Allocation")</f>
        <v>Allocation</v>
      </c>
      <c r="B7" s="3" t="str">
        <f ca="1">IFERROR(__xludf.DUMMYFUNCTION("""COMPUTED_VALUE"""),"GetDataAllocation")</f>
        <v>GetDataAllocation</v>
      </c>
      <c r="C7" s="3" t="str">
        <f ca="1">IFERROR(__xludf.DUMMYFUNCTION("""COMPUTED_VALUE"""),"14c4GsPTH5D3eyeeKaMiqJQXOT6OiyIKnC2Ey2f-mzXU")</f>
        <v>14c4GsPTH5D3eyeeKaMiqJQXOT6OiyIKnC2Ey2f-mzXU</v>
      </c>
      <c r="D7" s="3" t="str">
        <f ca="1">IFERROR(__xludf.DUMMYFUNCTION("""COMPUTED_VALUE"""),"")</f>
        <v/>
      </c>
      <c r="E7" s="3" t="str">
        <f ca="1">IFERROR(__xludf.DUMMYFUNCTION("""COMPUTED_VALUE"""),"")</f>
        <v/>
      </c>
      <c r="F7" s="3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3" t="str">
        <f ca="1">IFERROR(__xludf.DUMMYFUNCTION("""COMPUTED_VALUE"""),"Allocation")</f>
        <v>Allocation</v>
      </c>
      <c r="B8" s="3" t="str">
        <f ca="1">IFERROR(__xludf.DUMMYFUNCTION("""COMPUTED_VALUE"""),"SelectAllocatedGroup")</f>
        <v>SelectAllocatedGroup</v>
      </c>
      <c r="C8" s="3" t="str">
        <f ca="1">IFERROR(__xludf.DUMMYFUNCTION("""COMPUTED_VALUE"""),"1FoqTScZHaIaLmwoImnVY7WWuCKEwJNYw8_jsXiT_wz4")</f>
        <v>1FoqTScZHaIaLmwoImnVY7WWuCKEwJNYw8_jsXiT_wz4</v>
      </c>
      <c r="D8" s="3" t="str">
        <f ca="1">IFERROR(__xludf.DUMMYFUNCTION("""COMPUTED_VALUE"""),"")</f>
        <v/>
      </c>
      <c r="E8" s="3" t="str">
        <f ca="1">IFERROR(__xludf.DUMMYFUNCTION("""COMPUTED_VALUE"""),"")</f>
        <v/>
      </c>
      <c r="F8" s="3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3" t="str">
        <f ca="1">IFERROR(__xludf.DUMMYFUNCTION("""COMPUTED_VALUE"""),"Allocation")</f>
        <v>Allocation</v>
      </c>
      <c r="B9" s="3" t="str">
        <f ca="1">IFERROR(__xludf.DUMMYFUNCTION("""COMPUTED_VALUE"""),"EditTradesAllocated")</f>
        <v>EditTradesAllocated</v>
      </c>
      <c r="C9" s="3" t="str">
        <f ca="1">IFERROR(__xludf.DUMMYFUNCTION("""COMPUTED_VALUE"""),"1nx-Ntcckcf-w1Yr5yyOw4Vmcr4UsalakHe-CHaRihg0")</f>
        <v>1nx-Ntcckcf-w1Yr5yyOw4Vmcr4UsalakHe-CHaRihg0</v>
      </c>
      <c r="D9" s="3" t="str">
        <f ca="1">IFERROR(__xludf.DUMMYFUNCTION("""COMPUTED_VALUE"""),"")</f>
        <v/>
      </c>
      <c r="E9" s="3" t="str">
        <f ca="1">IFERROR(__xludf.DUMMYFUNCTION("""COMPUTED_VALUE"""),"")</f>
        <v/>
      </c>
      <c r="F9" s="3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3" t="str">
        <f ca="1">IFERROR(__xludf.DUMMYFUNCTION("""COMPUTED_VALUE"""),"Allocation")</f>
        <v>Allocation</v>
      </c>
      <c r="B10" s="3" t="str">
        <f ca="1">IFERROR(__xludf.DUMMYFUNCTION("""COMPUTED_VALUE"""),"EditTradesUnallocated")</f>
        <v>EditTradesUnallocated</v>
      </c>
      <c r="C10" s="3" t="str">
        <f ca="1">IFERROR(__xludf.DUMMYFUNCTION("""COMPUTED_VALUE"""),"1aOr-_cYT21IfJctqcBB50iQOXfB0qUo9bBesL3tt_2o")</f>
        <v>1aOr-_cYT21IfJctqcBB50iQOXfB0qUo9bBesL3tt_2o</v>
      </c>
      <c r="D10" s="3" t="str">
        <f ca="1">IFERROR(__xludf.DUMMYFUNCTION("""COMPUTED_VALUE"""),"")</f>
        <v/>
      </c>
      <c r="E10" s="3" t="str">
        <f ca="1">IFERROR(__xludf.DUMMYFUNCTION("""COMPUTED_VALUE"""),"")</f>
        <v/>
      </c>
      <c r="F10" s="3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3" t="str">
        <f ca="1">IFERROR(__xludf.DUMMYFUNCTION("""COMPUTED_VALUE"""),"Allocation")</f>
        <v>Allocation</v>
      </c>
      <c r="B11" s="3" t="str">
        <f ca="1">IFERROR(__xludf.DUMMYFUNCTION("""COMPUTED_VALUE"""),"Reallocate")</f>
        <v>Reallocate</v>
      </c>
      <c r="C11" s="3" t="str">
        <f ca="1">IFERROR(__xludf.DUMMYFUNCTION("""COMPUTED_VALUE"""),"Undefined")</f>
        <v>Undefined</v>
      </c>
      <c r="D11" s="3" t="str">
        <f ca="1">IFERROR(__xludf.DUMMYFUNCTION("""COMPUTED_VALUE"""),"")</f>
        <v/>
      </c>
      <c r="E11" s="3" t="str">
        <f ca="1">IFERROR(__xludf.DUMMYFUNCTION("""COMPUTED_VALUE"""),"")</f>
        <v/>
      </c>
      <c r="F11" s="3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3" t="str">
        <f ca="1">IFERROR(__xludf.DUMMYFUNCTION("""COMPUTED_VALUE"""),"Blotter")</f>
        <v>Blotter</v>
      </c>
      <c r="B12" s="3" t="str">
        <f ca="1">IFERROR(__xludf.DUMMYFUNCTION("""COMPUTED_VALUE"""),"ReplaceFillsOnBlotter")</f>
        <v>ReplaceFillsOnBlotter</v>
      </c>
      <c r="C12" s="3" t="str">
        <f ca="1">IFERROR(__xludf.DUMMYFUNCTION("""COMPUTED_VALUE"""),"Undefined")</f>
        <v>Undefined</v>
      </c>
      <c r="D12" s="3" t="str">
        <f ca="1">IFERROR(__xludf.DUMMYFUNCTION("""COMPUTED_VALUE"""),"")</f>
        <v/>
      </c>
      <c r="E12" s="3" t="str">
        <f ca="1">IFERROR(__xludf.DUMMYFUNCTION("""COMPUTED_VALUE"""),"")</f>
        <v/>
      </c>
      <c r="F12" s="3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3" t="str">
        <f ca="1">IFERROR(__xludf.DUMMYFUNCTION("""COMPUTED_VALUE"""),"Blotter")</f>
        <v>Blotter</v>
      </c>
      <c r="B13" s="3" t="str">
        <f ca="1">IFERROR(__xludf.DUMMYFUNCTION("""COMPUTED_VALUE"""),"CheckBlotter")</f>
        <v>CheckBlotter</v>
      </c>
      <c r="C13" s="3" t="str">
        <f ca="1">IFERROR(__xludf.DUMMYFUNCTION("""COMPUTED_VALUE"""),"1NSNUZ7aVjKq-fJWvjMKU9f1Hhbf0UmIY3RQLFu0_U94")</f>
        <v>1NSNUZ7aVjKq-fJWvjMKU9f1Hhbf0UmIY3RQLFu0_U94</v>
      </c>
      <c r="D13" s="3" t="str">
        <f ca="1">IFERROR(__xludf.DUMMYFUNCTION("""COMPUTED_VALUE"""),"")</f>
        <v/>
      </c>
      <c r="E13" s="3" t="str">
        <f ca="1">IFERROR(__xludf.DUMMYFUNCTION("""COMPUTED_VALUE"""),"")</f>
        <v/>
      </c>
      <c r="F13" s="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3" t="str">
        <f ca="1">IFERROR(__xludf.DUMMYFUNCTION("""COMPUTED_VALUE"""),"GeneralLedger")</f>
        <v>GeneralLedger</v>
      </c>
      <c r="B14" s="3" t="str">
        <f ca="1">IFERROR(__xludf.DUMMYFUNCTION("""COMPUTED_VALUE"""),"GetDataCash")</f>
        <v>GetDataCash</v>
      </c>
      <c r="C14" s="3" t="str">
        <f ca="1">IFERROR(__xludf.DUMMYFUNCTION("""COMPUTED_VALUE"""),"1qcpgHRQFZbpv-NnW8K-CvX_auKXD5UD0KzrBvuBL6yQ")</f>
        <v>1qcpgHRQFZbpv-NnW8K-CvX_auKXD5UD0KzrBvuBL6yQ</v>
      </c>
      <c r="D14" s="3" t="str">
        <f ca="1">IFERROR(__xludf.DUMMYFUNCTION("""COMPUTED_VALUE"""),"")</f>
        <v/>
      </c>
      <c r="E14" s="3" t="str">
        <f ca="1">IFERROR(__xludf.DUMMYFUNCTION("""COMPUTED_VALUE"""),"")</f>
        <v/>
      </c>
      <c r="F14" s="3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3" t="str">
        <f ca="1">IFERROR(__xludf.DUMMYFUNCTION("""COMPUTED_VALUE"""),"GeneralLedger")</f>
        <v>GeneralLedger</v>
      </c>
      <c r="B15" s="3" t="str">
        <f ca="1">IFERROR(__xludf.DUMMYFUNCTION("""COMPUTED_VALUE"""),"EnterCashDividends")</f>
        <v>EnterCashDividends</v>
      </c>
      <c r="C15" s="3" t="str">
        <f ca="1">IFERROR(__xludf.DUMMYFUNCTION("""COMPUTED_VALUE"""),"1AcxAZQwu6HAEJMCMK3bk08quIeXstZWKnCNeDGuqkgc")</f>
        <v>1AcxAZQwu6HAEJMCMK3bk08quIeXstZWKnCNeDGuqkgc</v>
      </c>
      <c r="D15" s="3" t="str">
        <f ca="1">IFERROR(__xludf.DUMMYFUNCTION("""COMPUTED_VALUE"""),"")</f>
        <v/>
      </c>
      <c r="E15" s="3" t="str">
        <f ca="1">IFERROR(__xludf.DUMMYFUNCTION("""COMPUTED_VALUE"""),"")</f>
        <v/>
      </c>
      <c r="F15" s="3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3" t="str">
        <f ca="1">IFERROR(__xludf.DUMMYFUNCTION("""COMPUTED_VALUE"""),"GeneralLedger")</f>
        <v>GeneralLedger</v>
      </c>
      <c r="B16" s="3" t="str">
        <f ca="1">IFERROR(__xludf.DUMMYFUNCTION("""COMPUTED_VALUE"""),"EnterNonTradingTransaction")</f>
        <v>EnterNonTradingTransaction</v>
      </c>
      <c r="C16" s="3" t="str">
        <f ca="1">IFERROR(__xludf.DUMMYFUNCTION("""COMPUTED_VALUE"""),"1VLF0uNJJlumCyBscfuDhTN1tOv-0IRCkYlwfDU8GczQ")</f>
        <v>1VLF0uNJJlumCyBscfuDhTN1tOv-0IRCkYlwfDU8GczQ</v>
      </c>
      <c r="D16" s="3" t="str">
        <f ca="1">IFERROR(__xludf.DUMMYFUNCTION("""COMPUTED_VALUE"""),"")</f>
        <v/>
      </c>
      <c r="E16" s="3" t="str">
        <f ca="1">IFERROR(__xludf.DUMMYFUNCTION("""COMPUTED_VALUE"""),"")</f>
        <v/>
      </c>
      <c r="F16" s="3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3" t="str">
        <f ca="1">IFERROR(__xludf.DUMMYFUNCTION("""COMPUTED_VALUE"""),"GeneralLedger")</f>
        <v>GeneralLedger</v>
      </c>
      <c r="B17" s="3" t="str">
        <f ca="1">IFERROR(__xludf.DUMMYFUNCTION("""COMPUTED_VALUE"""),"VerifyCash")</f>
        <v>VerifyCash</v>
      </c>
      <c r="C17" s="3" t="str">
        <f ca="1">IFERROR(__xludf.DUMMYFUNCTION("""COMPUTED_VALUE"""),"1_8MIcc2OK_ojl_V4NIwMLs9H7qkQkwyq9sDf1PpIqc8")</f>
        <v>1_8MIcc2OK_ojl_V4NIwMLs9H7qkQkwyq9sDf1PpIqc8</v>
      </c>
      <c r="D17" s="3" t="str">
        <f ca="1">IFERROR(__xludf.DUMMYFUNCTION("""COMPUTED_VALUE"""),"")</f>
        <v/>
      </c>
      <c r="E17" s="3" t="str">
        <f ca="1">IFERROR(__xludf.DUMMYFUNCTION("""COMPUTED_VALUE"""),"")</f>
        <v/>
      </c>
      <c r="F17" s="3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3" t="str">
        <f ca="1">IFERROR(__xludf.DUMMYFUNCTION("""COMPUTED_VALUE"""),"GeneralLedger")</f>
        <v>GeneralLedger</v>
      </c>
      <c r="B18" s="3" t="str">
        <f ca="1">IFERROR(__xludf.DUMMYFUNCTION("""COMPUTED_VALUE"""),"VerifyActivity")</f>
        <v>VerifyActivity</v>
      </c>
      <c r="C18" s="3" t="str">
        <f ca="1">IFERROR(__xludf.DUMMYFUNCTION("""COMPUTED_VALUE"""),"1tN1tbsnXiVRytGN-WCzTnGTmfRxY2nBklQk3AQSJo2c")</f>
        <v>1tN1tbsnXiVRytGN-WCzTnGTmfRxY2nBklQk3AQSJo2c</v>
      </c>
      <c r="D18" s="3" t="str">
        <f ca="1">IFERROR(__xludf.DUMMYFUNCTION("""COMPUTED_VALUE"""),"")</f>
        <v/>
      </c>
      <c r="E18" s="3" t="str">
        <f ca="1">IFERROR(__xludf.DUMMYFUNCTION("""COMPUTED_VALUE"""),"")</f>
        <v/>
      </c>
      <c r="F18" s="3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3" t="str">
        <f ca="1">IFERROR(__xludf.DUMMYFUNCTION("""COMPUTED_VALUE"""),"GeneralLedger")</f>
        <v>GeneralLedger</v>
      </c>
      <c r="B19" s="3" t="str">
        <f ca="1">IFERROR(__xludf.DUMMYFUNCTION("""COMPUTED_VALUE"""),"VerifyTradingTransaction")</f>
        <v>VerifyTradingTransaction</v>
      </c>
      <c r="C19" s="3" t="str">
        <f ca="1">IFERROR(__xludf.DUMMYFUNCTION("""COMPUTED_VALUE"""),"1VRRuQCPazoSKAv27NBzQzv_Yw_Kgakw-yyKn6w1zhKU")</f>
        <v>1VRRuQCPazoSKAv27NBzQzv_Yw_Kgakw-yyKn6w1zhKU</v>
      </c>
      <c r="D19" s="3" t="str">
        <f ca="1">IFERROR(__xludf.DUMMYFUNCTION("""COMPUTED_VALUE"""),"")</f>
        <v/>
      </c>
      <c r="E19" s="3" t="str">
        <f ca="1">IFERROR(__xludf.DUMMYFUNCTION("""COMPUTED_VALUE"""),"")</f>
        <v/>
      </c>
      <c r="F19" s="3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3" t="str">
        <f ca="1">IFERROR(__xludf.DUMMYFUNCTION("""COMPUTED_VALUE"""),"GeneralLedger")</f>
        <v>GeneralLedger</v>
      </c>
      <c r="B20" s="3" t="str">
        <f ca="1">IFERROR(__xludf.DUMMYFUNCTION("""COMPUTED_VALUE"""),"VerifyRevaluationData")</f>
        <v>VerifyRevaluationData</v>
      </c>
      <c r="C20" s="3" t="str">
        <f ca="1">IFERROR(__xludf.DUMMYFUNCTION("""COMPUTED_VALUE"""),"1fGo94nf55bWXddEMlTwX902cb1V6cWr9GHWYy_sZ8IU")</f>
        <v>1fGo94nf55bWXddEMlTwX902cb1V6cWr9GHWYy_sZ8IU</v>
      </c>
      <c r="D20" s="3" t="str">
        <f ca="1">IFERROR(__xludf.DUMMYFUNCTION("""COMPUTED_VALUE"""),"")</f>
        <v/>
      </c>
      <c r="E20" s="3" t="str">
        <f ca="1">IFERROR(__xludf.DUMMYFUNCTION("""COMPUTED_VALUE"""),"")</f>
        <v/>
      </c>
      <c r="F20" s="3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3" t="str">
        <f ca="1">IFERROR(__xludf.DUMMYFUNCTION("""COMPUTED_VALUE"""),"CorporateAction")</f>
        <v>CorporateAction</v>
      </c>
      <c r="B21" s="3" t="str">
        <f ca="1">IFERROR(__xludf.DUMMYFUNCTION("""COMPUTED_VALUE"""),"CorporateAction")</f>
        <v>CorporateAction</v>
      </c>
      <c r="C21" s="3" t="str">
        <f ca="1">IFERROR(__xludf.DUMMYFUNCTION("""COMPUTED_VALUE"""),"1rOMKu0Ez7NdxjtZC05lRrPUSa0tkOQSvbOhxjuijMsU")</f>
        <v>1rOMKu0Ez7NdxjtZC05lRrPUSa0tkOQSvbOhxjuijMsU</v>
      </c>
      <c r="D21" s="3" t="str">
        <f ca="1">IFERROR(__xludf.DUMMYFUNCTION("""COMPUTED_VALUE"""),"")</f>
        <v/>
      </c>
      <c r="E21" s="3" t="str">
        <f ca="1">IFERROR(__xludf.DUMMYFUNCTION("""COMPUTED_VALUE"""),"")</f>
        <v/>
      </c>
      <c r="F21" s="3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3" t="str">
        <f ca="1">IFERROR(__xludf.DUMMYFUNCTION("""COMPUTED_VALUE"""),"CreateTransaction")</f>
        <v>CreateTransaction</v>
      </c>
      <c r="B22" s="3" t="str">
        <f ca="1">IFERROR(__xludf.DUMMYFUNCTION("""COMPUTED_VALUE"""),"CreateTransaction")</f>
        <v>CreateTransaction</v>
      </c>
      <c r="C22" s="3" t="str">
        <f ca="1">IFERROR(__xludf.DUMMYFUNCTION("""COMPUTED_VALUE"""),"1yBi-hp0jcYIFB6ymnlQIlx-pUUkfcjJU7Ap0azBbNcE")</f>
        <v>1yBi-hp0jcYIFB6ymnlQIlx-pUUkfcjJU7Ap0azBbNcE</v>
      </c>
      <c r="D22" s="3" t="str">
        <f ca="1">IFERROR(__xludf.DUMMYFUNCTION("""COMPUTED_VALUE"""),"")</f>
        <v/>
      </c>
      <c r="E22" s="3" t="str">
        <f ca="1">IFERROR(__xludf.DUMMYFUNCTION("""COMPUTED_VALUE"""),"")</f>
        <v/>
      </c>
      <c r="F22" s="3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3" t="str">
        <f ca="1">IFERROR(__xludf.DUMMYFUNCTION("""COMPUTED_VALUE"""),"DailyValuation")</f>
        <v>DailyValuation</v>
      </c>
      <c r="B23" s="3" t="str">
        <f ca="1">IFERROR(__xludf.DUMMYFUNCTION("""COMPUTED_VALUE"""),"UpdateBeta")</f>
        <v>UpdateBeta</v>
      </c>
      <c r="C23" s="3" t="str">
        <f ca="1">IFERROR(__xludf.DUMMYFUNCTION("""COMPUTED_VALUE"""),"1x5iUjYB72ZJ35IOvQ_JQkWHV-d1FlgKY3bIxxTpk-f0")</f>
        <v>1x5iUjYB72ZJ35IOvQ_JQkWHV-d1FlgKY3bIxxTpk-f0</v>
      </c>
      <c r="D23" s="3" t="str">
        <f ca="1">IFERROR(__xludf.DUMMYFUNCTION("""COMPUTED_VALUE"""),"")</f>
        <v/>
      </c>
      <c r="E23" s="3" t="str">
        <f ca="1">IFERROR(__xludf.DUMMYFUNCTION("""COMPUTED_VALUE"""),"")</f>
        <v/>
      </c>
      <c r="F23" s="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3" t="str">
        <f ca="1">IFERROR(__xludf.DUMMYFUNCTION("""COMPUTED_VALUE"""),"DailyValuation")</f>
        <v>DailyValuation</v>
      </c>
      <c r="B24" s="3" t="str">
        <f ca="1">IFERROR(__xludf.DUMMYFUNCTION("""COMPUTED_VALUE"""),"UpdateDailyCash")</f>
        <v>UpdateDailyCash</v>
      </c>
      <c r="C24" s="3" t="str">
        <f ca="1">IFERROR(__xludf.DUMMYFUNCTION("""COMPUTED_VALUE"""),"1Li5RKULV7Lc2MLczTkVbzq0oDYcFGfTlBUO9__NoODc")</f>
        <v>1Li5RKULV7Lc2MLczTkVbzq0oDYcFGfTlBUO9__NoODc</v>
      </c>
      <c r="D24" s="3" t="str">
        <f ca="1">IFERROR(__xludf.DUMMYFUNCTION("""COMPUTED_VALUE"""),"")</f>
        <v/>
      </c>
      <c r="E24" s="3" t="str">
        <f ca="1">IFERROR(__xludf.DUMMYFUNCTION("""COMPUTED_VALUE"""),"")</f>
        <v/>
      </c>
      <c r="F24" s="3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3" t="str">
        <f ca="1">IFERROR(__xludf.DUMMYFUNCTION("""COMPUTED_VALUE"""),"DailyValuation")</f>
        <v>DailyValuation</v>
      </c>
      <c r="B25" s="3" t="str">
        <f ca="1">IFERROR(__xludf.DUMMYFUNCTION("""COMPUTED_VALUE"""),"UpdateForexConversion")</f>
        <v>UpdateForexConversion</v>
      </c>
      <c r="C25" s="3" t="str">
        <f ca="1">IFERROR(__xludf.DUMMYFUNCTION("""COMPUTED_VALUE"""),"1vnIE6mL0eHSchRF1qTlJ2JL_Ylu6hiC6uOXpzq7M0BQ")</f>
        <v>1vnIE6mL0eHSchRF1qTlJ2JL_Ylu6hiC6uOXpzq7M0BQ</v>
      </c>
      <c r="D25" s="3" t="str">
        <f ca="1">IFERROR(__xludf.DUMMYFUNCTION("""COMPUTED_VALUE"""),"")</f>
        <v/>
      </c>
      <c r="E25" s="3" t="str">
        <f ca="1">IFERROR(__xludf.DUMMYFUNCTION("""COMPUTED_VALUE"""),"")</f>
        <v/>
      </c>
      <c r="F25" s="3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3" t="str">
        <f ca="1">IFERROR(__xludf.DUMMYFUNCTION("""COMPUTED_VALUE"""),"DailyValuation")</f>
        <v>DailyValuation</v>
      </c>
      <c r="B26" s="3" t="str">
        <f ca="1">IFERROR(__xludf.DUMMYFUNCTION("""COMPUTED_VALUE"""),"UpdateMarkPrice")</f>
        <v>UpdateMarkPrice</v>
      </c>
      <c r="C26" s="3" t="str">
        <f ca="1">IFERROR(__xludf.DUMMYFUNCTION("""COMPUTED_VALUE"""),"1KCMHfIqMprTfc21JY7-_BuJZCbNmjdI-pAMs1UtHRgM")</f>
        <v>1KCMHfIqMprTfc21JY7-_BuJZCbNmjdI-pAMs1UtHRgM</v>
      </c>
      <c r="D26" s="3" t="str">
        <f ca="1">IFERROR(__xludf.DUMMYFUNCTION("""COMPUTED_VALUE"""),"")</f>
        <v/>
      </c>
      <c r="E26" s="3" t="str">
        <f ca="1">IFERROR(__xludf.DUMMYFUNCTION("""COMPUTED_VALUE"""),"")</f>
        <v/>
      </c>
      <c r="F26" s="3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3" t="str">
        <f ca="1">IFERROR(__xludf.DUMMYFUNCTION("""COMPUTED_VALUE"""),"Import")</f>
        <v>Import</v>
      </c>
      <c r="B27" s="3" t="str">
        <f ca="1">IFERROR(__xludf.DUMMYFUNCTION("""COMPUTED_VALUE"""),"Import")</f>
        <v>Import</v>
      </c>
      <c r="C27" s="3" t="str">
        <f ca="1">IFERROR(__xludf.DUMMYFUNCTION("""COMPUTED_VALUE"""),"1tRgcAtzRVDm6tX53uSpBOxZNBYm4sTcJiDaR4fxdfwY")</f>
        <v>1tRgcAtzRVDm6tX53uSpBOxZNBYm4sTcJiDaR4fxdfwY</v>
      </c>
      <c r="D27" s="3" t="str">
        <f ca="1">IFERROR(__xludf.DUMMYFUNCTION("""COMPUTED_VALUE"""),"")</f>
        <v/>
      </c>
      <c r="E27" s="3" t="str">
        <f ca="1">IFERROR(__xludf.DUMMYFUNCTION("""COMPUTED_VALUE"""),"")</f>
        <v/>
      </c>
      <c r="F27" s="3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3" t="str">
        <f ca="1">IFERROR(__xludf.DUMMYFUNCTION("""COMPUTED_VALUE"""),"PortfolioManagement")</f>
        <v>PortfolioManagement</v>
      </c>
      <c r="B28" s="3" t="str">
        <f ca="1">IFERROR(__xludf.DUMMYFUNCTION("""COMPUTED_VALUE"""),"CheckDashboardPM")</f>
        <v>CheckDashboardPM</v>
      </c>
      <c r="C28" s="3" t="str">
        <f ca="1">IFERROR(__xludf.DUMMYFUNCTION("""COMPUTED_VALUE"""),"12DQ8VFmnoIi6USj-pAupggGf1Uakm-iIEO9IboOJPds")</f>
        <v>12DQ8VFmnoIi6USj-pAupggGf1Uakm-iIEO9IboOJPds</v>
      </c>
      <c r="D28" s="3" t="str">
        <f ca="1">IFERROR(__xludf.DUMMYFUNCTION("""COMPUTED_VALUE"""),"")</f>
        <v/>
      </c>
      <c r="E28" s="3" t="str">
        <f ca="1">IFERROR(__xludf.DUMMYFUNCTION("""COMPUTED_VALUE"""),"")</f>
        <v/>
      </c>
      <c r="F28" s="3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3" t="str">
        <f ca="1">IFERROR(__xludf.DUMMYFUNCTION("""COMPUTED_VALUE"""),"PortfolioManagement")</f>
        <v>PortfolioManagement</v>
      </c>
      <c r="B29" s="3" t="str">
        <f ca="1">IFERROR(__xludf.DUMMYFUNCTION("""COMPUTED_VALUE"""),"CheckPortfolioManagement")</f>
        <v>CheckPortfolioManagement</v>
      </c>
      <c r="C29" s="3" t="str">
        <f ca="1">IFERROR(__xludf.DUMMYFUNCTION("""COMPUTED_VALUE"""),"1EinrxkfbLK2Tdj1nGXu4y1H2zmS6g6G85Hm0vYSOHlA")</f>
        <v>1EinrxkfbLK2Tdj1nGXu4y1H2zmS6g6G85Hm0vYSOHlA</v>
      </c>
      <c r="D29" s="3" t="str">
        <f ca="1">IFERROR(__xludf.DUMMYFUNCTION("""COMPUTED_VALUE"""),"")</f>
        <v/>
      </c>
      <c r="E29" s="3" t="str">
        <f ca="1">IFERROR(__xludf.DUMMYFUNCTION("""COMPUTED_VALUE"""),"")</f>
        <v/>
      </c>
      <c r="F29" s="3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3" t="str">
        <f ca="1">IFERROR(__xludf.DUMMYFUNCTION("""COMPUTED_VALUE"""),"PricingInput")</f>
        <v>PricingInput</v>
      </c>
      <c r="B30" s="3" t="str">
        <f ca="1">IFERROR(__xludf.DUMMYFUNCTION("""COMPUTED_VALUE"""),"PricingInput")</f>
        <v>PricingInput</v>
      </c>
      <c r="C30" s="3" t="str">
        <f ca="1">IFERROR(__xludf.DUMMYFUNCTION("""COMPUTED_VALUE"""),"1qeUVChEAj0eKA7tNZsUWM4FcqW347Jcsk_tvw1-FP3s")</f>
        <v>1qeUVChEAj0eKA7tNZsUWM4FcqW347Jcsk_tvw1-FP3s</v>
      </c>
      <c r="D30" s="3" t="str">
        <f ca="1">IFERROR(__xludf.DUMMYFUNCTION("""COMPUTED_VALUE"""),"")</f>
        <v/>
      </c>
      <c r="E30" s="3" t="str">
        <f ca="1">IFERROR(__xludf.DUMMYFUNCTION("""COMPUTED_VALUE"""),"")</f>
        <v/>
      </c>
      <c r="F30" s="3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3" t="str">
        <f ca="1">IFERROR(__xludf.DUMMYFUNCTION("""COMPUTED_VALUE"""),"PricingInput")</f>
        <v>PricingInput</v>
      </c>
      <c r="B31" s="3" t="str">
        <f ca="1">IFERROR(__xludf.DUMMYFUNCTION("""COMPUTED_VALUE"""),"UpdateSharesOutstanding")</f>
        <v>UpdateSharesOutstanding</v>
      </c>
      <c r="C31" s="3" t="str">
        <f ca="1">IFERROR(__xludf.DUMMYFUNCTION("""COMPUTED_VALUE"""),"1aVxYFzFjJM4FVvXjfioQc67hI5XgzzCTHLg8f7lbJhU")</f>
        <v>1aVxYFzFjJM4FVvXjfioQc67hI5XgzzCTHLg8f7lbJhU</v>
      </c>
      <c r="D31" s="3" t="str">
        <f ca="1">IFERROR(__xludf.DUMMYFUNCTION("""COMPUTED_VALUE"""),"")</f>
        <v/>
      </c>
      <c r="E31" s="3" t="str">
        <f ca="1">IFERROR(__xludf.DUMMYFUNCTION("""COMPUTED_VALUE"""),"")</f>
        <v/>
      </c>
      <c r="F31" s="3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3" t="str">
        <f ca="1">IFERROR(__xludf.DUMMYFUNCTION("""COMPUTED_VALUE"""),"SymbolLookup")</f>
        <v>SymbolLookup</v>
      </c>
      <c r="B32" s="3" t="str">
        <f ca="1">IFERROR(__xludf.DUMMYFUNCTION("""COMPUTED_VALUE"""),"VerifySymbolLookUp")</f>
        <v>VerifySymbolLookUp</v>
      </c>
      <c r="C32" s="3" t="str">
        <f ca="1">IFERROR(__xludf.DUMMYFUNCTION("""COMPUTED_VALUE"""),"1Fe8M8KnrsIcnAobjXa43I9IzXKCnB39xCSYterKkeEc")</f>
        <v>1Fe8M8KnrsIcnAobjXa43I9IzXKCnB39xCSYterKkeEc</v>
      </c>
      <c r="D32" s="3" t="str">
        <f ca="1">IFERROR(__xludf.DUMMYFUNCTION("""COMPUTED_VALUE"""),"")</f>
        <v/>
      </c>
      <c r="E32" s="3" t="str">
        <f ca="1">IFERROR(__xludf.DUMMYFUNCTION("""COMPUTED_VALUE"""),"")</f>
        <v/>
      </c>
      <c r="F32" s="3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3" t="str">
        <f ca="1">IFERROR(__xludf.DUMMYFUNCTION("""COMPUTED_VALUE"""),"SymbolLookup")</f>
        <v>SymbolLookup</v>
      </c>
      <c r="B33" s="3" t="str">
        <f ca="1">IFERROR(__xludf.DUMMYFUNCTION("""COMPUTED_VALUE"""),"SymbolLookupFromTT")</f>
        <v>SymbolLookupFromTT</v>
      </c>
      <c r="C33" s="3" t="str">
        <f ca="1">IFERROR(__xludf.DUMMYFUNCTION("""COMPUTED_VALUE"""),"1qJHd_QH5ht3ZzeFZbKiVeEOBmlpAshwV72N701B28uk")</f>
        <v>1qJHd_QH5ht3ZzeFZbKiVeEOBmlpAshwV72N701B28uk</v>
      </c>
      <c r="D33" s="3" t="str">
        <f ca="1">IFERROR(__xludf.DUMMYFUNCTION("""COMPUTED_VALUE"""),"")</f>
        <v/>
      </c>
      <c r="E33" s="3" t="str">
        <f ca="1">IFERROR(__xludf.DUMMYFUNCTION("""COMPUTED_VALUE"""),"")</f>
        <v/>
      </c>
      <c r="F33" s="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26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3" t="s">
        <v>2</v>
      </c>
      <c r="B1" s="61"/>
      <c r="C1" s="62"/>
    </row>
    <row r="2" spans="1:3" ht="15.75" customHeight="1">
      <c r="A2" s="1"/>
      <c r="B2" s="1"/>
      <c r="C2" s="1"/>
    </row>
    <row r="3" spans="1:3" ht="15.75" customHeight="1">
      <c r="A3" s="2" t="s">
        <v>3</v>
      </c>
      <c r="B3" s="4" t="s">
        <v>4</v>
      </c>
      <c r="C3" s="1"/>
    </row>
    <row r="4" spans="1:3" ht="15.75" customHeight="1">
      <c r="A4" s="6" t="s">
        <v>7</v>
      </c>
      <c r="B4" s="4" t="s">
        <v>9</v>
      </c>
      <c r="C4" s="1"/>
    </row>
    <row r="5" spans="1:3" ht="15.75" customHeight="1">
      <c r="A5" s="8"/>
      <c r="B5" s="1"/>
      <c r="C5" s="1"/>
    </row>
    <row r="6" spans="1:3" ht="15.75" customHeight="1">
      <c r="A6" s="8"/>
      <c r="B6" s="1"/>
      <c r="C6" s="1"/>
    </row>
    <row r="7" spans="1:3" ht="15.75" customHeight="1">
      <c r="A7" s="8"/>
      <c r="B7" s="1"/>
      <c r="C7" s="1"/>
    </row>
    <row r="8" spans="1:3" ht="15.75" customHeight="1">
      <c r="A8" s="8"/>
      <c r="B8" s="1"/>
      <c r="C8" s="1"/>
    </row>
    <row r="9" spans="1:3" ht="15.75" customHeight="1">
      <c r="A9" s="8"/>
      <c r="B9" s="1"/>
      <c r="C9" s="1"/>
    </row>
    <row r="10" spans="1:3" ht="15.75" customHeight="1">
      <c r="A10" s="8"/>
      <c r="B10" s="1"/>
      <c r="C10" s="1"/>
    </row>
    <row r="11" spans="1:3" ht="15.75" customHeight="1">
      <c r="A11" s="8"/>
      <c r="B11" s="1"/>
      <c r="C11" s="1"/>
    </row>
    <row r="12" spans="1:3" ht="15.75" customHeight="1">
      <c r="A12" s="8"/>
      <c r="B12" s="1"/>
      <c r="C12" s="1"/>
    </row>
    <row r="13" spans="1:3" ht="15.75" customHeight="1">
      <c r="A13" s="8"/>
      <c r="B13" s="1"/>
      <c r="C13" s="1"/>
    </row>
    <row r="14" spans="1:3" ht="15.75" customHeight="1">
      <c r="A14" s="8"/>
      <c r="B14" s="1"/>
      <c r="C14" s="1"/>
    </row>
    <row r="15" spans="1:3" ht="15.75" customHeight="1">
      <c r="A15" s="8"/>
      <c r="B15" s="1"/>
      <c r="C15" s="1"/>
    </row>
    <row r="16" spans="1:3" ht="15.75" customHeight="1">
      <c r="A16" s="8"/>
      <c r="B16" s="1"/>
      <c r="C16" s="1"/>
    </row>
    <row r="17" spans="1:3" ht="15.75" customHeight="1">
      <c r="A17" s="8"/>
      <c r="B17" s="1"/>
      <c r="C17" s="1"/>
    </row>
    <row r="18" spans="1:3" ht="15.75" customHeight="1">
      <c r="A18" s="8"/>
      <c r="B18" s="1"/>
      <c r="C18" s="1"/>
    </row>
    <row r="19" spans="1:3" ht="15.75" customHeight="1">
      <c r="A19" s="8"/>
      <c r="B19" s="1"/>
      <c r="C19" s="1"/>
    </row>
    <row r="20" spans="1:3" ht="15.75" customHeight="1">
      <c r="A20" s="8"/>
      <c r="B20" s="1"/>
      <c r="C20" s="1"/>
    </row>
    <row r="21" spans="1:3" ht="15.75" customHeight="1">
      <c r="A21" s="8"/>
      <c r="B21" s="1"/>
      <c r="C21" s="1"/>
    </row>
    <row r="22" spans="1:3" ht="15.75" customHeight="1">
      <c r="A22" s="8"/>
      <c r="B22" s="1"/>
      <c r="C22" s="1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60" t="s">
        <v>1</v>
      </c>
      <c r="B1" s="61"/>
      <c r="C1" s="61"/>
      <c r="D1" s="61"/>
      <c r="E1" s="61"/>
      <c r="F1" s="62"/>
    </row>
    <row r="2" spans="1:26" ht="15" customHeight="1">
      <c r="A2" s="3"/>
      <c r="B2" s="3"/>
      <c r="C2" s="3"/>
      <c r="D2" s="3"/>
      <c r="E2" s="3"/>
      <c r="F2" s="3"/>
    </row>
    <row r="3" spans="1:26" ht="15" customHeight="1">
      <c r="A3" s="6" t="s">
        <v>6</v>
      </c>
      <c r="B3" s="9" t="s">
        <v>8</v>
      </c>
      <c r="C3" s="9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12</v>
      </c>
      <c r="D3" s="2" t="s">
        <v>8</v>
      </c>
      <c r="E3" s="16" t="s">
        <v>16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5" t="s">
        <v>18</v>
      </c>
      <c r="C6" s="28" t="s">
        <v>19</v>
      </c>
      <c r="D6" s="30">
        <v>100</v>
      </c>
      <c r="E6" s="29"/>
      <c r="F6" s="28" t="s">
        <v>20</v>
      </c>
      <c r="G6" s="1"/>
      <c r="H6" s="1"/>
      <c r="I6" s="1"/>
      <c r="J6" s="31">
        <v>20</v>
      </c>
      <c r="K6" s="1"/>
      <c r="L6" s="1"/>
      <c r="M6" s="1"/>
      <c r="N6" s="27">
        <f t="shared" ref="N6:N8" ca="1" si="0">TODAY()-1</f>
        <v>44465</v>
      </c>
      <c r="O6" s="1"/>
      <c r="R6" s="26" t="s">
        <v>21</v>
      </c>
      <c r="S6" s="31">
        <v>20</v>
      </c>
    </row>
    <row r="7" spans="1:154" ht="15.75" customHeight="1">
      <c r="A7" s="1"/>
      <c r="B7" s="28" t="s">
        <v>22</v>
      </c>
      <c r="C7" s="28" t="s">
        <v>23</v>
      </c>
      <c r="D7" s="31">
        <v>100</v>
      </c>
      <c r="E7" s="1"/>
      <c r="F7" s="28" t="s">
        <v>20</v>
      </c>
      <c r="G7" s="1"/>
      <c r="H7" s="1"/>
      <c r="I7" s="1"/>
      <c r="J7" s="31">
        <v>30</v>
      </c>
      <c r="K7" s="1"/>
      <c r="L7" s="1"/>
      <c r="M7" s="1"/>
      <c r="N7" s="27">
        <f t="shared" ca="1" si="0"/>
        <v>44465</v>
      </c>
      <c r="O7" s="1"/>
      <c r="R7" s="26" t="s">
        <v>21</v>
      </c>
      <c r="S7" s="31">
        <v>30</v>
      </c>
    </row>
    <row r="8" spans="1:154" ht="15.75" customHeight="1">
      <c r="A8" s="1"/>
      <c r="B8" s="28" t="s">
        <v>18</v>
      </c>
      <c r="C8" s="32" t="s">
        <v>24</v>
      </c>
      <c r="D8" s="31">
        <v>60</v>
      </c>
      <c r="E8" s="1"/>
      <c r="F8" s="33" t="s">
        <v>20</v>
      </c>
      <c r="G8" s="1"/>
      <c r="H8" s="1"/>
      <c r="I8" s="1"/>
      <c r="J8" s="31">
        <v>25</v>
      </c>
      <c r="K8" s="1"/>
      <c r="L8" s="1"/>
      <c r="M8" s="1"/>
      <c r="N8" s="27">
        <f t="shared" ca="1" si="0"/>
        <v>44465</v>
      </c>
      <c r="O8" s="1"/>
      <c r="R8" s="26" t="s">
        <v>21</v>
      </c>
      <c r="S8" s="31">
        <v>22</v>
      </c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13</v>
      </c>
      <c r="D3" s="2" t="s">
        <v>8</v>
      </c>
      <c r="E3" s="16" t="s">
        <v>14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4">
        <f ca="1">TODAY()-1</f>
        <v>44465</v>
      </c>
      <c r="C6" s="27">
        <f ca="1">TODAY()</f>
        <v>44466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13</v>
      </c>
      <c r="D3" s="2" t="s">
        <v>8</v>
      </c>
      <c r="E3" s="16" t="s">
        <v>26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34" t="s">
        <v>18</v>
      </c>
      <c r="C6" s="35">
        <v>21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36" t="s">
        <v>22</v>
      </c>
      <c r="C7" s="37">
        <v>32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36" t="s">
        <v>27</v>
      </c>
      <c r="C8" s="37">
        <v>198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36" t="s">
        <v>28</v>
      </c>
      <c r="C9" s="37">
        <v>135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25</v>
      </c>
      <c r="D3" s="2" t="s">
        <v>8</v>
      </c>
      <c r="E3" s="16" t="s">
        <v>25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25" t="s">
        <v>27</v>
      </c>
      <c r="C6" s="31">
        <v>199</v>
      </c>
      <c r="D6" s="4"/>
      <c r="E6" s="29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28" t="s">
        <v>28</v>
      </c>
      <c r="C7" s="31">
        <v>134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28" t="s">
        <v>18</v>
      </c>
      <c r="C8" s="31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28" t="s">
        <v>22</v>
      </c>
      <c r="C9" s="31">
        <v>31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29</v>
      </c>
      <c r="D3" s="2" t="s">
        <v>8</v>
      </c>
      <c r="E3" s="16" t="s">
        <v>31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35</v>
      </c>
      <c r="C6" s="27">
        <f ca="1">TODAY()-1</f>
        <v>44465</v>
      </c>
      <c r="D6" s="24">
        <f ca="1">TODAY()</f>
        <v>44466</v>
      </c>
      <c r="E6" s="4" t="s">
        <v>20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29</v>
      </c>
      <c r="D3" s="2" t="s">
        <v>8</v>
      </c>
      <c r="E3" s="16" t="s">
        <v>30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b">
        <v>1</v>
      </c>
      <c r="C6" s="4" t="b">
        <v>0</v>
      </c>
      <c r="D6" s="4" t="s">
        <v>32</v>
      </c>
      <c r="E6" s="4" t="s">
        <v>33</v>
      </c>
      <c r="F6" s="4" t="s">
        <v>34</v>
      </c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60" t="s">
        <v>11</v>
      </c>
      <c r="C1" s="61"/>
      <c r="D1" s="61"/>
      <c r="E1" s="61"/>
      <c r="F1" s="61"/>
      <c r="G1" s="61"/>
      <c r="H1" s="6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1"/>
      <c r="B2" s="1"/>
      <c r="C2" s="1"/>
      <c r="D2" s="1"/>
      <c r="E2" s="1"/>
      <c r="F2" s="1"/>
      <c r="G2" s="1"/>
      <c r="H2" s="1"/>
      <c r="I2" s="1"/>
      <c r="J2" s="14" t="e">
        <f>VLOOKUP($E$3,_MasterData!B4:D1000,3,FALSE)</f>
        <v>#N/A</v>
      </c>
      <c r="K2" s="14"/>
      <c r="L2" s="1"/>
      <c r="M2" s="1"/>
      <c r="N2" s="1"/>
      <c r="O2" s="1"/>
    </row>
    <row r="3" spans="1:154" ht="15.75" customHeight="1">
      <c r="A3" s="15"/>
      <c r="B3" s="2" t="s">
        <v>6</v>
      </c>
      <c r="C3" s="16" t="s">
        <v>36</v>
      </c>
      <c r="D3" s="2" t="s">
        <v>8</v>
      </c>
      <c r="E3" s="16" t="s">
        <v>37</v>
      </c>
      <c r="F3" s="2" t="s">
        <v>15</v>
      </c>
      <c r="G3" s="8" t="s">
        <v>17</v>
      </c>
      <c r="H3" s="2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4"/>
      <c r="B6" s="4" t="s">
        <v>38</v>
      </c>
      <c r="C6" s="4" t="s">
        <v>20</v>
      </c>
      <c r="D6" s="24">
        <f ca="1">TODAY()-1</f>
        <v>44465</v>
      </c>
      <c r="E6" s="24">
        <f ca="1">TODAY()</f>
        <v>44466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4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4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4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4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4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4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4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P1" workbookViewId="0">
      <selection activeCell="BV10" sqref="BV1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4.85546875" customWidth="1"/>
    <col min="64" max="166" width="14.42578125" customWidth="1"/>
  </cols>
  <sheetData>
    <row r="1" spans="1:166" ht="15.75" customHeight="1">
      <c r="A1" s="38"/>
      <c r="B1" s="64" t="s">
        <v>11</v>
      </c>
      <c r="C1" s="61"/>
      <c r="D1" s="61"/>
      <c r="E1" s="61"/>
      <c r="F1" s="61"/>
      <c r="G1" s="61"/>
      <c r="H1" s="62"/>
      <c r="I1" s="38"/>
      <c r="J1" s="38"/>
      <c r="K1" s="38"/>
      <c r="L1" s="38"/>
      <c r="M1" s="38"/>
      <c r="N1" s="38"/>
      <c r="O1" s="38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</row>
    <row r="2" spans="1:166" ht="15.75" customHeight="1">
      <c r="A2" s="40"/>
      <c r="B2" s="40"/>
      <c r="C2" s="40"/>
      <c r="D2" s="40"/>
      <c r="E2" s="40"/>
      <c r="F2" s="40"/>
      <c r="G2" s="40"/>
      <c r="H2" s="40"/>
      <c r="I2" s="40"/>
      <c r="J2" s="41" t="e">
        <f>VLOOKUP($E$3,_MasterData!B4:D1000,3,FALSE)</f>
        <v>#N/A</v>
      </c>
      <c r="K2" s="41"/>
      <c r="L2" s="40"/>
      <c r="M2" s="40"/>
      <c r="N2" s="40"/>
      <c r="O2" s="4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  <c r="DU2" s="42"/>
      <c r="DV2" s="42"/>
      <c r="DW2" s="42"/>
      <c r="DX2" s="42"/>
      <c r="DY2" s="42"/>
      <c r="DZ2" s="42"/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2"/>
      <c r="EY2" s="42"/>
      <c r="EZ2" s="42"/>
      <c r="FA2" s="42"/>
      <c r="FB2" s="42"/>
      <c r="FC2" s="42"/>
      <c r="FD2" s="42"/>
      <c r="FE2" s="42"/>
      <c r="FF2" s="42"/>
      <c r="FG2" s="42"/>
      <c r="FH2" s="42"/>
      <c r="FI2" s="42"/>
      <c r="FJ2" s="42"/>
    </row>
    <row r="3" spans="1:166" ht="15.75" customHeight="1">
      <c r="A3" s="43"/>
      <c r="B3" s="44" t="s">
        <v>6</v>
      </c>
      <c r="C3" s="45" t="s">
        <v>39</v>
      </c>
      <c r="D3" s="44" t="s">
        <v>8</v>
      </c>
      <c r="E3" s="45" t="s">
        <v>40</v>
      </c>
      <c r="F3" s="44" t="s">
        <v>15</v>
      </c>
      <c r="G3" s="46" t="s">
        <v>17</v>
      </c>
      <c r="H3" s="44"/>
      <c r="I3" s="43"/>
      <c r="J3" s="43"/>
      <c r="K3" s="43"/>
      <c r="L3" s="43"/>
      <c r="M3" s="43"/>
      <c r="N3" s="43"/>
      <c r="O3" s="43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7"/>
      <c r="BK3" s="47"/>
      <c r="BL3" s="47"/>
      <c r="BM3" s="47"/>
      <c r="BN3" s="47"/>
      <c r="BO3" s="47"/>
      <c r="BP3" s="47"/>
      <c r="BQ3" s="47"/>
      <c r="BR3" s="47"/>
      <c r="BS3" s="47"/>
      <c r="BT3" s="47"/>
      <c r="BU3" s="47"/>
      <c r="BV3" s="47"/>
      <c r="BW3" s="47"/>
      <c r="BX3" s="47"/>
      <c r="BY3" s="47"/>
      <c r="BZ3" s="47"/>
      <c r="CA3" s="47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  <c r="CT3" s="47"/>
      <c r="CU3" s="47"/>
      <c r="CV3" s="47"/>
      <c r="CW3" s="47"/>
      <c r="CX3" s="47"/>
      <c r="CY3" s="47"/>
      <c r="CZ3" s="47"/>
      <c r="DA3" s="47"/>
      <c r="DB3" s="47"/>
      <c r="DC3" s="47"/>
      <c r="DD3" s="47"/>
      <c r="DE3" s="47"/>
      <c r="DF3" s="47"/>
      <c r="DG3" s="47"/>
      <c r="DH3" s="47"/>
      <c r="DI3" s="47"/>
      <c r="DJ3" s="47"/>
      <c r="DK3" s="47"/>
      <c r="DL3" s="47"/>
      <c r="DM3" s="47"/>
      <c r="DN3" s="47"/>
      <c r="DO3" s="47"/>
      <c r="DP3" s="47"/>
      <c r="DQ3" s="47"/>
      <c r="DR3" s="47"/>
      <c r="DS3" s="47"/>
      <c r="DT3" s="47"/>
      <c r="DU3" s="47"/>
      <c r="DV3" s="47"/>
      <c r="DW3" s="47"/>
      <c r="DX3" s="47"/>
      <c r="DY3" s="47"/>
      <c r="DZ3" s="47"/>
      <c r="EA3" s="47"/>
      <c r="EB3" s="47"/>
      <c r="EC3" s="47"/>
      <c r="ED3" s="47"/>
      <c r="EE3" s="47"/>
      <c r="EF3" s="47"/>
      <c r="EG3" s="47"/>
      <c r="EH3" s="47"/>
      <c r="EI3" s="47"/>
      <c r="EJ3" s="47"/>
      <c r="EK3" s="47"/>
      <c r="EL3" s="47"/>
      <c r="EM3" s="47"/>
      <c r="EN3" s="47"/>
      <c r="EO3" s="47"/>
      <c r="EP3" s="47"/>
      <c r="EQ3" s="47"/>
      <c r="ER3" s="47"/>
      <c r="ES3" s="47"/>
      <c r="ET3" s="47"/>
      <c r="EU3" s="47"/>
      <c r="EV3" s="47"/>
      <c r="EW3" s="47"/>
      <c r="EX3" s="47"/>
      <c r="EY3" s="47"/>
      <c r="EZ3" s="47"/>
      <c r="FA3" s="47"/>
      <c r="FB3" s="47"/>
      <c r="FC3" s="47"/>
      <c r="FD3" s="47"/>
      <c r="FE3" s="47"/>
      <c r="FF3" s="47"/>
      <c r="FG3" s="47"/>
      <c r="FH3" s="47"/>
      <c r="FI3" s="47"/>
      <c r="FJ3" s="47"/>
    </row>
    <row r="4" spans="1:166" ht="15.75" customHeight="1">
      <c r="A4" s="48"/>
      <c r="B4" s="48" t="str">
        <f ca="1">IFERROR(__xludf.DUMMYFUNCTION("IF(C3="""","""",Transpose(IMPORTRANGE('_Settings'!$B$3,C3&amp;""!A4:A1000"")))"),"CheckDashboardPM")</f>
        <v>CheckDashboardPM</v>
      </c>
      <c r="C4" s="48" t="str">
        <f ca="1">IFERROR(__xludf.DUMMYFUNCTION("""COMPUTED_VALUE"""),"CheckPortfolioManagement")</f>
        <v>CheckPortfolioManagement</v>
      </c>
      <c r="D4" s="48" t="str">
        <f ca="1">IFERROR(__xludf.DUMMYFUNCTION("""COMPUTED_VALUE"""),"OpenPSTFromPM")</f>
        <v>OpenPSTFromPM</v>
      </c>
      <c r="E4" s="48" t="str">
        <f ca="1">IFERROR(__xludf.DUMMYFUNCTION("""COMPUTED_VALUE"""),"ClosePM")</f>
        <v>ClosePM</v>
      </c>
      <c r="F4" s="48" t="str">
        <f ca="1">IFERROR(__xludf.DUMMYFUNCTION("""COMPUTED_VALUE"""),"FilterPM")</f>
        <v>FilterPM</v>
      </c>
      <c r="G4" s="48" t="str">
        <f ca="1">IFERROR(__xludf.DUMMYFUNCTION("""COMPUTED_VALUE"""),"GroupRowPM")</f>
        <v>GroupRowPM</v>
      </c>
      <c r="H4" s="48" t="str">
        <f ca="1">IFERROR(__xludf.DUMMYFUNCTION("""COMPUTED_VALUE"""),"CheckDashboardWithPM")</f>
        <v>CheckDashboardWithPM</v>
      </c>
      <c r="I4" s="48" t="str">
        <f ca="1">IFERROR(__xludf.DUMMYFUNCTION("""COMPUTED_VALUE"""),"RemoveFilterPM")</f>
        <v>RemoveFilterPM</v>
      </c>
      <c r="J4" s="48" t="str">
        <f ca="1">IFERROR(__xludf.DUMMYFUNCTION("""COMPUTED_VALUE"""),"CheckSummaryRowsPM")</f>
        <v>CheckSummaryRowsPM</v>
      </c>
      <c r="K4" s="48" t="str">
        <f ca="1">IFERROR(__xludf.DUMMYFUNCTION("""COMPUTED_VALUE"""),"OpenPTTFromPM")</f>
        <v>OpenPTTFromPM</v>
      </c>
      <c r="L4" s="48" t="str">
        <f ca="1">IFERROR(__xludf.DUMMYFUNCTION("""COMPUTED_VALUE"""),"OpenCreateTransactionFromPM")</f>
        <v>OpenCreateTransactionFromPM</v>
      </c>
      <c r="M4" s="48" t="str">
        <f ca="1">IFERROR(__xludf.DUMMYFUNCTION("""COMPUTED_VALUE"""),"OpenClosingFromPM")</f>
        <v>OpenClosingFromPM</v>
      </c>
      <c r="N4" s="48" t="str">
        <f ca="1">IFERROR(__xludf.DUMMYFUNCTION("""COMPUTED_VALUE"""),"OpenCorporateActionFromPM")</f>
        <v>OpenCorporateActionFromPM</v>
      </c>
      <c r="O4" s="48" t="str">
        <f ca="1">IFERROR(__xludf.DUMMYFUNCTION("""COMPUTED_VALUE"""),"OpenDailyValuationFromPM")</f>
        <v>OpenDailyValuationFromPM</v>
      </c>
      <c r="P4" s="49" t="str">
        <f ca="1">IFERROR(__xludf.DUMMYFUNCTION("""COMPUTED_VALUE"""),"ClosePositionFromPM")</f>
        <v>ClosePositionFromPM</v>
      </c>
      <c r="Q4" s="49" t="str">
        <f ca="1">IFERROR(__xludf.DUMMYFUNCTION("""COMPUTED_VALUE"""),"ShowSummaryToolFromPM")</f>
        <v>ShowSummaryToolFromPM</v>
      </c>
      <c r="R4" s="49" t="str">
        <f ca="1">IFERROR(__xludf.DUMMYFUNCTION("""COMPUTED_VALUE"""),"HideSummaryToolFromPM")</f>
        <v>HideSummaryToolFromPM</v>
      </c>
      <c r="S4" s="49" t="str">
        <f ca="1">IFERROR(__xludf.DUMMYFUNCTION("""COMPUTED_VALUE"""),"CloseAccountPositionFromPM")</f>
        <v>CloseAccountPositionFromPM</v>
      </c>
      <c r="T4" s="49" t="str">
        <f ca="1">IFERROR(__xludf.DUMMYFUNCTION("""COMPUTED_VALUE"""),"CloseSelectedTaxlotsFromPM")</f>
        <v>CloseSelectedTaxlotsFromPM</v>
      </c>
      <c r="U4" s="49" t="str">
        <f ca="1">IFERROR(__xludf.DUMMYFUNCTION("""COMPUTED_VALUE"""),"ExpandCollapsePM")</f>
        <v>ExpandCollapsePM</v>
      </c>
      <c r="V4" s="49" t="str">
        <f ca="1">IFERROR(__xludf.DUMMYFUNCTION("""COMPUTED_VALUE"""),"AddCustomViewPM")</f>
        <v>AddCustomViewPM</v>
      </c>
      <c r="W4" s="49" t="str">
        <f ca="1">IFERROR(__xludf.DUMMYFUNCTION("""COMPUTED_VALUE"""),"AddCustomViewRightClickPM")</f>
        <v>AddCustomViewRightClickPM</v>
      </c>
      <c r="X4" s="49" t="str">
        <f ca="1">IFERROR(__xludf.DUMMYFUNCTION("""COMPUTED_VALUE"""),"RenameCustomViewPM")</f>
        <v>RenameCustomViewPM</v>
      </c>
      <c r="Y4" s="49" t="str">
        <f ca="1">IFERROR(__xludf.DUMMYFUNCTION("""COMPUTED_VALUE"""),"DeleteCustomViewPM")</f>
        <v>DeleteCustomViewPM</v>
      </c>
      <c r="Z4" s="49" t="str">
        <f ca="1">IFERROR(__xludf.DUMMYFUNCTION("""COMPUTED_VALUE"""),"")</f>
        <v/>
      </c>
      <c r="AA4" s="49" t="str">
        <f ca="1">IFERROR(__xludf.DUMMYFUNCTION("""COMPUTED_VALUE"""),"")</f>
        <v/>
      </c>
      <c r="AB4" s="49" t="str">
        <f ca="1">IFERROR(__xludf.DUMMYFUNCTION("""COMPUTED_VALUE"""),"")</f>
        <v/>
      </c>
      <c r="AC4" s="49" t="str">
        <f ca="1">IFERROR(__xludf.DUMMYFUNCTION("""COMPUTED_VALUE"""),"")</f>
        <v/>
      </c>
      <c r="AD4" s="49" t="str">
        <f ca="1">IFERROR(__xludf.DUMMYFUNCTION("""COMPUTED_VALUE"""),"")</f>
        <v/>
      </c>
      <c r="AE4" s="49" t="str">
        <f ca="1">IFERROR(__xludf.DUMMYFUNCTION("""COMPUTED_VALUE"""),"")</f>
        <v/>
      </c>
      <c r="AF4" s="49" t="str">
        <f ca="1">IFERROR(__xludf.DUMMYFUNCTION("""COMPUTED_VALUE"""),"")</f>
        <v/>
      </c>
      <c r="AG4" s="49" t="str">
        <f ca="1">IFERROR(__xludf.DUMMYFUNCTION("""COMPUTED_VALUE"""),"")</f>
        <v/>
      </c>
      <c r="AH4" s="49" t="str">
        <f ca="1">IFERROR(__xludf.DUMMYFUNCTION("""COMPUTED_VALUE"""),"")</f>
        <v/>
      </c>
      <c r="AI4" s="49" t="str">
        <f ca="1">IFERROR(__xludf.DUMMYFUNCTION("""COMPUTED_VALUE"""),"")</f>
        <v/>
      </c>
      <c r="AJ4" s="49" t="str">
        <f ca="1">IFERROR(__xludf.DUMMYFUNCTION("""COMPUTED_VALUE"""),"")</f>
        <v/>
      </c>
      <c r="AK4" s="49" t="str">
        <f ca="1">IFERROR(__xludf.DUMMYFUNCTION("""COMPUTED_VALUE"""),"")</f>
        <v/>
      </c>
      <c r="AL4" s="49" t="str">
        <f ca="1">IFERROR(__xludf.DUMMYFUNCTION("""COMPUTED_VALUE"""),"")</f>
        <v/>
      </c>
      <c r="AM4" s="49" t="str">
        <f ca="1">IFERROR(__xludf.DUMMYFUNCTION("""COMPUTED_VALUE"""),"")</f>
        <v/>
      </c>
      <c r="AN4" s="49" t="str">
        <f ca="1">IFERROR(__xludf.DUMMYFUNCTION("""COMPUTED_VALUE"""),"")</f>
        <v/>
      </c>
      <c r="AO4" s="49" t="str">
        <f ca="1">IFERROR(__xludf.DUMMYFUNCTION("""COMPUTED_VALUE"""),"")</f>
        <v/>
      </c>
      <c r="AP4" s="49" t="str">
        <f ca="1">IFERROR(__xludf.DUMMYFUNCTION("""COMPUTED_VALUE"""),"")</f>
        <v/>
      </c>
      <c r="AQ4" s="49" t="str">
        <f ca="1">IFERROR(__xludf.DUMMYFUNCTION("""COMPUTED_VALUE"""),"")</f>
        <v/>
      </c>
      <c r="AR4" s="49" t="str">
        <f ca="1">IFERROR(__xludf.DUMMYFUNCTION("""COMPUTED_VALUE"""),"")</f>
        <v/>
      </c>
      <c r="AS4" s="49" t="str">
        <f ca="1">IFERROR(__xludf.DUMMYFUNCTION("""COMPUTED_VALUE"""),"")</f>
        <v/>
      </c>
      <c r="AT4" s="49" t="str">
        <f ca="1">IFERROR(__xludf.DUMMYFUNCTION("""COMPUTED_VALUE"""),"")</f>
        <v/>
      </c>
      <c r="AU4" s="49" t="str">
        <f ca="1">IFERROR(__xludf.DUMMYFUNCTION("""COMPUTED_VALUE"""),"")</f>
        <v/>
      </c>
      <c r="AV4" s="49" t="str">
        <f ca="1">IFERROR(__xludf.DUMMYFUNCTION("""COMPUTED_VALUE"""),"")</f>
        <v/>
      </c>
      <c r="AW4" s="49" t="str">
        <f ca="1">IFERROR(__xludf.DUMMYFUNCTION("""COMPUTED_VALUE"""),"")</f>
        <v/>
      </c>
      <c r="AX4" s="49" t="str">
        <f ca="1">IFERROR(__xludf.DUMMYFUNCTION("""COMPUTED_VALUE"""),"")</f>
        <v/>
      </c>
      <c r="AY4" s="49" t="str">
        <f ca="1">IFERROR(__xludf.DUMMYFUNCTION("""COMPUTED_VALUE"""),"")</f>
        <v/>
      </c>
      <c r="AZ4" s="49" t="str">
        <f ca="1">IFERROR(__xludf.DUMMYFUNCTION("""COMPUTED_VALUE"""),"")</f>
        <v/>
      </c>
      <c r="BA4" s="49" t="str">
        <f ca="1">IFERROR(__xludf.DUMMYFUNCTION("""COMPUTED_VALUE"""),"")</f>
        <v/>
      </c>
      <c r="BB4" s="49" t="str">
        <f ca="1">IFERROR(__xludf.DUMMYFUNCTION("""COMPUTED_VALUE"""),"")</f>
        <v/>
      </c>
      <c r="BC4" s="49" t="str">
        <f ca="1">IFERROR(__xludf.DUMMYFUNCTION("""COMPUTED_VALUE"""),"")</f>
        <v/>
      </c>
      <c r="BD4" s="49" t="str">
        <f ca="1">IFERROR(__xludf.DUMMYFUNCTION("""COMPUTED_VALUE"""),"")</f>
        <v/>
      </c>
      <c r="BE4" s="49" t="str">
        <f ca="1">IFERROR(__xludf.DUMMYFUNCTION("""COMPUTED_VALUE"""),"")</f>
        <v/>
      </c>
      <c r="BF4" s="49" t="str">
        <f ca="1">IFERROR(__xludf.DUMMYFUNCTION("""COMPUTED_VALUE"""),"")</f>
        <v/>
      </c>
      <c r="BG4" s="49" t="str">
        <f ca="1">IFERROR(__xludf.DUMMYFUNCTION("""COMPUTED_VALUE"""),"")</f>
        <v/>
      </c>
      <c r="BH4" s="49" t="str">
        <f ca="1">IFERROR(__xludf.DUMMYFUNCTION("""COMPUTED_VALUE"""),"")</f>
        <v/>
      </c>
      <c r="BI4" s="49" t="str">
        <f ca="1">IFERROR(__xludf.DUMMYFUNCTION("""COMPUTED_VALUE"""),"")</f>
        <v/>
      </c>
      <c r="BJ4" s="49" t="str">
        <f ca="1">IFERROR(__xludf.DUMMYFUNCTION("""COMPUTED_VALUE"""),"")</f>
        <v/>
      </c>
      <c r="BK4" s="49" t="str">
        <f ca="1">IFERROR(__xludf.DUMMYFUNCTION("""COMPUTED_VALUE"""),"")</f>
        <v/>
      </c>
      <c r="BL4" s="49" t="str">
        <f ca="1">IFERROR(__xludf.DUMMYFUNCTION("""COMPUTED_VALUE"""),"")</f>
        <v/>
      </c>
      <c r="BM4" s="49" t="str">
        <f ca="1">IFERROR(__xludf.DUMMYFUNCTION("""COMPUTED_VALUE"""),"")</f>
        <v/>
      </c>
      <c r="BN4" s="49" t="str">
        <f ca="1">IFERROR(__xludf.DUMMYFUNCTION("""COMPUTED_VALUE"""),"")</f>
        <v/>
      </c>
      <c r="BO4" s="49" t="str">
        <f ca="1">IFERROR(__xludf.DUMMYFUNCTION("""COMPUTED_VALUE"""),"")</f>
        <v/>
      </c>
      <c r="BP4" s="49" t="str">
        <f ca="1">IFERROR(__xludf.DUMMYFUNCTION("""COMPUTED_VALUE"""),"")</f>
        <v/>
      </c>
      <c r="BQ4" s="49" t="str">
        <f ca="1">IFERROR(__xludf.DUMMYFUNCTION("""COMPUTED_VALUE"""),"")</f>
        <v/>
      </c>
      <c r="BR4" s="49" t="str">
        <f ca="1">IFERROR(__xludf.DUMMYFUNCTION("""COMPUTED_VALUE"""),"")</f>
        <v/>
      </c>
      <c r="BS4" s="49" t="str">
        <f ca="1">IFERROR(__xludf.DUMMYFUNCTION("""COMPUTED_VALUE"""),"")</f>
        <v/>
      </c>
      <c r="BT4" s="49" t="str">
        <f ca="1">IFERROR(__xludf.DUMMYFUNCTION("""COMPUTED_VALUE"""),"")</f>
        <v/>
      </c>
      <c r="BU4" s="49" t="str">
        <f ca="1">IFERROR(__xludf.DUMMYFUNCTION("""COMPUTED_VALUE"""),"")</f>
        <v/>
      </c>
      <c r="BV4" s="49" t="str">
        <f ca="1">IFERROR(__xludf.DUMMYFUNCTION("""COMPUTED_VALUE"""),"")</f>
        <v/>
      </c>
      <c r="BW4" s="49" t="str">
        <f ca="1">IFERROR(__xludf.DUMMYFUNCTION("""COMPUTED_VALUE"""),"")</f>
        <v/>
      </c>
      <c r="BX4" s="49" t="str">
        <f ca="1">IFERROR(__xludf.DUMMYFUNCTION("""COMPUTED_VALUE"""),"")</f>
        <v/>
      </c>
      <c r="BY4" s="49" t="str">
        <f ca="1">IFERROR(__xludf.DUMMYFUNCTION("""COMPUTED_VALUE"""),"")</f>
        <v/>
      </c>
      <c r="BZ4" s="49" t="str">
        <f ca="1">IFERROR(__xludf.DUMMYFUNCTION("""COMPUTED_VALUE"""),"")</f>
        <v/>
      </c>
      <c r="CA4" s="49" t="str">
        <f ca="1">IFERROR(__xludf.DUMMYFUNCTION("""COMPUTED_VALUE"""),"")</f>
        <v/>
      </c>
      <c r="CB4" s="49" t="str">
        <f ca="1">IFERROR(__xludf.DUMMYFUNCTION("""COMPUTED_VALUE"""),"")</f>
        <v/>
      </c>
      <c r="CC4" s="49" t="str">
        <f ca="1">IFERROR(__xludf.DUMMYFUNCTION("""COMPUTED_VALUE"""),"")</f>
        <v/>
      </c>
      <c r="CD4" s="49" t="str">
        <f ca="1">IFERROR(__xludf.DUMMYFUNCTION("""COMPUTED_VALUE"""),"")</f>
        <v/>
      </c>
      <c r="CE4" s="49" t="str">
        <f ca="1">IFERROR(__xludf.DUMMYFUNCTION("""COMPUTED_VALUE"""),"")</f>
        <v/>
      </c>
      <c r="CF4" s="49" t="str">
        <f ca="1">IFERROR(__xludf.DUMMYFUNCTION("""COMPUTED_VALUE"""),"")</f>
        <v/>
      </c>
      <c r="CG4" s="49" t="str">
        <f ca="1">IFERROR(__xludf.DUMMYFUNCTION("""COMPUTED_VALUE"""),"")</f>
        <v/>
      </c>
      <c r="CH4" s="49" t="str">
        <f ca="1">IFERROR(__xludf.DUMMYFUNCTION("""COMPUTED_VALUE"""),"")</f>
        <v/>
      </c>
      <c r="CI4" s="49" t="str">
        <f ca="1">IFERROR(__xludf.DUMMYFUNCTION("""COMPUTED_VALUE"""),"")</f>
        <v/>
      </c>
      <c r="CJ4" s="49" t="str">
        <f ca="1">IFERROR(__xludf.DUMMYFUNCTION("""COMPUTED_VALUE"""),"")</f>
        <v/>
      </c>
      <c r="CK4" s="49" t="str">
        <f ca="1">IFERROR(__xludf.DUMMYFUNCTION("""COMPUTED_VALUE"""),"")</f>
        <v/>
      </c>
      <c r="CL4" s="49" t="str">
        <f ca="1">IFERROR(__xludf.DUMMYFUNCTION("""COMPUTED_VALUE"""),"")</f>
        <v/>
      </c>
      <c r="CM4" s="49" t="str">
        <f ca="1">IFERROR(__xludf.DUMMYFUNCTION("""COMPUTED_VALUE"""),"")</f>
        <v/>
      </c>
      <c r="CN4" s="49" t="str">
        <f ca="1">IFERROR(__xludf.DUMMYFUNCTION("""COMPUTED_VALUE"""),"")</f>
        <v/>
      </c>
      <c r="CO4" s="49" t="str">
        <f ca="1">IFERROR(__xludf.DUMMYFUNCTION("""COMPUTED_VALUE"""),"")</f>
        <v/>
      </c>
      <c r="CP4" s="49" t="str">
        <f ca="1">IFERROR(__xludf.DUMMYFUNCTION("""COMPUTED_VALUE"""),"")</f>
        <v/>
      </c>
      <c r="CQ4" s="49" t="str">
        <f ca="1">IFERROR(__xludf.DUMMYFUNCTION("""COMPUTED_VALUE"""),"")</f>
        <v/>
      </c>
      <c r="CR4" s="49" t="str">
        <f ca="1">IFERROR(__xludf.DUMMYFUNCTION("""COMPUTED_VALUE"""),"")</f>
        <v/>
      </c>
      <c r="CS4" s="49" t="str">
        <f ca="1">IFERROR(__xludf.DUMMYFUNCTION("""COMPUTED_VALUE"""),"")</f>
        <v/>
      </c>
      <c r="CT4" s="49" t="str">
        <f ca="1">IFERROR(__xludf.DUMMYFUNCTION("""COMPUTED_VALUE"""),"")</f>
        <v/>
      </c>
      <c r="CU4" s="49" t="str">
        <f ca="1">IFERROR(__xludf.DUMMYFUNCTION("""COMPUTED_VALUE"""),"")</f>
        <v/>
      </c>
      <c r="CV4" s="49" t="str">
        <f ca="1">IFERROR(__xludf.DUMMYFUNCTION("""COMPUTED_VALUE"""),"")</f>
        <v/>
      </c>
      <c r="CW4" s="49" t="str">
        <f ca="1">IFERROR(__xludf.DUMMYFUNCTION("""COMPUTED_VALUE"""),"")</f>
        <v/>
      </c>
      <c r="CX4" s="49" t="str">
        <f ca="1">IFERROR(__xludf.DUMMYFUNCTION("""COMPUTED_VALUE"""),"")</f>
        <v/>
      </c>
      <c r="CY4" s="49" t="str">
        <f ca="1">IFERROR(__xludf.DUMMYFUNCTION("""COMPUTED_VALUE"""),"")</f>
        <v/>
      </c>
      <c r="CZ4" s="49" t="str">
        <f ca="1">IFERROR(__xludf.DUMMYFUNCTION("""COMPUTED_VALUE"""),"")</f>
        <v/>
      </c>
      <c r="DA4" s="49" t="str">
        <f ca="1">IFERROR(__xludf.DUMMYFUNCTION("""COMPUTED_VALUE"""),"")</f>
        <v/>
      </c>
      <c r="DB4" s="49" t="str">
        <f ca="1">IFERROR(__xludf.DUMMYFUNCTION("""COMPUTED_VALUE"""),"")</f>
        <v/>
      </c>
      <c r="DC4" s="49" t="str">
        <f ca="1">IFERROR(__xludf.DUMMYFUNCTION("""COMPUTED_VALUE"""),"")</f>
        <v/>
      </c>
      <c r="DD4" s="49" t="str">
        <f ca="1">IFERROR(__xludf.DUMMYFUNCTION("""COMPUTED_VALUE"""),"")</f>
        <v/>
      </c>
      <c r="DE4" s="49" t="str">
        <f ca="1">IFERROR(__xludf.DUMMYFUNCTION("""COMPUTED_VALUE"""),"")</f>
        <v/>
      </c>
      <c r="DF4" s="49" t="str">
        <f ca="1">IFERROR(__xludf.DUMMYFUNCTION("""COMPUTED_VALUE"""),"")</f>
        <v/>
      </c>
      <c r="DG4" s="49" t="str">
        <f ca="1">IFERROR(__xludf.DUMMYFUNCTION("""COMPUTED_VALUE"""),"")</f>
        <v/>
      </c>
      <c r="DH4" s="49" t="str">
        <f ca="1">IFERROR(__xludf.DUMMYFUNCTION("""COMPUTED_VALUE"""),"")</f>
        <v/>
      </c>
      <c r="DI4" s="49" t="str">
        <f ca="1">IFERROR(__xludf.DUMMYFUNCTION("""COMPUTED_VALUE"""),"")</f>
        <v/>
      </c>
      <c r="DJ4" s="49" t="str">
        <f ca="1">IFERROR(__xludf.DUMMYFUNCTION("""COMPUTED_VALUE"""),"")</f>
        <v/>
      </c>
      <c r="DK4" s="49" t="str">
        <f ca="1">IFERROR(__xludf.DUMMYFUNCTION("""COMPUTED_VALUE"""),"")</f>
        <v/>
      </c>
      <c r="DL4" s="49" t="str">
        <f ca="1">IFERROR(__xludf.DUMMYFUNCTION("""COMPUTED_VALUE"""),"")</f>
        <v/>
      </c>
      <c r="DM4" s="49" t="str">
        <f ca="1">IFERROR(__xludf.DUMMYFUNCTION("""COMPUTED_VALUE"""),"")</f>
        <v/>
      </c>
      <c r="DN4" s="49" t="str">
        <f ca="1">IFERROR(__xludf.DUMMYFUNCTION("""COMPUTED_VALUE"""),"")</f>
        <v/>
      </c>
      <c r="DO4" s="49" t="str">
        <f ca="1">IFERROR(__xludf.DUMMYFUNCTION("""COMPUTED_VALUE"""),"")</f>
        <v/>
      </c>
      <c r="DP4" s="49" t="str">
        <f ca="1">IFERROR(__xludf.DUMMYFUNCTION("""COMPUTED_VALUE"""),"")</f>
        <v/>
      </c>
      <c r="DQ4" s="49" t="str">
        <f ca="1">IFERROR(__xludf.DUMMYFUNCTION("""COMPUTED_VALUE"""),"")</f>
        <v/>
      </c>
      <c r="DR4" s="49" t="str">
        <f ca="1">IFERROR(__xludf.DUMMYFUNCTION("""COMPUTED_VALUE"""),"")</f>
        <v/>
      </c>
      <c r="DS4" s="49" t="str">
        <f ca="1">IFERROR(__xludf.DUMMYFUNCTION("""COMPUTED_VALUE"""),"")</f>
        <v/>
      </c>
      <c r="DT4" s="49" t="str">
        <f ca="1">IFERROR(__xludf.DUMMYFUNCTION("""COMPUTED_VALUE"""),"")</f>
        <v/>
      </c>
      <c r="DU4" s="49" t="str">
        <f ca="1">IFERROR(__xludf.DUMMYFUNCTION("""COMPUTED_VALUE"""),"")</f>
        <v/>
      </c>
      <c r="DV4" s="49" t="str">
        <f ca="1">IFERROR(__xludf.DUMMYFUNCTION("""COMPUTED_VALUE"""),"")</f>
        <v/>
      </c>
      <c r="DW4" s="49" t="str">
        <f ca="1">IFERROR(__xludf.DUMMYFUNCTION("""COMPUTED_VALUE"""),"")</f>
        <v/>
      </c>
      <c r="DX4" s="49" t="str">
        <f ca="1">IFERROR(__xludf.DUMMYFUNCTION("""COMPUTED_VALUE"""),"")</f>
        <v/>
      </c>
      <c r="DY4" s="49" t="str">
        <f ca="1">IFERROR(__xludf.DUMMYFUNCTION("""COMPUTED_VALUE"""),"")</f>
        <v/>
      </c>
      <c r="DZ4" s="49" t="str">
        <f ca="1">IFERROR(__xludf.DUMMYFUNCTION("""COMPUTED_VALUE"""),"")</f>
        <v/>
      </c>
      <c r="EA4" s="49" t="str">
        <f ca="1">IFERROR(__xludf.DUMMYFUNCTION("""COMPUTED_VALUE"""),"")</f>
        <v/>
      </c>
      <c r="EB4" s="49" t="str">
        <f ca="1">IFERROR(__xludf.DUMMYFUNCTION("""COMPUTED_VALUE"""),"")</f>
        <v/>
      </c>
      <c r="EC4" s="49" t="str">
        <f ca="1">IFERROR(__xludf.DUMMYFUNCTION("""COMPUTED_VALUE"""),"")</f>
        <v/>
      </c>
      <c r="ED4" s="49" t="str">
        <f ca="1">IFERROR(__xludf.DUMMYFUNCTION("""COMPUTED_VALUE"""),"")</f>
        <v/>
      </c>
      <c r="EE4" s="49" t="str">
        <f ca="1">IFERROR(__xludf.DUMMYFUNCTION("""COMPUTED_VALUE"""),"")</f>
        <v/>
      </c>
      <c r="EF4" s="49" t="str">
        <f ca="1">IFERROR(__xludf.DUMMYFUNCTION("""COMPUTED_VALUE"""),"")</f>
        <v/>
      </c>
      <c r="EG4" s="49" t="str">
        <f ca="1">IFERROR(__xludf.DUMMYFUNCTION("""COMPUTED_VALUE"""),"")</f>
        <v/>
      </c>
      <c r="EH4" s="49" t="str">
        <f ca="1">IFERROR(__xludf.DUMMYFUNCTION("""COMPUTED_VALUE"""),"")</f>
        <v/>
      </c>
      <c r="EI4" s="49" t="str">
        <f ca="1">IFERROR(__xludf.DUMMYFUNCTION("""COMPUTED_VALUE"""),"")</f>
        <v/>
      </c>
      <c r="EJ4" s="49" t="str">
        <f ca="1">IFERROR(__xludf.DUMMYFUNCTION("""COMPUTED_VALUE"""),"")</f>
        <v/>
      </c>
      <c r="EK4" s="49" t="str">
        <f ca="1">IFERROR(__xludf.DUMMYFUNCTION("""COMPUTED_VALUE"""),"")</f>
        <v/>
      </c>
      <c r="EL4" s="49" t="str">
        <f ca="1">IFERROR(__xludf.DUMMYFUNCTION("""COMPUTED_VALUE"""),"")</f>
        <v/>
      </c>
      <c r="EM4" s="49" t="str">
        <f ca="1">IFERROR(__xludf.DUMMYFUNCTION("""COMPUTED_VALUE"""),"")</f>
        <v/>
      </c>
      <c r="EN4" s="49" t="str">
        <f ca="1">IFERROR(__xludf.DUMMYFUNCTION("""COMPUTED_VALUE"""),"")</f>
        <v/>
      </c>
      <c r="EO4" s="49" t="str">
        <f ca="1">IFERROR(__xludf.DUMMYFUNCTION("""COMPUTED_VALUE"""),"")</f>
        <v/>
      </c>
      <c r="EP4" s="49" t="str">
        <f ca="1">IFERROR(__xludf.DUMMYFUNCTION("""COMPUTED_VALUE"""),"")</f>
        <v/>
      </c>
      <c r="EQ4" s="49" t="str">
        <f ca="1">IFERROR(__xludf.DUMMYFUNCTION("""COMPUTED_VALUE"""),"")</f>
        <v/>
      </c>
      <c r="ER4" s="49" t="str">
        <f ca="1">IFERROR(__xludf.DUMMYFUNCTION("""COMPUTED_VALUE"""),"")</f>
        <v/>
      </c>
      <c r="ES4" s="49" t="str">
        <f ca="1">IFERROR(__xludf.DUMMYFUNCTION("""COMPUTED_VALUE"""),"")</f>
        <v/>
      </c>
      <c r="ET4" s="49" t="str">
        <f ca="1">IFERROR(__xludf.DUMMYFUNCTION("""COMPUTED_VALUE"""),"")</f>
        <v/>
      </c>
      <c r="EU4" s="49" t="str">
        <f ca="1">IFERROR(__xludf.DUMMYFUNCTION("""COMPUTED_VALUE"""),"")</f>
        <v/>
      </c>
      <c r="EV4" s="49" t="str">
        <f ca="1">IFERROR(__xludf.DUMMYFUNCTION("""COMPUTED_VALUE"""),"")</f>
        <v/>
      </c>
      <c r="EW4" s="49" t="str">
        <f ca="1">IFERROR(__xludf.DUMMYFUNCTION("""COMPUTED_VALUE"""),"")</f>
        <v/>
      </c>
      <c r="EX4" s="49" t="str">
        <f ca="1">IFERROR(__xludf.DUMMYFUNCTION("""COMPUTED_VALUE"""),"")</f>
        <v/>
      </c>
      <c r="EY4" s="49" t="str">
        <f ca="1">IFERROR(__xludf.DUMMYFUNCTION("""COMPUTED_VALUE"""),"")</f>
        <v/>
      </c>
      <c r="EZ4" s="49" t="str">
        <f ca="1">IFERROR(__xludf.DUMMYFUNCTION("""COMPUTED_VALUE"""),"")</f>
        <v/>
      </c>
      <c r="FA4" s="49" t="str">
        <f ca="1">IFERROR(__xludf.DUMMYFUNCTION("""COMPUTED_VALUE"""),"")</f>
        <v/>
      </c>
      <c r="FB4" s="49" t="str">
        <f ca="1">IFERROR(__xludf.DUMMYFUNCTION("""COMPUTED_VALUE"""),"")</f>
        <v/>
      </c>
      <c r="FC4" s="49" t="str">
        <f ca="1">IFERROR(__xludf.DUMMYFUNCTION("""COMPUTED_VALUE"""),"")</f>
        <v/>
      </c>
      <c r="FD4" s="49" t="str">
        <f ca="1">IFERROR(__xludf.DUMMYFUNCTION("""COMPUTED_VALUE"""),"")</f>
        <v/>
      </c>
      <c r="FE4" s="49" t="str">
        <f ca="1">IFERROR(__xludf.DUMMYFUNCTION("""COMPUTED_VALUE"""),"")</f>
        <v/>
      </c>
      <c r="FF4" s="49" t="str">
        <f ca="1">IFERROR(__xludf.DUMMYFUNCTION("""COMPUTED_VALUE"""),"")</f>
        <v/>
      </c>
      <c r="FG4" s="49" t="str">
        <f ca="1">IFERROR(__xludf.DUMMYFUNCTION("""COMPUTED_VALUE"""),"")</f>
        <v/>
      </c>
      <c r="FH4" s="49" t="str">
        <f ca="1">IFERROR(__xludf.DUMMYFUNCTION("""COMPUTED_VALUE"""),"")</f>
        <v/>
      </c>
      <c r="FI4" s="49" t="str">
        <f ca="1">IFERROR(__xludf.DUMMYFUNCTION("""COMPUTED_VALUE"""),"")</f>
        <v/>
      </c>
      <c r="FJ4" s="49" t="str">
        <f ca="1">IFERROR(__xludf.DUMMYFUNCTION("""COMPUTED_VALUE"""),"")</f>
        <v/>
      </c>
    </row>
    <row r="5" spans="1:166" ht="15.75" customHeight="1">
      <c r="A5" s="50" t="str">
        <f ca="1">IFERROR(__xludf.DUMMYFUNCTION("TRANSPOSE(IMPORTRANGE(VLOOKUP($E$3,IMPORTRANGE('_Settings'!$B$3,$C$3&amp;""!A4:B1000""),2,FALSE),$G$3&amp;""!A4:A1000""))"),"")</f>
        <v/>
      </c>
      <c r="B5" s="51" t="str">
        <f ca="1">IFERROR(__xludf.DUMMYFUNCTION("""COMPUTED_VALUE"""),"Trade Date")</f>
        <v>Trade Date</v>
      </c>
      <c r="C5" s="51" t="str">
        <f ca="1">IFERROR(__xludf.DUMMYFUNCTION("""COMPUTED_VALUE"""),"Symbol")</f>
        <v>Symbol</v>
      </c>
      <c r="D5" s="51" t="str">
        <f ca="1">IFERROR(__xludf.DUMMYFUNCTION("""COMPUTED_VALUE"""),"Position")</f>
        <v>Position</v>
      </c>
      <c r="E5" s="51" t="str">
        <f ca="1">IFERROR(__xludf.DUMMYFUNCTION("""COMPUTED_VALUE"""),"Account")</f>
        <v>Account</v>
      </c>
      <c r="F5" s="52" t="str">
        <f ca="1">IFERROR(__xludf.DUMMYFUNCTION("""COMPUTED_VALUE"""),"MasterFund")</f>
        <v>MasterFund</v>
      </c>
      <c r="G5" s="51" t="str">
        <f ca="1">IFERROR(__xludf.DUMMYFUNCTION("""COMPUTED_VALUE"""),"Cost Basis")</f>
        <v>Cost Basis</v>
      </c>
      <c r="H5" s="51" t="str">
        <f ca="1">IFERROR(__xludf.DUMMYFUNCTION("""COMPUTED_VALUE"""),"Position Side")</f>
        <v>Position Side</v>
      </c>
      <c r="I5" s="51" t="str">
        <f ca="1">IFERROR(__xludf.DUMMYFUNCTION("""COMPUTED_VALUE"""),"Market Value (Base)")</f>
        <v>Market Value (Base)</v>
      </c>
      <c r="J5" s="51" t="str">
        <f ca="1">IFERROR(__xludf.DUMMYFUNCTION("""COMPUTED_VALUE"""),"% Day P&amp;L (Gross MV)")</f>
        <v>% Day P&amp;L (Gross MV)</v>
      </c>
      <c r="K5" s="51" t="str">
        <f ca="1">IFERROR(__xludf.DUMMYFUNCTION("""COMPUTED_VALUE"""),"Net Exposure (Base)")</f>
        <v>Net Exposure (Base)</v>
      </c>
      <c r="L5" s="51" t="str">
        <f ca="1">IFERROR(__xludf.DUMMYFUNCTION("""COMPUTED_VALUE"""),"Beta Adj. Gross Exposure (Base)")</f>
        <v>Beta Adj. Gross Exposure (Base)</v>
      </c>
      <c r="M5" s="51" t="str">
        <f ca="1">IFERROR(__xludf.DUMMYFUNCTION("""COMPUTED_VALUE"""),"Beta Adj. Gross Exposure (Underlying) (Base)")</f>
        <v>Beta Adj. Gross Exposure (Underlying) (Base)</v>
      </c>
      <c r="N5" s="51" t="str">
        <f ca="1">IFERROR(__xludf.DUMMYFUNCTION("""COMPUTED_VALUE"""),"Day P&amp;L (Base)")</f>
        <v>Day P&amp;L (Base)</v>
      </c>
      <c r="O5" s="51" t="str">
        <f ca="1">IFERROR(__xludf.DUMMYFUNCTION("""COMPUTED_VALUE"""),"Security Name")</f>
        <v>Security Name</v>
      </c>
      <c r="P5" s="51" t="str">
        <f ca="1">IFERROR(__xludf.DUMMYFUNCTION("""COMPUTED_VALUE"""),"Closing Mark")</f>
        <v>Closing Mark</v>
      </c>
      <c r="Q5" s="51" t="str">
        <f ca="1">IFERROR(__xludf.DUMMYFUNCTION("""COMPUTED_VALUE"""),"Cost Basis P&amp;L (Base)")</f>
        <v>Cost Basis P&amp;L (Base)</v>
      </c>
      <c r="R5" s="51" t="str">
        <f ca="1">IFERROR(__xludf.DUMMYFUNCTION("""COMPUTED_VALUE"""),"Prime Broker")</f>
        <v>Prime Broker</v>
      </c>
      <c r="S5" s="51" t="str">
        <f ca="1">IFERROR(__xludf.DUMMYFUNCTION("""COMPUTED_VALUE"""),"Strategy")</f>
        <v>Strategy</v>
      </c>
      <c r="T5" s="53" t="str">
        <f ca="1">IFERROR(__xludf.DUMMYFUNCTION("""COMPUTED_VALUE"""),"Asset Class")</f>
        <v>Asset Class</v>
      </c>
      <c r="U5" s="53" t="str">
        <f ca="1">IFERROR(__xludf.DUMMYFUNCTION("""COMPUTED_VALUE"""),"Underlying")</f>
        <v>Underlying</v>
      </c>
      <c r="V5" s="53" t="str">
        <f ca="1">IFERROR(__xludf.DUMMYFUNCTION("""COMPUTED_VALUE"""),"Exchange")</f>
        <v>Exchange</v>
      </c>
      <c r="W5" s="53" t="str">
        <f ca="1">IFERROR(__xludf.DUMMYFUNCTION("""COMPUTED_VALUE"""),"Trade Currency")</f>
        <v>Trade Currency</v>
      </c>
      <c r="X5" s="53" t="str">
        <f ca="1">IFERROR(__xludf.DUMMYFUNCTION("""COMPUTED_VALUE"""),"Multiplier")</f>
        <v>Multiplier</v>
      </c>
      <c r="Y5" s="53" t="str">
        <f ca="1">IFERROR(__xludf.DUMMYFUNCTION("""COMPUTED_VALUE"""),"FX Rate")</f>
        <v>FX Rate</v>
      </c>
      <c r="Z5" s="53" t="str">
        <f ca="1">IFERROR(__xludf.DUMMYFUNCTION("""COMPUTED_VALUE"""),"Vs Currency")</f>
        <v>Vs Currency</v>
      </c>
      <c r="AA5" s="53" t="str">
        <f ca="1">IFERROR(__xludf.DUMMYFUNCTION("""COMPUTED_VALUE"""),"Lead Currency")</f>
        <v>Lead Currency</v>
      </c>
      <c r="AB5" s="53" t="str">
        <f ca="1">IFERROR(__xludf.DUMMYFUNCTION("""COMPUTED_VALUE"""),"Dividend Yield (%)")</f>
        <v>Dividend Yield (%)</v>
      </c>
      <c r="AC5" s="53" t="str">
        <f ca="1">IFERROR(__xludf.DUMMYFUNCTION("""COMPUTED_VALUE"""),"% Change")</f>
        <v>% Change</v>
      </c>
      <c r="AD5" s="53" t="str">
        <f ca="1">IFERROR(__xludf.DUMMYFUNCTION("""COMPUTED_VALUE"""),"Net Exposure (Local)")</f>
        <v>Net Exposure (Local)</v>
      </c>
      <c r="AE5" s="53" t="str">
        <f ca="1">IFERROR(__xludf.DUMMYFUNCTION("""COMPUTED_VALUE"""),"Exposure (Local)")</f>
        <v>Exposure (Local)</v>
      </c>
      <c r="AF5" s="53" t="str">
        <f ca="1">IFERROR(__xludf.DUMMYFUNCTION("""COMPUTED_VALUE"""),"Delta Adj. Position")</f>
        <v>Delta Adj. Position</v>
      </c>
      <c r="AG5" s="53" t="str">
        <f ca="1">IFERROR(__xludf.DUMMYFUNCTION("""COMPUTED_VALUE"""),"Exposure (Base)")</f>
        <v>Exposure (Base)</v>
      </c>
      <c r="AH5" s="53" t="str">
        <f ca="1">IFERROR(__xludf.DUMMYFUNCTION("""COMPUTED_VALUE"""),"Beta Adj. Exposure (Local)")</f>
        <v>Beta Adj. Exposure (Local)</v>
      </c>
      <c r="AI5" s="53" t="str">
        <f ca="1">IFERROR(__xludf.DUMMYFUNCTION("""COMPUTED_VALUE"""),"Beta Adj. Exposure (Base)")</f>
        <v>Beta Adj. Exposure (Base)</v>
      </c>
      <c r="AJ5" s="53" t="str">
        <f ca="1">IFERROR(__xludf.DUMMYFUNCTION("""COMPUTED_VALUE"""),"Exposure (BP)(Base)")</f>
        <v>Exposure (BP)(Base)</v>
      </c>
      <c r="AK5" s="53" t="str">
        <f ca="1">IFERROR(__xludf.DUMMYFUNCTION("""COMPUTED_VALUE"""),"Day P&amp;L (Local)")</f>
        <v>Day P&amp;L (Local)</v>
      </c>
      <c r="AL5" s="53" t="str">
        <f ca="1">IFERROR(__xludf.DUMMYFUNCTION("""COMPUTED_VALUE"""),"Delta")</f>
        <v>Delta</v>
      </c>
      <c r="AM5" s="53" t="str">
        <f ca="1">IFERROR(__xludf.DUMMYFUNCTION("""COMPUTED_VALUE"""),"Leveraged Factor")</f>
        <v>Leveraged Factor</v>
      </c>
      <c r="AN5" s="53" t="str">
        <f ca="1">IFERROR(__xludf.DUMMYFUNCTION("""COMPUTED_VALUE"""),"Order Side")</f>
        <v>Order Side</v>
      </c>
      <c r="AO5" s="53" t="str">
        <f ca="1">IFERROR(__xludf.DUMMYFUNCTION("""COMPUTED_VALUE"""),"Master Strategy")</f>
        <v>Master Strategy</v>
      </c>
      <c r="AP5" s="53" t="str">
        <f ca="1">IFERROR(__xludf.DUMMYFUNCTION("""COMPUTED_VALUE"""),"Transaction Side")</f>
        <v>Transaction Side</v>
      </c>
      <c r="AQ5" s="53" t="str">
        <f ca="1">IFERROR(__xludf.DUMMYFUNCTION("""COMPUTED_VALUE"""),"Underlying Symbol")</f>
        <v>Underlying Symbol</v>
      </c>
      <c r="AR5" s="53" t="str">
        <f ca="1">IFERROR(__xludf.DUMMYFUNCTION("""COMPUTED_VALUE"""),"Underlying Price")</f>
        <v>Underlying Price</v>
      </c>
      <c r="AS5" s="53" t="str">
        <f ca="1">IFERROR(__xludf.DUMMYFUNCTION("""COMPUTED_VALUE"""),"Side Multiplier")</f>
        <v>Side Multiplier</v>
      </c>
      <c r="AT5" s="53" t="str">
        <f ca="1">IFERROR(__xludf.DUMMYFUNCTION("""COMPUTED_VALUE"""),"Description")</f>
        <v>Description</v>
      </c>
      <c r="AU5" s="53" t="str">
        <f ca="1">IFERROR(__xludf.DUMMYFUNCTION("""COMPUTED_VALUE"""),"Internal Comments")</f>
        <v>Internal Comments</v>
      </c>
      <c r="AV5" s="53" t="str">
        <f ca="1">IFERROR(__xludf.DUMMYFUNCTION("""COMPUTED_VALUE"""),"FX Rate On Trade Date")</f>
        <v>FX Rate On Trade Date</v>
      </c>
      <c r="AW5" s="53" t="str">
        <f ca="1">IFERROR(__xludf.DUMMYFUNCTION("""COMPUTED_VALUE"""),"Cost Basis P&amp;L (Local)")</f>
        <v>Cost Basis P&amp;L (Local)</v>
      </c>
      <c r="AX5" s="53" t="str">
        <f ca="1">IFERROR(__xludf.DUMMYFUNCTION("""COMPUTED_VALUE"""),"Day Interest")</f>
        <v>Day Interest</v>
      </c>
      <c r="AY5" s="53" t="str">
        <f ca="1">IFERROR(__xludf.DUMMYFUNCTION("""COMPUTED_VALUE"""),"Total Interest")</f>
        <v>Total Interest</v>
      </c>
      <c r="AZ5" s="53" t="str">
        <f ca="1">IFERROR(__xludf.DUMMYFUNCTION("""COMPUTED_VALUE"""),"Market Value (Local)")</f>
        <v>Market Value (Local)</v>
      </c>
      <c r="BA5" s="53" t="str">
        <f ca="1">IFERROR(__xludf.DUMMYFUNCTION("""COMPUTED_VALUE"""),"% Gain/Loss Day")</f>
        <v>% Gain/Loss Day</v>
      </c>
      <c r="BB5" s="53" t="str">
        <f ca="1">IFERROR(__xludf.DUMMYFUNCTION("""COMPUTED_VALUE"""),"Update Time (Last Price)")</f>
        <v>Update Time (Last Price)</v>
      </c>
      <c r="BC5" s="53" t="str">
        <f ca="1">IFERROR(__xludf.DUMMYFUNCTION("""COMPUTED_VALUE"""),"Beta")</f>
        <v>Beta</v>
      </c>
      <c r="BD5" s="53" t="str">
        <f ca="1">IFERROR(__xludf.DUMMYFUNCTION("""COMPUTED_VALUE"""),"Cash Impact (Local)")</f>
        <v>Cash Impact (Local)</v>
      </c>
      <c r="BE5" s="53" t="str">
        <f ca="1">IFERROR(__xludf.DUMMYFUNCTION("""COMPUTED_VALUE"""),"User Asset")</f>
        <v>User Asset</v>
      </c>
      <c r="BF5" s="53" t="str">
        <f ca="1">IFERROR(__xludf.DUMMYFUNCTION("""COMPUTED_VALUE"""),"Security Type")</f>
        <v>Security Type</v>
      </c>
      <c r="BG5" s="53" t="str">
        <f ca="1">IFERROR(__xludf.DUMMYFUNCTION("""COMPUTED_VALUE"""),"Sector")</f>
        <v>Sector</v>
      </c>
      <c r="BH5" s="53" t="str">
        <f ca="1">IFERROR(__xludf.DUMMYFUNCTION("""COMPUTED_VALUE"""),"Sub Sector")</f>
        <v>Sub Sector</v>
      </c>
      <c r="BI5" s="53" t="str">
        <f ca="1">IFERROR(__xludf.DUMMYFUNCTION("""COMPUTED_VALUE"""),"Country")</f>
        <v>Country</v>
      </c>
      <c r="BJ5" s="53" t="str">
        <f ca="1">IFERROR(__xludf.DUMMYFUNCTION("""COMPUTED_VALUE"""),"Market Cap")</f>
        <v>Market Cap</v>
      </c>
      <c r="BK5" s="53" t="str">
        <f ca="1">IFERROR(__xludf.DUMMYFUNCTION("""COMPUTED_VALUE"""),"Shares Outstanding (MM)")</f>
        <v>Shares Outstanding (MM)</v>
      </c>
      <c r="BL5" s="53" t="str">
        <f ca="1">IFERROR(__xludf.DUMMYFUNCTION("""COMPUTED_VALUE"""),"Avg Volume 20 Day")</f>
        <v>Avg Volume 20 Day</v>
      </c>
      <c r="BM5" s="53" t="str">
        <f ca="1">IFERROR(__xludf.DUMMYFUNCTION("""COMPUTED_VALUE"""),"% Avg Volume (Delta Adj.)")</f>
        <v>% Avg Volume (Delta Adj.)</v>
      </c>
      <c r="BN5" s="53" t="str">
        <f ca="1">IFERROR(__xludf.DUMMYFUNCTION("""COMPUTED_VALUE"""),"Ex Dividend Date")</f>
        <v>Ex Dividend Date</v>
      </c>
      <c r="BO5" s="53" t="str">
        <f ca="1">IFERROR(__xludf.DUMMYFUNCTION("""COMPUTED_VALUE"""),"Cash Impact (Base)")</f>
        <v>Cash Impact (Base)</v>
      </c>
      <c r="BP5" s="53" t="str">
        <f ca="1">IFERROR(__xludf.DUMMYFUNCTION("""COMPUTED_VALUE"""),"Volatility (%)")</f>
        <v>Volatility (%)</v>
      </c>
      <c r="BQ5" s="53" t="str">
        <f ca="1">IFERROR(__xludf.DUMMYFUNCTION("""COMPUTED_VALUE"""),"User")</f>
        <v>User</v>
      </c>
      <c r="BR5" s="53" t="str">
        <f ca="1">IFERROR(__xludf.DUMMYFUNCTION("""COMPUTED_VALUE"""),"Broker")</f>
        <v>Broker</v>
      </c>
      <c r="BS5" s="53" t="str">
        <f ca="1">IFERROR(__xludf.DUMMYFUNCTION("""COMPUTED_VALUE"""),"Earned Dividend (Local)")</f>
        <v>Earned Dividend (Local)</v>
      </c>
      <c r="BT5" s="53" t="str">
        <f ca="1">IFERROR(__xludf.DUMMYFUNCTION("""COMPUTED_VALUE"""),"Earned Dividend (Base)")</f>
        <v>Earned Dividend (Base)</v>
      </c>
      <c r="BU5" s="53" t="str">
        <f ca="1">IFERROR(__xludf.DUMMYFUNCTION("""COMPUTED_VALUE"""),"Put/Call")</f>
        <v>Put/Call</v>
      </c>
      <c r="BV5" s="53" t="str">
        <f ca="1">IFERROR(__xludf.DUMMYFUNCTION("""COMPUTED_VALUE"""),"Expiration Date")</f>
        <v>Expiration Date</v>
      </c>
      <c r="BW5" s="53" t="str">
        <f ca="1">IFERROR(__xludf.DUMMYFUNCTION("""COMPUTED_VALUE"""),"Strike Price")</f>
        <v>Strike Price</v>
      </c>
      <c r="BX5" s="53" t="str">
        <f ca="1">IFERROR(__xludf.DUMMYFUNCTION("""COMPUTED_VALUE"""),"Gross Exposure (Base)")</f>
        <v>Gross Exposure (Base)</v>
      </c>
      <c r="BY5" s="53" t="str">
        <f ca="1">IFERROR(__xludf.DUMMYFUNCTION("""COMPUTED_VALUE"""),"Gross Market Value (Base)")</f>
        <v>Gross Market Value (Base)</v>
      </c>
      <c r="BZ5" s="53" t="str">
        <f ca="1">IFERROR(__xludf.DUMMYFUNCTION("""COMPUTED_VALUE"""),"Px Selected Feed (Local)")</f>
        <v>Px Selected Feed (Local)</v>
      </c>
      <c r="CA5" s="53" t="str">
        <f ca="1">IFERROR(__xludf.DUMMYFUNCTION("""COMPUTED_VALUE"""),"Px Selected Feed (Base)")</f>
        <v>Px Selected Feed (Base)</v>
      </c>
      <c r="CB5" s="53" t="str">
        <f ca="1">IFERROR(__xludf.DUMMYFUNCTION("""COMPUTED_VALUE"""),"Settlement Date")</f>
        <v>Settlement Date</v>
      </c>
      <c r="CC5" s="53" t="str">
        <f ca="1">IFERROR(__xludf.DUMMYFUNCTION("""COMPUTED_VALUE"""),"% Avg Volume")</f>
        <v>% Avg Volume</v>
      </c>
      <c r="CD5" s="53" t="str">
        <f ca="1">IFERROR(__xludf.DUMMYFUNCTION("""COMPUTED_VALUE"""),"Day P&amp;L (Base)(Price Gain)")</f>
        <v>Day P&amp;L (Base)(Price Gain)</v>
      </c>
      <c r="CE5" s="53" t="str">
        <f ca="1">IFERROR(__xludf.DUMMYFUNCTION("""COMPUTED_VALUE"""),"Day P&amp;L (Base)(FX Gain)")</f>
        <v>Day P&amp;L (Base)(FX Gain)</v>
      </c>
      <c r="CF5" s="53" t="str">
        <f ca="1">IFERROR(__xludf.DUMMYFUNCTION("""COMPUTED_VALUE"""),"Cost Basis P&amp;L (Base)(FX Gain)")</f>
        <v>Cost Basis P&amp;L (Base)(FX Gain)</v>
      </c>
      <c r="CG5" s="53" t="str">
        <f ca="1">IFERROR(__xludf.DUMMYFUNCTION("""COMPUTED_VALUE"""),"Cost Basis P&amp;L (Base)(Price Gain)")</f>
        <v>Cost Basis P&amp;L (Base)(Price Gain)</v>
      </c>
      <c r="CH5" s="53" t="str">
        <f ca="1">IFERROR(__xludf.DUMMYFUNCTION("""COMPUTED_VALUE"""),"% Gain/Loss Cost")</f>
        <v>% Gain/Loss Cost</v>
      </c>
      <c r="CI5" s="53" t="str">
        <f ca="1">IFERROR(__xludf.DUMMYFUNCTION("""COMPUTED_VALUE"""),"Underlying Value (Options)")</f>
        <v>Underlying Value (Options)</v>
      </c>
      <c r="CJ5" s="53" t="str">
        <f ca="1">IFERROR(__xludf.DUMMYFUNCTION("""COMPUTED_VALUE"""),"Avg Volume 20 Day (Underlying Symbol)")</f>
        <v>Avg Volume 20 Day (Underlying Symbol)</v>
      </c>
      <c r="CK5" s="53" t="str">
        <f ca="1">IFERROR(__xludf.DUMMYFUNCTION("""COMPUTED_VALUE"""),"IsStaleData")</f>
        <v>IsStaleData</v>
      </c>
      <c r="CL5" s="53" t="str">
        <f ca="1">IFERROR(__xludf.DUMMYFUNCTION("""COMPUTED_VALUE"""),"IDCO")</f>
        <v>IDCO</v>
      </c>
      <c r="CM5" s="53" t="str">
        <f ca="1">IFERROR(__xludf.DUMMYFUNCTION("""COMPUTED_VALUE"""),"OSI")</f>
        <v>OSI</v>
      </c>
      <c r="CN5" s="53" t="str">
        <f ca="1">IFERROR(__xludf.DUMMYFUNCTION("""COMPUTED_VALUE"""),"SEDOL")</f>
        <v>SEDOL</v>
      </c>
      <c r="CO5" s="53" t="str">
        <f ca="1">IFERROR(__xludf.DUMMYFUNCTION("""COMPUTED_VALUE"""),"CUSIP")</f>
        <v>CUSIP</v>
      </c>
      <c r="CP5" s="53" t="str">
        <f ca="1">IFERROR(__xludf.DUMMYFUNCTION("""COMPUTED_VALUE"""),"Bloomberg")</f>
        <v>Bloomberg</v>
      </c>
      <c r="CQ5" s="53" t="str">
        <f ca="1">IFERROR(__xludf.DUMMYFUNCTION("""COMPUTED_VALUE"""),"ISIN")</f>
        <v>ISIN</v>
      </c>
      <c r="CR5" s="53" t="str">
        <f ca="1">IFERROR(__xludf.DUMMYFUNCTION("""COMPUTED_VALUE"""),"Start Trade Date")</f>
        <v>Start Trade Date</v>
      </c>
      <c r="CS5" s="53" t="str">
        <f ca="1">IFERROR(__xludf.DUMMYFUNCTION("""COMPUTED_VALUE"""),"Cost Basis (Break Even)")</f>
        <v>Cost Basis (Break Even)</v>
      </c>
      <c r="CT5" s="53" t="str">
        <f ca="1">IFERROR(__xludf.DUMMYFUNCTION("""COMPUTED_VALUE"""),"Trade Attribute 3")</f>
        <v>Trade Attribute 3</v>
      </c>
      <c r="CU5" s="53" t="str">
        <f ca="1">IFERROR(__xludf.DUMMYFUNCTION("""COMPUTED_VALUE"""),"Trade Attribute 4")</f>
        <v>Trade Attribute 4</v>
      </c>
      <c r="CV5" s="53" t="str">
        <f ca="1">IFERROR(__xludf.DUMMYFUNCTION("""COMPUTED_VALUE"""),"Trade Attribute 5")</f>
        <v>Trade Attribute 5</v>
      </c>
      <c r="CW5" s="53" t="str">
        <f ca="1">IFERROR(__xludf.DUMMYFUNCTION("""COMPUTED_VALUE"""),"Trade Attribute 6")</f>
        <v>Trade Attribute 6</v>
      </c>
      <c r="CX5" s="53" t="str">
        <f ca="1">IFERROR(__xludf.DUMMYFUNCTION("""COMPUTED_VALUE"""),"Proxy Symbol")</f>
        <v>Proxy Symbol</v>
      </c>
      <c r="CY5" s="53" t="str">
        <f ca="1">IFERROR(__xludf.DUMMYFUNCTION("""COMPUTED_VALUE"""),"Pricing Source")</f>
        <v>Pricing Source</v>
      </c>
      <c r="CZ5" s="53" t="str">
        <f ca="1">IFERROR(__xludf.DUMMYFUNCTION("""COMPUTED_VALUE"""),"Delta Source")</f>
        <v>Delta Source</v>
      </c>
      <c r="DA5" s="53" t="str">
        <f ca="1">IFERROR(__xludf.DUMMYFUNCTION("""COMPUTED_VALUE"""),"Gross Exposure (Local)")</f>
        <v>Gross Exposure (Local)</v>
      </c>
      <c r="DB5" s="53" t="str">
        <f ca="1">IFERROR(__xludf.DUMMYFUNCTION("""COMPUTED_VALUE"""),"% Day P&amp;L (Net MV)")</f>
        <v>% Day P&amp;L (Net MV)</v>
      </c>
      <c r="DC5" s="53" t="str">
        <f ca="1">IFERROR(__xludf.DUMMYFUNCTION("""COMPUTED_VALUE"""),"Expiration Month")</f>
        <v>Expiration Month</v>
      </c>
      <c r="DD5" s="53" t="str">
        <f ca="1">IFERROR(__xludf.DUMMYFUNCTION("""COMPUTED_VALUE"""),"Delta Adj. Position (LME)")</f>
        <v>Delta Adj. Position (LME)</v>
      </c>
      <c r="DE5" s="53" t="str">
        <f ca="1">IFERROR(__xludf.DUMMYFUNCTION("""COMPUTED_VALUE"""),"Premium")</f>
        <v>Premium</v>
      </c>
      <c r="DF5" s="53" t="str">
        <f ca="1">IFERROR(__xludf.DUMMYFUNCTION("""COMPUTED_VALUE"""),"Premium $")</f>
        <v>Premium $</v>
      </c>
      <c r="DG5" s="53" t="str">
        <f ca="1">IFERROR(__xludf.DUMMYFUNCTION("""COMPUTED_VALUE"""),"Forward Points")</f>
        <v>Forward Points</v>
      </c>
      <c r="DH5" s="53" t="str">
        <f ca="1">IFERROR(__xludf.DUMMYFUNCTION("""COMPUTED_VALUE"""),"Closing Mark (Underlying)")</f>
        <v>Closing Mark (Underlying)</v>
      </c>
      <c r="DI5" s="53" t="str">
        <f ca="1">IFERROR(__xludf.DUMMYFUNCTION("""COMPUTED_VALUE"""),"% Change (Underlying Price)")</f>
        <v>% Change (Underlying Price)</v>
      </c>
      <c r="DJ5" s="53" t="str">
        <f ca="1">IFERROR(__xludf.DUMMYFUNCTION("""COMPUTED_VALUE"""),"Transaction Type")</f>
        <v>Transaction Type</v>
      </c>
      <c r="DK5" s="53" t="str">
        <f ca="1">IFERROR(__xludf.DUMMYFUNCTION("""COMPUTED_VALUE"""),"Closing Market Value (Local)")</f>
        <v>Closing Market Value (Local)</v>
      </c>
      <c r="DL5" s="53" t="str">
        <f ca="1">IFERROR(__xludf.DUMMYFUNCTION("""COMPUTED_VALUE"""),"Closing Market Value (Base)")</f>
        <v>Closing Market Value (Base)</v>
      </c>
      <c r="DM5" s="53" t="str">
        <f ca="1">IFERROR(__xludf.DUMMYFUNCTION("""COMPUTED_VALUE"""),"Closing FX Rate")</f>
        <v>Closing FX Rate</v>
      </c>
      <c r="DN5" s="53" t="str">
        <f ca="1">IFERROR(__xludf.DUMMYFUNCTION("""COMPUTED_VALUE"""),"Change In Underlying Price")</f>
        <v>Change In Underlying Price</v>
      </c>
      <c r="DO5" s="53" t="str">
        <f ca="1">IFERROR(__xludf.DUMMYFUNCTION("""COMPUTED_VALUE"""),"RIC")</f>
        <v>RIC</v>
      </c>
      <c r="DP5" s="53" t="str">
        <f ca="1">IFERROR(__xludf.DUMMYFUNCTION("""COMPUTED_VALUE"""),"Position Side Exposure (Boxed)")</f>
        <v>Position Side Exposure (Boxed)</v>
      </c>
      <c r="DQ5" s="53" t="str">
        <f ca="1">IFERROR(__xludf.DUMMYFUNCTION("""COMPUTED_VALUE"""),"Analyst")</f>
        <v>Analyst</v>
      </c>
      <c r="DR5" s="53" t="str">
        <f ca="1">IFERROR(__xludf.DUMMYFUNCTION("""COMPUTED_VALUE"""),"Country Of Risk")</f>
        <v>Country Of Risk</v>
      </c>
      <c r="DS5" s="53" t="str">
        <f ca="1">IFERROR(__xludf.DUMMYFUNCTION("""COMPUTED_VALUE"""),"Custom UDA1")</f>
        <v>Custom UDA1</v>
      </c>
      <c r="DT5" s="53" t="str">
        <f ca="1">IFERROR(__xludf.DUMMYFUNCTION("""COMPUTED_VALUE"""),"Custom UDA2")</f>
        <v>Custom UDA2</v>
      </c>
      <c r="DU5" s="53" t="str">
        <f ca="1">IFERROR(__xludf.DUMMYFUNCTION("""COMPUTED_VALUE"""),"Custom UDA3")</f>
        <v>Custom UDA3</v>
      </c>
      <c r="DV5" s="53" t="str">
        <f ca="1">IFERROR(__xludf.DUMMYFUNCTION("""COMPUTED_VALUE"""),"Custom UDA4")</f>
        <v>Custom UDA4</v>
      </c>
      <c r="DW5" s="53" t="str">
        <f ca="1">IFERROR(__xludf.DUMMYFUNCTION("""COMPUTED_VALUE"""),"Custom UDA5")</f>
        <v>Custom UDA5</v>
      </c>
      <c r="DX5" s="53" t="str">
        <f ca="1">IFERROR(__xludf.DUMMYFUNCTION("""COMPUTED_VALUE"""),"Custom UDA6")</f>
        <v>Custom UDA6</v>
      </c>
      <c r="DY5" s="53" t="str">
        <f ca="1">IFERROR(__xludf.DUMMYFUNCTION("""COMPUTED_VALUE"""),"Custom UDA7")</f>
        <v>Custom UDA7</v>
      </c>
      <c r="DZ5" s="53" t="str">
        <f ca="1">IFERROR(__xludf.DUMMYFUNCTION("""COMPUTED_VALUE"""),"Issuer")</f>
        <v>Issuer</v>
      </c>
      <c r="EA5" s="53" t="str">
        <f ca="1">IFERROR(__xludf.DUMMYFUNCTION("""COMPUTED_VALUE"""),"Liquid Tag")</f>
        <v>Liquid Tag</v>
      </c>
      <c r="EB5" s="53" t="str">
        <f ca="1">IFERROR(__xludf.DUMMYFUNCTION("""COMPUTED_VALUE"""),"Market Cap UDA")</f>
        <v>Market Cap UDA</v>
      </c>
      <c r="EC5" s="53" t="str">
        <f ca="1">IFERROR(__xludf.DUMMYFUNCTION("""COMPUTED_VALUE"""),"Region")</f>
        <v>Region</v>
      </c>
      <c r="ED5" s="53" t="str">
        <f ca="1">IFERROR(__xludf.DUMMYFUNCTION("""COMPUTED_VALUE"""),"Risk Currency")</f>
        <v>Risk Currency</v>
      </c>
      <c r="EE5" s="53" t="str">
        <f ca="1">IFERROR(__xludf.DUMMYFUNCTION("""COMPUTED_VALUE"""),"UCITS Eligible Tag")</f>
        <v>UCITS Eligible Tag</v>
      </c>
      <c r="EF5" s="53" t="str">
        <f ca="1">IFERROR(__xludf.DUMMYFUNCTION("""COMPUTED_VALUE"""),"FX Rate (Display)")</f>
        <v>FX Rate (Display)</v>
      </c>
      <c r="EG5" s="53" t="str">
        <f ca="1">IFERROR(__xludf.DUMMYFUNCTION("""COMPUTED_VALUE"""),"% Net Exposure (Base)")</f>
        <v>% Net Exposure (Base)</v>
      </c>
      <c r="EH5" s="53" t="str">
        <f ca="1">IFERROR(__xludf.DUMMYFUNCTION("""COMPUTED_VALUE"""),"% Gross Exposure (Base)")</f>
        <v>% Gross Exposure (Base)</v>
      </c>
      <c r="EI5" s="53" t="str">
        <f ca="1">IFERROR(__xludf.DUMMYFUNCTION("""COMPUTED_VALUE"""),"% Exposure (Base)")</f>
        <v>% Exposure (Base)</v>
      </c>
      <c r="EJ5" s="53" t="str">
        <f ca="1">IFERROR(__xludf.DUMMYFUNCTION("""COMPUTED_VALUE"""),"% Gross Exposure (Underlying) (Base)")</f>
        <v>% Gross Exposure (Underlying) (Base)</v>
      </c>
      <c r="EK5" s="53" t="str">
        <f ca="1">IFERROR(__xludf.DUMMYFUNCTION("""COMPUTED_VALUE"""),"% Beta Adj. Gross Exposure (Base)")</f>
        <v>% Beta Adj. Gross Exposure (Base)</v>
      </c>
      <c r="EL5" s="53" t="str">
        <f ca="1">IFERROR(__xludf.DUMMYFUNCTION("""COMPUTED_VALUE"""),"Position Side Exposure (Underlying)")</f>
        <v>Position Side Exposure (Underlying)</v>
      </c>
      <c r="EM5" s="53" t="str">
        <f ca="1">IFERROR(__xludf.DUMMYFUNCTION("""COMPUTED_VALUE"""),"Gross Exposure (Underlying) (Base)")</f>
        <v>Gross Exposure (Underlying) (Base)</v>
      </c>
      <c r="EN5" s="53" t="str">
        <f ca="1">IFERROR(__xludf.DUMMYFUNCTION("""COMPUTED_VALUE"""),"Gross Exposure (Underlying)")</f>
        <v>Gross Exposure (Underlying)</v>
      </c>
      <c r="EO5" s="53" t="str">
        <f ca="1">IFERROR(__xludf.DUMMYFUNCTION("""COMPUTED_VALUE"""),"Day Return")</f>
        <v>Day Return</v>
      </c>
      <c r="EP5" s="53" t="str">
        <f ca="1">IFERROR(__xludf.DUMMYFUNCTION("""COMPUTED_VALUE"""),"Start of Day NAV")</f>
        <v>Start of Day NAV</v>
      </c>
      <c r="EQ5" s="53" t="str">
        <f ca="1">IFERROR(__xludf.DUMMYFUNCTION("""COMPUTED_VALUE"""),"% Gross Market Value (Base)")</f>
        <v>% Gross Market Value (Base)</v>
      </c>
      <c r="ER5" s="53" t="str">
        <f ca="1">IFERROR(__xludf.DUMMYFUNCTION("""COMPUTED_VALUE"""),"Beta Adj. Gross Exposure (Underlying) (Local)")</f>
        <v>Beta Adj. Gross Exposure (Underlying) (Local)</v>
      </c>
      <c r="ES5" s="53" t="str">
        <f ca="1">IFERROR(__xludf.DUMMYFUNCTION("""COMPUTED_VALUE"""),"NAV")</f>
        <v>NAV</v>
      </c>
      <c r="ET5" s="53" t="str">
        <f ca="1">IFERROR(__xludf.DUMMYFUNCTION("""COMPUTED_VALUE"""),"% P&amp;L Contribution")</f>
        <v>% P&amp;L Contribution</v>
      </c>
      <c r="EU5" s="53" t="str">
        <f ca="1">IFERROR(__xludf.DUMMYFUNCTION("""COMPUTED_VALUE"""),"% Net Market Value (Base)")</f>
        <v>% Net Market Value (Base)</v>
      </c>
      <c r="EV5" s="53" t="str">
        <f ca="1">IFERROR(__xludf.DUMMYFUNCTION("""COMPUTED_VALUE"""),"Position Side Exposure")</f>
        <v>Position Side Exposure</v>
      </c>
      <c r="EW5" s="53" t="str">
        <f ca="1">IFERROR(__xludf.DUMMYFUNCTION("""COMPUTED_VALUE"""),"NAV (Touch)")</f>
        <v>NAV (Touch)</v>
      </c>
      <c r="EX5" s="53" t="str">
        <f ca="1">IFERROR(__xludf.DUMMYFUNCTION("""COMPUTED_VALUE"""),"IgnorePropertyChangeEvents")</f>
        <v>IgnorePropertyChangeEvents</v>
      </c>
      <c r="EY5" s="53" t="str">
        <f ca="1">IFERROR(__xludf.DUMMYFUNCTION("""COMPUTED_VALUE"""),"Trade Attribute 1")</f>
        <v>Trade Attribute 1</v>
      </c>
      <c r="EZ5" s="53" t="str">
        <f ca="1">IFERROR(__xludf.DUMMYFUNCTION("""COMPUTED_VALUE"""),"Trade Attribute 2")</f>
        <v>Trade Attribute 2</v>
      </c>
      <c r="FA5" s="53" t="str">
        <f ca="1">IFERROR(__xludf.DUMMYFUNCTION("""COMPUTED_VALUE"""),"")</f>
        <v/>
      </c>
      <c r="FB5" s="53" t="str">
        <f ca="1">IFERROR(__xludf.DUMMYFUNCTION("""COMPUTED_VALUE"""),"")</f>
        <v/>
      </c>
      <c r="FC5" s="53" t="str">
        <f ca="1">IFERROR(__xludf.DUMMYFUNCTION("""COMPUTED_VALUE"""),"")</f>
        <v/>
      </c>
      <c r="FD5" s="53" t="str">
        <f ca="1">IFERROR(__xludf.DUMMYFUNCTION("""COMPUTED_VALUE"""),"")</f>
        <v/>
      </c>
      <c r="FE5" s="53" t="str">
        <f ca="1">IFERROR(__xludf.DUMMYFUNCTION("""COMPUTED_VALUE"""),"")</f>
        <v/>
      </c>
      <c r="FF5" s="53" t="str">
        <f ca="1">IFERROR(__xludf.DUMMYFUNCTION("""COMPUTED_VALUE"""),"")</f>
        <v/>
      </c>
      <c r="FG5" s="53" t="str">
        <f ca="1">IFERROR(__xludf.DUMMYFUNCTION("""COMPUTED_VALUE"""),"")</f>
        <v/>
      </c>
      <c r="FH5" s="53" t="str">
        <f ca="1">IFERROR(__xludf.DUMMYFUNCTION("""COMPUTED_VALUE"""),"")</f>
        <v/>
      </c>
      <c r="FI5" s="53" t="str">
        <f ca="1">IFERROR(__xludf.DUMMYFUNCTION("""COMPUTED_VALUE"""),"")</f>
        <v/>
      </c>
      <c r="FJ5" s="53" t="str">
        <f ca="1">IFERROR(__xludf.DUMMYFUNCTION("""COMPUTED_VALUE"""),"")</f>
        <v/>
      </c>
    </row>
    <row r="6" spans="1:166" ht="15.75" customHeight="1">
      <c r="A6" s="54"/>
      <c r="B6" s="54"/>
      <c r="C6" s="55" t="s">
        <v>18</v>
      </c>
      <c r="D6" s="56">
        <v>40</v>
      </c>
      <c r="E6" s="55" t="s">
        <v>20</v>
      </c>
      <c r="F6" s="55" t="s">
        <v>38</v>
      </c>
      <c r="G6" s="56">
        <v>20</v>
      </c>
      <c r="H6" s="55" t="s">
        <v>41</v>
      </c>
      <c r="I6" s="56">
        <v>84000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5" t="s">
        <v>18</v>
      </c>
      <c r="P6" s="56">
        <v>21</v>
      </c>
      <c r="Q6" s="56">
        <v>4000</v>
      </c>
      <c r="R6" s="55" t="s">
        <v>42</v>
      </c>
      <c r="S6" s="55" t="s">
        <v>43</v>
      </c>
      <c r="T6" s="55" t="s">
        <v>44</v>
      </c>
      <c r="U6" s="55" t="s">
        <v>45</v>
      </c>
      <c r="V6" s="55" t="s">
        <v>46</v>
      </c>
      <c r="W6" s="55" t="s">
        <v>47</v>
      </c>
      <c r="X6" s="56">
        <v>100</v>
      </c>
      <c r="Y6" s="56">
        <v>1</v>
      </c>
      <c r="Z6" s="55" t="s">
        <v>48</v>
      </c>
      <c r="AA6" s="55" t="s">
        <v>48</v>
      </c>
      <c r="AB6" s="56">
        <v>0</v>
      </c>
      <c r="AC6" s="56">
        <v>0</v>
      </c>
      <c r="AD6" s="56">
        <v>0</v>
      </c>
      <c r="AE6" s="56">
        <v>0</v>
      </c>
      <c r="AF6" s="56">
        <v>0</v>
      </c>
      <c r="AG6" s="56">
        <v>0</v>
      </c>
      <c r="AH6" s="56">
        <v>0</v>
      </c>
      <c r="AI6" s="56">
        <v>0</v>
      </c>
      <c r="AJ6" s="56">
        <v>0</v>
      </c>
      <c r="AK6" s="56">
        <v>0</v>
      </c>
      <c r="AL6" s="56">
        <v>0</v>
      </c>
      <c r="AM6" s="56">
        <v>1</v>
      </c>
      <c r="AN6" s="55" t="s">
        <v>49</v>
      </c>
      <c r="AO6" s="55" t="s">
        <v>48</v>
      </c>
      <c r="AP6" s="55" t="s">
        <v>41</v>
      </c>
      <c r="AQ6" s="55" t="s">
        <v>27</v>
      </c>
      <c r="AR6" s="56">
        <v>0</v>
      </c>
      <c r="AS6" s="56">
        <v>1</v>
      </c>
      <c r="AT6" s="55" t="s">
        <v>50</v>
      </c>
      <c r="AU6" s="55" t="s">
        <v>51</v>
      </c>
      <c r="AV6" s="56">
        <v>1</v>
      </c>
      <c r="AW6" s="56">
        <v>4000</v>
      </c>
      <c r="AX6" s="56">
        <v>0</v>
      </c>
      <c r="AY6" s="56">
        <v>0</v>
      </c>
      <c r="AZ6" s="56">
        <v>84000</v>
      </c>
      <c r="BA6" s="56">
        <v>0</v>
      </c>
      <c r="BB6" s="55"/>
      <c r="BC6" s="56">
        <v>1</v>
      </c>
      <c r="BD6" s="56">
        <v>0</v>
      </c>
      <c r="BE6" s="55" t="s">
        <v>52</v>
      </c>
      <c r="BF6" s="55" t="s">
        <v>53</v>
      </c>
      <c r="BG6" s="55" t="s">
        <v>53</v>
      </c>
      <c r="BH6" s="55" t="s">
        <v>53</v>
      </c>
      <c r="BI6" s="55" t="s">
        <v>53</v>
      </c>
      <c r="BJ6" s="56">
        <v>0</v>
      </c>
      <c r="BK6" s="56">
        <v>0</v>
      </c>
      <c r="BL6" s="56">
        <v>0</v>
      </c>
      <c r="BM6" s="56">
        <v>0</v>
      </c>
      <c r="BN6" s="55"/>
      <c r="BO6" s="56">
        <v>0</v>
      </c>
      <c r="BP6" s="56">
        <v>0</v>
      </c>
      <c r="BQ6" s="55" t="s">
        <v>54</v>
      </c>
      <c r="BR6" s="55" t="s">
        <v>55</v>
      </c>
      <c r="BS6" s="56">
        <v>0</v>
      </c>
      <c r="BT6" s="56">
        <v>0</v>
      </c>
      <c r="BU6" s="55" t="s">
        <v>56</v>
      </c>
      <c r="BV6" s="57"/>
      <c r="BW6" s="56">
        <v>177.5</v>
      </c>
      <c r="BX6" s="56">
        <v>0</v>
      </c>
      <c r="BY6" s="56">
        <v>84000</v>
      </c>
      <c r="BZ6" s="56">
        <v>21</v>
      </c>
      <c r="CA6" s="56">
        <v>21</v>
      </c>
      <c r="CB6" s="55"/>
      <c r="CC6" s="56">
        <v>0</v>
      </c>
      <c r="CD6" s="56">
        <v>0</v>
      </c>
      <c r="CE6" s="56">
        <v>0</v>
      </c>
      <c r="CF6" s="56">
        <v>0</v>
      </c>
      <c r="CG6" s="56">
        <v>4000</v>
      </c>
      <c r="CH6" s="56">
        <v>5</v>
      </c>
      <c r="CI6" s="56">
        <v>0</v>
      </c>
      <c r="CJ6" s="56">
        <v>0</v>
      </c>
      <c r="CK6" s="58" t="b">
        <v>0</v>
      </c>
      <c r="CL6" s="55" t="s">
        <v>48</v>
      </c>
      <c r="CM6" s="55" t="s">
        <v>48</v>
      </c>
      <c r="CN6" s="55" t="s">
        <v>48</v>
      </c>
      <c r="CO6" s="55" t="s">
        <v>48</v>
      </c>
      <c r="CP6" s="55" t="s">
        <v>48</v>
      </c>
      <c r="CQ6" s="55" t="s">
        <v>48</v>
      </c>
      <c r="CR6" s="56"/>
      <c r="CS6" s="56">
        <v>20</v>
      </c>
      <c r="CT6" s="55" t="s">
        <v>48</v>
      </c>
      <c r="CU6" s="55" t="s">
        <v>48</v>
      </c>
      <c r="CV6" s="55" t="s">
        <v>48</v>
      </c>
      <c r="CW6" s="55" t="s">
        <v>48</v>
      </c>
      <c r="CX6" s="55" t="s">
        <v>48</v>
      </c>
      <c r="CY6" s="55" t="s">
        <v>57</v>
      </c>
      <c r="CZ6" s="55" t="s">
        <v>34</v>
      </c>
      <c r="DA6" s="56">
        <v>0</v>
      </c>
      <c r="DB6" s="56">
        <v>0</v>
      </c>
      <c r="DC6" s="56"/>
      <c r="DD6" s="56">
        <v>0</v>
      </c>
      <c r="DE6" s="56">
        <v>21</v>
      </c>
      <c r="DF6" s="56">
        <v>84000</v>
      </c>
      <c r="DG6" s="56">
        <v>0</v>
      </c>
      <c r="DH6" s="56"/>
      <c r="DI6" s="56">
        <v>-100</v>
      </c>
      <c r="DJ6" s="55" t="s">
        <v>49</v>
      </c>
      <c r="DK6" s="56">
        <v>84000</v>
      </c>
      <c r="DL6" s="56">
        <v>84000</v>
      </c>
      <c r="DM6" s="56">
        <v>1</v>
      </c>
      <c r="DN6" s="56">
        <v>-198</v>
      </c>
      <c r="DO6" s="55" t="s">
        <v>48</v>
      </c>
      <c r="DP6" s="55" t="s">
        <v>41</v>
      </c>
      <c r="DQ6" s="55" t="s">
        <v>58</v>
      </c>
      <c r="DR6" s="55" t="s">
        <v>58</v>
      </c>
      <c r="DS6" s="55" t="s">
        <v>58</v>
      </c>
      <c r="DT6" s="55" t="s">
        <v>58</v>
      </c>
      <c r="DU6" s="55" t="s">
        <v>58</v>
      </c>
      <c r="DV6" s="55" t="s">
        <v>58</v>
      </c>
      <c r="DW6" s="55" t="s">
        <v>58</v>
      </c>
      <c r="DX6" s="55" t="s">
        <v>58</v>
      </c>
      <c r="DY6" s="55" t="s">
        <v>58</v>
      </c>
      <c r="DZ6" s="55" t="s">
        <v>18</v>
      </c>
      <c r="EA6" s="55" t="s">
        <v>58</v>
      </c>
      <c r="EB6" s="55" t="s">
        <v>58</v>
      </c>
      <c r="EC6" s="55" t="s">
        <v>58</v>
      </c>
      <c r="ED6" s="55" t="s">
        <v>47</v>
      </c>
      <c r="EE6" s="55" t="s">
        <v>58</v>
      </c>
      <c r="EF6" s="56">
        <v>0</v>
      </c>
      <c r="EG6" s="56">
        <v>0</v>
      </c>
      <c r="EH6" s="56">
        <v>0</v>
      </c>
      <c r="EI6" s="56">
        <v>0</v>
      </c>
      <c r="EJ6" s="56">
        <v>0</v>
      </c>
      <c r="EK6" s="56">
        <v>0</v>
      </c>
      <c r="EL6" s="55" t="s">
        <v>41</v>
      </c>
      <c r="EM6" s="56">
        <v>0</v>
      </c>
      <c r="EN6" s="56">
        <v>0</v>
      </c>
      <c r="EO6" s="56">
        <v>0</v>
      </c>
      <c r="EP6" s="56">
        <v>13928</v>
      </c>
      <c r="EQ6" s="59">
        <v>351.05</v>
      </c>
      <c r="ER6" s="56">
        <v>0</v>
      </c>
      <c r="ES6" s="56">
        <v>23928</v>
      </c>
      <c r="ET6" s="56">
        <v>0</v>
      </c>
      <c r="EU6" s="59">
        <v>351.05</v>
      </c>
      <c r="EV6" s="55" t="s">
        <v>41</v>
      </c>
      <c r="EW6" s="56">
        <v>23928</v>
      </c>
      <c r="EX6" s="58" t="b">
        <v>0</v>
      </c>
      <c r="EY6" s="55" t="s">
        <v>48</v>
      </c>
      <c r="EZ6" s="55" t="s">
        <v>48</v>
      </c>
      <c r="FA6" s="42"/>
      <c r="FB6" s="42"/>
      <c r="FC6" s="42"/>
      <c r="FD6" s="42"/>
      <c r="FE6" s="42"/>
      <c r="FF6" s="42"/>
      <c r="FG6" s="42"/>
      <c r="FH6" s="42"/>
      <c r="FI6" s="42"/>
      <c r="FJ6" s="42"/>
    </row>
    <row r="7" spans="1:166" ht="15.75" customHeight="1">
      <c r="A7" s="40"/>
      <c r="B7" s="40"/>
      <c r="C7" s="55" t="s">
        <v>22</v>
      </c>
      <c r="D7" s="56">
        <v>-100</v>
      </c>
      <c r="E7" s="55" t="s">
        <v>20</v>
      </c>
      <c r="F7" s="55" t="s">
        <v>38</v>
      </c>
      <c r="G7" s="56">
        <v>30</v>
      </c>
      <c r="H7" s="55" t="s">
        <v>59</v>
      </c>
      <c r="I7" s="56">
        <v>-310000</v>
      </c>
      <c r="J7" s="59">
        <v>3.23</v>
      </c>
      <c r="K7" s="56">
        <v>0</v>
      </c>
      <c r="L7" s="56">
        <v>0</v>
      </c>
      <c r="M7" s="56">
        <v>0</v>
      </c>
      <c r="N7" s="56">
        <v>10000</v>
      </c>
      <c r="O7" s="55" t="s">
        <v>22</v>
      </c>
      <c r="P7" s="56">
        <v>32</v>
      </c>
      <c r="Q7" s="56">
        <v>-10000</v>
      </c>
      <c r="R7" s="55" t="s">
        <v>42</v>
      </c>
      <c r="S7" s="55" t="s">
        <v>43</v>
      </c>
      <c r="T7" s="55" t="s">
        <v>44</v>
      </c>
      <c r="U7" s="55" t="s">
        <v>45</v>
      </c>
      <c r="V7" s="55" t="s">
        <v>46</v>
      </c>
      <c r="W7" s="55" t="s">
        <v>47</v>
      </c>
      <c r="X7" s="56">
        <v>100</v>
      </c>
      <c r="Y7" s="56">
        <v>1</v>
      </c>
      <c r="Z7" s="55" t="s">
        <v>48</v>
      </c>
      <c r="AA7" s="55" t="s">
        <v>48</v>
      </c>
      <c r="AB7" s="56">
        <v>0</v>
      </c>
      <c r="AC7" s="59">
        <v>-3.13</v>
      </c>
      <c r="AD7" s="56">
        <v>0</v>
      </c>
      <c r="AE7" s="56">
        <v>0</v>
      </c>
      <c r="AF7" s="56">
        <v>0</v>
      </c>
      <c r="AG7" s="56">
        <v>0</v>
      </c>
      <c r="AH7" s="56">
        <v>0</v>
      </c>
      <c r="AI7" s="56">
        <v>0</v>
      </c>
      <c r="AJ7" s="56">
        <v>0</v>
      </c>
      <c r="AK7" s="56">
        <v>10000</v>
      </c>
      <c r="AL7" s="56">
        <v>0</v>
      </c>
      <c r="AM7" s="56">
        <v>1</v>
      </c>
      <c r="AN7" s="55" t="s">
        <v>60</v>
      </c>
      <c r="AO7" s="55" t="s">
        <v>48</v>
      </c>
      <c r="AP7" s="55" t="s">
        <v>41</v>
      </c>
      <c r="AQ7" s="55" t="s">
        <v>28</v>
      </c>
      <c r="AR7" s="56">
        <v>0</v>
      </c>
      <c r="AS7" s="56">
        <v>-1</v>
      </c>
      <c r="AT7" s="55" t="s">
        <v>50</v>
      </c>
      <c r="AU7" s="55" t="s">
        <v>51</v>
      </c>
      <c r="AV7" s="56">
        <v>1</v>
      </c>
      <c r="AW7" s="56">
        <v>-10000</v>
      </c>
      <c r="AX7" s="56">
        <v>0</v>
      </c>
      <c r="AY7" s="56">
        <v>0</v>
      </c>
      <c r="AZ7" s="56">
        <v>-310000</v>
      </c>
      <c r="BA7" s="59">
        <v>3.33</v>
      </c>
      <c r="BB7" s="55"/>
      <c r="BC7" s="56">
        <v>1</v>
      </c>
      <c r="BD7" s="56">
        <v>0</v>
      </c>
      <c r="BE7" s="55" t="s">
        <v>52</v>
      </c>
      <c r="BF7" s="55" t="s">
        <v>53</v>
      </c>
      <c r="BG7" s="55" t="s">
        <v>53</v>
      </c>
      <c r="BH7" s="55" t="s">
        <v>53</v>
      </c>
      <c r="BI7" s="55" t="s">
        <v>53</v>
      </c>
      <c r="BJ7" s="56">
        <v>0</v>
      </c>
      <c r="BK7" s="56">
        <v>0</v>
      </c>
      <c r="BL7" s="56">
        <v>0</v>
      </c>
      <c r="BM7" s="56">
        <v>0</v>
      </c>
      <c r="BN7" s="55"/>
      <c r="BO7" s="56">
        <v>0</v>
      </c>
      <c r="BP7" s="56">
        <v>0</v>
      </c>
      <c r="BQ7" s="55" t="s">
        <v>54</v>
      </c>
      <c r="BR7" s="55" t="s">
        <v>55</v>
      </c>
      <c r="BS7" s="56">
        <v>0</v>
      </c>
      <c r="BT7" s="56">
        <v>0</v>
      </c>
      <c r="BU7" s="55" t="s">
        <v>56</v>
      </c>
      <c r="BV7" s="57"/>
      <c r="BW7" s="56">
        <v>104</v>
      </c>
      <c r="BX7" s="56">
        <v>0</v>
      </c>
      <c r="BY7" s="56">
        <v>310000</v>
      </c>
      <c r="BZ7" s="56">
        <v>31</v>
      </c>
      <c r="CA7" s="56">
        <v>31</v>
      </c>
      <c r="CB7" s="55"/>
      <c r="CC7" s="56">
        <v>0</v>
      </c>
      <c r="CD7" s="56">
        <v>10000</v>
      </c>
      <c r="CE7" s="56">
        <v>0</v>
      </c>
      <c r="CF7" s="56">
        <v>0</v>
      </c>
      <c r="CG7" s="56">
        <v>-10000</v>
      </c>
      <c r="CH7" s="59">
        <v>-3.33</v>
      </c>
      <c r="CI7" s="56">
        <v>0</v>
      </c>
      <c r="CJ7" s="56">
        <v>0</v>
      </c>
      <c r="CK7" s="58" t="b">
        <v>0</v>
      </c>
      <c r="CL7" s="55" t="s">
        <v>48</v>
      </c>
      <c r="CM7" s="55" t="s">
        <v>48</v>
      </c>
      <c r="CN7" s="55" t="s">
        <v>48</v>
      </c>
      <c r="CO7" s="55" t="s">
        <v>48</v>
      </c>
      <c r="CP7" s="55" t="s">
        <v>48</v>
      </c>
      <c r="CQ7" s="55" t="s">
        <v>48</v>
      </c>
      <c r="CR7" s="56"/>
      <c r="CS7" s="56">
        <v>30</v>
      </c>
      <c r="CT7" s="55" t="s">
        <v>48</v>
      </c>
      <c r="CU7" s="55" t="s">
        <v>48</v>
      </c>
      <c r="CV7" s="55" t="s">
        <v>48</v>
      </c>
      <c r="CW7" s="55" t="s">
        <v>48</v>
      </c>
      <c r="CX7" s="55" t="s">
        <v>48</v>
      </c>
      <c r="CY7" s="55" t="s">
        <v>57</v>
      </c>
      <c r="CZ7" s="55" t="s">
        <v>34</v>
      </c>
      <c r="DA7" s="56">
        <v>0</v>
      </c>
      <c r="DB7" s="59">
        <v>-3.23</v>
      </c>
      <c r="DC7" s="56"/>
      <c r="DD7" s="56">
        <v>0</v>
      </c>
      <c r="DE7" s="56">
        <v>31</v>
      </c>
      <c r="DF7" s="56">
        <v>-310000</v>
      </c>
      <c r="DG7" s="56">
        <v>0</v>
      </c>
      <c r="DH7" s="55"/>
      <c r="DI7" s="56">
        <v>0</v>
      </c>
      <c r="DJ7" s="55" t="s">
        <v>60</v>
      </c>
      <c r="DK7" s="56">
        <v>-320000</v>
      </c>
      <c r="DL7" s="56">
        <v>-320000</v>
      </c>
      <c r="DM7" s="56">
        <v>1</v>
      </c>
      <c r="DN7" s="56">
        <v>0</v>
      </c>
      <c r="DO7" s="55" t="s">
        <v>48</v>
      </c>
      <c r="DP7" s="55" t="s">
        <v>59</v>
      </c>
      <c r="DQ7" s="55" t="s">
        <v>58</v>
      </c>
      <c r="DR7" s="55" t="s">
        <v>58</v>
      </c>
      <c r="DS7" s="55" t="s">
        <v>58</v>
      </c>
      <c r="DT7" s="55" t="s">
        <v>58</v>
      </c>
      <c r="DU7" s="55" t="s">
        <v>58</v>
      </c>
      <c r="DV7" s="55" t="s">
        <v>58</v>
      </c>
      <c r="DW7" s="55" t="s">
        <v>58</v>
      </c>
      <c r="DX7" s="55" t="s">
        <v>58</v>
      </c>
      <c r="DY7" s="55" t="s">
        <v>58</v>
      </c>
      <c r="DZ7" s="55" t="s">
        <v>22</v>
      </c>
      <c r="EA7" s="55" t="s">
        <v>58</v>
      </c>
      <c r="EB7" s="55" t="s">
        <v>58</v>
      </c>
      <c r="EC7" s="55" t="s">
        <v>58</v>
      </c>
      <c r="ED7" s="55" t="s">
        <v>47</v>
      </c>
      <c r="EE7" s="55" t="s">
        <v>58</v>
      </c>
      <c r="EF7" s="56">
        <v>0</v>
      </c>
      <c r="EG7" s="56">
        <v>0</v>
      </c>
      <c r="EH7" s="56">
        <v>0</v>
      </c>
      <c r="EI7" s="56">
        <v>0</v>
      </c>
      <c r="EJ7" s="56">
        <v>0</v>
      </c>
      <c r="EK7" s="56">
        <v>0</v>
      </c>
      <c r="EL7" s="55" t="s">
        <v>41</v>
      </c>
      <c r="EM7" s="56">
        <v>0</v>
      </c>
      <c r="EN7" s="56">
        <v>0</v>
      </c>
      <c r="EO7" s="59">
        <v>71.8</v>
      </c>
      <c r="EP7" s="56">
        <v>13928</v>
      </c>
      <c r="EQ7" s="59">
        <v>1295.55</v>
      </c>
      <c r="ER7" s="56">
        <v>0</v>
      </c>
      <c r="ES7" s="56">
        <v>23928</v>
      </c>
      <c r="ET7" s="59">
        <v>41.79</v>
      </c>
      <c r="EU7" s="59">
        <v>-1295.55</v>
      </c>
      <c r="EV7" s="55" t="s">
        <v>41</v>
      </c>
      <c r="EW7" s="56">
        <v>23928</v>
      </c>
      <c r="EX7" s="58" t="b">
        <v>0</v>
      </c>
      <c r="EY7" s="55" t="s">
        <v>48</v>
      </c>
      <c r="EZ7" s="55" t="s">
        <v>48</v>
      </c>
      <c r="FA7" s="42"/>
      <c r="FB7" s="42"/>
      <c r="FC7" s="42"/>
      <c r="FD7" s="42"/>
      <c r="FE7" s="42"/>
      <c r="FF7" s="42"/>
      <c r="FG7" s="42"/>
      <c r="FH7" s="42"/>
      <c r="FI7" s="42"/>
      <c r="FJ7" s="42"/>
    </row>
    <row r="8" spans="1:166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2"/>
      <c r="FA8" s="42"/>
      <c r="FB8" s="42"/>
      <c r="FC8" s="42"/>
      <c r="FD8" s="42"/>
      <c r="FE8" s="42"/>
      <c r="FF8" s="42"/>
      <c r="FG8" s="42"/>
      <c r="FH8" s="42"/>
      <c r="FI8" s="42"/>
      <c r="FJ8" s="42"/>
    </row>
    <row r="9" spans="1:166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42"/>
      <c r="FH9" s="42"/>
      <c r="FI9" s="42"/>
      <c r="FJ9" s="42"/>
    </row>
    <row r="10" spans="1:166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2"/>
      <c r="FH10" s="42"/>
      <c r="FI10" s="42"/>
      <c r="FJ10" s="42"/>
    </row>
    <row r="11" spans="1:166" ht="15.75" customHeight="1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</row>
    <row r="12" spans="1:166" ht="15.75" customHeigh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</row>
    <row r="13" spans="1:166" ht="15.75" customHeight="1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42"/>
      <c r="FH13" s="42"/>
      <c r="FI13" s="42"/>
      <c r="FJ13" s="42"/>
    </row>
    <row r="14" spans="1:166" ht="15.75" customHeight="1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2"/>
      <c r="FH14" s="42"/>
      <c r="FI14" s="42"/>
      <c r="FJ14" s="42"/>
    </row>
    <row r="15" spans="1:166" ht="15.75" customHeight="1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J15" s="42"/>
    </row>
    <row r="16" spans="1:166" ht="15.75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</row>
    <row r="17" spans="1:166" ht="15.75" customHeight="1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</row>
    <row r="18" spans="1:166" ht="15.75" customHeight="1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42"/>
      <c r="FH18" s="42"/>
      <c r="FI18" s="42"/>
      <c r="FJ18" s="42"/>
    </row>
    <row r="19" spans="1:166" ht="15.75" customHeight="1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42"/>
      <c r="FH19" s="42"/>
      <c r="FI19" s="42"/>
      <c r="FJ19" s="42"/>
    </row>
    <row r="20" spans="1:166" ht="15.75" customHeight="1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2"/>
      <c r="FH20" s="42"/>
      <c r="FI20" s="42"/>
      <c r="FJ20" s="42"/>
    </row>
    <row r="21" spans="1:166" ht="15.7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2"/>
      <c r="EO21" s="42"/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42"/>
      <c r="FH21" s="42"/>
      <c r="FI21" s="42"/>
      <c r="FJ21" s="42"/>
    </row>
    <row r="22" spans="1:166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2"/>
      <c r="FH22" s="42"/>
      <c r="FI22" s="42"/>
      <c r="FJ22" s="42"/>
    </row>
    <row r="23" spans="1:166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42"/>
      <c r="FH23" s="42"/>
      <c r="FI23" s="42"/>
      <c r="FJ23" s="42"/>
    </row>
    <row r="24" spans="1:166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2"/>
      <c r="FA24" s="42"/>
      <c r="FB24" s="42"/>
      <c r="FC24" s="42"/>
      <c r="FD24" s="42"/>
      <c r="FE24" s="42"/>
      <c r="FF24" s="42"/>
      <c r="FG24" s="42"/>
      <c r="FH24" s="42"/>
      <c r="FI24" s="42"/>
      <c r="FJ24" s="42"/>
    </row>
    <row r="25" spans="1:166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S25" s="42"/>
      <c r="ET25" s="42"/>
      <c r="EU25" s="42"/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J25" s="42"/>
    </row>
    <row r="26" spans="1:16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/>
      <c r="EN26" s="42"/>
      <c r="EO26" s="42"/>
      <c r="EP26" s="42"/>
      <c r="EQ26" s="42"/>
      <c r="ER26" s="42"/>
      <c r="ES26" s="42"/>
      <c r="ET26" s="42"/>
      <c r="EU26" s="42"/>
      <c r="EV26" s="42"/>
      <c r="EW26" s="42"/>
      <c r="EX26" s="42"/>
      <c r="EY26" s="42"/>
      <c r="EZ26" s="42"/>
      <c r="FA26" s="42"/>
      <c r="FB26" s="42"/>
      <c r="FC26" s="42"/>
      <c r="FD26" s="42"/>
      <c r="FE26" s="42"/>
      <c r="FF26" s="42"/>
      <c r="FG26" s="42"/>
      <c r="FH26" s="42"/>
      <c r="FI26" s="42"/>
      <c r="FJ26" s="42"/>
    </row>
    <row r="27" spans="1:166" ht="15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/>
      <c r="EN27" s="42"/>
      <c r="EO27" s="42"/>
      <c r="EP27" s="42"/>
      <c r="EQ27" s="42"/>
      <c r="ER27" s="42"/>
      <c r="ES27" s="42"/>
      <c r="ET27" s="42"/>
      <c r="EU27" s="42"/>
      <c r="EV27" s="42"/>
      <c r="EW27" s="42"/>
      <c r="EX27" s="42"/>
      <c r="EY27" s="42"/>
      <c r="EZ27" s="42"/>
      <c r="FA27" s="42"/>
      <c r="FB27" s="42"/>
      <c r="FC27" s="42"/>
      <c r="FD27" s="42"/>
      <c r="FE27" s="42"/>
      <c r="FF27" s="42"/>
      <c r="FG27" s="42"/>
      <c r="FH27" s="42"/>
      <c r="FI27" s="42"/>
      <c r="FJ27" s="42"/>
    </row>
    <row r="28" spans="1:166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/>
      <c r="EN28" s="42"/>
      <c r="EO28" s="42"/>
      <c r="EP28" s="42"/>
      <c r="EQ28" s="42"/>
      <c r="ER28" s="42"/>
      <c r="ES28" s="42"/>
      <c r="ET28" s="42"/>
      <c r="EU28" s="42"/>
      <c r="EV28" s="42"/>
      <c r="EW28" s="42"/>
      <c r="EX28" s="42"/>
      <c r="EY28" s="42"/>
      <c r="EZ28" s="42"/>
      <c r="FA28" s="42"/>
      <c r="FB28" s="42"/>
      <c r="FC28" s="42"/>
      <c r="FD28" s="42"/>
      <c r="FE28" s="42"/>
      <c r="FF28" s="42"/>
      <c r="FG28" s="42"/>
      <c r="FH28" s="42"/>
      <c r="FI28" s="42"/>
      <c r="FJ28" s="42"/>
    </row>
    <row r="29" spans="1:166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2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2"/>
      <c r="FH29" s="42"/>
      <c r="FI29" s="42"/>
      <c r="FJ29" s="42"/>
    </row>
    <row r="30" spans="1:166" ht="15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2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42"/>
      <c r="FH30" s="42"/>
      <c r="FI30" s="42"/>
      <c r="FJ30" s="42"/>
    </row>
    <row r="31" spans="1:166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2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2"/>
      <c r="FH31" s="42"/>
      <c r="FI31" s="42"/>
      <c r="FJ31" s="42"/>
    </row>
    <row r="32" spans="1:166" ht="15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2"/>
      <c r="FA32" s="42"/>
      <c r="FB32" s="42"/>
      <c r="FC32" s="42"/>
      <c r="FD32" s="42"/>
      <c r="FE32" s="42"/>
      <c r="FF32" s="42"/>
      <c r="FG32" s="42"/>
      <c r="FH32" s="42"/>
      <c r="FI32" s="42"/>
      <c r="FJ32" s="42"/>
    </row>
    <row r="33" spans="1:166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/>
      <c r="EN33" s="42"/>
      <c r="EO33" s="42"/>
      <c r="EP33" s="42"/>
      <c r="EQ33" s="42"/>
      <c r="ER33" s="42"/>
      <c r="ES33" s="42"/>
      <c r="ET33" s="42"/>
      <c r="EU33" s="42"/>
      <c r="EV33" s="42"/>
      <c r="EW33" s="42"/>
      <c r="EX33" s="42"/>
      <c r="EY33" s="42"/>
      <c r="EZ33" s="42"/>
      <c r="FA33" s="42"/>
      <c r="FB33" s="42"/>
      <c r="FC33" s="42"/>
      <c r="FD33" s="42"/>
      <c r="FE33" s="42"/>
      <c r="FF33" s="42"/>
      <c r="FG33" s="42"/>
      <c r="FH33" s="42"/>
      <c r="FI33" s="42"/>
      <c r="FJ33" s="42"/>
    </row>
    <row r="34" spans="1:166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/>
      <c r="EN34" s="42"/>
      <c r="EO34" s="42"/>
      <c r="EP34" s="42"/>
      <c r="EQ34" s="42"/>
      <c r="ER34" s="42"/>
      <c r="ES34" s="42"/>
      <c r="ET34" s="42"/>
      <c r="EU34" s="42"/>
      <c r="EV34" s="42"/>
      <c r="EW34" s="42"/>
      <c r="EX34" s="42"/>
      <c r="EY34" s="42"/>
      <c r="EZ34" s="42"/>
      <c r="FA34" s="42"/>
      <c r="FB34" s="42"/>
      <c r="FC34" s="42"/>
      <c r="FD34" s="42"/>
      <c r="FE34" s="42"/>
      <c r="FF34" s="42"/>
      <c r="FG34" s="42"/>
      <c r="FH34" s="42"/>
      <c r="FI34" s="42"/>
      <c r="FJ34" s="42"/>
    </row>
    <row r="35" spans="1:166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42"/>
      <c r="EV35" s="42"/>
      <c r="EW35" s="42"/>
      <c r="EX35" s="42"/>
      <c r="EY35" s="42"/>
      <c r="EZ35" s="42"/>
      <c r="FA35" s="42"/>
      <c r="FB35" s="42"/>
      <c r="FC35" s="42"/>
      <c r="FD35" s="42"/>
      <c r="FE35" s="42"/>
      <c r="FF35" s="42"/>
      <c r="FG35" s="42"/>
      <c r="FH35" s="42"/>
      <c r="FI35" s="42"/>
      <c r="FJ35" s="42"/>
    </row>
    <row r="36" spans="1:16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42"/>
      <c r="BU36" s="42"/>
      <c r="BV36" s="42"/>
      <c r="BW36" s="42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/>
      <c r="EN36" s="42"/>
      <c r="EO36" s="42"/>
      <c r="EP36" s="42"/>
      <c r="EQ36" s="42"/>
      <c r="ER36" s="42"/>
      <c r="ES36" s="42"/>
      <c r="ET36" s="42"/>
      <c r="EU36" s="42"/>
      <c r="EV36" s="42"/>
      <c r="EW36" s="42"/>
      <c r="EX36" s="42"/>
      <c r="EY36" s="42"/>
      <c r="EZ36" s="42"/>
      <c r="FA36" s="42"/>
      <c r="FB36" s="42"/>
      <c r="FC36" s="42"/>
      <c r="FD36" s="42"/>
      <c r="FE36" s="42"/>
      <c r="FF36" s="42"/>
      <c r="FG36" s="42"/>
      <c r="FH36" s="42"/>
      <c r="FI36" s="42"/>
      <c r="FJ36" s="42"/>
    </row>
    <row r="37" spans="1:166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/>
      <c r="EN37" s="42"/>
      <c r="EO37" s="42"/>
      <c r="EP37" s="42"/>
      <c r="EQ37" s="42"/>
      <c r="ER37" s="42"/>
      <c r="ES37" s="42"/>
      <c r="ET37" s="42"/>
      <c r="EU37" s="42"/>
      <c r="EV37" s="42"/>
      <c r="EW37" s="42"/>
      <c r="EX37" s="42"/>
      <c r="EY37" s="42"/>
      <c r="EZ37" s="42"/>
      <c r="FA37" s="42"/>
      <c r="FB37" s="42"/>
      <c r="FC37" s="42"/>
      <c r="FD37" s="42"/>
      <c r="FE37" s="42"/>
      <c r="FF37" s="42"/>
      <c r="FG37" s="42"/>
      <c r="FH37" s="42"/>
      <c r="FI37" s="42"/>
      <c r="FJ37" s="42"/>
    </row>
    <row r="38" spans="1:166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/>
      <c r="EN38" s="42"/>
      <c r="EO38" s="42"/>
      <c r="EP38" s="42"/>
      <c r="EQ38" s="42"/>
      <c r="ER38" s="42"/>
      <c r="ES38" s="42"/>
      <c r="ET38" s="42"/>
      <c r="EU38" s="42"/>
      <c r="EV38" s="42"/>
      <c r="EW38" s="42"/>
      <c r="EX38" s="42"/>
      <c r="EY38" s="42"/>
      <c r="EZ38" s="42"/>
      <c r="FA38" s="42"/>
      <c r="FB38" s="42"/>
      <c r="FC38" s="42"/>
      <c r="FD38" s="42"/>
      <c r="FE38" s="42"/>
      <c r="FF38" s="42"/>
      <c r="FG38" s="42"/>
      <c r="FH38" s="42"/>
      <c r="FI38" s="42"/>
      <c r="FJ38" s="42"/>
    </row>
    <row r="39" spans="1:166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/>
      <c r="EN39" s="42"/>
      <c r="EO39" s="42"/>
      <c r="EP39" s="42"/>
      <c r="EQ39" s="42"/>
      <c r="ER39" s="42"/>
      <c r="ES39" s="42"/>
      <c r="ET39" s="42"/>
      <c r="EU39" s="42"/>
      <c r="EV39" s="42"/>
      <c r="EW39" s="42"/>
      <c r="EX39" s="42"/>
      <c r="EY39" s="42"/>
      <c r="EZ39" s="42"/>
      <c r="FA39" s="42"/>
      <c r="FB39" s="42"/>
      <c r="FC39" s="42"/>
      <c r="FD39" s="42"/>
      <c r="FE39" s="42"/>
      <c r="FF39" s="42"/>
      <c r="FG39" s="42"/>
      <c r="FH39" s="42"/>
      <c r="FI39" s="42"/>
      <c r="FJ39" s="42"/>
    </row>
    <row r="40" spans="1:166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42"/>
      <c r="BU40" s="42"/>
      <c r="BV40" s="42"/>
      <c r="BW40" s="42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/>
      <c r="EN40" s="42"/>
      <c r="EO40" s="42"/>
      <c r="EP40" s="42"/>
      <c r="EQ40" s="42"/>
      <c r="ER40" s="42"/>
      <c r="ES40" s="42"/>
      <c r="ET40" s="42"/>
      <c r="EU40" s="42"/>
      <c r="EV40" s="42"/>
      <c r="EW40" s="42"/>
      <c r="EX40" s="42"/>
      <c r="EY40" s="42"/>
      <c r="EZ40" s="42"/>
      <c r="FA40" s="42"/>
      <c r="FB40" s="42"/>
      <c r="FC40" s="42"/>
      <c r="FD40" s="42"/>
      <c r="FE40" s="42"/>
      <c r="FF40" s="42"/>
      <c r="FG40" s="42"/>
      <c r="FH40" s="42"/>
      <c r="FI40" s="42"/>
      <c r="FJ40" s="42"/>
    </row>
    <row r="41" spans="1:166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/>
      <c r="EN41" s="42"/>
      <c r="EO41" s="42"/>
      <c r="EP41" s="42"/>
      <c r="EQ41" s="42"/>
      <c r="ER41" s="42"/>
      <c r="ES41" s="42"/>
      <c r="ET41" s="42"/>
      <c r="EU41" s="42"/>
      <c r="EV41" s="42"/>
      <c r="EW41" s="42"/>
      <c r="EX41" s="42"/>
      <c r="EY41" s="42"/>
      <c r="EZ41" s="42"/>
      <c r="FA41" s="42"/>
      <c r="FB41" s="42"/>
      <c r="FC41" s="42"/>
      <c r="FD41" s="42"/>
      <c r="FE41" s="42"/>
      <c r="FF41" s="42"/>
      <c r="FG41" s="42"/>
      <c r="FH41" s="42"/>
      <c r="FI41" s="42"/>
      <c r="FJ41" s="42"/>
    </row>
    <row r="42" spans="1:166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  <c r="EZ42" s="42"/>
      <c r="FA42" s="42"/>
      <c r="FB42" s="42"/>
      <c r="FC42" s="42"/>
      <c r="FD42" s="42"/>
      <c r="FE42" s="42"/>
      <c r="FF42" s="42"/>
      <c r="FG42" s="42"/>
      <c r="FH42" s="42"/>
      <c r="FI42" s="42"/>
      <c r="FJ42" s="42"/>
    </row>
    <row r="43" spans="1:166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42"/>
      <c r="BU43" s="42"/>
      <c r="BV43" s="42"/>
      <c r="BW43" s="42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/>
      <c r="EN43" s="42"/>
      <c r="EO43" s="42"/>
      <c r="EP43" s="42"/>
      <c r="EQ43" s="42"/>
      <c r="ER43" s="42"/>
      <c r="ES43" s="42"/>
      <c r="ET43" s="42"/>
      <c r="EU43" s="42"/>
      <c r="EV43" s="42"/>
      <c r="EW43" s="42"/>
      <c r="EX43" s="42"/>
      <c r="EY43" s="42"/>
      <c r="EZ43" s="42"/>
      <c r="FA43" s="42"/>
      <c r="FB43" s="42"/>
      <c r="FC43" s="42"/>
      <c r="FD43" s="42"/>
      <c r="FE43" s="42"/>
      <c r="FF43" s="42"/>
      <c r="FG43" s="42"/>
      <c r="FH43" s="42"/>
      <c r="FI43" s="42"/>
      <c r="FJ43" s="42"/>
    </row>
    <row r="44" spans="1:166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/>
      <c r="EN44" s="42"/>
      <c r="EO44" s="42"/>
      <c r="EP44" s="42"/>
      <c r="EQ44" s="42"/>
      <c r="ER44" s="42"/>
      <c r="ES44" s="42"/>
      <c r="ET44" s="42"/>
      <c r="EU44" s="42"/>
      <c r="EV44" s="42"/>
      <c r="EW44" s="42"/>
      <c r="EX44" s="42"/>
      <c r="EY44" s="42"/>
      <c r="EZ44" s="42"/>
      <c r="FA44" s="42"/>
      <c r="FB44" s="42"/>
      <c r="FC44" s="42"/>
      <c r="FD44" s="42"/>
      <c r="FE44" s="42"/>
      <c r="FF44" s="42"/>
      <c r="FG44" s="42"/>
      <c r="FH44" s="42"/>
      <c r="FI44" s="42"/>
      <c r="FJ44" s="42"/>
    </row>
    <row r="45" spans="1:166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/>
      <c r="EN45" s="42"/>
      <c r="EO45" s="42"/>
      <c r="EP45" s="42"/>
      <c r="EQ45" s="42"/>
      <c r="ER45" s="42"/>
      <c r="ES45" s="42"/>
      <c r="ET45" s="42"/>
      <c r="EU45" s="42"/>
      <c r="EV45" s="42"/>
      <c r="EW45" s="42"/>
      <c r="EX45" s="42"/>
      <c r="EY45" s="42"/>
      <c r="EZ45" s="42"/>
      <c r="FA45" s="42"/>
      <c r="FB45" s="42"/>
      <c r="FC45" s="42"/>
      <c r="FD45" s="42"/>
      <c r="FE45" s="42"/>
      <c r="FF45" s="42"/>
      <c r="FG45" s="42"/>
      <c r="FH45" s="42"/>
      <c r="FI45" s="42"/>
      <c r="FJ45" s="42"/>
    </row>
    <row r="46" spans="1:16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/>
      <c r="EN46" s="42"/>
      <c r="EO46" s="42"/>
      <c r="EP46" s="42"/>
      <c r="EQ46" s="42"/>
      <c r="ER46" s="42"/>
      <c r="ES46" s="42"/>
      <c r="ET46" s="42"/>
      <c r="EU46" s="42"/>
      <c r="EV46" s="42"/>
      <c r="EW46" s="42"/>
      <c r="EX46" s="42"/>
      <c r="EY46" s="42"/>
      <c r="EZ46" s="42"/>
      <c r="FA46" s="42"/>
      <c r="FB46" s="42"/>
      <c r="FC46" s="42"/>
      <c r="FD46" s="42"/>
      <c r="FE46" s="42"/>
      <c r="FF46" s="42"/>
      <c r="FG46" s="42"/>
      <c r="FH46" s="42"/>
      <c r="FI46" s="42"/>
      <c r="FJ46" s="42"/>
    </row>
    <row r="47" spans="1:166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42"/>
      <c r="BU47" s="42"/>
      <c r="BV47" s="42"/>
      <c r="BW47" s="42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/>
      <c r="EN47" s="42"/>
      <c r="EO47" s="42"/>
      <c r="EP47" s="42"/>
      <c r="EQ47" s="42"/>
      <c r="ER47" s="42"/>
      <c r="ES47" s="42"/>
      <c r="ET47" s="42"/>
      <c r="EU47" s="42"/>
      <c r="EV47" s="42"/>
      <c r="EW47" s="42"/>
      <c r="EX47" s="42"/>
      <c r="EY47" s="42"/>
      <c r="EZ47" s="42"/>
      <c r="FA47" s="42"/>
      <c r="FB47" s="42"/>
      <c r="FC47" s="42"/>
      <c r="FD47" s="42"/>
      <c r="FE47" s="42"/>
      <c r="FF47" s="42"/>
      <c r="FG47" s="42"/>
      <c r="FH47" s="42"/>
      <c r="FI47" s="42"/>
      <c r="FJ47" s="42"/>
    </row>
    <row r="48" spans="1:166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42"/>
      <c r="BV48" s="42"/>
      <c r="BW48" s="42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</row>
    <row r="49" spans="1:166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42"/>
      <c r="BV49" s="42"/>
      <c r="BW49" s="42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42"/>
      <c r="DU49" s="42"/>
      <c r="DV49" s="42"/>
      <c r="DW49" s="42"/>
      <c r="DX49" s="42"/>
      <c r="DY49" s="42"/>
      <c r="DZ49" s="42"/>
      <c r="EA49" s="42"/>
      <c r="EB49" s="42"/>
      <c r="EC49" s="42"/>
      <c r="ED49" s="42"/>
      <c r="EE49" s="42"/>
      <c r="EF49" s="42"/>
      <c r="EG49" s="42"/>
      <c r="EH49" s="42"/>
      <c r="EI49" s="42"/>
      <c r="EJ49" s="42"/>
      <c r="EK49" s="42"/>
      <c r="EL49" s="42"/>
      <c r="EM49" s="42"/>
      <c r="EN49" s="42"/>
      <c r="EO49" s="42"/>
      <c r="EP49" s="42"/>
      <c r="EQ49" s="42"/>
      <c r="ER49" s="42"/>
      <c r="ES49" s="42"/>
      <c r="ET49" s="42"/>
      <c r="EU49" s="42"/>
      <c r="EV49" s="42"/>
      <c r="EW49" s="42"/>
      <c r="EX49" s="42"/>
      <c r="EY49" s="42"/>
      <c r="EZ49" s="42"/>
      <c r="FA49" s="42"/>
      <c r="FB49" s="42"/>
      <c r="FC49" s="42"/>
      <c r="FD49" s="42"/>
      <c r="FE49" s="42"/>
      <c r="FF49" s="42"/>
      <c r="FG49" s="42"/>
      <c r="FH49" s="42"/>
      <c r="FI49" s="42"/>
      <c r="FJ49" s="42"/>
    </row>
    <row r="50" spans="1:166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  <c r="BO50" s="42"/>
      <c r="BP50" s="42"/>
      <c r="BQ50" s="42"/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/>
      <c r="EN50" s="42"/>
      <c r="EO50" s="42"/>
      <c r="EP50" s="42"/>
      <c r="EQ50" s="42"/>
      <c r="ER50" s="42"/>
      <c r="ES50" s="42"/>
      <c r="ET50" s="42"/>
      <c r="EU50" s="42"/>
      <c r="EV50" s="42"/>
      <c r="EW50" s="42"/>
      <c r="EX50" s="42"/>
      <c r="EY50" s="42"/>
      <c r="EZ50" s="42"/>
      <c r="FA50" s="42"/>
      <c r="FB50" s="42"/>
      <c r="FC50" s="42"/>
      <c r="FD50" s="42"/>
      <c r="FE50" s="42"/>
      <c r="FF50" s="42"/>
      <c r="FG50" s="42"/>
      <c r="FH50" s="42"/>
      <c r="FI50" s="42"/>
      <c r="FJ50" s="42"/>
    </row>
    <row r="51" spans="1:166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  <c r="BO51" s="42"/>
      <c r="BP51" s="42"/>
      <c r="BQ51" s="42"/>
      <c r="BR51" s="42"/>
      <c r="BS51" s="42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/>
      <c r="EN51" s="42"/>
      <c r="EO51" s="42"/>
      <c r="EP51" s="42"/>
      <c r="EQ51" s="42"/>
      <c r="ER51" s="42"/>
      <c r="ES51" s="42"/>
      <c r="ET51" s="42"/>
      <c r="EU51" s="42"/>
      <c r="EV51" s="42"/>
      <c r="EW51" s="42"/>
      <c r="EX51" s="42"/>
      <c r="EY51" s="42"/>
      <c r="EZ51" s="42"/>
      <c r="FA51" s="42"/>
      <c r="FB51" s="42"/>
      <c r="FC51" s="42"/>
      <c r="FD51" s="42"/>
      <c r="FE51" s="42"/>
      <c r="FF51" s="42"/>
      <c r="FG51" s="42"/>
      <c r="FH51" s="42"/>
      <c r="FI51" s="42"/>
      <c r="FJ51" s="42"/>
    </row>
    <row r="52" spans="1:166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/>
      <c r="EN52" s="42"/>
      <c r="EO52" s="42"/>
      <c r="EP52" s="42"/>
      <c r="EQ52" s="42"/>
      <c r="ER52" s="42"/>
      <c r="ES52" s="42"/>
      <c r="ET52" s="42"/>
      <c r="EU52" s="42"/>
      <c r="EV52" s="42"/>
      <c r="EW52" s="42"/>
      <c r="EX52" s="42"/>
      <c r="EY52" s="42"/>
      <c r="EZ52" s="42"/>
      <c r="FA52" s="42"/>
      <c r="FB52" s="42"/>
      <c r="FC52" s="42"/>
      <c r="FD52" s="42"/>
      <c r="FE52" s="42"/>
      <c r="FF52" s="42"/>
      <c r="FG52" s="42"/>
      <c r="FH52" s="42"/>
      <c r="FI52" s="42"/>
      <c r="FJ52" s="42"/>
    </row>
    <row r="53" spans="1:166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/>
      <c r="EN53" s="42"/>
      <c r="EO53" s="42"/>
      <c r="EP53" s="42"/>
      <c r="EQ53" s="42"/>
      <c r="ER53" s="42"/>
      <c r="ES53" s="42"/>
      <c r="ET53" s="42"/>
      <c r="EU53" s="42"/>
      <c r="EV53" s="42"/>
      <c r="EW53" s="42"/>
      <c r="EX53" s="42"/>
      <c r="EY53" s="42"/>
      <c r="EZ53" s="42"/>
      <c r="FA53" s="42"/>
      <c r="FB53" s="42"/>
      <c r="FC53" s="42"/>
      <c r="FD53" s="42"/>
      <c r="FE53" s="42"/>
      <c r="FF53" s="42"/>
      <c r="FG53" s="42"/>
      <c r="FH53" s="42"/>
      <c r="FI53" s="42"/>
      <c r="FJ53" s="42"/>
    </row>
    <row r="54" spans="1:166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/>
      <c r="EN54" s="42"/>
      <c r="EO54" s="42"/>
      <c r="EP54" s="42"/>
      <c r="EQ54" s="42"/>
      <c r="ER54" s="42"/>
      <c r="ES54" s="42"/>
      <c r="ET54" s="42"/>
      <c r="EU54" s="42"/>
      <c r="EV54" s="42"/>
      <c r="EW54" s="42"/>
      <c r="EX54" s="42"/>
      <c r="EY54" s="42"/>
      <c r="EZ54" s="42"/>
      <c r="FA54" s="42"/>
      <c r="FB54" s="42"/>
      <c r="FC54" s="42"/>
      <c r="FD54" s="42"/>
      <c r="FE54" s="42"/>
      <c r="FF54" s="42"/>
      <c r="FG54" s="42"/>
      <c r="FH54" s="42"/>
      <c r="FI54" s="42"/>
      <c r="FJ54" s="42"/>
    </row>
    <row r="55" spans="1:166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/>
      <c r="EN55" s="42"/>
      <c r="EO55" s="42"/>
      <c r="EP55" s="42"/>
      <c r="EQ55" s="42"/>
      <c r="ER55" s="42"/>
      <c r="ES55" s="42"/>
      <c r="ET55" s="42"/>
      <c r="EU55" s="42"/>
      <c r="EV55" s="42"/>
      <c r="EW55" s="42"/>
      <c r="EX55" s="42"/>
      <c r="EY55" s="42"/>
      <c r="EZ55" s="42"/>
      <c r="FA55" s="42"/>
      <c r="FB55" s="42"/>
      <c r="FC55" s="42"/>
      <c r="FD55" s="42"/>
      <c r="FE55" s="42"/>
      <c r="FF55" s="42"/>
      <c r="FG55" s="42"/>
      <c r="FH55" s="42"/>
      <c r="FI55" s="42"/>
      <c r="FJ55" s="42"/>
    </row>
    <row r="56" spans="1:16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/>
      <c r="EN56" s="42"/>
      <c r="EO56" s="42"/>
      <c r="EP56" s="42"/>
      <c r="EQ56" s="42"/>
      <c r="ER56" s="42"/>
      <c r="ES56" s="42"/>
      <c r="ET56" s="42"/>
      <c r="EU56" s="42"/>
      <c r="EV56" s="42"/>
      <c r="EW56" s="42"/>
      <c r="EX56" s="42"/>
      <c r="EY56" s="42"/>
      <c r="EZ56" s="42"/>
      <c r="FA56" s="42"/>
      <c r="FB56" s="42"/>
      <c r="FC56" s="42"/>
      <c r="FD56" s="42"/>
      <c r="FE56" s="42"/>
      <c r="FF56" s="42"/>
      <c r="FG56" s="42"/>
      <c r="FH56" s="42"/>
      <c r="FI56" s="42"/>
      <c r="FJ56" s="42"/>
    </row>
    <row r="57" spans="1:166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/>
      <c r="EN57" s="42"/>
      <c r="EO57" s="42"/>
      <c r="EP57" s="42"/>
      <c r="EQ57" s="42"/>
      <c r="ER57" s="42"/>
      <c r="ES57" s="42"/>
      <c r="ET57" s="42"/>
      <c r="EU57" s="42"/>
      <c r="EV57" s="42"/>
      <c r="EW57" s="42"/>
      <c r="EX57" s="42"/>
      <c r="EY57" s="42"/>
      <c r="EZ57" s="42"/>
      <c r="FA57" s="42"/>
      <c r="FB57" s="42"/>
      <c r="FC57" s="42"/>
      <c r="FD57" s="42"/>
      <c r="FE57" s="42"/>
      <c r="FF57" s="42"/>
      <c r="FG57" s="42"/>
      <c r="FH57" s="42"/>
      <c r="FI57" s="42"/>
      <c r="FJ57" s="42"/>
    </row>
    <row r="58" spans="1:166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/>
      <c r="EN58" s="42"/>
      <c r="EO58" s="42"/>
      <c r="EP58" s="42"/>
      <c r="EQ58" s="42"/>
      <c r="ER58" s="42"/>
      <c r="ES58" s="42"/>
      <c r="ET58" s="42"/>
      <c r="EU58" s="42"/>
      <c r="EV58" s="42"/>
      <c r="EW58" s="42"/>
      <c r="EX58" s="42"/>
      <c r="EY58" s="42"/>
      <c r="EZ58" s="42"/>
      <c r="FA58" s="42"/>
      <c r="FB58" s="42"/>
      <c r="FC58" s="42"/>
      <c r="FD58" s="42"/>
      <c r="FE58" s="42"/>
      <c r="FF58" s="42"/>
      <c r="FG58" s="42"/>
      <c r="FH58" s="42"/>
      <c r="FI58" s="42"/>
      <c r="FJ58" s="42"/>
    </row>
    <row r="59" spans="1:166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/>
      <c r="EN59" s="42"/>
      <c r="EO59" s="42"/>
      <c r="EP59" s="42"/>
      <c r="EQ59" s="42"/>
      <c r="ER59" s="42"/>
      <c r="ES59" s="42"/>
      <c r="ET59" s="42"/>
      <c r="EU59" s="42"/>
      <c r="EV59" s="42"/>
      <c r="EW59" s="42"/>
      <c r="EX59" s="42"/>
      <c r="EY59" s="42"/>
      <c r="EZ59" s="42"/>
      <c r="FA59" s="42"/>
      <c r="FB59" s="42"/>
      <c r="FC59" s="42"/>
      <c r="FD59" s="42"/>
      <c r="FE59" s="42"/>
      <c r="FF59" s="42"/>
      <c r="FG59" s="42"/>
      <c r="FH59" s="42"/>
      <c r="FI59" s="42"/>
      <c r="FJ59" s="42"/>
    </row>
    <row r="60" spans="1:166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/>
      <c r="EN60" s="42"/>
      <c r="EO60" s="42"/>
      <c r="EP60" s="42"/>
      <c r="EQ60" s="42"/>
      <c r="ER60" s="42"/>
      <c r="ES60" s="42"/>
      <c r="ET60" s="42"/>
      <c r="EU60" s="42"/>
      <c r="EV60" s="42"/>
      <c r="EW60" s="42"/>
      <c r="EX60" s="42"/>
      <c r="EY60" s="42"/>
      <c r="EZ60" s="42"/>
      <c r="FA60" s="42"/>
      <c r="FB60" s="42"/>
      <c r="FC60" s="42"/>
      <c r="FD60" s="42"/>
      <c r="FE60" s="42"/>
      <c r="FF60" s="42"/>
      <c r="FG60" s="42"/>
      <c r="FH60" s="42"/>
      <c r="FI60" s="42"/>
      <c r="FJ60" s="42"/>
    </row>
    <row r="61" spans="1:166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/>
      <c r="EN61" s="42"/>
      <c r="EO61" s="42"/>
      <c r="EP61" s="42"/>
      <c r="EQ61" s="42"/>
      <c r="ER61" s="42"/>
      <c r="ES61" s="42"/>
      <c r="ET61" s="42"/>
      <c r="EU61" s="42"/>
      <c r="EV61" s="42"/>
      <c r="EW61" s="42"/>
      <c r="EX61" s="42"/>
      <c r="EY61" s="42"/>
      <c r="EZ61" s="42"/>
      <c r="FA61" s="42"/>
      <c r="FB61" s="42"/>
      <c r="FC61" s="42"/>
      <c r="FD61" s="42"/>
      <c r="FE61" s="42"/>
      <c r="FF61" s="42"/>
      <c r="FG61" s="42"/>
      <c r="FH61" s="42"/>
      <c r="FI61" s="42"/>
      <c r="FJ61" s="42"/>
    </row>
    <row r="62" spans="1:166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/>
      <c r="EN62" s="42"/>
      <c r="EO62" s="42"/>
      <c r="EP62" s="42"/>
      <c r="EQ62" s="42"/>
      <c r="ER62" s="42"/>
      <c r="ES62" s="42"/>
      <c r="ET62" s="42"/>
      <c r="EU62" s="42"/>
      <c r="EV62" s="42"/>
      <c r="EW62" s="42"/>
      <c r="EX62" s="42"/>
      <c r="EY62" s="42"/>
      <c r="EZ62" s="42"/>
      <c r="FA62" s="42"/>
      <c r="FB62" s="42"/>
      <c r="FC62" s="42"/>
      <c r="FD62" s="42"/>
      <c r="FE62" s="42"/>
      <c r="FF62" s="42"/>
      <c r="FG62" s="42"/>
      <c r="FH62" s="42"/>
      <c r="FI62" s="42"/>
      <c r="FJ62" s="42"/>
    </row>
    <row r="63" spans="1:166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2"/>
      <c r="DJ63" s="42"/>
      <c r="DK63" s="42"/>
      <c r="DL63" s="42"/>
      <c r="DM63" s="42"/>
      <c r="DN63" s="42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2"/>
      <c r="EI63" s="42"/>
      <c r="EJ63" s="42"/>
      <c r="EK63" s="42"/>
      <c r="EL63" s="42"/>
      <c r="EM63" s="42"/>
      <c r="EN63" s="42"/>
      <c r="EO63" s="42"/>
      <c r="EP63" s="42"/>
      <c r="EQ63" s="42"/>
      <c r="ER63" s="42"/>
      <c r="ES63" s="42"/>
      <c r="ET63" s="42"/>
      <c r="EU63" s="42"/>
      <c r="EV63" s="42"/>
      <c r="EW63" s="42"/>
      <c r="EX63" s="42"/>
      <c r="EY63" s="42"/>
      <c r="EZ63" s="42"/>
      <c r="FA63" s="42"/>
      <c r="FB63" s="42"/>
      <c r="FC63" s="42"/>
      <c r="FD63" s="42"/>
      <c r="FE63" s="42"/>
      <c r="FF63" s="42"/>
      <c r="FG63" s="42"/>
      <c r="FH63" s="42"/>
      <c r="FI63" s="42"/>
      <c r="FJ63" s="42"/>
    </row>
    <row r="64" spans="1:166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42"/>
      <c r="CT64" s="42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2"/>
      <c r="DJ64" s="42"/>
      <c r="DK64" s="42"/>
      <c r="DL64" s="42"/>
      <c r="DM64" s="42"/>
      <c r="DN64" s="42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2"/>
      <c r="EI64" s="42"/>
      <c r="EJ64" s="42"/>
      <c r="EK64" s="42"/>
      <c r="EL64" s="42"/>
      <c r="EM64" s="42"/>
      <c r="EN64" s="42"/>
      <c r="EO64" s="42"/>
      <c r="EP64" s="42"/>
      <c r="EQ64" s="42"/>
      <c r="ER64" s="42"/>
      <c r="ES64" s="42"/>
      <c r="ET64" s="42"/>
      <c r="EU64" s="42"/>
      <c r="EV64" s="42"/>
      <c r="EW64" s="42"/>
      <c r="EX64" s="42"/>
      <c r="EY64" s="42"/>
      <c r="EZ64" s="42"/>
      <c r="FA64" s="42"/>
      <c r="FB64" s="42"/>
      <c r="FC64" s="42"/>
      <c r="FD64" s="42"/>
      <c r="FE64" s="42"/>
      <c r="FF64" s="42"/>
      <c r="FG64" s="42"/>
      <c r="FH64" s="42"/>
      <c r="FI64" s="42"/>
      <c r="FJ64" s="42"/>
    </row>
    <row r="65" spans="1:166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42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42"/>
      <c r="CT65" s="42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2"/>
      <c r="DJ65" s="42"/>
      <c r="DK65" s="42"/>
      <c r="DL65" s="42"/>
      <c r="DM65" s="42"/>
      <c r="DN65" s="42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2"/>
      <c r="EI65" s="42"/>
      <c r="EJ65" s="42"/>
      <c r="EK65" s="42"/>
      <c r="EL65" s="42"/>
      <c r="EM65" s="42"/>
      <c r="EN65" s="42"/>
      <c r="EO65" s="42"/>
      <c r="EP65" s="42"/>
      <c r="EQ65" s="42"/>
      <c r="ER65" s="42"/>
      <c r="ES65" s="42"/>
      <c r="ET65" s="42"/>
      <c r="EU65" s="42"/>
      <c r="EV65" s="42"/>
      <c r="EW65" s="42"/>
      <c r="EX65" s="42"/>
      <c r="EY65" s="42"/>
      <c r="EZ65" s="42"/>
      <c r="FA65" s="42"/>
      <c r="FB65" s="42"/>
      <c r="FC65" s="42"/>
      <c r="FD65" s="42"/>
      <c r="FE65" s="42"/>
      <c r="FF65" s="42"/>
      <c r="FG65" s="42"/>
      <c r="FH65" s="42"/>
      <c r="FI65" s="42"/>
      <c r="FJ65" s="42"/>
    </row>
    <row r="66" spans="1:1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42"/>
      <c r="CO66" s="42"/>
      <c r="CP66" s="42"/>
      <c r="CQ66" s="42"/>
      <c r="CR66" s="42"/>
      <c r="CS66" s="42"/>
      <c r="CT66" s="42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2"/>
      <c r="DJ66" s="42"/>
      <c r="DK66" s="42"/>
      <c r="DL66" s="42"/>
      <c r="DM66" s="42"/>
      <c r="DN66" s="42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2"/>
      <c r="EI66" s="42"/>
      <c r="EJ66" s="42"/>
      <c r="EK66" s="42"/>
      <c r="EL66" s="42"/>
      <c r="EM66" s="42"/>
      <c r="EN66" s="42"/>
      <c r="EO66" s="42"/>
      <c r="EP66" s="42"/>
      <c r="EQ66" s="42"/>
      <c r="ER66" s="42"/>
      <c r="ES66" s="42"/>
      <c r="ET66" s="42"/>
      <c r="EU66" s="42"/>
      <c r="EV66" s="42"/>
      <c r="EW66" s="42"/>
      <c r="EX66" s="42"/>
      <c r="EY66" s="42"/>
      <c r="EZ66" s="42"/>
      <c r="FA66" s="42"/>
      <c r="FB66" s="42"/>
      <c r="FC66" s="42"/>
      <c r="FD66" s="42"/>
      <c r="FE66" s="42"/>
      <c r="FF66" s="42"/>
      <c r="FG66" s="42"/>
      <c r="FH66" s="42"/>
      <c r="FI66" s="42"/>
      <c r="FJ66" s="42"/>
    </row>
    <row r="67" spans="1:166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42"/>
      <c r="CO67" s="42"/>
      <c r="CP67" s="42"/>
      <c r="CQ67" s="42"/>
      <c r="CR67" s="42"/>
      <c r="CS67" s="42"/>
      <c r="CT67" s="42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2"/>
      <c r="DJ67" s="42"/>
      <c r="DK67" s="42"/>
      <c r="DL67" s="42"/>
      <c r="DM67" s="42"/>
      <c r="DN67" s="42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2"/>
      <c r="EI67" s="42"/>
      <c r="EJ67" s="42"/>
      <c r="EK67" s="42"/>
      <c r="EL67" s="42"/>
      <c r="EM67" s="42"/>
      <c r="EN67" s="42"/>
      <c r="EO67" s="42"/>
      <c r="EP67" s="42"/>
      <c r="EQ67" s="42"/>
      <c r="ER67" s="42"/>
      <c r="ES67" s="42"/>
      <c r="ET67" s="42"/>
      <c r="EU67" s="42"/>
      <c r="EV67" s="42"/>
      <c r="EW67" s="42"/>
      <c r="EX67" s="42"/>
      <c r="EY67" s="42"/>
      <c r="EZ67" s="42"/>
      <c r="FA67" s="42"/>
      <c r="FB67" s="42"/>
      <c r="FC67" s="42"/>
      <c r="FD67" s="42"/>
      <c r="FE67" s="42"/>
      <c r="FF67" s="42"/>
      <c r="FG67" s="42"/>
      <c r="FH67" s="42"/>
      <c r="FI67" s="42"/>
      <c r="FJ67" s="42"/>
    </row>
    <row r="68" spans="1:166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42"/>
      <c r="CO68" s="42"/>
      <c r="CP68" s="42"/>
      <c r="CQ68" s="42"/>
      <c r="CR68" s="42"/>
      <c r="CS68" s="42"/>
      <c r="CT68" s="42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2"/>
      <c r="DJ68" s="42"/>
      <c r="DK68" s="42"/>
      <c r="DL68" s="42"/>
      <c r="DM68" s="42"/>
      <c r="DN68" s="42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2"/>
      <c r="EI68" s="42"/>
      <c r="EJ68" s="42"/>
      <c r="EK68" s="42"/>
      <c r="EL68" s="42"/>
      <c r="EM68" s="42"/>
      <c r="EN68" s="42"/>
      <c r="EO68" s="42"/>
      <c r="EP68" s="42"/>
      <c r="EQ68" s="42"/>
      <c r="ER68" s="42"/>
      <c r="ES68" s="42"/>
      <c r="ET68" s="42"/>
      <c r="EU68" s="42"/>
      <c r="EV68" s="42"/>
      <c r="EW68" s="42"/>
      <c r="EX68" s="42"/>
      <c r="EY68" s="42"/>
      <c r="EZ68" s="42"/>
      <c r="FA68" s="42"/>
      <c r="FB68" s="42"/>
      <c r="FC68" s="42"/>
      <c r="FD68" s="42"/>
      <c r="FE68" s="42"/>
      <c r="FF68" s="42"/>
      <c r="FG68" s="42"/>
      <c r="FH68" s="42"/>
      <c r="FI68" s="42"/>
      <c r="FJ68" s="42"/>
    </row>
    <row r="69" spans="1:166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42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42"/>
      <c r="CO69" s="42"/>
      <c r="CP69" s="42"/>
      <c r="CQ69" s="42"/>
      <c r="CR69" s="42"/>
      <c r="CS69" s="42"/>
      <c r="CT69" s="42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2"/>
      <c r="DJ69" s="42"/>
      <c r="DK69" s="42"/>
      <c r="DL69" s="42"/>
      <c r="DM69" s="42"/>
      <c r="DN69" s="42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2"/>
      <c r="EI69" s="42"/>
      <c r="EJ69" s="42"/>
      <c r="EK69" s="42"/>
      <c r="EL69" s="42"/>
      <c r="EM69" s="42"/>
      <c r="EN69" s="42"/>
      <c r="EO69" s="42"/>
      <c r="EP69" s="42"/>
      <c r="EQ69" s="42"/>
      <c r="ER69" s="42"/>
      <c r="ES69" s="42"/>
      <c r="ET69" s="42"/>
      <c r="EU69" s="42"/>
      <c r="EV69" s="42"/>
      <c r="EW69" s="42"/>
      <c r="EX69" s="42"/>
      <c r="EY69" s="42"/>
      <c r="EZ69" s="42"/>
      <c r="FA69" s="42"/>
      <c r="FB69" s="42"/>
      <c r="FC69" s="42"/>
      <c r="FD69" s="42"/>
      <c r="FE69" s="42"/>
      <c r="FF69" s="42"/>
      <c r="FG69" s="42"/>
      <c r="FH69" s="42"/>
      <c r="FI69" s="42"/>
      <c r="FJ69" s="42"/>
    </row>
    <row r="70" spans="1:166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42"/>
      <c r="CO70" s="42"/>
      <c r="CP70" s="42"/>
      <c r="CQ70" s="42"/>
      <c r="CR70" s="42"/>
      <c r="CS70" s="42"/>
      <c r="CT70" s="42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2"/>
      <c r="DJ70" s="42"/>
      <c r="DK70" s="42"/>
      <c r="DL70" s="42"/>
      <c r="DM70" s="42"/>
      <c r="DN70" s="42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2"/>
      <c r="EI70" s="42"/>
      <c r="EJ70" s="42"/>
      <c r="EK70" s="42"/>
      <c r="EL70" s="42"/>
      <c r="EM70" s="42"/>
      <c r="EN70" s="42"/>
      <c r="EO70" s="42"/>
      <c r="EP70" s="42"/>
      <c r="EQ70" s="42"/>
      <c r="ER70" s="42"/>
      <c r="ES70" s="42"/>
      <c r="ET70" s="42"/>
      <c r="EU70" s="42"/>
      <c r="EV70" s="42"/>
      <c r="EW70" s="42"/>
      <c r="EX70" s="42"/>
      <c r="EY70" s="42"/>
      <c r="EZ70" s="42"/>
      <c r="FA70" s="42"/>
      <c r="FB70" s="42"/>
      <c r="FC70" s="42"/>
      <c r="FD70" s="42"/>
      <c r="FE70" s="42"/>
      <c r="FF70" s="42"/>
      <c r="FG70" s="42"/>
      <c r="FH70" s="42"/>
      <c r="FI70" s="42"/>
      <c r="FJ70" s="42"/>
    </row>
    <row r="71" spans="1:166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2"/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42"/>
      <c r="CO71" s="42"/>
      <c r="CP71" s="42"/>
      <c r="CQ71" s="42"/>
      <c r="CR71" s="42"/>
      <c r="CS71" s="42"/>
      <c r="CT71" s="42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2"/>
      <c r="DJ71" s="42"/>
      <c r="DK71" s="42"/>
      <c r="DL71" s="42"/>
      <c r="DM71" s="42"/>
      <c r="DN71" s="42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2"/>
      <c r="EI71" s="42"/>
      <c r="EJ71" s="42"/>
      <c r="EK71" s="42"/>
      <c r="EL71" s="42"/>
      <c r="EM71" s="42"/>
      <c r="EN71" s="42"/>
      <c r="EO71" s="42"/>
      <c r="EP71" s="42"/>
      <c r="EQ71" s="42"/>
      <c r="ER71" s="42"/>
      <c r="ES71" s="42"/>
      <c r="ET71" s="42"/>
      <c r="EU71" s="42"/>
      <c r="EV71" s="42"/>
      <c r="EW71" s="42"/>
      <c r="EX71" s="42"/>
      <c r="EY71" s="42"/>
      <c r="EZ71" s="42"/>
      <c r="FA71" s="42"/>
      <c r="FB71" s="42"/>
      <c r="FC71" s="42"/>
      <c r="FD71" s="42"/>
      <c r="FE71" s="42"/>
      <c r="FF71" s="42"/>
      <c r="FG71" s="42"/>
      <c r="FH71" s="42"/>
      <c r="FI71" s="42"/>
      <c r="FJ71" s="42"/>
    </row>
    <row r="72" spans="1:166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42"/>
      <c r="CO72" s="42"/>
      <c r="CP72" s="42"/>
      <c r="CQ72" s="42"/>
      <c r="CR72" s="42"/>
      <c r="CS72" s="42"/>
      <c r="CT72" s="42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2"/>
      <c r="DJ72" s="42"/>
      <c r="DK72" s="42"/>
      <c r="DL72" s="42"/>
      <c r="DM72" s="42"/>
      <c r="DN72" s="42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2"/>
      <c r="EI72" s="42"/>
      <c r="EJ72" s="42"/>
      <c r="EK72" s="42"/>
      <c r="EL72" s="42"/>
      <c r="EM72" s="42"/>
      <c r="EN72" s="42"/>
      <c r="EO72" s="42"/>
      <c r="EP72" s="42"/>
      <c r="EQ72" s="42"/>
      <c r="ER72" s="42"/>
      <c r="ES72" s="42"/>
      <c r="ET72" s="42"/>
      <c r="EU72" s="42"/>
      <c r="EV72" s="42"/>
      <c r="EW72" s="42"/>
      <c r="EX72" s="42"/>
      <c r="EY72" s="42"/>
      <c r="EZ72" s="42"/>
      <c r="FA72" s="42"/>
      <c r="FB72" s="42"/>
      <c r="FC72" s="42"/>
      <c r="FD72" s="42"/>
      <c r="FE72" s="42"/>
      <c r="FF72" s="42"/>
      <c r="FG72" s="42"/>
      <c r="FH72" s="42"/>
      <c r="FI72" s="42"/>
      <c r="FJ72" s="42"/>
    </row>
    <row r="73" spans="1:166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42"/>
      <c r="CO73" s="42"/>
      <c r="CP73" s="42"/>
      <c r="CQ73" s="42"/>
      <c r="CR73" s="42"/>
      <c r="CS73" s="42"/>
      <c r="CT73" s="42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2"/>
      <c r="DJ73" s="42"/>
      <c r="DK73" s="42"/>
      <c r="DL73" s="42"/>
      <c r="DM73" s="42"/>
      <c r="DN73" s="42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2"/>
      <c r="EI73" s="42"/>
      <c r="EJ73" s="42"/>
      <c r="EK73" s="42"/>
      <c r="EL73" s="42"/>
      <c r="EM73" s="42"/>
      <c r="EN73" s="42"/>
      <c r="EO73" s="42"/>
      <c r="EP73" s="42"/>
      <c r="EQ73" s="42"/>
      <c r="ER73" s="42"/>
      <c r="ES73" s="42"/>
      <c r="ET73" s="42"/>
      <c r="EU73" s="42"/>
      <c r="EV73" s="42"/>
      <c r="EW73" s="42"/>
      <c r="EX73" s="42"/>
      <c r="EY73" s="42"/>
      <c r="EZ73" s="42"/>
      <c r="FA73" s="42"/>
      <c r="FB73" s="42"/>
      <c r="FC73" s="42"/>
      <c r="FD73" s="42"/>
      <c r="FE73" s="42"/>
      <c r="FF73" s="42"/>
      <c r="FG73" s="42"/>
      <c r="FH73" s="42"/>
      <c r="FI73" s="42"/>
      <c r="FJ73" s="42"/>
    </row>
    <row r="74" spans="1:166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42"/>
      <c r="CO74" s="42"/>
      <c r="CP74" s="42"/>
      <c r="CQ74" s="42"/>
      <c r="CR74" s="42"/>
      <c r="CS74" s="42"/>
      <c r="CT74" s="42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2"/>
      <c r="DJ74" s="42"/>
      <c r="DK74" s="42"/>
      <c r="DL74" s="42"/>
      <c r="DM74" s="42"/>
      <c r="DN74" s="42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2"/>
      <c r="EI74" s="42"/>
      <c r="EJ74" s="42"/>
      <c r="EK74" s="42"/>
      <c r="EL74" s="42"/>
      <c r="EM74" s="42"/>
      <c r="EN74" s="42"/>
      <c r="EO74" s="42"/>
      <c r="EP74" s="42"/>
      <c r="EQ74" s="42"/>
      <c r="ER74" s="42"/>
      <c r="ES74" s="42"/>
      <c r="ET74" s="42"/>
      <c r="EU74" s="42"/>
      <c r="EV74" s="42"/>
      <c r="EW74" s="42"/>
      <c r="EX74" s="42"/>
      <c r="EY74" s="42"/>
      <c r="EZ74" s="42"/>
      <c r="FA74" s="42"/>
      <c r="FB74" s="42"/>
      <c r="FC74" s="42"/>
      <c r="FD74" s="42"/>
      <c r="FE74" s="42"/>
      <c r="FF74" s="42"/>
      <c r="FG74" s="42"/>
      <c r="FH74" s="42"/>
      <c r="FI74" s="42"/>
      <c r="FJ74" s="42"/>
    </row>
    <row r="75" spans="1:166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42"/>
      <c r="BS75" s="42"/>
      <c r="BT75" s="42"/>
      <c r="BU75" s="42"/>
      <c r="BV75" s="42"/>
      <c r="BW75" s="42"/>
      <c r="BX75" s="42"/>
      <c r="BY75" s="42"/>
      <c r="BZ75" s="42"/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42"/>
      <c r="CO75" s="42"/>
      <c r="CP75" s="42"/>
      <c r="CQ75" s="42"/>
      <c r="CR75" s="42"/>
      <c r="CS75" s="42"/>
      <c r="CT75" s="42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2"/>
      <c r="DJ75" s="42"/>
      <c r="DK75" s="42"/>
      <c r="DL75" s="42"/>
      <c r="DM75" s="42"/>
      <c r="DN75" s="42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2"/>
      <c r="EI75" s="42"/>
      <c r="EJ75" s="42"/>
      <c r="EK75" s="42"/>
      <c r="EL75" s="42"/>
      <c r="EM75" s="42"/>
      <c r="EN75" s="42"/>
      <c r="EO75" s="42"/>
      <c r="EP75" s="42"/>
      <c r="EQ75" s="42"/>
      <c r="ER75" s="42"/>
      <c r="ES75" s="42"/>
      <c r="ET75" s="42"/>
      <c r="EU75" s="42"/>
      <c r="EV75" s="42"/>
      <c r="EW75" s="42"/>
      <c r="EX75" s="42"/>
      <c r="EY75" s="42"/>
      <c r="EZ75" s="42"/>
      <c r="FA75" s="42"/>
      <c r="FB75" s="42"/>
      <c r="FC75" s="42"/>
      <c r="FD75" s="42"/>
      <c r="FE75" s="42"/>
      <c r="FF75" s="42"/>
      <c r="FG75" s="42"/>
      <c r="FH75" s="42"/>
      <c r="FI75" s="42"/>
      <c r="FJ75" s="42"/>
    </row>
    <row r="76" spans="1:16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42"/>
      <c r="CO76" s="42"/>
      <c r="CP76" s="42"/>
      <c r="CQ76" s="42"/>
      <c r="CR76" s="42"/>
      <c r="CS76" s="42"/>
      <c r="CT76" s="42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2"/>
      <c r="DJ76" s="42"/>
      <c r="DK76" s="42"/>
      <c r="DL76" s="42"/>
      <c r="DM76" s="42"/>
      <c r="DN76" s="42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2"/>
      <c r="EI76" s="42"/>
      <c r="EJ76" s="42"/>
      <c r="EK76" s="42"/>
      <c r="EL76" s="42"/>
      <c r="EM76" s="42"/>
      <c r="EN76" s="42"/>
      <c r="EO76" s="42"/>
      <c r="EP76" s="42"/>
      <c r="EQ76" s="42"/>
      <c r="ER76" s="42"/>
      <c r="ES76" s="42"/>
      <c r="ET76" s="42"/>
      <c r="EU76" s="42"/>
      <c r="EV76" s="42"/>
      <c r="EW76" s="42"/>
      <c r="EX76" s="42"/>
      <c r="EY76" s="42"/>
      <c r="EZ76" s="42"/>
      <c r="FA76" s="42"/>
      <c r="FB76" s="42"/>
      <c r="FC76" s="42"/>
      <c r="FD76" s="42"/>
      <c r="FE76" s="42"/>
      <c r="FF76" s="42"/>
      <c r="FG76" s="42"/>
      <c r="FH76" s="42"/>
      <c r="FI76" s="42"/>
      <c r="FJ76" s="42"/>
    </row>
    <row r="77" spans="1:166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42"/>
      <c r="BS77" s="42"/>
      <c r="BT77" s="42"/>
      <c r="BU77" s="42"/>
      <c r="BV77" s="42"/>
      <c r="BW77" s="42"/>
      <c r="BX77" s="42"/>
      <c r="BY77" s="42"/>
      <c r="BZ77" s="42"/>
      <c r="CA77" s="42"/>
      <c r="CB77" s="42"/>
      <c r="CC77" s="42"/>
      <c r="CD77" s="42"/>
      <c r="CE77" s="42"/>
      <c r="CF77" s="42"/>
      <c r="CG77" s="42"/>
      <c r="CH77" s="42"/>
      <c r="CI77" s="42"/>
      <c r="CJ77" s="42"/>
      <c r="CK77" s="42"/>
      <c r="CL77" s="42"/>
      <c r="CM77" s="42"/>
      <c r="CN77" s="42"/>
      <c r="CO77" s="42"/>
      <c r="CP77" s="42"/>
      <c r="CQ77" s="42"/>
      <c r="CR77" s="42"/>
      <c r="CS77" s="42"/>
      <c r="CT77" s="42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2"/>
      <c r="DJ77" s="42"/>
      <c r="DK77" s="42"/>
      <c r="DL77" s="42"/>
      <c r="DM77" s="42"/>
      <c r="DN77" s="42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2"/>
      <c r="EI77" s="42"/>
      <c r="EJ77" s="42"/>
      <c r="EK77" s="42"/>
      <c r="EL77" s="42"/>
      <c r="EM77" s="42"/>
      <c r="EN77" s="42"/>
      <c r="EO77" s="42"/>
      <c r="EP77" s="42"/>
      <c r="EQ77" s="42"/>
      <c r="ER77" s="42"/>
      <c r="ES77" s="42"/>
      <c r="ET77" s="42"/>
      <c r="EU77" s="42"/>
      <c r="EV77" s="42"/>
      <c r="EW77" s="42"/>
      <c r="EX77" s="42"/>
      <c r="EY77" s="42"/>
      <c r="EZ77" s="42"/>
      <c r="FA77" s="42"/>
      <c r="FB77" s="42"/>
      <c r="FC77" s="42"/>
      <c r="FD77" s="42"/>
      <c r="FE77" s="42"/>
      <c r="FF77" s="42"/>
      <c r="FG77" s="42"/>
      <c r="FH77" s="42"/>
      <c r="FI77" s="42"/>
      <c r="FJ77" s="42"/>
    </row>
    <row r="78" spans="1:166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2"/>
      <c r="CL78" s="42"/>
      <c r="CM78" s="42"/>
      <c r="CN78" s="42"/>
      <c r="CO78" s="42"/>
      <c r="CP78" s="42"/>
      <c r="CQ78" s="42"/>
      <c r="CR78" s="42"/>
      <c r="CS78" s="42"/>
      <c r="CT78" s="42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2"/>
      <c r="DJ78" s="42"/>
      <c r="DK78" s="42"/>
      <c r="DL78" s="42"/>
      <c r="DM78" s="42"/>
      <c r="DN78" s="42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2"/>
      <c r="EI78" s="42"/>
      <c r="EJ78" s="42"/>
      <c r="EK78" s="42"/>
      <c r="EL78" s="42"/>
      <c r="EM78" s="42"/>
      <c r="EN78" s="42"/>
      <c r="EO78" s="42"/>
      <c r="EP78" s="42"/>
      <c r="EQ78" s="42"/>
      <c r="ER78" s="42"/>
      <c r="ES78" s="42"/>
      <c r="ET78" s="42"/>
      <c r="EU78" s="42"/>
      <c r="EV78" s="42"/>
      <c r="EW78" s="42"/>
      <c r="EX78" s="42"/>
      <c r="EY78" s="42"/>
      <c r="EZ78" s="42"/>
      <c r="FA78" s="42"/>
      <c r="FB78" s="42"/>
      <c r="FC78" s="42"/>
      <c r="FD78" s="42"/>
      <c r="FE78" s="42"/>
      <c r="FF78" s="42"/>
      <c r="FG78" s="42"/>
      <c r="FH78" s="42"/>
      <c r="FI78" s="42"/>
      <c r="FJ78" s="42"/>
    </row>
    <row r="79" spans="1:166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2"/>
      <c r="CE79" s="42"/>
      <c r="CF79" s="42"/>
      <c r="CG79" s="42"/>
      <c r="CH79" s="42"/>
      <c r="CI79" s="42"/>
      <c r="CJ79" s="42"/>
      <c r="CK79" s="42"/>
      <c r="CL79" s="42"/>
      <c r="CM79" s="42"/>
      <c r="CN79" s="42"/>
      <c r="CO79" s="42"/>
      <c r="CP79" s="42"/>
      <c r="CQ79" s="42"/>
      <c r="CR79" s="42"/>
      <c r="CS79" s="42"/>
      <c r="CT79" s="42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2"/>
      <c r="DJ79" s="42"/>
      <c r="DK79" s="42"/>
      <c r="DL79" s="42"/>
      <c r="DM79" s="42"/>
      <c r="DN79" s="42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2"/>
      <c r="EI79" s="42"/>
      <c r="EJ79" s="42"/>
      <c r="EK79" s="42"/>
      <c r="EL79" s="42"/>
      <c r="EM79" s="42"/>
      <c r="EN79" s="42"/>
      <c r="EO79" s="42"/>
      <c r="EP79" s="42"/>
      <c r="EQ79" s="42"/>
      <c r="ER79" s="42"/>
      <c r="ES79" s="42"/>
      <c r="ET79" s="42"/>
      <c r="EU79" s="42"/>
      <c r="EV79" s="42"/>
      <c r="EW79" s="42"/>
      <c r="EX79" s="42"/>
      <c r="EY79" s="42"/>
      <c r="EZ79" s="42"/>
      <c r="FA79" s="42"/>
      <c r="FB79" s="42"/>
      <c r="FC79" s="42"/>
      <c r="FD79" s="42"/>
      <c r="FE79" s="42"/>
      <c r="FF79" s="42"/>
      <c r="FG79" s="42"/>
      <c r="FH79" s="42"/>
      <c r="FI79" s="42"/>
      <c r="FJ79" s="42"/>
    </row>
    <row r="80" spans="1:166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42"/>
      <c r="BS80" s="42"/>
      <c r="BT80" s="42"/>
      <c r="BU80" s="42"/>
      <c r="BV80" s="42"/>
      <c r="BW80" s="42"/>
      <c r="BX80" s="42"/>
      <c r="BY80" s="42"/>
      <c r="BZ80" s="42"/>
      <c r="CA80" s="42"/>
      <c r="CB80" s="42"/>
      <c r="CC80" s="42"/>
      <c r="CD80" s="42"/>
      <c r="CE80" s="42"/>
      <c r="CF80" s="42"/>
      <c r="CG80" s="42"/>
      <c r="CH80" s="42"/>
      <c r="CI80" s="42"/>
      <c r="CJ80" s="42"/>
      <c r="CK80" s="42"/>
      <c r="CL80" s="42"/>
      <c r="CM80" s="42"/>
      <c r="CN80" s="42"/>
      <c r="CO80" s="42"/>
      <c r="CP80" s="42"/>
      <c r="CQ80" s="42"/>
      <c r="CR80" s="42"/>
      <c r="CS80" s="42"/>
      <c r="CT80" s="42"/>
      <c r="CU80" s="42"/>
      <c r="CV80" s="42"/>
      <c r="CW80" s="42"/>
      <c r="CX80" s="42"/>
      <c r="CY80" s="42"/>
      <c r="CZ80" s="42"/>
      <c r="DA80" s="42"/>
      <c r="DB80" s="42"/>
      <c r="DC80" s="42"/>
      <c r="DD80" s="42"/>
      <c r="DE80" s="42"/>
      <c r="DF80" s="42"/>
      <c r="DG80" s="42"/>
      <c r="DH80" s="42"/>
      <c r="DI80" s="42"/>
      <c r="DJ80" s="42"/>
      <c r="DK80" s="42"/>
      <c r="DL80" s="42"/>
      <c r="DM80" s="42"/>
      <c r="DN80" s="42"/>
      <c r="DO80" s="42"/>
      <c r="DP80" s="42"/>
      <c r="DQ80" s="42"/>
      <c r="DR80" s="42"/>
      <c r="DS80" s="42"/>
      <c r="DT80" s="42"/>
      <c r="DU80" s="42"/>
      <c r="DV80" s="42"/>
      <c r="DW80" s="42"/>
      <c r="DX80" s="42"/>
      <c r="DY80" s="42"/>
      <c r="DZ80" s="42"/>
      <c r="EA80" s="42"/>
      <c r="EB80" s="42"/>
      <c r="EC80" s="42"/>
      <c r="ED80" s="42"/>
      <c r="EE80" s="42"/>
      <c r="EF80" s="42"/>
      <c r="EG80" s="42"/>
      <c r="EH80" s="42"/>
      <c r="EI80" s="42"/>
      <c r="EJ80" s="42"/>
      <c r="EK80" s="42"/>
      <c r="EL80" s="42"/>
      <c r="EM80" s="42"/>
      <c r="EN80" s="42"/>
      <c r="EO80" s="42"/>
      <c r="EP80" s="42"/>
      <c r="EQ80" s="42"/>
      <c r="ER80" s="42"/>
      <c r="ES80" s="42"/>
      <c r="ET80" s="42"/>
      <c r="EU80" s="42"/>
      <c r="EV80" s="42"/>
      <c r="EW80" s="42"/>
      <c r="EX80" s="42"/>
      <c r="EY80" s="42"/>
      <c r="EZ80" s="42"/>
      <c r="FA80" s="42"/>
      <c r="FB80" s="42"/>
      <c r="FC80" s="42"/>
      <c r="FD80" s="42"/>
      <c r="FE80" s="42"/>
      <c r="FF80" s="42"/>
      <c r="FG80" s="42"/>
      <c r="FH80" s="42"/>
      <c r="FI80" s="42"/>
      <c r="FJ80" s="42"/>
    </row>
    <row r="81" spans="1:166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42"/>
      <c r="BS81" s="42"/>
      <c r="BT81" s="42"/>
      <c r="BU81" s="42"/>
      <c r="BV81" s="42"/>
      <c r="BW81" s="42"/>
      <c r="BX81" s="42"/>
      <c r="BY81" s="42"/>
      <c r="BZ81" s="42"/>
      <c r="CA81" s="42"/>
      <c r="CB81" s="42"/>
      <c r="CC81" s="42"/>
      <c r="CD81" s="42"/>
      <c r="CE81" s="42"/>
      <c r="CF81" s="42"/>
      <c r="CG81" s="42"/>
      <c r="CH81" s="42"/>
      <c r="CI81" s="42"/>
      <c r="CJ81" s="42"/>
      <c r="CK81" s="42"/>
      <c r="CL81" s="42"/>
      <c r="CM81" s="42"/>
      <c r="CN81" s="42"/>
      <c r="CO81" s="42"/>
      <c r="CP81" s="42"/>
      <c r="CQ81" s="42"/>
      <c r="CR81" s="42"/>
      <c r="CS81" s="42"/>
      <c r="CT81" s="42"/>
      <c r="CU81" s="42"/>
      <c r="CV81" s="42"/>
      <c r="CW81" s="42"/>
      <c r="CX81" s="42"/>
      <c r="CY81" s="42"/>
      <c r="CZ81" s="42"/>
      <c r="DA81" s="42"/>
      <c r="DB81" s="42"/>
      <c r="DC81" s="42"/>
      <c r="DD81" s="42"/>
      <c r="DE81" s="42"/>
      <c r="DF81" s="42"/>
      <c r="DG81" s="42"/>
      <c r="DH81" s="42"/>
      <c r="DI81" s="42"/>
      <c r="DJ81" s="42"/>
      <c r="DK81" s="42"/>
      <c r="DL81" s="42"/>
      <c r="DM81" s="42"/>
      <c r="DN81" s="42"/>
      <c r="DO81" s="42"/>
      <c r="DP81" s="42"/>
      <c r="DQ81" s="42"/>
      <c r="DR81" s="42"/>
      <c r="DS81" s="42"/>
      <c r="DT81" s="42"/>
      <c r="DU81" s="42"/>
      <c r="DV81" s="42"/>
      <c r="DW81" s="42"/>
      <c r="DX81" s="42"/>
      <c r="DY81" s="42"/>
      <c r="DZ81" s="42"/>
      <c r="EA81" s="42"/>
      <c r="EB81" s="42"/>
      <c r="EC81" s="42"/>
      <c r="ED81" s="42"/>
      <c r="EE81" s="42"/>
      <c r="EF81" s="42"/>
      <c r="EG81" s="42"/>
      <c r="EH81" s="42"/>
      <c r="EI81" s="42"/>
      <c r="EJ81" s="42"/>
      <c r="EK81" s="42"/>
      <c r="EL81" s="42"/>
      <c r="EM81" s="42"/>
      <c r="EN81" s="42"/>
      <c r="EO81" s="42"/>
      <c r="EP81" s="42"/>
      <c r="EQ81" s="42"/>
      <c r="ER81" s="42"/>
      <c r="ES81" s="42"/>
      <c r="ET81" s="42"/>
      <c r="EU81" s="42"/>
      <c r="EV81" s="42"/>
      <c r="EW81" s="42"/>
      <c r="EX81" s="42"/>
      <c r="EY81" s="42"/>
      <c r="EZ81" s="42"/>
      <c r="FA81" s="42"/>
      <c r="FB81" s="42"/>
      <c r="FC81" s="42"/>
      <c r="FD81" s="42"/>
      <c r="FE81" s="42"/>
      <c r="FF81" s="42"/>
      <c r="FG81" s="42"/>
      <c r="FH81" s="42"/>
      <c r="FI81" s="42"/>
      <c r="FJ81" s="42"/>
    </row>
    <row r="82" spans="1:166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2"/>
      <c r="CE82" s="42"/>
      <c r="CF82" s="42"/>
      <c r="CG82" s="42"/>
      <c r="CH82" s="42"/>
      <c r="CI82" s="42"/>
      <c r="CJ82" s="42"/>
      <c r="CK82" s="42"/>
      <c r="CL82" s="42"/>
      <c r="CM82" s="42"/>
      <c r="CN82" s="42"/>
      <c r="CO82" s="42"/>
      <c r="CP82" s="42"/>
      <c r="CQ82" s="42"/>
      <c r="CR82" s="42"/>
      <c r="CS82" s="42"/>
      <c r="CT82" s="42"/>
      <c r="CU82" s="42"/>
      <c r="CV82" s="42"/>
      <c r="CW82" s="42"/>
      <c r="CX82" s="42"/>
      <c r="CY82" s="42"/>
      <c r="CZ82" s="42"/>
      <c r="DA82" s="42"/>
      <c r="DB82" s="42"/>
      <c r="DC82" s="42"/>
      <c r="DD82" s="42"/>
      <c r="DE82" s="42"/>
      <c r="DF82" s="42"/>
      <c r="DG82" s="42"/>
      <c r="DH82" s="42"/>
      <c r="DI82" s="42"/>
      <c r="DJ82" s="42"/>
      <c r="DK82" s="42"/>
      <c r="DL82" s="42"/>
      <c r="DM82" s="42"/>
      <c r="DN82" s="42"/>
      <c r="DO82" s="42"/>
      <c r="DP82" s="42"/>
      <c r="DQ82" s="42"/>
      <c r="DR82" s="42"/>
      <c r="DS82" s="42"/>
      <c r="DT82" s="42"/>
      <c r="DU82" s="42"/>
      <c r="DV82" s="42"/>
      <c r="DW82" s="42"/>
      <c r="DX82" s="42"/>
      <c r="DY82" s="42"/>
      <c r="DZ82" s="42"/>
      <c r="EA82" s="42"/>
      <c r="EB82" s="42"/>
      <c r="EC82" s="42"/>
      <c r="ED82" s="42"/>
      <c r="EE82" s="42"/>
      <c r="EF82" s="42"/>
      <c r="EG82" s="42"/>
      <c r="EH82" s="42"/>
      <c r="EI82" s="42"/>
      <c r="EJ82" s="42"/>
      <c r="EK82" s="42"/>
      <c r="EL82" s="42"/>
      <c r="EM82" s="42"/>
      <c r="EN82" s="42"/>
      <c r="EO82" s="42"/>
      <c r="EP82" s="42"/>
      <c r="EQ82" s="42"/>
      <c r="ER82" s="42"/>
      <c r="ES82" s="42"/>
      <c r="ET82" s="42"/>
      <c r="EU82" s="42"/>
      <c r="EV82" s="42"/>
      <c r="EW82" s="42"/>
      <c r="EX82" s="42"/>
      <c r="EY82" s="42"/>
      <c r="EZ82" s="42"/>
      <c r="FA82" s="42"/>
      <c r="FB82" s="42"/>
      <c r="FC82" s="42"/>
      <c r="FD82" s="42"/>
      <c r="FE82" s="42"/>
      <c r="FF82" s="42"/>
      <c r="FG82" s="42"/>
      <c r="FH82" s="42"/>
      <c r="FI82" s="42"/>
      <c r="FJ82" s="42"/>
    </row>
    <row r="83" spans="1:166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  <c r="BO83" s="42"/>
      <c r="BP83" s="42"/>
      <c r="BQ83" s="42"/>
      <c r="BR83" s="42"/>
      <c r="BS83" s="42"/>
      <c r="BT83" s="42"/>
      <c r="BU83" s="42"/>
      <c r="BV83" s="42"/>
      <c r="BW83" s="42"/>
      <c r="BX83" s="42"/>
      <c r="BY83" s="42"/>
      <c r="BZ83" s="42"/>
      <c r="CA83" s="42"/>
      <c r="CB83" s="42"/>
      <c r="CC83" s="42"/>
      <c r="CD83" s="42"/>
      <c r="CE83" s="42"/>
      <c r="CF83" s="42"/>
      <c r="CG83" s="42"/>
      <c r="CH83" s="42"/>
      <c r="CI83" s="42"/>
      <c r="CJ83" s="42"/>
      <c r="CK83" s="42"/>
      <c r="CL83" s="42"/>
      <c r="CM83" s="42"/>
      <c r="CN83" s="42"/>
      <c r="CO83" s="42"/>
      <c r="CP83" s="42"/>
      <c r="CQ83" s="42"/>
      <c r="CR83" s="42"/>
      <c r="CS83" s="42"/>
      <c r="CT83" s="42"/>
      <c r="CU83" s="42"/>
      <c r="CV83" s="42"/>
      <c r="CW83" s="42"/>
      <c r="CX83" s="42"/>
      <c r="CY83" s="42"/>
      <c r="CZ83" s="42"/>
      <c r="DA83" s="42"/>
      <c r="DB83" s="42"/>
      <c r="DC83" s="42"/>
      <c r="DD83" s="42"/>
      <c r="DE83" s="42"/>
      <c r="DF83" s="42"/>
      <c r="DG83" s="42"/>
      <c r="DH83" s="42"/>
      <c r="DI83" s="42"/>
      <c r="DJ83" s="42"/>
      <c r="DK83" s="42"/>
      <c r="DL83" s="42"/>
      <c r="DM83" s="42"/>
      <c r="DN83" s="42"/>
      <c r="DO83" s="42"/>
      <c r="DP83" s="42"/>
      <c r="DQ83" s="42"/>
      <c r="DR83" s="42"/>
      <c r="DS83" s="42"/>
      <c r="DT83" s="42"/>
      <c r="DU83" s="42"/>
      <c r="DV83" s="42"/>
      <c r="DW83" s="42"/>
      <c r="DX83" s="42"/>
      <c r="DY83" s="42"/>
      <c r="DZ83" s="42"/>
      <c r="EA83" s="42"/>
      <c r="EB83" s="42"/>
      <c r="EC83" s="42"/>
      <c r="ED83" s="42"/>
      <c r="EE83" s="42"/>
      <c r="EF83" s="42"/>
      <c r="EG83" s="42"/>
      <c r="EH83" s="42"/>
      <c r="EI83" s="42"/>
      <c r="EJ83" s="42"/>
      <c r="EK83" s="42"/>
      <c r="EL83" s="42"/>
      <c r="EM83" s="42"/>
      <c r="EN83" s="42"/>
      <c r="EO83" s="42"/>
      <c r="EP83" s="42"/>
      <c r="EQ83" s="42"/>
      <c r="ER83" s="42"/>
      <c r="ES83" s="42"/>
      <c r="ET83" s="42"/>
      <c r="EU83" s="42"/>
      <c r="EV83" s="42"/>
      <c r="EW83" s="42"/>
      <c r="EX83" s="42"/>
      <c r="EY83" s="42"/>
      <c r="EZ83" s="42"/>
      <c r="FA83" s="42"/>
      <c r="FB83" s="42"/>
      <c r="FC83" s="42"/>
      <c r="FD83" s="42"/>
      <c r="FE83" s="42"/>
      <c r="FF83" s="42"/>
      <c r="FG83" s="42"/>
      <c r="FH83" s="42"/>
      <c r="FI83" s="42"/>
      <c r="FJ83" s="42"/>
    </row>
    <row r="84" spans="1:166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</row>
    <row r="85" spans="1:166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  <c r="BO85" s="42"/>
      <c r="BP85" s="42"/>
      <c r="BQ85" s="42"/>
      <c r="BR85" s="42"/>
      <c r="BS85" s="42"/>
      <c r="BT85" s="42"/>
      <c r="BU85" s="42"/>
      <c r="BV85" s="42"/>
      <c r="BW85" s="42"/>
      <c r="BX85" s="42"/>
      <c r="BY85" s="42"/>
      <c r="BZ85" s="42"/>
      <c r="CA85" s="42"/>
      <c r="CB85" s="42"/>
      <c r="CC85" s="42"/>
      <c r="CD85" s="42"/>
      <c r="CE85" s="42"/>
      <c r="CF85" s="42"/>
      <c r="CG85" s="42"/>
      <c r="CH85" s="42"/>
      <c r="CI85" s="42"/>
      <c r="CJ85" s="42"/>
      <c r="CK85" s="42"/>
      <c r="CL85" s="42"/>
      <c r="CM85" s="42"/>
      <c r="CN85" s="42"/>
      <c r="CO85" s="42"/>
      <c r="CP85" s="42"/>
      <c r="CQ85" s="42"/>
      <c r="CR85" s="42"/>
      <c r="CS85" s="42"/>
      <c r="CT85" s="42"/>
      <c r="CU85" s="42"/>
      <c r="CV85" s="42"/>
      <c r="CW85" s="42"/>
      <c r="CX85" s="42"/>
      <c r="CY85" s="42"/>
      <c r="CZ85" s="42"/>
      <c r="DA85" s="42"/>
      <c r="DB85" s="42"/>
      <c r="DC85" s="42"/>
      <c r="DD85" s="42"/>
      <c r="DE85" s="42"/>
      <c r="DF85" s="42"/>
      <c r="DG85" s="42"/>
      <c r="DH85" s="42"/>
      <c r="DI85" s="42"/>
      <c r="DJ85" s="42"/>
      <c r="DK85" s="42"/>
      <c r="DL85" s="42"/>
      <c r="DM85" s="42"/>
      <c r="DN85" s="42"/>
      <c r="DO85" s="42"/>
      <c r="DP85" s="42"/>
      <c r="DQ85" s="42"/>
      <c r="DR85" s="42"/>
      <c r="DS85" s="42"/>
      <c r="DT85" s="42"/>
      <c r="DU85" s="42"/>
      <c r="DV85" s="42"/>
      <c r="DW85" s="42"/>
      <c r="DX85" s="42"/>
      <c r="DY85" s="42"/>
      <c r="DZ85" s="42"/>
      <c r="EA85" s="42"/>
      <c r="EB85" s="42"/>
      <c r="EC85" s="42"/>
      <c r="ED85" s="42"/>
      <c r="EE85" s="42"/>
      <c r="EF85" s="42"/>
      <c r="EG85" s="42"/>
      <c r="EH85" s="42"/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42"/>
      <c r="EV85" s="42"/>
      <c r="EW85" s="42"/>
      <c r="EX85" s="42"/>
      <c r="EY85" s="42"/>
      <c r="EZ85" s="42"/>
      <c r="FA85" s="42"/>
      <c r="FB85" s="42"/>
      <c r="FC85" s="42"/>
      <c r="FD85" s="42"/>
      <c r="FE85" s="42"/>
      <c r="FF85" s="42"/>
      <c r="FG85" s="42"/>
      <c r="FH85" s="42"/>
      <c r="FI85" s="42"/>
      <c r="FJ85" s="42"/>
    </row>
    <row r="86" spans="1:16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2"/>
      <c r="CE86" s="42"/>
      <c r="CF86" s="42"/>
      <c r="CG86" s="42"/>
      <c r="CH86" s="42"/>
      <c r="CI86" s="42"/>
      <c r="CJ86" s="42"/>
      <c r="CK86" s="42"/>
      <c r="CL86" s="42"/>
      <c r="CM86" s="42"/>
      <c r="CN86" s="42"/>
      <c r="CO86" s="42"/>
      <c r="CP86" s="42"/>
      <c r="CQ86" s="42"/>
      <c r="CR86" s="42"/>
      <c r="CS86" s="42"/>
      <c r="CT86" s="42"/>
      <c r="CU86" s="42"/>
      <c r="CV86" s="42"/>
      <c r="CW86" s="42"/>
      <c r="CX86" s="42"/>
      <c r="CY86" s="42"/>
      <c r="CZ86" s="42"/>
      <c r="DA86" s="42"/>
      <c r="DB86" s="42"/>
      <c r="DC86" s="42"/>
      <c r="DD86" s="42"/>
      <c r="DE86" s="42"/>
      <c r="DF86" s="42"/>
      <c r="DG86" s="42"/>
      <c r="DH86" s="42"/>
      <c r="DI86" s="42"/>
      <c r="DJ86" s="42"/>
      <c r="DK86" s="42"/>
      <c r="DL86" s="42"/>
      <c r="DM86" s="42"/>
      <c r="DN86" s="42"/>
      <c r="DO86" s="42"/>
      <c r="DP86" s="42"/>
      <c r="DQ86" s="42"/>
      <c r="DR86" s="42"/>
      <c r="DS86" s="42"/>
      <c r="DT86" s="42"/>
      <c r="DU86" s="42"/>
      <c r="DV86" s="42"/>
      <c r="DW86" s="42"/>
      <c r="DX86" s="42"/>
      <c r="DY86" s="42"/>
      <c r="DZ86" s="42"/>
      <c r="EA86" s="42"/>
      <c r="EB86" s="42"/>
      <c r="EC86" s="42"/>
      <c r="ED86" s="42"/>
      <c r="EE86" s="42"/>
      <c r="EF86" s="42"/>
      <c r="EG86" s="42"/>
      <c r="EH86" s="42"/>
      <c r="EI86" s="42"/>
      <c r="EJ86" s="42"/>
      <c r="EK86" s="42"/>
      <c r="EL86" s="42"/>
      <c r="EM86" s="42"/>
      <c r="EN86" s="42"/>
      <c r="EO86" s="42"/>
      <c r="EP86" s="42"/>
      <c r="EQ86" s="42"/>
      <c r="ER86" s="42"/>
      <c r="ES86" s="42"/>
      <c r="ET86" s="42"/>
      <c r="EU86" s="42"/>
      <c r="EV86" s="42"/>
      <c r="EW86" s="42"/>
      <c r="EX86" s="42"/>
      <c r="EY86" s="42"/>
      <c r="EZ86" s="42"/>
      <c r="FA86" s="42"/>
      <c r="FB86" s="42"/>
      <c r="FC86" s="42"/>
      <c r="FD86" s="42"/>
      <c r="FE86" s="42"/>
      <c r="FF86" s="42"/>
      <c r="FG86" s="42"/>
      <c r="FH86" s="42"/>
      <c r="FI86" s="42"/>
      <c r="FJ86" s="42"/>
    </row>
    <row r="87" spans="1:166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  <c r="BO87" s="42"/>
      <c r="BP87" s="42"/>
      <c r="BQ87" s="42"/>
      <c r="BR87" s="42"/>
      <c r="BS87" s="42"/>
      <c r="BT87" s="42"/>
      <c r="BU87" s="42"/>
      <c r="BV87" s="42"/>
      <c r="BW87" s="42"/>
      <c r="BX87" s="42"/>
      <c r="BY87" s="42"/>
      <c r="BZ87" s="42"/>
      <c r="CA87" s="42"/>
      <c r="CB87" s="42"/>
      <c r="CC87" s="42"/>
      <c r="CD87" s="42"/>
      <c r="CE87" s="42"/>
      <c r="CF87" s="42"/>
      <c r="CG87" s="42"/>
      <c r="CH87" s="42"/>
      <c r="CI87" s="42"/>
      <c r="CJ87" s="42"/>
      <c r="CK87" s="42"/>
      <c r="CL87" s="42"/>
      <c r="CM87" s="42"/>
      <c r="CN87" s="42"/>
      <c r="CO87" s="42"/>
      <c r="CP87" s="42"/>
      <c r="CQ87" s="42"/>
      <c r="CR87" s="42"/>
      <c r="CS87" s="42"/>
      <c r="CT87" s="42"/>
      <c r="CU87" s="42"/>
      <c r="CV87" s="42"/>
      <c r="CW87" s="42"/>
      <c r="CX87" s="42"/>
      <c r="CY87" s="42"/>
      <c r="CZ87" s="42"/>
      <c r="DA87" s="42"/>
      <c r="DB87" s="42"/>
      <c r="DC87" s="42"/>
      <c r="DD87" s="42"/>
      <c r="DE87" s="42"/>
      <c r="DF87" s="42"/>
      <c r="DG87" s="42"/>
      <c r="DH87" s="42"/>
      <c r="DI87" s="42"/>
      <c r="DJ87" s="42"/>
      <c r="DK87" s="42"/>
      <c r="DL87" s="42"/>
      <c r="DM87" s="42"/>
      <c r="DN87" s="42"/>
      <c r="DO87" s="42"/>
      <c r="DP87" s="42"/>
      <c r="DQ87" s="42"/>
      <c r="DR87" s="42"/>
      <c r="DS87" s="42"/>
      <c r="DT87" s="42"/>
      <c r="DU87" s="42"/>
      <c r="DV87" s="42"/>
      <c r="DW87" s="42"/>
      <c r="DX87" s="42"/>
      <c r="DY87" s="42"/>
      <c r="DZ87" s="42"/>
      <c r="EA87" s="42"/>
      <c r="EB87" s="42"/>
      <c r="EC87" s="42"/>
      <c r="ED87" s="42"/>
      <c r="EE87" s="42"/>
      <c r="EF87" s="42"/>
      <c r="EG87" s="42"/>
      <c r="EH87" s="42"/>
      <c r="EI87" s="42"/>
      <c r="EJ87" s="42"/>
      <c r="EK87" s="42"/>
      <c r="EL87" s="42"/>
      <c r="EM87" s="42"/>
      <c r="EN87" s="42"/>
      <c r="EO87" s="42"/>
      <c r="EP87" s="42"/>
      <c r="EQ87" s="42"/>
      <c r="ER87" s="42"/>
      <c r="ES87" s="42"/>
      <c r="ET87" s="42"/>
      <c r="EU87" s="42"/>
      <c r="EV87" s="42"/>
      <c r="EW87" s="42"/>
      <c r="EX87" s="42"/>
      <c r="EY87" s="42"/>
      <c r="EZ87" s="42"/>
      <c r="FA87" s="42"/>
      <c r="FB87" s="42"/>
      <c r="FC87" s="42"/>
      <c r="FD87" s="42"/>
      <c r="FE87" s="42"/>
      <c r="FF87" s="42"/>
      <c r="FG87" s="42"/>
      <c r="FH87" s="42"/>
      <c r="FI87" s="42"/>
      <c r="FJ87" s="42"/>
    </row>
    <row r="88" spans="1:166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  <c r="BO88" s="42"/>
      <c r="BP88" s="42"/>
      <c r="BQ88" s="42"/>
      <c r="BR88" s="42"/>
      <c r="BS88" s="42"/>
      <c r="BT88" s="42"/>
      <c r="BU88" s="42"/>
      <c r="BV88" s="42"/>
      <c r="BW88" s="42"/>
      <c r="BX88" s="42"/>
      <c r="BY88" s="42"/>
      <c r="BZ88" s="42"/>
      <c r="CA88" s="42"/>
      <c r="CB88" s="42"/>
      <c r="CC88" s="42"/>
      <c r="CD88" s="42"/>
      <c r="CE88" s="42"/>
      <c r="CF88" s="42"/>
      <c r="CG88" s="42"/>
      <c r="CH88" s="42"/>
      <c r="CI88" s="42"/>
      <c r="CJ88" s="42"/>
      <c r="CK88" s="42"/>
      <c r="CL88" s="42"/>
      <c r="CM88" s="42"/>
      <c r="CN88" s="42"/>
      <c r="CO88" s="42"/>
      <c r="CP88" s="42"/>
      <c r="CQ88" s="42"/>
      <c r="CR88" s="42"/>
      <c r="CS88" s="42"/>
      <c r="CT88" s="42"/>
      <c r="CU88" s="42"/>
      <c r="CV88" s="42"/>
      <c r="CW88" s="42"/>
      <c r="CX88" s="42"/>
      <c r="CY88" s="42"/>
      <c r="CZ88" s="42"/>
      <c r="DA88" s="42"/>
      <c r="DB88" s="42"/>
      <c r="DC88" s="42"/>
      <c r="DD88" s="42"/>
      <c r="DE88" s="42"/>
      <c r="DF88" s="42"/>
      <c r="DG88" s="42"/>
      <c r="DH88" s="42"/>
      <c r="DI88" s="42"/>
      <c r="DJ88" s="42"/>
      <c r="DK88" s="42"/>
      <c r="DL88" s="42"/>
      <c r="DM88" s="42"/>
      <c r="DN88" s="42"/>
      <c r="DO88" s="42"/>
      <c r="DP88" s="42"/>
      <c r="DQ88" s="42"/>
      <c r="DR88" s="42"/>
      <c r="DS88" s="42"/>
      <c r="DT88" s="42"/>
      <c r="DU88" s="42"/>
      <c r="DV88" s="42"/>
      <c r="DW88" s="42"/>
      <c r="DX88" s="42"/>
      <c r="DY88" s="42"/>
      <c r="DZ88" s="42"/>
      <c r="EA88" s="42"/>
      <c r="EB88" s="42"/>
      <c r="EC88" s="42"/>
      <c r="ED88" s="42"/>
      <c r="EE88" s="42"/>
      <c r="EF88" s="42"/>
      <c r="EG88" s="42"/>
      <c r="EH88" s="42"/>
      <c r="EI88" s="42"/>
      <c r="EJ88" s="42"/>
      <c r="EK88" s="42"/>
      <c r="EL88" s="42"/>
      <c r="EM88" s="42"/>
      <c r="EN88" s="42"/>
      <c r="EO88" s="42"/>
      <c r="EP88" s="42"/>
      <c r="EQ88" s="42"/>
      <c r="ER88" s="42"/>
      <c r="ES88" s="42"/>
      <c r="ET88" s="42"/>
      <c r="EU88" s="42"/>
      <c r="EV88" s="42"/>
      <c r="EW88" s="42"/>
      <c r="EX88" s="42"/>
      <c r="EY88" s="42"/>
      <c r="EZ88" s="42"/>
      <c r="FA88" s="42"/>
      <c r="FB88" s="42"/>
      <c r="FC88" s="42"/>
      <c r="FD88" s="42"/>
      <c r="FE88" s="42"/>
      <c r="FF88" s="42"/>
      <c r="FG88" s="42"/>
      <c r="FH88" s="42"/>
      <c r="FI88" s="42"/>
      <c r="FJ88" s="42"/>
    </row>
    <row r="89" spans="1:166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  <c r="BO89" s="42"/>
      <c r="BP89" s="42"/>
      <c r="BQ89" s="42"/>
      <c r="BR89" s="42"/>
      <c r="BS89" s="42"/>
      <c r="BT89" s="42"/>
      <c r="BU89" s="42"/>
      <c r="BV89" s="42"/>
      <c r="BW89" s="42"/>
      <c r="BX89" s="42"/>
      <c r="BY89" s="42"/>
      <c r="BZ89" s="42"/>
      <c r="CA89" s="42"/>
      <c r="CB89" s="42"/>
      <c r="CC89" s="42"/>
      <c r="CD89" s="42"/>
      <c r="CE89" s="42"/>
      <c r="CF89" s="42"/>
      <c r="CG89" s="42"/>
      <c r="CH89" s="42"/>
      <c r="CI89" s="42"/>
      <c r="CJ89" s="42"/>
      <c r="CK89" s="42"/>
      <c r="CL89" s="42"/>
      <c r="CM89" s="42"/>
      <c r="CN89" s="42"/>
      <c r="CO89" s="42"/>
      <c r="CP89" s="42"/>
      <c r="CQ89" s="42"/>
      <c r="CR89" s="42"/>
      <c r="CS89" s="42"/>
      <c r="CT89" s="42"/>
      <c r="CU89" s="42"/>
      <c r="CV89" s="42"/>
      <c r="CW89" s="42"/>
      <c r="CX89" s="42"/>
      <c r="CY89" s="42"/>
      <c r="CZ89" s="42"/>
      <c r="DA89" s="42"/>
      <c r="DB89" s="42"/>
      <c r="DC89" s="42"/>
      <c r="DD89" s="42"/>
      <c r="DE89" s="42"/>
      <c r="DF89" s="42"/>
      <c r="DG89" s="42"/>
      <c r="DH89" s="42"/>
      <c r="DI89" s="42"/>
      <c r="DJ89" s="42"/>
      <c r="DK89" s="42"/>
      <c r="DL89" s="42"/>
      <c r="DM89" s="42"/>
      <c r="DN89" s="42"/>
      <c r="DO89" s="42"/>
      <c r="DP89" s="42"/>
      <c r="DQ89" s="42"/>
      <c r="DR89" s="42"/>
      <c r="DS89" s="42"/>
      <c r="DT89" s="42"/>
      <c r="DU89" s="42"/>
      <c r="DV89" s="42"/>
      <c r="DW89" s="42"/>
      <c r="DX89" s="42"/>
      <c r="DY89" s="42"/>
      <c r="DZ89" s="42"/>
      <c r="EA89" s="42"/>
      <c r="EB89" s="42"/>
      <c r="EC89" s="42"/>
      <c r="ED89" s="42"/>
      <c r="EE89" s="42"/>
      <c r="EF89" s="42"/>
      <c r="EG89" s="42"/>
      <c r="EH89" s="42"/>
      <c r="EI89" s="42"/>
      <c r="EJ89" s="42"/>
      <c r="EK89" s="42"/>
      <c r="EL89" s="42"/>
      <c r="EM89" s="42"/>
      <c r="EN89" s="42"/>
      <c r="EO89" s="42"/>
      <c r="EP89" s="42"/>
      <c r="EQ89" s="42"/>
      <c r="ER89" s="42"/>
      <c r="ES89" s="42"/>
      <c r="ET89" s="42"/>
      <c r="EU89" s="42"/>
      <c r="EV89" s="42"/>
      <c r="EW89" s="42"/>
      <c r="EX89" s="42"/>
      <c r="EY89" s="42"/>
      <c r="EZ89" s="42"/>
      <c r="FA89" s="42"/>
      <c r="FB89" s="42"/>
      <c r="FC89" s="42"/>
      <c r="FD89" s="42"/>
      <c r="FE89" s="42"/>
      <c r="FF89" s="42"/>
      <c r="FG89" s="42"/>
      <c r="FH89" s="42"/>
      <c r="FI89" s="42"/>
      <c r="FJ89" s="42"/>
    </row>
    <row r="90" spans="1:166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  <c r="BO90" s="42"/>
      <c r="BP90" s="42"/>
      <c r="BQ90" s="42"/>
      <c r="BR90" s="42"/>
      <c r="BS90" s="42"/>
      <c r="BT90" s="42"/>
      <c r="BU90" s="42"/>
      <c r="BV90" s="42"/>
      <c r="BW90" s="42"/>
      <c r="BX90" s="42"/>
      <c r="BY90" s="42"/>
      <c r="BZ90" s="42"/>
      <c r="CA90" s="42"/>
      <c r="CB90" s="42"/>
      <c r="CC90" s="42"/>
      <c r="CD90" s="42"/>
      <c r="CE90" s="42"/>
      <c r="CF90" s="42"/>
      <c r="CG90" s="42"/>
      <c r="CH90" s="42"/>
      <c r="CI90" s="42"/>
      <c r="CJ90" s="42"/>
      <c r="CK90" s="42"/>
      <c r="CL90" s="42"/>
      <c r="CM90" s="42"/>
      <c r="CN90" s="42"/>
      <c r="CO90" s="42"/>
      <c r="CP90" s="42"/>
      <c r="CQ90" s="42"/>
      <c r="CR90" s="42"/>
      <c r="CS90" s="42"/>
      <c r="CT90" s="42"/>
      <c r="CU90" s="42"/>
      <c r="CV90" s="42"/>
      <c r="CW90" s="42"/>
      <c r="CX90" s="42"/>
      <c r="CY90" s="42"/>
      <c r="CZ90" s="42"/>
      <c r="DA90" s="42"/>
      <c r="DB90" s="42"/>
      <c r="DC90" s="42"/>
      <c r="DD90" s="42"/>
      <c r="DE90" s="42"/>
      <c r="DF90" s="42"/>
      <c r="DG90" s="42"/>
      <c r="DH90" s="42"/>
      <c r="DI90" s="42"/>
      <c r="DJ90" s="42"/>
      <c r="DK90" s="42"/>
      <c r="DL90" s="42"/>
      <c r="DM90" s="42"/>
      <c r="DN90" s="42"/>
      <c r="DO90" s="42"/>
      <c r="DP90" s="42"/>
      <c r="DQ90" s="42"/>
      <c r="DR90" s="42"/>
      <c r="DS90" s="42"/>
      <c r="DT90" s="42"/>
      <c r="DU90" s="42"/>
      <c r="DV90" s="42"/>
      <c r="DW90" s="42"/>
      <c r="DX90" s="42"/>
      <c r="DY90" s="42"/>
      <c r="DZ90" s="42"/>
      <c r="EA90" s="42"/>
      <c r="EB90" s="42"/>
      <c r="EC90" s="42"/>
      <c r="ED90" s="42"/>
      <c r="EE90" s="42"/>
      <c r="EF90" s="42"/>
      <c r="EG90" s="42"/>
      <c r="EH90" s="42"/>
      <c r="EI90" s="42"/>
      <c r="EJ90" s="42"/>
      <c r="EK90" s="42"/>
      <c r="EL90" s="42"/>
      <c r="EM90" s="42"/>
      <c r="EN90" s="42"/>
      <c r="EO90" s="42"/>
      <c r="EP90" s="42"/>
      <c r="EQ90" s="42"/>
      <c r="ER90" s="42"/>
      <c r="ES90" s="42"/>
      <c r="ET90" s="42"/>
      <c r="EU90" s="42"/>
      <c r="EV90" s="42"/>
      <c r="EW90" s="42"/>
      <c r="EX90" s="42"/>
      <c r="EY90" s="42"/>
      <c r="EZ90" s="42"/>
      <c r="FA90" s="42"/>
      <c r="FB90" s="42"/>
      <c r="FC90" s="42"/>
      <c r="FD90" s="42"/>
      <c r="FE90" s="42"/>
      <c r="FF90" s="42"/>
      <c r="FG90" s="42"/>
      <c r="FH90" s="42"/>
      <c r="FI90" s="42"/>
      <c r="FJ90" s="42"/>
    </row>
    <row r="91" spans="1:166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  <c r="BO91" s="42"/>
      <c r="BP91" s="42"/>
      <c r="BQ91" s="42"/>
      <c r="BR91" s="42"/>
      <c r="BS91" s="42"/>
      <c r="BT91" s="42"/>
      <c r="BU91" s="42"/>
      <c r="BV91" s="42"/>
      <c r="BW91" s="42"/>
      <c r="BX91" s="42"/>
      <c r="BY91" s="42"/>
      <c r="BZ91" s="42"/>
      <c r="CA91" s="42"/>
      <c r="CB91" s="42"/>
      <c r="CC91" s="42"/>
      <c r="CD91" s="42"/>
      <c r="CE91" s="42"/>
      <c r="CF91" s="42"/>
      <c r="CG91" s="42"/>
      <c r="CH91" s="42"/>
      <c r="CI91" s="42"/>
      <c r="CJ91" s="42"/>
      <c r="CK91" s="42"/>
      <c r="CL91" s="42"/>
      <c r="CM91" s="42"/>
      <c r="CN91" s="42"/>
      <c r="CO91" s="42"/>
      <c r="CP91" s="42"/>
      <c r="CQ91" s="42"/>
      <c r="CR91" s="42"/>
      <c r="CS91" s="42"/>
      <c r="CT91" s="42"/>
      <c r="CU91" s="42"/>
      <c r="CV91" s="42"/>
      <c r="CW91" s="42"/>
      <c r="CX91" s="42"/>
      <c r="CY91" s="42"/>
      <c r="CZ91" s="42"/>
      <c r="DA91" s="42"/>
      <c r="DB91" s="42"/>
      <c r="DC91" s="42"/>
      <c r="DD91" s="42"/>
      <c r="DE91" s="42"/>
      <c r="DF91" s="42"/>
      <c r="DG91" s="42"/>
      <c r="DH91" s="42"/>
      <c r="DI91" s="42"/>
      <c r="DJ91" s="42"/>
      <c r="DK91" s="42"/>
      <c r="DL91" s="42"/>
      <c r="DM91" s="42"/>
      <c r="DN91" s="42"/>
      <c r="DO91" s="42"/>
      <c r="DP91" s="42"/>
      <c r="DQ91" s="42"/>
      <c r="DR91" s="42"/>
      <c r="DS91" s="42"/>
      <c r="DT91" s="42"/>
      <c r="DU91" s="42"/>
      <c r="DV91" s="42"/>
      <c r="DW91" s="42"/>
      <c r="DX91" s="42"/>
      <c r="DY91" s="42"/>
      <c r="DZ91" s="42"/>
      <c r="EA91" s="42"/>
      <c r="EB91" s="42"/>
      <c r="EC91" s="42"/>
      <c r="ED91" s="42"/>
      <c r="EE91" s="42"/>
      <c r="EF91" s="42"/>
      <c r="EG91" s="42"/>
      <c r="EH91" s="42"/>
      <c r="EI91" s="42"/>
      <c r="EJ91" s="42"/>
      <c r="EK91" s="42"/>
      <c r="EL91" s="42"/>
      <c r="EM91" s="42"/>
      <c r="EN91" s="42"/>
      <c r="EO91" s="42"/>
      <c r="EP91" s="42"/>
      <c r="EQ91" s="42"/>
      <c r="ER91" s="42"/>
      <c r="ES91" s="42"/>
      <c r="ET91" s="42"/>
      <c r="EU91" s="42"/>
      <c r="EV91" s="42"/>
      <c r="EW91" s="42"/>
      <c r="EX91" s="42"/>
      <c r="EY91" s="42"/>
      <c r="EZ91" s="42"/>
      <c r="FA91" s="42"/>
      <c r="FB91" s="42"/>
      <c r="FC91" s="42"/>
      <c r="FD91" s="42"/>
      <c r="FE91" s="42"/>
      <c r="FF91" s="42"/>
      <c r="FG91" s="42"/>
      <c r="FH91" s="42"/>
      <c r="FI91" s="42"/>
      <c r="FJ91" s="42"/>
    </row>
    <row r="92" spans="1:166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  <c r="BO92" s="42"/>
      <c r="BP92" s="42"/>
      <c r="BQ92" s="42"/>
      <c r="BR92" s="42"/>
      <c r="BS92" s="42"/>
      <c r="BT92" s="42"/>
      <c r="BU92" s="42"/>
      <c r="BV92" s="42"/>
      <c r="BW92" s="42"/>
      <c r="BX92" s="42"/>
      <c r="BY92" s="42"/>
      <c r="BZ92" s="42"/>
      <c r="CA92" s="42"/>
      <c r="CB92" s="42"/>
      <c r="CC92" s="42"/>
      <c r="CD92" s="42"/>
      <c r="CE92" s="42"/>
      <c r="CF92" s="42"/>
      <c r="CG92" s="42"/>
      <c r="CH92" s="42"/>
      <c r="CI92" s="42"/>
      <c r="CJ92" s="42"/>
      <c r="CK92" s="42"/>
      <c r="CL92" s="42"/>
      <c r="CM92" s="42"/>
      <c r="CN92" s="42"/>
      <c r="CO92" s="42"/>
      <c r="CP92" s="42"/>
      <c r="CQ92" s="42"/>
      <c r="CR92" s="42"/>
      <c r="CS92" s="42"/>
      <c r="CT92" s="42"/>
      <c r="CU92" s="42"/>
      <c r="CV92" s="42"/>
      <c r="CW92" s="42"/>
      <c r="CX92" s="42"/>
      <c r="CY92" s="42"/>
      <c r="CZ92" s="42"/>
      <c r="DA92" s="42"/>
      <c r="DB92" s="42"/>
      <c r="DC92" s="42"/>
      <c r="DD92" s="42"/>
      <c r="DE92" s="42"/>
      <c r="DF92" s="42"/>
      <c r="DG92" s="42"/>
      <c r="DH92" s="42"/>
      <c r="DI92" s="42"/>
      <c r="DJ92" s="42"/>
      <c r="DK92" s="42"/>
      <c r="DL92" s="42"/>
      <c r="DM92" s="42"/>
      <c r="DN92" s="42"/>
      <c r="DO92" s="42"/>
      <c r="DP92" s="42"/>
      <c r="DQ92" s="42"/>
      <c r="DR92" s="42"/>
      <c r="DS92" s="42"/>
      <c r="DT92" s="42"/>
      <c r="DU92" s="42"/>
      <c r="DV92" s="42"/>
      <c r="DW92" s="42"/>
      <c r="DX92" s="42"/>
      <c r="DY92" s="42"/>
      <c r="DZ92" s="42"/>
      <c r="EA92" s="42"/>
      <c r="EB92" s="42"/>
      <c r="EC92" s="42"/>
      <c r="ED92" s="42"/>
      <c r="EE92" s="42"/>
      <c r="EF92" s="42"/>
      <c r="EG92" s="42"/>
      <c r="EH92" s="42"/>
      <c r="EI92" s="42"/>
      <c r="EJ92" s="42"/>
      <c r="EK92" s="42"/>
      <c r="EL92" s="42"/>
      <c r="EM92" s="42"/>
      <c r="EN92" s="42"/>
      <c r="EO92" s="42"/>
      <c r="EP92" s="42"/>
      <c r="EQ92" s="42"/>
      <c r="ER92" s="42"/>
      <c r="ES92" s="42"/>
      <c r="ET92" s="42"/>
      <c r="EU92" s="42"/>
      <c r="EV92" s="42"/>
      <c r="EW92" s="42"/>
      <c r="EX92" s="42"/>
      <c r="EY92" s="42"/>
      <c r="EZ92" s="42"/>
      <c r="FA92" s="42"/>
      <c r="FB92" s="42"/>
      <c r="FC92" s="42"/>
      <c r="FD92" s="42"/>
      <c r="FE92" s="42"/>
      <c r="FF92" s="42"/>
      <c r="FG92" s="42"/>
      <c r="FH92" s="42"/>
      <c r="FI92" s="42"/>
      <c r="FJ92" s="42"/>
    </row>
    <row r="93" spans="1:166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  <c r="BO93" s="42"/>
      <c r="BP93" s="42"/>
      <c r="BQ93" s="42"/>
      <c r="BR93" s="42"/>
      <c r="BS93" s="42"/>
      <c r="BT93" s="42"/>
      <c r="BU93" s="42"/>
      <c r="BV93" s="42"/>
      <c r="BW93" s="42"/>
      <c r="BX93" s="42"/>
      <c r="BY93" s="42"/>
      <c r="BZ93" s="42"/>
      <c r="CA93" s="42"/>
      <c r="CB93" s="42"/>
      <c r="CC93" s="42"/>
      <c r="CD93" s="42"/>
      <c r="CE93" s="42"/>
      <c r="CF93" s="42"/>
      <c r="CG93" s="42"/>
      <c r="CH93" s="42"/>
      <c r="CI93" s="42"/>
      <c r="CJ93" s="42"/>
      <c r="CK93" s="42"/>
      <c r="CL93" s="42"/>
      <c r="CM93" s="42"/>
      <c r="CN93" s="42"/>
      <c r="CO93" s="42"/>
      <c r="CP93" s="42"/>
      <c r="CQ93" s="42"/>
      <c r="CR93" s="42"/>
      <c r="CS93" s="42"/>
      <c r="CT93" s="42"/>
      <c r="CU93" s="42"/>
      <c r="CV93" s="42"/>
      <c r="CW93" s="42"/>
      <c r="CX93" s="42"/>
      <c r="CY93" s="42"/>
      <c r="CZ93" s="42"/>
      <c r="DA93" s="42"/>
      <c r="DB93" s="42"/>
      <c r="DC93" s="42"/>
      <c r="DD93" s="42"/>
      <c r="DE93" s="42"/>
      <c r="DF93" s="42"/>
      <c r="DG93" s="42"/>
      <c r="DH93" s="42"/>
      <c r="DI93" s="42"/>
      <c r="DJ93" s="42"/>
      <c r="DK93" s="42"/>
      <c r="DL93" s="42"/>
      <c r="DM93" s="42"/>
      <c r="DN93" s="42"/>
      <c r="DO93" s="42"/>
      <c r="DP93" s="42"/>
      <c r="DQ93" s="42"/>
      <c r="DR93" s="42"/>
      <c r="DS93" s="42"/>
      <c r="DT93" s="42"/>
      <c r="DU93" s="42"/>
      <c r="DV93" s="42"/>
      <c r="DW93" s="42"/>
      <c r="DX93" s="42"/>
      <c r="DY93" s="42"/>
      <c r="DZ93" s="42"/>
      <c r="EA93" s="42"/>
      <c r="EB93" s="42"/>
      <c r="EC93" s="42"/>
      <c r="ED93" s="42"/>
      <c r="EE93" s="42"/>
      <c r="EF93" s="42"/>
      <c r="EG93" s="42"/>
      <c r="EH93" s="42"/>
      <c r="EI93" s="42"/>
      <c r="EJ93" s="42"/>
      <c r="EK93" s="42"/>
      <c r="EL93" s="42"/>
      <c r="EM93" s="42"/>
      <c r="EN93" s="42"/>
      <c r="EO93" s="42"/>
      <c r="EP93" s="42"/>
      <c r="EQ93" s="42"/>
      <c r="ER93" s="42"/>
      <c r="ES93" s="42"/>
      <c r="ET93" s="42"/>
      <c r="EU93" s="42"/>
      <c r="EV93" s="42"/>
      <c r="EW93" s="42"/>
      <c r="EX93" s="42"/>
      <c r="EY93" s="42"/>
      <c r="EZ93" s="42"/>
      <c r="FA93" s="42"/>
      <c r="FB93" s="42"/>
      <c r="FC93" s="42"/>
      <c r="FD93" s="42"/>
      <c r="FE93" s="42"/>
      <c r="FF93" s="42"/>
      <c r="FG93" s="42"/>
      <c r="FH93" s="42"/>
      <c r="FI93" s="42"/>
      <c r="FJ93" s="42"/>
    </row>
    <row r="94" spans="1:166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  <c r="BO94" s="42"/>
      <c r="BP94" s="42"/>
      <c r="BQ94" s="42"/>
      <c r="BR94" s="42"/>
      <c r="BS94" s="42"/>
      <c r="BT94" s="42"/>
      <c r="BU94" s="42"/>
      <c r="BV94" s="42"/>
      <c r="BW94" s="42"/>
      <c r="BX94" s="42"/>
      <c r="BY94" s="42"/>
      <c r="BZ94" s="42"/>
      <c r="CA94" s="42"/>
      <c r="CB94" s="42"/>
      <c r="CC94" s="42"/>
      <c r="CD94" s="42"/>
      <c r="CE94" s="42"/>
      <c r="CF94" s="42"/>
      <c r="CG94" s="42"/>
      <c r="CH94" s="42"/>
      <c r="CI94" s="42"/>
      <c r="CJ94" s="42"/>
      <c r="CK94" s="42"/>
      <c r="CL94" s="42"/>
      <c r="CM94" s="42"/>
      <c r="CN94" s="42"/>
      <c r="CO94" s="42"/>
      <c r="CP94" s="42"/>
      <c r="CQ94" s="42"/>
      <c r="CR94" s="42"/>
      <c r="CS94" s="42"/>
      <c r="CT94" s="42"/>
      <c r="CU94" s="42"/>
      <c r="CV94" s="42"/>
      <c r="CW94" s="42"/>
      <c r="CX94" s="42"/>
      <c r="CY94" s="42"/>
      <c r="CZ94" s="42"/>
      <c r="DA94" s="42"/>
      <c r="DB94" s="42"/>
      <c r="DC94" s="42"/>
      <c r="DD94" s="42"/>
      <c r="DE94" s="42"/>
      <c r="DF94" s="42"/>
      <c r="DG94" s="42"/>
      <c r="DH94" s="42"/>
      <c r="DI94" s="42"/>
      <c r="DJ94" s="42"/>
      <c r="DK94" s="42"/>
      <c r="DL94" s="42"/>
      <c r="DM94" s="42"/>
      <c r="DN94" s="42"/>
      <c r="DO94" s="42"/>
      <c r="DP94" s="42"/>
      <c r="DQ94" s="42"/>
      <c r="DR94" s="42"/>
      <c r="DS94" s="42"/>
      <c r="DT94" s="42"/>
      <c r="DU94" s="42"/>
      <c r="DV94" s="42"/>
      <c r="DW94" s="42"/>
      <c r="DX94" s="42"/>
      <c r="DY94" s="42"/>
      <c r="DZ94" s="42"/>
      <c r="EA94" s="42"/>
      <c r="EB94" s="42"/>
      <c r="EC94" s="42"/>
      <c r="ED94" s="42"/>
      <c r="EE94" s="42"/>
      <c r="EF94" s="42"/>
      <c r="EG94" s="42"/>
      <c r="EH94" s="42"/>
      <c r="EI94" s="42"/>
      <c r="EJ94" s="42"/>
      <c r="EK94" s="42"/>
      <c r="EL94" s="42"/>
      <c r="EM94" s="42"/>
      <c r="EN94" s="42"/>
      <c r="EO94" s="42"/>
      <c r="EP94" s="42"/>
      <c r="EQ94" s="42"/>
      <c r="ER94" s="42"/>
      <c r="ES94" s="42"/>
      <c r="ET94" s="42"/>
      <c r="EU94" s="42"/>
      <c r="EV94" s="42"/>
      <c r="EW94" s="42"/>
      <c r="EX94" s="42"/>
      <c r="EY94" s="42"/>
      <c r="EZ94" s="42"/>
      <c r="FA94" s="42"/>
      <c r="FB94" s="42"/>
      <c r="FC94" s="42"/>
      <c r="FD94" s="42"/>
      <c r="FE94" s="42"/>
      <c r="FF94" s="42"/>
      <c r="FG94" s="42"/>
      <c r="FH94" s="42"/>
      <c r="FI94" s="42"/>
      <c r="FJ94" s="42"/>
    </row>
    <row r="95" spans="1:166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2"/>
      <c r="CE95" s="42"/>
      <c r="CF95" s="42"/>
      <c r="CG95" s="42"/>
      <c r="CH95" s="42"/>
      <c r="CI95" s="42"/>
      <c r="CJ95" s="42"/>
      <c r="CK95" s="42"/>
      <c r="CL95" s="42"/>
      <c r="CM95" s="42"/>
      <c r="CN95" s="42"/>
      <c r="CO95" s="42"/>
      <c r="CP95" s="42"/>
      <c r="CQ95" s="42"/>
      <c r="CR95" s="42"/>
      <c r="CS95" s="42"/>
      <c r="CT95" s="42"/>
      <c r="CU95" s="42"/>
      <c r="CV95" s="42"/>
      <c r="CW95" s="42"/>
      <c r="CX95" s="42"/>
      <c r="CY95" s="42"/>
      <c r="CZ95" s="42"/>
      <c r="DA95" s="42"/>
      <c r="DB95" s="42"/>
      <c r="DC95" s="42"/>
      <c r="DD95" s="42"/>
      <c r="DE95" s="42"/>
      <c r="DF95" s="42"/>
      <c r="DG95" s="42"/>
      <c r="DH95" s="42"/>
      <c r="DI95" s="42"/>
      <c r="DJ95" s="42"/>
      <c r="DK95" s="42"/>
      <c r="DL95" s="42"/>
      <c r="DM95" s="42"/>
      <c r="DN95" s="42"/>
      <c r="DO95" s="42"/>
      <c r="DP95" s="42"/>
      <c r="DQ95" s="42"/>
      <c r="DR95" s="42"/>
      <c r="DS95" s="42"/>
      <c r="DT95" s="42"/>
      <c r="DU95" s="42"/>
      <c r="DV95" s="42"/>
      <c r="DW95" s="42"/>
      <c r="DX95" s="42"/>
      <c r="DY95" s="42"/>
      <c r="DZ95" s="42"/>
      <c r="EA95" s="42"/>
      <c r="EB95" s="42"/>
      <c r="EC95" s="42"/>
      <c r="ED95" s="42"/>
      <c r="EE95" s="42"/>
      <c r="EF95" s="42"/>
      <c r="EG95" s="42"/>
      <c r="EH95" s="42"/>
      <c r="EI95" s="42"/>
      <c r="EJ95" s="42"/>
      <c r="EK95" s="42"/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/>
      <c r="FG95" s="42"/>
      <c r="FH95" s="42"/>
      <c r="FI95" s="42"/>
      <c r="FJ95" s="42"/>
    </row>
    <row r="96" spans="1:16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2"/>
      <c r="CE96" s="42"/>
      <c r="CF96" s="42"/>
      <c r="CG96" s="42"/>
      <c r="CH96" s="42"/>
      <c r="CI96" s="42"/>
      <c r="CJ96" s="42"/>
      <c r="CK96" s="42"/>
      <c r="CL96" s="42"/>
      <c r="CM96" s="42"/>
      <c r="CN96" s="42"/>
      <c r="CO96" s="42"/>
      <c r="CP96" s="42"/>
      <c r="CQ96" s="42"/>
      <c r="CR96" s="42"/>
      <c r="CS96" s="42"/>
      <c r="CT96" s="42"/>
      <c r="CU96" s="42"/>
      <c r="CV96" s="42"/>
      <c r="CW96" s="42"/>
      <c r="CX96" s="42"/>
      <c r="CY96" s="42"/>
      <c r="CZ96" s="42"/>
      <c r="DA96" s="42"/>
      <c r="DB96" s="42"/>
      <c r="DC96" s="42"/>
      <c r="DD96" s="42"/>
      <c r="DE96" s="42"/>
      <c r="DF96" s="42"/>
      <c r="DG96" s="42"/>
      <c r="DH96" s="42"/>
      <c r="DI96" s="42"/>
      <c r="DJ96" s="42"/>
      <c r="DK96" s="42"/>
      <c r="DL96" s="42"/>
      <c r="DM96" s="42"/>
      <c r="DN96" s="42"/>
      <c r="DO96" s="42"/>
      <c r="DP96" s="42"/>
      <c r="DQ96" s="42"/>
      <c r="DR96" s="42"/>
      <c r="DS96" s="42"/>
      <c r="DT96" s="42"/>
      <c r="DU96" s="42"/>
      <c r="DV96" s="42"/>
      <c r="DW96" s="42"/>
      <c r="DX96" s="42"/>
      <c r="DY96" s="42"/>
      <c r="DZ96" s="42"/>
      <c r="EA96" s="42"/>
      <c r="EB96" s="42"/>
      <c r="EC96" s="42"/>
      <c r="ED96" s="42"/>
      <c r="EE96" s="42"/>
      <c r="EF96" s="42"/>
      <c r="EG96" s="42"/>
      <c r="EH96" s="42"/>
      <c r="EI96" s="42"/>
      <c r="EJ96" s="42"/>
      <c r="EK96" s="42"/>
      <c r="EL96" s="42"/>
      <c r="EM96" s="42"/>
      <c r="EN96" s="42"/>
      <c r="EO96" s="42"/>
      <c r="EP96" s="42"/>
      <c r="EQ96" s="42"/>
      <c r="ER96" s="42"/>
      <c r="ES96" s="42"/>
      <c r="ET96" s="42"/>
      <c r="EU96" s="42"/>
      <c r="EV96" s="42"/>
      <c r="EW96" s="42"/>
      <c r="EX96" s="42"/>
      <c r="EY96" s="42"/>
      <c r="EZ96" s="42"/>
      <c r="FA96" s="42"/>
      <c r="FB96" s="42"/>
      <c r="FC96" s="42"/>
      <c r="FD96" s="42"/>
      <c r="FE96" s="42"/>
      <c r="FF96" s="42"/>
      <c r="FG96" s="42"/>
      <c r="FH96" s="42"/>
      <c r="FI96" s="42"/>
      <c r="FJ96" s="42"/>
    </row>
    <row r="97" spans="1:166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  <c r="BO97" s="42"/>
      <c r="BP97" s="42"/>
      <c r="BQ97" s="42"/>
      <c r="BR97" s="42"/>
      <c r="BS97" s="42"/>
      <c r="BT97" s="42"/>
      <c r="BU97" s="42"/>
      <c r="BV97" s="42"/>
      <c r="BW97" s="42"/>
      <c r="BX97" s="42"/>
      <c r="BY97" s="42"/>
      <c r="BZ97" s="42"/>
      <c r="CA97" s="42"/>
      <c r="CB97" s="42"/>
      <c r="CC97" s="42"/>
      <c r="CD97" s="42"/>
      <c r="CE97" s="42"/>
      <c r="CF97" s="42"/>
      <c r="CG97" s="42"/>
      <c r="CH97" s="42"/>
      <c r="CI97" s="42"/>
      <c r="CJ97" s="42"/>
      <c r="CK97" s="42"/>
      <c r="CL97" s="42"/>
      <c r="CM97" s="42"/>
      <c r="CN97" s="42"/>
      <c r="CO97" s="42"/>
      <c r="CP97" s="42"/>
      <c r="CQ97" s="42"/>
      <c r="CR97" s="42"/>
      <c r="CS97" s="42"/>
      <c r="CT97" s="42"/>
      <c r="CU97" s="42"/>
      <c r="CV97" s="42"/>
      <c r="CW97" s="42"/>
      <c r="CX97" s="42"/>
      <c r="CY97" s="42"/>
      <c r="CZ97" s="42"/>
      <c r="DA97" s="42"/>
      <c r="DB97" s="42"/>
      <c r="DC97" s="42"/>
      <c r="DD97" s="42"/>
      <c r="DE97" s="42"/>
      <c r="DF97" s="42"/>
      <c r="DG97" s="42"/>
      <c r="DH97" s="42"/>
      <c r="DI97" s="42"/>
      <c r="DJ97" s="42"/>
      <c r="DK97" s="42"/>
      <c r="DL97" s="42"/>
      <c r="DM97" s="42"/>
      <c r="DN97" s="42"/>
      <c r="DO97" s="42"/>
      <c r="DP97" s="42"/>
      <c r="DQ97" s="42"/>
      <c r="DR97" s="42"/>
      <c r="DS97" s="42"/>
      <c r="DT97" s="42"/>
      <c r="DU97" s="42"/>
      <c r="DV97" s="42"/>
      <c r="DW97" s="42"/>
      <c r="DX97" s="42"/>
      <c r="DY97" s="42"/>
      <c r="DZ97" s="42"/>
      <c r="EA97" s="42"/>
      <c r="EB97" s="42"/>
      <c r="EC97" s="42"/>
      <c r="ED97" s="42"/>
      <c r="EE97" s="42"/>
      <c r="EF97" s="42"/>
      <c r="EG97" s="42"/>
      <c r="EH97" s="42"/>
      <c r="EI97" s="42"/>
      <c r="EJ97" s="42"/>
      <c r="EK97" s="42"/>
      <c r="EL97" s="42"/>
      <c r="EM97" s="42"/>
      <c r="EN97" s="42"/>
      <c r="EO97" s="42"/>
      <c r="EP97" s="42"/>
      <c r="EQ97" s="42"/>
      <c r="ER97" s="42"/>
      <c r="ES97" s="42"/>
      <c r="ET97" s="42"/>
      <c r="EU97" s="42"/>
      <c r="EV97" s="42"/>
      <c r="EW97" s="42"/>
      <c r="EX97" s="42"/>
      <c r="EY97" s="42"/>
      <c r="EZ97" s="42"/>
      <c r="FA97" s="42"/>
      <c r="FB97" s="42"/>
      <c r="FC97" s="42"/>
      <c r="FD97" s="42"/>
      <c r="FE97" s="42"/>
      <c r="FF97" s="42"/>
      <c r="FG97" s="42"/>
      <c r="FH97" s="42"/>
      <c r="FI97" s="42"/>
      <c r="FJ97" s="42"/>
    </row>
    <row r="98" spans="1:166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  <c r="BO98" s="42"/>
      <c r="BP98" s="42"/>
      <c r="BQ98" s="42"/>
      <c r="BR98" s="42"/>
      <c r="BS98" s="42"/>
      <c r="BT98" s="42"/>
      <c r="BU98" s="42"/>
      <c r="BV98" s="42"/>
      <c r="BW98" s="42"/>
      <c r="BX98" s="42"/>
      <c r="BY98" s="42"/>
      <c r="BZ98" s="42"/>
      <c r="CA98" s="42"/>
      <c r="CB98" s="42"/>
      <c r="CC98" s="42"/>
      <c r="CD98" s="42"/>
      <c r="CE98" s="42"/>
      <c r="CF98" s="42"/>
      <c r="CG98" s="42"/>
      <c r="CH98" s="42"/>
      <c r="CI98" s="42"/>
      <c r="CJ98" s="42"/>
      <c r="CK98" s="42"/>
      <c r="CL98" s="42"/>
      <c r="CM98" s="42"/>
      <c r="CN98" s="42"/>
      <c r="CO98" s="42"/>
      <c r="CP98" s="42"/>
      <c r="CQ98" s="42"/>
      <c r="CR98" s="42"/>
      <c r="CS98" s="42"/>
      <c r="CT98" s="42"/>
      <c r="CU98" s="42"/>
      <c r="CV98" s="42"/>
      <c r="CW98" s="42"/>
      <c r="CX98" s="42"/>
      <c r="CY98" s="42"/>
      <c r="CZ98" s="42"/>
      <c r="DA98" s="42"/>
      <c r="DB98" s="42"/>
      <c r="DC98" s="42"/>
      <c r="DD98" s="42"/>
      <c r="DE98" s="42"/>
      <c r="DF98" s="42"/>
      <c r="DG98" s="42"/>
      <c r="DH98" s="42"/>
      <c r="DI98" s="42"/>
      <c r="DJ98" s="42"/>
      <c r="DK98" s="42"/>
      <c r="DL98" s="42"/>
      <c r="DM98" s="42"/>
      <c r="DN98" s="42"/>
      <c r="DO98" s="42"/>
      <c r="DP98" s="42"/>
      <c r="DQ98" s="42"/>
      <c r="DR98" s="42"/>
      <c r="DS98" s="42"/>
      <c r="DT98" s="42"/>
      <c r="DU98" s="42"/>
      <c r="DV98" s="42"/>
      <c r="DW98" s="42"/>
      <c r="DX98" s="42"/>
      <c r="DY98" s="42"/>
      <c r="DZ98" s="42"/>
      <c r="EA98" s="42"/>
      <c r="EB98" s="42"/>
      <c r="EC98" s="42"/>
      <c r="ED98" s="42"/>
      <c r="EE98" s="42"/>
      <c r="EF98" s="42"/>
      <c r="EG98" s="42"/>
      <c r="EH98" s="42"/>
      <c r="EI98" s="42"/>
      <c r="EJ98" s="42"/>
      <c r="EK98" s="42"/>
      <c r="EL98" s="42"/>
      <c r="EM98" s="42"/>
      <c r="EN98" s="42"/>
      <c r="EO98" s="42"/>
      <c r="EP98" s="42"/>
      <c r="EQ98" s="42"/>
      <c r="ER98" s="42"/>
      <c r="ES98" s="42"/>
      <c r="ET98" s="42"/>
      <c r="EU98" s="42"/>
      <c r="EV98" s="42"/>
      <c r="EW98" s="42"/>
      <c r="EX98" s="42"/>
      <c r="EY98" s="42"/>
      <c r="EZ98" s="42"/>
      <c r="FA98" s="42"/>
      <c r="FB98" s="42"/>
      <c r="FC98" s="42"/>
      <c r="FD98" s="42"/>
      <c r="FE98" s="42"/>
      <c r="FF98" s="42"/>
      <c r="FG98" s="42"/>
      <c r="FH98" s="42"/>
      <c r="FI98" s="42"/>
      <c r="FJ98" s="42"/>
    </row>
    <row r="99" spans="1:166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2"/>
      <c r="CE99" s="42"/>
      <c r="CF99" s="42"/>
      <c r="CG99" s="42"/>
      <c r="CH99" s="42"/>
      <c r="CI99" s="42"/>
      <c r="CJ99" s="42"/>
      <c r="CK99" s="42"/>
      <c r="CL99" s="42"/>
      <c r="CM99" s="42"/>
      <c r="CN99" s="42"/>
      <c r="CO99" s="42"/>
      <c r="CP99" s="42"/>
      <c r="CQ99" s="42"/>
      <c r="CR99" s="42"/>
      <c r="CS99" s="42"/>
      <c r="CT99" s="42"/>
      <c r="CU99" s="42"/>
      <c r="CV99" s="42"/>
      <c r="CW99" s="42"/>
      <c r="CX99" s="42"/>
      <c r="CY99" s="42"/>
      <c r="CZ99" s="42"/>
      <c r="DA99" s="42"/>
      <c r="DB99" s="42"/>
      <c r="DC99" s="42"/>
      <c r="DD99" s="42"/>
      <c r="DE99" s="42"/>
      <c r="DF99" s="42"/>
      <c r="DG99" s="42"/>
      <c r="DH99" s="42"/>
      <c r="DI99" s="42"/>
      <c r="DJ99" s="42"/>
      <c r="DK99" s="42"/>
      <c r="DL99" s="42"/>
      <c r="DM99" s="42"/>
      <c r="DN99" s="42"/>
      <c r="DO99" s="42"/>
      <c r="DP99" s="42"/>
      <c r="DQ99" s="42"/>
      <c r="DR99" s="42"/>
      <c r="DS99" s="42"/>
      <c r="DT99" s="42"/>
      <c r="DU99" s="42"/>
      <c r="DV99" s="42"/>
      <c r="DW99" s="42"/>
      <c r="DX99" s="42"/>
      <c r="DY99" s="42"/>
      <c r="DZ99" s="42"/>
      <c r="EA99" s="42"/>
      <c r="EB99" s="42"/>
      <c r="EC99" s="42"/>
      <c r="ED99" s="42"/>
      <c r="EE99" s="42"/>
      <c r="EF99" s="42"/>
      <c r="EG99" s="42"/>
      <c r="EH99" s="42"/>
      <c r="EI99" s="42"/>
      <c r="EJ99" s="42"/>
      <c r="EK99" s="42"/>
      <c r="EL99" s="42"/>
      <c r="EM99" s="42"/>
      <c r="EN99" s="42"/>
      <c r="EO99" s="42"/>
      <c r="EP99" s="42"/>
      <c r="EQ99" s="42"/>
      <c r="ER99" s="42"/>
      <c r="ES99" s="42"/>
      <c r="ET99" s="42"/>
      <c r="EU99" s="42"/>
      <c r="EV99" s="42"/>
      <c r="EW99" s="42"/>
      <c r="EX99" s="42"/>
      <c r="EY99" s="42"/>
      <c r="EZ99" s="42"/>
      <c r="FA99" s="42"/>
      <c r="FB99" s="42"/>
      <c r="FC99" s="42"/>
      <c r="FD99" s="42"/>
      <c r="FE99" s="42"/>
      <c r="FF99" s="42"/>
      <c r="FG99" s="42"/>
      <c r="FH99" s="42"/>
      <c r="FI99" s="42"/>
      <c r="FJ99" s="42"/>
    </row>
    <row r="100" spans="1:166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42"/>
      <c r="DF100" s="42"/>
      <c r="DG100" s="42"/>
      <c r="DH100" s="42"/>
      <c r="DI100" s="42"/>
      <c r="DJ100" s="42"/>
      <c r="DK100" s="42"/>
      <c r="DL100" s="42"/>
      <c r="DM100" s="42"/>
      <c r="DN100" s="42"/>
      <c r="DO100" s="42"/>
      <c r="DP100" s="42"/>
      <c r="DQ100" s="42"/>
      <c r="DR100" s="42"/>
      <c r="DS100" s="42"/>
      <c r="DT100" s="42"/>
      <c r="DU100" s="42"/>
      <c r="DV100" s="42"/>
      <c r="DW100" s="42"/>
      <c r="DX100" s="42"/>
      <c r="DY100" s="42"/>
      <c r="DZ100" s="42"/>
      <c r="EA100" s="42"/>
      <c r="EB100" s="42"/>
      <c r="EC100" s="42"/>
      <c r="ED100" s="42"/>
      <c r="EE100" s="42"/>
      <c r="EF100" s="42"/>
      <c r="EG100" s="42"/>
      <c r="EH100" s="42"/>
      <c r="EI100" s="42"/>
      <c r="EJ100" s="42"/>
      <c r="EK100" s="42"/>
      <c r="EL100" s="42"/>
      <c r="EM100" s="42"/>
      <c r="EN100" s="42"/>
      <c r="EO100" s="42"/>
      <c r="EP100" s="42"/>
      <c r="EQ100" s="42"/>
      <c r="ER100" s="42"/>
      <c r="ES100" s="42"/>
      <c r="ET100" s="42"/>
      <c r="EU100" s="42"/>
      <c r="EV100" s="42"/>
      <c r="EW100" s="42"/>
      <c r="EX100" s="42"/>
      <c r="EY100" s="42"/>
      <c r="EZ100" s="42"/>
      <c r="FA100" s="42"/>
      <c r="FB100" s="42"/>
      <c r="FC100" s="42"/>
      <c r="FD100" s="42"/>
      <c r="FE100" s="42"/>
      <c r="FF100" s="42"/>
      <c r="FG100" s="42"/>
      <c r="FH100" s="42"/>
      <c r="FI100" s="42"/>
      <c r="FJ100" s="42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PricingInput</vt:lpstr>
      <vt:lpstr>GetDataClosing</vt:lpstr>
      <vt:lpstr>AutomaticClosing</vt:lpstr>
      <vt:lpstr>GetDayEndCash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2021-09-27T10:20:12Z</dcterms:modified>
</cp:coreProperties>
</file>