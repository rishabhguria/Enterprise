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GetDataAllocation" sheetId="9" r:id="rId11"/>
    <sheet state="visible" name="VerifyLongPositionsGrid" sheetId="10" r:id="rId12"/>
    <sheet state="visible" name="VerifyShortPositionsGrid" sheetId="11" r:id="rId13"/>
    <sheet state="visible" name="VerifyActivity" sheetId="12" r:id="rId14"/>
    <sheet state="visible" name="CheckPortfolioManagement" sheetId="13" r:id="rId15"/>
    <sheet state="visible" name="GetActivityData" sheetId="14" r:id="rId16"/>
    <sheet state="visible" name="GetDataClosing" sheetId="15" r:id="rId17"/>
  </sheets>
  <definedNames/>
  <calcPr/>
</workbook>
</file>

<file path=xl/sharedStrings.xml><?xml version="1.0" encoding="utf-8"?>
<sst xmlns="http://schemas.openxmlformats.org/spreadsheetml/2006/main" count="200" uniqueCount="54">
  <si>
    <t>Master Data Info</t>
  </si>
  <si>
    <t>Settings</t>
  </si>
  <si>
    <t>Modules Info</t>
  </si>
  <si>
    <t>Module Step Setting File</t>
  </si>
  <si>
    <t>15Il9KeswuJGgf6kL64q0xt7c_sevGOAe7T20r5WsNa0</t>
  </si>
  <si>
    <t>Modules</t>
  </si>
  <si>
    <t>Module</t>
  </si>
  <si>
    <t>Master Data Settings File</t>
  </si>
  <si>
    <t>Step</t>
  </si>
  <si>
    <t>Master Data Sheet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</si>
  <si>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</si>
  <si>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</si>
  <si>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</si>
  <si>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</si>
  <si>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</si>
  <si>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</si>
  <si>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</si>
  <si>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</si>
  <si>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</si>
  <si>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Sell</t>
  </si>
  <si>
    <t>GOOG</t>
  </si>
  <si>
    <t>Sell short</t>
  </si>
  <si>
    <t xml:space="preserve">Buy </t>
  </si>
  <si>
    <t>Allocation</t>
  </si>
  <si>
    <t>SetGeneralPreferences</t>
  </si>
  <si>
    <t>Fair Pricing</t>
  </si>
  <si>
    <t>Account Inception</t>
  </si>
  <si>
    <t>SelectUnallocatedGroup</t>
  </si>
  <si>
    <t>EnterAccountValuesToAllocate</t>
  </si>
  <si>
    <t>Allocation1</t>
  </si>
  <si>
    <t>Allocation2</t>
  </si>
  <si>
    <t>Allocation3</t>
  </si>
  <si>
    <t>OFFSHORE</t>
  </si>
  <si>
    <t>LP C/O</t>
  </si>
  <si>
    <t>CheckAllocatedGroups</t>
  </si>
  <si>
    <t>GetDataAllocation</t>
  </si>
  <si>
    <t>Current</t>
  </si>
  <si>
    <t>Closing</t>
  </si>
  <si>
    <t>VerifyLongPositionsGrid</t>
  </si>
  <si>
    <t>Equity</t>
  </si>
  <si>
    <t>VerifyShortPositionsGrid</t>
  </si>
  <si>
    <t>GeneralLedger</t>
  </si>
  <si>
    <t>VerifyActivity</t>
  </si>
  <si>
    <t>EquityL</t>
  </si>
  <si>
    <t>Cash</t>
  </si>
  <si>
    <t>USD</t>
  </si>
  <si>
    <t>PortfolioManagement</t>
  </si>
  <si>
    <t>CheckPortfolioManagement</t>
  </si>
  <si>
    <t>GetActivityData</t>
  </si>
  <si>
    <t>SelectAll</t>
  </si>
  <si>
    <t>Allocation1,Allocation2,Allocation3,OFFSHORE,LP C/O</t>
  </si>
  <si>
    <t>No</t>
  </si>
  <si>
    <t>Yes</t>
  </si>
  <si>
    <t>GetDataClosing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</si>
</sst>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6" numFmtId="165" xfId="0" applyAlignment="1" applyFont="1" applyNumberFormat="1">
      <alignment horizontal="right" vertical="bottom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5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IFERROR(__xludf.DUMMYFUNCTION("""COMPUTED_VALUE"""),"1g8wLprruaWRC_5pQcovqkv8ZCiMt5fspCOACibdkz7g")</f>
        <v>1g8wLprruaWRC_5pQcovqkv8ZCiMt5fspCOACibdkz7g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IFERROR(__xludf.DUMMYFUNCTION("""COMPUTED_VALUE"""),"1aecq-HMDoDkIInONjPC11z5TBFHyJhv4ro66e2ZOphg")</f>
        <v>1aecq-HMDoDkIInONjPC11z5TBFHyJhv4ro66e2ZOphg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IFERROR(__xludf.DUMMYFUNCTION("""COMPUTED_VALUE"""),"1eDZq-_vllq4jwvwpk9qGnwQUhlb-sFvyFKPBriT2dA0")</f>
        <v>1eDZq-_vllq4jwvwpk9qGnwQUhlb-sFvyFKPBriT2dA0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IFERROR(__xludf.DUMMYFUNCTION("""COMPUTED_VALUE"""),"1FBTO3wCB7odq-jpQMbYHgSrAL5-rFO2_kp9Kr2iXqXE")</f>
        <v>1FBTO3wCB7odq-jpQMbYHgSrAL5-rFO2_kp9Kr2iXqXE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IFERROR(__xludf.DUMMYFUNCTION("""COMPUTED_VALUE"""),"1G0ZkXDrIDX_loGmAyLs_Shy8hExtTELtFXERbX-HdPo")</f>
        <v>1G0ZkXDrIDX_loGmAyLs_Shy8hExtTELtFXERbX-HdPo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IFERROR(__xludf.DUMMYFUNCTION("""COMPUTED_VALUE"""),"1YgVZ1jEVgjUF1Dp8FAj_W_zLEZCyqvNMlWJIg0Tmkq4")</f>
        <v>1YgVZ1jEVgjUF1Dp8FAj_W_zLEZCyqvNMlWJIg0Tmkq4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IFERROR(__xludf.DUMMYFUNCTION("""COMPUTED_VALUE"""),"1MyB61T39MDAUyQqCUJLATzUT2f5UlE8nFq4ltWy_DJ4")</f>
        <v>1MyB61T39MDAUyQqCUJLATzUT2f5UlE8nFq4ltWy_DJ4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IFERROR(__xludf.DUMMYFUNCTION("""COMPUTED_VALUE"""),"16qheLbvgC92hKxalWDlpWfHBMyDDVqHERUCc7bQiO2A")</f>
        <v>16qheLbvgC92hKxalWDlpWfHBMyDDVqHERUCc7bQiO2A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IFERROR(__xludf.DUMMYFUNCTION("""COMPUTED_VALUE"""),"1zLd3ju-mV8f6PZiQUYLU-cAgAUwLwyoIAKuu0WgG2zI")</f>
        <v>1zLd3ju-mV8f6PZiQUYLU-cAgAUwLwyoIAKuu0WgG2zI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IFERROR(__xludf.DUMMYFUNCTION("""COMPUTED_VALUE"""),"1sjDsI5FIL_l_G6osMJQ7e8auBgYd3R3JDaKWKV_8Og0")</f>
        <v>1sjDsI5FIL_l_G6osMJQ7e8auBgYd3R3JDaKWKV_8Og0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IFERROR(__xludf.DUMMYFUNCTION("""COMPUTED_VALUE"""),"1xn1P_Z-3N4d2BC1SUPly2HiVZazly5ZQcS18BfaTyho")</f>
        <v>1xn1P_Z-3N4d2BC1SUPly2HiVZazly5ZQcS18BfaTyho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IFERROR(__xludf.DUMMYFUNCTION("""COMPUTED_VALUE"""),"1vlvYPsiFAWjsnFrbkGn_fAvkwF00V3e7htalalU6QN4")</f>
        <v>1vlvYPsiFAWjsnFrbkGn_fAvkwF00V3e7htalalU6QN4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IFERROR(__xludf.DUMMYFUNCTION("""COMPUTED_VALUE"""),"1o2rCg2FuoAOT5Pl8i4iFP_TwpPm0UB1dd49GbpkytfM")</f>
        <v>1o2rCg2FuoAOT5Pl8i4iFP_TwpPm0UB1dd49GbpkytfM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IFERROR(__xludf.DUMMYFUNCTION("""COMPUTED_VALUE"""),"1_v2niCJ9VGNvgEBpvz030BFqEISSUhYRHyWcAJAn_Eg")</f>
        <v>1_v2niCJ9VGNvgEBpvz030BFqEISSUhYRHyWcAJAn_Eg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IFERROR(__xludf.DUMMYFUNCTION("""COMPUTED_VALUE"""),"1hsRs1-LY0akTrMe91ArnbLtk6GUy_bKxVwMYCaiMs-8")</f>
        <v>1hsRs1-LY0akTrMe91ArnbLtk6GUy_bKxVwMYCaiMs-8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IFERROR(__xludf.DUMMYFUNCTION("""COMPUTED_VALUE"""),"14rwUHTx4auE_hf60WN-tNOx3atNg7QGvErWNwVQIRqE")</f>
        <v>14rwUHTx4auE_hf60WN-tNOx3atNg7QGvErWNwVQIRqE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IFERROR(__xludf.DUMMYFUNCTION("""COMPUTED_VALUE"""),"1amshi8Ns36lsDpccBK0y_9bL_pQ2rHdGNYypcgzceUg")</f>
        <v>1amshi8Ns36lsDpccBK0y_9bL_pQ2rHdGNYypcgzceUg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IFERROR(__xludf.DUMMYFUNCTION("""COMPUTED_VALUE"""),"1YKttwHsdIskNDoo0Sl7HF2DWikROW-KA05qfT3GLIyI")</f>
        <v>1YKttwHsdIskNDoo0Sl7HF2DWikROW-KA05qfT3GLIyI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IFERROR(__xludf.DUMMYFUNCTION("""COMPUTED_VALUE"""),"1YJ2rTp-OqQTGjubvs_cBC6fl0l94pyHI2eaLJzbddS4")</f>
        <v>1YJ2rTp-OqQTGjubvs_cBC6fl0l94pyHI2eaLJzbddS4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IFERROR(__xludf.DUMMYFUNCTION("""COMPUTED_VALUE"""),"1mLyEfNTVFd65cnE6GfgCRD6TdpKg1BgqNIDjHCFzyO4")</f>
        <v>1mLyEfNTVFd65cnE6GfgCRD6TdpKg1BgqNIDjHCFzyO4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IFERROR(__xludf.DUMMYFUNCTION("""COMPUTED_VALUE"""),"1M8d9TyOhMnA65NSIYvS6dR68SH5RL6oKahd6uz7yp6c")</f>
        <v>1M8d9TyOhMnA65NSIYvS6dR68SH5RL6oKahd6uz7yp6c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IFERROR(__xludf.DUMMYFUNCTION("""COMPUTED_VALUE"""),"1Q5uOVYo1NMRks6hQRJuV8XWMPb6VFEAbSzpgP1dot1I")</f>
        <v>1Q5uOVYo1NMRks6hQRJuV8XWMPb6VFEAbSzpgP1dot1I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IFERROR(__xludf.DUMMYFUNCTION("""COMPUTED_VALUE"""),"1iqfUyYqyebXIeNBGljH7-T8whBcywTlkBBU3dBZV06s")</f>
        <v>1iqfUyYqyebXIeNBGljH7-T8whBcywTlkBBU3dBZV06s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IFERROR(__xludf.DUMMYFUNCTION("""COMPUTED_VALUE"""),"1u0XMlZJy_Slp7uXMwirinW7StOOdTcWD-D8V07sO0VA")</f>
        <v>1u0XMlZJy_Slp7uXMwirinW7StOOdTcWD-D8V07sO0VA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IFERROR(__xludf.DUMMYFUNCTION("""COMPUTED_VALUE"""),"1mh3Z5PifhJ3yzX8TPeoc3H3nteNiA0V2tWFse0rVChE")</f>
        <v>1mh3Z5PifhJ3yzX8TPeoc3H3nteNiA0V2tWFse0rVChE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IFERROR(__xludf.DUMMYFUNCTION("""COMPUTED_VALUE"""),"1vmZ6v1OyZ8SSi8bqqjK3ap3KtM_yPA_SEcIQgYiRInY")</f>
        <v>1vmZ6v1OyZ8SSi8bqqjK3ap3KtM_yPA_SEcIQgYiRInY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IFERROR(__xludf.DUMMYFUNCTION("""COMPUTED_VALUE"""),"1OiI1Pi_JAFOFi8ByMaD3_qqEXSv6yQMo_u6aGTozbl8")</f>
        <v>1OiI1Pi_JAFOFi8ByMaD3_qqEXSv6yQMo_u6aGTozbl8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IFERROR(__xludf.DUMMYFUNCTION("""COMPUTED_VALUE"""),"1ubfvE9sHq5KpJ9NazeH96CrVMJqAuol5Ya9GPjxWrgI")</f>
        <v>1ubfvE9sHq5KpJ9NazeH96CrVMJqAuol5Ya9GPjxWrgI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1" t="s">
        <v>7</v>
      </c>
      <c r="B4" s="9" t="s">
        <v>10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8"/>
      <c r="B2" s="8"/>
      <c r="C2" s="8"/>
      <c r="D2" s="8"/>
      <c r="E2" s="8"/>
      <c r="F2" s="8"/>
    </row>
    <row r="3">
      <c r="A3" s="11" t="s">
        <v>6</v>
      </c>
      <c r="B3" s="13" t="s">
        <v>8</v>
      </c>
      <c r="C3" s="13" t="s">
        <v>9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12</v>
      </c>
      <c r="D3" s="7" t="s">
        <v>8</v>
      </c>
      <c r="E3" s="21" t="s">
        <v>13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16</v>
      </c>
      <c r="C6" s="9" t="s">
        <v>17</v>
      </c>
      <c r="D6" s="9">
        <v>30.0</v>
      </c>
      <c r="E6" s="29"/>
      <c r="F6" s="9" t="s">
        <v>18</v>
      </c>
      <c r="G6" s="6"/>
      <c r="H6" s="6"/>
      <c r="I6" s="6"/>
      <c r="J6" s="9">
        <v>1.0</v>
      </c>
      <c r="K6" s="6"/>
      <c r="L6" s="6"/>
      <c r="M6" s="6"/>
      <c r="N6" s="30">
        <f t="shared" ref="N6:N10" si="1">Today()</f>
        <v>43634</v>
      </c>
      <c r="O6" s="6"/>
    </row>
    <row r="7" ht="15.75" customHeight="1">
      <c r="A7" s="6"/>
      <c r="B7" s="9" t="s">
        <v>16</v>
      </c>
      <c r="C7" s="9" t="s">
        <v>17</v>
      </c>
      <c r="D7" s="9">
        <v>500.0</v>
      </c>
      <c r="E7" s="6"/>
      <c r="F7" s="9" t="s">
        <v>18</v>
      </c>
      <c r="G7" s="6"/>
      <c r="H7" s="6"/>
      <c r="I7" s="6"/>
      <c r="J7" s="9">
        <v>7.0</v>
      </c>
      <c r="K7" s="6"/>
      <c r="L7" s="6"/>
      <c r="M7" s="6"/>
      <c r="N7" s="30">
        <f t="shared" si="1"/>
        <v>43634</v>
      </c>
      <c r="O7" s="6"/>
    </row>
    <row r="8" ht="15.75" customHeight="1">
      <c r="A8" s="6"/>
      <c r="B8" s="9" t="s">
        <v>16</v>
      </c>
      <c r="C8" s="9" t="s">
        <v>19</v>
      </c>
      <c r="D8" s="9">
        <v>100.0</v>
      </c>
      <c r="E8" s="6"/>
      <c r="F8" s="9" t="s">
        <v>18</v>
      </c>
      <c r="G8" s="6"/>
      <c r="H8" s="6"/>
      <c r="I8" s="6"/>
      <c r="J8" s="9">
        <v>2.0</v>
      </c>
      <c r="K8" s="6"/>
      <c r="L8" s="6"/>
      <c r="M8" s="6"/>
      <c r="N8" s="30">
        <f t="shared" si="1"/>
        <v>43634</v>
      </c>
      <c r="O8" s="6"/>
    </row>
    <row r="9" ht="15.75" customHeight="1">
      <c r="A9" s="6"/>
      <c r="B9" s="9" t="s">
        <v>20</v>
      </c>
      <c r="C9" s="9" t="s">
        <v>21</v>
      </c>
      <c r="D9" s="9">
        <v>400.0</v>
      </c>
      <c r="E9" s="6"/>
      <c r="F9" s="9" t="s">
        <v>18</v>
      </c>
      <c r="G9" s="6"/>
      <c r="H9" s="6"/>
      <c r="I9" s="6"/>
      <c r="J9" s="9">
        <v>4.0</v>
      </c>
      <c r="K9" s="6"/>
      <c r="L9" s="6"/>
      <c r="M9" s="6"/>
      <c r="N9" s="30">
        <f t="shared" si="1"/>
        <v>43634</v>
      </c>
      <c r="O9" s="6"/>
    </row>
    <row r="10" ht="15.75" customHeight="1">
      <c r="A10" s="6"/>
      <c r="B10" s="9" t="s">
        <v>20</v>
      </c>
      <c r="C10" s="9" t="s">
        <v>22</v>
      </c>
      <c r="D10" s="9">
        <v>100.0</v>
      </c>
      <c r="E10" s="6"/>
      <c r="F10" s="9" t="s">
        <v>18</v>
      </c>
      <c r="G10" s="6"/>
      <c r="H10" s="6"/>
      <c r="I10" s="6"/>
      <c r="J10" s="9">
        <v>4.0</v>
      </c>
      <c r="K10" s="6"/>
      <c r="L10" s="6"/>
      <c r="M10" s="6"/>
      <c r="N10" s="30">
        <f t="shared" si="1"/>
        <v>43634</v>
      </c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1lI4loUxqzsE3IjuxIjsVY3cB4J_eTKFPPDuXngut4FE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23</v>
      </c>
      <c r="D3" s="7" t="s">
        <v>8</v>
      </c>
      <c r="E3" s="21" t="s">
        <v>24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IFERROR(__xludf.DUMMYFUNCTION("""COMPUTED_VALUE"""),"ValidateCheckSide")</f>
        <v>ValidateCheckSide</v>
      </c>
      <c r="C5" s="26" t="str">
        <f>IFERROR(__xludf.DUMMYFUNCTION("""COMPUTED_VALUE"""),"DisabledChecksideAssets")</f>
        <v>DisabledChecksideAssets</v>
      </c>
      <c r="D5" s="26" t="str">
        <f>IFERROR(__xludf.DUMMYFUNCTION("""COMPUTED_VALUE"""),"PrecisionValue")</f>
        <v>PrecisionValue</v>
      </c>
      <c r="E5" s="26" t="str">
        <f>IFERROR(__xludf.DUMMYFUNCTION("""COMPUTED_VALUE"""),"UseCommissionInNetAmount")</f>
        <v>UseCommissionInNetAmount</v>
      </c>
      <c r="F5" s="27" t="str">
        <f>IFERROR(__xludf.DUMMYFUNCTION("""COMPUTED_VALUE"""),"SaveWithoutState")</f>
        <v>SaveWithoutState</v>
      </c>
      <c r="G5" s="26" t="str">
        <f>IFERROR(__xludf.DUMMYFUNCTION("""COMPUTED_VALUE"""),"SaveWithState")</f>
        <v>SaveWithState</v>
      </c>
      <c r="H5" s="26" t="str">
        <f>IFERROR(__xludf.DUMMYFUNCTION("""COMPUTED_VALUE"""),"ClearQuantities")</f>
        <v>ClearQuantities</v>
      </c>
      <c r="I5" s="26" t="str">
        <f>IFERROR(__xludf.DUMMYFUNCTION("""COMPUTED_VALUE"""),"ReapplyAllocation")</f>
        <v>ReapplyAllocation</v>
      </c>
      <c r="J5" s="26" t="str">
        <f>IFERROR(__xludf.DUMMYFUNCTION("""COMPUTED_VALUE"""),"DefaultAllocation")</f>
        <v>DefaultAllocation</v>
      </c>
      <c r="K5" s="26" t="str">
        <f>IFERROR(__xludf.DUMMYFUNCTION("""COMPUTED_VALUE"""),"IsCustomPreference")</f>
        <v>IsCustomPreference</v>
      </c>
      <c r="L5" s="26" t="str">
        <f>IFERROR(__xludf.DUMMYFUNCTION("""COMPUTED_VALUE"""),"AllocationMethod")</f>
        <v>AllocationMethod</v>
      </c>
      <c r="M5" s="26" t="str">
        <f>IFERROR(__xludf.DUMMYFUNCTION("""COMPUTED_VALUE"""),"RemainderAllocationTo")</f>
        <v>RemainderAllocationTo</v>
      </c>
      <c r="N5" s="26" t="str">
        <f>IFERROR(__xludf.DUMMYFUNCTION("""COMPUTED_VALUE"""),"Target%AsOf")</f>
        <v>Target%AsOf</v>
      </c>
      <c r="O5" s="26" t="str">
        <f>IFERROR(__xludf.DUMMYFUNCTION("""COMPUTED_VALUE"""),"ProrataAccounts")</f>
        <v>ProrataAccounts</v>
      </c>
      <c r="P5" s="26" t="str">
        <f>IFERROR(__xludf.DUMMYFUNCTION("""COMPUTED_VALUE"""),"DateUptoDays")</f>
        <v>DateUptoDays</v>
      </c>
      <c r="Q5" s="26" t="str">
        <f>IFERROR(__xludf.DUMMYFUNCTION("""COMPUTED_VALUE"""),"MatchClosing")</f>
        <v>MatchClosing</v>
      </c>
      <c r="R5" s="26" t="str">
        <f>IFERROR(__xludf.DUMMYFUNCTION("""COMPUTED_VALUE"""),"CommissionAlertOnBrokerChange")</f>
        <v>CommissionAlertOnBrokerChange</v>
      </c>
      <c r="S5" s="26" t="str">
        <f>IFERROR(__xludf.DUMMYFUNCTION("""COMPUTED_VALUE"""),"RecalculateCommissionOnBrokerChange")</f>
        <v>RecalculateCommissionOnBrokerChange</v>
      </c>
      <c r="T5" s="28" t="str">
        <f>IFERROR(__xludf.DUMMYFUNCTION("""COMPUTED_VALUE"""),"CommissionAlertOnAllocation")</f>
        <v>CommissionAlertOnAllocation</v>
      </c>
      <c r="U5" s="28" t="str">
        <f>IFERROR(__xludf.DUMMYFUNCTION("""COMPUTED_VALUE"""),"RecalculateCommissionOnAllocation")</f>
        <v>RecalculateCommissionOnAllocation</v>
      </c>
      <c r="V5" s="28" t="str">
        <f>IFERROR(__xludf.DUMMYFUNCTION("""COMPUTED_VALUE"""),"EnableMasterFund")</f>
        <v>EnableMasterFund</v>
      </c>
      <c r="W5" s="28" t="str">
        <f>IFERROR(__xludf.DUMMYFUNCTION("""COMPUTED_VALUE"""),"1MasterFund/1Symbol")</f>
        <v>1MasterFund/1Symbol</v>
      </c>
      <c r="X5" s="28" t="str">
        <f>IFERROR(__xludf.DUMMYFUNCTION("""COMPUTED_VALUE"""),"ProrataSchemeName")</f>
        <v>ProrataSchemeName</v>
      </c>
      <c r="Y5" s="28" t="str">
        <f>IFERROR(__xludf.DUMMYFUNCTION("""COMPUTED_VALUE"""),"ProrataAllocationSchemeBasis")</f>
        <v>ProrataAllocationSchemeBasis</v>
      </c>
      <c r="Z5" s="28" t="str">
        <f>IFERROR(__xludf.DUMMYFUNCTION("""COMPUTED_VALUE"""),"ShowAdvancedProrataUI")</f>
        <v>ShowAdvancedProrataUI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b">
        <v>0</v>
      </c>
      <c r="C6" s="6"/>
      <c r="D6" s="29"/>
      <c r="E6" s="9"/>
      <c r="F6" s="9"/>
      <c r="G6" s="9"/>
      <c r="H6" s="9"/>
      <c r="I6" s="9"/>
      <c r="J6" s="9"/>
      <c r="K6" s="9"/>
      <c r="L6" s="9" t="s">
        <v>25</v>
      </c>
      <c r="M6" s="9"/>
      <c r="N6" s="9" t="s">
        <v>26</v>
      </c>
      <c r="O6" s="6"/>
      <c r="Q6" s="31" t="b">
        <v>0</v>
      </c>
      <c r="R6" s="31"/>
      <c r="T6" s="3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23</v>
      </c>
      <c r="D3" s="7" t="s">
        <v>8</v>
      </c>
      <c r="E3" s="21" t="s">
        <v>27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16</v>
      </c>
      <c r="C6" s="6"/>
      <c r="D6" s="9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1mOtszotVOdqHquQTLi-4CBnAUrtAF2MEABuvYJh_hzw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23</v>
      </c>
      <c r="D3" s="7" t="s">
        <v>8</v>
      </c>
      <c r="E3" s="21" t="s">
        <v>28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Percentage")</f>
        <v>Account Percentage</v>
      </c>
      <c r="D5" s="26" t="str">
        <f>IFERROR(__xludf.DUMMYFUNCTION("""COMPUTED_VALUE"""),"Account Quantity")</f>
        <v>Account Quantity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29</v>
      </c>
      <c r="C6" s="29">
        <v>15.0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9"/>
      <c r="B7" s="31" t="s">
        <v>30</v>
      </c>
      <c r="C7" s="32">
        <v>10.0</v>
      </c>
    </row>
    <row r="8" ht="15.75" customHeight="1">
      <c r="A8" s="9"/>
      <c r="B8" s="31" t="s">
        <v>31</v>
      </c>
      <c r="C8" s="32">
        <v>20.0</v>
      </c>
    </row>
    <row r="9" ht="15.75" customHeight="1">
      <c r="A9" s="9"/>
      <c r="B9" s="31" t="s">
        <v>32</v>
      </c>
      <c r="C9" s="32">
        <v>25.0</v>
      </c>
    </row>
    <row r="10" ht="15.75" customHeight="1">
      <c r="A10" s="9"/>
      <c r="B10" s="31" t="s">
        <v>33</v>
      </c>
      <c r="C10" s="31">
        <v>30.0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23</v>
      </c>
      <c r="D3" s="7" t="s">
        <v>8</v>
      </c>
      <c r="E3" s="21" t="s">
        <v>34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/>
      <c r="E6" s="29"/>
      <c r="F6" s="6"/>
      <c r="G6" s="6"/>
      <c r="H6" s="6"/>
      <c r="I6" s="6"/>
      <c r="J6" s="6"/>
      <c r="K6" s="6"/>
      <c r="L6" s="6"/>
      <c r="M6" s="6"/>
      <c r="N6" s="6"/>
      <c r="O6" s="6"/>
      <c r="AE6" s="31">
        <v>30.0</v>
      </c>
      <c r="BJ6" s="31">
        <v>30.0</v>
      </c>
      <c r="BO6" s="31" t="s">
        <v>17</v>
      </c>
      <c r="BT6" s="31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E7" s="31">
        <v>500.0</v>
      </c>
      <c r="BJ7" s="31">
        <v>500.0</v>
      </c>
      <c r="BO7" s="31" t="s">
        <v>17</v>
      </c>
      <c r="BT7" s="31" t="s">
        <v>16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E8" s="31">
        <v>100.0</v>
      </c>
      <c r="BJ8" s="31">
        <v>100.0</v>
      </c>
      <c r="BO8" s="31" t="s">
        <v>19</v>
      </c>
      <c r="BT8" s="31" t="s">
        <v>16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E9" s="31">
        <v>400.0</v>
      </c>
      <c r="BJ9" s="31">
        <v>400.0</v>
      </c>
      <c r="BO9" s="31" t="s">
        <v>21</v>
      </c>
      <c r="BT9" s="31" t="s">
        <v>20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AE10" s="31">
        <v>100.0</v>
      </c>
      <c r="BJ10" s="31">
        <v>100.0</v>
      </c>
      <c r="BO10" s="31" t="s">
        <v>22</v>
      </c>
      <c r="BT10" s="31" t="s">
        <v>20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23</v>
      </c>
      <c r="D3" s="7" t="s">
        <v>8</v>
      </c>
      <c r="E3" s="21" t="s">
        <v>35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36</v>
      </c>
      <c r="C6" s="30"/>
      <c r="D6" s="3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37</v>
      </c>
      <c r="D3" s="7" t="s">
        <v>8</v>
      </c>
      <c r="E3" s="21" t="s">
        <v>38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29</v>
      </c>
      <c r="C6" s="9" t="s">
        <v>39</v>
      </c>
      <c r="D6" s="9"/>
      <c r="E6" s="29"/>
      <c r="F6" s="6"/>
      <c r="G6" s="6"/>
      <c r="H6" s="6"/>
      <c r="I6" s="6"/>
      <c r="J6" s="6"/>
      <c r="K6" s="6"/>
      <c r="L6" s="6"/>
      <c r="M6" s="9">
        <v>4.0</v>
      </c>
      <c r="N6" s="6"/>
      <c r="O6" s="6"/>
      <c r="R6" s="31" t="s">
        <v>16</v>
      </c>
      <c r="U6" s="33">
        <f t="shared" ref="U6:U11" si="1">TODAY()</f>
        <v>43634</v>
      </c>
    </row>
    <row r="7" ht="15.75" customHeight="1">
      <c r="A7" s="6"/>
      <c r="B7" s="9" t="s">
        <v>32</v>
      </c>
      <c r="C7" s="9" t="s">
        <v>39</v>
      </c>
      <c r="D7" s="6"/>
      <c r="E7" s="6"/>
      <c r="F7" s="6"/>
      <c r="G7" s="6"/>
      <c r="H7" s="6"/>
      <c r="I7" s="6"/>
      <c r="J7" s="6"/>
      <c r="K7" s="6"/>
      <c r="L7" s="6"/>
      <c r="M7" s="9">
        <v>125.0</v>
      </c>
      <c r="N7" s="6"/>
      <c r="O7" s="6"/>
      <c r="R7" s="31" t="s">
        <v>16</v>
      </c>
      <c r="U7" s="33">
        <f t="shared" si="1"/>
        <v>43634</v>
      </c>
    </row>
    <row r="8" ht="15.75" customHeight="1">
      <c r="A8" s="6"/>
      <c r="B8" s="9" t="s">
        <v>33</v>
      </c>
      <c r="C8" s="9" t="s">
        <v>39</v>
      </c>
      <c r="D8" s="6"/>
      <c r="E8" s="6"/>
      <c r="F8" s="6"/>
      <c r="G8" s="6"/>
      <c r="H8" s="6"/>
      <c r="I8" s="6"/>
      <c r="J8" s="6"/>
      <c r="K8" s="6"/>
      <c r="L8" s="6"/>
      <c r="M8" s="9">
        <v>150.0</v>
      </c>
      <c r="N8" s="6"/>
      <c r="O8" s="6"/>
      <c r="R8" s="31" t="s">
        <v>16</v>
      </c>
      <c r="U8" s="33">
        <f t="shared" si="1"/>
        <v>43634</v>
      </c>
    </row>
    <row r="9" ht="15.75" customHeight="1">
      <c r="A9" s="6"/>
      <c r="B9" s="9" t="s">
        <v>30</v>
      </c>
      <c r="C9" s="9" t="s">
        <v>39</v>
      </c>
      <c r="D9" s="6"/>
      <c r="E9" s="6"/>
      <c r="F9" s="6"/>
      <c r="G9" s="6"/>
      <c r="H9" s="6"/>
      <c r="I9" s="6"/>
      <c r="J9" s="6"/>
      <c r="K9" s="6"/>
      <c r="L9" s="6"/>
      <c r="M9" s="9">
        <v>50.0</v>
      </c>
      <c r="N9" s="6"/>
      <c r="O9" s="6"/>
      <c r="R9" s="31" t="s">
        <v>16</v>
      </c>
      <c r="U9" s="33">
        <f t="shared" si="1"/>
        <v>43634</v>
      </c>
    </row>
    <row r="10" ht="15.75" customHeight="1">
      <c r="A10" s="6"/>
      <c r="B10" s="9" t="s">
        <v>31</v>
      </c>
      <c r="C10" s="9" t="s">
        <v>39</v>
      </c>
      <c r="D10" s="6"/>
      <c r="E10" s="6"/>
      <c r="F10" s="6"/>
      <c r="G10" s="6"/>
      <c r="H10" s="6"/>
      <c r="I10" s="6"/>
      <c r="J10" s="6"/>
      <c r="K10" s="6"/>
      <c r="L10" s="6"/>
      <c r="M10" s="9">
        <v>100.0</v>
      </c>
      <c r="N10" s="6"/>
      <c r="O10" s="6"/>
      <c r="R10" s="31" t="s">
        <v>16</v>
      </c>
      <c r="U10" s="33">
        <f t="shared" si="1"/>
        <v>43634</v>
      </c>
    </row>
    <row r="11" ht="15.75" customHeight="1">
      <c r="A11" s="6"/>
      <c r="B11" s="9" t="s">
        <v>29</v>
      </c>
      <c r="C11" s="9" t="s">
        <v>39</v>
      </c>
      <c r="D11" s="6"/>
      <c r="E11" s="6"/>
      <c r="F11" s="6"/>
      <c r="G11" s="6"/>
      <c r="H11" s="6"/>
      <c r="I11" s="6"/>
      <c r="J11" s="6"/>
      <c r="K11" s="6"/>
      <c r="L11" s="6"/>
      <c r="M11" s="9">
        <v>75.0</v>
      </c>
      <c r="N11" s="6"/>
      <c r="O11" s="6"/>
      <c r="R11" s="31" t="s">
        <v>16</v>
      </c>
      <c r="U11" s="33">
        <f t="shared" si="1"/>
        <v>43634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37</v>
      </c>
      <c r="D3" s="7" t="s">
        <v>8</v>
      </c>
      <c r="E3" s="21" t="s">
        <v>40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31</v>
      </c>
      <c r="C6" s="9" t="s">
        <v>39</v>
      </c>
      <c r="D6" s="9"/>
      <c r="E6" s="29"/>
      <c r="F6" s="6"/>
      <c r="G6" s="6"/>
      <c r="H6" s="6"/>
      <c r="I6" s="6"/>
      <c r="J6" s="6"/>
      <c r="K6" s="6"/>
      <c r="L6" s="6"/>
      <c r="M6" s="9">
        <v>20.0</v>
      </c>
      <c r="N6" s="6"/>
      <c r="O6" s="6"/>
      <c r="P6" s="31" t="s">
        <v>19</v>
      </c>
      <c r="R6" s="31" t="s">
        <v>16</v>
      </c>
      <c r="U6" s="33">
        <f t="shared" ref="U6:U10" si="1">TODAY()</f>
        <v>43634</v>
      </c>
    </row>
    <row r="7" ht="15.75" customHeight="1">
      <c r="A7" s="6"/>
      <c r="B7" s="9" t="s">
        <v>32</v>
      </c>
      <c r="C7" s="9" t="s">
        <v>39</v>
      </c>
      <c r="D7" s="6"/>
      <c r="E7" s="6"/>
      <c r="F7" s="6"/>
      <c r="G7" s="6"/>
      <c r="H7" s="6"/>
      <c r="I7" s="6"/>
      <c r="J7" s="6"/>
      <c r="K7" s="6"/>
      <c r="L7" s="6"/>
      <c r="M7" s="9">
        <v>100.0</v>
      </c>
      <c r="N7" s="6"/>
      <c r="O7" s="6"/>
      <c r="P7" s="31" t="s">
        <v>21</v>
      </c>
      <c r="R7" s="31" t="s">
        <v>20</v>
      </c>
      <c r="U7" s="33">
        <f t="shared" si="1"/>
        <v>43634</v>
      </c>
    </row>
    <row r="8" ht="15.75" customHeight="1">
      <c r="A8" s="6"/>
      <c r="B8" s="9" t="s">
        <v>33</v>
      </c>
      <c r="C8" s="9" t="s">
        <v>39</v>
      </c>
      <c r="D8" s="6"/>
      <c r="E8" s="6"/>
      <c r="F8" s="6"/>
      <c r="G8" s="6"/>
      <c r="H8" s="6"/>
      <c r="I8" s="6"/>
      <c r="J8" s="6"/>
      <c r="K8" s="6"/>
      <c r="L8" s="6"/>
      <c r="M8" s="9">
        <v>120.0</v>
      </c>
      <c r="N8" s="6"/>
      <c r="O8" s="6"/>
      <c r="P8" s="31" t="s">
        <v>21</v>
      </c>
      <c r="R8" s="31" t="s">
        <v>20</v>
      </c>
      <c r="U8" s="33">
        <f t="shared" si="1"/>
        <v>43634</v>
      </c>
    </row>
    <row r="9" ht="15.75" customHeight="1">
      <c r="A9" s="6"/>
      <c r="B9" s="9" t="s">
        <v>30</v>
      </c>
      <c r="C9" s="9" t="s">
        <v>39</v>
      </c>
      <c r="D9" s="6"/>
      <c r="E9" s="6"/>
      <c r="F9" s="6"/>
      <c r="G9" s="6"/>
      <c r="H9" s="6"/>
      <c r="I9" s="6"/>
      <c r="J9" s="6"/>
      <c r="K9" s="6"/>
      <c r="L9" s="6"/>
      <c r="M9" s="9">
        <v>40.0</v>
      </c>
      <c r="N9" s="6"/>
      <c r="O9" s="6"/>
      <c r="P9" s="31" t="s">
        <v>21</v>
      </c>
      <c r="R9" s="31" t="s">
        <v>20</v>
      </c>
      <c r="U9" s="33">
        <f t="shared" si="1"/>
        <v>43634</v>
      </c>
    </row>
    <row r="10" ht="15.75" customHeight="1">
      <c r="A10" s="6"/>
      <c r="B10" s="9" t="s">
        <v>31</v>
      </c>
      <c r="C10" s="9" t="s">
        <v>39</v>
      </c>
      <c r="D10" s="6"/>
      <c r="E10" s="6"/>
      <c r="F10" s="6"/>
      <c r="G10" s="6"/>
      <c r="H10" s="6"/>
      <c r="I10" s="6"/>
      <c r="J10" s="6"/>
      <c r="K10" s="6"/>
      <c r="L10" s="6"/>
      <c r="M10" s="9">
        <v>80.0</v>
      </c>
      <c r="N10" s="6"/>
      <c r="O10" s="6"/>
      <c r="P10" s="31" t="s">
        <v>21</v>
      </c>
      <c r="R10" s="31" t="s">
        <v>20</v>
      </c>
      <c r="U10" s="33">
        <f t="shared" si="1"/>
        <v>43634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U11" s="33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41</v>
      </c>
      <c r="D3" s="7" t="s">
        <v>8</v>
      </c>
      <c r="E3" s="21" t="s">
        <v>42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29</v>
      </c>
      <c r="C6" s="6"/>
      <c r="D6" s="9" t="s">
        <v>43</v>
      </c>
      <c r="E6" s="29"/>
      <c r="F6" s="6"/>
      <c r="G6" s="6"/>
      <c r="H6" s="9" t="s">
        <v>44</v>
      </c>
      <c r="I6" s="6"/>
      <c r="J6" s="6"/>
      <c r="K6" s="9" t="s">
        <v>45</v>
      </c>
      <c r="L6" s="6"/>
      <c r="M6" s="6"/>
      <c r="N6" s="6"/>
      <c r="O6" s="6"/>
      <c r="AB6" s="31" t="s">
        <v>16</v>
      </c>
      <c r="AE6" s="34">
        <f t="shared" ref="AE6:AE8" si="1">TODAY()</f>
        <v>43634</v>
      </c>
    </row>
    <row r="7" ht="15.75" customHeight="1">
      <c r="A7" s="6"/>
      <c r="B7" s="9" t="s">
        <v>30</v>
      </c>
      <c r="C7" s="6"/>
      <c r="D7" s="9" t="s">
        <v>43</v>
      </c>
      <c r="E7" s="6"/>
      <c r="F7" s="6"/>
      <c r="G7" s="6"/>
      <c r="H7" s="9" t="s">
        <v>44</v>
      </c>
      <c r="I7" s="6"/>
      <c r="J7" s="6"/>
      <c r="K7" s="9" t="s">
        <v>45</v>
      </c>
      <c r="L7" s="6"/>
      <c r="M7" s="6"/>
      <c r="N7" s="6"/>
      <c r="O7" s="6"/>
      <c r="AB7" s="31" t="s">
        <v>16</v>
      </c>
      <c r="AE7" s="34">
        <f t="shared" si="1"/>
        <v>43634</v>
      </c>
    </row>
    <row r="8" ht="15.75" customHeight="1">
      <c r="A8" s="6"/>
      <c r="B8" s="9" t="s">
        <v>31</v>
      </c>
      <c r="C8" s="6"/>
      <c r="D8" s="9" t="s">
        <v>43</v>
      </c>
      <c r="E8" s="6"/>
      <c r="F8" s="6"/>
      <c r="G8" s="6"/>
      <c r="H8" s="9" t="s">
        <v>44</v>
      </c>
      <c r="I8" s="6"/>
      <c r="J8" s="6"/>
      <c r="K8" s="9" t="s">
        <v>45</v>
      </c>
      <c r="L8" s="6"/>
      <c r="M8" s="6"/>
      <c r="N8" s="6"/>
      <c r="O8" s="6"/>
      <c r="AB8" s="31" t="s">
        <v>16</v>
      </c>
      <c r="AE8" s="34">
        <f t="shared" si="1"/>
        <v>43634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E9" s="34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AE10" s="34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AE11" s="34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46</v>
      </c>
      <c r="D3" s="7" t="s">
        <v>8</v>
      </c>
      <c r="E3" s="21" t="s">
        <v>47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9"/>
      <c r="B6" s="9"/>
      <c r="C6" s="9" t="s">
        <v>16</v>
      </c>
      <c r="D6" s="9"/>
      <c r="E6" s="9" t="s">
        <v>32</v>
      </c>
      <c r="F6" s="6"/>
      <c r="G6" s="6"/>
      <c r="H6" s="6"/>
      <c r="I6" s="6"/>
      <c r="J6" s="6"/>
      <c r="K6" s="9"/>
      <c r="L6" s="6"/>
      <c r="M6" s="6"/>
      <c r="N6" s="6"/>
      <c r="O6" s="6"/>
      <c r="AE6" s="31"/>
      <c r="AN6" s="31" t="s">
        <v>17</v>
      </c>
    </row>
    <row r="7" ht="15.75" customHeight="1">
      <c r="A7" s="6"/>
      <c r="B7" s="6"/>
      <c r="C7" s="9" t="s">
        <v>20</v>
      </c>
      <c r="D7" s="9"/>
      <c r="E7" s="9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AN7" s="31" t="s">
        <v>17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41</v>
      </c>
      <c r="D3" s="7" t="s">
        <v>8</v>
      </c>
      <c r="E3" s="21" t="s">
        <v>48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49</v>
      </c>
      <c r="C6" s="9" t="s">
        <v>50</v>
      </c>
      <c r="D6" s="30">
        <f t="shared" ref="D6:E6" si="1">TODAY()</f>
        <v>43634</v>
      </c>
      <c r="E6" s="35">
        <f t="shared" si="1"/>
        <v>43634</v>
      </c>
      <c r="F6" s="9" t="s">
        <v>51</v>
      </c>
      <c r="G6" s="9" t="s">
        <v>52</v>
      </c>
      <c r="H6" s="9" t="s">
        <v>51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6</v>
      </c>
      <c r="C3" s="21" t="s">
        <v>37</v>
      </c>
      <c r="D3" s="7" t="s">
        <v>8</v>
      </c>
      <c r="E3" s="21" t="s">
        <v>53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36</v>
      </c>
      <c r="C6" s="30"/>
      <c r="D6" s="30"/>
      <c r="E6" s="29"/>
      <c r="F6" s="6"/>
      <c r="G6" s="6"/>
      <c r="H6" s="6"/>
      <c r="I6" s="6"/>
      <c r="J6" s="6"/>
      <c r="K6" s="6"/>
      <c r="L6" s="6"/>
      <c r="M6" s="9"/>
      <c r="N6" s="6"/>
      <c r="O6" s="6"/>
      <c r="V6" s="31" t="s">
        <v>16</v>
      </c>
      <c r="Y6" s="33">
        <v>42485.0</v>
      </c>
    </row>
    <row r="7" ht="15.75" customHeight="1">
      <c r="A7" s="6"/>
      <c r="B7" s="9"/>
      <c r="C7" s="9"/>
      <c r="D7" s="6"/>
      <c r="E7" s="6"/>
      <c r="F7" s="6"/>
      <c r="G7" s="6"/>
      <c r="H7" s="6"/>
      <c r="I7" s="6"/>
      <c r="J7" s="6"/>
      <c r="K7" s="6"/>
      <c r="L7" s="6"/>
      <c r="M7" s="9"/>
      <c r="N7" s="6"/>
      <c r="O7" s="6"/>
      <c r="V7" s="31" t="s">
        <v>16</v>
      </c>
      <c r="Y7" s="33">
        <v>42486.0</v>
      </c>
    </row>
    <row r="8" ht="15.75" customHeight="1">
      <c r="A8" s="6"/>
      <c r="B8" s="9"/>
      <c r="C8" s="9"/>
      <c r="D8" s="6"/>
      <c r="E8" s="6"/>
      <c r="F8" s="6"/>
      <c r="G8" s="6"/>
      <c r="H8" s="6"/>
      <c r="I8" s="6"/>
      <c r="J8" s="6"/>
      <c r="K8" s="6"/>
      <c r="L8" s="6"/>
      <c r="M8" s="9"/>
      <c r="N8" s="6"/>
      <c r="O8" s="6"/>
      <c r="V8" s="31" t="s">
        <v>16</v>
      </c>
      <c r="Y8" s="33">
        <v>42486.0</v>
      </c>
    </row>
    <row r="9" ht="15.75" customHeight="1">
      <c r="A9" s="6"/>
      <c r="B9" s="9"/>
      <c r="C9" s="9"/>
      <c r="D9" s="6"/>
      <c r="E9" s="6"/>
      <c r="F9" s="6"/>
      <c r="G9" s="6"/>
      <c r="H9" s="6"/>
      <c r="I9" s="6"/>
      <c r="J9" s="6"/>
      <c r="K9" s="6"/>
      <c r="L9" s="6"/>
      <c r="M9" s="9"/>
      <c r="N9" s="6"/>
      <c r="O9" s="6"/>
      <c r="V9" s="31" t="s">
        <v>16</v>
      </c>
      <c r="Y9" s="33">
        <v>42486.0</v>
      </c>
    </row>
    <row r="10" ht="15.75" customHeight="1">
      <c r="A10" s="6"/>
      <c r="B10" s="9"/>
      <c r="C10" s="9"/>
      <c r="D10" s="6"/>
      <c r="E10" s="6"/>
      <c r="F10" s="6"/>
      <c r="G10" s="6"/>
      <c r="H10" s="6"/>
      <c r="I10" s="6"/>
      <c r="J10" s="6"/>
      <c r="K10" s="6"/>
      <c r="L10" s="6"/>
      <c r="M10" s="9"/>
      <c r="N10" s="6"/>
      <c r="O10" s="6"/>
      <c r="V10" s="31" t="s">
        <v>16</v>
      </c>
      <c r="Y10" s="33">
        <v>42486.0</v>
      </c>
    </row>
    <row r="11" ht="15.75" customHeight="1">
      <c r="A11" s="6"/>
      <c r="B11" s="9"/>
      <c r="C11" s="9"/>
      <c r="D11" s="6"/>
      <c r="E11" s="6"/>
      <c r="F11" s="6"/>
      <c r="G11" s="6"/>
      <c r="H11" s="6"/>
      <c r="I11" s="6"/>
      <c r="J11" s="6"/>
      <c r="K11" s="6"/>
      <c r="L11" s="6"/>
      <c r="M11" s="9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