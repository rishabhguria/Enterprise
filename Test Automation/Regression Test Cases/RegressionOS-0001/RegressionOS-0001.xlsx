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SetGeneralRuleCalculatedPref" sheetId="6" r:id="rId8"/>
    <sheet state="visible" name="CreateDoneAwayOrder" sheetId="7" r:id="rId9"/>
    <sheet state="visible" name="CheckAllocatedGroups" sheetId="8" r:id="rId10"/>
    <sheet state="visible" name="CheckUnallocatedGroups" sheetId="9" r:id="rId11"/>
    <sheet state="visible" name="GetDataAllocation" sheetId="10" r:id="rId12"/>
    <sheet state="visible" name="GetDataClosing" sheetId="11" r:id="rId13"/>
    <sheet state="visible" name="VerifyLongPositionsGrid" sheetId="12" r:id="rId14"/>
    <sheet state="visible" name="UpdateGRAccountValues" sheetId="13" r:id="rId15"/>
    <sheet state="visible" name="UpdateGRDefaultRule" sheetId="14" r:id="rId16"/>
  </sheets>
  <definedNames/>
  <calcPr/>
</workbook>
</file>

<file path=xl/sharedStrings.xml><?xml version="1.0" encoding="utf-8"?>
<sst xmlns="http://schemas.openxmlformats.org/spreadsheetml/2006/main" count="2141" uniqueCount="801">
  <si>
    <t>Settings</t>
  </si>
  <si>
    <t>Master Data Info</t>
  </si>
  <si>
    <t>Modules Info</t>
  </si>
  <si>
    <t>Modules</t>
  </si>
  <si>
    <t>Module</t>
  </si>
  <si>
    <t>Module Step Setting File</t>
  </si>
  <si>
    <t>1TlTzR2-aMQI1qVujHPkUwT5hEpmStOOffpEa6pRJVFY</t>
  </si>
  <si>
    <t>Master Data Settings File</t>
  </si>
  <si>
    <t>1EGvQ4gQZof5ChEr7TLuvC_9b1eGAQgRVRtrGCIOSzkc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</si>
  <si>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</si>
  <si>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</si>
  <si>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</si>
  <si>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</si>
  <si>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</si>
  <si>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</si>
  <si>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</si>
  <si>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</si>
  <si>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</si>
  <si>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</si>
  <si>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Master Data Sheet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</si>
  <si>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</si>
  <si>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</si>
  <si>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</si>
  <si>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</si>
  <si>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</si>
  <si>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</si>
  <si>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</si>
  <si>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</si>
  <si>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</si>
  <si>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</si>
  <si>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</si>
  <si>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</si>
  <si>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</si>
  <si>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</si>
  <si>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</si>
  <si>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</si>
  <si>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</si>
  <si>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</si>
  <si>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</si>
  <si>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</si>
  <si>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</si>
  <si>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</si>
  <si>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</si>
  <si>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</si>
  <si>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</si>
  <si>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</si>
  <si>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</si>
  <si>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</si>
  <si>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</si>
  <si>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</si>
  <si>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</si>
  <si>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</si>
  <si>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</si>
  <si>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</si>
  <si>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</si>
  <si>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</si>
  <si>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</si>
  <si>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</si>
  <si>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</si>
  <si>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</si>
  <si>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</si>
  <si>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</si>
  <si>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</si>
  <si>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</si>
  <si>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</si>
  <si>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</si>
  <si>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</si>
  <si>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</si>
  <si>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</si>
  <si>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</si>
  <si>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</si>
  <si>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</si>
  <si>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</si>
  <si>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</si>
  <si>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</si>
  <si>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</si>
  <si>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</si>
  <si>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</si>
  <si>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</si>
  <si>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</si>
  <si>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</si>
  <si>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</si>
  <si>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</si>
  <si>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</si>
  <si>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</si>
  <si>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</si>
  <si>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</si>
  <si>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</si>
  <si>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</si>
  <si>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</si>
  <si>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</si>
  <si>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</si>
  <si>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</si>
  <si>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</si>
  <si>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</si>
  <si>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</si>
  <si>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</si>
  <si>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</si>
  <si>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</si>
  <si>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</si>
  <si>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</si>
  <si>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</si>
  <si>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</si>
  <si>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</si>
  <si>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</si>
  <si>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</si>
  <si>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</si>
  <si>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</si>
  <si>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</si>
  <si>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</si>
  <si>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</si>
  <si>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</si>
  <si>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</si>
  <si>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</si>
  <si>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</si>
  <si>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</si>
  <si>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</si>
  <si>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</si>
  <si>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</si>
  <si>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</si>
  <si>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</si>
  <si>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</si>
  <si>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</si>
  <si>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</si>
  <si>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</si>
  <si>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</si>
  <si>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</si>
  <si>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</si>
  <si>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</si>
  <si>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</si>
  <si>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</si>
  <si>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</si>
  <si>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</si>
  <si>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</si>
  <si>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</si>
  <si>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</si>
  <si>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</si>
  <si>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</si>
  <si>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</si>
  <si>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</si>
  <si>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</si>
  <si>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</si>
  <si>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</si>
  <si>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</si>
  <si>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</si>
  <si>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</si>
  <si>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</si>
  <si>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</si>
  <si>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</si>
  <si>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</si>
  <si>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</si>
  <si>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</si>
  <si>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</si>
  <si>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</si>
  <si>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</si>
  <si>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</si>
  <si>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</si>
  <si>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</si>
  <si>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</si>
  <si>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</si>
  <si>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</si>
  <si>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</si>
  <si>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</si>
  <si>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</si>
  <si>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</si>
  <si>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</si>
  <si>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</si>
  <si>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</si>
  <si>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</si>
  <si>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</si>
  <si>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</si>
  <si>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</si>
  <si>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</si>
  <si>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</si>
  <si>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</si>
  <si>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</si>
  <si>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</si>
  <si>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</si>
  <si>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</si>
  <si>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</si>
  <si>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</si>
  <si>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</si>
  <si>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</si>
  <si>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</si>
  <si>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</si>
  <si>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</si>
  <si>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</si>
  <si>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</si>
  <si>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</si>
  <si>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</si>
  <si>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</si>
  <si>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</si>
  <si>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</si>
  <si>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</si>
  <si>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</si>
  <si>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</si>
  <si>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</si>
  <si>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</si>
  <si>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</si>
  <si>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</si>
  <si>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</si>
  <si>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</si>
  <si>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</si>
  <si>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</si>
  <si>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</si>
  <si>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</si>
  <si>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</si>
  <si>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</si>
  <si>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</si>
  <si>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</si>
  <si>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</si>
  <si>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</si>
  <si>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</si>
  <si>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</si>
  <si>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</si>
  <si>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</si>
  <si>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</si>
  <si>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</si>
  <si>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</si>
  <si>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</si>
  <si>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</si>
  <si>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</si>
  <si>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</si>
  <si>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</si>
  <si>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</si>
  <si>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</si>
  <si>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</si>
  <si>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</si>
  <si>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</si>
  <si>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</si>
  <si>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</si>
  <si>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</si>
  <si>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</si>
  <si>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</si>
  <si>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</si>
  <si>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</si>
  <si>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</si>
  <si>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</si>
  <si>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</si>
  <si>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</si>
  <si>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</si>
  <si>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</si>
  <si>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</si>
  <si>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</si>
  <si>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</si>
  <si>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</si>
  <si>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</si>
  <si>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</si>
  <si>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</si>
  <si>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</si>
  <si>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</si>
  <si>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</si>
  <si>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</si>
  <si>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</si>
  <si>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</si>
  <si>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</si>
  <si>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</si>
  <si>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</si>
  <si>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</si>
  <si>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</si>
  <si>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</si>
  <si>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</si>
  <si>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Data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</si>
  <si>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</si>
  <si>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</si>
  <si>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</si>
  <si>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</si>
  <si>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</si>
  <si>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</si>
  <si>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</si>
  <si>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</si>
  <si>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</si>
  <si>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</si>
  <si>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</si>
  <si>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</si>
  <si>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</si>
  <si>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</si>
  <si>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</si>
  <si>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</si>
  <si>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</si>
  <si>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</si>
  <si>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</si>
  <si>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</si>
  <si>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</si>
  <si>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</si>
  <si>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</si>
  <si>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</si>
  <si>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</si>
  <si>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</si>
  <si>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</si>
  <si>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</si>
  <si>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</si>
  <si>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</si>
  <si>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</si>
  <si>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</si>
  <si>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</si>
  <si>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</si>
  <si>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</si>
  <si>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</si>
  <si>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</si>
  <si>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</si>
  <si>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</si>
  <si>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</si>
  <si>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</si>
  <si>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</si>
  <si>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</si>
  <si>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</si>
  <si>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</si>
  <si>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</si>
  <si>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</si>
  <si>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</si>
  <si>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</si>
  <si>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</si>
  <si>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</si>
  <si>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</si>
  <si>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</si>
  <si>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</si>
  <si>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</si>
  <si>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</si>
  <si>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</si>
  <si>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</si>
  <si>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</si>
  <si>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</si>
  <si>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</si>
  <si>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</si>
  <si>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</si>
  <si>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</si>
  <si>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</si>
  <si>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</si>
  <si>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</si>
  <si>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</si>
  <si>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</si>
  <si>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</si>
  <si>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</si>
  <si>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</si>
  <si>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</si>
  <si>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</si>
  <si>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</si>
  <si>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</si>
  <si>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</si>
  <si>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</si>
  <si>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</si>
  <si>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</si>
  <si>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</si>
  <si>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</si>
  <si>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</si>
  <si>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</si>
  <si>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</si>
  <si>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</si>
  <si>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</si>
  <si>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</si>
  <si>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</si>
  <si>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</si>
  <si>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</si>
  <si>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</si>
  <si>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</si>
  <si>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</si>
  <si>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</si>
  <si>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</si>
  <si>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</si>
  <si>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</si>
  <si>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</si>
  <si>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</si>
  <si>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</si>
  <si>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</si>
  <si>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</si>
  <si>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</si>
  <si>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</si>
  <si>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</si>
  <si>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</si>
  <si>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</si>
  <si>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</si>
  <si>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</si>
  <si>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</si>
  <si>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</si>
  <si>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</si>
  <si>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</si>
  <si>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</si>
  <si>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</si>
  <si>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</si>
  <si>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</si>
  <si>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Data Format</t>
  </si>
  <si>
    <t>GetDailyBeta</t>
  </si>
  <si>
    <t>1bGli4mpkEKaytYcfhblJm9dywE-1YLP_P2krKTWgfxA</t>
  </si>
  <si>
    <t>GetDailyVolatility</t>
  </si>
  <si>
    <t>Input Format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</si>
  <si>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</si>
  <si>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</si>
  <si>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</si>
  <si>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</si>
  <si>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</si>
  <si>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</si>
  <si>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</si>
  <si>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</si>
  <si>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</si>
  <si>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</si>
  <si>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</si>
  <si>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</si>
  <si>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</si>
  <si>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</si>
  <si>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</si>
  <si>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</si>
  <si>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</si>
  <si>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</si>
  <si>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</si>
  <si>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</si>
  <si>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</si>
  <si>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</si>
  <si>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</si>
  <si>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</si>
  <si>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</si>
  <si>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</si>
  <si>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</si>
  <si>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</si>
  <si>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</si>
  <si>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</si>
  <si>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</si>
  <si>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</si>
  <si>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</si>
  <si>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</si>
  <si>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</si>
  <si>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</si>
  <si>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</si>
  <si>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</si>
  <si>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</si>
  <si>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</si>
  <si>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</si>
  <si>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</si>
  <si>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</si>
  <si>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</si>
  <si>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</si>
  <si>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</si>
  <si>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</si>
  <si>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</si>
  <si>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</si>
  <si>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</si>
  <si>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</si>
  <si>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</si>
  <si>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</si>
  <si>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</si>
  <si>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</si>
  <si>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</si>
  <si>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</si>
  <si>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</si>
  <si>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</si>
  <si>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CloseAllocation</t>
  </si>
  <si>
    <t>SaveCloseMFPreference</t>
  </si>
  <si>
    <t>ModifyMFPrefGeneralRuleValues</t>
  </si>
  <si>
    <t>VerifyClosedTrades</t>
  </si>
  <si>
    <t>ClearPrefetchFilters</t>
  </si>
  <si>
    <t>ExpandCollapseAllUnallocated</t>
  </si>
  <si>
    <t>ExpandCollapseAllAllocated</t>
  </si>
  <si>
    <t>1HyLW-Nqd7NMTdz4P0i-EEILbZDKX65qyLaL3WGxM15o</t>
  </si>
  <si>
    <t>SaveAllocation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</si>
  <si>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</si>
  <si>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</si>
  <si>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</si>
  <si>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</si>
  <si>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</si>
  <si>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</si>
  <si>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</si>
  <si>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</si>
  <si>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</si>
  <si>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</si>
  <si>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</si>
  <si>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</si>
  <si>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</si>
  <si>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</si>
  <si>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</si>
  <si>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</si>
  <si>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</si>
  <si>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</si>
  <si>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</si>
  <si>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</si>
  <si>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</si>
  <si>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</si>
  <si>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</si>
  <si>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</si>
  <si>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</si>
  <si>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</si>
  <si>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UnallocateWithOutSave</t>
  </si>
  <si>
    <t>GenerateCashTransaction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</si>
  <si>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</si>
  <si>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</si>
  <si>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</si>
  <si>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</si>
  <si>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</si>
  <si>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</si>
  <si>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</si>
  <si>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DeleteMFPreferenceToolbar</t>
  </si>
  <si>
    <t>DeleteMFPreferences</t>
  </si>
  <si>
    <t>AddMFPreferenceToolbar</t>
  </si>
  <si>
    <t>AddMFPreferences</t>
  </si>
  <si>
    <t>ModifyGRPreferenceValues</t>
  </si>
  <si>
    <t>UpdateGRDefaultRule</t>
  </si>
  <si>
    <t>UnWindTradeSettlement</t>
  </si>
  <si>
    <t>UpdateGeneralRulePref</t>
  </si>
  <si>
    <t>1c-5tS_GGnCA3BCOG6tO9d4rmu-2bh2K6FozdylrV3Kw</t>
  </si>
  <si>
    <t>UpdateGRStrategyValue</t>
  </si>
  <si>
    <t>UpdateGRAccountValue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</si>
  <si>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</si>
  <si>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</si>
  <si>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</si>
  <si>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</si>
  <si>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</si>
  <si>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</si>
  <si>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</si>
  <si>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</si>
  <si>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</si>
  <si>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</si>
  <si>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</si>
  <si>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</si>
  <si>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</si>
  <si>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</si>
  <si>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</si>
  <si>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</si>
  <si>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</si>
  <si>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</si>
  <si>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</si>
  <si>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</si>
  <si>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</si>
  <si>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</si>
  <si>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</si>
  <si>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</si>
  <si>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</si>
  <si>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</si>
  <si>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</si>
  <si>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</si>
  <si>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</si>
  <si>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</si>
  <si>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</si>
  <si>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</si>
  <si>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</si>
  <si>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</si>
  <si>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</si>
  <si>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</si>
  <si>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</si>
  <si>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PreferenceName</t>
  </si>
  <si>
    <t>AllocationMethod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</si>
  <si>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</si>
  <si>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</si>
  <si>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</si>
  <si>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</si>
  <si>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</si>
  <si>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</si>
  <si>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</si>
  <si>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</si>
  <si>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</si>
  <si>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</si>
  <si>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</si>
  <si>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</si>
  <si>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</si>
  <si>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</si>
  <si>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</si>
  <si>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RemainderAllocationTo</t>
  </si>
  <si>
    <t>Target%AsOf</t>
  </si>
  <si>
    <t>TradeServer</t>
  </si>
  <si>
    <t>ProrataAccounts</t>
  </si>
  <si>
    <t>RestartServer</t>
  </si>
  <si>
    <t>DateUptoDays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</si>
  <si>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</si>
  <si>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</si>
  <si>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</si>
  <si>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</si>
  <si>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</si>
  <si>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</si>
  <si>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</si>
  <si>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</si>
  <si>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</si>
  <si>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</si>
  <si>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MatchClosingTransactions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</si>
  <si>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</si>
  <si>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</si>
  <si>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</si>
  <si>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</si>
  <si>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</si>
  <si>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</si>
  <si>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</si>
  <si>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</si>
  <si>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</si>
  <si>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</si>
  <si>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</si>
  <si>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</si>
  <si>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</si>
  <si>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</si>
  <si>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</si>
  <si>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</si>
  <si>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</si>
  <si>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</si>
  <si>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</si>
  <si>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</si>
  <si>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</si>
  <si>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</si>
  <si>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</si>
  <si>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</si>
  <si>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</si>
  <si>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</si>
  <si>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</si>
  <si>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</si>
  <si>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Prorata</t>
  </si>
  <si>
    <t>Allocation1,Allocation3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</si>
  <si>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</si>
  <si>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</si>
  <si>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</si>
  <si>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</si>
  <si>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</si>
  <si>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</si>
  <si>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</si>
  <si>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</si>
  <si>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</si>
  <si>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</si>
  <si>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</si>
  <si>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</si>
  <si>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</si>
  <si>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</si>
  <si>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</si>
  <si>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</si>
  <si>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</si>
  <si>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</si>
  <si>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</si>
  <si>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</si>
  <si>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</si>
  <si>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</si>
  <si>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</si>
  <si>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</si>
  <si>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</si>
  <si>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</si>
  <si>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</si>
  <si>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</si>
  <si>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</si>
  <si>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</si>
  <si>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</si>
  <si>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</si>
  <si>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</si>
  <si>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</si>
  <si>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</si>
  <si>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</si>
  <si>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</si>
  <si>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</si>
  <si>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</si>
  <si>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</si>
  <si>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</si>
  <si>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</si>
  <si>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</si>
  <si>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</si>
  <si>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</si>
  <si>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</si>
  <si>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</si>
  <si>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</si>
  <si>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</si>
  <si>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</si>
  <si>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</si>
  <si>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</si>
  <si>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Exchange Selector</t>
  </si>
  <si>
    <t>Venue</t>
  </si>
  <si>
    <t>Exchange List</t>
  </si>
  <si>
    <t>ExecutionInstructions</t>
  </si>
  <si>
    <t>Asset Selector</t>
  </si>
  <si>
    <t>HandlingInstructions</t>
  </si>
  <si>
    <t>Asset List</t>
  </si>
  <si>
    <t>Trader</t>
  </si>
  <si>
    <t>PR Selector</t>
  </si>
  <si>
    <t>SettlementCurrency</t>
  </si>
  <si>
    <t>PR List</t>
  </si>
  <si>
    <t>SettlementFXRate</t>
  </si>
  <si>
    <t>SettlementAmount</t>
  </si>
  <si>
    <t>Order Side Selector</t>
  </si>
  <si>
    <t>SettlementFXOperator</t>
  </si>
  <si>
    <t>Order Side List</t>
  </si>
  <si>
    <t>SettleByBroker</t>
  </si>
  <si>
    <t>Account</t>
  </si>
  <si>
    <t>Account %</t>
  </si>
  <si>
    <t>Deal In</t>
  </si>
  <si>
    <t>MSFT</t>
  </si>
  <si>
    <t>Sell</t>
  </si>
  <si>
    <t>Include</t>
  </si>
  <si>
    <t>FutureOption</t>
  </si>
  <si>
    <t>Buy</t>
  </si>
  <si>
    <t>ES H9C700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</si>
  <si>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</si>
  <si>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</si>
  <si>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</si>
  <si>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</si>
  <si>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</si>
  <si>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</si>
  <si>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</si>
  <si>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</si>
  <si>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</si>
  <si>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</si>
  <si>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</si>
  <si>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</si>
  <si>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</si>
  <si>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</si>
  <si>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</si>
  <si>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</si>
  <si>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</si>
  <si>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</si>
  <si>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</si>
  <si>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</si>
  <si>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</si>
  <si>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</si>
  <si>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</si>
  <si>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</si>
  <si>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</si>
  <si>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</si>
  <si>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</si>
  <si>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</si>
  <si>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</si>
  <si>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</si>
  <si>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</si>
  <si>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</si>
  <si>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</si>
  <si>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</si>
  <si>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</si>
  <si>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</si>
  <si>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</si>
  <si>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</si>
  <si>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</si>
  <si>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</si>
  <si>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</si>
  <si>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</si>
  <si>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</si>
  <si>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</si>
  <si>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</si>
  <si>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</si>
  <si>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</si>
  <si>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</si>
  <si>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</si>
  <si>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</si>
  <si>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</si>
  <si>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</si>
  <si>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</si>
  <si>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</si>
  <si>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</si>
  <si>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</si>
  <si>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</si>
  <si>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</si>
  <si>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</si>
  <si>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</si>
  <si>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</si>
  <si>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</si>
  <si>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</si>
  <si>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</si>
  <si>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</si>
  <si>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</si>
  <si>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</si>
  <si>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</si>
  <si>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</si>
  <si>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</si>
  <si>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</si>
  <si>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</si>
  <si>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</si>
  <si>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</si>
  <si>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</si>
  <si>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</si>
  <si>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</si>
  <si>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</si>
  <si>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</si>
  <si>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</si>
  <si>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</si>
  <si>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</si>
  <si>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</si>
  <si>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</si>
  <si>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</si>
  <si>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</si>
  <si>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</si>
  <si>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</si>
  <si>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Multiple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</si>
  <si>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</si>
  <si>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</si>
  <si>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</si>
  <si>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</si>
  <si>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</si>
  <si>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</si>
  <si>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</si>
  <si>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</si>
  <si>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</si>
  <si>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Execution Time</t>
  </si>
  <si>
    <t>IsManual Group</t>
  </si>
  <si>
    <t>Current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</si>
  <si>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</si>
  <si>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</si>
  <si>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</si>
  <si>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</si>
  <si>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</si>
  <si>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</si>
  <si>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</si>
  <si>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</si>
  <si>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</si>
  <si>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</si>
  <si>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</si>
  <si>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</si>
  <si>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</si>
  <si>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</si>
  <si>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</si>
  <si>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Allocation2</t>
  </si>
  <si>
    <t>Allocation1</t>
  </si>
  <si>
    <t>AccountName</t>
  </si>
  <si>
    <t>Percentage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</si>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</sst>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1"/>
      <c r="D3" s="11"/>
      <c r="E3" s="11"/>
      <c r="F3" s="11"/>
    </row>
    <row r="4" ht="15.75" customHeight="1">
      <c r="A4" s="8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8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12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12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12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12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12</v>
      </c>
      <c r="B11" s="6" t="s">
        <v>26</v>
      </c>
      <c r="C11" s="6" t="s">
        <v>11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11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145</v>
      </c>
    </row>
    <row r="93" ht="15.75" customHeight="1">
      <c r="A93" t="s">
        <v>31</v>
      </c>
      <c r="B93" t="s">
        <v>189</v>
      </c>
      <c r="C93" t="s">
        <v>190</v>
      </c>
    </row>
    <row r="94" ht="15.75" customHeight="1">
      <c r="A94" t="s">
        <v>12</v>
      </c>
      <c r="B94" t="s">
        <v>191</v>
      </c>
      <c r="C94" t="s">
        <v>192</v>
      </c>
    </row>
    <row r="95" ht="15.75" customHeight="1">
      <c r="A95" t="s">
        <v>31</v>
      </c>
      <c r="B95" t="s">
        <v>193</v>
      </c>
      <c r="C95" t="s">
        <v>194</v>
      </c>
    </row>
    <row r="96" ht="15.75" customHeight="1">
      <c r="A96" t="s">
        <v>12</v>
      </c>
      <c r="B96" t="s">
        <v>195</v>
      </c>
      <c r="C96" t="s">
        <v>196</v>
      </c>
    </row>
    <row r="97" ht="15.75" customHeight="1">
      <c r="A97" t="s">
        <v>31</v>
      </c>
      <c r="B97" t="s">
        <v>197</v>
      </c>
      <c r="C97" t="s">
        <v>198</v>
      </c>
    </row>
    <row r="98" ht="15.75" customHeight="1">
      <c r="A98" t="s">
        <v>12</v>
      </c>
      <c r="B98" t="s">
        <v>199</v>
      </c>
      <c r="C98" t="s">
        <v>200</v>
      </c>
    </row>
    <row r="99" ht="15.75" customHeight="1">
      <c r="A99" t="s">
        <v>31</v>
      </c>
      <c r="B99" t="s">
        <v>201</v>
      </c>
      <c r="C99" t="s">
        <v>202</v>
      </c>
    </row>
    <row r="100" ht="15.75" customHeight="1">
      <c r="A100" t="s">
        <v>12</v>
      </c>
      <c r="B100" t="s">
        <v>203</v>
      </c>
      <c r="C100" t="s">
        <v>204</v>
      </c>
    </row>
    <row r="101" ht="15.75" customHeight="1">
      <c r="A101" t="s">
        <v>31</v>
      </c>
      <c r="B101" t="s">
        <v>205</v>
      </c>
      <c r="C101" t="s">
        <v>206</v>
      </c>
    </row>
    <row r="102" ht="15.75" customHeight="1">
      <c r="A102" t="s">
        <v>12</v>
      </c>
      <c r="B102" t="s">
        <v>207</v>
      </c>
      <c r="C102" t="s">
        <v>208</v>
      </c>
    </row>
    <row r="103" ht="15.75" customHeight="1">
      <c r="A103" t="s">
        <v>31</v>
      </c>
      <c r="B103" t="s">
        <v>209</v>
      </c>
      <c r="C103" t="s">
        <v>210</v>
      </c>
    </row>
    <row r="104" ht="15.75" customHeight="1">
      <c r="A104" t="s">
        <v>12</v>
      </c>
      <c r="B104" t="s">
        <v>211</v>
      </c>
      <c r="C104" t="s">
        <v>212</v>
      </c>
    </row>
    <row r="105" ht="15.75" customHeight="1">
      <c r="A105" t="s">
        <v>31</v>
      </c>
      <c r="B105" t="s">
        <v>213</v>
      </c>
      <c r="C105" t="s">
        <v>214</v>
      </c>
    </row>
    <row r="106" ht="15.75" customHeight="1">
      <c r="A106" t="s">
        <v>12</v>
      </c>
      <c r="B106" t="s">
        <v>215</v>
      </c>
      <c r="C106" t="s">
        <v>216</v>
      </c>
    </row>
    <row r="107" ht="15.75" customHeight="1">
      <c r="A107" t="s">
        <v>31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61</v>
      </c>
      <c r="B109" t="s">
        <v>222</v>
      </c>
      <c r="C109" t="s">
        <v>91</v>
      </c>
    </row>
    <row r="110" ht="15.75" customHeight="1">
      <c r="A110" t="s">
        <v>12</v>
      </c>
      <c r="B110" t="s">
        <v>223</v>
      </c>
      <c r="C110" t="s">
        <v>224</v>
      </c>
    </row>
    <row r="111" ht="15.75" customHeight="1">
      <c r="A111" t="s">
        <v>31</v>
      </c>
      <c r="B111" t="s">
        <v>225</v>
      </c>
      <c r="C111" t="s">
        <v>226</v>
      </c>
    </row>
    <row r="112" ht="15.75" customHeight="1">
      <c r="A112" t="s">
        <v>31</v>
      </c>
      <c r="B112" t="s">
        <v>227</v>
      </c>
      <c r="C112" t="s">
        <v>228</v>
      </c>
    </row>
    <row r="113" ht="15.75" customHeight="1">
      <c r="A113" t="s">
        <v>12</v>
      </c>
      <c r="B113" t="s">
        <v>229</v>
      </c>
      <c r="C113" t="s">
        <v>230</v>
      </c>
    </row>
    <row r="114" ht="15.75" customHeight="1">
      <c r="A114" t="s">
        <v>12</v>
      </c>
      <c r="B114" t="s">
        <v>231</v>
      </c>
      <c r="C114" t="s">
        <v>232</v>
      </c>
    </row>
    <row r="115" ht="15.75" customHeight="1">
      <c r="A115" t="s">
        <v>31</v>
      </c>
      <c r="B115" t="s">
        <v>233</v>
      </c>
      <c r="C115" t="s">
        <v>234</v>
      </c>
    </row>
    <row r="116" ht="15.75" customHeight="1">
      <c r="A116" t="s">
        <v>31</v>
      </c>
      <c r="B116" t="s">
        <v>235</v>
      </c>
      <c r="C116" t="s">
        <v>236</v>
      </c>
    </row>
    <row r="117" ht="15.75" customHeight="1">
      <c r="A117" t="s">
        <v>12</v>
      </c>
      <c r="B117" t="s">
        <v>237</v>
      </c>
      <c r="C117" t="s">
        <v>238</v>
      </c>
    </row>
    <row r="118" ht="15.75" customHeight="1">
      <c r="A118" s="17" t="s">
        <v>31</v>
      </c>
      <c r="B118" t="s">
        <v>239</v>
      </c>
      <c r="C118" t="s">
        <v>240</v>
      </c>
    </row>
    <row r="119" ht="15.75" customHeight="1">
      <c r="A119" t="s">
        <v>31</v>
      </c>
      <c r="B119" t="s">
        <v>241</v>
      </c>
      <c r="C119" t="s">
        <v>242</v>
      </c>
    </row>
    <row r="120" ht="15.75" customHeight="1">
      <c r="A120" t="s">
        <v>12</v>
      </c>
      <c r="B120" t="s">
        <v>243</v>
      </c>
      <c r="C120" t="s">
        <v>11</v>
      </c>
    </row>
    <row r="121" ht="15.75" customHeight="1">
      <c r="A121" t="s">
        <v>31</v>
      </c>
      <c r="B121" t="s">
        <v>244</v>
      </c>
      <c r="C121" t="s">
        <v>245</v>
      </c>
    </row>
    <row r="122" ht="15.75" customHeight="1">
      <c r="A122" t="s">
        <v>31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27</v>
      </c>
      <c r="B124" t="s">
        <v>250</v>
      </c>
      <c r="C124" t="s">
        <v>251</v>
      </c>
    </row>
    <row r="125" ht="15.75" customHeight="1">
      <c r="A125" t="s">
        <v>27</v>
      </c>
      <c r="B125" t="s">
        <v>252</v>
      </c>
      <c r="C125" t="s">
        <v>253</v>
      </c>
    </row>
    <row r="126" ht="15.75" customHeight="1">
      <c r="A126" t="s">
        <v>27</v>
      </c>
      <c r="B126" t="s">
        <v>254</v>
      </c>
      <c r="C126" t="s">
        <v>255</v>
      </c>
    </row>
    <row r="127" ht="15.75" customHeight="1">
      <c r="A127" t="s">
        <v>27</v>
      </c>
      <c r="B127" t="s">
        <v>256</v>
      </c>
      <c r="C127" t="s">
        <v>257</v>
      </c>
    </row>
    <row r="128" ht="15.75" customHeight="1">
      <c r="A128" t="s">
        <v>27</v>
      </c>
      <c r="B128" t="s">
        <v>258</v>
      </c>
      <c r="C128" t="s">
        <v>259</v>
      </c>
    </row>
    <row r="129" ht="15.75" customHeight="1">
      <c r="A129" t="s">
        <v>27</v>
      </c>
      <c r="B129" t="s">
        <v>260</v>
      </c>
      <c r="C129" t="s">
        <v>261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12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12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12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12</v>
      </c>
      <c r="B162" t="s">
        <v>327</v>
      </c>
      <c r="C162" t="s">
        <v>328</v>
      </c>
    </row>
    <row r="163" ht="15.75" customHeight="1">
      <c r="A163" t="s">
        <v>12</v>
      </c>
      <c r="B163" t="s">
        <v>329</v>
      </c>
      <c r="C163" t="s">
        <v>330</v>
      </c>
    </row>
    <row r="164" ht="15.75" customHeight="1">
      <c r="A164" t="s">
        <v>12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12</v>
      </c>
      <c r="B167" t="s">
        <v>335</v>
      </c>
      <c r="C167" t="s">
        <v>336</v>
      </c>
    </row>
    <row r="168" ht="15.75" customHeight="1">
      <c r="A168" t="s">
        <v>12</v>
      </c>
      <c r="B168" t="s">
        <v>337</v>
      </c>
      <c r="C168" t="s">
        <v>338</v>
      </c>
    </row>
    <row r="169" ht="15.75" customHeight="1">
      <c r="A169" t="s">
        <v>12</v>
      </c>
      <c r="B169" t="s">
        <v>339</v>
      </c>
      <c r="C169" t="s">
        <v>340</v>
      </c>
    </row>
    <row r="170" ht="15.75" customHeight="1">
      <c r="A170" t="s">
        <v>12</v>
      </c>
      <c r="B170" t="s">
        <v>341</v>
      </c>
      <c r="C170" t="s">
        <v>342</v>
      </c>
    </row>
    <row r="171" ht="15.75" customHeight="1">
      <c r="A171" t="s">
        <v>12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12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12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12</v>
      </c>
      <c r="B189" t="s">
        <v>379</v>
      </c>
      <c r="C189" t="s">
        <v>380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386</v>
      </c>
    </row>
    <row r="192" ht="15.75" customHeight="1">
      <c r="A192" t="s">
        <v>50</v>
      </c>
      <c r="B192" t="s">
        <v>387</v>
      </c>
      <c r="C192" t="s">
        <v>388</v>
      </c>
    </row>
    <row r="193" ht="15.75" customHeight="1">
      <c r="A193" t="s">
        <v>50</v>
      </c>
      <c r="B193" t="s">
        <v>389</v>
      </c>
      <c r="C193" t="s">
        <v>390</v>
      </c>
    </row>
    <row r="194" ht="15.75" customHeight="1">
      <c r="A194" t="s">
        <v>50</v>
      </c>
      <c r="B194" t="s">
        <v>391</v>
      </c>
      <c r="C194" t="s">
        <v>392</v>
      </c>
    </row>
    <row r="195" ht="15.75" customHeight="1">
      <c r="A195" t="s">
        <v>12</v>
      </c>
      <c r="B195" t="s">
        <v>393</v>
      </c>
      <c r="C195" t="s">
        <v>394</v>
      </c>
    </row>
    <row r="196" ht="15.75" customHeight="1">
      <c r="A196" t="s">
        <v>12</v>
      </c>
      <c r="B196" t="s">
        <v>395</v>
      </c>
      <c r="C196" t="s">
        <v>396</v>
      </c>
    </row>
    <row r="197" ht="15.75" customHeight="1">
      <c r="A197" t="s">
        <v>12</v>
      </c>
      <c r="B197" t="s">
        <v>397</v>
      </c>
      <c r="C197" t="s">
        <v>398</v>
      </c>
    </row>
    <row r="198" ht="15.75" customHeight="1">
      <c r="A198" t="s">
        <v>12</v>
      </c>
      <c r="B198" t="s">
        <v>399</v>
      </c>
      <c r="C198" t="s">
        <v>400</v>
      </c>
    </row>
    <row r="199" ht="15.75" customHeight="1">
      <c r="A199" t="s">
        <v>12</v>
      </c>
      <c r="B199" t="s">
        <v>15</v>
      </c>
      <c r="C199" t="s">
        <v>16</v>
      </c>
    </row>
    <row r="200" ht="15.75" customHeight="1">
      <c r="A200" t="s">
        <v>50</v>
      </c>
      <c r="B200" t="s">
        <v>401</v>
      </c>
      <c r="C200" t="s">
        <v>402</v>
      </c>
    </row>
    <row r="201" ht="15.75" customHeight="1">
      <c r="A201" t="s">
        <v>50</v>
      </c>
      <c r="B201" t="s">
        <v>403</v>
      </c>
      <c r="C201" t="s">
        <v>404</v>
      </c>
    </row>
    <row r="202" ht="15.75" customHeight="1">
      <c r="A202" t="s">
        <v>31</v>
      </c>
      <c r="B202" t="s">
        <v>405</v>
      </c>
      <c r="C202" t="s">
        <v>406</v>
      </c>
    </row>
    <row r="203" ht="15.75" customHeight="1">
      <c r="A203" t="s">
        <v>31</v>
      </c>
      <c r="B203" t="s">
        <v>407</v>
      </c>
      <c r="C203" t="s">
        <v>408</v>
      </c>
    </row>
    <row r="204" ht="15.75" customHeight="1">
      <c r="A204" t="s">
        <v>27</v>
      </c>
      <c r="B204" t="s">
        <v>409</v>
      </c>
      <c r="C204" t="s">
        <v>410</v>
      </c>
    </row>
    <row r="205" ht="15.75" customHeight="1">
      <c r="A205" t="s">
        <v>27</v>
      </c>
      <c r="B205" t="s">
        <v>411</v>
      </c>
      <c r="C205" t="s">
        <v>412</v>
      </c>
    </row>
    <row r="206" ht="15.75" customHeight="1">
      <c r="A206" t="s">
        <v>27</v>
      </c>
      <c r="B206" t="s">
        <v>413</v>
      </c>
      <c r="C206" t="s">
        <v>414</v>
      </c>
    </row>
    <row r="207" ht="15.75" customHeight="1">
      <c r="A207" t="s">
        <v>27</v>
      </c>
      <c r="B207" t="s">
        <v>415</v>
      </c>
      <c r="C207" t="s">
        <v>416</v>
      </c>
    </row>
    <row r="208" ht="15.75" customHeight="1">
      <c r="A208" t="s">
        <v>27</v>
      </c>
      <c r="B208" t="s">
        <v>417</v>
      </c>
      <c r="C208" t="s">
        <v>418</v>
      </c>
    </row>
    <row r="209" ht="15.75" customHeight="1">
      <c r="A209" t="s">
        <v>27</v>
      </c>
      <c r="B209" t="s">
        <v>419</v>
      </c>
      <c r="C209" t="s">
        <v>420</v>
      </c>
    </row>
    <row r="210" ht="15.75" customHeight="1">
      <c r="A210" t="s">
        <v>27</v>
      </c>
      <c r="B210" t="s">
        <v>421</v>
      </c>
      <c r="C210" t="s">
        <v>422</v>
      </c>
    </row>
    <row r="211" ht="15.75" customHeight="1">
      <c r="A211" t="s">
        <v>27</v>
      </c>
      <c r="B211" t="s">
        <v>423</v>
      </c>
      <c r="C211" t="s">
        <v>424</v>
      </c>
    </row>
    <row r="212" ht="15.75" customHeight="1">
      <c r="A212" t="s">
        <v>27</v>
      </c>
      <c r="B212" t="s">
        <v>425</v>
      </c>
      <c r="C212" t="s">
        <v>426</v>
      </c>
    </row>
    <row r="213" ht="15.75" customHeight="1">
      <c r="A213" t="s">
        <v>27</v>
      </c>
      <c r="B213" t="s">
        <v>427</v>
      </c>
      <c r="C213" t="s">
        <v>428</v>
      </c>
    </row>
    <row r="214" ht="15.75" customHeight="1">
      <c r="A214" t="s">
        <v>50</v>
      </c>
      <c r="B214" t="s">
        <v>429</v>
      </c>
      <c r="C214" t="s">
        <v>430</v>
      </c>
    </row>
    <row r="215" ht="15.75" customHeight="1">
      <c r="A215" t="s">
        <v>50</v>
      </c>
      <c r="B215" t="s">
        <v>431</v>
      </c>
      <c r="C215" t="s">
        <v>432</v>
      </c>
    </row>
    <row r="216" ht="15.75" customHeight="1">
      <c r="A216" t="s">
        <v>50</v>
      </c>
      <c r="B216" t="s">
        <v>433</v>
      </c>
      <c r="C216" t="s">
        <v>434</v>
      </c>
    </row>
    <row r="217" ht="15.75" customHeight="1">
      <c r="A217" t="s">
        <v>50</v>
      </c>
      <c r="B217" t="s">
        <v>435</v>
      </c>
      <c r="C217" t="s">
        <v>436</v>
      </c>
    </row>
    <row r="218" ht="15.75" customHeight="1">
      <c r="A218" t="s">
        <v>271</v>
      </c>
      <c r="B218" t="s">
        <v>437</v>
      </c>
      <c r="C218" t="s">
        <v>438</v>
      </c>
    </row>
    <row r="219" ht="15.75" customHeight="1">
      <c r="A219" t="s">
        <v>271</v>
      </c>
      <c r="B219" t="s">
        <v>439</v>
      </c>
      <c r="C219" t="s">
        <v>440</v>
      </c>
    </row>
    <row r="220" ht="15.75" customHeight="1">
      <c r="A220" t="s">
        <v>271</v>
      </c>
      <c r="B220" t="s">
        <v>441</v>
      </c>
      <c r="C220" t="s">
        <v>442</v>
      </c>
    </row>
    <row r="221" ht="15.75" customHeight="1">
      <c r="A221" t="s">
        <v>271</v>
      </c>
      <c r="B221" t="s">
        <v>443</v>
      </c>
      <c r="C221" t="s">
        <v>444</v>
      </c>
    </row>
    <row r="222" ht="15.75" customHeight="1">
      <c r="A222" t="s">
        <v>271</v>
      </c>
      <c r="B222" t="s">
        <v>448</v>
      </c>
      <c r="C222" t="s">
        <v>452</v>
      </c>
    </row>
    <row r="223" ht="15.75" customHeight="1">
      <c r="A223" t="s">
        <v>271</v>
      </c>
      <c r="B223" t="s">
        <v>454</v>
      </c>
      <c r="C223" t="s">
        <v>455</v>
      </c>
    </row>
    <row r="224" ht="15.75" customHeight="1">
      <c r="A224" t="s">
        <v>271</v>
      </c>
      <c r="B224" t="s">
        <v>456</v>
      </c>
      <c r="C224" t="s">
        <v>457</v>
      </c>
    </row>
    <row r="225" ht="15.75" customHeight="1">
      <c r="A225" t="s">
        <v>271</v>
      </c>
      <c r="B225" t="s">
        <v>458</v>
      </c>
      <c r="C225" t="s">
        <v>459</v>
      </c>
    </row>
    <row r="226" ht="15.75" customHeight="1">
      <c r="A226" t="s">
        <v>271</v>
      </c>
      <c r="B226" t="s">
        <v>460</v>
      </c>
      <c r="C226" t="s">
        <v>461</v>
      </c>
    </row>
    <row r="227" ht="15.75" customHeight="1">
      <c r="A227" t="s">
        <v>271</v>
      </c>
      <c r="B227" t="s">
        <v>462</v>
      </c>
      <c r="C227" t="s">
        <v>463</v>
      </c>
    </row>
    <row r="228" ht="15.75" customHeight="1">
      <c r="A228" t="s">
        <v>271</v>
      </c>
      <c r="B228" t="s">
        <v>464</v>
      </c>
      <c r="C228" t="s">
        <v>465</v>
      </c>
    </row>
    <row r="229" ht="15.75" customHeight="1">
      <c r="A229" t="s">
        <v>271</v>
      </c>
      <c r="B229" t="s">
        <v>466</v>
      </c>
      <c r="C229" t="s">
        <v>467</v>
      </c>
    </row>
    <row r="230" ht="15.75" customHeight="1">
      <c r="A230" t="s">
        <v>271</v>
      </c>
      <c r="B230" t="s">
        <v>468</v>
      </c>
      <c r="C230" t="s">
        <v>469</v>
      </c>
    </row>
    <row r="231" ht="15.75" customHeight="1">
      <c r="A231" t="s">
        <v>271</v>
      </c>
      <c r="B231" t="s">
        <v>470</v>
      </c>
      <c r="C231" t="s">
        <v>471</v>
      </c>
    </row>
    <row r="232" ht="15.75" customHeight="1">
      <c r="A232" t="s">
        <v>271</v>
      </c>
      <c r="B232" t="s">
        <v>472</v>
      </c>
      <c r="C232" t="s">
        <v>473</v>
      </c>
    </row>
    <row r="233" ht="15.75" customHeight="1">
      <c r="A233" t="s">
        <v>271</v>
      </c>
      <c r="B233" t="s">
        <v>474</v>
      </c>
      <c r="C233" t="s">
        <v>475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476</v>
      </c>
      <c r="C235" t="s">
        <v>477</v>
      </c>
    </row>
    <row r="236" ht="15.75" customHeight="1">
      <c r="A236" t="s">
        <v>271</v>
      </c>
      <c r="B236" t="s">
        <v>478</v>
      </c>
      <c r="C236" t="s">
        <v>479</v>
      </c>
    </row>
    <row r="237" ht="15.75" customHeight="1">
      <c r="A237" t="s">
        <v>271</v>
      </c>
      <c r="B237" t="s">
        <v>495</v>
      </c>
      <c r="C237" t="s">
        <v>497</v>
      </c>
    </row>
    <row r="238" ht="15.75" customHeight="1">
      <c r="A238" t="s">
        <v>271</v>
      </c>
      <c r="B238" t="s">
        <v>399</v>
      </c>
      <c r="C238" t="s">
        <v>500</v>
      </c>
    </row>
    <row r="239" ht="15.75" customHeight="1">
      <c r="A239" t="s">
        <v>271</v>
      </c>
      <c r="B239" t="s">
        <v>501</v>
      </c>
      <c r="C239" t="s">
        <v>502</v>
      </c>
    </row>
    <row r="240" ht="15.75" customHeight="1">
      <c r="A240" t="s">
        <v>271</v>
      </c>
      <c r="B240" t="s">
        <v>503</v>
      </c>
      <c r="C240" t="s">
        <v>504</v>
      </c>
    </row>
    <row r="241" ht="15.75" customHeight="1">
      <c r="A241" t="s">
        <v>271</v>
      </c>
      <c r="B241" t="s">
        <v>505</v>
      </c>
      <c r="C241" t="s">
        <v>506</v>
      </c>
    </row>
    <row r="242" ht="15.75" customHeight="1">
      <c r="A242" t="s">
        <v>271</v>
      </c>
      <c r="B242" t="s">
        <v>507</v>
      </c>
      <c r="C242" t="s">
        <v>508</v>
      </c>
    </row>
    <row r="243" ht="15.75" customHeight="1">
      <c r="A243" t="s">
        <v>31</v>
      </c>
      <c r="B243" t="s">
        <v>509</v>
      </c>
      <c r="C243" t="s">
        <v>510</v>
      </c>
    </row>
    <row r="244" ht="15.75" customHeight="1">
      <c r="A244" t="s">
        <v>31</v>
      </c>
      <c r="B244" t="s">
        <v>511</v>
      </c>
    </row>
    <row r="245" ht="15.75" customHeight="1">
      <c r="A245" t="s">
        <v>31</v>
      </c>
      <c r="B245" t="s">
        <v>512</v>
      </c>
      <c r="C245" t="s">
        <v>513</v>
      </c>
    </row>
    <row r="246" ht="15.75" customHeight="1">
      <c r="A246" t="s">
        <v>31</v>
      </c>
      <c r="B246" t="s">
        <v>514</v>
      </c>
      <c r="C246" t="s">
        <v>515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516</v>
      </c>
      <c r="C248" t="s">
        <v>517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518</v>
      </c>
      <c r="C250" t="s">
        <v>519</v>
      </c>
    </row>
    <row r="251" ht="15.75" customHeight="1">
      <c r="A251" t="s">
        <v>50</v>
      </c>
      <c r="B251" t="s">
        <v>520</v>
      </c>
      <c r="C251" t="s">
        <v>521</v>
      </c>
    </row>
    <row r="252" ht="15.75" customHeight="1">
      <c r="A252" t="s">
        <v>50</v>
      </c>
      <c r="B252" t="s">
        <v>522</v>
      </c>
      <c r="C252" t="s">
        <v>523</v>
      </c>
    </row>
    <row r="253" ht="15.75" customHeight="1">
      <c r="A253" t="s">
        <v>50</v>
      </c>
      <c r="B253" t="s">
        <v>524</v>
      </c>
      <c r="C253" t="s">
        <v>525</v>
      </c>
    </row>
    <row r="254" ht="15.75" customHeight="1">
      <c r="A254" t="s">
        <v>50</v>
      </c>
      <c r="B254" t="s">
        <v>526</v>
      </c>
      <c r="C254" t="s">
        <v>527</v>
      </c>
    </row>
    <row r="255" ht="15.75" customHeight="1">
      <c r="A255" t="s">
        <v>61</v>
      </c>
      <c r="B255" t="s">
        <v>528</v>
      </c>
      <c r="C255" t="s">
        <v>529</v>
      </c>
    </row>
    <row r="256" ht="15.75" customHeight="1">
      <c r="A256" t="s">
        <v>61</v>
      </c>
      <c r="B256" t="s">
        <v>530</v>
      </c>
      <c r="C256" t="s">
        <v>531</v>
      </c>
    </row>
    <row r="257" ht="15.75" customHeight="1">
      <c r="A257" t="s">
        <v>12</v>
      </c>
      <c r="B257" t="s">
        <v>445</v>
      </c>
    </row>
    <row r="258" ht="15.75" customHeight="1">
      <c r="A258" t="s">
        <v>61</v>
      </c>
      <c r="B258" t="s">
        <v>532</v>
      </c>
    </row>
    <row r="259" ht="15.75" customHeight="1">
      <c r="A259" t="s">
        <v>61</v>
      </c>
      <c r="B259" t="s">
        <v>533</v>
      </c>
    </row>
    <row r="260" ht="15.75" customHeight="1">
      <c r="A260" t="s">
        <v>61</v>
      </c>
      <c r="B260" t="s">
        <v>534</v>
      </c>
      <c r="C260" t="s">
        <v>535</v>
      </c>
    </row>
    <row r="261" ht="15.75" customHeight="1">
      <c r="A261" t="s">
        <v>31</v>
      </c>
      <c r="B261" t="s">
        <v>536</v>
      </c>
    </row>
    <row r="262" ht="15.75" customHeight="1">
      <c r="A262" t="s">
        <v>27</v>
      </c>
      <c r="B262" t="s">
        <v>539</v>
      </c>
      <c r="C262" t="s">
        <v>540</v>
      </c>
    </row>
    <row r="263" ht="15.75" customHeight="1">
      <c r="A263" t="s">
        <v>31</v>
      </c>
      <c r="B263" t="s">
        <v>541</v>
      </c>
      <c r="C263" t="s">
        <v>542</v>
      </c>
    </row>
    <row r="264" ht="15.75" customHeight="1">
      <c r="A264" t="s">
        <v>104</v>
      </c>
      <c r="B264" t="s">
        <v>543</v>
      </c>
      <c r="C264" t="s">
        <v>544</v>
      </c>
    </row>
    <row r="265" ht="15.75" customHeight="1">
      <c r="A265" t="s">
        <v>48</v>
      </c>
      <c r="B265" t="s">
        <v>545</v>
      </c>
      <c r="C265" t="s">
        <v>546</v>
      </c>
    </row>
    <row r="266" ht="15.75" customHeight="1">
      <c r="A266" t="s">
        <v>104</v>
      </c>
      <c r="B266" t="s">
        <v>547</v>
      </c>
      <c r="C266" t="s">
        <v>548</v>
      </c>
    </row>
    <row r="267" ht="15.75" customHeight="1">
      <c r="A267" t="s">
        <v>104</v>
      </c>
      <c r="B267" t="s">
        <v>549</v>
      </c>
      <c r="C267" t="s">
        <v>550</v>
      </c>
    </row>
    <row r="268" ht="15.75" customHeight="1">
      <c r="A268" t="s">
        <v>551</v>
      </c>
      <c r="B268" t="s">
        <v>552</v>
      </c>
      <c r="C268" t="s">
        <v>553</v>
      </c>
    </row>
    <row r="269" ht="15.75" customHeight="1">
      <c r="A269" t="s">
        <v>556</v>
      </c>
      <c r="B269" t="s">
        <v>558</v>
      </c>
      <c r="C269" t="s">
        <v>560</v>
      </c>
    </row>
    <row r="270" ht="15.75" customHeight="1">
      <c r="A270" t="s">
        <v>561</v>
      </c>
      <c r="B270" t="s">
        <v>562</v>
      </c>
      <c r="C270" t="s">
        <v>563</v>
      </c>
    </row>
    <row r="271" ht="15.75" customHeight="1">
      <c r="A271" t="s">
        <v>564</v>
      </c>
      <c r="B271" t="s">
        <v>565</v>
      </c>
      <c r="C271" t="s">
        <v>566</v>
      </c>
    </row>
    <row r="272" ht="15.75" customHeight="1">
      <c r="A272" t="s">
        <v>564</v>
      </c>
      <c r="B272" t="s">
        <v>567</v>
      </c>
      <c r="C272" t="s">
        <v>568</v>
      </c>
    </row>
    <row r="273" ht="15.75" customHeight="1">
      <c r="A273" t="s">
        <v>564</v>
      </c>
      <c r="B273" t="s">
        <v>569</v>
      </c>
      <c r="C273" t="s">
        <v>571</v>
      </c>
    </row>
    <row r="274" ht="15.75" customHeight="1">
      <c r="A274" t="s">
        <v>564</v>
      </c>
      <c r="B274" t="s">
        <v>572</v>
      </c>
      <c r="C274" t="s">
        <v>573</v>
      </c>
    </row>
    <row r="275" ht="15.75" customHeight="1">
      <c r="A275" t="s">
        <v>564</v>
      </c>
      <c r="B275" t="s">
        <v>574</v>
      </c>
      <c r="C275" t="s">
        <v>575</v>
      </c>
    </row>
    <row r="276" ht="15.75" customHeight="1">
      <c r="A276" t="s">
        <v>564</v>
      </c>
      <c r="B276" t="s">
        <v>576</v>
      </c>
      <c r="C276" t="s">
        <v>577</v>
      </c>
    </row>
    <row r="277" ht="15.75" customHeight="1">
      <c r="A277" t="s">
        <v>61</v>
      </c>
      <c r="B277" t="s">
        <v>578</v>
      </c>
      <c r="C277" t="s">
        <v>579</v>
      </c>
    </row>
    <row r="278" ht="15.75" customHeight="1">
      <c r="A278" t="s">
        <v>564</v>
      </c>
      <c r="B278" t="s">
        <v>580</v>
      </c>
      <c r="C278" t="s">
        <v>581</v>
      </c>
    </row>
    <row r="279" ht="15.75" customHeight="1">
      <c r="A279" t="s">
        <v>564</v>
      </c>
      <c r="B279" t="s">
        <v>582</v>
      </c>
      <c r="C279" t="s">
        <v>583</v>
      </c>
    </row>
    <row r="280" ht="15.75" customHeight="1">
      <c r="A280" t="s">
        <v>564</v>
      </c>
      <c r="B280" t="s">
        <v>584</v>
      </c>
      <c r="C280" t="s">
        <v>585</v>
      </c>
    </row>
    <row r="281" ht="15.75" customHeight="1">
      <c r="A281" t="s">
        <v>293</v>
      </c>
      <c r="B281" t="s">
        <v>586</v>
      </c>
      <c r="C281" t="s">
        <v>587</v>
      </c>
    </row>
    <row r="282" ht="15.75" customHeight="1">
      <c r="A282" t="s">
        <v>293</v>
      </c>
      <c r="B282" t="s">
        <v>588</v>
      </c>
      <c r="C282" t="s">
        <v>589</v>
      </c>
    </row>
    <row r="283" ht="15.75" customHeight="1">
      <c r="A283" t="s">
        <v>293</v>
      </c>
      <c r="B283" t="s">
        <v>590</v>
      </c>
      <c r="C283" t="s">
        <v>591</v>
      </c>
    </row>
    <row r="284" ht="15.75" customHeight="1">
      <c r="A284" t="s">
        <v>293</v>
      </c>
      <c r="B284" t="s">
        <v>592</v>
      </c>
      <c r="C284" t="s">
        <v>593</v>
      </c>
    </row>
    <row r="285" ht="15.75" customHeight="1">
      <c r="A285" t="s">
        <v>293</v>
      </c>
      <c r="B285" t="s">
        <v>594</v>
      </c>
      <c r="C285" t="s">
        <v>595</v>
      </c>
    </row>
    <row r="286" ht="15.75" customHeight="1">
      <c r="A286" t="s">
        <v>12</v>
      </c>
      <c r="B286" t="s">
        <v>499</v>
      </c>
      <c r="C286" t="s">
        <v>183</v>
      </c>
    </row>
    <row r="287" ht="15.75" customHeight="1">
      <c r="A287" t="s">
        <v>293</v>
      </c>
      <c r="B287" t="s">
        <v>596</v>
      </c>
      <c r="C287" t="s">
        <v>597</v>
      </c>
    </row>
    <row r="288" ht="15.75" customHeight="1">
      <c r="A288" t="s">
        <v>12</v>
      </c>
      <c r="B288" t="s">
        <v>498</v>
      </c>
      <c r="C288" t="s">
        <v>598</v>
      </c>
    </row>
    <row r="289" ht="15.75" customHeight="1">
      <c r="A289" t="s">
        <v>12</v>
      </c>
      <c r="B289" t="s">
        <v>494</v>
      </c>
      <c r="C289" t="s">
        <v>161</v>
      </c>
    </row>
    <row r="290" ht="15.75" customHeight="1">
      <c r="A290" t="s">
        <v>12</v>
      </c>
      <c r="B290" t="s">
        <v>496</v>
      </c>
    </row>
    <row r="291" ht="15.75" customHeight="1">
      <c r="A291" t="s">
        <v>27</v>
      </c>
      <c r="B291" t="s">
        <v>601</v>
      </c>
      <c r="C291" t="s">
        <v>602</v>
      </c>
    </row>
    <row r="292" ht="15.75" customHeight="1">
      <c r="A292" t="s">
        <v>90</v>
      </c>
      <c r="B292" t="s">
        <v>603</v>
      </c>
      <c r="C292" t="s">
        <v>604</v>
      </c>
    </row>
    <row r="293" ht="15.75" customHeight="1">
      <c r="A293" t="s">
        <v>12</v>
      </c>
      <c r="B293" t="s">
        <v>493</v>
      </c>
    </row>
    <row r="294" ht="15.75" customHeight="1">
      <c r="A294" t="s">
        <v>12</v>
      </c>
      <c r="B294" t="s">
        <v>492</v>
      </c>
      <c r="C294" t="s">
        <v>145</v>
      </c>
    </row>
    <row r="295" ht="15.75" customHeight="1">
      <c r="A295" t="s">
        <v>12</v>
      </c>
      <c r="B295" t="s">
        <v>491</v>
      </c>
      <c r="C295" t="s">
        <v>605</v>
      </c>
    </row>
    <row r="296" ht="15.75" customHeight="1">
      <c r="A296" t="s">
        <v>12</v>
      </c>
      <c r="B296" t="s">
        <v>490</v>
      </c>
      <c r="C296" t="s">
        <v>606</v>
      </c>
    </row>
    <row r="297" ht="15.75" customHeight="1">
      <c r="A297" t="s">
        <v>12</v>
      </c>
      <c r="B297" t="s">
        <v>489</v>
      </c>
      <c r="C297" t="s">
        <v>607</v>
      </c>
    </row>
    <row r="298" ht="15.75" customHeight="1">
      <c r="A298" t="s">
        <v>12</v>
      </c>
      <c r="B298" t="s">
        <v>488</v>
      </c>
      <c r="C298" t="s">
        <v>608</v>
      </c>
    </row>
    <row r="299" ht="15.75" customHeight="1">
      <c r="A299" t="s">
        <v>12</v>
      </c>
      <c r="B299" t="s">
        <v>446</v>
      </c>
    </row>
    <row r="300" ht="15.75" customHeight="1">
      <c r="A300" t="s">
        <v>12</v>
      </c>
      <c r="B300" t="s">
        <v>487</v>
      </c>
      <c r="C300" t="s">
        <v>609</v>
      </c>
    </row>
    <row r="301" ht="15.75" customHeight="1">
      <c r="A301" t="s">
        <v>12</v>
      </c>
      <c r="B301" t="s">
        <v>447</v>
      </c>
    </row>
    <row r="302" ht="15.75" customHeight="1">
      <c r="A302" t="s">
        <v>12</v>
      </c>
      <c r="B302" t="s">
        <v>486</v>
      </c>
      <c r="C302" t="s">
        <v>610</v>
      </c>
    </row>
    <row r="303" ht="15.75" customHeight="1">
      <c r="A303" t="s">
        <v>12</v>
      </c>
      <c r="B303" t="s">
        <v>485</v>
      </c>
      <c r="C303" t="s">
        <v>611</v>
      </c>
    </row>
    <row r="304" ht="15.75" customHeight="1">
      <c r="A304" t="s">
        <v>12</v>
      </c>
      <c r="B304" t="s">
        <v>484</v>
      </c>
      <c r="C304" t="s">
        <v>612</v>
      </c>
    </row>
    <row r="305" ht="15.75" customHeight="1">
      <c r="A305" t="s">
        <v>12</v>
      </c>
      <c r="B305" t="s">
        <v>483</v>
      </c>
      <c r="C305" t="s">
        <v>613</v>
      </c>
    </row>
    <row r="306" ht="15.75" customHeight="1">
      <c r="A306" t="s">
        <v>12</v>
      </c>
      <c r="B306" t="s">
        <v>482</v>
      </c>
      <c r="C306" t="s">
        <v>614</v>
      </c>
    </row>
    <row r="307" ht="15.75" customHeight="1">
      <c r="A307" t="s">
        <v>564</v>
      </c>
      <c r="B307" t="s">
        <v>615</v>
      </c>
      <c r="C307" t="s">
        <v>616</v>
      </c>
    </row>
    <row r="308" ht="15.75" customHeight="1">
      <c r="A308" t="s">
        <v>12</v>
      </c>
      <c r="B308" t="s">
        <v>449</v>
      </c>
    </row>
    <row r="309" ht="15.75" customHeight="1">
      <c r="A309" t="s">
        <v>12</v>
      </c>
      <c r="B309" t="s">
        <v>450</v>
      </c>
    </row>
    <row r="310" ht="15.75" customHeight="1">
      <c r="A310" t="s">
        <v>12</v>
      </c>
      <c r="B310" t="s">
        <v>451</v>
      </c>
    </row>
    <row r="311" ht="15.75" customHeight="1">
      <c r="A311" t="s">
        <v>12</v>
      </c>
      <c r="B311" t="s">
        <v>481</v>
      </c>
      <c r="C311" t="s">
        <v>617</v>
      </c>
    </row>
    <row r="312" ht="15.75" customHeight="1">
      <c r="A312" t="s">
        <v>12</v>
      </c>
      <c r="B312" t="s">
        <v>453</v>
      </c>
      <c r="C312" t="s">
        <v>11</v>
      </c>
    </row>
    <row r="313" ht="15.75" customHeight="1">
      <c r="A313" t="s">
        <v>12</v>
      </c>
      <c r="B313" t="s">
        <v>480</v>
      </c>
      <c r="C313" t="s">
        <v>618</v>
      </c>
    </row>
    <row r="314" ht="15.75" customHeight="1">
      <c r="A314" t="s">
        <v>556</v>
      </c>
      <c r="B314" t="s">
        <v>619</v>
      </c>
      <c r="C314" t="s">
        <v>620</v>
      </c>
    </row>
    <row r="315" ht="15.75" customHeight="1">
      <c r="A315" t="s">
        <v>551</v>
      </c>
      <c r="B315" t="s">
        <v>621</v>
      </c>
      <c r="C315" t="s">
        <v>622</v>
      </c>
    </row>
    <row r="316" ht="15.75" customHeight="1">
      <c r="A316" t="s">
        <v>219</v>
      </c>
      <c r="B316" t="s">
        <v>623</v>
      </c>
      <c r="C316" t="s">
        <v>624</v>
      </c>
    </row>
    <row r="317" ht="15.75" customHeight="1">
      <c r="A317" t="s">
        <v>561</v>
      </c>
      <c r="B317" t="s">
        <v>625</v>
      </c>
      <c r="C317" t="s">
        <v>626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8"/>
      <c r="B2" s="8"/>
      <c r="C2" s="8"/>
    </row>
    <row r="3" ht="15.75" customHeight="1">
      <c r="A3" s="7" t="s">
        <v>5</v>
      </c>
      <c r="B3" s="10" t="s">
        <v>6</v>
      </c>
      <c r="C3" s="8"/>
    </row>
    <row r="4" ht="15.75" customHeight="1">
      <c r="A4" s="12" t="s">
        <v>7</v>
      </c>
      <c r="B4" s="10" t="s">
        <v>8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4" t="s">
        <v>9</v>
      </c>
      <c r="C3" s="14" t="s">
        <v>19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144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537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tr">
        <f>"ROrderSide-"&amp;text(TODAY(),"dd-mm-yy")</f>
        <v>ROrderSide-17-04-18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160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538</v>
      </c>
      <c r="C5" s="27" t="s">
        <v>554</v>
      </c>
      <c r="D5" s="27" t="s">
        <v>555</v>
      </c>
      <c r="E5" s="27" t="s">
        <v>557</v>
      </c>
      <c r="F5" s="28" t="s">
        <v>559</v>
      </c>
      <c r="G5" s="27" t="s">
        <v>570</v>
      </c>
      <c r="H5" s="27" t="s">
        <v>537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8"/>
      <c r="D6" s="10" t="s">
        <v>599</v>
      </c>
      <c r="E6" s="10" t="s">
        <v>600</v>
      </c>
      <c r="F6" s="8"/>
      <c r="G6" s="8"/>
      <c r="H6" s="30" t="str">
        <f>"ROrderSide-"&amp;text(TODAY(),"dd-mm-yy")</f>
        <v>ROrderSide-17-04-18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231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653</v>
      </c>
      <c r="C5" s="27" t="s">
        <v>655</v>
      </c>
      <c r="D5" s="27" t="s">
        <v>657</v>
      </c>
      <c r="E5" s="27" t="s">
        <v>659</v>
      </c>
      <c r="F5" s="28" t="s">
        <v>661</v>
      </c>
      <c r="G5" s="27" t="s">
        <v>663</v>
      </c>
      <c r="H5" s="27" t="s">
        <v>666</v>
      </c>
      <c r="I5" s="27" t="s">
        <v>668</v>
      </c>
      <c r="J5" s="27" t="s">
        <v>537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8"/>
      <c r="D6" s="10" t="s">
        <v>675</v>
      </c>
      <c r="E6" s="10" t="s">
        <v>676</v>
      </c>
      <c r="F6" s="8"/>
      <c r="G6" s="8"/>
      <c r="H6" s="10" t="s">
        <v>675</v>
      </c>
      <c r="I6" s="10" t="s">
        <v>677</v>
      </c>
      <c r="J6" s="30" t="str">
        <f>"ROrderSide-"&amp;text(TODAY(),"dd-mm-yy")</f>
        <v>ROrderSide-17-04-18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104</v>
      </c>
      <c r="D3" s="7" t="s">
        <v>9</v>
      </c>
      <c r="E3" s="22" t="s">
        <v>303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627</v>
      </c>
      <c r="L4" s="24" t="s">
        <v>279</v>
      </c>
      <c r="M4" s="24" t="s">
        <v>301</v>
      </c>
      <c r="N4" s="24" t="s">
        <v>303</v>
      </c>
      <c r="O4" s="24" t="s">
        <v>549</v>
      </c>
      <c r="P4" s="25" t="s">
        <v>547</v>
      </c>
      <c r="Q4" s="25" t="s">
        <v>543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629</v>
      </c>
      <c r="D5" s="27" t="s">
        <v>630</v>
      </c>
      <c r="E5" s="27" t="s">
        <v>631</v>
      </c>
      <c r="F5" s="28" t="s">
        <v>538</v>
      </c>
      <c r="G5" s="27" t="s">
        <v>632</v>
      </c>
      <c r="H5" s="27" t="s">
        <v>633</v>
      </c>
      <c r="I5" s="27" t="s">
        <v>634</v>
      </c>
      <c r="J5" s="27" t="s">
        <v>635</v>
      </c>
      <c r="K5" s="27" t="s">
        <v>636</v>
      </c>
      <c r="L5" s="27" t="s">
        <v>637</v>
      </c>
      <c r="M5" s="27" t="s">
        <v>638</v>
      </c>
      <c r="N5" s="27" t="s">
        <v>639</v>
      </c>
      <c r="O5" s="27" t="s">
        <v>640</v>
      </c>
      <c r="P5" s="27" t="s">
        <v>641</v>
      </c>
      <c r="Q5" s="27" t="s">
        <v>642</v>
      </c>
      <c r="R5" s="27" t="s">
        <v>643</v>
      </c>
      <c r="S5" s="27" t="s">
        <v>644</v>
      </c>
      <c r="T5" s="29" t="s">
        <v>645</v>
      </c>
      <c r="U5" s="29" t="s">
        <v>646</v>
      </c>
      <c r="V5" s="29" t="s">
        <v>647</v>
      </c>
      <c r="W5" s="29" t="s">
        <v>648</v>
      </c>
      <c r="X5" s="29" t="s">
        <v>649</v>
      </c>
      <c r="Y5" s="29" t="s">
        <v>650</v>
      </c>
      <c r="Z5" s="29" t="s">
        <v>651</v>
      </c>
      <c r="AA5" s="29" t="s">
        <v>652</v>
      </c>
      <c r="AB5" s="29" t="s">
        <v>654</v>
      </c>
      <c r="AC5" s="29" t="s">
        <v>656</v>
      </c>
      <c r="AD5" s="29" t="s">
        <v>658</v>
      </c>
      <c r="AE5" s="29" t="s">
        <v>660</v>
      </c>
      <c r="AF5" s="29" t="s">
        <v>662</v>
      </c>
      <c r="AG5" s="29" t="s">
        <v>664</v>
      </c>
      <c r="AH5" s="29" t="s">
        <v>665</v>
      </c>
      <c r="AI5" s="29" t="s">
        <v>667</v>
      </c>
      <c r="AJ5" s="29" t="s">
        <v>669</v>
      </c>
      <c r="AK5" s="29" t="s">
        <v>670</v>
      </c>
      <c r="AL5" s="29" t="s">
        <v>671</v>
      </c>
      <c r="AM5" s="29" t="s">
        <v>672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673</v>
      </c>
      <c r="C6" s="10" t="s">
        <v>674</v>
      </c>
      <c r="D6" s="10">
        <v>100.0</v>
      </c>
      <c r="E6" s="10"/>
      <c r="F6" s="8" t="str">
        <f t="shared" ref="F6:F7" si="1">"ROrderSide-"&amp;text(TODAY(),"dd-mm-yy")</f>
        <v>ROrderSide-17-04-18</v>
      </c>
      <c r="G6" s="8"/>
      <c r="H6" s="8"/>
      <c r="I6" s="8"/>
      <c r="J6" s="10">
        <v>10.0</v>
      </c>
      <c r="K6" s="8"/>
      <c r="L6" s="8"/>
      <c r="M6" s="8"/>
      <c r="N6" s="32">
        <f t="shared" ref="N6:N7" si="2">TODAY()</f>
        <v>43207</v>
      </c>
      <c r="O6" s="8"/>
    </row>
    <row r="7" ht="15.75" customHeight="1">
      <c r="A7" s="8"/>
      <c r="B7" s="10" t="s">
        <v>678</v>
      </c>
      <c r="C7" s="10" t="s">
        <v>677</v>
      </c>
      <c r="D7" s="10">
        <v>100.0</v>
      </c>
      <c r="E7" s="8"/>
      <c r="F7" s="8" t="str">
        <f t="shared" si="1"/>
        <v>ROrderSide-17-04-18</v>
      </c>
      <c r="G7" s="8"/>
      <c r="H7" s="8"/>
      <c r="I7" s="8"/>
      <c r="J7" s="10">
        <v>100.0</v>
      </c>
      <c r="K7" s="8"/>
      <c r="L7" s="8"/>
      <c r="M7" s="8"/>
      <c r="N7" s="32">
        <f t="shared" si="2"/>
        <v>43207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13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680</v>
      </c>
      <c r="D5" s="27" t="s">
        <v>681</v>
      </c>
      <c r="E5" s="27" t="s">
        <v>682</v>
      </c>
      <c r="F5" s="28" t="s">
        <v>683</v>
      </c>
      <c r="G5" s="27" t="s">
        <v>684</v>
      </c>
      <c r="H5" s="27" t="s">
        <v>685</v>
      </c>
      <c r="I5" s="27" t="s">
        <v>686</v>
      </c>
      <c r="J5" s="27" t="s">
        <v>687</v>
      </c>
      <c r="K5" s="27" t="s">
        <v>688</v>
      </c>
      <c r="L5" s="27" t="s">
        <v>689</v>
      </c>
      <c r="M5" s="27" t="s">
        <v>690</v>
      </c>
      <c r="N5" s="27" t="s">
        <v>691</v>
      </c>
      <c r="O5" s="27" t="s">
        <v>632</v>
      </c>
      <c r="P5" s="27" t="s">
        <v>692</v>
      </c>
      <c r="Q5" s="27" t="s">
        <v>693</v>
      </c>
      <c r="R5" s="27" t="s">
        <v>694</v>
      </c>
      <c r="S5" s="27" t="s">
        <v>695</v>
      </c>
      <c r="T5" s="29" t="s">
        <v>696</v>
      </c>
      <c r="U5" s="29" t="s">
        <v>697</v>
      </c>
      <c r="V5" s="29" t="s">
        <v>698</v>
      </c>
      <c r="W5" s="29" t="s">
        <v>699</v>
      </c>
      <c r="X5" s="29" t="s">
        <v>700</v>
      </c>
      <c r="Y5" s="29" t="s">
        <v>701</v>
      </c>
      <c r="Z5" s="29" t="s">
        <v>702</v>
      </c>
      <c r="AA5" s="29" t="s">
        <v>703</v>
      </c>
      <c r="AB5" s="29" t="s">
        <v>704</v>
      </c>
      <c r="AC5" s="29" t="s">
        <v>705</v>
      </c>
      <c r="AD5" s="29" t="s">
        <v>109</v>
      </c>
      <c r="AE5" s="29" t="s">
        <v>706</v>
      </c>
      <c r="AF5" s="29" t="s">
        <v>707</v>
      </c>
      <c r="AG5" s="29" t="s">
        <v>708</v>
      </c>
      <c r="AH5" s="29" t="s">
        <v>709</v>
      </c>
      <c r="AI5" s="29" t="s">
        <v>710</v>
      </c>
      <c r="AJ5" s="29" t="s">
        <v>711</v>
      </c>
      <c r="AK5" s="29" t="s">
        <v>712</v>
      </c>
      <c r="AL5" s="29" t="s">
        <v>713</v>
      </c>
      <c r="AM5" s="29" t="s">
        <v>714</v>
      </c>
      <c r="AN5" s="29" t="s">
        <v>715</v>
      </c>
      <c r="AO5" s="29" t="s">
        <v>716</v>
      </c>
      <c r="AP5" s="29" t="s">
        <v>717</v>
      </c>
      <c r="AQ5" s="29" t="s">
        <v>718</v>
      </c>
      <c r="AR5" s="29" t="s">
        <v>719</v>
      </c>
      <c r="AS5" s="29" t="s">
        <v>720</v>
      </c>
      <c r="AT5" s="29" t="s">
        <v>721</v>
      </c>
      <c r="AU5" s="29" t="s">
        <v>722</v>
      </c>
      <c r="AV5" s="29" t="s">
        <v>723</v>
      </c>
      <c r="AW5" s="29" t="s">
        <v>724</v>
      </c>
      <c r="AX5" s="29" t="s">
        <v>725</v>
      </c>
      <c r="AY5" s="29" t="s">
        <v>634</v>
      </c>
      <c r="AZ5" s="29" t="s">
        <v>726</v>
      </c>
      <c r="BA5" s="29" t="s">
        <v>727</v>
      </c>
      <c r="BB5" s="29" t="s">
        <v>728</v>
      </c>
      <c r="BC5" s="29" t="s">
        <v>729</v>
      </c>
      <c r="BD5" s="29" t="s">
        <v>730</v>
      </c>
      <c r="BE5" s="29" t="s">
        <v>731</v>
      </c>
      <c r="BF5" s="29" t="s">
        <v>732</v>
      </c>
      <c r="BG5" s="29" t="s">
        <v>733</v>
      </c>
      <c r="BH5" s="29" t="s">
        <v>734</v>
      </c>
      <c r="BI5" s="29" t="s">
        <v>735</v>
      </c>
      <c r="BJ5" s="29" t="s">
        <v>630</v>
      </c>
      <c r="BK5" s="29" t="s">
        <v>736</v>
      </c>
      <c r="BL5" s="29" t="s">
        <v>737</v>
      </c>
      <c r="BM5" s="29" t="s">
        <v>738</v>
      </c>
      <c r="BN5" s="29" t="s">
        <v>739</v>
      </c>
      <c r="BO5" s="29" t="s">
        <v>740</v>
      </c>
      <c r="BP5" s="29" t="s">
        <v>741</v>
      </c>
      <c r="BQ5" s="29" t="s">
        <v>742</v>
      </c>
      <c r="BR5" s="29" t="s">
        <v>743</v>
      </c>
      <c r="BS5" s="29" t="s">
        <v>744</v>
      </c>
      <c r="BT5" s="29" t="s">
        <v>628</v>
      </c>
      <c r="BU5" s="29" t="s">
        <v>745</v>
      </c>
      <c r="BV5" s="29" t="s">
        <v>746</v>
      </c>
      <c r="BW5" s="29" t="s">
        <v>747</v>
      </c>
      <c r="BX5" s="29" t="s">
        <v>748</v>
      </c>
      <c r="BY5" s="29" t="s">
        <v>749</v>
      </c>
      <c r="BZ5" s="29" t="s">
        <v>750</v>
      </c>
      <c r="CA5" s="29" t="s">
        <v>751</v>
      </c>
      <c r="CB5" s="29" t="s">
        <v>752</v>
      </c>
      <c r="CC5" s="29" t="s">
        <v>753</v>
      </c>
      <c r="CD5" s="29" t="s">
        <v>754</v>
      </c>
      <c r="CE5" s="29" t="s">
        <v>639</v>
      </c>
      <c r="CF5" s="29" t="s">
        <v>755</v>
      </c>
      <c r="CG5" s="29" t="s">
        <v>756</v>
      </c>
      <c r="CH5" s="29" t="s">
        <v>757</v>
      </c>
      <c r="CI5" s="29" t="s">
        <v>758</v>
      </c>
      <c r="CJ5" s="29" t="s">
        <v>759</v>
      </c>
      <c r="CK5" s="29" t="s">
        <v>760</v>
      </c>
      <c r="CL5" s="29" t="s">
        <v>761</v>
      </c>
      <c r="CM5" s="29" t="s">
        <v>762</v>
      </c>
      <c r="CN5" s="29" t="s">
        <v>763</v>
      </c>
      <c r="CO5" s="29" t="s">
        <v>654</v>
      </c>
      <c r="CP5" s="29" t="s">
        <v>764</v>
      </c>
      <c r="CQ5" s="29" t="s">
        <v>765</v>
      </c>
      <c r="CR5" s="29" t="s">
        <v>766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767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17">
        <v>100.0</v>
      </c>
      <c r="BJ6" s="17">
        <v>100.0</v>
      </c>
      <c r="BO6" s="17" t="s">
        <v>677</v>
      </c>
      <c r="BT6" s="10" t="s">
        <v>678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375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680</v>
      </c>
      <c r="C5" s="27" t="s">
        <v>681</v>
      </c>
      <c r="D5" s="27" t="s">
        <v>682</v>
      </c>
      <c r="E5" s="27" t="s">
        <v>683</v>
      </c>
      <c r="F5" s="28" t="s">
        <v>684</v>
      </c>
      <c r="G5" s="27" t="s">
        <v>685</v>
      </c>
      <c r="H5" s="27" t="s">
        <v>686</v>
      </c>
      <c r="I5" s="27" t="s">
        <v>687</v>
      </c>
      <c r="J5" s="27" t="s">
        <v>688</v>
      </c>
      <c r="K5" s="27" t="s">
        <v>689</v>
      </c>
      <c r="L5" s="27" t="s">
        <v>690</v>
      </c>
      <c r="M5" s="27" t="s">
        <v>691</v>
      </c>
      <c r="N5" s="27" t="s">
        <v>632</v>
      </c>
      <c r="O5" s="27" t="s">
        <v>692</v>
      </c>
      <c r="P5" s="27" t="s">
        <v>693</v>
      </c>
      <c r="Q5" s="27" t="s">
        <v>694</v>
      </c>
      <c r="R5" s="27" t="s">
        <v>764</v>
      </c>
      <c r="S5" s="27" t="s">
        <v>695</v>
      </c>
      <c r="T5" s="29" t="s">
        <v>696</v>
      </c>
      <c r="U5" s="29" t="s">
        <v>697</v>
      </c>
      <c r="V5" s="29" t="s">
        <v>698</v>
      </c>
      <c r="W5" s="29" t="s">
        <v>699</v>
      </c>
      <c r="X5" s="29" t="s">
        <v>700</v>
      </c>
      <c r="Y5" s="29" t="s">
        <v>701</v>
      </c>
      <c r="Z5" s="29" t="s">
        <v>702</v>
      </c>
      <c r="AA5" s="29" t="s">
        <v>703</v>
      </c>
      <c r="AB5" s="29" t="s">
        <v>704</v>
      </c>
      <c r="AC5" s="29" t="s">
        <v>705</v>
      </c>
      <c r="AD5" s="29" t="s">
        <v>109</v>
      </c>
      <c r="AE5" s="29" t="s">
        <v>706</v>
      </c>
      <c r="AF5" s="29" t="s">
        <v>777</v>
      </c>
      <c r="AG5" s="29" t="s">
        <v>709</v>
      </c>
      <c r="AH5" s="29" t="s">
        <v>710</v>
      </c>
      <c r="AI5" s="29" t="s">
        <v>711</v>
      </c>
      <c r="AJ5" s="29" t="s">
        <v>766</v>
      </c>
      <c r="AK5" s="29" t="s">
        <v>712</v>
      </c>
      <c r="AL5" s="29" t="s">
        <v>713</v>
      </c>
      <c r="AM5" s="29" t="s">
        <v>714</v>
      </c>
      <c r="AN5" s="29" t="s">
        <v>715</v>
      </c>
      <c r="AO5" s="29" t="s">
        <v>716</v>
      </c>
      <c r="AP5" s="29" t="s">
        <v>778</v>
      </c>
      <c r="AQ5" s="29" t="s">
        <v>718</v>
      </c>
      <c r="AR5" s="29" t="s">
        <v>719</v>
      </c>
      <c r="AS5" s="29" t="s">
        <v>720</v>
      </c>
      <c r="AT5" s="29" t="s">
        <v>721</v>
      </c>
      <c r="AU5" s="29" t="s">
        <v>722</v>
      </c>
      <c r="AV5" s="29" t="s">
        <v>723</v>
      </c>
      <c r="AW5" s="29" t="s">
        <v>724</v>
      </c>
      <c r="AX5" s="29" t="s">
        <v>725</v>
      </c>
      <c r="AY5" s="29" t="s">
        <v>634</v>
      </c>
      <c r="AZ5" s="29" t="s">
        <v>726</v>
      </c>
      <c r="BA5" s="29" t="s">
        <v>727</v>
      </c>
      <c r="BB5" s="29" t="s">
        <v>728</v>
      </c>
      <c r="BC5" s="29" t="s">
        <v>729</v>
      </c>
      <c r="BD5" s="29" t="s">
        <v>730</v>
      </c>
      <c r="BE5" s="29" t="s">
        <v>731</v>
      </c>
      <c r="BF5" s="29" t="s">
        <v>732</v>
      </c>
      <c r="BG5" s="29" t="s">
        <v>733</v>
      </c>
      <c r="BH5" s="29" t="s">
        <v>734</v>
      </c>
      <c r="BI5" s="29" t="s">
        <v>735</v>
      </c>
      <c r="BJ5" s="29" t="s">
        <v>630</v>
      </c>
      <c r="BK5" s="29" t="s">
        <v>736</v>
      </c>
      <c r="BL5" s="29" t="s">
        <v>737</v>
      </c>
      <c r="BM5" s="29" t="s">
        <v>738</v>
      </c>
      <c r="BN5" s="29" t="s">
        <v>739</v>
      </c>
      <c r="BO5" s="29" t="s">
        <v>740</v>
      </c>
      <c r="BP5" s="29" t="s">
        <v>741</v>
      </c>
      <c r="BQ5" s="29" t="s">
        <v>742</v>
      </c>
      <c r="BR5" s="29" t="s">
        <v>743</v>
      </c>
      <c r="BS5" s="29" t="s">
        <v>628</v>
      </c>
      <c r="BT5" s="29" t="s">
        <v>745</v>
      </c>
      <c r="BU5" s="29" t="s">
        <v>746</v>
      </c>
      <c r="BV5" s="29" t="s">
        <v>747</v>
      </c>
      <c r="BW5" s="29" t="s">
        <v>748</v>
      </c>
      <c r="BX5" s="29" t="s">
        <v>749</v>
      </c>
      <c r="BY5" s="29" t="s">
        <v>750</v>
      </c>
      <c r="BZ5" s="29" t="s">
        <v>751</v>
      </c>
      <c r="CA5" s="29" t="s">
        <v>752</v>
      </c>
      <c r="CB5" s="29" t="s">
        <v>753</v>
      </c>
      <c r="CC5" s="29" t="s">
        <v>754</v>
      </c>
      <c r="CD5" s="29" t="s">
        <v>639</v>
      </c>
      <c r="CE5" s="29" t="s">
        <v>755</v>
      </c>
      <c r="CF5" s="29" t="s">
        <v>756</v>
      </c>
      <c r="CG5" s="29" t="s">
        <v>757</v>
      </c>
      <c r="CH5" s="29" t="s">
        <v>758</v>
      </c>
      <c r="CI5" s="29" t="s">
        <v>759</v>
      </c>
      <c r="CJ5" s="29" t="s">
        <v>760</v>
      </c>
      <c r="CK5" s="29" t="s">
        <v>761</v>
      </c>
      <c r="CL5" s="29" t="s">
        <v>762</v>
      </c>
      <c r="CM5" s="29" t="s">
        <v>763</v>
      </c>
      <c r="CN5" s="29" t="s">
        <v>654</v>
      </c>
      <c r="CO5" s="29" t="s">
        <v>765</v>
      </c>
      <c r="CP5" s="29" t="s">
        <v>708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17">
        <v>100.0</v>
      </c>
      <c r="BJ6" s="17">
        <v>100.0</v>
      </c>
      <c r="BO6" s="17" t="s">
        <v>674</v>
      </c>
      <c r="BS6" s="17" t="s">
        <v>673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17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768</v>
      </c>
      <c r="C5" s="27" t="s">
        <v>769</v>
      </c>
      <c r="D5" s="27" t="s">
        <v>770</v>
      </c>
      <c r="E5" s="27" t="s">
        <v>771</v>
      </c>
      <c r="F5" s="28" t="s">
        <v>628</v>
      </c>
      <c r="G5" s="27" t="s">
        <v>772</v>
      </c>
      <c r="H5" s="27" t="s">
        <v>740</v>
      </c>
      <c r="I5" s="27" t="s">
        <v>670</v>
      </c>
      <c r="J5" s="27" t="s">
        <v>632</v>
      </c>
      <c r="K5" s="27" t="s">
        <v>702</v>
      </c>
      <c r="L5" s="27" t="s">
        <v>109</v>
      </c>
      <c r="M5" s="27" t="s">
        <v>773</v>
      </c>
      <c r="N5" s="27" t="s">
        <v>760</v>
      </c>
      <c r="O5" s="27" t="s">
        <v>654</v>
      </c>
      <c r="P5" s="27" t="s">
        <v>774</v>
      </c>
      <c r="Q5" s="27" t="s">
        <v>775</v>
      </c>
      <c r="R5" s="27" t="s">
        <v>776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779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G6" s="17">
        <v>100.0</v>
      </c>
      <c r="BM6" s="17">
        <v>100.0</v>
      </c>
      <c r="BU6" s="17" t="s">
        <v>674</v>
      </c>
      <c r="BY6" s="17" t="s">
        <v>673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271</v>
      </c>
      <c r="D3" s="7" t="s">
        <v>9</v>
      </c>
      <c r="E3" s="22" t="s">
        <v>437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439</v>
      </c>
      <c r="D4" s="24" t="s">
        <v>443</v>
      </c>
      <c r="E4" s="24" t="s">
        <v>448</v>
      </c>
      <c r="F4" s="24" t="s">
        <v>454</v>
      </c>
      <c r="G4" s="24" t="s">
        <v>456</v>
      </c>
      <c r="H4" s="24" t="s">
        <v>458</v>
      </c>
      <c r="I4" s="24" t="s">
        <v>460</v>
      </c>
      <c r="J4" s="24" t="s">
        <v>462</v>
      </c>
      <c r="K4" s="24" t="s">
        <v>464</v>
      </c>
      <c r="L4" s="24" t="s">
        <v>466</v>
      </c>
      <c r="M4" s="24" t="s">
        <v>441</v>
      </c>
      <c r="N4" s="24" t="s">
        <v>468</v>
      </c>
      <c r="O4" s="24" t="s">
        <v>470</v>
      </c>
      <c r="P4" s="25" t="s">
        <v>472</v>
      </c>
      <c r="Q4" s="25" t="s">
        <v>474</v>
      </c>
      <c r="R4" s="25" t="s">
        <v>272</v>
      </c>
      <c r="S4" s="25" t="s">
        <v>476</v>
      </c>
      <c r="T4" s="25" t="s">
        <v>478</v>
      </c>
      <c r="U4" s="25" t="s">
        <v>495</v>
      </c>
      <c r="V4" s="25" t="s">
        <v>399</v>
      </c>
      <c r="W4" s="25" t="s">
        <v>501</v>
      </c>
      <c r="X4" s="25" t="s">
        <v>503</v>
      </c>
      <c r="Y4" s="25" t="s">
        <v>505</v>
      </c>
      <c r="Z4" s="25" t="s">
        <v>507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768</v>
      </c>
      <c r="C5" s="27" t="s">
        <v>769</v>
      </c>
      <c r="D5" s="27" t="s">
        <v>770</v>
      </c>
      <c r="E5" s="27" t="s">
        <v>780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779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271</v>
      </c>
      <c r="D3" s="7" t="s">
        <v>9</v>
      </c>
      <c r="E3" s="22" t="s">
        <v>454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439</v>
      </c>
      <c r="D4" s="24" t="s">
        <v>443</v>
      </c>
      <c r="E4" s="24" t="s">
        <v>448</v>
      </c>
      <c r="F4" s="24" t="s">
        <v>454</v>
      </c>
      <c r="G4" s="24" t="s">
        <v>456</v>
      </c>
      <c r="H4" s="24" t="s">
        <v>458</v>
      </c>
      <c r="I4" s="24" t="s">
        <v>460</v>
      </c>
      <c r="J4" s="24" t="s">
        <v>462</v>
      </c>
      <c r="K4" s="24" t="s">
        <v>464</v>
      </c>
      <c r="L4" s="24" t="s">
        <v>466</v>
      </c>
      <c r="M4" s="24" t="s">
        <v>441</v>
      </c>
      <c r="N4" s="24" t="s">
        <v>468</v>
      </c>
      <c r="O4" s="24" t="s">
        <v>470</v>
      </c>
      <c r="P4" s="25" t="s">
        <v>472</v>
      </c>
      <c r="Q4" s="25" t="s">
        <v>474</v>
      </c>
      <c r="R4" s="25" t="s">
        <v>272</v>
      </c>
      <c r="S4" s="25" t="s">
        <v>476</v>
      </c>
      <c r="T4" s="25" t="s">
        <v>478</v>
      </c>
      <c r="U4" s="25" t="s">
        <v>495</v>
      </c>
      <c r="V4" s="25" t="s">
        <v>399</v>
      </c>
      <c r="W4" s="25" t="s">
        <v>501</v>
      </c>
      <c r="X4" s="25" t="s">
        <v>503</v>
      </c>
      <c r="Y4" s="25" t="s">
        <v>505</v>
      </c>
      <c r="Z4" s="25" t="s">
        <v>507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781</v>
      </c>
      <c r="D5" s="27" t="s">
        <v>687</v>
      </c>
      <c r="E5" s="27" t="s">
        <v>782</v>
      </c>
      <c r="F5" s="28" t="s">
        <v>783</v>
      </c>
      <c r="G5" s="27" t="s">
        <v>784</v>
      </c>
      <c r="H5" s="27" t="s">
        <v>785</v>
      </c>
      <c r="I5" s="27" t="s">
        <v>786</v>
      </c>
      <c r="J5" s="27" t="s">
        <v>727</v>
      </c>
      <c r="K5" s="27" t="s">
        <v>787</v>
      </c>
      <c r="L5" s="27" t="s">
        <v>733</v>
      </c>
      <c r="M5" s="27" t="s">
        <v>630</v>
      </c>
      <c r="N5" s="27" t="s">
        <v>788</v>
      </c>
      <c r="O5" s="27" t="s">
        <v>738</v>
      </c>
      <c r="P5" s="27" t="s">
        <v>740</v>
      </c>
      <c r="Q5" s="27" t="s">
        <v>638</v>
      </c>
      <c r="R5" s="27" t="s">
        <v>628</v>
      </c>
      <c r="S5" s="27" t="s">
        <v>789</v>
      </c>
      <c r="T5" s="29" t="s">
        <v>790</v>
      </c>
      <c r="U5" s="29" t="s">
        <v>639</v>
      </c>
      <c r="V5" s="29" t="s">
        <v>758</v>
      </c>
      <c r="W5" s="29" t="s">
        <v>791</v>
      </c>
      <c r="X5" s="29" t="s">
        <v>792</v>
      </c>
      <c r="Y5" s="29" t="s">
        <v>793</v>
      </c>
      <c r="Z5" s="29" t="s">
        <v>794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795</v>
      </c>
      <c r="C6" s="8"/>
      <c r="D6" s="10"/>
      <c r="E6" s="31"/>
      <c r="F6" s="8"/>
      <c r="G6" s="8"/>
      <c r="H6" s="8"/>
      <c r="I6" s="8"/>
      <c r="J6" s="8"/>
      <c r="K6" s="8"/>
      <c r="L6" s="8"/>
      <c r="M6" s="10">
        <v>65.0</v>
      </c>
      <c r="N6" s="8"/>
      <c r="O6" s="8"/>
      <c r="P6" s="17" t="s">
        <v>677</v>
      </c>
      <c r="R6" s="10" t="s">
        <v>678</v>
      </c>
    </row>
    <row r="7" ht="15.75" customHeight="1">
      <c r="A7" s="8"/>
      <c r="B7" s="10" t="s">
        <v>796</v>
      </c>
      <c r="C7" s="8"/>
      <c r="D7" s="8"/>
      <c r="E7" s="8"/>
      <c r="F7" s="8"/>
      <c r="G7" s="8"/>
      <c r="H7" s="8"/>
      <c r="I7" s="8"/>
      <c r="J7" s="8"/>
      <c r="K7" s="8"/>
      <c r="L7" s="8"/>
      <c r="M7" s="10">
        <v>35.0</v>
      </c>
      <c r="N7" s="8"/>
      <c r="O7" s="8"/>
      <c r="P7" s="17" t="s">
        <v>677</v>
      </c>
      <c r="R7" s="10" t="s">
        <v>678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499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537</v>
      </c>
      <c r="C5" s="27" t="s">
        <v>797</v>
      </c>
      <c r="D5" s="27" t="s">
        <v>798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10" t="s">
        <v>795</v>
      </c>
      <c r="D6" s="10">
        <v>65.0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0" t="s">
        <v>796</v>
      </c>
      <c r="D7" s="10">
        <v>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262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12</v>
      </c>
      <c r="D3" s="7" t="s">
        <v>9</v>
      </c>
      <c r="E3" s="22" t="s">
        <v>494</v>
      </c>
      <c r="F3" s="7" t="s">
        <v>381</v>
      </c>
      <c r="G3" s="13" t="s">
        <v>385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278</v>
      </c>
      <c r="G4" s="24" t="s">
        <v>445</v>
      </c>
      <c r="H4" s="24" t="s">
        <v>446</v>
      </c>
      <c r="I4" s="24" t="s">
        <v>447</v>
      </c>
      <c r="J4" s="24" t="s">
        <v>449</v>
      </c>
      <c r="K4" s="24" t="s">
        <v>450</v>
      </c>
      <c r="L4" s="24" t="s">
        <v>451</v>
      </c>
      <c r="M4" s="24" t="s">
        <v>453</v>
      </c>
      <c r="N4" s="24" t="s">
        <v>13</v>
      </c>
      <c r="O4" s="24" t="s">
        <v>17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480</v>
      </c>
      <c r="AY4" s="25" t="s">
        <v>481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482</v>
      </c>
      <c r="BE4" s="25" t="s">
        <v>483</v>
      </c>
      <c r="BF4" s="25" t="s">
        <v>484</v>
      </c>
      <c r="BG4" s="25" t="s">
        <v>485</v>
      </c>
      <c r="BH4" s="25" t="s">
        <v>486</v>
      </c>
      <c r="BI4" s="25" t="s">
        <v>487</v>
      </c>
      <c r="BJ4" s="25" t="s">
        <v>488</v>
      </c>
      <c r="BK4" s="25" t="s">
        <v>305</v>
      </c>
      <c r="BL4" s="25" t="s">
        <v>489</v>
      </c>
      <c r="BM4" s="25" t="s">
        <v>490</v>
      </c>
      <c r="BN4" s="25" t="s">
        <v>491</v>
      </c>
      <c r="BO4" s="25" t="s">
        <v>492</v>
      </c>
      <c r="BP4" s="25" t="s">
        <v>493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494</v>
      </c>
      <c r="CA4" s="25" t="s">
        <v>496</v>
      </c>
      <c r="CB4" s="25" t="s">
        <v>363</v>
      </c>
      <c r="CC4" s="25" t="s">
        <v>498</v>
      </c>
      <c r="CD4" s="25" t="s">
        <v>499</v>
      </c>
      <c r="CE4" s="25" t="s">
        <v>375</v>
      </c>
      <c r="CF4" s="25" t="s">
        <v>379</v>
      </c>
      <c r="CG4" s="25" t="s">
        <v>395</v>
      </c>
      <c r="CH4" s="25" t="s">
        <v>393</v>
      </c>
      <c r="CI4" s="25" t="s">
        <v>397</v>
      </c>
      <c r="CJ4" s="25" t="s">
        <v>15</v>
      </c>
      <c r="CK4" s="25" t="s">
        <v>496</v>
      </c>
      <c r="CL4" s="25" t="s">
        <v>399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538</v>
      </c>
      <c r="C5" s="27" t="s">
        <v>554</v>
      </c>
      <c r="D5" s="27" t="s">
        <v>555</v>
      </c>
      <c r="E5" s="27" t="s">
        <v>557</v>
      </c>
      <c r="F5" s="28" t="s">
        <v>559</v>
      </c>
      <c r="G5" s="27" t="s">
        <v>570</v>
      </c>
      <c r="H5" s="27" t="s">
        <v>537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799</v>
      </c>
      <c r="C6" s="10"/>
      <c r="D6" s="10" t="s">
        <v>800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0"/>
      <c r="D7" s="1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