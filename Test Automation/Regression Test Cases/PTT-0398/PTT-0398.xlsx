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DollarAmountPermission" sheetId="4" r:id="rId6"/>
    <sheet state="visible" name="RestartReleasesAndServices" sheetId="5" r:id="rId7"/>
    <sheet state="visible" name="CustomOrderTT" sheetId="6" r:id="rId8"/>
    <sheet state="visible" name="SavePageView" sheetId="7" r:id="rId9"/>
    <sheet state="visible" name="OpenWindowFromSearch" sheetId="8" r:id="rId10"/>
    <sheet state="visible" name="CustomOrderTT1" sheetId="9" r:id="rId11"/>
    <sheet state="visible" name="SavePageView1" sheetId="10" r:id="rId12"/>
    <sheet state="visible" name="OpenWindowFromSearch1" sheetId="11" r:id="rId13"/>
    <sheet state="visible" name="CalculatePTT" sheetId="12" r:id="rId14"/>
  </sheets>
  <definedNames/>
  <calcPr/>
</workbook>
</file>

<file path=xl/sharedStrings.xml><?xml version="1.0" encoding="utf-8"?>
<sst xmlns="http://schemas.openxmlformats.org/spreadsheetml/2006/main" count="90" uniqueCount="34">
  <si>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</si>
  <si>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</si>
  <si>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</si>
  <si>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</si>
  <si>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</si>
  <si>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</si>
  <si>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</si>
  <si>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</si>
  <si>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</si>
  <si>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</si>
  <si>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</si>
  <si>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</si>
  <si>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</si>
  <si>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SetDollarAmountPermission</t>
  </si>
  <si>
    <t>Data Format</t>
  </si>
  <si>
    <t>Input Format</t>
  </si>
  <si>
    <t>BPS</t>
  </si>
  <si>
    <t>Compliance</t>
  </si>
  <si>
    <t>RestartReleasesAndServices</t>
  </si>
  <si>
    <t>Yes</t>
  </si>
  <si>
    <t>TradingTicket</t>
  </si>
  <si>
    <t>CustomOrderTT</t>
  </si>
  <si>
    <t>AAPL</t>
  </si>
  <si>
    <t>OpenFin</t>
  </si>
  <si>
    <t>SavePageView</t>
  </si>
  <si>
    <t>BPS_TT</t>
  </si>
  <si>
    <t>OpenWindowFromSearch</t>
  </si>
  <si>
    <t>AMT</t>
  </si>
  <si>
    <t>AMT_TT</t>
  </si>
  <si>
    <t>PTT</t>
  </si>
  <si>
    <t>CalculatePTT</t>
  </si>
  <si>
    <t>Increase</t>
  </si>
  <si>
    <t>Account</t>
  </si>
  <si>
    <t>Allocation1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</si>
</sst>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IFERROR(__xludf.DUMMYFUNCTION("""COMPUTED_VALUE"""),"1Yw4tQ35sAxNJda9xoHyKAOkv1uUSL6Lyjkb7t2gRWzU")</f>
        <v>1Yw4tQ35sAxNJda9xoHyKAOkv1uUSL6Lyjkb7t2gRWzU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>
      <c r="A958" t="str">
        <f>IFERROR(__xludf.DUMMYFUNCTION("""COMPUTED_VALUE"""),"NavLock")</f>
        <v>NavLock</v>
      </c>
      <c r="B958" t="str">
        <f>IFERROR(__xludf.DUMMYFUNCTION("""COMPUTED_VALUE"""),"VerifyNavLockGrid")</f>
        <v>VerifyNavLockGrid</v>
      </c>
      <c r="C958" t="str">
        <f>IFERROR(__xludf.DUMMYFUNCTION("""COMPUTED_VALUE"""),"11EX1Ln-BQAtx9NTd9zfcaia52FGNdZENDW2kwMCJ8HQ")</f>
        <v>11EX1Ln-BQAtx9NTd9zfcaia52FGNdZENDW2kwMCJ8HQ</v>
      </c>
    </row>
    <row r="959" ht="15.75" customHeight="1">
      <c r="A959" t="str">
        <f>IFERROR(__xludf.DUMMYFUNCTION("""COMPUTED_VALUE"""),"RTPNL")</f>
        <v>RTPNL</v>
      </c>
      <c r="B959" t="str">
        <f>IFERROR(__xludf.DUMMYFUNCTION("""COMPUTED_VALUE"""),"ApplyColumnFilter")</f>
        <v>ApplyColumnFilter</v>
      </c>
      <c r="C959" t="str">
        <f>IFERROR(__xludf.DUMMYFUNCTION("""COMPUTED_VALUE"""),"1N9Nn6t5kuoUpj5sQRZwukYuXz8skh2F7E53j1Um1W1A")</f>
        <v>1N9Nn6t5kuoUpj5sQRZwukYuXz8skh2F7E53j1Um1W1A</v>
      </c>
    </row>
    <row r="960" ht="15.75" customHeight="1">
      <c r="A960" t="str">
        <f>IFERROR(__xludf.DUMMYFUNCTION("""COMPUTED_VALUE"""),"Closing")</f>
        <v>Closing</v>
      </c>
      <c r="B960" t="str">
        <f>IFERROR(__xludf.DUMMYFUNCTION("""COMPUTED_VALUE"""),"GetClosingData")</f>
        <v>GetClosingData</v>
      </c>
      <c r="C960" t="str">
        <f>IFERROR(__xludf.DUMMYFUNCTION("""COMPUTED_VALUE"""),"11EX1Ln-BQAtx9NTd9zfcaia52FGNdZENDW2kwMCJ9HQ")</f>
        <v>11EX1Ln-BQAtx9NTd9zfcaia52FGNdZENDW2kwMCJ9HQ</v>
      </c>
    </row>
    <row r="961" ht="15.75" customHeight="1">
      <c r="A961" t="str">
        <f>IFERROR(__xludf.DUMMYFUNCTION("""COMPUTED_VALUE"""),"Closing")</f>
        <v>Closing</v>
      </c>
      <c r="B961" t="str">
        <f>IFERROR(__xludf.DUMMYFUNCTION("""COMPUTED_VALUE"""),"CloseAmendOprtn")</f>
        <v>CloseAmendOprtn</v>
      </c>
      <c r="C961" t="str">
        <f>IFERROR(__xludf.DUMMYFUNCTION("""COMPUTED_VALUE"""),"11EX1Ln-BQAtx9NTd9zfcaia52FGNdZENDW2kwMCJ10HQ")</f>
        <v>11EX1Ln-BQAtx9NTd9zfcaia52FGNdZENDW2kwMCJ10HQ</v>
      </c>
    </row>
    <row r="962" ht="15.75" customHeight="1">
      <c r="A962" t="str">
        <f>IFERROR(__xludf.DUMMYFUNCTION("""COMPUTED_VALUE"""),"Closing")</f>
        <v>Closing</v>
      </c>
      <c r="B962" t="str">
        <f>IFERROR(__xludf.DUMMYFUNCTION("""COMPUTED_VALUE"""),"ExpSettlOprtn")</f>
        <v>ExpSettlOprtn</v>
      </c>
      <c r="C962" t="str">
        <f>IFERROR(__xludf.DUMMYFUNCTION("""COMPUTED_VALUE"""),"11EX1Ln-BQAtx9NTd9zfcaia52FGNdZENDW2kwMCJ11HQ")</f>
        <v>11EX1Ln-BQAtx9NTd9zfcaia52FGNdZENDW2kwMCJ11HQ</v>
      </c>
    </row>
    <row r="963" ht="15.75" customHeight="1">
      <c r="A963" t="str">
        <f>IFERROR(__xludf.DUMMYFUNCTION("""COMPUTED_VALUE"""),"Closing")</f>
        <v>Closing</v>
      </c>
      <c r="B963" t="str">
        <f>IFERROR(__xludf.DUMMYFUNCTION("""COMPUTED_VALUE"""),"CloseOrderOprtn")</f>
        <v>CloseOrderOprtn</v>
      </c>
      <c r="C963" t="str">
        <f>IFERROR(__xludf.DUMMYFUNCTION("""COMPUTED_VALUE"""),"11EX1Ln-BQAtx9NTd9zfcaia52FGNdZENDW2kwMCJ12HQ")</f>
        <v>11EX1Ln-BQAtx9NTd9zfcaia52FGNdZENDW2kwMCJ12HQ</v>
      </c>
    </row>
    <row r="964" ht="15.75" customHeight="1">
      <c r="A964" t="str">
        <f>IFERROR(__xludf.DUMMYFUNCTION("""COMPUTED_VALUE"""),"Closing")</f>
        <v>Closing</v>
      </c>
      <c r="B964" t="str">
        <f>IFERROR(__xludf.DUMMYFUNCTION("""COMPUTED_VALUE"""),"SelectgrdCloseTrades")</f>
        <v>SelectgrdCloseTrades</v>
      </c>
      <c r="C964" t="str">
        <f>IFERROR(__xludf.DUMMYFUNCTION("""COMPUTED_VALUE"""),"11EX1Ln-BQAtx9NTd9zfcaia52FGNdZENDW2kwMCJ13HQ")</f>
        <v>11EX1Ln-BQAtx9NTd9zfcaia52FGNdZENDW2kwMCJ13HQ</v>
      </c>
    </row>
    <row r="965" ht="15.75" customHeight="1">
      <c r="A965" t="str">
        <f>IFERROR(__xludf.DUMMYFUNCTION("""COMPUTED_VALUE"""),"Closing")</f>
        <v>Closing</v>
      </c>
      <c r="B965" t="str">
        <f>IFERROR(__xludf.DUMMYFUNCTION("""COMPUTED_VALUE"""),"SelectgrdLongTrades")</f>
        <v>SelectgrdLongTrades</v>
      </c>
      <c r="C965" t="str">
        <f>IFERROR(__xludf.DUMMYFUNCTION("""COMPUTED_VALUE"""),"11EX1Ln-BQAtx9NTd9zfcaia52FGNdZENDW2kwMCJ14HQ")</f>
        <v>11EX1Ln-BQAtx9NTd9zfcaia52FGNdZENDW2kwMCJ14HQ</v>
      </c>
    </row>
    <row r="966" ht="15.75" customHeight="1">
      <c r="A966" t="str">
        <f>IFERROR(__xludf.DUMMYFUNCTION("""COMPUTED_VALUE"""),"Closing")</f>
        <v>Closing</v>
      </c>
      <c r="B966" t="str">
        <f>IFERROR(__xludf.DUMMYFUNCTION("""COMPUTED_VALUE"""),"SelectgrdShortTrades")</f>
        <v>SelectgrdShortTrades</v>
      </c>
      <c r="C966" t="str">
        <f>IFERROR(__xludf.DUMMYFUNCTION("""COMPUTED_VALUE"""),"11EX1Ln-BQAtx9NTd9zfcaia52FGNdZENDW2kwMCJ15HQ")</f>
        <v>11EX1Ln-BQAtx9NTd9zfcaia52FGNdZENDW2kwMCJ15HQ</v>
      </c>
    </row>
    <row r="967" ht="15.75" customHeight="1">
      <c r="A967" t="str">
        <f>IFERROR(__xludf.DUMMYFUNCTION("""COMPUTED_VALUE"""),"Closing")</f>
        <v>Closing</v>
      </c>
      <c r="B967" t="str">
        <f>IFERROR(__xludf.DUMMYFUNCTION("""COMPUTED_VALUE"""),"SelectgrdNetPositionTrades")</f>
        <v>SelectgrdNetPositionTrades</v>
      </c>
      <c r="C967" t="str">
        <f>IFERROR(__xludf.DUMMYFUNCTION("""COMPUTED_VALUE"""),"11EX1Ln-BQAtx9NTd9zfcaia52FGNdZENDW2kwMCJ16HQ")</f>
        <v>11EX1Ln-BQAtx9NTd9zfcaia52FGNdZENDW2kwMCJ16HQ</v>
      </c>
    </row>
    <row r="968" ht="15.75" customHeight="1">
      <c r="A968" t="str">
        <f>IFERROR(__xludf.DUMMYFUNCTION("""COMPUTED_VALUE"""),"Closing")</f>
        <v>Closing</v>
      </c>
      <c r="B968" t="str">
        <f>IFERROR(__xludf.DUMMYFUNCTION("""COMPUTED_VALUE"""),"SelectgrdUnexpiredTrades")</f>
        <v>SelectgrdUnexpiredTrades</v>
      </c>
      <c r="C968" t="str">
        <f>IFERROR(__xludf.DUMMYFUNCTION("""COMPUTED_VALUE"""),"11EX1Ln-BQAtx9NTd9zfcaia52FGNdZENDW2kwMCJ17HQ")</f>
        <v>11EX1Ln-BQAtx9NTd9zfcaia52FGNdZENDW2kwMCJ17HQ</v>
      </c>
    </row>
    <row r="969" ht="15.75" customHeight="1">
      <c r="A969" t="str">
        <f>IFERROR(__xludf.DUMMYFUNCTION("""COMPUTED_VALUE"""),"Closing")</f>
        <v>Closing</v>
      </c>
      <c r="B969" t="str">
        <f>IFERROR(__xludf.DUMMYFUNCTION("""COMPUTED_VALUE"""),"SelectgrdCPTrades")</f>
        <v>SelectgrdCPTrades</v>
      </c>
      <c r="C969" t="str">
        <f>IFERROR(__xludf.DUMMYFUNCTION("""COMPUTED_VALUE"""),"11EX1Ln-BQAtx9NTd9zfcaia52FGNdZENDW2kwMCJ18HQ")</f>
        <v>11EX1Ln-BQAtx9NTd9zfcaia52FGNdZENDW2kwMCJ18HQ</v>
      </c>
    </row>
    <row r="970" ht="15.75" customHeight="1">
      <c r="A970" t="str">
        <f>IFERROR(__xludf.DUMMYFUNCTION("""COMPUTED_VALUE"""),"Closing")</f>
        <v>Closing</v>
      </c>
      <c r="B970" t="str">
        <f>IFERROR(__xludf.DUMMYFUNCTION("""COMPUTED_VALUE"""),"SelectgrdExpiredTrades")</f>
        <v>SelectgrdExpiredTrades</v>
      </c>
      <c r="C970" t="str">
        <f>IFERROR(__xludf.DUMMYFUNCTION("""COMPUTED_VALUE"""),"11EX1Ln-BQAtx9NTd9zfcaia52FGNdZENDW2kwMCJ19HQ")</f>
        <v>11EX1Ln-BQAtx9NTd9zfcaia52FGNdZENDW2kwMCJ19HQ</v>
      </c>
    </row>
    <row r="971" ht="15.75" customHeight="1">
      <c r="A971" t="str">
        <f>IFERROR(__xludf.DUMMYFUNCTION("""COMPUTED_VALUE"""),"Closing")</f>
        <v>Closing</v>
      </c>
      <c r="B971" t="str">
        <f>IFERROR(__xludf.DUMMYFUNCTION("""COMPUTED_VALUE"""),"SelectgrdOpenTrades")</f>
        <v>SelectgrdOpenTrades</v>
      </c>
      <c r="C971" t="str">
        <f>IFERROR(__xludf.DUMMYFUNCTION("""COMPUTED_VALUE"""),"11EX1Ln-BQAtx9NTd9zfcaia52FGNdZENDW2kwMCJ20HQ")</f>
        <v>11EX1Ln-BQAtx9NTd9zfcaia52FGNdZENDW2kwMCJ20HQ</v>
      </c>
    </row>
    <row r="972" ht="15.75" customHeight="1">
      <c r="A972" t="str">
        <f>IFERROR(__xludf.DUMMYFUNCTION("""COMPUTED_VALUE"""),"Closing")</f>
        <v>Closing</v>
      </c>
      <c r="B972" t="str">
        <f>IFERROR(__xludf.DUMMYFUNCTION("""COMPUTED_VALUE"""),"GetClosingData")</f>
        <v>GetClosingData</v>
      </c>
      <c r="C972" t="str">
        <f>IFERROR(__xludf.DUMMYFUNCTION("""COMPUTED_VALUE"""),"11EX1Ln-BQAtx9NTd9zfcaia52FGNdZENDW2kwMCJ20HQ")</f>
        <v>11EX1Ln-BQAtx9NTd9zfcaia52FGNdZENDW2kwMCJ20HQ</v>
      </c>
    </row>
    <row r="973" ht="15.75" customHeight="1">
      <c r="A973" t="str">
        <f>IFERROR(__xludf.DUMMYFUNCTION("""COMPUTED_VALUE"""),"Closing")</f>
        <v>Closing</v>
      </c>
      <c r="B973" t="str">
        <f>IFERROR(__xludf.DUMMYFUNCTION("""COMPUTED_VALUE"""),"WizardOptions")</f>
        <v>WizardOptions</v>
      </c>
      <c r="C973" t="str">
        <f>IFERROR(__xludf.DUMMYFUNCTION("""COMPUTED_VALUE"""),"11EX1Ln-BQAtx9NTd9zfcaia52FGNdZENDW2kwMCJ21HQ")</f>
        <v>11EX1Ln-BQAtx9NTd9zfcaia52FGNdZENDW2kwMCJ21HQ</v>
      </c>
    </row>
    <row r="974" ht="15.75" customHeight="1">
      <c r="A974" t="str">
        <f>IFERROR(__xludf.DUMMYFUNCTION("""COMPUTED_VALUE"""),"Closing")</f>
        <v>Closing</v>
      </c>
      <c r="B974" t="str">
        <f>IFERROR(__xludf.DUMMYFUNCTION("""COMPUTED_VALUE"""),"ActionOnClosingWiz")</f>
        <v>ActionOnClosingWiz</v>
      </c>
      <c r="C974" t="str">
        <f>IFERROR(__xludf.DUMMYFUNCTION("""COMPUTED_VALUE"""),"11EX1Ln-BQAtx9NTd9zfcaia52FGNdZENDW2kwMCJ21HQ")</f>
        <v>11EX1Ln-BQAtx9NTd9zfcaia52FGNdZENDW2kwMCJ21HQ</v>
      </c>
    </row>
    <row r="975" ht="15.75" customHeight="1">
      <c r="A975" t="str">
        <f>IFERROR(__xludf.DUMMYFUNCTION("""COMPUTED_VALUE"""),"Allocation")</f>
        <v>Allocation</v>
      </c>
      <c r="B975" t="str">
        <f>IFERROR(__xludf.DUMMYFUNCTION("""COMPUTED_VALUE"""),"VerifyAttRenaming")</f>
        <v>VerifyAttRenaming</v>
      </c>
      <c r="C975" t="str">
        <f>IFERROR(__xludf.DUMMYFUNCTION("""COMPUTED_VALUE"""),"11EX1Ln-BQAtx9NTd9zfcaia52FGNdZENDW2kwMCJ21HQ")</f>
        <v>11EX1Ln-BQAtx9NTd9zfcaia52FGNdZENDW2kwMCJ21HQ</v>
      </c>
    </row>
    <row r="976" ht="15.75" customHeight="1">
      <c r="A976" t="str">
        <f>IFERROR(__xludf.DUMMYFUNCTION("""COMPUTED_VALUE"""),"NavLock")</f>
        <v>NavLock</v>
      </c>
      <c r="B976" t="str">
        <f>IFERROR(__xludf.DUMMYFUNCTION("""COMPUTED_VALUE"""),"DeleteRowNavLock")</f>
        <v>DeleteRowNavLock</v>
      </c>
      <c r="C976" t="str">
        <f>IFERROR(__xludf.DUMMYFUNCTION("""COMPUTED_VALUE"""),"11EX1Ln-BQAtx9NTd9zfcaia52FGNdZENDW2kwMCJ21HQ")</f>
        <v>11EX1Ln-BQAtx9NTd9zfcaia52FGNdZENDW2kwMCJ21HQ</v>
      </c>
    </row>
    <row r="977" ht="15.75" customHeight="1">
      <c r="A977" t="str">
        <f>IFERROR(__xludf.DUMMYFUNCTION("""COMPUTED_VALUE"""),"Closing")</f>
        <v>Closing</v>
      </c>
      <c r="B977" t="str">
        <f>IFERROR(__xludf.DUMMYFUNCTION("""COMPUTED_VALUE"""),"VerifyLongPositionsGrid")</f>
        <v>VerifyLongPositionsGrid</v>
      </c>
      <c r="C977" t="str">
        <f>IFERROR(__xludf.DUMMYFUNCTION("""COMPUTED_VALUE"""),"11EX1Ln-BQAtx9NTd9zfcaia52FGNdZENDW2kwMCJ14HQ")</f>
        <v>11EX1Ln-BQAtx9NTd9zfcaia52FGNdZENDW2kwMCJ14HQ</v>
      </c>
    </row>
    <row r="978" ht="15.75" customHeight="1">
      <c r="A978" t="str">
        <f>IFERROR(__xludf.DUMMYFUNCTION("""COMPUTED_VALUE"""),"Closing")</f>
        <v>Closing</v>
      </c>
      <c r="B978" t="str">
        <f>IFERROR(__xludf.DUMMYFUNCTION("""COMPUTED_VALUE"""),"VerifyShortPositionsGrid")</f>
        <v>VerifyShortPositionsGrid</v>
      </c>
      <c r="C978" t="str">
        <f>IFERROR(__xludf.DUMMYFUNCTION("""COMPUTED_VALUE"""),"11EX1Ln-BQAtx9NTd9zfcaia52FGNdZENDW2kwMCJ15HQ")</f>
        <v>11EX1Ln-BQAtx9NTd9zfcaia52FGNdZENDW2kwMCJ15HQ</v>
      </c>
    </row>
    <row r="979" ht="15.75" customHeight="1">
      <c r="A979" t="str">
        <f>IFERROR(__xludf.DUMMYFUNCTION("""COMPUTED_VALUE"""),"Closing")</f>
        <v>Closing</v>
      </c>
      <c r="B979" t="str">
        <f>IFERROR(__xludf.DUMMYFUNCTION("""COMPUTED_VALUE"""),"VerifyClosedTrades")</f>
        <v>VerifyClosedTrades</v>
      </c>
      <c r="C979" t="str">
        <f>IFERROR(__xludf.DUMMYFUNCTION("""COMPUTED_VALUE"""),"11EX1Ln-BQAtx9NTd9zfcaia52FGNdZENDW2kwMCJ16HQ")</f>
        <v>11EX1Ln-BQAtx9NTd9zfcaia52FGNdZENDW2kwMCJ16HQ</v>
      </c>
    </row>
    <row r="980" ht="15.75" customHeight="1">
      <c r="A980" t="str">
        <f>IFERROR(__xludf.DUMMYFUNCTION("""COMPUTED_VALUE"""),"Closing")</f>
        <v>Closing</v>
      </c>
      <c r="B980" t="str">
        <f>IFERROR(__xludf.DUMMYFUNCTION("""COMPUTED_VALUE"""),"CloseAmendOprtn")</f>
        <v>CloseAmendOprtn</v>
      </c>
      <c r="C980" t="str">
        <f>IFERROR(__xludf.DUMMYFUNCTION("""COMPUTED_VALUE"""),"11EX1Ln-BQAtx9NTd9zfcaia52FGNdZENDW2kwMCJ17HQ")</f>
        <v>11EX1Ln-BQAtx9NTd9zfcaia52FGNdZENDW2kwMCJ17HQ</v>
      </c>
    </row>
    <row r="981" ht="15.75" customHeight="1">
      <c r="A981" t="str">
        <f>IFERROR(__xludf.DUMMYFUNCTION("""COMPUTED_VALUE"""),"Closing")</f>
        <v>Closing</v>
      </c>
      <c r="B981" t="str">
        <f>IFERROR(__xludf.DUMMYFUNCTION("""COMPUTED_VALUE"""),"ExpSettlOprtn")</f>
        <v>ExpSettlOprtn</v>
      </c>
      <c r="C981" t="str">
        <f>IFERROR(__xludf.DUMMYFUNCTION("""COMPUTED_VALUE"""),"11EX1Ln-BQAtx9NTd9zfcaia52FGNdZENDW2kwMCJ18HQ")</f>
        <v>11EX1Ln-BQAtx9NTd9zfcaia52FGNdZENDW2kwMCJ18HQ</v>
      </c>
    </row>
    <row r="982" ht="15.75" customHeight="1">
      <c r="A982" t="str">
        <f>IFERROR(__xludf.DUMMYFUNCTION("""COMPUTED_VALUE"""),"Closing")</f>
        <v>Closing</v>
      </c>
      <c r="B982" t="str">
        <f>IFERROR(__xludf.DUMMYFUNCTION("""COMPUTED_VALUE"""),"ActionOnExpGrid")</f>
        <v>ActionOnExpGrid</v>
      </c>
      <c r="C982" t="str">
        <f>IFERROR(__xludf.DUMMYFUNCTION("""COMPUTED_VALUE"""),"11EX1Ln-BQAtx9NTd9zfcaia52FGNdZENDW2kwMCJ19HQ")</f>
        <v>11EX1Ln-BQAtx9NTd9zfcaia52FGNdZENDW2kwMCJ19HQ</v>
      </c>
    </row>
    <row r="983" ht="15.75" customHeight="1">
      <c r="A983" t="str">
        <f>IFERROR(__xludf.DUMMYFUNCTION("""COMPUTED_VALUE"""),"Closing")</f>
        <v>Closing</v>
      </c>
      <c r="B983" t="str">
        <f>IFERROR(__xludf.DUMMYFUNCTION("""COMPUTED_VALUE"""),"ActiononIncorrectQty")</f>
        <v>ActiononIncorrectQty</v>
      </c>
      <c r="C983" t="str">
        <f>IFERROR(__xludf.DUMMYFUNCTION("""COMPUTED_VALUE"""),"11EX1Ln-BQAtx9NTd9zfcaia52FGNdZENDW2kwMCJ20HQ")</f>
        <v>11EX1Ln-BQAtx9NTd9zfcaia52FGNdZENDW2kwMCJ20HQ</v>
      </c>
    </row>
    <row r="984" ht="15.75" customHeight="1">
      <c r="A984" t="str">
        <f>IFERROR(__xludf.DUMMYFUNCTION("""COMPUTED_VALUE"""),"Closing")</f>
        <v>Closing</v>
      </c>
      <c r="B984" t="str">
        <f>IFERROR(__xludf.DUMMYFUNCTION("""COMPUTED_VALUE"""),"VerifyIncorrectQty")</f>
        <v>VerifyIncorrectQty</v>
      </c>
      <c r="C984" t="str">
        <f>IFERROR(__xludf.DUMMYFUNCTION("""COMPUTED_VALUE"""),"11EX1Ln-BQAtx9NTd9zfcaia52FGNdZENDW2kwMCJ21HQ")</f>
        <v>11EX1Ln-BQAtx9NTd9zfcaia52FGNdZENDW2kwMCJ21HQ</v>
      </c>
    </row>
    <row r="985" ht="15.75" customHeight="1">
      <c r="A985" t="str">
        <f>IFERROR(__xludf.DUMMYFUNCTION("""COMPUTED_VALUE"""),"Closing")</f>
        <v>Closing</v>
      </c>
      <c r="B985" t="str">
        <f>IFERROR(__xludf.DUMMYFUNCTION("""COMPUTED_VALUE"""),"VerifyOpenTrades")</f>
        <v>VerifyOpenTrades</v>
      </c>
      <c r="C985" t="str">
        <f>IFERROR(__xludf.DUMMYFUNCTION("""COMPUTED_VALUE"""),"11EX1Ln-BQAtx9NTd9zfcaia52FGNdZENDW2kwMCJ20HQ")</f>
        <v>11EX1Ln-BQAtx9NTd9zfcaia52FGNdZENDW2kwMCJ20HQ</v>
      </c>
    </row>
    <row r="986" ht="15.75" customHeight="1">
      <c r="A986" t="str">
        <f>IFERROR(__xludf.DUMMYFUNCTION("""COMPUTED_VALUE"""),"CreateTransaction")</f>
        <v>CreateTransaction</v>
      </c>
      <c r="B986" t="str">
        <f>IFERROR(__xludf.DUMMYFUNCTION("""COMPUTED_VALUE"""),"EditCTGrid")</f>
        <v>EditCTGrid</v>
      </c>
      <c r="C986" t="str">
        <f>IFERROR(__xludf.DUMMYFUNCTION("""COMPUTED_VALUE"""),"11EX1Ln-BQAtx9NTd9zfcaia52FGNdZENDW2kwMCJ20HQ")</f>
        <v>11EX1Ln-BQAtx9NTd9zfcaia52FGNdZENDW2kwMCJ20HQ</v>
      </c>
    </row>
    <row r="987" ht="15.75" customHeight="1">
      <c r="A987" t="str">
        <f>IFERROR(__xludf.DUMMYFUNCTION("""COMPUTED_VALUE"""),"CreateTransaction")</f>
        <v>CreateTransaction</v>
      </c>
      <c r="B987" t="str">
        <f>IFERROR(__xludf.DUMMYFUNCTION("""COMPUTED_VALUE"""),"ActionOnCT")</f>
        <v>ActionOnCT</v>
      </c>
      <c r="C987" t="str">
        <f>IFERROR(__xludf.DUMMYFUNCTION("""COMPUTED_VALUE"""),"11EX1Ln-BQAtx9NTd9zfcaia52FGNdZENDW2kwMCJ20HQ")</f>
        <v>11EX1Ln-BQAtx9NTd9zfcaia52FGNdZENDW2kwMCJ20HQ</v>
      </c>
    </row>
    <row r="988" ht="15.75" customHeight="1">
      <c r="A988" t="str">
        <f>IFERROR(__xludf.DUMMYFUNCTION("""COMPUTED_VALUE"""),"Unknown")</f>
        <v>Unknown</v>
      </c>
      <c r="B988" t="str">
        <f>IFERROR(__xludf.DUMMYFUNCTION("""COMPUTED_VALUE"""),"OpenColumnChooser")</f>
        <v>OpenColumnChooser</v>
      </c>
      <c r="C988" t="str">
        <f>IFERROR(__xludf.DUMMYFUNCTION("""COMPUTED_VALUE"""),"11EX1Ln-BQAtx9NTd9zfcaia52FGNdZENDW2kwMCJ20HQ")</f>
        <v>11EX1Ln-BQAtx9NTd9zfcaia52FGNdZENDW2kwMCJ20HQ</v>
      </c>
    </row>
    <row r="989" ht="15.75" customHeight="1">
      <c r="A989" t="str">
        <f>IFERROR(__xludf.DUMMYFUNCTION("""COMPUTED_VALUE"""),"Closing")</f>
        <v>Closing</v>
      </c>
      <c r="B989" t="str">
        <f>IFERROR(__xludf.DUMMYFUNCTION("""COMPUTED_VALUE"""),"UnExpUnsettOperation")</f>
        <v>UnExpUnsettOperation</v>
      </c>
      <c r="C989" t="str">
        <f>IFERROR(__xludf.DUMMYFUNCTION("""COMPUTED_VALUE"""),"11EX1Ln-BQAtx9NTd9zfcaia52FGNdZENDW2kwMCJ20HQ")</f>
        <v>11EX1Ln-BQAtx9NTd9zfcaia52FGNdZENDW2kwMCJ20HQ</v>
      </c>
    </row>
    <row r="990" ht="15.75" customHeight="1">
      <c r="A990" t="str">
        <f>IFERROR(__xludf.DUMMYFUNCTION("""COMPUTED_VALUE"""),"NavLock")</f>
        <v>NavLock</v>
      </c>
      <c r="B990" t="str">
        <f>IFERROR(__xludf.DUMMYFUNCTION("""COMPUTED_VALUE"""),"ActiononNavLock")</f>
        <v>ActiononNavLock</v>
      </c>
      <c r="C990" t="str">
        <f>IFERROR(__xludf.DUMMYFUNCTION("""COMPUTED_VALUE"""),"11EX1Ln-BQAtx9NTd9zfcaia52FGNdZENDW2kwMCJ20HQ")</f>
        <v>11EX1Ln-BQAtx9NTd9zfcaia52FGNdZENDW2kwMCJ20HQ</v>
      </c>
    </row>
    <row r="991" ht="15.75" customHeight="1">
      <c r="A991" t="str">
        <f>IFERROR(__xludf.DUMMYFUNCTION("""COMPUTED_VALUE"""),"Allocation")</f>
        <v>Allocation</v>
      </c>
      <c r="B991" t="str">
        <f>IFERROR(__xludf.DUMMYFUNCTION("""COMPUTED_VALUE"""),"ActiononFixPref")</f>
        <v>ActiononFixPref</v>
      </c>
      <c r="C991" t="str">
        <f>IFERROR(__xludf.DUMMYFUNCTION("""COMPUTED_VALUE"""),"11EX1Ln-BQAtx9NTd9zfcaia52FGNdZENDW2kwMCJ20HQ")</f>
        <v>11EX1Ln-BQAtx9NTd9zfcaia52FGNdZENDW2kwMCJ20HQ</v>
      </c>
    </row>
    <row r="992" ht="15.75" customHeight="1">
      <c r="A992" t="str">
        <f>IFERROR(__xludf.DUMMYFUNCTION("""COMPUTED_VALUE"""),"Blotter")</f>
        <v>Blotter</v>
      </c>
      <c r="B992" t="str">
        <f>IFERROR(__xludf.DUMMYFUNCTION("""COMPUTED_VALUE"""),"SelectWorkSubsOnBlotter")</f>
        <v>SelectWorkSubsOnBlotter</v>
      </c>
      <c r="C992" t="str">
        <f>IFERROR(__xludf.DUMMYFUNCTION("""COMPUTED_VALUE"""),"11EX1Ln-BQAtx9NTd9zfcaia52FGNdZENDW2kwMCJ20HQ")</f>
        <v>11EX1Ln-BQAtx9NTd9zfcaia52FGNdZENDW2kwMCJ20HQ</v>
      </c>
    </row>
    <row r="993" ht="15.75" customHeight="1">
      <c r="A993" t="str">
        <f>IFERROR(__xludf.DUMMYFUNCTION("""COMPUTED_VALUE"""),"Closing")</f>
        <v>Closing</v>
      </c>
      <c r="B993" t="str">
        <f>IFERROR(__xludf.DUMMYFUNCTION("""COMPUTED_VALUE"""),"VerifyAccountUnexpired")</f>
        <v>VerifyAccountUnexpired</v>
      </c>
      <c r="C993" t="str">
        <f>IFERROR(__xludf.DUMMYFUNCTION("""COMPUTED_VALUE"""),"11EX1Ln-BQAtx9NTd9zfcaia52FGNdZENDW2kwMCJ20HQ")</f>
        <v>11EX1Ln-BQAtx9NTd9zfcaia52FGNdZENDW2kwMCJ20HQ</v>
      </c>
    </row>
    <row r="994" ht="15.75" customHeight="1">
      <c r="A994" t="str">
        <f>IFERROR(__xludf.DUMMYFUNCTION("""COMPUTED_VALUE"""),"PortfolioManagement")</f>
        <v>PortfolioManagement</v>
      </c>
      <c r="B994" t="str">
        <f>IFERROR(__xludf.DUMMYFUNCTION("""COMPUTED_VALUE"""),"ToolBarActiononPM")</f>
        <v>ToolBarActiononPM</v>
      </c>
      <c r="C994" t="str">
        <f>IFERROR(__xludf.DUMMYFUNCTION("""COMPUTED_VALUE"""),"11EX1Ln-BQAtx9NTd9zfcaia52FGNdZENDW2kwMCJ20HQ")</f>
        <v>11EX1Ln-BQAtx9NTd9zfcaia52FGNdZENDW2kwMCJ20HQ</v>
      </c>
    </row>
    <row r="995" ht="15.75" customHeight="1">
      <c r="A995" t="str">
        <f>IFERROR(__xludf.DUMMYFUNCTION("""COMPUTED_VALUE"""),"Allocation")</f>
        <v>Allocation</v>
      </c>
      <c r="B995" t="str">
        <f>IFERROR(__xludf.DUMMYFUNCTION("""COMPUTED_VALUE"""),"EditAttRenaming")</f>
        <v>EditAttRenaming</v>
      </c>
      <c r="C995" t="str">
        <f>IFERROR(__xludf.DUMMYFUNCTION("""COMPUTED_VALUE"""),"14aTeLjmUbS-nhaQwjtZAMGxdQ5DS6UsBjE5OTWN-LQU")</f>
        <v>14aTeLjmUbS-nhaQwjtZAMGxdQ5DS6UsBjE5OTWN-LQU</v>
      </c>
    </row>
    <row r="996" ht="15.75" customHeight="1">
      <c r="A996" t="str">
        <f>IFERROR(__xludf.DUMMYFUNCTION("""COMPUTED_VALUE"""),"Unknown")</f>
        <v>Unknown</v>
      </c>
      <c r="B996" t="str">
        <f>IFERROR(__xludf.DUMMYFUNCTION("""COMPUTED_VALUE"""),"ActiononColumnChooser")</f>
        <v>ActiononColumnChooser</v>
      </c>
      <c r="C996" t="str">
        <f>IFERROR(__xludf.DUMMYFUNCTION("""COMPUTED_VALUE"""),"14aTeLjmUbS-nhaQwjtZAMGxdQ5DS6UsBjE5OTWN-LQU")</f>
        <v>14aTeLjmUbS-nhaQwjtZAMGxdQ5DS6UsBjE5OTWN-LQU</v>
      </c>
    </row>
    <row r="997" ht="15.75" customHeight="1">
      <c r="A997" t="str">
        <f>IFERROR(__xludf.DUMMYFUNCTION("""COMPUTED_VALUE"""),"Unknown")</f>
        <v>Unknown</v>
      </c>
      <c r="B997" t="str">
        <f>IFERROR(__xludf.DUMMYFUNCTION("""COMPUTED_VALUE"""),"VerifyColumnChooser")</f>
        <v>VerifyColumnChooser</v>
      </c>
      <c r="C997" t="str">
        <f>IFERROR(__xludf.DUMMYFUNCTION("""COMPUTED_VALUE"""),"14aTeLjmUbS-nhaQwjtZAMGxdQ5DS6UsBjE5OTWN-LQU")</f>
        <v>14aTeLjmUbS-nhaQwjtZAMGxdQ5DS6UsBjE5OTWN-LQU</v>
      </c>
    </row>
    <row r="998" ht="15.75" customHeight="1">
      <c r="A998" t="str">
        <f>IFERROR(__xludf.DUMMYFUNCTION("""COMPUTED_VALUE"""),"Unknown")</f>
        <v>Unknown</v>
      </c>
      <c r="B998" t="str">
        <f>IFERROR(__xludf.DUMMYFUNCTION("""COMPUTED_VALUE"""),"EditColumnChooser")</f>
        <v>EditColumnChooser</v>
      </c>
      <c r="C998" t="str">
        <f>IFERROR(__xludf.DUMMYFUNCTION("""COMPUTED_VALUE"""),"14aTeLjmUbS-nhaQwjtZAMGxdQ5DS6UsBjE5OTWN-LQU")</f>
        <v>14aTeLjmUbS-nhaQwjtZAMGxdQ5DS6UsBjE5OTWN-LQU</v>
      </c>
    </row>
    <row r="999" ht="15.75" customHeight="1">
      <c r="A999" t="str">
        <f>IFERROR(__xludf.DUMMYFUNCTION("""COMPUTED_VALUE"""),"Unknown")</f>
        <v>Unknown</v>
      </c>
      <c r="B999" t="str">
        <f>IFERROR(__xludf.DUMMYFUNCTION("""COMPUTED_VALUE"""),"OpenColumnChooser")</f>
        <v>OpenColumnChooser</v>
      </c>
      <c r="C999" t="str">
        <f>IFERROR(__xludf.DUMMYFUNCTION("""COMPUTED_VALUE"""),"14aTeLjmUbS-nhaQwjtZAMGxdQ5DS6UsBjE5OTWN-LQU")</f>
        <v>14aTeLjmUbS-nhaQwjtZAMGxdQ5DS6UsBjE5OTWN-LQU</v>
      </c>
    </row>
    <row r="1000" ht="15.75" customHeight="1">
      <c r="A1000" t="str">
        <f>IFERROR(__xludf.DUMMYFUNCTION("""COMPUTED_VALUE"""),"TradingTicket")</f>
        <v>TradingTicket</v>
      </c>
      <c r="B1000" t="str">
        <f>IFERROR(__xludf.DUMMYFUNCTION("""COMPUTED_VALUE"""),"UpdateTTCA")</f>
        <v>UpdateTTCA</v>
      </c>
      <c r="C1000" t="str">
        <f>IFERROR(__xludf.DUMMYFUNCTION("""COMPUTED_VALUE"""),"14aTeLjmUbS-nhaQwjtZAMGxdQ5DS6UsBjE5OTWN-LQU")</f>
        <v>14aTeLjmUbS-nhaQwjtZAMGxdQ5DS6UsBjE5OTWN-LQU</v>
      </c>
    </row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 t="str">
        <f>IFERROR(__xludf.DUMMYFUNCTION("""COMPUTED_VALUE"""),"BasketPermission")</f>
        <v>BasketPermission</v>
      </c>
      <c r="AM4" s="25" t="str">
        <f>IFERROR(__xludf.DUMMYFUNCTION("""COMPUTED_VALUE"""),"ChangeDate")</f>
        <v>ChangeDate</v>
      </c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IFERROR(__xludf.DUMMYFUNCTION("""COMPUTED_VALUE"""),"TT")</f>
        <v>TT</v>
      </c>
      <c r="C5" s="27" t="str">
        <f>IFERROR(__xludf.DUMMYFUNCTION("""COMPUTED_VALUE"""),"PTT")</f>
        <v>PTT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b">
        <v>1</v>
      </c>
      <c r="C6" s="12" t="b">
        <v>1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H6" s="9" t="s">
        <v>16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SetDollarAmountPermission!$4:$4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IFERROR(__xludf.DUMMYFUNCTION("""COMPUTED_VALUE"""),"RestartRuleMediator")</f>
        <v>RestartRuleMediator</v>
      </c>
      <c r="AL4" s="25" t="str">
        <f>IFERROR(__xludf.DUMMYFUNCTION("""COMPUTED_VALUE"""),"VerifyAggAccountSymbolWithNav")</f>
        <v>VerifyAggAccountSymbolWithNav</v>
      </c>
      <c r="AM4" s="25" t="str">
        <f>IFERROR(__xludf.DUMMYFUNCTION("""COMPUTED_VALUE"""),"ApproveorRejectpendingapproval")</f>
        <v>ApproveorRejectpendingapproval</v>
      </c>
      <c r="AN4" s="25" t="str">
        <f>IFERROR(__xludf.DUMMYFUNCTION("""COMPUTED_VALUE"""),"VerifyAlertHistory")</f>
        <v>VerifyAlertHistory</v>
      </c>
      <c r="AO4" s="25" t="str">
        <f>IFERROR(__xludf.DUMMYFUNCTION("""COMPUTED_VALUE"""),"EditInterceptorFile")</f>
        <v>EditInterceptorFile</v>
      </c>
      <c r="AP4" s="25" t="str">
        <f>IFERROR(__xludf.DUMMYFUNCTION("""COMPUTED_VALUE"""),"ReplaceInterceptorFile")</f>
        <v>ReplaceInterceptorFile</v>
      </c>
      <c r="AQ4" s="25" t="str">
        <f>IFERROR(__xludf.DUMMYFUNCTION("""COMPUTED_VALUE"""),"RestartReleasesAndServices")</f>
        <v>RestartReleasesAndServices</v>
      </c>
      <c r="AR4" s="25" t="str">
        <f>IFERROR(__xludf.DUMMYFUNCTION("""COMPUTED_VALUE"""),"GetEmail")</f>
        <v>GetEmail</v>
      </c>
      <c r="AS4" s="25" t="str">
        <f>IFERROR(__xludf.DUMMYFUNCTION("""COMPUTED_VALUE"""),"EnableDisableRule")</f>
        <v>EnableDisableRule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IFERROR(__xludf.DUMMYFUNCTION("""COMPUTED_VALUE"""),"Restart Basket")</f>
        <v>Restart Basket</v>
      </c>
      <c r="C5" s="27" t="str">
        <f>IFERROR(__xludf.DUMMYFUNCTION("""COMPUTED_VALUE"""),"DontShutSimulator")</f>
        <v>DontShutSimulator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19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H6" s="9" t="s">
        <v>16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RestartReleasesAndServices!$4:$4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IFERROR(__xludf.DUMMYFUNCTION("""COMPUTED_VALUE"""),"Trade Attribute 01")</f>
        <v>Trade Attribute 01</v>
      </c>
      <c r="AN5" s="29" t="str">
        <f>IFERROR(__xludf.DUMMYFUNCTION("""COMPUTED_VALUE"""),"Trade Attribute 02")</f>
        <v>Trade Attribute 02</v>
      </c>
      <c r="AO5" s="29" t="str">
        <f>IFERROR(__xludf.DUMMYFUNCTION("""COMPUTED_VALUE"""),"Trade Attribute 03")</f>
        <v>Trade Attribute 03</v>
      </c>
      <c r="AP5" s="29" t="str">
        <f>IFERROR(__xludf.DUMMYFUNCTION("""COMPUTED_VALUE"""),"Trade Attribute 04")</f>
        <v>Trade Attribute 04</v>
      </c>
      <c r="AQ5" s="29" t="str">
        <f>IFERROR(__xludf.DUMMYFUNCTION("""COMPUTED_VALUE"""),"Trade Attribute 05")</f>
        <v>Trade Attribute 05</v>
      </c>
      <c r="AR5" s="29" t="str">
        <f>IFERROR(__xludf.DUMMYFUNCTION("""COMPUTED_VALUE"""),"Trade Attribute 06")</f>
        <v>Trade Attribute 06</v>
      </c>
      <c r="AS5" s="29" t="str">
        <f>IFERROR(__xludf.DUMMYFUNCTION("""COMPUTED_VALUE"""),"Trade Attribute 01 suggestion")</f>
        <v>Trade Attribute 01 suggestion</v>
      </c>
      <c r="AT5" s="29" t="str">
        <f>IFERROR(__xludf.DUMMYFUNCTION("""COMPUTED_VALUE"""),"Trade Attribute 02 suggestion")</f>
        <v>Trade Attribute 02 suggestion</v>
      </c>
      <c r="AU5" s="29" t="str">
        <f>IFERROR(__xludf.DUMMYFUNCTION("""COMPUTED_VALUE"""),"Trade Attribute 03 suggestion")</f>
        <v>Trade Attribute 03 suggestion</v>
      </c>
      <c r="AV5" s="29" t="str">
        <f>IFERROR(__xludf.DUMMYFUNCTION("""COMPUTED_VALUE"""),"Trade Attribute 04 suggestion")</f>
        <v>Trade Attribute 04 suggestion</v>
      </c>
      <c r="AW5" s="29" t="str">
        <f>IFERROR(__xludf.DUMMYFUNCTION("""COMPUTED_VALUE"""),"Trade Attribute 05 suggestion")</f>
        <v>Trade Attribute 05 suggestion</v>
      </c>
      <c r="AX5" s="29" t="str">
        <f>IFERROR(__xludf.DUMMYFUNCTION("""COMPUTED_VALUE"""),"Trade Attribute 06 suggestion")</f>
        <v>Trade Attribute 06 suggestion</v>
      </c>
      <c r="AY5" s="29" t="str">
        <f>IFERROR(__xludf.DUMMYFUNCTION("""COMPUTED_VALUE"""),"Strategy")</f>
        <v>Strategy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22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H6" s="9" t="s">
        <v>16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IFERROR(__xludf.DUMMYFUNCTION("IF(C3="""","""",Transpose(IMPORTRANGE('_Settings'!$B$3,C3&amp;""!A4:A1000"")))"),"CheckOpenFinWindowName")</f>
        <v>CheckOpenFinWindowName</v>
      </c>
      <c r="C4" s="24" t="str">
        <f>IFERROR(__xludf.DUMMYFUNCTION("""COMPUTED_VALUE"""),"OpenWindowFromSearch")</f>
        <v>OpenWindowFromSearch</v>
      </c>
      <c r="D4" s="24" t="str">
        <f>IFERROR(__xludf.DUMMYFUNCTION("""COMPUTED_VALUE"""),"VerifyColour")</f>
        <v>VerifyColour</v>
      </c>
      <c r="E4" s="24" t="str">
        <f>IFERROR(__xludf.DUMMYFUNCTION("""COMPUTED_VALUE"""),"OpenReleaseClient")</f>
        <v>OpenReleaseClient</v>
      </c>
      <c r="F4" s="24" t="str">
        <f>IFERROR(__xludf.DUMMYFUNCTION("""COMPUTED_VALUE"""),"ActionOnPageFromSearch")</f>
        <v>ActionOnPageFromSearch</v>
      </c>
      <c r="G4" s="24" t="str">
        <f>IFERROR(__xludf.DUMMYFUNCTION("""COMPUTED_VALUE"""),"SavePageView")</f>
        <v>SavePageView</v>
      </c>
      <c r="H4" s="24" t="str">
        <f>IFERROR(__xludf.DUMMYFUNCTION("""COMPUTED_VALUE"""),"ChangeThemeOnModule")</f>
        <v>ChangeThemeOnModule</v>
      </c>
      <c r="I4" s="24" t="str">
        <f>IFERROR(__xludf.DUMMYFUNCTION("""COMPUTED_VALUE"""),"CloseService")</f>
        <v>CloseService</v>
      </c>
      <c r="J4" s="24" t="str">
        <f>IFERROR(__xludf.DUMMYFUNCTION("""COMPUTED_VALUE"""),"LogOutSamsara")</f>
        <v>LogOutSamsara</v>
      </c>
      <c r="K4" s="24" t="str">
        <f>IFERROR(__xludf.DUMMYFUNCTION("""COMPUTED_VALUE"""),"ResizeEnsure")</f>
        <v>ResizeEnsure</v>
      </c>
      <c r="L4" s="24" t="str">
        <f>IFERROR(__xludf.DUMMYFUNCTION("""COMPUTED_VALUE"""),"VerifyNotification")</f>
        <v>VerifyNotification</v>
      </c>
      <c r="M4" s="24" t="str">
        <f>IFERROR(__xludf.DUMMYFUNCTION("""COMPUTED_VALUE"""),"LockUnlockModule")</f>
        <v>LockUnlockModule</v>
      </c>
      <c r="N4" s="24" t="str">
        <f>IFERROR(__xludf.DUMMYFUNCTION("""COMPUTED_VALUE"""),"OpenModuleFromDock")</f>
        <v>OpenModuleFromDock</v>
      </c>
      <c r="O4" s="24" t="str">
        <f>IFERROR(__xludf.DUMMYFUNCTION("""COMPUTED_VALUE"""),"SavePageRTPNL")</f>
        <v>SavePageRTPNL</v>
      </c>
      <c r="P4" s="25" t="str">
        <f>IFERROR(__xludf.DUMMYFUNCTION("""COMPUTED_VALUE"""),"VerifyToastMessage")</f>
        <v>VerifyToastMessage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IFERROR(__xludf.DUMMYFUNCTION("""COMPUTED_VALUE"""),"OpenWindow")</f>
        <v>OpenWindow</v>
      </c>
      <c r="C5" s="27" t="str">
        <f>IFERROR(__xludf.DUMMYFUNCTION("""COMPUTED_VALUE"""),"TabName")</f>
        <v>TabName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20</v>
      </c>
      <c r="C6" s="12" t="s">
        <v>25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SavePageView!$4:$4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IFERROR(__xludf.DUMMYFUNCTION("IF(C3="""","""",Transpose(IMPORTRANGE('_Settings'!$B$3,C3&amp;""!A4:A1000"")))"),"CheckOpenFinWindowName")</f>
        <v>CheckOpenFinWindowName</v>
      </c>
      <c r="C4" s="24" t="str">
        <f>IFERROR(__xludf.DUMMYFUNCTION("""COMPUTED_VALUE"""),"OpenWindowFromSearch")</f>
        <v>OpenWindowFromSearch</v>
      </c>
      <c r="D4" s="24" t="str">
        <f>IFERROR(__xludf.DUMMYFUNCTION("""COMPUTED_VALUE"""),"VerifyColour")</f>
        <v>VerifyColour</v>
      </c>
      <c r="E4" s="24" t="str">
        <f>IFERROR(__xludf.DUMMYFUNCTION("""COMPUTED_VALUE"""),"OpenReleaseClient")</f>
        <v>OpenReleaseClient</v>
      </c>
      <c r="F4" s="24" t="str">
        <f>IFERROR(__xludf.DUMMYFUNCTION("""COMPUTED_VALUE"""),"ActionOnPageFromSearch")</f>
        <v>ActionOnPageFromSearch</v>
      </c>
      <c r="G4" s="24" t="str">
        <f>IFERROR(__xludf.DUMMYFUNCTION("""COMPUTED_VALUE"""),"SavePageView")</f>
        <v>SavePageView</v>
      </c>
      <c r="H4" s="24" t="str">
        <f>IFERROR(__xludf.DUMMYFUNCTION("""COMPUTED_VALUE"""),"ChangeThemeOnModule")</f>
        <v>ChangeThemeOnModule</v>
      </c>
      <c r="I4" s="24" t="str">
        <f>IFERROR(__xludf.DUMMYFUNCTION("""COMPUTED_VALUE"""),"CloseService")</f>
        <v>CloseService</v>
      </c>
      <c r="J4" s="24" t="str">
        <f>IFERROR(__xludf.DUMMYFUNCTION("""COMPUTED_VALUE"""),"LogOutSamsara")</f>
        <v>LogOutSamsara</v>
      </c>
      <c r="K4" s="24" t="str">
        <f>IFERROR(__xludf.DUMMYFUNCTION("""COMPUTED_VALUE"""),"ResizeEnsure")</f>
        <v>ResizeEnsure</v>
      </c>
      <c r="L4" s="24" t="str">
        <f>IFERROR(__xludf.DUMMYFUNCTION("""COMPUTED_VALUE"""),"VerifyNotification")</f>
        <v>VerifyNotification</v>
      </c>
      <c r="M4" s="24" t="str">
        <f>IFERROR(__xludf.DUMMYFUNCTION("""COMPUTED_VALUE"""),"LockUnlockModule")</f>
        <v>LockUnlockModule</v>
      </c>
      <c r="N4" s="24" t="str">
        <f>IFERROR(__xludf.DUMMYFUNCTION("""COMPUTED_VALUE"""),"OpenModuleFromDock")</f>
        <v>OpenModuleFromDock</v>
      </c>
      <c r="O4" s="24" t="str">
        <f>IFERROR(__xludf.DUMMYFUNCTION("""COMPUTED_VALUE"""),"SavePageRTPNL")</f>
        <v>SavePageRTPNL</v>
      </c>
      <c r="P4" s="25" t="str">
        <f>IFERROR(__xludf.DUMMYFUNCTION("""COMPUTED_VALUE"""),"VerifyToastMessage")</f>
        <v>VerifyToastMessage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IFERROR(__xludf.DUMMYFUNCTION("""COMPUTED_VALUE"""),"OpenWindow")</f>
        <v>OpenWindow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25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OpenWindowFromSearch!$4:$4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IFERROR(__xludf.DUMMYFUNCTION("""COMPUTED_VALUE"""),"Trade Attribute 01")</f>
        <v>Trade Attribute 01</v>
      </c>
      <c r="AN5" s="29" t="str">
        <f>IFERROR(__xludf.DUMMYFUNCTION("""COMPUTED_VALUE"""),"Trade Attribute 02")</f>
        <v>Trade Attribute 02</v>
      </c>
      <c r="AO5" s="29" t="str">
        <f>IFERROR(__xludf.DUMMYFUNCTION("""COMPUTED_VALUE"""),"Trade Attribute 03")</f>
        <v>Trade Attribute 03</v>
      </c>
      <c r="AP5" s="29" t="str">
        <f>IFERROR(__xludf.DUMMYFUNCTION("""COMPUTED_VALUE"""),"Trade Attribute 04")</f>
        <v>Trade Attribute 04</v>
      </c>
      <c r="AQ5" s="29" t="str">
        <f>IFERROR(__xludf.DUMMYFUNCTION("""COMPUTED_VALUE"""),"Trade Attribute 05")</f>
        <v>Trade Attribute 05</v>
      </c>
      <c r="AR5" s="29" t="str">
        <f>IFERROR(__xludf.DUMMYFUNCTION("""COMPUTED_VALUE"""),"Trade Attribute 06")</f>
        <v>Trade Attribute 06</v>
      </c>
      <c r="AS5" s="29" t="str">
        <f>IFERROR(__xludf.DUMMYFUNCTION("""COMPUTED_VALUE"""),"Trade Attribute 01 suggestion")</f>
        <v>Trade Attribute 01 suggestion</v>
      </c>
      <c r="AT5" s="29" t="str">
        <f>IFERROR(__xludf.DUMMYFUNCTION("""COMPUTED_VALUE"""),"Trade Attribute 02 suggestion")</f>
        <v>Trade Attribute 02 suggestion</v>
      </c>
      <c r="AU5" s="29" t="str">
        <f>IFERROR(__xludf.DUMMYFUNCTION("""COMPUTED_VALUE"""),"Trade Attribute 03 suggestion")</f>
        <v>Trade Attribute 03 suggestion</v>
      </c>
      <c r="AV5" s="29" t="str">
        <f>IFERROR(__xludf.DUMMYFUNCTION("""COMPUTED_VALUE"""),"Trade Attribute 04 suggestion")</f>
        <v>Trade Attribute 04 suggestion</v>
      </c>
      <c r="AW5" s="29" t="str">
        <f>IFERROR(__xludf.DUMMYFUNCTION("""COMPUTED_VALUE"""),"Trade Attribute 05 suggestion")</f>
        <v>Trade Attribute 05 suggestion</v>
      </c>
      <c r="AX5" s="29" t="str">
        <f>IFERROR(__xludf.DUMMYFUNCTION("""COMPUTED_VALUE"""),"Trade Attribute 06 suggestion")</f>
        <v>Trade Attribute 06 suggestion</v>
      </c>
      <c r="AY5" s="29" t="str">
        <f>IFERROR(__xludf.DUMMYFUNCTION("""COMPUTED_VALUE"""),"Strategy")</f>
        <v>Strategy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22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H6" s="9" t="s">
        <v>27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CustomOrderTT1!$4:$4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IFERROR(__xludf.DUMMYFUNCTION("IF(C3="""","""",Transpose(IMPORTRANGE('_Settings'!$B$3,C3&amp;""!A4:A1000"")))"),"CheckOpenFinWindowName")</f>
        <v>CheckOpenFinWindowName</v>
      </c>
      <c r="C4" s="24" t="str">
        <f>IFERROR(__xludf.DUMMYFUNCTION("""COMPUTED_VALUE"""),"OpenWindowFromSearch")</f>
        <v>OpenWindowFromSearch</v>
      </c>
      <c r="D4" s="24" t="str">
        <f>IFERROR(__xludf.DUMMYFUNCTION("""COMPUTED_VALUE"""),"VerifyColour")</f>
        <v>VerifyColour</v>
      </c>
      <c r="E4" s="24" t="str">
        <f>IFERROR(__xludf.DUMMYFUNCTION("""COMPUTED_VALUE"""),"OpenReleaseClient")</f>
        <v>OpenReleaseClient</v>
      </c>
      <c r="F4" s="24" t="str">
        <f>IFERROR(__xludf.DUMMYFUNCTION("""COMPUTED_VALUE"""),"ActionOnPageFromSearch")</f>
        <v>ActionOnPageFromSearch</v>
      </c>
      <c r="G4" s="24" t="str">
        <f>IFERROR(__xludf.DUMMYFUNCTION("""COMPUTED_VALUE"""),"SavePageView")</f>
        <v>SavePageView</v>
      </c>
      <c r="H4" s="24" t="str">
        <f>IFERROR(__xludf.DUMMYFUNCTION("""COMPUTED_VALUE"""),"ChangeThemeOnModule")</f>
        <v>ChangeThemeOnModule</v>
      </c>
      <c r="I4" s="24" t="str">
        <f>IFERROR(__xludf.DUMMYFUNCTION("""COMPUTED_VALUE"""),"CloseService")</f>
        <v>CloseService</v>
      </c>
      <c r="J4" s="24" t="str">
        <f>IFERROR(__xludf.DUMMYFUNCTION("""COMPUTED_VALUE"""),"LogOutSamsara")</f>
        <v>LogOutSamsara</v>
      </c>
      <c r="K4" s="24" t="str">
        <f>IFERROR(__xludf.DUMMYFUNCTION("""COMPUTED_VALUE"""),"ResizeEnsure")</f>
        <v>ResizeEnsure</v>
      </c>
      <c r="L4" s="24" t="str">
        <f>IFERROR(__xludf.DUMMYFUNCTION("""COMPUTED_VALUE"""),"VerifyNotification")</f>
        <v>VerifyNotification</v>
      </c>
      <c r="M4" s="24" t="str">
        <f>IFERROR(__xludf.DUMMYFUNCTION("""COMPUTED_VALUE"""),"LockUnlockModule")</f>
        <v>LockUnlockModule</v>
      </c>
      <c r="N4" s="24" t="str">
        <f>IFERROR(__xludf.DUMMYFUNCTION("""COMPUTED_VALUE"""),"OpenModuleFromDock")</f>
        <v>OpenModuleFromDock</v>
      </c>
      <c r="O4" s="24" t="str">
        <f>IFERROR(__xludf.DUMMYFUNCTION("""COMPUTED_VALUE"""),"SavePageRTPNL")</f>
        <v>SavePageRTPNL</v>
      </c>
      <c r="P4" s="25" t="str">
        <f>IFERROR(__xludf.DUMMYFUNCTION("""COMPUTED_VALUE"""),"VerifyToastMessage")</f>
        <v>VerifyToastMessage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IFERROR(__xludf.DUMMYFUNCTION("""COMPUTED_VALUE"""),"OpenWindow")</f>
        <v>OpenWindow</v>
      </c>
      <c r="C5" s="27" t="str">
        <f>IFERROR(__xludf.DUMMYFUNCTION("""COMPUTED_VALUE"""),"TabName")</f>
        <v>TabName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20</v>
      </c>
      <c r="C6" s="12" t="s">
        <v>28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SavePageView1!$4:$4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IFERROR(__xludf.DUMMYFUNCTION("IF(C3="""","""",Transpose(IMPORTRANGE('_Settings'!$B$3,C3&amp;""!A4:A1000"")))"),"CheckOpenFinWindowName")</f>
        <v>CheckOpenFinWindowName</v>
      </c>
      <c r="C4" s="24" t="str">
        <f>IFERROR(__xludf.DUMMYFUNCTION("""COMPUTED_VALUE"""),"OpenWindowFromSearch")</f>
        <v>OpenWindowFromSearch</v>
      </c>
      <c r="D4" s="24" t="str">
        <f>IFERROR(__xludf.DUMMYFUNCTION("""COMPUTED_VALUE"""),"VerifyColour")</f>
        <v>VerifyColour</v>
      </c>
      <c r="E4" s="24" t="str">
        <f>IFERROR(__xludf.DUMMYFUNCTION("""COMPUTED_VALUE"""),"OpenReleaseClient")</f>
        <v>OpenReleaseClient</v>
      </c>
      <c r="F4" s="24" t="str">
        <f>IFERROR(__xludf.DUMMYFUNCTION("""COMPUTED_VALUE"""),"ActionOnPageFromSearch")</f>
        <v>ActionOnPageFromSearch</v>
      </c>
      <c r="G4" s="24" t="str">
        <f>IFERROR(__xludf.DUMMYFUNCTION("""COMPUTED_VALUE"""),"SavePageView")</f>
        <v>SavePageView</v>
      </c>
      <c r="H4" s="24" t="str">
        <f>IFERROR(__xludf.DUMMYFUNCTION("""COMPUTED_VALUE"""),"ChangeThemeOnModule")</f>
        <v>ChangeThemeOnModule</v>
      </c>
      <c r="I4" s="24" t="str">
        <f>IFERROR(__xludf.DUMMYFUNCTION("""COMPUTED_VALUE"""),"CloseService")</f>
        <v>CloseService</v>
      </c>
      <c r="J4" s="24" t="str">
        <f>IFERROR(__xludf.DUMMYFUNCTION("""COMPUTED_VALUE"""),"LogOutSamsara")</f>
        <v>LogOutSamsara</v>
      </c>
      <c r="K4" s="24" t="str">
        <f>IFERROR(__xludf.DUMMYFUNCTION("""COMPUTED_VALUE"""),"ResizeEnsure")</f>
        <v>ResizeEnsure</v>
      </c>
      <c r="L4" s="24" t="str">
        <f>IFERROR(__xludf.DUMMYFUNCTION("""COMPUTED_VALUE"""),"VerifyNotification")</f>
        <v>VerifyNotification</v>
      </c>
      <c r="M4" s="24" t="str">
        <f>IFERROR(__xludf.DUMMYFUNCTION("""COMPUTED_VALUE"""),"LockUnlockModule")</f>
        <v>LockUnlockModule</v>
      </c>
      <c r="N4" s="24" t="str">
        <f>IFERROR(__xludf.DUMMYFUNCTION("""COMPUTED_VALUE"""),"OpenModuleFromDock")</f>
        <v>OpenModuleFromDock</v>
      </c>
      <c r="O4" s="24" t="str">
        <f>IFERROR(__xludf.DUMMYFUNCTION("""COMPUTED_VALUE"""),"SavePageRTPNL")</f>
        <v>SavePageRTPNL</v>
      </c>
      <c r="P4" s="25" t="str">
        <f>IFERROR(__xludf.DUMMYFUNCTION("""COMPUTED_VALUE"""),"VerifyToastMessage")</f>
        <v>VerifyToastMessage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IFERROR(__xludf.DUMMYFUNCTION("""COMPUTED_VALUE"""),"OpenWindow")</f>
        <v>OpenWindow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28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OpenWindowFromSearch1!$4:$4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 t="str">
        <f>IFERROR(__xludf.DUMMYFUNCTION("""COMPUTED_VALUE"""),"VerifyTradeSummary")</f>
        <v>VerifyTradeSummary</v>
      </c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IFERROR(__xludf.DUMMYFUNCTION("""COMPUTED_VALUE"""),"Add/Set")</f>
        <v>Add/Set</v>
      </c>
      <c r="D5" s="27" t="str">
        <f>IFERROR(__xludf.DUMMYFUNCTION("""COMPUTED_VALUE"""),"Type")</f>
        <v>Type</v>
      </c>
      <c r="E5" s="27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7" t="str">
        <f>IFERROR(__xludf.DUMMYFUNCTION("""COMPUTED_VALUE"""),"Combined Account Total")</f>
        <v>Combined Account Total</v>
      </c>
      <c r="H5" s="27" t="str">
        <f>IFERROR(__xludf.DUMMYFUNCTION("""COMPUTED_VALUE"""),"MasterFund/Account")</f>
        <v>MasterFund/Account</v>
      </c>
      <c r="I5" s="27" t="str">
        <f>IFERROR(__xludf.DUMMYFUNCTION("""COMPUTED_VALUE"""),"Accounts")</f>
        <v>Accounts</v>
      </c>
      <c r="J5" s="27" t="str">
        <f>IFERROR(__xludf.DUMMYFUNCTION("""COMPUTED_VALUE"""),"Master Funds")</f>
        <v>Master Funds</v>
      </c>
      <c r="K5" s="27" t="str">
        <f>IFERROR(__xludf.DUMMYFUNCTION("""COMPUTED_VALUE"""),"Round Lots")</f>
        <v>Round Lots</v>
      </c>
      <c r="L5" s="27" t="str">
        <f>IFERROR(__xludf.DUMMYFUNCTION("""COMPUTED_VALUE"""),"Use Custodian Broker")</f>
        <v>Use Custodian Broker</v>
      </c>
      <c r="M5" s="27" t="str">
        <f>IFERROR(__xludf.DUMMYFUNCTION("""COMPUTED_VALUE"""),"Broker")</f>
        <v>Broker</v>
      </c>
      <c r="N5" s="27" t="str">
        <f>IFERROR(__xludf.DUMMYFUNCTION("""COMPUTED_VALUE"""),"Venue")</f>
        <v>Venue</v>
      </c>
      <c r="O5" s="27" t="str">
        <f>IFERROR(__xludf.DUMMYFUNCTION("""COMPUTED_VALUE"""),"TIF")</f>
        <v>TIF</v>
      </c>
      <c r="P5" s="27" t="str">
        <f>IFERROR(__xludf.DUMMYFUNCTION("""COMPUTED_VALUE"""),"Order Type")</f>
        <v>Order Type</v>
      </c>
      <c r="Q5" s="27" t="str">
        <f>IFERROR(__xludf.DUMMYFUNCTION("""COMPUTED_VALUE"""),"Stop")</f>
        <v>Stop</v>
      </c>
      <c r="R5" s="27" t="str">
        <f>IFERROR(__xludf.DUMMYFUNCTION("""COMPUTED_VALUE"""),"Limit")</f>
        <v>Limit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31</v>
      </c>
      <c r="D6" s="12"/>
      <c r="E6" s="30"/>
      <c r="F6" s="8"/>
      <c r="G6" s="8"/>
      <c r="H6" s="12" t="s">
        <v>32</v>
      </c>
      <c r="I6" s="12" t="s">
        <v>33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CalculatePTT!$4:$4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