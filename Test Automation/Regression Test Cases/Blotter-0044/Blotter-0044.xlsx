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ddFillsSubOrder" sheetId="6" r:id="rId8"/>
    <sheet state="visible" name="EditAddFillsDetails" sheetId="7" r:id="rId9"/>
    <sheet state="visible" name="VerifyViewAllocationDetails" sheetId="8" r:id="rId10"/>
  </sheets>
  <definedNames/>
  <calcPr/>
</workbook>
</file>

<file path=xl/sharedStrings.xml><?xml version="1.0" encoding="utf-8"?>
<sst xmlns="http://schemas.openxmlformats.org/spreadsheetml/2006/main" count="58" uniqueCount="25">
  <si>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</si>
  <si>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</si>
  <si>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</si>
  <si>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</si>
  <si>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</si>
  <si>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</si>
  <si>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</si>
  <si>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</si>
  <si>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</si>
  <si>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</si>
  <si>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</si>
  <si>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</si>
  <si>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</si>
  <si>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</si>
  <si>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</si>
  <si>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</si>
  <si>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</si>
  <si>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</si>
  <si>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</si>
  <si>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</si>
  <si>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SelectTradeOnOrderGrid</t>
  </si>
  <si>
    <t>New</t>
  </si>
  <si>
    <t>AddFillsSubOrder</t>
  </si>
  <si>
    <t>EditAddFillsDetails</t>
  </si>
  <si>
    <t>VerifyViewAllocationDetails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</si>
</sst>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IFERROR(__xludf.DUMMYFUNCTION("""COMPUTED_VALUE"""),"1BmRHukyQ4miHL0fDoU1ytWmIfZkbbUhts6aUXOoJt1M")</f>
        <v>1BmRHukyQ4miHL0fDoU1ytWmIfZkbbUhts6aUXOoJt1M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IFERROR(__xludf.DUMMYFUNCTION("""COMPUTED_VALUE"""),"1ultylVChPDBFQEPMhDgNhsGAOiEjOy4yrylpQgIIDRs")</f>
        <v>1ultylVChPDBFQEPMhDgNhsGAOiEjOy4yrylpQgIIDRs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IFERROR(__xludf.DUMMYFUNCTION("""COMPUTED_VALUE"""),"1kfuraVHmWK4GQJ5l-V_xi5ZOvrVVE_6df75wO3Tczkw")</f>
        <v>1kfuraVHmWK4GQJ5l-V_xi5ZOvrVVE_6df75wO3Tczkw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IFERROR(__xludf.DUMMYFUNCTION("""COMPUTED_VALUE"""),"16WxFw58KivOf3P1utNNMuCYVONlWBgTIRn0wVd6Sq10")</f>
        <v>16WxFw58KivOf3P1utNNMuCYVONlWBgTIRn0wVd6Sq10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IFERROR(__xludf.DUMMYFUNCTION("""COMPUTED_VALUE"""),"1niCpVuSl0IoWtjAcvElNI0GeVHeA4cKvepxzq7Z4t0Y")</f>
        <v>1niCpVuSl0IoWtjAcvElNI0GeVHeA4cKvepxzq7Z4t0Y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IFERROR(__xludf.DUMMYFUNCTION("""COMPUTED_VALUE"""),"1c3AV5tCWYyTG5GupbNYTh4Y6mBGeI5Q18WF7jbA_FoE")</f>
        <v>1c3AV5tCWYyTG5GupbNYTh4Y6mBGeI5Q18WF7jbA_FoE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IFERROR(__xludf.DUMMYFUNCTION("""COMPUTED_VALUE"""),"1X6nskWL8-xWWF-gN9qfxhhV3aBuAeoxKsrdra5tJcpQ")</f>
        <v>1X6nskWL8-xWWF-gN9qfxhhV3aBuAeoxKsrdra5tJcpQ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IFERROR(__xludf.DUMMYFUNCTION("""COMPUTED_VALUE"""),"1OPa8vYQi1QXXNENlCNdP6ay_L5vU7WyWP5dErE2KHEA")</f>
        <v>1OPa8vYQi1QXXNENlCNdP6ay_L5vU7WyWP5dErE2KHEA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IFERROR(__xludf.DUMMYFUNCTION("""COMPUTED_VALUE"""),"1Km85kIYSTzG-NQHFDL8ZVRQQ0TKLUDOYsw-kdDX29xE")</f>
        <v>1Km85kIYSTzG-NQHFDL8ZVRQQ0TKLUDOYsw-kdDX29xE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IFERROR(__xludf.DUMMYFUNCTION("""COMPUTED_VALUE"""),"1jyPRPc_0lTWCpP9oldB5fgtg2dy3jSnXLkS_qYf40-I")</f>
        <v>1jyPRPc_0lTWCpP9oldB5fgtg2dy3jSnXLkS_qYf40-I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IFERROR(__xludf.DUMMYFUNCTION("""COMPUTED_VALUE"""),"1ym14EKcw7B3au8SvVteq2gmFR3cDcsMvQQEIm0TQjf4")</f>
        <v>1ym14EKcw7B3au8SvVteq2gmFR3cDcsMvQQEIm0TQjf4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IFERROR(__xludf.DUMMYFUNCTION("""COMPUTED_VALUE"""),"1iFsjUbnYA0Jwd89eYQjg5OrnW3lr2WGVb5quimwHrRw")</f>
        <v>1iFsjUbnYA0Jwd89eYQjg5OrnW3lr2WGVb5quimwHrRw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IFERROR(__xludf.DUMMYFUNCTION("""COMPUTED_VALUE"""),"14VkN8stineosylh8hvnYNK-GMxNG0uFZBKPjv00GOVc")</f>
        <v>14VkN8stineosylh8hvnYNK-GMxNG0uFZBKPjv00GOVc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IFERROR(__xludf.DUMMYFUNCTION("""COMPUTED_VALUE"""),"1NbH6CrAG4P2-tfFJ5m9jUCbnHY9N7cAluffYy9kFrtg")</f>
        <v>1NbH6CrAG4P2-tfFJ5m9jUCbnHY9N7cAluffYy9kFrtg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IFERROR(__xludf.DUMMYFUNCTION("""COMPUTED_VALUE"""),"1Zhte_TGc173a8WWc7feC_7HQ_A-M9Q7Np-aK2NPeTIo")</f>
        <v>1Zhte_TGc173a8WWc7feC_7HQ_A-M9Q7Np-aK2NPeTIo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IFERROR(__xludf.DUMMYFUNCTION("""COMPUTED_VALUE"""),"SetDefaultSymbology")</f>
        <v>SetDefaultSymbology</v>
      </c>
      <c r="C453" t="str">
        <f>IFERROR(__xludf.DUMMYFUNCTION("""COMPUTED_VALUE"""),"1b7zlTIVQjL2vZc0hUNmY0Nj3YpQi8BtYcWMr8_hvABw")</f>
        <v>1b7zlTIVQjL2vZc0hUNmY0Nj3YpQi8BtYcWMr8_hvABw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IFERROR(__xludf.DUMMYFUNCTION("""COMPUTED_VALUE"""),"EnterCustomAllocatePreference")</f>
        <v>EnterCustomAllocatePreference</v>
      </c>
      <c r="C454" t="str">
        <f>IFERROR(__xludf.DUMMYFUNCTION("""COMPUTED_VALUE"""),"1eNnQSyrPr_L4TcV7izBj89sySDQaYK6gNqNVbd2ChKE")</f>
        <v>1eNnQSyrPr_L4TcV7izBj89sySDQaYK6gNqNVbd2ChKE</v>
      </c>
    </row>
    <row r="455" ht="15.75" customHeight="1">
      <c r="A455" t="str">
        <f>IFERROR(__xludf.DUMMYFUNCTION("""COMPUTED_VALUE"""),"PTT")</f>
        <v>PTT</v>
      </c>
      <c r="B455" t="str">
        <f>IFERROR(__xludf.DUMMYFUNCTION("""COMPUTED_VALUE"""),"EditPTTAccountLevelWPF")</f>
        <v>EditPTTAccountLevelWPF</v>
      </c>
      <c r="C455" t="str">
        <f>IFERROR(__xludf.DUMMYFUNCTION("""COMPUTED_VALUE"""),"1lkoB4yg9KAzhNswvpJ9xWcz4YPaysGRGQuXBp7wigzQ")</f>
        <v>1lkoB4yg9KAzhNswvpJ9xWcz4YPaysGRGQuXBp7wigzQ</v>
      </c>
    </row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16</v>
      </c>
      <c r="C6" s="11" t="s">
        <v>17</v>
      </c>
      <c r="D6" s="11">
        <v>5000.0</v>
      </c>
      <c r="E6" s="11">
        <v>2000.0</v>
      </c>
      <c r="F6" s="11" t="s">
        <v>18</v>
      </c>
      <c r="G6" s="8"/>
      <c r="H6" s="8"/>
      <c r="I6" s="8"/>
      <c r="J6" s="11">
        <v>15.0</v>
      </c>
      <c r="K6" s="8"/>
      <c r="L6" s="8"/>
      <c r="M6" s="8"/>
      <c r="N6" s="30">
        <f>Today()</f>
        <v>44102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21</v>
      </c>
      <c r="H6" s="11">
        <v>5000.0</v>
      </c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        ")</f>
        <v>Allocation Scheme Name        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IFERROR(__xludf.DUMMYFUNCTION("""COMPUTED_VALUE"""),"Allocation Status")</f>
        <v>Allocation Status</v>
      </c>
      <c r="AW5" s="29" t="str">
        <f>IFERROR(__xludf.DUMMYFUNCTION("""COMPUTED_VALUE"""),"Source")</f>
        <v>Source</v>
      </c>
      <c r="AX5" s="29" t="str">
        <f>IFERROR(__xludf.DUMMYFUNCTION("""COMPUTED_VALUE"""),"Strategy")</f>
        <v>Strategy</v>
      </c>
      <c r="AY5" s="29" t="str">
        <f>IFERROR(__xludf.DUMMYFUNCTION("""COMPUTED_VALUE"""),"Unexecuted Qty")</f>
        <v>Unexecuted Qty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1" t="s">
        <v>16</v>
      </c>
      <c r="E6" s="8"/>
      <c r="F6" s="11" t="s">
        <v>17</v>
      </c>
      <c r="G6" s="11" t="s">
        <v>21</v>
      </c>
      <c r="H6" s="11">
        <v>5000.0</v>
      </c>
      <c r="I6" s="8"/>
      <c r="J6" s="8"/>
      <c r="K6" s="8"/>
      <c r="L6" s="8"/>
      <c r="M6" s="8"/>
      <c r="N6" s="8"/>
      <c r="O6" s="11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IFERROR(__xludf.DUMMYFUNCTION("""COMPUTED_VALUE"""),"Fill")</f>
        <v>Fill</v>
      </c>
      <c r="C5" s="27" t="str">
        <f>IFERROR(__xludf.DUMMYFUNCTION("""COMPUTED_VALUE"""),"Last Fill Price (Local)")</f>
        <v>Last Fill Price (Local)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>
        <v>1500.0</v>
      </c>
      <c r="C6" s="11">
        <v>15.0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IFERROR(__xludf.DUMMYFUNCTION("""COMPUTED_VALUE"""),"% of Order")</f>
        <v>% of Order</v>
      </c>
      <c r="D5" s="27" t="str">
        <f>IFERROR(__xludf.DUMMYFUNCTION("""COMPUTED_VALUE"""),"Allocation %")</f>
        <v>Allocation %</v>
      </c>
      <c r="E5" s="27" t="str">
        <f>IFERROR(__xludf.DUMMYFUNCTION("""COMPUTED_VALUE"""),"Allocated Qty")</f>
        <v>Allocated Qty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18</v>
      </c>
      <c r="C6" s="8"/>
      <c r="D6" s="8"/>
      <c r="E6" s="11">
        <v>3500.0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