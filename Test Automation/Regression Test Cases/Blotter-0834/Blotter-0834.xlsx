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SelectTrade" sheetId="5" r:id="rId8"/>
    <sheet state="visible" name="AcknowledgeTrade" sheetId="6" r:id="rId9"/>
    <sheet state="visible" name="ExecuteTrade" sheetId="7" r:id="rId10"/>
    <sheet state="visible" name="SelectTrade1" sheetId="8" r:id="rId11"/>
    <sheet state="visible" name="AcknowledgeTrade1" sheetId="9" r:id="rId12"/>
    <sheet state="visible" name="ExecuteTrade1" sheetId="10" r:id="rId13"/>
    <sheet state="visible" name="SelectTradeOnOrderGrid" sheetId="11" r:id="rId14"/>
    <sheet state="visible" name="VerifySubOrder" sheetId="12" r:id="rId15"/>
    <sheet state="visible" name="SelectTradeOnOrderGrid1" sheetId="13" r:id="rId16"/>
    <sheet state="visible" name="VerifySubOrder1" sheetId="14" r:id="rId17"/>
    <sheet state="visible" name="GetExecutionReportOrders" sheetId="15" r:id="rId18"/>
    <sheet state="visible" name="VerifyExecutionReport" sheetId="16" r:id="rId19"/>
  </sheets>
  <definedNames/>
  <calcPr/>
  <extLst>
    <ext uri="GoogleSheetsCustomDataVersion2">
      <go:sheetsCustomData xmlns:go="http://customooxmlschemas.google.com/" r:id="rId20" roundtripDataChecksum="/Y2Bj9urNqnZPW5R1ZRUWknejqeTrJNmMmiUP7a7tlQ="/>
    </ext>
  </extLst>
</workbook>
</file>

<file path=xl/sharedStrings.xml><?xml version="1.0" encoding="utf-8"?>
<sst xmlns="http://schemas.openxmlformats.org/spreadsheetml/2006/main" count="174" uniqueCount="45">
  <si>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</si>
  <si>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</si>
  <si>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</si>
  <si>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</si>
  <si>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</si>
  <si>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</si>
  <si>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</si>
  <si>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</si>
  <si>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</si>
  <si>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</si>
  <si>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</si>
  <si>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</si>
  <si>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</si>
  <si>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</si>
  <si>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</si>
  <si>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</si>
  <si>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</si>
  <si>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</si>
  <si>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</si>
  <si>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</si>
  <si>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</si>
  <si>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</si>
  <si>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</si>
  <si>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</si>
  <si>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</si>
  <si>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</si>
  <si>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</si>
  <si>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</si>
  <si>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VerifySubOrder</t>
  </si>
  <si>
    <t>AAPL US EQUITY</t>
  </si>
  <si>
    <t>NASDAQ</t>
  </si>
  <si>
    <t>jpearce</t>
  </si>
  <si>
    <t>GCCAP1</t>
  </si>
  <si>
    <t>USD</t>
  </si>
  <si>
    <t>NONE</t>
  </si>
  <si>
    <t>M</t>
  </si>
  <si>
    <t>Equity</t>
  </si>
  <si>
    <t>PartiallyFilled</t>
  </si>
  <si>
    <t>MS</t>
  </si>
  <si>
    <t>Allocation1</t>
  </si>
  <si>
    <t>Market</t>
  </si>
  <si>
    <t>Manual</t>
  </si>
  <si>
    <t>MSFT US EQUITY</t>
  </si>
  <si>
    <t>GetExecutionReportOrders</t>
  </si>
  <si>
    <t>VerifyExecutionReport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</si>
</sst>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4" fillId="3" fontId="7" numFmtId="0" xfId="0" applyBorder="1" applyFont="1"/>
    <xf borderId="4" fillId="3" fontId="8" numFmtId="0" xfId="0" applyBorder="1" applyFont="1"/>
    <xf borderId="0" fillId="0" fontId="8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7" numFmtId="0" xfId="0" applyFont="1"/>
    <xf borderId="4" fillId="3" fontId="9" numFmtId="0" xfId="0" applyBorder="1" applyFont="1"/>
    <xf borderId="4" fillId="4" fontId="10" numFmtId="0" xfId="0" applyBorder="1" applyFill="1" applyFont="1"/>
    <xf borderId="4" fillId="4" fontId="11" numFmtId="0" xfId="0" applyBorder="1" applyFont="1"/>
    <xf borderId="4" fillId="5" fontId="4" numFmtId="0" xfId="0" applyBorder="1" applyFill="1" applyFont="1"/>
    <xf borderId="4" fillId="5" fontId="9" numFmtId="0" xfId="0" applyBorder="1" applyFont="1"/>
    <xf borderId="0" fillId="0" fontId="5" numFmtId="0" xfId="0" applyAlignment="1" applyFont="1">
      <alignment horizontal="right"/>
    </xf>
    <xf borderId="0" fillId="0" fontId="5" numFmtId="14" xfId="0" applyAlignment="1" applyFont="1" applyNumberFormat="1">
      <alignment horizontal="right"/>
    </xf>
    <xf borderId="0" fillId="0" fontId="12" numFmtId="0" xfId="0" applyAlignment="1" applyFont="1">
      <alignment horizontal="right" vertical="bottom"/>
    </xf>
    <xf borderId="5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4"/>
      <c r="H5" s="4"/>
      <c r="I5" s="4"/>
      <c r="J5" s="4"/>
      <c r="K5" s="4"/>
      <c r="L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4"/>
      <c r="H8" s="4"/>
      <c r="I8" s="4"/>
      <c r="J8" s="4"/>
      <c r="K8" s="4"/>
      <c r="L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4"/>
      <c r="H10" s="4"/>
      <c r="I10" s="4"/>
      <c r="J10" s="4"/>
      <c r="K10" s="4"/>
      <c r="L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4"/>
      <c r="H11" s="4"/>
      <c r="I11" s="4"/>
      <c r="J11" s="4"/>
      <c r="K11" s="4"/>
      <c r="L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4"/>
      <c r="H12" s="4"/>
      <c r="I12" s="4"/>
      <c r="J12" s="4"/>
      <c r="K12" s="4"/>
      <c r="L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4"/>
      <c r="H13" s="4"/>
      <c r="I13" s="4"/>
      <c r="J13" s="4"/>
      <c r="K13" s="4"/>
      <c r="L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4"/>
      <c r="H14" s="4"/>
      <c r="I14" s="4"/>
      <c r="J14" s="4"/>
      <c r="K14" s="4"/>
      <c r="L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4"/>
      <c r="H15" s="4"/>
      <c r="I15" s="4"/>
      <c r="J15" s="4"/>
      <c r="K15" s="4"/>
      <c r="L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4"/>
      <c r="H16" s="4"/>
      <c r="I16" s="4"/>
      <c r="J16" s="4"/>
      <c r="K16" s="4"/>
      <c r="L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4"/>
      <c r="H17" s="4"/>
      <c r="I17" s="4"/>
      <c r="J17" s="4"/>
      <c r="K17" s="4"/>
      <c r="L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4"/>
      <c r="H19" s="4"/>
      <c r="I19" s="4"/>
      <c r="J19" s="4"/>
      <c r="K19" s="4"/>
      <c r="L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 t="str">
        <f>IFERROR(__xludf.DUMMYFUNCTION("""COMPUTED_VALUE"""),"SymbolLookup")</f>
        <v>SymbolLookup</v>
      </c>
      <c r="B34" s="4" t="str">
        <f>IFERROR(__xludf.DUMMYFUNCTION("""COMPUTED_VALUE"""),"SymbolLookupFromTT")</f>
        <v>SymbolLookupFromTT</v>
      </c>
      <c r="C34" s="4" t="str">
        <f>IFERROR(__xludf.DUMMYFUNCTION("""COMPUTED_VALUE"""),"1gDvMDcnV_Cq-gd3uSiTszH4Q8IYBAMQu9lTMq8Rpy3o")</f>
        <v>1gDvMDcnV_Cq-gd3uSiTszH4Q8IYBAMQu9lTMq8Rpy3o</v>
      </c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 t="str">
        <f>IFERROR(__xludf.DUMMYFUNCTION("""COMPUTED_VALUE"""),"SymbolLookup")</f>
        <v>SymbolLookup</v>
      </c>
      <c r="B35" s="4" t="str">
        <f>IFERROR(__xludf.DUMMYFUNCTION("""COMPUTED_VALUE"""),"UpdateUDA")</f>
        <v>UpdateUDA</v>
      </c>
      <c r="C35" s="4" t="str">
        <f>IFERROR(__xludf.DUMMYFUNCTION("""COMPUTED_VALUE"""),"1dhqVPgdlk0qqXkJ78cDzBf_Mq3MegKBc6RXPw3xiPrw")</f>
        <v>1dhqVPgdlk0qqXkJ78cDzBf_Mq3MegKBc6RXPw3xiPrw</v>
      </c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 t="str">
        <f>IFERROR(__xludf.DUMMYFUNCTION("""COMPUTED_VALUE"""),"SymbolLookup")</f>
        <v>SymbolLookup</v>
      </c>
      <c r="B36" s="4" t="str">
        <f>IFERROR(__xludf.DUMMYFUNCTION("""COMPUTED_VALUE"""),"GetSymbol")</f>
        <v>GetSymbol</v>
      </c>
      <c r="C36" s="4" t="str">
        <f>IFERROR(__xludf.DUMMYFUNCTION("""COMPUTED_VALUE"""),"173hAXGieMVvXY5pe0UbKu68RfryU3RaXKikGhyg-rOo")</f>
        <v>173hAXGieMVvXY5pe0UbKu68RfryU3RaXKikGhyg-rOo</v>
      </c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 t="str">
        <f>IFERROR(__xludf.DUMMYFUNCTION("""COMPUTED_VALUE"""),"SymbolLookup")</f>
        <v>SymbolLookup</v>
      </c>
      <c r="B37" s="4" t="str">
        <f>IFERROR(__xludf.DUMMYFUNCTION("""COMPUTED_VALUE"""),"GetDataSymbolLookup")</f>
        <v>GetDataSymbolLookup</v>
      </c>
      <c r="C37" s="4" t="str">
        <f>IFERROR(__xludf.DUMMYFUNCTION("""COMPUTED_VALUE"""),"1NAyBh7MvMUe-ymIgaMjhvCcTdXRrdfoOqa5k2oEkEtY")</f>
        <v>1NAyBh7MvMUe-ymIgaMjhvCcTdXRrdfoOqa5k2oEkEtY</v>
      </c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 t="str">
        <f>IFERROR(__xludf.DUMMYFUNCTION("""COMPUTED_VALUE"""),"SymbolLookup")</f>
        <v>SymbolLookup</v>
      </c>
      <c r="B38" s="4" t="str">
        <f>IFERROR(__xludf.DUMMYFUNCTION("""COMPUTED_VALUE"""),"DeleteValidateSymbol")</f>
        <v>DeleteValidateSymbol</v>
      </c>
      <c r="C38" s="4" t="str">
        <f>IFERROR(__xludf.DUMMYFUNCTION("""COMPUTED_VALUE"""),"1WIb_XXxmZPR_GUhoObQfZ6l1pKvOl5CWOE5mnz2ftU0")</f>
        <v>1WIb_XXxmZPR_GUhoObQfZ6l1pKvOl5CWOE5mnz2ftU0</v>
      </c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 t="str">
        <f>IFERROR(__xludf.DUMMYFUNCTION("""COMPUTED_VALUE"""),"ThirdParty")</f>
        <v>ThirdParty</v>
      </c>
      <c r="B39" s="4" t="str">
        <f>IFERROR(__xludf.DUMMYFUNCTION("""COMPUTED_VALUE"""),"GenerateThirdParty")</f>
        <v>GenerateThirdParty</v>
      </c>
      <c r="C39" s="4" t="str">
        <f>IFERROR(__xludf.DUMMYFUNCTION("""COMPUTED_VALUE"""),"1MME0WB8RmCV2QKgHuWbTvubmaZmPuF0knOKGp2GUg7o")</f>
        <v>1MME0WB8RmCV2QKgHuWbTvubmaZmPuF0knOKGp2GUg7o</v>
      </c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 t="str">
        <f>IFERROR(__xludf.DUMMYFUNCTION("""COMPUTED_VALUE"""),"ThirdParty")</f>
        <v>ThirdParty</v>
      </c>
      <c r="B40" s="4" t="str">
        <f>IFERROR(__xludf.DUMMYFUNCTION("""COMPUTED_VALUE"""),"SendThirdParty")</f>
        <v>SendThirdParty</v>
      </c>
      <c r="C40" s="4" t="str">
        <f>IFERROR(__xludf.DUMMYFUNCTION("""COMPUTED_VALUE"""),"1Rq8zeuYkGxaBxmemqN7Z1OVWnaheHVEDxVozT52myRI")</f>
        <v>1Rq8zeuYkGxaBxmemqN7Z1OVWnaheHVEDxVozT52myRI</v>
      </c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 t="str">
        <f>IFERROR(__xludf.DUMMYFUNCTION("""COMPUTED_VALUE"""),"ThirdParty")</f>
        <v>ThirdParty</v>
      </c>
      <c r="B41" s="4" t="str">
        <f>IFERROR(__xludf.DUMMYFUNCTION("""COMPUTED_VALUE"""),"ViewThirdParty")</f>
        <v>ViewThirdParty</v>
      </c>
      <c r="C41" s="4" t="str">
        <f>IFERROR(__xludf.DUMMYFUNCTION("""COMPUTED_VALUE"""),"1UalkAEsbJcZQAzEnT3T29et4u4PKQ3n66SBTt1HPqVc")</f>
        <v>1UalkAEsbJcZQAzEnT3T29et4u4PKQ3n66SBTt1HPqVc</v>
      </c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 t="str">
        <f>IFERROR(__xludf.DUMMYFUNCTION("""COMPUTED_VALUE"""),"ThirdParty")</f>
        <v>ThirdParty</v>
      </c>
      <c r="B42" s="4" t="str">
        <f>IFERROR(__xludf.DUMMYFUNCTION("""COMPUTED_VALUE"""),"SelectThirdPartyName")</f>
        <v>SelectThirdPartyName</v>
      </c>
      <c r="C42" s="4" t="str">
        <f>IFERROR(__xludf.DUMMYFUNCTION("""COMPUTED_VALUE"""),"1Ed9yVUP6QBHgE31eiooLDUHG0Yf2VM_w3I1hshQOHqI")</f>
        <v>1Ed9yVUP6QBHgE31eiooLDUHG0Yf2VM_w3I1hshQOHqI</v>
      </c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 t="str">
        <f>IFERROR(__xludf.DUMMYFUNCTION("""COMPUTED_VALUE"""),"ThirdParty")</f>
        <v>ThirdParty</v>
      </c>
      <c r="B43" s="4" t="str">
        <f>IFERROR(__xludf.DUMMYFUNCTION("""COMPUTED_VALUE"""),"VerifyThirdPartyData")</f>
        <v>VerifyThirdPartyData</v>
      </c>
      <c r="C43" s="4" t="str">
        <f>IFERROR(__xludf.DUMMYFUNCTION("""COMPUTED_VALUE"""),"1bnzX2PjXEMH6TjD42kz9rbl4I5pggAPDV-6J94ie3aA")</f>
        <v>1bnzX2PjXEMH6TjD42kz9rbl4I5pggAPDV-6J94ie3aA</v>
      </c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 t="str">
        <f>IFERROR(__xludf.DUMMYFUNCTION("""COMPUTED_VALUE"""),"CorporateAction")</f>
        <v>CorporateAction</v>
      </c>
      <c r="B44" s="4" t="str">
        <f>IFERROR(__xludf.DUMMYFUNCTION("""COMPUTED_VALUE"""),"CleanUp")</f>
        <v>CleanUp</v>
      </c>
      <c r="C44" s="4" t="str">
        <f>IFERROR(__xludf.DUMMYFUNCTION("""COMPUTED_VALUE"""),"Undefined")</f>
        <v>Undefined</v>
      </c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 t="str">
        <f>IFERROR(__xludf.DUMMYFUNCTION("""COMPUTED_VALUE"""),"PST")</f>
        <v>PST</v>
      </c>
      <c r="B45" s="4" t="str">
        <f>IFERROR(__xludf.DUMMYFUNCTION("""COMPUTED_VALUE"""),"RunPST")</f>
        <v>RunPST</v>
      </c>
      <c r="C45" s="4" t="str">
        <f>IFERROR(__xludf.DUMMYFUNCTION("""COMPUTED_VALUE"""),"1eDn4ID4lZ0g9L9LBEwFIV1KSKirbl2wBD7JMSOogsJo")</f>
        <v>1eDn4ID4lZ0g9L9LBEwFIV1KSKirbl2wBD7JMSOogsJo</v>
      </c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 t="str">
        <f>IFERROR(__xludf.DUMMYFUNCTION("""COMPUTED_VALUE"""),"PST")</f>
        <v>PST</v>
      </c>
      <c r="B46" s="4" t="str">
        <f>IFERROR(__xludf.DUMMYFUNCTION("""COMPUTED_VALUE"""),"PSTInputData")</f>
        <v>PSTInputData</v>
      </c>
      <c r="C46" s="4" t="str">
        <f>IFERROR(__xludf.DUMMYFUNCTION("""COMPUTED_VALUE"""),"1GqarmBj5COJ9oiY8JkODcW4vDrpW1y5yTk4660Wu__c")</f>
        <v>1GqarmBj5COJ9oiY8JkODcW4vDrpW1y5yTk4660Wu__c</v>
      </c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 t="str">
        <f>IFERROR(__xludf.DUMMYFUNCTION("""COMPUTED_VALUE"""),"PST")</f>
        <v>PST</v>
      </c>
      <c r="B47" s="4" t="str">
        <f>IFERROR(__xludf.DUMMYFUNCTION("""COMPUTED_VALUE"""),"PSTVerifyData")</f>
        <v>PSTVerifyData</v>
      </c>
      <c r="C47" s="4" t="str">
        <f>IFERROR(__xludf.DUMMYFUNCTION("""COMPUTED_VALUE"""),"1rwYlyzQAuduSi0Gp4ROixwt3o0bs2AhQbAT7dJTM9RA")</f>
        <v>1rwYlyzQAuduSi0Gp4ROixwt3o0bs2AhQbAT7dJTM9RA</v>
      </c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 t="str">
        <f>IFERROR(__xludf.DUMMYFUNCTION("""COMPUTED_VALUE"""),"PST")</f>
        <v>PST</v>
      </c>
      <c r="B48" s="4" t="str">
        <f>IFERROR(__xludf.DUMMYFUNCTION("""COMPUTED_VALUE"""),"PSTFunctionalities")</f>
        <v>PSTFunctionalities</v>
      </c>
      <c r="C48" s="4" t="str">
        <f>IFERROR(__xludf.DUMMYFUNCTION("""COMPUTED_VALUE"""),"11JwOBclgqclhwteK8-8D_f6-5WV6K0OQ-E6BB9CezgE")</f>
        <v>11JwOBclgqclhwteK8-8D_f6-5WV6K0OQ-E6BB9CezgE</v>
      </c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 t="str">
        <f>IFERROR(__xludf.DUMMYFUNCTION("""COMPUTED_VALUE"""),"PortfolioManagement")</f>
        <v>PortfolioManagement</v>
      </c>
      <c r="B49" s="4" t="str">
        <f>IFERROR(__xludf.DUMMYFUNCTION("""COMPUTED_VALUE"""),"OpenPSTFromPM")</f>
        <v>OpenPSTFromPM</v>
      </c>
      <c r="C49" s="4" t="str">
        <f>IFERROR(__xludf.DUMMYFUNCTION("""COMPUTED_VALUE"""),"1LaxsbJKMKgHz6nuJt-mWzImc-fRNbTvmrGGX97yHQ3M")</f>
        <v>1LaxsbJKMKgHz6nuJt-mWzImc-fRNbTvmrGGX97yHQ3M</v>
      </c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 t="str">
        <f>IFERROR(__xludf.DUMMYFUNCTION("""COMPUTED_VALUE"""),"TradingTicket")</f>
        <v>TradingTicket</v>
      </c>
      <c r="B50" s="4" t="str">
        <f>IFERROR(__xludf.DUMMYFUNCTION("""COMPUTED_VALUE"""),"OpenTTFromPST")</f>
        <v>OpenTTFromPST</v>
      </c>
      <c r="C50" s="4" t="str">
        <f>IFERROR(__xludf.DUMMYFUNCTION("""COMPUTED_VALUE"""),"1FjuLUHGwTLVNcZ31dqziB6PhJgIoI87PrQYnS_MxI6w")</f>
        <v>1FjuLUHGwTLVNcZ31dqziB6PhJgIoI87PrQYnS_MxI6w</v>
      </c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 t="str">
        <f>IFERROR(__xludf.DUMMYFUNCTION("""COMPUTED_VALUE"""),"CorporateAction")</f>
        <v>CorporateAction</v>
      </c>
      <c r="B51" s="4" t="str">
        <f>IFERROR(__xludf.DUMMYFUNCTION("""COMPUTED_VALUE"""),"CashDividend")</f>
        <v>CashDividend</v>
      </c>
      <c r="C51" s="4" t="str">
        <f>IFERROR(__xludf.DUMMYFUNCTION("""COMPUTED_VALUE"""),"Undefined")</f>
        <v>Undefined</v>
      </c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 t="str">
        <f>IFERROR(__xludf.DUMMYFUNCTION("""COMPUTED_VALUE"""),"CorporateAction")</f>
        <v>CorporateAction</v>
      </c>
      <c r="B52" s="4" t="str">
        <f>IFERROR(__xludf.DUMMYFUNCTION("""COMPUTED_VALUE"""),"Exchange")</f>
        <v>Exchange</v>
      </c>
      <c r="C52" s="4" t="str">
        <f>IFERROR(__xludf.DUMMYFUNCTION("""COMPUTED_VALUE"""),"Undefined")</f>
        <v>Undefined</v>
      </c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 t="str">
        <f>IFERROR(__xludf.DUMMYFUNCTION("""COMPUTED_VALUE"""),"CorporateAction")</f>
        <v>CorporateAction</v>
      </c>
      <c r="B53" s="4" t="str">
        <f>IFERROR(__xludf.DUMMYFUNCTION("""COMPUTED_VALUE"""),"Merger")</f>
        <v>Merger</v>
      </c>
      <c r="C53" s="4" t="str">
        <f>IFERROR(__xludf.DUMMYFUNCTION("""COMPUTED_VALUE"""),"Undefined")</f>
        <v>Undefined</v>
      </c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 t="str">
        <f>IFERROR(__xludf.DUMMYFUNCTION("""COMPUTED_VALUE"""),"CorporateAction")</f>
        <v>CorporateAction</v>
      </c>
      <c r="B54" s="4" t="str">
        <f>IFERROR(__xludf.DUMMYFUNCTION("""COMPUTED_VALUE"""),"NameChange")</f>
        <v>NameChange</v>
      </c>
      <c r="C54" s="4" t="str">
        <f>IFERROR(__xludf.DUMMYFUNCTION("""COMPUTED_VALUE"""),"Undefined")</f>
        <v>Undefined</v>
      </c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 t="str">
        <f>IFERROR(__xludf.DUMMYFUNCTION("""COMPUTED_VALUE"""),"CorporateAction")</f>
        <v>CorporateAction</v>
      </c>
      <c r="B55" s="4" t="str">
        <f>IFERROR(__xludf.DUMMYFUNCTION("""COMPUTED_VALUE"""),"SpinOff")</f>
        <v>SpinOff</v>
      </c>
      <c r="C55" s="4" t="str">
        <f>IFERROR(__xludf.DUMMYFUNCTION("""COMPUTED_VALUE"""),"1qMBNCqmLroUbEfWZ7WurEo9lsZVM23zrfZgeqSulKQE")</f>
        <v>1qMBNCqmLroUbEfWZ7WurEo9lsZVM23zrfZgeqSulKQE</v>
      </c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 t="str">
        <f>IFERROR(__xludf.DUMMYFUNCTION("""COMPUTED_VALUE"""),"CorporateAction")</f>
        <v>CorporateAction</v>
      </c>
      <c r="B56" s="4" t="str">
        <f>IFERROR(__xludf.DUMMYFUNCTION("""COMPUTED_VALUE"""),"StockDividend")</f>
        <v>StockDividend</v>
      </c>
      <c r="C56" s="4" t="str">
        <f>IFERROR(__xludf.DUMMYFUNCTION("""COMPUTED_VALUE"""),"Undefined")</f>
        <v>Undefined</v>
      </c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 t="str">
        <f>IFERROR(__xludf.DUMMYFUNCTION("""COMPUTED_VALUE"""),"TradingTicket")</f>
        <v>TradingTicket</v>
      </c>
      <c r="B57" s="4" t="str">
        <f>IFERROR(__xludf.DUMMYFUNCTION("""COMPUTED_VALUE"""),"EnterDetailsOnTT")</f>
        <v>EnterDetailsOnTT</v>
      </c>
      <c r="C57" s="4" t="str">
        <f>IFERROR(__xludf.DUMMYFUNCTION("""COMPUTED_VALUE"""),"1G2yAwEmGug4VRRGiVJM3yHe88F7UHCmwLdFo2-Xj4bA")</f>
        <v>1G2yAwEmGug4VRRGiVJM3yHe88F7UHCmwLdFo2-Xj4bA</v>
      </c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 t="str">
        <f>IFERROR(__xludf.DUMMYFUNCTION("""COMPUTED_VALUE"""),"DailyValuation")</f>
        <v>DailyValuation</v>
      </c>
      <c r="B58" s="4" t="str">
        <f>IFERROR(__xludf.DUMMYFUNCTION("""COMPUTED_VALUE"""),"CleanUp")</f>
        <v>CleanUp</v>
      </c>
      <c r="C58" s="4" t="str">
        <f>IFERROR(__xludf.DUMMYFUNCTION("""COMPUTED_VALUE"""),"Undefined")</f>
        <v>Undefined</v>
      </c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 t="str">
        <f>IFERROR(__xludf.DUMMYFUNCTION("""COMPUTED_VALUE"""),"Allocation")</f>
        <v>Allocation</v>
      </c>
      <c r="B59" s="4" t="str">
        <f>IFERROR(__xludf.DUMMYFUNCTION("""COMPUTED_VALUE"""),"EditUnallocatedGroupSidePanel")</f>
        <v>EditUnallocatedGroupSidePanel</v>
      </c>
      <c r="C59" s="4" t="str">
        <f>IFERROR(__xludf.DUMMYFUNCTION("""COMPUTED_VALUE"""),"1sN4dA0wRDbkiqDmGZD3fRqB5XP8vsNgVSKTClqF2aqA")</f>
        <v>1sN4dA0wRDbkiqDmGZD3fRqB5XP8vsNgVSKTClqF2aqA</v>
      </c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 t="str">
        <f>IFERROR(__xludf.DUMMYFUNCTION("""COMPUTED_VALUE"""),"Allocation")</f>
        <v>Allocation</v>
      </c>
      <c r="B60" s="4" t="str">
        <f>IFERROR(__xludf.DUMMYFUNCTION("""COMPUTED_VALUE"""),"TradeAttributeBulkChange")</f>
        <v>TradeAttributeBulkChange</v>
      </c>
      <c r="C60" s="4" t="str">
        <f>IFERROR(__xludf.DUMMYFUNCTION("""COMPUTED_VALUE"""),"1iFwUbi4eWTRVGpAAB27Nc1Ubu4j6hxNuLgSZZV6c_E4")</f>
        <v>1iFwUbi4eWTRVGpAAB27Nc1Ubu4j6hxNuLgSZZV6c_E4</v>
      </c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 t="str">
        <f>IFERROR(__xludf.DUMMYFUNCTION("""COMPUTED_VALUE"""),"Allocation")</f>
        <v>Allocation</v>
      </c>
      <c r="B61" s="4" t="str">
        <f>IFERROR(__xludf.DUMMYFUNCTION("""COMPUTED_VALUE"""),"ApplyBulkUpdateOnGroups")</f>
        <v>ApplyBulkUpdateOnGroups</v>
      </c>
      <c r="C61" s="4" t="str">
        <f>IFERROR(__xludf.DUMMYFUNCTION("""COMPUTED_VALUE"""),"1XV7WEkcXTDuOgwDoGhKvy8HU-K-3479ZHAEZBvsa_tc")</f>
        <v>1XV7WEkcXTDuOgwDoGhKvy8HU-K-3479ZHAEZBvsa_tc</v>
      </c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 t="str">
        <f>IFERROR(__xludf.DUMMYFUNCTION("""COMPUTED_VALUE"""),"Allocation")</f>
        <v>Allocation</v>
      </c>
      <c r="B62" s="4" t="str">
        <f>IFERROR(__xludf.DUMMYFUNCTION("""COMPUTED_VALUE"""),"ApplyPrefetchFilters")</f>
        <v>ApplyPrefetchFilters</v>
      </c>
      <c r="C62" s="4" t="str">
        <f>IFERROR(__xludf.DUMMYFUNCTION("""COMPUTED_VALUE"""),"1sQmxpKX5ogSXiV1qHf6NVjQl8QoUTsuD2rJ4pzqABAg")</f>
        <v>1sQmxpKX5ogSXiV1qHf6NVjQl8QoUTsuD2rJ4pzqABAg</v>
      </c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 t="str">
        <f>IFERROR(__xludf.DUMMYFUNCTION("""COMPUTED_VALUE"""),"Allocation")</f>
        <v>Allocation</v>
      </c>
      <c r="B63" s="4" t="str">
        <f>IFERROR(__xludf.DUMMYFUNCTION("""COMPUTED_VALUE"""),"GeneralPreferencesDefaultRule")</f>
        <v>GeneralPreferencesDefaultRule</v>
      </c>
      <c r="C63" s="4" t="str">
        <f>IFERROR(__xludf.DUMMYFUNCTION("""COMPUTED_VALUE"""),"1WOXvZZCIiWWwLt85sMAJs5lA2Sd5seftlo0-PMFepo4")</f>
        <v>1WOXvZZCIiWWwLt85sMAJs5lA2Sd5seftlo0-PMFepo4</v>
      </c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 t="str">
        <f>IFERROR(__xludf.DUMMYFUNCTION("""COMPUTED_VALUE"""),"Allocation")</f>
        <v>Allocation</v>
      </c>
      <c r="B64" s="4" t="str">
        <f>IFERROR(__xludf.DUMMYFUNCTION("""COMPUTED_VALUE"""),"GeneralPrefCompanyUserWise")</f>
        <v>GeneralPrefCompanyUserWise</v>
      </c>
      <c r="C64" s="4" t="str">
        <f>IFERROR(__xludf.DUMMYFUNCTION("""COMPUTED_VALUE"""),"13pRCCWisWUdYIzGghxtJvmhlBsj5sDr94g6VDPP0q-o")</f>
        <v>13pRCCWisWUdYIzGghxtJvmhlBsj5sDr94g6VDPP0q-o</v>
      </c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 t="str">
        <f>IFERROR(__xludf.DUMMYFUNCTION("""COMPUTED_VALUE"""),"Allocation")</f>
        <v>Allocation</v>
      </c>
      <c r="B65" s="4" t="str">
        <f>IFERROR(__xludf.DUMMYFUNCTION("""COMPUTED_VALUE"""),"RenameTradeAttributes")</f>
        <v>RenameTradeAttributes</v>
      </c>
      <c r="C65" s="4" t="str">
        <f>IFERROR(__xludf.DUMMYFUNCTION("""COMPUTED_VALUE"""),"1npQSl0FjE4Lw1QD6s0yIpLzJ-rj0nbumIonEIRbWZwA")</f>
        <v>1npQSl0FjE4Lw1QD6s0yIpLzJ-rj0nbumIonEIRbWZwA</v>
      </c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 t="str">
        <f>IFERROR(__xludf.DUMMYFUNCTION("""COMPUTED_VALUE"""),"Allocation")</f>
        <v>Allocation</v>
      </c>
      <c r="B66" s="4" t="str">
        <f>IFERROR(__xludf.DUMMYFUNCTION("""COMPUTED_VALUE"""),"SetGroupingRules")</f>
        <v>SetGroupingRules</v>
      </c>
      <c r="C66" s="4" t="str">
        <f>IFERROR(__xludf.DUMMYFUNCTION("""COMPUTED_VALUE"""),"1-pEik0paMvKDzhMzUpCB2FadNd3tINN9bPXcpr5W9hI")</f>
        <v>1-pEik0paMvKDzhMzUpCB2FadNd3tINN9bPXcpr5W9hI</v>
      </c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 t="str">
        <f>IFERROR(__xludf.DUMMYFUNCTION("""COMPUTED_VALUE"""),"Allocation")</f>
        <v>Allocation</v>
      </c>
      <c r="B67" s="4" t="str">
        <f>IFERROR(__xludf.DUMMYFUNCTION("""COMPUTED_VALUE"""),"SetMasterFundRatio")</f>
        <v>SetMasterFundRatio</v>
      </c>
      <c r="C67" s="4" t="str">
        <f>IFERROR(__xludf.DUMMYFUNCTION("""COMPUTED_VALUE"""),"1G5A2JHuXFwIAKeFyFP_6qaRbfVnU9mvHz6q_tG-5I3M")</f>
        <v>1G5A2JHuXFwIAKeFyFP_6qaRbfVnU9mvHz6q_tG-5I3M</v>
      </c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 t="str">
        <f>IFERROR(__xludf.DUMMYFUNCTION("""COMPUTED_VALUE"""),"Allocation")</f>
        <v>Allocation</v>
      </c>
      <c r="B68" s="4" t="str">
        <f>IFERROR(__xludf.DUMMYFUNCTION("""COMPUTED_VALUE"""),"CheckFixedPreference")</f>
        <v>CheckFixedPreference</v>
      </c>
      <c r="C68" s="4" t="str">
        <f>IFERROR(__xludf.DUMMYFUNCTION("""COMPUTED_VALUE"""),"1Qf7-OMFYaQTpiT3A76WLvhP_zTcAvN-GlTkEKWQI6CI")</f>
        <v>1Qf7-OMFYaQTpiT3A76WLvhP_zTcAvN-GlTkEKWQI6CI</v>
      </c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 t="str">
        <f>IFERROR(__xludf.DUMMYFUNCTION("""COMPUTED_VALUE"""),"Allocation")</f>
        <v>Allocation</v>
      </c>
      <c r="B69" s="4" t="str">
        <f>IFERROR(__xludf.DUMMYFUNCTION("""COMPUTED_VALUE"""),"GetFixedPreference")</f>
        <v>GetFixedPreference</v>
      </c>
      <c r="C69" s="4" t="str">
        <f>IFERROR(__xludf.DUMMYFUNCTION("""COMPUTED_VALUE"""),"1X2GLgKZ0jCCf9C8tNz4LZTT8MEJ0rPmHVf74CRF92nI")</f>
        <v>1X2GLgKZ0jCCf9C8tNz4LZTT8MEJ0rPmHVf74CRF92nI</v>
      </c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 t="str">
        <f>IFERROR(__xludf.DUMMYFUNCTION("""COMPUTED_VALUE"""),"Allocation")</f>
        <v>Allocation</v>
      </c>
      <c r="B70" s="4" t="str">
        <f>IFERROR(__xludf.DUMMYFUNCTION("""COMPUTED_VALUE"""),"AddCalculatedPreferences")</f>
        <v>AddCalculatedPreferences</v>
      </c>
      <c r="C70" s="4" t="str">
        <f>IFERROR(__xludf.DUMMYFUNCTION("""COMPUTED_VALUE"""),"1e3JDW1yEKYP-8ma-BqYu0whzm4Ze8aVDK3dsCw79llk")</f>
        <v>1e3JDW1yEKYP-8ma-BqYu0whzm4Ze8aVDK3dsCw79llk</v>
      </c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 t="str">
        <f>IFERROR(__xludf.DUMMYFUNCTION("""COMPUTED_VALUE"""),"Allocation")</f>
        <v>Allocation</v>
      </c>
      <c r="B71" s="4" t="str">
        <f>IFERROR(__xludf.DUMMYFUNCTION("""COMPUTED_VALUE"""),"BulkChangeCalculatedPreferences")</f>
        <v>BulkChangeCalculatedPreferences</v>
      </c>
      <c r="C71" s="4" t="str">
        <f>IFERROR(__xludf.DUMMYFUNCTION("""COMPUTED_VALUE"""),"1eR96defw9DNiXlrKjqRh3R-qg9Pp1BeoNro96zMlcU0")</f>
        <v>1eR96defw9DNiXlrKjqRh3R-qg9Pp1BeoNro96zMlcU0</v>
      </c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 t="str">
        <f>IFERROR(__xludf.DUMMYFUNCTION("""COMPUTED_VALUE"""),"Allocation")</f>
        <v>Allocation</v>
      </c>
      <c r="B72" s="4" t="str">
        <f>IFERROR(__xludf.DUMMYFUNCTION("""COMPUTED_VALUE"""),"DeleteCalculatedPreferences")</f>
        <v>DeleteCalculatedPreferences</v>
      </c>
      <c r="C72" s="4" t="str">
        <f>IFERROR(__xludf.DUMMYFUNCTION("""COMPUTED_VALUE"""),"1SYzOFlwMP7q1fa9ftG5nF3Q9-tr0BByrF1knPegiHxE")</f>
        <v>1SYzOFlwMP7q1fa9ftG5nF3Q9-tr0BByrF1knPegiHxE</v>
      </c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 t="str">
        <f>IFERROR(__xludf.DUMMYFUNCTION("""COMPUTED_VALUE"""),"Allocation")</f>
        <v>Allocation</v>
      </c>
      <c r="B73" s="4" t="str">
        <f>IFERROR(__xludf.DUMMYFUNCTION("""COMPUTED_VALUE"""),"RenameCalculatedPreferences")</f>
        <v>RenameCalculatedPreferences</v>
      </c>
      <c r="C73" s="4" t="str">
        <f>IFERROR(__xludf.DUMMYFUNCTION("""COMPUTED_VALUE"""),"1oCPrKMTa-3fxaM06t7r0xjhAywYxptxUUWlM6IrpjIM")</f>
        <v>1oCPrKMTa-3fxaM06t7r0xjhAywYxptxUUWlM6IrpjIM</v>
      </c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 t="str">
        <f>IFERROR(__xludf.DUMMYFUNCTION("""COMPUTED_VALUE"""),"Allocation")</f>
        <v>Allocation</v>
      </c>
      <c r="B74" s="4" t="str">
        <f>IFERROR(__xludf.DUMMYFUNCTION("""COMPUTED_VALUE"""),"CopyCalculatedPreferences")</f>
        <v>CopyCalculatedPreferences</v>
      </c>
      <c r="C74" s="4" t="str">
        <f>IFERROR(__xludf.DUMMYFUNCTION("""COMPUTED_VALUE"""),"1Juj0ekcKQL6KCq8ujd84mA8LXjLIO7F5-pt1BH073k4")</f>
        <v>1Juj0ekcKQL6KCq8ujd84mA8LXjLIO7F5-pt1BH073k4</v>
      </c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 t="str">
        <f>IFERROR(__xludf.DUMMYFUNCTION("""COMPUTED_VALUE"""),"Allocation")</f>
        <v>Allocation</v>
      </c>
      <c r="B75" s="4" t="str">
        <f>IFERROR(__xludf.DUMMYFUNCTION("""COMPUTED_VALUE"""),"RunAutoGroup")</f>
        <v>RunAutoGroup</v>
      </c>
      <c r="C75" s="4" t="str">
        <f>IFERROR(__xludf.DUMMYFUNCTION("""COMPUTED_VALUE"""),"1TxDikOKco3kj-fpVp_swFmHRjk9xUFlp6SC01FXKsUA")</f>
        <v>1TxDikOKco3kj-fpVp_swFmHRjk9xUFlp6SC01FXKsUA</v>
      </c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 t="str">
        <f>IFERROR(__xludf.DUMMYFUNCTION("""COMPUTED_VALUE"""),"Allocation")</f>
        <v>Allocation</v>
      </c>
      <c r="B76" s="4" t="str">
        <f>IFERROR(__xludf.DUMMYFUNCTION("""COMPUTED_VALUE"""),"BookOrUpdateSwap")</f>
        <v>BookOrUpdateSwap</v>
      </c>
      <c r="C76" s="4" t="str">
        <f>IFERROR(__xludf.DUMMYFUNCTION("""COMPUTED_VALUE"""),"1MIFnyUZMyR5a_8yHN1aP-GaxtBQUxu1tPzzD93BRKG4")</f>
        <v>1MIFnyUZMyR5a_8yHN1aP-GaxtBQUxu1tPzzD93BRKG4</v>
      </c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 t="str">
        <f>IFERROR(__xludf.DUMMYFUNCTION("""COMPUTED_VALUE"""),"Allocation")</f>
        <v>Allocation</v>
      </c>
      <c r="B77" s="4" t="str">
        <f>IFERROR(__xludf.DUMMYFUNCTION("""COMPUTED_VALUE"""),"RunProrata")</f>
        <v>RunProrata</v>
      </c>
      <c r="C77" s="4" t="str">
        <f>IFERROR(__xludf.DUMMYFUNCTION("""COMPUTED_VALUE"""),"1UcA_Bp3Tg0bduC_hG_ymQO8Nl0fC8zwr0dqhn3G0X7w")</f>
        <v>1UcA_Bp3Tg0bduC_hG_ymQO8Nl0fC8zwr0dqhn3G0X7w</v>
      </c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 t="str">
        <f>IFERROR(__xludf.DUMMYFUNCTION("""COMPUTED_VALUE"""),"Allocation")</f>
        <v>Allocation</v>
      </c>
      <c r="B78" s="4" t="str">
        <f>IFERROR(__xludf.DUMMYFUNCTION("""COMPUTED_VALUE"""),"SetDefaultRuleCalculatedPref")</f>
        <v>SetDefaultRuleCalculatedPref</v>
      </c>
      <c r="C78" s="4" t="str">
        <f>IFERROR(__xludf.DUMMYFUNCTION("""COMPUTED_VALUE"""),"1b3teGR3SeddkzmOAOI70zt3TPTIueqIXMb0_64vLmhg")</f>
        <v>1b3teGR3SeddkzmOAOI70zt3TPTIueqIXMb0_64vLmhg</v>
      </c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 t="str">
        <f>IFERROR(__xludf.DUMMYFUNCTION("""COMPUTED_VALUE"""),"Admin")</f>
        <v>Admin</v>
      </c>
      <c r="B79" s="4" t="str">
        <f>IFERROR(__xludf.DUMMYFUNCTION("""COMPUTED_VALUE"""),"SetTTUIPreferences")</f>
        <v>SetTTUIPreferences</v>
      </c>
      <c r="C79" s="4" t="str">
        <f>IFERROR(__xludf.DUMMYFUNCTION("""COMPUTED_VALUE"""),"1x3db-DRDI09f9JOxbjTsFLBMBLSyw9w2LJAcwA_jthE")</f>
        <v>1x3db-DRDI09f9JOxbjTsFLBMBLSyw9w2LJAcwA_jthE</v>
      </c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 t="str">
        <f>IFERROR(__xludf.DUMMYFUNCTION("""COMPUTED_VALUE"""),"Admin")</f>
        <v>Admin</v>
      </c>
      <c r="B80" s="4" t="str">
        <f>IFERROR(__xludf.DUMMYFUNCTION("""COMPUTED_VALUE"""),"TTPermissionLevel")</f>
        <v>TTPermissionLevel</v>
      </c>
      <c r="C80" s="4" t="str">
        <f>IFERROR(__xludf.DUMMYFUNCTION("""COMPUTED_VALUE"""),"1eWGWoFECkbD-qbHWTGCUT8Fyg7YSEuxVBQShAfH-4G8")</f>
        <v>1eWGWoFECkbD-qbHWTGCUT8Fyg7YSEuxVBQShAfH-4G8</v>
      </c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 t="str">
        <f>IFERROR(__xludf.DUMMYFUNCTION("""COMPUTED_VALUE"""),"TradingTicket")</f>
        <v>TradingTicket</v>
      </c>
      <c r="B81" s="4" t="str">
        <f>IFERROR(__xludf.DUMMYFUNCTION("""COMPUTED_VALUE"""),"ValidateSymbolTT")</f>
        <v>ValidateSymbolTT</v>
      </c>
      <c r="C81" s="4" t="str">
        <f>IFERROR(__xludf.DUMMYFUNCTION("""COMPUTED_VALUE"""),"19tHMRXibaAxm7XMdcCTWHQ4bfVUBpa3dYIoVg7LgjMU")</f>
        <v>19tHMRXibaAxm7XMdcCTWHQ4bfVUBpa3dYIoVg7LgjMU</v>
      </c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 t="str">
        <f>IFERROR(__xludf.DUMMYFUNCTION("""COMPUTED_VALUE"""),"TradingTicket")</f>
        <v>TradingTicket</v>
      </c>
      <c r="B82" s="4" t="str">
        <f>IFERROR(__xludf.DUMMYFUNCTION("""COMPUTED_VALUE"""),"VerifyDataTT")</f>
        <v>VerifyDataTT</v>
      </c>
      <c r="C82" s="4" t="str">
        <f>IFERROR(__xludf.DUMMYFUNCTION("""COMPUTED_VALUE"""),"Undefined")</f>
        <v>Undefined</v>
      </c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 t="str">
        <f>IFERROR(__xludf.DUMMYFUNCTION("""COMPUTED_VALUE"""),"TradingTicket")</f>
        <v>TradingTicket</v>
      </c>
      <c r="B83" s="4" t="str">
        <f>IFERROR(__xludf.DUMMYFUNCTION("""COMPUTED_VALUE"""),"SetUIPreferencesTT")</f>
        <v>SetUIPreferencesTT</v>
      </c>
      <c r="C83" s="4" t="str">
        <f>IFERROR(__xludf.DUMMYFUNCTION("""COMPUTED_VALUE"""),"15dCu2cI6h2zz7EyE3HRTPJXretS_8rJXb6kEecm2wE4")</f>
        <v>15dCu2cI6h2zz7EyE3HRTPJXretS_8rJXb6kEecm2wE4</v>
      </c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 t="str">
        <f>IFERROR(__xludf.DUMMYFUNCTION("""COMPUTED_VALUE"""),"TradingTicket")</f>
        <v>TradingTicket</v>
      </c>
      <c r="B84" s="4" t="str">
        <f>IFERROR(__xludf.DUMMYFUNCTION("""COMPUTED_VALUE"""),"SetBrokerWisePreferencesTT")</f>
        <v>SetBrokerWisePreferencesTT</v>
      </c>
      <c r="C84" s="4" t="str">
        <f>IFERROR(__xludf.DUMMYFUNCTION("""COMPUTED_VALUE"""),"1ox4TNNK5MqyA6BJGrZngJ2D4HejJ2lRtDKIKyPqu-tQ")</f>
        <v>1ox4TNNK5MqyA6BJGrZngJ2D4HejJ2lRtDKIKyPqu-tQ</v>
      </c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 t="str">
        <f>IFERROR(__xludf.DUMMYFUNCTION("""COMPUTED_VALUE"""),"TradingTicket")</f>
        <v>TradingTicket</v>
      </c>
      <c r="B85" s="4" t="str">
        <f>IFERROR(__xludf.DUMMYFUNCTION("""COMPUTED_VALUE"""),"VerifyComplianceOrder")</f>
        <v>VerifyComplianceOrder</v>
      </c>
      <c r="C85" s="4" t="str">
        <f>IFERROR(__xludf.DUMMYFUNCTION("""COMPUTED_VALUE"""),"1H1jKHI5sFjF2JGI5Hsg2bL9f8P4Efy6KU_cClE3r75U")</f>
        <v>1H1jKHI5sFjF2JGI5Hsg2bL9f8P4Efy6KU_cClE3r75U</v>
      </c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 t="str">
        <f>IFERROR(__xludf.DUMMYFUNCTION("""COMPUTED_VALUE"""),"Blotter")</f>
        <v>Blotter</v>
      </c>
      <c r="B86" s="4" t="str">
        <f>IFERROR(__xludf.DUMMYFUNCTION("""COMPUTED_VALUE"""),"BlotterFunctionalities")</f>
        <v>BlotterFunctionalities</v>
      </c>
      <c r="C86" s="4" t="str">
        <f>IFERROR(__xludf.DUMMYFUNCTION("""COMPUTED_VALUE"""),"1SOn4_JJeoHJYkiaVBjxfn5Lb7mA_qhKHshd3opLPQ1I")</f>
        <v>1SOn4_JJeoHJYkiaVBjxfn5Lb7mA_qhKHshd3opLPQ1I</v>
      </c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 t="str">
        <f>IFERROR(__xludf.DUMMYFUNCTION("""COMPUTED_VALUE"""),"TradingTicket")</f>
        <v>TradingTicket</v>
      </c>
      <c r="B87" s="4" t="str">
        <f>IFERROR(__xludf.DUMMYFUNCTION("""COMPUTED_VALUE"""),"TradeNewSub")</f>
        <v>TradeNewSub</v>
      </c>
      <c r="C87" s="4" t="str">
        <f>IFERROR(__xludf.DUMMYFUNCTION("""COMPUTED_VALUE"""),"1IorkfR8EskF9Rg56tJ2oKYZpqvMIZEs2668wybtTQB4")</f>
        <v>1IorkfR8EskF9Rg56tJ2oKYZpqvMIZEs2668wybtTQB4</v>
      </c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 t="str">
        <f>IFERROR(__xludf.DUMMYFUNCTION("""COMPUTED_VALUE"""),"GeneralLedger")</f>
        <v>GeneralLedger</v>
      </c>
      <c r="B88" s="4" t="str">
        <f>IFERROR(__xludf.DUMMYFUNCTION("""COMPUTED_VALUE"""),"GetTradingTransaction")</f>
        <v>GetTradingTransaction</v>
      </c>
      <c r="C88" s="4" t="str">
        <f>IFERROR(__xludf.DUMMYFUNCTION("""COMPUTED_VALUE"""),"1psefeS-lWFS-teA6LWf_DI6EUG6mtcOuqu918FZCTQU")</f>
        <v>1psefeS-lWFS-teA6LWf_DI6EUG6mtcOuqu918FZCTQU</v>
      </c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 t="str">
        <f>IFERROR(__xludf.DUMMYFUNCTION("""COMPUTED_VALUE"""),"GeneralLedger")</f>
        <v>GeneralLedger</v>
      </c>
      <c r="B89" s="4" t="str">
        <f>IFERROR(__xludf.DUMMYFUNCTION("""COMPUTED_VALUE"""),"GetActivityData")</f>
        <v>GetActivityData</v>
      </c>
      <c r="C89" s="4" t="str">
        <f>IFERROR(__xludf.DUMMYFUNCTION("""COMPUTED_VALUE"""),"1rznTwdTAEkrPH0xYZH81RkQ1wUryJGoM9CMoeL4nmcQ")</f>
        <v>1rznTwdTAEkrPH0xYZH81RkQ1wUryJGoM9CMoeL4nmcQ</v>
      </c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 t="str">
        <f>IFERROR(__xludf.DUMMYFUNCTION("""COMPUTED_VALUE"""),"Allocation")</f>
        <v>Allocation</v>
      </c>
      <c r="B90" s="4" t="str">
        <f>IFERROR(__xludf.DUMMYFUNCTION("""COMPUTED_VALUE"""),"SetAccountValueCalculatedPref")</f>
        <v>SetAccountValueCalculatedPref</v>
      </c>
      <c r="C90" s="4" t="str">
        <f>IFERROR(__xludf.DUMMYFUNCTION("""COMPUTED_VALUE"""),"1_z8RqXBRujVk2nmOKATscV8OMNcUKi2JifkR1W7KdRE")</f>
        <v>1_z8RqXBRujVk2nmOKATscV8OMNcUKi2JifkR1W7KdRE</v>
      </c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 t="str">
        <f>IFERROR(__xludf.DUMMYFUNCTION("""COMPUTED_VALUE"""),"Allocation")</f>
        <v>Allocation</v>
      </c>
      <c r="B91" s="4" t="str">
        <f>IFERROR(__xludf.DUMMYFUNCTION("""COMPUTED_VALUE"""),"TradeAttributeBulkChangeGroups")</f>
        <v>TradeAttributeBulkChangeGroups</v>
      </c>
      <c r="C91" s="4" t="str">
        <f>IFERROR(__xludf.DUMMYFUNCTION("""COMPUTED_VALUE"""),"1PWEqwYA12VgsLsj6lvnqrW4sngZuq-sjrmnpL9peQPo")</f>
        <v>1PWEqwYA12VgsLsj6lvnqrW4sngZuq-sjrmnpL9peQPo</v>
      </c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 t="str">
        <f>IFERROR(__xludf.DUMMYFUNCTION("""COMPUTED_VALUE"""),"Allocation")</f>
        <v>Allocation</v>
      </c>
      <c r="B92" s="4" t="str">
        <f>IFERROR(__xludf.DUMMYFUNCTION("""COMPUTED_VALUE"""),"TradeAttributeBulkChangeTaxlots")</f>
        <v>TradeAttributeBulkChangeTaxlots</v>
      </c>
      <c r="C92" s="4" t="str">
        <f>IFERROR(__xludf.DUMMYFUNCTION("""COMPUTED_VALUE"""),"1qWD23r6S8L6qNcKOENcBsVpBS_5raHBTtvCMOf8rwRo")</f>
        <v>1qWD23r6S8L6qNcKOENcBsVpBS_5raHBTtvCMOf8rwRo</v>
      </c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 t="str">
        <f>IFERROR(__xludf.DUMMYFUNCTION("""COMPUTED_VALUE"""),"Allocation")</f>
        <v>Allocation</v>
      </c>
      <c r="B93" s="4" t="str">
        <f>IFERROR(__xludf.DUMMYFUNCTION("""COMPUTED_VALUE"""),"AddCalculatedPreferenceToolbar")</f>
        <v>AddCalculatedPreferenceToolbar</v>
      </c>
      <c r="C93" s="4" t="str">
        <f>IFERROR(__xludf.DUMMYFUNCTION("""COMPUTED_VALUE"""),"1ih6B6H3dMqTN2qoqiNuco5rugaDHzlFQvUiQTafq1-Y")</f>
        <v>1ih6B6H3dMqTN2qoqiNuco5rugaDHzlFQvUiQTafq1-Y</v>
      </c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 t="str">
        <f>IFERROR(__xludf.DUMMYFUNCTION("""COMPUTED_VALUE"""),"GeneralLedger")</f>
        <v>GeneralLedger</v>
      </c>
      <c r="B94" s="4" t="str">
        <f>IFERROR(__xludf.DUMMYFUNCTION("""COMPUTED_VALUE"""),"GetRevaluationData")</f>
        <v>GetRevaluationData</v>
      </c>
      <c r="C94" s="4" t="str">
        <f>IFERROR(__xludf.DUMMYFUNCTION("""COMPUTED_VALUE"""),"105kp1yXOdHuKObnT282Gjsr9VcKIYY9fVt3jwRMQivk")</f>
        <v>105kp1yXOdHuKObnT282Gjsr9VcKIYY9fVt3jwRMQivk</v>
      </c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 t="str">
        <f>IFERROR(__xludf.DUMMYFUNCTION("""COMPUTED_VALUE"""),"Allocation")</f>
        <v>Allocation</v>
      </c>
      <c r="B95" s="4" t="str">
        <f>IFERROR(__xludf.DUMMYFUNCTION("""COMPUTED_VALUE"""),"SetStrategyValueCalculatedPref")</f>
        <v>SetStrategyValueCalculatedPref</v>
      </c>
      <c r="C95" s="4" t="str">
        <f>IFERROR(__xludf.DUMMYFUNCTION("""COMPUTED_VALUE"""),"155MwUZO0qphL6P5-kiOzXA9wszW7MLyU3r6cueRluPE")</f>
        <v>155MwUZO0qphL6P5-kiOzXA9wszW7MLyU3r6cueRluPE</v>
      </c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 t="str">
        <f>IFERROR(__xludf.DUMMYFUNCTION("""COMPUTED_VALUE"""),"GeneralLedger")</f>
        <v>GeneralLedger</v>
      </c>
      <c r="B96" s="4" t="str">
        <f>IFERROR(__xludf.DUMMYFUNCTION("""COMPUTED_VALUE"""),"GetAccountDetails")</f>
        <v>GetAccountDetails</v>
      </c>
      <c r="C96" s="4" t="str">
        <f>IFERROR(__xludf.DUMMYFUNCTION("""COMPUTED_VALUE"""),"1Me9UTDrd2996RjhiWBMkCi9mXdb5L42QQfdj510IoVM")</f>
        <v>1Me9UTDrd2996RjhiWBMkCi9mXdb5L42QQfdj510IoVM</v>
      </c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 t="str">
        <f>IFERROR(__xludf.DUMMYFUNCTION("""COMPUTED_VALUE"""),"Allocation")</f>
        <v>Allocation</v>
      </c>
      <c r="B97" s="4" t="str">
        <f>IFERROR(__xludf.DUMMYFUNCTION("""COMPUTED_VALUE"""),"ApplyBulkUpdateOnTaxlots")</f>
        <v>ApplyBulkUpdateOnTaxlots</v>
      </c>
      <c r="C97" s="4" t="str">
        <f>IFERROR(__xludf.DUMMYFUNCTION("""COMPUTED_VALUE"""),"1kSbyPWCAETWkagyJeACNwFnEDTZGBY7V9VzLov8MtUE")</f>
        <v>1kSbyPWCAETWkagyJeACNwFnEDTZGBY7V9VzLov8MtUE</v>
      </c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 t="str">
        <f>IFERROR(__xludf.DUMMYFUNCTION("""COMPUTED_VALUE"""),"GeneralLedger")</f>
        <v>GeneralLedger</v>
      </c>
      <c r="B98" s="4" t="str">
        <f>IFERROR(__xludf.DUMMYFUNCTION("""COMPUTED_VALUE"""),"GetNonTradingTransaction")</f>
        <v>GetNonTradingTransaction</v>
      </c>
      <c r="C98" s="4" t="str">
        <f>IFERROR(__xludf.DUMMYFUNCTION("""COMPUTED_VALUE"""),"1HUC5rEPCZfFcwW21tVUh6_8T3y5OGGZm3qS66vN0_Bc")</f>
        <v>1HUC5rEPCZfFcwW21tVUh6_8T3y5OGGZm3qS66vN0_Bc</v>
      </c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 t="str">
        <f>IFERROR(__xludf.DUMMYFUNCTION("""COMPUTED_VALUE"""),"Allocation")</f>
        <v>Allocation</v>
      </c>
      <c r="B99" s="4" t="str">
        <f>IFERROR(__xludf.DUMMYFUNCTION("""COMPUTED_VALUE"""),"CommissionBulkChangeOnGroups")</f>
        <v>CommissionBulkChangeOnGroups</v>
      </c>
      <c r="C99" s="4" t="str">
        <f>IFERROR(__xludf.DUMMYFUNCTION("""COMPUTED_VALUE"""),"1nqghloueAtXKgiCD7E97C4HJhoG52Mgd5lseF3sy40Y")</f>
        <v>1nqghloueAtXKgiCD7E97C4HJhoG52Mgd5lseF3sy40Y</v>
      </c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 t="str">
        <f>IFERROR(__xludf.DUMMYFUNCTION("""COMPUTED_VALUE"""),"GeneralLedger")</f>
        <v>GeneralLedger</v>
      </c>
      <c r="B100" s="4" t="str">
        <f>IFERROR(__xludf.DUMMYFUNCTION("""COMPUTED_VALUE"""),"GetDividendData")</f>
        <v>GetDividendData</v>
      </c>
      <c r="C100" s="4" t="str">
        <f>IFERROR(__xludf.DUMMYFUNCTION("""COMPUTED_VALUE"""),"1U4lTeqJHZq-7DOC_oNjNvpvqxZzMTAVQzmbDBSE3iSw")</f>
        <v>1U4lTeqJHZq-7DOC_oNjNvpvqxZzMTAVQzmbDBSE3iSw</v>
      </c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 t="str">
        <f>IFERROR(__xludf.DUMMYFUNCTION("""COMPUTED_VALUE"""),"Allocation")</f>
        <v>Allocation</v>
      </c>
      <c r="B101" s="4" t="str">
        <f>IFERROR(__xludf.DUMMYFUNCTION("""COMPUTED_VALUE"""),"CommissionBulkChangeOnTaxlots")</f>
        <v>CommissionBulkChangeOnTaxlots</v>
      </c>
      <c r="C101" s="4" t="str">
        <f>IFERROR(__xludf.DUMMYFUNCTION("""COMPUTED_VALUE"""),"1_7vsYYCvTxkAYqYXjLmISGV0viOCb9khDDddgaDCzbE")</f>
        <v>1_7vsYYCvTxkAYqYXjLmISGV0viOCb9khDDddgaDCzbE</v>
      </c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 t="str">
        <f>IFERROR(__xludf.DUMMYFUNCTION("""COMPUTED_VALUE"""),"GeneralLedger")</f>
        <v>GeneralLedger</v>
      </c>
      <c r="B102" s="4" t="str">
        <f>IFERROR(__xludf.DUMMYFUNCTION("""COMPUTED_VALUE"""),"VerifyNonTradingTransaction")</f>
        <v>VerifyNonTradingTransaction</v>
      </c>
      <c r="C102" s="4" t="str">
        <f>IFERROR(__xludf.DUMMYFUNCTION("""COMPUTED_VALUE"""),"1O0bP5QXQjQiDANZIp9Obrifa55tdLvVLynbjdLFGE3g")</f>
        <v>1O0bP5QXQjQiDANZIp9Obrifa55tdLvVLynbjdLFGE3g</v>
      </c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 t="str">
        <f>IFERROR(__xludf.DUMMYFUNCTION("""COMPUTED_VALUE"""),"Allocation")</f>
        <v>Allocation</v>
      </c>
      <c r="B103" s="4" t="str">
        <f>IFERROR(__xludf.DUMMYFUNCTION("""COMPUTED_VALUE"""),"SelectUnallocatedGroup")</f>
        <v>SelectUnallocatedGroup</v>
      </c>
      <c r="C103" s="4" t="str">
        <f>IFERROR(__xludf.DUMMYFUNCTION("""COMPUTED_VALUE"""),"1o4oo91ek1Mn_DDe4KMGTI4QP4Tr2a7dk4W6GhZrx8C0")</f>
        <v>1o4oo91ek1Mn_DDe4KMGTI4QP4Tr2a7dk4W6GhZrx8C0</v>
      </c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 t="str">
        <f>IFERROR(__xludf.DUMMYFUNCTION("""COMPUTED_VALUE"""),"GeneralLedger")</f>
        <v>GeneralLedger</v>
      </c>
      <c r="B104" s="4" t="str">
        <f>IFERROR(__xludf.DUMMYFUNCTION("""COMPUTED_VALUE"""),"VerifyDividend")</f>
        <v>VerifyDividend</v>
      </c>
      <c r="C104" s="4" t="str">
        <f>IFERROR(__xludf.DUMMYFUNCTION("""COMPUTED_VALUE"""),"1rqUHYcdAPy30n3DVnBbBC1G7pAs0HVw8bk6U4wElamU")</f>
        <v>1rqUHYcdAPy30n3DVnBbBC1G7pAs0HVw8bk6U4wElamU</v>
      </c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 t="str">
        <f>IFERROR(__xludf.DUMMYFUNCTION("""COMPUTED_VALUE"""),"Allocation")</f>
        <v>Allocation</v>
      </c>
      <c r="B105" s="4" t="str">
        <f>IFERROR(__xludf.DUMMYFUNCTION("""COMPUTED_VALUE"""),"EnterAccountValuesToAllocate")</f>
        <v>EnterAccountValuesToAllocate</v>
      </c>
      <c r="C105" s="4" t="str">
        <f>IFERROR(__xludf.DUMMYFUNCTION("""COMPUTED_VALUE"""),"1_xxunJZv--OoaMu--vIqANsrHbGnp7zgAejiREqgC9o")</f>
        <v>1_xxunJZv--OoaMu--vIqANsrHbGnp7zgAejiREqgC9o</v>
      </c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 t="str">
        <f>IFERROR(__xludf.DUMMYFUNCTION("""COMPUTED_VALUE"""),"GeneralLedger")</f>
        <v>GeneralLedger</v>
      </c>
      <c r="B106" s="4" t="str">
        <f>IFERROR(__xludf.DUMMYFUNCTION("""COMPUTED_VALUE"""),"GetOpeningBalanceData")</f>
        <v>GetOpeningBalanceData</v>
      </c>
      <c r="C106" s="4" t="str">
        <f>IFERROR(__xludf.DUMMYFUNCTION("""COMPUTED_VALUE"""),"1szTOtKIGVoQMbhobEgnUxaIGXhP5R27tXCm0Kr5COss")</f>
        <v>1szTOtKIGVoQMbhobEgnUxaIGXhP5R27tXCm0Kr5COss</v>
      </c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 t="str">
        <f>IFERROR(__xludf.DUMMYFUNCTION("""COMPUTED_VALUE"""),"Allocation")</f>
        <v>Allocation</v>
      </c>
      <c r="B107" s="4" t="str">
        <f>IFERROR(__xludf.DUMMYFUNCTION("""COMPUTED_VALUE"""),"EnterAllocatePreference")</f>
        <v>EnterAllocatePreference</v>
      </c>
      <c r="C107" s="4" t="str">
        <f>IFERROR(__xludf.DUMMYFUNCTION("""COMPUTED_VALUE"""),"19kT9xClnQROyvkZyFnUNnYg5PZsgZfC-L8n5MQshEKw")</f>
        <v>19kT9xClnQROyvkZyFnUNnYg5PZsgZfC-L8n5MQshEKw</v>
      </c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 t="str">
        <f>IFERROR(__xludf.DUMMYFUNCTION("""COMPUTED_VALUE"""),"GeneralLedger")</f>
        <v>GeneralLedger</v>
      </c>
      <c r="B108" s="4" t="str">
        <f>IFERROR(__xludf.DUMMYFUNCTION("""COMPUTED_VALUE"""),"GetAccountBalance")</f>
        <v>GetAccountBalance</v>
      </c>
      <c r="C108" s="4" t="str">
        <f>IFERROR(__xludf.DUMMYFUNCTION("""COMPUTED_VALUE"""),"14i8_M9tTYQnmPA2vP4WK8Gc1mKSw08Q2z6JEQNMQ2jA")</f>
        <v>14i8_M9tTYQnmPA2vP4WK8Gc1mKSw08Q2z6JEQNMQ2jA</v>
      </c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 t="str">
        <f>IFERROR(__xludf.DUMMYFUNCTION("""COMPUTED_VALUE"""),"Expnl")</f>
        <v>Expnl</v>
      </c>
      <c r="B109" s="4" t="str">
        <f>IFERROR(__xludf.DUMMYFUNCTION("""COMPUTED_VALUE"""),"RestartExpnl")</f>
        <v>RestartExpnl</v>
      </c>
      <c r="C109" s="4" t="str">
        <f>IFERROR(__xludf.DUMMYFUNCTION("""COMPUTED_VALUE"""),"1XudD6Nj0wqCZAKVseYGTPtKQwNCe9E1uqJVw4IlOpus")</f>
        <v>1XudD6Nj0wqCZAKVseYGTPtKQwNCe9E1uqJVw4IlOpus</v>
      </c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 t="str">
        <f>IFERROR(__xludf.DUMMYFUNCTION("""COMPUTED_VALUE"""),"PortfolioManagement")</f>
        <v>PortfolioManagement</v>
      </c>
      <c r="B110" s="4" t="str">
        <f>IFERROR(__xludf.DUMMYFUNCTION("""COMPUTED_VALUE"""),"ClosePM")</f>
        <v>ClosePM</v>
      </c>
      <c r="C110" s="4" t="str">
        <f>IFERROR(__xludf.DUMMYFUNCTION("""COMPUTED_VALUE"""),"Undefined")</f>
        <v>Undefined</v>
      </c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 t="str">
        <f>IFERROR(__xludf.DUMMYFUNCTION("""COMPUTED_VALUE"""),"Allocation")</f>
        <v>Allocation</v>
      </c>
      <c r="B111" s="4" t="str">
        <f>IFERROR(__xludf.DUMMYFUNCTION("""COMPUTED_VALUE"""),"EnterStrategyValuesToAllocate")</f>
        <v>EnterStrategyValuesToAllocate</v>
      </c>
      <c r="C111" s="4" t="str">
        <f>IFERROR(__xludf.DUMMYFUNCTION("""COMPUTED_VALUE"""),"1Zsko4640_o83_hPa401AVs4ihF17JntIpyHAOhJZX6E")</f>
        <v>1Zsko4640_o83_hPa401AVs4ihF17JntIpyHAOhJZX6E</v>
      </c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 t="str">
        <f>IFERROR(__xludf.DUMMYFUNCTION("""COMPUTED_VALUE"""),"GeneralLedger")</f>
        <v>GeneralLedger</v>
      </c>
      <c r="B112" s="4" t="str">
        <f>IFERROR(__xludf.DUMMYFUNCTION("""COMPUTED_VALUE"""),"SelectNonTradingTransaction")</f>
        <v>SelectNonTradingTransaction</v>
      </c>
      <c r="C112" s="4" t="str">
        <f>IFERROR(__xludf.DUMMYFUNCTION("""COMPUTED_VALUE"""),"13CpGgA7xAiUMopTzEjt2gG1RljXAXIuKfHjB9r5e5x4")</f>
        <v>13CpGgA7xAiUMopTzEjt2gG1RljXAXIuKfHjB9r5e5x4</v>
      </c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 t="str">
        <f>IFERROR(__xludf.DUMMYFUNCTION("""COMPUTED_VALUE"""),"GeneralLedger")</f>
        <v>GeneralLedger</v>
      </c>
      <c r="B113" s="4" t="str">
        <f>IFERROR(__xludf.DUMMYFUNCTION("""COMPUTED_VALUE"""),"SelectNonTradingTranItem")</f>
        <v>SelectNonTradingTranItem</v>
      </c>
      <c r="C113" s="4" t="str">
        <f>IFERROR(__xludf.DUMMYFUNCTION("""COMPUTED_VALUE"""),"1UZ09M0xmOuNjWYpsoghYu3B-9Dp1XeyMl6CRaUgL7PU")</f>
        <v>1UZ09M0xmOuNjWYpsoghYu3B-9Dp1XeyMl6CRaUgL7PU</v>
      </c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 t="str">
        <f>IFERROR(__xludf.DUMMYFUNCTION("""COMPUTED_VALUE"""),"Allocation")</f>
        <v>Allocation</v>
      </c>
      <c r="B114" s="4" t="str">
        <f>IFERROR(__xludf.DUMMYFUNCTION("""COMPUTED_VALUE"""),"CopyCalculatedPreferenceToolbar")</f>
        <v>CopyCalculatedPreferenceToolbar</v>
      </c>
      <c r="C114" s="4" t="str">
        <f>IFERROR(__xludf.DUMMYFUNCTION("""COMPUTED_VALUE"""),"1l11hWn_7rpljZexuNHkg5KleyKXo_4jx1d21BZRdJLg")</f>
        <v>1l11hWn_7rpljZexuNHkg5KleyKXo_4jx1d21BZRdJLg</v>
      </c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 t="str">
        <f>IFERROR(__xludf.DUMMYFUNCTION("""COMPUTED_VALUE"""),"Allocation")</f>
        <v>Allocation</v>
      </c>
      <c r="B115" s="4" t="str">
        <f>IFERROR(__xludf.DUMMYFUNCTION("""COMPUTED_VALUE"""),"SetGeneralRuleCalculatedPref")</f>
        <v>SetGeneralRuleCalculatedPref</v>
      </c>
      <c r="C115" s="4" t="str">
        <f>IFERROR(__xludf.DUMMYFUNCTION("""COMPUTED_VALUE"""),"1R_5SIhO5vmNiNTSvxGDIsDQW7k4dpl_tTORq2eMqTMQ")</f>
        <v>1R_5SIhO5vmNiNTSvxGDIsDQW7k4dpl_tTORq2eMqTMQ</v>
      </c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 t="str">
        <f>IFERROR(__xludf.DUMMYFUNCTION("""COMPUTED_VALUE"""),"GeneralLedger")</f>
        <v>GeneralLedger</v>
      </c>
      <c r="B116" s="4" t="str">
        <f>IFERROR(__xludf.DUMMYFUNCTION("""COMPUTED_VALUE"""),"DeleteNonTradingTransaction")</f>
        <v>DeleteNonTradingTransaction</v>
      </c>
      <c r="C116" s="4" t="str">
        <f>IFERROR(__xludf.DUMMYFUNCTION("""COMPUTED_VALUE"""),"1BNSpLr6-8xmfOdPhxn_mllvRzgMVOx2ZkRBPRI9o3dM")</f>
        <v>1BNSpLr6-8xmfOdPhxn_mllvRzgMVOx2ZkRBPRI9o3dM</v>
      </c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 t="str">
        <f>IFERROR(__xludf.DUMMYFUNCTION("""COMPUTED_VALUE"""),"GeneralLedger")</f>
        <v>GeneralLedger</v>
      </c>
      <c r="B117" s="4" t="str">
        <f>IFERROR(__xludf.DUMMYFUNCTION("""COMPUTED_VALUE"""),"DeleteNonTradingTranItem")</f>
        <v>DeleteNonTradingTranItem</v>
      </c>
      <c r="C117" s="4" t="str">
        <f>IFERROR(__xludf.DUMMYFUNCTION("""COMPUTED_VALUE"""),"1YQ4eqVgAhL_mqQU2z2kvxzIhWYpzfuAfnqY561FQoSE")</f>
        <v>1YQ4eqVgAhL_mqQU2z2kvxzIhWYpzfuAfnqY561FQoSE</v>
      </c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 t="str">
        <f>IFERROR(__xludf.DUMMYFUNCTION("""COMPUTED_VALUE"""),"Allocation")</f>
        <v>Allocation</v>
      </c>
      <c r="B118" s="4" t="str">
        <f>IFERROR(__xludf.DUMMYFUNCTION("""COMPUTED_VALUE"""),"ExportAllCalculatedPreferences")</f>
        <v>ExportAllCalculatedPreferences</v>
      </c>
      <c r="C118" s="4" t="str">
        <f>IFERROR(__xludf.DUMMYFUNCTION("""COMPUTED_VALUE"""),"1McqZVOvpDAyyblkMX74qXcQoiQxkSLybROu-ztjMQIc")</f>
        <v>1McqZVOvpDAyyblkMX74qXcQoiQxkSLybROu-ztjMQIc</v>
      </c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 t="str">
        <f>IFERROR(__xludf.DUMMYFUNCTION("""COMPUTED_VALUE"""),"GeneralLedger")</f>
        <v>GeneralLedger</v>
      </c>
      <c r="B119" s="4" t="str">
        <f>IFERROR(__xludf.DUMMYFUNCTION("""COMPUTED_VALUE"""),"AddNonTradingTransaction")</f>
        <v>AddNonTradingTransaction</v>
      </c>
      <c r="C119" s="4" t="str">
        <f>IFERROR(__xludf.DUMMYFUNCTION("""COMPUTED_VALUE"""),"1P841AyLOX69wx-NB44lpyuRlaUGV1cMYqaugaIGxr5Q")</f>
        <v>1P841AyLOX69wx-NB44lpyuRlaUGV1cMYqaugaIGxr5Q</v>
      </c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 t="str">
        <f>IFERROR(__xludf.DUMMYFUNCTION("""COMPUTED_VALUE"""),"GeneralLedger")</f>
        <v>GeneralLedger</v>
      </c>
      <c r="B120" s="4" t="str">
        <f>IFERROR(__xludf.DUMMYFUNCTION("""COMPUTED_VALUE"""),"AddNonTradingTranItem")</f>
        <v>AddNonTradingTranItem</v>
      </c>
      <c r="C120" s="4" t="str">
        <f>IFERROR(__xludf.DUMMYFUNCTION("""COMPUTED_VALUE"""),"1fEUUuW7bCEL3WiGDSZKRox2hDLlMEtVBUR46151jGvw")</f>
        <v>1fEUUuW7bCEL3WiGDSZKRox2hDLlMEtVBUR46151jGvw</v>
      </c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 t="str">
        <f>IFERROR(__xludf.DUMMYFUNCTION("""COMPUTED_VALUE"""),"Allocation")</f>
        <v>Allocation</v>
      </c>
      <c r="B121" s="4" t="str">
        <f>IFERROR(__xludf.DUMMYFUNCTION("""COMPUTED_VALUE"""),"SaveCalculatedPreferences")</f>
        <v>SaveCalculatedPreferences</v>
      </c>
      <c r="C121" s="4" t="str">
        <f>IFERROR(__xludf.DUMMYFUNCTION("""COMPUTED_VALUE"""),"Undefined")</f>
        <v>Undefined</v>
      </c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 t="str">
        <f>IFERROR(__xludf.DUMMYFUNCTION("""COMPUTED_VALUE"""),"GeneralLedger")</f>
        <v>GeneralLedger</v>
      </c>
      <c r="B122" s="4" t="str">
        <f>IFERROR(__xludf.DUMMYFUNCTION("""COMPUTED_VALUE"""),"VerifyOpeningBalanceData")</f>
        <v>VerifyOpeningBalanceData</v>
      </c>
      <c r="C122" s="4" t="str">
        <f>IFERROR(__xludf.DUMMYFUNCTION("""COMPUTED_VALUE"""),"1fYqc0dGDB6VLPr77gmUss7eBXhlUYc0GLttj6ffr-Kg")</f>
        <v>1fYqc0dGDB6VLPr77gmUss7eBXhlUYc0GLttj6ffr-Kg</v>
      </c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 t="str">
        <f>IFERROR(__xludf.DUMMYFUNCTION("""COMPUTED_VALUE"""),"GeneralLedger")</f>
        <v>GeneralLedger</v>
      </c>
      <c r="B123" s="4" t="str">
        <f>IFERROR(__xludf.DUMMYFUNCTION("""COMPUTED_VALUE"""),"SelectOpeningBalanceTransaction")</f>
        <v>SelectOpeningBalanceTransaction</v>
      </c>
      <c r="C123" s="4" t="str">
        <f>IFERROR(__xludf.DUMMYFUNCTION("""COMPUTED_VALUE"""),"1WebIwh6H8t2c0-92bwEKV5DshdjoRQmVPIJVFLHmnls")</f>
        <v>1WebIwh6H8t2c0-92bwEKV5DshdjoRQmVPIJVFLHmnls</v>
      </c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 t="str">
        <f>IFERROR(__xludf.DUMMYFUNCTION("""COMPUTED_VALUE"""),"TradingTicket")</f>
        <v>TradingTicket</v>
      </c>
      <c r="B124" s="4" t="str">
        <f>IFERROR(__xludf.DUMMYFUNCTION("""COMPUTED_VALUE"""),"CreateStageOrder ")</f>
        <v>CreateStageOrder </v>
      </c>
      <c r="C124" s="4" t="str">
        <f>IFERROR(__xludf.DUMMYFUNCTION("""COMPUTED_VALUE"""),"19L_mzuhDLQ5wPlLAxlOHp1eRSS4zc0D4J6BOKCagXpw")</f>
        <v>19L_mzuhDLQ5wPlLAxlOHp1eRSS4zc0D4J6BOKCagXpw</v>
      </c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 t="str">
        <f>IFERROR(__xludf.DUMMYFUNCTION("""COMPUTED_VALUE"""),"Blotter")</f>
        <v>Blotter</v>
      </c>
      <c r="B125" s="4" t="str">
        <f>IFERROR(__xludf.DUMMYFUNCTION("""COMPUTED_VALUE"""),"TransferToUserWorkingSubs")</f>
        <v>TransferToUserWorkingSubs</v>
      </c>
      <c r="C125" s="4" t="str">
        <f>IFERROR(__xludf.DUMMYFUNCTION("""COMPUTED_VALUE"""),"1SYHCL9X3kLj_YpZgCZTrllmRvVgAsjam3MbM-5vKhuQ")</f>
        <v>1SYHCL9X3kLj_YpZgCZTrllmRvVgAsjam3MbM-5vKhuQ</v>
      </c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 t="str">
        <f>IFERROR(__xludf.DUMMYFUNCTION("""COMPUTED_VALUE"""),"Blotter")</f>
        <v>Blotter</v>
      </c>
      <c r="B126" s="4" t="str">
        <f>IFERROR(__xludf.DUMMYFUNCTION("""COMPUTED_VALUE"""),"CancelWorkingSubs")</f>
        <v>CancelWorkingSubs</v>
      </c>
      <c r="C126" s="4" t="str">
        <f>IFERROR(__xludf.DUMMYFUNCTION("""COMPUTED_VALUE"""),"1O_QhVVvq9XcwVG6eOk1KDiQEBXDVkfHIoF5OQ05ChQM")</f>
        <v>1O_QhVVvq9XcwVG6eOk1KDiQEBXDVkfHIoF5OQ05ChQM</v>
      </c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 t="str">
        <f>IFERROR(__xludf.DUMMYFUNCTION("""COMPUTED_VALUE"""),"Blotter")</f>
        <v>Blotter</v>
      </c>
      <c r="B127" s="4" t="str">
        <f>IFERROR(__xludf.DUMMYFUNCTION("""COMPUTED_VALUE"""),"ReplaceWorkingSubs")</f>
        <v>ReplaceWorkingSubs</v>
      </c>
      <c r="C127" s="4" t="str">
        <f>IFERROR(__xludf.DUMMYFUNCTION("""COMPUTED_VALUE"""),"1WZoxOuHE4Qt6q835PwLh8-0EnNhekv7piYE-Kd-vnjg")</f>
        <v>1WZoxOuHE4Qt6q835PwLh8-0EnNhekv7piYE-Kd-vnjg</v>
      </c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 t="str">
        <f>IFERROR(__xludf.DUMMYFUNCTION("""COMPUTED_VALUE"""),"Expnl")</f>
        <v>Expnl</v>
      </c>
      <c r="B128" s="4" t="str">
        <f>IFERROR(__xludf.DUMMYFUNCTION("""COMPUTED_VALUE"""),"UpdateExpnlConfig")</f>
        <v>UpdateExpnlConfig</v>
      </c>
      <c r="C128" s="4" t="str">
        <f>IFERROR(__xludf.DUMMYFUNCTION("""COMPUTED_VALUE"""),"1V8BI4yfIyQECE1JcMRsApfmTPthAoYudd5HOhx1IeZ4")</f>
        <v>1V8BI4yfIyQECE1JcMRsApfmTPthAoYudd5HOhx1IeZ4</v>
      </c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 t="str">
        <f>IFERROR(__xludf.DUMMYFUNCTION("""COMPUTED_VALUE"""),"Blotter")</f>
        <v>Blotter</v>
      </c>
      <c r="B129" s="4" t="str">
        <f>IFERROR(__xludf.DUMMYFUNCTION("""COMPUTED_VALUE"""),"ViewAllocationDetailsWorkingSub")</f>
        <v>ViewAllocationDetailsWorkingSub</v>
      </c>
      <c r="C129" s="4" t="str">
        <f>IFERROR(__xludf.DUMMYFUNCTION("""COMPUTED_VALUE"""),"1C9lg9oeUsmJEC3FDEmDYEDxYEZ48vhTvBpc_7jzrG-A")</f>
        <v>1C9lg9oeUsmJEC3FDEmDYEDxYEZ48vhTvBpc_7jzrG-A</v>
      </c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 t="str">
        <f>IFERROR(__xludf.DUMMYFUNCTION("""COMPUTED_VALUE"""),"Blotter")</f>
        <v>Blotter</v>
      </c>
      <c r="B130" s="4" t="str">
        <f>IFERROR(__xludf.DUMMYFUNCTION("""COMPUTED_VALUE"""),"SelectTradeOnOrderGrid")</f>
        <v>SelectTradeOnOrderGrid</v>
      </c>
      <c r="C130" s="4" t="str">
        <f>IFERROR(__xludf.DUMMYFUNCTION("""COMPUTED_VALUE"""),"1BjEK9SjmwTVcJQlKgIyoRBoSojE0atclJ6aMY8PF1jE")</f>
        <v>1BjEK9SjmwTVcJQlKgIyoRBoSojE0atclJ6aMY8PF1jE</v>
      </c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 t="str">
        <f>IFERROR(__xludf.DUMMYFUNCTION("""COMPUTED_VALUE"""),"Blotter")</f>
        <v>Blotter</v>
      </c>
      <c r="B131" s="4" t="str">
        <f>IFERROR(__xludf.DUMMYFUNCTION("""COMPUTED_VALUE"""),"ShowDetailsForAlgoTradeSubOrder")</f>
        <v>ShowDetailsForAlgoTradeSubOrder</v>
      </c>
      <c r="C131" s="4" t="str">
        <f>IFERROR(__xludf.DUMMYFUNCTION("""COMPUTED_VALUE"""),"1m-tuubYj3kpg3IX2REfAJAcN1l96k6ONTKyiKvxjX2Y")</f>
        <v>1m-tuubYj3kpg3IX2REfAJAcN1l96k6ONTKyiKvxjX2Y</v>
      </c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 t="str">
        <f>IFERROR(__xludf.DUMMYFUNCTION("""COMPUTED_VALUE"""),"Blotter")</f>
        <v>Blotter</v>
      </c>
      <c r="B132" s="4" t="str">
        <f>IFERROR(__xludf.DUMMYFUNCTION("""COMPUTED_VALUE"""),"SelectTradeOrderBlotter")</f>
        <v>SelectTradeOrderBlotter</v>
      </c>
      <c r="C132" s="4" t="str">
        <f>IFERROR(__xludf.DUMMYFUNCTION("""COMPUTED_VALUE"""),"16c7e_rK3O0Zi9I0WlDJ908i_nRkDa4gzAI-9qAWkMGU")</f>
        <v>16c7e_rK3O0Zi9I0WlDJ908i_nRkDa4gzAI-9qAWkMGU</v>
      </c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 t="str">
        <f>IFERROR(__xludf.DUMMYFUNCTION("""COMPUTED_VALUE"""),"Blotter")</f>
        <v>Blotter</v>
      </c>
      <c r="B133" s="4" t="str">
        <f>IFERROR(__xludf.DUMMYFUNCTION("""COMPUTED_VALUE"""),"AddFillsWorkingSubs")</f>
        <v>AddFillsWorkingSubs</v>
      </c>
      <c r="C133" s="4" t="str">
        <f>IFERROR(__xludf.DUMMYFUNCTION("""COMPUTED_VALUE"""),"1NsatpolfnrnOWuJS48_OImvxU5HT7tC5tpa6K_1j4nw")</f>
        <v>1NsatpolfnrnOWuJS48_OImvxU5HT7tC5tpa6K_1j4nw</v>
      </c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 t="str">
        <f>IFERROR(__xludf.DUMMYFUNCTION("""COMPUTED_VALUE"""),"Blotter")</f>
        <v>Blotter</v>
      </c>
      <c r="B134" s="4" t="str">
        <f>IFERROR(__xludf.DUMMYFUNCTION("""COMPUTED_VALUE"""),"EditAddFillsDetails")</f>
        <v>EditAddFillsDetails</v>
      </c>
      <c r="C134" s="4" t="str">
        <f>IFERROR(__xludf.DUMMYFUNCTION("""COMPUTED_VALUE"""),"1wzlYzJ1XCTaoLeP4tjkY8-ZhqlYA9IRvRsKXraPyMT4")</f>
        <v>1wzlYzJ1XCTaoLeP4tjkY8-ZhqlYA9IRvRsKXraPyMT4</v>
      </c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 t="str">
        <f>IFERROR(__xludf.DUMMYFUNCTION("""COMPUTED_VALUE"""),"Blotter")</f>
        <v>Blotter</v>
      </c>
      <c r="B135" s="4" t="str">
        <f>IFERROR(__xludf.DUMMYFUNCTION("""COMPUTED_VALUE"""),"ShowDetailsForAlgoTradeWorkingSubs")</f>
        <v>ShowDetailsForAlgoTradeWorkingSubs</v>
      </c>
      <c r="C135" s="4" t="str">
        <f>IFERROR(__xludf.DUMMYFUNCTION("""COMPUTED_VALUE"""),"1uzLHi4CNBx0MyhR8WKVB_6WHQpiBXI6BeN8IK55J1co")</f>
        <v>1uzLHi4CNBx0MyhR8WKVB_6WHQpiBXI6BeN8IK55J1co</v>
      </c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 t="str">
        <f>IFERROR(__xludf.DUMMYFUNCTION("""COMPUTED_VALUE"""),"Closing")</f>
        <v>Closing</v>
      </c>
      <c r="B136" s="4" t="str">
        <f>IFERROR(__xludf.DUMMYFUNCTION("""COMPUTED_VALUE"""),"SwapExpire")</f>
        <v>SwapExpire</v>
      </c>
      <c r="C136" s="4" t="str">
        <f>IFERROR(__xludf.DUMMYFUNCTION("""COMPUTED_VALUE"""),"1Ch8ljdOLO5qpDv9DppYdH0GSLe_dObZX8Z4007tRKtk")</f>
        <v>1Ch8ljdOLO5qpDv9DppYdH0GSLe_dObZX8Z4007tRKtk</v>
      </c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 t="str">
        <f>IFERROR(__xludf.DUMMYFUNCTION("""COMPUTED_VALUE"""),"Blotter")</f>
        <v>Blotter</v>
      </c>
      <c r="B137" s="4" t="str">
        <f>IFERROR(__xludf.DUMMYFUNCTION("""COMPUTED_VALUE"""),"VerifyWorkingSubs")</f>
        <v>VerifyWorkingSubs</v>
      </c>
      <c r="C137" s="4" t="str">
        <f>IFERROR(__xludf.DUMMYFUNCTION("""COMPUTED_VALUE"""),"1bWNa-3AC2rjiVCHfnFAnV1_niiebvWSmqy0pa2Y3A1U")</f>
        <v>1bWNa-3AC2rjiVCHfnFAnV1_niiebvWSmqy0pa2Y3A1U</v>
      </c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 t="str">
        <f>IFERROR(__xludf.DUMMYFUNCTION("""COMPUTED_VALUE"""),"Blotter")</f>
        <v>Blotter</v>
      </c>
      <c r="B138" s="4" t="str">
        <f>IFERROR(__xludf.DUMMYFUNCTION("""COMPUTED_VALUE"""),"TransferToUserOrder")</f>
        <v>TransferToUserOrder</v>
      </c>
      <c r="C138" s="4" t="str">
        <f>IFERROR(__xludf.DUMMYFUNCTION("""COMPUTED_VALUE"""),"1P2MumATI6sYkJ-NV9pAkg1QlFtz454tMWNv0omhAY0U")</f>
        <v>1P2MumATI6sYkJ-NV9pAkg1QlFtz454tMWNv0omhAY0U</v>
      </c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 t="str">
        <f>IFERROR(__xludf.DUMMYFUNCTION("""COMPUTED_VALUE"""),"Allocation")</f>
        <v>Allocation</v>
      </c>
      <c r="B139" s="4" t="str">
        <f>IFERROR(__xludf.DUMMYFUNCTION("""COMPUTED_VALUE"""),"CloseCalculatedPreferences")</f>
        <v>CloseCalculatedPreferences</v>
      </c>
      <c r="C139" s="4" t="str">
        <f>IFERROR(__xludf.DUMMYFUNCTION("""COMPUTED_VALUE"""),"Undefined")</f>
        <v>Undefined</v>
      </c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 t="str">
        <f>IFERROR(__xludf.DUMMYFUNCTION("""COMPUTED_VALUE"""),"TradingTicket")</f>
        <v>TradingTicket</v>
      </c>
      <c r="B140" s="4" t="str">
        <f>IFERROR(__xludf.DUMMYFUNCTION("""COMPUTED_VALUE"""),"CreateReplaceOrder")</f>
        <v>CreateReplaceOrder</v>
      </c>
      <c r="C140" s="4" t="str">
        <f>IFERROR(__xludf.DUMMYFUNCTION("""COMPUTED_VALUE"""),"18AeAxxP9aKc0LkOM-a21d3p-tmpinB6dTkwcwxQslJ4")</f>
        <v>18AeAxxP9aKc0LkOM-a21d3p-tmpinB6dTkwcwxQslJ4</v>
      </c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 t="str">
        <f>IFERROR(__xludf.DUMMYFUNCTION("""COMPUTED_VALUE"""),"Blotter")</f>
        <v>Blotter</v>
      </c>
      <c r="B141" s="4" t="str">
        <f>IFERROR(__xludf.DUMMYFUNCTION("""COMPUTED_VALUE"""),"EditOrder")</f>
        <v>EditOrder</v>
      </c>
      <c r="C141" s="4" t="str">
        <f>IFERROR(__xludf.DUMMYFUNCTION("""COMPUTED_VALUE"""),"1Vd5K36QAgnLOt0ytUkYptPSTuOBM4MelFsNL6C-vyXQ")</f>
        <v>1Vd5K36QAgnLOt0ytUkYptPSTuOBM4MelFsNL6C-vyXQ</v>
      </c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 t="str">
        <f>IFERROR(__xludf.DUMMYFUNCTION("""COMPUTED_VALUE"""),"Blotter")</f>
        <v>Blotter</v>
      </c>
      <c r="B142" s="4" t="str">
        <f>IFERROR(__xludf.DUMMYFUNCTION("""COMPUTED_VALUE"""),"SelectTradeSubOrderBlotter")</f>
        <v>SelectTradeSubOrderBlotter</v>
      </c>
      <c r="C142" s="4" t="str">
        <f>IFERROR(__xludf.DUMMYFUNCTION("""COMPUTED_VALUE"""),"1Kn7RmQ6euNcNOy6NDUbPzjJlZhiqP-WxVYqXlDo2C6U")</f>
        <v>1Kn7RmQ6euNcNOy6NDUbPzjJlZhiqP-WxVYqXlDo2C6U</v>
      </c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 t="str">
        <f>IFERROR(__xludf.DUMMYFUNCTION("""COMPUTED_VALUE"""),"Blotter")</f>
        <v>Blotter</v>
      </c>
      <c r="B143" s="4" t="str">
        <f>IFERROR(__xludf.DUMMYFUNCTION("""COMPUTED_VALUE"""),"VerifyOrder")</f>
        <v>VerifyOrder</v>
      </c>
      <c r="C143" s="4" t="str">
        <f>IFERROR(__xludf.DUMMYFUNCTION("""COMPUTED_VALUE"""),"1JPNg6N_aHFo0NZlm39jWJJlz8ViAI_cUwOgfEVMqNZo")</f>
        <v>1JPNg6N_aHFo0NZlm39jWJJlz8ViAI_cUwOgfEVMqNZo</v>
      </c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 t="str">
        <f>IFERROR(__xludf.DUMMYFUNCTION("""COMPUTED_VALUE"""),"Blotter")</f>
        <v>Blotter</v>
      </c>
      <c r="B144" s="4" t="str">
        <f>IFERROR(__xludf.DUMMYFUNCTION("""COMPUTED_VALUE"""),"VerifySubOrder")</f>
        <v>VerifySubOrder</v>
      </c>
      <c r="C144" s="4" t="str">
        <f>IFERROR(__xludf.DUMMYFUNCTION("""COMPUTED_VALUE"""),"1TafQ5l2I9Hkp5-ghxq8hrHGyq-Oxs6F71aj4qMJyg5c")</f>
        <v>1TafQ5l2I9Hkp5-ghxq8hrHGyq-Oxs6F71aj4qMJyg5c</v>
      </c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 t="str">
        <f>IFERROR(__xludf.DUMMYFUNCTION("""COMPUTED_VALUE"""),"Blotter")</f>
        <v>Blotter</v>
      </c>
      <c r="B145" s="4" t="str">
        <f>IFERROR(__xludf.DUMMYFUNCTION("""COMPUTED_VALUE"""),"RemoveSelectedOrders")</f>
        <v>RemoveSelectedOrders</v>
      </c>
      <c r="C145" s="4" t="str">
        <f>IFERROR(__xludf.DUMMYFUNCTION("""COMPUTED_VALUE"""),"1J3iMkZUt2VcZ66ADaKSSINJ5EJabuIdY1zSwd6M45wM")</f>
        <v>1J3iMkZUt2VcZ66ADaKSSINJ5EJabuIdY1zSwd6M45wM</v>
      </c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 t="str">
        <f>IFERROR(__xludf.DUMMYFUNCTION("""COMPUTED_VALUE"""),"Blotter")</f>
        <v>Blotter</v>
      </c>
      <c r="B146" s="4" t="str">
        <f>IFERROR(__xludf.DUMMYFUNCTION("""COMPUTED_VALUE"""),"CancelAllSelectedSubs")</f>
        <v>CancelAllSelectedSubs</v>
      </c>
      <c r="C146" s="4" t="str">
        <f>IFERROR(__xludf.DUMMYFUNCTION("""COMPUTED_VALUE"""),"179OBcD6MtBcn4KEI2yimM-WbOG9HdQPq_M4QYKWxCWE")</f>
        <v>179OBcD6MtBcn4KEI2yimM-WbOG9HdQPq_M4QYKWxCWE</v>
      </c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 t="str">
        <f>IFERROR(__xludf.DUMMYFUNCTION("""COMPUTED_VALUE"""),"Blotter")</f>
        <v>Blotter</v>
      </c>
      <c r="B147" s="4" t="str">
        <f>IFERROR(__xludf.DUMMYFUNCTION("""COMPUTED_VALUE"""),"MultiTradingTicket")</f>
        <v>MultiTradingTicket</v>
      </c>
      <c r="C147" s="4" t="str">
        <f>IFERROR(__xludf.DUMMYFUNCTION("""COMPUTED_VALUE"""),"13Mz382SvngJftLB83NIojgoFXnAjqYRnP5Vbj9lh-rA")</f>
        <v>13Mz382SvngJftLB83NIojgoFXnAjqYRnP5Vbj9lh-rA</v>
      </c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 t="str">
        <f>IFERROR(__xludf.DUMMYFUNCTION("""COMPUTED_VALUE"""),"Blotter")</f>
        <v>Blotter</v>
      </c>
      <c r="B148" s="4" t="str">
        <f>IFERROR(__xludf.DUMMYFUNCTION("""COMPUTED_VALUE"""),"AuditTrailOrderBlotter")</f>
        <v>AuditTrailOrderBlotter</v>
      </c>
      <c r="C148" s="4" t="str">
        <f>IFERROR(__xludf.DUMMYFUNCTION("""COMPUTED_VALUE"""),"1IuRqDm9SdGbwaATc_E-eFeQdhAmE2zhtBB3igLL_Md4")</f>
        <v>1IuRqDm9SdGbwaATc_E-eFeQdhAmE2zhtBB3igLL_Md4</v>
      </c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 t="str">
        <f>IFERROR(__xludf.DUMMYFUNCTION("""COMPUTED_VALUE"""),"Blotter")</f>
        <v>Blotter</v>
      </c>
      <c r="B149" s="4" t="str">
        <f>IFERROR(__xludf.DUMMYFUNCTION("""COMPUTED_VALUE"""),"TradeNewSubOrder")</f>
        <v>TradeNewSubOrder</v>
      </c>
      <c r="C149" s="4" t="str">
        <f>IFERROR(__xludf.DUMMYFUNCTION("""COMPUTED_VALUE"""),"1UHeoJyRun4tW18yAwGHn5G5F3bVCz5YfTdVoKPsPhio")</f>
        <v>1UHeoJyRun4tW18yAwGHn5G5F3bVCz5YfTdVoKPsPhio</v>
      </c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 t="str">
        <f>IFERROR(__xludf.DUMMYFUNCTION("""COMPUTED_VALUE"""),"Blotter")</f>
        <v>Blotter</v>
      </c>
      <c r="B150" s="4" t="str">
        <f>IFERROR(__xludf.DUMMYFUNCTION("""COMPUTED_VALUE"""),"RemoveStageOrder")</f>
        <v>RemoveStageOrder</v>
      </c>
      <c r="C150" s="4" t="str">
        <f>IFERROR(__xludf.DUMMYFUNCTION("""COMPUTED_VALUE"""),"19q7R-0jpTlv8r84XWOTVvpxM4KAqBUjmWW6bBepm980")</f>
        <v>19q7R-0jpTlv8r84XWOTVvpxM4KAqBUjmWW6bBepm980</v>
      </c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 t="str">
        <f>IFERROR(__xludf.DUMMYFUNCTION("""COMPUTED_VALUE"""),"TradingTicket")</f>
        <v>TradingTicket</v>
      </c>
      <c r="B151" s="4" t="str">
        <f>IFERROR(__xludf.DUMMYFUNCTION("""COMPUTED_VALUE"""),"SetGeneralPreference")</f>
        <v>SetGeneralPreference</v>
      </c>
      <c r="C151" s="4" t="str">
        <f>IFERROR(__xludf.DUMMYFUNCTION("""COMPUTED_VALUE"""),"1_gksmHNJnLr9h_WVPZU3z30gw7YXBg5xb6ekKca50wE")</f>
        <v>1_gksmHNJnLr9h_WVPZU3z30gw7YXBg5xb6ekKca50wE</v>
      </c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 t="str">
        <f>IFERROR(__xludf.DUMMYFUNCTION("""COMPUTED_VALUE"""),"Allocation")</f>
        <v>Allocation</v>
      </c>
      <c r="B152" s="4" t="str">
        <f>IFERROR(__xludf.DUMMYFUNCTION("""COMPUTED_VALUE"""),"ExportCalculatedPreference")</f>
        <v>ExportCalculatedPreference</v>
      </c>
      <c r="C152" s="4" t="str">
        <f>IFERROR(__xludf.DUMMYFUNCTION("""COMPUTED_VALUE"""),"12SdpCUJEukku3_4FXm4sTQG2YnlN1FabyPasyveh6Dw")</f>
        <v>12SdpCUJEukku3_4FXm4sTQG2YnlN1FabyPasyveh6Dw</v>
      </c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 t="str">
        <f>IFERROR(__xludf.DUMMYFUNCTION("""COMPUTED_VALUE"""),"GeneralLedger")</f>
        <v>GeneralLedger</v>
      </c>
      <c r="B153" s="4" t="str">
        <f>IFERROR(__xludf.DUMMYFUNCTION("""COMPUTED_VALUE"""),"SelectOpeningBalanceTranItem")</f>
        <v>SelectOpeningBalanceTranItem</v>
      </c>
      <c r="C153" s="4" t="str">
        <f>IFERROR(__xludf.DUMMYFUNCTION("""COMPUTED_VALUE"""),"1V0qkYxwmCcH2Rlv3ntrESGxjt8CqDUtCWLpF5NLEkms")</f>
        <v>1V0qkYxwmCcH2Rlv3ntrESGxjt8CqDUtCWLpF5NLEkms</v>
      </c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 t="str">
        <f>IFERROR(__xludf.DUMMYFUNCTION("""COMPUTED_VALUE"""),"PricingInput")</f>
        <v>PricingInput</v>
      </c>
      <c r="B154" s="4" t="str">
        <f>IFERROR(__xludf.DUMMYFUNCTION("""COMPUTED_VALUE"""),"EODTPreferences")</f>
        <v>EODTPreferences</v>
      </c>
      <c r="C154" s="4" t="str">
        <f>IFERROR(__xludf.DUMMYFUNCTION("""COMPUTED_VALUE"""),"1C2CqSypfxVefrec-UaZokCKMFMAIxUNiNEksS0cQC9U")</f>
        <v>1C2CqSypfxVefrec-UaZokCKMFMAIxUNiNEksS0cQC9U</v>
      </c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 t="str">
        <f>IFERROR(__xludf.DUMMYFUNCTION("""COMPUTED_VALUE"""),"PricingInput")</f>
        <v>PricingInput</v>
      </c>
      <c r="B155" s="4" t="str">
        <f>IFERROR(__xludf.DUMMYFUNCTION("""COMPUTED_VALUE"""),"LiveData")</f>
        <v>LiveData</v>
      </c>
      <c r="C155" s="4" t="str">
        <f>IFERROR(__xludf.DUMMYFUNCTION("""COMPUTED_VALUE"""),"1qTWgd0vjJZEbzPL7hyO9Ya7BIHhBEh6QZh1zrIXWpQU")</f>
        <v>1qTWgd0vjJZEbzPL7hyO9Ya7BIHhBEh6QZh1zrIXWpQU</v>
      </c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 t="str">
        <f>IFERROR(__xludf.DUMMYFUNCTION("""COMPUTED_VALUE"""),"GeneralLedger")</f>
        <v>GeneralLedger</v>
      </c>
      <c r="B156" s="4" t="str">
        <f>IFERROR(__xludf.DUMMYFUNCTION("""COMPUTED_VALUE"""),"EditNonTradingTransaction")</f>
        <v>EditNonTradingTransaction</v>
      </c>
      <c r="C156" s="4" t="str">
        <f>IFERROR(__xludf.DUMMYFUNCTION("""COMPUTED_VALUE"""),"1WmisSfIxG2dETBBICN9Eopb2Zv5RAlXVeuJrc4fJW4g")</f>
        <v>1WmisSfIxG2dETBBICN9Eopb2Zv5RAlXVeuJrc4fJW4g</v>
      </c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 t="str">
        <f>IFERROR(__xludf.DUMMYFUNCTION("""COMPUTED_VALUE"""),"GeneralLedger")</f>
        <v>GeneralLedger</v>
      </c>
      <c r="B157" s="4" t="str">
        <f>IFERROR(__xludf.DUMMYFUNCTION("""COMPUTED_VALUE"""),"EditNonTradingTranItem")</f>
        <v>EditNonTradingTranItem</v>
      </c>
      <c r="C157" s="4" t="str">
        <f>IFERROR(__xludf.DUMMYFUNCTION("""COMPUTED_VALUE"""),"1e5H-E0bLrEbyATTG2-Q8bJEJjiq7I3m-fVl6pCGecHY")</f>
        <v>1e5H-E0bLrEbyATTG2-Q8bJEJjiq7I3m-fVl6pCGecHY</v>
      </c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 t="str">
        <f>IFERROR(__xludf.DUMMYFUNCTION("""COMPUTED_VALUE"""),"GeneralLedger")</f>
        <v>GeneralLedger</v>
      </c>
      <c r="B158" s="4" t="str">
        <f>IFERROR(__xludf.DUMMYFUNCTION("""COMPUTED_VALUE"""),"DeleteOpeningBalanceTransaction")</f>
        <v>DeleteOpeningBalanceTransaction</v>
      </c>
      <c r="C158" s="4" t="str">
        <f>IFERROR(__xludf.DUMMYFUNCTION("""COMPUTED_VALUE"""),"1MvfhsW88dxVl3ZUBRUYKI_kaV1VM3uvoAiEBGKh80jc")</f>
        <v>1MvfhsW88dxVl3ZUBRUYKI_kaV1VM3uvoAiEBGKh80jc</v>
      </c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 t="str">
        <f>IFERROR(__xludf.DUMMYFUNCTION("""COMPUTED_VALUE"""),"GeneralLedger")</f>
        <v>GeneralLedger</v>
      </c>
      <c r="B159" s="4" t="str">
        <f>IFERROR(__xludf.DUMMYFUNCTION("""COMPUTED_VALUE"""),"DeleteOpeningBalanceTranItem")</f>
        <v>DeleteOpeningBalanceTranItem</v>
      </c>
      <c r="C159" s="4" t="str">
        <f>IFERROR(__xludf.DUMMYFUNCTION("""COMPUTED_VALUE"""),"11WwR-OgN8B5mzAatud8VLIETSaP2cgH0N18z_22aKgM")</f>
        <v>11WwR-OgN8B5mzAatud8VLIETSaP2cgH0N18z_22aKgM</v>
      </c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 t="str">
        <f>IFERROR(__xludf.DUMMYFUNCTION("""COMPUTED_VALUE"""),"Allocation")</f>
        <v>Allocation</v>
      </c>
      <c r="B160" s="4" t="str">
        <f>IFERROR(__xludf.DUMMYFUNCTION("""COMPUTED_VALUE"""),"ImportCalculatedPreferences")</f>
        <v>ImportCalculatedPreferences</v>
      </c>
      <c r="C160" s="4" t="str">
        <f>IFERROR(__xludf.DUMMYFUNCTION("""COMPUTED_VALUE"""),"12i9wrB43t1Z92_jmrsnfeEq7d6hFZLuijrf1vuyfCko")</f>
        <v>12i9wrB43t1Z92_jmrsnfeEq7d6hFZLuijrf1vuyfCko</v>
      </c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 t="str">
        <f>IFERROR(__xludf.DUMMYFUNCTION("""COMPUTED_VALUE"""),"GeneralLedger")</f>
        <v>GeneralLedger</v>
      </c>
      <c r="B161" s="4" t="str">
        <f>IFERROR(__xludf.DUMMYFUNCTION("""COMPUTED_VALUE"""),"GetDayEndCash")</f>
        <v>GetDayEndCash</v>
      </c>
      <c r="C161" s="4" t="str">
        <f>IFERROR(__xludf.DUMMYFUNCTION("""COMPUTED_VALUE"""),"1s50OqXSYiKWrnT8nYaGDzYThTJTAHIyFoV9ohpgHPgY")</f>
        <v>1s50OqXSYiKWrnT8nYaGDzYThTJTAHIyFoV9ohpgHPgY</v>
      </c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 t="str">
        <f>IFERROR(__xludf.DUMMYFUNCTION("""COMPUTED_VALUE"""),"GeneralLedger")</f>
        <v>GeneralLedger</v>
      </c>
      <c r="B162" s="4" t="str">
        <f>IFERROR(__xludf.DUMMYFUNCTION("""COMPUTED_VALUE"""),"VerifyDayEndCash")</f>
        <v>VerifyDayEndCash</v>
      </c>
      <c r="C162" s="4" t="str">
        <f>IFERROR(__xludf.DUMMYFUNCTION("""COMPUTED_VALUE"""),"1s_0rGgUmKN57rRoq55juTGojQ5Fitk0m-U_OTDoirHA")</f>
        <v>1s_0rGgUmKN57rRoq55juTGojQ5Fitk0m-U_OTDoirHA</v>
      </c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 t="str">
        <f>IFERROR(__xludf.DUMMYFUNCTION("""COMPUTED_VALUE"""),"Allocation")</f>
        <v>Allocation</v>
      </c>
      <c r="B163" s="4" t="str">
        <f>IFERROR(__xludf.DUMMYFUNCTION("""COMPUTED_VALUE"""),"OpenAuditTrailUnallocatedGroup")</f>
        <v>OpenAuditTrailUnallocatedGroup</v>
      </c>
      <c r="C163" s="4" t="str">
        <f>IFERROR(__xludf.DUMMYFUNCTION("""COMPUTED_VALUE"""),"1ZIhvRGHTU76uT9xqOXXJRFi1H1sbFljHmLeOicgscVU")</f>
        <v>1ZIhvRGHTU76uT9xqOXXJRFi1H1sbFljHmLeOicgscVU</v>
      </c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 t="str">
        <f>IFERROR(__xludf.DUMMYFUNCTION("""COMPUTED_VALUE"""),"Allocation")</f>
        <v>Allocation</v>
      </c>
      <c r="B164" s="4" t="str">
        <f>IFERROR(__xludf.DUMMYFUNCTION("""COMPUTED_VALUE"""),"DeleteCalculatedPreferencesTool")</f>
        <v>DeleteCalculatedPreferencesTool</v>
      </c>
      <c r="C164" s="4" t="str">
        <f>IFERROR(__xludf.DUMMYFUNCTION("""COMPUTED_VALUE"""),"1dFC-TZzOuqwhb_lRy1ppdZVR5YELDGJURNyboYEsnco")</f>
        <v>1dFC-TZzOuqwhb_lRy1ppdZVR5YELDGJURNyboYEsnco</v>
      </c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 t="str">
        <f>IFERROR(__xludf.DUMMYFUNCTION("""COMPUTED_VALUE"""),"Allocation")</f>
        <v>Allocation</v>
      </c>
      <c r="B165" s="4" t="str">
        <f>IFERROR(__xludf.DUMMYFUNCTION("""COMPUTED_VALUE"""),"ImportCalculatedPreferencesTool")</f>
        <v>ImportCalculatedPreferencesTool</v>
      </c>
      <c r="C165" s="4" t="str">
        <f>IFERROR(__xludf.DUMMYFUNCTION("""COMPUTED_VALUE"""),"1rWzqQSM4eQ-4N76g_1QP-9cfgPs0Z0ZIXVExsfMleuM")</f>
        <v>1rWzqQSM4eQ-4N76g_1QP-9cfgPs0Z0ZIXVExsfMleuM</v>
      </c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 t="str">
        <f>IFERROR(__xludf.DUMMYFUNCTION("""COMPUTED_VALUE"""),"GeneralLedger")</f>
        <v>GeneralLedger</v>
      </c>
      <c r="B166" s="4" t="str">
        <f>IFERROR(__xludf.DUMMYFUNCTION("""COMPUTED_VALUE"""),"RunRevaluation")</f>
        <v>RunRevaluation</v>
      </c>
      <c r="C166" s="4" t="str">
        <f>IFERROR(__xludf.DUMMYFUNCTION("""COMPUTED_VALUE"""),"1TDDqb6Jok6OvWUFmx4I0wMt8-yhtBiM7TnVQKCoYxTA")</f>
        <v>1TDDqb6Jok6OvWUFmx4I0wMt8-yhtBiM7TnVQKCoYxTA</v>
      </c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 t="str">
        <f>IFERROR(__xludf.DUMMYFUNCTION("""COMPUTED_VALUE"""),"GeneralLedger")</f>
        <v>GeneralLedger</v>
      </c>
      <c r="B167" s="4" t="str">
        <f>IFERROR(__xludf.DUMMYFUNCTION("""COMPUTED_VALUE"""),"CalculateDayEndCash")</f>
        <v>CalculateDayEndCash</v>
      </c>
      <c r="C167" s="4" t="str">
        <f>IFERROR(__xludf.DUMMYFUNCTION("""COMPUTED_VALUE"""),"Undefined")</f>
        <v>Undefined</v>
      </c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 t="str">
        <f>IFERROR(__xludf.DUMMYFUNCTION("""COMPUTED_VALUE"""),"Allocation")</f>
        <v>Allocation</v>
      </c>
      <c r="B168" s="4" t="str">
        <f>IFERROR(__xludf.DUMMYFUNCTION("""COMPUTED_VALUE"""),"ExportAllCalculatedPreferTool")</f>
        <v>ExportAllCalculatedPreferTool</v>
      </c>
      <c r="C168" s="4" t="str">
        <f>IFERROR(__xludf.DUMMYFUNCTION("""COMPUTED_VALUE"""),"1T2Ras3k5fDjACI972XeavE_8pgs6THSrI1HhB1ye48s")</f>
        <v>1T2Ras3k5fDjACI972XeavE_8pgs6THSrI1HhB1ye48s</v>
      </c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 t="str">
        <f>IFERROR(__xludf.DUMMYFUNCTION("""COMPUTED_VALUE"""),"Allocation")</f>
        <v>Allocation</v>
      </c>
      <c r="B169" s="4" t="str">
        <f>IFERROR(__xludf.DUMMYFUNCTION("""COMPUTED_VALUE"""),"OpenAuditTrailAllocatedGroup")</f>
        <v>OpenAuditTrailAllocatedGroup</v>
      </c>
      <c r="C169" s="4" t="str">
        <f>IFERROR(__xludf.DUMMYFUNCTION("""COMPUTED_VALUE"""),"1YcVp-kfCDUoegdhsKsCe_PMzE3_cIy1wejc4JCzTgEw")</f>
        <v>1YcVp-kfCDUoegdhsKsCe_PMzE3_cIy1wejc4JCzTgEw</v>
      </c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 t="str">
        <f>IFERROR(__xludf.DUMMYFUNCTION("""COMPUTED_VALUE"""),"Allocation")</f>
        <v>Allocation</v>
      </c>
      <c r="B170" s="4" t="str">
        <f>IFERROR(__xludf.DUMMYFUNCTION("""COMPUTED_VALUE"""),"OpenSymbolLookupUnallocateGroup")</f>
        <v>OpenSymbolLookupUnallocateGroup</v>
      </c>
      <c r="C170" s="4" t="str">
        <f>IFERROR(__xludf.DUMMYFUNCTION("""COMPUTED_VALUE"""),"1PzyY_nfLYU66GT9Elm7rbepVT4M0Aao_ExWURbHlXso")</f>
        <v>1PzyY_nfLYU66GT9Elm7rbepVT4M0Aao_ExWURbHlXso</v>
      </c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 t="str">
        <f>IFERROR(__xludf.DUMMYFUNCTION("""COMPUTED_VALUE"""),"Allocation")</f>
        <v>Allocation</v>
      </c>
      <c r="B171" s="4" t="str">
        <f>IFERROR(__xludf.DUMMYFUNCTION("""COMPUTED_VALUE"""),"OpenSymbolLookupAllocatedGroup")</f>
        <v>OpenSymbolLookupAllocatedGroup</v>
      </c>
      <c r="C171" s="4" t="str">
        <f>IFERROR(__xludf.DUMMYFUNCTION("""COMPUTED_VALUE"""),"1Z_dQvfdgkluFyhKo149XBcbe0Kth-fg0fOFf4_u2E-4")</f>
        <v>1Z_dQvfdgkluFyhKo149XBcbe0Kth-fg0fOFf4_u2E-4</v>
      </c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 t="str">
        <f>IFERROR(__xludf.DUMMYFUNCTION("""COMPUTED_VALUE"""),"Allocation")</f>
        <v>Allocation</v>
      </c>
      <c r="B172" s="4" t="str">
        <f>IFERROR(__xludf.DUMMYFUNCTION("""COMPUTED_VALUE"""),"DeleteFixedPreference")</f>
        <v>DeleteFixedPreference</v>
      </c>
      <c r="C172" s="4" t="str">
        <f>IFERROR(__xludf.DUMMYFUNCTION("""COMPUTED_VALUE"""),"1RZplEfcQQUVd1Ggv65V_0dKqsLpnMuOaVEaLnQ7ckpE")</f>
        <v>1RZplEfcQQUVd1Ggv65V_0dKqsLpnMuOaVEaLnQ7ckpE</v>
      </c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 t="str">
        <f>IFERROR(__xludf.DUMMYFUNCTION("""COMPUTED_VALUE"""),"Blotter")</f>
        <v>Blotter</v>
      </c>
      <c r="B173" s="4" t="str">
        <f>IFERROR(__xludf.DUMMYFUNCTION("""COMPUTED_VALUE"""),"TransferToUserSubOrder")</f>
        <v>TransferToUserSubOrder</v>
      </c>
      <c r="C173" s="4" t="str">
        <f>IFERROR(__xludf.DUMMYFUNCTION("""COMPUTED_VALUE"""),"1_ZLPKYyCpcCv90izwkS7MZMbhNEXzuAQiOx8npro20g")</f>
        <v>1_ZLPKYyCpcCv90izwkS7MZMbhNEXzuAQiOx8npro20g</v>
      </c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 t="str">
        <f>IFERROR(__xludf.DUMMYFUNCTION("""COMPUTED_VALUE"""),"Blotter")</f>
        <v>Blotter</v>
      </c>
      <c r="B174" s="4" t="str">
        <f>IFERROR(__xludf.DUMMYFUNCTION("""COMPUTED_VALUE"""),"DetailsForAlgoTradeOrder")</f>
        <v>DetailsForAlgoTradeOrder</v>
      </c>
      <c r="C174" s="4" t="str">
        <f>IFERROR(__xludf.DUMMYFUNCTION("""COMPUTED_VALUE"""),"1AS722xjcIKYd_PpocpO2JLwR2JMqFfBPkVK39Q2XMxE")</f>
        <v>1AS722xjcIKYd_PpocpO2JLwR2JMqFfBPkVK39Q2XMxE</v>
      </c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 t="str">
        <f>IFERROR(__xludf.DUMMYFUNCTION("""COMPUTED_VALUE"""),"Blotter")</f>
        <v>Blotter</v>
      </c>
      <c r="B175" s="4" t="str">
        <f>IFERROR(__xludf.DUMMYFUNCTION("""COMPUTED_VALUE"""),"AddFillsSubOrder")</f>
        <v>AddFillsSubOrder</v>
      </c>
      <c r="C175" s="4" t="str">
        <f>IFERROR(__xludf.DUMMYFUNCTION("""COMPUTED_VALUE"""),"1r-tyec_fx-pIqzGddgSbcLuJdAU-B20ZTaGzahpBV2w")</f>
        <v>1r-tyec_fx-pIqzGddgSbcLuJdAU-B20ZTaGzahpBV2w</v>
      </c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 t="str">
        <f>IFERROR(__xludf.DUMMYFUNCTION("""COMPUTED_VALUE"""),"Blotter")</f>
        <v>Blotter</v>
      </c>
      <c r="B176" s="4" t="str">
        <f>IFERROR(__xludf.DUMMYFUNCTION("""COMPUTED_VALUE"""),"ViewAllocationDetailsSubOrder")</f>
        <v>ViewAllocationDetailsSubOrder</v>
      </c>
      <c r="C176" s="4" t="str">
        <f>IFERROR(__xludf.DUMMYFUNCTION("""COMPUTED_VALUE"""),"1PRG5_5qrohtjUlpAk-DjC1B6M75OdF99hA2vEgdD_Uw")</f>
        <v>1PRG5_5qrohtjUlpAk-DjC1B6M75OdF99hA2vEgdD_Uw</v>
      </c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 t="str">
        <f>IFERROR(__xludf.DUMMYFUNCTION("""COMPUTED_VALUE"""),"GeneralLedger")</f>
        <v>GeneralLedger</v>
      </c>
      <c r="B177" s="4" t="str">
        <f>IFERROR(__xludf.DUMMYFUNCTION("""COMPUTED_VALUE"""),"GetCashTransaction")</f>
        <v>GetCashTransaction</v>
      </c>
      <c r="C177" s="4" t="str">
        <f>IFERROR(__xludf.DUMMYFUNCTION("""COMPUTED_VALUE"""),"1U9O1ZNQe03mFGPQ67ySm3ZLNJbWXRqnbI-8ZV30Jyz4")</f>
        <v>1U9O1ZNQe03mFGPQ67ySm3ZLNJbWXRqnbI-8ZV30Jyz4</v>
      </c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 t="str">
        <f>IFERROR(__xludf.DUMMYFUNCTION("""COMPUTED_VALUE"""),"GeneralLedger")</f>
        <v>GeneralLedger</v>
      </c>
      <c r="B178" s="4" t="str">
        <f>IFERROR(__xludf.DUMMYFUNCTION("""COMPUTED_VALUE"""),"SelectCashTransaction")</f>
        <v>SelectCashTransaction</v>
      </c>
      <c r="C178" s="4" t="str">
        <f>IFERROR(__xludf.DUMMYFUNCTION("""COMPUTED_VALUE"""),"157yMc4dFxYWky5rc3_ip4Q-PBeeptVpZvBUznJzbfjE")</f>
        <v>157yMc4dFxYWky5rc3_ip4Q-PBeeptVpZvBUznJzbfjE</v>
      </c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 t="str">
        <f>IFERROR(__xludf.DUMMYFUNCTION("""COMPUTED_VALUE"""),"GeneralLedger")</f>
        <v>GeneralLedger</v>
      </c>
      <c r="B179" s="4" t="str">
        <f>IFERROR(__xludf.DUMMYFUNCTION("""COMPUTED_VALUE"""),"DeleteCashTransaction")</f>
        <v>DeleteCashTransaction</v>
      </c>
      <c r="C179" s="4" t="str">
        <f>IFERROR(__xludf.DUMMYFUNCTION("""COMPUTED_VALUE"""),"1qeXbjcZPeClkYAwZmHJs2rG7V0JsRRg6mw5SmjAQHTE")</f>
        <v>1qeXbjcZPeClkYAwZmHJs2rG7V0JsRRg6mw5SmjAQHTE</v>
      </c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 t="str">
        <f>IFERROR(__xludf.DUMMYFUNCTION("""COMPUTED_VALUE"""),"GeneralLedger")</f>
        <v>GeneralLedger</v>
      </c>
      <c r="B180" s="4" t="str">
        <f>IFERROR(__xludf.DUMMYFUNCTION("""COMPUTED_VALUE"""),"EditCashTransaction")</f>
        <v>EditCashTransaction</v>
      </c>
      <c r="C180" s="4" t="str">
        <f>IFERROR(__xludf.DUMMYFUNCTION("""COMPUTED_VALUE"""),"1lMHtKGRo9R39-rGVJg8v2Vp15-3oz56OtDPZn55yAvA")</f>
        <v>1lMHtKGRo9R39-rGVJg8v2Vp15-3oz56OtDPZn55yAvA</v>
      </c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 t="str">
        <f>IFERROR(__xludf.DUMMYFUNCTION("""COMPUTED_VALUE"""),"GeneralLedger")</f>
        <v>GeneralLedger</v>
      </c>
      <c r="B181" s="4" t="str">
        <f>IFERROR(__xludf.DUMMYFUNCTION("""COMPUTED_VALUE"""),"AddCashTransaction")</f>
        <v>AddCashTransaction</v>
      </c>
      <c r="C181" s="4" t="str">
        <f>IFERROR(__xludf.DUMMYFUNCTION("""COMPUTED_VALUE"""),"1_UOfRF0S9c4jZDCW6MVXmTaalhrK1N7Qp-p7qITvrb4")</f>
        <v>1_UOfRF0S9c4jZDCW6MVXmTaalhrK1N7Qp-p7qITvrb4</v>
      </c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 t="str">
        <f>IFERROR(__xludf.DUMMYFUNCTION("""COMPUTED_VALUE"""),"Allocation")</f>
        <v>Allocation</v>
      </c>
      <c r="B182" s="4" t="str">
        <f>IFERROR(__xludf.DUMMYFUNCTION("""COMPUTED_VALUE"""),"EditAllocatedGroupSidePanel")</f>
        <v>EditAllocatedGroupSidePanel</v>
      </c>
      <c r="C182" s="4" t="str">
        <f>IFERROR(__xludf.DUMMYFUNCTION("""COMPUTED_VALUE"""),"1hHq4PASBEElrCZSeU0tjApkvEqoqk_kzbqRw1XNza9I")</f>
        <v>1hHq4PASBEElrCZSeU0tjApkvEqoqk_kzbqRw1XNza9I</v>
      </c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 t="str">
        <f>IFERROR(__xludf.DUMMYFUNCTION("""COMPUTED_VALUE"""),"DailyValuation")</f>
        <v>DailyValuation</v>
      </c>
      <c r="B183" s="4" t="str">
        <f>IFERROR(__xludf.DUMMYFUNCTION("""COMPUTED_VALUE"""),"GetMarkPriceData")</f>
        <v>GetMarkPriceData</v>
      </c>
      <c r="C183" s="4" t="str">
        <f>IFERROR(__xludf.DUMMYFUNCTION("""COMPUTED_VALUE"""),"1pHb0k1fYZKumDsM-GMxxgG_-LpX7T8zxKSXMXqWTh3o")</f>
        <v>1pHb0k1fYZKumDsM-GMxxgG_-LpX7T8zxKSXMXqWTh3o</v>
      </c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 t="str">
        <f>IFERROR(__xludf.DUMMYFUNCTION("""COMPUTED_VALUE"""),"DailyValuation")</f>
        <v>DailyValuation</v>
      </c>
      <c r="B184" s="4" t="str">
        <f>IFERROR(__xludf.DUMMYFUNCTION("""COMPUTED_VALUE"""),"GetForwardPoints")</f>
        <v>GetForwardPoints</v>
      </c>
      <c r="C184" s="4" t="str">
        <f>IFERROR(__xludf.DUMMYFUNCTION("""COMPUTED_VALUE"""),"12tr3nHtXwkFq8bzK-zX9KhfXrHqVcRxmWSgThepFUAU")</f>
        <v>12tr3nHtXwkFq8bzK-zX9KhfXrHqVcRxmWSgThepFUAU</v>
      </c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 t="str">
        <f>IFERROR(__xludf.DUMMYFUNCTION("""COMPUTED_VALUE"""),"DailyValuation")</f>
        <v>DailyValuation</v>
      </c>
      <c r="B185" s="4" t="str">
        <f>IFERROR(__xludf.DUMMYFUNCTION("""COMPUTED_VALUE"""),"UpdateForwardPoints")</f>
        <v>UpdateForwardPoints</v>
      </c>
      <c r="C185" s="4" t="str">
        <f>IFERROR(__xludf.DUMMYFUNCTION("""COMPUTED_VALUE"""),"1cbxy6VdPjCKlq1CYH-5uKvOCKpxB1FDLj3t8SOJ-Lic")</f>
        <v>1cbxy6VdPjCKlq1CYH-5uKvOCKpxB1FDLj3t8SOJ-Lic</v>
      </c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 t="str">
        <f>IFERROR(__xludf.DUMMYFUNCTION("""COMPUTED_VALUE"""),"DailyValuation")</f>
        <v>DailyValuation</v>
      </c>
      <c r="B186" s="4" t="str">
        <f>IFERROR(__xludf.DUMMYFUNCTION("""COMPUTED_VALUE"""),"GetForexConversion")</f>
        <v>GetForexConversion</v>
      </c>
      <c r="C186" s="4" t="str">
        <f>IFERROR(__xludf.DUMMYFUNCTION("""COMPUTED_VALUE"""),"1VwGGAbs40-P3TWEPuxpd84Kd482ffeBen_bvUeH5XLs")</f>
        <v>1VwGGAbs40-P3TWEPuxpd84Kd482ffeBen_bvUeH5XLs</v>
      </c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 t="str">
        <f>IFERROR(__xludf.DUMMYFUNCTION("""COMPUTED_VALUE"""),"DailyValuation")</f>
        <v>DailyValuation</v>
      </c>
      <c r="B187" s="4" t="str">
        <f>IFERROR(__xludf.DUMMYFUNCTION("""COMPUTED_VALUE"""),"DeleteNAV")</f>
        <v>DeleteNAV</v>
      </c>
      <c r="C187" s="4" t="str">
        <f>IFERROR(__xludf.DUMMYFUNCTION("""COMPUTED_VALUE"""),"1ZXcPQzGoPQ5lCt0SIdxE4Wn22XxZZBrghVN8TQa_PA8")</f>
        <v>1ZXcPQzGoPQ5lCt0SIdxE4Wn22XxZZBrghVN8TQa_PA8</v>
      </c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 t="str">
        <f>IFERROR(__xludf.DUMMYFUNCTION("""COMPUTED_VALUE"""),"Allocation")</f>
        <v>Allocation</v>
      </c>
      <c r="B188" s="4" t="str">
        <f>IFERROR(__xludf.DUMMYFUNCTION("""COMPUTED_VALUE"""),"CheckUnallocatedGroups")</f>
        <v>CheckUnallocatedGroups</v>
      </c>
      <c r="C188" s="4" t="str">
        <f>IFERROR(__xludf.DUMMYFUNCTION("""COMPUTED_VALUE"""),"1pfMfohF1Z5TFRSXZGi_8kDUwu6rKdB84lDXAsFAROuo")</f>
        <v>1pfMfohF1Z5TFRSXZGi_8kDUwu6rKdB84lDXAsFAROuo</v>
      </c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 t="str">
        <f>IFERROR(__xludf.DUMMYFUNCTION("""COMPUTED_VALUE"""),"DailyValuation")</f>
        <v>DailyValuation</v>
      </c>
      <c r="B189" s="4" t="str">
        <f>IFERROR(__xludf.DUMMYFUNCTION("""COMPUTED_VALUE"""),"GetDailyCash")</f>
        <v>GetDailyCash</v>
      </c>
      <c r="C189" s="4" t="str">
        <f>IFERROR(__xludf.DUMMYFUNCTION("""COMPUTED_VALUE"""),"1RWrzEP7tKvSTkC1z87RsjU_EZslvD2btXJuTWRIwRLU")</f>
        <v>1RWrzEP7tKvSTkC1z87RsjU_EZslvD2btXJuTWRIwRLU</v>
      </c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 t="str">
        <f>IFERROR(__xludf.DUMMYFUNCTION("""COMPUTED_VALUE"""),"Allocation")</f>
        <v>Allocation</v>
      </c>
      <c r="B190" s="4" t="str">
        <f>IFERROR(__xludf.DUMMYFUNCTION("""COMPUTED_VALUE"""),"SetGeneralPreferences")</f>
        <v>SetGeneralPreferences</v>
      </c>
      <c r="C190" s="4" t="str">
        <f>IFERROR(__xludf.DUMMYFUNCTION("""COMPUTED_VALUE"""),"1ch-af2kKdJm7_QNV7VeJuxk-LrNEXnkjKpb6t0Dug3c")</f>
        <v>1ch-af2kKdJm7_QNV7VeJuxk-LrNEXnkjKpb6t0Dug3c</v>
      </c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 t="str">
        <f>IFERROR(__xludf.DUMMYFUNCTION("""COMPUTED_VALUE"""),"DailyValuation")</f>
        <v>DailyValuation</v>
      </c>
      <c r="B191" s="4" t="str">
        <f>IFERROR(__xludf.DUMMYFUNCTION("""COMPUTED_VALUE"""),"GetDailyBeta")</f>
        <v>GetDailyBeta</v>
      </c>
      <c r="C191" s="4" t="str">
        <f>IFERROR(__xludf.DUMMYFUNCTION("""COMPUTED_VALUE"""),"1wWqxRP1qZT537GjecxDT1YzzgNpudY5jHpZOp2gu3Ys")</f>
        <v>1wWqxRP1qZT537GjecxDT1YzzgNpudY5jHpZOp2gu3Ys</v>
      </c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 t="str">
        <f>IFERROR(__xludf.DUMMYFUNCTION("""COMPUTED_VALUE"""),"DailyValuation")</f>
        <v>DailyValuation</v>
      </c>
      <c r="B192" s="4" t="str">
        <f>IFERROR(__xludf.DUMMYFUNCTION("""COMPUTED_VALUE"""),"GetDailyVolatility")</f>
        <v>GetDailyVolatility</v>
      </c>
      <c r="C192" s="4" t="str">
        <f>IFERROR(__xludf.DUMMYFUNCTION("""COMPUTED_VALUE"""),"1VkaV63Kp_-m9xakgvN4nwjFQliVbH-uDTupRnx4k5U0")</f>
        <v>1VkaV63Kp_-m9xakgvN4nwjFQliVbH-uDTupRnx4k5U0</v>
      </c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 t="str">
        <f>IFERROR(__xludf.DUMMYFUNCTION("""COMPUTED_VALUE"""),"DailyValuation")</f>
        <v>DailyValuation</v>
      </c>
      <c r="B193" s="4" t="str">
        <f>IFERROR(__xludf.DUMMYFUNCTION("""COMPUTED_VALUE"""),"GetDailyDividendYield")</f>
        <v>GetDailyDividendYield</v>
      </c>
      <c r="C193" s="4" t="str">
        <f>IFERROR(__xludf.DUMMYFUNCTION("""COMPUTED_VALUE"""),"1yDZte754Sm0fLUnothHlWsZVXFoWOOh4q4YiAbmaN6A")</f>
        <v>1yDZte754Sm0fLUnothHlWsZVXFoWOOh4q4YiAbmaN6A</v>
      </c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 t="str">
        <f>IFERROR(__xludf.DUMMYFUNCTION("""COMPUTED_VALUE"""),"DailyValuation")</f>
        <v>DailyValuation</v>
      </c>
      <c r="B194" s="4" t="str">
        <f>IFERROR(__xludf.DUMMYFUNCTION("""COMPUTED_VALUE"""),"GetDailyTradingVolume")</f>
        <v>GetDailyTradingVolume</v>
      </c>
      <c r="C194" s="4" t="str">
        <f>IFERROR(__xludf.DUMMYFUNCTION("""COMPUTED_VALUE"""),"1CcDYZea7aWB5x3R1FD5XPCk14XdXJmtBfwMqrKIo5P8")</f>
        <v>1CcDYZea7aWB5x3R1FD5XPCk14XdXJmtBfwMqrKIo5P8</v>
      </c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 t="str">
        <f>IFERROR(__xludf.DUMMYFUNCTION("""COMPUTED_VALUE"""),"DailyValuation")</f>
        <v>DailyValuation</v>
      </c>
      <c r="B195" s="4" t="str">
        <f>IFERROR(__xludf.DUMMYFUNCTION("""COMPUTED_VALUE"""),"GetDailyOutstandings")</f>
        <v>GetDailyOutstandings</v>
      </c>
      <c r="C195" s="4" t="str">
        <f>IFERROR(__xludf.DUMMYFUNCTION("""COMPUTED_VALUE"""),"1IiJr_OFZwBuXGoSVJLT-iESeCoaaWmoNTh6qdlxCYp8")</f>
        <v>1IiJr_OFZwBuXGoSVJLT-iESeCoaaWmoNTh6qdlxCYp8</v>
      </c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 t="str">
        <f>IFERROR(__xludf.DUMMYFUNCTION("""COMPUTED_VALUE"""),"Allocation")</f>
        <v>Allocation</v>
      </c>
      <c r="B196" s="4" t="str">
        <f>IFERROR(__xludf.DUMMYFUNCTION("""COMPUTED_VALUE"""),"GroupTrades")</f>
        <v>GroupTrades</v>
      </c>
      <c r="C196" s="4" t="str">
        <f>IFERROR(__xludf.DUMMYFUNCTION("""COMPUTED_VALUE"""),"1U2asF2q2-aZLq6UJkzTZA2eUVbNqPzpMApCuwatTcT8")</f>
        <v>1U2asF2q2-aZLq6UJkzTZA2eUVbNqPzpMApCuwatTcT8</v>
      </c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 t="str">
        <f>IFERROR(__xludf.DUMMYFUNCTION("""COMPUTED_VALUE"""),"Allocation")</f>
        <v>Allocation</v>
      </c>
      <c r="B197" s="4" t="str">
        <f>IFERROR(__xludf.DUMMYFUNCTION("""COMPUTED_VALUE"""),"UngroupTrades")</f>
        <v>UngroupTrades</v>
      </c>
      <c r="C197" s="4" t="str">
        <f>IFERROR(__xludf.DUMMYFUNCTION("""COMPUTED_VALUE"""),"1azHuhW2QGS0U6YxkL00Txr4JY62dACA7LLHadkRZziQ")</f>
        <v>1azHuhW2QGS0U6YxkL00Txr4JY62dACA7LLHadkRZziQ</v>
      </c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 t="str">
        <f>IFERROR(__xludf.DUMMYFUNCTION("""COMPUTED_VALUE"""),"Allocation")</f>
        <v>Allocation</v>
      </c>
      <c r="B198" s="4" t="str">
        <f>IFERROR(__xludf.DUMMYFUNCTION("""COMPUTED_VALUE"""),"DeleteGroup")</f>
        <v>DeleteGroup</v>
      </c>
      <c r="C198" s="4" t="str">
        <f>IFERROR(__xludf.DUMMYFUNCTION("""COMPUTED_VALUE"""),"1V8imeRfJQChz23ycPrmDDSrmAMiwTobLSV9OD1bH-ME")</f>
        <v>1V8imeRfJQChz23ycPrmDDSrmAMiwTobLSV9OD1bH-ME</v>
      </c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 t="str">
        <f>IFERROR(__xludf.DUMMYFUNCTION("""COMPUTED_VALUE"""),"Allocation")</f>
        <v>Allocation</v>
      </c>
      <c r="B199" s="4" t="str">
        <f>IFERROR(__xludf.DUMMYFUNCTION("""COMPUTED_VALUE"""),"CloseOrder")</f>
        <v>CloseOrder</v>
      </c>
      <c r="C199" s="4" t="str">
        <f>IFERROR(__xludf.DUMMYFUNCTION("""COMPUTED_VALUE"""),"18PQbi1ps1nA6V6t9zvfGRiJCtqCe0Uh1GTuATjDjRFU")</f>
        <v>18PQbi1ps1nA6V6t9zvfGRiJCtqCe0Uh1GTuATjDjRFU</v>
      </c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 t="str">
        <f>IFERROR(__xludf.DUMMYFUNCTION("""COMPUTED_VALUE"""),"Allocation")</f>
        <v>Allocation</v>
      </c>
      <c r="B200" s="4" t="str">
        <f>IFERROR(__xludf.DUMMYFUNCTION("""COMPUTED_VALUE"""),"Unallocate")</f>
        <v>Unallocate</v>
      </c>
      <c r="C200" s="4" t="str">
        <f>IFERROR(__xludf.DUMMYFUNCTION("""COMPUTED_VALUE"""),"1ygZhQ5BPNveZ0IXpSzWUoJb1-CWbPI5yquJ9p2XgS_A")</f>
        <v>1ygZhQ5BPNveZ0IXpSzWUoJb1-CWbPI5yquJ9p2XgS_A</v>
      </c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 t="str">
        <f>IFERROR(__xludf.DUMMYFUNCTION("""COMPUTED_VALUE"""),"DailyValuation")</f>
        <v>DailyValuation</v>
      </c>
      <c r="B201" s="4" t="str">
        <f>IFERROR(__xludf.DUMMYFUNCTION("""COMPUTED_VALUE"""),"GetDailyDelta")</f>
        <v>GetDailyDelta</v>
      </c>
      <c r="C201" s="4" t="str">
        <f>IFERROR(__xludf.DUMMYFUNCTION("""COMPUTED_VALUE"""),"1t6rdR9qbfOeXuejoH6-sBwI1bEWh_0AoKUHuMjTKafo")</f>
        <v>1t6rdR9qbfOeXuejoH6-sBwI1bEWh_0AoKUHuMjTKafo</v>
      </c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 t="str">
        <f>IFERROR(__xludf.DUMMYFUNCTION("""COMPUTED_VALUE"""),"DailyValuation")</f>
        <v>DailyValuation</v>
      </c>
      <c r="B202" s="4" t="str">
        <f>IFERROR(__xludf.DUMMYFUNCTION("""COMPUTED_VALUE"""),"UpdateDailyVolatility")</f>
        <v>UpdateDailyVolatility</v>
      </c>
      <c r="C202" s="4" t="str">
        <f>IFERROR(__xludf.DUMMYFUNCTION("""COMPUTED_VALUE"""),"1xOQEqNJ31jaKfw8cBs7M5YCMT7FCefB_iA4lkNg82js")</f>
        <v>1xOQEqNJ31jaKfw8cBs7M5YCMT7FCefB_iA4lkNg82js</v>
      </c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 t="str">
        <f>IFERROR(__xludf.DUMMYFUNCTION("""COMPUTED_VALUE"""),"GeneralLedger")</f>
        <v>GeneralLedger</v>
      </c>
      <c r="B203" s="4" t="str">
        <f>IFERROR(__xludf.DUMMYFUNCTION("""COMPUTED_VALUE"""),"AddOpeningBalanceTransaction")</f>
        <v>AddOpeningBalanceTransaction</v>
      </c>
      <c r="C203" s="4" t="str">
        <f>IFERROR(__xludf.DUMMYFUNCTION("""COMPUTED_VALUE"""),"1JROeUyPo81jRm3vqYwqsMl1H0kBJhkmxJV8gZyip19Q")</f>
        <v>1JROeUyPo81jRm3vqYwqsMl1H0kBJhkmxJV8gZyip19Q</v>
      </c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 t="str">
        <f>IFERROR(__xludf.DUMMYFUNCTION("""COMPUTED_VALUE"""),"GeneralLedger")</f>
        <v>GeneralLedger</v>
      </c>
      <c r="B204" s="4" t="str">
        <f>IFERROR(__xludf.DUMMYFUNCTION("""COMPUTED_VALUE"""),"AddOpeningBalanceTranItem")</f>
        <v>AddOpeningBalanceTranItem</v>
      </c>
      <c r="C204" s="4" t="str">
        <f>IFERROR(__xludf.DUMMYFUNCTION("""COMPUTED_VALUE"""),"12owFpcC343n8bWFq_cmWVlxZQTmpEiqxbdSc8TdfgEw")</f>
        <v>12owFpcC343n8bWFq_cmWVlxZQTmpEiqxbdSc8TdfgEw</v>
      </c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 t="str">
        <f>IFERROR(__xludf.DUMMYFUNCTION("""COMPUTED_VALUE"""),"Blotter")</f>
        <v>Blotter</v>
      </c>
      <c r="B205" s="4" t="str">
        <f>IFERROR(__xludf.DUMMYFUNCTION("""COMPUTED_VALUE"""),"CancelAllSubs")</f>
        <v>CancelAllSubs</v>
      </c>
      <c r="C205" s="4" t="str">
        <f>IFERROR(__xludf.DUMMYFUNCTION("""COMPUTED_VALUE"""),"1sDEuT-X92-7VkSoQJG80zx85OLZfb4OJklyeYXjn00w")</f>
        <v>1sDEuT-X92-7VkSoQJG80zx85OLZfb4OJklyeYXjn00w</v>
      </c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 t="str">
        <f>IFERROR(__xludf.DUMMYFUNCTION("""COMPUTED_VALUE"""),"Blotter")</f>
        <v>Blotter</v>
      </c>
      <c r="B206" s="4" t="str">
        <f>IFERROR(__xludf.DUMMYFUNCTION("""COMPUTED_VALUE"""),"CancelSubOrder")</f>
        <v>CancelSubOrder</v>
      </c>
      <c r="C206" s="4" t="str">
        <f>IFERROR(__xludf.DUMMYFUNCTION("""COMPUTED_VALUE"""),"1g_US2vYcZyFbH88JB_z0oKsrXpyeYv1qZRWzpU4UgoM")</f>
        <v>1g_US2vYcZyFbH88JB_z0oKsrXpyeYv1qZRWzpU4UgoM</v>
      </c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 t="str">
        <f>IFERROR(__xludf.DUMMYFUNCTION("""COMPUTED_VALUE"""),"Blotter")</f>
        <v>Blotter</v>
      </c>
      <c r="B207" s="4" t="str">
        <f>IFERROR(__xludf.DUMMYFUNCTION("""COMPUTED_VALUE"""),"EditStageOrder")</f>
        <v>EditStageOrder</v>
      </c>
      <c r="C207" s="4" t="str">
        <f>IFERROR(__xludf.DUMMYFUNCTION("""COMPUTED_VALUE"""),"11epgwU0jWDfsHzxAEUws_p-DkKq5wLTVrJRQztotJjU")</f>
        <v>11epgwU0jWDfsHzxAEUws_p-DkKq5wLTVrJRQztotJjU</v>
      </c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 t="str">
        <f>IFERROR(__xludf.DUMMYFUNCTION("""COMPUTED_VALUE"""),"Blotter")</f>
        <v>Blotter</v>
      </c>
      <c r="B208" s="4" t="str">
        <f>IFERROR(__xludf.DUMMYFUNCTION("""COMPUTED_VALUE"""),"ReplaceSubOrder")</f>
        <v>ReplaceSubOrder</v>
      </c>
      <c r="C208" s="4" t="str">
        <f>IFERROR(__xludf.DUMMYFUNCTION("""COMPUTED_VALUE"""),"19tR0THpqi92bFoT67A4MgCZbfdZtGuYVK1wFx1a6hwo")</f>
        <v>19tR0THpqi92bFoT67A4MgCZbfdZtGuYVK1wFx1a6hwo</v>
      </c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 t="str">
        <f>IFERROR(__xludf.DUMMYFUNCTION("""COMPUTED_VALUE"""),"Blotter")</f>
        <v>Blotter</v>
      </c>
      <c r="B209" s="4" t="str">
        <f>IFERROR(__xludf.DUMMYFUNCTION("""COMPUTED_VALUE"""),"SelectTradeWorkingSubsBlotter")</f>
        <v>SelectTradeWorkingSubsBlotter</v>
      </c>
      <c r="C209" s="4" t="str">
        <f>IFERROR(__xludf.DUMMYFUNCTION("""COMPUTED_VALUE"""),"1u7slY1ab8D2XeXM53lB7bN6QKwuw3IYd0Uezr9zLB70")</f>
        <v>1u7slY1ab8D2XeXM53lB7bN6QKwuw3IYd0Uezr9zLB70</v>
      </c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 t="str">
        <f>IFERROR(__xludf.DUMMYFUNCTION("""COMPUTED_VALUE"""),"Blotter")</f>
        <v>Blotter</v>
      </c>
      <c r="B210" s="4" t="str">
        <f>IFERROR(__xludf.DUMMYFUNCTION("""COMPUTED_VALUE"""),"VerifyAlgoDetails")</f>
        <v>VerifyAlgoDetails</v>
      </c>
      <c r="C210" s="4" t="str">
        <f>IFERROR(__xludf.DUMMYFUNCTION("""COMPUTED_VALUE"""),"1l5zTPCkdGLabcDuCPPiDIGH_EGN_2xuth7vkyyaCe9E")</f>
        <v>1l5zTPCkdGLabcDuCPPiDIGH_EGN_2xuth7vkyyaCe9E</v>
      </c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 t="str">
        <f>IFERROR(__xludf.DUMMYFUNCTION("""COMPUTED_VALUE"""),"Blotter")</f>
        <v>Blotter</v>
      </c>
      <c r="B211" s="4" t="str">
        <f>IFERROR(__xludf.DUMMYFUNCTION("""COMPUTED_VALUE"""),"VerifyTransferToUserOrder")</f>
        <v>VerifyTransferToUserOrder</v>
      </c>
      <c r="C211" s="4" t="str">
        <f>IFERROR(__xludf.DUMMYFUNCTION("""COMPUTED_VALUE"""),"1NMIbm0wDsBqrDHS0Aoctj5TYT8IIncVXBEr7jRlTKX8")</f>
        <v>1NMIbm0wDsBqrDHS0Aoctj5TYT8IIncVXBEr7jRlTKX8</v>
      </c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 t="str">
        <f>IFERROR(__xludf.DUMMYFUNCTION("""COMPUTED_VALUE"""),"Blotter")</f>
        <v>Blotter</v>
      </c>
      <c r="B212" s="4" t="str">
        <f>IFERROR(__xludf.DUMMYFUNCTION("""COMPUTED_VALUE"""),"VerifyTransferToUserSubOdr")</f>
        <v>VerifyTransferToUserSubOdr</v>
      </c>
      <c r="C212" s="4" t="str">
        <f>IFERROR(__xludf.DUMMYFUNCTION("""COMPUTED_VALUE"""),"1x3CBu_5bjY_MnaanR3C8FZLu7-9IkDv52367LRcP7lY")</f>
        <v>1x3CBu_5bjY_MnaanR3C8FZLu7-9IkDv52367LRcP7lY</v>
      </c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 t="str">
        <f>IFERROR(__xludf.DUMMYFUNCTION("""COMPUTED_VALUE"""),"Blotter")</f>
        <v>Blotter</v>
      </c>
      <c r="B213" s="4" t="str">
        <f>IFERROR(__xludf.DUMMYFUNCTION("""COMPUTED_VALUE"""),"VerifyTransferToUserWorkSub")</f>
        <v>VerifyTransferToUserWorkSub</v>
      </c>
      <c r="C213" s="4" t="str">
        <f>IFERROR(__xludf.DUMMYFUNCTION("""COMPUTED_VALUE"""),"1moqW_Avii95AiWD080nTWw5DOlaf1npl8FoxJYdN1CQ")</f>
        <v>1moqW_Avii95AiWD080nTWw5DOlaf1npl8FoxJYdN1CQ</v>
      </c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 t="str">
        <f>IFERROR(__xludf.DUMMYFUNCTION("""COMPUTED_VALUE"""),"Blotter")</f>
        <v>Blotter</v>
      </c>
      <c r="B214" s="4" t="str">
        <f>IFERROR(__xludf.DUMMYFUNCTION("""COMPUTED_VALUE"""),"SaveLayoutOrderGrid")</f>
        <v>SaveLayoutOrderGrid</v>
      </c>
      <c r="C214" s="4" t="str">
        <f>IFERROR(__xludf.DUMMYFUNCTION("""COMPUTED_VALUE"""),"1f-tHMdwxYv41Vtbgl8usVHR6_T_uXK9iU0Jvj6byf54")</f>
        <v>1f-tHMdwxYv41Vtbgl8usVHR6_T_uXK9iU0Jvj6byf54</v>
      </c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 t="str">
        <f>IFERROR(__xludf.DUMMYFUNCTION("""COMPUTED_VALUE"""),"DailyValuation")</f>
        <v>DailyValuation</v>
      </c>
      <c r="B215" s="4" t="str">
        <f>IFERROR(__xludf.DUMMYFUNCTION("""COMPUTED_VALUE"""),"UpdateDividendYield")</f>
        <v>UpdateDividendYield</v>
      </c>
      <c r="C215" s="4" t="str">
        <f>IFERROR(__xludf.DUMMYFUNCTION("""COMPUTED_VALUE"""),"1v7x__YSHVrzfUigPB6cJL0n6H5tfL-dG0jQDSNwK77w")</f>
        <v>1v7x__YSHVrzfUigPB6cJL0n6H5tfL-dG0jQDSNwK77w</v>
      </c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 t="str">
        <f>IFERROR(__xludf.DUMMYFUNCTION("""COMPUTED_VALUE"""),"DailyValuation")</f>
        <v>DailyValuation</v>
      </c>
      <c r="B216" s="4" t="str">
        <f>IFERROR(__xludf.DUMMYFUNCTION("""COMPUTED_VALUE"""),"UpdateTradingVolume")</f>
        <v>UpdateTradingVolume</v>
      </c>
      <c r="C216" s="4" t="str">
        <f>IFERROR(__xludf.DUMMYFUNCTION("""COMPUTED_VALUE"""),"1C_WPdfJ5Y6XiI6PQIaQC_kYRA1cyB4pILSmTaQXBjt4")</f>
        <v>1C_WPdfJ5Y6XiI6PQIaQC_kYRA1cyB4pILSmTaQXBjt4</v>
      </c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 t="str">
        <f>IFERROR(__xludf.DUMMYFUNCTION("""COMPUTED_VALUE"""),"DailyValuation")</f>
        <v>DailyValuation</v>
      </c>
      <c r="B217" s="4" t="str">
        <f>IFERROR(__xludf.DUMMYFUNCTION("""COMPUTED_VALUE"""),"UpdateDailyDelta")</f>
        <v>UpdateDailyDelta</v>
      </c>
      <c r="C217" s="4" t="str">
        <f>IFERROR(__xludf.DUMMYFUNCTION("""COMPUTED_VALUE"""),"1W8cpbOsbEL0O66_8nq5ID6snA8EoJQojgueScqnJeds")</f>
        <v>1W8cpbOsbEL0O66_8nq5ID6snA8EoJQojgueScqnJeds</v>
      </c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 t="str">
        <f>IFERROR(__xludf.DUMMYFUNCTION("""COMPUTED_VALUE"""),"DailyValuation")</f>
        <v>DailyValuation</v>
      </c>
      <c r="B218" s="4" t="str">
        <f>IFERROR(__xludf.DUMMYFUNCTION("""COMPUTED_VALUE"""),"UpdateDailyOutstandings")</f>
        <v>UpdateDailyOutstandings</v>
      </c>
      <c r="C218" s="4" t="str">
        <f>IFERROR(__xludf.DUMMYFUNCTION("""COMPUTED_VALUE"""),"1S-1Yd6wHzPfXlddWYHNVJ59ndiC9mBcoDpJ24XG_wEs")</f>
        <v>1S-1Yd6wHzPfXlddWYHNVJ59ndiC9mBcoDpJ24XG_wEs</v>
      </c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 t="str">
        <f>IFERROR(__xludf.DUMMYFUNCTION("""COMPUTED_VALUE"""),"Closing")</f>
        <v>Closing</v>
      </c>
      <c r="B219" s="4" t="str">
        <f>IFERROR(__xludf.DUMMYFUNCTION("""COMPUTED_VALUE"""),"GetDataClosing")</f>
        <v>GetDataClosing</v>
      </c>
      <c r="C219" s="4" t="str">
        <f>IFERROR(__xludf.DUMMYFUNCTION("""COMPUTED_VALUE"""),"1_NT03sUSvuLe4_tGLyzUnjVgc0h0wP1QyFRqz5J0AQs")</f>
        <v>1_NT03sUSvuLe4_tGLyzUnjVgc0h0wP1QyFRqz5J0AQs</v>
      </c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 t="str">
        <f>IFERROR(__xludf.DUMMYFUNCTION("""COMPUTED_VALUE"""),"Closing")</f>
        <v>Closing</v>
      </c>
      <c r="B220" s="4" t="str">
        <f>IFERROR(__xludf.DUMMYFUNCTION("""COMPUTED_VALUE"""),"ManualClosing")</f>
        <v>ManualClosing</v>
      </c>
      <c r="C220" s="4" t="str">
        <f>IFERROR(__xludf.DUMMYFUNCTION("""COMPUTED_VALUE"""),"1NsF8mN2Zlx2L1ZUQo3cwyNVoYdFbhQ1U5KK4lQjqyj8")</f>
        <v>1NsF8mN2Zlx2L1ZUQo3cwyNVoYdFbhQ1U5KK4lQjqyj8</v>
      </c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 t="str">
        <f>IFERROR(__xludf.DUMMYFUNCTION("""COMPUTED_VALUE"""),"Closing")</f>
        <v>Closing</v>
      </c>
      <c r="B221" s="4" t="str">
        <f>IFERROR(__xludf.DUMMYFUNCTION("""COMPUTED_VALUE"""),"AutomaticClosing")</f>
        <v>AutomaticClosing</v>
      </c>
      <c r="C221" s="4" t="str">
        <f>IFERROR(__xludf.DUMMYFUNCTION("""COMPUTED_VALUE"""),"1TAvTYpcE3pQc_4LWO3rdsALNXiihqGoq5C7VuUqnyGI")</f>
        <v>1TAvTYpcE3pQc_4LWO3rdsALNXiihqGoq5C7VuUqnyGI</v>
      </c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 t="str">
        <f>IFERROR(__xludf.DUMMYFUNCTION("""COMPUTED_VALUE"""),"Closing")</f>
        <v>Closing</v>
      </c>
      <c r="B222" s="4" t="str">
        <f>IFERROR(__xludf.DUMMYFUNCTION("""COMPUTED_VALUE"""),"UnwindClosing")</f>
        <v>UnwindClosing</v>
      </c>
      <c r="C222" s="4" t="str">
        <f>IFERROR(__xludf.DUMMYFUNCTION("""COMPUTED_VALUE"""),"1n5b-erBJJNMUcxydpftL5PGG7ARm-uGjDncl8Qx2sLo")</f>
        <v>1n5b-erBJJNMUcxydpftL5PGG7ARm-uGjDncl8Qx2sLo</v>
      </c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 t="str">
        <f>IFERROR(__xludf.DUMMYFUNCTION("""COMPUTED_VALUE"""),"Closing")</f>
        <v>Closing</v>
      </c>
      <c r="B223" s="4" t="str">
        <f>IFERROR(__xludf.DUMMYFUNCTION("""COMPUTED_VALUE"""),"VerifyClosedTrades")</f>
        <v>VerifyClosedTrades</v>
      </c>
      <c r="C223" s="4" t="str">
        <f>IFERROR(__xludf.DUMMYFUNCTION("""COMPUTED_VALUE"""),"1oZ2JeM-TEXzpPQK7aQoL3fUJwhe037lPXwowIAhJJXM")</f>
        <v>1oZ2JeM-TEXzpPQK7aQoL3fUJwhe037lPXwowIAhJJXM</v>
      </c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 t="str">
        <f>IFERROR(__xludf.DUMMYFUNCTION("""COMPUTED_VALUE"""),"Closing")</f>
        <v>Closing</v>
      </c>
      <c r="B224" s="4" t="str">
        <f>IFERROR(__xludf.DUMMYFUNCTION("""COMPUTED_VALUE"""),"VerifyLongPositionsGrid")</f>
        <v>VerifyLongPositionsGrid</v>
      </c>
      <c r="C224" s="4" t="str">
        <f>IFERROR(__xludf.DUMMYFUNCTION("""COMPUTED_VALUE"""),"1n66-ge1M-RYaB4fzMAeKVE4b9J93Ec6FE8prEnrbrUY")</f>
        <v>1n66-ge1M-RYaB4fzMAeKVE4b9J93Ec6FE8prEnrbrUY</v>
      </c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 t="str">
        <f>IFERROR(__xludf.DUMMYFUNCTION("""COMPUTED_VALUE"""),"Closing")</f>
        <v>Closing</v>
      </c>
      <c r="B225" s="4" t="str">
        <f>IFERROR(__xludf.DUMMYFUNCTION("""COMPUTED_VALUE"""),"VerifyShortPositionsGrid")</f>
        <v>VerifyShortPositionsGrid</v>
      </c>
      <c r="C225" s="4" t="str">
        <f>IFERROR(__xludf.DUMMYFUNCTION("""COMPUTED_VALUE"""),"147WeBw6VRRHCzDjjEVkUG93H71mx9_6u7JDqSzExZfQ")</f>
        <v>147WeBw6VRRHCzDjjEVkUG93H71mx9_6u7JDqSzExZfQ</v>
      </c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 t="str">
        <f>IFERROR(__xludf.DUMMYFUNCTION("""COMPUTED_VALUE"""),"Closing")</f>
        <v>Closing</v>
      </c>
      <c r="B226" s="4" t="str">
        <f>IFERROR(__xludf.DUMMYFUNCTION("""COMPUTED_VALUE"""),"SelectTradeUnexpiredUnsettled")</f>
        <v>SelectTradeUnexpiredUnsettled</v>
      </c>
      <c r="C226" s="4" t="str">
        <f>IFERROR(__xludf.DUMMYFUNCTION("""COMPUTED_VALUE"""),"1FObt5ouO_Fd-1C35ZJOB1hwrDeISMD1uqyNw6Muc52E")</f>
        <v>1FObt5ouO_Fd-1C35ZJOB1hwrDeISMD1uqyNw6Muc52E</v>
      </c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 t="str">
        <f>IFERROR(__xludf.DUMMYFUNCTION("""COMPUTED_VALUE"""),"Closing")</f>
        <v>Closing</v>
      </c>
      <c r="B227" s="4" t="str">
        <f>IFERROR(__xludf.DUMMYFUNCTION("""COMPUTED_VALUE"""),"CashSettlementAtCost")</f>
        <v>CashSettlementAtCost</v>
      </c>
      <c r="C227" s="4" t="str">
        <f>IFERROR(__xludf.DUMMYFUNCTION("""COMPUTED_VALUE"""),"1awz_EN5JaDo7-X8Cf7oYlxG4f8ZrsYEG1oL1QBkQb8o")</f>
        <v>1awz_EN5JaDo7-X8Cf7oYlxG4f8ZrsYEG1oL1QBkQb8o</v>
      </c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 t="str">
        <f>IFERROR(__xludf.DUMMYFUNCTION("""COMPUTED_VALUE"""),"Closing")</f>
        <v>Closing</v>
      </c>
      <c r="B228" s="4" t="str">
        <f>IFERROR(__xludf.DUMMYFUNCTION("""COMPUTED_VALUE"""),"CashSettlementAtZeroPrice")</f>
        <v>CashSettlementAtZeroPrice</v>
      </c>
      <c r="C228" s="4" t="str">
        <f>IFERROR(__xludf.DUMMYFUNCTION("""COMPUTED_VALUE"""),"1txP1PJigV4vdVbKFMO3GMi5BhiLWeUOneGt9yA7DphY")</f>
        <v>1txP1PJigV4vdVbKFMO3GMi5BhiLWeUOneGt9yA7DphY</v>
      </c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 t="str">
        <f>IFERROR(__xludf.DUMMYFUNCTION("""COMPUTED_VALUE"""),"Closing")</f>
        <v>Closing</v>
      </c>
      <c r="B229" s="4" t="str">
        <f>IFERROR(__xludf.DUMMYFUNCTION("""COMPUTED_VALUE"""),"CashSettlementAtClosingDtSpotPx")</f>
        <v>CashSettlementAtClosingDtSpotPx</v>
      </c>
      <c r="C229" s="4" t="str">
        <f>IFERROR(__xludf.DUMMYFUNCTION("""COMPUTED_VALUE"""),"1if6Ixw7Wo72s71jewq4kGd3bUrRBHD3uxb6oVEU8m4M")</f>
        <v>1if6Ixw7Wo72s71jewq4kGd3bUrRBHD3uxb6oVEU8m4M</v>
      </c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 t="str">
        <f>IFERROR(__xludf.DUMMYFUNCTION("""COMPUTED_VALUE"""),"Closing")</f>
        <v>Closing</v>
      </c>
      <c r="B230" s="4" t="str">
        <f>IFERROR(__xludf.DUMMYFUNCTION("""COMPUTED_VALUE"""),"PhysicalSettlement")</f>
        <v>PhysicalSettlement</v>
      </c>
      <c r="C230" s="4" t="str">
        <f>IFERROR(__xludf.DUMMYFUNCTION("""COMPUTED_VALUE"""),"1j0_OFQL6cAngAn_f8e2c9s48kIx6T1DMB1HtKzhVgxM")</f>
        <v>1j0_OFQL6cAngAn_f8e2c9s48kIx6T1DMB1HtKzhVgxM</v>
      </c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 t="str">
        <f>IFERROR(__xludf.DUMMYFUNCTION("""COMPUTED_VALUE"""),"Closing")</f>
        <v>Closing</v>
      </c>
      <c r="B231" s="4" t="str">
        <f>IFERROR(__xludf.DUMMYFUNCTION("""COMPUTED_VALUE"""),"Expire")</f>
        <v>Expire</v>
      </c>
      <c r="C231" s="4" t="str">
        <f>IFERROR(__xludf.DUMMYFUNCTION("""COMPUTED_VALUE"""),"1uTXnR3b0dBBJ12poieg819Sw5X7A31DAefoPTF8HvS8")</f>
        <v>1uTXnR3b0dBBJ12poieg819Sw5X7A31DAefoPTF8HvS8</v>
      </c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 t="str">
        <f>IFERROR(__xludf.DUMMYFUNCTION("""COMPUTED_VALUE"""),"Closing")</f>
        <v>Closing</v>
      </c>
      <c r="B232" s="4" t="str">
        <f>IFERROR(__xludf.DUMMYFUNCTION("""COMPUTED_VALUE"""),"ExerciseAssignment")</f>
        <v>ExerciseAssignment</v>
      </c>
      <c r="C232" s="4" t="str">
        <f>IFERROR(__xludf.DUMMYFUNCTION("""COMPUTED_VALUE"""),"1bA6aaAVKiSAEQCN3NhxCUAsXZXF9JFxOfu0VhfUugtE")</f>
        <v>1bA6aaAVKiSAEQCN3NhxCUAsXZXF9JFxOfu0VhfUugtE</v>
      </c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 t="str">
        <f>IFERROR(__xludf.DUMMYFUNCTION("""COMPUTED_VALUE"""),"Closing")</f>
        <v>Closing</v>
      </c>
      <c r="B233" s="4" t="str">
        <f>IFERROR(__xludf.DUMMYFUNCTION("""COMPUTED_VALUE"""),"ExerciseAssignmentAtZero")</f>
        <v>ExerciseAssignmentAtZero</v>
      </c>
      <c r="C233" s="4" t="str">
        <f>IFERROR(__xludf.DUMMYFUNCTION("""COMPUTED_VALUE"""),"1kqk3qr2A_0HgAfwasm4ONZYUjKRgUd9wRoNg3NH_CQs")</f>
        <v>1kqk3qr2A_0HgAfwasm4ONZYUjKRgUd9wRoNg3NH_CQs</v>
      </c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 t="str">
        <f>IFERROR(__xludf.DUMMYFUNCTION("""COMPUTED_VALUE"""),"Closing")</f>
        <v>Closing</v>
      </c>
      <c r="B234" s="4" t="str">
        <f>IFERROR(__xludf.DUMMYFUNCTION("""COMPUTED_VALUE"""),"SwapExpireAndRollover")</f>
        <v>SwapExpireAndRollover</v>
      </c>
      <c r="C234" s="4" t="str">
        <f>IFERROR(__xludf.DUMMYFUNCTION("""COMPUTED_VALUE"""),"1ZgJYe9feHH1JnnrqSkw7W1JoIKEcT_NnlnQtzP0MXSc")</f>
        <v>1ZgJYe9feHH1JnnrqSkw7W1JoIKEcT_NnlnQtzP0MXSc</v>
      </c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 t="str">
        <f>IFERROR(__xludf.DUMMYFUNCTION("""COMPUTED_VALUE"""),"Closing")</f>
        <v>Closing</v>
      </c>
      <c r="B235" s="4" t="str">
        <f>IFERROR(__xludf.DUMMYFUNCTION("""COMPUTED_VALUE"""),"SwapExpire")</f>
        <v>SwapExpire</v>
      </c>
      <c r="C235" s="4" t="str">
        <f>IFERROR(__xludf.DUMMYFUNCTION("""COMPUTED_VALUE"""),"1Ch8ljdOLO5qpDv9DppYdH0GSLe_dObZX8Z4007tRKtk")</f>
        <v>1Ch8ljdOLO5qpDv9DppYdH0GSLe_dObZX8Z4007tRKtk</v>
      </c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 t="str">
        <f>IFERROR(__xludf.DUMMYFUNCTION("""COMPUTED_VALUE"""),"Closing")</f>
        <v>Closing</v>
      </c>
      <c r="B236" s="4" t="str">
        <f>IFERROR(__xludf.DUMMYFUNCTION("""COMPUTED_VALUE"""),"VerifyExpiredSettledGrid")</f>
        <v>VerifyExpiredSettledGrid</v>
      </c>
      <c r="C236" s="4" t="str">
        <f>IFERROR(__xludf.DUMMYFUNCTION("""COMPUTED_VALUE"""),"1Y7iTcrm1lcqAexGSYgLsLlCOYw223ra4LBG0yn-I2bY")</f>
        <v>1Y7iTcrm1lcqAexGSYgLsLlCOYw223ra4LBG0yn-I2bY</v>
      </c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 t="str">
        <f>IFERROR(__xludf.DUMMYFUNCTION("""COMPUTED_VALUE"""),"Closing")</f>
        <v>Closing</v>
      </c>
      <c r="B237" s="4" t="str">
        <f>IFERROR(__xludf.DUMMYFUNCTION("""COMPUTED_VALUE"""),"VerifyUnExpiredUnSettledGrid")</f>
        <v>VerifyUnExpiredUnSettledGrid</v>
      </c>
      <c r="C237" s="4" t="str">
        <f>IFERROR(__xludf.DUMMYFUNCTION("""COMPUTED_VALUE"""),"1L2S89q_MaWf4uZDOO7k9zl1iHulikAZk9KJ78CUobIc")</f>
        <v>1L2S89q_MaWf4uZDOO7k9zl1iHulikAZk9KJ78CUobIc</v>
      </c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 t="str">
        <f>IFERROR(__xludf.DUMMYFUNCTION("""COMPUTED_VALUE"""),"Closing")</f>
        <v>Closing</v>
      </c>
      <c r="B238" s="4" t="str">
        <f>IFERROR(__xludf.DUMMYFUNCTION("""COMPUTED_VALUE"""),"UnWindTradeSettlement")</f>
        <v>UnWindTradeSettlement</v>
      </c>
      <c r="C238" s="4" t="str">
        <f>IFERROR(__xludf.DUMMYFUNCTION("""COMPUTED_VALUE"""),"1r8av4OWUDi-9UDzyWe0DRs-rlCS90W4iepyl32hgsu0")</f>
        <v>1r8av4OWUDi-9UDzyWe0DRs-rlCS90W4iepyl32hgsu0</v>
      </c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 t="str">
        <f>IFERROR(__xludf.DUMMYFUNCTION("""COMPUTED_VALUE"""),"Closing")</f>
        <v>Closing</v>
      </c>
      <c r="B239" s="4" t="str">
        <f>IFERROR(__xludf.DUMMYFUNCTION("""COMPUTED_VALUE"""),"CloseOrder")</f>
        <v>CloseOrder</v>
      </c>
      <c r="C239" s="4" t="str">
        <f>IFERROR(__xludf.DUMMYFUNCTION("""COMPUTED_VALUE"""),"1L4oOTgickdBKDs0CYP74xqSVxT5XAemsQon_0M_wIY4")</f>
        <v>1L4oOTgickdBKDs0CYP74xqSVxT5XAemsQon_0M_wIY4</v>
      </c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 t="str">
        <f>IFERROR(__xludf.DUMMYFUNCTION("""COMPUTED_VALUE"""),"Closing")</f>
        <v>Closing</v>
      </c>
      <c r="B240" s="4" t="str">
        <f>IFERROR(__xludf.DUMMYFUNCTION("""COMPUTED_VALUE"""),"VerifyCloseOrder")</f>
        <v>VerifyCloseOrder</v>
      </c>
      <c r="C240" s="4" t="str">
        <f>IFERROR(__xludf.DUMMYFUNCTION("""COMPUTED_VALUE"""),"1wVhrU78CBgt-9aXoQMxmex2szYfOWevs1reuZQwcSlU")</f>
        <v>1wVhrU78CBgt-9aXoQMxmex2szYfOWevs1reuZQwcSlU</v>
      </c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 t="str">
        <f>IFERROR(__xludf.DUMMYFUNCTION("""COMPUTED_VALUE"""),"Closing")</f>
        <v>Closing</v>
      </c>
      <c r="B241" s="4" t="str">
        <f>IFERROR(__xludf.DUMMYFUNCTION("""COMPUTED_VALUE"""),"UnWindCloseOrder")</f>
        <v>UnWindCloseOrder</v>
      </c>
      <c r="C241" s="4" t="str">
        <f>IFERROR(__xludf.DUMMYFUNCTION("""COMPUTED_VALUE"""),"1h8Riwp0PTUKBHWNb4d5NQ9Foe2ig0mS3tu7vxq74C6A")</f>
        <v>1h8Riwp0PTUKBHWNb4d5NQ9Foe2ig0mS3tu7vxq74C6A</v>
      </c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 t="str">
        <f>IFERROR(__xludf.DUMMYFUNCTION("""COMPUTED_VALUE"""),"Closing")</f>
        <v>Closing</v>
      </c>
      <c r="B242" s="4" t="str">
        <f>IFERROR(__xludf.DUMMYFUNCTION("""COMPUTED_VALUE"""),"ClosingCleanUp")</f>
        <v>ClosingCleanUp</v>
      </c>
      <c r="C242" s="4" t="str">
        <f>IFERROR(__xludf.DUMMYFUNCTION("""COMPUTED_VALUE"""),"1_1ie9PGDigjyhcBrTgIzPawnFkZMYxHtKWtsPu9B_3c")</f>
        <v>1_1ie9PGDigjyhcBrTgIzPawnFkZMYxHtKWtsPu9B_3c</v>
      </c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 t="str">
        <f>IFERROR(__xludf.DUMMYFUNCTION("""COMPUTED_VALUE"""),"Closing")</f>
        <v>Closing</v>
      </c>
      <c r="B243" s="4" t="str">
        <f>IFERROR(__xludf.DUMMYFUNCTION("""COMPUTED_VALUE"""),"CloseClosingUI")</f>
        <v>CloseClosingUI</v>
      </c>
      <c r="C243" s="4" t="str">
        <f>IFERROR(__xludf.DUMMYFUNCTION("""COMPUTED_VALUE"""),"1KiRs-Mdk_DhlHcSNlHArhVLFJzMKzKu1kat_TZ71jkQ")</f>
        <v>1KiRs-Mdk_DhlHcSNlHArhVLFJzMKzKu1kat_TZ71jkQ</v>
      </c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 t="str">
        <f>IFERROR(__xludf.DUMMYFUNCTION("""COMPUTED_VALUE"""),"GeneralLedger")</f>
        <v>GeneralLedger</v>
      </c>
      <c r="B244" s="4" t="str">
        <f>IFERROR(__xludf.DUMMYFUNCTION("""COMPUTED_VALUE"""),"GetDailyCalculationsData")</f>
        <v>GetDailyCalculationsData</v>
      </c>
      <c r="C244" s="4" t="str">
        <f>IFERROR(__xludf.DUMMYFUNCTION("""COMPUTED_VALUE"""),"1pIJnQCXHxy82ZF8KgUVRHcagp8aZHkkagJfnU-cLYRo")</f>
        <v>1pIJnQCXHxy82ZF8KgUVRHcagp8aZHkkagJfnU-cLYRo</v>
      </c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 t="str">
        <f>IFERROR(__xludf.DUMMYFUNCTION("""COMPUTED_VALUE"""),"GeneralLedger")</f>
        <v>GeneralLedger</v>
      </c>
      <c r="B245" s="4" t="str">
        <f>IFERROR(__xludf.DUMMYFUNCTION("""COMPUTED_VALUE"""),"CalculateDailyCalculations")</f>
        <v>CalculateDailyCalculations</v>
      </c>
      <c r="C245" s="4" t="str">
        <f>IFERROR(__xludf.DUMMYFUNCTION("""COMPUTED_VALUE"""),"Undefined")</f>
        <v>Undefined</v>
      </c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 t="str">
        <f>IFERROR(__xludf.DUMMYFUNCTION("""COMPUTED_VALUE"""),"GeneralLedger")</f>
        <v>GeneralLedger</v>
      </c>
      <c r="B246" s="4" t="str">
        <f>IFERROR(__xludf.DUMMYFUNCTION("""COMPUTED_VALUE"""),"EditOpeningBalanceTransaction")</f>
        <v>EditOpeningBalanceTransaction</v>
      </c>
      <c r="C246" s="4" t="str">
        <f>IFERROR(__xludf.DUMMYFUNCTION("""COMPUTED_VALUE"""),"1wqhiyeuGFjr-d-douLAdeAoIl9zOMj0hG7J2an8e7EA")</f>
        <v>1wqhiyeuGFjr-d-douLAdeAoIl9zOMj0hG7J2an8e7EA</v>
      </c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 t="str">
        <f>IFERROR(__xludf.DUMMYFUNCTION("""COMPUTED_VALUE"""),"GeneralLedger")</f>
        <v>GeneralLedger</v>
      </c>
      <c r="B247" s="4" t="str">
        <f>IFERROR(__xludf.DUMMYFUNCTION("""COMPUTED_VALUE"""),"EditOpeningBalanceTranItem")</f>
        <v>EditOpeningBalanceTranItem</v>
      </c>
      <c r="C247" s="4" t="str">
        <f>IFERROR(__xludf.DUMMYFUNCTION("""COMPUTED_VALUE"""),"1yTjsXnh8twOBshtRTYPboRkkXpXN8T2vC7KUsimL2Ec")</f>
        <v>1yTjsXnh8twOBshtRTYPboRkkXpXN8T2vC7KUsimL2Ec</v>
      </c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 t="str">
        <f>IFERROR(__xludf.DUMMYFUNCTION("""COMPUTED_VALUE"""),"DailyValuation")</f>
        <v>DailyValuation</v>
      </c>
      <c r="B248" s="4" t="str">
        <f>IFERROR(__xludf.DUMMYFUNCTION("""COMPUTED_VALUE"""),"UpdateBeta")</f>
        <v>UpdateBeta</v>
      </c>
      <c r="C248" s="4" t="str">
        <f>IFERROR(__xludf.DUMMYFUNCTION("""COMPUTED_VALUE"""),"14bzYQBiZIs2a3lfzwT4TROCDnXpt72UALcJjBTZdEAk")</f>
        <v>14bzYQBiZIs2a3lfzwT4TROCDnXpt72UALcJjBTZdEAk</v>
      </c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 t="str">
        <f>IFERROR(__xludf.DUMMYFUNCTION("""COMPUTED_VALUE"""),"DailyValuation")</f>
        <v>DailyValuation</v>
      </c>
      <c r="B249" s="4" t="str">
        <f>IFERROR(__xludf.DUMMYFUNCTION("""COMPUTED_VALUE"""),"UpdateNAV")</f>
        <v>UpdateNAV</v>
      </c>
      <c r="C249" s="4" t="str">
        <f>IFERROR(__xludf.DUMMYFUNCTION("""COMPUTED_VALUE"""),"13mmaXGk97gVSQ6zDXJnzFolB9Xj-Wrq5OulWkf9iQjA")</f>
        <v>13mmaXGk97gVSQ6zDXJnzFolB9Xj-Wrq5OulWkf9iQjA</v>
      </c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 t="str">
        <f>IFERROR(__xludf.DUMMYFUNCTION("""COMPUTED_VALUE"""),"DailyValuation")</f>
        <v>DailyValuation</v>
      </c>
      <c r="B250" s="4" t="str">
        <f>IFERROR(__xludf.DUMMYFUNCTION("""COMPUTED_VALUE"""),"UpdateDailyCash")</f>
        <v>UpdateDailyCash</v>
      </c>
      <c r="C250" s="4" t="str">
        <f>IFERROR(__xludf.DUMMYFUNCTION("""COMPUTED_VALUE"""),"1qlSfNvUHenegqRyv9ZFeKA5gN-iwbykaaRHcYfx0vR8")</f>
        <v>1qlSfNvUHenegqRyv9ZFeKA5gN-iwbykaaRHcYfx0vR8</v>
      </c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 t="str">
        <f>IFERROR(__xludf.DUMMYFUNCTION("""COMPUTED_VALUE"""),"GeneralLedger")</f>
        <v>GeneralLedger</v>
      </c>
      <c r="B251" s="4" t="str">
        <f>IFERROR(__xludf.DUMMYFUNCTION("""COMPUTED_VALUE"""),"VerifyDailyCalTransactions")</f>
        <v>VerifyDailyCalTransactions</v>
      </c>
      <c r="C251" s="4" t="str">
        <f>IFERROR(__xludf.DUMMYFUNCTION("""COMPUTED_VALUE"""),"10wpUsik3kWUK9FdBcY3wa_rIK92CGwBAPxPW94n8RI0")</f>
        <v>10wpUsik3kWUK9FdBcY3wa_rIK92CGwBAPxPW94n8RI0</v>
      </c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 t="str">
        <f>IFERROR(__xludf.DUMMYFUNCTION("""COMPUTED_VALUE"""),"DailyValuation")</f>
        <v>DailyValuation</v>
      </c>
      <c r="B252" s="4" t="str">
        <f>IFERROR(__xludf.DUMMYFUNCTION("""COMPUTED_VALUE"""),"UpdateDailyCreditLimt")</f>
        <v>UpdateDailyCreditLimt</v>
      </c>
      <c r="C252" s="4" t="str">
        <f>IFERROR(__xludf.DUMMYFUNCTION("""COMPUTED_VALUE"""),"1WMfqGkZABhjGZzyIgr3hBp-ZTraQiBbIVqdAP3KAOGo")</f>
        <v>1WMfqGkZABhjGZzyIgr3hBp-ZTraQiBbIVqdAP3KAOGo</v>
      </c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 t="str">
        <f>IFERROR(__xludf.DUMMYFUNCTION("""COMPUTED_VALUE"""),"DailyValuation")</f>
        <v>DailyValuation</v>
      </c>
      <c r="B253" s="4" t="str">
        <f>IFERROR(__xludf.DUMMYFUNCTION("""COMPUTED_VALUE"""),"RemoveDailyCreditLimit")</f>
        <v>RemoveDailyCreditLimit</v>
      </c>
      <c r="C253" s="4" t="str">
        <f>IFERROR(__xludf.DUMMYFUNCTION("""COMPUTED_VALUE"""),"1PWZIcowZzyQZ43yBopMfNLylAaq2RlmTxS0-Y7SK0KI")</f>
        <v>1PWZIcowZzyQZ43yBopMfNLylAaq2RlmTxS0-Y7SK0KI</v>
      </c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 t="str">
        <f>IFERROR(__xludf.DUMMYFUNCTION("""COMPUTED_VALUE"""),"DailyValuation")</f>
        <v>DailyValuation</v>
      </c>
      <c r="B254" s="4" t="str">
        <f>IFERROR(__xludf.DUMMYFUNCTION("""COMPUTED_VALUE"""),"RemoveDailyCash")</f>
        <v>RemoveDailyCash</v>
      </c>
      <c r="C254" s="4" t="str">
        <f>IFERROR(__xludf.DUMMYFUNCTION("""COMPUTED_VALUE"""),"1K-Bl5yG-Q_sgro0guK9BOk2wSxZk_7rHH7Lj7Qp_H2U")</f>
        <v>1K-Bl5yG-Q_sgro0guK9BOk2wSxZk_7rHH7Lj7Qp_H2U</v>
      </c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 t="str">
        <f>IFERROR(__xludf.DUMMYFUNCTION("""COMPUTED_VALUE"""),"DailyValuation")</f>
        <v>DailyValuation</v>
      </c>
      <c r="B255" s="4" t="str">
        <f>IFERROR(__xludf.DUMMYFUNCTION("""COMPUTED_VALUE"""),"RemoveNAV")</f>
        <v>RemoveNAV</v>
      </c>
      <c r="C255" s="4" t="str">
        <f>IFERROR(__xludf.DUMMYFUNCTION("""COMPUTED_VALUE"""),"1iKNzN1CKH1HHjrGq7o2kZo9f76Pk7b7qYuTxqOHQZzE")</f>
        <v>1iKNzN1CKH1HHjrGq7o2kZo9f76Pk7b7qYuTxqOHQZzE</v>
      </c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 t="str">
        <f>IFERROR(__xludf.DUMMYFUNCTION("""COMPUTED_VALUE"""),"PortfolioManagement")</f>
        <v>PortfolioManagement</v>
      </c>
      <c r="B256" s="4" t="str">
        <f>IFERROR(__xludf.DUMMYFUNCTION("""COMPUTED_VALUE"""),"FilterPM")</f>
        <v>FilterPM</v>
      </c>
      <c r="C256" s="4" t="str">
        <f>IFERROR(__xludf.DUMMYFUNCTION("""COMPUTED_VALUE"""),"1lo4DMzd6cjmA4-4d7dLNuKsGBW61BpeW2eCf7oK-9og")</f>
        <v>1lo4DMzd6cjmA4-4d7dLNuKsGBW61BpeW2eCf7oK-9og</v>
      </c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 t="str">
        <f>IFERROR(__xludf.DUMMYFUNCTION("""COMPUTED_VALUE"""),"PortfolioManagement")</f>
        <v>PortfolioManagement</v>
      </c>
      <c r="B257" s="4" t="str">
        <f>IFERROR(__xludf.DUMMYFUNCTION("""COMPUTED_VALUE"""),"GroupRowPM")</f>
        <v>GroupRowPM</v>
      </c>
      <c r="C257" s="4" t="str">
        <f>IFERROR(__xludf.DUMMYFUNCTION("""COMPUTED_VALUE"""),"1pgA3lsv5kfGNh9RHELfgbcW6XvdfbOLjdTg2dR5EYAU")</f>
        <v>1pgA3lsv5kfGNh9RHELfgbcW6XvdfbOLjdTg2dR5EYAU</v>
      </c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 t="str">
        <f>IFERROR(__xludf.DUMMYFUNCTION("""COMPUTED_VALUE"""),"Allocation")</f>
        <v>Allocation</v>
      </c>
      <c r="B258" s="4" t="str">
        <f>IFERROR(__xludf.DUMMYFUNCTION("""COMPUTED_VALUE"""),"CloseAllocation")</f>
        <v>CloseAllocation</v>
      </c>
      <c r="C258" s="4" t="str">
        <f>IFERROR(__xludf.DUMMYFUNCTION("""COMPUTED_VALUE"""),"Undefined")</f>
        <v>Undefined</v>
      </c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 t="str">
        <f>IFERROR(__xludf.DUMMYFUNCTION("""COMPUTED_VALUE"""),"PortfolioManagement")</f>
        <v>PortfolioManagement</v>
      </c>
      <c r="B259" s="4" t="str">
        <f>IFERROR(__xludf.DUMMYFUNCTION("""COMPUTED_VALUE"""),"CheckDashboardWithPM")</f>
        <v>CheckDashboardWithPM</v>
      </c>
      <c r="C259" s="4" t="str">
        <f>IFERROR(__xludf.DUMMYFUNCTION("""COMPUTED_VALUE"""),"Undefined")</f>
        <v>Undefined</v>
      </c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 t="str">
        <f>IFERROR(__xludf.DUMMYFUNCTION("""COMPUTED_VALUE"""),"PortfolioManagement")</f>
        <v>PortfolioManagement</v>
      </c>
      <c r="B260" s="4" t="str">
        <f>IFERROR(__xludf.DUMMYFUNCTION("""COMPUTED_VALUE"""),"RemoveFilterPM")</f>
        <v>RemoveFilterPM</v>
      </c>
      <c r="C260" s="4" t="str">
        <f>IFERROR(__xludf.DUMMYFUNCTION("""COMPUTED_VALUE"""),"Undefined")</f>
        <v>Undefined</v>
      </c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 t="str">
        <f>IFERROR(__xludf.DUMMYFUNCTION("""COMPUTED_VALUE"""),"PortfolioManagement")</f>
        <v>PortfolioManagement</v>
      </c>
      <c r="B261" s="4" t="str">
        <f>IFERROR(__xludf.DUMMYFUNCTION("""COMPUTED_VALUE"""),"CheckSummaryRowsPM")</f>
        <v>CheckSummaryRowsPM</v>
      </c>
      <c r="C261" s="4" t="str">
        <f>IFERROR(__xludf.DUMMYFUNCTION("""COMPUTED_VALUE"""),"18xKZpSz1Db7JKLK-skQuvwxZf_NdSC71Y9j-EFPSnbQ")</f>
        <v>18xKZpSz1Db7JKLK-skQuvwxZf_NdSC71Y9j-EFPSnbQ</v>
      </c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 t="str">
        <f>IFERROR(__xludf.DUMMYFUNCTION("""COMPUTED_VALUE"""),"GeneralLedger")</f>
        <v>GeneralLedger</v>
      </c>
      <c r="B262" s="4" t="str">
        <f>IFERROR(__xludf.DUMMYFUNCTION("""COMPUTED_VALUE"""),"CloseGeneralLedger")</f>
        <v>CloseGeneralLedger</v>
      </c>
      <c r="C262" s="4" t="str">
        <f>IFERROR(__xludf.DUMMYFUNCTION("""COMPUTED_VALUE"""),"Undefined")</f>
        <v>Undefined</v>
      </c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 t="str">
        <f>IFERROR(__xludf.DUMMYFUNCTION("""COMPUTED_VALUE"""),"Blotter")</f>
        <v>Blotter</v>
      </c>
      <c r="B263" s="4" t="str">
        <f>IFERROR(__xludf.DUMMYFUNCTION("""COMPUTED_VALUE"""),"ReplaceStageOrder")</f>
        <v>ReplaceStageOrder</v>
      </c>
      <c r="C263" s="4" t="str">
        <f>IFERROR(__xludf.DUMMYFUNCTION("""COMPUTED_VALUE"""),"1-oDkMaOdHN8EaXZIPTt5fr6PNuottX0kRXE8vmlhi0M")</f>
        <v>1-oDkMaOdHN8EaXZIPTt5fr6PNuottX0kRXE8vmlhi0M</v>
      </c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 t="str">
        <f>IFERROR(__xludf.DUMMYFUNCTION("""COMPUTED_VALUE"""),"GeneralLedger")</f>
        <v>GeneralLedger</v>
      </c>
      <c r="B264" s="4" t="str">
        <f>IFERROR(__xludf.DUMMYFUNCTION("""COMPUTED_VALUE"""),"VerifyAccountDetails")</f>
        <v>VerifyAccountDetails</v>
      </c>
      <c r="C264" s="4" t="str">
        <f>IFERROR(__xludf.DUMMYFUNCTION("""COMPUTED_VALUE"""),"11lQbu7XGSf0C5u04fqQXzcjWfa8v7VnskbBQpcCwy_o")</f>
        <v>11lQbu7XGSf0C5u04fqQXzcjWfa8v7VnskbBQpcCwy_o</v>
      </c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 t="str">
        <f>IFERROR(__xludf.DUMMYFUNCTION("""COMPUTED_VALUE"""),"TradingTicket")</f>
        <v>TradingTicket</v>
      </c>
      <c r="B265" s="4" t="str">
        <f>IFERROR(__xludf.DUMMYFUNCTION("""COMPUTED_VALUE"""),"CreateNewSubOrder")</f>
        <v>CreateNewSubOrder</v>
      </c>
      <c r="C265" s="4" t="str">
        <f>IFERROR(__xludf.DUMMYFUNCTION("""COMPUTED_VALUE"""),"1RZrP677SP63N91bZw2_Jkjen0Emt_iknfC5GljLySfA")</f>
        <v>1RZrP677SP63N91bZw2_Jkjen0Emt_iknfC5GljLySfA</v>
      </c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 t="str">
        <f>IFERROR(__xludf.DUMMYFUNCTION("""COMPUTED_VALUE"""),"CreateTransaction")</f>
        <v>CreateTransaction</v>
      </c>
      <c r="B266" s="4" t="str">
        <f>IFERROR(__xludf.DUMMYFUNCTION("""COMPUTED_VALUE"""),"AddNewTransaction")</f>
        <v>AddNewTransaction</v>
      </c>
      <c r="C266" s="4" t="str">
        <f>IFERROR(__xludf.DUMMYFUNCTION("""COMPUTED_VALUE"""),"1MnHnb-l2FXZIx21V59Pn6jwBL3jngTBLnGBTJFgQ-Ac")</f>
        <v>1MnHnb-l2FXZIx21V59Pn6jwBL3jngTBLnGBTJFgQ-Ac</v>
      </c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 t="str">
        <f>IFERROR(__xludf.DUMMYFUNCTION("""COMPUTED_VALUE"""),"TradingTicket")</f>
        <v>TradingTicket</v>
      </c>
      <c r="B267" s="4" t="str">
        <f>IFERROR(__xludf.DUMMYFUNCTION("""COMPUTED_VALUE"""),"TradeBloomberg")</f>
        <v>TradeBloomberg</v>
      </c>
      <c r="C267" s="4" t="str">
        <f>IFERROR(__xludf.DUMMYFUNCTION("""COMPUTED_VALUE"""),"1igxH2dPQGq9u7PuOMV2GHwxFfHVL1KzVtINO6ZbdDOk")</f>
        <v>1igxH2dPQGq9u7PuOMV2GHwxFfHVL1KzVtINO6ZbdDOk</v>
      </c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 t="str">
        <f>IFERROR(__xludf.DUMMYFUNCTION("""COMPUTED_VALUE"""),"TradingTicket")</f>
        <v>TradingTicket</v>
      </c>
      <c r="B268" s="4" t="str">
        <f>IFERROR(__xludf.DUMMYFUNCTION("""COMPUTED_VALUE"""),"ClickSymbolLookup")</f>
        <v>ClickSymbolLookup</v>
      </c>
      <c r="C268" s="4" t="str">
        <f>IFERROR(__xludf.DUMMYFUNCTION("""COMPUTED_VALUE"""),"1_Bm_U_dCrJ0O95Ye84SVu3C35Bm-_zVESf68LNiMCZg")</f>
        <v>1_Bm_U_dCrJ0O95Ye84SVu3C35Bm-_zVESf68LNiMCZg</v>
      </c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 t="str">
        <f>IFERROR(__xludf.DUMMYFUNCTION("""COMPUTED_VALUE"""),"PricingServer")</f>
        <v>PricingServer</v>
      </c>
      <c r="B269" s="4" t="str">
        <f>IFERROR(__xludf.DUMMYFUNCTION("""COMPUTED_VALUE"""),"RestartPricingServer")</f>
        <v>RestartPricingServer</v>
      </c>
      <c r="C269" s="4" t="str">
        <f>IFERROR(__xludf.DUMMYFUNCTION("""COMPUTED_VALUE"""),"1k3a_zG703e90jYbfBz_iHma7miT_nDAo2-jitint-XA")</f>
        <v>1k3a_zG703e90jYbfBz_iHma7miT_nDAo2-jitint-XA</v>
      </c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 t="str">
        <f>IFERROR(__xludf.DUMMYFUNCTION("""COMPUTED_VALUE"""),"TradeServer")</f>
        <v>TradeServer</v>
      </c>
      <c r="B270" s="4" t="str">
        <f>IFERROR(__xludf.DUMMYFUNCTION("""COMPUTED_VALUE"""),"RestartServer")</f>
        <v>RestartServer</v>
      </c>
      <c r="C270" s="4" t="str">
        <f>IFERROR(__xludf.DUMMYFUNCTION("""COMPUTED_VALUE"""),"1MfgZTAXl6-DPer9VdHbo42n6sPuMFimLowm4iDrtYBI")</f>
        <v>1MfgZTAXl6-DPer9VdHbo42n6sPuMFimLowm4iDrtYBI</v>
      </c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 t="str">
        <f>IFERROR(__xludf.DUMMYFUNCTION("""COMPUTED_VALUE"""),"PranaClient")</f>
        <v>PranaClient</v>
      </c>
      <c r="B271" s="4" t="str">
        <f>IFERROR(__xludf.DUMMYFUNCTION("""COMPUTED_VALUE"""),"RestartClient")</f>
        <v>RestartClient</v>
      </c>
      <c r="C271" s="4" t="str">
        <f>IFERROR(__xludf.DUMMYFUNCTION("""COMPUTED_VALUE"""),"1TkGJ89cY994clB-HD-UJNYqO5eDGSgcM1fC_LiASQLE")</f>
        <v>1TkGJ89cY994clB-HD-UJNYqO5eDGSgcM1fC_LiASQLE</v>
      </c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 t="str">
        <f>IFERROR(__xludf.DUMMYFUNCTION("""COMPUTED_VALUE"""),"PTT")</f>
        <v>PTT</v>
      </c>
      <c r="B272" s="4" t="str">
        <f>IFERROR(__xludf.DUMMYFUNCTION("""COMPUTED_VALUE"""),"CalculatePTT")</f>
        <v>CalculatePTT</v>
      </c>
      <c r="C272" s="4" t="str">
        <f>IFERROR(__xludf.DUMMYFUNCTION("""COMPUTED_VALUE"""),"1yHP4_99wm3NtNEt8v0-IjBSsqD_IeK0TrVbe411pPPY")</f>
        <v>1yHP4_99wm3NtNEt8v0-IjBSsqD_IeK0TrVbe411pPPY</v>
      </c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 t="str">
        <f>IFERROR(__xludf.DUMMYFUNCTION("""COMPUTED_VALUE"""),"PTT")</f>
        <v>PTT</v>
      </c>
      <c r="B273" s="4" t="str">
        <f>IFERROR(__xludf.DUMMYFUNCTION("""COMPUTED_VALUE"""),"TradeUsingPTT")</f>
        <v>TradeUsingPTT</v>
      </c>
      <c r="C273" s="4" t="str">
        <f>IFERROR(__xludf.DUMMYFUNCTION("""COMPUTED_VALUE"""),"1824j5jyCdsYtwCFE1rcBhAGlXsh5bjIsayUXkGUuMpA")</f>
        <v>1824j5jyCdsYtwCFE1rcBhAGlXsh5bjIsayUXkGUuMpA</v>
      </c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 t="str">
        <f>IFERROR(__xludf.DUMMYFUNCTION("""COMPUTED_VALUE"""),"PTT")</f>
        <v>PTT</v>
      </c>
      <c r="B274" s="4" t="str">
        <f>IFERROR(__xludf.DUMMYFUNCTION("""COMPUTED_VALUE"""),"VerifyPTTCompliance")</f>
        <v>VerifyPTTCompliance</v>
      </c>
      <c r="C274" s="4" t="str">
        <f>IFERROR(__xludf.DUMMYFUNCTION("""COMPUTED_VALUE"""),"1yei-AbmUpfNZz4VT2JbIDaKDIJzO7hZwvaUFib1oTyU")</f>
        <v>1yei-AbmUpfNZz4VT2JbIDaKDIJzO7hZwvaUFib1oTyU</v>
      </c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 t="str">
        <f>IFERROR(__xludf.DUMMYFUNCTION("""COMPUTED_VALUE"""),"PTT")</f>
        <v>PTT</v>
      </c>
      <c r="B275" s="4" t="str">
        <f>IFERROR(__xludf.DUMMYFUNCTION("""COMPUTED_VALUE"""),"StageOrderUsingPTT")</f>
        <v>StageOrderUsingPTT</v>
      </c>
      <c r="C275" s="4" t="str">
        <f>IFERROR(__xludf.DUMMYFUNCTION("""COMPUTED_VALUE"""),"1u1w8ItMzM1YYZrH2R4RqLkUrIog6pmIGeXUsy-3e_ZA")</f>
        <v>1u1w8ItMzM1YYZrH2R4RqLkUrIog6pmIGeXUsy-3e_ZA</v>
      </c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 t="str">
        <f>IFERROR(__xludf.DUMMYFUNCTION("""COMPUTED_VALUE"""),"PTT")</f>
        <v>PTT</v>
      </c>
      <c r="B276" s="4" t="str">
        <f>IFERROR(__xludf.DUMMYFUNCTION("""COMPUTED_VALUE"""),"CreateOrderPTT")</f>
        <v>CreateOrderPTT</v>
      </c>
      <c r="C276" s="4" t="str">
        <f>IFERROR(__xludf.DUMMYFUNCTION("""COMPUTED_VALUE"""),"1EbdeLHTIKN4RoLAyfGnlPPL3QVcvg2-CXPpGl0RGN44")</f>
        <v>1EbdeLHTIKN4RoLAyfGnlPPL3QVcvg2-CXPpGl0RGN44</v>
      </c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 t="str">
        <f>IFERROR(__xludf.DUMMYFUNCTION("""COMPUTED_VALUE"""),"PTT")</f>
        <v>PTT</v>
      </c>
      <c r="B277" s="4" t="str">
        <f>IFERROR(__xludf.DUMMYFUNCTION("""COMPUTED_VALUE"""),"TradePTT")</f>
        <v>TradePTT</v>
      </c>
      <c r="C277" s="4" t="str">
        <f>IFERROR(__xludf.DUMMYFUNCTION("""COMPUTED_VALUE"""),"1pJFZ4nCBnJDUZQAqiaY6J68G36x1oN7JuKzRtRA-0zc")</f>
        <v>1pJFZ4nCBnJDUZQAqiaY6J68G36x1oN7JuKzRtRA-0zc</v>
      </c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 t="str">
        <f>IFERROR(__xludf.DUMMYFUNCTION("""COMPUTED_VALUE"""),"PTT")</f>
        <v>PTT</v>
      </c>
      <c r="B278" s="4" t="str">
        <f>IFERROR(__xludf.DUMMYFUNCTION("""COMPUTED_VALUE"""),"VerifyPTT")</f>
        <v>VerifyPTT</v>
      </c>
      <c r="C278" s="4" t="str">
        <f>IFERROR(__xludf.DUMMYFUNCTION("""COMPUTED_VALUE"""),"1_DLMzeonBUhfhJl5AJqMD8mt1Z4T5mgBI7fF7cbQFWs")</f>
        <v>1_DLMzeonBUhfhJl5AJqMD8mt1Z4T5mgBI7fF7cbQFWs</v>
      </c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 t="str">
        <f>IFERROR(__xludf.DUMMYFUNCTION("""COMPUTED_VALUE"""),"PortfolioManagement")</f>
        <v>PortfolioManagement</v>
      </c>
      <c r="B279" s="4" t="str">
        <f>IFERROR(__xludf.DUMMYFUNCTION("""COMPUTED_VALUE"""),"OpenPTTFromPM")</f>
        <v>OpenPTTFromPM</v>
      </c>
      <c r="C279" s="4" t="str">
        <f>IFERROR(__xludf.DUMMYFUNCTION("""COMPUTED_VALUE"""),"1GRj9e94k8ieHylVePoJ-nbC4owLOnPd7BKuaFvCouaI")</f>
        <v>1GRj9e94k8ieHylVePoJ-nbC4owLOnPd7BKuaFvCouaI</v>
      </c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 t="str">
        <f>IFERROR(__xludf.DUMMYFUNCTION("""COMPUTED_VALUE"""),"PTT")</f>
        <v>PTT</v>
      </c>
      <c r="B280" s="4" t="str">
        <f>IFERROR(__xludf.DUMMYFUNCTION("""COMPUTED_VALUE"""),"OpenMultiTTFromPTT")</f>
        <v>OpenMultiTTFromPTT</v>
      </c>
      <c r="C280" s="4" t="str">
        <f>IFERROR(__xludf.DUMMYFUNCTION("""COMPUTED_VALUE"""),"1e52wyc2ELTM7QWL7k_ZT3-JQQ8Kf4qrLMW0R_fjW7Qc")</f>
        <v>1e52wyc2ELTM7QWL7k_ZT3-JQQ8Kf4qrLMW0R_fjW7Qc</v>
      </c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 t="str">
        <f>IFERROR(__xludf.DUMMYFUNCTION("""COMPUTED_VALUE"""),"PTT")</f>
        <v>PTT</v>
      </c>
      <c r="B281" s="4" t="str">
        <f>IFERROR(__xludf.DUMMYFUNCTION("""COMPUTED_VALUE"""),"SelectMultiTT")</f>
        <v>SelectMultiTT</v>
      </c>
      <c r="C281" s="4" t="str">
        <f>IFERROR(__xludf.DUMMYFUNCTION("""COMPUTED_VALUE"""),"1kwb8DPg_4i30YSR_tr8LD3r1jIWVTgBzMVprGkITggA")</f>
        <v>1kwb8DPg_4i30YSR_tr8LD3r1jIWVTgBzMVprGkITggA</v>
      </c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 t="str">
        <f>IFERROR(__xludf.DUMMYFUNCTION("""COMPUTED_VALUE"""),"PTT")</f>
        <v>PTT</v>
      </c>
      <c r="B282" s="4" t="str">
        <f>IFERROR(__xludf.DUMMYFUNCTION("""COMPUTED_VALUE"""),"EditMultiTT")</f>
        <v>EditMultiTT</v>
      </c>
      <c r="C282" s="4" t="str">
        <f>IFERROR(__xludf.DUMMYFUNCTION("""COMPUTED_VALUE"""),"1wbgmqX9Wp9SZWfRgJAummbN_5spSjp-tG3G1lreoQKk")</f>
        <v>1wbgmqX9Wp9SZWfRgJAummbN_5spSjp-tG3G1lreoQKk</v>
      </c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 t="str">
        <f>IFERROR(__xludf.DUMMYFUNCTION("""COMPUTED_VALUE"""),"MultiTradingTicket")</f>
        <v>MultiTradingTicket</v>
      </c>
      <c r="B283" s="4" t="str">
        <f>IFERROR(__xludf.DUMMYFUNCTION("""COMPUTED_VALUE"""),"EditTradeUsingMTT")</f>
        <v>EditTradeUsingMTT</v>
      </c>
      <c r="C283" s="4" t="str">
        <f>IFERROR(__xludf.DUMMYFUNCTION("""COMPUTED_VALUE"""),"1FQlM2ubifDakZ2t9YEosDOTBdf06YZcr9_nTRuQDt2Q")</f>
        <v>1FQlM2ubifDakZ2t9YEosDOTBdf06YZcr9_nTRuQDt2Q</v>
      </c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 t="str">
        <f>IFERROR(__xludf.DUMMYFUNCTION("""COMPUTED_VALUE"""),"MultiTradingTicket")</f>
        <v>MultiTradingTicket</v>
      </c>
      <c r="B284" s="4" t="str">
        <f>IFERROR(__xludf.DUMMYFUNCTION("""COMPUTED_VALUE"""),"SelectTradeUsingMTT")</f>
        <v>SelectTradeUsingMTT</v>
      </c>
      <c r="C284" s="4" t="str">
        <f>IFERROR(__xludf.DUMMYFUNCTION("""COMPUTED_VALUE"""),"1iacfEsOlPHPGZ6nQjKZ7USkjh5EdozTXI9wUlBmEE4k")</f>
        <v>1iacfEsOlPHPGZ6nQjKZ7USkjh5EdozTXI9wUlBmEE4k</v>
      </c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 t="str">
        <f>IFERROR(__xludf.DUMMYFUNCTION("""COMPUTED_VALUE"""),"MultiTradingTicket")</f>
        <v>MultiTradingTicket</v>
      </c>
      <c r="B285" s="4" t="str">
        <f>IFERROR(__xludf.DUMMYFUNCTION("""COMPUTED_VALUE"""),"GetPriceUsingMTT")</f>
        <v>GetPriceUsingMTT</v>
      </c>
      <c r="C285" s="4" t="str">
        <f>IFERROR(__xludf.DUMMYFUNCTION("""COMPUTED_VALUE"""),"13sqL2ynaexfP9lWe37uE-qHPdf1jgMi_dGKwnz6usMQ")</f>
        <v>13sqL2ynaexfP9lWe37uE-qHPdf1jgMi_dGKwnz6usMQ</v>
      </c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 t="str">
        <f>IFERROR(__xludf.DUMMYFUNCTION("""COMPUTED_VALUE"""),"MultiTradingTicket")</f>
        <v>MultiTradingTicket</v>
      </c>
      <c r="B286" s="4" t="str">
        <f>IFERROR(__xludf.DUMMYFUNCTION("""COMPUTED_VALUE"""),"DoneAwayUsingMTT")</f>
        <v>DoneAwayUsingMTT</v>
      </c>
      <c r="C286" s="4" t="str">
        <f>IFERROR(__xludf.DUMMYFUNCTION("""COMPUTED_VALUE"""),"1X_Cc-k1Zsfie7xcaz_9nQ2vWDlJ47gL_5qoTESaishI")</f>
        <v>1X_Cc-k1Zsfie7xcaz_9nQ2vWDlJ47gL_5qoTESaishI</v>
      </c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 t="str">
        <f>IFERROR(__xludf.DUMMYFUNCTION("""COMPUTED_VALUE"""),"MultiTradingTicket")</f>
        <v>MultiTradingTicket</v>
      </c>
      <c r="B287" s="4" t="str">
        <f>IFERROR(__xludf.DUMMYFUNCTION("""COMPUTED_VALUE"""),"SendOrderUsingMTT")</f>
        <v>SendOrderUsingMTT</v>
      </c>
      <c r="C287" s="4" t="str">
        <f>IFERROR(__xludf.DUMMYFUNCTION("""COMPUTED_VALUE"""),"1ZvOomDY73mDwy_2FkmlYUkc7eFVBtku_M6XrhU6zAMQ")</f>
        <v>1ZvOomDY73mDwy_2FkmlYUkc7eFVBtku_M6XrhU6zAMQ</v>
      </c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 t="str">
        <f>IFERROR(__xludf.DUMMYFUNCTION("""COMPUTED_VALUE"""),"Allocation")</f>
        <v>Allocation</v>
      </c>
      <c r="B288" s="4" t="str">
        <f>IFERROR(__xludf.DUMMYFUNCTION("""COMPUTED_VALUE"""),"UpdateGRAccountValue")</f>
        <v>UpdateGRAccountValue</v>
      </c>
      <c r="C288" s="4" t="str">
        <f>IFERROR(__xludf.DUMMYFUNCTION("""COMPUTED_VALUE"""),"1lFz3FRcCczoccbDWuOrmoeTNI3Wt72tV40C0B_Fdulo")</f>
        <v>1lFz3FRcCczoccbDWuOrmoeTNI3Wt72tV40C0B_Fdulo</v>
      </c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 t="str">
        <f>IFERROR(__xludf.DUMMYFUNCTION("""COMPUTED_VALUE"""),"MultiTradingTicket")</f>
        <v>MultiTradingTicket</v>
      </c>
      <c r="B289" s="4" t="str">
        <f>IFERROR(__xludf.DUMMYFUNCTION("""COMPUTED_VALUE"""),"BulkChangeTradeDoneAway")</f>
        <v>BulkChangeTradeDoneAway</v>
      </c>
      <c r="C289" s="4" t="str">
        <f>IFERROR(__xludf.DUMMYFUNCTION("""COMPUTED_VALUE"""),"1vJUuWNjZCta9Nc4XEHCHO5jwABRogxaKkvSksrCc1y4")</f>
        <v>1vJUuWNjZCta9Nc4XEHCHO5jwABRogxaKkvSksrCc1y4</v>
      </c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 t="str">
        <f>IFERROR(__xludf.DUMMYFUNCTION("""COMPUTED_VALUE"""),"Allocation")</f>
        <v>Allocation</v>
      </c>
      <c r="B290" s="4" t="str">
        <f>IFERROR(__xludf.DUMMYFUNCTION("""COMPUTED_VALUE"""),"UpdateGRStrategyValue")</f>
        <v>UpdateGRStrategyValue</v>
      </c>
      <c r="C290" s="4" t="str">
        <f>IFERROR(__xludf.DUMMYFUNCTION("""COMPUTED_VALUE"""),"1AMJDRnPPFGSypYHzJlk3Nkh0AERQpMOKwpNzmwWYf3k")</f>
        <v>1AMJDRnPPFGSypYHzJlk3Nkh0AERQpMOKwpNzmwWYf3k</v>
      </c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 t="str">
        <f>IFERROR(__xludf.DUMMYFUNCTION("""COMPUTED_VALUE"""),"Allocation")</f>
        <v>Allocation</v>
      </c>
      <c r="B291" s="4" t="str">
        <f>IFERROR(__xludf.DUMMYFUNCTION("""COMPUTED_VALUE"""),"UpdateGRDefaultRule")</f>
        <v>UpdateGRDefaultRule</v>
      </c>
      <c r="C291" s="4" t="str">
        <f>IFERROR(__xludf.DUMMYFUNCTION("""COMPUTED_VALUE"""),"1x73ZveKV63dLEGp1JA9RvvtDZiF2PeXvK6rEa4ECUUg")</f>
        <v>1x73ZveKV63dLEGp1JA9RvvtDZiF2PeXvK6rEa4ECUUg</v>
      </c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 t="str">
        <f>IFERROR(__xludf.DUMMYFUNCTION("""COMPUTED_VALUE"""),"Allocation")</f>
        <v>Allocation</v>
      </c>
      <c r="B292" s="4" t="str">
        <f>IFERROR(__xludf.DUMMYFUNCTION("""COMPUTED_VALUE"""),"UpdateGeneralRulePref")</f>
        <v>UpdateGeneralRulePref</v>
      </c>
      <c r="C292" s="4" t="str">
        <f>IFERROR(__xludf.DUMMYFUNCTION("""COMPUTED_VALUE"""),"Undefined")</f>
        <v>Undefined</v>
      </c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 t="str">
        <f>IFERROR(__xludf.DUMMYFUNCTION("""COMPUTED_VALUE"""),"Blotter")</f>
        <v>Blotter</v>
      </c>
      <c r="B293" s="4" t="str">
        <f>IFERROR(__xludf.DUMMYFUNCTION("""COMPUTED_VALUE"""),"MultiTradingTicketFromBlotter")</f>
        <v>MultiTradingTicketFromBlotter</v>
      </c>
      <c r="C293" s="4" t="str">
        <f>IFERROR(__xludf.DUMMYFUNCTION("""COMPUTED_VALUE"""),"19n2Z-CCAzNZctQndnPqhAilz4AHqd4Hew_NupZSf3AA")</f>
        <v>19n2Z-CCAzNZctQndnPqhAilz4AHqd4Hew_NupZSf3AA</v>
      </c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 t="str">
        <f>IFERROR(__xludf.DUMMYFUNCTION("""COMPUTED_VALUE"""),"CleanUp")</f>
        <v>CleanUp</v>
      </c>
      <c r="B294" s="4" t="str">
        <f>IFERROR(__xludf.DUMMYFUNCTION("""COMPUTED_VALUE"""),"DeleteClientData")</f>
        <v>DeleteClientData</v>
      </c>
      <c r="C294" s="4" t="str">
        <f>IFERROR(__xludf.DUMMYFUNCTION("""COMPUTED_VALUE"""),"1Lz82jeHUZGtvibY9vO7baLqlJAO5OFAL6yO4JpHFkAo")</f>
        <v>1Lz82jeHUZGtvibY9vO7baLqlJAO5OFAL6yO4JpHFkAo</v>
      </c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 t="str">
        <f>IFERROR(__xludf.DUMMYFUNCTION("""COMPUTED_VALUE"""),"Allocation")</f>
        <v>Allocation</v>
      </c>
      <c r="B295" s="4" t="str">
        <f>IFERROR(__xludf.DUMMYFUNCTION("""COMPUTED_VALUE"""),"ModifyGRPreferenceValues")</f>
        <v>ModifyGRPreferenceValues</v>
      </c>
      <c r="C295" s="4" t="str">
        <f>IFERROR(__xludf.DUMMYFUNCTION("""COMPUTED_VALUE"""),"1POjj1zjXLEqeN6JF24QjN0-KOauAggBwl69xOVrb_Mc")</f>
        <v>1POjj1zjXLEqeN6JF24QjN0-KOauAggBwl69xOVrb_Mc</v>
      </c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 t="str">
        <f>IFERROR(__xludf.DUMMYFUNCTION("""COMPUTED_VALUE"""),"Allocation")</f>
        <v>Allocation</v>
      </c>
      <c r="B296" s="4" t="str">
        <f>IFERROR(__xludf.DUMMYFUNCTION("""COMPUTED_VALUE"""),"AddMFPreferences")</f>
        <v>AddMFPreferences</v>
      </c>
      <c r="C296" s="4" t="str">
        <f>IFERROR(__xludf.DUMMYFUNCTION("""COMPUTED_VALUE"""),"1AksWVHEmnBxwC-L3YrZrbvNzH0SfJRQe4Dy7NrKt6qU")</f>
        <v>1AksWVHEmnBxwC-L3YrZrbvNzH0SfJRQe4Dy7NrKt6qU</v>
      </c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 t="str">
        <f>IFERROR(__xludf.DUMMYFUNCTION("""COMPUTED_VALUE"""),"Allocation")</f>
        <v>Allocation</v>
      </c>
      <c r="B297" s="4" t="str">
        <f>IFERROR(__xludf.DUMMYFUNCTION("""COMPUTED_VALUE"""),"AddMFPreferenceToolbar")</f>
        <v>AddMFPreferenceToolbar</v>
      </c>
      <c r="C297" s="4" t="str">
        <f>IFERROR(__xludf.DUMMYFUNCTION("""COMPUTED_VALUE"""),"1s4ugOdWq4GlEglv4uvOceAxijOR8vwwy9sfLCQSJsPI")</f>
        <v>1s4ugOdWq4GlEglv4uvOceAxijOR8vwwy9sfLCQSJsPI</v>
      </c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 t="str">
        <f>IFERROR(__xludf.DUMMYFUNCTION("""COMPUTED_VALUE"""),"Allocation")</f>
        <v>Allocation</v>
      </c>
      <c r="B298" s="4" t="str">
        <f>IFERROR(__xludf.DUMMYFUNCTION("""COMPUTED_VALUE"""),"DeleteMFPreferences")</f>
        <v>DeleteMFPreferences</v>
      </c>
      <c r="C298" s="4" t="str">
        <f>IFERROR(__xludf.DUMMYFUNCTION("""COMPUTED_VALUE"""),"1kF8Cp9ixfKWT-O7A_ykr8O24ot4jIuMf7Cny33fw3tE")</f>
        <v>1kF8Cp9ixfKWT-O7A_ykr8O24ot4jIuMf7Cny33fw3tE</v>
      </c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 t="str">
        <f>IFERROR(__xludf.DUMMYFUNCTION("""COMPUTED_VALUE"""),"Allocation")</f>
        <v>Allocation</v>
      </c>
      <c r="B299" s="4" t="str">
        <f>IFERROR(__xludf.DUMMYFUNCTION("""COMPUTED_VALUE"""),"DeleteMFPreferenceToolbar")</f>
        <v>DeleteMFPreferenceToolbar</v>
      </c>
      <c r="C299" s="4" t="str">
        <f>IFERROR(__xludf.DUMMYFUNCTION("""COMPUTED_VALUE"""),"1CgwWCnwId8fIOzVPEbCjbP0EmIDkblROsvVu3kqYqG8")</f>
        <v>1CgwWCnwId8fIOzVPEbCjbP0EmIDkblROsvVu3kqYqG8</v>
      </c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 t="str">
        <f>IFERROR(__xludf.DUMMYFUNCTION("""COMPUTED_VALUE"""),"Allocation")</f>
        <v>Allocation</v>
      </c>
      <c r="B300" s="4" t="str">
        <f>IFERROR(__xludf.DUMMYFUNCTION("""COMPUTED_VALUE"""),"RenameMFPreferences")</f>
        <v>RenameMFPreferences</v>
      </c>
      <c r="C300" s="4" t="str">
        <f>IFERROR(__xludf.DUMMYFUNCTION("""COMPUTED_VALUE"""),"1LgeTTI9drsJb1V9MtKWU3N5XU-_UpbynXkgneV6bnSU")</f>
        <v>1LgeTTI9drsJb1V9MtKWU3N5XU-_UpbynXkgneV6bnSU</v>
      </c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 t="str">
        <f>IFERROR(__xludf.DUMMYFUNCTION("""COMPUTED_VALUE"""),"Allocation")</f>
        <v>Allocation</v>
      </c>
      <c r="B301" s="4" t="str">
        <f>IFERROR(__xludf.DUMMYFUNCTION("""COMPUTED_VALUE"""),"SaveCloseMFPreference")</f>
        <v>SaveCloseMFPreference</v>
      </c>
      <c r="C301" s="4" t="str">
        <f>IFERROR(__xludf.DUMMYFUNCTION("""COMPUTED_VALUE"""),"Undefined")</f>
        <v>Undefined</v>
      </c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 t="str">
        <f>IFERROR(__xludf.DUMMYFUNCTION("""COMPUTED_VALUE"""),"Allocation")</f>
        <v>Allocation</v>
      </c>
      <c r="B302" s="4" t="str">
        <f>IFERROR(__xludf.DUMMYFUNCTION("""COMPUTED_VALUE"""),"SetMFPrefAccountValues")</f>
        <v>SetMFPrefAccountValues</v>
      </c>
      <c r="C302" s="4" t="str">
        <f>IFERROR(__xludf.DUMMYFUNCTION("""COMPUTED_VALUE"""),"1ICA8c_OKdesVMDcE_s1raBD2JqcZdspbl-jQG5DX7vA")</f>
        <v>1ICA8c_OKdesVMDcE_s1raBD2JqcZdspbl-jQG5DX7vA</v>
      </c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 t="str">
        <f>IFERROR(__xludf.DUMMYFUNCTION("""COMPUTED_VALUE"""),"Allocation")</f>
        <v>Allocation</v>
      </c>
      <c r="B303" s="4" t="str">
        <f>IFERROR(__xludf.DUMMYFUNCTION("""COMPUTED_VALUE"""),"ModifyMFPrefGeneralRuleValues")</f>
        <v>ModifyMFPrefGeneralRuleValues</v>
      </c>
      <c r="C303" s="4" t="str">
        <f>IFERROR(__xludf.DUMMYFUNCTION("""COMPUTED_VALUE"""),"Undefined")</f>
        <v>Undefined</v>
      </c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 t="str">
        <f>IFERROR(__xludf.DUMMYFUNCTION("""COMPUTED_VALUE"""),"Allocation")</f>
        <v>Allocation</v>
      </c>
      <c r="B304" s="4" t="str">
        <f>IFERROR(__xludf.DUMMYFUNCTION("""COMPUTED_VALUE"""),"SetMFPrefStrategyValues")</f>
        <v>SetMFPrefStrategyValues</v>
      </c>
      <c r="C304" s="4" t="str">
        <f>IFERROR(__xludf.DUMMYFUNCTION("""COMPUTED_VALUE"""),"1Nend9TmgX0Jkh8tsL--LHqNCMB0QE7KGu0lM4MrvJx8")</f>
        <v>1Nend9TmgX0Jkh8tsL--LHqNCMB0QE7KGu0lM4MrvJx8</v>
      </c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 t="str">
        <f>IFERROR(__xludf.DUMMYFUNCTION("""COMPUTED_VALUE"""),"Allocation")</f>
        <v>Allocation</v>
      </c>
      <c r="B305" s="4" t="str">
        <f>IFERROR(__xludf.DUMMYFUNCTION("""COMPUTED_VALUE"""),"SetMFPrefGeneralRule")</f>
        <v>SetMFPrefGeneralRule</v>
      </c>
      <c r="C305" s="4" t="str">
        <f>IFERROR(__xludf.DUMMYFUNCTION("""COMPUTED_VALUE"""),"1OkFtbYrIDPpC3pMP--6KPjkSbZDpo31jp348DsVbjWk")</f>
        <v>1OkFtbYrIDPpC3pMP--6KPjkSbZDpo31jp348DsVbjWk</v>
      </c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 t="str">
        <f>IFERROR(__xludf.DUMMYFUNCTION("""COMPUTED_VALUE"""),"Allocation")</f>
        <v>Allocation</v>
      </c>
      <c r="B306" s="4" t="str">
        <f>IFERROR(__xludf.DUMMYFUNCTION("""COMPUTED_VALUE"""),"SetMFPrefFundDistribution")</f>
        <v>SetMFPrefFundDistribution</v>
      </c>
      <c r="C306" s="4" t="str">
        <f>IFERROR(__xludf.DUMMYFUNCTION("""COMPUTED_VALUE"""),"1sNOuaTOrp-Ppia2ZUARA48WLB5S-7ja2Q0cjsdZu1cc")</f>
        <v>1sNOuaTOrp-Ppia2ZUARA48WLB5S-7ja2Q0cjsdZu1cc</v>
      </c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 t="str">
        <f>IFERROR(__xludf.DUMMYFUNCTION("""COMPUTED_VALUE"""),"Allocation")</f>
        <v>Allocation</v>
      </c>
      <c r="B307" s="4" t="str">
        <f>IFERROR(__xludf.DUMMYFUNCTION("""COMPUTED_VALUE"""),"SetMFPreferencesDefaultRule")</f>
        <v>SetMFPreferencesDefaultRule</v>
      </c>
      <c r="C307" s="4" t="str">
        <f>IFERROR(__xludf.DUMMYFUNCTION("""COMPUTED_VALUE"""),"1SseU888nr5JryggSHE9VBdTiZug_v-cOJmjdm-vO3sQ")</f>
        <v>1SseU888nr5JryggSHE9VBdTiZug_v-cOJmjdm-vO3sQ</v>
      </c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 t="str">
        <f>IFERROR(__xludf.DUMMYFUNCTION("""COMPUTED_VALUE"""),"Allocation")</f>
        <v>Allocation</v>
      </c>
      <c r="B308" s="4" t="str">
        <f>IFERROR(__xludf.DUMMYFUNCTION("""COMPUTED_VALUE"""),"SetMFPrefFundDefaultRule")</f>
        <v>SetMFPrefFundDefaultRule</v>
      </c>
      <c r="C308" s="4" t="str">
        <f>IFERROR(__xludf.DUMMYFUNCTION("""COMPUTED_VALUE"""),"1HfizE5szbvAqgcrnlAlRZlGwJnDpLifnRSpo_rNHclE")</f>
        <v>1HfizE5szbvAqgcrnlAlRZlGwJnDpLifnRSpo_rNHclE</v>
      </c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 t="str">
        <f>IFERROR(__xludf.DUMMYFUNCTION("""COMPUTED_VALUE"""),"PTT")</f>
        <v>PTT</v>
      </c>
      <c r="B309" s="4" t="str">
        <f>IFERROR(__xludf.DUMMYFUNCTION("""COMPUTED_VALUE"""),"SetAccountFactor")</f>
        <v>SetAccountFactor</v>
      </c>
      <c r="C309" s="4" t="str">
        <f>IFERROR(__xludf.DUMMYFUNCTION("""COMPUTED_VALUE"""),"18dn1sQFfRDKOAHwu3DueV8YA7DVB7FDzA7y_am44ADk")</f>
        <v>18dn1sQFfRDKOAHwu3DueV8YA7DVB7FDzA7y_am44ADk</v>
      </c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 t="str">
        <f>IFERROR(__xludf.DUMMYFUNCTION("""COMPUTED_VALUE"""),"Allocation")</f>
        <v>Allocation</v>
      </c>
      <c r="B310" s="4" t="str">
        <f>IFERROR(__xludf.DUMMYFUNCTION("""COMPUTED_VALUE"""),"ClearPrefetchFilters")</f>
        <v>ClearPrefetchFilters</v>
      </c>
      <c r="C310" s="4" t="str">
        <f>IFERROR(__xludf.DUMMYFUNCTION("""COMPUTED_VALUE"""),"Undefined")</f>
        <v>Undefined</v>
      </c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 t="str">
        <f>IFERROR(__xludf.DUMMYFUNCTION("""COMPUTED_VALUE"""),"Allocation")</f>
        <v>Allocation</v>
      </c>
      <c r="B311" s="4" t="str">
        <f>IFERROR(__xludf.DUMMYFUNCTION("""COMPUTED_VALUE"""),"ExpandCollapseAllUnallocated")</f>
        <v>ExpandCollapseAllUnallocated</v>
      </c>
      <c r="C311" s="4" t="str">
        <f>IFERROR(__xludf.DUMMYFUNCTION("""COMPUTED_VALUE"""),"1ochAcIa6jxqrTKXkyAIMtaQp8GfBZfq8KAPLV0y7yvU")</f>
        <v>1ochAcIa6jxqrTKXkyAIMtaQp8GfBZfq8KAPLV0y7yvU</v>
      </c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 t="str">
        <f>IFERROR(__xludf.DUMMYFUNCTION("""COMPUTED_VALUE"""),"Allocation")</f>
        <v>Allocation</v>
      </c>
      <c r="B312" s="4" t="str">
        <f>IFERROR(__xludf.DUMMYFUNCTION("""COMPUTED_VALUE"""),"ExpandCollapseAllAllocated")</f>
        <v>ExpandCollapseAllAllocated</v>
      </c>
      <c r="C312" s="4" t="str">
        <f>IFERROR(__xludf.DUMMYFUNCTION("""COMPUTED_VALUE"""),"1PUqbTX2rRI0cNPNL7NJ1fKh-Jy0Q9mQVBO0nXiQtUlc")</f>
        <v>1PUqbTX2rRI0cNPNL7NJ1fKh-Jy0Q9mQVBO0nXiQtUlc</v>
      </c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 t="str">
        <f>IFERROR(__xludf.DUMMYFUNCTION("""COMPUTED_VALUE"""),"Allocation")</f>
        <v>Allocation</v>
      </c>
      <c r="B313" s="4" t="str">
        <f>IFERROR(__xludf.DUMMYFUNCTION("""COMPUTED_VALUE"""),"GenerateCashTransaction")</f>
        <v>GenerateCashTransaction</v>
      </c>
      <c r="C313" s="4" t="str">
        <f>IFERROR(__xludf.DUMMYFUNCTION("""COMPUTED_VALUE"""),"1XFWL8Sv_tc7--6q-PVtJAyjWEb-HcxsbKKtSdB3jRJY")</f>
        <v>1XFWL8Sv_tc7--6q-PVtJAyjWEb-HcxsbKKtSdB3jRJY</v>
      </c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 t="str">
        <f>IFERROR(__xludf.DUMMYFUNCTION("""COMPUTED_VALUE"""),"Allocation")</f>
        <v>Allocation</v>
      </c>
      <c r="B314" s="4" t="str">
        <f>IFERROR(__xludf.DUMMYFUNCTION("""COMPUTED_VALUE"""),"SaveAllocation")</f>
        <v>SaveAllocation</v>
      </c>
      <c r="C314" s="4" t="str">
        <f>IFERROR(__xludf.DUMMYFUNCTION("""COMPUTED_VALUE"""),"Undefined")</f>
        <v>Undefined</v>
      </c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 t="str">
        <f>IFERROR(__xludf.DUMMYFUNCTION("""COMPUTED_VALUE"""),"Allocation")</f>
        <v>Allocation</v>
      </c>
      <c r="B315" s="4" t="str">
        <f>IFERROR(__xludf.DUMMYFUNCTION("""COMPUTED_VALUE"""),"UnallocateWithOutSave")</f>
        <v>UnallocateWithOutSave</v>
      </c>
      <c r="C315" s="4" t="str">
        <f>IFERROR(__xludf.DUMMYFUNCTION("""COMPUTED_VALUE"""),"1rdEWSy_MOHkYaq5akux-7N0yuwWEIIprojEJYWvhiRo")</f>
        <v>1rdEWSy_MOHkYaq5akux-7N0yuwWEIIprojEJYWvhiRo</v>
      </c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 t="str">
        <f>IFERROR(__xludf.DUMMYFUNCTION("""COMPUTED_VALUE"""),"TradeServer")</f>
        <v>TradeServer</v>
      </c>
      <c r="B316" s="4" t="str">
        <f>IFERROR(__xludf.DUMMYFUNCTION("""COMPUTED_VALUE"""),"UpdateServerConfig")</f>
        <v>UpdateServerConfig</v>
      </c>
      <c r="C316" s="4" t="str">
        <f>IFERROR(__xludf.DUMMYFUNCTION("""COMPUTED_VALUE"""),"1h5l007iy5WesxdhwZzCT3YK9aNRB6rnqf82fKK-qWhA")</f>
        <v>1h5l007iy5WesxdhwZzCT3YK9aNRB6rnqf82fKK-qWhA</v>
      </c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 t="str">
        <f>IFERROR(__xludf.DUMMYFUNCTION("""COMPUTED_VALUE"""),"PricingServer")</f>
        <v>PricingServer</v>
      </c>
      <c r="B317" s="4" t="str">
        <f>IFERROR(__xludf.DUMMYFUNCTION("""COMPUTED_VALUE"""),"UpdatePricingConfig")</f>
        <v>UpdatePricingConfig</v>
      </c>
      <c r="C317" s="4" t="str">
        <f>IFERROR(__xludf.DUMMYFUNCTION("""COMPUTED_VALUE"""),"1ixTeJ65ywBUTH41BRto926xFAKoLo3WSj5TxpKyxMCI")</f>
        <v>1ixTeJ65ywBUTH41BRto926xFAKoLo3WSj5TxpKyxMCI</v>
      </c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 t="str">
        <f>IFERROR(__xludf.DUMMYFUNCTION("""COMPUTED_VALUE"""),"PranaClient")</f>
        <v>PranaClient</v>
      </c>
      <c r="B318" s="4" t="str">
        <f>IFERROR(__xludf.DUMMYFUNCTION("""COMPUTED_VALUE"""),"UpdateClientConfig")</f>
        <v>UpdateClientConfig</v>
      </c>
      <c r="C318" s="4" t="str">
        <f>IFERROR(__xludf.DUMMYFUNCTION("""COMPUTED_VALUE"""),"1LE8gxOzR6SvbLuSropjBzTYDDoubnt2wbweARCuf3LU")</f>
        <v>1LE8gxOzR6SvbLuSropjBzTYDDoubnt2wbweARCuf3LU</v>
      </c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 t="str">
        <f>IFERROR(__xludf.DUMMYFUNCTION("""COMPUTED_VALUE"""),"PortfolioManagement")</f>
        <v>PortfolioManagement</v>
      </c>
      <c r="B319" s="4" t="str">
        <f>IFERROR(__xludf.DUMMYFUNCTION("""COMPUTED_VALUE"""),"OpenClosingFromPM")</f>
        <v>OpenClosingFromPM</v>
      </c>
      <c r="C319" s="4" t="str">
        <f>IFERROR(__xludf.DUMMYFUNCTION("""COMPUTED_VALUE"""),"Undefined")</f>
        <v>Undefined</v>
      </c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 t="str">
        <f>IFERROR(__xludf.DUMMYFUNCTION("""COMPUTED_VALUE"""),"PortfolioManagement")</f>
        <v>PortfolioManagement</v>
      </c>
      <c r="B320" s="4" t="str">
        <f>IFERROR(__xludf.DUMMYFUNCTION("""COMPUTED_VALUE"""),"OpenCorporateActionFromPM")</f>
        <v>OpenCorporateActionFromPM</v>
      </c>
      <c r="C320" s="4" t="str">
        <f>IFERROR(__xludf.DUMMYFUNCTION("""COMPUTED_VALUE"""),"Undefined")</f>
        <v>Undefined</v>
      </c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 t="str">
        <f>IFERROR(__xludf.DUMMYFUNCTION("""COMPUTED_VALUE"""),"PortfolioManagement")</f>
        <v>PortfolioManagement</v>
      </c>
      <c r="B321" s="4" t="str">
        <f>IFERROR(__xludf.DUMMYFUNCTION("""COMPUTED_VALUE"""),"OpenDailyValuationFromPM")</f>
        <v>OpenDailyValuationFromPM</v>
      </c>
      <c r="C321" s="4" t="str">
        <f>IFERROR(__xludf.DUMMYFUNCTION("""COMPUTED_VALUE"""),"Undefined")</f>
        <v>Undefined</v>
      </c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 t="str">
        <f>IFERROR(__xludf.DUMMYFUNCTION("""COMPUTED_VALUE"""),"PortfolioManagement")</f>
        <v>PortfolioManagement</v>
      </c>
      <c r="B322" s="4" t="str">
        <f>IFERROR(__xludf.DUMMYFUNCTION("""COMPUTED_VALUE"""),"ClosePositionFromPM")</f>
        <v>ClosePositionFromPM</v>
      </c>
      <c r="C322" s="4" t="str">
        <f>IFERROR(__xludf.DUMMYFUNCTION("""COMPUTED_VALUE"""),"121YPApuObrizJgYF5sgfQP5hMExkoSYkCPrW-Ew_ldk")</f>
        <v>121YPApuObrizJgYF5sgfQP5hMExkoSYkCPrW-Ew_ldk</v>
      </c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 t="str">
        <f>IFERROR(__xludf.DUMMYFUNCTION("""COMPUTED_VALUE"""),"PortfolioManagement")</f>
        <v>PortfolioManagement</v>
      </c>
      <c r="B323" s="4" t="str">
        <f>IFERROR(__xludf.DUMMYFUNCTION("""COMPUTED_VALUE"""),"ShowSummaryToolFromPM")</f>
        <v>ShowSummaryToolFromPM</v>
      </c>
      <c r="C323" s="4" t="str">
        <f>IFERROR(__xludf.DUMMYFUNCTION("""COMPUTED_VALUE"""),"Undefined")</f>
        <v>Undefined</v>
      </c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 t="str">
        <f>IFERROR(__xludf.DUMMYFUNCTION("""COMPUTED_VALUE"""),"PortfolioManagement")</f>
        <v>PortfolioManagement</v>
      </c>
      <c r="B324" s="4" t="str">
        <f>IFERROR(__xludf.DUMMYFUNCTION("""COMPUTED_VALUE"""),"HideSummaryToolFromPM")</f>
        <v>HideSummaryToolFromPM</v>
      </c>
      <c r="C324" s="4" t="str">
        <f>IFERROR(__xludf.DUMMYFUNCTION("""COMPUTED_VALUE"""),"Undefined")</f>
        <v>Undefined</v>
      </c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 t="str">
        <f>IFERROR(__xludf.DUMMYFUNCTION("""COMPUTED_VALUE"""),"PortfolioManagement")</f>
        <v>PortfolioManagement</v>
      </c>
      <c r="B325" s="4" t="str">
        <f>IFERROR(__xludf.DUMMYFUNCTION("""COMPUTED_VALUE"""),"CloseAccountPositionFromPM")</f>
        <v>CloseAccountPositionFromPM</v>
      </c>
      <c r="C325" s="4" t="str">
        <f>IFERROR(__xludf.DUMMYFUNCTION("""COMPUTED_VALUE"""),"10LRFkXyhAzpYLr41wTB8e5wmi1IZIGFBMZPeDp64XK0")</f>
        <v>10LRFkXyhAzpYLr41wTB8e5wmi1IZIGFBMZPeDp64XK0</v>
      </c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 t="str">
        <f>IFERROR(__xludf.DUMMYFUNCTION("""COMPUTED_VALUE"""),"PortfolioManagement")</f>
        <v>PortfolioManagement</v>
      </c>
      <c r="B326" s="4" t="str">
        <f>IFERROR(__xludf.DUMMYFUNCTION("""COMPUTED_VALUE"""),"CloseSelectedTaxlotsFromPM")</f>
        <v>CloseSelectedTaxlotsFromPM</v>
      </c>
      <c r="C326" s="4" t="str">
        <f>IFERROR(__xludf.DUMMYFUNCTION("""COMPUTED_VALUE"""),"1vJSNFM5zkHc9zBvl1ymJquJpvovmW3E_RSN3pozpWns")</f>
        <v>1vJSNFM5zkHc9zBvl1ymJquJpvovmW3E_RSN3pozpWns</v>
      </c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 t="str">
        <f>IFERROR(__xludf.DUMMYFUNCTION("""COMPUTED_VALUE"""),"PortfolioManagement")</f>
        <v>PortfolioManagement</v>
      </c>
      <c r="B327" s="4" t="str">
        <f>IFERROR(__xludf.DUMMYFUNCTION("""COMPUTED_VALUE"""),"ExpandCollapsePM")</f>
        <v>ExpandCollapsePM</v>
      </c>
      <c r="C327" s="4" t="str">
        <f>IFERROR(__xludf.DUMMYFUNCTION("""COMPUTED_VALUE"""),"1kNeqOSQLa6o8vkFZaArRKZabtB_GXZBV_Al1s8DHf50")</f>
        <v>1kNeqOSQLa6o8vkFZaArRKZabtB_GXZBV_Al1s8DHf50</v>
      </c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 t="str">
        <f>IFERROR(__xludf.DUMMYFUNCTION("""COMPUTED_VALUE"""),"PortfolioManagement")</f>
        <v>PortfolioManagement</v>
      </c>
      <c r="B328" s="4" t="str">
        <f>IFERROR(__xludf.DUMMYFUNCTION("""COMPUTED_VALUE"""),"AddCustomViewPM")</f>
        <v>AddCustomViewPM</v>
      </c>
      <c r="C328" s="4" t="str">
        <f>IFERROR(__xludf.DUMMYFUNCTION("""COMPUTED_VALUE"""),"1WARVnQ0kPZNSKX8kRaPiqFQVReKwU7ReLEjyOvwThEk")</f>
        <v>1WARVnQ0kPZNSKX8kRaPiqFQVReKwU7ReLEjyOvwThEk</v>
      </c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 t="str">
        <f>IFERROR(__xludf.DUMMYFUNCTION("""COMPUTED_VALUE"""),"PortfolioManagement")</f>
        <v>PortfolioManagement</v>
      </c>
      <c r="B329" s="4" t="str">
        <f>IFERROR(__xludf.DUMMYFUNCTION("""COMPUTED_VALUE"""),"AddCustomViewRightClickPM")</f>
        <v>AddCustomViewRightClickPM</v>
      </c>
      <c r="C329" s="4" t="str">
        <f>IFERROR(__xludf.DUMMYFUNCTION("""COMPUTED_VALUE"""),"1221yqGeEHt8OWBppipf5Q2xZ7hMYHBO7XKQ1Hp4-_1k")</f>
        <v>1221yqGeEHt8OWBppipf5Q2xZ7hMYHBO7XKQ1Hp4-_1k</v>
      </c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 t="str">
        <f>IFERROR(__xludf.DUMMYFUNCTION("""COMPUTED_VALUE"""),"PortfolioManagement")</f>
        <v>PortfolioManagement</v>
      </c>
      <c r="B330" s="4" t="str">
        <f>IFERROR(__xludf.DUMMYFUNCTION("""COMPUTED_VALUE"""),"RenameCustomViewPM")</f>
        <v>RenameCustomViewPM</v>
      </c>
      <c r="C330" s="4" t="str">
        <f>IFERROR(__xludf.DUMMYFUNCTION("""COMPUTED_VALUE"""),"1saPHdgxC5QXYmLAufIbglxhQ01_MTtBMgX000SwjhFY")</f>
        <v>1saPHdgxC5QXYmLAufIbglxhQ01_MTtBMgX000SwjhFY</v>
      </c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 t="str">
        <f>IFERROR(__xludf.DUMMYFUNCTION("""COMPUTED_VALUE"""),"PortfolioManagement")</f>
        <v>PortfolioManagement</v>
      </c>
      <c r="B331" s="4" t="str">
        <f>IFERROR(__xludf.DUMMYFUNCTION("""COMPUTED_VALUE"""),"DeleteCustomViewPM")</f>
        <v>DeleteCustomViewPM</v>
      </c>
      <c r="C331" s="4" t="str">
        <f>IFERROR(__xludf.DUMMYFUNCTION("""COMPUTED_VALUE"""),"1_EYKIDrS0AWuMJMgbTbeqmEwSkf7_gL_EAGl7D2-Ggk")</f>
        <v>1_EYKIDrS0AWuMJMgbTbeqmEwSkf7_gL_EAGl7D2-Ggk</v>
      </c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 t="str">
        <f>IFERROR(__xludf.DUMMYFUNCTION("""COMPUTED_VALUE"""),"Closing")</f>
        <v>Closing</v>
      </c>
      <c r="B332" s="4" t="str">
        <f>IFERROR(__xludf.DUMMYFUNCTION("""COMPUTED_VALUE"""),"SetClosingPreference")</f>
        <v>SetClosingPreference</v>
      </c>
      <c r="C332" s="4" t="str">
        <f>IFERROR(__xludf.DUMMYFUNCTION("""COMPUTED_VALUE"""),"1cplMQV_xOYFJ8djnU96c9xg2GdJ6on6353kFnCvM4ig")</f>
        <v>1cplMQV_xOYFJ8djnU96c9xg2GdJ6on6353kFnCvM4ig</v>
      </c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 t="str">
        <f>IFERROR(__xludf.DUMMYFUNCTION("""COMPUTED_VALUE"""),"CreateTransaction")</f>
        <v>CreateTransaction</v>
      </c>
      <c r="B333" s="4" t="str">
        <f>IFERROR(__xludf.DUMMYFUNCTION("""COMPUTED_VALUE"""),"SaveTransaction")</f>
        <v>SaveTransaction</v>
      </c>
      <c r="C333" s="4" t="str">
        <f>IFERROR(__xludf.DUMMYFUNCTION("""COMPUTED_VALUE"""),"Undefined")</f>
        <v>Undefined</v>
      </c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 t="str">
        <f>IFERROR(__xludf.DUMMYFUNCTION("""COMPUTED_VALUE"""),"Allocation")</f>
        <v>Allocation</v>
      </c>
      <c r="B334" s="4" t="str">
        <f>IFERROR(__xludf.DUMMYFUNCTION("""COMPUTED_VALUE"""),"EditUnallocatedGrid")</f>
        <v>EditUnallocatedGrid</v>
      </c>
      <c r="C334" s="4" t="str">
        <f>IFERROR(__xludf.DUMMYFUNCTION("""COMPUTED_VALUE"""),"1ZILedE8lKyjaVDMMusXelzpLvtoQCjqNJqFoXOUTp4I")</f>
        <v>1ZILedE8lKyjaVDMMusXelzpLvtoQCjqNJqFoXOUTp4I</v>
      </c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 t="str">
        <f>IFERROR(__xludf.DUMMYFUNCTION("""COMPUTED_VALUE"""),"Allocation")</f>
        <v>Allocation</v>
      </c>
      <c r="B335" s="4" t="str">
        <f>IFERROR(__xludf.DUMMYFUNCTION("""COMPUTED_VALUE"""),"EditAllocatedGrid")</f>
        <v>EditAllocatedGrid</v>
      </c>
      <c r="C335" s="4" t="str">
        <f>IFERROR(__xludf.DUMMYFUNCTION("""COMPUTED_VALUE"""),"19QWlDxD5eijFqhVbgkdX7QOLXkQ9taESRekiHpQgMcU")</f>
        <v>19QWlDxD5eijFqhVbgkdX7QOLXkQ9taESRekiHpQgMcU</v>
      </c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 t="str">
        <f>IFERROR(__xludf.DUMMYFUNCTION("""COMPUTED_VALUE"""),"PTT")</f>
        <v>PTT</v>
      </c>
      <c r="B336" s="4" t="str">
        <f>IFERROR(__xludf.DUMMYFUNCTION("""COMPUTED_VALUE"""),"SetPTTPreference")</f>
        <v>SetPTTPreference</v>
      </c>
      <c r="C336" s="4" t="str">
        <f>IFERROR(__xludf.DUMMYFUNCTION("""COMPUTED_VALUE"""),"1Baqp1iuVr1x4qDwfwIaTJvW6VzT4ZWfbjwZ_EWPzpzY")</f>
        <v>1Baqp1iuVr1x4qDwfwIaTJvW6VzT4ZWfbjwZ_EWPzpzY</v>
      </c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 t="str">
        <f>IFERROR(__xludf.DUMMYFUNCTION("""COMPUTED_VALUE"""),"PTT")</f>
        <v>PTT</v>
      </c>
      <c r="B337" s="4" t="str">
        <f>IFERROR(__xludf.DUMMYFUNCTION("""COMPUTED_VALUE"""),"SetLongShortPTTPreference")</f>
        <v>SetLongShortPTTPreference</v>
      </c>
      <c r="C337" s="4" t="str">
        <f>IFERROR(__xludf.DUMMYFUNCTION("""COMPUTED_VALUE"""),"1_lCMnn8iZS0bQEHszxmzf23ats0dIWEEckwO9fjPCeE")</f>
        <v>1_lCMnn8iZS0bQEHszxmzf23ats0dIWEEckwO9fjPCeE</v>
      </c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 t="str">
        <f>IFERROR(__xludf.DUMMYFUNCTION("""COMPUTED_VALUE"""),"TradingTicket")</f>
        <v>TradingTicket</v>
      </c>
      <c r="B338" s="4" t="str">
        <f>IFERROR(__xludf.DUMMYFUNCTION("""COMPUTED_VALUE"""),"VerifyTT")</f>
        <v>VerifyTT</v>
      </c>
      <c r="C338" s="4" t="str">
        <f>IFERROR(__xludf.DUMMYFUNCTION("""COMPUTED_VALUE"""),"13oTZo0AjsgJNWyNhqVmwouwYywOEGfdiPe94wMNxXqo")</f>
        <v>13oTZo0AjsgJNWyNhqVmwouwYywOEGfdiPe94wMNxXqo</v>
      </c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 t="str">
        <f>IFERROR(__xludf.DUMMYFUNCTION("""COMPUTED_VALUE"""),"Allocation")</f>
        <v>Allocation</v>
      </c>
      <c r="B339" s="4" t="str">
        <f>IFERROR(__xludf.DUMMYFUNCTION("""COMPUTED_VALUE"""),"SaveLayoutAllocatedGrid")</f>
        <v>SaveLayoutAllocatedGrid</v>
      </c>
      <c r="C339" s="4" t="str">
        <f>IFERROR(__xludf.DUMMYFUNCTION("""COMPUTED_VALUE"""),"1rucb3CcDlDDXwMhjXDHQWofStRKKouzl7PSb2_F37FA")</f>
        <v>1rucb3CcDlDDXwMhjXDHQWofStRKKouzl7PSb2_F37FA</v>
      </c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 t="str">
        <f>IFERROR(__xludf.DUMMYFUNCTION("""COMPUTED_VALUE"""),"Allocation")</f>
        <v>Allocation</v>
      </c>
      <c r="B340" s="4" t="str">
        <f>IFERROR(__xludf.DUMMYFUNCTION("""COMPUTED_VALUE"""),"SaveLayoutUnallocatedGrid")</f>
        <v>SaveLayoutUnallocatedGrid</v>
      </c>
      <c r="C340" s="4" t="str">
        <f>IFERROR(__xludf.DUMMYFUNCTION("""COMPUTED_VALUE"""),"1dixy47vGD4ZYjt9U_ih3BSiZbzPzvIDLtlafZIpeyC4")</f>
        <v>1dixy47vGD4ZYjt9U_ih3BSiZbzPzvIDLtlafZIpeyC4</v>
      </c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 t="str">
        <f>IFERROR(__xludf.DUMMYFUNCTION("""COMPUTED_VALUE"""),"Allocation")</f>
        <v>Allocation</v>
      </c>
      <c r="B341" s="4" t="str">
        <f>IFERROR(__xludf.DUMMYFUNCTION("""COMPUTED_VALUE"""),"SaveLayoutAllocationUI")</f>
        <v>SaveLayoutAllocationUI</v>
      </c>
      <c r="C341" s="4" t="str">
        <f>IFERROR(__xludf.DUMMYFUNCTION("""COMPUTED_VALUE"""),"1S-6rMK11n-3mFrONpo_U4rlR4O69j6bQAGuGNcrrS6A")</f>
        <v>1S-6rMK11n-3mFrONpo_U4rlR4O69j6bQAGuGNcrrS6A</v>
      </c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 t="str">
        <f>IFERROR(__xludf.DUMMYFUNCTION("""COMPUTED_VALUE"""),"Allocation")</f>
        <v>Allocation</v>
      </c>
      <c r="B342" s="4" t="str">
        <f>IFERROR(__xludf.DUMMYFUNCTION("""COMPUTED_VALUE"""),"ClearFiltersAllocatedGrid")</f>
        <v>ClearFiltersAllocatedGrid</v>
      </c>
      <c r="C342" s="4" t="str">
        <f>IFERROR(__xludf.DUMMYFUNCTION("""COMPUTED_VALUE"""),"Undefined")</f>
        <v>Undefined</v>
      </c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 t="str">
        <f>IFERROR(__xludf.DUMMYFUNCTION("""COMPUTED_VALUE"""),"Allocation")</f>
        <v>Allocation</v>
      </c>
      <c r="B343" s="4" t="str">
        <f>IFERROR(__xludf.DUMMYFUNCTION("""COMPUTED_VALUE"""),"ClearFiltersUnallocatedGrid")</f>
        <v>ClearFiltersUnallocatedGrid</v>
      </c>
      <c r="C343" s="4" t="str">
        <f>IFERROR(__xludf.DUMMYFUNCTION("""COMPUTED_VALUE"""),"Undefined")</f>
        <v>Undefined</v>
      </c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 t="str">
        <f>IFERROR(__xludf.DUMMYFUNCTION("""COMPUTED_VALUE"""),"Allocation")</f>
        <v>Allocation</v>
      </c>
      <c r="B344" s="4" t="str">
        <f>IFERROR(__xludf.DUMMYFUNCTION("""COMPUTED_VALUE"""),"VerifyLayoutAllocatedGrid")</f>
        <v>VerifyLayoutAllocatedGrid</v>
      </c>
      <c r="C344" s="4" t="str">
        <f>IFERROR(__xludf.DUMMYFUNCTION("""COMPUTED_VALUE"""),"11nzl66L5rtvJi9vTz487iVKURd3BfoYcknfycWFT-fU")</f>
        <v>11nzl66L5rtvJi9vTz487iVKURd3BfoYcknfycWFT-fU</v>
      </c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 t="str">
        <f>IFERROR(__xludf.DUMMYFUNCTION("""COMPUTED_VALUE"""),"Allocation")</f>
        <v>Allocation</v>
      </c>
      <c r="B345" s="4" t="str">
        <f>IFERROR(__xludf.DUMMYFUNCTION("""COMPUTED_VALUE"""),"VerifyLayoutUnallocatedGrid")</f>
        <v>VerifyLayoutUnallocatedGrid</v>
      </c>
      <c r="C345" s="4" t="str">
        <f>IFERROR(__xludf.DUMMYFUNCTION("""COMPUTED_VALUE"""),"1dD8vrEBSx_3diJl50IJ7yG6cl8wP386vXzl21YBIEPg")</f>
        <v>1dD8vrEBSx_3diJl50IJ7yG6cl8wP386vXzl21YBIEPg</v>
      </c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 t="str">
        <f>IFERROR(__xludf.DUMMYFUNCTION("""COMPUTED_VALUE"""),"DailyValuation")</f>
        <v>DailyValuation</v>
      </c>
      <c r="B346" s="4" t="str">
        <f>IFERROR(__xludf.DUMMYFUNCTION("""COMPUTED_VALUE"""),"UpdateForexConversionMonthly")</f>
        <v>UpdateForexConversionMonthly</v>
      </c>
      <c r="C346" s="4" t="str">
        <f>IFERROR(__xludf.DUMMYFUNCTION("""COMPUTED_VALUE"""),"1MCpJWwFXEogB1VlqUXy1Ww954nX83LPwb4Qy6-fZMp8")</f>
        <v>1MCpJWwFXEogB1VlqUXy1Ww954nX83LPwb4Qy6-fZMp8</v>
      </c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 t="str">
        <f>IFERROR(__xludf.DUMMYFUNCTION("""COMPUTED_VALUE"""),"GeneralLedger")</f>
        <v>GeneralLedger</v>
      </c>
      <c r="B347" s="4" t="str">
        <f>IFERROR(__xludf.DUMMYFUNCTION("""COMPUTED_VALUE"""),"SaveTransaction")</f>
        <v>SaveTransaction</v>
      </c>
      <c r="C347" s="4" t="str">
        <f>IFERROR(__xludf.DUMMYFUNCTION("""COMPUTED_VALUE"""),"Undefined")</f>
        <v>Undefined</v>
      </c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 t="str">
        <f>IFERROR(__xludf.DUMMYFUNCTION("""COMPUTED_VALUE"""),"DailyValuation")</f>
        <v>DailyValuation</v>
      </c>
      <c r="B348" s="4" t="str">
        <f>IFERROR(__xludf.DUMMYFUNCTION("""COMPUTED_VALUE"""),"UpdateMarkPriceMonthly")</f>
        <v>UpdateMarkPriceMonthly</v>
      </c>
      <c r="C348" s="4" t="str">
        <f>IFERROR(__xludf.DUMMYFUNCTION("""COMPUTED_VALUE"""),"1gKeBaYxaZTHXY5r3gp7mJKZhpLEFv3B0eTcgmwO2faY")</f>
        <v>1gKeBaYxaZTHXY5r3gp7mJKZhpLEFv3B0eTcgmwO2faY</v>
      </c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 t="str">
        <f>IFERROR(__xludf.DUMMYFUNCTION("""COMPUTED_VALUE"""),"Allocation")</f>
        <v>Allocation</v>
      </c>
      <c r="B349" s="4" t="str">
        <f>IFERROR(__xludf.DUMMYFUNCTION("""COMPUTED_VALUE"""),"CleanUp")</f>
        <v>CleanUp</v>
      </c>
      <c r="C349" s="4" t="str">
        <f>IFERROR(__xludf.DUMMYFUNCTION("""COMPUTED_VALUE"""),"1gjchR0Aowyhj6YMJ5EMxZmG6NvilqGkSR93seXN-MEo")</f>
        <v>1gjchR0Aowyhj6YMJ5EMxZmG6NvilqGkSR93seXN-MEo</v>
      </c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 t="str">
        <f>IFERROR(__xludf.DUMMYFUNCTION("""COMPUTED_VALUE"""),"Allocation")</f>
        <v>Allocation</v>
      </c>
      <c r="B350" s="4" t="str">
        <f>IFERROR(__xludf.DUMMYFUNCTION("""COMPUTED_VALUE"""),"CheckAllocatedTaxlots")</f>
        <v>CheckAllocatedTaxlots</v>
      </c>
      <c r="C350" s="4" t="str">
        <f>IFERROR(__xludf.DUMMYFUNCTION("""COMPUTED_VALUE"""),"1v_Yhw10id_6Cs6P4bR6iDeu8RDRjtyjgz19lxjEw6Ng")</f>
        <v>1v_Yhw10id_6Cs6P4bR6iDeu8RDRjtyjgz19lxjEw6Ng</v>
      </c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 t="str">
        <f>IFERROR(__xludf.DUMMYFUNCTION("""COMPUTED_VALUE"""),"Closing")</f>
        <v>Closing</v>
      </c>
      <c r="B351" s="4" t="str">
        <f>IFERROR(__xludf.DUMMYFUNCTION("""COMPUTED_VALUE"""),"EditTradeUnexpiredUnsettled")</f>
        <v>EditTradeUnexpiredUnsettled</v>
      </c>
      <c r="C351" s="4" t="str">
        <f>IFERROR(__xludf.DUMMYFUNCTION("""COMPUTED_VALUE"""),"1Mk2JLd9CmSbDVOmTJu58VWjrwhxNKoopJHemupq4qBs")</f>
        <v>1Mk2JLd9CmSbDVOmTJu58VWjrwhxNKoopJHemupq4qBs</v>
      </c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 t="str">
        <f>IFERROR(__xludf.DUMMYFUNCTION("""COMPUTED_VALUE"""),"ThirdParty")</f>
        <v>ThirdParty</v>
      </c>
      <c r="B352" s="4" t="str">
        <f>IFERROR(__xludf.DUMMYFUNCTION("""COMPUTED_VALUE"""),"VerifyThirdPartyView")</f>
        <v>VerifyThirdPartyView</v>
      </c>
      <c r="C352" s="4" t="str">
        <f>IFERROR(__xludf.DUMMYFUNCTION("""COMPUTED_VALUE"""),"118wRv0r1kNYT6nexs-UFGKd_eWq769gwdBDpcAfrJMc")</f>
        <v>118wRv0r1kNYT6nexs-UFGKd_eWq769gwdBDpcAfrJMc</v>
      </c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 t="str">
        <f>IFERROR(__xludf.DUMMYFUNCTION("""COMPUTED_VALUE"""),"Compliance")</f>
        <v>Compliance</v>
      </c>
      <c r="B353" s="4" t="str">
        <f>IFERROR(__xludf.DUMMYFUNCTION("""COMPUTED_VALUE"""),"CheckCompliance")</f>
        <v>CheckCompliance</v>
      </c>
      <c r="C353" s="4" t="str">
        <f>IFERROR(__xludf.DUMMYFUNCTION("""COMPUTED_VALUE"""),"1SsqNYuLQYnAQojY1ScqgFlAVNPt1c0Du5CgtRfS4XTs")</f>
        <v>1SsqNYuLQYnAQojY1ScqgFlAVNPt1c0Du5CgtRfS4XTs</v>
      </c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 t="str">
        <f>IFERROR(__xludf.DUMMYFUNCTION("""COMPUTED_VALUE"""),"Compliance")</f>
        <v>Compliance</v>
      </c>
      <c r="B354" s="4" t="str">
        <f>IFERROR(__xludf.DUMMYFUNCTION("""COMPUTED_VALUE"""),"VerifyAccountDivisorWindow")</f>
        <v>VerifyAccountDivisorWindow</v>
      </c>
      <c r="C354" s="4" t="str">
        <f>IFERROR(__xludf.DUMMYFUNCTION("""COMPUTED_VALUE"""),"1nWJ7MmdctU6UHdtDMBx4cO0Za1AVHgWqATvU2HaIrN0")</f>
        <v>1nWJ7MmdctU6UHdtDMBx4cO0Za1AVHgWqATvU2HaIrN0</v>
      </c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 t="str">
        <f>IFERROR(__xludf.DUMMYFUNCTION("""COMPUTED_VALUE"""),"Compliance")</f>
        <v>Compliance</v>
      </c>
      <c r="B355" s="4" t="str">
        <f>IFERROR(__xludf.DUMMYFUNCTION("""COMPUTED_VALUE"""),"VerifyAccountSymbolDivisorWindow")</f>
        <v>VerifyAccountSymbolDivisorWindow</v>
      </c>
      <c r="C355" s="4" t="str">
        <f>IFERROR(__xludf.DUMMYFUNCTION("""COMPUTED_VALUE"""),"1XEkR9NvAEC2bh6wfHaqLzZiNwp5p6N_DuThzwLCpi_k")</f>
        <v>1XEkR9NvAEC2bh6wfHaqLzZiNwp5p6N_DuThzwLCpi_k</v>
      </c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 t="str">
        <f>IFERROR(__xludf.DUMMYFUNCTION("""COMPUTED_VALUE"""),"Compliance")</f>
        <v>Compliance</v>
      </c>
      <c r="B356" s="4" t="str">
        <f>IFERROR(__xludf.DUMMYFUNCTION("""COMPUTED_VALUE"""),"VerifyAggregationAccountSymbolWithNav")</f>
        <v>VerifyAggregationAccountSymbolWithNav</v>
      </c>
      <c r="C356" s="4" t="str">
        <f>IFERROR(__xludf.DUMMYFUNCTION("""COMPUTED_VALUE"""),"1wa6cXAbpdMTz-hsF4yUayu1Tnpnl9Kbq__2Vi33WjNM")</f>
        <v>1wa6cXAbpdMTz-hsF4yUayu1Tnpnl9Kbq__2Vi33WjNM</v>
      </c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 t="str">
        <f>IFERROR(__xludf.DUMMYFUNCTION("""COMPUTED_VALUE"""),"Compliance")</f>
        <v>Compliance</v>
      </c>
      <c r="B357" s="4" t="str">
        <f>IFERROR(__xludf.DUMMYFUNCTION("""COMPUTED_VALUE"""),"VerifyAggregationAccountWithNav")</f>
        <v>VerifyAggregationAccountWithNav</v>
      </c>
      <c r="C357" s="4" t="str">
        <f>IFERROR(__xludf.DUMMYFUNCTION("""COMPUTED_VALUE"""),"1_rVRnADrf7Ggj_HNj9UdEOl7VoPKVA5LDHVnB3Llwac")</f>
        <v>1_rVRnADrf7Ggj_HNj9UdEOl7VoPKVA5LDHVnB3Llwac</v>
      </c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 t="str">
        <f>IFERROR(__xludf.DUMMYFUNCTION("""COMPUTED_VALUE"""),"Compliance")</f>
        <v>Compliance</v>
      </c>
      <c r="B358" s="4" t="str">
        <f>IFERROR(__xludf.DUMMYFUNCTION("""COMPUTED_VALUE"""),"VerifyAggregationMasterFundSymbolWithNav")</f>
        <v>VerifyAggregationMasterFundSymbolWithNav</v>
      </c>
      <c r="C358" s="4" t="str">
        <f>IFERROR(__xludf.DUMMYFUNCTION("""COMPUTED_VALUE"""),"1v9DEhh9RUUR50m2cY_9XHSOZSpjev0D_FC7YxL6Dx-M")</f>
        <v>1v9DEhh9RUUR50m2cY_9XHSOZSpjev0D_FC7YxL6Dx-M</v>
      </c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 t="str">
        <f>IFERROR(__xludf.DUMMYFUNCTION("""COMPUTED_VALUE"""),"Compliance")</f>
        <v>Compliance</v>
      </c>
      <c r="B359" s="4" t="str">
        <f>IFERROR(__xludf.DUMMYFUNCTION("""COMPUTED_VALUE"""),"VerifyAggregationMasterFundUnderlyingSymbolWithNav")</f>
        <v>VerifyAggregationMasterFundUnderlyingSymbolWithNav</v>
      </c>
      <c r="C359" s="4" t="str">
        <f>IFERROR(__xludf.DUMMYFUNCTION("""COMPUTED_VALUE"""),"1_l1dXRaSvBu8xSpL_0LuTGDpZT2uwv7HrTTqPpX1zh0")</f>
        <v>1_l1dXRaSvBu8xSpL_0LuTGDpZT2uwv7HrTTqPpX1zh0</v>
      </c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 t="str">
        <f>IFERROR(__xludf.DUMMYFUNCTION("""COMPUTED_VALUE"""),"Compliance")</f>
        <v>Compliance</v>
      </c>
      <c r="B360" s="4" t="str">
        <f>IFERROR(__xludf.DUMMYFUNCTION("""COMPUTED_VALUE"""),"VerifyAggregationMasterFundWithNav")</f>
        <v>VerifyAggregationMasterFundWithNav</v>
      </c>
      <c r="C360" s="4" t="str">
        <f>IFERROR(__xludf.DUMMYFUNCTION("""COMPUTED_VALUE"""),"1bukvmw7uDn5EWU749u99t380wnpilFiwB3NEfjqNUko")</f>
        <v>1bukvmw7uDn5EWU749u99t380wnpilFiwB3NEfjqNUko</v>
      </c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 t="str">
        <f>IFERROR(__xludf.DUMMYFUNCTION("""COMPUTED_VALUE"""),"Compliance")</f>
        <v>Compliance</v>
      </c>
      <c r="B361" s="4" t="str">
        <f>IFERROR(__xludf.DUMMYFUNCTION("""COMPUTED_VALUE"""),"VerifyAggregationSectorWithNav")</f>
        <v>VerifyAggregationSectorWithNav</v>
      </c>
      <c r="C361" s="4" t="str">
        <f>IFERROR(__xludf.DUMMYFUNCTION("""COMPUTED_VALUE"""),"1Fv-QPc8yv7ZaNdT1FlDCX7eIaQQMAYX7KS5-P986RCQ")</f>
        <v>1Fv-QPc8yv7ZaNdT1FlDCX7eIaQQMAYX7KS5-P986RCQ</v>
      </c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 t="str">
        <f>IFERROR(__xludf.DUMMYFUNCTION("""COMPUTED_VALUE"""),"Compliance")</f>
        <v>Compliance</v>
      </c>
      <c r="B362" s="4" t="str">
        <f>IFERROR(__xludf.DUMMYFUNCTION("""COMPUTED_VALUE"""),"VerifyAggregationUnderlyingSymbolWithNav")</f>
        <v>VerifyAggregationUnderlyingSymbolWithNav</v>
      </c>
      <c r="C362" s="4" t="str">
        <f>IFERROR(__xludf.DUMMYFUNCTION("""COMPUTED_VALUE"""),"1lb3zBRstb1VKpx0rM4A2DDz_IQHBTzL0OUyXXa4H2AU")</f>
        <v>1lb3zBRstb1VKpx0rM4A2DDz_IQHBTzL0OUyXXa4H2AU</v>
      </c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 t="str">
        <f>IFERROR(__xludf.DUMMYFUNCTION("""COMPUTED_VALUE"""),"Compliance")</f>
        <v>Compliance</v>
      </c>
      <c r="B363" s="4" t="str">
        <f>IFERROR(__xludf.DUMMYFUNCTION("""COMPUTED_VALUE"""),"VerifyAuecWindow")</f>
        <v>VerifyAuecWindow</v>
      </c>
      <c r="C363" s="4" t="str">
        <f>IFERROR(__xludf.DUMMYFUNCTION("""COMPUTED_VALUE"""),"1EhWPzRJ5WEwpWzc-SX3LVcLgYlPDIKzkNS-LD2bNahk")</f>
        <v>1EhWPzRJ5WEwpWzc-SX3LVcLgYlPDIKzkNS-LD2bNahk</v>
      </c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 t="str">
        <f>IFERROR(__xludf.DUMMYFUNCTION("""COMPUTED_VALUE"""),"Compliance")</f>
        <v>Compliance</v>
      </c>
      <c r="B364" s="4" t="str">
        <f>IFERROR(__xludf.DUMMYFUNCTION("""COMPUTED_VALUE"""),"VerifyBetaWindow")</f>
        <v>VerifyBetaWindow</v>
      </c>
      <c r="C364" s="4" t="str">
        <f>IFERROR(__xludf.DUMMYFUNCTION("""COMPUTED_VALUE"""),"1vnD8kKYEQArpqSXLRpqKdW0bWfXfMAye26LmcRtOGI4")</f>
        <v>1vnD8kKYEQArpqSXLRpqKdW0bWfXfMAye26LmcRtOGI4</v>
      </c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 t="str">
        <f>IFERROR(__xludf.DUMMYFUNCTION("""COMPUTED_VALUE"""),"Compliance")</f>
        <v>Compliance</v>
      </c>
      <c r="B365" s="4" t="str">
        <f>IFERROR(__xludf.DUMMYFUNCTION("""COMPUTED_VALUE"""),"VerifyCustomSymbolDataWindow")</f>
        <v>VerifyCustomSymbolDataWindow</v>
      </c>
      <c r="C365" s="4" t="str">
        <f>IFERROR(__xludf.DUMMYFUNCTION("""COMPUTED_VALUE"""),"1xency978Yhb2ZeNxG-Gp8xcJ8QjKX9kP348vEmQ2gwA")</f>
        <v>1xency978Yhb2ZeNxG-Gp8xcJ8QjKX9kP348vEmQ2gwA</v>
      </c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 t="str">
        <f>IFERROR(__xludf.DUMMYFUNCTION("""COMPUTED_VALUE"""),"Compliance")</f>
        <v>Compliance</v>
      </c>
      <c r="B366" s="4" t="str">
        <f>IFERROR(__xludf.DUMMYFUNCTION("""COMPUTED_VALUE"""),"VerifyDayEndCashAccountWindow")</f>
        <v>VerifyDayEndCashAccountWindow</v>
      </c>
      <c r="C366" s="4" t="str">
        <f>IFERROR(__xludf.DUMMYFUNCTION("""COMPUTED_VALUE"""),"1qPMFAgMRzEYcCWAk5IayLOH_U1htslpfkeJMVPWbpLQ")</f>
        <v>1qPMFAgMRzEYcCWAk5IayLOH_U1htslpfkeJMVPWbpLQ</v>
      </c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 t="str">
        <f>IFERROR(__xludf.DUMMYFUNCTION("""COMPUTED_VALUE"""),"Compliance")</f>
        <v>Compliance</v>
      </c>
      <c r="B367" s="4" t="str">
        <f>IFERROR(__xludf.DUMMYFUNCTION("""COMPUTED_VALUE"""),"VerifyDbNavWindow")</f>
        <v>VerifyDbNavWindow</v>
      </c>
      <c r="C367" s="4" t="str">
        <f>IFERROR(__xludf.DUMMYFUNCTION("""COMPUTED_VALUE"""),"1KIH7eWcCPPCZqRVbqOvdvQQatjP_INfvJUbzjGTz7fE")</f>
        <v>1KIH7eWcCPPCZqRVbqOvdvQQatjP_INfvJUbzjGTz7fE</v>
      </c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 t="str">
        <f>IFERROR(__xludf.DUMMYFUNCTION("""COMPUTED_VALUE"""),"Compliance")</f>
        <v>Compliance</v>
      </c>
      <c r="B368" s="4" t="str">
        <f>IFERROR(__xludf.DUMMYFUNCTION("""COMPUTED_VALUE"""),"VerifyGlobalDivisorWindow")</f>
        <v>VerifyGlobalDivisorWindow</v>
      </c>
      <c r="C368" s="4" t="str">
        <f>IFERROR(__xludf.DUMMYFUNCTION("""COMPUTED_VALUE"""),"11KuCDI7q37RrZjNhVRB_sRU4JrklHajDN-nvioCXIow")</f>
        <v>11KuCDI7q37RrZjNhVRB_sRU4JrklHajDN-nvioCXIow</v>
      </c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 t="str">
        <f>IFERROR(__xludf.DUMMYFUNCTION("""COMPUTED_VALUE"""),"Compliance")</f>
        <v>Compliance</v>
      </c>
      <c r="B369" s="4" t="str">
        <f>IFERROR(__xludf.DUMMYFUNCTION("""COMPUTED_VALUE"""),"VerifyPmCalculationPreferenceWindow")</f>
        <v>VerifyPmCalculationPreferenceWindow</v>
      </c>
      <c r="C369" s="4" t="str">
        <f>IFERROR(__xludf.DUMMYFUNCTION("""COMPUTED_VALUE"""),"1tHuAZIaBkKFsAt4wQU_f2q5uJEGZ6DbWQnO08Rx4g5Y")</f>
        <v>1tHuAZIaBkKFsAt4wQU_f2q5uJEGZ6DbWQnO08Rx4g5Y</v>
      </c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 t="str">
        <f>IFERROR(__xludf.DUMMYFUNCTION("""COMPUTED_VALUE"""),"Compliance")</f>
        <v>Compliance</v>
      </c>
      <c r="B370" s="4" t="str">
        <f>IFERROR(__xludf.DUMMYFUNCTION("""COMPUTED_VALUE"""),"VerifyRowCalculationBaseWindow")</f>
        <v>VerifyRowCalculationBaseWindow</v>
      </c>
      <c r="C370" s="4" t="str">
        <f>IFERROR(__xludf.DUMMYFUNCTION("""COMPUTED_VALUE"""),"1LloNg0BgixU9tpWx4HUT43bl1SpVE4381HnFlsajvaQ")</f>
        <v>1LloNg0BgixU9tpWx4HUT43bl1SpVE4381HnFlsajvaQ</v>
      </c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 t="str">
        <f>IFERROR(__xludf.DUMMYFUNCTION("""COMPUTED_VALUE"""),"Compliance")</f>
        <v>Compliance</v>
      </c>
      <c r="B371" s="4" t="str">
        <f>IFERROR(__xludf.DUMMYFUNCTION("""COMPUTED_VALUE"""),"VerifySecurityWindow")</f>
        <v>VerifySecurityWindow</v>
      </c>
      <c r="C371" s="4" t="str">
        <f>IFERROR(__xludf.DUMMYFUNCTION("""COMPUTED_VALUE"""),"1C0AkzcituMMrkQqJg0M_n6cswWPjROFn0jqkTPCHfis")</f>
        <v>1C0AkzcituMMrkQqJg0M_n6cswWPjROFn0jqkTPCHfis</v>
      </c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 t="str">
        <f>IFERROR(__xludf.DUMMYFUNCTION("""COMPUTED_VALUE"""),"Compliance")</f>
        <v>Compliance</v>
      </c>
      <c r="B372" s="4" t="str">
        <f>IFERROR(__xludf.DUMMYFUNCTION("""COMPUTED_VALUE"""),"VerifySymbolDataWindow")</f>
        <v>VerifySymbolDataWindow</v>
      </c>
      <c r="C372" s="4" t="str">
        <f>IFERROR(__xludf.DUMMYFUNCTION("""COMPUTED_VALUE"""),"1WOYWuhLyuq1ul6GF5dWAdvSkpKBaWmcsEY0pPRgeOWM")</f>
        <v>1WOYWuhLyuq1ul6GF5dWAdvSkpKBaWmcsEY0pPRgeOWM</v>
      </c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 t="str">
        <f>IFERROR(__xludf.DUMMYFUNCTION("""COMPUTED_VALUE"""),"Compliance")</f>
        <v>Compliance</v>
      </c>
      <c r="B373" s="4" t="str">
        <f>IFERROR(__xludf.DUMMYFUNCTION("""COMPUTED_VALUE"""),"VerifySymbolDivisorWindow")</f>
        <v>VerifySymbolDivisorWindow</v>
      </c>
      <c r="C373" s="4" t="str">
        <f>IFERROR(__xludf.DUMMYFUNCTION("""COMPUTED_VALUE"""),"1e9Xd2rI7lHFWIFLmRoe5LtT9y4BSPW6sfCjWP0lcVso")</f>
        <v>1e9Xd2rI7lHFWIFLmRoe5LtT9y4BSPW6sfCjWP0lcVso</v>
      </c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 t="str">
        <f>IFERROR(__xludf.DUMMYFUNCTION("""COMPUTED_VALUE"""),"Compliance")</f>
        <v>Compliance</v>
      </c>
      <c r="B374" s="4" t="str">
        <f>IFERROR(__xludf.DUMMYFUNCTION("""COMPUTED_VALUE"""),"VerifyTaxlotWindow")</f>
        <v>VerifyTaxlotWindow</v>
      </c>
      <c r="C374" s="4" t="str">
        <f>IFERROR(__xludf.DUMMYFUNCTION("""COMPUTED_VALUE"""),"1X0RghwSavvuWnxK9psKDA7-qI86K-IaBKRJ1fVYnJbY")</f>
        <v>1X0RghwSavvuWnxK9psKDA7-qI86K-IaBKRJ1fVYnJbY</v>
      </c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 t="str">
        <f>IFERROR(__xludf.DUMMYFUNCTION("""COMPUTED_VALUE"""),"Compliance")</f>
        <v>Compliance</v>
      </c>
      <c r="B375" s="4" t="str">
        <f>IFERROR(__xludf.DUMMYFUNCTION("""COMPUTED_VALUE"""),"RestartEsper")</f>
        <v>RestartEsper</v>
      </c>
      <c r="C375" s="4" t="str">
        <f>IFERROR(__xludf.DUMMYFUNCTION("""COMPUTED_VALUE"""),"Undefined")</f>
        <v>Undefined</v>
      </c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 t="str">
        <f>IFERROR(__xludf.DUMMYFUNCTION("""COMPUTED_VALUE"""),"Compliance")</f>
        <v>Compliance</v>
      </c>
      <c r="B376" s="4" t="str">
        <f>IFERROR(__xludf.DUMMYFUNCTION("""COMPUTED_VALUE"""),"VerifyAccountNavPreferenceWindow")</f>
        <v>VerifyAccountNavPreferenceWindow</v>
      </c>
      <c r="C376" s="4" t="str">
        <f>IFERROR(__xludf.DUMMYFUNCTION("""COMPUTED_VALUE"""),"1nlqDVTvG9tGHVZU_R5Kpe2ScGFiP2pODIjUgp62eOcg")</f>
        <v>1nlqDVTvG9tGHVZU_R5Kpe2ScGFiP2pODIjUgp62eOcg</v>
      </c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 t="str">
        <f>IFERROR(__xludf.DUMMYFUNCTION("""COMPUTED_VALUE"""),"Compliance")</f>
        <v>Compliance</v>
      </c>
      <c r="B377" s="4" t="str">
        <f>IFERROR(__xludf.DUMMYFUNCTION("""COMPUTED_VALUE""")," VerifyAggregationAccountUnderlyingSymbolWithNav")</f>
        <v> VerifyAggregationAccountUnderlyingSymbolWithNav</v>
      </c>
      <c r="C377" s="4" t="str">
        <f>IFERROR(__xludf.DUMMYFUNCTION("""COMPUTED_VALUE"""),"1td6xh2jOVJ_tOP88gOQ7VzA7zC3W0ZUyud3q5jhH1eM")</f>
        <v>1td6xh2jOVJ_tOP88gOQ7VzA7zC3W0ZUyud3q5jhH1eM</v>
      </c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 t="str">
        <f>IFERROR(__xludf.DUMMYFUNCTION("""COMPUTED_VALUE"""),"Compliance")</f>
        <v>Compliance</v>
      </c>
      <c r="B378" s="4" t="str">
        <f>IFERROR(__xludf.DUMMYFUNCTION("""COMPUTED_VALUE"""),"VerifyAggregationAssetWithNav")</f>
        <v>VerifyAggregationAssetWithNav</v>
      </c>
      <c r="C378" s="4" t="str">
        <f>IFERROR(__xludf.DUMMYFUNCTION("""COMPUTED_VALUE"""),"11IOPX3JerrbITJGj2KKdtGuSCn7wqoda4D14yJors8g")</f>
        <v>11IOPX3JerrbITJGj2KKdtGuSCn7wqoda4D14yJors8g</v>
      </c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 t="str">
        <f>IFERROR(__xludf.DUMMYFUNCTION("""COMPUTED_VALUE"""),"Compliance")</f>
        <v>Compliance</v>
      </c>
      <c r="B379" s="4" t="str">
        <f>IFERROR(__xludf.DUMMYFUNCTION("""COMPUTED_VALUE"""),"VerifyAggregationSymbolWithNav")</f>
        <v>VerifyAggregationSymbolWithNav</v>
      </c>
      <c r="C379" s="4" t="str">
        <f>IFERROR(__xludf.DUMMYFUNCTION("""COMPUTED_VALUE"""),"10pZ09xnUx2pqa5QZzEljxvSOWUoO4MpFFlj3IgHixAY")</f>
        <v>10pZ09xnUx2pqa5QZzEljxvSOWUoO4MpFFlj3IgHixAY</v>
      </c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 t="str">
        <f>IFERROR(__xludf.DUMMYFUNCTION("""COMPUTED_VALUE"""),"Compliance")</f>
        <v>Compliance</v>
      </c>
      <c r="B380" s="4" t="str">
        <f>IFERROR(__xludf.DUMMYFUNCTION("""COMPUTED_VALUE"""),"VerifyAggregationSubSectorWithNav")</f>
        <v>VerifyAggregationSubSectorWithNav</v>
      </c>
      <c r="C380" s="4" t="str">
        <f>IFERROR(__xludf.DUMMYFUNCTION("""COMPUTED_VALUE"""),"1lLMwkGATnotz4Fwa-o2i_-buFLFRD1fPDjBRCRge2g8")</f>
        <v>1lLMwkGATnotz4Fwa-o2i_-buFLFRD1fPDjBRCRge2g8</v>
      </c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 t="str">
        <f>IFERROR(__xludf.DUMMYFUNCTION("""COMPUTED_VALUE"""),"Compliance")</f>
        <v>Compliance</v>
      </c>
      <c r="B381" s="4" t="str">
        <f>IFERROR(__xludf.DUMMYFUNCTION("""COMPUTED_VALUE"""),"VerifyAggregationGlobalWithNav")</f>
        <v>VerifyAggregationGlobalWithNav</v>
      </c>
      <c r="C381" s="4" t="str">
        <f>IFERROR(__xludf.DUMMYFUNCTION("""COMPUTED_VALUE"""),"1AvL03tSx1mQR9FO4i7ta-0KC1RPfLKkELFYsFU7pHz0")</f>
        <v>1AvL03tSx1mQR9FO4i7ta-0KC1RPfLKkELFYsFU7pHz0</v>
      </c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 t="str">
        <f>IFERROR(__xludf.DUMMYFUNCTION("""COMPUTED_VALUE"""),"Compliance")</f>
        <v>Compliance</v>
      </c>
      <c r="B382" s="4" t="str">
        <f>IFERROR(__xludf.DUMMYFUNCTION("""COMPUTED_VALUE""")," VerifyAggregationGlobalWithNav")</f>
        <v> VerifyAggregationGlobalWithNav</v>
      </c>
      <c r="C382" s="4" t="str">
        <f>IFERROR(__xludf.DUMMYFUNCTION("""COMPUTED_VALUE"""),"1AvL03tSx1mQR9FO4i7ta-0KC1RPfLKkELFYsFU7pHz0")</f>
        <v>1AvL03tSx1mQR9FO4i7ta-0KC1RPfLKkELFYsFU7pHz0</v>
      </c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 t="str">
        <f>IFERROR(__xludf.DUMMYFUNCTION("""COMPUTED_VALUE"""),"Compliance")</f>
        <v>Compliance</v>
      </c>
      <c r="B383" s="4" t="str">
        <f>IFERROR(__xludf.DUMMYFUNCTION("""COMPUTED_VALUE"""),"VerifyGlobalDivisorWindow")</f>
        <v>VerifyGlobalDivisorWindow</v>
      </c>
      <c r="C383" s="4" t="str">
        <f>IFERROR(__xludf.DUMMYFUNCTION("""COMPUTED_VALUE"""),"11KuCDI7q37RrZjNhVRB_sRU4JrklHajDN-nvioCXIow")</f>
        <v>11KuCDI7q37RrZjNhVRB_sRU4JrklHajDN-nvioCXIow</v>
      </c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 t="str">
        <f>IFERROR(__xludf.DUMMYFUNCTION("""COMPUTED_VALUE"""),"Compliance")</f>
        <v>Compliance</v>
      </c>
      <c r="B384" s="4" t="str">
        <f>IFERROR(__xludf.DUMMYFUNCTION("""COMPUTED_VALUE""")," VerifyAccrualForAccountWindow")</f>
        <v> VerifyAccrualForAccountWindow</v>
      </c>
      <c r="C384" s="4" t="str">
        <f>IFERROR(__xludf.DUMMYFUNCTION("""COMPUTED_VALUE"""),"1UibESJzXseK9_-c9HjMbuHTeklThYekhSZ72rmoM1T8")</f>
        <v>1UibESJzXseK9_-c9HjMbuHTeklThYekhSZ72rmoM1T8</v>
      </c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 t="str">
        <f>IFERROR(__xludf.DUMMYFUNCTION("""COMPUTED_VALUE"""),"Compliance")</f>
        <v>Compliance</v>
      </c>
      <c r="B385" s="4" t="str">
        <f>IFERROR(__xludf.DUMMYFUNCTION("""COMPUTED_VALUE"""),"VerifyGlobalDivisorWindow")</f>
        <v>VerifyGlobalDivisorWindow</v>
      </c>
      <c r="C385" s="4" t="str">
        <f>IFERROR(__xludf.DUMMYFUNCTION("""COMPUTED_VALUE"""),"11KuCDI7q37RrZjNhVRB_sRU4JrklHajDN-nvioCXIow")</f>
        <v>11KuCDI7q37RrZjNhVRB_sRU4JrklHajDN-nvioCXIow</v>
      </c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 t="str">
        <f>IFERROR(__xludf.DUMMYFUNCTION("""COMPUTED_VALUE"""),"Compliance")</f>
        <v>Compliance</v>
      </c>
      <c r="B386" s="4" t="str">
        <f>IFERROR(__xludf.DUMMYFUNCTION("""COMPUTED_VALUE"""),"VerifyMasterFundDivisorWindow")</f>
        <v>VerifyMasterFundDivisorWindow</v>
      </c>
      <c r="C386" s="4" t="str">
        <f>IFERROR(__xludf.DUMMYFUNCTION("""COMPUTED_VALUE"""),"1MjAfg4F6NQuUAQUFW37k3htPnyMxWHWagiOU-lnvmGI")</f>
        <v>1MjAfg4F6NQuUAQUFW37k3htPnyMxWHWagiOU-lnvmGI</v>
      </c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 t="str">
        <f>IFERROR(__xludf.DUMMYFUNCTION("""COMPUTED_VALUE"""),"Compliance")</f>
        <v>Compliance</v>
      </c>
      <c r="B387" s="4" t="str">
        <f>IFERROR(__xludf.DUMMYFUNCTION("""COMPUTED_VALUE"""),"VerifyMasterFundSymbolDivisorWindow")</f>
        <v>VerifyMasterFundSymbolDivisorWindow</v>
      </c>
      <c r="C387" s="4" t="str">
        <f>IFERROR(__xludf.DUMMYFUNCTION("""COMPUTED_VALUE"""),"12jSVbeEJpxmA75PPUiLNi7NaIc00WbgI34Q6rhSS0Ds")</f>
        <v>12jSVbeEJpxmA75PPUiLNi7NaIc00WbgI34Q6rhSS0Ds</v>
      </c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 t="str">
        <f>IFERROR(__xludf.DUMMYFUNCTION("""COMPUTED_VALUE"""),"Rebalancer")</f>
        <v>Rebalancer</v>
      </c>
      <c r="B388" s="4" t="str">
        <f>IFERROR(__xludf.DUMMYFUNCTION("""COMPUTED_VALUE"""),"FetchAccountPositions")</f>
        <v>FetchAccountPositions</v>
      </c>
      <c r="C388" s="4" t="str">
        <f>IFERROR(__xludf.DUMMYFUNCTION("""COMPUTED_VALUE"""),"16zBwty-rTFSFJMyCqyxtBb2FiCbKptl_JuviIETsEjc")</f>
        <v>16zBwty-rTFSFJMyCqyxtBb2FiCbKptl_JuviIETsEjc</v>
      </c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 t="str">
        <f>IFERROR(__xludf.DUMMYFUNCTION("""COMPUTED_VALUE"""),"Rebalancer")</f>
        <v>Rebalancer</v>
      </c>
      <c r="B389" s="4" t="str">
        <f>IFERROR(__xludf.DUMMYFUNCTION("""COMPUTED_VALUE"""),"AddCash")</f>
        <v>AddCash</v>
      </c>
      <c r="C389" s="4" t="str">
        <f>IFERROR(__xludf.DUMMYFUNCTION("""COMPUTED_VALUE"""),"1uD1wJYx80LMyhlbMy1CctqDOk9brp6uU03OlbnDuAe4")</f>
        <v>1uD1wJYx80LMyhlbMy1CctqDOk9brp6uU03OlbnDuAe4</v>
      </c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 t="str">
        <f>IFERROR(__xludf.DUMMYFUNCTION("""COMPUTED_VALUE"""),"Rebalancer")</f>
        <v>Rebalancer</v>
      </c>
      <c r="B390" s="4" t="str">
        <f>IFERROR(__xludf.DUMMYFUNCTION("""COMPUTED_VALUE"""),"VerifyGridData")</f>
        <v>VerifyGridData</v>
      </c>
      <c r="C390" s="4" t="str">
        <f>IFERROR(__xludf.DUMMYFUNCTION("""COMPUTED_VALUE"""),"1m6MOQNhKkVt1jpFum_tComrSd-dEbwpLJ09ma9hwHJ0")</f>
        <v>1m6MOQNhKkVt1jpFum_tComrSd-dEbwpLJ09ma9hwHJ0</v>
      </c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 t="str">
        <f>IFERROR(__xludf.DUMMYFUNCTION("""COMPUTED_VALUE"""),"Rebalancer")</f>
        <v>Rebalancer</v>
      </c>
      <c r="B391" s="4" t="str">
        <f>IFERROR(__xludf.DUMMYFUNCTION("""COMPUTED_VALUE"""),"RunRebalance")</f>
        <v>RunRebalance</v>
      </c>
      <c r="C391" s="4" t="str">
        <f>IFERROR(__xludf.DUMMYFUNCTION("""COMPUTED_VALUE"""),"1z6sLqoF1dgSy-5wTE_wKZTVXhp9JEOqwje341a02WpA")</f>
        <v>1z6sLqoF1dgSy-5wTE_wKZTVXhp9JEOqwje341a02WpA</v>
      </c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 t="str">
        <f>IFERROR(__xludf.DUMMYFUNCTION("""COMPUTED_VALUE"""),"Rebalancer")</f>
        <v>Rebalancer</v>
      </c>
      <c r="B392" s="4" t="str">
        <f>IFERROR(__xludf.DUMMYFUNCTION("""COMPUTED_VALUE"""),"EnableComplianceTab")</f>
        <v>EnableComplianceTab</v>
      </c>
      <c r="C392" s="4" t="str">
        <f>IFERROR(__xludf.DUMMYFUNCTION("""COMPUTED_VALUE"""),"Undefined")</f>
        <v>Undefined</v>
      </c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 t="str">
        <f>IFERROR(__xludf.DUMMYFUNCTION("""COMPUTED_VALUE"""),"Rebalancer")</f>
        <v>Rebalancer</v>
      </c>
      <c r="B393" s="4" t="str">
        <f>IFERROR(__xludf.DUMMYFUNCTION("""COMPUTED_VALUE"""),"RebalancePreference")</f>
        <v>RebalancePreference</v>
      </c>
      <c r="C393" s="4" t="str">
        <f>IFERROR(__xludf.DUMMYFUNCTION("""COMPUTED_VALUE"""),"1OuZKBdhFXWj4geXHEAw683kkB5iaP1xy85nS7Y_bfc8")</f>
        <v>1OuZKBdhFXWj4geXHEAw683kkB5iaP1xy85nS7Y_bfc8</v>
      </c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 t="str">
        <f>IFERROR(__xludf.DUMMYFUNCTION("""COMPUTED_VALUE"""),"Rebalancer")</f>
        <v>Rebalancer</v>
      </c>
      <c r="B394" s="4" t="str">
        <f>IFERROR(__xludf.DUMMYFUNCTION("""COMPUTED_VALUE"""),"ImportModelPortfolio")</f>
        <v>ImportModelPortfolio</v>
      </c>
      <c r="C394" s="4" t="str">
        <f>IFERROR(__xludf.DUMMYFUNCTION("""COMPUTED_VALUE"""),"1acRsUVfXLMARgfUMygVmnq-Xn9oHJ7aBMct5mdqEBsA")</f>
        <v>1acRsUVfXLMARgfUMygVmnq-Xn9oHJ7aBMct5mdqEBsA</v>
      </c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 t="str">
        <f>IFERROR(__xludf.DUMMYFUNCTION("""COMPUTED_VALUE"""),"Simulator")</f>
        <v>Simulator</v>
      </c>
      <c r="B395" s="4" t="str">
        <f>IFERROR(__xludf.DUMMYFUNCTION("""COMPUTED_VALUE"""),"SelectTrade")</f>
        <v>SelectTrade</v>
      </c>
      <c r="C395" s="4" t="str">
        <f>IFERROR(__xludf.DUMMYFUNCTION("""COMPUTED_VALUE"""),"1NkVqjZCVIerQf2X0Yf6GK2jVSYfVa7-CmnPWggeHwJc")</f>
        <v>1NkVqjZCVIerQf2X0Yf6GK2jVSYfVa7-CmnPWggeHwJc</v>
      </c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 t="str">
        <f>IFERROR(__xludf.DUMMYFUNCTION("""COMPUTED_VALUE"""),"Simulator")</f>
        <v>Simulator</v>
      </c>
      <c r="B396" s="4" t="str">
        <f>IFERROR(__xludf.DUMMYFUNCTION("""COMPUTED_VALUE"""),"AcknowledgeTrade")</f>
        <v>AcknowledgeTrade</v>
      </c>
      <c r="C396" s="4" t="str">
        <f>IFERROR(__xludf.DUMMYFUNCTION("""COMPUTED_VALUE"""),"1OM-qeNQLbTj-z40xd1iUyj7uo5BNzUJKKmvtT-Ue5R0")</f>
        <v>1OM-qeNQLbTj-z40xd1iUyj7uo5BNzUJKKmvtT-Ue5R0</v>
      </c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 t="str">
        <f>IFERROR(__xludf.DUMMYFUNCTION("""COMPUTED_VALUE"""),"Simulator")</f>
        <v>Simulator</v>
      </c>
      <c r="B397" s="4" t="str">
        <f>IFERROR(__xludf.DUMMYFUNCTION("""COMPUTED_VALUE"""),"RejectTrade")</f>
        <v>RejectTrade</v>
      </c>
      <c r="C397" s="4" t="str">
        <f>IFERROR(__xludf.DUMMYFUNCTION("""COMPUTED_VALUE"""),"1Kga6eZygJKjrpwyXiE7s-uRu_0SsnmwvP5tlfNUz67E")</f>
        <v>1Kga6eZygJKjrpwyXiE7s-uRu_0SsnmwvP5tlfNUz67E</v>
      </c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 t="str">
        <f>IFERROR(__xludf.DUMMYFUNCTION("""COMPUTED_VALUE"""),"Simulator")</f>
        <v>Simulator</v>
      </c>
      <c r="B398" s="4" t="str">
        <f>IFERROR(__xludf.DUMMYFUNCTION("""COMPUTED_VALUE"""),"ExecuteTrade")</f>
        <v>ExecuteTrade</v>
      </c>
      <c r="C398" s="4" t="str">
        <f>IFERROR(__xludf.DUMMYFUNCTION("""COMPUTED_VALUE"""),"1X_J7xIcQSksjlzFZ-krkjWcnyPAEj1k98zuXOUONhS8")</f>
        <v>1X_J7xIcQSksjlzFZ-krkjWcnyPAEj1k98zuXOUONhS8</v>
      </c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 t="str">
        <f>IFERROR(__xludf.DUMMYFUNCTION("""COMPUTED_VALUE"""),"Simulator")</f>
        <v>Simulator</v>
      </c>
      <c r="B399" s="4" t="str">
        <f>IFERROR(__xludf.DUMMYFUNCTION("""COMPUTED_VALUE"""),"CancelTrade")</f>
        <v>CancelTrade</v>
      </c>
      <c r="C399" s="4" t="str">
        <f>IFERROR(__xludf.DUMMYFUNCTION("""COMPUTED_VALUE"""),"1GDmvU5vTnCfl5qfCk6XuxvygpiC0858nHCMz3cF2Th8")</f>
        <v>1GDmvU5vTnCfl5qfCk6XuxvygpiC0858nHCMz3cF2Th8</v>
      </c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 t="str">
        <f>IFERROR(__xludf.DUMMYFUNCTION("""COMPUTED_VALUE"""),"Simulator")</f>
        <v>Simulator</v>
      </c>
      <c r="B400" s="4" t="str">
        <f>IFERROR(__xludf.DUMMYFUNCTION("""COMPUTED_VALUE"""),"OpenLiveTT")</f>
        <v>OpenLiveTT</v>
      </c>
      <c r="C400" s="4" t="str">
        <f>IFERROR(__xludf.DUMMYFUNCTION("""COMPUTED_VALUE"""),"1LsvDJHpVcibXPqLhnrrvp6d6K4W1s7PURcprihlc9WE")</f>
        <v>1LsvDJHpVcibXPqLhnrrvp6d6K4W1s7PURcprihlc9WE</v>
      </c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 t="str">
        <f>IFERROR(__xludf.DUMMYFUNCTION("""COMPUTED_VALUE"""),"TradingTicket")</f>
        <v>TradingTicket</v>
      </c>
      <c r="B401" s="4" t="str">
        <f>IFERROR(__xludf.DUMMYFUNCTION("""COMPUTED_VALUE"""),"CreateLiveOrder")</f>
        <v>CreateLiveOrder</v>
      </c>
      <c r="C401" s="4" t="str">
        <f>IFERROR(__xludf.DUMMYFUNCTION("""COMPUTED_VALUE"""),"15NzWGpqvL8MMBvyvBoyZPbRw6m8dVQhvejNQYv6xMAo")</f>
        <v>15NzWGpqvL8MMBvyvBoyZPbRw6m8dVQhvejNQYv6xMAo</v>
      </c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 t="str">
        <f>IFERROR(__xludf.DUMMYFUNCTION("""COMPUTED_VALUE"""),"Simulator")</f>
        <v>Simulator</v>
      </c>
      <c r="B402" s="4" t="str">
        <f>IFERROR(__xludf.DUMMYFUNCTION("""COMPUTED_VALUE"""),"SetManualResponse ")</f>
        <v>SetManualResponse </v>
      </c>
      <c r="C402" s="4" t="str">
        <f>IFERROR(__xludf.DUMMYFUNCTION("""COMPUTED_VALUE"""),"Undefined")</f>
        <v>Undefined</v>
      </c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 t="str">
        <f>IFERROR(__xludf.DUMMYFUNCTION("""COMPUTED_VALUE"""),"Simulator")</f>
        <v>Simulator</v>
      </c>
      <c r="B403" s="4" t="str">
        <f>IFERROR(__xludf.DUMMYFUNCTION("""COMPUTED_VALUE"""),"ClearUI")</f>
        <v>ClearUI</v>
      </c>
      <c r="C403" s="4" t="str">
        <f>IFERROR(__xludf.DUMMYFUNCTION("""COMPUTED_VALUE"""),"Undefined")</f>
        <v>Undefined</v>
      </c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 t="str">
        <f>IFERROR(__xludf.DUMMYFUNCTION("""COMPUTED_VALUE"""),"Rebalancer")</f>
        <v>Rebalancer</v>
      </c>
      <c r="B404" s="4" t="str">
        <f>IFERROR(__xludf.DUMMYFUNCTION("""COMPUTED_VALUE"""),"RebalanceAcrossSecurities")</f>
        <v>RebalanceAcrossSecurities</v>
      </c>
      <c r="C404" s="4" t="str">
        <f>IFERROR(__xludf.DUMMYFUNCTION("""COMPUTED_VALUE"""),"1hj7paFEdaJfp8zCVq4BI5XPlCE2BysKhNQY5CdXDN44")</f>
        <v>1hj7paFEdaJfp8zCVq4BI5XPlCE2BysKhNQY5CdXDN44</v>
      </c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 t="str">
        <f>IFERROR(__xludf.DUMMYFUNCTION("""COMPUTED_VALUE"""),"Rebalancer")</f>
        <v>Rebalancer</v>
      </c>
      <c r="B405" s="4" t="str">
        <f>IFERROR(__xludf.DUMMYFUNCTION("""COMPUTED_VALUE"""),"CheckBasketCompliance")</f>
        <v>CheckBasketCompliance</v>
      </c>
      <c r="C405" s="4" t="str">
        <f>IFERROR(__xludf.DUMMYFUNCTION("""COMPUTED_VALUE"""),"1TJXKyPI71JpDJp6PJy2JOx4mnjeYvDigctM4hrexDvM")</f>
        <v>1TJXKyPI71JpDJp6PJy2JOx4mnjeYvDigctM4hrexDvM</v>
      </c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 t="str">
        <f>IFERROR(__xludf.DUMMYFUNCTION("""COMPUTED_VALUE"""),"Rebalancer")</f>
        <v>Rebalancer</v>
      </c>
      <c r="B406" s="4" t="str">
        <f>IFERROR(__xludf.DUMMYFUNCTION("""COMPUTED_VALUE"""),"ClearCalculations")</f>
        <v>ClearCalculations</v>
      </c>
      <c r="C406" s="4" t="str">
        <f>IFERROR(__xludf.DUMMYFUNCTION("""COMPUTED_VALUE"""),"1ctMlkyXd7Fyoxty8UQ8vXNA2lmrIfMbc3leGsnW7ne0")</f>
        <v>1ctMlkyXd7Fyoxty8UQ8vXNA2lmrIfMbc3leGsnW7ne0</v>
      </c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 t="str">
        <f>IFERROR(__xludf.DUMMYFUNCTION("""COMPUTED_VALUE"""),"Rebalancer")</f>
        <v>Rebalancer</v>
      </c>
      <c r="B407" s="4" t="str">
        <f>IFERROR(__xludf.DUMMYFUNCTION("""COMPUTED_VALUE"""),"ModifyRebalance")</f>
        <v>ModifyRebalance</v>
      </c>
      <c r="C407" s="4" t="str">
        <f>IFERROR(__xludf.DUMMYFUNCTION("""COMPUTED_VALUE"""),"14V-PVFSEtii0bJelGOw8nDeNWqcO5GO2gi1hoqmJbFU")</f>
        <v>14V-PVFSEtii0bJelGOw8nDeNWqcO5GO2gi1hoqmJbFU</v>
      </c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 t="str">
        <f>IFERROR(__xludf.DUMMYFUNCTION("""COMPUTED_VALUE"""),"ThirdParty")</f>
        <v>ThirdParty</v>
      </c>
      <c r="B408" s="4" t="str">
        <f>IFERROR(__xludf.DUMMYFUNCTION("""COMPUTED_VALUE"""),"SelectThirdParty")</f>
        <v>SelectThirdParty</v>
      </c>
      <c r="C408" s="4" t="str">
        <f>IFERROR(__xludf.DUMMYFUNCTION("""COMPUTED_VALUE"""),"1wKEUsTX7MrGti2S1TEzF0iJk4vRZB1LxyQL9WgMGYrY")</f>
        <v>1wKEUsTX7MrGti2S1TEzF0iJk4vRZB1LxyQL9WgMGYrY</v>
      </c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 t="str">
        <f>IFERROR(__xludf.DUMMYFUNCTION("""COMPUTED_VALUE"""),"ThirdParty")</f>
        <v>ThirdParty</v>
      </c>
      <c r="B409" s="4" t="str">
        <f>IFERROR(__xludf.DUMMYFUNCTION("""COMPUTED_VALUE"""),"ViewThirdParty")</f>
        <v>ViewThirdParty</v>
      </c>
      <c r="C409" s="4" t="str">
        <f>IFERROR(__xludf.DUMMYFUNCTION("""COMPUTED_VALUE"""),"1UalkAEsbJcZQAzEnT3T29et4u4PKQ3n66SBTt1HPqVc")</f>
        <v>1UalkAEsbJcZQAzEnT3T29et4u4PKQ3n66SBTt1HPqVc</v>
      </c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 t="str">
        <f>IFERROR(__xludf.DUMMYFUNCTION("""COMPUTED_VALUE"""),"ThirdParty")</f>
        <v>ThirdParty</v>
      </c>
      <c r="B410" s="4" t="str">
        <f>IFERROR(__xludf.DUMMYFUNCTION("""COMPUTED_VALUE"""),"ThirdPartyGenerate")</f>
        <v>ThirdPartyGenerate</v>
      </c>
      <c r="C410" s="4" t="str">
        <f>IFERROR(__xludf.DUMMYFUNCTION("""COMPUTED_VALUE"""),"1DvEoe2QroRweeE3U1wG41DK1tPqNY7Qfs3ZfLQeMbgA")</f>
        <v>1DvEoe2QroRweeE3U1wG41DK1tPqNY7Qfs3ZfLQeMbgA</v>
      </c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 t="str">
        <f>IFERROR(__xludf.DUMMYFUNCTION("""COMPUTED_VALUE"""),"ThirdParty")</f>
        <v>ThirdParty</v>
      </c>
      <c r="B411" s="4" t="str">
        <f>IFERROR(__xludf.DUMMYFUNCTION("""COMPUTED_VALUE"""),"VerifyThirdPartyView")</f>
        <v>VerifyThirdPartyView</v>
      </c>
      <c r="C411" s="4" t="str">
        <f>IFERROR(__xludf.DUMMYFUNCTION("""COMPUTED_VALUE"""),"118wRv0r1kNYT6nexs-UFGKd_eWq769gwdBDpcAfrJMc")</f>
        <v>118wRv0r1kNYT6nexs-UFGKd_eWq769gwdBDpcAfrJMc</v>
      </c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 t="str">
        <f>IFERROR(__xludf.DUMMYFUNCTION("""COMPUTED_VALUE"""),"ThirdParty")</f>
        <v>ThirdParty</v>
      </c>
      <c r="B412" s="4" t="str">
        <f>IFERROR(__xludf.DUMMYFUNCTION("""COMPUTED_VALUE"""),"VerifyThirdPartyGenerate")</f>
        <v>VerifyThirdPartyGenerate</v>
      </c>
      <c r="C412" s="4" t="str">
        <f>IFERROR(__xludf.DUMMYFUNCTION("""COMPUTED_VALUE"""),"1bvzvGTpSSz8jFgbBJV7s2zMg9ku9TwcOoI2gD8mXZeI")</f>
        <v>1bvzvGTpSSz8jFgbBJV7s2zMg9ku9TwcOoI2gD8mXZeI</v>
      </c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 t="str">
        <f>IFERROR(__xludf.DUMMYFUNCTION("""COMPUTED_VALUE"""),"ThirdParty")</f>
        <v>ThirdParty</v>
      </c>
      <c r="B413" s="4" t="str">
        <f>IFERROR(__xludf.DUMMYFUNCTION("""COMPUTED_VALUE"""),"VerifyThirdPartySend")</f>
        <v>VerifyThirdPartySend</v>
      </c>
      <c r="C413" s="4" t="str">
        <f>IFERROR(__xludf.DUMMYFUNCTION("""COMPUTED_VALUE"""),"1Uss7PL0z4ynwsEaU-5ZugX8DJ-4eQWi9JELroKHVjks")</f>
        <v>1Uss7PL0z4ynwsEaU-5ZugX8DJ-4eQWi9JELroKHVjks</v>
      </c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 t="str">
        <f>IFERROR(__xludf.DUMMYFUNCTION("""COMPUTED_VALUE"""),"ThirdParty")</f>
        <v>ThirdParty</v>
      </c>
      <c r="B414" s="4" t="str">
        <f>IFERROR(__xludf.DUMMYFUNCTION("""COMPUTED_VALUE"""),"ThirdPartySend")</f>
        <v>ThirdPartySend</v>
      </c>
      <c r="C414" s="4" t="str">
        <f>IFERROR(__xludf.DUMMYFUNCTION("""COMPUTED_VALUE"""),"10lROCv8vZU4pHDAKFRaGDjYVmJmDXRVY6aLP5O0hPiU")</f>
        <v>10lROCv8vZU4pHDAKFRaGDjYVmJmDXRVY6aLP5O0hPiU</v>
      </c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 t="str">
        <f>IFERROR(__xludf.DUMMYFUNCTION("""COMPUTED_VALUE"""),"Blotter")</f>
        <v>Blotter</v>
      </c>
      <c r="B415" s="4" t="str">
        <f>IFERROR(__xludf.DUMMYFUNCTION("""COMPUTED_VALUE"""),"VerifyViewAllocationDetails")</f>
        <v>VerifyViewAllocationDetails</v>
      </c>
      <c r="C415" s="4" t="str">
        <f>IFERROR(__xludf.DUMMYFUNCTION("""COMPUTED_VALUE"""),"1N0pdLUTdwOkDe6Oxo1hLVvtHrAW845GKRDRrNw2nQsA")</f>
        <v>1N0pdLUTdwOkDe6Oxo1hLVvtHrAW845GKRDRrNw2nQsA</v>
      </c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 t="str">
        <f>IFERROR(__xludf.DUMMYFUNCTION("""COMPUTED_VALUE"""),"PTT")</f>
        <v>PTT</v>
      </c>
      <c r="B416" s="4" t="str">
        <f>IFERROR(__xludf.DUMMYFUNCTION("""COMPUTED_VALUE"""),"SelectPTTRecord")</f>
        <v>SelectPTTRecord</v>
      </c>
      <c r="C416" s="4" t="str">
        <f>IFERROR(__xludf.DUMMYFUNCTION("""COMPUTED_VALUE"""),"1XeFP2lm7tB6wETfm2dDqZYoeAfXyeA1KjbojdrZ69vE")</f>
        <v>1XeFP2lm7tB6wETfm2dDqZYoeAfXyeA1KjbojdrZ69vE</v>
      </c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 t="str">
        <f>IFERROR(__xludf.DUMMYFUNCTION("""COMPUTED_VALUE"""),"PTT")</f>
        <v>PTT</v>
      </c>
      <c r="B417" s="4" t="str">
        <f>IFERROR(__xludf.DUMMYFUNCTION("""COMPUTED_VALUE"""),"EditPTTRecordAndExecuteOrder")</f>
        <v>EditPTTRecordAndExecuteOrder</v>
      </c>
      <c r="C417" s="4" t="str">
        <f>IFERROR(__xludf.DUMMYFUNCTION("""COMPUTED_VALUE"""),"1PSIJ72QdQ-ByplSZsPtKhZm3ADB7dR-xpWzGR4Bdl_4")</f>
        <v>1PSIJ72QdQ-ByplSZsPtKhZm3ADB7dR-xpWzGR4Bdl_4</v>
      </c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 t="str">
        <f>IFERROR(__xludf.DUMMYFUNCTION("""COMPUTED_VALUE"""),"PTT")</f>
        <v>PTT</v>
      </c>
      <c r="B418" s="4" t="str">
        <f>IFERROR(__xludf.DUMMYFUNCTION("""COMPUTED_VALUE"""),"CreateOrderAfterEditPTT")</f>
        <v>CreateOrderAfterEditPTT</v>
      </c>
      <c r="C418" s="4" t="str">
        <f>IFERROR(__xludf.DUMMYFUNCTION("""COMPUTED_VALUE"""),"1KsDVAM-jGZBkXQCAjl-IKGN6XcMkdTfUj_E_EYUPpqE")</f>
        <v>1KsDVAM-jGZBkXQCAjl-IKGN6XcMkdTfUj_E_EYUPpqE</v>
      </c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 t="str">
        <f>IFERROR(__xludf.DUMMYFUNCTION("""COMPUTED_VALUE"""),"PTT")</f>
        <v>PTT</v>
      </c>
      <c r="B419" s="4" t="str">
        <f>IFERROR(__xludf.DUMMYFUNCTION("""COMPUTED_VALUE"""),"EditPTTWPFGrid")</f>
        <v>EditPTTWPFGrid</v>
      </c>
      <c r="C419" s="4" t="str">
        <f>IFERROR(__xludf.DUMMYFUNCTION("""COMPUTED_VALUE"""),"1ZN6M0c0ta4_uysjU0LRmcc9chF9IgYpFmqSwGW6bPCY")</f>
        <v>1ZN6M0c0ta4_uysjU0LRmcc9chF9IgYpFmqSwGW6bPCY</v>
      </c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 t="str">
        <f>IFERROR(__xludf.DUMMYFUNCTION("""COMPUTED_VALUE"""),"Blotter")</f>
        <v>Blotter</v>
      </c>
      <c r="B420" s="4" t="str">
        <f>IFERROR(__xludf.DUMMYFUNCTION("""COMPUTED_VALUE"""),"GoToAllocation")</f>
        <v>GoToAllocation</v>
      </c>
      <c r="C420" s="4" t="str">
        <f>IFERROR(__xludf.DUMMYFUNCTION("""COMPUTED_VALUE"""),"1I3StwH3fzwwbh9YvrnDvP_ICtYYZrMPHOthgqOvVOQc")</f>
        <v>1I3StwH3fzwwbh9YvrnDvP_ICtYYZrMPHOthgqOvVOQc</v>
      </c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 t="str">
        <f>IFERROR(__xludf.DUMMYFUNCTION("""COMPUTED_VALUE"""),"Simulator")</f>
        <v>Simulator</v>
      </c>
      <c r="B421" s="4" t="str">
        <f>IFERROR(__xludf.DUMMYFUNCTION("""COMPUTED_VALUE"""),"CloseSimulator")</f>
        <v>CloseSimulator</v>
      </c>
      <c r="C421" s="4" t="str">
        <f>IFERROR(__xludf.DUMMYFUNCTION("""COMPUTED_VALUE"""),"Undefined")</f>
        <v>Undefined</v>
      </c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 t="str">
        <f>IFERROR(__xludf.DUMMYFUNCTION("""COMPUTED_VALUE"""),"GeneralLedger")</f>
        <v>GeneralLedger</v>
      </c>
      <c r="B422" s="4" t="str">
        <f>IFERROR(__xludf.DUMMYFUNCTION("""COMPUTED_VALUE"""),"VerifyCashTransaction")</f>
        <v>VerifyCashTransaction</v>
      </c>
      <c r="C422" s="4" t="str">
        <f>IFERROR(__xludf.DUMMYFUNCTION("""COMPUTED_VALUE"""),"1Urp2F7pMdEwHLyPetR0SnA22v2OTvsTN73e1Eyzzg08")</f>
        <v>1Urp2F7pMdEwHLyPetR0SnA22v2OTvsTN73e1Eyzzg08</v>
      </c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 t="str">
        <f>IFERROR(__xludf.DUMMYFUNCTION("""COMPUTED_VALUE"""),"Rebalancer")</f>
        <v>Rebalancer</v>
      </c>
      <c r="B423" s="4" t="str">
        <f>IFERROR(__xludf.DUMMYFUNCTION("""COMPUTED_VALUE"""),"ModelPortfolio")</f>
        <v>ModelPortfolio</v>
      </c>
      <c r="C423" s="4" t="str">
        <f>IFERROR(__xludf.DUMMYFUNCTION("""COMPUTED_VALUE"""),"1BbwKnMbWwdBYCEpdFconwZ_xILH2kPX-Qj3vt8xntk8")</f>
        <v>1BbwKnMbWwdBYCEpdFconwZ_xILH2kPX-Qj3vt8xntk8</v>
      </c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 t="str">
        <f>IFERROR(__xludf.DUMMYFUNCTION("""COMPUTED_VALUE"""),"DailyValuation")</f>
        <v>DailyValuation</v>
      </c>
      <c r="B424" s="4" t="str">
        <f>IFERROR(__xludf.DUMMYFUNCTION("""COMPUTED_VALUE"""),"VerifyDailyCash")</f>
        <v>VerifyDailyCash</v>
      </c>
      <c r="C424" s="4" t="str">
        <f>IFERROR(__xludf.DUMMYFUNCTION("""COMPUTED_VALUE"""),"1p7JeAcaHVG_A1SPdHgM-evd78CkJgoJkRTeDWckd4RI")</f>
        <v>1p7JeAcaHVG_A1SPdHgM-evd78CkJgoJkRTeDWckd4RI</v>
      </c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 t="str">
        <f>IFERROR(__xludf.DUMMYFUNCTION("""COMPUTED_VALUE"""),"Admin")</f>
        <v>Admin</v>
      </c>
      <c r="B425" s="4" t="str">
        <f>IFERROR(__xludf.DUMMYFUNCTION("""COMPUTED_VALUE"""),"SetCheckSide")</f>
        <v>SetCheckSide</v>
      </c>
      <c r="C425" s="4" t="str">
        <f>IFERROR(__xludf.DUMMYFUNCTION("""COMPUTED_VALUE"""),"1LLz3d9Ay0qFO2Tla_12_h2xvLhss_jI9DSuQFTlU_-4")</f>
        <v>1LLz3d9Ay0qFO2Tla_12_h2xvLhss_jI9DSuQFTlU_-4</v>
      </c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 t="str">
        <f>IFERROR(__xludf.DUMMYFUNCTION("""COMPUTED_VALUE"""),"CorporateAction")</f>
        <v>CorporateAction</v>
      </c>
      <c r="B426" s="4" t="str">
        <f>IFERROR(__xludf.DUMMYFUNCTION("""COMPUTED_VALUE"""),"OpenSpinOff")</f>
        <v>OpenSpinOff</v>
      </c>
      <c r="C426" s="4" t="str">
        <f>IFERROR(__xludf.DUMMYFUNCTION("""COMPUTED_VALUE"""),"1U-BRH15bKLYYFZT4KsAnHYfSvzq2OYUbyJ1Q899SsZo")</f>
        <v>1U-BRH15bKLYYFZT4KsAnHYfSvzq2OYUbyJ1Q899SsZo</v>
      </c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 t="str">
        <f>IFERROR(__xludf.DUMMYFUNCTION("""COMPUTED_VALUE"""),"CorporateAction")</f>
        <v>CorporateAction</v>
      </c>
      <c r="B427" s="4" t="str">
        <f>IFERROR(__xludf.DUMMYFUNCTION("""COMPUTED_VALUE"""),"VerifyAndApplyCorpAction")</f>
        <v>VerifyAndApplyCorpAction</v>
      </c>
      <c r="C427" s="4" t="str">
        <f>IFERROR(__xludf.DUMMYFUNCTION("""COMPUTED_VALUE"""),"1AigkCEPlVCiWI2_hOeywoNapLN_03Q3acTp_JCEFIOQ")</f>
        <v>1AigkCEPlVCiWI2_hOeywoNapLN_03Q3acTp_JCEFIOQ</v>
      </c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 t="str">
        <f>IFERROR(__xludf.DUMMYFUNCTION("""COMPUTED_VALUE"""),"CorporateAction")</f>
        <v>CorporateAction</v>
      </c>
      <c r="B428" s="4" t="str">
        <f>IFERROR(__xludf.DUMMYFUNCTION("""COMPUTED_VALUE"""),"VerifyAndSaveCorpAction")</f>
        <v>VerifyAndSaveCorpAction</v>
      </c>
      <c r="C428" s="4" t="str">
        <f>IFERROR(__xludf.DUMMYFUNCTION("""COMPUTED_VALUE"""),"1C7e-MCh1gT21XsWE5Tb7VqU31f42EtVA62RnW2VwOPQ")</f>
        <v>1C7e-MCh1gT21XsWE5Tb7VqU31f42EtVA62RnW2VwOPQ</v>
      </c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 t="str">
        <f>IFERROR(__xludf.DUMMYFUNCTION("""COMPUTED_VALUE"""),"Allocation")</f>
        <v>Allocation</v>
      </c>
      <c r="B429" s="4" t="str">
        <f>IFERROR(__xludf.DUMMYFUNCTION("""COMPUTED_VALUE"""),"DisableChecksideForAsset")</f>
        <v>DisableChecksideForAsset</v>
      </c>
      <c r="C429" s="4" t="str">
        <f>IFERROR(__xludf.DUMMYFUNCTION("""COMPUTED_VALUE"""),"1RfBjyCTLzPEw44vo9RFEbPNENo_b3MvJETDgJ_nbkSM")</f>
        <v>1RfBjyCTLzPEw44vo9RFEbPNENo_b3MvJETDgJ_nbkSM</v>
      </c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 t="str">
        <f>IFERROR(__xludf.DUMMYFUNCTION("""COMPUTED_VALUE"""),"Allocation")</f>
        <v>Allocation</v>
      </c>
      <c r="B430" s="4" t="str">
        <f>IFERROR(__xludf.DUMMYFUNCTION("""COMPUTED_VALUE"""),"DisableChecksideForAccount")</f>
        <v>DisableChecksideForAccount</v>
      </c>
      <c r="C430" s="4" t="str">
        <f>IFERROR(__xludf.DUMMYFUNCTION("""COMPUTED_VALUE"""),"11m6ioGVfQ91nl6h-xQws9I_OKyCH0bSRW5XRwmAkUaI")</f>
        <v>11m6ioGVfQ91nl6h-xQws9I_OKyCH0bSRW5XRwmAkUaI</v>
      </c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 t="str">
        <f>IFERROR(__xludf.DUMMYFUNCTION("""COMPUTED_VALUE"""),"Allocation")</f>
        <v>Allocation</v>
      </c>
      <c r="B431" s="4" t="str">
        <f>IFERROR(__xludf.DUMMYFUNCTION("""COMPUTED_VALUE"""),"DisableChecksideForCounterParty")</f>
        <v>DisableChecksideForCounterParty</v>
      </c>
      <c r="C431" s="4" t="str">
        <f>IFERROR(__xludf.DUMMYFUNCTION("""COMPUTED_VALUE"""),"1y3920luel_XKEL-2MDmGAmxE3KlfO7vibX7k3zEiD9Q")</f>
        <v>1y3920luel_XKEL-2MDmGAmxE3KlfO7vibX7k3zEiD9Q</v>
      </c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 t="str">
        <f>IFERROR(__xludf.DUMMYFUNCTION("""COMPUTED_VALUE"""),"Allocation")</f>
        <v>Allocation</v>
      </c>
      <c r="B432" s="4" t="str">
        <f>IFERROR(__xludf.DUMMYFUNCTION("""COMPUTED_VALUE"""),"DisableCheckside")</f>
        <v>DisableCheckside</v>
      </c>
      <c r="C432" s="4" t="str">
        <f>IFERROR(__xludf.DUMMYFUNCTION("""COMPUTED_VALUE"""),"1h5qvpgDwc493Hj-H0wWhM1iGSyxbWrc_X9wqtwjDzjw")</f>
        <v>1h5qvpgDwc493Hj-H0wWhM1iGSyxbWrc_X9wqtwjDzjw</v>
      </c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 t="str">
        <f>IFERROR(__xludf.DUMMYFUNCTION("""COMPUTED_VALUE"""),"Allocation")</f>
        <v>Allocation</v>
      </c>
      <c r="B433" s="4" t="str">
        <f>IFERROR(__xludf.DUMMYFUNCTION("""COMPUTED_VALUE"""),"ApplyMasterFundFilter")</f>
        <v>ApplyMasterFundFilter</v>
      </c>
      <c r="C433" s="4" t="str">
        <f>IFERROR(__xludf.DUMMYFUNCTION("""COMPUTED_VALUE"""),"1T-KlzOWiZhplDNh7jZx1mhTu8M9hH3oMPjY-e5YW0xo")</f>
        <v>1T-KlzOWiZhplDNh7jZx1mhTu8M9hH3oMPjY-e5YW0xo</v>
      </c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 t="str">
        <f>IFERROR(__xludf.DUMMYFUNCTION("""COMPUTED_VALUE"""),"TradingTicket")</f>
        <v>TradingTicket</v>
      </c>
      <c r="B434" s="4" t="str">
        <f>IFERROR(__xludf.DUMMYFUNCTION("""COMPUTED_VALUE"""),"UpdateMasterFundOnTT")</f>
        <v>UpdateMasterFundOnTT</v>
      </c>
      <c r="C434" s="4" t="str">
        <f>IFERROR(__xludf.DUMMYFUNCTION("""COMPUTED_VALUE"""),"1N4y3bAhW2tDoINGw83G-QdXBeLDO0PKtGSW5-tKN3js")</f>
        <v>1N4y3bAhW2tDoINGw83G-QdXBeLDO0PKtGSW5-tKN3js</v>
      </c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 t="str">
        <f>IFERROR(__xludf.DUMMYFUNCTION("""COMPUTED_VALUE"""),"Allocation")</f>
        <v>Allocation</v>
      </c>
      <c r="B435" s="4" t="str">
        <f>IFERROR(__xludf.DUMMYFUNCTION("""COMPUTED_VALUE"""),"ShowMasterFundOnTT")</f>
        <v>ShowMasterFundOnTT</v>
      </c>
      <c r="C435" s="4" t="str">
        <f>IFERROR(__xludf.DUMMYFUNCTION("""COMPUTED_VALUE"""),"1iwI9tV-bzTDjn_UTMv4g-Fow5pL0wNDuxL4_vgERgxw")</f>
        <v>1iwI9tV-bzTDjn_UTMv4g-Fow5pL0wNDuxL4_vgERgxw</v>
      </c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 t="str">
        <f>IFERROR(__xludf.DUMMYFUNCTION("""COMPUTED_VALUE"""),"Allocation")</f>
        <v>Allocation</v>
      </c>
      <c r="B436" s="4" t="str">
        <f>IFERROR(__xludf.DUMMYFUNCTION("""COMPUTED_VALUE"""),"ShowMasterFundAsClient")</f>
        <v>ShowMasterFundAsClient</v>
      </c>
      <c r="C436" s="4" t="str">
        <f>IFERROR(__xludf.DUMMYFUNCTION("""COMPUTED_VALUE"""),"1HEkSiTQJoo7hAoCQeG1OliZY3I1tX5067K2-bEPpUxg")</f>
        <v>1HEkSiTQJoo7hAoCQeG1OliZY3I1tX5067K2-bEPpUxg</v>
      </c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 t="str">
        <f>IFERROR(__xludf.DUMMYFUNCTION("""COMPUTED_VALUE"""),"Allocation")</f>
        <v>Allocation</v>
      </c>
      <c r="B437" s="4" t="str">
        <f>IFERROR(__xludf.DUMMYFUNCTION("""COMPUTED_VALUE"""),"SetBrokerAccountMapping")</f>
        <v>SetBrokerAccountMapping</v>
      </c>
      <c r="C437" s="4" t="str">
        <f>IFERROR(__xludf.DUMMYFUNCTION("""COMPUTED_VALUE"""),"1-jAH0BUHYr2W4UnUXp9EOBGtAxXgCqMhloL3-aVw-xA")</f>
        <v>1-jAH0BUHYr2W4UnUXp9EOBGtAxXgCqMhloL3-aVw-xA</v>
      </c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 t="str">
        <f>IFERROR(__xludf.DUMMYFUNCTION("""COMPUTED_VALUE"""),"Allocation")</f>
        <v>Allocation</v>
      </c>
      <c r="B438" s="4" t="str">
        <f>IFERROR(__xludf.DUMMYFUNCTION("""COMPUTED_VALUE"""),"EditUnallocatedGridWPF")</f>
        <v>EditUnallocatedGridWPF</v>
      </c>
      <c r="C438" s="4" t="str">
        <f>IFERROR(__xludf.DUMMYFUNCTION("""COMPUTED_VALUE"""),"1WjO2793DSB3AexrCH-5fVAyD2T9Kn-TpIQtV-sN3fXM")</f>
        <v>1WjO2793DSB3AexrCH-5fVAyD2T9Kn-TpIQtV-sN3fXM</v>
      </c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 t="str">
        <f>IFERROR(__xludf.DUMMYFUNCTION("""COMPUTED_VALUE"""),"Allocation")</f>
        <v>Allocation</v>
      </c>
      <c r="B439" s="4" t="str">
        <f>IFERROR(__xludf.DUMMYFUNCTION("""COMPUTED_VALUE"""),"EditAllocatedGridWPF")</f>
        <v>EditAllocatedGridWPF</v>
      </c>
      <c r="C439" s="4" t="str">
        <f>IFERROR(__xludf.DUMMYFUNCTION("""COMPUTED_VALUE"""),"1FZKuHmBcm_XpFiBPl_RDPdJ0LU4pfInz2KIRBirG4RA")</f>
        <v>1FZKuHmBcm_XpFiBPl_RDPdJ0LU4pfInz2KIRBirG4RA</v>
      </c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 t="str">
        <f>IFERROR(__xludf.DUMMYFUNCTION("""COMPUTED_VALUE"""),"Admin")</f>
        <v>Admin</v>
      </c>
      <c r="B440" s="4" t="str">
        <f>IFERROR(__xludf.DUMMYFUNCTION("""COMPUTED_VALUE"""),"SetRollover")</f>
        <v>SetRollover</v>
      </c>
      <c r="C440" s="4" t="str">
        <f>IFERROR(__xludf.DUMMYFUNCTION("""COMPUTED_VALUE"""),"1IsN0Cfhu8GLrkUalboK5NrRy7btTAbLYUuekJ2Ma6Yg")</f>
        <v>1IsN0Cfhu8GLrkUalboK5NrRy7btTAbLYUuekJ2Ma6Yg</v>
      </c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 t="str">
        <f>IFERROR(__xludf.DUMMYFUNCTION("""COMPUTED_VALUE"""),"Blotter")</f>
        <v>Blotter</v>
      </c>
      <c r="B441" s="4" t="str">
        <f>IFERROR(__xludf.DUMMYFUNCTION("""COMPUTED_VALUE"""),"VerifyRollover")</f>
        <v>VerifyRollover</v>
      </c>
      <c r="C441" s="4" t="str">
        <f>IFERROR(__xludf.DUMMYFUNCTION("""COMPUTED_VALUE"""),"1LK99kRJ1Jix1IHxif4J6qr7zVjtU8vqt4IThBtuOVf4")</f>
        <v>1LK99kRJ1Jix1IHxif4J6qr7zVjtU8vqt4IThBtuOVf4</v>
      </c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 t="str">
        <f>IFERROR(__xludf.DUMMYFUNCTION("""COMPUTED_VALUE"""),"Allocation")</f>
        <v>Allocation</v>
      </c>
      <c r="B442" s="4" t="str">
        <f>IFERROR(__xludf.DUMMYFUNCTION("""COMPUTED_VALUE"""),"EditAllocatedGridTaxlot")</f>
        <v>EditAllocatedGridTaxlot</v>
      </c>
      <c r="C442" s="4" t="str">
        <f>IFERROR(__xludf.DUMMYFUNCTION("""COMPUTED_VALUE"""),"1BFSIhQB5TYAg8_M-Mo1tG8w-M1mRnNY_0PslvrGE6V0")</f>
        <v>1BFSIhQB5TYAg8_M-Mo1tG8w-M1mRnNY_0PslvrGE6V0</v>
      </c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 t="str">
        <f>IFERROR(__xludf.DUMMYFUNCTION("""COMPUTED_VALUE"""),"Allocation")</f>
        <v>Allocation</v>
      </c>
      <c r="B443" s="4" t="str">
        <f>IFERROR(__xludf.DUMMYFUNCTION("""COMPUTED_VALUE"""),"ExpandCollapseAllocatedGrid")</f>
        <v>ExpandCollapseAllocatedGrid</v>
      </c>
      <c r="C443" s="4" t="str">
        <f>IFERROR(__xludf.DUMMYFUNCTION("""COMPUTED_VALUE"""),"1qQZFllfIgVu8YI6RYgRzVq7hDp1kHBoOsvq3lGCpsu0")</f>
        <v>1qQZFllfIgVu8YI6RYgRzVq7hDp1kHBoOsvq3lGCpsu0</v>
      </c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 t="str">
        <f>IFERROR(__xludf.DUMMYFUNCTION("""COMPUTED_VALUE"""),"Allocation")</f>
        <v>Allocation</v>
      </c>
      <c r="B444" s="4" t="str">
        <f>IFERROR(__xludf.DUMMYFUNCTION("""COMPUTED_VALUE"""),"ExpandCollapseUnallocatedGrid")</f>
        <v>ExpandCollapseUnallocatedGrid</v>
      </c>
      <c r="C444" s="4" t="str">
        <f>IFERROR(__xludf.DUMMYFUNCTION("""COMPUTED_VALUE"""),"1UD0TjK90W_15S50XezLY8jX9yJZvWP_kzf3zvGKH6Lo")</f>
        <v>1UD0TjK90W_15S50XezLY8jX9yJZvWP_kzf3zvGKH6Lo</v>
      </c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 t="str">
        <f>IFERROR(__xludf.DUMMYFUNCTION("""COMPUTED_VALUE"""),"Blotter")</f>
        <v>Blotter</v>
      </c>
      <c r="B445" s="4" t="str">
        <f>IFERROR(__xludf.DUMMYFUNCTION("""COMPUTED_VALUE"""),"VerifySubOrderAfterRollover")</f>
        <v>VerifySubOrderAfterRollover</v>
      </c>
      <c r="C445" s="4" t="str">
        <f>IFERROR(__xludf.DUMMYFUNCTION("""COMPUTED_VALUE"""),"1d2n7uTbGUAG0Fw_-hVLgvR5bPSacMCQFYb_9Aqwi25c")</f>
        <v>1d2n7uTbGUAG0Fw_-hVLgvR5bPSacMCQFYb_9Aqwi25c</v>
      </c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 t="str">
        <f>IFERROR(__xludf.DUMMYFUNCTION("""COMPUTED_VALUE"""),"Import")</f>
        <v>Import</v>
      </c>
      <c r="B446" s="4" t="str">
        <f>IFERROR(__xludf.DUMMYFUNCTION("""COMPUTED_VALUE"""),"SelectTransactionImportType")</f>
        <v>SelectTransactionImportType</v>
      </c>
      <c r="C446" s="4" t="str">
        <f>IFERROR(__xludf.DUMMYFUNCTION("""COMPUTED_VALUE"""),"1Ug5aDJXZ2MYzdZjiy87TkbK0iURa_OwZ6nFZNhxoHGY")</f>
        <v>1Ug5aDJXZ2MYzdZjiy87TkbK0iURa_OwZ6nFZNhxoHGY</v>
      </c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 t="str">
        <f>IFERROR(__xludf.DUMMYFUNCTION("""COMPUTED_VALUE"""),"Import")</f>
        <v>Import</v>
      </c>
      <c r="B447" s="4" t="str">
        <f>IFERROR(__xludf.DUMMYFUNCTION("""COMPUTED_VALUE"""),"SelectAllOnImport")</f>
        <v>SelectAllOnImport</v>
      </c>
      <c r="C447" s="4" t="str">
        <f>IFERROR(__xludf.DUMMYFUNCTION("""COMPUTED_VALUE"""),"15kH24bHLnChO_IakP1yWGQ4NHnPUcWr-qrx2hCLl0Rs")</f>
        <v>15kH24bHLnChO_IakP1yWGQ4NHnPUcWr-qrx2hCLl0Rs</v>
      </c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 t="str">
        <f>IFERROR(__xludf.DUMMYFUNCTION("""COMPUTED_VALUE"""),"Import")</f>
        <v>Import</v>
      </c>
      <c r="B448" s="4" t="str">
        <f>IFERROR(__xludf.DUMMYFUNCTION("""COMPUTED_VALUE"""),"SelectMarkPriceImportType")</f>
        <v>SelectMarkPriceImportType</v>
      </c>
      <c r="C448" s="4" t="str">
        <f>IFERROR(__xludf.DUMMYFUNCTION("""COMPUTED_VALUE"""),"1u361oGPG-Jq-p0fQA91MqPpn9RXhbu_kuvkRTxMFWxM")</f>
        <v>1u361oGPG-Jq-p0fQA91MqPpn9RXhbu_kuvkRTxMFWxM</v>
      </c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 t="str">
        <f>IFERROR(__xludf.DUMMYFUNCTION("""COMPUTED_VALUE"""),"Import")</f>
        <v>Import</v>
      </c>
      <c r="B449" s="4" t="str">
        <f>IFERROR(__xludf.DUMMYFUNCTION("""COMPUTED_VALUE"""),"SelectForexImportType")</f>
        <v>SelectForexImportType</v>
      </c>
      <c r="C449" s="4" t="str">
        <f>IFERROR(__xludf.DUMMYFUNCTION("""COMPUTED_VALUE"""),"1VuEhlxb0Ntlbh7FJ4BwgZpb9ydlc_jleqg7A8gRSuOE")</f>
        <v>1VuEhlxb0Ntlbh7FJ4BwgZpb9ydlc_jleqg7A8gRSuOE</v>
      </c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 t="str">
        <f>IFERROR(__xludf.DUMMYFUNCTION("""COMPUTED_VALUE"""),"Import")</f>
        <v>Import</v>
      </c>
      <c r="B450" s="4" t="str">
        <f>IFERROR(__xludf.DUMMYFUNCTION("""COMPUTED_VALUE"""),"SelectDoubleEntryCashImportType")</f>
        <v>SelectDoubleEntryCashImportType</v>
      </c>
      <c r="C450" s="4" t="str">
        <f>IFERROR(__xludf.DUMMYFUNCTION("""COMPUTED_VALUE"""),"1w4_aAJj7RTcH4PfJ4aGD-0Fx9fQcCz5rUlLhFvihhzU")</f>
        <v>1w4_aAJj7RTcH4PfJ4aGD-0Fx9fQcCz5rUlLhFvihhzU</v>
      </c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 t="str">
        <f>IFERROR(__xludf.DUMMYFUNCTION("""COMPUTED_VALUE"""),"Import")</f>
        <v>Import</v>
      </c>
      <c r="B451" s="4" t="str">
        <f>IFERROR(__xludf.DUMMYFUNCTION("""COMPUTED_VALUE"""),"SelectActivitiesImportType")</f>
        <v>SelectActivitiesImportType</v>
      </c>
      <c r="C451" s="4" t="str">
        <f>IFERROR(__xludf.DUMMYFUNCTION("""COMPUTED_VALUE"""),"1QRxHDbBMkMUkH0F8WiORPd2loUWwUte9XykaaWPOOig")</f>
        <v>1QRxHDbBMkMUkH0F8WiORPd2loUWwUte9XykaaWPOOig</v>
      </c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 t="str">
        <f>IFERROR(__xludf.DUMMYFUNCTION("""COMPUTED_VALUE"""),"TradingTicket")</f>
        <v>TradingTicket</v>
      </c>
      <c r="B452" s="4" t="str">
        <f>IFERROR(__xludf.DUMMYFUNCTION("""COMPUTED_VALUE"""),"SetTTCompliancePreference")</f>
        <v>SetTTCompliancePreference</v>
      </c>
      <c r="C452" s="4" t="str">
        <f>IFERROR(__xludf.DUMMYFUNCTION("""COMPUTED_VALUE"""),"1gOOiQiJSKveyRw21YYv0m2VV5trx-l9sZqzNVA40Sc8")</f>
        <v>1gOOiQiJSKveyRw21YYv0m2VV5trx-l9sZqzNVA40Sc8</v>
      </c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 t="str">
        <f>IFERROR(__xludf.DUMMYFUNCTION("""COMPUTED_VALUE"""),"Rebalancer")</f>
        <v>Rebalancer</v>
      </c>
      <c r="B453" s="4" t="str">
        <f>IFERROR(__xludf.DUMMYFUNCTION("""COMPUTED_VALUE"""),"LockandUnlockGridData")</f>
        <v>LockandUnlockGridData</v>
      </c>
      <c r="C453" s="4" t="str">
        <f>IFERROR(__xludf.DUMMYFUNCTION("""COMPUTED_VALUE"""),"1DO2kiuySeBrdw-FrV0IYgBcHEHdO56ih8X2yodtEv_w")</f>
        <v>1DO2kiuySeBrdw-FrV0IYgBcHEHdO56ih8X2yodtEv_w</v>
      </c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 t="str">
        <f>IFERROR(__xludf.DUMMYFUNCTION("""COMPUTED_VALUE"""),"Allocation")</f>
        <v>Allocation</v>
      </c>
      <c r="B454" s="4" t="str">
        <f>IFERROR(__xludf.DUMMYFUNCTION("""COMPUTED_VALUE"""),"SetTradeAttributePreferences")</f>
        <v>SetTradeAttributePreferences</v>
      </c>
      <c r="C454" s="4" t="str">
        <f>IFERROR(__xludf.DUMMYFUNCTION("""COMPUTED_VALUE"""),"1dN2leQSssJt9dSc9XBrW1dbIBOLPLbP7aD2QXcqVoYI")</f>
        <v>1dN2leQSssJt9dSc9XBrW1dbIBOLPLbP7aD2QXcqVoYI</v>
      </c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 t="str">
        <f>IFERROR(__xludf.DUMMYFUNCTION("""COMPUTED_VALUE"""),"GeneralLedger")</f>
        <v>GeneralLedger</v>
      </c>
      <c r="B455" s="4" t="str">
        <f>IFERROR(__xludf.DUMMYFUNCTION("""COMPUTED_VALUE"""),"VerifyAccountBalances")</f>
        <v>VerifyAccountBalances</v>
      </c>
      <c r="C455" s="4" t="str">
        <f>IFERROR(__xludf.DUMMYFUNCTION("""COMPUTED_VALUE"""),"1_Bb0NJhmEZf0GRznXLKybd9VevZ8za-sCX4G7B4qtsM")</f>
        <v>1_Bb0NJhmEZf0GRznXLKybd9VevZ8za-sCX4G7B4qtsM</v>
      </c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 t="str">
        <f>IFERROR(__xludf.DUMMYFUNCTION("""COMPUTED_VALUE"""),"Rebalancer")</f>
        <v>Rebalancer</v>
      </c>
      <c r="B456" s="4" t="str">
        <f>IFERROR(__xludf.DUMMYFUNCTION("""COMPUTED_VALUE"""),"RefreshGridData")</f>
        <v>RefreshGridData</v>
      </c>
      <c r="C456" s="4" t="str">
        <f>IFERROR(__xludf.DUMMYFUNCTION("""COMPUTED_VALUE"""),"1eXT2UFbktlYGRbqw2LWDBJOU8xuu3DfP6EZDAMps2jg")</f>
        <v>1eXT2UFbktlYGRbqw2LWDBJOU8xuu3DfP6EZDAMps2jg</v>
      </c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 t="str">
        <f>IFERROR(__xludf.DUMMYFUNCTION("""COMPUTED_VALUE"""),"GeneralLedger")</f>
        <v>GeneralLedger</v>
      </c>
      <c r="B457" s="4" t="str">
        <f>IFERROR(__xludf.DUMMYFUNCTION("""COMPUTED_VALUE"""),"AddMultipleOpeningBalTranItem")</f>
        <v>AddMultipleOpeningBalTranItem</v>
      </c>
      <c r="C457" s="4" t="str">
        <f>IFERROR(__xludf.DUMMYFUNCTION("""COMPUTED_VALUE"""),"11A7t3ReNCtqF9GmtCIeyqSvuLyXTOIz6Z7rrR1rcLxU")</f>
        <v>11A7t3ReNCtqF9GmtCIeyqSvuLyXTOIz6Z7rrR1rcLxU</v>
      </c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 t="str">
        <f>IFERROR(__xludf.DUMMYFUNCTION("""COMPUTED_VALUE"""),"Import")</f>
        <v>Import</v>
      </c>
      <c r="B458" s="4" t="str">
        <f>IFERROR(__xludf.DUMMYFUNCTION("""COMPUTED_VALUE"""),"ApplyFilterOnImport")</f>
        <v>ApplyFilterOnImport</v>
      </c>
      <c r="C458" s="4" t="str">
        <f>IFERROR(__xludf.DUMMYFUNCTION("""COMPUTED_VALUE"""),"1X_Y_CvwjwEfeRv6rV15vWdCxvbtSeiwVqa6n3rAtKrs")</f>
        <v>1X_Y_CvwjwEfeRv6rV15vWdCxvbtSeiwVqa6n3rAtKrs</v>
      </c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 t="str">
        <f>IFERROR(__xludf.DUMMYFUNCTION("""COMPUTED_VALUE"""),"Rebalancer")</f>
        <v>Rebalancer</v>
      </c>
      <c r="B459" s="4" t="str">
        <f>IFERROR(__xludf.DUMMYFUNCTION("""COMPUTED_VALUE"""),"SendtoStaging")</f>
        <v>SendtoStaging</v>
      </c>
      <c r="C459" s="4" t="str">
        <f>IFERROR(__xludf.DUMMYFUNCTION("""COMPUTED_VALUE"""),"1Xnuh_Wo19bTeQK24IGGha1PcZfjhUkK-31O4OTo-8gk")</f>
        <v>1Xnuh_Wo19bTeQK24IGGha1PcZfjhUkK-31O4OTo-8gk</v>
      </c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 t="str">
        <f>IFERROR(__xludf.DUMMYFUNCTION("""COMPUTED_VALUE"""),"Rebalancer")</f>
        <v>Rebalancer</v>
      </c>
      <c r="B460" s="4" t="str">
        <f>IFERROR(__xludf.DUMMYFUNCTION("""COMPUTED_VALUE"""),"SendToStagingExport")</f>
        <v>SendToStagingExport</v>
      </c>
      <c r="C460" s="4" t="str">
        <f>IFERROR(__xludf.DUMMYFUNCTION("""COMPUTED_VALUE"""),"1OPD3lVtYSDe_XHE5HwEohhSSru0N2Ct-tsJMahW36gA")</f>
        <v>1OPD3lVtYSDe_XHE5HwEohhSSru0N2Ct-tsJMahW36gA</v>
      </c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 t="str">
        <f>IFERROR(__xludf.DUMMYFUNCTION("""COMPUTED_VALUE"""),"PTT")</f>
        <v>PTT</v>
      </c>
      <c r="B461" s="4" t="str">
        <f>IFERROR(__xludf.DUMMYFUNCTION("""COMPUTED_VALUE"""),"SetDefaultSymbology")</f>
        <v>SetDefaultSymbology</v>
      </c>
      <c r="C461" s="4" t="str">
        <f>IFERROR(__xludf.DUMMYFUNCTION("""COMPUTED_VALUE"""),"1KdWYL-9o3T_s8hnOZgoqVlgZifoowhBftf1dB8UUEjA")</f>
        <v>1KdWYL-9o3T_s8hnOZgoqVlgZifoowhBftf1dB8UUEjA</v>
      </c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 t="str">
        <f>IFERROR(__xludf.DUMMYFUNCTION("""COMPUTED_VALUE"""),"Allocation")</f>
        <v>Allocation</v>
      </c>
      <c r="B462" s="4" t="str">
        <f>IFERROR(__xludf.DUMMYFUNCTION("""COMPUTED_VALUE"""),"EnterCustomAllocatePreference")</f>
        <v>EnterCustomAllocatePreference</v>
      </c>
      <c r="C462" s="4" t="str">
        <f>IFERROR(__xludf.DUMMYFUNCTION("""COMPUTED_VALUE"""),"1kexOrwBiHtqG3kWPF004vh7Uh_fsxYODz7FwJELyxHs")</f>
        <v>1kexOrwBiHtqG3kWPF004vh7Uh_fsxYODz7FwJELyxHs</v>
      </c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 t="str">
        <f>IFERROR(__xludf.DUMMYFUNCTION("""COMPUTED_VALUE"""),"PTT")</f>
        <v>PTT</v>
      </c>
      <c r="B463" s="4" t="str">
        <f>IFERROR(__xludf.DUMMYFUNCTION("""COMPUTED_VALUE"""),"EditPTTAccountLevelWPF")</f>
        <v>EditPTTAccountLevelWPF</v>
      </c>
      <c r="C463" s="4" t="str">
        <f>IFERROR(__xludf.DUMMYFUNCTION("""COMPUTED_VALUE"""),"1FOz3pvVXQqHqNaQZoj1ZAwoakpNcXbTzmGBaHQHWAHg")</f>
        <v>1FOz3pvVXQqHqNaQZoj1ZAwoakpNcXbTzmGBaHQHWAHg</v>
      </c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 t="str">
        <f>IFERROR(__xludf.DUMMYFUNCTION("""COMPUTED_VALUE"""),"PortfolioManagement")</f>
        <v>PortfolioManagement</v>
      </c>
      <c r="B464" s="4" t="str">
        <f>IFERROR(__xludf.DUMMYFUNCTION("""COMPUTED_VALUE"""),"OpenCreateTransactionFromPM")</f>
        <v>OpenCreateTransactionFromPM</v>
      </c>
      <c r="C464" s="4" t="str">
        <f>IFERROR(__xludf.DUMMYFUNCTION("""COMPUTED_VALUE"""),"1P5WpmZxUJFZHJeXXrd3NNkBg8pOhlyvhikvYTRi0xJw")</f>
        <v>1P5WpmZxUJFZHJeXXrd3NNkBg8pOhlyvhikvYTRi0xJw</v>
      </c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 t="str">
        <f>IFERROR(__xludf.DUMMYFUNCTION("""COMPUTED_VALUE"""),"Allocation")</f>
        <v>Allocation</v>
      </c>
      <c r="B465" s="4" t="str">
        <f>IFERROR(__xludf.DUMMYFUNCTION("""COMPUTED_VALUE"""),"SetAutoGroupingPreferences")</f>
        <v>SetAutoGroupingPreferences</v>
      </c>
      <c r="C465" s="4" t="str">
        <f>IFERROR(__xludf.DUMMYFUNCTION("""COMPUTED_VALUE"""),"1AhbrxQBzlUvYhZ04Lc7wrtynsHI_0KCLcf8QD3l6tpk")</f>
        <v>1AhbrxQBzlUvYhZ04Lc7wrtynsHI_0KCLcf8QD3l6tpk</v>
      </c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 t="str">
        <f>IFERROR(__xludf.DUMMYFUNCTION("""COMPUTED_VALUE"""),"Allocation")</f>
        <v>Allocation</v>
      </c>
      <c r="B466" s="4" t="str">
        <f>IFERROR(__xludf.DUMMYFUNCTION("""COMPUTED_VALUE"""),"SetAutoGroupingAccount")</f>
        <v>SetAutoGroupingAccount</v>
      </c>
      <c r="C466" s="4" t="str">
        <f>IFERROR(__xludf.DUMMYFUNCTION("""COMPUTED_VALUE"""),"18esH6GBNz1-GV7-ZFJ2hX2Sp9V56SlvmGczGBmWjjgk")</f>
        <v>18esH6GBNz1-GV7-ZFJ2hX2Sp9V56SlvmGczGBmWjjgk</v>
      </c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 t="str">
        <f>IFERROR(__xludf.DUMMYFUNCTION("""COMPUTED_VALUE"""),"Allocation")</f>
        <v>Allocation</v>
      </c>
      <c r="B467" s="4" t="str">
        <f>IFERROR(__xludf.DUMMYFUNCTION("""COMPUTED_VALUE"""),"SetAvgPriceRounding")</f>
        <v>SetAvgPriceRounding</v>
      </c>
      <c r="C467" s="4" t="str">
        <f>IFERROR(__xludf.DUMMYFUNCTION("""COMPUTED_VALUE"""),"1rkw9xlq4Ee01gKbFKqk4K6RIEIEZdOXtofMrjBh_3qs")</f>
        <v>1rkw9xlq4Ee01gKbFKqk4K6RIEIEZdOXtofMrjBh_3qs</v>
      </c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 t="str">
        <f>IFERROR(__xludf.DUMMYFUNCTION("""COMPUTED_VALUE"""),"Admin")</f>
        <v>Admin</v>
      </c>
      <c r="B468" s="4" t="str">
        <f>IFERROR(__xludf.DUMMYFUNCTION("""COMPUTED_VALUE"""),"SetActive")</f>
        <v>SetActive</v>
      </c>
      <c r="C468" s="4" t="str">
        <f>IFERROR(__xludf.DUMMYFUNCTION("""COMPUTED_VALUE"""),"1gUu6sYSTqVEyjUlOCoeeIVztfrHW4NwiHtVAghjPiO0")</f>
        <v>1gUu6sYSTqVEyjUlOCoeeIVztfrHW4NwiHtVAghjPiO0</v>
      </c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 t="str">
        <f>IFERROR(__xludf.DUMMYFUNCTION("""COMPUTED_VALUE"""),"Admin")</f>
        <v>Admin</v>
      </c>
      <c r="B469" s="4" t="str">
        <f>IFERROR(__xludf.DUMMYFUNCTION("""COMPUTED_VALUE"""),"SetThirdPartyFormat")</f>
        <v>SetThirdPartyFormat</v>
      </c>
      <c r="C469" s="4" t="str">
        <f>IFERROR(__xludf.DUMMYFUNCTION("""COMPUTED_VALUE"""),"1taVilha9wCvlWWrWySxYHIg1IUM3Js0xeAEsGXu1wb4")</f>
        <v>1taVilha9wCvlWWrWySxYHIg1IUM3Js0xeAEsGXu1wb4</v>
      </c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 t="str">
        <f>IFERROR(__xludf.DUMMYFUNCTION("""COMPUTED_VALUE"""),"Admin")</f>
        <v>Admin</v>
      </c>
      <c r="B470" s="4" t="str">
        <f>IFERROR(__xludf.DUMMYFUNCTION("""COMPUTED_VALUE"""),"UpdateRoundLot")</f>
        <v>UpdateRoundLot</v>
      </c>
      <c r="C470" s="4" t="str">
        <f>IFERROR(__xludf.DUMMYFUNCTION("""COMPUTED_VALUE"""),"1vPyYrDAjwQJe-gHSwofvAmZ5sGU32BIPiqw9QJOb7sE")</f>
        <v>1vPyYrDAjwQJe-gHSwofvAmZ5sGU32BIPiqw9QJOb7sE</v>
      </c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 t="str">
        <f>IFERROR(__xludf.DUMMYFUNCTION("""COMPUTED_VALUE"""),"Rebalancer")</f>
        <v>Rebalancer</v>
      </c>
      <c r="B471" s="4" t="str">
        <f>IFERROR(__xludf.DUMMYFUNCTION("""COMPUTED_VALUE"""),"RebalanceViaBloomberg")</f>
        <v>RebalanceViaBloomberg</v>
      </c>
      <c r="C471" s="4" t="str">
        <f>IFERROR(__xludf.DUMMYFUNCTION("""COMPUTED_VALUE"""),"1b_5w3PXwhAeh_pAkVMhtUU4Bo19ZrhM2By_3wd6TgrU")</f>
        <v>1b_5w3PXwhAeh_pAkVMhtUU4Bo19ZrhM2By_3wd6TgrU</v>
      </c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 t="str">
        <f>IFERROR(__xludf.DUMMYFUNCTION("""COMPUTED_VALUE"""),"ThirdParty")</f>
        <v>ThirdParty</v>
      </c>
      <c r="B472" s="4" t="str">
        <f>IFERROR(__xludf.DUMMYFUNCTION("""COMPUTED_VALUE"""),"RefreshThirdParty")</f>
        <v>RefreshThirdParty</v>
      </c>
      <c r="C472" s="4" t="str">
        <f>IFERROR(__xludf.DUMMYFUNCTION("""COMPUTED_VALUE"""),"1_zhn88q1H87WPtNgcDXU0tgtHx0YBJLMCcYxzXXroVs")</f>
        <v>1_zhn88q1H87WPtNgcDXU0tgtHx0YBJLMCcYxzXXroVs</v>
      </c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 t="str">
        <f>IFERROR(__xludf.DUMMYFUNCTION("""COMPUTED_VALUE"""),"Rebalancer")</f>
        <v>Rebalancer</v>
      </c>
      <c r="B473" s="4" t="str">
        <f>IFERROR(__xludf.DUMMYFUNCTION("""COMPUTED_VALUE"""),"AddUserAdjustedNAV")</f>
        <v>AddUserAdjustedNAV</v>
      </c>
      <c r="C473" s="4" t="str">
        <f>IFERROR(__xludf.DUMMYFUNCTION("""COMPUTED_VALUE"""),"1ifdh8xwjLpytsTG8bbxfIam9ZdqvEHGM-CzxVYGEXIs")</f>
        <v>1ifdh8xwjLpytsTG8bbxfIam9ZdqvEHGM-CzxVYGEXIs</v>
      </c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 t="str">
        <f>IFERROR(__xludf.DUMMYFUNCTION("""COMPUTED_VALUE"""),"Allocation")</f>
        <v>Allocation</v>
      </c>
      <c r="B474" s="4" t="str">
        <f>IFERROR(__xludf.DUMMYFUNCTION("""COMPUTED_VALUE"""),"IsAllocationOpen")</f>
        <v>IsAllocationOpen</v>
      </c>
      <c r="C474" s="4" t="str">
        <f>IFERROR(__xludf.DUMMYFUNCTION("""COMPUTED_VALUE"""),"1-MLs_Ww619D0GTJenhKi8JspiyKlENvHCAfkc99ZDXk")</f>
        <v>1-MLs_Ww619D0GTJenhKi8JspiyKlENvHCAfkc99ZDXk</v>
      </c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 t="str">
        <f>IFERROR(__xludf.DUMMYFUNCTION("""COMPUTED_VALUE"""),"ShortLocate")</f>
        <v>ShortLocate</v>
      </c>
      <c r="B475" s="4" t="str">
        <f>IFERROR(__xludf.DUMMYFUNCTION("""COMPUTED_VALUE"""),"ImportOnShortLocate")</f>
        <v>ImportOnShortLocate</v>
      </c>
      <c r="C475" s="4" t="str">
        <f>IFERROR(__xludf.DUMMYFUNCTION("""COMPUTED_VALUE"""),"18TtTrIfDPZ4FY6y6BEM1QWT6a3RezlV2Qgs0VYjta1Y")</f>
        <v>18TtTrIfDPZ4FY6y6BEM1QWT6a3RezlV2Qgs0VYjta1Y</v>
      </c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 t="str">
        <f>IFERROR(__xludf.DUMMYFUNCTION("""COMPUTED_VALUE"""),"ShortLocate")</f>
        <v>ShortLocate</v>
      </c>
      <c r="B476" s="4" t="str">
        <f>IFERROR(__xludf.DUMMYFUNCTION("""COMPUTED_VALUE"""),"ApplyFilterOnShortLocate")</f>
        <v>ApplyFilterOnShortLocate</v>
      </c>
      <c r="C476" s="4" t="str">
        <f>IFERROR(__xludf.DUMMYFUNCTION("""COMPUTED_VALUE"""),"1e-EcYLjI4QLWe-aVZQLSs4AE3HMdDde42AK_ilP7W14")</f>
        <v>1e-EcYLjI4QLWe-aVZQLSs4AE3HMdDde42AK_ilP7W14</v>
      </c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 t="str">
        <f>IFERROR(__xludf.DUMMYFUNCTION("""COMPUTED_VALUE"""),"ShortLocate")</f>
        <v>ShortLocate</v>
      </c>
      <c r="B477" s="4" t="str">
        <f>IFERROR(__xludf.DUMMYFUNCTION("""COMPUTED_VALUE"""),"OpenTTFromShortLocate")</f>
        <v>OpenTTFromShortLocate</v>
      </c>
      <c r="C477" s="4" t="str">
        <f>IFERROR(__xludf.DUMMYFUNCTION("""COMPUTED_VALUE"""),"1uHiyIq7-VOPV7W3fHIxv6wpgB0bdb_j-j33CMdKoHG8")</f>
        <v>1uHiyIq7-VOPV7W3fHIxv6wpgB0bdb_j-j33CMdKoHG8</v>
      </c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 t="str">
        <f>IFERROR(__xludf.DUMMYFUNCTION("""COMPUTED_VALUE"""),"PortfolioManagement")</f>
        <v>PortfolioManagement</v>
      </c>
      <c r="B478" s="4" t="str">
        <f>IFERROR(__xludf.DUMMYFUNCTION("""COMPUTED_VALUE"""),"RemoveGroupingFromPM")</f>
        <v>RemoveGroupingFromPM</v>
      </c>
      <c r="C478" s="4" t="str">
        <f>IFERROR(__xludf.DUMMYFUNCTION("""COMPUTED_VALUE"""),"1a2knGiql1wCzuaB8DKpd6ZNGZ4PU78GHbVc-HCTMRz4")</f>
        <v>1a2knGiql1wCzuaB8DKpd6ZNGZ4PU78GHbVc-HCTMRz4</v>
      </c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 t="str">
        <f>IFERROR(__xludf.DUMMYFUNCTION("""COMPUTED_VALUE"""),"Watchlist")</f>
        <v>Watchlist</v>
      </c>
      <c r="B479" s="4" t="str">
        <f>IFERROR(__xludf.DUMMYFUNCTION("""COMPUTED_VALUE"""),"AddTabOnWatchlist")</f>
        <v>AddTabOnWatchlist</v>
      </c>
      <c r="C479" s="4" t="str">
        <f>IFERROR(__xludf.DUMMYFUNCTION("""COMPUTED_VALUE"""),"1azJ9v2w7AwJhl_0_bAUZne2G_SFJMuLBPzq7954262s")</f>
        <v>1azJ9v2w7AwJhl_0_bAUZne2G_SFJMuLBPzq7954262s</v>
      </c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 t="str">
        <f>IFERROR(__xludf.DUMMYFUNCTION("""COMPUTED_VALUE"""),"Watchlist")</f>
        <v>Watchlist</v>
      </c>
      <c r="B480" s="4" t="str">
        <f>IFERROR(__xludf.DUMMYFUNCTION("""COMPUTED_VALUE"""),"DeleteTabOnWatchlist")</f>
        <v>DeleteTabOnWatchlist</v>
      </c>
      <c r="C480" s="4" t="str">
        <f>IFERROR(__xludf.DUMMYFUNCTION("""COMPUTED_VALUE"""),"1dywOfaMeYMgLGbyodr_rgJqA7HdxAyRDvqwTgOr_FV8")</f>
        <v>1dywOfaMeYMgLGbyodr_rgJqA7HdxAyRDvqwTgOr_FV8</v>
      </c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 t="str">
        <f>IFERROR(__xludf.DUMMYFUNCTION("""COMPUTED_VALUE"""),"ShortLocate")</f>
        <v>ShortLocate</v>
      </c>
      <c r="B481" s="4" t="str">
        <f>IFERROR(__xludf.DUMMYFUNCTION("""COMPUTED_VALUE"""),"Upload")</f>
        <v>Upload</v>
      </c>
      <c r="C481" s="4" t="str">
        <f>IFERROR(__xludf.DUMMYFUNCTION("""COMPUTED_VALUE"""),"1K3403vK5pLvuvcWTXHu1UmgT1GohIYz7DPLRQAD0HCk")</f>
        <v>1K3403vK5pLvuvcWTXHu1UmgT1GohIYz7DPLRQAD0HCk</v>
      </c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 t="str">
        <f>IFERROR(__xludf.DUMMYFUNCTION("""COMPUTED_VALUE"""),"Recon")</f>
        <v>Recon</v>
      </c>
      <c r="B482" s="4" t="str">
        <f>IFERROR(__xludf.DUMMYFUNCTION("""COMPUTED_VALUE"""),"ViewDataOnRecon")</f>
        <v>ViewDataOnRecon</v>
      </c>
      <c r="C482" s="4" t="str">
        <f>IFERROR(__xludf.DUMMYFUNCTION("""COMPUTED_VALUE"""),"1hgvmb7xlOL1LeDD1_c2ehf_CcTQs-NVEQcrj52EgfkY")</f>
        <v>1hgvmb7xlOL1LeDD1_c2ehf_CcTQs-NVEQcrj52EgfkY</v>
      </c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 t="str">
        <f>IFERROR(__xludf.DUMMYFUNCTION("""COMPUTED_VALUE"""),"Recon")</f>
        <v>Recon</v>
      </c>
      <c r="B483" s="4" t="str">
        <f>IFERROR(__xludf.DUMMYFUNCTION("""COMPUTED_VALUE"""),"RunRecon")</f>
        <v>RunRecon</v>
      </c>
      <c r="C483" s="4" t="str">
        <f>IFERROR(__xludf.DUMMYFUNCTION("""COMPUTED_VALUE"""),"1a_lIF-yQ_4BbBIj3H4E_Sa208tyBml3azCVHLulXbZA")</f>
        <v>1a_lIF-yQ_4BbBIj3H4E_Sa208tyBml3azCVHLulXbZA</v>
      </c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 t="str">
        <f>IFERROR(__xludf.DUMMYFUNCTION("""COMPUTED_VALUE"""),"Recon")</f>
        <v>Recon</v>
      </c>
      <c r="B484" s="4" t="str">
        <f>IFERROR(__xludf.DUMMYFUNCTION("""COMPUTED_VALUE"""),"GenerateExceptionReport")</f>
        <v>GenerateExceptionReport</v>
      </c>
      <c r="C484" s="4" t="str">
        <f>IFERROR(__xludf.DUMMYFUNCTION("""COMPUTED_VALUE"""),"1hLXxcwsJweMSg5Go7Aa_QZphxBktbdPjlASa0S1xBos")</f>
        <v>1hLXxcwsJweMSg5Go7Aa_QZphxBktbdPjlASa0S1xBos</v>
      </c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 t="str">
        <f>IFERROR(__xludf.DUMMYFUNCTION("""COMPUTED_VALUE"""),"Recon")</f>
        <v>Recon</v>
      </c>
      <c r="B485" s="4" t="str">
        <f>IFERROR(__xludf.DUMMYFUNCTION("""COMPUTED_VALUE"""),"ImportDataOnRecon")</f>
        <v>ImportDataOnRecon</v>
      </c>
      <c r="C485" s="4" t="str">
        <f>IFERROR(__xludf.DUMMYFUNCTION("""COMPUTED_VALUE"""),"1NPXdEV4aauKt592s3ZSJRLqkCido8G_bhh0amZ9aT9g")</f>
        <v>1NPXdEV4aauKt592s3ZSJRLqkCido8G_bhh0amZ9aT9g</v>
      </c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 t="str">
        <f>IFERROR(__xludf.DUMMYFUNCTION("""COMPUTED_VALUE"""),"ShortLocate")</f>
        <v>ShortLocate</v>
      </c>
      <c r="B486" s="4" t="str">
        <f>IFERROR(__xludf.DUMMYFUNCTION("""COMPUTED_VALUE"""),"VerifyShortLocateGrid")</f>
        <v>VerifyShortLocateGrid</v>
      </c>
      <c r="C486" s="4" t="str">
        <f>IFERROR(__xludf.DUMMYFUNCTION("""COMPUTED_VALUE"""),"1l0BuHlCc_a8ajF2i2LyuIx-ihrOOGibGtDl3YzOfSEY")</f>
        <v>1l0BuHlCc_a8ajF2i2LyuIx-ihrOOGibGtDl3YzOfSEY</v>
      </c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 t="str">
        <f>IFERROR(__xludf.DUMMYFUNCTION("""COMPUTED_VALUE"""),"Recon")</f>
        <v>Recon</v>
      </c>
      <c r="B487" s="4" t="str">
        <f>IFERROR(__xludf.DUMMYFUNCTION("""COMPUTED_VALUE"""),"VerifyApplicationData")</f>
        <v>VerifyApplicationData</v>
      </c>
      <c r="C487" s="4" t="str">
        <f>IFERROR(__xludf.DUMMYFUNCTION("""COMPUTED_VALUE"""),"1Dpr8WIv6TDBK0rxjxSy_MqWbkp0VcPh0dzzq05jelwk")</f>
        <v>1Dpr8WIv6TDBK0rxjxSy_MqWbkp0VcPh0dzzq05jelwk</v>
      </c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 t="str">
        <f>IFERROR(__xludf.DUMMYFUNCTION("""COMPUTED_VALUE"""),"Recon")</f>
        <v>Recon</v>
      </c>
      <c r="B488" s="4" t="str">
        <f>IFERROR(__xludf.DUMMYFUNCTION("""COMPUTED_VALUE"""),"VerifyExceptionReport")</f>
        <v>VerifyExceptionReport</v>
      </c>
      <c r="C488" s="4" t="str">
        <f>IFERROR(__xludf.DUMMYFUNCTION("""COMPUTED_VALUE"""),"1vn6eAU_TNbjFlzAIJE-M1vn49jstJpRKNVt1ALlVQus")</f>
        <v>1vn6eAU_TNbjFlzAIJE-M1vn49jstJpRKNVt1ALlVQus</v>
      </c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 t="str">
        <f>IFERROR(__xludf.DUMMYFUNCTION("""COMPUTED_VALUE"""),"Recon")</f>
        <v>Recon</v>
      </c>
      <c r="B489" s="4" t="str">
        <f>IFERROR(__xludf.DUMMYFUNCTION("""COMPUTED_VALUE"""),"VerifyPrimeBrokerData")</f>
        <v>VerifyPrimeBrokerData</v>
      </c>
      <c r="C489" s="4" t="str">
        <f>IFERROR(__xludf.DUMMYFUNCTION("""COMPUTED_VALUE"""),"1vO08eQ3WtVgvFFa4m5QUSWEYmv1ZOhFWcta7Kzp1MBQ")</f>
        <v>1vO08eQ3WtVgvFFa4m5QUSWEYmv1ZOhFWcta7Kzp1MBQ</v>
      </c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 t="str">
        <f>IFERROR(__xludf.DUMMYFUNCTION("""COMPUTED_VALUE"""),"Admin")</f>
        <v>Admin</v>
      </c>
      <c r="B490" s="4" t="str">
        <f>IFERROR(__xludf.DUMMYFUNCTION("""COMPUTED_VALUE"""),"SetTradingComplianceRules")</f>
        <v>SetTradingComplianceRules</v>
      </c>
      <c r="C490" s="4" t="str">
        <f>IFERROR(__xludf.DUMMYFUNCTION("""COMPUTED_VALUE"""),"1bIqD5onAh5fgPov8t1pUC5b4a9exQ5D7TG3YiT7HTiQ")</f>
        <v>1bIqD5onAh5fgPov8t1pUC5b4a9exQ5D7TG3YiT7HTiQ</v>
      </c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 t="str">
        <f>IFERROR(__xludf.DUMMYFUNCTION("""COMPUTED_VALUE"""),"TradingTicket")</f>
        <v>TradingTicket</v>
      </c>
      <c r="B491" s="4" t="str">
        <f>IFERROR(__xludf.DUMMYFUNCTION("""COMPUTED_VALUE"""),"ImportSymbol")</f>
        <v>ImportSymbol</v>
      </c>
      <c r="C491" s="4" t="str">
        <f>IFERROR(__xludf.DUMMYFUNCTION("""COMPUTED_VALUE"""),"1oBs-bjVGuZxR8kCsLcXR9mY_XazhDhrpRb2xJaLqs_E")</f>
        <v>1oBs-bjVGuZxR8kCsLcXR9mY_XazhDhrpRb2xJaLqs_E</v>
      </c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 t="str">
        <f>IFERROR(__xludf.DUMMYFUNCTION("""COMPUTED_VALUE"""),"TradingTicket")</f>
        <v>TradingTicket</v>
      </c>
      <c r="B492" s="4" t="str">
        <f>IFERROR(__xludf.DUMMYFUNCTION("""COMPUTED_VALUE"""),"ExportSymbolFromRAList")</f>
        <v>ExportSymbolFromRAList</v>
      </c>
      <c r="C492" s="4" t="str">
        <f>IFERROR(__xludf.DUMMYFUNCTION("""COMPUTED_VALUE"""),"1xtzuWBhZe0eLq8O7xxtzG82zLI_pS5mUV_moECZdNpU")</f>
        <v>1xtzuWBhZe0eLq8O7xxtzG82zLI_pS5mUV_moECZdNpU</v>
      </c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 t="str">
        <f>IFERROR(__xludf.DUMMYFUNCTION("""COMPUTED_VALUE"""),"TradingTicket")</f>
        <v>TradingTicket</v>
      </c>
      <c r="B493" s="4" t="str">
        <f>IFERROR(__xludf.DUMMYFUNCTION("""COMPUTED_VALUE""")," CheckPendingNewOrderAlert")</f>
        <v> CheckPendingNewOrderAlert</v>
      </c>
      <c r="C493" s="4" t="str">
        <f>IFERROR(__xludf.DUMMYFUNCTION("""COMPUTED_VALUE"""),"1Uee-x9kYITNzfo5Jmi-ZzN4muIc1l3aGkFEjg6zK4rw")</f>
        <v>1Uee-x9kYITNzfo5Jmi-ZzN4muIc1l3aGkFEjg6zK4rw</v>
      </c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 t="str">
        <f>IFERROR(__xludf.DUMMYFUNCTION("""COMPUTED_VALUE"""),"TradingTicket")</f>
        <v>TradingTicket</v>
      </c>
      <c r="B494" s="4" t="str">
        <f>IFERROR(__xludf.DUMMYFUNCTION("""COMPUTED_VALUE"""),"AddSymbolOnRAList")</f>
        <v>AddSymbolOnRAList</v>
      </c>
      <c r="C494" s="4" t="str">
        <f>IFERROR(__xludf.DUMMYFUNCTION("""COMPUTED_VALUE"""),"1Ylf1m_iypjthZ6_f8Zwlk6GflWigvWKGFKPUkF0Lw3M")</f>
        <v>1Ylf1m_iypjthZ6_f8Zwlk6GflWigvWKGFKPUkF0Lw3M</v>
      </c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 t="str">
        <f>IFERROR(__xludf.DUMMYFUNCTION("""COMPUTED_VALUE"""),"TradingTicket")</f>
        <v>TradingTicket</v>
      </c>
      <c r="B495" s="4" t="str">
        <f>IFERROR(__xludf.DUMMYFUNCTION("""COMPUTED_VALUE"""),"DeleteSymbolListFromRA")</f>
        <v>DeleteSymbolListFromRA</v>
      </c>
      <c r="C495" s="4" t="str">
        <f>IFERROR(__xludf.DUMMYFUNCTION("""COMPUTED_VALUE"""),"18mAZrsY4iORaJ31tWyzQUe_E2I0WZiducaWhtQhI1bo")</f>
        <v>18mAZrsY4iORaJ31tWyzQUe_E2I0WZiducaWhtQhI1bo</v>
      </c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 t="str">
        <f>IFERROR(__xludf.DUMMYFUNCTION("""COMPUTED_VALUE"""),"TradingTicket")</f>
        <v>TradingTicket</v>
      </c>
      <c r="B496" s="4" t="str">
        <f>IFERROR(__xludf.DUMMYFUNCTION("""COMPUTED_VALUE"""),"RemoveSymbolFromRAList")</f>
        <v>RemoveSymbolFromRAList</v>
      </c>
      <c r="C496" s="4" t="str">
        <f>IFERROR(__xludf.DUMMYFUNCTION("""COMPUTED_VALUE"""),"14z6QrYYlP1TDKDUb39O0_rjdC6MZsyDDHft5bKbFe7Y")</f>
        <v>14z6QrYYlP1TDKDUb39O0_rjdC6MZsyDDHft5bKbFe7Y</v>
      </c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 t="str">
        <f>IFERROR(__xludf.DUMMYFUNCTION("""COMPUTED_VALUE"""),"Report")</f>
        <v>Report</v>
      </c>
      <c r="B497" s="4" t="str">
        <f>IFERROR(__xludf.DUMMYFUNCTION("""COMPUTED_VALUE"""),"ReportMatching")</f>
        <v>ReportMatching</v>
      </c>
      <c r="C497" s="4" t="str">
        <f>IFERROR(__xludf.DUMMYFUNCTION("""COMPUTED_VALUE"""),"1cUl6l-zlpV-4qvapXc106s6KeXaODz51BbbafJiEu1o")</f>
        <v>1cUl6l-zlpV-4qvapXc106s6KeXaODz51BbbafJiEu1o</v>
      </c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 t="str">
        <f>IFERROR(__xludf.DUMMYFUNCTION("""COMPUTED_VALUE"""),"Admin")</f>
        <v>Admin</v>
      </c>
      <c r="B498" s="4" t="str">
        <f>IFERROR(__xludf.DUMMYFUNCTION("""COMPUTED_VALUE"""),"EnableBreakdownRealizedPNL")</f>
        <v>EnableBreakdownRealizedPNL</v>
      </c>
      <c r="C498" s="4" t="str">
        <f>IFERROR(__xludf.DUMMYFUNCTION("""COMPUTED_VALUE"""),"1wcOWSlWdG4WrRltcCk8absTbbQd4rfzbEvV0Z6QnDIw")</f>
        <v>1wcOWSlWdG4WrRltcCk8absTbbQd4rfzbEvV0Z6QnDIw</v>
      </c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 t="str">
        <f>IFERROR(__xludf.DUMMYFUNCTION("""COMPUTED_VALUE"""),"Admin")</f>
        <v>Admin</v>
      </c>
      <c r="B499" s="4" t="str">
        <f>IFERROR(__xludf.DUMMYFUNCTION("""COMPUTED_VALUE"""),"SetTTGeneralPreferences")</f>
        <v>SetTTGeneralPreferences</v>
      </c>
      <c r="C499" s="4" t="str">
        <f>IFERROR(__xludf.DUMMYFUNCTION("""COMPUTED_VALUE"""),"16Tth7MhAr108iP6FoFBCWQNX3Hmi5JoCWiuEzBw-oDs")</f>
        <v>16Tth7MhAr108iP6FoFBCWQNX3Hmi5JoCWiuEzBw-oDs</v>
      </c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 t="str">
        <f>IFERROR(__xludf.DUMMYFUNCTION("""COMPUTED_VALUE"""),"Blotter")</f>
        <v>Blotter</v>
      </c>
      <c r="B500" s="4" t="str">
        <f>IFERROR(__xludf.DUMMYFUNCTION("""COMPUTED_VALUE"""),"OpenBlotter")</f>
        <v>OpenBlotter</v>
      </c>
      <c r="C500" s="4" t="str">
        <f>IFERROR(__xludf.DUMMYFUNCTION("""COMPUTED_VALUE"""),"1l2IXt5uxs1t4URHUX-BmZTtbv2Q2iQVM5OFWXazn3Wc")</f>
        <v>1l2IXt5uxs1t4URHUX-BmZTtbv2Q2iQVM5OFWXazn3Wc</v>
      </c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 t="str">
        <f>IFERROR(__xludf.DUMMYFUNCTION("""COMPUTED_VALUE"""),"ExeExecutor")</f>
        <v>ExeExecutor</v>
      </c>
      <c r="B501" s="4" t="str">
        <f>IFERROR(__xludf.DUMMYFUNCTION("""COMPUTED_VALUE"""),"CallExeExecutor")</f>
        <v>CallExeExecutor</v>
      </c>
      <c r="C501" s="4" t="str">
        <f>IFERROR(__xludf.DUMMYFUNCTION("""COMPUTED_VALUE"""),"1_4imnW45MZPZdDQqRFOTudFEJKoWNdNsFhqwsPVjiyI")</f>
        <v>1_4imnW45MZPZdDQqRFOTudFEJKoWNdNsFhqwsPVjiyI</v>
      </c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 t="str">
        <f>IFERROR(__xludf.DUMMYFUNCTION("""COMPUTED_VALUE"""),"TradingTicket")</f>
        <v>TradingTicket</v>
      </c>
      <c r="B502" s="4" t="str">
        <f>IFERROR(__xludf.DUMMYFUNCTION("""COMPUTED_VALUE"""),"ToggleBlombergOnRA")</f>
        <v>ToggleBlombergOnRA</v>
      </c>
      <c r="C502" s="4" t="str">
        <f>IFERROR(__xludf.DUMMYFUNCTION("""COMPUTED_VALUE"""),"1QO8L98pM1tM7XV0KByn2LfhNUlfBr61uBaOgp8tlTrY")</f>
        <v>1QO8L98pM1tM7XV0KByn2LfhNUlfBr61uBaOgp8tlTrY</v>
      </c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 t="str">
        <f>IFERROR(__xludf.DUMMYFUNCTION("""COMPUTED_VALUE"""),"Blotter")</f>
        <v>Blotter</v>
      </c>
      <c r="B503" s="4" t="str">
        <f>IFERROR(__xludf.DUMMYFUNCTION("""COMPUTED_VALUE"""),"RemoveManualExecution")</f>
        <v>RemoveManualExecution</v>
      </c>
      <c r="C503" s="4" t="str">
        <f>IFERROR(__xludf.DUMMYFUNCTION("""COMPUTED_VALUE"""),"1El5uRwN8Zwko5NwYgHohK1zpiRKkh_YePJ0cX2E3glo")</f>
        <v>1El5uRwN8Zwko5NwYgHohK1zpiRKkh_YePJ0cX2E3glo</v>
      </c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 t="str">
        <f>IFERROR(__xludf.DUMMYFUNCTION("""COMPUTED_VALUE"""),"Blotter")</f>
        <v>Blotter</v>
      </c>
      <c r="B504" s="4" t="str">
        <f>IFERROR(__xludf.DUMMYFUNCTION("""COMPUTED_VALUE"""),"RemoveExecutionWorkingSubs")</f>
        <v>RemoveExecutionWorkingSubs</v>
      </c>
      <c r="C504" s="4" t="str">
        <f>IFERROR(__xludf.DUMMYFUNCTION("""COMPUTED_VALUE"""),"1Gty3Ew09-jbNIs7SPwjiMC4qk0nDYdsdjNgVHEdl6r0")</f>
        <v>1Gty3Ew09-jbNIs7SPwjiMC4qk0nDYdsdjNgVHEdl6r0</v>
      </c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 t="str">
        <f>IFERROR(__xludf.DUMMYFUNCTION("""COMPUTED_VALUE"""),"Dropcopy")</f>
        <v>Dropcopy</v>
      </c>
      <c r="B505" s="4" t="str">
        <f>IFERROR(__xludf.DUMMYFUNCTION("""COMPUTED_VALUE"""),"UploadDropcopyFile")</f>
        <v>UploadDropcopyFile</v>
      </c>
      <c r="C505" s="4" t="str">
        <f>IFERROR(__xludf.DUMMYFUNCTION("""COMPUTED_VALUE"""),"1h8dY4l_y7yym8l9hTXHVlg3E6GsG52_9KIo5GFjmA8k")</f>
        <v>1h8dY4l_y7yym8l9hTXHVlg3E6GsG52_9KIo5GFjmA8k</v>
      </c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 t="str">
        <f>IFERROR(__xludf.DUMMYFUNCTION("""COMPUTED_VALUE"""),"TradeServer")</f>
        <v>TradeServer</v>
      </c>
      <c r="B506" s="4" t="str">
        <f>IFERROR(__xludf.DUMMYFUNCTION("""COMPUTED_VALUE"""),"StartTradeServer")</f>
        <v>StartTradeServer</v>
      </c>
      <c r="C506" s="4" t="str">
        <f>IFERROR(__xludf.DUMMYFUNCTION("""COMPUTED_VALUE"""),"1dwpz97u-suG-Fl1p7vL-LH_dugKcjjOV8oBHWhL-Ggg")</f>
        <v>1dwpz97u-suG-Fl1p7vL-LH_dugKcjjOV8oBHWhL-Ggg</v>
      </c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 t="str">
        <f>IFERROR(__xludf.DUMMYFUNCTION("""COMPUTED_VALUE"""),"TradeServer")</f>
        <v>TradeServer</v>
      </c>
      <c r="B507" s="4" t="str">
        <f>IFERROR(__xludf.DUMMYFUNCTION("""COMPUTED_VALUE"""),"CloseTradeServer ")</f>
        <v>CloseTradeServer </v>
      </c>
      <c r="C507" s="4" t="str">
        <f>IFERROR(__xludf.DUMMYFUNCTION("""COMPUTED_VALUE"""),"1RUpNNC94eo6CzUCyYXnEgJjNJNHljZmxUqpU88hDqvo")</f>
        <v>1RUpNNC94eo6CzUCyYXnEgJjNJNHljZmxUqpU88hDqvo</v>
      </c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 t="str">
        <f>IFERROR(__xludf.DUMMYFUNCTION("""COMPUTED_VALUE"""),"Blotter")</f>
        <v>Blotter</v>
      </c>
      <c r="B508" s="4" t="str">
        <f>IFERROR(__xludf.DUMMYFUNCTION("""COMPUTED_VALUE"""),"GetExecutionReportOrders")</f>
        <v>GetExecutionReportOrders</v>
      </c>
      <c r="C508" s="4" t="str">
        <f>IFERROR(__xludf.DUMMYFUNCTION("""COMPUTED_VALUE"""),"1AFiNBanUg4LBaZwE0sKs99uF_4CT4Qq3z4KSYaBlk8s")</f>
        <v>1AFiNBanUg4LBaZwE0sKs99uF_4CT4Qq3z4KSYaBlk8s</v>
      </c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 t="str">
        <f>IFERROR(__xludf.DUMMYFUNCTION("""COMPUTED_VALUE"""),"Blotter")</f>
        <v>Blotter</v>
      </c>
      <c r="B509" s="4" t="str">
        <f>IFERROR(__xludf.DUMMYFUNCTION("""COMPUTED_VALUE"""),"GetExecutionReportDetails")</f>
        <v>GetExecutionReportDetails</v>
      </c>
      <c r="C509" s="4" t="str">
        <f>IFERROR(__xludf.DUMMYFUNCTION("""COMPUTED_VALUE"""),"1Ns2Ww-kwbzOvCy0I9cUznz2PW19y3SgMCpf0oi4ieAA")</f>
        <v>1Ns2Ww-kwbzOvCy0I9cUznz2PW19y3SgMCpf0oi4ieAA</v>
      </c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 t="str">
        <f>IFERROR(__xludf.DUMMYFUNCTION("""COMPUTED_VALUE"""),"Blotter")</f>
        <v>Blotter</v>
      </c>
      <c r="B510" s="4" t="str">
        <f>IFERROR(__xludf.DUMMYFUNCTION("""COMPUTED_VALUE"""),"ExportExecutionReportData")</f>
        <v>ExportExecutionReportData</v>
      </c>
      <c r="C510" s="4" t="str">
        <f>IFERROR(__xludf.DUMMYFUNCTION("""COMPUTED_VALUE"""),"1LAiUKfzdOor0ACQpWIfOZgQ4MfnhBXObmZFMPVXU20w")</f>
        <v>1LAiUKfzdOor0ACQpWIfOZgQ4MfnhBXObmZFMPVXU20w</v>
      </c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 t="str">
        <f>IFERROR(__xludf.DUMMYFUNCTION("""COMPUTED_VALUE"""),"Blotter")</f>
        <v>Blotter</v>
      </c>
      <c r="B511" s="4" t="str">
        <f>IFERROR(__xludf.DUMMYFUNCTION("""COMPUTED_VALUE"""),"VerifyExecutionReport")</f>
        <v>VerifyExecutionReport</v>
      </c>
      <c r="C511" s="4" t="str">
        <f>IFERROR(__xludf.DUMMYFUNCTION("""COMPUTED_VALUE"""),"1yd48b6wQ6aCrLoLmfkjO8wiQZP62vLgpK_Q_eTapu4w")</f>
        <v>1yd48b6wQ6aCrLoLmfkjO8wiQZP62vLgpK_Q_eTapu4w</v>
      </c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 t="str">
        <f>IFERROR(__xludf.DUMMYFUNCTION("""COMPUTED_VALUE"""),"Blotter")</f>
        <v>Blotter</v>
      </c>
      <c r="B512" s="4" t="str">
        <f>IFERROR(__xludf.DUMMYFUNCTION("""COMPUTED_VALUE"""),"BlotterExecutionReportSnapshot")</f>
        <v>BlotterExecutionReportSnapshot</v>
      </c>
      <c r="C512" s="4" t="str">
        <f>IFERROR(__xludf.DUMMYFUNCTION("""COMPUTED_VALUE"""),"1QqGxhnz20HsALFYnGuJyEDL2dd1qSmiBMaPsF8MowY4")</f>
        <v>1QqGxhnz20HsALFYnGuJyEDL2dd1qSmiBMaPsF8MowY4</v>
      </c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 t="str">
        <f>IFERROR(__xludf.DUMMYFUNCTION("""COMPUTED_VALUE"""),"Admin")</f>
        <v>Admin</v>
      </c>
      <c r="B513" s="4" t="str">
        <f>IFERROR(__xludf.DUMMYFUNCTION("""COMPUTED_VALUE"""),"SetDollarAmountPermission")</f>
        <v>SetDollarAmountPermission</v>
      </c>
      <c r="C513" s="4" t="str">
        <f>IFERROR(__xludf.DUMMYFUNCTION("""COMPUTED_VALUE"""),"1NsNQ11sPW94qOsA9wYppHUUVQ7VTg0TDchX6vMjxHSM")</f>
        <v>1NsNQ11sPW94qOsA9wYppHUUVQ7VTg0TDchX6vMjxHSM</v>
      </c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 t="str">
        <f>IFERROR(__xludf.DUMMYFUNCTION("""COMPUTED_VALUE"""),"Admin")</f>
        <v>Admin</v>
      </c>
      <c r="B514" s="4" t="str">
        <f>IFERROR(__xludf.DUMMYFUNCTION("""COMPUTED_VALUE"""),"EnableDisableModule")</f>
        <v>EnableDisableModule</v>
      </c>
      <c r="C514" s="4" t="str">
        <f>IFERROR(__xludf.DUMMYFUNCTION("""COMPUTED_VALUE"""),"1-qgayCVgYh-TiFPYq2yiHpH2YNskBCiyIqUU44hFn5Q")</f>
        <v>1-qgayCVgYh-TiFPYq2yiHpH2YNskBCiyIqUU44hFn5Q</v>
      </c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 t="str">
        <f>IFERROR(__xludf.DUMMYFUNCTION("""COMPUTED_VALUE"""),"Blotter")</f>
        <v>Blotter</v>
      </c>
      <c r="B515" s="4" t="str">
        <f>IFERROR(__xludf.DUMMYFUNCTION("""COMPUTED_VALUE"""),"MultipleTradeTransferToUser")</f>
        <v>MultipleTradeTransferToUser</v>
      </c>
      <c r="C515" s="4" t="str">
        <f>IFERROR(__xludf.DUMMYFUNCTION("""COMPUTED_VALUE"""),"1E2U9CGylDUGLaqjTgTRpuzNMvkBV33m3fLyu2q73_EA")</f>
        <v>1E2U9CGylDUGLaqjTgTRpuzNMvkBV33m3fLyu2q73_EA</v>
      </c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 t="str">
        <f>IFERROR(__xludf.DUMMYFUNCTION("""COMPUTED_VALUE"""),"Admin")</f>
        <v>Admin</v>
      </c>
      <c r="B516" s="4" t="str">
        <f>IFERROR(__xludf.DUMMYFUNCTION("""COMPUTED_VALUE"""),"IsImportOverrideOnShortLocate")</f>
        <v>IsImportOverrideOnShortLocate</v>
      </c>
      <c r="C516" s="4" t="str">
        <f>IFERROR(__xludf.DUMMYFUNCTION("""COMPUTED_VALUE"""),"1MgEuiFXaa1Xj8qTQvvYNz_eFGUeOpsltw9v4WXyPp2Y")</f>
        <v>1MgEuiFXaa1Xj8qTQvvYNz_eFGUeOpsltw9v4WXyPp2Y</v>
      </c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 t="str">
        <f>IFERROR(__xludf.DUMMYFUNCTION("""COMPUTED_VALUE"""),"Admin")</f>
        <v>Admin</v>
      </c>
      <c r="B517" s="4" t="str">
        <f>IFERROR(__xludf.DUMMYFUNCTION("""COMPUTED_VALUE"""),"SetShortLocateStructures")</f>
        <v>SetShortLocateStructures</v>
      </c>
      <c r="C517" s="4" t="str">
        <f>IFERROR(__xludf.DUMMYFUNCTION("""COMPUTED_VALUE"""),"1JXTS2aPwtzmzfaVv_4dqx8kGMWZ6ZPlluMh_AtB-VLM")</f>
        <v>1JXTS2aPwtzmzfaVv_4dqx8kGMWZ6ZPlluMh_AtB-VLM</v>
      </c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 t="str">
        <f>IFERROR(__xludf.DUMMYFUNCTION("""COMPUTED_VALUE"""),"ShortLocate")</f>
        <v>ShortLocate</v>
      </c>
      <c r="B518" s="4" t="str">
        <f>IFERROR(__xludf.DUMMYFUNCTION("""COMPUTED_VALUE"""),"DownloadFile")</f>
        <v>DownloadFile</v>
      </c>
      <c r="C518" s="4" t="str">
        <f>IFERROR(__xludf.DUMMYFUNCTION("""COMPUTED_VALUE"""),"1GexWNjbmQyaHL_wkUkmt5M8rNIMs2PLpyJ1OKlPF_6U")</f>
        <v>1GexWNjbmQyaHL_wkUkmt5M8rNIMs2PLpyJ1OKlPF_6U</v>
      </c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 t="str">
        <f>IFERROR(__xludf.DUMMYFUNCTION("""COMPUTED_VALUE"""),"ShortLocate")</f>
        <v>ShortLocate</v>
      </c>
      <c r="B519" s="4" t="str">
        <f>IFERROR(__xludf.DUMMYFUNCTION("""COMPUTED_VALUE"""),"SearchShortLocateUI")</f>
        <v>SearchShortLocateUI</v>
      </c>
      <c r="C519" s="4" t="str">
        <f>IFERROR(__xludf.DUMMYFUNCTION("""COMPUTED_VALUE"""),"1DKCTM5c59GatMPMxnS0Zbz1IgpCEMmNSn4fulcFSBWA")</f>
        <v>1DKCTM5c59GatMPMxnS0Zbz1IgpCEMmNSn4fulcFSBWA</v>
      </c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 t="str">
        <f>IFERROR(__xludf.DUMMYFUNCTION("""COMPUTED_VALUE"""),"TradingTicket")</f>
        <v>TradingTicket</v>
      </c>
      <c r="B520" s="4" t="str">
        <f>IFERROR(__xludf.DUMMYFUNCTION("""COMPUTED_VALUE"""),"CreateDoneAwayOrder")</f>
        <v>CreateDoneAwayOrder</v>
      </c>
      <c r="C520" s="4" t="str">
        <f>IFERROR(__xludf.DUMMYFUNCTION("""COMPUTED_VALUE"""),"1rJRRqJlBOAI1DmechO49htg_P97-G5pNyuROFY03c_0")</f>
        <v>1rJRRqJlBOAI1DmechO49htg_P97-G5pNyuROFY03c_0</v>
      </c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 t="str">
        <f>IFERROR(__xludf.DUMMYFUNCTION("""COMPUTED_VALUE"""),"TradingTicket")</f>
        <v>TradingTicket</v>
      </c>
      <c r="B521" s="4" t="str">
        <f>IFERROR(__xludf.DUMMYFUNCTION("""COMPUTED_VALUE"""),"CreateComplianceOrder")</f>
        <v>CreateComplianceOrder</v>
      </c>
      <c r="C521" s="4" t="str">
        <f>IFERROR(__xludf.DUMMYFUNCTION("""COMPUTED_VALUE"""),"1uZhdRETigrNB3cZo1BXMteOrJRYMf6Vdte0mKG3B7a4")</f>
        <v>1uZhdRETigrNB3cZo1BXMteOrJRYMf6Vdte0mKG3B7a4</v>
      </c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 t="str">
        <f>IFERROR(__xludf.DUMMYFUNCTION("""COMPUTED_VALUE"""),"Simulator")</f>
        <v>Simulator</v>
      </c>
      <c r="B522" s="4" t="str">
        <f>IFERROR(__xludf.DUMMYFUNCTION("""COMPUTED_VALUE"""),"VerifyTrades")</f>
        <v>VerifyTrades</v>
      </c>
      <c r="C522" s="4" t="str">
        <f>IFERROR(__xludf.DUMMYFUNCTION("""COMPUTED_VALUE"""),"11LnIuQUyQWz16zxwmr7_BDMlsw3tCEXwF0lALQ35sts")</f>
        <v>11LnIuQUyQWz16zxwmr7_BDMlsw3tCEXwF0lALQ35sts</v>
      </c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 t="str">
        <f>IFERROR(__xludf.DUMMYFUNCTION("""COMPUTED_VALUE"""),"ShortLocate")</f>
        <v>ShortLocate</v>
      </c>
      <c r="B523" s="4" t="str">
        <f>IFERROR(__xludf.DUMMYFUNCTION("""COMPUTED_VALUE"""),"SetShortLocatePreferences")</f>
        <v>SetShortLocatePreferences</v>
      </c>
      <c r="C523" s="4" t="str">
        <f>IFERROR(__xludf.DUMMYFUNCTION("""COMPUTED_VALUE"""),"1NeZSwz1SIB3gUqQIL6UzRE-Qr4gJDeQupuxQaufcHLY")</f>
        <v>1NeZSwz1SIB3gUqQIL6UzRE-Qr4gJDeQupuxQaufcHLY</v>
      </c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 t="str">
        <f>IFERROR(__xludf.DUMMYFUNCTION("""COMPUTED_VALUE"""),"SecurityMaster")</f>
        <v>SecurityMaster</v>
      </c>
      <c r="B524" s="4" t="str">
        <f>IFERROR(__xludf.DUMMYFUNCTION("""COMPUTED_VALUE"""),"GetSymbolData")</f>
        <v>GetSymbolData</v>
      </c>
      <c r="C524" s="4" t="str">
        <f>IFERROR(__xludf.DUMMYFUNCTION("""COMPUTED_VALUE"""),"1vv3kyJccjfIyDBgn04x7w4Z7FTIBcJUQzYbJHry0Wks")</f>
        <v>1vv3kyJccjfIyDBgn04x7w4Z7FTIBcJUQzYbJHry0Wks</v>
      </c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 t="str">
        <f>IFERROR(__xludf.DUMMYFUNCTION("""COMPUTED_VALUE"""),"SecurityMaster")</f>
        <v>SecurityMaster</v>
      </c>
      <c r="B525" s="4" t="str">
        <f>IFERROR(__xludf.DUMMYFUNCTION("""COMPUTED_VALUE"""),"EditSMData")</f>
        <v>EditSMData</v>
      </c>
      <c r="C525" s="4" t="str">
        <f>IFERROR(__xludf.DUMMYFUNCTION("""COMPUTED_VALUE"""),"16iJOTy3fdvVyoTNVUlTTv2ipMkLHpwnR83hPFzIH7Ak")</f>
        <v>16iJOTy3fdvVyoTNVUlTTv2ipMkLHpwnR83hPFzIH7Ak</v>
      </c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 t="str">
        <f>IFERROR(__xludf.DUMMYFUNCTION("""COMPUTED_VALUE"""),"Compliance")</f>
        <v>Compliance</v>
      </c>
      <c r="B526" s="4" t="str">
        <f>IFERROR(__xludf.DUMMYFUNCTION("""COMPUTED_VALUE"""),"RestartRuleMediator")</f>
        <v>RestartRuleMediator</v>
      </c>
      <c r="C526" s="4" t="str">
        <f>IFERROR(__xludf.DUMMYFUNCTION("""COMPUTED_VALUE"""),"1akNR1Amf59L1AstQQY5CTYwWnooFsbcOYuynBM4CKmM")</f>
        <v>1akNR1Amf59L1AstQQY5CTYwWnooFsbcOYuynBM4CKmM</v>
      </c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 t="str">
        <f>IFERROR(__xludf.DUMMYFUNCTION("""COMPUTED_VALUE"""),"Compliance")</f>
        <v>Compliance</v>
      </c>
      <c r="B527" s="4" t="str">
        <f>IFERROR(__xludf.DUMMYFUNCTION("""COMPUTED_VALUE"""),"VerifyAggAccountSymbolWithNav")</f>
        <v>VerifyAggAccountSymbolWithNav</v>
      </c>
      <c r="C527" s="4" t="str">
        <f>IFERROR(__xludf.DUMMYFUNCTION("""COMPUTED_VALUE"""),"1LuYoSjO5AtvBb9EYhrEUIwfKVSVQx9KjgCN-yIF7lFk")</f>
        <v>1LuYoSjO5AtvBb9EYhrEUIwfKVSVQx9KjgCN-yIF7lFk</v>
      </c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 t="str">
        <f>IFERROR(__xludf.DUMMYFUNCTION("""COMPUTED_VALUE"""),"Admin")</f>
        <v>Admin</v>
      </c>
      <c r="B528" s="4" t="str">
        <f>IFERROR(__xludf.DUMMYFUNCTION("""COMPUTED_VALUE"""),"SetComplianceAlert")</f>
        <v>SetComplianceAlert</v>
      </c>
      <c r="C528" s="4" t="str">
        <f>IFERROR(__xludf.DUMMYFUNCTION("""COMPUTED_VALUE"""),"1KxvRGZsDhpllA_7NzN1oRSxO912EnakDtX0IH-ZIdC4")</f>
        <v>1KxvRGZsDhpllA_7NzN1oRSxO912EnakDtX0IH-ZIdC4</v>
      </c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 t="str">
        <f>IFERROR(__xludf.DUMMYFUNCTION("""COMPUTED_VALUE"""),"Blotter")</f>
        <v>Blotter</v>
      </c>
      <c r="B529" s="4" t="str">
        <f>IFERROR(__xludf.DUMMYFUNCTION("""COMPUTED_VALUE"""),"ReloadOrderFromBlotter")</f>
        <v>ReloadOrderFromBlotter</v>
      </c>
      <c r="C529" s="4" t="str">
        <f>IFERROR(__xludf.DUMMYFUNCTION("""COMPUTED_VALUE"""),"1EkVmrnKs5-j3ysMwtCilrRqPyrGmw8rBBIGOYfmBm9Y")</f>
        <v>1EkVmrnKs5-j3ysMwtCilrRqPyrGmw8rBBIGOYfmBm9Y</v>
      </c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 t="str">
        <f>IFERROR(__xludf.DUMMYFUNCTION("""COMPUTED_VALUE"""),"Blotter")</f>
        <v>Blotter</v>
      </c>
      <c r="B530" s="4" t="str">
        <f>IFERROR(__xludf.DUMMYFUNCTION("""COMPUTED_VALUE"""),"ReloadOrderFromSubOrder")</f>
        <v>ReloadOrderFromSubOrder</v>
      </c>
      <c r="C530" s="4" t="str">
        <f>IFERROR(__xludf.DUMMYFUNCTION("""COMPUTED_VALUE"""),"1Df8QexVjibp6e-DrJ15K3SNBfL1Xk8NzcYqAlIfaa0Q")</f>
        <v>1Df8QexVjibp6e-DrJ15K3SNBfL1Xk8NzcYqAlIfaa0Q</v>
      </c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 t="str">
        <f>IFERROR(__xludf.DUMMYFUNCTION("""COMPUTED_VALUE"""),"Blotter")</f>
        <v>Blotter</v>
      </c>
      <c r="B531" s="4" t="str">
        <f>IFERROR(__xludf.DUMMYFUNCTION("""COMPUTED_VALUE"""),"ReloadOrderFromWorkingSubs")</f>
        <v>ReloadOrderFromWorkingSubs</v>
      </c>
      <c r="C531" s="4" t="str">
        <f>IFERROR(__xludf.DUMMYFUNCTION("""COMPUTED_VALUE"""),"1_Z5bqDo4adEqHJVIqWRtiyLJ5XKZ_2mwsPRoF8LP0Bw")</f>
        <v>1_Z5bqDo4adEqHJVIqWRtiyLJ5XKZ_2mwsPRoF8LP0Bw</v>
      </c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 t="str">
        <f>IFERROR(__xludf.DUMMYFUNCTION("""COMPUTED_VALUE"""),"Closing")</f>
        <v>Closing</v>
      </c>
      <c r="B532" s="4" t="str">
        <f>IFERROR(__xludf.DUMMYFUNCTION("""COMPUTED_VALUE"""),"AutoExercise")</f>
        <v>AutoExercise</v>
      </c>
      <c r="C532" s="4" t="str">
        <f>IFERROR(__xludf.DUMMYFUNCTION("""COMPUTED_VALUE"""),"13xi1kTQASkj8aQlRGOWvQoPk02IQ_8Htevc-MnANS_E")</f>
        <v>13xi1kTQASkj8aQlRGOWvQoPk02IQ_8Htevc-MnANS_E</v>
      </c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 t="str">
        <f>IFERROR(__xludf.DUMMYFUNCTION("""COMPUTED_VALUE"""),"PortfolioManagement")</f>
        <v>PortfolioManagement</v>
      </c>
      <c r="B533" s="4" t="str">
        <f>IFERROR(__xludf.DUMMYFUNCTION("""COMPUTED_VALUE"""),"IncreasePositionFromPM")</f>
        <v>IncreasePositionFromPM</v>
      </c>
      <c r="C533" s="4" t="str">
        <f>IFERROR(__xludf.DUMMYFUNCTION("""COMPUTED_VALUE"""),"1A8qhbXaCu_lyhbz2UUV32k3iWOdMoe0Sf6z4T7bvx9A")</f>
        <v>1A8qhbXaCu_lyhbz2UUV32k3iWOdMoe0Sf6z4T7bvx9A</v>
      </c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 t="str">
        <f>IFERROR(__xludf.DUMMYFUNCTION("""COMPUTED_VALUE"""),"TradingTicket")</f>
        <v>TradingTicket</v>
      </c>
      <c r="B534" s="4" t="str">
        <f>IFERROR(__xludf.DUMMYFUNCTION("""COMPUTED_VALUE"""),"AddOptionTrade")</f>
        <v>AddOptionTrade</v>
      </c>
      <c r="C534" s="4" t="str">
        <f>IFERROR(__xludf.DUMMYFUNCTION("""COMPUTED_VALUE"""),"1BnawmW4udc8sZOPuV7h7bRAlUEV61-K41xkK0_fFpqM")</f>
        <v>1BnawmW4udc8sZOPuV7h7bRAlUEV61-K41xkK0_fFpqM</v>
      </c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 t="str">
        <f>IFERROR(__xludf.DUMMYFUNCTION("""COMPUTED_VALUE"""),"TradingTicket")</f>
        <v>TradingTicket</v>
      </c>
      <c r="B535" s="4" t="str">
        <f>IFERROR(__xludf.DUMMYFUNCTION("""COMPUTED_VALUE"""),"SendLiveBloomberg")</f>
        <v>SendLiveBloomberg</v>
      </c>
      <c r="C535" s="4" t="str">
        <f>IFERROR(__xludf.DUMMYFUNCTION("""COMPUTED_VALUE"""),"1CgHn_7kdT53U7SiVepIsdA1uAaPRM8bfTqAGitUOOP4")</f>
        <v>1CgHn_7kdT53U7SiVepIsdA1uAaPRM8bfTqAGitUOOP4</v>
      </c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 t="str">
        <f>IFERROR(__xludf.DUMMYFUNCTION("""COMPUTED_VALUE"""),"Admin")</f>
        <v>Admin</v>
      </c>
      <c r="B536" s="4" t="str">
        <f>IFERROR(__xludf.DUMMYFUNCTION("""COMPUTED_VALUE"""),"UpdateExpirationDate")</f>
        <v>UpdateExpirationDate</v>
      </c>
      <c r="C536" s="4" t="str">
        <f>IFERROR(__xludf.DUMMYFUNCTION("""COMPUTED_VALUE"""),"1mmWGifvPj1sNVTticw-ikM3hyycxf4NX4_kCu7BEFVg")</f>
        <v>1mmWGifvPj1sNVTticw-ikM3hyycxf4NX4_kCu7BEFVg</v>
      </c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 t="str">
        <f>IFERROR(__xludf.DUMMYFUNCTION("""COMPUTED_VALUE"""),"PricingInput")</f>
        <v>PricingInput</v>
      </c>
      <c r="B537" s="4" t="str">
        <f>IFERROR(__xludf.DUMMYFUNCTION("""COMPUTED_VALUE"""),"UncheckDividendYield")</f>
        <v>UncheckDividendYield</v>
      </c>
      <c r="C537" s="4" t="str">
        <f>IFERROR(__xludf.DUMMYFUNCTION("""COMPUTED_VALUE"""),"1Bv6bI4dQ2ISUgEtnN3hvoJAzlS1QXNp7i6djThWT5cY")</f>
        <v>1Bv6bI4dQ2ISUgEtnN3hvoJAzlS1QXNp7i6djThWT5cY</v>
      </c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 t="str">
        <f>IFERROR(__xludf.DUMMYFUNCTION("""COMPUTED_VALUE"""),"Admin")</f>
        <v>Admin</v>
      </c>
      <c r="B538" s="4" t="str">
        <f>IFERROR(__xludf.DUMMYFUNCTION("""COMPUTED_VALUE"""),"RenameMasterStrategy")</f>
        <v>RenameMasterStrategy</v>
      </c>
      <c r="C538" s="4" t="str">
        <f>IFERROR(__xludf.DUMMYFUNCTION("""COMPUTED_VALUE"""),"12O1uREcq0M99vtEd065TQGLRLI69TvAORCdhR9BifGE")</f>
        <v>12O1uREcq0M99vtEd065TQGLRLI69TvAORCdhR9BifGE</v>
      </c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 t="str">
        <f>IFERROR(__xludf.DUMMYFUNCTION("""COMPUTED_VALUE"""),"Blotter")</f>
        <v>Blotter</v>
      </c>
      <c r="B539" s="4" t="str">
        <f>IFERROR(__xludf.DUMMYFUNCTION("""COMPUTED_VALUE"""),"SelectFills")</f>
        <v>SelectFills</v>
      </c>
      <c r="C539" s="4" t="str">
        <f>IFERROR(__xludf.DUMMYFUNCTION("""COMPUTED_VALUE"""),"1GwliO03epBl45R4knM3UVULlRK9QRt0v-e2GwmiEUVI")</f>
        <v>1GwliO03epBl45R4knM3UVULlRK9QRt0v-e2GwmiEUVI</v>
      </c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 t="str">
        <f>IFERROR(__xludf.DUMMYFUNCTION("""COMPUTED_VALUE"""),"Blotter")</f>
        <v>Blotter</v>
      </c>
      <c r="B540" s="4" t="str">
        <f>IFERROR(__xludf.DUMMYFUNCTION("""COMPUTED_VALUE"""),"ModifyFills")</f>
        <v>ModifyFills</v>
      </c>
      <c r="C540" s="4" t="str">
        <f>IFERROR(__xludf.DUMMYFUNCTION("""COMPUTED_VALUE"""),"1YjVe9_PX2h3FN6yNWurYgQZIShnphN6dzATY8FarTcw")</f>
        <v>1YjVe9_PX2h3FN6yNWurYgQZIShnphN6dzATY8FarTcw</v>
      </c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 t="str">
        <f>IFERROR(__xludf.DUMMYFUNCTION("""COMPUTED_VALUE"""),"PranaClient")</f>
        <v>PranaClient</v>
      </c>
      <c r="B541" s="4" t="str">
        <f>IFERROR(__xludf.DUMMYFUNCTION("""COMPUTED_VALUE"""),"PranaClient")</f>
        <v>PranaClient</v>
      </c>
      <c r="C541" s="4" t="str">
        <f>IFERROR(__xludf.DUMMYFUNCTION("""COMPUTED_VALUE"""),"1i5E-WuqIWaEe-yq-sesr8ybgECXELHpH055E0IrggKc")</f>
        <v>1i5E-WuqIWaEe-yq-sesr8ybgECXELHpH055E0IrggKc</v>
      </c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 t="str">
        <f>IFERROR(__xludf.DUMMYFUNCTION("""COMPUTED_VALUE"""),"Closing")</f>
        <v>Closing</v>
      </c>
      <c r="B542" s="4" t="str">
        <f>IFERROR(__xludf.DUMMYFUNCTION("""COMPUTED_VALUE"""),"EditMultipleCloseQuantity")</f>
        <v>EditMultipleCloseQuantity</v>
      </c>
      <c r="C542" s="4" t="str">
        <f>IFERROR(__xludf.DUMMYFUNCTION("""COMPUTED_VALUE"""),"1LqHFuFqpoaWRQRABWhj8ApwmhDIIDfhqJOvirqq1jXs")</f>
        <v>1LqHFuFqpoaWRQRABWhj8ApwmhDIIDfhqJOvirqq1jXs</v>
      </c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 t="str">
        <f>IFERROR(__xludf.DUMMYFUNCTION("""COMPUTED_VALUE"""),"Closing")</f>
        <v>Closing</v>
      </c>
      <c r="B543" s="4" t="str">
        <f>IFERROR(__xludf.DUMMYFUNCTION("""COMPUTED_VALUE"""),"ManualCloseOrder")</f>
        <v>ManualCloseOrder</v>
      </c>
      <c r="C543" s="4" t="str">
        <f>IFERROR(__xludf.DUMMYFUNCTION("""COMPUTED_VALUE"""),"1SRIxoyDz2yiuwxeL4eG8FC_4NGCpPmQ7cq3BGkqiS_M")</f>
        <v>1SRIxoyDz2yiuwxeL4eG8FC_4NGCpPmQ7cq3BGkqiS_M</v>
      </c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 t="str">
        <f>IFERROR(__xludf.DUMMYFUNCTION("""COMPUTED_VALUE"""),"Admin")</f>
        <v>Admin</v>
      </c>
      <c r="B544" s="4" t="str">
        <f>IFERROR(__xludf.DUMMYFUNCTION("""COMPUTED_VALUE"""),"SetTTUIAdminPreferences")</f>
        <v>SetTTUIAdminPreferences</v>
      </c>
      <c r="C544" s="4" t="str">
        <f>IFERROR(__xludf.DUMMYFUNCTION("""COMPUTED_VALUE"""),"1NBKCTAbyW8FTd7HpiDVAL8uUdoKPPfDaX-zyJ69TnN8")</f>
        <v>1NBKCTAbyW8FTd7HpiDVAL8uUdoKPPfDaX-zyJ69TnN8</v>
      </c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 t="str">
        <f>IFERROR(__xludf.DUMMYFUNCTION("""COMPUTED_VALUE"""),"Closing")</f>
        <v>Closing</v>
      </c>
      <c r="B545" s="4" t="str">
        <f>IFERROR(__xludf.DUMMYFUNCTION("""COMPUTED_VALUE"""),"PreviewDataWithFilters")</f>
        <v>PreviewDataWithFilters</v>
      </c>
      <c r="C545" s="4" t="str">
        <f>IFERROR(__xludf.DUMMYFUNCTION("""COMPUTED_VALUE"""),"1UfijNzsxS8xhicrd1aaNFJ8AVGE-4qurWWApSDn5ctE")</f>
        <v>1UfijNzsxS8xhicrd1aaNFJ8AVGE-4qurWWApSDn5ctE</v>
      </c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 t="str">
        <f>IFERROR(__xludf.DUMMYFUNCTION("""COMPUTED_VALUE"""),"TradingTicket")</f>
        <v>TradingTicket</v>
      </c>
      <c r="B546" s="4" t="str">
        <f>IFERROR(__xludf.DUMMYFUNCTION("""COMPUTED_VALUE"""),"ViewAllocation")</f>
        <v>ViewAllocation</v>
      </c>
      <c r="C546" s="4" t="str">
        <f>IFERROR(__xludf.DUMMYFUNCTION("""COMPUTED_VALUE"""),"1hZIgWSjxAyvd_l19sawUh-Lx7qkIkwoEJWszPqq6LiM")</f>
        <v>1hZIgWSjxAyvd_l19sawUh-Lx7qkIkwoEJWszPqq6LiM</v>
      </c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 t="str">
        <f>IFERROR(__xludf.DUMMYFUNCTION("""COMPUTED_VALUE"""),"Admin")</f>
        <v>Admin</v>
      </c>
      <c r="B547" s="4" t="str">
        <f>IFERROR(__xludf.DUMMYFUNCTION("""COMPUTED_VALUE"""),"UpdateSecFee")</f>
        <v>UpdateSecFee</v>
      </c>
      <c r="C547" s="4" t="str">
        <f>IFERROR(__xludf.DUMMYFUNCTION("""COMPUTED_VALUE"""),"1fx7weHaG3pIYPq09mXJDlCsGxJxkuwvD9qpnxGKxsUg")</f>
        <v>1fx7weHaG3pIYPq09mXJDlCsGxJxkuwvD9qpnxGKxsUg</v>
      </c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 t="str">
        <f>IFERROR(__xludf.DUMMYFUNCTION("""COMPUTED_VALUE"""),"Closing")</f>
        <v>Closing</v>
      </c>
      <c r="B548" s="4" t="str">
        <f>IFERROR(__xludf.DUMMYFUNCTION("""COMPUTED_VALUE"""),"CreateClosingTemplate")</f>
        <v>CreateClosingTemplate</v>
      </c>
      <c r="C548" s="4" t="str">
        <f>IFERROR(__xludf.DUMMYFUNCTION("""COMPUTED_VALUE"""),"1idwtgSTl3puPU819EeoiFOFlLMiFqqc7fSq_DQM9Ahw")</f>
        <v>1idwtgSTl3puPU819EeoiFOFlLMiFqqc7fSq_DQM9Ahw</v>
      </c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 t="str">
        <f>IFERROR(__xludf.DUMMYFUNCTION("""COMPUTED_VALUE"""),"Closing")</f>
        <v>Closing</v>
      </c>
      <c r="B549" s="4" t="str">
        <f>IFERROR(__xludf.DUMMYFUNCTION("""COMPUTED_VALUE"""),"CreateUnwindingTemplate")</f>
        <v>CreateUnwindingTemplate</v>
      </c>
      <c r="C549" s="4" t="str">
        <f>IFERROR(__xludf.DUMMYFUNCTION("""COMPUTED_VALUE"""),"1yALn3s6q8XYTgNqh8-DnAgKgqPoPCCf4cd3q4rK7dc4")</f>
        <v>1yALn3s6q8XYTgNqh8-DnAgKgqPoPCCf4cd3q4rK7dc4</v>
      </c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 t="str">
        <f>IFERROR(__xludf.DUMMYFUNCTION("""COMPUTED_VALUE"""),"Closing")</f>
        <v>Closing</v>
      </c>
      <c r="B550" s="4" t="str">
        <f>IFERROR(__xludf.DUMMYFUNCTION("""COMPUTED_VALUE"""),"EditTemplate")</f>
        <v>EditTemplate</v>
      </c>
      <c r="C550" s="4" t="str">
        <f>IFERROR(__xludf.DUMMYFUNCTION("""COMPUTED_VALUE"""),"1NuhPbvX0aXlI0GJFIFdnaVEUWbKSGZAOsYo2ZJs_LTI")</f>
        <v>1NuhPbvX0aXlI0GJFIFdnaVEUWbKSGZAOsYo2ZJs_LTI</v>
      </c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 t="str">
        <f>IFERROR(__xludf.DUMMYFUNCTION("""COMPUTED_VALUE"""),"Closing")</f>
        <v>Closing</v>
      </c>
      <c r="B551" s="4" t="str">
        <f>IFERROR(__xludf.DUMMYFUNCTION("""COMPUTED_VALUE"""),"DeleteTemplate")</f>
        <v>DeleteTemplate</v>
      </c>
      <c r="C551" s="4" t="str">
        <f>IFERROR(__xludf.DUMMYFUNCTION("""COMPUTED_VALUE"""),"1FPAHemO6UOqAm-LkkBB9rvkNCOTy_xygY4DA2D71HrY")</f>
        <v>1FPAHemO6UOqAm-LkkBB9rvkNCOTy_xygY4DA2D71HrY</v>
      </c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 t="str">
        <f>IFERROR(__xludf.DUMMYFUNCTION("""COMPUTED_VALUE"""),"Allocation")</f>
        <v>Allocation</v>
      </c>
      <c r="B552" s="4" t="str">
        <f>IFERROR(__xludf.DUMMYFUNCTION("""COMPUTED_VALUE"""),"AllocationAuditTrail")</f>
        <v>AllocationAuditTrail</v>
      </c>
      <c r="C552" s="4" t="str">
        <f>IFERROR(__xludf.DUMMYFUNCTION("""COMPUTED_VALUE"""),"1HD9Qq-FkgtsDvTn0E1mBJqbrvDYs85STToXiwyfSFIc")</f>
        <v>1HD9Qq-FkgtsDvTn0E1mBJqbrvDYs85STToXiwyfSFIc</v>
      </c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 t="str">
        <f>IFERROR(__xludf.DUMMYFUNCTION("""COMPUTED_VALUE"""),"Allocation")</f>
        <v>Allocation</v>
      </c>
      <c r="B553" s="4" t="str">
        <f>IFERROR(__xludf.DUMMYFUNCTION("""COMPUTED_VALUE"""),"GetAuditTrailData")</f>
        <v>GetAuditTrailData</v>
      </c>
      <c r="C553" s="4" t="str">
        <f>IFERROR(__xludf.DUMMYFUNCTION("""COMPUTED_VALUE"""),"1aMbSm8ZDz2Qwg0lNK8q7egOJXYlZK0_CTEZ8ROuOuw4")</f>
        <v>1aMbSm8ZDz2Qwg0lNK8q7egOJXYlZK0_CTEZ8ROuOuw4</v>
      </c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 t="str">
        <f>IFERROR(__xludf.DUMMYFUNCTION("""COMPUTED_VALUE"""),"Allocation")</f>
        <v>Allocation</v>
      </c>
      <c r="B554" s="4" t="str">
        <f>IFERROR(__xludf.DUMMYFUNCTION("""COMPUTED_VALUE"""),"CheckAuditTrailData")</f>
        <v>CheckAuditTrailData</v>
      </c>
      <c r="C554" s="4" t="str">
        <f>IFERROR(__xludf.DUMMYFUNCTION("""COMPUTED_VALUE"""),"1C9HB4waKEi-rOcSPUPOqqKP4_UtACzcf-3WiPrg8wl8")</f>
        <v>1C9HB4waKEi-rOcSPUPOqqKP4_UtACzcf-3WiPrg8wl8</v>
      </c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 t="str">
        <f>IFERROR(__xludf.DUMMYFUNCTION("""COMPUTED_VALUE"""),"Closing")</f>
        <v>Closing</v>
      </c>
      <c r="B555" s="4" t="str">
        <f>IFERROR(__xludf.DUMMYFUNCTION("""COMPUTED_VALUE"""),"RunTemplate")</f>
        <v>RunTemplate</v>
      </c>
      <c r="C555" s="4" t="str">
        <f>IFERROR(__xludf.DUMMYFUNCTION("""COMPUTED_VALUE"""),"1CrtezjyXDUNI03P2ug3fbBszOkDQB11KC1jkQWvhhb0")</f>
        <v>1CrtezjyXDUNI03P2ug3fbBszOkDQB11KC1jkQWvhhb0</v>
      </c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 t="str">
        <f>IFERROR(__xludf.DUMMYFUNCTION("""COMPUTED_VALUE"""),"SymbolLookup")</f>
        <v>SymbolLookup</v>
      </c>
      <c r="B556" s="4" t="str">
        <f>IFERROR(__xludf.DUMMYFUNCTION("""COMPUTED_VALUE"""),"EnterEquity")</f>
        <v>EnterEquity</v>
      </c>
      <c r="C556" s="4" t="str">
        <f>IFERROR(__xludf.DUMMYFUNCTION("""COMPUTED_VALUE"""),"1aaVe9FlMYC6RFGiTb4FjozEKzxGyq3kDwxhYjfzfAD4")</f>
        <v>1aaVe9FlMYC6RFGiTb4FjozEKzxGyq3kDwxhYjfzfAD4</v>
      </c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 t="str">
        <f>IFERROR(__xludf.DUMMYFUNCTION("""COMPUTED_VALUE"""),"SymbolLookup")</f>
        <v>SymbolLookup</v>
      </c>
      <c r="B557" s="4" t="str">
        <f>IFERROR(__xludf.DUMMYFUNCTION("""COMPUTED_VALUE"""),"UpdateSecurityInfoOnSM")</f>
        <v>UpdateSecurityInfoOnSM</v>
      </c>
      <c r="C557" s="4" t="str">
        <f>IFERROR(__xludf.DUMMYFUNCTION("""COMPUTED_VALUE"""),"17-t-GrQf2zL-8Q67F4HdNpsG_6uuzTew55S0LtWs234")</f>
        <v>17-t-GrQf2zL-8Q67F4HdNpsG_6uuzTew55S0LtWs234</v>
      </c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 t="str">
        <f>IFERROR(__xludf.DUMMYFUNCTION("""COMPUTED_VALUE"""),"Blotter")</f>
        <v>Blotter</v>
      </c>
      <c r="B558" s="4" t="str">
        <f>IFERROR(__xludf.DUMMYFUNCTION("""COMPUTED_VALUE"""),"AllocateFromBlotter")</f>
        <v>AllocateFromBlotter</v>
      </c>
      <c r="C558" s="4" t="str">
        <f>IFERROR(__xludf.DUMMYFUNCTION("""COMPUTED_VALUE"""),"1XTJi2OXX9tDNK8ST579LThIVIiMnVsCWKD8hYv1DwCk")</f>
        <v>1XTJi2OXX9tDNK8ST579LThIVIiMnVsCWKD8hYv1DwCk</v>
      </c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 t="str">
        <f>IFERROR(__xludf.DUMMYFUNCTION("""COMPUTED_VALUE"""),"Admin")</f>
        <v>Admin</v>
      </c>
      <c r="B559" s="4" t="str">
        <f>IFERROR(__xludf.DUMMYFUNCTION("""COMPUTED_VALUE"""),"UpdateFee")</f>
        <v>UpdateFee</v>
      </c>
      <c r="C559" s="4" t="str">
        <f>IFERROR(__xludf.DUMMYFUNCTION("""COMPUTED_VALUE"""),"18i3ZoYVYHAnZwXwaD1wecFKaay3F1XWD-fGr1yOXxiI")</f>
        <v>18i3ZoYVYHAnZwXwaD1wecFKaay3F1XWD-fGr1yOXxiI</v>
      </c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 t="str">
        <f>IFERROR(__xludf.DUMMYFUNCTION("""COMPUTED_VALUE"""),"Allocation")</f>
        <v>Allocation</v>
      </c>
      <c r="B560" s="4" t="str">
        <f>IFERROR(__xludf.DUMMYFUNCTION("""COMPUTED_VALUE"""),"DeleteGroupWithOutSave")</f>
        <v>DeleteGroupWithOutSave</v>
      </c>
      <c r="C560" s="4" t="str">
        <f>IFERROR(__xludf.DUMMYFUNCTION("""COMPUTED_VALUE"""),"1aIaLYmwd1_7VvSXSXs0xCiLDHvkOFY2I2WhFegjZjbM")</f>
        <v>1aIaLYmwd1_7VvSXSXs0xCiLDHvkOFY2I2WhFegjZjbM</v>
      </c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 t="str">
        <f>IFERROR(__xludf.DUMMYFUNCTION("""COMPUTED_VALUE"""),"Allocation")</f>
        <v>Allocation</v>
      </c>
      <c r="B561" s="4" t="str">
        <f>IFERROR(__xludf.DUMMYFUNCTION("""COMPUTED_VALUE"""),"CheckPreferences")</f>
        <v>CheckPreferences</v>
      </c>
      <c r="C561" s="4" t="str">
        <f>IFERROR(__xludf.DUMMYFUNCTION("""COMPUTED_VALUE"""),"1Gt4DTANotwpTFTn2K0N4FyEH3Wy4mVS3CndTI3qhjT0")</f>
        <v>1Gt4DTANotwpTFTn2K0N4FyEH3Wy4mVS3CndTI3qhjT0</v>
      </c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 t="str">
        <f>IFERROR(__xludf.DUMMYFUNCTION("""COMPUTED_VALUE"""),"Rebalancer")</f>
        <v>Rebalancer</v>
      </c>
      <c r="B562" s="4" t="str">
        <f>IFERROR(__xludf.DUMMYFUNCTION("""COMPUTED_VALUE"""),"SymbologyChangeRB")</f>
        <v>SymbologyChangeRB</v>
      </c>
      <c r="C562" s="4" t="str">
        <f>IFERROR(__xludf.DUMMYFUNCTION("""COMPUTED_VALUE"""),"Undefined")</f>
        <v>Undefined</v>
      </c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 t="str">
        <f>IFERROR(__xludf.DUMMYFUNCTION("""COMPUTED_VALUE"""),"TradingTicket")</f>
        <v>TradingTicket</v>
      </c>
      <c r="B563" s="4" t="str">
        <f>IFERROR(__xludf.DUMMYFUNCTION("""COMPUTED_VALUE"""),"CreateReplaceLiveOrder")</f>
        <v>CreateReplaceLiveOrder</v>
      </c>
      <c r="C563" s="4" t="str">
        <f>IFERROR(__xludf.DUMMYFUNCTION("""COMPUTED_VALUE"""),"1k4O2DH0z6o7Zp7BJki2B-GvLEd7WL3r0-BBl39ErSwA")</f>
        <v>1k4O2DH0z6o7Zp7BJki2B-GvLEd7WL3r0-BBl39ErSwA</v>
      </c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 t="str">
        <f>IFERROR(__xludf.DUMMYFUNCTION("""COMPUTED_VALUE"""),"Admin")</f>
        <v>Admin</v>
      </c>
      <c r="B564" s="4" t="str">
        <f>IFERROR(__xludf.DUMMYFUNCTION("""COMPUTED_VALUE"""),"RevertingSMSharesOutValue")</f>
        <v>RevertingSMSharesOutValue</v>
      </c>
      <c r="C564" s="4" t="str">
        <f>IFERROR(__xludf.DUMMYFUNCTION("""COMPUTED_VALUE"""),"14NB1Fv5kuloQb2TqNZV019UwD238JCIlsMkapq0l2ag")</f>
        <v>14NB1Fv5kuloQb2TqNZV019UwD238JCIlsMkapq0l2ag</v>
      </c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 t="str">
        <f>IFERROR(__xludf.DUMMYFUNCTION("""COMPUTED_VALUE"""),"SymbolLookup")</f>
        <v>SymbolLookup</v>
      </c>
      <c r="B565" s="4" t="str">
        <f>IFERROR(__xludf.DUMMYFUNCTION("""COMPUTED_VALUE"""),"TradeSymbolFromSM")</f>
        <v>TradeSymbolFromSM</v>
      </c>
      <c r="C565" s="4" t="str">
        <f>IFERROR(__xludf.DUMMYFUNCTION("""COMPUTED_VALUE"""),"1QQqyEJAxSiITSpbxeSzT-43Z_t_k8RMkNqyDU83B9yw")</f>
        <v>1QQqyEJAxSiITSpbxeSzT-43Z_t_k8RMkNqyDU83B9yw</v>
      </c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 t="str">
        <f>IFERROR(__xludf.DUMMYFUNCTION("""COMPUTED_VALUE"""),"Closing")</f>
        <v>Closing</v>
      </c>
      <c r="B566" s="4" t="str">
        <f>IFERROR(__xludf.DUMMYFUNCTION("""COMPUTED_VALUE"""),"SelectAccountWiseAsset")</f>
        <v>SelectAccountWiseAsset</v>
      </c>
      <c r="C566" s="4" t="str">
        <f>IFERROR(__xludf.DUMMYFUNCTION("""COMPUTED_VALUE"""),"1dg717feD1PLoJMODUOkjay-kVKs_HU6lWkwzq6Dzicw")</f>
        <v>1dg717feD1PLoJMODUOkjay-kVKs_HU6lWkwzq6Dzicw</v>
      </c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 t="str">
        <f>IFERROR(__xludf.DUMMYFUNCTION("""COMPUTED_VALUE"""),"Closing")</f>
        <v>Closing</v>
      </c>
      <c r="B567" s="4" t="str">
        <f>IFERROR(__xludf.DUMMYFUNCTION("""COMPUTED_VALUE"""),"VerifyCTData")</f>
        <v>VerifyCTData</v>
      </c>
      <c r="C567" s="4" t="str">
        <f>IFERROR(__xludf.DUMMYFUNCTION("""COMPUTED_VALUE"""),"1DhgxoqROPCGpHN0ZvF_CxvGD_XGKqi4hirH4AyU5edM")</f>
        <v>1DhgxoqROPCGpHN0ZvF_CxvGD_XGKqi4hirH4AyU5edM</v>
      </c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 t="str">
        <f>IFERROR(__xludf.DUMMYFUNCTION("""COMPUTED_VALUE"""),"Closing")</f>
        <v>Closing</v>
      </c>
      <c r="B568" s="4" t="str">
        <f>IFERROR(__xludf.DUMMYFUNCTION("""COMPUTED_VALUE"""),"ExerciseAssignmentWithOutSave")</f>
        <v>ExerciseAssignmentWithOutSave</v>
      </c>
      <c r="C568" s="4" t="str">
        <f>IFERROR(__xludf.DUMMYFUNCTION("""COMPUTED_VALUE"""),"13ISfl53WS5qjapt8_QubQCWQC5PngpTaN-DNznWEfnM")</f>
        <v>13ISfl53WS5qjapt8_QubQCWQC5PngpTaN-DNznWEfnM</v>
      </c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 t="str">
        <f>IFERROR(__xludf.DUMMYFUNCTION("""COMPUTED_VALUE"""),"Closing")</f>
        <v>Closing</v>
      </c>
      <c r="B569" s="4" t="str">
        <f>IFERROR(__xludf.DUMMYFUNCTION("""COMPUTED_VALUE"""),"SaveCTData")</f>
        <v>SaveCTData</v>
      </c>
      <c r="C569" s="4" t="str">
        <f>IFERROR(__xludf.DUMMYFUNCTION("""COMPUTED_VALUE"""),"1lX2ofL0aTKUlfGG5tlpbifm1409nxXKN3EvA38tIwsI")</f>
        <v>1lX2ofL0aTKUlfGG5tlpbifm1409nxXKN3EvA38tIwsI</v>
      </c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 t="str">
        <f>IFERROR(__xludf.DUMMYFUNCTION("""COMPUTED_VALUE"""),"Allocation")</f>
        <v>Allocation</v>
      </c>
      <c r="B570" s="4" t="str">
        <f>IFERROR(__xludf.DUMMYFUNCTION("""COMPUTED_VALUE"""),"AllocateWithPopUp")</f>
        <v>AllocateWithPopUp</v>
      </c>
      <c r="C570" s="4" t="str">
        <f>IFERROR(__xludf.DUMMYFUNCTION("""COMPUTED_VALUE"""),"1xGs6-0rm5y24BDfu0xaFuFjmw24xo_mnA1FsmchPkoQ")</f>
        <v>1xGs6-0rm5y24BDfu0xaFuFjmw24xo_mnA1FsmchPkoQ</v>
      </c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 t="str">
        <f>IFERROR(__xludf.DUMMYFUNCTION("""COMPUTED_VALUE"""),"TradingTicket")</f>
        <v>TradingTicket</v>
      </c>
      <c r="B571" s="4" t="str">
        <f>IFERROR(__xludf.DUMMYFUNCTION("""COMPUTED_VALUE"""),"CreateNewSubLiveOrder")</f>
        <v>CreateNewSubLiveOrder</v>
      </c>
      <c r="C571" s="4" t="str">
        <f>IFERROR(__xludf.DUMMYFUNCTION("""COMPUTED_VALUE"""),"1sXlRlM3l3g7Y_cbxe72XjBbsp4DKHWhRKjq3FHbAEZg")</f>
        <v>1sXlRlM3l3g7Y_cbxe72XjBbsp4DKHWhRKjq3FHbAEZg</v>
      </c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 t="str">
        <f>IFERROR(__xludf.DUMMYFUNCTION("""COMPUTED_VALUE"""),"Blotter")</f>
        <v>Blotter</v>
      </c>
      <c r="B572" s="4" t="str">
        <f>IFERROR(__xludf.DUMMYFUNCTION("""COMPUTED_VALUE"""),"ViewPTTAllocationDetails")</f>
        <v>ViewPTTAllocationDetails</v>
      </c>
      <c r="C572" s="4" t="str">
        <f>IFERROR(__xludf.DUMMYFUNCTION("""COMPUTED_VALUE"""),"1K3kCif21tZY3Z_07H3JuRu8yZ2BuxGjW7WwookIx-Fc")</f>
        <v>1K3kCif21tZY3Z_07H3JuRu8yZ2BuxGjW7WwookIx-Fc</v>
      </c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 t="str">
        <f>IFERROR(__xludf.DUMMYFUNCTION("""COMPUTED_VALUE"""),"Admin")</f>
        <v>Admin</v>
      </c>
      <c r="B573" s="4" t="str">
        <f>IFERROR(__xludf.DUMMYFUNCTION("""COMPUTED_VALUE"""),"RestartSQL")</f>
        <v>RestartSQL</v>
      </c>
      <c r="C573" s="4" t="str">
        <f>IFERROR(__xludf.DUMMYFUNCTION("""COMPUTED_VALUE"""),"1-12TcMWdB2mXxQH8e7co5k5BUH-Uzpps1uWKQ-CLR00")</f>
        <v>1-12TcMWdB2mXxQH8e7co5k5BUH-Uzpps1uWKQ-CLR00</v>
      </c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 t="str">
        <f>IFERROR(__xludf.DUMMYFUNCTION("""COMPUTED_VALUE"""),"Admin")</f>
        <v>Admin</v>
      </c>
      <c r="B574" s="4" t="str">
        <f>IFERROR(__xludf.DUMMYFUNCTION("""COMPUTED_VALUE"""),"TradeAuditCleanUp")</f>
        <v>TradeAuditCleanUp</v>
      </c>
      <c r="C574" s="4" t="str">
        <f>IFERROR(__xludf.DUMMYFUNCTION("""COMPUTED_VALUE"""),"1te_tPkqDmMAupeEd8qm_jD3j66mFB1Z4N9FMCo8XPy4")</f>
        <v>1te_tPkqDmMAupeEd8qm_jD3j66mFB1Z4N9FMCo8XPy4</v>
      </c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 t="str">
        <f>IFERROR(__xludf.DUMMYFUNCTION("""COMPUTED_VALUE"""),"Import")</f>
        <v>Import</v>
      </c>
      <c r="B575" s="4" t="str">
        <f>IFERROR(__xludf.DUMMYFUNCTION("""COMPUTED_VALUE"""),"SelectTradeOnImport")</f>
        <v>SelectTradeOnImport</v>
      </c>
      <c r="C575" s="4" t="str">
        <f>IFERROR(__xludf.DUMMYFUNCTION("""COMPUTED_VALUE"""),"1E9KQGFIuEW08WBNI-XqSj37_5i6SG51bbwPJ0NN4Mmc")</f>
        <v>1E9KQGFIuEW08WBNI-XqSj37_5i6SG51bbwPJ0NN4Mmc</v>
      </c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 t="str">
        <f>IFERROR(__xludf.DUMMYFUNCTION("""COMPUTED_VALUE"""),"Allocation")</f>
        <v>Allocation</v>
      </c>
      <c r="B576" s="4" t="str">
        <f>IFERROR(__xludf.DUMMYFUNCTION("""COMPUTED_VALUE"""),"SelectAllRowsAllocated")</f>
        <v>SelectAllRowsAllocated</v>
      </c>
      <c r="C576" s="4" t="str">
        <f>IFERROR(__xludf.DUMMYFUNCTION("""COMPUTED_VALUE"""),"Undefined")</f>
        <v>Undefined</v>
      </c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 t="str">
        <f>IFERROR(__xludf.DUMMYFUNCTION("""COMPUTED_VALUE"""),"Closing")</f>
        <v>Closing</v>
      </c>
      <c r="B577" s="4" t="str">
        <f>IFERROR(__xludf.DUMMYFUNCTION("""COMPUTED_VALUE"""),"FilterLongPositionGrid")</f>
        <v>FilterLongPositionGrid</v>
      </c>
      <c r="C577" s="4" t="str">
        <f>IFERROR(__xludf.DUMMYFUNCTION("""COMPUTED_VALUE"""),"1eQ05g7FlkoucBRzqzHC6DYgristCD8IKA7i0JOPqMMs")</f>
        <v>1eQ05g7FlkoucBRzqzHC6DYgristCD8IKA7i0JOPqMMs</v>
      </c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 t="str">
        <f>IFERROR(__xludf.DUMMYFUNCTION("""COMPUTED_VALUE"""),"Closing")</f>
        <v>Closing</v>
      </c>
      <c r="B578" s="4" t="str">
        <f>IFERROR(__xludf.DUMMYFUNCTION("""COMPUTED_VALUE"""),"FilterShortPositionGrid")</f>
        <v>FilterShortPositionGrid</v>
      </c>
      <c r="C578" s="4" t="str">
        <f>IFERROR(__xludf.DUMMYFUNCTION("""COMPUTED_VALUE"""),"1_Kaj9Gla2_3_3DWDcJLohN-Ulu6Or19SpBltOn1IqpA")</f>
        <v>1_Kaj9Gla2_3_3DWDcJLohN-Ulu6Or19SpBltOn1IqpA</v>
      </c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 t="str">
        <f>IFERROR(__xludf.DUMMYFUNCTION("""COMPUTED_VALUE"""),"Closing")</f>
        <v>Closing</v>
      </c>
      <c r="B579" s="4" t="str">
        <f>IFERROR(__xludf.DUMMYFUNCTION("""COMPUTED_VALUE"""),"FilterClosingGrid")</f>
        <v>FilterClosingGrid</v>
      </c>
      <c r="C579" s="4" t="str">
        <f>IFERROR(__xludf.DUMMYFUNCTION("""COMPUTED_VALUE"""),"1x0tSTgqZ5yRnN4Tz7nFtGYNGMoM4Tz6TBq0Ru3xflwY")</f>
        <v>1x0tSTgqZ5yRnN4Tz7nFtGYNGMoM4Tz6TBq0Ru3xflwY</v>
      </c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 t="str">
        <f>IFERROR(__xludf.DUMMYFUNCTION("""COMPUTED_VALUE"""),"Closing")</f>
        <v>Closing</v>
      </c>
      <c r="B580" s="4" t="str">
        <f>IFERROR(__xludf.DUMMYFUNCTION("""COMPUTED_VALUE"""),"FilterUnexpiredGrid")</f>
        <v>FilterUnexpiredGrid</v>
      </c>
      <c r="C580" s="4" t="str">
        <f>IFERROR(__xludf.DUMMYFUNCTION("""COMPUTED_VALUE"""),"19__Spg6yNEdiEgPsq0ju_vHO7AEAj0c1TjazwCSKFSs")</f>
        <v>19__Spg6yNEdiEgPsq0ju_vHO7AEAj0c1TjazwCSKFSs</v>
      </c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 t="str">
        <f>IFERROR(__xludf.DUMMYFUNCTION("""COMPUTED_VALUE"""),"Closing")</f>
        <v>Closing</v>
      </c>
      <c r="B581" s="4" t="str">
        <f>IFERROR(__xludf.DUMMYFUNCTION("""COMPUTED_VALUE"""),"FilterExpiredGrid")</f>
        <v>FilterExpiredGrid</v>
      </c>
      <c r="C581" s="4" t="str">
        <f>IFERROR(__xludf.DUMMYFUNCTION("""COMPUTED_VALUE"""),"1jZq080VyNhunffpTX7Q8WctBF6FMMlgDqxOs2X0M62s")</f>
        <v>1jZq080VyNhunffpTX7Q8WctBF6FMMlgDqxOs2X0M62s</v>
      </c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 t="str">
        <f>IFERROR(__xludf.DUMMYFUNCTION("""COMPUTED_VALUE"""),"GeneralLedger")</f>
        <v>GeneralLedger</v>
      </c>
      <c r="B582" s="4" t="str">
        <f>IFERROR(__xludf.DUMMYFUNCTION("""COMPUTED_VALUE"""),"FilterCashTransactionGrid")</f>
        <v>FilterCashTransactionGrid</v>
      </c>
      <c r="C582" s="4" t="str">
        <f>IFERROR(__xludf.DUMMYFUNCTION("""COMPUTED_VALUE"""),"1yFQmKvzwAFdsY1i_j5krUyRXB0Jw9K6HiJ1sedlnizE")</f>
        <v>1yFQmKvzwAFdsY1i_j5krUyRXB0Jw9K6HiJ1sedlnizE</v>
      </c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 t="str">
        <f>IFERROR(__xludf.DUMMYFUNCTION("""COMPUTED_VALUE"""),"Recon")</f>
        <v>Recon</v>
      </c>
      <c r="B583" s="4" t="str">
        <f>IFERROR(__xludf.DUMMYFUNCTION("""COMPUTED_VALUE"""),"VerifyApplicationData")</f>
        <v>VerifyApplicationData</v>
      </c>
      <c r="C583" s="4" t="str">
        <f>IFERROR(__xludf.DUMMYFUNCTION("""COMPUTED_VALUE"""),"1Dpr8WIv6TDBK0rxjxSy_MqWbkp0VcPh0dzzq05jelwk")</f>
        <v>1Dpr8WIv6TDBK0rxjxSy_MqWbkp0VcPh0dzzq05jelwk</v>
      </c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 t="str">
        <f>IFERROR(__xludf.DUMMYFUNCTION("""COMPUTED_VALUE"""),"GeneralLedger")</f>
        <v>GeneralLedger</v>
      </c>
      <c r="B584" s="4" t="str">
        <f>IFERROR(__xludf.DUMMYFUNCTION("""COMPUTED_VALUE"""),"EditGridCashTransactions")</f>
        <v>EditGridCashTransactions</v>
      </c>
      <c r="C584" s="4" t="str">
        <f>IFERROR(__xludf.DUMMYFUNCTION("""COMPUTED_VALUE"""),"1U3Lll-22S6_flQX8K9e2RYFi60F4xvlFiIrO7oI53SM")</f>
        <v>1U3Lll-22S6_flQX8K9e2RYFi60F4xvlFiIrO7oI53SM</v>
      </c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 t="str">
        <f>IFERROR(__xludf.DUMMYFUNCTION("""COMPUTED_VALUE"""),"Closing")</f>
        <v>Closing</v>
      </c>
      <c r="B585" s="4" t="str">
        <f>IFERROR(__xludf.DUMMYFUNCTION("""COMPUTED_VALUE"""),"UnwindAllClosingData")</f>
        <v>UnwindAllClosingData</v>
      </c>
      <c r="C585" s="4" t="str">
        <f>IFERROR(__xludf.DUMMYFUNCTION("""COMPUTED_VALUE"""),"1tWUIoWkYt76dEoPLffGeR3BKhumyPmGYrDDpNHf57-E")</f>
        <v>1tWUIoWkYt76dEoPLffGeR3BKhumyPmGYrDDpNHf57-E</v>
      </c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 t="str">
        <f>IFERROR(__xludf.DUMMYFUNCTION("""COMPUTED_VALUE"""),"GeneralLedger")</f>
        <v>GeneralLedger</v>
      </c>
      <c r="B586" s="4" t="str">
        <f>IFERROR(__xludf.DUMMYFUNCTION("""COMPUTED_VALUE"""),"SaveCashTransaction")</f>
        <v>SaveCashTransaction</v>
      </c>
      <c r="C586" s="4" t="str">
        <f>IFERROR(__xludf.DUMMYFUNCTION("""COMPUTED_VALUE"""),"1B21k1fT7qeMq7F9lYaslrVehhg0joFVgy-pYc8Lkmf8")</f>
        <v>1B21k1fT7qeMq7F9lYaslrVehhg0joFVgy-pYc8Lkmf8</v>
      </c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 t="str">
        <f>IFERROR(__xludf.DUMMYFUNCTION("""COMPUTED_VALUE"""),"ThirdParty")</f>
        <v>ThirdParty</v>
      </c>
      <c r="B587" s="4" t="str">
        <f>IFERROR(__xludf.DUMMYFUNCTION("""COMPUTED_VALUE"""),"ChangeThirdpartyDate")</f>
        <v>ChangeThirdpartyDate</v>
      </c>
      <c r="C587" s="4" t="str">
        <f>IFERROR(__xludf.DUMMYFUNCTION("""COMPUTED_VALUE"""),"1h4P6VS7hFcj6Gpcpap9UycUQLIp7GSGhFN-Pc67f1mU")</f>
        <v>1h4P6VS7hFcj6Gpcpap9UycUQLIp7GSGhFN-Pc67f1mU</v>
      </c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 t="str">
        <f>IFERROR(__xludf.DUMMYFUNCTION("""COMPUTED_VALUE"""),"GeneralLedger")</f>
        <v>GeneralLedger</v>
      </c>
      <c r="B588" s="4" t="str">
        <f>IFERROR(__xludf.DUMMYFUNCTION("""COMPUTED_VALUE"""),"RunManualRevaluation")</f>
        <v>RunManualRevaluation</v>
      </c>
      <c r="C588" s="4" t="str">
        <f>IFERROR(__xludf.DUMMYFUNCTION("""COMPUTED_VALUE"""),"1tQChZuaBAI5usO4RbYIySlrw0tFhWje4RI-gh286me8")</f>
        <v>1tQChZuaBAI5usO4RbYIySlrw0tFhWje4RI-gh286me8</v>
      </c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 t="str">
        <f>IFERROR(__xludf.DUMMYFUNCTION("""COMPUTED_VALUE"""),"SymbolLookup")</f>
        <v>SymbolLookup</v>
      </c>
      <c r="B589" s="4" t="str">
        <f>IFERROR(__xludf.DUMMYFUNCTION("""COMPUTED_VALUE"""),"AddSymbol")</f>
        <v>AddSymbol</v>
      </c>
      <c r="C589" s="4" t="str">
        <f>IFERROR(__xludf.DUMMYFUNCTION("""COMPUTED_VALUE"""),"1Sm5U6q-jz5LeKeyf9JfBjKzov0tNefLFi5MsaafqKYg")</f>
        <v>1Sm5U6q-jz5LeKeyf9JfBjKzov0tNefLFi5MsaafqKYg</v>
      </c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 t="str">
        <f>IFERROR(__xludf.DUMMYFUNCTION("""COMPUTED_VALUE"""),"Admin")</f>
        <v>Admin</v>
      </c>
      <c r="B590" s="4" t="str">
        <f>IFERROR(__xludf.DUMMYFUNCTION("""COMPUTED_VALUE"""),"DeleteSymbolFromSM")</f>
        <v>DeleteSymbolFromSM</v>
      </c>
      <c r="C590" s="4" t="str">
        <f>IFERROR(__xludf.DUMMYFUNCTION("""COMPUTED_VALUE"""),"1DudMRucUgcEjmlylDgFYqu5uXTRzRsr-jnE6lVHMbjY")</f>
        <v>1DudMRucUgcEjmlylDgFYqu5uXTRzRsr-jnE6lVHMbjY</v>
      </c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 t="str">
        <f>IFERROR(__xludf.DUMMYFUNCTION("""COMPUTED_VALUE"""),"Watchlist")</f>
        <v>Watchlist</v>
      </c>
      <c r="B591" s="4" t="str">
        <f>IFERROR(__xludf.DUMMYFUNCTION("""COMPUTED_VALUE"""),"AddSymbolToWatchlist")</f>
        <v>AddSymbolToWatchlist</v>
      </c>
      <c r="C591" s="4" t="str">
        <f>IFERROR(__xludf.DUMMYFUNCTION("""COMPUTED_VALUE"""),"1XmnTrOtQLoxDHPfo2HMbZB9NBqLkHPulaqnXm4cQ5KA")</f>
        <v>1XmnTrOtQLoxDHPfo2HMbZB9NBqLkHPulaqnXm4cQ5KA</v>
      </c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 t="str">
        <f>IFERROR(__xludf.DUMMYFUNCTION("""COMPUTED_VALUE"""),"Watchlist")</f>
        <v>Watchlist</v>
      </c>
      <c r="B592" s="4" t="str">
        <f>IFERROR(__xludf.DUMMYFUNCTION("""COMPUTED_VALUE"""),"TradeFromWatchlist")</f>
        <v>TradeFromWatchlist</v>
      </c>
      <c r="C592" s="4" t="str">
        <f>IFERROR(__xludf.DUMMYFUNCTION("""COMPUTED_VALUE"""),"1T9s9NPtF9Q_Ppi6FLLTTJxb43fAm4QnWCD3GM96gXjQ")</f>
        <v>1T9s9NPtF9Q_Ppi6FLLTTJxb43fAm4QnWCD3GM96gXjQ</v>
      </c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 t="str">
        <f>IFERROR(__xludf.DUMMYFUNCTION("""COMPUTED_VALUE"""),"Watchlist")</f>
        <v>Watchlist</v>
      </c>
      <c r="B593" s="4" t="str">
        <f>IFERROR(__xludf.DUMMYFUNCTION("""COMPUTED_VALUE"""),"MultiTradeFromWatchlist")</f>
        <v>MultiTradeFromWatchlist</v>
      </c>
      <c r="C593" s="4" t="str">
        <f>IFERROR(__xludf.DUMMYFUNCTION("""COMPUTED_VALUE"""),"13Bo68XuCJXrtlP5Ji1GdlQm3HIyUjNAnbQEqNi_0j80")</f>
        <v>13Bo68XuCJXrtlP5Ji1GdlQm3HIyUjNAnbQEqNi_0j80</v>
      </c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 t="str">
        <f>IFERROR(__xludf.DUMMYFUNCTION("""COMPUTED_VALUE"""),"Watchlist")</f>
        <v>Watchlist</v>
      </c>
      <c r="B594" s="4" t="str">
        <f>IFERROR(__xludf.DUMMYFUNCTION("""COMPUTED_VALUE"""),"DeleteSymbolFromWatchlist")</f>
        <v>DeleteSymbolFromWatchlist</v>
      </c>
      <c r="C594" s="4" t="str">
        <f>IFERROR(__xludf.DUMMYFUNCTION("""COMPUTED_VALUE"""),"1KR8LzaHhEwxGacZ2Jul0uakCfHBvSq8Om-PWySPLpHU")</f>
        <v>1KR8LzaHhEwxGacZ2Jul0uakCfHBvSq8Om-PWySPLpHU</v>
      </c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 t="str">
        <f>IFERROR(__xludf.DUMMYFUNCTION("""COMPUTED_VALUE"""),"Watchlist")</f>
        <v>Watchlist</v>
      </c>
      <c r="B595" s="4" t="str">
        <f>IFERROR(__xludf.DUMMYFUNCTION("""COMPUTED_VALUE"""),"VerifySymbolsOnWatchlist")</f>
        <v>VerifySymbolsOnWatchlist</v>
      </c>
      <c r="C595" s="4" t="str">
        <f>IFERROR(__xludf.DUMMYFUNCTION("""COMPUTED_VALUE"""),"1fkU0S4violR7UFjAn9TlUpgOonAIAkkJZA9g0xcb6hU")</f>
        <v>1fkU0S4violR7UFjAn9TlUpgOonAIAkkJZA9g0xcb6hU</v>
      </c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 t="str">
        <f>IFERROR(__xludf.DUMMYFUNCTION("""COMPUTED_VALUE"""),"Recon")</f>
        <v>Recon</v>
      </c>
      <c r="B596" s="4" t="str">
        <f>IFERROR(__xludf.DUMMYFUNCTION("""COMPUTED_VALUE"""),"VerifyAppMatchedData")</f>
        <v>VerifyAppMatchedData</v>
      </c>
      <c r="C596" s="4" t="str">
        <f>IFERROR(__xludf.DUMMYFUNCTION("""COMPUTED_VALUE"""),"14GA6gCi0TKNLF2vISw-OK2MXQBKkoHIrNEl4pTEICeg")</f>
        <v>14GA6gCi0TKNLF2vISw-OK2MXQBKkoHIrNEl4pTEICeg</v>
      </c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 t="str">
        <f>IFERROR(__xludf.DUMMYFUNCTION("""COMPUTED_VALUE"""),"Recon")</f>
        <v>Recon</v>
      </c>
      <c r="B597" s="4" t="str">
        <f>IFERROR(__xludf.DUMMYFUNCTION("""COMPUTED_VALUE"""),"VerifyAppUnmatchedData")</f>
        <v>VerifyAppUnmatchedData</v>
      </c>
      <c r="C597" s="4" t="str">
        <f>IFERROR(__xludf.DUMMYFUNCTION("""COMPUTED_VALUE"""),"1fRtlhH7TyRkIcxAV3P_BFbmJBgSLDwOvrBxrqiU6xKw")</f>
        <v>1fRtlhH7TyRkIcxAV3P_BFbmJBgSLDwOvrBxrqiU6xKw</v>
      </c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 t="str">
        <f>IFERROR(__xludf.DUMMYFUNCTION("""COMPUTED_VALUE"""),"Recon")</f>
        <v>Recon</v>
      </c>
      <c r="B598" s="4" t="str">
        <f>IFERROR(__xludf.DUMMYFUNCTION("""COMPUTED_VALUE"""),"VerifyPBMatchedData")</f>
        <v>VerifyPBMatchedData</v>
      </c>
      <c r="C598" s="4" t="str">
        <f>IFERROR(__xludf.DUMMYFUNCTION("""COMPUTED_VALUE"""),"18BzE30Ho0Qvtx4D8qR8XqV6nyyOdYbSVu-Z17SjWyuA")</f>
        <v>18BzE30Ho0Qvtx4D8qR8XqV6nyyOdYbSVu-Z17SjWyuA</v>
      </c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 t="str">
        <f>IFERROR(__xludf.DUMMYFUNCTION("""COMPUTED_VALUE"""),"Recon")</f>
        <v>Recon</v>
      </c>
      <c r="B599" s="4" t="str">
        <f>IFERROR(__xludf.DUMMYFUNCTION("""COMPUTED_VALUE"""),"VerifyPBUnmatchedData")</f>
        <v>VerifyPBUnmatchedData</v>
      </c>
      <c r="C599" s="4" t="str">
        <f>IFERROR(__xludf.DUMMYFUNCTION("""COMPUTED_VALUE"""),"175euYUhYwu8NiO4e3-6islzKymxACVs9cl3KioQ0DbA")</f>
        <v>175euYUhYwu8NiO4e3-6islzKymxACVs9cl3KioQ0DbA</v>
      </c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 t="str">
        <f>IFERROR(__xludf.DUMMYFUNCTION("""COMPUTED_VALUE"""),"QTT")</f>
        <v>QTT</v>
      </c>
      <c r="B600" s="4" t="str">
        <f>IFERROR(__xludf.DUMMYFUNCTION("""COMPUTED_VALUE"""),"OpenQtt")</f>
        <v>OpenQtt</v>
      </c>
      <c r="C600" s="4" t="str">
        <f>IFERROR(__xludf.DUMMYFUNCTION("""COMPUTED_VALUE"""),"1aAWPiagRSQBPzFpFvPGXOL3ffgkx6Nv3C5nWfeoNcgM")</f>
        <v>1aAWPiagRSQBPzFpFvPGXOL3ffgkx6Nv3C5nWfeoNcgM</v>
      </c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 t="str">
        <f>IFERROR(__xludf.DUMMYFUNCTION("""COMPUTED_VALUE"""),"QTT")</f>
        <v>QTT</v>
      </c>
      <c r="B601" s="4" t="str">
        <f>IFERROR(__xludf.DUMMYFUNCTION("""COMPUTED_VALUE"""),"TradeFromQTT")</f>
        <v>TradeFromQTT</v>
      </c>
      <c r="C601" s="4" t="str">
        <f>IFERROR(__xludf.DUMMYFUNCTION("""COMPUTED_VALUE"""),"1VxR48DRURy-5fMryJTwAP30_4MHBsyd5IYM_MA17mH4")</f>
        <v>1VxR48DRURy-5fMryJTwAP30_4MHBsyd5IYM_MA17mH4</v>
      </c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 t="str">
        <f>IFERROR(__xludf.DUMMYFUNCTION("""COMPUTED_VALUE"""),"TradingTicket")</f>
        <v>TradingTicket</v>
      </c>
      <c r="B602" s="4" t="str">
        <f>IFERROR(__xludf.DUMMYFUNCTION("""COMPUTED_VALUE"""),"VerifyBasketExport")</f>
        <v>VerifyBasketExport</v>
      </c>
      <c r="C602" s="4" t="str">
        <f>IFERROR(__xludf.DUMMYFUNCTION("""COMPUTED_VALUE"""),"1KOVAJXM-60wuzbemyOcR8_7Pu3PI0nXBRqpYgb3dzkU")</f>
        <v>1KOVAJXM-60wuzbemyOcR8_7Pu3PI0nXBRqpYgb3dzkU</v>
      </c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 t="str">
        <f>IFERROR(__xludf.DUMMYFUNCTION("""COMPUTED_VALUE"""),"Admin")</f>
        <v>Admin</v>
      </c>
      <c r="B603" s="4" t="str">
        <f>IFERROR(__xludf.DUMMYFUNCTION("""COMPUTED_VALUE"""),"SetCompliancePermission")</f>
        <v>SetCompliancePermission</v>
      </c>
      <c r="C603" s="4" t="str">
        <f>IFERROR(__xludf.DUMMYFUNCTION("""COMPUTED_VALUE"""),"125GL21UTNAv-VPIkHZbpZjsENPGN-XLVcbrUI4CZxxA")</f>
        <v>125GL21UTNAv-VPIkHZbpZjsENPGN-XLVcbrUI4CZxxA</v>
      </c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 t="str">
        <f>IFERROR(__xludf.DUMMYFUNCTION("""COMPUTED_VALUE"""),"Compliance")</f>
        <v>Compliance</v>
      </c>
      <c r="B604" s="4" t="str">
        <f>IFERROR(__xludf.DUMMYFUNCTION("""COMPUTED_VALUE"""),"ApproveorRejectpendingapproval")</f>
        <v>ApproveorRejectpendingapproval</v>
      </c>
      <c r="C604" s="4" t="str">
        <f>IFERROR(__xludf.DUMMYFUNCTION("""COMPUTED_VALUE"""),"1kblrJiY5tjWVV0kCU90-uYIUPjXfJMDg72L-1IJOLGU")</f>
        <v>1kblrJiY5tjWVV0kCU90-uYIUPjXfJMDg72L-1IJOLGU</v>
      </c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 t="str">
        <f>IFERROR(__xludf.DUMMYFUNCTION("""COMPUTED_VALUE"""),"Compliance")</f>
        <v>Compliance</v>
      </c>
      <c r="B605" s="4" t="str">
        <f>IFERROR(__xludf.DUMMYFUNCTION("""COMPUTED_VALUE"""),"VerifyAlertHistory")</f>
        <v>VerifyAlertHistory</v>
      </c>
      <c r="C605" s="4" t="str">
        <f>IFERROR(__xludf.DUMMYFUNCTION("""COMPUTED_VALUE"""),"1flh7l8ahyS7C018bO_Y6k1K-XT76tXzdz53HLkQ4xU4")</f>
        <v>1flh7l8ahyS7C018bO_Y6k1K-XT76tXzdz53HLkQ4xU4</v>
      </c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 t="str">
        <f>IFERROR(__xludf.DUMMYFUNCTION("""COMPUTED_VALUE"""),"Blotter")</f>
        <v>Blotter</v>
      </c>
      <c r="B606" s="4" t="str">
        <f>IFERROR(__xludf.DUMMYFUNCTION("""COMPUTED_VALUE"""),"MergeOrder")</f>
        <v>MergeOrder</v>
      </c>
      <c r="C606" s="4" t="str">
        <f>IFERROR(__xludf.DUMMYFUNCTION("""COMPUTED_VALUE"""),"1MPmJ5VEjT-ZUHCoVctZCP9aHjIzuZW0_hruDc41GD-A")</f>
        <v>1MPmJ5VEjT-ZUHCoVctZCP9aHjIzuZW0_hruDc41GD-A</v>
      </c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 t="str">
        <f>IFERROR(__xludf.DUMMYFUNCTION("""COMPUTED_VALUE"""),"Blotter")</f>
        <v>Blotter</v>
      </c>
      <c r="B607" s="4" t="str">
        <f>IFERROR(__xludf.DUMMYFUNCTION("""COMPUTED_VALUE"""),"VerifyMergeOrder")</f>
        <v>VerifyMergeOrder</v>
      </c>
      <c r="C607" s="4" t="str">
        <f>IFERROR(__xludf.DUMMYFUNCTION("""COMPUTED_VALUE"""),"1YPCy9ceoUg_SjAt-3PXhz8GxVOfWkuIJ1yRR9c0aZrE")</f>
        <v>1YPCy9ceoUg_SjAt-3PXhz8GxVOfWkuIJ1yRR9c0aZrE</v>
      </c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 t="str">
        <f>IFERROR(__xludf.DUMMYFUNCTION("""COMPUTED_VALUE"""),"Blotter")</f>
        <v>Blotter</v>
      </c>
      <c r="B608" s="4" t="str">
        <f>IFERROR(__xludf.DUMMYFUNCTION("""COMPUTED_VALUE"""),"AddTabBlotter")</f>
        <v>AddTabBlotter</v>
      </c>
      <c r="C608" s="4" t="str">
        <f>IFERROR(__xludf.DUMMYFUNCTION("""COMPUTED_VALUE"""),"1YMp0jrKM8rLBzloaDu3tQ6aTv8C98xCVaQ6Wxe_flKc")</f>
        <v>1YMp0jrKM8rLBzloaDu3tQ6aTv8C98xCVaQ6Wxe_flKc</v>
      </c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 t="str">
        <f>IFERROR(__xludf.DUMMYFUNCTION("""COMPUTED_VALUE"""),"Rebalancer")</f>
        <v>Rebalancer</v>
      </c>
      <c r="B609" s="4" t="str">
        <f>IFERROR(__xludf.DUMMYFUNCTION("""COMPUTED_VALUE"""),"CloseRebalancer")</f>
        <v>CloseRebalancer</v>
      </c>
      <c r="C609" s="4" t="str">
        <f>IFERROR(__xludf.DUMMYFUNCTION("""COMPUTED_VALUE"""),"Undefined")</f>
        <v>Undefined</v>
      </c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 t="str">
        <f>IFERROR(__xludf.DUMMYFUNCTION("""COMPUTED_VALUE"""),"Rebalancer")</f>
        <v>Rebalancer</v>
      </c>
      <c r="B610" s="4" t="str">
        <f>IFERROR(__xludf.DUMMYFUNCTION("""COMPUTED_VALUE"""),"AddCustomCashUsingImport")</f>
        <v>AddCustomCashUsingImport</v>
      </c>
      <c r="C610" s="4" t="str">
        <f>IFERROR(__xludf.DUMMYFUNCTION("""COMPUTED_VALUE"""),"1nK0OIxssf5AR0xHG2TzYVlqjkwDX8BRkcb7sWcPW2kA")</f>
        <v>1nK0OIxssf5AR0xHG2TzYVlqjkwDX8BRkcb7sWcPW2kA</v>
      </c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 t="str">
        <f>IFERROR(__xludf.DUMMYFUNCTION("""COMPUTED_VALUE"""),"Rebalancer")</f>
        <v>Rebalancer</v>
      </c>
      <c r="B611" s="4" t="str">
        <f>IFERROR(__xludf.DUMMYFUNCTION("""COMPUTED_VALUE"""),"EditRebalanceGrid")</f>
        <v>EditRebalanceGrid</v>
      </c>
      <c r="C611" s="4" t="str">
        <f>IFERROR(__xludf.DUMMYFUNCTION("""COMPUTED_VALUE"""),"1QX_rYsr8GIcxa1bv4oQ2qNxe0w-YwiY_loABgwfLsP0")</f>
        <v>1QX_rYsr8GIcxa1bv4oQ2qNxe0w-YwiY_loABgwfLsP0</v>
      </c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 t="str">
        <f>IFERROR(__xludf.DUMMYFUNCTION("""COMPUTED_VALUE"""),"DailyValuation")</f>
        <v>DailyValuation</v>
      </c>
      <c r="B612" s="4" t="str">
        <f>IFERROR(__xludf.DUMMYFUNCTION("""COMPUTED_VALUE"""),"EnableBlankMarkPrices")</f>
        <v>EnableBlankMarkPrices</v>
      </c>
      <c r="C612" s="4" t="str">
        <f>IFERROR(__xludf.DUMMYFUNCTION("""COMPUTED_VALUE"""),"10Mzp90fyme73_sxAYwM2i8xwqgeQUe_de_N7Y-Cnu6Q")</f>
        <v>10Mzp90fyme73_sxAYwM2i8xwqgeQUe_de_N7Y-Cnu6Q</v>
      </c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 t="str">
        <f>IFERROR(__xludf.DUMMYFUNCTION("""COMPUTED_VALUE"""),"DailyValuation")</f>
        <v>DailyValuation</v>
      </c>
      <c r="B613" s="4" t="str">
        <f>IFERROR(__xludf.DUMMYFUNCTION("""COMPUTED_VALUE"""),"UpateSymbolBlankMP")</f>
        <v>UpateSymbolBlankMP</v>
      </c>
      <c r="C613" s="4" t="str">
        <f>IFERROR(__xludf.DUMMYFUNCTION("""COMPUTED_VALUE"""),"1Y4lmODSKti17gLeUqSwERRx-4D5awbTM9UOJZrp60F4")</f>
        <v>1Y4lmODSKti17gLeUqSwERRx-4D5awbTM9UOJZrp60F4</v>
      </c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 t="str">
        <f>IFERROR(__xludf.DUMMYFUNCTION("""COMPUTED_VALUE"""),"DailyValuation")</f>
        <v>DailyValuation</v>
      </c>
      <c r="B614" s="4" t="str">
        <f>IFERROR(__xludf.DUMMYFUNCTION("""COMPUTED_VALUE"""),"UpdateBlankMP")</f>
        <v>UpdateBlankMP</v>
      </c>
      <c r="C614" s="4" t="str">
        <f>IFERROR(__xludf.DUMMYFUNCTION("""COMPUTED_VALUE"""),"1i5WlaPZ1-uo5yRQyqBi_NoGgPj8ziXj7cnN8reG8SXo")</f>
        <v>1i5WlaPZ1-uo5yRQyqBi_NoGgPj8ziXj7cnN8reG8SXo</v>
      </c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 t="str">
        <f>IFERROR(__xludf.DUMMYFUNCTION("""COMPUTED_VALUE"""),"DailyValuation")</f>
        <v>DailyValuation</v>
      </c>
      <c r="B615" s="4" t="str">
        <f>IFERROR(__xludf.DUMMYFUNCTION("""COMPUTED_VALUE"""),"FilterBlankMP")</f>
        <v>FilterBlankMP</v>
      </c>
      <c r="C615" s="4" t="str">
        <f>IFERROR(__xludf.DUMMYFUNCTION("""COMPUTED_VALUE"""),"1zsU3_vPB4UlwnEI6Hgxofosk22-vdytF5SYhkTLGr3Y")</f>
        <v>1zsU3_vPB4UlwnEI6Hgxofosk22-vdytF5SYhkTLGr3Y</v>
      </c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 t="str">
        <f>IFERROR(__xludf.DUMMYFUNCTION("""COMPUTED_VALUE"""),"SymbolLookup")</f>
        <v>SymbolLookup</v>
      </c>
      <c r="B616" s="4" t="str">
        <f>IFERROR(__xludf.DUMMYFUNCTION("""COMPUTED_VALUE"""),"SelectFromSMGridUI")</f>
        <v>SelectFromSMGridUI</v>
      </c>
      <c r="C616" s="4" t="str">
        <f>IFERROR(__xludf.DUMMYFUNCTION("""COMPUTED_VALUE"""),"1RozaKMXual4WXW46lBsE3Orf9OV2Nn-FhxvokH28xaw")</f>
        <v>1RozaKMXual4WXW46lBsE3Orf9OV2Nn-FhxvokH28xaw</v>
      </c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 t="str">
        <f>IFERROR(__xludf.DUMMYFUNCTION("""COMPUTED_VALUE"""),"SymbolLookup")</f>
        <v>SymbolLookup</v>
      </c>
      <c r="B617" s="4" t="str">
        <f>IFERROR(__xludf.DUMMYFUNCTION("""COMPUTED_VALUE"""),"EditSMGridUi")</f>
        <v>EditSMGridUi</v>
      </c>
      <c r="C617" s="4" t="str">
        <f>IFERROR(__xludf.DUMMYFUNCTION("""COMPUTED_VALUE"""),"1P3hQI12FYJP4QrekwcLQ4UJcZeg6WQU7Y7X6wSfNfe4")</f>
        <v>1P3hQI12FYJP4QrekwcLQ4UJcZeg6WQU7Y7X6wSfNfe4</v>
      </c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 t="str">
        <f>IFERROR(__xludf.DUMMYFUNCTION("""COMPUTED_VALUE"""),"Compliance")</f>
        <v>Compliance</v>
      </c>
      <c r="B618" s="4" t="str">
        <f>IFERROR(__xludf.DUMMYFUNCTION("""COMPUTED_VALUE"""),"EditInterceptorFile")</f>
        <v>EditInterceptorFile</v>
      </c>
      <c r="C618" s="4" t="str">
        <f>IFERROR(__xludf.DUMMYFUNCTION("""COMPUTED_VALUE"""),"1E0GenYl5VsF6ic5npTKWWfS_gebqIIj6InrHMvvbtso")</f>
        <v>1E0GenYl5VsF6ic5npTKWWfS_gebqIIj6InrHMvvbtso</v>
      </c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 t="str">
        <f>IFERROR(__xludf.DUMMYFUNCTION("""COMPUTED_VALUE"""),"Compliance")</f>
        <v>Compliance</v>
      </c>
      <c r="B619" s="4" t="str">
        <f>IFERROR(__xludf.DUMMYFUNCTION("""COMPUTED_VALUE"""),"ReplaceInterceptorFile")</f>
        <v>ReplaceInterceptorFile</v>
      </c>
      <c r="C619" s="4" t="str">
        <f>IFERROR(__xludf.DUMMYFUNCTION("""COMPUTED_VALUE"""),"Undefined")</f>
        <v>Undefined</v>
      </c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 t="str">
        <f>IFERROR(__xludf.DUMMYFUNCTION("""COMPUTED_VALUE"""),"Blotter")</f>
        <v>Blotter</v>
      </c>
      <c r="B620" s="4" t="str">
        <f>IFERROR(__xludf.DUMMYFUNCTION("""COMPUTED_VALUE"""),"VerifyLowerStripBlotterUI")</f>
        <v>VerifyLowerStripBlotterUI</v>
      </c>
      <c r="C620" s="4" t="str">
        <f>IFERROR(__xludf.DUMMYFUNCTION("""COMPUTED_VALUE"""),"1HZDVVf9laKE8xHcR6trbwHakdbl6uFndhwO94MHDlcQ")</f>
        <v>1HZDVVf9laKE8xHcR6trbwHakdbl6uFndhwO94MHDlcQ</v>
      </c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 t="str">
        <f>IFERROR(__xludf.DUMMYFUNCTION("""COMPUTED_VALUE"""),"Blotter")</f>
        <v>Blotter</v>
      </c>
      <c r="B621" s="4" t="str">
        <f>IFERROR(__xludf.DUMMYFUNCTION("""COMPUTED_VALUE"""),"SaveOrRemoveInSummaryTab")</f>
        <v>SaveOrRemoveInSummaryTab</v>
      </c>
      <c r="C621" s="4" t="str">
        <f>IFERROR(__xludf.DUMMYFUNCTION("""COMPUTED_VALUE"""),"16E73g0W5LRIhkg1RbjzOOK94Uv0Vlbn7MMDq-QXA2kc")</f>
        <v>16E73g0W5LRIhkg1RbjzOOK94Uv0Vlbn7MMDq-QXA2kc</v>
      </c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 t="str">
        <f>IFERROR(__xludf.DUMMYFUNCTION("""COMPUTED_VALUE"""),"Blotter")</f>
        <v>Blotter</v>
      </c>
      <c r="B622" s="4" t="str">
        <f>IFERROR(__xludf.DUMMYFUNCTION("""COMPUTED_VALUE"""),"SaveOrRemoveInWorkingSubsTab")</f>
        <v>SaveOrRemoveInWorkingSubsTab</v>
      </c>
      <c r="C622" s="4" t="str">
        <f>IFERROR(__xludf.DUMMYFUNCTION("""COMPUTED_VALUE"""),"15CFpQocegIFfZ23cSQZai_mnb9NZPlp99oh6nO0sjXg")</f>
        <v>15CFpQocegIFfZ23cSQZai_mnb9NZPlp99oh6nO0sjXg</v>
      </c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 t="str">
        <f>IFERROR(__xludf.DUMMYFUNCTION("""COMPUTED_VALUE"""),"Blotter")</f>
        <v>Blotter</v>
      </c>
      <c r="B623" s="4" t="str">
        <f>IFERROR(__xludf.DUMMYFUNCTION("""COMPUTED_VALUE"""),"SelectCheckBoxOnOrderGrid")</f>
        <v>SelectCheckBoxOnOrderGrid</v>
      </c>
      <c r="C623" s="4" t="str">
        <f>IFERROR(__xludf.DUMMYFUNCTION("""COMPUTED_VALUE"""),"18ge8W43MnUH64uDLyzdwmaOTsTAxaKRTY5e2M2PR7Ig")</f>
        <v>18ge8W43MnUH64uDLyzdwmaOTsTAxaKRTY5e2M2PR7Ig</v>
      </c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 t="str">
        <f>IFERROR(__xludf.DUMMYFUNCTION("""COMPUTED_VALUE"""),"Compliance")</f>
        <v>Compliance</v>
      </c>
      <c r="B624" s="4" t="str">
        <f>IFERROR(__xludf.DUMMYFUNCTION("""COMPUTED_VALUE"""),"RestartReleasesAndServices")</f>
        <v>RestartReleasesAndServices</v>
      </c>
      <c r="C624" s="4" t="str">
        <f>IFERROR(__xludf.DUMMYFUNCTION("""COMPUTED_VALUE"""),"1T07pMES6_0vIAOHEcHllSqzIfxdK3kjZkG_bnk1Q87E")</f>
        <v>1T07pMES6_0vIAOHEcHllSqzIfxdK3kjZkG_bnk1Q87E</v>
      </c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 t="str">
        <f>IFERROR(__xludf.DUMMYFUNCTION("""COMPUTED_VALUE"""),"PTT")</f>
        <v>PTT</v>
      </c>
      <c r="B625" s="4" t="str">
        <f>IFERROR(__xludf.DUMMYFUNCTION("""COMPUTED_VALUE"""),"AutoStageImportFromPTTExport")</f>
        <v>AutoStageImportFromPTTExport</v>
      </c>
      <c r="C625" s="4" t="str">
        <f>IFERROR(__xludf.DUMMYFUNCTION("""COMPUTED_VALUE"""),"Undefined")</f>
        <v>Undefined</v>
      </c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 t="str">
        <f>IFERROR(__xludf.DUMMYFUNCTION("""COMPUTED_VALUE"""),"Closing")</f>
        <v>Closing</v>
      </c>
      <c r="B626" s="4" t="str">
        <f>IFERROR(__xludf.DUMMYFUNCTION("""COMPUTED_VALUE"""),"FilterClosing")</f>
        <v>FilterClosing</v>
      </c>
      <c r="C626" s="4" t="str">
        <f>IFERROR(__xludf.DUMMYFUNCTION("""COMPUTED_VALUE"""),"1JSzRoeUWroBBbNbincAHC4uO8KmsFjinSPOeKTzIgWw")</f>
        <v>1JSzRoeUWroBBbNbincAHC4uO8KmsFjinSPOeKTzIgWw</v>
      </c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 t="str">
        <f>IFERROR(__xludf.DUMMYFUNCTION("""COMPUTED_VALUE"""),"MultiTradingTicket")</f>
        <v>MultiTradingTicket</v>
      </c>
      <c r="B627" s="4" t="str">
        <f>IFERROR(__xludf.DUMMYFUNCTION("""COMPUTED_VALUE"""),"BulkEditUpdateFromMTT")</f>
        <v>BulkEditUpdateFromMTT</v>
      </c>
      <c r="C627" s="4" t="str">
        <f>IFERROR(__xludf.DUMMYFUNCTION("""COMPUTED_VALUE"""),"1M4JJJsoeSKu6pTetWn8bRE7zQlcKGucRxjGGlqEA3d4")</f>
        <v>1M4JJJsoeSKu6pTetWn8bRE7zQlcKGucRxjGGlqEA3d4</v>
      </c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 t="str">
        <f>IFERROR(__xludf.DUMMYFUNCTION("""COMPUTED_VALUE"""),"MultiTradingTicket")</f>
        <v>MultiTradingTicket</v>
      </c>
      <c r="B628" s="4" t="str">
        <f>IFERROR(__xludf.DUMMYFUNCTION("""COMPUTED_VALUE"""),"BulkChangeCreateStageOrder")</f>
        <v>BulkChangeCreateStageOrder</v>
      </c>
      <c r="C628" s="4" t="str">
        <f>IFERROR(__xludf.DUMMYFUNCTION("""COMPUTED_VALUE"""),"1eGv-pvwZhT1511VogxRAfh-QbF2wJZDvzpTQHphliak")</f>
        <v>1eGv-pvwZhT1511VogxRAfh-QbF2wJZDvzpTQHphliak</v>
      </c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 t="str">
        <f>IFERROR(__xludf.DUMMYFUNCTION("""COMPUTED_VALUE"""),"MultiTradingTicket")</f>
        <v>MultiTradingTicket</v>
      </c>
      <c r="B629" s="4" t="str">
        <f>IFERROR(__xludf.DUMMYFUNCTION("""COMPUTED_VALUE"""),"BulkUpdateUsingMTT")</f>
        <v>BulkUpdateUsingMTT</v>
      </c>
      <c r="C629" s="4" t="str">
        <f>IFERROR(__xludf.DUMMYFUNCTION("""COMPUTED_VALUE"""),"1H01hn91s0buuShObE8vUpumNB-99MHja4DJxcTvy1GU")</f>
        <v>1H01hn91s0buuShObE8vUpumNB-99MHja4DJxcTvy1GU</v>
      </c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 t="str">
        <f>IFERROR(__xludf.DUMMYFUNCTION("""COMPUTED_VALUE"""),"PranaClient")</f>
        <v>PranaClient</v>
      </c>
      <c r="B630" s="4" t="str">
        <f>IFERROR(__xludf.DUMMYFUNCTION("""COMPUTED_VALUE"""),"CompareXML")</f>
        <v>CompareXML</v>
      </c>
      <c r="C630" s="4" t="str">
        <f>IFERROR(__xludf.DUMMYFUNCTION("""COMPUTED_VALUE"""),"1WtgbOyiLNErYI8GO9AbbJE12IcFr1TtjqIL6v2nwjLU")</f>
        <v>1WtgbOyiLNErYI8GO9AbbJE12IcFr1TtjqIL6v2nwjLU</v>
      </c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 t="str">
        <f>IFERROR(__xludf.DUMMYFUNCTION("""COMPUTED_VALUE"""),"Admin")</f>
        <v>Admin</v>
      </c>
      <c r="B631" s="4" t="str">
        <f>IFERROR(__xludf.DUMMYFUNCTION("""COMPUTED_VALUE"""),"SetMasterFundOnTT")</f>
        <v>SetMasterFundOnTT</v>
      </c>
      <c r="C631" s="4" t="str">
        <f>IFERROR(__xludf.DUMMYFUNCTION("""COMPUTED_VALUE"""),"1duRG5DukVziXM3AbWJjEHG1WfsWREKj0zcQWLcC3N0o")</f>
        <v>1duRG5DukVziXM3AbWJjEHG1WfsWREKj0zcQWLcC3N0o</v>
      </c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 t="str">
        <f>IFERROR(__xludf.DUMMYFUNCTION("""COMPUTED_VALUE"""),"TradingTicket")</f>
        <v>TradingTicket</v>
      </c>
      <c r="B632" s="4" t="str">
        <f>IFERROR(__xludf.DUMMYFUNCTION("""COMPUTED_VALUE"""),"VerifyCustomAllocationonTT")</f>
        <v>VerifyCustomAllocationonTT</v>
      </c>
      <c r="C632" s="4" t="str">
        <f>IFERROR(__xludf.DUMMYFUNCTION("""COMPUTED_VALUE"""),"1Z3l-jIyJbM2hFTF5NgxtnL1fChZg2TPPhaAzx7mfVm8")</f>
        <v>1Z3l-jIyJbM2hFTF5NgxtnL1fChZg2TPPhaAzx7mfVm8</v>
      </c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 t="str">
        <f>IFERROR(__xludf.DUMMYFUNCTION("""COMPUTED_VALUE"""),"Blotter")</f>
        <v>Blotter</v>
      </c>
      <c r="B633" s="4" t="str">
        <f>IFERROR(__xludf.DUMMYFUNCTION("""COMPUTED_VALUE"""),"ReAllocateFromBlotterByAllocate")</f>
        <v>ReAllocateFromBlotterByAllocate</v>
      </c>
      <c r="C633" s="4" t="str">
        <f>IFERROR(__xludf.DUMMYFUNCTION("""COMPUTED_VALUE"""),"1NHKxDgR0tyL2jet1xXc0HhWXSJ-79CcnSRkHUBgPpoY")</f>
        <v>1NHKxDgR0tyL2jet1xXc0HhWXSJ-79CcnSRkHUBgPpoY</v>
      </c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 t="str">
        <f>IFERROR(__xludf.DUMMYFUNCTION("""COMPUTED_VALUE"""),"Simulator")</f>
        <v>Simulator</v>
      </c>
      <c r="B634" s="4" t="str">
        <f>IFERROR(__xludf.DUMMYFUNCTION("""COMPUTED_VALUE"""),"VerifyTagInAllFixLogs")</f>
        <v>VerifyTagInAllFixLogs</v>
      </c>
      <c r="C634" s="4" t="str">
        <f>IFERROR(__xludf.DUMMYFUNCTION("""COMPUTED_VALUE"""),"1uy63r2XjpUIBlAUk-lXKJTr-PpvpP6wxvLlLDzoM-Ic")</f>
        <v>1uy63r2XjpUIBlAUk-lXKJTr-PpvpP6wxvLlLDzoM-Ic</v>
      </c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 t="str">
        <f>IFERROR(__xludf.DUMMYFUNCTION("""COMPUTED_VALUE"""),"PranaClient")</f>
        <v>PranaClient</v>
      </c>
      <c r="B635" s="4" t="str">
        <f>IFERROR(__xludf.DUMMYFUNCTION("""COMPUTED_VALUE"""),"LoginClient")</f>
        <v>LoginClient</v>
      </c>
      <c r="C635" s="4" t="str">
        <f>IFERROR(__xludf.DUMMYFUNCTION("""COMPUTED_VALUE"""),"1zfvz-aZrAcrVcCZFJj3FAv1GqBrnIiDpgU-TteWVAOw")</f>
        <v>1zfvz-aZrAcrVcCZFJj3FAv1GqBrnIiDpgU-TteWVAOw</v>
      </c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 t="str">
        <f>IFERROR(__xludf.DUMMYFUNCTION("""COMPUTED_VALUE"""),"PortfolioManagement")</f>
        <v>PortfolioManagement</v>
      </c>
      <c r="B636" s="4" t="str">
        <f>IFERROR(__xludf.DUMMYFUNCTION("""COMPUTED_VALUE"""),"SortAndVerifyPM")</f>
        <v>SortAndVerifyPM</v>
      </c>
      <c r="C636" s="4" t="str">
        <f>IFERROR(__xludf.DUMMYFUNCTION("""COMPUTED_VALUE"""),"1X7RzdVuf6bK9F2T7pOeh4nUpKg76Hv2aa-gBjDxYkcs")</f>
        <v>1X7RzdVuf6bK9F2T7pOeh4nUpKg76Hv2aa-gBjDxYkcs</v>
      </c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 t="str">
        <f>IFERROR(__xludf.DUMMYFUNCTION("""COMPUTED_VALUE"""),"PortfolioManagement")</f>
        <v>PortfolioManagement</v>
      </c>
      <c r="B637" s="4" t="str">
        <f>IFERROR(__xludf.DUMMYFUNCTION("""COMPUTED_VALUE"""),"OpenPIFromPM")</f>
        <v>OpenPIFromPM</v>
      </c>
      <c r="C637" s="4" t="str">
        <f>IFERROR(__xludf.DUMMYFUNCTION("""COMPUTED_VALUE"""),"1IuAnXzRzuOehEMtqDK11-sb6DktGPWzx0jT8n2IsrY4")</f>
        <v>1IuAnXzRzuOehEMtqDK11-sb6DktGPWzx0jT8n2IsrY4</v>
      </c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 t="str">
        <f>IFERROR(__xludf.DUMMYFUNCTION("""COMPUTED_VALUE"""),"MultiTradingTicket")</f>
        <v>MultiTradingTicket</v>
      </c>
      <c r="B638" s="4" t="str">
        <f>IFERROR(__xludf.DUMMYFUNCTION("""COMPUTED_VALUE"""),"RefreshPriceUsingMTT")</f>
        <v>RefreshPriceUsingMTT</v>
      </c>
      <c r="C638" s="4" t="str">
        <f>IFERROR(__xludf.DUMMYFUNCTION("""COMPUTED_VALUE"""),"1YtdRVMbFR2kvDHO7XasICZNjFKswCtDImUT3Gjkkfk4")</f>
        <v>1YtdRVMbFR2kvDHO7XasICZNjFKswCtDImUT3Gjkkfk4</v>
      </c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 t="str">
        <f>IFERROR(__xludf.DUMMYFUNCTION("""COMPUTED_VALUE"""),"MultiTradingTicket")</f>
        <v>MultiTradingTicket</v>
      </c>
      <c r="B639" s="4" t="str">
        <f>IFERROR(__xludf.DUMMYFUNCTION("""COMPUTED_VALUE"""),"VerifyMTT")</f>
        <v>VerifyMTT</v>
      </c>
      <c r="C639" s="4" t="str">
        <f>IFERROR(__xludf.DUMMYFUNCTION("""COMPUTED_VALUE"""),"1LkpuYouts5i-ZznsIzocNzJ13lcRDsnSdXk19BRgReI")</f>
        <v>1LkpuYouts5i-ZznsIzocNzJ13lcRDsnSdXk19BRgReI</v>
      </c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 t="str">
        <f>IFERROR(__xludf.DUMMYFUNCTION("""COMPUTED_VALUE"""),"Simulator")</f>
        <v>Simulator</v>
      </c>
      <c r="B640" s="4" t="str">
        <f>IFERROR(__xludf.DUMMYFUNCTION("""COMPUTED_VALUE"""),"SetToAutomaticResponse")</f>
        <v>SetToAutomaticResponse</v>
      </c>
      <c r="C640" s="4" t="str">
        <f>IFERROR(__xludf.DUMMYFUNCTION("""COMPUTED_VALUE"""),"Undefined")</f>
        <v>Undefined</v>
      </c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 t="str">
        <f>IFERROR(__xludf.DUMMYFUNCTION("""COMPUTED_VALUE"""),"Rebalancer")</f>
        <v>Rebalancer</v>
      </c>
      <c r="B641" s="4" t="str">
        <f>IFERROR(__xludf.DUMMYFUNCTION("""COMPUTED_VALUE"""),"SaveTradeList")</f>
        <v>SaveTradeList</v>
      </c>
      <c r="C641" s="4" t="str">
        <f>IFERROR(__xludf.DUMMYFUNCTION("""COMPUTED_VALUE"""),"1xCgr8y8ZWOV67Yl77qPCYg-GSJNVZrE2EwAmtpL4Xfg")</f>
        <v>1xCgr8y8ZWOV67Yl77qPCYg-GSJNVZrE2EwAmtpL4Xfg</v>
      </c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 t="str">
        <f>IFERROR(__xludf.DUMMYFUNCTION("""COMPUTED_VALUE"""),"Rebalancer")</f>
        <v>Rebalancer</v>
      </c>
      <c r="B642" s="4" t="str">
        <f>IFERROR(__xludf.DUMMYFUNCTION("""COMPUTED_VALUE"""),"NavImpactingComponent")</f>
        <v>NavImpactingComponent</v>
      </c>
      <c r="C642" s="4" t="str">
        <f>IFERROR(__xludf.DUMMYFUNCTION("""COMPUTED_VALUE"""),"1f0zk0GxJ77AGpV5f_CL_mwxkoRha7_3Z1PIbpXZtod4")</f>
        <v>1f0zk0GxJ77AGpV5f_CL_mwxkoRha7_3Z1PIbpXZtod4</v>
      </c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 t="str">
        <f>IFERROR(__xludf.DUMMYFUNCTION("""COMPUTED_VALUE"""),"Rebalancer")</f>
        <v>Rebalancer</v>
      </c>
      <c r="B643" s="4" t="str">
        <f>IFERROR(__xludf.DUMMYFUNCTION("""COMPUTED_VALUE"""),"ImportUsingRebalAccrossSec")</f>
        <v>ImportUsingRebalAccrossSec</v>
      </c>
      <c r="C643" s="4" t="str">
        <f>IFERROR(__xludf.DUMMYFUNCTION("""COMPUTED_VALUE"""),"1wqAINPqghzd-HB-5iMIqQiCzJj40pqhM2cTv6gahRwo")</f>
        <v>1wqAINPqghzd-HB-5iMIqQiCzJj40pqhM2cTv6gahRwo</v>
      </c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 t="str">
        <f>IFERROR(__xludf.DUMMYFUNCTION("""COMPUTED_VALUE"""),"Rebalancer")</f>
        <v>Rebalancer</v>
      </c>
      <c r="B644" s="4" t="str">
        <f>IFERROR(__xludf.DUMMYFUNCTION("""COMPUTED_VALUE"""),"EditImportStatus")</f>
        <v>EditImportStatus</v>
      </c>
      <c r="C644" s="4" t="str">
        <f>IFERROR(__xludf.DUMMYFUNCTION("""COMPUTED_VALUE"""),"1Xkf1z6WsFfAEpWdBzMACVnTjRvtpZJ0Jbfvug1u1fb8")</f>
        <v>1Xkf1z6WsFfAEpWdBzMACVnTjRvtpZJ0Jbfvug1u1fb8</v>
      </c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 t="str">
        <f>IFERROR(__xludf.DUMMYFUNCTION("""COMPUTED_VALUE"""),"Rebalancer")</f>
        <v>Rebalancer</v>
      </c>
      <c r="B645" s="4" t="str">
        <f>IFERROR(__xludf.DUMMYFUNCTION("""COMPUTED_VALUE"""),"SelectActionsOnImportStatus")</f>
        <v>SelectActionsOnImportStatus</v>
      </c>
      <c r="C645" s="4" t="str">
        <f>IFERROR(__xludf.DUMMYFUNCTION("""COMPUTED_VALUE"""),"10jCuA8F_28LjeoDXTbc5IgQjfWoEPTWq9svKzhi97OA")</f>
        <v>10jCuA8F_28LjeoDXTbc5IgQjfWoEPTWq9svKzhi97OA</v>
      </c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 t="str">
        <f>IFERROR(__xludf.DUMMYFUNCTION("""COMPUTED_VALUE"""),"Rebalancer")</f>
        <v>Rebalancer</v>
      </c>
      <c r="B646" s="4" t="str">
        <f>IFERROR(__xludf.DUMMYFUNCTION("""COMPUTED_VALUE"""),"VerifyImportStatus")</f>
        <v>VerifyImportStatus</v>
      </c>
      <c r="C646" s="4" t="str">
        <f>IFERROR(__xludf.DUMMYFUNCTION("""COMPUTED_VALUE"""),"1cyg6XGf_AlQQ_g5DPcBgmBfH4Oz4BH6IUMfTD5nIhFQ")</f>
        <v>1cyg6XGf_AlQQ_g5DPcBgmBfH4Oz4BH6IUMfTD5nIhFQ</v>
      </c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 t="str">
        <f>IFERROR(__xludf.DUMMYFUNCTION("""COMPUTED_VALUE"""),"PTT")</f>
        <v>PTT</v>
      </c>
      <c r="B647" s="4" t="str">
        <f>IFERROR(__xludf.DUMMYFUNCTION("""COMPUTED_VALUE"""),"OpenPreferencesFromPTT")</f>
        <v>OpenPreferencesFromPTT</v>
      </c>
      <c r="C647" s="4" t="str">
        <f>IFERROR(__xludf.DUMMYFUNCTION("""COMPUTED_VALUE"""),"Undefined")</f>
        <v>Undefined</v>
      </c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 t="str">
        <f>IFERROR(__xludf.DUMMYFUNCTION("""COMPUTED_VALUE"""),"Watchlist")</f>
        <v>Watchlist</v>
      </c>
      <c r="B648" s="4" t="str">
        <f>IFERROR(__xludf.DUMMYFUNCTION("""COMPUTED_VALUE"""),"OpenPTTFromWatchlist")</f>
        <v>OpenPTTFromWatchlist</v>
      </c>
      <c r="C648" s="4" t="str">
        <f>IFERROR(__xludf.DUMMYFUNCTION("""COMPUTED_VALUE"""),"1CRJ_F5octCl23LyAw_CoHc_10OvrxRq8f7mNNzl_B6c")</f>
        <v>1CRJ_F5octCl23LyAw_CoHc_10OvrxRq8f7mNNzl_B6c</v>
      </c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 t="str">
        <f>IFERROR(__xludf.DUMMYFUNCTION("""COMPUTED_VALUE"""),"Admin")</f>
        <v>Admin</v>
      </c>
      <c r="B649" s="4" t="str">
        <f>IFERROR(__xludf.DUMMYFUNCTION("""COMPUTED_VALUE"""),"SetMarketDataProvider")</f>
        <v>SetMarketDataProvider</v>
      </c>
      <c r="C649" s="4" t="str">
        <f>IFERROR(__xludf.DUMMYFUNCTION("""COMPUTED_VALUE"""),"11vW7fknzM8vTBH8SeRsGGkS29p8E1Xfx9205Qtc5hC4")</f>
        <v>11vW7fknzM8vTBH8SeRsGGkS29p8E1Xfx9205Qtc5hC4</v>
      </c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 t="str">
        <f>IFERROR(__xludf.DUMMYFUNCTION("""COMPUTED_VALUE"""),"Admin")</f>
        <v>Admin</v>
      </c>
      <c r="B650" s="4" t="str">
        <f>IFERROR(__xludf.DUMMYFUNCTION("""COMPUTED_VALUE"""),"SetAllocationPreferences")</f>
        <v>SetAllocationPreferences</v>
      </c>
      <c r="C650" s="4" t="str">
        <f>IFERROR(__xludf.DUMMYFUNCTION("""COMPUTED_VALUE"""),"16PO4KGgITIDM3iQzFlyKHfXPBXba023pXOJQCBN_Elc")</f>
        <v>16PO4KGgITIDM3iQzFlyKHfXPBXba023pXOJQCBN_Elc</v>
      </c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 t="str">
        <f>IFERROR(__xludf.DUMMYFUNCTION("""COMPUTED_VALUE"""),"TradingTicket")</f>
        <v>TradingTicket</v>
      </c>
      <c r="B651" s="4" t="str">
        <f>IFERROR(__xludf.DUMMYFUNCTION("""COMPUTED_VALUE"""),"CustomOrderTT")</f>
        <v>CustomOrderTT</v>
      </c>
      <c r="C651" s="4" t="str">
        <f>IFERROR(__xludf.DUMMYFUNCTION("""COMPUTED_VALUE"""),"1XzjmPmpB7IMcyzPSsbgmFfzjE_zIKdjrk0mUoMFhNZc")</f>
        <v>1XzjmPmpB7IMcyzPSsbgmFfzjE_zIKdjrk0mUoMFhNZc</v>
      </c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 t="str">
        <f>IFERROR(__xludf.DUMMYFUNCTION("""COMPUTED_VALUE"""),"TradeServer")</f>
        <v>TradeServer</v>
      </c>
      <c r="B652" s="4" t="str">
        <f>IFERROR(__xludf.DUMMYFUNCTION("""COMPUTED_VALUE"""),"ConnectToSimAutoMan")</f>
        <v>ConnectToSimAutoMan</v>
      </c>
      <c r="C652" s="4" t="str">
        <f>IFERROR(__xludf.DUMMYFUNCTION("""COMPUTED_VALUE"""),"1kmGpZTH9xe92vT2JQhF-Njj6d_RCoVtRypLmoKTlseo")</f>
        <v>1kmGpZTH9xe92vT2JQhF-Njj6d_RCoVtRypLmoKTlseo</v>
      </c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 t="str">
        <f>IFERROR(__xludf.DUMMYFUNCTION("""COMPUTED_VALUE"""),"Admin")</f>
        <v>Admin</v>
      </c>
      <c r="B653" s="4" t="str">
        <f>IFERROR(__xludf.DUMMYFUNCTION("""COMPUTED_VALUE"""),"SetRegularCompliancePermission")</f>
        <v>SetRegularCompliancePermission</v>
      </c>
      <c r="C653" s="4" t="str">
        <f>IFERROR(__xludf.DUMMYFUNCTION("""COMPUTED_VALUE"""),"1pGZ7u9bF4Lu1nJJRSpSz5TQn_FVJsrIH05yxOHHU4S4")</f>
        <v>1pGZ7u9bF4Lu1nJJRSpSz5TQn_FVJsrIH05yxOHHU4S4</v>
      </c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 t="str">
        <f>IFERROR(__xludf.DUMMYFUNCTION("""COMPUTED_VALUE"""),"MultiTradingTicket")</f>
        <v>MultiTradingTicket</v>
      </c>
      <c r="B654" s="4" t="str">
        <f>IFERROR(__xludf.DUMMYFUNCTION("""COMPUTED_VALUE"""),"AddOrRemoveColumn")</f>
        <v>AddOrRemoveColumn</v>
      </c>
      <c r="C654" s="4" t="str">
        <f>IFERROR(__xludf.DUMMYFUNCTION("""COMPUTED_VALUE"""),"143kwNkqtTW1E3kVeTrESBbZbd8h3b9KHBzWYPombeFE")</f>
        <v>143kwNkqtTW1E3kVeTrESBbZbd8h3b9KHBzWYPombeFE</v>
      </c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 t="str">
        <f>IFERROR(__xludf.DUMMYFUNCTION("""COMPUTED_VALUE"""),"Blotter")</f>
        <v>Blotter</v>
      </c>
      <c r="B655" s="4" t="str">
        <f>IFERROR(__xludf.DUMMYFUNCTION("""COMPUTED_VALUE"""),"RemoveOrderFromCustomTab")</f>
        <v>RemoveOrderFromCustomTab</v>
      </c>
      <c r="C655" s="4" t="str">
        <f>IFERROR(__xludf.DUMMYFUNCTION("""COMPUTED_VALUE"""),"1sfynQiLVUyAEBtlKhgJSpN7R6q9257IFweh0qT9mx20")</f>
        <v>1sfynQiLVUyAEBtlKhgJSpN7R6q9257IFweh0qT9mx20</v>
      </c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 t="str">
        <f>IFERROR(__xludf.DUMMYFUNCTION("""COMPUTED_VALUE"""),"MultiTradingTicket")</f>
        <v>MultiTradingTicket</v>
      </c>
      <c r="B656" s="4" t="str">
        <f>IFERROR(__xludf.DUMMYFUNCTION("""COMPUTED_VALUE"""),"SaveLayoutUsingMTT")</f>
        <v>SaveLayoutUsingMTT</v>
      </c>
      <c r="C656" s="4" t="str">
        <f>IFERROR(__xludf.DUMMYFUNCTION("""COMPUTED_VALUE"""),"Undefined")</f>
        <v>Undefined</v>
      </c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 t="str">
        <f>IFERROR(__xludf.DUMMYFUNCTION("""COMPUTED_VALUE"""),"Blotter")</f>
        <v>Blotter</v>
      </c>
      <c r="B657" s="4" t="str">
        <f>IFERROR(__xludf.DUMMYFUNCTION("""COMPUTED_VALUE"""),"ReloadFromSummary")</f>
        <v>ReloadFromSummary</v>
      </c>
      <c r="C657" s="4" t="str">
        <f>IFERROR(__xludf.DUMMYFUNCTION("""COMPUTED_VALUE"""),"1va9lkysxv5IoF2imeSPCpBsD6J_IgJcN5bBcjjoS3g4")</f>
        <v>1va9lkysxv5IoF2imeSPCpBsD6J_IgJcN5bBcjjoS3g4</v>
      </c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 t="str">
        <f>IFERROR(__xludf.DUMMYFUNCTION("""COMPUTED_VALUE"""),"Blotter")</f>
        <v>Blotter</v>
      </c>
      <c r="B658" s="4" t="str">
        <f>IFERROR(__xludf.DUMMYFUNCTION("""COMPUTED_VALUE"""),"AllocateFromWorkingSubsBlotter")</f>
        <v>AllocateFromWorkingSubsBlotter</v>
      </c>
      <c r="C658" s="4" t="str">
        <f>IFERROR(__xludf.DUMMYFUNCTION("""COMPUTED_VALUE"""),"1y2YFZm3A-cdE2rpKOdJdC0HlrimUfKr3DluQsVb-w0E")</f>
        <v>1y2YFZm3A-cdE2rpKOdJdC0HlrimUfKr3DluQsVb-w0E</v>
      </c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 t="str">
        <f>IFERROR(__xludf.DUMMYFUNCTION("""COMPUTED_VALUE"""),"TradingTicket")</f>
        <v>TradingTicket</v>
      </c>
      <c r="B659" s="4" t="str">
        <f>IFERROR(__xludf.DUMMYFUNCTION("""COMPUTED_VALUE"""),"CheckStepSheet")</f>
        <v>CheckStepSheet</v>
      </c>
      <c r="C659" s="4" t="str">
        <f>IFERROR(__xludf.DUMMYFUNCTION("""COMPUTED_VALUE"""),"1CcLgTaVQvUoDbfsClCPnFcyGRwVMAdsncTnhtlJxsws")</f>
        <v>1CcLgTaVQvUoDbfsClCPnFcyGRwVMAdsncTnhtlJxsws</v>
      </c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 t="str">
        <f>IFERROR(__xludf.DUMMYFUNCTION("""COMPUTED_VALUE"""),"Rebalancer")</f>
        <v>Rebalancer</v>
      </c>
      <c r="B660" s="4" t="str">
        <f>IFERROR(__xludf.DUMMYFUNCTION("""COMPUTED_VALUE"""),"AddNewModelPortfolio")</f>
        <v>AddNewModelPortfolio</v>
      </c>
      <c r="C660" s="4" t="str">
        <f>IFERROR(__xludf.DUMMYFUNCTION("""COMPUTED_VALUE"""),"1Qh_vkSA3OzQ68ohGqDcDXce4JnkIitnyepLjVSKsW40")</f>
        <v>1Qh_vkSA3OzQ68ohGqDcDXce4JnkIitnyepLjVSKsW40</v>
      </c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 t="str">
        <f>IFERROR(__xludf.DUMMYFUNCTION("""COMPUTED_VALUE"""),"MultiTradingTicket")</f>
        <v>MultiTradingTicket</v>
      </c>
      <c r="B661" s="4" t="str">
        <f>IFERROR(__xludf.DUMMYFUNCTION("""COMPUTED_VALUE"""),"ApplyFilterOnMTTGrid")</f>
        <v>ApplyFilterOnMTTGrid</v>
      </c>
      <c r="C661" s="4" t="str">
        <f>IFERROR(__xludf.DUMMYFUNCTION("""COMPUTED_VALUE"""),"1Vbhwhkyzzv1rTVbuvoBAl60OJALDvg_yXNHVYwq0EhE")</f>
        <v>1Vbhwhkyzzv1rTVbuvoBAl60OJALDvg_yXNHVYwq0EhE</v>
      </c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 t="str">
        <f>IFERROR(__xludf.DUMMYFUNCTION("""COMPUTED_VALUE"""),"Blotter")</f>
        <v>Blotter</v>
      </c>
      <c r="B662" s="4" t="str">
        <f>IFERROR(__xludf.DUMMYFUNCTION("""COMPUTED_VALUE"""),"EditOrderForMTT")</f>
        <v>EditOrderForMTT</v>
      </c>
      <c r="C662" s="4" t="str">
        <f>IFERROR(__xludf.DUMMYFUNCTION("""COMPUTED_VALUE"""),"1qWfM-5I-ku-5EHZAkn8eS-IZo3tx5B4_gWM6t3Q6Ioo")</f>
        <v>1qWfM-5I-ku-5EHZAkn8eS-IZo3tx5B4_gWM6t3Q6Ioo</v>
      </c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 t="str">
        <f>IFERROR(__xludf.DUMMYFUNCTION("""COMPUTED_VALUE"""),"PortfolioManagement")</f>
        <v>PortfolioManagement</v>
      </c>
      <c r="B663" s="4" t="str">
        <f>IFERROR(__xludf.DUMMYFUNCTION("""COMPUTED_VALUE"""),"ViewSettings")</f>
        <v>ViewSettings</v>
      </c>
      <c r="C663" s="4" t="str">
        <f>IFERROR(__xludf.DUMMYFUNCTION("""COMPUTED_VALUE"""),"1BCFYc9ywS4ss91grP2kHc2F1OGEGuTk3Hc5CFYfKKao")</f>
        <v>1BCFYc9ywS4ss91grP2kHc2F1OGEGuTk3Hc5CFYfKKao</v>
      </c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 t="str">
        <f>IFERROR(__xludf.DUMMYFUNCTION("""COMPUTED_VALUE"""),"PortfolioManagement")</f>
        <v>PortfolioManagement</v>
      </c>
      <c r="B664" s="4" t="str">
        <f>IFERROR(__xludf.DUMMYFUNCTION("""COMPUTED_VALUE"""),"SaveLayoutPM")</f>
        <v>SaveLayoutPM</v>
      </c>
      <c r="C664" s="4" t="str">
        <f>IFERROR(__xludf.DUMMYFUNCTION("""COMPUTED_VALUE"""),"18bINF8LvIWUr1rFpe1vpLTKdPT6dJi-B14KFcAVwyfQ")</f>
        <v>18bINF8LvIWUr1rFpe1vpLTKdPT6dJi-B14KFcAVwyfQ</v>
      </c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 t="str">
        <f>IFERROR(__xludf.DUMMYFUNCTION("""COMPUTED_VALUE"""),"PortfolioManagement")</f>
        <v>PortfolioManagement</v>
      </c>
      <c r="B665" s="4" t="str">
        <f>IFERROR(__xludf.DUMMYFUNCTION("""COMPUTED_VALUE"""),"OpenCustomView")</f>
        <v>OpenCustomView</v>
      </c>
      <c r="C665" s="4" t="str">
        <f>IFERROR(__xludf.DUMMYFUNCTION("""COMPUTED_VALUE"""),"1aiFAc6kqib929pQs2Ufmf6eB0G6tPhDoqY6caFUaSUk")</f>
        <v>1aiFAc6kqib929pQs2Ufmf6eB0G6tPhDoqY6caFUaSUk</v>
      </c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 t="str">
        <f>IFERROR(__xludf.DUMMYFUNCTION("""COMPUTED_VALUE"""),"Blotter")</f>
        <v>Blotter</v>
      </c>
      <c r="B666" s="4" t="str">
        <f>IFERROR(__xludf.DUMMYFUNCTION("""COMPUTED_VALUE"""),"VerifyCustomTabs")</f>
        <v>VerifyCustomTabs</v>
      </c>
      <c r="C666" s="4" t="str">
        <f>IFERROR(__xludf.DUMMYFUNCTION("""COMPUTED_VALUE"""),"1s7r1b7iwigom4v0m_RFb-ufZk23d2CqFi99gb-mX0YY")</f>
        <v>1s7r1b7iwigom4v0m_RFb-ufZk23d2CqFi99gb-mX0YY</v>
      </c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 t="str">
        <f>IFERROR(__xludf.DUMMYFUNCTION("""COMPUTED_VALUE"""),"Blotter")</f>
        <v>Blotter</v>
      </c>
      <c r="B667" s="4" t="str">
        <f>IFERROR(__xludf.DUMMYFUNCTION("""COMPUTED_VALUE"""),"SelectCheckBoxOnCustomTab")</f>
        <v>SelectCheckBoxOnCustomTab</v>
      </c>
      <c r="C667" s="4" t="str">
        <f>IFERROR(__xludf.DUMMYFUNCTION("""COMPUTED_VALUE"""),"1W7_hWkxbVlSNSzD2alHZ5u1n0B8MxwrlBkeZiMYqHMY")</f>
        <v>1W7_hWkxbVlSNSzD2alHZ5u1n0B8MxwrlBkeZiMYqHMY</v>
      </c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 t="str">
        <f>IFERROR(__xludf.DUMMYFUNCTION("""COMPUTED_VALUE"""),"Admin")</f>
        <v>Admin</v>
      </c>
      <c r="B668" s="4" t="str">
        <f>IFERROR(__xludf.DUMMYFUNCTION("""COMPUTED_VALUE"""),"SetCommissionRule")</f>
        <v>SetCommissionRule</v>
      </c>
      <c r="C668" s="4" t="str">
        <f>IFERROR(__xludf.DUMMYFUNCTION("""COMPUTED_VALUE"""),"1e-yvODG5ey0ZbxkvSZQ_rap65UOoA-JbxTp0ybaw-TQ")</f>
        <v>1e-yvODG5ey0ZbxkvSZQ_rap65UOoA-JbxTp0ybaw-TQ</v>
      </c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 t="str">
        <f>IFERROR(__xludf.DUMMYFUNCTION("""COMPUTED_VALUE"""),"Rebalancer")</f>
        <v>Rebalancer</v>
      </c>
      <c r="B669" s="4" t="str">
        <f>IFERROR(__xludf.DUMMYFUNCTION("""COMPUTED_VALUE"""),"VerifyBuySellList")</f>
        <v>VerifyBuySellList</v>
      </c>
      <c r="C669" s="4" t="str">
        <f>IFERROR(__xludf.DUMMYFUNCTION("""COMPUTED_VALUE"""),"1O2u9vu9lB8RTOcsD20GdbXlSWEbt310TUvIkuLxRuBg")</f>
        <v>1O2u9vu9lB8RTOcsD20GdbXlSWEbt310TUvIkuLxRuBg</v>
      </c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 t="str">
        <f>IFERROR(__xludf.DUMMYFUNCTION("""COMPUTED_VALUE"""),"Admin")</f>
        <v>Admin</v>
      </c>
      <c r="B670" s="4" t="str">
        <f>IFERROR(__xludf.DUMMYFUNCTION("""COMPUTED_VALUE"""),"SetPreTradeCompliancePermission")</f>
        <v>SetPreTradeCompliancePermission</v>
      </c>
      <c r="C670" s="4" t="str">
        <f>IFERROR(__xludf.DUMMYFUNCTION("""COMPUTED_VALUE"""),"1ewjQxQzAYWPb_Xt7eg-BDaW0JVta4cevciiv9vOUvg0")</f>
        <v>1ewjQxQzAYWPb_Xt7eg-BDaW0JVta4cevciiv9vOUvg0</v>
      </c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 t="str">
        <f>IFERROR(__xludf.DUMMYFUNCTION("""COMPUTED_VALUE"""),"Blotter")</f>
        <v>Blotter</v>
      </c>
      <c r="B671" s="4" t="str">
        <f>IFERROR(__xludf.DUMMYFUNCTION("""COMPUTED_VALUE"""),"UploadStageOrder")</f>
        <v>UploadStageOrder</v>
      </c>
      <c r="C671" s="4" t="str">
        <f>IFERROR(__xludf.DUMMYFUNCTION("""COMPUTED_VALUE"""),"1lK9zUhBpffXk_Fyp8pfWJfS2RpqtAwa9zGPb9Vlkb7Q")</f>
        <v>1lK9zUhBpffXk_Fyp8pfWJfS2RpqtAwa9zGPb9Vlkb7Q</v>
      </c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 t="str">
        <f>IFERROR(__xludf.DUMMYFUNCTION("""COMPUTED_VALUE"""),"Blotter")</f>
        <v>Blotter</v>
      </c>
      <c r="B672" s="4" t="str">
        <f>IFERROR(__xludf.DUMMYFUNCTION("""COMPUTED_VALUE"""),"RefreshBlotter")</f>
        <v>RefreshBlotter</v>
      </c>
      <c r="C672" s="4" t="str">
        <f>IFERROR(__xludf.DUMMYFUNCTION("""COMPUTED_VALUE"""),"Undefined")</f>
        <v>Undefined</v>
      </c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 t="str">
        <f>IFERROR(__xludf.DUMMYFUNCTION("""COMPUTED_VALUE"""),"Blotter")</f>
        <v>Blotter</v>
      </c>
      <c r="B673" s="4" t="str">
        <f>IFERROR(__xludf.DUMMYFUNCTION("""COMPUTED_VALUE"""),"CancelFromSummary")</f>
        <v>CancelFromSummary</v>
      </c>
      <c r="C673" s="4" t="str">
        <f>IFERROR(__xludf.DUMMYFUNCTION("""COMPUTED_VALUE"""),"1jSLVysCdd7TUYKjG07aOiq3UU-oAUNbdPg35uHeWwhk")</f>
        <v>1jSLVysCdd7TUYKjG07aOiq3UU-oAUNbdPg35uHeWwhk</v>
      </c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 t="str">
        <f>IFERROR(__xludf.DUMMYFUNCTION("""COMPUTED_VALUE"""),"PortfolioManagement")</f>
        <v>PortfolioManagement</v>
      </c>
      <c r="B674" s="4" t="str">
        <f>IFERROR(__xludf.DUMMYFUNCTION("""COMPUTED_VALUE"""),"OpenTaxlotDetails")</f>
        <v>OpenTaxlotDetails</v>
      </c>
      <c r="C674" s="4" t="str">
        <f>IFERROR(__xludf.DUMMYFUNCTION("""COMPUTED_VALUE"""),"183AzyWH5HmQPGs1axkOpXRel-i1zs9GjyySy7q1x--0")</f>
        <v>183AzyWH5HmQPGs1axkOpXRel-i1zs9GjyySy7q1x--0</v>
      </c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 t="str">
        <f>IFERROR(__xludf.DUMMYFUNCTION("""COMPUTED_VALUE"""),"PortfolioManagement")</f>
        <v>PortfolioManagement</v>
      </c>
      <c r="B675" s="4" t="str">
        <f>IFERROR(__xludf.DUMMYFUNCTION("""COMPUTED_VALUE"""),"CheckTaxlotDetails")</f>
        <v>CheckTaxlotDetails</v>
      </c>
      <c r="C675" s="4" t="str">
        <f>IFERROR(__xludf.DUMMYFUNCTION("""COMPUTED_VALUE"""),"1u7Vyi2HvA8tXNgHY_2MzmzcCg8vrtuLRURK0hFpMTXk")</f>
        <v>1u7Vyi2HvA8tXNgHY_2MzmzcCg8vrtuLRURK0hFpMTXk</v>
      </c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 t="str">
        <f>IFERROR(__xludf.DUMMYFUNCTION("""COMPUTED_VALUE"""),"Blotter")</f>
        <v>Blotter</v>
      </c>
      <c r="B676" s="4" t="str">
        <f>IFERROR(__xludf.DUMMYFUNCTION("""COMPUTED_VALUE"""),"VerifyAuditTrail")</f>
        <v>VerifyAuditTrail</v>
      </c>
      <c r="C676" s="4" t="str">
        <f>IFERROR(__xludf.DUMMYFUNCTION("""COMPUTED_VALUE"""),"1SsF4E82QKwgB26ZoKXUhkX5AaUZdZC5n2EeHmwKGduU")</f>
        <v>1SsF4E82QKwgB26ZoKXUhkX5AaUZdZC5n2EeHmwKGduU</v>
      </c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 t="str">
        <f>IFERROR(__xludf.DUMMYFUNCTION("""COMPUTED_VALUE"""),"PranaClient")</f>
        <v>PranaClient</v>
      </c>
      <c r="B677" s="4" t="str">
        <f>IFERROR(__xludf.DUMMYFUNCTION("""COMPUTED_VALUE"""),"DbPicker")</f>
        <v>DbPicker</v>
      </c>
      <c r="C677" s="4" t="str">
        <f>IFERROR(__xludf.DUMMYFUNCTION("""COMPUTED_VALUE"""),"1tqSr_cmWz94o-j1zOzyqKpbL44h18j2PCfFMgpuxVw0")</f>
        <v>1tqSr_cmWz94o-j1zOzyqKpbL44h18j2PCfFMgpuxVw0</v>
      </c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 t="str">
        <f>IFERROR(__xludf.DUMMYFUNCTION("""COMPUTED_VALUE"""),"Simulator")</f>
        <v>Simulator</v>
      </c>
      <c r="B678" s="4" t="str">
        <f>IFERROR(__xludf.DUMMYFUNCTION("""COMPUTED_VALUE"""),"DoneForDay")</f>
        <v>DoneForDay</v>
      </c>
      <c r="C678" s="4" t="str">
        <f>IFERROR(__xludf.DUMMYFUNCTION("""COMPUTED_VALUE"""),"Undefined")</f>
        <v>Undefined</v>
      </c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 t="str">
        <f>IFERROR(__xludf.DUMMYFUNCTION("""COMPUTED_VALUE"""),"Admin")</f>
        <v>Admin</v>
      </c>
      <c r="B679" s="4" t="str">
        <f>IFERROR(__xludf.DUMMYFUNCTION("""COMPUTED_VALUE"""),"SetAuecExecutingBroker")</f>
        <v>SetAuecExecutingBroker</v>
      </c>
      <c r="C679" s="4" t="str">
        <f>IFERROR(__xludf.DUMMYFUNCTION("""COMPUTED_VALUE"""),"1FOtSQ752PHH-4nayG7R-PaG921WCWKVU8Lsl4pC6Mr0")</f>
        <v>1FOtSQ752PHH-4nayG7R-PaG921WCWKVU8Lsl4pC6Mr0</v>
      </c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 t="str">
        <f>IFERROR(__xludf.DUMMYFUNCTION("""COMPUTED_VALUE"""),"AuditTrail")</f>
        <v>AuditTrail</v>
      </c>
      <c r="B680" s="4" t="str">
        <f>IFERROR(__xludf.DUMMYFUNCTION("""COMPUTED_VALUE"""),"GetDataFromAuditTrail")</f>
        <v>GetDataFromAuditTrail</v>
      </c>
      <c r="C680" s="4" t="str">
        <f>IFERROR(__xludf.DUMMYFUNCTION("""COMPUTED_VALUE"""),"1tNXZNqCj-1qo8Li9Rf4t_XiY-dX6itH2UAbOSe3-Mxc")</f>
        <v>1tNXZNqCj-1qo8Li9Rf4t_XiY-dX6itH2UAbOSe3-Mxc</v>
      </c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 t="str">
        <f>IFERROR(__xludf.DUMMYFUNCTION("""COMPUTED_VALUE"""),"AuditTrail")</f>
        <v>AuditTrail</v>
      </c>
      <c r="B681" s="4" t="str">
        <f>IFERROR(__xludf.DUMMYFUNCTION("""COMPUTED_VALUE"""),"VerifyAuditTrail")</f>
        <v>VerifyAuditTrail</v>
      </c>
      <c r="C681" s="4" t="str">
        <f>IFERROR(__xludf.DUMMYFUNCTION("""COMPUTED_VALUE"""),"1yv4ikffZOFZ-OOoWF_aNEGZA8dcvqtzobkyZjf8TDRs")</f>
        <v>1yv4ikffZOFZ-OOoWF_aNEGZA8dcvqtzobkyZjf8TDRs</v>
      </c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 t="str">
        <f>IFERROR(__xludf.DUMMYFUNCTION("""COMPUTED_VALUE"""),"PranaClient")</f>
        <v>PranaClient</v>
      </c>
      <c r="B682" s="4" t="str">
        <f>IFERROR(__xludf.DUMMYFUNCTION("""COMPUTED_VALUE"""),"RunPortfolio")</f>
        <v>RunPortfolio</v>
      </c>
      <c r="C682" s="4" t="str">
        <f>IFERROR(__xludf.DUMMYFUNCTION("""COMPUTED_VALUE"""),"1zDfER5xLj_X17wyRdaAzzNf3aYbaPGLRGVpc2rFBtc0")</f>
        <v>1zDfER5xLj_X17wyRdaAzzNf3aYbaPGLRGVpc2rFBtc0</v>
      </c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 t="str">
        <f>IFERROR(__xludf.DUMMYFUNCTION("""COMPUTED_VALUE"""),"Blotter")</f>
        <v>Blotter</v>
      </c>
      <c r="B683" s="4" t="str">
        <f>IFERROR(__xludf.DUMMYFUNCTION("""COMPUTED_VALUE"""),"AddOrRemoveColumnFromBlotter")</f>
        <v>AddOrRemoveColumnFromBlotter</v>
      </c>
      <c r="C683" s="4" t="str">
        <f>IFERROR(__xludf.DUMMYFUNCTION("""COMPUTED_VALUE"""),"1AImtOGYKAeR3YFeq_UoGYWtzjfmt90mMudYE0gCcfuY")</f>
        <v>1AImtOGYKAeR3YFeq_UoGYWtzjfmt90mMudYE0gCcfuY</v>
      </c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 t="str">
        <f>IFERROR(__xludf.DUMMYFUNCTION("""COMPUTED_VALUE"""),"Blotter")</f>
        <v>Blotter</v>
      </c>
      <c r="B684" s="4" t="str">
        <f>IFERROR(__xludf.DUMMYFUNCTION("""COMPUTED_VALUE"""),"ApplyFilterOnBlotter")</f>
        <v>ApplyFilterOnBlotter</v>
      </c>
      <c r="C684" s="4" t="str">
        <f>IFERROR(__xludf.DUMMYFUNCTION("""COMPUTED_VALUE"""),"1HwDVyMvyOdl2-ZD1QqhAZuwUuRJSMW_PlBPxaE_76EI")</f>
        <v>1HwDVyMvyOdl2-ZD1QqhAZuwUuRJSMW_PlBPxaE_76EI</v>
      </c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 t="str">
        <f>IFERROR(__xludf.DUMMYFUNCTION("""COMPUTED_VALUE"""),"Blotter")</f>
        <v>Blotter</v>
      </c>
      <c r="B685" s="4" t="str">
        <f>IFERROR(__xludf.DUMMYFUNCTION("""COMPUTED_VALUE"""),"SortGridOnBlotter")</f>
        <v>SortGridOnBlotter</v>
      </c>
      <c r="C685" s="4" t="str">
        <f>IFERROR(__xludf.DUMMYFUNCTION("""COMPUTED_VALUE"""),"1MvLrWPS7fBH0YzOrBIt5TdlPdCiRTwsVXBfvicm6qvY")</f>
        <v>1MvLrWPS7fBH0YzOrBIt5TdlPdCiRTwsVXBfvicm6qvY</v>
      </c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 t="str">
        <f>IFERROR(__xludf.DUMMYFUNCTION("""COMPUTED_VALUE"""),"Blotter")</f>
        <v>Blotter</v>
      </c>
      <c r="B686" s="4" t="str">
        <f>IFERROR(__xludf.DUMMYFUNCTION("""COMPUTED_VALUE"""),"VerifyDataIndexWise")</f>
        <v>VerifyDataIndexWise</v>
      </c>
      <c r="C686" s="4" t="str">
        <f>IFERROR(__xludf.DUMMYFUNCTION("""COMPUTED_VALUE"""),"18hzviv5ObHcdclDM2TEFd2OQL7r5vS4oemcrzjwtOSk")</f>
        <v>18hzviv5ObHcdclDM2TEFd2OQL7r5vS4oemcrzjwtOSk</v>
      </c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 t="str">
        <f>IFERROR(__xludf.DUMMYFUNCTION("""COMPUTED_VALUE"""),"RTPNL")</f>
        <v>RTPNL</v>
      </c>
      <c r="B687" s="4" t="str">
        <f>IFERROR(__xludf.DUMMYFUNCTION("""COMPUTED_VALUE"""),"CheckSummaryDashboard")</f>
        <v>CheckSummaryDashboard</v>
      </c>
      <c r="C687" s="4" t="str">
        <f>IFERROR(__xludf.DUMMYFUNCTION("""COMPUTED_VALUE"""),"19yZ--qYnhGSO8AdhnHqcmGmViOWMDkup5wR8bA3T2Os")</f>
        <v>19yZ--qYnhGSO8AdhnHqcmGmViOWMDkup5wR8bA3T2Os</v>
      </c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 t="str">
        <f>IFERROR(__xludf.DUMMYFUNCTION("""COMPUTED_VALUE"""),"RTPNL")</f>
        <v>RTPNL</v>
      </c>
      <c r="B688" s="4" t="str">
        <f>IFERROR(__xludf.DUMMYFUNCTION("""COMPUTED_VALUE"""),"CheckFundLevelAggregation")</f>
        <v>CheckFundLevelAggregation</v>
      </c>
      <c r="C688" s="4" t="str">
        <f>IFERROR(__xludf.DUMMYFUNCTION("""COMPUTED_VALUE"""),"1onoHaI0svf2S0wDmLkCePbLXTpyPt2uzhxg7tVdRMeI")</f>
        <v>1onoHaI0svf2S0wDmLkCePbLXTpyPt2uzhxg7tVdRMeI</v>
      </c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 t="str">
        <f>IFERROR(__xludf.DUMMYFUNCTION("""COMPUTED_VALUE"""),"RTPNL")</f>
        <v>RTPNL</v>
      </c>
      <c r="B689" s="4" t="str">
        <f>IFERROR(__xludf.DUMMYFUNCTION("""COMPUTED_VALUE"""),"CheckAccountLevelAggregation")</f>
        <v>CheckAccountLevelAggregation</v>
      </c>
      <c r="C689" s="4" t="str">
        <f>IFERROR(__xludf.DUMMYFUNCTION("""COMPUTED_VALUE"""),"1wpk-GXi0GZ8cadXtuW18V6GfYany_8NjDMShh2aobZ4")</f>
        <v>1wpk-GXi0GZ8cadXtuW18V6GfYany_8NjDMShh2aobZ4</v>
      </c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 t="str">
        <f>IFERROR(__xludf.DUMMYFUNCTION("""COMPUTED_VALUE"""),"RTPNL")</f>
        <v>RTPNL</v>
      </c>
      <c r="B690" s="4" t="str">
        <f>IFERROR(__xludf.DUMMYFUNCTION("""COMPUTED_VALUE"""),"CheckSymbolLevelAggregation")</f>
        <v>CheckSymbolLevelAggregation</v>
      </c>
      <c r="C690" s="4" t="str">
        <f>IFERROR(__xludf.DUMMYFUNCTION("""COMPUTED_VALUE"""),"1j6_k8vwocZ8wAvUMMfdx9IKldUmmqzRN2HCaaoFysqc")</f>
        <v>1j6_k8vwocZ8wAvUMMfdx9IKldUmmqzRN2HCaaoFysqc</v>
      </c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 t="str">
        <f>IFERROR(__xludf.DUMMYFUNCTION("""COMPUTED_VALUE"""),"RTPNL")</f>
        <v>RTPNL</v>
      </c>
      <c r="B691" s="4" t="str">
        <f>IFERROR(__xludf.DUMMYFUNCTION("""COMPUTED_VALUE"""),"CheckRealTimeSymbolFundMonitor")</f>
        <v>CheckRealTimeSymbolFundMonitor</v>
      </c>
      <c r="C691" s="4" t="str">
        <f>IFERROR(__xludf.DUMMYFUNCTION("""COMPUTED_VALUE"""),"1YeAroYmlm8GLwEhMTsKLli9Lc6cZEoPatK76WOit8ho")</f>
        <v>1YeAroYmlm8GLwEhMTsKLli9Lc6cZEoPatK76WOit8ho</v>
      </c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 t="str">
        <f>IFERROR(__xludf.DUMMYFUNCTION("""COMPUTED_VALUE"""),"RTPNL")</f>
        <v>RTPNL</v>
      </c>
      <c r="B692" s="4" t="str">
        <f>IFERROR(__xludf.DUMMYFUNCTION("""COMPUTED_VALUE"""),"CheckRealTimeSymAccountMonitor")</f>
        <v>CheckRealTimeSymAccountMonitor</v>
      </c>
      <c r="C692" s="4" t="str">
        <f>IFERROR(__xludf.DUMMYFUNCTION("""COMPUTED_VALUE"""),"1YWIN_lFXkJFac_sw0d58YkjeJOr7Xa3JotKO9BAEG3Q")</f>
        <v>1YWIN_lFXkJFac_sw0d58YkjeJOr7Xa3JotKO9BAEG3Q</v>
      </c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 t="str">
        <f>IFERROR(__xludf.DUMMYFUNCTION("""COMPUTED_VALUE"""),"CorporateAction")</f>
        <v>CorporateAction</v>
      </c>
      <c r="B693" s="4" t="str">
        <f>IFERROR(__xludf.DUMMYFUNCTION("""COMPUTED_VALUE"""),"Split")</f>
        <v>Split</v>
      </c>
      <c r="C693" s="4" t="str">
        <f>IFERROR(__xludf.DUMMYFUNCTION("""COMPUTED_VALUE"""),"1YQNpSzhH6xtFfgEJnDqykr5nsIzqMbnBQEatRhEpHOs")</f>
        <v>1YQNpSzhH6xtFfgEJnDqykr5nsIzqMbnBQEatRhEpHOs</v>
      </c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 t="str">
        <f>IFERROR(__xludf.DUMMYFUNCTION("""COMPUTED_VALUE"""),"RTPNL")</f>
        <v>RTPNL</v>
      </c>
      <c r="B694" s="4" t="str">
        <f>IFERROR(__xludf.DUMMYFUNCTION("""COMPUTED_VALUE"""),"CreateDashBoard")</f>
        <v>CreateDashBoard</v>
      </c>
      <c r="C694" s="4" t="str">
        <f>IFERROR(__xludf.DUMMYFUNCTION("""COMPUTED_VALUE"""),"1dY75aj2BVOI4B62Yc0rtSVntoWfkhHllgE9tFaIW26k")</f>
        <v>1dY75aj2BVOI4B62Yc0rtSVntoWfkhHllgE9tFaIW26k</v>
      </c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 t="str">
        <f>IFERROR(__xludf.DUMMYFUNCTION("""COMPUTED_VALUE"""),"OpenFin")</f>
        <v>OpenFin</v>
      </c>
      <c r="B695" s="4" t="str">
        <f>IFERROR(__xludf.DUMMYFUNCTION("""COMPUTED_VALUE"""),"CheckOpenFinWindowName")</f>
        <v>CheckOpenFinWindowName</v>
      </c>
      <c r="C695" s="4" t="str">
        <f>IFERROR(__xludf.DUMMYFUNCTION("""COMPUTED_VALUE"""),"1_QbFW_DIr-YIJKQnRAaHNRalcZ0QCmFiB-DdP5Sbwko")</f>
        <v>1_QbFW_DIr-YIJKQnRAaHNRalcZ0QCmFiB-DdP5Sbwko</v>
      </c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 t="str">
        <f>IFERROR(__xludf.DUMMYFUNCTION("""COMPUTED_VALUE"""),"OpenFin")</f>
        <v>OpenFin</v>
      </c>
      <c r="B696" s="4" t="str">
        <f>IFERROR(__xludf.DUMMYFUNCTION("""COMPUTED_VALUE"""),"OpenWindowFromSearch")</f>
        <v>OpenWindowFromSearch</v>
      </c>
      <c r="C696" s="4" t="str">
        <f>IFERROR(__xludf.DUMMYFUNCTION("""COMPUTED_VALUE"""),"1e8B2KIAHr80o-fgghowV60Cd3dClYg316CFpnQaQAIE")</f>
        <v>1e8B2KIAHr80o-fgghowV60Cd3dClYg316CFpnQaQAIE</v>
      </c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 t="str">
        <f>IFERROR(__xludf.DUMMYFUNCTION("""COMPUTED_VALUE"""),"TradingTicket")</f>
        <v>TradingTicket</v>
      </c>
      <c r="B697" s="4" t="str">
        <f>IFERROR(__xludf.DUMMYFUNCTION("""COMPUTED_VALUE"""),"OptionTradingThroughSecurity")</f>
        <v>OptionTradingThroughSecurity</v>
      </c>
      <c r="C697" s="4" t="str">
        <f>IFERROR(__xludf.DUMMYFUNCTION("""COMPUTED_VALUE"""),"1clAdB0F6htmQF_MbmjwcIdau2ji1ufQer1WZBDOaeBQ")</f>
        <v>1clAdB0F6htmQF_MbmjwcIdau2ji1ufQer1WZBDOaeBQ</v>
      </c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 t="str">
        <f>IFERROR(__xludf.DUMMYFUNCTION("""COMPUTED_VALUE"""),"RTPNL")</f>
        <v>RTPNL</v>
      </c>
      <c r="B698" s="4" t="str">
        <f>IFERROR(__xludf.DUMMYFUNCTION("""COMPUTED_VALUE"""),"UpdateDashboardName")</f>
        <v>UpdateDashboardName</v>
      </c>
      <c r="C698" s="4" t="str">
        <f>IFERROR(__xludf.DUMMYFUNCTION("""COMPUTED_VALUE"""),"1aNmeOLOU3vHxn4vCNTUtDLnYV9ZzH4jYF4G95SD77ow")</f>
        <v>1aNmeOLOU3vHxn4vCNTUtDLnYV9ZzH4jYF4G95SD77ow</v>
      </c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 t="str">
        <f>IFERROR(__xludf.DUMMYFUNCTION("""COMPUTED_VALUE"""),"RTPNL")</f>
        <v>RTPNL</v>
      </c>
      <c r="B699" s="4" t="str">
        <f>IFERROR(__xludf.DUMMYFUNCTION("""COMPUTED_VALUE"""),"AddWidget")</f>
        <v>AddWidget</v>
      </c>
      <c r="C699" s="4" t="str">
        <f>IFERROR(__xludf.DUMMYFUNCTION("""COMPUTED_VALUE"""),"1QetwOPuGJZ9VGJxG4h8-cX_06kX2sFa3dVbulVAf6H8")</f>
        <v>1QetwOPuGJZ9VGJxG4h8-cX_06kX2sFa3dVbulVAf6H8</v>
      </c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 t="str">
        <f>IFERROR(__xludf.DUMMYFUNCTION("""COMPUTED_VALUE"""),"RTPNL")</f>
        <v>RTPNL</v>
      </c>
      <c r="B700" s="4" t="str">
        <f>IFERROR(__xludf.DUMMYFUNCTION("""COMPUTED_VALUE"""),"CheckDashboardWidgetTitle")</f>
        <v>CheckDashboardWidgetTitle</v>
      </c>
      <c r="C700" s="4" t="str">
        <f>IFERROR(__xludf.DUMMYFUNCTION("""COMPUTED_VALUE"""),"1HywJj49UTJ0a2drrA-uSVbVT8uwRKeg9hrZ_IYbHs7M")</f>
        <v>1HywJj49UTJ0a2drrA-uSVbVT8uwRKeg9hrZ_IYbHs7M</v>
      </c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 t="str">
        <f>IFERROR(__xludf.DUMMYFUNCTION("""COMPUTED_VALUE"""),"RTPNL")</f>
        <v>RTPNL</v>
      </c>
      <c r="B701" s="4" t="str">
        <f>IFERROR(__xludf.DUMMYFUNCTION("""COMPUTED_VALUE"""),"updateWidget")</f>
        <v>updateWidget</v>
      </c>
      <c r="C701" s="4" t="str">
        <f>IFERROR(__xludf.DUMMYFUNCTION("""COMPUTED_VALUE"""),"1SEQwBhkZIg_dA_RSQqCGv5m0-nf1OjN8eXQzvxE35tE")</f>
        <v>1SEQwBhkZIg_dA_RSQqCGv5m0-nf1OjN8eXQzvxE35tE</v>
      </c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 t="str">
        <f>IFERROR(__xludf.DUMMYFUNCTION("""COMPUTED_VALUE"""),"Admin")</f>
        <v>Admin</v>
      </c>
      <c r="B702" s="4" t="str">
        <f>IFERROR(__xludf.DUMMYFUNCTION("""COMPUTED_VALUE"""),"SetAlgoBroker")</f>
        <v>SetAlgoBroker</v>
      </c>
      <c r="C702" s="4" t="str">
        <f>IFERROR(__xludf.DUMMYFUNCTION("""COMPUTED_VALUE"""),"1ysK6XeT3Tu7B_jcnGseqzvKUCFY5_PNP6KEmR-uswgE")</f>
        <v>1ysK6XeT3Tu7B_jcnGseqzvKUCFY5_PNP6KEmR-uswgE</v>
      </c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 t="str">
        <f>IFERROR(__xludf.DUMMYFUNCTION("""COMPUTED_VALUE"""),"TradingTicket")</f>
        <v>TradingTicket</v>
      </c>
      <c r="B703" s="4" t="str">
        <f>IFERROR(__xludf.DUMMYFUNCTION("""COMPUTED_VALUE"""),"CreateTradeWithAlgoBroker")</f>
        <v>CreateTradeWithAlgoBroker</v>
      </c>
      <c r="C703" s="4" t="str">
        <f>IFERROR(__xludf.DUMMYFUNCTION("""COMPUTED_VALUE"""),"1D-4t1xB_3TrWQDfVaykN5dg7eoT58IEqv3gXIDpM20c")</f>
        <v>1D-4t1xB_3TrWQDfVaykN5dg7eoT58IEqv3gXIDpM20c</v>
      </c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 t="str">
        <f>IFERROR(__xludf.DUMMYFUNCTION("""COMPUTED_VALUE"""),"Admin")</f>
        <v>Admin</v>
      </c>
      <c r="B704" s="4" t="str">
        <f>IFERROR(__xludf.DUMMYFUNCTION("""COMPUTED_VALUE"""),"EnableAutoGroupingAllocation")</f>
        <v>EnableAutoGroupingAllocation</v>
      </c>
      <c r="C704" s="4" t="str">
        <f>IFERROR(__xludf.DUMMYFUNCTION("""COMPUTED_VALUE"""),"1NeqButT68ws592R_0_8U2URVQT-opGH4uQ6W30VuDKo")</f>
        <v>1NeqButT68ws592R_0_8U2URVQT-opGH4uQ6W30VuDKo</v>
      </c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 t="str">
        <f>IFERROR(__xludf.DUMMYFUNCTION("""COMPUTED_VALUE"""),"Compliance")</f>
        <v>Compliance</v>
      </c>
      <c r="B705" s="4" t="str">
        <f>IFERROR(__xludf.DUMMYFUNCTION("""COMPUTED_VALUE"""),"GetEmail")</f>
        <v>GetEmail</v>
      </c>
      <c r="C705" s="4" t="str">
        <f>IFERROR(__xludf.DUMMYFUNCTION("""COMPUTED_VALUE"""),"14zIr297hHEwbCXtU1KW8tP9R8vZWp-yZlZOWIyQ8JM8")</f>
        <v>14zIr297hHEwbCXtU1KW8tP9R8vZWp-yZlZOWIyQ8JM8</v>
      </c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 t="str">
        <f>IFERROR(__xludf.DUMMYFUNCTION("""COMPUTED_VALUE"""),"TradeServer")</f>
        <v>TradeServer</v>
      </c>
      <c r="B706" s="4" t="str">
        <f>IFERROR(__xludf.DUMMYFUNCTION("""COMPUTED_VALUE"""),"BrokerConnectionThroughTUI")</f>
        <v>BrokerConnectionThroughTUI</v>
      </c>
      <c r="C706" s="4" t="str">
        <f>IFERROR(__xludf.DUMMYFUNCTION("""COMPUTED_VALUE"""),"1zjPR01VJFgDurgv90dzI5FheiwzguF_eQq_gmAIYF1E")</f>
        <v>1zjPR01VJFgDurgv90dzI5FheiwzguF_eQq_gmAIYF1E</v>
      </c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 t="str">
        <f>IFERROR(__xludf.DUMMYFUNCTION("""COMPUTED_VALUE"""),"OpenFin")</f>
        <v>OpenFin</v>
      </c>
      <c r="B707" s="4" t="str">
        <f>IFERROR(__xludf.DUMMYFUNCTION("""COMPUTED_VALUE"""),"VerifyColour")</f>
        <v>VerifyColour</v>
      </c>
      <c r="C707" s="4" t="str">
        <f>IFERROR(__xludf.DUMMYFUNCTION("""COMPUTED_VALUE"""),"1JqfkBahL4M3QJ6OlrKFEO0l-A5PRm9-rSzRM19eNLvM")</f>
        <v>1JqfkBahL4M3QJ6OlrKFEO0l-A5PRm9-rSzRM19eNLvM</v>
      </c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 t="str">
        <f>IFERROR(__xludf.DUMMYFUNCTION("""COMPUTED_VALUE"""),"RTPNL")</f>
        <v>RTPNL</v>
      </c>
      <c r="B708" s="4" t="str">
        <f>IFERROR(__xludf.DUMMYFUNCTION("""COMPUTED_VALUE"""),"OpenRTPNL")</f>
        <v>OpenRTPNL</v>
      </c>
      <c r="C708" s="4" t="str">
        <f>IFERROR(__xludf.DUMMYFUNCTION("""COMPUTED_VALUE"""),"1j-FWEidBpUuPYcE4AbSAw08LdLumr0SQSFYFcyX2SkM")</f>
        <v>1j-FWEidBpUuPYcE4AbSAw08LdLumr0SQSFYFcyX2SkM</v>
      </c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 t="str">
        <f>IFERROR(__xludf.DUMMYFUNCTION("""COMPUTED_VALUE"""),"TradingTicket")</f>
        <v>TradingTicket</v>
      </c>
      <c r="B709" s="4" t="str">
        <f>IFERROR(__xludf.DUMMYFUNCTION("""COMPUTED_VALUE"""),"VerifyOrderSide")</f>
        <v>VerifyOrderSide</v>
      </c>
      <c r="C709" s="4" t="str">
        <f>IFERROR(__xludf.DUMMYFUNCTION("""COMPUTED_VALUE"""),"1c9KH-8l1ETf94Oe0mx95JD0fjeeah2gCx04R2mT4vgU")</f>
        <v>1c9KH-8l1ETf94Oe0mx95JD0fjeeah2gCx04R2mT4vgU</v>
      </c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 t="str">
        <f>IFERROR(__xludf.DUMMYFUNCTION("""COMPUTED_VALUE"""),"OpenFin")</f>
        <v>OpenFin</v>
      </c>
      <c r="B710" s="4" t="str">
        <f>IFERROR(__xludf.DUMMYFUNCTION("""COMPUTED_VALUE"""),"OpenReleaseClient")</f>
        <v>OpenReleaseClient</v>
      </c>
      <c r="C710" s="4" t="str">
        <f>IFERROR(__xludf.DUMMYFUNCTION("""COMPUTED_VALUE"""),"1lDURQPfx8lvChAjYM0DztCXj5aW1r1sP_KQ4sTM3ljc")</f>
        <v>1lDURQPfx8lvChAjYM0DztCXj5aW1r1sP_KQ4sTM3ljc</v>
      </c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 t="str">
        <f>IFERROR(__xludf.DUMMYFUNCTION("""COMPUTED_VALUE"""),"RTPNL")</f>
        <v>RTPNL</v>
      </c>
      <c r="B711" s="4" t="str">
        <f>IFERROR(__xludf.DUMMYFUNCTION("""COMPUTED_VALUE"""),"LinkDashboardTabs")</f>
        <v>LinkDashboardTabs</v>
      </c>
      <c r="C711" s="4" t="str">
        <f>IFERROR(__xludf.DUMMYFUNCTION("""COMPUTED_VALUE"""),"1_ZOUJw5mEb5-uMCe7uXUcU1uwSnKbENOdKRfc5frcRI")</f>
        <v>1_ZOUJw5mEb5-uMCe7uXUcU1uwSnKbENOdKRfc5frcRI</v>
      </c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 t="str">
        <f>IFERROR(__xludf.DUMMYFUNCTION("""COMPUTED_VALUE"""),"RTPNL")</f>
        <v>RTPNL</v>
      </c>
      <c r="B712" s="4" t="str">
        <f>IFERROR(__xludf.DUMMYFUNCTION("""COMPUTED_VALUE"""),"SelectDashboardTabRow")</f>
        <v>SelectDashboardTabRow</v>
      </c>
      <c r="C712" s="4" t="str">
        <f>IFERROR(__xludf.DUMMYFUNCTION("""COMPUTED_VALUE"""),"10Vd3dhJiCjsba_tbRecSrC0PBN1F1QFBXBKfTY2hBy4")</f>
        <v>10Vd3dhJiCjsba_tbRecSrC0PBN1F1QFBXBKfTY2hBy4</v>
      </c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 t="str">
        <f>IFERROR(__xludf.DUMMYFUNCTION("""COMPUTED_VALUE"""),"RTPNL")</f>
        <v>RTPNL</v>
      </c>
      <c r="B713" s="4" t="str">
        <f>IFERROR(__xludf.DUMMYFUNCTION("""COMPUTED_VALUE"""),"SelectRowAtFLAggregation")</f>
        <v>SelectRowAtFLAggregation</v>
      </c>
      <c r="C713" s="4" t="str">
        <f>IFERROR(__xludf.DUMMYFUNCTION("""COMPUTED_VALUE"""),"1cEp9PBaAuW5WBA5D6VvUB32hYlXbJCbbqSozcxuwCxs")</f>
        <v>1cEp9PBaAuW5WBA5D6VvUB32hYlXbJCbbqSozcxuwCxs</v>
      </c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 t="str">
        <f>IFERROR(__xludf.DUMMYFUNCTION("""COMPUTED_VALUE"""),"RTPNL")</f>
        <v>RTPNL</v>
      </c>
      <c r="B714" s="4" t="str">
        <f>IFERROR(__xludf.DUMMYFUNCTION("""COMPUTED_VALUE"""),"SelectRowAtALAggregation")</f>
        <v>SelectRowAtALAggregation</v>
      </c>
      <c r="C714" s="4" t="str">
        <f>IFERROR(__xludf.DUMMYFUNCTION("""COMPUTED_VALUE"""),"1rSsC3GJdez3CoU5cuG9j4H7yxOCRUN1u8OaLrlQV3ms")</f>
        <v>1rSsC3GJdez3CoU5cuG9j4H7yxOCRUN1u8OaLrlQV3ms</v>
      </c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 t="str">
        <f>IFERROR(__xludf.DUMMYFUNCTION("""COMPUTED_VALUE"""),"RTPNL")</f>
        <v>RTPNL</v>
      </c>
      <c r="B715" s="4" t="str">
        <f>IFERROR(__xludf.DUMMYFUNCTION("""COMPUTED_VALUE"""),"SelectRowAtSLAggregation")</f>
        <v>SelectRowAtSLAggregation</v>
      </c>
      <c r="C715" s="4" t="str">
        <f>IFERROR(__xludf.DUMMYFUNCTION("""COMPUTED_VALUE"""),"17LhetpqlUGKZ842KdCVcUSBi-Oo7pi9N29U1unAcSXI")</f>
        <v>17LhetpqlUGKZ842KdCVcUSBi-Oo7pi9N29U1unAcSXI</v>
      </c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 t="str">
        <f>IFERROR(__xludf.DUMMYFUNCTION("""COMPUTED_VALUE"""),"RTPNL")</f>
        <v>RTPNL</v>
      </c>
      <c r="B716" s="4" t="str">
        <f>IFERROR(__xludf.DUMMYFUNCTION("""COMPUTED_VALUE"""),"SelectRowAtRTSFundMonitor")</f>
        <v>SelectRowAtRTSFundMonitor</v>
      </c>
      <c r="C716" s="4" t="str">
        <f>IFERROR(__xludf.DUMMYFUNCTION("""COMPUTED_VALUE"""),"1GfRMRoQy-JJWGhUYOAlTtktEu_COt80geQtMyahWn-g")</f>
        <v>1GfRMRoQy-JJWGhUYOAlTtktEu_COt80geQtMyahWn-g</v>
      </c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 t="str">
        <f>IFERROR(__xludf.DUMMYFUNCTION("""COMPUTED_VALUE"""),"RTPNL")</f>
        <v>RTPNL</v>
      </c>
      <c r="B717" s="4" t="str">
        <f>IFERROR(__xludf.DUMMYFUNCTION("""COMPUTED_VALUE"""),"SelectRowAtRTSAccountMonitor")</f>
        <v>SelectRowAtRTSAccountMonitor</v>
      </c>
      <c r="C717" s="4" t="str">
        <f>IFERROR(__xludf.DUMMYFUNCTION("""COMPUTED_VALUE"""),"1ymWI4H-rYSuYcMBnVqoCFZgBq0wgkwh4HNQd4M6a3EE")</f>
        <v>1ymWI4H-rYSuYcMBnVqoCFZgBq0wgkwh4HNQd4M6a3EE</v>
      </c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 t="str">
        <f>IFERROR(__xludf.DUMMYFUNCTION("""COMPUTED_VALUE"""),"RTPNL")</f>
        <v>RTPNL</v>
      </c>
      <c r="B718" s="4" t="str">
        <f>IFERROR(__xludf.DUMMYFUNCTION("""COMPUTED_VALUE"""),"FilterRTSAM")</f>
        <v>FilterRTSAM</v>
      </c>
      <c r="C718" s="4" t="str">
        <f>IFERROR(__xludf.DUMMYFUNCTION("""COMPUTED_VALUE"""),"19QrXgA8ZQp9FIUAggXNU6zXTsnkvA4_nCUqf6XrnTIM")</f>
        <v>19QrXgA8ZQp9FIUAggXNU6zXTsnkvA4_nCUqf6XrnTIM</v>
      </c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 t="str">
        <f>IFERROR(__xludf.DUMMYFUNCTION("""COMPUTED_VALUE"""),"RTPNL")</f>
        <v>RTPNL</v>
      </c>
      <c r="B719" s="4" t="str">
        <f>IFERROR(__xludf.DUMMYFUNCTION("""COMPUTED_VALUE"""),"SortRTSAM")</f>
        <v>SortRTSAM</v>
      </c>
      <c r="C719" s="4" t="str">
        <f>IFERROR(__xludf.DUMMYFUNCTION("""COMPUTED_VALUE"""),"1JGXz9lScbj7NMo2gp1dnjyAosk2i-_vn-_beAX5olZY")</f>
        <v>1JGXz9lScbj7NMo2gp1dnjyAosk2i-_vn-_beAX5olZY</v>
      </c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 t="str">
        <f>IFERROR(__xludf.DUMMYFUNCTION("""COMPUTED_VALUE"""),"TradingTicket")</f>
        <v>TradingTicket</v>
      </c>
      <c r="B720" s="4" t="str">
        <f>IFERROR(__xludf.DUMMYFUNCTION("""COMPUTED_VALUE"""),"CreateOrEditSymbolTT")</f>
        <v>CreateOrEditSymbolTT</v>
      </c>
      <c r="C720" s="4" t="str">
        <f>IFERROR(__xludf.DUMMYFUNCTION("""COMPUTED_VALUE"""),"1idmpWrKnVe2S0NRHKC3RamOBjdC5_vnd76rycS2naOU")</f>
        <v>1idmpWrKnVe2S0NRHKC3RamOBjdC5_vnd76rycS2naOU</v>
      </c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 t="str">
        <f>IFERROR(__xludf.DUMMYFUNCTION("""COMPUTED_VALUE"""),"RTPNL")</f>
        <v>RTPNL</v>
      </c>
      <c r="B721" s="4" t="str">
        <f>IFERROR(__xludf.DUMMYFUNCTION("""COMPUTED_VALUE"""),"ExtractTabOutsidePMDashboard")</f>
        <v>ExtractTabOutsidePMDashboard</v>
      </c>
      <c r="C721" s="4" t="str">
        <f>IFERROR(__xludf.DUMMYFUNCTION("""COMPUTED_VALUE"""),"1gL_7b12xxIm2t8SbS3r1OEz_l436Ag72OxKiVxsSHao")</f>
        <v>1gL_7b12xxIm2t8SbS3r1OEz_l436Ag72OxKiVxsSHao</v>
      </c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 t="str">
        <f>IFERROR(__xludf.DUMMYFUNCTION("""COMPUTED_VALUE"""),"RTPNL")</f>
        <v>RTPNL</v>
      </c>
      <c r="B722" s="4" t="str">
        <f>IFERROR(__xludf.DUMMYFUNCTION("""COMPUTED_VALUE"""),"SortRTSFM")</f>
        <v>SortRTSFM</v>
      </c>
      <c r="C722" s="4" t="str">
        <f>IFERROR(__xludf.DUMMYFUNCTION("""COMPUTED_VALUE"""),"1RPd2Hj7qN07O5usXRKyD6vnEBaAjN4s-c66S7_cTJL0")</f>
        <v>1RPd2Hj7qN07O5usXRKyD6vnEBaAjN4s-c66S7_cTJL0</v>
      </c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 t="str">
        <f>IFERROR(__xludf.DUMMYFUNCTION("""COMPUTED_VALUE"""),"RTPNL")</f>
        <v>RTPNL</v>
      </c>
      <c r="B723" s="4" t="str">
        <f>IFERROR(__xludf.DUMMYFUNCTION("""COMPUTED_VALUE"""),"SortSLA")</f>
        <v>SortSLA</v>
      </c>
      <c r="C723" s="4" t="str">
        <f>IFERROR(__xludf.DUMMYFUNCTION("""COMPUTED_VALUE"""),"1uqQ9rYn7Web5f-3p1kL2oa_1jv5CTxiLTZgtyeOnG5k")</f>
        <v>1uqQ9rYn7Web5f-3p1kL2oa_1jv5CTxiLTZgtyeOnG5k</v>
      </c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 t="str">
        <f>IFERROR(__xludf.DUMMYFUNCTION("""COMPUTED_VALUE"""),"RTPNL")</f>
        <v>RTPNL</v>
      </c>
      <c r="B724" s="4" t="str">
        <f>IFERROR(__xludf.DUMMYFUNCTION("""COMPUTED_VALUE"""),"SortALA")</f>
        <v>SortALA</v>
      </c>
      <c r="C724" s="4" t="str">
        <f>IFERROR(__xludf.DUMMYFUNCTION("""COMPUTED_VALUE"""),"1HFxukRhN8_NG06AxIvFbitVTjtpuHxAfEbMllW36roE")</f>
        <v>1HFxukRhN8_NG06AxIvFbitVTjtpuHxAfEbMllW36roE</v>
      </c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 t="str">
        <f>IFERROR(__xludf.DUMMYFUNCTION("""COMPUTED_VALUE"""),"RTPNL")</f>
        <v>RTPNL</v>
      </c>
      <c r="B725" s="4" t="str">
        <f>IFERROR(__xludf.DUMMYFUNCTION("""COMPUTED_VALUE"""),"SortFLA")</f>
        <v>SortFLA</v>
      </c>
      <c r="C725" s="4" t="str">
        <f>IFERROR(__xludf.DUMMYFUNCTION("""COMPUTED_VALUE"""),"16fbn56mKuCbv6fF3O21I3-tlQPhsQWvtInKzVunyM7s")</f>
        <v>16fbn56mKuCbv6fF3O21I3-tlQPhsQWvtInKzVunyM7s</v>
      </c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 t="str">
        <f>IFERROR(__xludf.DUMMYFUNCTION("""COMPUTED_VALUE"""),"RTPNL")</f>
        <v>RTPNL</v>
      </c>
      <c r="B726" s="4" t="str">
        <f>IFERROR(__xludf.DUMMYFUNCTION("""COMPUTED_VALUE"""),"FilterRTSFM")</f>
        <v>FilterRTSFM</v>
      </c>
      <c r="C726" s="4" t="str">
        <f>IFERROR(__xludf.DUMMYFUNCTION("""COMPUTED_VALUE"""),"1aR-wCrpB-M5qPHNLKmkkkDXUdLLquektow3lRehT7aA")</f>
        <v>1aR-wCrpB-M5qPHNLKmkkkDXUdLLquektow3lRehT7aA</v>
      </c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 t="str">
        <f>IFERROR(__xludf.DUMMYFUNCTION("""COMPUTED_VALUE"""),"RTPNL")</f>
        <v>RTPNL</v>
      </c>
      <c r="B727" s="4" t="str">
        <f>IFERROR(__xludf.DUMMYFUNCTION("""COMPUTED_VALUE"""),"FilterSLA")</f>
        <v>FilterSLA</v>
      </c>
      <c r="C727" s="4" t="str">
        <f>IFERROR(__xludf.DUMMYFUNCTION("""COMPUTED_VALUE"""),"1VstTCReOBMZnMYs_uYfmc2u8trc1ET-vbWFFCBehT_I")</f>
        <v>1VstTCReOBMZnMYs_uYfmc2u8trc1ET-vbWFFCBehT_I</v>
      </c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 t="str">
        <f>IFERROR(__xludf.DUMMYFUNCTION("""COMPUTED_VALUE"""),"RTPNL")</f>
        <v>RTPNL</v>
      </c>
      <c r="B728" s="4" t="str">
        <f>IFERROR(__xludf.DUMMYFUNCTION("""COMPUTED_VALUE"""),"FilterALA")</f>
        <v>FilterALA</v>
      </c>
      <c r="C728" s="4" t="str">
        <f>IFERROR(__xludf.DUMMYFUNCTION("""COMPUTED_VALUE"""),"1a9lso4ZEh6d-62hPnh0hEsACtRSusVGWjAO1Q5WPAEg")</f>
        <v>1a9lso4ZEh6d-62hPnh0hEsACtRSusVGWjAO1Q5WPAEg</v>
      </c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 t="str">
        <f>IFERROR(__xludf.DUMMYFUNCTION("""COMPUTED_VALUE"""),"RTPNL")</f>
        <v>RTPNL</v>
      </c>
      <c r="B729" s="4" t="str">
        <f>IFERROR(__xludf.DUMMYFUNCTION("""COMPUTED_VALUE"""),"FilterFLA")</f>
        <v>FilterFLA</v>
      </c>
      <c r="C729" s="4" t="str">
        <f>IFERROR(__xludf.DUMMYFUNCTION("""COMPUTED_VALUE"""),"1iInEvGMej-U3deNeFM-LhHIJxa9DnH1LfYmUlixwoO0")</f>
        <v>1iInEvGMej-U3deNeFM-LhHIJxa9DnH1LfYmUlixwoO0</v>
      </c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 t="str">
        <f>IFERROR(__xludf.DUMMYFUNCTION("""COMPUTED_VALUE"""),"RTPNL")</f>
        <v>RTPNL</v>
      </c>
      <c r="B730" s="4" t="str">
        <f>IFERROR(__xludf.DUMMYFUNCTION("""COMPUTED_VALUE"""),"IncreaseOrUnwindPositionRTPNL")</f>
        <v>IncreaseOrUnwindPositionRTPNL</v>
      </c>
      <c r="C730" s="4" t="str">
        <f>IFERROR(__xludf.DUMMYFUNCTION("""COMPUTED_VALUE"""),"1q1Wc-dRTuQg4BlHBt6hfkwKefeK_K_Mif-Ctd_wCOUc")</f>
        <v>1q1Wc-dRTuQg4BlHBt6hfkwKefeK_K_Mif-Ctd_wCOUc</v>
      </c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 t="str">
        <f>IFERROR(__xludf.DUMMYFUNCTION("""COMPUTED_VALUE"""),"RTPNL")</f>
        <v>RTPNL</v>
      </c>
      <c r="B731" s="4" t="str">
        <f>IFERROR(__xludf.DUMMYFUNCTION("""COMPUTED_VALUE"""),"SavePage")</f>
        <v>SavePage</v>
      </c>
      <c r="C731" s="4" t="str">
        <f>IFERROR(__xludf.DUMMYFUNCTION("""COMPUTED_VALUE"""),"1_uQYVoc5DS6NYv0EYGKjax2jWsfgKobFEjxJkQjLL3w")</f>
        <v>1_uQYVoc5DS6NYv0EYGKjax2jWsfgKobFEjxJkQjLL3w</v>
      </c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 t="str">
        <f>IFERROR(__xludf.DUMMYFUNCTION("""COMPUTED_VALUE"""),"RTPNL")</f>
        <v>RTPNL</v>
      </c>
      <c r="B732" s="4" t="str">
        <f>IFERROR(__xludf.DUMMYFUNCTION("""COMPUTED_VALUE"""),"CloseRTPNL")</f>
        <v>CloseRTPNL</v>
      </c>
      <c r="C732" s="4" t="str">
        <f>IFERROR(__xludf.DUMMYFUNCTION("""COMPUTED_VALUE"""),"1q0e1lbiWuCHi7U7mu_pkI_EHtO0vohpMfwjgm_XpoMk")</f>
        <v>1q0e1lbiWuCHi7U7mu_pkI_EHtO0vohpMfwjgm_XpoMk</v>
      </c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 t="str">
        <f>IFERROR(__xludf.DUMMYFUNCTION("""COMPUTED_VALUE"""),"RTPNL")</f>
        <v>RTPNL</v>
      </c>
      <c r="B733" s="4" t="str">
        <f>IFERROR(__xludf.DUMMYFUNCTION("""COMPUTED_VALUE"""),"VerifyColumns")</f>
        <v>VerifyColumns</v>
      </c>
      <c r="C733" s="4" t="str">
        <f>IFERROR(__xludf.DUMMYFUNCTION("""COMPUTED_VALUE"""),"1hv4fjReFX37JfqBQku0u9vApiCQpf-X1f4UEDLw3y_s")</f>
        <v>1hv4fjReFX37JfqBQku0u9vApiCQpf-X1f4UEDLw3y_s</v>
      </c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 t="str">
        <f>IFERROR(__xludf.DUMMYFUNCTION("""COMPUTED_VALUE"""),"Admin")</f>
        <v>Admin</v>
      </c>
      <c r="B734" s="4" t="str">
        <f>IFERROR(__xludf.DUMMYFUNCTION("""COMPUTED_VALUE"""),"RemoveMasterUser")</f>
        <v>RemoveMasterUser</v>
      </c>
      <c r="C734" s="4" t="str">
        <f>IFERROR(__xludf.DUMMYFUNCTION("""COMPUTED_VALUE"""),"Undefined")</f>
        <v>Undefined</v>
      </c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 t="str">
        <f>IFERROR(__xludf.DUMMYFUNCTION("""COMPUTED_VALUE"""),"Blotter")</f>
        <v>Blotter</v>
      </c>
      <c r="B735" s="4" t="str">
        <f>IFERROR(__xludf.DUMMYFUNCTION("""COMPUTED_VALUE"""),"SaveLayoutBlotter")</f>
        <v>SaveLayoutBlotter</v>
      </c>
      <c r="C735" s="4" t="str">
        <f>IFERROR(__xludf.DUMMYFUNCTION("""COMPUTED_VALUE"""),"Undefined")</f>
        <v>Undefined</v>
      </c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 t="str">
        <f>IFERROR(__xludf.DUMMYFUNCTION("""COMPUTED_VALUE"""),"NavLock")</f>
        <v>NavLock</v>
      </c>
      <c r="B736" s="4" t="str">
        <f>IFERROR(__xludf.DUMMYFUNCTION("""COMPUTED_VALUE"""),"DeleteExistingNavLock")</f>
        <v>DeleteExistingNavLock</v>
      </c>
      <c r="C736" s="4" t="str">
        <f>IFERROR(__xludf.DUMMYFUNCTION("""COMPUTED_VALUE"""),"1HqQPyzif5um_L8C14d1R1blK2opfeEitYxPutZTlmFw")</f>
        <v>1HqQPyzif5um_L8C14d1R1blK2opfeEitYxPutZTlmFw</v>
      </c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 t="str">
        <f>IFERROR(__xludf.DUMMYFUNCTION("""COMPUTED_VALUE"""),"NavLock")</f>
        <v>NavLock</v>
      </c>
      <c r="B737" s="4" t="str">
        <f>IFERROR(__xludf.DUMMYFUNCTION("""COMPUTED_VALUE"""),"AddNavLock")</f>
        <v>AddNavLock</v>
      </c>
      <c r="C737" s="4" t="str">
        <f>IFERROR(__xludf.DUMMYFUNCTION("""COMPUTED_VALUE"""),"1GPjpONzArmJk58f1PhPdnRa4N-8ryMP6ZWGSYiH7Y3s")</f>
        <v>1GPjpONzArmJk58f1PhPdnRa4N-8ryMP6ZWGSYiH7Y3s</v>
      </c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 t="str">
        <f>IFERROR(__xludf.DUMMYFUNCTION("""COMPUTED_VALUE"""),"Allocation")</f>
        <v>Allocation</v>
      </c>
      <c r="B738" s="4" t="str">
        <f>IFERROR(__xludf.DUMMYFUNCTION("""COMPUTED_VALUE"""),"VerifyAllocationNavLockPopup")</f>
        <v>VerifyAllocationNavLockPopup</v>
      </c>
      <c r="C738" s="4" t="str">
        <f>IFERROR(__xludf.DUMMYFUNCTION("""COMPUTED_VALUE"""),"1nlDKsMtQr89ys6-s3fNyeXJhd3KY9s6Hzaoil52avTI")</f>
        <v>1nlDKsMtQr89ys6-s3fNyeXJhd3KY9s6Hzaoil52avTI</v>
      </c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 t="str">
        <f>IFERROR(__xludf.DUMMYFUNCTION("""COMPUTED_VALUE"""),"RTPNL")</f>
        <v>RTPNL</v>
      </c>
      <c r="B739" s="4" t="str">
        <f>IFERROR(__xludf.DUMMYFUNCTION("""COMPUTED_VALUE"""),"ConfigureWidget")</f>
        <v>ConfigureWidget</v>
      </c>
      <c r="C739" s="4" t="str">
        <f>IFERROR(__xludf.DUMMYFUNCTION("""COMPUTED_VALUE"""),"1W6yBhMOu0wchoi8WJBVKvPLgngkTy6xSOF5JPGpCiJM")</f>
        <v>1W6yBhMOu0wchoi8WJBVKvPLgngkTy6xSOF5JPGpCiJM</v>
      </c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 t="str">
        <f>IFERROR(__xludf.DUMMYFUNCTION("""COMPUTED_VALUE"""),"CreateTransaction")</f>
        <v>CreateTransaction</v>
      </c>
      <c r="B740" s="4" t="str">
        <f>IFERROR(__xludf.DUMMYFUNCTION("""COMPUTED_VALUE"""),"VerifyCTNavLockPopup")</f>
        <v>VerifyCTNavLockPopup</v>
      </c>
      <c r="C740" s="4" t="str">
        <f>IFERROR(__xludf.DUMMYFUNCTION("""COMPUTED_VALUE"""),"144sdIKvp1IYBLo1BR5xnXjJV08MEYXOtOle_BzmZysU")</f>
        <v>144sdIKvp1IYBLo1BR5xnXjJV08MEYXOtOle_BzmZysU</v>
      </c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 t="str">
        <f>IFERROR(__xludf.DUMMYFUNCTION("""COMPUTED_VALUE"""),"DailyValuation")</f>
        <v>DailyValuation</v>
      </c>
      <c r="B741" s="4" t="str">
        <f>IFERROR(__xludf.DUMMYFUNCTION("""COMPUTED_VALUE"""),"VerifyDVNavLockPopup")</f>
        <v>VerifyDVNavLockPopup</v>
      </c>
      <c r="C741" s="4" t="str">
        <f>IFERROR(__xludf.DUMMYFUNCTION("""COMPUTED_VALUE"""),"1rXDKRADphBVDpGsYUs6Jq5ugHFrpJ_qRur3VkVbGwV4")</f>
        <v>1rXDKRADphBVDpGsYUs6Jq5ugHFrpJ_qRur3VkVbGwV4</v>
      </c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 t="str">
        <f>IFERROR(__xludf.DUMMYFUNCTION("""COMPUTED_VALUE"""),"GeneralLedger")</f>
        <v>GeneralLedger</v>
      </c>
      <c r="B742" s="4" t="str">
        <f>IFERROR(__xludf.DUMMYFUNCTION("""COMPUTED_VALUE"""),"VerifyGLNavLockPopup")</f>
        <v>VerifyGLNavLockPopup</v>
      </c>
      <c r="C742" s="4" t="str">
        <f>IFERROR(__xludf.DUMMYFUNCTION("""COMPUTED_VALUE"""),"13qCmJnkjFZw_O4n_dVKtJg-5eOkymkypG_MjQGuuNAo")</f>
        <v>13qCmJnkjFZw_O4n_dVKtJg-5eOkymkypG_MjQGuuNAo</v>
      </c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 t="str">
        <f>IFERROR(__xludf.DUMMYFUNCTION("""COMPUTED_VALUE"""),"Import")</f>
        <v>Import</v>
      </c>
      <c r="B743" s="4" t="str">
        <f>IFERROR(__xludf.DUMMYFUNCTION("""COMPUTED_VALUE"""),"VerifyImportNavLockPopup")</f>
        <v>VerifyImportNavLockPopup</v>
      </c>
      <c r="C743" s="4" t="str">
        <f>IFERROR(__xludf.DUMMYFUNCTION("""COMPUTED_VALUE"""),"1pXdTBlTEvtcQUfX_APkVY3rRe3gVlj4Sk_Jyd6F4sNM")</f>
        <v>1pXdTBlTEvtcQUfX_APkVY3rRe3gVlj4Sk_Jyd6F4sNM</v>
      </c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 t="str">
        <f>IFERROR(__xludf.DUMMYFUNCTION("""COMPUTED_VALUE"""),"MultiTradingTicket")</f>
        <v>MultiTradingTicket</v>
      </c>
      <c r="B744" s="4" t="str">
        <f>IFERROR(__xludf.DUMMYFUNCTION("""COMPUTED_VALUE"""),"VerifyMTTNavLockPopup")</f>
        <v>VerifyMTTNavLockPopup</v>
      </c>
      <c r="C744" s="4" t="str">
        <f>IFERROR(__xludf.DUMMYFUNCTION("""COMPUTED_VALUE"""),"1hzuWfGgMcTuN77JdNWDiNq95xYqAIxYrqdk47goXdlc")</f>
        <v>1hzuWfGgMcTuN77JdNWDiNq95xYqAIxYrqdk47goXdlc</v>
      </c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 t="str">
        <f>IFERROR(__xludf.DUMMYFUNCTION("""COMPUTED_VALUE"""),"PricingInput")</f>
        <v>PricingInput</v>
      </c>
      <c r="B745" s="4" t="str">
        <f>IFERROR(__xludf.DUMMYFUNCTION("""COMPUTED_VALUE"""),"VerifyPINavLockPopup")</f>
        <v>VerifyPINavLockPopup</v>
      </c>
      <c r="C745" s="4" t="str">
        <f>IFERROR(__xludf.DUMMYFUNCTION("""COMPUTED_VALUE"""),"1MqKw1Z4nex0wIRjcW-Lhchpv8ZsSNuruz2cszeIP01M")</f>
        <v>1MqKw1Z4nex0wIRjcW-Lhchpv8ZsSNuruz2cszeIP01M</v>
      </c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 t="str">
        <f>IFERROR(__xludf.DUMMYFUNCTION("""COMPUTED_VALUE"""),"ShortLocate")</f>
        <v>ShortLocate</v>
      </c>
      <c r="B746" s="4" t="str">
        <f>IFERROR(__xludf.DUMMYFUNCTION("""COMPUTED_VALUE"""),"VerifySLNavLockPopup")</f>
        <v>VerifySLNavLockPopup</v>
      </c>
      <c r="C746" s="4" t="str">
        <f>IFERROR(__xludf.DUMMYFUNCTION("""COMPUTED_VALUE"""),"1sBI9JpwaQW2KTgfDWaY7h3xdvzXzeqjaP8_Vml6QbTo")</f>
        <v>1sBI9JpwaQW2KTgfDWaY7h3xdvzXzeqjaP8_Vml6QbTo</v>
      </c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 t="str">
        <f>IFERROR(__xludf.DUMMYFUNCTION("""COMPUTED_VALUE"""),"TradingTicket")</f>
        <v>TradingTicket</v>
      </c>
      <c r="B747" s="4" t="str">
        <f>IFERROR(__xludf.DUMMYFUNCTION("""COMPUTED_VALUE"""),"VerifyTTNavLockPopup")</f>
        <v>VerifyTTNavLockPopup</v>
      </c>
      <c r="C747" s="4" t="str">
        <f>IFERROR(__xludf.DUMMYFUNCTION("""COMPUTED_VALUE"""),"15lRx1SPPsy7nykR6nVYUadOnwKG80Q6OfxTDuQ_dvXI")</f>
        <v>15lRx1SPPsy7nykR6nVYUadOnwKG80Q6OfxTDuQ_dvXI</v>
      </c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 t="str">
        <f>IFERROR(__xludf.DUMMYFUNCTION("""COMPUTED_VALUE"""),"Blotter")</f>
        <v>Blotter</v>
      </c>
      <c r="B748" s="4" t="str">
        <f>IFERROR(__xludf.DUMMYFUNCTION("""COMPUTED_VALUE"""),"VerifyBlotterNavLockPopup")</f>
        <v>VerifyBlotterNavLockPopup</v>
      </c>
      <c r="C748" s="4" t="str">
        <f>IFERROR(__xludf.DUMMYFUNCTION("""COMPUTED_VALUE"""),"1NXDngJ54gfiJxrqVxgbEYZ7hW3c4kquifXR6Lg7EK5Y")</f>
        <v>1NXDngJ54gfiJxrqVxgbEYZ7hW3c4kquifXR6Lg7EK5Y</v>
      </c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 t="str">
        <f>IFERROR(__xludf.DUMMYFUNCTION("""COMPUTED_VALUE"""),"Closing")</f>
        <v>Closing</v>
      </c>
      <c r="B749" s="4" t="str">
        <f>IFERROR(__xludf.DUMMYFUNCTION("""COMPUTED_VALUE"""),"VerifyClosingNavLockPopup")</f>
        <v>VerifyClosingNavLockPopup</v>
      </c>
      <c r="C749" s="4" t="str">
        <f>IFERROR(__xludf.DUMMYFUNCTION("""COMPUTED_VALUE"""),"1AR0JbTGvV_W-vRVG60LJNAab-sFlfdBFwEtZpVYEMPo")</f>
        <v>1AR0JbTGvV_W-vRVG60LJNAab-sFlfdBFwEtZpVYEMPo</v>
      </c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 t="str">
        <f>IFERROR(__xludf.DUMMYFUNCTION("""COMPUTED_VALUE"""),"RTPNL")</f>
        <v>RTPNL</v>
      </c>
      <c r="B750" s="4" t="str">
        <f>IFERROR(__xludf.DUMMYFUNCTION("""COMPUTED_VALUE"""),"ChangeWidgetView")</f>
        <v>ChangeWidgetView</v>
      </c>
      <c r="C750" s="4" t="str">
        <f>IFERROR(__xludf.DUMMYFUNCTION("""COMPUTED_VALUE"""),"1PKf_qqqp1j7_MkyduQmNqqaKdDFTgjuq1ApwaDumMj0")</f>
        <v>1PKf_qqqp1j7_MkyduQmNqqaKdDFTgjuq1ApwaDumMj0</v>
      </c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 t="str">
        <f>IFERROR(__xludf.DUMMYFUNCTION("""COMPUTED_VALUE"""),"NavLock")</f>
        <v>NavLock</v>
      </c>
      <c r="B751" s="4" t="str">
        <f>IFERROR(__xludf.DUMMYFUNCTION("""COMPUTED_VALUE"""),"VerifyNavLockPopup")</f>
        <v>VerifyNavLockPopup</v>
      </c>
      <c r="C751" s="4" t="str">
        <f>IFERROR(__xludf.DUMMYFUNCTION("""COMPUTED_VALUE"""),"1BZhGha4iLlieCbbyTcPylU2maLzwgdHAfTO198z-aX8")</f>
        <v>1BZhGha4iLlieCbbyTcPylU2maLzwgdHAfTO198z-aX8</v>
      </c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 t="str">
        <f>IFERROR(__xludf.DUMMYFUNCTION("""COMPUTED_VALUE"""),"NavLock")</f>
        <v>NavLock</v>
      </c>
      <c r="B752" s="4" t="str">
        <f>IFERROR(__xludf.DUMMYFUNCTION("""COMPUTED_VALUE"""),"VerifyRowsNavLock")</f>
        <v>VerifyRowsNavLock</v>
      </c>
      <c r="C752" s="4" t="str">
        <f>IFERROR(__xludf.DUMMYFUNCTION("""COMPUTED_VALUE"""),"12Dl3x2X_C-RCm3K5RkyuRq_t8lxeYk98IQBRrsF9WLU")</f>
        <v>12Dl3x2X_C-RCm3K5RkyuRq_t8lxeYk98IQBRrsF9WLU</v>
      </c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 t="str">
        <f>IFERROR(__xludf.DUMMYFUNCTION("""COMPUTED_VALUE"""),"Blotter")</f>
        <v>Blotter</v>
      </c>
      <c r="B753" s="4" t="str">
        <f>IFERROR(__xludf.DUMMYFUNCTION("""COMPUTED_VALUE"""),"CustomTabActions")</f>
        <v>CustomTabActions</v>
      </c>
      <c r="C753" s="4" t="str">
        <f>IFERROR(__xludf.DUMMYFUNCTION("""COMPUTED_VALUE"""),"163hnSm9KTeABqdRxsfyyCsrxGVcrGd0nCGT4WqLsJ9Q")</f>
        <v>163hnSm9KTeABqdRxsfyyCsrxGVcrGd0nCGT4WqLsJ9Q</v>
      </c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 t="str">
        <f>IFERROR(__xludf.DUMMYFUNCTION("""COMPUTED_VALUE"""),"Blotter")</f>
        <v>Blotter</v>
      </c>
      <c r="B754" s="4" t="str">
        <f>IFERROR(__xludf.DUMMYFUNCTION("""COMPUTED_VALUE"""),"VerifyAllocationWindow")</f>
        <v>VerifyAllocationWindow</v>
      </c>
      <c r="C754" s="4" t="str">
        <f>IFERROR(__xludf.DUMMYFUNCTION("""COMPUTED_VALUE"""),"1DUwxSUq_47EK60XmK3LOdCXa1fkWqWJE9bLuGS3ccv4")</f>
        <v>1DUwxSUq_47EK60XmK3LOdCXa1fkWqWJE9bLuGS3ccv4</v>
      </c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 t="str">
        <f>IFERROR(__xludf.DUMMYFUNCTION("""COMPUTED_VALUE"""),"OpenFin")</f>
        <v>OpenFin</v>
      </c>
      <c r="B755" s="4" t="str">
        <f>IFERROR(__xludf.DUMMYFUNCTION("""COMPUTED_VALUE"""),"SavePageView")</f>
        <v>SavePageView</v>
      </c>
      <c r="C755" s="4" t="str">
        <f>IFERROR(__xludf.DUMMYFUNCTION("""COMPUTED_VALUE"""),"1wFFzsxWBm8VT5o4pz2dFosHS72pEaQuVZFVkiVeZE9w")</f>
        <v>1wFFzsxWBm8VT5o4pz2dFosHS72pEaQuVZFVkiVeZE9w</v>
      </c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 t="str">
        <f>IFERROR(__xludf.DUMMYFUNCTION("""COMPUTED_VALUE"""),"OpenFin")</f>
        <v>OpenFin</v>
      </c>
      <c r="B756" s="4" t="str">
        <f>IFERROR(__xludf.DUMMYFUNCTION("""COMPUTED_VALUE"""),"ActionOnPageFromSearch")</f>
        <v>ActionOnPageFromSearch</v>
      </c>
      <c r="C756" s="4" t="str">
        <f>IFERROR(__xludf.DUMMYFUNCTION("""COMPUTED_VALUE"""),"1jCpG4ETPp9dfvh-Ymdex8Mb3Taz9sYrOR-1uBd5Ceyc")</f>
        <v>1jCpG4ETPp9dfvh-Ymdex8Mb3Taz9sYrOR-1uBd5Ceyc</v>
      </c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 t="str">
        <f>IFERROR(__xludf.DUMMYFUNCTION("""COMPUTED_VALUE"""),"OpenFin")</f>
        <v>OpenFin</v>
      </c>
      <c r="B757" s="4" t="str">
        <f>IFERROR(__xludf.DUMMYFUNCTION("""COMPUTED_VALUE"""),"ChangeThemeOnModule")</f>
        <v>ChangeThemeOnModule</v>
      </c>
      <c r="C757" s="4" t="str">
        <f>IFERROR(__xludf.DUMMYFUNCTION("""COMPUTED_VALUE"""),"1KKiVG313VPgZZadw3-GZ4Cbt7wTwEPpmyGsp3MHFp9Q")</f>
        <v>1KKiVG313VPgZZadw3-GZ4Cbt7wTwEPpmyGsp3MHFp9Q</v>
      </c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 t="str">
        <f>IFERROR(__xludf.DUMMYFUNCTION("""COMPUTED_VALUE"""),"PranaClient")</f>
        <v>PranaClient</v>
      </c>
      <c r="B758" s="4" t="str">
        <f>IFERROR(__xludf.DUMMYFUNCTION("""COMPUTED_VALUE"""),"MoveFile")</f>
        <v>MoveFile</v>
      </c>
      <c r="C758" s="4" t="str">
        <f>IFERROR(__xludf.DUMMYFUNCTION("""COMPUTED_VALUE"""),"1BBCKN3cBzJgvZqLoHeAi1YmxeNaesC7YrayWsYVuQeU")</f>
        <v>1BBCKN3cBzJgvZqLoHeAi1YmxeNaesC7YrayWsYVuQeU</v>
      </c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 t="str">
        <f>IFERROR(__xludf.DUMMYFUNCTION("""COMPUTED_VALUE"""),"OpenFin")</f>
        <v>OpenFin</v>
      </c>
      <c r="B759" s="4" t="str">
        <f>IFERROR(__xludf.DUMMYFUNCTION("""COMPUTED_VALUE"""),"CloseService")</f>
        <v>CloseService</v>
      </c>
      <c r="C759" s="4" t="str">
        <f>IFERROR(__xludf.DUMMYFUNCTION("""COMPUTED_VALUE"""),"1YXPx62dgEZ9yV5qKkFLgWipyvziAW1SJVEqhiNHEONM")</f>
        <v>1YXPx62dgEZ9yV5qKkFLgWipyvziAW1SJVEqhiNHEONM</v>
      </c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 t="str">
        <f>IFERROR(__xludf.DUMMYFUNCTION("""COMPUTED_VALUE"""),"OpenFin")</f>
        <v>OpenFin</v>
      </c>
      <c r="B760" s="4" t="str">
        <f>IFERROR(__xludf.DUMMYFUNCTION("""COMPUTED_VALUE"""),"LogOutSamsara")</f>
        <v>LogOutSamsara</v>
      </c>
      <c r="C760" s="4" t="str">
        <f>IFERROR(__xludf.DUMMYFUNCTION("""COMPUTED_VALUE"""),"1AHqtQRX4cdwOByK5Ip_T2FJlZFaU23rmiDk0afFhfaY")</f>
        <v>1AHqtQRX4cdwOByK5Ip_T2FJlZFaU23rmiDk0afFhfaY</v>
      </c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 t="str">
        <f>IFERROR(__xludf.DUMMYFUNCTION("""COMPUTED_VALUE"""),"QTT")</f>
        <v>QTT</v>
      </c>
      <c r="B761" s="4" t="str">
        <f>IFERROR(__xludf.DUMMYFUNCTION("""COMPUTED_VALUE"""),"TradeQTT")</f>
        <v>TradeQTT</v>
      </c>
      <c r="C761" s="4" t="str">
        <f>IFERROR(__xludf.DUMMYFUNCTION("""COMPUTED_VALUE"""),"1-5lKqkX57JBaCsmy3TeMGKEVsjNdXnqCttYvBHsfJ14")</f>
        <v>1-5lKqkX57JBaCsmy3TeMGKEVsjNdXnqCttYvBHsfJ14</v>
      </c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 t="str">
        <f>IFERROR(__xludf.DUMMYFUNCTION("""COMPUTED_VALUE"""),"TradingTicket")</f>
        <v>TradingTicket</v>
      </c>
      <c r="B762" s="4" t="str">
        <f>IFERROR(__xludf.DUMMYFUNCTION("""COMPUTED_VALUE"""),"VerifyCustomAllocationSecondUI")</f>
        <v>VerifyCustomAllocationSecondUI</v>
      </c>
      <c r="C762" s="4" t="str">
        <f>IFERROR(__xludf.DUMMYFUNCTION("""COMPUTED_VALUE"""),"1AL5eBNcstEo3uS52PLH2Duzff-16gDD2eEJx_augMtM")</f>
        <v>1AL5eBNcstEo3uS52PLH2Duzff-16gDD2eEJx_augMtM</v>
      </c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 t="str">
        <f>IFERROR(__xludf.DUMMYFUNCTION("""COMPUTED_VALUE"""),"Blotter")</f>
        <v>Blotter</v>
      </c>
      <c r="B763" s="4" t="str">
        <f>IFERROR(__xludf.DUMMYFUNCTION("""COMPUTED_VALUE"""),"VerifyViewAllocationOrder")</f>
        <v>VerifyViewAllocationOrder</v>
      </c>
      <c r="C763" s="4" t="str">
        <f>IFERROR(__xludf.DUMMYFUNCTION("""COMPUTED_VALUE"""),"1I3aVj-PRyRug4M5EDTw8espL6CeDhXPCYr5qa2gbwZk")</f>
        <v>1I3aVj-PRyRug4M5EDTw8espL6CeDhXPCYr5qa2gbwZk</v>
      </c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 t="str">
        <f>IFERROR(__xludf.DUMMYFUNCTION("""COMPUTED_VALUE"""),"QTT")</f>
        <v>QTT</v>
      </c>
      <c r="B764" s="4" t="str">
        <f>IFERROR(__xludf.DUMMYFUNCTION("""COMPUTED_VALUE"""),"UseOrVerifyHotKeys")</f>
        <v>UseOrVerifyHotKeys</v>
      </c>
      <c r="C764" s="4" t="str">
        <f>IFERROR(__xludf.DUMMYFUNCTION("""COMPUTED_VALUE"""),"1ajjcbjqpEui4y62RzfJ-6ARI0W8GAhrdUmWCOsG_ovE")</f>
        <v>1ajjcbjqpEui4y62RzfJ-6ARI0W8GAhrdUmWCOsG_ovE</v>
      </c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 t="str">
        <f>IFERROR(__xludf.DUMMYFUNCTION("""COMPUTED_VALUE"""),"TradingTicket")</f>
        <v>TradingTicket</v>
      </c>
      <c r="B765" s="4" t="str">
        <f>IFERROR(__xludf.DUMMYFUNCTION("""COMPUTED_VALUE"""),"ShortLocateFromTT")</f>
        <v>ShortLocateFromTT</v>
      </c>
      <c r="C765" s="4" t="str">
        <f>IFERROR(__xludf.DUMMYFUNCTION("""COMPUTED_VALUE"""),"1saPgjE09_MBiqASRTSQboRMwRdUlFv6nzTocBZeFm-I")</f>
        <v>1saPgjE09_MBiqASRTSQboRMwRdUlFv6nzTocBZeFm-I</v>
      </c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 t="str">
        <f>IFERROR(__xludf.DUMMYFUNCTION("""COMPUTED_VALUE"""),"TradingTicket")</f>
        <v>TradingTicket</v>
      </c>
      <c r="B766" s="4" t="str">
        <f>IFERROR(__xludf.DUMMYFUNCTION("""COMPUTED_VALUE"""),"VerifyShortLocateWindowOnTT")</f>
        <v>VerifyShortLocateWindowOnTT</v>
      </c>
      <c r="C766" s="4" t="str">
        <f>IFERROR(__xludf.DUMMYFUNCTION("""COMPUTED_VALUE"""),"1ljyVPm21FKmOvEmG0-JvPMTBuyG89a_7EGFToCoHgI4")</f>
        <v>1ljyVPm21FKmOvEmG0-JvPMTBuyG89a_7EGFToCoHgI4</v>
      </c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 t="str">
        <f>IFERROR(__xludf.DUMMYFUNCTION("""COMPUTED_VALUE"""),"TradingTicket")</f>
        <v>TradingTicket</v>
      </c>
      <c r="B767" s="4" t="str">
        <f>IFERROR(__xludf.DUMMYFUNCTION("""COMPUTED_VALUE"""),"AlgoUIOperations")</f>
        <v>AlgoUIOperations</v>
      </c>
      <c r="C767" s="4" t="str">
        <f>IFERROR(__xludf.DUMMYFUNCTION("""COMPUTED_VALUE"""),"1uln1YXeeB893lpbmhI194peJcUUj4ODFhdM1AYcTVJo")</f>
        <v>1uln1YXeeB893lpbmhI194peJcUUj4ODFhdM1AYcTVJo</v>
      </c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 t="str">
        <f>IFERROR(__xludf.DUMMYFUNCTION("""COMPUTED_VALUE"""),"TradingTicket")</f>
        <v>TradingTicket</v>
      </c>
      <c r="B768" s="4" t="str">
        <f>IFERROR(__xludf.DUMMYFUNCTION("""COMPUTED_VALUE"""),"UpdateShortLocateFromTT")</f>
        <v>UpdateShortLocateFromTT</v>
      </c>
      <c r="C768" s="4" t="str">
        <f>IFERROR(__xludf.DUMMYFUNCTION("""COMPUTED_VALUE"""),"13hfddjE8Z-71LhiEXSLwqUDRw6EbnSTKZU2vgV_dwUA")</f>
        <v>13hfddjE8Z-71LhiEXSLwqUDRw6EbnSTKZU2vgV_dwUA</v>
      </c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 t="str">
        <f>IFERROR(__xludf.DUMMYFUNCTION("""COMPUTED_VALUE"""),"RTPNL")</f>
        <v>RTPNL</v>
      </c>
      <c r="B769" s="4" t="str">
        <f>IFERROR(__xludf.DUMMYFUNCTION("""COMPUTED_VALUE"""),"RenameTabs")</f>
        <v>RenameTabs</v>
      </c>
      <c r="C769" s="4" t="str">
        <f>IFERROR(__xludf.DUMMYFUNCTION("""COMPUTED_VALUE"""),"1K7LcioEl1sTwLRhqHc9go_7jNmUIRZNy9zBQLMgtBw8")</f>
        <v>1K7LcioEl1sTwLRhqHc9go_7jNmUIRZNy9zBQLMgtBw8</v>
      </c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 t="str">
        <f>IFERROR(__xludf.DUMMYFUNCTION("""COMPUTED_VALUE"""),"RTPNL")</f>
        <v>RTPNL</v>
      </c>
      <c r="B770" s="4" t="str">
        <f>IFERROR(__xludf.DUMMYFUNCTION("""COMPUTED_VALUE"""),"ResizeEnsure")</f>
        <v>ResizeEnsure</v>
      </c>
      <c r="C770" s="4" t="str">
        <f>IFERROR(__xludf.DUMMYFUNCTION("""COMPUTED_VALUE"""),"1-peVyQ_nIwd8owwmtDtNW-yx12KQx2nHeYee6duB46M")</f>
        <v>1-peVyQ_nIwd8owwmtDtNW-yx12KQx2nHeYee6duB46M</v>
      </c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 t="str">
        <f>IFERROR(__xludf.DUMMYFUNCTION("""COMPUTED_VALUE"""),"Admin")</f>
        <v>Admin</v>
      </c>
      <c r="B771" s="4" t="str">
        <f>IFERROR(__xludf.DUMMYFUNCTION("""COMPUTED_VALUE"""),"ClearRTPNLtabs")</f>
        <v>ClearRTPNLtabs</v>
      </c>
      <c r="C771" s="4" t="str">
        <f>IFERROR(__xludf.DUMMYFUNCTION("""COMPUTED_VALUE"""),"Undefined")</f>
        <v>Undefined</v>
      </c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 t="str">
        <f>IFERROR(__xludf.DUMMYFUNCTION("""COMPUTED_VALUE"""),"RTPNL")</f>
        <v>RTPNL</v>
      </c>
      <c r="B772" s="4" t="str">
        <f>IFERROR(__xludf.DUMMYFUNCTION("""COMPUTED_VALUE"""),"AddTabRTPNL")</f>
        <v>AddTabRTPNL</v>
      </c>
      <c r="C772" s="4" t="str">
        <f>IFERROR(__xludf.DUMMYFUNCTION("""COMPUTED_VALUE"""),"18kG7vS-CfSLW8Q-ho416lyPlP36XJPPHA0cRbCk3vjU")</f>
        <v>18kG7vS-CfSLW8Q-ho416lyPlP36XJPPHA0cRbCk3vjU</v>
      </c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 t="str">
        <f>IFERROR(__xludf.DUMMYFUNCTION("""COMPUTED_VALUE"""),"Blotter")</f>
        <v>Blotter</v>
      </c>
      <c r="B773" s="4" t="str">
        <f>IFERROR(__xludf.DUMMYFUNCTION("""COMPUTED_VALUE"""),"ResizeEnsureBlotter")</f>
        <v>ResizeEnsureBlotter</v>
      </c>
      <c r="C773" s="4" t="str">
        <f>IFERROR(__xludf.DUMMYFUNCTION("""COMPUTED_VALUE"""),"1Vu6zEtojqPkTWiW-oX7BwwpFj9Oi3-B6-sRrEsjiW0Y")</f>
        <v>1Vu6zEtojqPkTWiW-oX7BwwpFj9Oi3-B6-sRrEsjiW0Y</v>
      </c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 t="str">
        <f>IFERROR(__xludf.DUMMYFUNCTION("""COMPUTED_VALUE"""),"Admin")</f>
        <v>Admin</v>
      </c>
      <c r="B774" s="4" t="str">
        <f>IFERROR(__xludf.DUMMYFUNCTION("""COMPUTED_VALUE"""),"ConfigUpdater")</f>
        <v>ConfigUpdater</v>
      </c>
      <c r="C774" s="4" t="str">
        <f>IFERROR(__xludf.DUMMYFUNCTION("""COMPUTED_VALUE"""),"19IDTIIOkGl6qufGANtXkELRoXFIlWB3icM0G4IJ5mg4")</f>
        <v>19IDTIIOkGl6qufGANtXkELRoXFIlWB3icM0G4IJ5mg4</v>
      </c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 t="str">
        <f>IFERROR(__xludf.DUMMYFUNCTION("""COMPUTED_VALUE"""),"PortfolioManagement")</f>
        <v>PortfolioManagement</v>
      </c>
      <c r="B775" s="4" t="str">
        <f>IFERROR(__xludf.DUMMYFUNCTION("""COMPUTED_VALUE"""),"SelectTradeOnPM")</f>
        <v>SelectTradeOnPM</v>
      </c>
      <c r="C775" s="4" t="str">
        <f>IFERROR(__xludf.DUMMYFUNCTION("""COMPUTED_VALUE"""),"1_tBJjps2mULQyHra_AnC6BBvPbOko3FAY-kc11l7eTg")</f>
        <v>1_tBJjps2mULQyHra_AnC6BBvPbOko3FAY-kc11l7eTg</v>
      </c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 t="str">
        <f>IFERROR(__xludf.DUMMYFUNCTION("""COMPUTED_VALUE"""),"TradingTicket")</f>
        <v>TradingTicket</v>
      </c>
      <c r="B776" s="4" t="str">
        <f>IFERROR(__xludf.DUMMYFUNCTION("""COMPUTED_VALUE"""),"ResetTT")</f>
        <v>ResetTT</v>
      </c>
      <c r="C776" s="4" t="str">
        <f>IFERROR(__xludf.DUMMYFUNCTION("""COMPUTED_VALUE"""),"Undefined")</f>
        <v>Undefined</v>
      </c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 t="str">
        <f>IFERROR(__xludf.DUMMYFUNCTION("""COMPUTED_VALUE"""),"Blotter")</f>
        <v>Blotter</v>
      </c>
      <c r="B777" s="4" t="str">
        <f>IFERROR(__xludf.DUMMYFUNCTION("""COMPUTED_VALUE"""),"RightClickOperations")</f>
        <v>RightClickOperations</v>
      </c>
      <c r="C777" s="4" t="str">
        <f>IFERROR(__xludf.DUMMYFUNCTION("""COMPUTED_VALUE"""),"17jhCujI-0V0U3n5lzlkc-azSuwCa7rf-4KwcSInm9ts")</f>
        <v>17jhCujI-0V0U3n5lzlkc-azSuwCa7rf-4KwcSInm9ts</v>
      </c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 t="str">
        <f>IFERROR(__xludf.DUMMYFUNCTION("""COMPUTED_VALUE"""),"Unknown")</f>
        <v>Unknown</v>
      </c>
      <c r="B778" s="4" t="str">
        <f>IFERROR(__xludf.DUMMYFUNCTION("""COMPUTED_VALUE"""),"RightClickAndClickOperations")</f>
        <v>RightClickAndClickOperations</v>
      </c>
      <c r="C778" s="4" t="str">
        <f>IFERROR(__xludf.DUMMYFUNCTION("""COMPUTED_VALUE"""),"1e9jtl9r57SkbYm3S4wbHtvkeG2KExZEiFSIkkRSaq-8")</f>
        <v>1e9jtl9r57SkbYm3S4wbHtvkeG2KExZEiFSIkkRSaq-8</v>
      </c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 t="str">
        <f>IFERROR(__xludf.DUMMYFUNCTION("""COMPUTED_VALUE"""),"Compliance")</f>
        <v>Compliance</v>
      </c>
      <c r="B779" s="4" t="str">
        <f>IFERROR(__xludf.DUMMYFUNCTION("""COMPUTED_VALUE"""),"EnableDisableRule")</f>
        <v>EnableDisableRule</v>
      </c>
      <c r="C779" s="4" t="str">
        <f>IFERROR(__xludf.DUMMYFUNCTION("""COMPUTED_VALUE"""),"1ldCRZpDrvOW-37YQP92bnj-oqRl2rwy9OIebmA5GKXE")</f>
        <v>1ldCRZpDrvOW-37YQP92bnj-oqRl2rwy9OIebmA5GKXE</v>
      </c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 t="str">
        <f>IFERROR(__xludf.DUMMYFUNCTION("""COMPUTED_VALUE"""),"Blotter")</f>
        <v>Blotter</v>
      </c>
      <c r="B780" s="4" t="str">
        <f>IFERROR(__xludf.DUMMYFUNCTION("""COMPUTED_VALUE"""),"BlotterToolBarAction")</f>
        <v>BlotterToolBarAction</v>
      </c>
      <c r="C780" s="4" t="str">
        <f>IFERROR(__xludf.DUMMYFUNCTION("""COMPUTED_VALUE"""),"1bI1kIBxH6qy8zi5tx46rN3vNgbmxbdwtAo1inrXDALs")</f>
        <v>1bI1kIBxH6qy8zi5tx46rN3vNgbmxbdwtAo1inrXDALs</v>
      </c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 t="str">
        <f>IFERROR(__xludf.DUMMYFUNCTION("""COMPUTED_VALUE"""),"RTPNL")</f>
        <v>RTPNL</v>
      </c>
      <c r="B781" s="4" t="str">
        <f>IFERROR(__xludf.DUMMYFUNCTION("""COMPUTED_VALUE"""),"MergeWindows")</f>
        <v>MergeWindows</v>
      </c>
      <c r="C781" s="4" t="str">
        <f>IFERROR(__xludf.DUMMYFUNCTION("""COMPUTED_VALUE"""),"1BEiRPdwHXsXVZ0ioude04Me5qSQ_YU6xh1ZwMWgExVU")</f>
        <v>1BEiRPdwHXsXVZ0ioude04Me5qSQ_YU6xh1ZwMWgExVU</v>
      </c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 t="str">
        <f>IFERROR(__xludf.DUMMYFUNCTION("""COMPUTED_VALUE"""),"PortfolioManagement")</f>
        <v>PortfolioManagement</v>
      </c>
      <c r="B782" s="4" t="str">
        <f>IFERROR(__xludf.DUMMYFUNCTION("""COMPUTED_VALUE"""),"OperationsonPM")</f>
        <v>OperationsonPM</v>
      </c>
      <c r="C782" s="4" t="str">
        <f>IFERROR(__xludf.DUMMYFUNCTION("""COMPUTED_VALUE"""),"13hKVogBv66c752V1EGUyqXp4dGESQOZLmMqIB56fbAs")</f>
        <v>13hKVogBv66c752V1EGUyqXp4dGESQOZLmMqIB56fbAs</v>
      </c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 t="str">
        <f>IFERROR(__xludf.DUMMYFUNCTION("""COMPUTED_VALUE"""),"TradingTicket")</f>
        <v>TradingTicket</v>
      </c>
      <c r="B783" s="4" t="str">
        <f>IFERROR(__xludf.DUMMYFUNCTION("""COMPUTED_VALUE"""),"ResizeEnsureTT")</f>
        <v>ResizeEnsureTT</v>
      </c>
      <c r="C783" s="4" t="str">
        <f>IFERROR(__xludf.DUMMYFUNCTION("""COMPUTED_VALUE"""),"1X1m60ND44-Chxr6N4sH6Fqbh_pqzIH8Cfy3c89u2_lQ")</f>
        <v>1X1m60ND44-Chxr6N4sH6Fqbh_pqzIH8Cfy3c89u2_lQ</v>
      </c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 t="str">
        <f>IFERROR(__xludf.DUMMYFUNCTION("""COMPUTED_VALUE"""),"Admin")</f>
        <v>Admin</v>
      </c>
      <c r="B784" s="4" t="str">
        <f>IFERROR(__xludf.DUMMYFUNCTION("""COMPUTED_VALUE"""),"AccountPermission")</f>
        <v>AccountPermission</v>
      </c>
      <c r="C784" s="4" t="str">
        <f>IFERROR(__xludf.DUMMYFUNCTION("""COMPUTED_VALUE"""),"1UuUydT-ajZCwnqdhLBG28JhRRgR6skh7CgWMlr5JFEw")</f>
        <v>1UuUydT-ajZCwnqdhLBG28JhRRgR6skh7CgWMlr5JFEw</v>
      </c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 t="str">
        <f>IFERROR(__xludf.DUMMYFUNCTION("""COMPUTED_VALUE"""),"Rebalancer")</f>
        <v>Rebalancer</v>
      </c>
      <c r="B785" s="4" t="str">
        <f>IFERROR(__xludf.DUMMYFUNCTION("""COMPUTED_VALUE"""),"CreateOrViewModelPortfolio")</f>
        <v>CreateOrViewModelPortfolio</v>
      </c>
      <c r="C785" s="4" t="str">
        <f>IFERROR(__xludf.DUMMYFUNCTION("""COMPUTED_VALUE"""),"1vejknW_QiO0r5pMzMjOGCCsgwLVes4a3Ubx1l-0Mg1k")</f>
        <v>1vejknW_QiO0r5pMzMjOGCCsgwLVes4a3Ubx1l-0Mg1k</v>
      </c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 t="str">
        <f>IFERROR(__xludf.DUMMYFUNCTION("""COMPUTED_VALUE"""),"Rebalancer")</f>
        <v>Rebalancer</v>
      </c>
      <c r="B786" s="4" t="str">
        <f>IFERROR(__xludf.DUMMYFUNCTION("""COMPUTED_VALUE"""),"VerifyModelPortfolio")</f>
        <v>VerifyModelPortfolio</v>
      </c>
      <c r="C786" s="4" t="str">
        <f>IFERROR(__xludf.DUMMYFUNCTION("""COMPUTED_VALUE"""),"1Tza5cx7NJ2J8vr_f6DC-KPhnXCzf7l1m0EERc6z_T-U")</f>
        <v>1Tza5cx7NJ2J8vr_f6DC-KPhnXCzf7l1m0EERc6z_T-U</v>
      </c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 t="str">
        <f>IFERROR(__xludf.DUMMYFUNCTION("""COMPUTED_VALUE"""),"Allocation")</f>
        <v>Allocation</v>
      </c>
      <c r="B787" s="4" t="str">
        <f>IFERROR(__xludf.DUMMYFUNCTION("""COMPUTED_VALUE"""),"ReviewExistingPositions")</f>
        <v>ReviewExistingPositions</v>
      </c>
      <c r="C787" s="4" t="str">
        <f>IFERROR(__xludf.DUMMYFUNCTION("""COMPUTED_VALUE"""),"1KwYoTdpeW6LDhzloVKHp5buZqc8IjXEShjwnUx45Ql8")</f>
        <v>1KwYoTdpeW6LDhzloVKHp5buZqc8IjXEShjwnUx45Ql8</v>
      </c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 t="str">
        <f>IFERROR(__xludf.DUMMYFUNCTION("""COMPUTED_VALUE"""),"Rebalancer")</f>
        <v>Rebalancer</v>
      </c>
      <c r="B788" s="4" t="str">
        <f>IFERROR(__xludf.DUMMYFUNCTION("""COMPUTED_VALUE"""),"VerifyTradeListSummary")</f>
        <v>VerifyTradeListSummary</v>
      </c>
      <c r="C788" s="4" t="str">
        <f>IFERROR(__xludf.DUMMYFUNCTION("""COMPUTED_VALUE"""),"1CwPtInR_Cy6ir39KI9yaXfAvolUGYsOGbIOnZabie0c")</f>
        <v>1CwPtInR_Cy6ir39KI9yaXfAvolUGYsOGbIOnZabie0c</v>
      </c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 t="str">
        <f>IFERROR(__xludf.DUMMYFUNCTION("""COMPUTED_VALUE"""),"Rebalancer")</f>
        <v>Rebalancer</v>
      </c>
      <c r="B789" s="4" t="str">
        <f>IFERROR(__xludf.DUMMYFUNCTION("""COMPUTED_VALUE"""),"ActionOnTBSListSummary")</f>
        <v>ActionOnTBSListSummary</v>
      </c>
      <c r="C789" s="4" t="str">
        <f>IFERROR(__xludf.DUMMYFUNCTION("""COMPUTED_VALUE"""),"1vMPSqBpJ7zBb4rZw_ytaphDX8K_jcboQlLc6plZtllU")</f>
        <v>1vMPSqBpJ7zBb4rZw_ytaphDX8K_jcboQlLc6plZtllU</v>
      </c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 t="str">
        <f>IFERROR(__xludf.DUMMYFUNCTION("""COMPUTED_VALUE"""),"Rebalancer")</f>
        <v>Rebalancer</v>
      </c>
      <c r="B790" s="4" t="str">
        <f>IFERROR(__xludf.DUMMYFUNCTION("""COMPUTED_VALUE"""),"VerifyTLOSideSummary")</f>
        <v>VerifyTLOSideSummary</v>
      </c>
      <c r="C790" s="4" t="str">
        <f>IFERROR(__xludf.DUMMYFUNCTION("""COMPUTED_VALUE"""),"1asJHjZ4EwQuMXHEFjolwYeO59Mt4d11wf4mCyD98JMw")</f>
        <v>1asJHjZ4EwQuMXHEFjolwYeO59Mt4d11wf4mCyD98JMw</v>
      </c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 t="str">
        <f>IFERROR(__xludf.DUMMYFUNCTION("""COMPUTED_VALUE"""),"Rebalancer")</f>
        <v>Rebalancer</v>
      </c>
      <c r="B791" s="4" t="str">
        <f>IFERROR(__xludf.DUMMYFUNCTION("""COMPUTED_VALUE"""),"SelectAndVerifyTradeList")</f>
        <v>SelectAndVerifyTradeList</v>
      </c>
      <c r="C791" s="4" t="str">
        <f>IFERROR(__xludf.DUMMYFUNCTION("""COMPUTED_VALUE"""),"1fXJG--hBH0hPvU7g5jtXyZnD1GiwJXfYX9HdEyhGyGs")</f>
        <v>1fXJG--hBH0hPvU7g5jtXyZnD1GiwJXfYX9HdEyhGyGs</v>
      </c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 t="str">
        <f>IFERROR(__xludf.DUMMYFUNCTION("""COMPUTED_VALUE"""),"Rebalancer")</f>
        <v>Rebalancer</v>
      </c>
      <c r="B792" s="4" t="str">
        <f>IFERROR(__xludf.DUMMYFUNCTION("""COMPUTED_VALUE"""),"ActionOnTradeBuySellListView")</f>
        <v>ActionOnTradeBuySellListView</v>
      </c>
      <c r="C792" s="4" t="str">
        <f>IFERROR(__xludf.DUMMYFUNCTION("""COMPUTED_VALUE"""),"1xeJEpkdxtbik3vPUTkxALkXsnL-Vl5dF07PBUoheM3k")</f>
        <v>1xeJEpkdxtbik3vPUTkxALkXsnL-Vl5dF07PBUoheM3k</v>
      </c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 t="str">
        <f>IFERROR(__xludf.DUMMYFUNCTION("""COMPUTED_VALUE"""),"PTT")</f>
        <v>PTT</v>
      </c>
      <c r="B793" s="4" t="str">
        <f>IFERROR(__xludf.DUMMYFUNCTION("""COMPUTED_VALUE"""),"OperationsonPTT")</f>
        <v>OperationsonPTT</v>
      </c>
      <c r="C793" s="4" t="str">
        <f>IFERROR(__xludf.DUMMYFUNCTION("""COMPUTED_VALUE"""),"1J40rCXEDilLEF_x0Wkeeg1lwGfejucV1VSY9UcyeSlw")</f>
        <v>1J40rCXEDilLEF_x0Wkeeg1lwGfejucV1VSY9UcyeSlw</v>
      </c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 t="str">
        <f>IFERROR(__xludf.DUMMYFUNCTION("""COMPUTED_VALUE"""),"PricingInput")</f>
        <v>PricingInput</v>
      </c>
      <c r="B794" s="4" t="str">
        <f>IFERROR(__xludf.DUMMYFUNCTION("""COMPUTED_VALUE"""),"UpdatePricingInput")</f>
        <v>UpdatePricingInput</v>
      </c>
      <c r="C794" s="4" t="str">
        <f>IFERROR(__xludf.DUMMYFUNCTION("""COMPUTED_VALUE"""),"1CG9iYOkRKzlGEsKh7QuEyMdGRQea_W4KDWwlnjE2BdE")</f>
        <v>1CG9iYOkRKzlGEsKh7QuEyMdGRQea_W4KDWwlnjE2BdE</v>
      </c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 t="str">
        <f>IFERROR(__xludf.DUMMYFUNCTION("""COMPUTED_VALUE"""),"Rebalancer")</f>
        <v>Rebalancer</v>
      </c>
      <c r="B795" s="4" t="str">
        <f>IFERROR(__xludf.DUMMYFUNCTION("""COMPUTED_VALUE"""),"ImportOnRB")</f>
        <v>ImportOnRB</v>
      </c>
      <c r="C795" s="4" t="str">
        <f>IFERROR(__xludf.DUMMYFUNCTION("""COMPUTED_VALUE"""),"1EntkiGIsU6aSZPpMKhixdhGFyyVCmlI1jMgvbCFq3oM")</f>
        <v>1EntkiGIsU6aSZPpMKhixdhGFyyVCmlI1jMgvbCFq3oM</v>
      </c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 t="str">
        <f>IFERROR(__xludf.DUMMYFUNCTION("""COMPUTED_VALUE"""),"Rebalancer")</f>
        <v>Rebalancer</v>
      </c>
      <c r="B796" s="4" t="str">
        <f>IFERROR(__xludf.DUMMYFUNCTION("""COMPUTED_VALUE"""),"ActionOnRSAImportGrid")</f>
        <v>ActionOnRSAImportGrid</v>
      </c>
      <c r="C796" s="4" t="str">
        <f>IFERROR(__xludf.DUMMYFUNCTION("""COMPUTED_VALUE"""),"1qyFUqeWV7-Gy2PHnDNHGdUCBuvTKxxZhflKe9pguJEE")</f>
        <v>1qyFUqeWV7-Gy2PHnDNHGdUCBuvTKxxZhflKe9pguJEE</v>
      </c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 t="str">
        <f>IFERROR(__xludf.DUMMYFUNCTION("""COMPUTED_VALUE"""),"Rebalancer")</f>
        <v>Rebalancer</v>
      </c>
      <c r="B797" s="4" t="str">
        <f>IFERROR(__xludf.DUMMYFUNCTION("""COMPUTED_VALUE"""),"VerifyImportGridRBForInvalidSec")</f>
        <v>VerifyImportGridRBForInvalidSec</v>
      </c>
      <c r="C797" s="4" t="str">
        <f>IFERROR(__xludf.DUMMYFUNCTION("""COMPUTED_VALUE"""),"13tlfzcOYlxn2sOASC-JNdqZmR9A1Cesa2Ah5348pLN8")</f>
        <v>13tlfzcOYlxn2sOASC-JNdqZmR9A1Cesa2Ah5348pLN8</v>
      </c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 t="str">
        <f>IFERROR(__xludf.DUMMYFUNCTION("""COMPUTED_VALUE"""),"Rebalancer")</f>
        <v>Rebalancer</v>
      </c>
      <c r="B798" s="4" t="str">
        <f>IFERROR(__xludf.DUMMYFUNCTION("""COMPUTED_VALUE"""),"VerifyImportGridRBForValidSec")</f>
        <v>VerifyImportGridRBForValidSec</v>
      </c>
      <c r="C798" s="4" t="str">
        <f>IFERROR(__xludf.DUMMYFUNCTION("""COMPUTED_VALUE"""),"1KiLapuRaYEZfokVV1TZf8gTWNe8d9PblbpJsN983CaI")</f>
        <v>1KiLapuRaYEZfokVV1TZf8gTWNe8d9PblbpJsN983CaI</v>
      </c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 t="str">
        <f>IFERROR(__xludf.DUMMYFUNCTION("""COMPUTED_VALUE"""),"Import")</f>
        <v>Import</v>
      </c>
      <c r="B799" s="4" t="str">
        <f>IFERROR(__xludf.DUMMYFUNCTION("""COMPUTED_VALUE"""),"ActionOnImport")</f>
        <v>ActionOnImport</v>
      </c>
      <c r="C799" s="4" t="str">
        <f>IFERROR(__xludf.DUMMYFUNCTION("""COMPUTED_VALUE"""),"1YM2boQt7BrzysPpsUbIqt27cfA6-btDPEZntG5NhBUc")</f>
        <v>1YM2boQt7BrzysPpsUbIqt27cfA6-btDPEZntG5NhBUc</v>
      </c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 t="str">
        <f>IFERROR(__xludf.DUMMYFUNCTION("""COMPUTED_VALUE"""),"Import")</f>
        <v>Import</v>
      </c>
      <c r="B800" s="4" t="str">
        <f>IFERROR(__xludf.DUMMYFUNCTION("""COMPUTED_VALUE"""),"ValidateImportPositions")</f>
        <v>ValidateImportPositions</v>
      </c>
      <c r="C800" s="4" t="str">
        <f>IFERROR(__xludf.DUMMYFUNCTION("""COMPUTED_VALUE"""),"1ApMxUfr4smtwBJX_cppynzY1M99QXnDpTRjevjraQtA")</f>
        <v>1ApMxUfr4smtwBJX_cppynzY1M99QXnDpTRjevjraQtA</v>
      </c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 t="str">
        <f>IFERROR(__xludf.DUMMYFUNCTION("""COMPUTED_VALUE"""),"DailyValuation")</f>
        <v>DailyValuation</v>
      </c>
      <c r="B801" s="4" t="str">
        <f>IFERROR(__xludf.DUMMYFUNCTION("""COMPUTED_VALUE"""),"UpdateMPAndFC")</f>
        <v>UpdateMPAndFC</v>
      </c>
      <c r="C801" s="4" t="str">
        <f>IFERROR(__xludf.DUMMYFUNCTION("""COMPUTED_VALUE"""),"1UCNfZng94LprScqCmSKImRjCwiKlLQU_e1kY1tum91I")</f>
        <v>1UCNfZng94LprScqCmSKImRjCwiKlLQU_e1kY1tum91I</v>
      </c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 t="str">
        <f>IFERROR(__xludf.DUMMYFUNCTION("""COMPUTED_VALUE"""),"DailyValuation")</f>
        <v>DailyValuation</v>
      </c>
      <c r="B802" s="4" t="str">
        <f>IFERROR(__xludf.DUMMYFUNCTION("""COMPUTED_VALUE"""),"SelectDateAtMPFC")</f>
        <v>SelectDateAtMPFC</v>
      </c>
      <c r="C802" s="4" t="str">
        <f>IFERROR(__xludf.DUMMYFUNCTION("""COMPUTED_VALUE"""),"1DnCg9cxYbA4JZCrUA-hItngQmbhhFuxexdkPS0iagg8")</f>
        <v>1DnCg9cxYbA4JZCrUA-hItngQmbhhFuxexdkPS0iagg8</v>
      </c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 t="str">
        <f>IFERROR(__xludf.DUMMYFUNCTION("""COMPUTED_VALUE"""),"Watchlist")</f>
        <v>Watchlist</v>
      </c>
      <c r="B803" s="4" t="str">
        <f>IFERROR(__xludf.DUMMYFUNCTION("""COMPUTED_VALUE"""),"SelectTradeWatchlist")</f>
        <v>SelectTradeWatchlist</v>
      </c>
      <c r="C803" s="4" t="str">
        <f>IFERROR(__xludf.DUMMYFUNCTION("""COMPUTED_VALUE"""),"1Wa9Q7PE7i3bZr_mTOkYG22qcEixSMbydeuL2lnyNfB0")</f>
        <v>1Wa9Q7PE7i3bZr_mTOkYG22qcEixSMbydeuL2lnyNfB0</v>
      </c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 t="str">
        <f>IFERROR(__xludf.DUMMYFUNCTION("""COMPUTED_VALUE"""),"Watchlist")</f>
        <v>Watchlist</v>
      </c>
      <c r="B804" s="4" t="str">
        <f>IFERROR(__xludf.DUMMYFUNCTION("""COMPUTED_VALUE"""),"ActionOnWatchlist")</f>
        <v>ActionOnWatchlist</v>
      </c>
      <c r="C804" s="4" t="str">
        <f>IFERROR(__xludf.DUMMYFUNCTION("""COMPUTED_VALUE"""),"1Ex0VPpmT3E0nbSBahi-24Pfuba4HTTVDqcm5UWIEUUw")</f>
        <v>1Ex0VPpmT3E0nbSBahi-24Pfuba4HTTVDqcm5UWIEUUw</v>
      </c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 t="str">
        <f>IFERROR(__xludf.DUMMYFUNCTION("""COMPUTED_VALUE"""),"Allocation")</f>
        <v>Allocation</v>
      </c>
      <c r="B805" s="4" t="str">
        <f>IFERROR(__xludf.DUMMYFUNCTION("""COMPUTED_VALUE"""),"OperationsonAllocation")</f>
        <v>OperationsonAllocation</v>
      </c>
      <c r="C805" s="4" t="str">
        <f>IFERROR(__xludf.DUMMYFUNCTION("""COMPUTED_VALUE"""),"1Ef_CfqtvCC0SoupZq61OQuLBg_r-ocFfZ5dScRXCuD4")</f>
        <v>1Ef_CfqtvCC0SoupZq61OQuLBg_r-ocFfZ5dScRXCuD4</v>
      </c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 t="str">
        <f>IFERROR(__xludf.DUMMYFUNCTION("""COMPUTED_VALUE"""),"PTT")</f>
        <v>PTT</v>
      </c>
      <c r="B806" s="4" t="str">
        <f>IFERROR(__xludf.DUMMYFUNCTION("""COMPUTED_VALUE"""),"VerifyTradeSummary")</f>
        <v>VerifyTradeSummary</v>
      </c>
      <c r="C806" s="4" t="str">
        <f>IFERROR(__xludf.DUMMYFUNCTION("""COMPUTED_VALUE"""),"1QKYeLTANHsRzTEgySasZ8-Hipb9o0WkonYSctIWDvTQ")</f>
        <v>1QKYeLTANHsRzTEgySasZ8-Hipb9o0WkonYSctIWDvTQ</v>
      </c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 t="str">
        <f>IFERROR(__xludf.DUMMYFUNCTION("""COMPUTED_VALUE"""),"Blotter")</f>
        <v>Blotter</v>
      </c>
      <c r="B807" s="4" t="str">
        <f>IFERROR(__xludf.DUMMYFUNCTION("""COMPUTED_VALUE"""),"SelectTradeOnBlotter")</f>
        <v>SelectTradeOnBlotter</v>
      </c>
      <c r="C807" s="4" t="str">
        <f>IFERROR(__xludf.DUMMYFUNCTION("""COMPUTED_VALUE"""),"1DUwxSUq_47EK60XmK3LOdCXa1fkWqWJE9bLuGS3ccv412")</f>
        <v>1DUwxSUq_47EK60XmK3LOdCXa1fkWqWJE9bLuGS3ccv412</v>
      </c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 t="str">
        <f>IFERROR(__xludf.DUMMYFUNCTION("""COMPUTED_VALUE"""),"Blotter")</f>
        <v>Blotter</v>
      </c>
      <c r="B808" s="4" t="str">
        <f>IFERROR(__xludf.DUMMYFUNCTION("""COMPUTED_VALUE"""),"SelectTradeSummary")</f>
        <v>SelectTradeSummary</v>
      </c>
      <c r="C808" s="4" t="str">
        <f>IFERROR(__xludf.DUMMYFUNCTION("""COMPUTED_VALUE"""),"1DUwxSUq_47EK60XmK3LOdCXa1fkWqWJE9bLuGS3ccv412")</f>
        <v>1DUwxSUq_47EK60XmK3LOdCXa1fkWqWJE9bLuGS3ccv412</v>
      </c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 t="str">
        <f>IFERROR(__xludf.DUMMYFUNCTION("""COMPUTED_VALUE"""),"Blotter")</f>
        <v>Blotter</v>
      </c>
      <c r="B809" s="4" t="str">
        <f>IFERROR(__xludf.DUMMYFUNCTION("""COMPUTED_VALUE"""),"MergeOrderMessage")</f>
        <v>MergeOrderMessage</v>
      </c>
      <c r="C809" s="4" t="str">
        <f>IFERROR(__xludf.DUMMYFUNCTION("""COMPUTED_VALUE"""),"1DUwxSUq_47EK60XmK3LOdCXa1fkWqWJE9bLuGS3ccv412")</f>
        <v>1DUwxSUq_47EK60XmK3LOdCXa1fkWqWJE9bLuGS3ccv412</v>
      </c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 t="str">
        <f>IFERROR(__xludf.DUMMYFUNCTION("""COMPUTED_VALUE"""),"Blotter")</f>
        <v>Blotter</v>
      </c>
      <c r="B810" s="4" t="str">
        <f>IFERROR(__xludf.DUMMYFUNCTION("""COMPUTED_VALUE"""),"SwitchTabBlotter")</f>
        <v>SwitchTabBlotter</v>
      </c>
      <c r="C810" s="4" t="str">
        <f>IFERROR(__xludf.DUMMYFUNCTION("""COMPUTED_VALUE"""),"1DUwxSUq_47EK60XmK3LOdCXa1fkWqWJE9bLuGS3ccv412")</f>
        <v>1DUwxSUq_47EK60XmK3LOdCXa1fkWqWJE9bLuGS3ccv412</v>
      </c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 t="str">
        <f>IFERROR(__xludf.DUMMYFUNCTION("""COMPUTED_VALUE"""),"Blotter")</f>
        <v>Blotter</v>
      </c>
      <c r="B811" s="4" t="str">
        <f>IFERROR(__xludf.DUMMYFUNCTION("""COMPUTED_VALUE"""),"AddTab")</f>
        <v>AddTab</v>
      </c>
      <c r="C811" s="4" t="str">
        <f>IFERROR(__xludf.DUMMYFUNCTION("""COMPUTED_VALUE"""),"1DUwxSUq_47EK60XmK3LOdCXa1fkWqWJE9bLuGS3ccv412")</f>
        <v>1DUwxSUq_47EK60XmK3LOdCXa1fkWqWJE9bLuGS3ccv412</v>
      </c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 t="str">
        <f>IFERROR(__xludf.DUMMYFUNCTION("""COMPUTED_VALUE"""),"Blotter")</f>
        <v>Blotter</v>
      </c>
      <c r="B812" s="4" t="str">
        <f>IFERROR(__xludf.DUMMYFUNCTION("""COMPUTED_VALUE"""),"UploadStageOrders")</f>
        <v>UploadStageOrders</v>
      </c>
      <c r="C812" s="4" t="str">
        <f>IFERROR(__xludf.DUMMYFUNCTION("""COMPUTED_VALUE"""),"1DUwxSUq_47EK60XmK3LOdCXa1fkWqWJE9bLuGS3ccv412")</f>
        <v>1DUwxSUq_47EK60XmK3LOdCXa1fkWqWJE9bLuGS3ccv412</v>
      </c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 t="str">
        <f>IFERROR(__xludf.DUMMYFUNCTION("""COMPUTED_VALUE"""),"Unknown")</f>
        <v>Unknown</v>
      </c>
      <c r="B813" s="4" t="str">
        <f>IFERROR(__xludf.DUMMYFUNCTION("""COMPUTED_VALUE"""),"NirvanaDialogueBoxHandler")</f>
        <v>NirvanaDialogueBoxHandler</v>
      </c>
      <c r="C813" s="4" t="str">
        <f>IFERROR(__xludf.DUMMYFUNCTION("""COMPUTED_VALUE"""),"1DUwxSUq_47EK60XmK3LOdCXa1fkWqWJE9bLuGS3ccv412")</f>
        <v>1DUwxSUq_47EK60XmK3LOdCXa1fkWqWJE9bLuGS3ccv412</v>
      </c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 t="str">
        <f>IFERROR(__xludf.DUMMYFUNCTION("""COMPUTED_VALUE"""),"Blotter")</f>
        <v>Blotter</v>
      </c>
      <c r="B814" s="4" t="str">
        <f>IFERROR(__xludf.DUMMYFUNCTION("""COMPUTED_VALUE"""),"AddTabToFav")</f>
        <v>AddTabToFav</v>
      </c>
      <c r="C814" s="4" t="str">
        <f>IFERROR(__xludf.DUMMYFUNCTION("""COMPUTED_VALUE"""),"1Hrblc1gk4JIYboQ1lGHgl7HatAXp5amAl9mS58vzT-0")</f>
        <v>1Hrblc1gk4JIYboQ1lGHgl7HatAXp5amAl9mS58vzT-0</v>
      </c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 t="str">
        <f>IFERROR(__xludf.DUMMYFUNCTION("""COMPUTED_VALUE"""),"PTT")</f>
        <v>PTT</v>
      </c>
      <c r="B815" s="4" t="str">
        <f>IFERROR(__xludf.DUMMYFUNCTION("""COMPUTED_VALUE"""),"VerifyAllocationDetails")</f>
        <v>VerifyAllocationDetails</v>
      </c>
      <c r="C815" s="4" t="str">
        <f>IFERROR(__xludf.DUMMYFUNCTION("""COMPUTED_VALUE"""),"1DUwxSUq_47EK60XmK3LOdCXa1fkWqWJE9bLuGS3ccv412")</f>
        <v>1DUwxSUq_47EK60XmK3LOdCXa1fkWqWJE9bLuGS3ccv412</v>
      </c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 t="str">
        <f>IFERROR(__xludf.DUMMYFUNCTION("""COMPUTED_VALUE"""),"Unknown")</f>
        <v>Unknown</v>
      </c>
      <c r="B816" s="4" t="str">
        <f>IFERROR(__xludf.DUMMYFUNCTION("""COMPUTED_VALUE"""),"WindowAction")</f>
        <v>WindowAction</v>
      </c>
      <c r="C816" s="4" t="str">
        <f>IFERROR(__xludf.DUMMYFUNCTION("""COMPUTED_VALUE"""),"1DUwxSUq_47EK60XmK3LOdCXa1fkWqWJE9bLuGS3ccv412")</f>
        <v>1DUwxSUq_47EK60XmK3LOdCXa1fkWqWJE9bLuGS3ccv412</v>
      </c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 t="str">
        <f>IFERROR(__xludf.DUMMYFUNCTION("""COMPUTED_VALUE"""),"PTT")</f>
        <v>PTT</v>
      </c>
      <c r="B817" s="4" t="str">
        <f>IFERROR(__xludf.DUMMYFUNCTION("""COMPUTED_VALUE"""),"VerifyAllocationDetailsSam")</f>
        <v>VerifyAllocationDetailsSam</v>
      </c>
      <c r="C817" s="4" t="str">
        <f>IFERROR(__xludf.DUMMYFUNCTION("""COMPUTED_VALUE"""),"1DUwxSUq_47EK60XmK3LOdCXa1fkWqWJE9bLuGS3ccv412")</f>
        <v>1DUwxSUq_47EK60XmK3LOdCXa1fkWqWJE9bLuGS3ccv412</v>
      </c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 t="str">
        <f>IFERROR(__xludf.DUMMYFUNCTION("""COMPUTED_VALUE"""),"Blotter")</f>
        <v>Blotter</v>
      </c>
      <c r="B818" s="4" t="str">
        <f>IFERROR(__xludf.DUMMYFUNCTION("""COMPUTED_VALUE"""),"VerifyExpandedBR")</f>
        <v>VerifyExpandedBR</v>
      </c>
      <c r="C818" s="4" t="str">
        <f>IFERROR(__xludf.DUMMYFUNCTION("""COMPUTED_VALUE"""),"1DUwxSUq_47EK60XmK3LOdCXa1fkWqWJE9bLuGS3ccv412")</f>
        <v>1DUwxSUq_47EK60XmK3LOdCXa1fkWqWJE9bLuGS3ccv412</v>
      </c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 t="str">
        <f>IFERROR(__xludf.DUMMYFUNCTION("""COMPUTED_VALUE"""),"Unknown")</f>
        <v>Unknown</v>
      </c>
      <c r="B819" s="4" t="str">
        <f>IFERROR(__xludf.DUMMYFUNCTION("""COMPUTED_VALUE"""),"CheckModStatus")</f>
        <v>CheckModStatus</v>
      </c>
      <c r="C819" s="4" t="str">
        <f>IFERROR(__xludf.DUMMYFUNCTION("""COMPUTED_VALUE"""),"1S0obfxcw-fBa8_NHZx6E2ddpXBy262moOyglnQyX8XA")</f>
        <v>1S0obfxcw-fBa8_NHZx6E2ddpXBy262moOyglnQyX8XA</v>
      </c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 t="str">
        <f>IFERROR(__xludf.DUMMYFUNCTION("""COMPUTED_VALUE"""),"Allocation")</f>
        <v>Allocation</v>
      </c>
      <c r="B820" s="4" t="str">
        <f>IFERROR(__xludf.DUMMYFUNCTION("""COMPUTED_VALUE"""),"ActionOnGroupBox")</f>
        <v>ActionOnGroupBox</v>
      </c>
      <c r="C820" s="4" t="str">
        <f>IFERROR(__xludf.DUMMYFUNCTION("""COMPUTED_VALUE"""),"1DUwxSUq_47EK60XmK3LOdCXa1fkWqWJE9bLuGS3ccv412")</f>
        <v>1DUwxSUq_47EK60XmK3LOdCXa1fkWqWJE9bLuGS3ccv412</v>
      </c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 t="str">
        <f>IFERROR(__xludf.DUMMYFUNCTION("""COMPUTED_VALUE"""),"Rebalancer")</f>
        <v>Rebalancer</v>
      </c>
      <c r="B821" s="4" t="str">
        <f>IFERROR(__xludf.DUMMYFUNCTION("""COMPUTED_VALUE"""),"CreateOrViewMP")</f>
        <v>CreateOrViewMP</v>
      </c>
      <c r="C821" s="4" t="str">
        <f>IFERROR(__xludf.DUMMYFUNCTION("""COMPUTED_VALUE"""),"1DUwxSUq_47EK60XmK3LOdCXa1fkWqWJE9bLuGS3ccv412")</f>
        <v>1DUwxSUq_47EK60XmK3LOdCXa1fkWqWJE9bLuGS3ccv412</v>
      </c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 t="str">
        <f>IFERROR(__xludf.DUMMYFUNCTION("""COMPUTED_VALUE"""),"Rebalancer")</f>
        <v>Rebalancer</v>
      </c>
      <c r="B822" s="4" t="str">
        <f>IFERROR(__xludf.DUMMYFUNCTION("""COMPUTED_VALUE"""),"SwitchTabRB")</f>
        <v>SwitchTabRB</v>
      </c>
      <c r="C822" s="4" t="str">
        <f>IFERROR(__xludf.DUMMYFUNCTION("""COMPUTED_VALUE"""),"1DUwxSUq_47EK60XmK3LOdCXa1fkWqWJE9bLuGS3ccv412")</f>
        <v>1DUwxSUq_47EK60XmK3LOdCXa1fkWqWJE9bLuGS3ccv412</v>
      </c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 t="str">
        <f>IFERROR(__xludf.DUMMYFUNCTION("""COMPUTED_VALUE"""),"Allocation")</f>
        <v>Allocation</v>
      </c>
      <c r="B823" s="4" t="str">
        <f>IFERROR(__xludf.DUMMYFUNCTION("""COMPUTED_VALUE"""),"SelectAllTradesAllocation")</f>
        <v>SelectAllTradesAllocation</v>
      </c>
      <c r="C823" s="4" t="str">
        <f>IFERROR(__xludf.DUMMYFUNCTION("""COMPUTED_VALUE"""),"1DUwxSUq_47EK60XmK3LOdCXa1fkWqWJE9bLuGS3ccv412")</f>
        <v>1DUwxSUq_47EK60XmK3LOdCXa1fkWqWJE9bLuGS3ccv412</v>
      </c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 t="str">
        <f>IFERROR(__xludf.DUMMYFUNCTION("""COMPUTED_VALUE"""),"Allocation")</f>
        <v>Allocation</v>
      </c>
      <c r="B824" s="4" t="str">
        <f>IFERROR(__xludf.DUMMYFUNCTION("""COMPUTED_VALUE"""),"SetFundDistribution")</f>
        <v>SetFundDistribution</v>
      </c>
      <c r="C824" s="4" t="str">
        <f>IFERROR(__xludf.DUMMYFUNCTION("""COMPUTED_VALUE"""),"1DUwxSUq_47EK60XmK3LOdCXa1fkWqWJE9bLuGS3ccv412")</f>
        <v>1DUwxSUq_47EK60XmK3LOdCXa1fkWqWJE9bLuGS3ccv412</v>
      </c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 t="str">
        <f>IFERROR(__xludf.DUMMYFUNCTION("""COMPUTED_VALUE"""),"Allocation")</f>
        <v>Allocation</v>
      </c>
      <c r="B825" s="4" t="str">
        <f>IFERROR(__xludf.DUMMYFUNCTION("""COMPUTED_VALUE"""),"OperationsonAllocation")</f>
        <v>OperationsonAllocation</v>
      </c>
      <c r="C825" s="4" t="str">
        <f>IFERROR(__xludf.DUMMYFUNCTION("""COMPUTED_VALUE"""),"1DUwxSUq_47EK60XmK3LOdCXa1fkWqWJE9bLuGS3ccv412")</f>
        <v>1DUwxSUq_47EK60XmK3LOdCXa1fkWqWJE9bLuGS3ccv412</v>
      </c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 t="str">
        <f>IFERROR(__xludf.DUMMYFUNCTION("""COMPUTED_VALUE"""),"Rebalancer")</f>
        <v>Rebalancer</v>
      </c>
      <c r="B826" s="4" t="str">
        <f>IFERROR(__xludf.DUMMYFUNCTION("""COMPUTED_VALUE"""),"SelectModelPortfolio")</f>
        <v>SelectModelPortfolio</v>
      </c>
      <c r="C826" s="4" t="str">
        <f>IFERROR(__xludf.DUMMYFUNCTION("""COMPUTED_VALUE"""),"1DUwxSUq_47EK60XmK3LOdCXa1fkWqWJE9bLuGS3ccv412")</f>
        <v>1DUwxSUq_47EK60XmK3LOdCXa1fkWqWJE9bLuGS3ccv412</v>
      </c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 t="str">
        <f>IFERROR(__xludf.DUMMYFUNCTION("""COMPUTED_VALUE"""),"Rebalancer")</f>
        <v>Rebalancer</v>
      </c>
      <c r="B827" s="4" t="str">
        <f>IFERROR(__xludf.DUMMYFUNCTION("""COMPUTED_VALUE"""),"OperationsonMPRB")</f>
        <v>OperationsonMPRB</v>
      </c>
      <c r="C827" s="4" t="str">
        <f>IFERROR(__xludf.DUMMYFUNCTION("""COMPUTED_VALUE"""),"1DUwxSUq_47EK60XmK3LOdCXa1fkWqWJE9bLuGS3ccv412")</f>
        <v>1DUwxSUq_47EK60XmK3LOdCXa1fkWqWJE9bLuGS3ccv412</v>
      </c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 t="str">
        <f>IFERROR(__xludf.DUMMYFUNCTION("""COMPUTED_VALUE"""),"Rebalancer")</f>
        <v>Rebalancer</v>
      </c>
      <c r="B828" s="4" t="str">
        <f>IFERROR(__xludf.DUMMYFUNCTION("""COMPUTED_VALUE"""),"VerifyMPRB")</f>
        <v>VerifyMPRB</v>
      </c>
      <c r="C828" s="4" t="str">
        <f>IFERROR(__xludf.DUMMYFUNCTION("""COMPUTED_VALUE"""),"1DUwxSUq_47EK60XmK3LOdCXa1fkWqWJE9bLuGS3ccv412")</f>
        <v>1DUwxSUq_47EK60XmK3LOdCXa1fkWqWJE9bLuGS3ccv412</v>
      </c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 t="str">
        <f>IFERROR(__xludf.DUMMYFUNCTION("""COMPUTED_VALUE"""),"Admin")</f>
        <v>Admin</v>
      </c>
      <c r="B829" s="4" t="str">
        <f>IFERROR(__xludf.DUMMYFUNCTION("""COMPUTED_VALUE"""),"BasketPermission")</f>
        <v>BasketPermission</v>
      </c>
      <c r="C829" s="4" t="str">
        <f>IFERROR(__xludf.DUMMYFUNCTION("""COMPUTED_VALUE"""),"17IDG53HtzAOlp_4FIV5uGfLm-MbCR9NktUckecZQFVU")</f>
        <v>17IDG53HtzAOlp_4FIV5uGfLm-MbCR9NktUckecZQFVU</v>
      </c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 t="str">
        <f>IFERROR(__xludf.DUMMYFUNCTION("""COMPUTED_VALUE"""),"Rebalancer")</f>
        <v>Rebalancer</v>
      </c>
      <c r="B830" s="4" t="str">
        <f>IFERROR(__xludf.DUMMYFUNCTION("""COMPUTED_VALUE"""),"ActiononCustomGroup")</f>
        <v>ActiononCustomGroup</v>
      </c>
      <c r="C830" s="4" t="str">
        <f>IFERROR(__xludf.DUMMYFUNCTION("""COMPUTED_VALUE"""),"1DUwxSUq_47EK60XmK3LOdCXa1fkWqWJE9bLuGS3ccv412")</f>
        <v>1DUwxSUq_47EK60XmK3LOdCXa1fkWqWJE9bLuGS3ccv412</v>
      </c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 t="str">
        <f>IFERROR(__xludf.DUMMYFUNCTION("""COMPUTED_VALUE"""),"Rebalancer")</f>
        <v>Rebalancer</v>
      </c>
      <c r="B831" s="4" t="str">
        <f>IFERROR(__xludf.DUMMYFUNCTION("""COMPUTED_VALUE"""),"SelectCustomGroups")</f>
        <v>SelectCustomGroups</v>
      </c>
      <c r="C831" s="4" t="str">
        <f>IFERROR(__xludf.DUMMYFUNCTION("""COMPUTED_VALUE"""),"1DUwxSUq_47EK60XmK3LOdCXa1fkWqWJE9bLuGS3ccv412")</f>
        <v>1DUwxSUq_47EK60XmK3LOdCXa1fkWqWJE9bLuGS3ccv412</v>
      </c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 t="str">
        <f>IFERROR(__xludf.DUMMYFUNCTION("""COMPUTED_VALUE"""),"Rebalancer")</f>
        <v>Rebalancer</v>
      </c>
      <c r="B832" s="4" t="str">
        <f>IFERROR(__xludf.DUMMYFUNCTION("""COMPUTED_VALUE"""),"SelectAssignedAccounts")</f>
        <v>SelectAssignedAccounts</v>
      </c>
      <c r="C832" s="4" t="str">
        <f>IFERROR(__xludf.DUMMYFUNCTION("""COMPUTED_VALUE"""),"1DUwxSUq_47EK60XmK3LOdCXa1fkWqWJE9bLuGS3ccv412")</f>
        <v>1DUwxSUq_47EK60XmK3LOdCXa1fkWqWJE9bLuGS3ccv412</v>
      </c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 t="str">
        <f>IFERROR(__xludf.DUMMYFUNCTION("""COMPUTED_VALUE"""),"Rebalancer")</f>
        <v>Rebalancer</v>
      </c>
      <c r="B833" s="4" t="str">
        <f>IFERROR(__xludf.DUMMYFUNCTION("""COMPUTED_VALUE"""),"SelectUnAssignedAccounts")</f>
        <v>SelectUnAssignedAccounts</v>
      </c>
      <c r="C833" s="4" t="str">
        <f>IFERROR(__xludf.DUMMYFUNCTION("""COMPUTED_VALUE"""),"1DUwxSUq_47EK60XmK3LOdCXa1fkWqWJE9bLuGS3ccv412")</f>
        <v>1DUwxSUq_47EK60XmK3LOdCXa1fkWqWJE9bLuGS3ccv412</v>
      </c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 t="str">
        <f>IFERROR(__xludf.DUMMYFUNCTION("""COMPUTED_VALUE"""),"Rebalancer")</f>
        <v>Rebalancer</v>
      </c>
      <c r="B834" s="4" t="str">
        <f>IFERROR(__xludf.DUMMYFUNCTION("""COMPUTED_VALUE"""),"VerifyCustomGroups")</f>
        <v>VerifyCustomGroups</v>
      </c>
      <c r="C834" s="4" t="str">
        <f>IFERROR(__xludf.DUMMYFUNCTION("""COMPUTED_VALUE"""),"1DUwxSUq_47EK60XmK3LOdCXa1fkWqWJE9bLuGS3ccv412")</f>
        <v>1DUwxSUq_47EK60XmK3LOdCXa1fkWqWJE9bLuGS3ccv412</v>
      </c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 t="str">
        <f>IFERROR(__xludf.DUMMYFUNCTION("""COMPUTED_VALUE"""),"Rebalancer")</f>
        <v>Rebalancer</v>
      </c>
      <c r="B835" s="4" t="str">
        <f>IFERROR(__xludf.DUMMYFUNCTION("""COMPUTED_VALUE"""),"VerifyAssignedAccounts")</f>
        <v>VerifyAssignedAccounts</v>
      </c>
      <c r="C835" s="4" t="str">
        <f>IFERROR(__xludf.DUMMYFUNCTION("""COMPUTED_VALUE"""),"1DUwxSUq_47EK60XmK3LOdCXa1fkWqWJE9bLuGS3ccv412")</f>
        <v>1DUwxSUq_47EK60XmK3LOdCXa1fkWqWJE9bLuGS3ccv412</v>
      </c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 t="str">
        <f>IFERROR(__xludf.DUMMYFUNCTION("""COMPUTED_VALUE"""),"Rebalancer")</f>
        <v>Rebalancer</v>
      </c>
      <c r="B836" s="4" t="str">
        <f>IFERROR(__xludf.DUMMYFUNCTION("""COMPUTED_VALUE"""),"VerifyUnAssignedAccounts")</f>
        <v>VerifyUnAssignedAccounts</v>
      </c>
      <c r="C836" s="4" t="str">
        <f>IFERROR(__xludf.DUMMYFUNCTION("""COMPUTED_VALUE"""),"1DUwxSUq_47EK60XmK3LOdCXa1fkWqWJE9bLuGS3ccv412")</f>
        <v>1DUwxSUq_47EK60XmK3LOdCXa1fkWqWJE9bLuGS3ccv412</v>
      </c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 t="str">
        <f>IFERROR(__xludf.DUMMYFUNCTION("""COMPUTED_VALUE"""),"Allocation")</f>
        <v>Allocation</v>
      </c>
      <c r="B837" s="4" t="str">
        <f>IFERROR(__xludf.DUMMYFUNCTION("""COMPUTED_VALUE"""),"VerifyAllocationStatusBar")</f>
        <v>VerifyAllocationStatusBar</v>
      </c>
      <c r="C837" s="4" t="str">
        <f>IFERROR(__xludf.DUMMYFUNCTION("""COMPUTED_VALUE"""),"1xGSEHe1MiU9TD2PSlKIl96W7bOhlWvmTLQB")</f>
        <v>1xGSEHe1MiU9TD2PSlKIl96W7bOhlWvmTLQB</v>
      </c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 t="str">
        <f>IFERROR(__xludf.DUMMYFUNCTION("""COMPUTED_VALUE"""),"Rebalancer")</f>
        <v>Rebalancer</v>
      </c>
      <c r="B838" s="4" t="str">
        <f>IFERROR(__xludf.DUMMYFUNCTION("""COMPUTED_VALUE"""),"ActiononRebalance")</f>
        <v>ActiononRebalance</v>
      </c>
      <c r="C838" s="4" t="str">
        <f>IFERROR(__xludf.DUMMYFUNCTION("""COMPUTED_VALUE"""),"1DUwxSUq_47EK60XmK3LOdCXa1fkWqWJE9bLuGS3ccv412")</f>
        <v>1DUwxSUq_47EK60XmK3LOdCXa1fkWqWJE9bLuGS3ccv412</v>
      </c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 t="str">
        <f>IFERROR(__xludf.DUMMYFUNCTION("""COMPUTED_VALUE"""),"MultiTradingTicket")</f>
        <v>MultiTradingTicket</v>
      </c>
      <c r="B839" s="4" t="str">
        <f>IFERROR(__xludf.DUMMYFUNCTION("""COMPUTED_VALUE"""),"BulkUpdateonMTT ")</f>
        <v>BulkUpdateonMTT </v>
      </c>
      <c r="C839" s="4" t="str">
        <f>IFERROR(__xludf.DUMMYFUNCTION("""COMPUTED_VALUE"""),"1DUwxSUq_47EK60XmK3LOdCXa1fkWqWJE9bLuGS3ccv412")</f>
        <v>1DUwxSUq_47EK60XmK3LOdCXa1fkWqWJE9bLuGS3ccv412</v>
      </c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 t="str">
        <f>IFERROR(__xludf.DUMMYFUNCTION("""COMPUTED_VALUE"""),"MultiTradingTicket")</f>
        <v>MultiTradingTicket</v>
      </c>
      <c r="B840" s="4" t="str">
        <f>IFERROR(__xludf.DUMMYFUNCTION("""COMPUTED_VALUE"""),"CustomOrderMTT")</f>
        <v>CustomOrderMTT</v>
      </c>
      <c r="C840" s="4" t="str">
        <f>IFERROR(__xludf.DUMMYFUNCTION("""COMPUTED_VALUE"""),"1DUwxSUq_47EK60XmK3LOdCXa1fkWqWJE9bLuGS3ccv412")</f>
        <v>1DUwxSUq_47EK60XmK3LOdCXa1fkWqWJE9bLuGS3ccv412</v>
      </c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 t="str">
        <f>IFERROR(__xludf.DUMMYFUNCTION("""COMPUTED_VALUE"""),"Rebalancer")</f>
        <v>Rebalancer</v>
      </c>
      <c r="B841" s="4" t="str">
        <f>IFERROR(__xludf.DUMMYFUNCTION("""COMPUTED_VALUE"""),"MoveToAssignedList")</f>
        <v>MoveToAssignedList</v>
      </c>
      <c r="C841" s="4" t="str">
        <f>IFERROR(__xludf.DUMMYFUNCTION("""COMPUTED_VALUE"""),"1DUwxSUq_47EK60XmK3LOdCXa1fkWqWJE9bLuGS3ccv412")</f>
        <v>1DUwxSUq_47EK60XmK3LOdCXa1fkWqWJE9bLuGS3ccv412</v>
      </c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 t="str">
        <f>IFERROR(__xludf.DUMMYFUNCTION("""COMPUTED_VALUE"""),"TradingTicket")</f>
        <v>TradingTicket</v>
      </c>
      <c r="B842" s="4" t="str">
        <f>IFERROR(__xludf.DUMMYFUNCTION("""COMPUTED_VALUE"""),"ActionOnPrompt")</f>
        <v>ActionOnPrompt</v>
      </c>
      <c r="C842" s="4" t="str">
        <f>IFERROR(__xludf.DUMMYFUNCTION("""COMPUTED_VALUE"""),"1DUwxSUq_47EK60XmK3LOdCXa1fkWqWJE9bLuGS3ccv412")</f>
        <v>1DUwxSUq_47EK60XmK3LOdCXa1fkWqWJE9bLuGS3ccv412</v>
      </c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 t="str">
        <f>IFERROR(__xludf.DUMMYFUNCTION("""COMPUTED_VALUE"""),"Rebalancer")</f>
        <v>Rebalancer</v>
      </c>
      <c r="B843" s="4" t="str">
        <f>IFERROR(__xludf.DUMMYFUNCTION("""COMPUTED_VALUE"""),"VerifyRBStatusBar")</f>
        <v>VerifyRBStatusBar</v>
      </c>
      <c r="C843" s="4" t="str">
        <f>IFERROR(__xludf.DUMMYFUNCTION("""COMPUTED_VALUE"""),"1DUwxSUq_47EK60XmK3LOdCXa1fkWqWJE9bLuGS3ccv412")</f>
        <v>1DUwxSUq_47EK60XmK3LOdCXa1fkWqWJE9bLuGS3ccv412</v>
      </c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 t="str">
        <f>IFERROR(__xludf.DUMMYFUNCTION("""COMPUTED_VALUE"""),"MultiTradingTicket")</f>
        <v>MultiTradingTicket</v>
      </c>
      <c r="B844" s="4" t="str">
        <f>IFERROR(__xludf.DUMMYFUNCTION("""COMPUTED_VALUE"""),"SelectAllMTT")</f>
        <v>SelectAllMTT</v>
      </c>
      <c r="C844" s="4" t="str">
        <f>IFERROR(__xludf.DUMMYFUNCTION("""COMPUTED_VALUE"""),"1DUwxSUq_47EK60XmK3LOdCXa1fkWqWJE9bLuGS3ccv412")</f>
        <v>1DUwxSUq_47EK60XmK3LOdCXa1fkWqWJE9bLuGS3ccv412</v>
      </c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 t="str">
        <f>IFERROR(__xludf.DUMMYFUNCTION("""COMPUTED_VALUE"""),"MultiTradingTicket")</f>
        <v>MultiTradingTicket</v>
      </c>
      <c r="B845" s="4" t="str">
        <f>IFERROR(__xludf.DUMMYFUNCTION("""COMPUTED_VALUE"""),"SelectTradesMTT")</f>
        <v>SelectTradesMTT</v>
      </c>
      <c r="C845" s="4" t="str">
        <f>IFERROR(__xludf.DUMMYFUNCTION("""COMPUTED_VALUE"""),"1DUwxSUq_47EK60XmK3LOdCXa1fkWqWJE9bLuGS3ccv412")</f>
        <v>1DUwxSUq_47EK60XmK3LOdCXa1fkWqWJE9bLuGS3ccv412</v>
      </c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 t="str">
        <f>IFERROR(__xludf.DUMMYFUNCTION("""COMPUTED_VALUE"""),"MultiTradingTicket")</f>
        <v>MultiTradingTicket</v>
      </c>
      <c r="B846" s="4" t="str">
        <f>IFERROR(__xludf.DUMMYFUNCTION("""COMPUTED_VALUE"""),"OperationonMTT")</f>
        <v>OperationonMTT</v>
      </c>
      <c r="C846" s="4" t="str">
        <f>IFERROR(__xludf.DUMMYFUNCTION("""COMPUTED_VALUE"""),"1DUwxSUq_47EK60XmK3LOdCXa1fkWqWJE9bLuGS3ccv412")</f>
        <v>1DUwxSUq_47EK60XmK3LOdCXa1fkWqWJE9bLuGS3ccv412</v>
      </c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 t="str">
        <f>IFERROR(__xludf.DUMMYFUNCTION("""COMPUTED_VALUE"""),"Allocation")</f>
        <v>Allocation</v>
      </c>
      <c r="B847" s="4" t="str">
        <f>IFERROR(__xludf.DUMMYFUNCTION("""COMPUTED_VALUE"""),"VerifyExpansionIndicator")</f>
        <v>VerifyExpansionIndicator</v>
      </c>
      <c r="C847" s="4" t="str">
        <f>IFERROR(__xludf.DUMMYFUNCTION("""COMPUTED_VALUE"""),"1DUwxSUq_47EK60XmK3LOdCXa1fkWqWJE9bLuGS3ccv412")</f>
        <v>1DUwxSUq_47EK60XmK3LOdCXa1fkWqWJE9bLuGS3ccv412</v>
      </c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 t="str">
        <f>IFERROR(__xludf.DUMMYFUNCTION("""COMPUTED_VALUE"""),"PTT")</f>
        <v>PTT</v>
      </c>
      <c r="B848" s="4" t="str">
        <f>IFERROR(__xludf.DUMMYFUNCTION("""COMPUTED_VALUE"""),"VerifyPTTUI")</f>
        <v>VerifyPTTUI</v>
      </c>
      <c r="C848" s="4" t="str">
        <f>IFERROR(__xludf.DUMMYFUNCTION("""COMPUTED_VALUE"""),"1DUwxSUq_47EK60XmK3LOdCXa1fkWqWJE9bLuGS3ccv412")</f>
        <v>1DUwxSUq_47EK60XmK3LOdCXa1fkWqWJE9bLuGS3ccv412</v>
      </c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 t="str">
        <f>IFERROR(__xludf.DUMMYFUNCTION("""COMPUTED_VALUE"""),"PranaClient")</f>
        <v>PranaClient</v>
      </c>
      <c r="B849" s="4" t="str">
        <f>IFERROR(__xludf.DUMMYFUNCTION("""COMPUTED_VALUE"""),"OpenModule")</f>
        <v>OpenModule</v>
      </c>
      <c r="C849" s="4" t="str">
        <f>IFERROR(__xludf.DUMMYFUNCTION("""COMPUTED_VALUE"""),"1L-UVWUTPBRTuEZmbLDReT0I7a0h7ABWiidO4dyyCx34")</f>
        <v>1L-UVWUTPBRTuEZmbLDReT0I7a0h7ABWiidO4dyyCx34</v>
      </c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 t="str">
        <f>IFERROR(__xludf.DUMMYFUNCTION("""COMPUTED_VALUE"""),"Unknown")</f>
        <v>Unknown</v>
      </c>
      <c r="B850" s="4" t="str">
        <f>IFERROR(__xludf.DUMMYFUNCTION("""COMPUTED_VALUE"""),"CheckWindow")</f>
        <v>CheckWindow</v>
      </c>
      <c r="C850" s="4" t="str">
        <f>IFERROR(__xludf.DUMMYFUNCTION("""COMPUTED_VALUE"""),"1DUwxSUq_47EK60XmK3LOdCXa1fkWqWJE9bLuGS3ccv412")</f>
        <v>1DUwxSUq_47EK60XmK3LOdCXa1fkWqWJE9bLuGS3ccv412</v>
      </c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 t="str">
        <f>IFERROR(__xludf.DUMMYFUNCTION("""COMPUTED_VALUE"""),"TradingTicket")</f>
        <v>TradingTicket</v>
      </c>
      <c r="B851" s="4" t="str">
        <f>IFERROR(__xludf.DUMMYFUNCTION("""COMPUTED_VALUE"""),"VerifyExecutionType")</f>
        <v>VerifyExecutionType</v>
      </c>
      <c r="C851" s="4" t="str">
        <f>IFERROR(__xludf.DUMMYFUNCTION("""COMPUTED_VALUE"""),"1GeLKG0YL6nDFQYX8NohWSG0yonppxuSHWgOuwLzEWwI")</f>
        <v>1GeLKG0YL6nDFQYX8NohWSG0yonppxuSHWgOuwLzEWwI</v>
      </c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 t="str">
        <f>IFERROR(__xludf.DUMMYFUNCTION("""COMPUTED_VALUE"""),"Blotter")</f>
        <v>Blotter</v>
      </c>
      <c r="B852" s="4" t="str">
        <f>IFERROR(__xludf.DUMMYFUNCTION("""COMPUTED_VALUE"""),"VerifyBlotter")</f>
        <v>VerifyBlotter</v>
      </c>
      <c r="C852" s="4" t="str">
        <f>IFERROR(__xludf.DUMMYFUNCTION("""COMPUTED_VALUE"""),"1DUwxSUq_47EK60XmK3LOdCXa1fkWqWJE9bLuGS3ccv412")</f>
        <v>1DUwxSUq_47EK60XmK3LOdCXa1fkWqWJE9bLuGS3ccv412</v>
      </c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 t="str">
        <f>IFERROR(__xludf.DUMMYFUNCTION("""COMPUTED_VALUE"""),"OpenFin")</f>
        <v>OpenFin</v>
      </c>
      <c r="B853" s="4" t="str">
        <f>IFERROR(__xludf.DUMMYFUNCTION("""COMPUTED_VALUE"""),"VerifyNotification")</f>
        <v>VerifyNotification</v>
      </c>
      <c r="C853" s="4" t="str">
        <f>IFERROR(__xludf.DUMMYFUNCTION("""COMPUTED_VALUE"""),"1rm7dGZ4-j6MPtyiMlJDHnZgIjnFk8Hv19VRPaPCgUMY")</f>
        <v>1rm7dGZ4-j6MPtyiMlJDHnZgIjnFk8Hv19VRPaPCgUMY</v>
      </c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 t="str">
        <f>IFERROR(__xludf.DUMMYFUNCTION("""COMPUTED_VALUE"""),"TradingTicket")</f>
        <v>TradingTicket</v>
      </c>
      <c r="B854" s="4" t="str">
        <f>IFERROR(__xludf.DUMMYFUNCTION("""COMPUTED_VALUE"""),"VerifyPopupAlignment")</f>
        <v>VerifyPopupAlignment</v>
      </c>
      <c r="C854" s="4" t="str">
        <f>IFERROR(__xludf.DUMMYFUNCTION("""COMPUTED_VALUE"""),"1PAyxzLHPOj64pXbS5W7uBsuT035g_GlIT1xXUjFNRUk")</f>
        <v>1PAyxzLHPOj64pXbS5W7uBsuT035g_GlIT1xXUjFNRUk</v>
      </c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 t="str">
        <f>IFERROR(__xludf.DUMMYFUNCTION("""COMPUTED_VALUE"""),"TradingTicket")</f>
        <v>TradingTicket</v>
      </c>
      <c r="B855" s="4" t="str">
        <f>IFERROR(__xludf.DUMMYFUNCTION("""COMPUTED_VALUE"""),"SelectET")</f>
        <v>SelectET</v>
      </c>
      <c r="C855" s="4" t="str">
        <f>IFERROR(__xludf.DUMMYFUNCTION("""COMPUTED_VALUE"""),"1Tpuk-xqnvfBtaWXtAffyW0Chu9RCysO1V7PE2wbI7Xk")</f>
        <v>1Tpuk-xqnvfBtaWXtAffyW0Chu9RCysO1V7PE2wbI7Xk</v>
      </c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 t="str">
        <f>IFERROR(__xludf.DUMMYFUNCTION("""COMPUTED_VALUE"""),"Blotter")</f>
        <v>Blotter</v>
      </c>
      <c r="B856" s="4" t="str">
        <f>IFERROR(__xludf.DUMMYFUNCTION("""COMPUTED_VALUE"""),"AddColumnsToGrid")</f>
        <v>AddColumnsToGrid</v>
      </c>
      <c r="C856" s="4" t="str">
        <f>IFERROR(__xludf.DUMMYFUNCTION("""COMPUTED_VALUE"""),"1Gs1xU4gMYORlTreZaEK39cVUrhrtk_8wZfgLySBA8Us")</f>
        <v>1Gs1xU4gMYORlTreZaEK39cVUrhrtk_8wZfgLySBA8Us</v>
      </c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 t="str">
        <f>IFERROR(__xludf.DUMMYFUNCTION("""COMPUTED_VALUE"""),"RTPNL")</f>
        <v>RTPNL</v>
      </c>
      <c r="B857" s="4" t="str">
        <f>IFERROR(__xludf.DUMMYFUNCTION("""COMPUTED_VALUE"""),"Grouping")</f>
        <v>Grouping</v>
      </c>
      <c r="C857" s="4" t="str">
        <f>IFERROR(__xludf.DUMMYFUNCTION("""COMPUTED_VALUE"""),"1FNoxwXRCCjvm8HYhDo2XZGdWYdZNzY2Jh0ibkuVHNWo")</f>
        <v>1FNoxwXRCCjvm8HYhDo2XZGdWYdZNzY2Jh0ibkuVHNWo</v>
      </c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 t="str">
        <f>IFERROR(__xludf.DUMMYFUNCTION("""COMPUTED_VALUE"""),"Blotter")</f>
        <v>Blotter</v>
      </c>
      <c r="B858" s="4" t="str">
        <f>IFERROR(__xludf.DUMMYFUNCTION("""COMPUTED_VALUE"""),"RollOverContextMenu")</f>
        <v>RollOverContextMenu</v>
      </c>
      <c r="C858" s="4" t="str">
        <f>IFERROR(__xludf.DUMMYFUNCTION("""COMPUTED_VALUE"""),"1d45ieJRLC6DQ7t19pclAZz5EI6hBsZ5_VdNJYb3VsNc")</f>
        <v>1d45ieJRLC6DQ7t19pclAZz5EI6hBsZ5_VdNJYb3VsNc</v>
      </c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 t="str">
        <f>IFERROR(__xludf.DUMMYFUNCTION("""COMPUTED_VALUE"""),"Unknown")</f>
        <v>Unknown</v>
      </c>
      <c r="B859" s="4" t="str">
        <f>IFERROR(__xludf.DUMMYFUNCTION("""COMPUTED_VALUE"""),"VerifyFatFingerTR")</f>
        <v>VerifyFatFingerTR</v>
      </c>
      <c r="C859" s="4" t="str">
        <f>IFERROR(__xludf.DUMMYFUNCTION("""COMPUTED_VALUE"""),"1DUwxSUq_47EK60XmK3LOdCXa1fkWqWJE9bLuGS3ccv412")</f>
        <v>1DUwxSUq_47EK60XmK3LOdCXa1fkWqWJE9bLuGS3ccv412</v>
      </c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 t="str">
        <f>IFERROR(__xludf.DUMMYFUNCTION("""COMPUTED_VALUE"""),"Unknown")</f>
        <v>Unknown</v>
      </c>
      <c r="B860" s="4" t="str">
        <f>IFERROR(__xludf.DUMMYFUNCTION("""COMPUTED_VALUE"""),"VerifyOverBuySellTR")</f>
        <v>VerifyOverBuySellTR</v>
      </c>
      <c r="C860" s="4" t="str">
        <f>IFERROR(__xludf.DUMMYFUNCTION("""COMPUTED_VALUE"""),"1DUwxSUq_47EK60XmK3LOdCXa1fkWqWJE9bLuGS3ccv412")</f>
        <v>1DUwxSUq_47EK60XmK3LOdCXa1fkWqWJE9bLuGS3ccv412</v>
      </c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 t="str">
        <f>IFERROR(__xludf.DUMMYFUNCTION("""COMPUTED_VALUE"""),"PTT")</f>
        <v>PTT</v>
      </c>
      <c r="B861" s="4" t="str">
        <f>IFERROR(__xludf.DUMMYFUNCTION("""COMPUTED_VALUE"""),"RefreshCalculation")</f>
        <v>RefreshCalculation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 t="str">
        <f>IFERROR(__xludf.DUMMYFUNCTION("""COMPUTED_VALUE"""),"Rebalancer")</f>
        <v>Rebalancer</v>
      </c>
      <c r="B862" s="4" t="str">
        <f>IFERROR(__xludf.DUMMYFUNCTION("""COMPUTED_VALUE"""),"AddCustomCashFlow")</f>
        <v>AddCustomCashFlow</v>
      </c>
      <c r="C862" s="4" t="str">
        <f>IFERROR(__xludf.DUMMYFUNCTION("""COMPUTED_VALUE"""),"1DUwxSUq_47EK60XmK3LOdCXa1fkWqWJE9bLuGS3ccv412")</f>
        <v>1DUwxSUq_47EK60XmK3LOdCXa1fkWqWJE9bLuGS3ccv412</v>
      </c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 t="str">
        <f>IFERROR(__xludf.DUMMYFUNCTION("""COMPUTED_VALUE"""),"Rebalancer")</f>
        <v>Rebalancer</v>
      </c>
      <c r="B863" s="4" t="str">
        <f>IFERROR(__xludf.DUMMYFUNCTION("""COMPUTED_VALUE"""),"ActionOnCustomCashFlow")</f>
        <v>ActionOnCustomCashFlow</v>
      </c>
      <c r="C863" s="4" t="str">
        <f>IFERROR(__xludf.DUMMYFUNCTION("""COMPUTED_VALUE"""),"1DUwxSUq_47EK60XmK3LOdCXa1fkWqWJE9bLuGS3ccv412")</f>
        <v>1DUwxSUq_47EK60XmK3LOdCXa1fkWqWJE9bLuGS3ccv412</v>
      </c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 t="str">
        <f>IFERROR(__xludf.DUMMYFUNCTION("""COMPUTED_VALUE"""),"Rebalancer")</f>
        <v>Rebalancer</v>
      </c>
      <c r="B864" s="4" t="str">
        <f>IFERROR(__xludf.DUMMYFUNCTION("""COMPUTED_VALUE"""),"RemoveAllSecurities")</f>
        <v>RemoveAllSecurities</v>
      </c>
      <c r="C864" s="4" t="str">
        <f>IFERROR(__xludf.DUMMYFUNCTION("""COMPUTED_VALUE"""),"1DUwxSUq_47EK60XmK3LOdCXa1fkWqWJE9bLuGS3ccv412")</f>
        <v>1DUwxSUq_47EK60XmK3LOdCXa1fkWqWJE9bLuGS3ccv412</v>
      </c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 t="str">
        <f>IFERROR(__xludf.DUMMYFUNCTION("""COMPUTED_VALUE"""),"Rebalancer")</f>
        <v>Rebalancer</v>
      </c>
      <c r="B865" s="4" t="str">
        <f>IFERROR(__xludf.DUMMYFUNCTION("""COMPUTED_VALUE"""),"RebalanceTradingRules")</f>
        <v>RebalanceTradingRules</v>
      </c>
      <c r="C865" s="4" t="str">
        <f>IFERROR(__xludf.DUMMYFUNCTION("""COMPUTED_VALUE"""),"1DUwxSUq_47EK60XmK3LOdCXa1fkWqWJE9bLuGS3ccv412")</f>
        <v>1DUwxSUq_47EK60XmK3LOdCXa1fkWqWJE9bLuGS3ccv412</v>
      </c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 t="str">
        <f>IFERROR(__xludf.DUMMYFUNCTION("""COMPUTED_VALUE"""),"Rebalancer")</f>
        <v>Rebalancer</v>
      </c>
      <c r="B866" s="4" t="str">
        <f>IFERROR(__xludf.DUMMYFUNCTION("""COMPUTED_VALUE"""),"UpdateRBPreferences")</f>
        <v>UpdateRBPreferences</v>
      </c>
      <c r="C866" s="4" t="str">
        <f>IFERROR(__xludf.DUMMYFUNCTION("""COMPUTED_VALUE"""),"1DUwxSUq_47EK60XmK3LOdCXa1fkWqWJE9bLuGS3ccv412")</f>
        <v>1DUwxSUq_47EK60XmK3LOdCXa1fkWqWJE9bLuGS3ccv412</v>
      </c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 t="str">
        <f>IFERROR(__xludf.DUMMYFUNCTION("""COMPUTED_VALUE"""),"Rebalancer")</f>
        <v>Rebalancer</v>
      </c>
      <c r="B867" s="4" t="str">
        <f>IFERROR(__xludf.DUMMYFUNCTION("""COMPUTED_VALUE"""),"RecalculateNIC")</f>
        <v>RecalculateNIC</v>
      </c>
      <c r="C867" s="4" t="str">
        <f>IFERROR(__xludf.DUMMYFUNCTION("""COMPUTED_VALUE"""),"1DUwxSUq_47EK60XmK3LOdCXa1fkWqWJE9bLuGS3ccv412")</f>
        <v>1DUwxSUq_47EK60XmK3LOdCXa1fkWqWJE9bLuGS3ccv412</v>
      </c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 t="str">
        <f>IFERROR(__xludf.DUMMYFUNCTION("""COMPUTED_VALUE"""),"Blotter")</f>
        <v>Blotter</v>
      </c>
      <c r="B868" s="4" t="str">
        <f>IFERROR(__xludf.DUMMYFUNCTION("""COMPUTED_VALUE"""),"BookAsSwap")</f>
        <v>BookAsSwap</v>
      </c>
      <c r="C868" s="4" t="str">
        <f>IFERROR(__xludf.DUMMYFUNCTION("""COMPUTED_VALUE"""),"1tnkP5eD3WH53SXu2O-MWk6774J7b5ihwlD7r9dGtpiY")</f>
        <v>1tnkP5eD3WH53SXu2O-MWk6774J7b5ihwlD7r9dGtpiY</v>
      </c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 t="str">
        <f>IFERROR(__xludf.DUMMYFUNCTION("""COMPUTED_VALUE"""),"QTT")</f>
        <v>QTT</v>
      </c>
      <c r="B869" s="4" t="str">
        <f>IFERROR(__xludf.DUMMYFUNCTION("""COMPUTED_VALUE"""),"VerifyQTT")</f>
        <v>VerifyQTT</v>
      </c>
      <c r="C869" s="4" t="str">
        <f>IFERROR(__xludf.DUMMYFUNCTION("""COMPUTED_VALUE"""),"1bs3VigXRg4VZR5W48lKm11EcEjEpmUCnBNDHffPRbIQ")</f>
        <v>1bs3VigXRg4VZR5W48lKm11EcEjEpmUCnBNDHffPRbIQ</v>
      </c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 t="str">
        <f>IFERROR(__xludf.DUMMYFUNCTION("""COMPUTED_VALUE"""),"Rebalancer")</f>
        <v>Rebalancer</v>
      </c>
      <c r="B870" s="4" t="str">
        <f>IFERROR(__xludf.DUMMYFUNCTION("""COMPUTED_VALUE"""),"OperationsOnNIC")</f>
        <v>OperationsOnNIC</v>
      </c>
      <c r="C870" s="4" t="str">
        <f>IFERROR(__xludf.DUMMYFUNCTION("""COMPUTED_VALUE"""),"1DUwxSUq_47EK60XmK3LOdCXa1fkWqWJE9bLuGS3ccv412")</f>
        <v>1DUwxSUq_47EK60XmK3LOdCXa1fkWqWJE9bLuGS3ccv412</v>
      </c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 t="str">
        <f>IFERROR(__xludf.DUMMYFUNCTION("""COMPUTED_VALUE"""),"Rebalancer")</f>
        <v>Rebalancer</v>
      </c>
      <c r="B871" s="4" t="str">
        <f>IFERROR(__xludf.DUMMYFUNCTION("""COMPUTED_VALUE"""),"DataPrefGridOperation")</f>
        <v>DataPrefGridOperation</v>
      </c>
      <c r="C871" s="4" t="str">
        <f>IFERROR(__xludf.DUMMYFUNCTION("""COMPUTED_VALUE"""),"1DUwxSUq_47EK60XmK3LOdCXa1fkWqWJE9bLuGS3ccv412")</f>
        <v>1DUwxSUq_47EK60XmK3LOdCXa1fkWqWJE9bLuGS3ccv412</v>
      </c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 t="str">
        <f>IFERROR(__xludf.DUMMYFUNCTION("""COMPUTED_VALUE"""),"Rebalancer")</f>
        <v>Rebalancer</v>
      </c>
      <c r="B872" s="4" t="str">
        <f>IFERROR(__xludf.DUMMYFUNCTION("""COMPUTED_VALUE"""),"VerifyExpanderBarButton")</f>
        <v>VerifyExpanderBarButton</v>
      </c>
      <c r="C872" s="4" t="str">
        <f>IFERROR(__xludf.DUMMYFUNCTION("""COMPUTED_VALUE"""),"1DUwxSUq_47EK60XmK3LOdCXa1fkWqWJE9bLuGS3ccv412")</f>
        <v>1DUwxSUq_47EK60XmK3LOdCXa1fkWqWJE9bLuGS3ccv412</v>
      </c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 t="str">
        <f>IFERROR(__xludf.DUMMYFUNCTION("""COMPUTED_VALUE"""),"Rebalancer")</f>
        <v>Rebalancer</v>
      </c>
      <c r="B873" s="4" t="str">
        <f>IFERROR(__xludf.DUMMYFUNCTION("""COMPUTED_VALUE"""),"RAS")</f>
        <v>RAS</v>
      </c>
      <c r="C873" s="4" t="str">
        <f>IFERROR(__xludf.DUMMYFUNCTION("""COMPUTED_VALUE"""),"1DUwxSUq_47EK60XmK3LOdCXa1fkWqWJE9bLuGS3ccv412")</f>
        <v>1DUwxSUq_47EK60XmK3LOdCXa1fkWqWJE9bLuGS3ccv412</v>
      </c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 t="str">
        <f>IFERROR(__xludf.DUMMYFUNCTION("""COMPUTED_VALUE"""),"Blotter")</f>
        <v>Blotter</v>
      </c>
      <c r="B874" s="4" t="str">
        <f>IFERROR(__xludf.DUMMYFUNCTION("""COMPUTED_VALUE"""),"ActionOnFloatingWindow")</f>
        <v>ActionOnFloatingWindow</v>
      </c>
      <c r="C874" s="4" t="str">
        <f>IFERROR(__xludf.DUMMYFUNCTION("""COMPUTED_VALUE"""),"1tFNUPT3PXgCKRnnehGwo6OF7EhLu13UJ8Elfq83HArE")</f>
        <v>1tFNUPT3PXgCKRnnehGwo6OF7EhLu13UJ8Elfq83HArE</v>
      </c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 t="str">
        <f>IFERROR(__xludf.DUMMYFUNCTION("""COMPUTED_VALUE"""),"PTT")</f>
        <v>PTT</v>
      </c>
      <c r="B875" s="4" t="str">
        <f>IFERROR(__xludf.DUMMYFUNCTION("""COMPUTED_VALUE"""),"PTTDashBoard")</f>
        <v>PTTDashBoard</v>
      </c>
      <c r="C875" s="4" t="str">
        <f>IFERROR(__xludf.DUMMYFUNCTION("""COMPUTED_VALUE"""),"1DUwxSUq_47EK60XmK3LOdCXa1fkWqWJE9bLuGS3ccv412")</f>
        <v>1DUwxSUq_47EK60XmK3LOdCXa1fkWqWJE9bLuGS3ccv412</v>
      </c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 t="str">
        <f>IFERROR(__xludf.DUMMYFUNCTION("""COMPUTED_VALUE"""),"OpenFin")</f>
        <v>OpenFin</v>
      </c>
      <c r="B876" s="4" t="str">
        <f>IFERROR(__xludf.DUMMYFUNCTION("""COMPUTED_VALUE"""),"LockUnlockModule")</f>
        <v>LockUnlockModule</v>
      </c>
      <c r="C876" s="4" t="str">
        <f>IFERROR(__xludf.DUMMYFUNCTION("""COMPUTED_VALUE"""),"179D0kPRO8f_KLxd7hs6seM9XGxpL-u1rhIhNgFVePsQ")</f>
        <v>179D0kPRO8f_KLxd7hs6seM9XGxpL-u1rhIhNgFVePsQ</v>
      </c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 t="str">
        <f>IFERROR(__xludf.DUMMYFUNCTION("""COMPUTED_VALUE"""),"OpenFin")</f>
        <v>OpenFin</v>
      </c>
      <c r="B877" s="4" t="str">
        <f>IFERROR(__xludf.DUMMYFUNCTION("""COMPUTED_VALUE"""),"OpenModuleFromDock")</f>
        <v>OpenModuleFromDock</v>
      </c>
      <c r="C877" s="4" t="str">
        <f>IFERROR(__xludf.DUMMYFUNCTION("""COMPUTED_VALUE"""),"1IdmD7l42pWNjFNVt_7UwbOO7y5tDxaXr7tE60c9ETLw")</f>
        <v>1IdmD7l42pWNjFNVt_7UwbOO7y5tDxaXr7tE60c9ETLw</v>
      </c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 t="str">
        <f>IFERROR(__xludf.DUMMYFUNCTION("""COMPUTED_VALUE"""),"Rebalancer")</f>
        <v>Rebalancer</v>
      </c>
      <c r="B878" s="4" t="str">
        <f>IFERROR(__xludf.DUMMYFUNCTION("""COMPUTED_VALUE"""),"VerifyCFI")</f>
        <v>VerifyCFI</v>
      </c>
      <c r="C878" s="4" t="str">
        <f>IFERROR(__xludf.DUMMYFUNCTION("""COMPUTED_VALUE"""),"1DUwxSUq_47EK60XmK3LOdCXa1fkWqWJE9bLuGS3ccv412")</f>
        <v>1DUwxSUq_47EK60XmK3LOdCXa1fkWqWJE9bLuGS3ccv412</v>
      </c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 t="str">
        <f>IFERROR(__xludf.DUMMYFUNCTION("""COMPUTED_VALUE"""),"Blotter")</f>
        <v>Blotter</v>
      </c>
      <c r="B879" s="4" t="str">
        <f>IFERROR(__xludf.DUMMYFUNCTION("""COMPUTED_VALUE"""),"EnableOrVerifyHotButton")</f>
        <v>EnableOrVerifyHotButton</v>
      </c>
      <c r="C879" s="4" t="str">
        <f>IFERROR(__xludf.DUMMYFUNCTION("""COMPUTED_VALUE"""),"1wa8x9d9kPOHEp49mT2DEW0cyjjOClvAgixk1H2w-Tos")</f>
        <v>1wa8x9d9kPOHEp49mT2DEW0cyjjOClvAgixk1H2w-Tos</v>
      </c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 t="str">
        <f>IFERROR(__xludf.DUMMYFUNCTION("""COMPUTED_VALUE"""),"TradeServer")</f>
        <v>TradeServer</v>
      </c>
      <c r="B880" s="4" t="str">
        <f>IFERROR(__xludf.DUMMYFUNCTION("""COMPUTED_VALUE"""),"RestartServerOnly")</f>
        <v>RestartServerOnly</v>
      </c>
      <c r="C880" s="4" t="str">
        <f>IFERROR(__xludf.DUMMYFUNCTION("""COMPUTED_VALUE"""),"Undefined")</f>
        <v>Undefined</v>
      </c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 t="str">
        <f>IFERROR(__xludf.DUMMYFUNCTION("""COMPUTED_VALUE"""),"Rebalancer")</f>
        <v>Rebalancer</v>
      </c>
      <c r="B881" s="4" t="str">
        <f>IFERROR(__xludf.DUMMYFUNCTION("""COMPUTED_VALUE"""),"ActionOnCFI")</f>
        <v>ActionOnCFI</v>
      </c>
      <c r="C881" s="4" t="str">
        <f>IFERROR(__xludf.DUMMYFUNCTION("""COMPUTED_VALUE"""),"1DUwxSUq_47EK60XmK3LOdCXa1fkWqWJE9bLuGS3ccv412")</f>
        <v>1DUwxSUq_47EK60XmK3LOdCXa1fkWqWJE9bLuGS3ccv412</v>
      </c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 t="str">
        <f>IFERROR(__xludf.DUMMYFUNCTION("""COMPUTED_VALUE"""),"Rebalancer")</f>
        <v>Rebalancer</v>
      </c>
      <c r="B882" s="4" t="str">
        <f>IFERROR(__xludf.DUMMYFUNCTION("""COMPUTED_VALUE"""),"VerifyCFI")</f>
        <v>VerifyCFI</v>
      </c>
      <c r="C882" s="4" t="str">
        <f>IFERROR(__xludf.DUMMYFUNCTION("""COMPUTED_VALUE"""),"1DUwxSUq_47EK60XmK3LOdCXa1fkWqWJE9bLuGS3ccv412")</f>
        <v>1DUwxSUq_47EK60XmK3LOdCXa1fkWqWJE9bLuGS3ccv412</v>
      </c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 t="str">
        <f>IFERROR(__xludf.DUMMYFUNCTION("""COMPUTED_VALUE"""),"Rebalancer")</f>
        <v>Rebalancer</v>
      </c>
      <c r="B883" s="4" t="str">
        <f>IFERROR(__xludf.DUMMYFUNCTION("""COMPUTED_VALUE"""),"VerifyDelRASGrid")</f>
        <v>VerifyDelRASGrid</v>
      </c>
      <c r="C883" s="4" t="str">
        <f>IFERROR(__xludf.DUMMYFUNCTION("""COMPUTED_VALUE"""),"1DUwxSUq_47EK60XmK3LOdCXa1fkWqWJE9bLuGS3ccv412")</f>
        <v>1DUwxSUq_47EK60XmK3LOdCXa1fkWqWJE9bLuGS3ccv412</v>
      </c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 t="str">
        <f>IFERROR(__xludf.DUMMYFUNCTION("""COMPUTED_VALUE"""),"Allocation")</f>
        <v>Allocation</v>
      </c>
      <c r="B884" s="4" t="str">
        <f>IFERROR(__xludf.DUMMYFUNCTION("""COMPUTED_VALUE"""),"ActionOnUPW")</f>
        <v>ActionOnUPW</v>
      </c>
      <c r="C884" s="4" t="str">
        <f>IFERROR(__xludf.DUMMYFUNCTION("""COMPUTED_VALUE"""),"1DUwxSUq_47EK60XmK3LOdCXa1fkWqWJE9bLuGS3ccv413")</f>
        <v>1DUwxSUq_47EK60XmK3LOdCXa1fkWqWJE9bLuGS3ccv413</v>
      </c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 t="str">
        <f>IFERROR(__xludf.DUMMYFUNCTION("""COMPUTED_VALUE"""),"Allocation")</f>
        <v>Allocation</v>
      </c>
      <c r="B885" s="4" t="str">
        <f>IFERROR(__xludf.DUMMYFUNCTION("""COMPUTED_VALUE"""),"DefaultRuleUPW")</f>
        <v>DefaultRuleUPW</v>
      </c>
      <c r="C885" s="4" t="str">
        <f>IFERROR(__xludf.DUMMYFUNCTION("""COMPUTED_VALUE"""),"1DUwxSUq_47EK60XmK3LOdCXa1fkWqWJE9bLuGS3ccv414")</f>
        <v>1DUwxSUq_47EK60XmK3LOdCXa1fkWqWJE9bLuGS3ccv414</v>
      </c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 t="str">
        <f>IFERROR(__xludf.DUMMYFUNCTION("""COMPUTED_VALUE"""),"Allocation")</f>
        <v>Allocation</v>
      </c>
      <c r="B886" s="4" t="str">
        <f>IFERROR(__xludf.DUMMYFUNCTION("""COMPUTED_VALUE"""),"AccountStrategyUPW")</f>
        <v>AccountStrategyUPW</v>
      </c>
      <c r="C886" s="4" t="str">
        <f>IFERROR(__xludf.DUMMYFUNCTION("""COMPUTED_VALUE"""),"1DUwxSUq_47EK60XmK3LOdCXa1fkWqWJE9bLuGS3ccv415")</f>
        <v>1DUwxSUq_47EK60XmK3LOdCXa1fkWqWJE9bLuGS3ccv415</v>
      </c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 t="str">
        <f>IFERROR(__xludf.DUMMYFUNCTION("""COMPUTED_VALUE"""),"Allocation")</f>
        <v>Allocation</v>
      </c>
      <c r="B887" s="4" t="str">
        <f>IFERROR(__xludf.DUMMYFUNCTION("""COMPUTED_VALUE"""),"ActionOnCalPref")</f>
        <v>ActionOnCalPref</v>
      </c>
      <c r="C887" s="4" t="str">
        <f>IFERROR(__xludf.DUMMYFUNCTION("""COMPUTED_VALUE"""),"1DUwxSUq_47EK60XmK3LOdCXa1fkWqWJE9bLuGS3ccv416")</f>
        <v>1DUwxSUq_47EK60XmK3LOdCXa1fkWqWJE9bLuGS3ccv416</v>
      </c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 t="str">
        <f>IFERROR(__xludf.DUMMYFUNCTION("""COMPUTED_VALUE"""),"Allocation")</f>
        <v>Allocation</v>
      </c>
      <c r="B888" s="4" t="str">
        <f>IFERROR(__xludf.DUMMYFUNCTION("""COMPUTED_VALUE"""),"SetMFDefaultRule")</f>
        <v>SetMFDefaultRule</v>
      </c>
      <c r="C888" s="4" t="str">
        <f>IFERROR(__xludf.DUMMYFUNCTION("""COMPUTED_VALUE"""),"1DUwxSUq_47EK60XmK3LOdCXa1fkWqWJE9bLuGS3ccv417")</f>
        <v>1DUwxSUq_47EK60XmK3LOdCXa1fkWqWJE9bLuGS3ccv417</v>
      </c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 t="str">
        <f>IFERROR(__xludf.DUMMYFUNCTION("""COMPUTED_VALUE"""),"Allocation")</f>
        <v>Allocation</v>
      </c>
      <c r="B889" s="4" t="str">
        <f>IFERROR(__xludf.DUMMYFUNCTION("""COMPUTED_VALUE"""),"ActionOnPrefWindow")</f>
        <v>ActionOnPrefWindow</v>
      </c>
      <c r="C889" s="4" t="str">
        <f>IFERROR(__xludf.DUMMYFUNCTION("""COMPUTED_VALUE"""),"1DUwxSUq_47EK60XmK3LOdCXa1fkWqWJE9bLuGS3ccv418")</f>
        <v>1DUwxSUq_47EK60XmK3LOdCXa1fkWqWJE9bLuGS3ccv418</v>
      </c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 t="str">
        <f>IFERROR(__xludf.DUMMYFUNCTION("""COMPUTED_VALUE"""),"Allocation")</f>
        <v>Allocation</v>
      </c>
      <c r="B890" s="4" t="str">
        <f>IFERROR(__xludf.DUMMYFUNCTION("""COMPUTED_VALUE"""),"GetFixedPrefScheme")</f>
        <v>GetFixedPrefScheme</v>
      </c>
      <c r="C890" s="4" t="str">
        <f>IFERROR(__xludf.DUMMYFUNCTION("""COMPUTED_VALUE"""),"1DUwxSUq_47EK60XmK3LOdCXa1fkWqWJE9bLuGS3ccv419")</f>
        <v>1DUwxSUq_47EK60XmK3LOdCXa1fkWqWJE9bLuGS3ccv419</v>
      </c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 t="str">
        <f>IFERROR(__xludf.DUMMYFUNCTION("""COMPUTED_VALUE"""),"Allocation")</f>
        <v>Allocation</v>
      </c>
      <c r="B891" s="4" t="str">
        <f>IFERROR(__xludf.DUMMYFUNCTION("""COMPUTED_VALUE"""),"VerifyFixedPref")</f>
        <v>VerifyFixedPref</v>
      </c>
      <c r="C891" s="4" t="str">
        <f>IFERROR(__xludf.DUMMYFUNCTION("""COMPUTED_VALUE"""),"1DUwxSUq_47EK60XmK3LOdCXa1fkWqWJE9bLuGS3ccv420")</f>
        <v>1DUwxSUq_47EK60XmK3LOdCXa1fkWqWJE9bLuGS3ccv420</v>
      </c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 t="str">
        <f>IFERROR(__xludf.DUMMYFUNCTION("""COMPUTED_VALUE"""),"Allocation")</f>
        <v>Allocation</v>
      </c>
      <c r="B892" s="4" t="str">
        <f>IFERROR(__xludf.DUMMYFUNCTION("""COMPUTED_VALUE"""),"ActionOnToolBar")</f>
        <v>ActionOnToolBar</v>
      </c>
      <c r="C892" s="4" t="str">
        <f>IFERROR(__xludf.DUMMYFUNCTION("""COMPUTED_VALUE"""),"1DUwxSUq_47EK60XmK3LOdCXa1fkWqWJE9bLuGS3ccv421")</f>
        <v>1DUwxSUq_47EK60XmK3LOdCXa1fkWqWJE9bLuGS3ccv421</v>
      </c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 t="str">
        <f>IFERROR(__xludf.DUMMYFUNCTION("""COMPUTED_VALUE"""),"Rebalancer")</f>
        <v>Rebalancer</v>
      </c>
      <c r="B893" s="4" t="str">
        <f>IFERROR(__xludf.DUMMYFUNCTION("""COMPUTED_VALUE"""),"VerifyCustomGroupModel")</f>
        <v>VerifyCustomGroupModel</v>
      </c>
      <c r="C893" s="4" t="str">
        <f>IFERROR(__xludf.DUMMYFUNCTION("""COMPUTED_VALUE"""),"1DUwxSUq_47EK60XmK3LOdCXa1fkWqWJE9bLuGS3ccv422")</f>
        <v>1DUwxSUq_47EK60XmK3LOdCXa1fkWqWJE9bLuGS3ccv422</v>
      </c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 t="str">
        <f>IFERROR(__xludf.DUMMYFUNCTION("""COMPUTED_VALUE"""),"Blotter")</f>
        <v>Blotter</v>
      </c>
      <c r="B894" s="4" t="str">
        <f>IFERROR(__xludf.DUMMYFUNCTION("""COMPUTED_VALUE"""),"VerifyFilterUiRC")</f>
        <v>VerifyFilterUiRC</v>
      </c>
      <c r="C894" s="4" t="str">
        <f>IFERROR(__xludf.DUMMYFUNCTION("""COMPUTED_VALUE"""),"1QQZEZqPXfPnxfNID2a3__xw8RnEAn77igg5Q32S3Sm0")</f>
        <v>1QQZEZqPXfPnxfNID2a3__xw8RnEAn77igg5Q32S3Sm0</v>
      </c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 t="str">
        <f>IFERROR(__xludf.DUMMYFUNCTION("""COMPUTED_VALUE"""),"TradingTicket")</f>
        <v>TradingTicket</v>
      </c>
      <c r="B895" s="4" t="str">
        <f>IFERROR(__xludf.DUMMYFUNCTION("""COMPUTED_VALUE"""),"SymbolSuggestionVerify")</f>
        <v>SymbolSuggestionVerify</v>
      </c>
      <c r="C895" s="4" t="str">
        <f>IFERROR(__xludf.DUMMYFUNCTION("""COMPUTED_VALUE"""),"14aTeLjmUbS-nhaQwjtZAMGxdQ5DS6UsBjE5OTWN-LQU")</f>
        <v>14aTeLjmUbS-nhaQwjtZAMGxdQ5DS6UsBjE5OTWN-LQU</v>
      </c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 t="str">
        <f>IFERROR(__xludf.DUMMYFUNCTION("""COMPUTED_VALUE"""),"PreferencesMain")</f>
        <v>PreferencesMain</v>
      </c>
      <c r="B896" s="4" t="str">
        <f>IFERROR(__xludf.DUMMYFUNCTION("""COMPUTED_VALUE"""),"UpdatePTTPref")</f>
        <v>UpdatePTTPref</v>
      </c>
      <c r="C896" s="4" t="str">
        <f>IFERROR(__xludf.DUMMYFUNCTION("""COMPUTED_VALUE"""),"14aTeLjmUbS-nhaQwjtZAMGxdQ5DS6UsBjE5OTWN-LQU")</f>
        <v>14aTeLjmUbS-nhaQwjtZAMGxdQ5DS6UsBjE5OTWN-LQU</v>
      </c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 t="str">
        <f>IFERROR(__xludf.DUMMYFUNCTION("""COMPUTED_VALUE"""),"PreferencesMain")</f>
        <v>PreferencesMain</v>
      </c>
      <c r="B897" s="4" t="str">
        <f>IFERROR(__xludf.DUMMYFUNCTION("""COMPUTED_VALUE"""),"ActionOnPreferencesMain")</f>
        <v>ActionOnPreferencesMain</v>
      </c>
      <c r="C897" s="4" t="str">
        <f>IFERROR(__xludf.DUMMYFUNCTION("""COMPUTED_VALUE"""),"14aTeLjmUbS-nhaQwjtZAMGxdQ5DS6UsBjE5OTWN-LQU")</f>
        <v>14aTeLjmUbS-nhaQwjtZAMGxdQ5DS6UsBjE5OTWN-LQU</v>
      </c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 t="str">
        <f>IFERROR(__xludf.DUMMYFUNCTION("""COMPUTED_VALUE"""),"PreferencesMain")</f>
        <v>PreferencesMain</v>
      </c>
      <c r="B898" s="4" t="str">
        <f>IFERROR(__xludf.DUMMYFUNCTION("""COMPUTED_VALUE"""),"VerifyUpdategrdAccountFactor")</f>
        <v>VerifyUpdategrdAccountFactor</v>
      </c>
      <c r="C898" s="4" t="str">
        <f>IFERROR(__xludf.DUMMYFUNCTION("""COMPUTED_VALUE"""),"14aTeLjmUbS-nhaQwjtZAMGxdQ5DS6UsBjE5OTWN-LQU")</f>
        <v>14aTeLjmUbS-nhaQwjtZAMGxdQ5DS6UsBjE5OTWN-LQU</v>
      </c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 t="str">
        <f>IFERROR(__xludf.DUMMYFUNCTION("""COMPUTED_VALUE"""),"PreferencesMain")</f>
        <v>PreferencesMain</v>
      </c>
      <c r="B899" s="4" t="str">
        <f>IFERROR(__xludf.DUMMYFUNCTION("""COMPUTED_VALUE"""),"VerifyUpdategrdMFA")</f>
        <v>VerifyUpdategrdMFA</v>
      </c>
      <c r="C899" s="4" t="str">
        <f>IFERROR(__xludf.DUMMYFUNCTION("""COMPUTED_VALUE"""),"14aTeLjmUbS-nhaQwjtZAMGxdQ5DS6UsBjE5OTWN-LQU")</f>
        <v>14aTeLjmUbS-nhaQwjtZAMGxdQ5DS6UsBjE5OTWN-LQU</v>
      </c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 t="str">
        <f>IFERROR(__xludf.DUMMYFUNCTION("""COMPUTED_VALUE"""),"PreferencesMain")</f>
        <v>PreferencesMain</v>
      </c>
      <c r="B900" s="4" t="str">
        <f>IFERROR(__xludf.DUMMYFUNCTION("""COMPUTED_VALUE"""),"SwitchTabMFA")</f>
        <v>SwitchTabMFA</v>
      </c>
      <c r="C900" s="4" t="str">
        <f>IFERROR(__xludf.DUMMYFUNCTION("""COMPUTED_VALUE"""),"14aTeLjmUbS-nhaQwjtZAMGxdQ5DS6UsBjE5OTWN-LQU")</f>
        <v>14aTeLjmUbS-nhaQwjtZAMGxdQ5DS6UsBjE5OTWN-LQU</v>
      </c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 t="str">
        <f>IFERROR(__xludf.DUMMYFUNCTION("""COMPUTED_VALUE"""),"PreferencesMain")</f>
        <v>PreferencesMain</v>
      </c>
      <c r="B901" s="4" t="str">
        <f>IFERROR(__xludf.DUMMYFUNCTION("""COMPUTED_VALUE"""),"UpdateBlotterPref")</f>
        <v>UpdateBlotterPref</v>
      </c>
      <c r="C901" s="4" t="str">
        <f>IFERROR(__xludf.DUMMYFUNCTION("""COMPUTED_VALUE"""),"14aTeLjmUbS-nhaQwjtZAMGxdQ5DS6UsBjE5OTWN-LQU")</f>
        <v>14aTeLjmUbS-nhaQwjtZAMGxdQ5DS6UsBjE5OTWN-LQU</v>
      </c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 t="str">
        <f>IFERROR(__xludf.DUMMYFUNCTION("""COMPUTED_VALUE"""),"PreferencesMain")</f>
        <v>PreferencesMain</v>
      </c>
      <c r="B902" s="4" t="str">
        <f>IFERROR(__xludf.DUMMYFUNCTION("""COMPUTED_VALUE"""),"UpdatePMPref")</f>
        <v>UpdatePMPref</v>
      </c>
      <c r="C902" s="4" t="str">
        <f>IFERROR(__xludf.DUMMYFUNCTION("""COMPUTED_VALUE"""),"14aTeLjmUbS-nhaQwjtZAMGxdQ5DS6UsBjE5OTWN-LQU")</f>
        <v>14aTeLjmUbS-nhaQwjtZAMGxdQ5DS6UsBjE5OTWN-LQU</v>
      </c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 t="str">
        <f>IFERROR(__xludf.DUMMYFUNCTION("""COMPUTED_VALUE"""),"PreferencesMain")</f>
        <v>PreferencesMain</v>
      </c>
      <c r="B903" s="4" t="str">
        <f>IFERROR(__xludf.DUMMYFUNCTION("""COMPUTED_VALUE"""),"UpdateGenPref")</f>
        <v>UpdateGenPref</v>
      </c>
      <c r="C903" s="4" t="str">
        <f>IFERROR(__xludf.DUMMYFUNCTION("""COMPUTED_VALUE"""),"14aTeLjmUbS-nhaQwjtZAMGxdQ5DS6UsBjE5OTWN-LQU")</f>
        <v>14aTeLjmUbS-nhaQwjtZAMGxdQ5DS6UsBjE5OTWN-LQU</v>
      </c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 t="str">
        <f>IFERROR(__xludf.DUMMYFUNCTION("""COMPUTED_VALUE"""),"PreferencesMain")</f>
        <v>PreferencesMain</v>
      </c>
      <c r="B904" s="4" t="str">
        <f>IFERROR(__xludf.DUMMYFUNCTION("""COMPUTED_VALUE"""),"VerifyUpdateAssetSide")</f>
        <v>VerifyUpdateAssetSide</v>
      </c>
      <c r="C904" s="4" t="str">
        <f>IFERROR(__xludf.DUMMYFUNCTION("""COMPUTED_VALUE"""),"14aTeLjmUbS-nhaQwjtZAMGxdQ5DS6UsBjE5OTWN-LQU")</f>
        <v>14aTeLjmUbS-nhaQwjtZAMGxdQ5DS6UsBjE5OTWN-LQU</v>
      </c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 t="str">
        <f>IFERROR(__xludf.DUMMYFUNCTION("""COMPUTED_VALUE"""),"PreferencesMain")</f>
        <v>PreferencesMain</v>
      </c>
      <c r="B905" s="4" t="str">
        <f>IFERROR(__xludf.DUMMYFUNCTION("""COMPUTED_VALUE"""),"SwicthTabPref")</f>
        <v>SwicthTabPref</v>
      </c>
      <c r="C905" s="4" t="str">
        <f>IFERROR(__xludf.DUMMYFUNCTION("""COMPUTED_VALUE"""),"14aTeLjmUbS-nhaQwjtZAMGxdQ5DS6UsBjE5OTWN-LQU")</f>
        <v>14aTeLjmUbS-nhaQwjtZAMGxdQ5DS6UsBjE5OTWN-LQU</v>
      </c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 t="str">
        <f>IFERROR(__xludf.DUMMYFUNCTION("""COMPUTED_VALUE"""),"PreferencesMain")</f>
        <v>PreferencesMain</v>
      </c>
      <c r="B906" s="4" t="str">
        <f>IFERROR(__xludf.DUMMYFUNCTION("""COMPUTED_VALUE"""),"TTDefaultSelection")</f>
        <v>TTDefaultSelection</v>
      </c>
      <c r="C906" s="4" t="str">
        <f>IFERROR(__xludf.DUMMYFUNCTION("""COMPUTED_VALUE"""),"14aTeLjmUbS-nhaQwjtZAMGxdQ5DS6UsBjE5OTWN-LQU")</f>
        <v>14aTeLjmUbS-nhaQwjtZAMGxdQ5DS6UsBjE5OTWN-LQU</v>
      </c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 t="str">
        <f>IFERROR(__xludf.DUMMYFUNCTION("""COMPUTED_VALUE"""),"PreferencesMain")</f>
        <v>PreferencesMain</v>
      </c>
      <c r="B907" s="4" t="str">
        <f>IFERROR(__xludf.DUMMYFUNCTION("""COMPUTED_VALUE"""),"TTNumSelection")</f>
        <v>TTNumSelection</v>
      </c>
      <c r="C907" s="4" t="str">
        <f>IFERROR(__xludf.DUMMYFUNCTION("""COMPUTED_VALUE"""),"14aTeLjmUbS-nhaQwjtZAMGxdQ5DS6UsBjE5OTWN-LQU")</f>
        <v>14aTeLjmUbS-nhaQwjtZAMGxdQ5DS6UsBjE5OTWN-LQU</v>
      </c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 t="str">
        <f>IFERROR(__xludf.DUMMYFUNCTION("""COMPUTED_VALUE"""),"PreferencesMain")</f>
        <v>PreferencesMain</v>
      </c>
      <c r="B908" s="4" t="str">
        <f>IFERROR(__xludf.DUMMYFUNCTION("""COMPUTED_VALUE"""),"TTConfirmationPopUps")</f>
        <v>TTConfirmationPopUps</v>
      </c>
      <c r="C908" s="4" t="str">
        <f>IFERROR(__xludf.DUMMYFUNCTION("""COMPUTED_VALUE"""),"14aTeLjmUbS-nhaQwjtZAMGxdQ5DS6UsBjE5OTWN-LQU")</f>
        <v>14aTeLjmUbS-nhaQwjtZAMGxdQ5DS6UsBjE5OTWN-LQU</v>
      </c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 t="str">
        <f>IFERROR(__xludf.DUMMYFUNCTION("""COMPUTED_VALUE"""),"PreferencesMain")</f>
        <v>PreferencesMain</v>
      </c>
      <c r="B909" s="4" t="str">
        <f>IFERROR(__xludf.DUMMYFUNCTION("""COMPUTED_VALUE"""),"VerifyUpdateBrokerPref")</f>
        <v>VerifyUpdateBrokerPref</v>
      </c>
      <c r="C909" s="4" t="str">
        <f>IFERROR(__xludf.DUMMYFUNCTION("""COMPUTED_VALUE"""),"14aTeLjmUbS-nhaQwjtZAMGxdQ5DS6UsBjE5OTWN-LQU")</f>
        <v>14aTeLjmUbS-nhaQwjtZAMGxdQ5DS6UsBjE5OTWN-LQU</v>
      </c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 t="str">
        <f>IFERROR(__xludf.DUMMYFUNCTION("""COMPUTED_VALUE"""),"PreferencesMain")</f>
        <v>PreferencesMain</v>
      </c>
      <c r="B910" s="4" t="str">
        <f>IFERROR(__xludf.DUMMYFUNCTION("""COMPUTED_VALUE"""),"TTGeneralPref")</f>
        <v>TTGeneralPref</v>
      </c>
      <c r="C910" s="4" t="str">
        <f>IFERROR(__xludf.DUMMYFUNCTION("""COMPUTED_VALUE"""),"14aTeLjmUbS-nhaQwjtZAMGxdQ5DS6UsBjE5OTWN-LQU")</f>
        <v>14aTeLjmUbS-nhaQwjtZAMGxdQ5DS6UsBjE5OTWN-LQU</v>
      </c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 t="str">
        <f>IFERROR(__xludf.DUMMYFUNCTION("""COMPUTED_VALUE"""),"PreferencesMain")</f>
        <v>PreferencesMain</v>
      </c>
      <c r="B911" s="4" t="str">
        <f>IFERROR(__xludf.DUMMYFUNCTION("""COMPUTED_VALUE"""),"UpdateClosingPref")</f>
        <v>UpdateClosingPref</v>
      </c>
      <c r="C911" s="4" t="str">
        <f>IFERROR(__xludf.DUMMYFUNCTION("""COMPUTED_VALUE"""),"14aTeLjmUbS-nhaQwjtZAMGxdQ5DS6UsBjE5OTWN-LQU")</f>
        <v>14aTeLjmUbS-nhaQwjtZAMGxdQ5DS6UsBjE5OTWN-LQU</v>
      </c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 t="str">
        <f>IFERROR(__xludf.DUMMYFUNCTION("""COMPUTED_VALUE"""),"Allocation")</f>
        <v>Allocation</v>
      </c>
      <c r="B912" s="4" t="str">
        <f>IFERROR(__xludf.DUMMYFUNCTION("""COMPUTED_VALUE"""),"VerifyEditAttRenaming")</f>
        <v>VerifyEditAttRenaming</v>
      </c>
      <c r="C912" s="4" t="str">
        <f>IFERROR(__xludf.DUMMYFUNCTION("""COMPUTED_VALUE"""),"14aTeLjmUbS-nhaQwjtZAMGxdQ5DS6UsBjE5OTWN-LQU")</f>
        <v>14aTeLjmUbS-nhaQwjtZAMGxdQ5DS6UsBjE5OTWN-LQU</v>
      </c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 t="str">
        <f>IFERROR(__xludf.DUMMYFUNCTION("""COMPUTED_VALUE"""),"Rebalancer")</f>
        <v>Rebalancer</v>
      </c>
      <c r="B913" s="4" t="str">
        <f>IFERROR(__xludf.DUMMYFUNCTION("""COMPUTED_VALUE"""),"VerifyTradeList")</f>
        <v>VerifyTradeList</v>
      </c>
      <c r="C913" s="4" t="str">
        <f>IFERROR(__xludf.DUMMYFUNCTION("""COMPUTED_VALUE"""),"14aTeLjmUbS-nhaQwjtZAMGxdQ5DS6UsBjE5OTWN-LQU")</f>
        <v>14aTeLjmUbS-nhaQwjtZAMGxdQ5DS6UsBjE5OTWN-LQU</v>
      </c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 t="str">
        <f>IFERROR(__xludf.DUMMYFUNCTION("""COMPUTED_VALUE"""),"TradingTicket")</f>
        <v>TradingTicket</v>
      </c>
      <c r="B914" s="4" t="str">
        <f>IFERROR(__xludf.DUMMYFUNCTION("""COMPUTED_VALUE"""),"TTMainControls")</f>
        <v>TTMainControls</v>
      </c>
      <c r="C914" s="4" t="str">
        <f>IFERROR(__xludf.DUMMYFUNCTION("""COMPUTED_VALUE"""),"1DUwxSUq_47EK60XmK3LOdCXa1fkWqWJE9bLuGS3ccv412")</f>
        <v>1DUwxSUq_47EK60XmK3LOdCXa1fkWqWJE9bLuGS3ccv412</v>
      </c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 t="str">
        <f>IFERROR(__xludf.DUMMYFUNCTION("""COMPUTED_VALUE"""),"TradingTicket")</f>
        <v>TradingTicket</v>
      </c>
      <c r="B915" s="4" t="str">
        <f>IFERROR(__xludf.DUMMYFUNCTION("""COMPUTED_VALUE"""),"VerifySymStrip")</f>
        <v>VerifySymStrip</v>
      </c>
      <c r="C915" s="4" t="str">
        <f>IFERROR(__xludf.DUMMYFUNCTION("""COMPUTED_VALUE"""),"1DUwxSUq_47EK60XmK3LOdCXa1fkWqWJE9bLuGS3ccv412")</f>
        <v>1DUwxSUq_47EK60XmK3LOdCXa1fkWqWJE9bLuGS3ccv412</v>
      </c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 t="str">
        <f>IFERROR(__xludf.DUMMYFUNCTION("""COMPUTED_VALUE"""),"TradingTicket")</f>
        <v>TradingTicket</v>
      </c>
      <c r="B916" s="4" t="str">
        <f>IFERROR(__xludf.DUMMYFUNCTION("""COMPUTED_VALUE"""),"TTBottomTab")</f>
        <v>TTBottomTab</v>
      </c>
      <c r="C916" s="4" t="str">
        <f>IFERROR(__xludf.DUMMYFUNCTION("""COMPUTED_VALUE"""),"1DUwxSUq_47EK60XmK3LOdCXa1fkWqWJE9bLuGS3ccv412")</f>
        <v>1DUwxSUq_47EK60XmK3LOdCXa1fkWqWJE9bLuGS3ccv412</v>
      </c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 t="str">
        <f>IFERROR(__xludf.DUMMYFUNCTION("""COMPUTED_VALUE"""),"TradingTicket")</f>
        <v>TradingTicket</v>
      </c>
      <c r="B917" s="4" t="str">
        <f>IFERROR(__xludf.DUMMYFUNCTION("""COMPUTED_VALUE"""),"TTBottomSwap")</f>
        <v>TTBottomSwap</v>
      </c>
      <c r="C917" s="4" t="str">
        <f>IFERROR(__xludf.DUMMYFUNCTION("""COMPUTED_VALUE"""),"1DUwxSUq_47EK60XmK3LOdCXa1fkWqWJE9bLuGS3ccv412")</f>
        <v>1DUwxSUq_47EK60XmK3LOdCXa1fkWqWJE9bLuGS3ccv412</v>
      </c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 t="str">
        <f>IFERROR(__xludf.DUMMYFUNCTION("""COMPUTED_VALUE"""),"Blotter")</f>
        <v>Blotter</v>
      </c>
      <c r="B918" s="4" t="str">
        <f>IFERROR(__xludf.DUMMYFUNCTION("""COMPUTED_VALUE"""),"CreateHotButtonOnBlotter")</f>
        <v>CreateHotButtonOnBlotter</v>
      </c>
      <c r="C918" s="4" t="str">
        <f>IFERROR(__xludf.DUMMYFUNCTION("""COMPUTED_VALUE"""),"1Yu7Fb6AjhUP8b-KuRJvgAwq8TykNK6BDh9F0Xpf12Ek")</f>
        <v>1Yu7Fb6AjhUP8b-KuRJvgAwq8TykNK6BDh9F0Xpf12Ek</v>
      </c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 t="str">
        <f>IFERROR(__xludf.DUMMYFUNCTION("""COMPUTED_VALUE"""),"Blotter")</f>
        <v>Blotter</v>
      </c>
      <c r="B919" s="4" t="str">
        <f>IFERROR(__xludf.DUMMYFUNCTION("""COMPUTED_VALUE"""),"FillHBdetailsOnBlotter")</f>
        <v>FillHBdetailsOnBlotter</v>
      </c>
      <c r="C919" s="4" t="str">
        <f>IFERROR(__xludf.DUMMYFUNCTION("""COMPUTED_VALUE"""),"13Isj5c5k8kObxI-GBT6Ir9VBOz_46lzhwVxXXVP8jQU")</f>
        <v>13Isj5c5k8kObxI-GBT6Ir9VBOz_46lzhwVxXXVP8jQU</v>
      </c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 t="str">
        <f>IFERROR(__xludf.DUMMYFUNCTION("""COMPUTED_VALUE"""),"TradingTicket")</f>
        <v>TradingTicket</v>
      </c>
      <c r="B920" s="4" t="str">
        <f>IFERROR(__xludf.DUMMYFUNCTION("""COMPUTED_VALUE"""),"EditAuecWindow")</f>
        <v>EditAuecWindow</v>
      </c>
      <c r="C920" s="4" t="str">
        <f>IFERROR(__xludf.DUMMYFUNCTION("""COMPUTED_VALUE"""),"1ottlNphVbp0AC-UFd-HlDpCLwOA2yWO1pN6eR3ML7vA")</f>
        <v>1ottlNphVbp0AC-UFd-HlDpCLwOA2yWO1pN6eR3ML7vA</v>
      </c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 t="str">
        <f>IFERROR(__xludf.DUMMYFUNCTION("""COMPUTED_VALUE"""),"TradingTicket")</f>
        <v>TradingTicket</v>
      </c>
      <c r="B921" s="4" t="str">
        <f>IFERROR(__xludf.DUMMYFUNCTION("""COMPUTED_VALUE"""),"VerifyBrokerSummary")</f>
        <v>VerifyBrokerSummary</v>
      </c>
      <c r="C921" s="4" t="str">
        <f>IFERROR(__xludf.DUMMYFUNCTION("""COMPUTED_VALUE"""),"11hMxlfIQYwM8vPN2h--IGp7O02EDFbvJ4CSvjSfGsMY")</f>
        <v>11hMxlfIQYwM8vPN2h--IGp7O02EDFbvJ4CSvjSfGsMY</v>
      </c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 t="str">
        <f>IFERROR(__xludf.DUMMYFUNCTION("""COMPUTED_VALUE"""),"QTT")</f>
        <v>QTT</v>
      </c>
      <c r="B922" s="4" t="str">
        <f>IFERROR(__xludf.DUMMYFUNCTION("""COMPUTED_VALUE"""),"EditAuecWindowQTT")</f>
        <v>EditAuecWindowQTT</v>
      </c>
      <c r="C922" s="4" t="str">
        <f>IFERROR(__xludf.DUMMYFUNCTION("""COMPUTED_VALUE"""),"1oI_WY3xKQgSjp5JN67BMHtm3zazX5ZiMATISa2ssGB0")</f>
        <v>1oI_WY3xKQgSjp5JN67BMHtm3zazX5ZiMATISa2ssGB0</v>
      </c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 t="str">
        <f>IFERROR(__xludf.DUMMYFUNCTION("""COMPUTED_VALUE"""),"QTT")</f>
        <v>QTT</v>
      </c>
      <c r="B923" s="4" t="str">
        <f>IFERROR(__xludf.DUMMYFUNCTION("""COMPUTED_VALUE"""),"VerifyBrokerSummaryQTT")</f>
        <v>VerifyBrokerSummaryQTT</v>
      </c>
      <c r="C923" s="4" t="str">
        <f>IFERROR(__xludf.DUMMYFUNCTION("""COMPUTED_VALUE"""),"1O6-eqYsZqtvYR6DOH7UM2_Jwpq9pB9uyZvgh5vEhVAI")</f>
        <v>1O6-eqYsZqtvYR6DOH7UM2_Jwpq9pB9uyZvgh5vEhVAI</v>
      </c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 t="str">
        <f>IFERROR(__xludf.DUMMYFUNCTION("""COMPUTED_VALUE"""),"QTT")</f>
        <v>QTT</v>
      </c>
      <c r="B924" s="4" t="str">
        <f>IFERROR(__xludf.DUMMYFUNCTION("""COMPUTED_VALUE"""),"SaveQTThotKey")</f>
        <v>SaveQTThotKey</v>
      </c>
      <c r="C924" s="4" t="str">
        <f>IFERROR(__xludf.DUMMYFUNCTION("""COMPUTED_VALUE"""),"Undefined")</f>
        <v>Undefined</v>
      </c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 t="str">
        <f>IFERROR(__xludf.DUMMYFUNCTION("""COMPUTED_VALUE"""),"Blotter")</f>
        <v>Blotter</v>
      </c>
      <c r="B925" s="4" t="str">
        <f>IFERROR(__xludf.DUMMYFUNCTION("""COMPUTED_VALUE"""),"BlotterColumnChooser")</f>
        <v>BlotterColumnChooser</v>
      </c>
      <c r="C925" s="4" t="str">
        <f>IFERROR(__xludf.DUMMYFUNCTION("""COMPUTED_VALUE"""),"12428TbyucuJDD3KuN7QG-GyRYI3gcoyDNKTQ2UpgGMQ")</f>
        <v>12428TbyucuJDD3KuN7QG-GyRYI3gcoyDNKTQ2UpgGMQ</v>
      </c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 t="str">
        <f>IFERROR(__xludf.DUMMYFUNCTION("""COMPUTED_VALUE"""),"RTPNL")</f>
        <v>RTPNL</v>
      </c>
      <c r="B926" s="4" t="str">
        <f>IFERROR(__xludf.DUMMYFUNCTION("""COMPUTED_VALUE"""),"CreateGroupingWidget")</f>
        <v>CreateGroupingWidget</v>
      </c>
      <c r="C926" s="4" t="str">
        <f>IFERROR(__xludf.DUMMYFUNCTION("""COMPUTED_VALUE"""),"1ctXhgvJgrqqe8ees0907Up0TKq9pCEhinMlZnRGqKdY")</f>
        <v>1ctXhgvJgrqqe8ees0907Up0TKq9pCEhinMlZnRGqKdY</v>
      </c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 t="str">
        <f>IFERROR(__xludf.DUMMYFUNCTION("""COMPUTED_VALUE"""),"RTPNL")</f>
        <v>RTPNL</v>
      </c>
      <c r="B927" s="4" t="str">
        <f>IFERROR(__xludf.DUMMYFUNCTION("""COMPUTED_VALUE"""),"CheckGroupingWidget")</f>
        <v>CheckGroupingWidget</v>
      </c>
      <c r="C927" s="4" t="str">
        <f>IFERROR(__xludf.DUMMYFUNCTION("""COMPUTED_VALUE"""),"16mimyUFzQ0Ojogh0t4Evjy-tjzAJ67xgIrWeTNmBdw0")</f>
        <v>16mimyUFzQ0Ojogh0t4Evjy-tjzAJ67xgIrWeTNmBdw0</v>
      </c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 t="str">
        <f>IFERROR(__xludf.DUMMYFUNCTION("""COMPUTED_VALUE"""),"TradingTicket")</f>
        <v>TradingTicket</v>
      </c>
      <c r="B928" s="4" t="str">
        <f>IFERROR(__xludf.DUMMYFUNCTION("""COMPUTED_VALUE"""),"QTTHamburg")</f>
        <v>QTTHamburg</v>
      </c>
      <c r="C928" s="4" t="str">
        <f>IFERROR(__xludf.DUMMYFUNCTION("""COMPUTED_VALUE"""),"1pdXDcLRWAl2b2L88lHCntj01OLBjVHaNAdGG8OHa4hA")</f>
        <v>1pdXDcLRWAl2b2L88lHCntj01OLBjVHaNAdGG8OHa4hA</v>
      </c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 t="str">
        <f>IFERROR(__xludf.DUMMYFUNCTION("""COMPUTED_VALUE"""),"RTPNL")</f>
        <v>RTPNL</v>
      </c>
      <c r="B929" s="4" t="str">
        <f>IFERROR(__xludf.DUMMYFUNCTION("""COMPUTED_VALUE"""),"VerifyL1L2PanelRTPNL")</f>
        <v>VerifyL1L2PanelRTPNL</v>
      </c>
      <c r="C929" s="4" t="str">
        <f>IFERROR(__xludf.DUMMYFUNCTION("""COMPUTED_VALUE"""),"1cQo_rX9O9XHFILj0ICV1GAU_RdtTKYlclT20jg9G7hg")</f>
        <v>1cQo_rX9O9XHFILj0ICV1GAU_RdtTKYlclT20jg9G7hg</v>
      </c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 t="str">
        <f>IFERROR(__xludf.DUMMYFUNCTION("""COMPUTED_VALUE"""),"Blotter")</f>
        <v>Blotter</v>
      </c>
      <c r="B930" s="4" t="str">
        <f>IFERROR(__xludf.DUMMYFUNCTION("""COMPUTED_VALUE"""),"CaptureHotButtonDetails")</f>
        <v>CaptureHotButtonDetails</v>
      </c>
      <c r="C930" s="4" t="str">
        <f>IFERROR(__xludf.DUMMYFUNCTION("""COMPUTED_VALUE"""),"16Dail-EoPWyIhwRzxyvr-EY1IE8jJTUQDarvGnXioxI")</f>
        <v>16Dail-EoPWyIhwRzxyvr-EY1IE8jJTUQDarvGnXioxI</v>
      </c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 t="str">
        <f>IFERROR(__xludf.DUMMYFUNCTION("""COMPUTED_VALUE"""),"SymbolLookup")</f>
        <v>SymbolLookup</v>
      </c>
      <c r="B931" s="4" t="str">
        <f>IFERROR(__xludf.DUMMYFUNCTION("""COMPUTED_VALUE"""),"EditSMGrid")</f>
        <v>EditSMGrid</v>
      </c>
      <c r="C931" s="4" t="str">
        <f>IFERROR(__xludf.DUMMYFUNCTION("""COMPUTED_VALUE"""),"14aTeLjmUbS-nhaQwjtZAMGxdQ5DS6UsBjE5OTWN-LQU")</f>
        <v>14aTeLjmUbS-nhaQwjtZAMGxdQ5DS6UsBjE5OTWN-LQU</v>
      </c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 t="str">
        <f>IFERROR(__xludf.DUMMYFUNCTION("""COMPUTED_VALUE"""),"QTT")</f>
        <v>QTT</v>
      </c>
      <c r="B932" s="4" t="str">
        <f>IFERROR(__xludf.DUMMYFUNCTION("""COMPUTED_VALUE"""),"EditQuickPreference")</f>
        <v>EditQuickPreference</v>
      </c>
      <c r="C932" s="4" t="str">
        <f>IFERROR(__xludf.DUMMYFUNCTION("""COMPUTED_VALUE"""),"133vNW3loXmIKhcuaiCwGIGXOULCttZuJZtPfA4s37vw")</f>
        <v>133vNW3loXmIKhcuaiCwGIGXOULCttZuJZtPfA4s37vw</v>
      </c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 t="str">
        <f>IFERROR(__xludf.DUMMYFUNCTION("""COMPUTED_VALUE"""),"Blotter")</f>
        <v>Blotter</v>
      </c>
      <c r="B933" s="4" t="str">
        <f>IFERROR(__xludf.DUMMYFUNCTION("""COMPUTED_VALUE"""),"RightClickActionVerification")</f>
        <v>RightClickActionVerification</v>
      </c>
      <c r="C933" s="4" t="str">
        <f>IFERROR(__xludf.DUMMYFUNCTION("""COMPUTED_VALUE"""),"11EX1Ln-BQAtx9NTd9zfcaia52FGNdZENDW2kwMCJ8HQ")</f>
        <v>11EX1Ln-BQAtx9NTd9zfcaia52FGNdZENDW2kwMCJ8HQ</v>
      </c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 t="str">
        <f>IFERROR(__xludf.DUMMYFUNCTION("""COMPUTED_VALUE"""),"SymbolLookup")</f>
        <v>SymbolLookup</v>
      </c>
      <c r="B934" s="4" t="str">
        <f>IFERROR(__xludf.DUMMYFUNCTION("""COMPUTED_VALUE"""),"PageOneDetails")</f>
        <v>PageOneDetails</v>
      </c>
      <c r="C934" s="4" t="str">
        <f>IFERROR(__xludf.DUMMYFUNCTION("""COMPUTED_VALUE"""),"11EX1Ln-BQAtx9NTd9zfcaia52FGNdZENDW2kwMCJ8HQ")</f>
        <v>11EX1Ln-BQAtx9NTd9zfcaia52FGNdZENDW2kwMCJ8HQ</v>
      </c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 t="str">
        <f>IFERROR(__xludf.DUMMYFUNCTION("""COMPUTED_VALUE"""),"SymbolLookup")</f>
        <v>SymbolLookup</v>
      </c>
      <c r="B935" s="4" t="str">
        <f>IFERROR(__xludf.DUMMYFUNCTION("""COMPUTED_VALUE"""),"ActionOnSI")</f>
        <v>ActionOnSI</v>
      </c>
      <c r="C935" s="4" t="str">
        <f>IFERROR(__xludf.DUMMYFUNCTION("""COMPUTED_VALUE"""),"11EX1Ln-BQAtx9NTd9zfcaia52FGNdZENDW2kwMCJ8HQ")</f>
        <v>11EX1Ln-BQAtx9NTd9zfcaia52FGNdZENDW2kwMCJ8HQ</v>
      </c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 t="str">
        <f>IFERROR(__xludf.DUMMYFUNCTION("""COMPUTED_VALUE"""),"SymbolLookup")</f>
        <v>SymbolLookup</v>
      </c>
      <c r="B936" s="4" t="str">
        <f>IFERROR(__xludf.DUMMYFUNCTION("""COMPUTED_VALUE"""),"PageTwoDetails")</f>
        <v>PageTwoDetails</v>
      </c>
      <c r="C936" s="4" t="str">
        <f>IFERROR(__xludf.DUMMYFUNCTION("""COMPUTED_VALUE"""),"11EX1Ln-BQAtx9NTd9zfcaia52FGNdZENDW2kwMCJ8HQ")</f>
        <v>11EX1Ln-BQAtx9NTd9zfcaia52FGNdZENDW2kwMCJ8HQ</v>
      </c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 t="str">
        <f>IFERROR(__xludf.DUMMYFUNCTION("""COMPUTED_VALUE"""),"SymbolLookup")</f>
        <v>SymbolLookup</v>
      </c>
      <c r="B937" s="4" t="str">
        <f>IFERROR(__xludf.DUMMYFUNCTION("""COMPUTED_VALUE"""),"ActiononSMPane")</f>
        <v>ActiononSMPane</v>
      </c>
      <c r="C937" s="4" t="str">
        <f>IFERROR(__xludf.DUMMYFUNCTION("""COMPUTED_VALUE"""),"11EX1Ln-BQAtx9NTd9zfcaia52FGNdZENDW2kwMCJ8HQ")</f>
        <v>11EX1Ln-BQAtx9NTd9zfcaia52FGNdZENDW2kwMCJ8HQ</v>
      </c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 t="str">
        <f>IFERROR(__xludf.DUMMYFUNCTION("""COMPUTED_VALUE"""),"SymbolLookup")</f>
        <v>SymbolLookup</v>
      </c>
      <c r="B938" s="4" t="str">
        <f>IFERROR(__xludf.DUMMYFUNCTION("""COMPUTED_VALUE"""),"PageThreeDetails")</f>
        <v>PageThreeDetails</v>
      </c>
      <c r="C938" s="4" t="str">
        <f>IFERROR(__xludf.DUMMYFUNCTION("""COMPUTED_VALUE"""),"11EX1Ln-BQAtx9NTd9zfcaia52FGNdZENDW2kwMCJ8HQ")</f>
        <v>11EX1Ln-BQAtx9NTd9zfcaia52FGNdZENDW2kwMCJ8HQ</v>
      </c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 t="str">
        <f>IFERROR(__xludf.DUMMYFUNCTION("""COMPUTED_VALUE"""),"SymbolLookup")</f>
        <v>SymbolLookup</v>
      </c>
      <c r="B939" s="4" t="str">
        <f>IFERROR(__xludf.DUMMYFUNCTION("""COMPUTED_VALUE"""),"VerifySMGrid")</f>
        <v>VerifySMGrid</v>
      </c>
      <c r="C939" s="4" t="str">
        <f>IFERROR(__xludf.DUMMYFUNCTION("""COMPUTED_VALUE"""),"11EX1Ln-BQAtx9NTd9zfcaia52FGNdZENDW2kwMCJ8HQ")</f>
        <v>11EX1Ln-BQAtx9NTd9zfcaia52FGNdZENDW2kwMCJ8HQ</v>
      </c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 t="str">
        <f>IFERROR(__xludf.DUMMYFUNCTION("""COMPUTED_VALUE"""),"SymbolLookup")</f>
        <v>SymbolLookup</v>
      </c>
      <c r="B940" s="4" t="str">
        <f>IFERROR(__xludf.DUMMYFUNCTION("""COMPUTED_VALUE"""),"PageFourDetails")</f>
        <v>PageFourDetails</v>
      </c>
      <c r="C940" s="4" t="str">
        <f>IFERROR(__xludf.DUMMYFUNCTION("""COMPUTED_VALUE"""),"11EX1Ln-BQAtx9NTd9zfcaia52FGNdZENDW2kwMCJ8HQ")</f>
        <v>11EX1Ln-BQAtx9NTd9zfcaia52FGNdZENDW2kwMCJ8HQ</v>
      </c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 t="str">
        <f>IFERROR(__xludf.DUMMYFUNCTION("""COMPUTED_VALUE"""),"Admin")</f>
        <v>Admin</v>
      </c>
      <c r="B941" s="4" t="str">
        <f>IFERROR(__xludf.DUMMYFUNCTION("""COMPUTED_VALUE"""),"ChangeDate")</f>
        <v>ChangeDate</v>
      </c>
      <c r="C941" s="4" t="str">
        <f>IFERROR(__xludf.DUMMYFUNCTION("""COMPUTED_VALUE"""),"1P5fd0ftHTs8WR6XF70cltzN5BPur7V01OcYEMpPEMVE")</f>
        <v>1P5fd0ftHTs8WR6XF70cltzN5BPur7V01OcYEMpPEMVE</v>
      </c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 t="str">
        <f>IFERROR(__xludf.DUMMYFUNCTION("""COMPUTED_VALUE"""),"Simulator")</f>
        <v>Simulator</v>
      </c>
      <c r="B942" s="4" t="str">
        <f>IFERROR(__xludf.DUMMYFUNCTION("""COMPUTED_VALUE"""),"NewAcknowledgeTrade")</f>
        <v>NewAcknowledgeTrade</v>
      </c>
      <c r="C942" s="4" t="str">
        <f>IFERROR(__xludf.DUMMYFUNCTION("""COMPUTED_VALUE"""),"1H8R-FdslnMhiBZjAanQN5V9z26E47VjoaeJWQdGZ2pU")</f>
        <v>1H8R-FdslnMhiBZjAanQN5V9z26E47VjoaeJWQdGZ2pU</v>
      </c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 t="str">
        <f>IFERROR(__xludf.DUMMYFUNCTION("""COMPUTED_VALUE"""),"Allocation")</f>
        <v>Allocation</v>
      </c>
      <c r="B943" s="4" t="str">
        <f>IFERROR(__xludf.DUMMYFUNCTION("""COMPUTED_VALUE"""),"ActionOnToolBar")</f>
        <v>ActionOnToolBar</v>
      </c>
      <c r="C943" s="4" t="str">
        <f>IFERROR(__xludf.DUMMYFUNCTION("""COMPUTED_VALUE"""),"11EX1Ln-BQAtx9NTd9zfcaia52FGNdZENDW2kwMCJ8HQ")</f>
        <v>11EX1Ln-BQAtx9NTd9zfcaia52FGNdZENDW2kwMCJ8HQ</v>
      </c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 t="str">
        <f>IFERROR(__xludf.DUMMYFUNCTION("""COMPUTED_VALUE"""),"Allocation")</f>
        <v>Allocation</v>
      </c>
      <c r="B944" s="4" t="str">
        <f>IFERROR(__xludf.DUMMYFUNCTION("""COMPUTED_VALUE"""),"AutoGrpRules")</f>
        <v>AutoGrpRules</v>
      </c>
      <c r="C944" s="4" t="str">
        <f>IFERROR(__xludf.DUMMYFUNCTION("""COMPUTED_VALUE"""),"11EX1Ln-BQAtx9NTd9zfcaia52FGNdZENDW2kwMCJ8HQ")</f>
        <v>11EX1Ln-BQAtx9NTd9zfcaia52FGNdZENDW2kwMCJ8HQ</v>
      </c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 t="str">
        <f>IFERROR(__xludf.DUMMYFUNCTION("""COMPUTED_VALUE"""),"Allocation")</f>
        <v>Allocation</v>
      </c>
      <c r="B945" s="4" t="str">
        <f>IFERROR(__xludf.DUMMYFUNCTION("""COMPUTED_VALUE"""),"VerifyToggleStateTA")</f>
        <v>VerifyToggleStateTA</v>
      </c>
      <c r="C945" s="4" t="str">
        <f>IFERROR(__xludf.DUMMYFUNCTION("""COMPUTED_VALUE"""),"11EX1Ln-BQAtx9NTd9zfcaia52FGNdZENDW2kwMCJ8HQ")</f>
        <v>11EX1Ln-BQAtx9NTd9zfcaia52FGNdZENDW2kwMCJ8HQ</v>
      </c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</cols>
  <sheetData>
    <row r="1" ht="15.75" customHeight="1">
      <c r="A1" s="8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9"/>
      <c r="B5" s="7"/>
      <c r="C5" s="7"/>
    </row>
    <row r="6" ht="15.75" customHeight="1">
      <c r="A6" s="9"/>
      <c r="B6" s="7"/>
      <c r="C6" s="7"/>
    </row>
    <row r="7" ht="15.75" customHeight="1">
      <c r="A7" s="9"/>
      <c r="B7" s="7"/>
      <c r="C7" s="7"/>
    </row>
    <row r="8" ht="15.75" customHeight="1">
      <c r="A8" s="9"/>
      <c r="B8" s="7"/>
      <c r="C8" s="7"/>
    </row>
    <row r="9" ht="15.75" customHeight="1">
      <c r="A9" s="9"/>
      <c r="B9" s="7"/>
      <c r="C9" s="7"/>
    </row>
    <row r="10" ht="15.75" customHeight="1">
      <c r="A10" s="9"/>
      <c r="B10" s="7"/>
      <c r="C10" s="7"/>
    </row>
    <row r="11" ht="15.75" customHeight="1">
      <c r="A11" s="9"/>
      <c r="B11" s="7"/>
      <c r="C11" s="7"/>
    </row>
    <row r="12" ht="15.75" customHeight="1">
      <c r="A12" s="9"/>
      <c r="B12" s="7"/>
      <c r="C12" s="7"/>
    </row>
    <row r="13" ht="15.75" customHeight="1">
      <c r="A13" s="9"/>
      <c r="B13" s="7"/>
      <c r="C13" s="7"/>
    </row>
    <row r="14" ht="15.75" customHeight="1">
      <c r="A14" s="9"/>
      <c r="B14" s="7"/>
      <c r="C14" s="7"/>
    </row>
    <row r="15" ht="15.75" customHeight="1">
      <c r="A15" s="9"/>
      <c r="B15" s="7"/>
      <c r="C15" s="7"/>
    </row>
    <row r="16" ht="15.75" customHeight="1">
      <c r="A16" s="9"/>
      <c r="B16" s="7"/>
      <c r="C16" s="7"/>
    </row>
    <row r="17" ht="15.75" customHeight="1">
      <c r="A17" s="9"/>
      <c r="B17" s="7"/>
      <c r="C17" s="7"/>
    </row>
    <row r="18" ht="15.75" customHeight="1">
      <c r="A18" s="9"/>
      <c r="B18" s="7"/>
      <c r="C18" s="7"/>
    </row>
    <row r="19" ht="15.75" customHeight="1">
      <c r="A19" s="9"/>
      <c r="B19" s="7"/>
      <c r="C19" s="7"/>
    </row>
    <row r="20" ht="15.75" customHeight="1">
      <c r="A20" s="9"/>
      <c r="B20" s="7"/>
      <c r="C20" s="7"/>
    </row>
    <row r="21" ht="15.75" customHeight="1">
      <c r="A21" s="9"/>
      <c r="B21" s="7"/>
      <c r="C21" s="7"/>
    </row>
    <row r="22" ht="15.75" customHeight="1">
      <c r="A22" s="9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</v>
      </c>
      <c r="D3" s="5" t="s">
        <v>9</v>
      </c>
      <c r="E3" s="9" t="s">
        <v>13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</row>
    <row r="6" ht="15.75" customHeight="1">
      <c r="A6" s="7"/>
      <c r="B6" s="7" t="s">
        <v>16</v>
      </c>
      <c r="C6" s="20">
        <v>1000.0</v>
      </c>
      <c r="D6" s="20">
        <v>10.0</v>
      </c>
      <c r="E6" s="7" t="s">
        <v>17</v>
      </c>
      <c r="F6" s="7"/>
      <c r="G6" s="7"/>
      <c r="H6" s="7"/>
      <c r="I6" s="7"/>
      <c r="J6" s="7" t="s">
        <v>18</v>
      </c>
      <c r="K6" s="7"/>
      <c r="L6" s="7"/>
      <c r="M6" s="7"/>
      <c r="N6" s="7"/>
      <c r="O6" s="7"/>
      <c r="U6" s="4" t="s">
        <v>19</v>
      </c>
      <c r="Y6" s="21">
        <f>TODAY()+2</f>
        <v>45815</v>
      </c>
    </row>
    <row r="7" ht="15.75" customHeight="1">
      <c r="A7" s="7"/>
      <c r="B7" s="7" t="s">
        <v>20</v>
      </c>
      <c r="C7" s="20">
        <v>1000.0</v>
      </c>
      <c r="D7" s="20">
        <v>10.0</v>
      </c>
      <c r="E7" s="7" t="s">
        <v>17</v>
      </c>
      <c r="F7" s="7"/>
      <c r="G7" s="7"/>
      <c r="H7" s="7"/>
      <c r="I7" s="7"/>
      <c r="J7" s="7" t="s">
        <v>18</v>
      </c>
      <c r="K7" s="7"/>
      <c r="L7" s="7"/>
      <c r="M7" s="7"/>
      <c r="N7" s="7"/>
      <c r="O7" s="7"/>
      <c r="U7" s="4" t="s">
        <v>21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22</v>
      </c>
      <c r="D3" s="5" t="s">
        <v>9</v>
      </c>
      <c r="E3" s="9" t="s">
        <v>23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ht="15.75" customHeight="1">
      <c r="A6" s="7"/>
      <c r="B6" s="7" t="s">
        <v>18</v>
      </c>
      <c r="C6" s="7" t="s">
        <v>20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22</v>
      </c>
      <c r="D3" s="5" t="s">
        <v>9</v>
      </c>
      <c r="E3" s="9" t="s">
        <v>24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ht="15.75" customHeight="1">
      <c r="A6" s="7"/>
      <c r="B6" s="7" t="s">
        <v>18</v>
      </c>
      <c r="C6" s="7" t="s">
        <v>20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22</v>
      </c>
      <c r="D3" s="5" t="s">
        <v>9</v>
      </c>
      <c r="E3" s="9" t="s">
        <v>25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ht="15.75" customHeight="1">
      <c r="A6" s="7"/>
      <c r="B6" s="7">
        <v>5.0</v>
      </c>
      <c r="C6" s="7">
        <v>500.0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22</v>
      </c>
      <c r="D3" s="5" t="s">
        <v>9</v>
      </c>
      <c r="E3" s="9" t="s">
        <v>23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ht="15.75" customHeight="1">
      <c r="A6" s="7"/>
      <c r="B6" s="7" t="s">
        <v>18</v>
      </c>
      <c r="C6" s="7" t="s">
        <v>16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22</v>
      </c>
      <c r="D3" s="5" t="s">
        <v>9</v>
      </c>
      <c r="E3" s="9" t="s">
        <v>24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ht="15.75" customHeight="1">
      <c r="A6" s="7"/>
      <c r="B6" s="7" t="s">
        <v>18</v>
      </c>
      <c r="C6" s="7" t="s">
        <v>16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22</v>
      </c>
      <c r="D3" s="5" t="s">
        <v>9</v>
      </c>
      <c r="E3" s="9" t="s">
        <v>25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</row>
    <row r="6" ht="15.75" customHeight="1">
      <c r="A6" s="7"/>
      <c r="B6" s="4">
        <v>5.0</v>
      </c>
      <c r="C6" s="7">
        <v>500.0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26</v>
      </c>
      <c r="D3" s="5" t="s">
        <v>9</v>
      </c>
      <c r="E3" s="9" t="s">
        <v>27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</row>
    <row r="6" ht="15.75" customHeight="1">
      <c r="A6" s="7"/>
      <c r="B6" s="7"/>
      <c r="C6" s="7"/>
      <c r="D6" s="7" t="s">
        <v>20</v>
      </c>
      <c r="E6" s="7"/>
      <c r="F6" s="7" t="s">
        <v>18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26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</row>
    <row r="6" ht="15.75" customHeight="1">
      <c r="A6" s="7"/>
      <c r="B6" s="7"/>
      <c r="C6" s="7"/>
      <c r="D6" s="7">
        <v>5.0</v>
      </c>
      <c r="E6" s="7" t="s">
        <v>29</v>
      </c>
      <c r="F6" s="7"/>
      <c r="G6" s="7">
        <v>500.0</v>
      </c>
      <c r="H6" s="7" t="s">
        <v>30</v>
      </c>
      <c r="I6" s="7" t="s">
        <v>31</v>
      </c>
      <c r="J6" s="7" t="s">
        <v>20</v>
      </c>
      <c r="K6" s="7"/>
      <c r="L6" s="7" t="s">
        <v>32</v>
      </c>
      <c r="M6" s="7"/>
      <c r="N6" s="7"/>
      <c r="O6" s="7"/>
      <c r="U6" s="4" t="s">
        <v>33</v>
      </c>
      <c r="V6" s="4" t="s">
        <v>34</v>
      </c>
      <c r="AB6" s="4">
        <v>500.0</v>
      </c>
      <c r="AD6" s="4">
        <v>1.0</v>
      </c>
      <c r="AF6" s="4" t="s">
        <v>35</v>
      </c>
      <c r="AG6" s="4">
        <v>5.0</v>
      </c>
      <c r="AH6" s="4" t="s">
        <v>36</v>
      </c>
      <c r="AI6" s="4" t="s">
        <v>20</v>
      </c>
      <c r="AJ6" s="4" t="s">
        <v>18</v>
      </c>
      <c r="AK6" s="4" t="s">
        <v>37</v>
      </c>
      <c r="AL6" s="4">
        <v>1000.0</v>
      </c>
      <c r="AM6" s="4">
        <v>500.0</v>
      </c>
      <c r="AN6" s="4">
        <v>500.0</v>
      </c>
      <c r="AO6" s="4">
        <v>5.0</v>
      </c>
      <c r="AP6" s="4">
        <v>5.0</v>
      </c>
      <c r="AQ6" s="4" t="s">
        <v>38</v>
      </c>
      <c r="AR6" s="4" t="s">
        <v>39</v>
      </c>
      <c r="AS6" s="4" t="s">
        <v>40</v>
      </c>
      <c r="AT6" s="22">
        <v>2500.0</v>
      </c>
      <c r="AU6" s="22">
        <v>2500.0</v>
      </c>
      <c r="AV6" s="4" t="s">
        <v>41</v>
      </c>
      <c r="AW6" s="4" t="s">
        <v>37</v>
      </c>
      <c r="AX6" s="4">
        <v>500.0</v>
      </c>
      <c r="AZ6" s="4" t="s">
        <v>31</v>
      </c>
      <c r="BA6" s="4">
        <v>50.0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26</v>
      </c>
      <c r="D3" s="5" t="s">
        <v>9</v>
      </c>
      <c r="E3" s="9" t="s">
        <v>27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</row>
    <row r="6" ht="15.75" customHeight="1">
      <c r="A6" s="7"/>
      <c r="B6" s="7"/>
      <c r="C6" s="7"/>
      <c r="D6" s="7" t="s">
        <v>16</v>
      </c>
      <c r="E6" s="7"/>
      <c r="F6" s="7" t="s">
        <v>18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26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</row>
    <row r="6" ht="15.75" customHeight="1">
      <c r="A6" s="7"/>
      <c r="B6" s="7"/>
      <c r="C6" s="7"/>
      <c r="D6" s="7">
        <v>5.0</v>
      </c>
      <c r="E6" s="7" t="s">
        <v>42</v>
      </c>
      <c r="F6" s="7"/>
      <c r="G6" s="7">
        <v>500.0</v>
      </c>
      <c r="H6" s="7" t="s">
        <v>30</v>
      </c>
      <c r="I6" s="7" t="s">
        <v>31</v>
      </c>
      <c r="J6" s="7" t="s">
        <v>16</v>
      </c>
      <c r="K6" s="7"/>
      <c r="L6" s="7" t="s">
        <v>32</v>
      </c>
      <c r="M6" s="7"/>
      <c r="N6" s="7"/>
      <c r="O6" s="7"/>
      <c r="U6" s="4" t="s">
        <v>33</v>
      </c>
      <c r="V6" s="4" t="s">
        <v>34</v>
      </c>
      <c r="AB6" s="4">
        <v>500.0</v>
      </c>
      <c r="AD6" s="4">
        <v>1.0</v>
      </c>
      <c r="AF6" s="4" t="s">
        <v>35</v>
      </c>
      <c r="AG6" s="4">
        <v>5.0</v>
      </c>
      <c r="AH6" s="4" t="s">
        <v>36</v>
      </c>
      <c r="AI6" s="4" t="s">
        <v>16</v>
      </c>
      <c r="AJ6" s="4" t="s">
        <v>18</v>
      </c>
      <c r="AK6" s="4" t="s">
        <v>37</v>
      </c>
      <c r="AL6" s="4">
        <v>1000.0</v>
      </c>
      <c r="AM6" s="4">
        <v>500.0</v>
      </c>
      <c r="AN6" s="4">
        <v>500.0</v>
      </c>
      <c r="AO6" s="4">
        <v>5.0</v>
      </c>
      <c r="AP6" s="4">
        <v>5.0</v>
      </c>
      <c r="AQ6" s="4" t="s">
        <v>38</v>
      </c>
      <c r="AR6" s="4" t="s">
        <v>39</v>
      </c>
      <c r="AS6" s="4" t="s">
        <v>40</v>
      </c>
      <c r="AT6" s="22">
        <v>2500.0</v>
      </c>
      <c r="AU6" s="22">
        <v>2500.0</v>
      </c>
      <c r="AV6" s="4" t="s">
        <v>41</v>
      </c>
      <c r="AW6" s="4" t="s">
        <v>37</v>
      </c>
      <c r="AX6" s="4">
        <v>500.0</v>
      </c>
      <c r="AZ6" s="4" t="s">
        <v>31</v>
      </c>
      <c r="BA6" s="4">
        <v>50.0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AI7" s="4"/>
      <c r="AJ7" s="4"/>
      <c r="AK7" s="4"/>
      <c r="AL7" s="4"/>
      <c r="AM7" s="4"/>
      <c r="AO7" s="4"/>
      <c r="AP7" s="4"/>
      <c r="AQ7" s="4"/>
      <c r="AR7" s="4"/>
      <c r="AS7" s="4"/>
      <c r="AT7" s="4"/>
      <c r="AU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26</v>
      </c>
      <c r="D3" s="5" t="s">
        <v>9</v>
      </c>
      <c r="E3" s="9" t="s">
        <v>43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IFERROR(__xludf.DUMMYFUNCTION("""COMPUTED_VALUE"""),"From Date")</f>
        <v>From Date</v>
      </c>
      <c r="C5" s="18" t="str">
        <f>IFERROR(__xludf.DUMMYFUNCTION("""COMPUTED_VALUE"""),"To Date")</f>
        <v>To Date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</row>
    <row r="6" ht="15.75" customHeight="1">
      <c r="A6" s="4"/>
      <c r="B6" s="21">
        <f t="shared" ref="B6:C6" si="1">TODAY()</f>
        <v>45813</v>
      </c>
      <c r="C6" s="21">
        <f t="shared" si="1"/>
        <v>45813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GetExecutionReportOrders!$4:$4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26</v>
      </c>
      <c r="D3" s="5" t="s">
        <v>9</v>
      </c>
      <c r="E3" s="9" t="s">
        <v>44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IFERROR(__xludf.DUMMYFUNCTION("""COMPUTED_VALUE"""),"Side")</f>
        <v>Side</v>
      </c>
      <c r="D5" s="18" t="str">
        <f>IFERROR(__xludf.DUMMYFUNCTION("""COMPUTED_VALUE"""),"Order Type")</f>
        <v>Order Type</v>
      </c>
      <c r="E5" s="18" t="str">
        <f>IFERROR(__xludf.DUMMYFUNCTION("""COMPUTED_VALUE"""),"Target Quantity")</f>
        <v>Target Quantity</v>
      </c>
      <c r="F5" s="18" t="str">
        <f>IFERROR(__xludf.DUMMYFUNCTION("""COMPUTED_VALUE"""),"Executed Qty")</f>
        <v>Executed Qty</v>
      </c>
      <c r="G5" s="18" t="str">
        <f>IFERROR(__xludf.DUMMYFUNCTION("""COMPUTED_VALUE"""),"Avg Price")</f>
        <v>Avg Price</v>
      </c>
      <c r="H5" s="18" t="str">
        <f>IFERROR(__xludf.DUMMYFUNCTION("""COMPUTED_VALUE"""),"Status")</f>
        <v>Status</v>
      </c>
      <c r="I5" s="18" t="str">
        <f>IFERROR(__xludf.DUMMYFUNCTION("""COMPUTED_VALUE"""),"Price")</f>
        <v>Price</v>
      </c>
      <c r="J5" s="18" t="str">
        <f>IFERROR(__xludf.DUMMYFUNCTION("""COMPUTED_VALUE"""),"OrderID")</f>
        <v>OrderID</v>
      </c>
      <c r="K5" s="18" t="str">
        <f>IFERROR(__xludf.DUMMYFUNCTION("""COMPUTED_VALUE"""),"CIOrderID")</f>
        <v>CIOrderID</v>
      </c>
      <c r="L5" s="18" t="str">
        <f>IFERROR(__xludf.DUMMYFUNCTION("""COMPUTED_VALUE"""),"Actual User")</f>
        <v>Actual User</v>
      </c>
      <c r="M5" s="18" t="str">
        <f>IFERROR(__xludf.DUMMYFUNCTION("""COMPUTED_VALUE"""),"Trader")</f>
        <v>Trader</v>
      </c>
      <c r="N5" s="18" t="str">
        <f>IFERROR(__xludf.DUMMYFUNCTION("""COMPUTED_VALUE"""),"Broker")</f>
        <v>Broker</v>
      </c>
      <c r="O5" s="18" t="str">
        <f>IFERROR(__xludf.DUMMYFUNCTION("""COMPUTED_VALUE"""),"Modified User")</f>
        <v>Modified User</v>
      </c>
      <c r="P5" s="18" t="str">
        <f>IFERROR(__xludf.DUMMYFUNCTION("""COMPUTED_VALUE"""),"Current User")</f>
        <v>Current User</v>
      </c>
      <c r="Q5" s="18" t="str">
        <f>IFERROR(__xludf.DUMMYFUNCTION("""COMPUTED_VALUE"""),"Avg Fx Rate")</f>
        <v>Avg Fx Rate</v>
      </c>
      <c r="R5" s="18" t="str">
        <f>IFERROR(__xludf.DUMMYFUNCTION("""COMPUTED_VALUE"""),"Account")</f>
        <v>Account</v>
      </c>
      <c r="S5" s="18" t="str">
        <f>IFERROR(__xludf.DUMMYFUNCTION("""COMPUTED_VALUE"""),"Process Date")</f>
        <v>Process Date</v>
      </c>
      <c r="T5" s="19" t="str">
        <f>IFERROR(__xludf.DUMMYFUNCTION("""COMPUTED_VALUE"""),"Last Shares")</f>
        <v>Last Shares</v>
      </c>
      <c r="U5" s="19" t="str">
        <f>IFERROR(__xludf.DUMMYFUNCTION("""COMPUTED_VALUE"""),"Last Price")</f>
        <v>Last Price</v>
      </c>
      <c r="V5" s="19" t="str">
        <f>IFERROR(__xludf.DUMMYFUNCTION("""COMPUTED_VALUE"""),"Exchange")</f>
        <v>Exchange</v>
      </c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</row>
    <row r="6" ht="15.75" customHeight="1">
      <c r="A6" s="7"/>
      <c r="B6" s="7" t="s">
        <v>20</v>
      </c>
      <c r="C6" s="7" t="s">
        <v>18</v>
      </c>
      <c r="D6" s="7"/>
      <c r="E6" s="7"/>
      <c r="F6" s="7">
        <v>500.0</v>
      </c>
      <c r="G6" s="7">
        <v>5.0</v>
      </c>
      <c r="H6" s="4" t="s">
        <v>37</v>
      </c>
      <c r="I6" s="7"/>
      <c r="J6" s="7"/>
      <c r="K6" s="7"/>
      <c r="L6" s="23" t="s">
        <v>31</v>
      </c>
      <c r="M6" s="7"/>
      <c r="N6" s="7" t="s">
        <v>38</v>
      </c>
      <c r="O6" s="23" t="s">
        <v>31</v>
      </c>
      <c r="P6" s="23" t="s">
        <v>31</v>
      </c>
      <c r="R6" s="4" t="s">
        <v>39</v>
      </c>
    </row>
    <row r="7" ht="15.75" customHeight="1">
      <c r="A7" s="7"/>
      <c r="B7" s="7" t="s">
        <v>16</v>
      </c>
      <c r="C7" s="7" t="s">
        <v>18</v>
      </c>
      <c r="D7" s="7"/>
      <c r="E7" s="7"/>
      <c r="F7" s="7">
        <v>500.0</v>
      </c>
      <c r="G7" s="7">
        <v>5.0</v>
      </c>
      <c r="H7" s="4" t="s">
        <v>37</v>
      </c>
      <c r="I7" s="7"/>
      <c r="J7" s="7"/>
      <c r="K7" s="7"/>
      <c r="L7" s="23" t="s">
        <v>31</v>
      </c>
      <c r="M7" s="7"/>
      <c r="N7" s="7" t="s">
        <v>38</v>
      </c>
      <c r="O7" s="23" t="s">
        <v>31</v>
      </c>
      <c r="P7" s="23" t="s">
        <v>31</v>
      </c>
      <c r="R7" s="4" t="s">
        <v>39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2025-06-04T05:05:00Z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2E2F42A808DB4C7AB446B42423DB7E69_12</vt:lpwstr>
  </property>
  <property fmtid="{D5CDD505-2E9C-101B-9397-08002B2CF9AE}" pid="3" name="KSOProductBuildVer">
    <vt:lpwstr>1033-12.2.0.21179</vt:lpwstr>
  </property>
</Properties>
</file>