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CreateStageOrder" sheetId="6" r:id="rId8"/>
    <sheet state="visible" name="TradeNewSubOrder" sheetId="7" r:id="rId9"/>
    <sheet state="visible" name="CreateNewSubOrder" sheetId="8" r:id="rId10"/>
    <sheet state="visible" name="TradeNewSubOrder1" sheetId="9" r:id="rId11"/>
    <sheet state="visible" name="CreateNewSubOrder1" sheetId="10" r:id="rId12"/>
    <sheet state="visible" name="SelectTradeOnOrderGrid" sheetId="11" r:id="rId13"/>
    <sheet state="visible" name="ReplaceSubOrder" sheetId="12" r:id="rId14"/>
    <sheet state="visible" name="CreateReplaceOrder" sheetId="13" r:id="rId15"/>
    <sheet state="visible" name="SetTradingComplianceRules1" sheetId="14" r:id="rId16"/>
    <sheet state="visible" name="GetDailyCash" sheetId="15" r:id="rId17"/>
    <sheet state="visible" name="UpdateDailyCash" sheetId="16" r:id="rId18"/>
    <sheet state="visible" name="CreateStageOrder1" sheetId="17" r:id="rId19"/>
    <sheet state="visible" name="TradeNewSubOrder2" sheetId="18" r:id="rId20"/>
    <sheet state="visible" name="CreateNewSubOrder2" sheetId="19" r:id="rId21"/>
    <sheet state="visible" name="TransferToUserOrder" sheetId="20" r:id="rId22"/>
    <sheet state="visible" name="VerifyOrder" sheetId="21" r:id="rId23"/>
    <sheet state="visible" name="EditOrder" sheetId="22" r:id="rId24"/>
    <sheet state="visible" name="VerifyOrder1" sheetId="23" r:id="rId25"/>
    <sheet state="visible" name="SetTTGeneralPreferences" sheetId="24" r:id="rId26"/>
    <sheet state="visible" name="EditOrder1" sheetId="25" r:id="rId27"/>
    <sheet state="visible" name="CreateReplaceOrder1" sheetId="26" r:id="rId28"/>
    <sheet state="visible" name="VerifyOrder2" sheetId="27" r:id="rId29"/>
    <sheet state="visible" name="GetDataAllocation" sheetId="28" r:id="rId30"/>
    <sheet state="visible" name="CheckAllocatedGroups" sheetId="29" r:id="rId31"/>
    <sheet state="visible" name="CheckPortfolioManagement" sheetId="30" r:id="rId32"/>
  </sheets>
  <definedNames/>
  <calcPr/>
</workbook>
</file>

<file path=xl/sharedStrings.xml><?xml version="1.0" encoding="utf-8"?>
<sst xmlns="http://schemas.openxmlformats.org/spreadsheetml/2006/main" count="840" uniqueCount="98">
  <si>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</si>
  <si>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</si>
  <si>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</si>
  <si>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</si>
  <si>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</si>
  <si>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</si>
  <si>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</si>
  <si>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</si>
  <si>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</si>
  <si>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</si>
  <si>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</si>
  <si>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</si>
  <si>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</si>
  <si>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</si>
  <si>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</si>
  <si>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</si>
  <si>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</si>
  <si>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</si>
  <si>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MSFT</t>
  </si>
  <si>
    <t>Buy</t>
  </si>
  <si>
    <t>Allocation1</t>
  </si>
  <si>
    <t>AAPL</t>
  </si>
  <si>
    <t>Sell short</t>
  </si>
  <si>
    <t>Limit</t>
  </si>
  <si>
    <t>CreateStageOrder</t>
  </si>
  <si>
    <t>Sell</t>
  </si>
  <si>
    <t>Buy to Close</t>
  </si>
  <si>
    <t>Blotter</t>
  </si>
  <si>
    <t>TradeNewSubOrder</t>
  </si>
  <si>
    <t>NASDAQ</t>
  </si>
  <si>
    <t>Equity</t>
  </si>
  <si>
    <t>New</t>
  </si>
  <si>
    <t>MS</t>
  </si>
  <si>
    <t>Market</t>
  </si>
  <si>
    <t>CreateNewSubOrder</t>
  </si>
  <si>
    <t>SelectTradeOnOrderGrid</t>
  </si>
  <si>
    <t>PartiallyFilled</t>
  </si>
  <si>
    <t>ReplaceSubOrder</t>
  </si>
  <si>
    <t>Filled</t>
  </si>
  <si>
    <t>CreateReplaceOrder</t>
  </si>
  <si>
    <t>DailyValuation</t>
  </si>
  <si>
    <t>GetDailyCash</t>
  </si>
  <si>
    <t>UpdateDailyCash</t>
  </si>
  <si>
    <t>Allocation2</t>
  </si>
  <si>
    <t>USD</t>
  </si>
  <si>
    <t>IBM</t>
  </si>
  <si>
    <t>TransferToUserOrder</t>
  </si>
  <si>
    <t>US</t>
  </si>
  <si>
    <t>abhi</t>
  </si>
  <si>
    <t>VerifyOrder</t>
  </si>
  <si>
    <t>jpearce</t>
  </si>
  <si>
    <t>Replaced</t>
  </si>
  <si>
    <t>EditOrder</t>
  </si>
  <si>
    <t>SetTTGeneralPreferences</t>
  </si>
  <si>
    <t>Support1</t>
  </si>
  <si>
    <t>Allocation</t>
  </si>
  <si>
    <t>GetDataAllocation</t>
  </si>
  <si>
    <t>Current</t>
  </si>
  <si>
    <t>CheckAllocatedGroups</t>
  </si>
  <si>
    <t>Open</t>
  </si>
  <si>
    <t>M</t>
  </si>
  <si>
    <t>False</t>
  </si>
  <si>
    <t>True</t>
  </si>
  <si>
    <t>GCCAP1</t>
  </si>
  <si>
    <t/>
  </si>
  <si>
    <t>PortfolioManagement</t>
  </si>
  <si>
    <t>CheckPortfolioManagement</t>
  </si>
  <si>
    <t>NewMF</t>
  </si>
  <si>
    <t>Short</t>
  </si>
  <si>
    <t>MICROSOFT INC</t>
  </si>
  <si>
    <t>Undefined</t>
  </si>
  <si>
    <t>FIMAT</t>
  </si>
  <si>
    <t>Strategy Unallocated</t>
  </si>
  <si>
    <t>Long</t>
  </si>
  <si>
    <t>1</t>
  </si>
  <si>
    <t>Equity General</t>
  </si>
  <si>
    <t>Information Technology</t>
  </si>
  <si>
    <t>Copper</t>
  </si>
  <si>
    <t>MSFT US EQUITY</t>
  </si>
  <si>
    <t>None</t>
  </si>
  <si>
    <t>Default</t>
  </si>
  <si>
    <t>UNITED STATES</t>
  </si>
  <si>
    <t>MSFT UDA1</t>
  </si>
  <si>
    <t>Yes</t>
  </si>
  <si>
    <t>APPLE</t>
  </si>
  <si>
    <t>New Hedge</t>
  </si>
  <si>
    <t>Small Cap</t>
  </si>
  <si>
    <t>5</t>
  </si>
  <si>
    <t>AAPL US EQUITY</t>
  </si>
  <si>
    <t>test1</t>
  </si>
  <si>
    <t>india</t>
  </si>
  <si>
    <t>test 1</t>
  </si>
  <si>
    <t>NewMF1</t>
  </si>
  <si>
    <t>NYSE</t>
  </si>
  <si>
    <t>Technology</t>
  </si>
  <si>
    <t>USA</t>
  </si>
  <si>
    <t>IBM US EQUITY</t>
  </si>
  <si>
    <t>UK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</si>
</sst>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###,###,###,###,##0.00#############"/>
    <numFmt numFmtId="165" formatCode="#,##,###0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2" numFmtId="3" xfId="0" applyAlignment="1" applyFont="1" applyNumberFormat="1">
      <alignment readingOrder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3" xfId="0" applyAlignment="1" applyFont="1" applyNumberFormat="1">
      <alignment readingOrder="0" shrinkToFit="0" wrapText="0"/>
    </xf>
    <xf borderId="0" fillId="0" fontId="14" numFmtId="0" xfId="0" applyAlignment="1" applyFont="1">
      <alignment vertical="bottom"/>
    </xf>
    <xf borderId="0" fillId="0" fontId="14" numFmtId="164" xfId="0" applyAlignment="1" applyFont="1" applyNumberFormat="1">
      <alignment horizontal="right" vertical="bottom"/>
    </xf>
    <xf borderId="0" fillId="0" fontId="14" numFmtId="0" xfId="0" applyAlignment="1" applyFont="1">
      <alignment vertical="bottom"/>
    </xf>
    <xf borderId="0" fillId="0" fontId="14" numFmtId="164" xfId="0" applyAlignment="1" applyFont="1" applyNumberFormat="1">
      <alignment horizontal="right" readingOrder="0" vertical="bottom"/>
    </xf>
    <xf borderId="0" fillId="0" fontId="14" numFmtId="0" xfId="0" applyAlignment="1" applyFont="1">
      <alignment readingOrder="0" vertical="bottom"/>
    </xf>
    <xf borderId="0" fillId="0" fontId="14" numFmtId="165" xfId="0" applyAlignment="1" applyFont="1" applyNumberFormat="1">
      <alignment horizontal="right" vertical="bottom"/>
    </xf>
    <xf borderId="0" fillId="0" fontId="14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 t="str">
        <f>IFERROR(__xludf.DUMMYFUNCTION("""COMPUTED_VALUE"""),"Output")</f>
        <v>Output</v>
      </c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 t="str">
        <f>IFERROR(__xludf.DUMMYFUNCTION("""COMPUTED_VALUE"""),"Output")</f>
        <v>Output</v>
      </c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 t="str">
        <f>IFERROR(__xludf.DUMMYFUNCTION("""COMPUTED_VALUE"""),"Output")</f>
        <v>Output</v>
      </c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 t="str">
        <f>IFERROR(__xludf.DUMMYFUNCTION("""COMPUTED_VALUE"""),"Input")</f>
        <v>Input</v>
      </c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  <c r="D127">
        <f>IFERROR(__xludf.DUMMYFUNCTION("""COMPUTED_VALUE"""),2.0)</f>
        <v>2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  <c r="D129">
        <f>IFERROR(__xludf.DUMMYFUNCTION("""COMPUTED_VALUE"""),1.0)</f>
        <v>1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  <c r="D138">
        <f>IFERROR(__xludf.DUMMYFUNCTION("""COMPUTED_VALUE"""),2.0)</f>
        <v>2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  <c r="D512" t="str">
        <f>IFERROR(__xludf.DUMMYFUNCTION("""COMPUTED_VALUE"""),"yes")</f>
        <v>yes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  <c r="D521" t="str">
        <f>IFERROR(__xludf.DUMMYFUNCTION("""COMPUTED_VALUE"""),"Input")</f>
        <v>Input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IFERROR(__xludf.DUMMYFUNCTION("""COMPUTED_VALUE"""),"1quv-mE6eJ-fIc80A1uTeO8ix7AN-iGUbKPfjMut6XGw")</f>
        <v>1quv-mE6eJ-fIc80A1uTeO8ix7AN-iGUbKPfjMut6XGw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>
      <c r="A648" t="str">
        <f>IFERROR(__xludf.DUMMYFUNCTION("""COMPUTED_VALUE"""),"PranaClient")</f>
        <v>PranaClient</v>
      </c>
      <c r="B648" t="str">
        <f>IFERROR(__xludf.DUMMYFUNCTION("""COMPUTED_VALUE"""),"Action")</f>
        <v>Action</v>
      </c>
      <c r="C648" t="str">
        <f>IFERROR(__xludf.DUMMYFUNCTION("""COMPUTED_VALUE"""),"16YwhwfE3ekYXCEMATeZ129RipXXg6a0WjcUVWOBSLF4")</f>
        <v>16YwhwfE3ekYXCEMATeZ129RipXXg6a0WjcUVWOBSLF4</v>
      </c>
    </row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 t="str">
        <f>IFERROR(__xludf.DUMMYFUNCTION("""COMPUTED_VALUE"""),"SetAllocationPreferences")</f>
        <v>SetAllocationPreferences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13" t="b">
        <v>1</v>
      </c>
      <c r="D6" s="13"/>
      <c r="E6" s="31"/>
      <c r="F6" s="8"/>
      <c r="G6" s="8"/>
      <c r="H6" s="13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100.0</v>
      </c>
      <c r="E6" s="13">
        <v>100.0</v>
      </c>
      <c r="F6" s="13" t="s">
        <v>20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13" t="s">
        <v>21</v>
      </c>
      <c r="C7" s="13" t="s">
        <v>22</v>
      </c>
      <c r="D7" s="13">
        <v>500.0</v>
      </c>
      <c r="E7" s="13">
        <v>500.0</v>
      </c>
      <c r="F7" s="13" t="s">
        <v>20</v>
      </c>
      <c r="G7" s="8"/>
      <c r="H7" s="8"/>
      <c r="I7" s="13" t="s">
        <v>23</v>
      </c>
      <c r="J7" s="13">
        <v>10.0</v>
      </c>
      <c r="K7" s="8"/>
      <c r="L7" s="8"/>
      <c r="M7" s="8"/>
      <c r="N7" s="8"/>
      <c r="O7" s="8"/>
    </row>
    <row r="8" ht="15.75" customHeight="1">
      <c r="A8" s="8"/>
      <c r="B8" s="13"/>
      <c r="C8" s="13"/>
      <c r="D8" s="13"/>
      <c r="E8" s="13"/>
      <c r="F8" s="13"/>
      <c r="G8" s="8"/>
      <c r="H8" s="8"/>
      <c r="I8" s="8"/>
      <c r="J8" s="13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25</v>
      </c>
      <c r="D6" s="13">
        <v>500.0</v>
      </c>
      <c r="E6" s="13">
        <v>500.0</v>
      </c>
      <c r="F6" s="13" t="s">
        <v>20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13" t="s">
        <v>21</v>
      </c>
      <c r="C7" s="13" t="s">
        <v>26</v>
      </c>
      <c r="D7" s="13">
        <v>600.0</v>
      </c>
      <c r="E7" s="13">
        <v>600.0</v>
      </c>
      <c r="F7" s="13" t="s">
        <v>20</v>
      </c>
      <c r="G7" s="8"/>
      <c r="H7" s="8"/>
      <c r="I7" s="13" t="s">
        <v>23</v>
      </c>
      <c r="J7" s="13">
        <v>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0.0</v>
      </c>
      <c r="E6" s="31"/>
      <c r="F6" s="8"/>
      <c r="G6" s="8"/>
      <c r="H6" s="13" t="s">
        <v>29</v>
      </c>
      <c r="I6" s="13"/>
      <c r="J6" s="13" t="s">
        <v>18</v>
      </c>
      <c r="K6" s="8"/>
      <c r="L6" s="8"/>
      <c r="M6" s="8"/>
      <c r="N6" s="8"/>
      <c r="O6" s="8"/>
      <c r="AD6" s="9">
        <v>1.0</v>
      </c>
      <c r="AH6" s="9" t="s">
        <v>30</v>
      </c>
      <c r="AI6" s="9" t="s">
        <v>18</v>
      </c>
      <c r="AJ6" s="9" t="s">
        <v>25</v>
      </c>
      <c r="AK6" s="9" t="s">
        <v>31</v>
      </c>
      <c r="AL6" s="9">
        <v>500.0</v>
      </c>
      <c r="AP6" s="9">
        <v>500.0</v>
      </c>
      <c r="AQ6" s="9">
        <v>0.0</v>
      </c>
      <c r="AR6" s="9">
        <v>0.0</v>
      </c>
      <c r="AS6" s="9" t="s">
        <v>32</v>
      </c>
      <c r="AT6" s="9" t="s">
        <v>20</v>
      </c>
      <c r="AU6" s="9" t="s">
        <v>33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25</v>
      </c>
      <c r="D6" s="13">
        <v>500.0</v>
      </c>
      <c r="E6" s="13">
        <v>500.0</v>
      </c>
      <c r="F6" s="13" t="s">
        <v>20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0.0</v>
      </c>
      <c r="E6" s="31"/>
      <c r="F6" s="8"/>
      <c r="G6" s="8"/>
      <c r="H6" s="13" t="s">
        <v>29</v>
      </c>
      <c r="I6" s="13"/>
      <c r="J6" s="13" t="s">
        <v>21</v>
      </c>
      <c r="K6" s="8"/>
      <c r="L6" s="8"/>
      <c r="M6" s="8"/>
      <c r="N6" s="8"/>
      <c r="O6" s="8"/>
      <c r="AD6" s="9">
        <v>1.0</v>
      </c>
      <c r="AH6" s="9" t="s">
        <v>30</v>
      </c>
      <c r="AI6" s="9" t="s">
        <v>21</v>
      </c>
      <c r="AJ6" s="9" t="s">
        <v>26</v>
      </c>
      <c r="AK6" s="9" t="s">
        <v>31</v>
      </c>
      <c r="AL6" s="9">
        <v>600.0</v>
      </c>
      <c r="AP6" s="9">
        <v>600.0</v>
      </c>
      <c r="AQ6" s="9">
        <v>0.0</v>
      </c>
      <c r="AR6" s="9">
        <v>0.0</v>
      </c>
      <c r="AS6" s="9" t="s">
        <v>32</v>
      </c>
      <c r="AT6" s="9" t="s">
        <v>20</v>
      </c>
      <c r="AU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26</v>
      </c>
      <c r="D6" s="13">
        <v>500.0</v>
      </c>
      <c r="E6" s="13">
        <v>500.0</v>
      </c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8"/>
      <c r="D6" s="13" t="s">
        <v>21</v>
      </c>
      <c r="E6" s="31"/>
      <c r="F6" s="13" t="s">
        <v>26</v>
      </c>
      <c r="G6" s="13" t="s">
        <v>36</v>
      </c>
      <c r="H6" s="13">
        <v>600.0</v>
      </c>
      <c r="I6" s="13">
        <v>500.0</v>
      </c>
      <c r="J6" s="8"/>
      <c r="K6" s="13">
        <v>500.0</v>
      </c>
      <c r="L6" s="13">
        <v>100.0</v>
      </c>
      <c r="M6" s="8"/>
      <c r="N6" s="13">
        <v>10.0</v>
      </c>
      <c r="O6" s="8"/>
      <c r="P6" s="9">
        <v>10.0</v>
      </c>
      <c r="Q6" s="9" t="s">
        <v>32</v>
      </c>
      <c r="R6" s="9" t="s">
        <v>20</v>
      </c>
      <c r="T6" s="9" t="s">
        <v>23</v>
      </c>
      <c r="U6" s="32">
        <v>5000.0</v>
      </c>
      <c r="V6" s="32">
        <v>5000.0</v>
      </c>
      <c r="AF6" s="9" t="s">
        <v>30</v>
      </c>
      <c r="AJ6" s="9" t="s">
        <v>29</v>
      </c>
      <c r="AP6" s="9">
        <v>1.0</v>
      </c>
      <c r="AY6" s="9">
        <v>600.0</v>
      </c>
      <c r="AZ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1"/>
      <c r="F6" s="13">
        <v>0.0</v>
      </c>
      <c r="G6" s="8"/>
      <c r="H6" s="13" t="s">
        <v>29</v>
      </c>
      <c r="I6" s="8"/>
      <c r="J6" s="13" t="s">
        <v>21</v>
      </c>
      <c r="K6" s="8"/>
      <c r="L6" s="8"/>
      <c r="M6" s="8"/>
      <c r="N6" s="8"/>
      <c r="O6" s="8"/>
      <c r="S6" s="9">
        <v>0.0</v>
      </c>
      <c r="T6" s="9">
        <v>0.0</v>
      </c>
      <c r="AC6" s="9">
        <v>500.0</v>
      </c>
      <c r="AE6" s="9">
        <v>1.0</v>
      </c>
      <c r="AI6" s="9" t="s">
        <v>30</v>
      </c>
      <c r="AJ6" s="9" t="s">
        <v>21</v>
      </c>
      <c r="AK6" s="9" t="s">
        <v>26</v>
      </c>
      <c r="AL6" s="9" t="s">
        <v>38</v>
      </c>
      <c r="AM6" s="9">
        <v>500.0</v>
      </c>
      <c r="AN6" s="9">
        <v>500.0</v>
      </c>
      <c r="AR6" s="9">
        <v>10.0</v>
      </c>
      <c r="AS6" s="9">
        <v>10.0</v>
      </c>
      <c r="AT6" s="9" t="s">
        <v>32</v>
      </c>
      <c r="AU6" s="9" t="s">
        <v>20</v>
      </c>
      <c r="AV6" s="9" t="s">
        <v>23</v>
      </c>
      <c r="AW6" s="32">
        <v>5000.0</v>
      </c>
      <c r="AX6" s="32">
        <v>5000.0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26</v>
      </c>
      <c r="D6" s="13">
        <v>1200.0</v>
      </c>
      <c r="E6" s="13">
        <v>1200.0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 t="str">
        <f>IFERROR(__xludf.DUMMYFUNCTION("""COMPUTED_VALUE"""),"SetAllocationPreferences")</f>
        <v>SetAllocationPreferences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b">
        <v>1</v>
      </c>
      <c r="E6" s="31"/>
      <c r="F6" s="8"/>
      <c r="G6" s="8"/>
      <c r="H6" s="13">
        <v>10.0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>
        <f t="shared" ref="B6:C6" si="1">today()-1</f>
        <v>45922</v>
      </c>
      <c r="C6" s="34">
        <f t="shared" si="1"/>
        <v>45922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43</v>
      </c>
      <c r="C6" s="13" t="s">
        <v>44</v>
      </c>
      <c r="D6" s="13">
        <v>300000.0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45</v>
      </c>
      <c r="C6" s="13" t="s">
        <v>19</v>
      </c>
      <c r="D6" s="13">
        <v>200000.0</v>
      </c>
      <c r="E6" s="13">
        <v>200000.0</v>
      </c>
      <c r="F6" s="13" t="s">
        <v>43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0.0</v>
      </c>
      <c r="E6" s="31"/>
      <c r="F6" s="8"/>
      <c r="G6" s="8"/>
      <c r="H6" s="13" t="s">
        <v>29</v>
      </c>
      <c r="I6" s="8"/>
      <c r="J6" s="8"/>
      <c r="K6" s="8"/>
      <c r="L6" s="8"/>
      <c r="M6" s="8"/>
      <c r="N6" s="8"/>
      <c r="O6" s="8"/>
      <c r="S6" s="9">
        <v>0.0</v>
      </c>
      <c r="T6" s="9">
        <v>0.0</v>
      </c>
      <c r="AD6" s="9">
        <v>1.0</v>
      </c>
      <c r="AH6" s="9" t="s">
        <v>30</v>
      </c>
      <c r="AI6" s="9" t="s">
        <v>45</v>
      </c>
      <c r="AJ6" s="9" t="s">
        <v>19</v>
      </c>
      <c r="AK6" s="9" t="s">
        <v>31</v>
      </c>
      <c r="AL6" s="35">
        <v>200000.0</v>
      </c>
      <c r="AP6" s="13">
        <v>200000.0</v>
      </c>
      <c r="AQ6" s="9">
        <v>0.0</v>
      </c>
      <c r="AR6" s="9">
        <v>0.0</v>
      </c>
      <c r="AS6" s="9" t="s">
        <v>32</v>
      </c>
      <c r="AT6" s="9" t="s">
        <v>43</v>
      </c>
      <c r="AU6" s="9" t="s">
        <v>33</v>
      </c>
      <c r="AV6" s="9">
        <v>0.0</v>
      </c>
      <c r="AW6" s="9">
        <v>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45</v>
      </c>
      <c r="C6" s="13" t="s">
        <v>19</v>
      </c>
      <c r="D6" s="13">
        <v>200000.0</v>
      </c>
      <c r="E6" s="13">
        <v>200000.0</v>
      </c>
      <c r="F6" s="13" t="s">
        <v>43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IFERROR(__xludf.DUMMYFUNCTION("""COMPUTED_VALUE"""),"userName")</f>
        <v>userName</v>
      </c>
      <c r="AY5" s="30" t="str">
        <f>IFERROR(__xludf.DUMMYFUNCTION("""COMPUTED_VALUE"""),"Allocation Scheme Name")</f>
        <v>Allocation Scheme Name</v>
      </c>
      <c r="AZ5" s="30" t="str">
        <f>IFERROR(__xludf.DUMMYFUNCTION("""COMPUTED_VALUE"""),"Allow Transfer")</f>
        <v>Allow Transfer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1"/>
      <c r="F6" s="13">
        <v>0.0</v>
      </c>
      <c r="G6" s="8"/>
      <c r="H6" s="13" t="s">
        <v>29</v>
      </c>
      <c r="I6" s="8"/>
      <c r="J6" s="13" t="s">
        <v>45</v>
      </c>
      <c r="K6" s="13" t="s">
        <v>47</v>
      </c>
      <c r="L6" s="8"/>
      <c r="M6" s="8"/>
      <c r="N6" s="8"/>
      <c r="O6" s="8"/>
      <c r="S6" s="9">
        <v>0.0</v>
      </c>
      <c r="T6" s="9">
        <v>0.0</v>
      </c>
      <c r="U6" s="9" t="s">
        <v>44</v>
      </c>
      <c r="AD6" s="9">
        <v>1.0</v>
      </c>
      <c r="AH6" s="9" t="s">
        <v>30</v>
      </c>
      <c r="AI6" s="9" t="s">
        <v>45</v>
      </c>
      <c r="AJ6" s="9" t="s">
        <v>19</v>
      </c>
      <c r="AK6" s="9" t="s">
        <v>38</v>
      </c>
      <c r="AL6" s="32">
        <v>200000.0</v>
      </c>
      <c r="AM6" s="32">
        <v>200000.0</v>
      </c>
      <c r="AN6" s="9">
        <v>100.0</v>
      </c>
      <c r="AO6" s="32">
        <v>200000.0</v>
      </c>
      <c r="AQ6" s="9">
        <v>10.0</v>
      </c>
      <c r="AR6" s="9">
        <v>10.0</v>
      </c>
      <c r="AS6" s="9" t="s">
        <v>32</v>
      </c>
      <c r="AT6" s="9" t="s">
        <v>43</v>
      </c>
      <c r="AU6" s="9" t="s">
        <v>33</v>
      </c>
      <c r="AV6" s="32">
        <v>2000000.0</v>
      </c>
      <c r="AW6" s="32">
        <v>2000000.0</v>
      </c>
      <c r="AX6" s="9" t="s">
        <v>48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TransferToUserOrder!$4:$4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1"/>
      <c r="F6" s="13">
        <v>0.0</v>
      </c>
      <c r="G6" s="8"/>
      <c r="H6" s="13" t="s">
        <v>29</v>
      </c>
      <c r="I6" s="13" t="s">
        <v>50</v>
      </c>
      <c r="J6" s="13" t="s">
        <v>18</v>
      </c>
      <c r="K6" s="13" t="s">
        <v>47</v>
      </c>
      <c r="L6" s="8"/>
      <c r="M6" s="8"/>
      <c r="N6" s="8"/>
      <c r="O6" s="8"/>
      <c r="S6" s="9">
        <v>0.0</v>
      </c>
      <c r="T6" s="9">
        <v>0.0</v>
      </c>
      <c r="U6" s="9" t="s">
        <v>44</v>
      </c>
      <c r="AD6" s="9">
        <v>1.0</v>
      </c>
      <c r="AH6" s="9" t="s">
        <v>30</v>
      </c>
      <c r="AI6" s="9" t="s">
        <v>18</v>
      </c>
      <c r="AJ6" s="9" t="s">
        <v>19</v>
      </c>
      <c r="AK6" s="9" t="s">
        <v>38</v>
      </c>
      <c r="AL6" s="9">
        <v>100.0</v>
      </c>
      <c r="AM6" s="9">
        <v>100.0</v>
      </c>
      <c r="AO6" s="9">
        <v>100.0</v>
      </c>
      <c r="AQ6" s="9">
        <v>10.0</v>
      </c>
      <c r="AR6" s="9">
        <v>10.0</v>
      </c>
      <c r="AS6" s="9" t="s">
        <v>32</v>
      </c>
      <c r="AT6" s="9" t="s">
        <v>20</v>
      </c>
      <c r="AU6" s="9" t="s">
        <v>33</v>
      </c>
      <c r="AV6" s="32">
        <v>1000.0</v>
      </c>
      <c r="AW6" s="32">
        <v>1000.0</v>
      </c>
      <c r="AY6" s="9">
        <v>100.0</v>
      </c>
      <c r="AZ6" s="9">
        <v>0.0</v>
      </c>
      <c r="BA6" s="9" t="s">
        <v>50</v>
      </c>
    </row>
    <row r="7" ht="15.75" customHeight="1">
      <c r="A7" s="8"/>
      <c r="B7" s="8"/>
      <c r="C7" s="8"/>
      <c r="D7" s="13">
        <v>10.0</v>
      </c>
      <c r="E7" s="8"/>
      <c r="F7" s="13">
        <v>0.0</v>
      </c>
      <c r="G7" s="8"/>
      <c r="H7" s="13" t="s">
        <v>29</v>
      </c>
      <c r="I7" s="13" t="s">
        <v>50</v>
      </c>
      <c r="J7" s="13" t="s">
        <v>21</v>
      </c>
      <c r="K7" s="13" t="s">
        <v>47</v>
      </c>
      <c r="L7" s="8"/>
      <c r="M7" s="8"/>
      <c r="N7" s="8"/>
      <c r="O7" s="8"/>
      <c r="S7" s="9">
        <v>0.0</v>
      </c>
      <c r="T7" s="9">
        <v>0.0</v>
      </c>
      <c r="U7" s="9" t="s">
        <v>44</v>
      </c>
      <c r="AD7" s="9">
        <v>1.0</v>
      </c>
      <c r="AH7" s="9" t="s">
        <v>30</v>
      </c>
      <c r="AI7" s="9" t="s">
        <v>21</v>
      </c>
      <c r="AJ7" s="9" t="s">
        <v>22</v>
      </c>
      <c r="AK7" s="9" t="s">
        <v>38</v>
      </c>
      <c r="AL7" s="9">
        <v>500.0</v>
      </c>
      <c r="AM7" s="9">
        <v>500.0</v>
      </c>
      <c r="AO7" s="9">
        <v>500.0</v>
      </c>
      <c r="AQ7" s="9">
        <v>10.0</v>
      </c>
      <c r="AR7" s="9">
        <v>10.0</v>
      </c>
      <c r="AS7" s="9" t="s">
        <v>32</v>
      </c>
      <c r="AT7" s="9" t="s">
        <v>20</v>
      </c>
      <c r="AU7" s="9" t="s">
        <v>23</v>
      </c>
      <c r="AV7" s="32">
        <v>-5000.0</v>
      </c>
      <c r="AW7" s="32">
        <v>-5000.0</v>
      </c>
      <c r="AY7" s="9">
        <v>500.0</v>
      </c>
      <c r="AZ7" s="9">
        <v>0.0</v>
      </c>
      <c r="BA7" s="9" t="s">
        <v>50</v>
      </c>
    </row>
    <row r="8" ht="15.75" customHeight="1">
      <c r="A8" s="8"/>
      <c r="B8" s="8"/>
      <c r="C8" s="8"/>
      <c r="D8" s="13">
        <v>10.0</v>
      </c>
      <c r="E8" s="8"/>
      <c r="F8" s="13">
        <v>0.0</v>
      </c>
      <c r="G8" s="8"/>
      <c r="H8" s="13" t="s">
        <v>29</v>
      </c>
      <c r="I8" s="13" t="s">
        <v>50</v>
      </c>
      <c r="J8" s="13" t="s">
        <v>18</v>
      </c>
      <c r="K8" s="13" t="s">
        <v>47</v>
      </c>
      <c r="L8" s="8"/>
      <c r="M8" s="8"/>
      <c r="N8" s="8"/>
      <c r="O8" s="8"/>
      <c r="S8" s="9">
        <v>0.0</v>
      </c>
      <c r="T8" s="9">
        <v>0.0</v>
      </c>
      <c r="U8" s="9" t="s">
        <v>44</v>
      </c>
      <c r="AD8" s="9">
        <v>1.0</v>
      </c>
      <c r="AH8" s="9" t="s">
        <v>30</v>
      </c>
      <c r="AI8" s="9" t="s">
        <v>18</v>
      </c>
      <c r="AJ8" s="9" t="s">
        <v>25</v>
      </c>
      <c r="AK8" s="9" t="s">
        <v>38</v>
      </c>
      <c r="AL8" s="9">
        <v>500.0</v>
      </c>
      <c r="AM8" s="9">
        <v>500.0</v>
      </c>
      <c r="AO8" s="9">
        <v>500.0</v>
      </c>
      <c r="AQ8" s="9">
        <v>10.0</v>
      </c>
      <c r="AR8" s="9">
        <v>10.0</v>
      </c>
      <c r="AS8" s="9" t="s">
        <v>32</v>
      </c>
      <c r="AT8" s="9" t="s">
        <v>20</v>
      </c>
      <c r="AU8" s="9" t="s">
        <v>33</v>
      </c>
      <c r="AV8" s="32">
        <v>-5000.0</v>
      </c>
      <c r="AW8" s="32">
        <v>-5000.0</v>
      </c>
      <c r="AY8" s="9">
        <v>500.0</v>
      </c>
      <c r="AZ8" s="9">
        <v>0.0</v>
      </c>
      <c r="BA8" s="9" t="s">
        <v>50</v>
      </c>
    </row>
    <row r="9" ht="15.75" customHeight="1">
      <c r="A9" s="8"/>
      <c r="B9" s="8"/>
      <c r="C9" s="8"/>
      <c r="D9" s="13">
        <v>10.0</v>
      </c>
      <c r="E9" s="8"/>
      <c r="F9" s="13">
        <v>0.0</v>
      </c>
      <c r="G9" s="8"/>
      <c r="H9" s="13" t="s">
        <v>29</v>
      </c>
      <c r="I9" s="13" t="s">
        <v>50</v>
      </c>
      <c r="J9" s="13" t="s">
        <v>21</v>
      </c>
      <c r="K9" s="13" t="s">
        <v>47</v>
      </c>
      <c r="L9" s="8"/>
      <c r="M9" s="8"/>
      <c r="N9" s="8"/>
      <c r="O9" s="8"/>
      <c r="S9" s="9">
        <v>0.0</v>
      </c>
      <c r="T9" s="9">
        <v>0.0</v>
      </c>
      <c r="U9" s="9" t="s">
        <v>44</v>
      </c>
      <c r="AD9" s="9">
        <v>1.0</v>
      </c>
      <c r="AH9" s="9" t="s">
        <v>30</v>
      </c>
      <c r="AI9" s="9" t="s">
        <v>21</v>
      </c>
      <c r="AJ9" s="9" t="s">
        <v>26</v>
      </c>
      <c r="AK9" s="9" t="s">
        <v>51</v>
      </c>
      <c r="AL9" s="32">
        <v>1200.0</v>
      </c>
      <c r="AM9" s="32">
        <v>500.0</v>
      </c>
      <c r="AO9" s="32">
        <v>500.0</v>
      </c>
      <c r="AQ9" s="9">
        <v>0.0</v>
      </c>
      <c r="AR9" s="9">
        <v>10.0</v>
      </c>
      <c r="AS9" s="9" t="s">
        <v>32</v>
      </c>
      <c r="AT9" s="9" t="s">
        <v>20</v>
      </c>
      <c r="AU9" s="9" t="s">
        <v>23</v>
      </c>
      <c r="AV9" s="32">
        <v>5000.0</v>
      </c>
      <c r="AW9" s="32">
        <v>5000.0</v>
      </c>
      <c r="AY9" s="32">
        <v>1200.0</v>
      </c>
      <c r="AZ9" s="9">
        <v>700.0</v>
      </c>
      <c r="BA9" s="9" t="s">
        <v>50</v>
      </c>
    </row>
    <row r="10" ht="15.75" customHeight="1">
      <c r="A10" s="8"/>
      <c r="B10" s="8"/>
      <c r="C10" s="8"/>
      <c r="D10" s="13">
        <v>10.0</v>
      </c>
      <c r="E10" s="8"/>
      <c r="F10" s="13">
        <v>0.0</v>
      </c>
      <c r="G10" s="8"/>
      <c r="H10" s="13" t="s">
        <v>29</v>
      </c>
      <c r="I10" s="13" t="s">
        <v>50</v>
      </c>
      <c r="J10" s="13" t="s">
        <v>45</v>
      </c>
      <c r="K10" s="13" t="s">
        <v>47</v>
      </c>
      <c r="L10" s="8"/>
      <c r="M10" s="8"/>
      <c r="N10" s="8"/>
      <c r="O10" s="8"/>
      <c r="S10" s="9">
        <v>0.0</v>
      </c>
      <c r="T10" s="9">
        <v>0.0</v>
      </c>
      <c r="U10" s="9" t="s">
        <v>44</v>
      </c>
      <c r="AD10" s="9">
        <v>1.0</v>
      </c>
      <c r="AH10" s="9" t="s">
        <v>30</v>
      </c>
      <c r="AI10" s="9" t="s">
        <v>45</v>
      </c>
      <c r="AJ10" s="9" t="s">
        <v>19</v>
      </c>
      <c r="AK10" s="9" t="s">
        <v>38</v>
      </c>
      <c r="AL10" s="32">
        <v>200000.0</v>
      </c>
      <c r="AM10" s="32">
        <v>200000.0</v>
      </c>
      <c r="AO10" s="32">
        <v>200000.0</v>
      </c>
      <c r="AQ10" s="9">
        <v>10.0</v>
      </c>
      <c r="AR10" s="9">
        <v>10.0</v>
      </c>
      <c r="AS10" s="9" t="s">
        <v>32</v>
      </c>
      <c r="AT10" s="9" t="s">
        <v>43</v>
      </c>
      <c r="AU10" s="9" t="s">
        <v>33</v>
      </c>
      <c r="AV10" s="32">
        <v>2000000.0</v>
      </c>
      <c r="AW10" s="32">
        <v>2000000.0</v>
      </c>
      <c r="AY10" s="32">
        <v>200000.0</v>
      </c>
      <c r="AZ10" s="9">
        <v>0.0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13">
        <v>10.0</v>
      </c>
      <c r="E6" s="8"/>
      <c r="F6" s="13">
        <v>0.0</v>
      </c>
      <c r="G6" s="8"/>
      <c r="H6" s="13" t="s">
        <v>29</v>
      </c>
      <c r="I6" s="13"/>
      <c r="J6" s="13" t="s">
        <v>45</v>
      </c>
      <c r="K6" s="13" t="s">
        <v>47</v>
      </c>
      <c r="L6" s="8"/>
      <c r="M6" s="8"/>
      <c r="N6" s="8"/>
      <c r="O6" s="8"/>
      <c r="S6" s="9">
        <v>0.0</v>
      </c>
      <c r="T6" s="9">
        <v>0.0</v>
      </c>
      <c r="U6" s="9" t="s">
        <v>44</v>
      </c>
      <c r="AD6" s="9">
        <v>1.0</v>
      </c>
      <c r="AH6" s="9" t="s">
        <v>30</v>
      </c>
      <c r="AI6" s="9" t="s">
        <v>45</v>
      </c>
      <c r="AJ6" s="9" t="s">
        <v>19</v>
      </c>
      <c r="AK6" s="9" t="s">
        <v>38</v>
      </c>
      <c r="AL6" s="32">
        <v>200000.0</v>
      </c>
      <c r="AM6" s="32">
        <v>200000.0</v>
      </c>
      <c r="AO6" s="32">
        <v>200000.0</v>
      </c>
      <c r="AQ6" s="9">
        <v>10.0</v>
      </c>
      <c r="AR6" s="9">
        <v>10.0</v>
      </c>
      <c r="AS6" s="9" t="s">
        <v>32</v>
      </c>
      <c r="AT6" s="9" t="s">
        <v>43</v>
      </c>
      <c r="AU6" s="9" t="s">
        <v>33</v>
      </c>
      <c r="AV6" s="32">
        <v>2000000.0</v>
      </c>
      <c r="AW6" s="32">
        <v>2000000.0</v>
      </c>
      <c r="AY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1"/>
      <c r="F6" s="13">
        <v>0.0</v>
      </c>
      <c r="G6" s="8"/>
      <c r="H6" s="13" t="s">
        <v>29</v>
      </c>
      <c r="I6" s="13" t="s">
        <v>50</v>
      </c>
      <c r="J6" s="13" t="s">
        <v>18</v>
      </c>
      <c r="K6" s="13" t="s">
        <v>47</v>
      </c>
      <c r="L6" s="8"/>
      <c r="M6" s="8"/>
      <c r="N6" s="8"/>
      <c r="O6" s="8"/>
      <c r="S6" s="9">
        <v>0.0</v>
      </c>
      <c r="T6" s="9">
        <v>0.0</v>
      </c>
      <c r="U6" s="9" t="s">
        <v>44</v>
      </c>
      <c r="AD6" s="9">
        <v>1.0</v>
      </c>
      <c r="AH6" s="9" t="s">
        <v>30</v>
      </c>
      <c r="AI6" s="9" t="s">
        <v>18</v>
      </c>
      <c r="AJ6" s="9" t="s">
        <v>19</v>
      </c>
      <c r="AK6" s="9" t="s">
        <v>38</v>
      </c>
      <c r="AL6" s="9">
        <v>100.0</v>
      </c>
      <c r="AM6" s="9">
        <v>100.0</v>
      </c>
      <c r="AO6" s="9">
        <v>100.0</v>
      </c>
      <c r="AQ6" s="9">
        <v>10.0</v>
      </c>
      <c r="AR6" s="9">
        <v>10.0</v>
      </c>
      <c r="AS6" s="9" t="s">
        <v>32</v>
      </c>
      <c r="AT6" s="9" t="s">
        <v>20</v>
      </c>
      <c r="AU6" s="9" t="s">
        <v>33</v>
      </c>
      <c r="AV6" s="32">
        <v>1000.0</v>
      </c>
      <c r="AW6" s="32">
        <v>1000.0</v>
      </c>
      <c r="AY6" s="9">
        <v>100.0</v>
      </c>
      <c r="AZ6" s="9">
        <v>0.0</v>
      </c>
      <c r="BA6" s="9" t="s">
        <v>50</v>
      </c>
    </row>
    <row r="7" ht="15.75" customHeight="1">
      <c r="A7" s="8"/>
      <c r="B7" s="8"/>
      <c r="C7" s="8"/>
      <c r="D7" s="13">
        <v>10.0</v>
      </c>
      <c r="E7" s="8"/>
      <c r="F7" s="13">
        <v>0.0</v>
      </c>
      <c r="G7" s="8"/>
      <c r="H7" s="13" t="s">
        <v>29</v>
      </c>
      <c r="I7" s="13" t="s">
        <v>50</v>
      </c>
      <c r="J7" s="13" t="s">
        <v>21</v>
      </c>
      <c r="K7" s="13" t="s">
        <v>47</v>
      </c>
      <c r="L7" s="8"/>
      <c r="M7" s="8"/>
      <c r="N7" s="8"/>
      <c r="O7" s="8"/>
      <c r="S7" s="9">
        <v>0.0</v>
      </c>
      <c r="T7" s="9">
        <v>0.0</v>
      </c>
      <c r="U7" s="9" t="s">
        <v>44</v>
      </c>
      <c r="AD7" s="9">
        <v>1.0</v>
      </c>
      <c r="AH7" s="9" t="s">
        <v>30</v>
      </c>
      <c r="AI7" s="9" t="s">
        <v>21</v>
      </c>
      <c r="AJ7" s="9" t="s">
        <v>22</v>
      </c>
      <c r="AK7" s="9" t="s">
        <v>38</v>
      </c>
      <c r="AL7" s="9">
        <v>500.0</v>
      </c>
      <c r="AM7" s="9">
        <v>500.0</v>
      </c>
      <c r="AO7" s="9">
        <v>500.0</v>
      </c>
      <c r="AQ7" s="9">
        <v>10.0</v>
      </c>
      <c r="AR7" s="9">
        <v>10.0</v>
      </c>
      <c r="AS7" s="9" t="s">
        <v>32</v>
      </c>
      <c r="AT7" s="9" t="s">
        <v>20</v>
      </c>
      <c r="AU7" s="9" t="s">
        <v>23</v>
      </c>
      <c r="AV7" s="32">
        <v>-5000.0</v>
      </c>
      <c r="AW7" s="32">
        <v>-5000.0</v>
      </c>
      <c r="AY7" s="9">
        <v>500.0</v>
      </c>
      <c r="AZ7" s="9">
        <v>0.0</v>
      </c>
      <c r="BA7" s="9" t="s">
        <v>50</v>
      </c>
    </row>
    <row r="8" ht="15.75" customHeight="1">
      <c r="A8" s="8"/>
      <c r="B8" s="8"/>
      <c r="C8" s="8"/>
      <c r="D8" s="13">
        <v>10.0</v>
      </c>
      <c r="E8" s="8"/>
      <c r="F8" s="13">
        <v>0.0</v>
      </c>
      <c r="G8" s="8"/>
      <c r="H8" s="13" t="s">
        <v>29</v>
      </c>
      <c r="I8" s="13" t="s">
        <v>50</v>
      </c>
      <c r="J8" s="13" t="s">
        <v>18</v>
      </c>
      <c r="K8" s="13" t="s">
        <v>47</v>
      </c>
      <c r="L8" s="8"/>
      <c r="M8" s="8"/>
      <c r="N8" s="8"/>
      <c r="O8" s="8"/>
      <c r="S8" s="9">
        <v>0.0</v>
      </c>
      <c r="T8" s="9">
        <v>0.0</v>
      </c>
      <c r="U8" s="9" t="s">
        <v>44</v>
      </c>
      <c r="AD8" s="9">
        <v>1.0</v>
      </c>
      <c r="AH8" s="9" t="s">
        <v>30</v>
      </c>
      <c r="AI8" s="9" t="s">
        <v>18</v>
      </c>
      <c r="AJ8" s="9" t="s">
        <v>25</v>
      </c>
      <c r="AK8" s="9" t="s">
        <v>38</v>
      </c>
      <c r="AL8" s="9">
        <v>500.0</v>
      </c>
      <c r="AM8" s="9">
        <v>500.0</v>
      </c>
      <c r="AO8" s="9">
        <v>500.0</v>
      </c>
      <c r="AQ8" s="9">
        <v>10.0</v>
      </c>
      <c r="AR8" s="9">
        <v>10.0</v>
      </c>
      <c r="AS8" s="9" t="s">
        <v>32</v>
      </c>
      <c r="AT8" s="9" t="s">
        <v>20</v>
      </c>
      <c r="AU8" s="9" t="s">
        <v>33</v>
      </c>
      <c r="AV8" s="32">
        <v>-5000.0</v>
      </c>
      <c r="AW8" s="32">
        <v>-5000.0</v>
      </c>
      <c r="AY8" s="9">
        <v>500.0</v>
      </c>
      <c r="AZ8" s="9">
        <v>0.0</v>
      </c>
      <c r="BA8" s="9" t="s">
        <v>50</v>
      </c>
    </row>
    <row r="9" ht="15.75" customHeight="1">
      <c r="A9" s="8"/>
      <c r="B9" s="8"/>
      <c r="C9" s="8"/>
      <c r="D9" s="13">
        <v>10.0</v>
      </c>
      <c r="E9" s="8"/>
      <c r="F9" s="13">
        <v>0.0</v>
      </c>
      <c r="G9" s="8"/>
      <c r="H9" s="13" t="s">
        <v>29</v>
      </c>
      <c r="I9" s="13" t="s">
        <v>50</v>
      </c>
      <c r="J9" s="13" t="s">
        <v>21</v>
      </c>
      <c r="K9" s="13" t="s">
        <v>47</v>
      </c>
      <c r="L9" s="8"/>
      <c r="M9" s="8"/>
      <c r="N9" s="8"/>
      <c r="O9" s="8"/>
      <c r="S9" s="9">
        <v>0.0</v>
      </c>
      <c r="T9" s="9">
        <v>0.0</v>
      </c>
      <c r="U9" s="9" t="s">
        <v>44</v>
      </c>
      <c r="AD9" s="9">
        <v>1.0</v>
      </c>
      <c r="AH9" s="9" t="s">
        <v>30</v>
      </c>
      <c r="AI9" s="9" t="s">
        <v>21</v>
      </c>
      <c r="AJ9" s="9" t="s">
        <v>26</v>
      </c>
      <c r="AK9" s="9" t="s">
        <v>51</v>
      </c>
      <c r="AL9" s="32">
        <v>1200.0</v>
      </c>
      <c r="AM9" s="32">
        <v>500.0</v>
      </c>
      <c r="AO9" s="32">
        <v>500.0</v>
      </c>
      <c r="AQ9" s="9">
        <v>0.0</v>
      </c>
      <c r="AR9" s="9">
        <v>10.0</v>
      </c>
      <c r="AS9" s="9" t="s">
        <v>32</v>
      </c>
      <c r="AT9" s="9" t="s">
        <v>20</v>
      </c>
      <c r="AU9" s="9" t="s">
        <v>23</v>
      </c>
      <c r="AV9" s="32">
        <v>5000.0</v>
      </c>
      <c r="AW9" s="32">
        <v>5000.0</v>
      </c>
      <c r="AY9" s="32">
        <v>1200.0</v>
      </c>
      <c r="AZ9" s="9">
        <v>700.0</v>
      </c>
      <c r="BA9" s="9" t="s">
        <v>50</v>
      </c>
    </row>
    <row r="10" ht="15.75" customHeight="1">
      <c r="A10" s="8"/>
      <c r="B10" s="8"/>
      <c r="C10" s="8"/>
      <c r="D10" s="13">
        <v>10.0</v>
      </c>
      <c r="E10" s="8"/>
      <c r="F10" s="13">
        <v>0.0</v>
      </c>
      <c r="G10" s="8"/>
      <c r="H10" s="13" t="s">
        <v>29</v>
      </c>
      <c r="I10" s="13" t="s">
        <v>48</v>
      </c>
      <c r="J10" s="13" t="s">
        <v>45</v>
      </c>
      <c r="K10" s="13" t="s">
        <v>47</v>
      </c>
      <c r="L10" s="8"/>
      <c r="M10" s="8"/>
      <c r="N10" s="8"/>
      <c r="O10" s="8"/>
      <c r="S10" s="9">
        <v>0.0</v>
      </c>
      <c r="T10" s="9">
        <v>0.0</v>
      </c>
      <c r="U10" s="9" t="s">
        <v>44</v>
      </c>
      <c r="AD10" s="9">
        <v>1.0</v>
      </c>
      <c r="AH10" s="9" t="s">
        <v>30</v>
      </c>
      <c r="AI10" s="9" t="s">
        <v>45</v>
      </c>
      <c r="AJ10" s="9" t="s">
        <v>19</v>
      </c>
      <c r="AK10" s="9" t="s">
        <v>38</v>
      </c>
      <c r="AL10" s="32">
        <v>200000.0</v>
      </c>
      <c r="AM10" s="32">
        <v>200000.0</v>
      </c>
      <c r="AO10" s="32">
        <v>200000.0</v>
      </c>
      <c r="AQ10" s="9">
        <v>10.0</v>
      </c>
      <c r="AR10" s="9">
        <v>10.0</v>
      </c>
      <c r="AS10" s="9" t="s">
        <v>32</v>
      </c>
      <c r="AT10" s="9" t="s">
        <v>43</v>
      </c>
      <c r="AU10" s="9" t="s">
        <v>33</v>
      </c>
      <c r="AV10" s="32">
        <v>2000000.0</v>
      </c>
      <c r="AW10" s="32">
        <v>2000000.0</v>
      </c>
      <c r="AY10" s="32">
        <v>200000.0</v>
      </c>
      <c r="AZ10" s="9">
        <v>0.0</v>
      </c>
      <c r="BA10" s="9" t="s">
        <v>50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 t="str">
        <f>IFERROR(__xludf.DUMMYFUNCTION("""COMPUTED_VALUE"""),"SetAllocationPreferences")</f>
        <v>SetAllocationPreferences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IFERROR(__xludf.DUMMYFUNCTION("""COMPUTED_VALUE"""),"RestrictedSecuritiesList")</f>
        <v>RestrictedSecuritiesList</v>
      </c>
      <c r="C5" s="28" t="str">
        <f>IFERROR(__xludf.DUMMYFUNCTION("""COMPUTED_VALUE"""),"AllowedSecuritiesList")</f>
        <v>AllowedSecuritiesList</v>
      </c>
      <c r="D5" s="28" t="str">
        <f>IFERROR(__xludf.DUMMYFUNCTION("""COMPUTED_VALUE"""),"AllowAllUserToCancelReplaceRemove")</f>
        <v>AllowAllUserToCancelReplaceRemove</v>
      </c>
      <c r="E5" s="28" t="str">
        <f>IFERROR(__xludf.DUMMYFUNCTION("""COMPUTED_VALUE"""),"MasterUserPermission")</f>
        <v>MasterUserPermission</v>
      </c>
      <c r="F5" s="29" t="str">
        <f>IFERROR(__xludf.DUMMYFUNCTION("""COMPUTED_VALUE"""),"AllowAllUserToTransferTrade")</f>
        <v>AllowAllUserToTransferTrade</v>
      </c>
      <c r="G5" s="28" t="str">
        <f>IFERROR(__xludf.DUMMYFUNCTION("""COMPUTED_VALUE"""),"DefaultOrderType")</f>
        <v>DefaultOrderType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13" t="s">
        <v>54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13">
        <v>10.0</v>
      </c>
      <c r="E6" s="8"/>
      <c r="F6" s="13">
        <v>0.0</v>
      </c>
      <c r="G6" s="8"/>
      <c r="H6" s="13" t="s">
        <v>29</v>
      </c>
      <c r="I6" s="13"/>
      <c r="J6" s="13" t="s">
        <v>45</v>
      </c>
      <c r="K6" s="13" t="s">
        <v>47</v>
      </c>
      <c r="L6" s="8"/>
      <c r="M6" s="8"/>
      <c r="N6" s="8"/>
      <c r="O6" s="8"/>
      <c r="S6" s="9">
        <v>0.0</v>
      </c>
      <c r="T6" s="9">
        <v>0.0</v>
      </c>
      <c r="U6" s="9" t="s">
        <v>44</v>
      </c>
      <c r="AD6" s="9">
        <v>1.0</v>
      </c>
      <c r="AH6" s="9" t="s">
        <v>30</v>
      </c>
      <c r="AI6" s="9" t="s">
        <v>45</v>
      </c>
      <c r="AJ6" s="9" t="s">
        <v>19</v>
      </c>
      <c r="AK6" s="9" t="s">
        <v>38</v>
      </c>
      <c r="AL6" s="32">
        <v>200000.0</v>
      </c>
      <c r="AM6" s="32">
        <v>200000.0</v>
      </c>
      <c r="AO6" s="32">
        <v>200000.0</v>
      </c>
      <c r="AQ6" s="9">
        <v>10.0</v>
      </c>
      <c r="AR6" s="9">
        <v>10.0</v>
      </c>
      <c r="AS6" s="9" t="s">
        <v>32</v>
      </c>
      <c r="AT6" s="9" t="s">
        <v>43</v>
      </c>
      <c r="AU6" s="9" t="s">
        <v>33</v>
      </c>
      <c r="AV6" s="32">
        <v>2000000.0</v>
      </c>
      <c r="AW6" s="32">
        <v>2000000.0</v>
      </c>
      <c r="AY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45</v>
      </c>
      <c r="C6" s="13" t="s">
        <v>19</v>
      </c>
      <c r="D6" s="13">
        <v>300000.0</v>
      </c>
      <c r="E6" s="13">
        <v>300000.0</v>
      </c>
      <c r="F6" s="13" t="s">
        <v>43</v>
      </c>
      <c r="G6" s="8"/>
      <c r="H6" s="8"/>
      <c r="I6" s="8"/>
      <c r="J6" s="13">
        <v>20.0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CreateReplaceOrder1!$4:$4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1"/>
      <c r="F6" s="13">
        <v>0.0</v>
      </c>
      <c r="G6" s="8"/>
      <c r="H6" s="13" t="s">
        <v>29</v>
      </c>
      <c r="I6" s="13" t="s">
        <v>50</v>
      </c>
      <c r="J6" s="13" t="s">
        <v>18</v>
      </c>
      <c r="K6" s="13" t="s">
        <v>47</v>
      </c>
      <c r="L6" s="8"/>
      <c r="M6" s="8"/>
      <c r="N6" s="8"/>
      <c r="O6" s="8"/>
      <c r="S6" s="9">
        <v>0.0</v>
      </c>
      <c r="T6" s="9">
        <v>0.0</v>
      </c>
      <c r="U6" s="9" t="s">
        <v>44</v>
      </c>
      <c r="AD6" s="9">
        <v>1.0</v>
      </c>
      <c r="AH6" s="9" t="s">
        <v>30</v>
      </c>
      <c r="AI6" s="9" t="s">
        <v>18</v>
      </c>
      <c r="AJ6" s="9" t="s">
        <v>19</v>
      </c>
      <c r="AK6" s="9" t="s">
        <v>38</v>
      </c>
      <c r="AL6" s="9">
        <v>100.0</v>
      </c>
      <c r="AM6" s="9">
        <v>100.0</v>
      </c>
      <c r="AO6" s="9">
        <v>100.0</v>
      </c>
      <c r="AQ6" s="9">
        <v>10.0</v>
      </c>
      <c r="AR6" s="9">
        <v>10.0</v>
      </c>
      <c r="AS6" s="9" t="s">
        <v>32</v>
      </c>
      <c r="AT6" s="9" t="s">
        <v>20</v>
      </c>
      <c r="AU6" s="9" t="s">
        <v>33</v>
      </c>
      <c r="AV6" s="32">
        <v>1000.0</v>
      </c>
      <c r="AW6" s="32">
        <v>1000.0</v>
      </c>
      <c r="AY6" s="9">
        <v>100.0</v>
      </c>
      <c r="AZ6" s="9">
        <v>0.0</v>
      </c>
      <c r="BA6" s="9" t="s">
        <v>50</v>
      </c>
    </row>
    <row r="7" ht="15.75" customHeight="1">
      <c r="A7" s="8"/>
      <c r="B7" s="8"/>
      <c r="C7" s="8"/>
      <c r="D7" s="13">
        <v>10.0</v>
      </c>
      <c r="E7" s="8"/>
      <c r="F7" s="13">
        <v>0.0</v>
      </c>
      <c r="G7" s="8"/>
      <c r="H7" s="13" t="s">
        <v>29</v>
      </c>
      <c r="I7" s="13" t="s">
        <v>50</v>
      </c>
      <c r="J7" s="13" t="s">
        <v>21</v>
      </c>
      <c r="K7" s="13" t="s">
        <v>47</v>
      </c>
      <c r="L7" s="8"/>
      <c r="M7" s="8"/>
      <c r="N7" s="8"/>
      <c r="O7" s="8"/>
      <c r="S7" s="9">
        <v>0.0</v>
      </c>
      <c r="T7" s="9">
        <v>0.0</v>
      </c>
      <c r="U7" s="9" t="s">
        <v>44</v>
      </c>
      <c r="AD7" s="9">
        <v>1.0</v>
      </c>
      <c r="AH7" s="9" t="s">
        <v>30</v>
      </c>
      <c r="AI7" s="9" t="s">
        <v>21</v>
      </c>
      <c r="AJ7" s="9" t="s">
        <v>22</v>
      </c>
      <c r="AK7" s="9" t="s">
        <v>38</v>
      </c>
      <c r="AL7" s="9">
        <v>500.0</v>
      </c>
      <c r="AM7" s="9">
        <v>500.0</v>
      </c>
      <c r="AO7" s="9">
        <v>500.0</v>
      </c>
      <c r="AQ7" s="9">
        <v>10.0</v>
      </c>
      <c r="AR7" s="9">
        <v>10.0</v>
      </c>
      <c r="AS7" s="9" t="s">
        <v>32</v>
      </c>
      <c r="AT7" s="9" t="s">
        <v>20</v>
      </c>
      <c r="AU7" s="9" t="s">
        <v>23</v>
      </c>
      <c r="AV7" s="32">
        <v>-5000.0</v>
      </c>
      <c r="AW7" s="32">
        <v>-5000.0</v>
      </c>
      <c r="AY7" s="9">
        <v>500.0</v>
      </c>
      <c r="AZ7" s="9">
        <v>0.0</v>
      </c>
      <c r="BA7" s="9" t="s">
        <v>50</v>
      </c>
    </row>
    <row r="8" ht="15.75" customHeight="1">
      <c r="A8" s="8"/>
      <c r="B8" s="8"/>
      <c r="C8" s="8"/>
      <c r="D8" s="13">
        <v>10.0</v>
      </c>
      <c r="E8" s="8"/>
      <c r="F8" s="13">
        <v>0.0</v>
      </c>
      <c r="G8" s="8"/>
      <c r="H8" s="13" t="s">
        <v>29</v>
      </c>
      <c r="I8" s="13" t="s">
        <v>50</v>
      </c>
      <c r="J8" s="13" t="s">
        <v>18</v>
      </c>
      <c r="K8" s="13" t="s">
        <v>47</v>
      </c>
      <c r="L8" s="8"/>
      <c r="M8" s="8"/>
      <c r="N8" s="8"/>
      <c r="O8" s="8"/>
      <c r="S8" s="9">
        <v>0.0</v>
      </c>
      <c r="T8" s="9">
        <v>0.0</v>
      </c>
      <c r="U8" s="9" t="s">
        <v>44</v>
      </c>
      <c r="AD8" s="9">
        <v>1.0</v>
      </c>
      <c r="AH8" s="9" t="s">
        <v>30</v>
      </c>
      <c r="AI8" s="9" t="s">
        <v>18</v>
      </c>
      <c r="AJ8" s="9" t="s">
        <v>25</v>
      </c>
      <c r="AK8" s="9" t="s">
        <v>38</v>
      </c>
      <c r="AL8" s="9">
        <v>500.0</v>
      </c>
      <c r="AM8" s="9">
        <v>500.0</v>
      </c>
      <c r="AO8" s="9">
        <v>500.0</v>
      </c>
      <c r="AQ8" s="9">
        <v>10.0</v>
      </c>
      <c r="AR8" s="9">
        <v>10.0</v>
      </c>
      <c r="AS8" s="9" t="s">
        <v>32</v>
      </c>
      <c r="AT8" s="9" t="s">
        <v>20</v>
      </c>
      <c r="AU8" s="9" t="s">
        <v>33</v>
      </c>
      <c r="AV8" s="32">
        <v>-5000.0</v>
      </c>
      <c r="AW8" s="32">
        <v>-5000.0</v>
      </c>
      <c r="AY8" s="9">
        <v>500.0</v>
      </c>
      <c r="AZ8" s="9">
        <v>0.0</v>
      </c>
      <c r="BA8" s="9" t="s">
        <v>50</v>
      </c>
    </row>
    <row r="9" ht="15.75" customHeight="1">
      <c r="A9" s="8"/>
      <c r="B9" s="8"/>
      <c r="C9" s="8"/>
      <c r="D9" s="13">
        <v>10.0</v>
      </c>
      <c r="E9" s="8"/>
      <c r="F9" s="13">
        <v>0.0</v>
      </c>
      <c r="G9" s="8"/>
      <c r="H9" s="13" t="s">
        <v>29</v>
      </c>
      <c r="I9" s="13" t="s">
        <v>50</v>
      </c>
      <c r="J9" s="13" t="s">
        <v>21</v>
      </c>
      <c r="K9" s="13" t="s">
        <v>47</v>
      </c>
      <c r="L9" s="8"/>
      <c r="M9" s="8"/>
      <c r="N9" s="8"/>
      <c r="O9" s="8"/>
      <c r="S9" s="9">
        <v>0.0</v>
      </c>
      <c r="T9" s="9">
        <v>0.0</v>
      </c>
      <c r="U9" s="9" t="s">
        <v>44</v>
      </c>
      <c r="AD9" s="9">
        <v>1.0</v>
      </c>
      <c r="AH9" s="9" t="s">
        <v>30</v>
      </c>
      <c r="AI9" s="9" t="s">
        <v>21</v>
      </c>
      <c r="AJ9" s="9" t="s">
        <v>26</v>
      </c>
      <c r="AK9" s="9" t="s">
        <v>51</v>
      </c>
      <c r="AL9" s="32">
        <v>1200.0</v>
      </c>
      <c r="AM9" s="32">
        <v>500.0</v>
      </c>
      <c r="AO9" s="32">
        <v>500.0</v>
      </c>
      <c r="AQ9" s="9">
        <v>0.0</v>
      </c>
      <c r="AR9" s="9">
        <v>10.0</v>
      </c>
      <c r="AS9" s="9" t="s">
        <v>32</v>
      </c>
      <c r="AT9" s="9" t="s">
        <v>20</v>
      </c>
      <c r="AU9" s="9" t="s">
        <v>23</v>
      </c>
      <c r="AV9" s="32">
        <v>5000.0</v>
      </c>
      <c r="AW9" s="32">
        <v>5000.0</v>
      </c>
      <c r="AY9" s="32">
        <v>1200.0</v>
      </c>
      <c r="AZ9" s="9">
        <v>700.0</v>
      </c>
      <c r="BA9" s="9" t="s">
        <v>50</v>
      </c>
    </row>
    <row r="10" ht="15.75" customHeight="1">
      <c r="A10" s="8"/>
      <c r="B10" s="8"/>
      <c r="C10" s="8"/>
      <c r="D10" s="13">
        <v>10.0</v>
      </c>
      <c r="E10" s="8"/>
      <c r="F10" s="13">
        <v>0.0</v>
      </c>
      <c r="G10" s="8"/>
      <c r="H10" s="13" t="s">
        <v>29</v>
      </c>
      <c r="I10" s="13" t="s">
        <v>48</v>
      </c>
      <c r="J10" s="13" t="s">
        <v>45</v>
      </c>
      <c r="K10" s="13" t="s">
        <v>47</v>
      </c>
      <c r="L10" s="8"/>
      <c r="M10" s="8"/>
      <c r="N10" s="8"/>
      <c r="O10" s="8"/>
      <c r="S10" s="9">
        <v>0.0</v>
      </c>
      <c r="T10" s="9">
        <v>0.0</v>
      </c>
      <c r="U10" s="9" t="s">
        <v>44</v>
      </c>
      <c r="AD10" s="9">
        <v>1.0</v>
      </c>
      <c r="AH10" s="9" t="s">
        <v>30</v>
      </c>
      <c r="AI10" s="9" t="s">
        <v>45</v>
      </c>
      <c r="AJ10" s="9" t="s">
        <v>19</v>
      </c>
      <c r="AK10" s="9" t="s">
        <v>51</v>
      </c>
      <c r="AL10" s="32">
        <v>300000.0</v>
      </c>
      <c r="AM10" s="32">
        <v>200000.0</v>
      </c>
      <c r="AO10" s="32">
        <v>200000.0</v>
      </c>
      <c r="AP10" s="32">
        <v>100000.0</v>
      </c>
      <c r="AQ10" s="9">
        <v>0.0</v>
      </c>
      <c r="AR10" s="9">
        <v>10.0</v>
      </c>
      <c r="AS10" s="9" t="s">
        <v>32</v>
      </c>
      <c r="AT10" s="9" t="s">
        <v>43</v>
      </c>
      <c r="AU10" s="9" t="s">
        <v>33</v>
      </c>
      <c r="AV10" s="32">
        <v>2000000.0</v>
      </c>
      <c r="AW10" s="32">
        <v>2000000.0</v>
      </c>
      <c r="AY10" s="32">
        <v>300000.0</v>
      </c>
      <c r="AZ10" s="32">
        <v>100000.0</v>
      </c>
      <c r="BA10" s="9" t="s">
        <v>50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57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 t="s">
        <v>20</v>
      </c>
      <c r="C6" s="8"/>
      <c r="D6" s="37">
        <v>0.0</v>
      </c>
      <c r="E6" s="37">
        <v>100.0</v>
      </c>
      <c r="F6" s="8"/>
      <c r="G6" s="38" t="s">
        <v>30</v>
      </c>
      <c r="H6" s="37">
        <v>4.0</v>
      </c>
      <c r="I6" s="37">
        <v>5.0</v>
      </c>
      <c r="J6" s="8"/>
      <c r="K6" s="37">
        <v>10.0</v>
      </c>
      <c r="L6" s="37">
        <v>10.0</v>
      </c>
      <c r="M6" s="8"/>
      <c r="N6" s="8"/>
      <c r="O6" s="38" t="s">
        <v>32</v>
      </c>
      <c r="Q6" s="37">
        <v>3.0</v>
      </c>
      <c r="R6" s="37">
        <v>0.0</v>
      </c>
      <c r="S6" s="38" t="s">
        <v>59</v>
      </c>
      <c r="T6" s="37">
        <v>0.0</v>
      </c>
      <c r="U6" s="37">
        <v>0.0</v>
      </c>
      <c r="Z6" s="38" t="s">
        <v>44</v>
      </c>
      <c r="AB6" s="37">
        <v>1.0</v>
      </c>
      <c r="AD6" s="38" t="s">
        <v>29</v>
      </c>
      <c r="AE6" s="37">
        <v>100.0</v>
      </c>
      <c r="AH6" s="38" t="s">
        <v>60</v>
      </c>
      <c r="AI6" s="37">
        <v>1.0</v>
      </c>
      <c r="AN6" s="38" t="s">
        <v>61</v>
      </c>
      <c r="AP6" s="38"/>
      <c r="AQ6" s="38" t="s">
        <v>61</v>
      </c>
      <c r="AR6" s="38" t="s">
        <v>62</v>
      </c>
      <c r="AT6" s="37">
        <v>1014.0006</v>
      </c>
      <c r="AU6" s="37">
        <v>1014.0006</v>
      </c>
      <c r="AW6" s="37">
        <v>0.0</v>
      </c>
      <c r="AX6" s="37">
        <v>0.0</v>
      </c>
      <c r="AY6" s="38" t="s">
        <v>33</v>
      </c>
      <c r="AZ6" s="37">
        <v>0.0</v>
      </c>
      <c r="BC6" s="37">
        <v>0.0</v>
      </c>
      <c r="BE6" s="37">
        <v>1000.0</v>
      </c>
      <c r="BF6" s="37">
        <v>1000.0</v>
      </c>
      <c r="BJ6" s="37">
        <v>100.0</v>
      </c>
      <c r="BK6" s="37">
        <v>0.0</v>
      </c>
      <c r="BM6" s="38" t="s">
        <v>44</v>
      </c>
      <c r="BO6" s="38" t="s">
        <v>19</v>
      </c>
      <c r="BP6" s="37">
        <v>0.0</v>
      </c>
      <c r="BQ6" s="37">
        <v>0.0</v>
      </c>
      <c r="BT6" s="38" t="s">
        <v>18</v>
      </c>
      <c r="BU6" s="37">
        <v>3.0</v>
      </c>
      <c r="BV6" s="37">
        <v>0.0</v>
      </c>
      <c r="BW6" s="37">
        <v>14.0006</v>
      </c>
      <c r="BX6" s="37">
        <v>0.0</v>
      </c>
      <c r="CF6" s="38" t="s">
        <v>63</v>
      </c>
      <c r="CG6" s="37">
        <v>2.0</v>
      </c>
      <c r="CH6" s="38" t="s">
        <v>16</v>
      </c>
      <c r="CJ6" s="37">
        <v>0.0</v>
      </c>
      <c r="CK6" s="38" t="s">
        <v>47</v>
      </c>
      <c r="CM6" s="38" t="s">
        <v>18</v>
      </c>
      <c r="CN6" s="38" t="s">
        <v>50</v>
      </c>
      <c r="CO6" s="38" t="s">
        <v>29</v>
      </c>
    </row>
    <row r="7" ht="15.75" customHeight="1">
      <c r="A7" s="8"/>
      <c r="B7" s="38" t="s">
        <v>20</v>
      </c>
      <c r="C7" s="8"/>
      <c r="D7" s="37">
        <v>0.0</v>
      </c>
      <c r="E7" s="37">
        <v>500.0</v>
      </c>
      <c r="F7" s="8"/>
      <c r="G7" s="38" t="s">
        <v>30</v>
      </c>
      <c r="H7" s="37">
        <v>4.0</v>
      </c>
      <c r="I7" s="37">
        <v>5.0</v>
      </c>
      <c r="J7" s="8"/>
      <c r="K7" s="37">
        <v>10.0</v>
      </c>
      <c r="L7" s="37">
        <v>10.0</v>
      </c>
      <c r="M7" s="8"/>
      <c r="N7" s="8"/>
      <c r="O7" s="38" t="s">
        <v>32</v>
      </c>
      <c r="Q7" s="37">
        <v>3.0</v>
      </c>
      <c r="R7" s="37">
        <v>0.0</v>
      </c>
      <c r="S7" s="38" t="s">
        <v>59</v>
      </c>
      <c r="T7" s="37">
        <v>0.0</v>
      </c>
      <c r="U7" s="37">
        <v>0.0</v>
      </c>
      <c r="Z7" s="38" t="s">
        <v>44</v>
      </c>
      <c r="AB7" s="37">
        <v>1.0</v>
      </c>
      <c r="AD7" s="38" t="s">
        <v>29</v>
      </c>
      <c r="AE7" s="37">
        <v>500.0</v>
      </c>
      <c r="AH7" s="38" t="s">
        <v>60</v>
      </c>
      <c r="AI7" s="37">
        <v>1.0</v>
      </c>
      <c r="AN7" s="38" t="s">
        <v>61</v>
      </c>
      <c r="AP7" s="38"/>
      <c r="AQ7" s="38" t="s">
        <v>61</v>
      </c>
      <c r="AR7" s="38" t="s">
        <v>62</v>
      </c>
      <c r="AT7" s="37">
        <v>4985.9972</v>
      </c>
      <c r="AU7" s="37">
        <v>4985.9972</v>
      </c>
      <c r="AW7" s="37">
        <v>0.0</v>
      </c>
      <c r="AX7" s="37">
        <v>0.0</v>
      </c>
      <c r="AY7" s="38" t="s">
        <v>23</v>
      </c>
      <c r="AZ7" s="37">
        <v>0.0</v>
      </c>
      <c r="BC7" s="37">
        <v>0.0</v>
      </c>
      <c r="BE7" s="37">
        <v>5000.0</v>
      </c>
      <c r="BF7" s="37">
        <v>5000.0</v>
      </c>
      <c r="BJ7" s="37">
        <v>500.0</v>
      </c>
      <c r="BK7" s="37">
        <v>0.0</v>
      </c>
      <c r="BM7" s="38" t="s">
        <v>44</v>
      </c>
      <c r="BO7" s="38" t="s">
        <v>22</v>
      </c>
      <c r="BP7" s="37">
        <v>0.0</v>
      </c>
      <c r="BQ7" s="37">
        <v>0.0</v>
      </c>
      <c r="BT7" s="38" t="s">
        <v>21</v>
      </c>
      <c r="BU7" s="37">
        <v>3.0</v>
      </c>
      <c r="BV7" s="37">
        <v>0.0</v>
      </c>
      <c r="BW7" s="37">
        <v>14.0028</v>
      </c>
      <c r="BX7" s="37">
        <v>0.0</v>
      </c>
      <c r="CF7" s="38" t="s">
        <v>63</v>
      </c>
      <c r="CG7" s="37">
        <v>2.0</v>
      </c>
      <c r="CH7" s="38" t="s">
        <v>16</v>
      </c>
      <c r="CJ7" s="37">
        <v>0.0</v>
      </c>
      <c r="CK7" s="38" t="s">
        <v>47</v>
      </c>
      <c r="CM7" s="38" t="s">
        <v>21</v>
      </c>
      <c r="CN7" s="38" t="s">
        <v>50</v>
      </c>
      <c r="CO7" s="38" t="s">
        <v>29</v>
      </c>
    </row>
    <row r="8" ht="15.75" customHeight="1">
      <c r="A8" s="8"/>
      <c r="B8" s="38" t="s">
        <v>20</v>
      </c>
      <c r="C8" s="8"/>
      <c r="D8" s="37">
        <v>0.0</v>
      </c>
      <c r="E8" s="37">
        <v>500.0</v>
      </c>
      <c r="F8" s="8"/>
      <c r="G8" s="38" t="s">
        <v>30</v>
      </c>
      <c r="H8" s="37">
        <v>4.0</v>
      </c>
      <c r="I8" s="37">
        <v>5.0</v>
      </c>
      <c r="J8" s="8"/>
      <c r="K8" s="37">
        <v>10.0</v>
      </c>
      <c r="L8" s="37">
        <v>10.0</v>
      </c>
      <c r="M8" s="8"/>
      <c r="N8" s="8"/>
      <c r="O8" s="38" t="s">
        <v>32</v>
      </c>
      <c r="Q8" s="37">
        <v>3.0</v>
      </c>
      <c r="R8" s="37">
        <v>0.0</v>
      </c>
      <c r="S8" s="38" t="s">
        <v>59</v>
      </c>
      <c r="T8" s="37">
        <v>0.0</v>
      </c>
      <c r="U8" s="37">
        <v>0.0</v>
      </c>
      <c r="Z8" s="38" t="s">
        <v>44</v>
      </c>
      <c r="AB8" s="37">
        <v>1.0</v>
      </c>
      <c r="AD8" s="38" t="s">
        <v>29</v>
      </c>
      <c r="AE8" s="37">
        <v>500.0</v>
      </c>
      <c r="AH8" s="38" t="s">
        <v>60</v>
      </c>
      <c r="AI8" s="37">
        <v>1.0</v>
      </c>
      <c r="AN8" s="38" t="s">
        <v>61</v>
      </c>
      <c r="AP8" s="38"/>
      <c r="AQ8" s="38" t="s">
        <v>61</v>
      </c>
      <c r="AR8" s="38" t="s">
        <v>62</v>
      </c>
      <c r="AT8" s="37">
        <v>4985.9972</v>
      </c>
      <c r="AU8" s="37">
        <v>4985.9972</v>
      </c>
      <c r="AW8" s="37">
        <v>0.0</v>
      </c>
      <c r="AX8" s="37">
        <v>0.0</v>
      </c>
      <c r="AY8" s="38" t="s">
        <v>33</v>
      </c>
      <c r="AZ8" s="37">
        <v>0.0</v>
      </c>
      <c r="BC8" s="37">
        <v>0.0</v>
      </c>
      <c r="BE8" s="37">
        <v>5000.0</v>
      </c>
      <c r="BF8" s="37">
        <v>5000.0</v>
      </c>
      <c r="BJ8" s="37">
        <v>500.0</v>
      </c>
      <c r="BK8" s="37">
        <v>0.0</v>
      </c>
      <c r="BM8" s="38" t="s">
        <v>44</v>
      </c>
      <c r="BO8" s="38" t="s">
        <v>25</v>
      </c>
      <c r="BP8" s="37">
        <v>0.0</v>
      </c>
      <c r="BQ8" s="37">
        <v>0.0</v>
      </c>
      <c r="BT8" s="38" t="s">
        <v>18</v>
      </c>
      <c r="BU8" s="37">
        <v>3.0</v>
      </c>
      <c r="BV8" s="37">
        <v>0.0</v>
      </c>
      <c r="BW8" s="37">
        <v>14.0028</v>
      </c>
      <c r="BX8" s="37">
        <v>0.0</v>
      </c>
      <c r="CF8" s="38" t="s">
        <v>63</v>
      </c>
      <c r="CG8" s="37">
        <v>2.0</v>
      </c>
      <c r="CH8" s="38" t="s">
        <v>16</v>
      </c>
      <c r="CJ8" s="37">
        <v>0.0</v>
      </c>
      <c r="CK8" s="38" t="s">
        <v>47</v>
      </c>
      <c r="CM8" s="38" t="s">
        <v>18</v>
      </c>
      <c r="CN8" s="38" t="s">
        <v>50</v>
      </c>
      <c r="CO8" s="38" t="s">
        <v>29</v>
      </c>
    </row>
    <row r="9" ht="15.75" customHeight="1">
      <c r="A9" s="8"/>
      <c r="B9" s="38" t="s">
        <v>20</v>
      </c>
      <c r="C9" s="8"/>
      <c r="D9" s="37">
        <v>0.0</v>
      </c>
      <c r="E9" s="37">
        <v>500.0</v>
      </c>
      <c r="F9" s="8"/>
      <c r="G9" s="38" t="s">
        <v>30</v>
      </c>
      <c r="H9" s="37">
        <v>4.0</v>
      </c>
      <c r="I9" s="37">
        <v>5.0</v>
      </c>
      <c r="J9" s="8"/>
      <c r="K9" s="37">
        <v>10.0</v>
      </c>
      <c r="L9" s="37">
        <v>10.0</v>
      </c>
      <c r="M9" s="8"/>
      <c r="N9" s="8"/>
      <c r="O9" s="38" t="s">
        <v>32</v>
      </c>
      <c r="Q9" s="37">
        <v>3.0</v>
      </c>
      <c r="R9" s="37">
        <v>0.0</v>
      </c>
      <c r="S9" s="38" t="s">
        <v>59</v>
      </c>
      <c r="T9" s="37">
        <v>0.0</v>
      </c>
      <c r="U9" s="37">
        <v>0.0</v>
      </c>
      <c r="Z9" s="38" t="s">
        <v>44</v>
      </c>
      <c r="AB9" s="37">
        <v>1.0</v>
      </c>
      <c r="AD9" s="38" t="s">
        <v>29</v>
      </c>
      <c r="AE9" s="37">
        <v>500.0</v>
      </c>
      <c r="AH9" s="38" t="s">
        <v>60</v>
      </c>
      <c r="AI9" s="37">
        <v>1.0</v>
      </c>
      <c r="AN9" s="38" t="s">
        <v>61</v>
      </c>
      <c r="AP9" s="38"/>
      <c r="AQ9" s="38" t="s">
        <v>61</v>
      </c>
      <c r="AR9" s="38" t="s">
        <v>62</v>
      </c>
      <c r="AT9" s="37">
        <v>5014.0028</v>
      </c>
      <c r="AU9" s="37">
        <v>5014.0028</v>
      </c>
      <c r="AW9" s="37">
        <v>0.0</v>
      </c>
      <c r="AX9" s="37">
        <v>0.0</v>
      </c>
      <c r="AY9" s="38" t="s">
        <v>23</v>
      </c>
      <c r="AZ9" s="37">
        <v>0.0</v>
      </c>
      <c r="BC9" s="37">
        <v>0.0</v>
      </c>
      <c r="BE9" s="37">
        <v>5000.0</v>
      </c>
      <c r="BF9" s="37">
        <v>5000.0</v>
      </c>
      <c r="BJ9" s="39">
        <v>1200.0</v>
      </c>
      <c r="BK9" s="37">
        <v>0.0</v>
      </c>
      <c r="BM9" s="38" t="s">
        <v>44</v>
      </c>
      <c r="BO9" s="38" t="s">
        <v>26</v>
      </c>
      <c r="BP9" s="37">
        <v>0.0</v>
      </c>
      <c r="BQ9" s="37">
        <v>0.0</v>
      </c>
      <c r="BT9" s="38" t="s">
        <v>21</v>
      </c>
      <c r="BU9" s="37">
        <v>3.0</v>
      </c>
      <c r="BV9" s="37">
        <v>0.0</v>
      </c>
      <c r="BW9" s="37">
        <v>14.0028</v>
      </c>
      <c r="BX9" s="37">
        <v>0.0</v>
      </c>
      <c r="CF9" s="38" t="s">
        <v>63</v>
      </c>
      <c r="CG9" s="37">
        <v>2.0</v>
      </c>
      <c r="CH9" s="38" t="s">
        <v>16</v>
      </c>
      <c r="CJ9" s="37">
        <v>0.0</v>
      </c>
      <c r="CK9" s="38" t="s">
        <v>47</v>
      </c>
      <c r="CM9" s="38" t="s">
        <v>21</v>
      </c>
      <c r="CN9" s="38" t="s">
        <v>50</v>
      </c>
      <c r="CO9" s="38" t="s">
        <v>29</v>
      </c>
    </row>
    <row r="10" ht="15.75" customHeight="1">
      <c r="A10" s="8"/>
      <c r="B10" s="38" t="s">
        <v>43</v>
      </c>
      <c r="C10" s="8"/>
      <c r="D10" s="37">
        <v>0.0</v>
      </c>
      <c r="E10" s="37">
        <v>200000.0</v>
      </c>
      <c r="F10" s="8"/>
      <c r="G10" s="38" t="s">
        <v>30</v>
      </c>
      <c r="H10" s="37">
        <v>18000.0</v>
      </c>
      <c r="I10" s="37">
        <v>0.0</v>
      </c>
      <c r="J10" s="8"/>
      <c r="K10" s="37">
        <v>10.0</v>
      </c>
      <c r="L10" s="37">
        <v>10.0</v>
      </c>
      <c r="M10" s="8"/>
      <c r="N10" s="8"/>
      <c r="O10" s="38" t="s">
        <v>32</v>
      </c>
      <c r="Q10" s="37">
        <v>3.0</v>
      </c>
      <c r="R10" s="37">
        <v>0.0</v>
      </c>
      <c r="S10" s="38" t="s">
        <v>59</v>
      </c>
      <c r="T10" s="37">
        <v>0.0</v>
      </c>
      <c r="U10" s="37">
        <v>0.0</v>
      </c>
      <c r="Z10" s="38" t="s">
        <v>44</v>
      </c>
      <c r="AB10" s="37">
        <v>1.0</v>
      </c>
      <c r="AD10" s="38" t="s">
        <v>64</v>
      </c>
      <c r="AE10" s="37">
        <v>200000.0</v>
      </c>
      <c r="AH10" s="38" t="s">
        <v>60</v>
      </c>
      <c r="AI10" s="37">
        <v>1.0</v>
      </c>
      <c r="AN10" s="38" t="s">
        <v>61</v>
      </c>
      <c r="AP10" s="38"/>
      <c r="AQ10" s="38" t="s">
        <v>61</v>
      </c>
      <c r="AR10" s="38" t="s">
        <v>62</v>
      </c>
      <c r="AT10" s="37">
        <v>2018351.0</v>
      </c>
      <c r="AU10" s="37">
        <v>2018351.0</v>
      </c>
      <c r="AW10" s="37">
        <v>0.0</v>
      </c>
      <c r="AX10" s="37">
        <v>0.0</v>
      </c>
      <c r="AY10" s="38" t="s">
        <v>33</v>
      </c>
      <c r="AZ10" s="37">
        <v>0.0</v>
      </c>
      <c r="BC10" s="37">
        <v>0.0</v>
      </c>
      <c r="BE10" s="37">
        <v>2000000.0</v>
      </c>
      <c r="BF10" s="37">
        <v>2000000.0</v>
      </c>
      <c r="BJ10" s="37">
        <v>200000.0</v>
      </c>
      <c r="BK10" s="37">
        <v>0.0</v>
      </c>
      <c r="BM10" s="38" t="s">
        <v>44</v>
      </c>
      <c r="BO10" s="38" t="s">
        <v>19</v>
      </c>
      <c r="BP10" s="37">
        <v>0.0</v>
      </c>
      <c r="BQ10" s="37">
        <v>0.0</v>
      </c>
      <c r="BT10" s="38" t="s">
        <v>45</v>
      </c>
      <c r="BU10" s="37">
        <v>1.0</v>
      </c>
      <c r="BV10" s="37">
        <v>0.0</v>
      </c>
      <c r="BW10" s="37">
        <v>18351.0</v>
      </c>
      <c r="BX10" s="37">
        <v>0.0</v>
      </c>
      <c r="CF10" s="38" t="s">
        <v>63</v>
      </c>
      <c r="CG10" s="37">
        <v>0.0</v>
      </c>
      <c r="CH10" s="38" t="s">
        <v>16</v>
      </c>
      <c r="CJ10" s="37">
        <v>0.0</v>
      </c>
      <c r="CK10" s="38" t="s">
        <v>47</v>
      </c>
      <c r="CM10" s="38" t="s">
        <v>45</v>
      </c>
      <c r="CN10" s="40" t="s">
        <v>48</v>
      </c>
      <c r="CO10" s="38" t="s">
        <v>29</v>
      </c>
    </row>
    <row r="11" ht="15.75" customHeight="1">
      <c r="A11" s="8"/>
      <c r="B11" s="8"/>
      <c r="C11" s="8"/>
      <c r="D11" s="38"/>
      <c r="E11" s="38"/>
      <c r="F11" s="8"/>
      <c r="G11" s="38"/>
      <c r="H11" s="8"/>
      <c r="I11" s="8"/>
      <c r="J11" s="8"/>
      <c r="K11" s="8"/>
      <c r="L11" s="8"/>
      <c r="M11" s="8"/>
      <c r="N11" s="8"/>
      <c r="O11" s="8"/>
      <c r="Q11" s="38"/>
      <c r="R11" s="38"/>
      <c r="S11" s="38"/>
      <c r="AB11" s="38"/>
      <c r="AI11" s="38"/>
      <c r="AN11" s="38"/>
      <c r="AT11" s="38"/>
      <c r="AU11" s="38"/>
      <c r="AW11" s="38"/>
      <c r="AX11" s="38"/>
      <c r="AY11" s="38"/>
      <c r="AZ11" s="38"/>
      <c r="BE11" s="38"/>
      <c r="BF11" s="38"/>
      <c r="BM11" s="38"/>
      <c r="BO11" s="38"/>
      <c r="BP11" s="38"/>
      <c r="BQ11" s="38"/>
      <c r="BV11" s="38"/>
      <c r="BX11" s="38"/>
      <c r="CF11" s="38"/>
      <c r="CG11" s="38"/>
      <c r="CM11" s="38"/>
      <c r="CO11" s="38"/>
    </row>
    <row r="12" ht="15.75" customHeight="1">
      <c r="A12" s="8"/>
      <c r="B12" s="8"/>
      <c r="C12" s="8"/>
      <c r="D12" s="8"/>
      <c r="E12" s="38"/>
      <c r="F12" s="8"/>
      <c r="G12" s="8"/>
      <c r="H12" s="8"/>
      <c r="I12" s="8"/>
      <c r="J12" s="8"/>
      <c r="K12" s="8"/>
      <c r="L12" s="8"/>
      <c r="M12" s="8"/>
      <c r="N12" s="8"/>
      <c r="O12" s="8"/>
      <c r="R12" s="38"/>
      <c r="S12" s="38"/>
      <c r="AW12" s="38"/>
      <c r="AX12" s="38"/>
      <c r="AY12" s="38"/>
      <c r="AZ12" s="38"/>
      <c r="BP12" s="38"/>
      <c r="BQ12" s="38"/>
      <c r="BV12" s="38"/>
      <c r="BX12" s="38"/>
      <c r="CO12" s="3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R13" s="38"/>
      <c r="S13" s="38"/>
      <c r="BV13" s="38"/>
      <c r="BX13" s="3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R14" s="38"/>
      <c r="S14" s="3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R15" s="3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8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65</v>
      </c>
      <c r="D3" s="5" t="s">
        <v>9</v>
      </c>
      <c r="E3" s="23" t="s">
        <v>66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</row>
    <row r="6" ht="15.75" customHeight="1">
      <c r="A6" s="13"/>
      <c r="B6" s="13"/>
      <c r="C6" s="38" t="s">
        <v>18</v>
      </c>
      <c r="D6" s="41">
        <v>100.0</v>
      </c>
      <c r="E6" s="38" t="s">
        <v>20</v>
      </c>
      <c r="F6" s="38" t="s">
        <v>67</v>
      </c>
      <c r="G6" s="41">
        <v>10.0</v>
      </c>
      <c r="H6" s="38" t="s">
        <v>68</v>
      </c>
      <c r="I6" s="41"/>
      <c r="J6" s="41"/>
      <c r="K6" s="41"/>
      <c r="L6" s="41"/>
      <c r="M6" s="41"/>
      <c r="N6" s="41">
        <v>-1000.0</v>
      </c>
      <c r="O6" s="38" t="s">
        <v>69</v>
      </c>
      <c r="P6" s="38" t="s">
        <v>70</v>
      </c>
      <c r="Q6" s="41">
        <v>-1000.0</v>
      </c>
      <c r="R6" s="38" t="s">
        <v>71</v>
      </c>
      <c r="S6" s="38" t="s">
        <v>72</v>
      </c>
      <c r="T6" s="38" t="s">
        <v>30</v>
      </c>
      <c r="U6" s="38" t="s">
        <v>47</v>
      </c>
      <c r="V6" s="38" t="s">
        <v>29</v>
      </c>
      <c r="W6" s="38" t="s">
        <v>44</v>
      </c>
      <c r="Y6" s="41">
        <v>1.0</v>
      </c>
      <c r="AB6" s="41"/>
      <c r="AC6" s="41"/>
      <c r="AD6" s="41"/>
      <c r="AE6" s="41"/>
      <c r="AF6" s="41">
        <v>100.0</v>
      </c>
      <c r="AG6" s="41"/>
      <c r="AH6" s="41"/>
      <c r="AI6" s="41"/>
      <c r="AJ6" s="41"/>
      <c r="AK6" s="41">
        <v>-1000.0</v>
      </c>
      <c r="AL6" s="41">
        <v>1.0</v>
      </c>
      <c r="AM6" s="41">
        <v>1.0</v>
      </c>
      <c r="AN6" s="38" t="s">
        <v>19</v>
      </c>
      <c r="AP6" s="38" t="s">
        <v>73</v>
      </c>
      <c r="AQ6" s="38" t="s">
        <v>18</v>
      </c>
      <c r="AR6" s="41"/>
      <c r="AS6" s="41">
        <v>1.0</v>
      </c>
      <c r="AV6" s="41" t="s">
        <v>74</v>
      </c>
      <c r="AW6" s="41">
        <v>-1000.0</v>
      </c>
      <c r="AX6" s="41"/>
      <c r="AY6" s="41"/>
      <c r="AZ6" s="41"/>
      <c r="BA6" s="41">
        <v>-100.0</v>
      </c>
      <c r="BC6" s="41">
        <v>1.0</v>
      </c>
      <c r="BD6" s="41">
        <v>-1000.0</v>
      </c>
      <c r="BE6" s="38" t="s">
        <v>30</v>
      </c>
      <c r="BF6" s="38" t="s">
        <v>75</v>
      </c>
      <c r="BG6" s="38" t="s">
        <v>76</v>
      </c>
      <c r="BH6" s="38" t="s">
        <v>77</v>
      </c>
      <c r="BI6" s="38" t="s">
        <v>70</v>
      </c>
      <c r="BJ6" s="41"/>
      <c r="BK6" s="41"/>
      <c r="BL6" s="41"/>
      <c r="BM6" s="41"/>
      <c r="BO6" s="41">
        <v>-1000.0</v>
      </c>
      <c r="BP6" s="41"/>
      <c r="BQ6" s="38" t="s">
        <v>50</v>
      </c>
      <c r="BR6" s="38" t="s">
        <v>32</v>
      </c>
      <c r="BS6" s="41"/>
      <c r="BT6" s="41"/>
      <c r="BU6" s="38" t="s">
        <v>30</v>
      </c>
      <c r="BW6" s="41"/>
      <c r="BX6" s="41"/>
      <c r="BY6" s="41"/>
      <c r="BZ6" s="41"/>
      <c r="CA6" s="41"/>
      <c r="CB6" s="41"/>
      <c r="CC6" s="41"/>
      <c r="CD6" s="41">
        <v>-1000.0</v>
      </c>
      <c r="CE6" s="41"/>
      <c r="CF6" s="41"/>
      <c r="CG6" s="41">
        <v>-1000.0</v>
      </c>
      <c r="CH6" s="41">
        <v>-100.0</v>
      </c>
      <c r="CI6" s="41"/>
      <c r="CJ6" s="41"/>
      <c r="CK6" s="42" t="b">
        <v>0</v>
      </c>
      <c r="CN6" s="41"/>
      <c r="CO6" s="41"/>
      <c r="CP6" s="38" t="s">
        <v>78</v>
      </c>
      <c r="CS6" s="41">
        <v>10.0</v>
      </c>
      <c r="CY6" s="38" t="s">
        <v>79</v>
      </c>
      <c r="CZ6" s="38" t="s">
        <v>80</v>
      </c>
      <c r="DA6" s="41"/>
      <c r="DB6" s="41"/>
      <c r="DC6" s="41"/>
      <c r="DD6" s="41">
        <v>100.0</v>
      </c>
      <c r="DE6" s="41"/>
      <c r="DF6" s="41"/>
      <c r="DG6" s="41"/>
      <c r="DH6" s="38" t="s">
        <v>70</v>
      </c>
      <c r="DI6" s="41"/>
      <c r="DJ6" s="38" t="s">
        <v>19</v>
      </c>
      <c r="DK6" s="41"/>
      <c r="DL6" s="41"/>
      <c r="DM6" s="41">
        <v>1.0</v>
      </c>
      <c r="DN6" s="41"/>
      <c r="DP6" s="38" t="s">
        <v>73</v>
      </c>
      <c r="DQ6" s="38" t="s">
        <v>70</v>
      </c>
      <c r="DR6" s="38" t="s">
        <v>81</v>
      </c>
      <c r="DS6" s="38" t="s">
        <v>82</v>
      </c>
      <c r="DT6" s="38" t="s">
        <v>70</v>
      </c>
      <c r="DU6" s="38" t="s">
        <v>70</v>
      </c>
      <c r="DV6" s="38" t="s">
        <v>70</v>
      </c>
      <c r="DW6" s="38"/>
      <c r="DX6" s="41"/>
      <c r="DY6" s="38" t="s">
        <v>70</v>
      </c>
      <c r="DZ6" s="38" t="s">
        <v>69</v>
      </c>
      <c r="EA6" s="38" t="s">
        <v>83</v>
      </c>
      <c r="EB6" s="38" t="s">
        <v>70</v>
      </c>
      <c r="EC6" s="38" t="s">
        <v>70</v>
      </c>
      <c r="ED6" s="38" t="s">
        <v>44</v>
      </c>
      <c r="EE6" s="38" t="s">
        <v>83</v>
      </c>
      <c r="EF6" s="41"/>
      <c r="EG6" s="41"/>
      <c r="EH6" s="41"/>
      <c r="EI6" s="41"/>
      <c r="EJ6" s="41"/>
      <c r="EK6" s="41"/>
      <c r="EL6" s="38" t="s">
        <v>73</v>
      </c>
      <c r="EM6" s="41"/>
      <c r="EN6" s="41"/>
      <c r="EO6" s="41"/>
      <c r="EQ6" s="41"/>
      <c r="ER6" s="41"/>
      <c r="ES6" s="41"/>
      <c r="ET6" s="41"/>
      <c r="EU6" s="41"/>
      <c r="EV6" s="38" t="s">
        <v>73</v>
      </c>
    </row>
    <row r="7" ht="15.75" customHeight="1">
      <c r="A7" s="8"/>
      <c r="B7" s="8"/>
      <c r="C7" s="38" t="s">
        <v>21</v>
      </c>
      <c r="D7" s="41">
        <v>-500.0</v>
      </c>
      <c r="E7" s="38" t="s">
        <v>20</v>
      </c>
      <c r="F7" s="38" t="s">
        <v>67</v>
      </c>
      <c r="G7" s="41">
        <v>10.0</v>
      </c>
      <c r="H7" s="38" t="s">
        <v>68</v>
      </c>
      <c r="I7" s="41"/>
      <c r="J7" s="41"/>
      <c r="K7" s="41"/>
      <c r="L7" s="41"/>
      <c r="M7" s="41"/>
      <c r="N7" s="41">
        <v>5000.0</v>
      </c>
      <c r="O7" s="38" t="s">
        <v>84</v>
      </c>
      <c r="P7" s="38" t="s">
        <v>70</v>
      </c>
      <c r="Q7" s="41">
        <v>5000.0</v>
      </c>
      <c r="R7" s="38" t="s">
        <v>71</v>
      </c>
      <c r="S7" s="38" t="s">
        <v>72</v>
      </c>
      <c r="T7" s="38" t="s">
        <v>30</v>
      </c>
      <c r="U7" s="38" t="s">
        <v>47</v>
      </c>
      <c r="V7" s="38" t="s">
        <v>29</v>
      </c>
      <c r="W7" s="38" t="s">
        <v>44</v>
      </c>
      <c r="Y7" s="41">
        <v>1.0</v>
      </c>
      <c r="AB7" s="41"/>
      <c r="AC7" s="41"/>
      <c r="AD7" s="41"/>
      <c r="AE7" s="41"/>
      <c r="AF7" s="41">
        <v>-500.0</v>
      </c>
      <c r="AG7" s="41"/>
      <c r="AH7" s="41"/>
      <c r="AI7" s="41"/>
      <c r="AJ7" s="41"/>
      <c r="AK7" s="41">
        <v>5000.0</v>
      </c>
      <c r="AL7" s="41">
        <v>1.0</v>
      </c>
      <c r="AM7" s="41">
        <v>1.0</v>
      </c>
      <c r="AN7" s="38" t="s">
        <v>22</v>
      </c>
      <c r="AP7" s="38" t="s">
        <v>68</v>
      </c>
      <c r="AQ7" s="38" t="s">
        <v>21</v>
      </c>
      <c r="AR7" s="41"/>
      <c r="AS7" s="41">
        <v>-1.0</v>
      </c>
      <c r="AV7" s="41" t="s">
        <v>74</v>
      </c>
      <c r="AW7" s="41">
        <v>5000.0</v>
      </c>
      <c r="AX7" s="41"/>
      <c r="AY7" s="41"/>
      <c r="AZ7" s="41"/>
      <c r="BA7" s="41">
        <v>100.0</v>
      </c>
      <c r="BC7" s="41">
        <v>1.0</v>
      </c>
      <c r="BD7" s="41">
        <v>5000.0</v>
      </c>
      <c r="BE7" s="38" t="s">
        <v>30</v>
      </c>
      <c r="BF7" s="38" t="s">
        <v>85</v>
      </c>
      <c r="BG7" s="38" t="s">
        <v>86</v>
      </c>
      <c r="BH7" s="38" t="s">
        <v>70</v>
      </c>
      <c r="BI7" s="41" t="s">
        <v>87</v>
      </c>
      <c r="BJ7" s="41"/>
      <c r="BK7" s="41"/>
      <c r="BL7" s="41"/>
      <c r="BM7" s="41"/>
      <c r="BO7" s="41">
        <v>5000.0</v>
      </c>
      <c r="BP7" s="41"/>
      <c r="BQ7" s="38" t="s">
        <v>50</v>
      </c>
      <c r="BR7" s="38" t="s">
        <v>32</v>
      </c>
      <c r="BS7" s="41"/>
      <c r="BT7" s="41"/>
      <c r="BU7" s="38" t="s">
        <v>30</v>
      </c>
      <c r="BW7" s="41"/>
      <c r="BX7" s="41"/>
      <c r="BY7" s="41"/>
      <c r="BZ7" s="41"/>
      <c r="CA7" s="41"/>
      <c r="CB7" s="41"/>
      <c r="CC7" s="41"/>
      <c r="CD7" s="41">
        <v>5000.0</v>
      </c>
      <c r="CE7" s="41"/>
      <c r="CF7" s="41"/>
      <c r="CG7" s="41">
        <v>5000.0</v>
      </c>
      <c r="CH7" s="41">
        <v>100.0</v>
      </c>
      <c r="CI7" s="41"/>
      <c r="CJ7" s="41"/>
      <c r="CK7" s="42" t="b">
        <v>0</v>
      </c>
      <c r="CN7" s="38" t="s">
        <v>21</v>
      </c>
      <c r="CO7" s="38" t="s">
        <v>21</v>
      </c>
      <c r="CP7" s="38" t="s">
        <v>88</v>
      </c>
      <c r="CS7" s="41">
        <v>10.0</v>
      </c>
      <c r="CY7" s="38" t="s">
        <v>79</v>
      </c>
      <c r="CZ7" s="38" t="s">
        <v>80</v>
      </c>
      <c r="DA7" s="41"/>
      <c r="DB7" s="41"/>
      <c r="DC7" s="41"/>
      <c r="DD7" s="41">
        <v>-500.0</v>
      </c>
      <c r="DE7" s="41"/>
      <c r="DF7" s="41"/>
      <c r="DG7" s="41"/>
      <c r="DH7" s="38" t="s">
        <v>70</v>
      </c>
      <c r="DI7" s="41"/>
      <c r="DJ7" s="38" t="s">
        <v>22</v>
      </c>
      <c r="DK7" s="41"/>
      <c r="DL7" s="41"/>
      <c r="DM7" s="41">
        <v>1.0</v>
      </c>
      <c r="DN7" s="41"/>
      <c r="DP7" s="38" t="s">
        <v>68</v>
      </c>
      <c r="DQ7" s="38" t="s">
        <v>89</v>
      </c>
      <c r="DR7" s="38" t="s">
        <v>90</v>
      </c>
      <c r="DS7" s="38" t="s">
        <v>89</v>
      </c>
      <c r="DT7" s="38" t="s">
        <v>89</v>
      </c>
      <c r="DU7" s="38" t="s">
        <v>91</v>
      </c>
      <c r="DV7" s="38" t="s">
        <v>89</v>
      </c>
      <c r="DW7" s="38" t="s">
        <v>89</v>
      </c>
      <c r="DX7" s="38" t="s">
        <v>89</v>
      </c>
      <c r="DY7" s="38" t="s">
        <v>89</v>
      </c>
      <c r="DZ7" s="38" t="s">
        <v>84</v>
      </c>
      <c r="EA7" s="38" t="s">
        <v>91</v>
      </c>
      <c r="EB7" s="38" t="s">
        <v>89</v>
      </c>
      <c r="EC7" s="38" t="s">
        <v>89</v>
      </c>
      <c r="ED7" s="38" t="s">
        <v>44</v>
      </c>
      <c r="EE7" s="38" t="s">
        <v>83</v>
      </c>
      <c r="EF7" s="41"/>
      <c r="EG7" s="41"/>
      <c r="EH7" s="41"/>
      <c r="EI7" s="41"/>
      <c r="EJ7" s="41"/>
      <c r="EK7" s="41"/>
      <c r="EL7" s="38" t="s">
        <v>73</v>
      </c>
      <c r="EM7" s="41"/>
      <c r="EN7" s="41"/>
      <c r="EO7" s="41"/>
      <c r="EQ7" s="41"/>
      <c r="ER7" s="41"/>
      <c r="ES7" s="41"/>
      <c r="ET7" s="41"/>
      <c r="EU7" s="41"/>
      <c r="EV7" s="38" t="s">
        <v>73</v>
      </c>
    </row>
    <row r="8" ht="15.75" customHeight="1">
      <c r="A8" s="8"/>
      <c r="B8" s="8"/>
      <c r="C8" s="38" t="s">
        <v>18</v>
      </c>
      <c r="D8" s="41">
        <v>-500.0</v>
      </c>
      <c r="E8" s="38" t="s">
        <v>20</v>
      </c>
      <c r="F8" s="38" t="s">
        <v>67</v>
      </c>
      <c r="G8" s="41">
        <v>10.0</v>
      </c>
      <c r="H8" s="38" t="s">
        <v>68</v>
      </c>
      <c r="I8" s="41"/>
      <c r="J8" s="41"/>
      <c r="K8" s="41"/>
      <c r="L8" s="41"/>
      <c r="M8" s="41"/>
      <c r="N8" s="41">
        <v>5000.0</v>
      </c>
      <c r="O8" s="38" t="s">
        <v>69</v>
      </c>
      <c r="P8" s="38" t="s">
        <v>70</v>
      </c>
      <c r="Q8" s="41">
        <v>5000.0</v>
      </c>
      <c r="R8" s="38" t="s">
        <v>71</v>
      </c>
      <c r="S8" s="38" t="s">
        <v>72</v>
      </c>
      <c r="T8" s="38" t="s">
        <v>30</v>
      </c>
      <c r="U8" s="38" t="s">
        <v>47</v>
      </c>
      <c r="V8" s="38" t="s">
        <v>29</v>
      </c>
      <c r="W8" s="38" t="s">
        <v>44</v>
      </c>
      <c r="Y8" s="41">
        <v>1.0</v>
      </c>
      <c r="AB8" s="41"/>
      <c r="AC8" s="41"/>
      <c r="AD8" s="41"/>
      <c r="AE8" s="41"/>
      <c r="AF8" s="41">
        <v>-500.0</v>
      </c>
      <c r="AG8" s="41"/>
      <c r="AH8" s="41"/>
      <c r="AI8" s="41"/>
      <c r="AJ8" s="41"/>
      <c r="AK8" s="41">
        <v>5000.0</v>
      </c>
      <c r="AL8" s="41">
        <v>1.0</v>
      </c>
      <c r="AM8" s="41">
        <v>1.0</v>
      </c>
      <c r="AN8" s="38" t="s">
        <v>25</v>
      </c>
      <c r="AP8" s="38" t="s">
        <v>73</v>
      </c>
      <c r="AQ8" s="38" t="s">
        <v>18</v>
      </c>
      <c r="AR8" s="41"/>
      <c r="AS8" s="41">
        <v>-1.0</v>
      </c>
      <c r="AV8" s="41" t="s">
        <v>74</v>
      </c>
      <c r="AW8" s="41">
        <v>5000.0</v>
      </c>
      <c r="AX8" s="41"/>
      <c r="AY8" s="41"/>
      <c r="AZ8" s="41"/>
      <c r="BA8" s="41">
        <v>100.0</v>
      </c>
      <c r="BC8" s="41">
        <v>1.0</v>
      </c>
      <c r="BD8" s="41">
        <v>5000.0</v>
      </c>
      <c r="BE8" s="38" t="s">
        <v>30</v>
      </c>
      <c r="BF8" s="38" t="s">
        <v>75</v>
      </c>
      <c r="BG8" s="38" t="s">
        <v>76</v>
      </c>
      <c r="BH8" s="38" t="s">
        <v>77</v>
      </c>
      <c r="BI8" s="38" t="s">
        <v>70</v>
      </c>
      <c r="BJ8" s="41"/>
      <c r="BK8" s="41"/>
      <c r="BL8" s="41"/>
      <c r="BM8" s="41"/>
      <c r="BO8" s="41">
        <v>5000.0</v>
      </c>
      <c r="BP8" s="41"/>
      <c r="BQ8" s="38" t="s">
        <v>50</v>
      </c>
      <c r="BR8" s="38" t="s">
        <v>32</v>
      </c>
      <c r="BS8" s="41"/>
      <c r="BT8" s="41"/>
      <c r="BU8" s="38" t="s">
        <v>30</v>
      </c>
      <c r="BW8" s="41"/>
      <c r="BX8" s="41"/>
      <c r="BY8" s="41"/>
      <c r="BZ8" s="41"/>
      <c r="CA8" s="41"/>
      <c r="CB8" s="41"/>
      <c r="CC8" s="41"/>
      <c r="CD8" s="41">
        <v>5000.0</v>
      </c>
      <c r="CE8" s="41"/>
      <c r="CF8" s="41"/>
      <c r="CG8" s="41">
        <v>5000.0</v>
      </c>
      <c r="CH8" s="41">
        <v>100.0</v>
      </c>
      <c r="CI8" s="41"/>
      <c r="CJ8" s="41"/>
      <c r="CK8" s="42" t="b">
        <v>0</v>
      </c>
      <c r="CN8" s="41"/>
      <c r="CO8" s="41"/>
      <c r="CP8" s="38" t="s">
        <v>78</v>
      </c>
      <c r="CS8" s="41">
        <v>10.0</v>
      </c>
      <c r="CY8" s="38" t="s">
        <v>79</v>
      </c>
      <c r="CZ8" s="38" t="s">
        <v>80</v>
      </c>
      <c r="DA8" s="41"/>
      <c r="DB8" s="41"/>
      <c r="DC8" s="41"/>
      <c r="DD8" s="41">
        <v>-500.0</v>
      </c>
      <c r="DE8" s="41"/>
      <c r="DF8" s="41"/>
      <c r="DG8" s="41"/>
      <c r="DH8" s="38" t="s">
        <v>70</v>
      </c>
      <c r="DI8" s="41"/>
      <c r="DJ8" s="38" t="s">
        <v>25</v>
      </c>
      <c r="DK8" s="41"/>
      <c r="DL8" s="41"/>
      <c r="DM8" s="41">
        <v>1.0</v>
      </c>
      <c r="DN8" s="41"/>
      <c r="DP8" s="38" t="s">
        <v>73</v>
      </c>
      <c r="DQ8" s="38" t="s">
        <v>70</v>
      </c>
      <c r="DR8" s="38" t="s">
        <v>81</v>
      </c>
      <c r="DS8" s="38" t="s">
        <v>82</v>
      </c>
      <c r="DT8" s="38" t="s">
        <v>70</v>
      </c>
      <c r="DU8" s="38" t="s">
        <v>70</v>
      </c>
      <c r="DV8" s="38" t="s">
        <v>70</v>
      </c>
      <c r="DW8" s="38"/>
      <c r="DX8" s="41"/>
      <c r="DY8" s="38" t="s">
        <v>70</v>
      </c>
      <c r="DZ8" s="38" t="s">
        <v>69</v>
      </c>
      <c r="EA8" s="38" t="s">
        <v>83</v>
      </c>
      <c r="EB8" s="38" t="s">
        <v>70</v>
      </c>
      <c r="EC8" s="38" t="s">
        <v>70</v>
      </c>
      <c r="ED8" s="38" t="s">
        <v>44</v>
      </c>
      <c r="EE8" s="38" t="s">
        <v>83</v>
      </c>
      <c r="EF8" s="41"/>
      <c r="EG8" s="41"/>
      <c r="EH8" s="41"/>
      <c r="EI8" s="41"/>
      <c r="EJ8" s="41"/>
      <c r="EK8" s="41"/>
      <c r="EL8" s="38" t="s">
        <v>73</v>
      </c>
      <c r="EM8" s="41"/>
      <c r="EN8" s="41"/>
      <c r="EO8" s="41"/>
      <c r="EQ8" s="41"/>
      <c r="ER8" s="41"/>
      <c r="ES8" s="41"/>
      <c r="ET8" s="41"/>
      <c r="EU8" s="41"/>
      <c r="EV8" s="38" t="s">
        <v>73</v>
      </c>
    </row>
    <row r="9" ht="15.75" customHeight="1">
      <c r="A9" s="8"/>
      <c r="B9" s="8"/>
      <c r="C9" s="38" t="s">
        <v>21</v>
      </c>
      <c r="D9" s="41">
        <v>500.0</v>
      </c>
      <c r="E9" s="38" t="s">
        <v>20</v>
      </c>
      <c r="F9" s="38" t="s">
        <v>67</v>
      </c>
      <c r="G9" s="41">
        <v>10.0</v>
      </c>
      <c r="H9" s="38" t="s">
        <v>68</v>
      </c>
      <c r="I9" s="41"/>
      <c r="J9" s="41"/>
      <c r="K9" s="41"/>
      <c r="L9" s="41"/>
      <c r="M9" s="41"/>
      <c r="N9" s="41">
        <v>-5000.0</v>
      </c>
      <c r="O9" s="38" t="s">
        <v>84</v>
      </c>
      <c r="P9" s="38" t="s">
        <v>70</v>
      </c>
      <c r="Q9" s="41">
        <v>-5000.0</v>
      </c>
      <c r="R9" s="38" t="s">
        <v>71</v>
      </c>
      <c r="S9" s="38" t="s">
        <v>72</v>
      </c>
      <c r="T9" s="38" t="s">
        <v>30</v>
      </c>
      <c r="U9" s="38" t="s">
        <v>47</v>
      </c>
      <c r="V9" s="38" t="s">
        <v>29</v>
      </c>
      <c r="W9" s="38" t="s">
        <v>44</v>
      </c>
      <c r="Y9" s="41">
        <v>1.0</v>
      </c>
      <c r="AB9" s="41"/>
      <c r="AC9" s="41"/>
      <c r="AD9" s="41"/>
      <c r="AE9" s="41"/>
      <c r="AF9" s="41">
        <v>500.0</v>
      </c>
      <c r="AG9" s="41"/>
      <c r="AH9" s="41"/>
      <c r="AI9" s="41"/>
      <c r="AJ9" s="41"/>
      <c r="AK9" s="41">
        <v>-5000.0</v>
      </c>
      <c r="AL9" s="41">
        <v>1.0</v>
      </c>
      <c r="AM9" s="41">
        <v>1.0</v>
      </c>
      <c r="AN9" s="38" t="s">
        <v>26</v>
      </c>
      <c r="AP9" s="38" t="s">
        <v>68</v>
      </c>
      <c r="AQ9" s="38" t="s">
        <v>21</v>
      </c>
      <c r="AR9" s="41"/>
      <c r="AS9" s="41">
        <v>1.0</v>
      </c>
      <c r="AV9" s="41" t="s">
        <v>74</v>
      </c>
      <c r="AW9" s="41">
        <v>-5000.0</v>
      </c>
      <c r="AX9" s="41"/>
      <c r="AY9" s="41"/>
      <c r="AZ9" s="41"/>
      <c r="BA9" s="41">
        <v>-100.0</v>
      </c>
      <c r="BC9" s="41">
        <v>1.0</v>
      </c>
      <c r="BD9" s="41">
        <v>-5000.0</v>
      </c>
      <c r="BE9" s="38" t="s">
        <v>30</v>
      </c>
      <c r="BF9" s="38" t="s">
        <v>85</v>
      </c>
      <c r="BG9" s="38" t="s">
        <v>86</v>
      </c>
      <c r="BH9" s="38" t="s">
        <v>70</v>
      </c>
      <c r="BI9" s="41" t="s">
        <v>87</v>
      </c>
      <c r="BJ9" s="41"/>
      <c r="BK9" s="41"/>
      <c r="BL9" s="41"/>
      <c r="BM9" s="41"/>
      <c r="BO9" s="41">
        <v>-5000.0</v>
      </c>
      <c r="BP9" s="41"/>
      <c r="BQ9" s="38" t="s">
        <v>50</v>
      </c>
      <c r="BR9" s="38" t="s">
        <v>32</v>
      </c>
      <c r="BS9" s="41"/>
      <c r="BT9" s="41"/>
      <c r="BU9" s="38" t="s">
        <v>30</v>
      </c>
      <c r="BW9" s="41"/>
      <c r="BX9" s="41"/>
      <c r="BY9" s="41"/>
      <c r="BZ9" s="41"/>
      <c r="CA9" s="41"/>
      <c r="CB9" s="41"/>
      <c r="CC9" s="41"/>
      <c r="CD9" s="41">
        <v>-5000.0</v>
      </c>
      <c r="CE9" s="41"/>
      <c r="CF9" s="41"/>
      <c r="CG9" s="41">
        <v>-5000.0</v>
      </c>
      <c r="CH9" s="41">
        <v>-100.0</v>
      </c>
      <c r="CI9" s="41"/>
      <c r="CJ9" s="41"/>
      <c r="CK9" s="42" t="b">
        <v>0</v>
      </c>
      <c r="CN9" s="38" t="s">
        <v>21</v>
      </c>
      <c r="CO9" s="38" t="s">
        <v>21</v>
      </c>
      <c r="CP9" s="38" t="s">
        <v>88</v>
      </c>
      <c r="CS9" s="41">
        <v>10.0</v>
      </c>
      <c r="CY9" s="38" t="s">
        <v>79</v>
      </c>
      <c r="CZ9" s="38" t="s">
        <v>80</v>
      </c>
      <c r="DA9" s="41"/>
      <c r="DB9" s="41"/>
      <c r="DC9" s="41"/>
      <c r="DD9" s="41">
        <v>500.0</v>
      </c>
      <c r="DE9" s="41"/>
      <c r="DF9" s="41"/>
      <c r="DG9" s="41"/>
      <c r="DH9" s="38" t="s">
        <v>70</v>
      </c>
      <c r="DI9" s="41"/>
      <c r="DJ9" s="38" t="s">
        <v>26</v>
      </c>
      <c r="DK9" s="41"/>
      <c r="DL9" s="41"/>
      <c r="DM9" s="41">
        <v>1.0</v>
      </c>
      <c r="DN9" s="41"/>
      <c r="DP9" s="38" t="s">
        <v>68</v>
      </c>
      <c r="DQ9" s="38" t="s">
        <v>89</v>
      </c>
      <c r="DR9" s="38" t="s">
        <v>90</v>
      </c>
      <c r="DS9" s="38" t="s">
        <v>89</v>
      </c>
      <c r="DT9" s="38" t="s">
        <v>89</v>
      </c>
      <c r="DU9" s="38" t="s">
        <v>91</v>
      </c>
      <c r="DV9" s="38" t="s">
        <v>89</v>
      </c>
      <c r="DW9" s="38" t="s">
        <v>89</v>
      </c>
      <c r="DX9" s="38" t="s">
        <v>89</v>
      </c>
      <c r="DY9" s="38" t="s">
        <v>89</v>
      </c>
      <c r="DZ9" s="38" t="s">
        <v>84</v>
      </c>
      <c r="EA9" s="38" t="s">
        <v>91</v>
      </c>
      <c r="EB9" s="38" t="s">
        <v>89</v>
      </c>
      <c r="EC9" s="38" t="s">
        <v>89</v>
      </c>
      <c r="ED9" s="38" t="s">
        <v>44</v>
      </c>
      <c r="EE9" s="38" t="s">
        <v>83</v>
      </c>
      <c r="EF9" s="41"/>
      <c r="EG9" s="41"/>
      <c r="EH9" s="41"/>
      <c r="EI9" s="41"/>
      <c r="EJ9" s="41"/>
      <c r="EK9" s="41"/>
      <c r="EL9" s="38" t="s">
        <v>73</v>
      </c>
      <c r="EM9" s="41"/>
      <c r="EN9" s="41"/>
      <c r="EO9" s="41"/>
      <c r="EQ9" s="41"/>
      <c r="ER9" s="41"/>
      <c r="ES9" s="41"/>
      <c r="ET9" s="41"/>
      <c r="EU9" s="41"/>
      <c r="EV9" s="38" t="s">
        <v>73</v>
      </c>
    </row>
    <row r="10" ht="15.75" customHeight="1">
      <c r="A10" s="8"/>
      <c r="B10" s="8"/>
      <c r="C10" s="38" t="s">
        <v>45</v>
      </c>
      <c r="D10" s="41">
        <v>200000.0</v>
      </c>
      <c r="E10" s="38" t="s">
        <v>43</v>
      </c>
      <c r="F10" s="38" t="s">
        <v>92</v>
      </c>
      <c r="G10" s="41">
        <v>10.0</v>
      </c>
      <c r="H10" s="38" t="s">
        <v>73</v>
      </c>
      <c r="I10" s="41"/>
      <c r="J10" s="41"/>
      <c r="K10" s="41"/>
      <c r="L10" s="41"/>
      <c r="M10" s="41"/>
      <c r="N10" s="41">
        <v>-2000000.0</v>
      </c>
      <c r="O10" s="38" t="s">
        <v>45</v>
      </c>
      <c r="P10" s="38" t="s">
        <v>70</v>
      </c>
      <c r="Q10" s="41">
        <v>-2000000.0</v>
      </c>
      <c r="R10" s="38" t="s">
        <v>32</v>
      </c>
      <c r="S10" s="38" t="s">
        <v>72</v>
      </c>
      <c r="T10" s="38" t="s">
        <v>30</v>
      </c>
      <c r="U10" s="38" t="s">
        <v>47</v>
      </c>
      <c r="V10" s="38" t="s">
        <v>93</v>
      </c>
      <c r="W10" s="38" t="s">
        <v>44</v>
      </c>
      <c r="Y10" s="41">
        <v>1.0</v>
      </c>
      <c r="AB10" s="41"/>
      <c r="AC10" s="41"/>
      <c r="AD10" s="41"/>
      <c r="AE10" s="41"/>
      <c r="AF10" s="41">
        <v>200000.0</v>
      </c>
      <c r="AG10" s="41"/>
      <c r="AH10" s="41"/>
      <c r="AI10" s="41"/>
      <c r="AJ10" s="41"/>
      <c r="AK10" s="41">
        <v>-2000000.0</v>
      </c>
      <c r="AL10" s="41">
        <v>1.0</v>
      </c>
      <c r="AM10" s="41">
        <v>1.0</v>
      </c>
      <c r="AN10" s="38" t="s">
        <v>19</v>
      </c>
      <c r="AP10" s="38" t="s">
        <v>73</v>
      </c>
      <c r="AQ10" s="38" t="s">
        <v>45</v>
      </c>
      <c r="AR10" s="41"/>
      <c r="AS10" s="41">
        <v>1.0</v>
      </c>
      <c r="AV10" s="41" t="s">
        <v>74</v>
      </c>
      <c r="AW10" s="41">
        <v>-2000000.0</v>
      </c>
      <c r="AX10" s="41"/>
      <c r="AY10" s="41"/>
      <c r="AZ10" s="41"/>
      <c r="BA10" s="41">
        <v>-100.0</v>
      </c>
      <c r="BC10" s="41">
        <v>1.0</v>
      </c>
      <c r="BD10" s="41">
        <v>-2000000.0</v>
      </c>
      <c r="BE10" s="38" t="s">
        <v>30</v>
      </c>
      <c r="BF10" s="38" t="s">
        <v>75</v>
      </c>
      <c r="BG10" s="38" t="s">
        <v>94</v>
      </c>
      <c r="BH10" s="38" t="s">
        <v>70</v>
      </c>
      <c r="BI10" s="38" t="s">
        <v>95</v>
      </c>
      <c r="BJ10" s="41"/>
      <c r="BK10" s="41"/>
      <c r="BL10" s="41"/>
      <c r="BM10" s="41"/>
      <c r="BO10" s="41">
        <v>-2000000.0</v>
      </c>
      <c r="BP10" s="41"/>
      <c r="BQ10" s="40" t="s">
        <v>48</v>
      </c>
      <c r="BR10" s="38" t="s">
        <v>32</v>
      </c>
      <c r="BS10" s="41"/>
      <c r="BT10" s="41"/>
      <c r="BU10" s="38" t="s">
        <v>30</v>
      </c>
      <c r="BW10" s="41"/>
      <c r="BX10" s="41"/>
      <c r="BY10" s="41"/>
      <c r="BZ10" s="41"/>
      <c r="CA10" s="41"/>
      <c r="CB10" s="41"/>
      <c r="CC10" s="41"/>
      <c r="CD10" s="41">
        <v>-2000000.0</v>
      </c>
      <c r="CE10" s="41"/>
      <c r="CF10" s="41"/>
      <c r="CG10" s="41">
        <v>-2000000.0</v>
      </c>
      <c r="CH10" s="41">
        <v>-100.0</v>
      </c>
      <c r="CI10" s="41"/>
      <c r="CJ10" s="41"/>
      <c r="CK10" s="42" t="b">
        <v>0</v>
      </c>
      <c r="CN10" s="41"/>
      <c r="CO10" s="41"/>
      <c r="CP10" s="38" t="s">
        <v>96</v>
      </c>
      <c r="CS10" s="41">
        <v>10.0</v>
      </c>
      <c r="CY10" s="38" t="s">
        <v>79</v>
      </c>
      <c r="CZ10" s="38" t="s">
        <v>80</v>
      </c>
      <c r="DA10" s="41"/>
      <c r="DB10" s="41"/>
      <c r="DC10" s="41"/>
      <c r="DD10" s="41">
        <v>200000.0</v>
      </c>
      <c r="DE10" s="41"/>
      <c r="DF10" s="41"/>
      <c r="DG10" s="41"/>
      <c r="DH10" s="38" t="s">
        <v>70</v>
      </c>
      <c r="DI10" s="41"/>
      <c r="DJ10" s="38" t="s">
        <v>19</v>
      </c>
      <c r="DK10" s="41"/>
      <c r="DL10" s="41"/>
      <c r="DM10" s="41">
        <v>1.0</v>
      </c>
      <c r="DN10" s="41"/>
      <c r="DP10" s="38" t="s">
        <v>73</v>
      </c>
      <c r="DQ10" s="38" t="s">
        <v>70</v>
      </c>
      <c r="DR10" s="38" t="s">
        <v>97</v>
      </c>
      <c r="DS10" s="38" t="s">
        <v>70</v>
      </c>
      <c r="DT10" s="38" t="s">
        <v>70</v>
      </c>
      <c r="DU10" s="38" t="s">
        <v>70</v>
      </c>
      <c r="DV10" s="38" t="s">
        <v>70</v>
      </c>
      <c r="DW10" s="38" t="s">
        <v>70</v>
      </c>
      <c r="DX10" s="38" t="s">
        <v>70</v>
      </c>
      <c r="DY10" s="38" t="s">
        <v>70</v>
      </c>
      <c r="DZ10" s="38" t="s">
        <v>45</v>
      </c>
      <c r="EA10" s="38" t="s">
        <v>83</v>
      </c>
      <c r="EB10" s="38" t="s">
        <v>70</v>
      </c>
      <c r="EC10" s="38" t="s">
        <v>70</v>
      </c>
      <c r="ED10" s="38" t="s">
        <v>44</v>
      </c>
      <c r="EE10" s="38" t="s">
        <v>83</v>
      </c>
      <c r="EF10" s="41"/>
      <c r="EG10" s="41"/>
      <c r="EH10" s="41"/>
      <c r="EI10" s="41"/>
      <c r="EJ10" s="41"/>
      <c r="EK10" s="41"/>
      <c r="EL10" s="38" t="s">
        <v>73</v>
      </c>
      <c r="EM10" s="41"/>
      <c r="EN10" s="41"/>
      <c r="EO10" s="41"/>
      <c r="EQ10" s="41"/>
      <c r="ER10" s="41"/>
      <c r="ES10" s="41"/>
      <c r="ET10" s="41"/>
      <c r="EU10" s="41"/>
      <c r="EV10" s="38" t="s">
        <v>73</v>
      </c>
    </row>
    <row r="11" ht="15.75" customHeight="1">
      <c r="A11" s="8"/>
      <c r="B11" s="8"/>
      <c r="C11" s="38"/>
      <c r="D11" s="38"/>
      <c r="E11" s="38"/>
      <c r="F11" s="8"/>
      <c r="G11" s="38"/>
      <c r="H11" s="38"/>
      <c r="I11" s="38"/>
      <c r="J11" s="38"/>
      <c r="K11" s="38"/>
      <c r="L11" s="38"/>
      <c r="M11" s="38"/>
      <c r="N11" s="8"/>
      <c r="O11" s="38"/>
      <c r="P11" s="38"/>
      <c r="Q11" s="38"/>
      <c r="R11" s="38"/>
      <c r="S11" s="38"/>
      <c r="T11" s="38"/>
      <c r="U11" s="38"/>
      <c r="V11" s="38"/>
      <c r="Y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N11" s="38"/>
      <c r="AP11" s="38"/>
      <c r="AQ11" s="38"/>
      <c r="AR11" s="38"/>
      <c r="AS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O11" s="38"/>
      <c r="BP11" s="38"/>
      <c r="BQ11" s="38"/>
      <c r="BR11" s="38"/>
      <c r="BS11" s="38"/>
      <c r="BT11" s="38"/>
      <c r="BU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N11" s="38"/>
      <c r="CO11" s="38"/>
      <c r="CP11" s="38"/>
      <c r="CS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M11" s="38"/>
      <c r="EN11" s="38"/>
      <c r="EO11" s="38"/>
      <c r="EP11" s="38"/>
      <c r="ER11" s="38"/>
      <c r="ES11" s="38"/>
      <c r="ET11" s="38"/>
      <c r="EU11" s="38"/>
      <c r="EV11" s="38"/>
    </row>
    <row r="12" ht="15.75" customHeight="1">
      <c r="A12" s="8"/>
      <c r="B12" s="8"/>
      <c r="C12" s="8"/>
      <c r="D12" s="8"/>
      <c r="E12" s="8"/>
      <c r="F12" s="8"/>
      <c r="G12" s="38"/>
      <c r="H12" s="8"/>
      <c r="I12" s="38"/>
      <c r="J12" s="38"/>
      <c r="K12" s="38"/>
      <c r="L12" s="38"/>
      <c r="M12" s="38"/>
      <c r="N12" s="8"/>
      <c r="O12" s="8"/>
      <c r="Q12" s="38"/>
      <c r="R12" s="38"/>
      <c r="S12" s="38"/>
      <c r="T12" s="38"/>
      <c r="U12" s="38"/>
      <c r="V12" s="38"/>
      <c r="AB12" s="38"/>
      <c r="AC12" s="38"/>
      <c r="AD12" s="38"/>
      <c r="AE12" s="38"/>
      <c r="AH12" s="38"/>
      <c r="AI12" s="38"/>
      <c r="AJ12" s="38"/>
      <c r="AK12" s="38"/>
      <c r="AL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O12" s="38"/>
      <c r="BP12" s="38"/>
      <c r="BQ12" s="38"/>
      <c r="BR12" s="38"/>
      <c r="BS12" s="38"/>
      <c r="BT12" s="38"/>
      <c r="BU12" s="38"/>
      <c r="CI12" s="38"/>
      <c r="CJ12" s="38"/>
      <c r="CK12" s="38"/>
      <c r="CN12" s="38"/>
      <c r="CO12" s="38"/>
      <c r="CP12" s="38"/>
      <c r="CS12" s="38"/>
      <c r="DE12" s="38"/>
      <c r="DF12" s="38"/>
      <c r="DG12" s="38"/>
      <c r="DJ12" s="38"/>
      <c r="DK12" s="38"/>
      <c r="DL12" s="38"/>
      <c r="DM12" s="38"/>
      <c r="DN12" s="38"/>
      <c r="EM12" s="38"/>
      <c r="EN12" s="38"/>
      <c r="EO12" s="38"/>
      <c r="EP12" s="38"/>
      <c r="ER12" s="38"/>
      <c r="ES12" s="38"/>
      <c r="ET12" s="38"/>
      <c r="EU12" s="38"/>
      <c r="EV12" s="38"/>
    </row>
    <row r="13" ht="15.75" customHeight="1">
      <c r="A13" s="8"/>
      <c r="B13" s="8"/>
      <c r="C13" s="8"/>
      <c r="D13" s="8"/>
      <c r="E13" s="8"/>
      <c r="F13" s="8"/>
      <c r="G13" s="38"/>
      <c r="H13" s="8"/>
      <c r="I13" s="38"/>
      <c r="J13" s="38"/>
      <c r="K13" s="38"/>
      <c r="L13" s="38"/>
      <c r="M13" s="38"/>
      <c r="N13" s="8"/>
      <c r="O13" s="8"/>
      <c r="Q13" s="38"/>
      <c r="R13" s="38"/>
      <c r="S13" s="38"/>
      <c r="T13" s="38"/>
      <c r="U13" s="38"/>
      <c r="V13" s="38"/>
      <c r="AB13" s="38"/>
      <c r="AC13" s="38"/>
      <c r="AD13" s="38"/>
      <c r="AE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O13" s="38"/>
      <c r="BP13" s="38"/>
      <c r="BQ13" s="38"/>
      <c r="BR13" s="38"/>
      <c r="BS13" s="38"/>
      <c r="BT13" s="38"/>
      <c r="BU13" s="38"/>
      <c r="CS13" s="38"/>
      <c r="DE13" s="38"/>
      <c r="DF13" s="38"/>
      <c r="DG13" s="38"/>
      <c r="EM13" s="38"/>
      <c r="EN13" s="38"/>
      <c r="EO13" s="38"/>
      <c r="EP13" s="3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AB14" s="38"/>
      <c r="AC14" s="38"/>
      <c r="AD14" s="38"/>
      <c r="AE14" s="3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