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AcknowledgeTrade" sheetId="5" r:id="rId7"/>
    <sheet state="visible" name="SelectTrade" sheetId="6" r:id="rId8"/>
    <sheet state="visible" name="ExecuteTrade" sheetId="7" r:id="rId9"/>
    <sheet state="visible" name="SelectTrade1" sheetId="8" r:id="rId10"/>
    <sheet state="visible" name="ExecuteTrade1" sheetId="9" r:id="rId11"/>
    <sheet state="visible" name="VerifyOrder" sheetId="10" r:id="rId12"/>
  </sheets>
  <definedNames/>
  <calcPr/>
</workbook>
</file>

<file path=xl/sharedStrings.xml><?xml version="1.0" encoding="utf-8"?>
<sst xmlns="http://schemas.openxmlformats.org/spreadsheetml/2006/main" count="78" uniqueCount="31">
  <si>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</si>
  <si>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</si>
  <si>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</si>
  <si>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</si>
  <si>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</si>
  <si>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</si>
  <si>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</si>
  <si>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</si>
  <si>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</si>
  <si>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</si>
  <si>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</si>
  <si>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</si>
  <si>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</si>
  <si>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CreateLiveOrder</t>
  </si>
  <si>
    <t>Data Format</t>
  </si>
  <si>
    <t>Input Format</t>
  </si>
  <si>
    <t>AAPL</t>
  </si>
  <si>
    <t>Buy</t>
  </si>
  <si>
    <t>Allocation1</t>
  </si>
  <si>
    <t>MS</t>
  </si>
  <si>
    <t>Simulator</t>
  </si>
  <si>
    <t>AcknowledgeTrade</t>
  </si>
  <si>
    <t>SelectTrade</t>
  </si>
  <si>
    <t>ExecuteTrade</t>
  </si>
  <si>
    <t>Price</t>
  </si>
  <si>
    <t>Shares</t>
  </si>
  <si>
    <t>TestingType</t>
  </si>
  <si>
    <t>NEGATIVE</t>
  </si>
  <si>
    <t>Blotter</t>
  </si>
  <si>
    <t>VerifyOrder</t>
  </si>
  <si>
    <t>PartiallyFilled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</si>
</sst>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IFERROR(__xludf.DUMMYFUNCTION("""COMPUTED_VALUE"""),"1VACCWCgBryUd7LLXblEl-UFNnDXAwDkKGKIScrCR34E")</f>
        <v>1VACCWCgBryUd7LLXblEl-UFNnDXAwDkKGKIScrCR34E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IFERROR(__xludf.DUMMYFUNCTION("""COMPUTED_VALUE"""),"1loxAoSB-5jR3IFJ4UUieEaGynvHC8saDDF25y8gu-FM")</f>
        <v>1loxAoSB-5jR3IFJ4UUieEaGynvHC8saDDF25y8gu-FM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IFERROR(__xludf.DUMMYFUNCTION("""COMPUTED_VALUE"""),"1oyfT0NXu05XUQfzB3__UfSsQJxHsjU5EfujHM7zFMlY")</f>
        <v>1oyfT0NXu05XUQfzB3__UfSsQJxHsjU5EfujHM7zFMlY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IFERROR(__xludf.DUMMYFUNCTION("""COMPUTED_VALUE"""),"1ptHqTt8wfxoCZvvS0BozaQuRsKg0DRBnN_lMfrOuCt4")</f>
        <v>1ptHqTt8wfxoCZvvS0BozaQuRsKg0DRBnN_lMfrOuCt4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IFERROR(__xludf.DUMMYFUNCTION("""COMPUTED_VALUE"""),"1_DD-M3ooW4-P7PXFGguTddV1HkDRh3fvGh7QLyagROE")</f>
        <v>1_DD-M3ooW4-P7PXFGguTddV1HkDRh3fvGh7QLyagROE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IFERROR(__xludf.DUMMYFUNCTION("""COMPUTED_VALUE"""),"1nKxupjB_Nu5Xmiq2y3y7zVWkf9U8ybAzhilyucCbfWM")</f>
        <v>1nKxupjB_Nu5Xmiq2y3y7zVWkf9U8ybAzhilyucCbfWM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IFERROR(__xludf.DUMMYFUNCTION("""COMPUTED_VALUE"""),"1MtfT4qFywQbZPb5icSzgAwGBRSAc-wIF98jFX9Y-4-o")</f>
        <v>1MtfT4qFywQbZPb5icSzgAwGBRSAc-wIF98jFX9Y-4-o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IFERROR(__xludf.DUMMYFUNCTION("""COMPUTED_VALUE"""),"1W62DF4BeF63sD5d9KK7SfSYQW4r_m2TLH6nBjvW3Sbg")</f>
        <v>1W62DF4BeF63sD5d9KK7SfSYQW4r_m2TLH6nBjvW3Sbg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IFERROR(__xludf.DUMMYFUNCTION("""COMPUTED_VALUE"""),"178rOki2KCouUF9Iz9lng6bwJnPFVHaZtwBC9CdiyuVc")</f>
        <v>178rOki2KCouUF9Iz9lng6bwJnPFVHaZtwBC9CdiyuVc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IFERROR(__xludf.DUMMYFUNCTION("""COMPUTED_VALUE"""),"1xzn2YyCPdZfMTo0ieuR11YKa_oxUPbzkPKQEmibGMDo")</f>
        <v>1xzn2YyCPdZfMTo0ieuR11YKa_oxUPbzkPKQEmibGMDo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IFERROR(__xludf.DUMMYFUNCTION("""COMPUTED_VALUE"""),"1Yxu4VMZGMl7EQBhNAo8lBqOGH6w7WWla7_FbMhPALQg")</f>
        <v>1Yxu4VMZGMl7EQBhNAo8lBqOGH6w7WWla7_FbMhPALQg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IFERROR(__xludf.DUMMYFUNCTION("""COMPUTED_VALUE"""),"1FA4SNuZD1iNtwriSOwwy4hmnh57supgsXcTNOxos2sI")</f>
        <v>1FA4SNuZD1iNtwriSOwwy4hmnh57supgsXcTNOxos2sI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IFERROR(__xludf.DUMMYFUNCTION("""COMPUTED_VALUE"""),"EnterFixedIncome")</f>
        <v>EnterFixedIncome</v>
      </c>
      <c r="C544" t="str">
        <f>IFERROR(__xludf.DUMMYFUNCTION("""COMPUTED_VALUE"""),"101Kvhc5ATCS0OM6d_6c9zJAFIJo-CDiQjm3oRDpRn5k")</f>
        <v>101Kvhc5ATCS0OM6d_6c9zJAFIJo-CDiQjm3oRDpRn5k</v>
      </c>
    </row>
    <row r="545" ht="15.75" customHeight="1">
      <c r="A545" t="str">
        <f>IFERROR(__xludf.DUMMYFUNCTION("""COMPUTED_VALUE"""),"SymbolLookup")</f>
        <v>SymbolLookup</v>
      </c>
      <c r="B545" t="str">
        <f>IFERROR(__xludf.DUMMYFUNCTION("""COMPUTED_VALUE"""),"EnterPrivateEquity")</f>
        <v>EnterPrivateEquity</v>
      </c>
      <c r="C545" t="str">
        <f>IFERROR(__xludf.DUMMYFUNCTION("""COMPUTED_VALUE"""),"1zCjPNqT6O1Bji3Xp5apvgnkJ0fL3xe7mGzeMQl6_P2U")</f>
        <v>1zCjPNqT6O1Bji3Xp5apvgnkJ0fL3xe7mGzeMQl6_P2U</v>
      </c>
    </row>
    <row r="546" ht="15.75" customHeight="1">
      <c r="A546" t="str">
        <f>IFERROR(__xludf.DUMMYFUNCTION("""COMPUTED_VALUE"""),"SymbolLookup")</f>
        <v>SymbolLookup</v>
      </c>
      <c r="B546" t="str">
        <f>IFERROR(__xludf.DUMMYFUNCTION("""COMPUTED_VALUE"""),"EnterFXForward")</f>
        <v>EnterFXForward</v>
      </c>
      <c r="C546" t="str">
        <f>IFERROR(__xludf.DUMMYFUNCTION("""COMPUTED_VALUE"""),"1fsI9VyTOx_f9h2Q8vnZyyagt8AXq4LV5OgjVofsbMzo")</f>
        <v>1fsI9VyTOx_f9h2Q8vnZyyagt8AXq4LV5OgjVofsbMzo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IFERROR(__xludf.DUMMYFUNCTION("""COMPUTED_VALUE"""),"EnterFuture")</f>
        <v>EnterFuture</v>
      </c>
      <c r="C547" t="str">
        <f>IFERROR(__xludf.DUMMYFUNCTION("""COMPUTED_VALUE"""),"1meZrTyv8YpJ9g7cSn63NhfDwibizAu7DtkV3LAH28ik")</f>
        <v>1meZrTyv8YpJ9g7cSn63NhfDwibizAu7DtkV3LAH28ik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IFERROR(__xludf.DUMMYFUNCTION("""COMPUTED_VALUE"""),"EnterFutureOptions")</f>
        <v>EnterFutureOptions</v>
      </c>
      <c r="C548" t="str">
        <f>IFERROR(__xludf.DUMMYFUNCTION("""COMPUTED_VALUE"""),"1kXNkxLMhrMh7s-p9_FlQRC59ml6mMO0xASI4CpwqnsQ")</f>
        <v>1kXNkxLMhrMh7s-p9_FlQRC59ml6mMO0xASI4CpwqnsQ</v>
      </c>
    </row>
    <row r="549" ht="15.75" customHeight="1">
      <c r="A549" t="str">
        <f>IFERROR(__xludf.DUMMYFUNCTION("""COMPUTED_VALUE"""),"SymbolLookup")</f>
        <v>SymbolLookup</v>
      </c>
      <c r="B549" t="str">
        <f>IFERROR(__xludf.DUMMYFUNCTION("""COMPUTED_VALUE"""),"UpdateSecurityInfoOnSM")</f>
        <v>UpdateSecurityInfoOnSM</v>
      </c>
      <c r="C549" t="str">
        <f>IFERROR(__xludf.DUMMYFUNCTION("""COMPUTED_VALUE"""),"14z69pnCfo_DnsBrAd1uY7YL0PPT5uLfl7VchS5jQ8a8")</f>
        <v>14z69pnCfo_DnsBrAd1uY7YL0PPT5uLfl7VchS5jQ8a8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IFERROR(__xludf.DUMMYFUNCTION("""COMPUTED_VALUE"""),"UpdateThirdPartyFileFormat")</f>
        <v>UpdateThirdPartyFileFormat</v>
      </c>
      <c r="C550" t="str">
        <f>IFERROR(__xludf.DUMMYFUNCTION("""COMPUTED_VALUE"""),"1jJUZ0g-6Y-_Dy6ZKv3032e8qPnPG5QjNu2nyrJNkYnU")</f>
        <v>1jJUZ0g-6Y-_Dy6ZKv3032e8qPnPG5QjNu2nyrJNkYnU</v>
      </c>
    </row>
    <row r="551" ht="15.75" customHeight="1">
      <c r="A551" t="str">
        <f>IFERROR(__xludf.DUMMYFUNCTION("""COMPUTED_VALUE"""),"Blotter")</f>
        <v>Blotter</v>
      </c>
      <c r="B551" t="str">
        <f>IFERROR(__xludf.DUMMYFUNCTION("""COMPUTED_VALUE"""),"AddTab")</f>
        <v>AddTab</v>
      </c>
      <c r="C551" t="str">
        <f>IFERROR(__xludf.DUMMYFUNCTION("""COMPUTED_VALUE"""),"1XqeDEA12mZ2_sGgDigv55KFQP1uT7OLjHrsbyTxz6ck")</f>
        <v>1XqeDEA12mZ2_sGgDigv55KFQP1uT7OLjHrsbyTxz6ck</v>
      </c>
    </row>
    <row r="552" ht="15.75" customHeight="1">
      <c r="A552" t="str">
        <f>IFERROR(__xludf.DUMMYFUNCTION("""COMPUTED_VALUE"""),"Blotter")</f>
        <v>Blotter</v>
      </c>
      <c r="B552" t="str">
        <f>IFERROR(__xludf.DUMMYFUNCTION("""COMPUTED_VALUE"""),"RemoveTab")</f>
        <v>RemoveTab</v>
      </c>
      <c r="C552" t="str">
        <f>IFERROR(__xludf.DUMMYFUNCTION("""COMPUTED_VALUE"""),"1GK-cFfSLhl30UUg6KVuQM4xiYr7ZVs9T8-HbIaWAGSI")</f>
        <v>1GK-cFfSLhl30UUg6KVuQM4xiYr7ZVs9T8-HbIaWAGSI</v>
      </c>
    </row>
    <row r="553" ht="15.75" customHeight="1">
      <c r="A553" t="str">
        <f>IFERROR(__xludf.DUMMYFUNCTION("""COMPUTED_VALUE"""),"Blotter")</f>
        <v>Blotter</v>
      </c>
      <c r="B553" t="str">
        <f>IFERROR(__xludf.DUMMYFUNCTION("""COMPUTED_VALUE"""),"SelectCustomTab")</f>
        <v>SelectCustomTab</v>
      </c>
      <c r="C553" t="str">
        <f>IFERROR(__xludf.DUMMYFUNCTION("""COMPUTED_VALUE"""),"1kRtj_Fc0CYUsYDlKPBoU0CLid2Psb8dmosj3ZRAjroE")</f>
        <v>1kRtj_Fc0CYUsYDlKPBoU0CLid2Psb8dmosj3ZRAjroE</v>
      </c>
    </row>
    <row r="554" ht="15.75" customHeight="1">
      <c r="A554" t="str">
        <f>IFERROR(__xludf.DUMMYFUNCTION("""COMPUTED_VALUE"""),"Blotter")</f>
        <v>Blotter</v>
      </c>
      <c r="B554" t="str">
        <f>IFERROR(__xludf.DUMMYFUNCTION("""COMPUTED_VALUE"""),"VerifyOrderCustomTab")</f>
        <v>VerifyOrderCustomTab</v>
      </c>
      <c r="C554" t="str">
        <f>IFERROR(__xludf.DUMMYFUNCTION("""COMPUTED_VALUE"""),"1gOy9G8eKkWGKSuA9Fia5GxcUDS_ETGm1_VGBu5wSMC4")</f>
        <v>1gOy9G8eKkWGKSuA9Fia5GxcUDS_ETGm1_VGBu5wSMC4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IFERROR(__xludf.DUMMYFUNCTION("""COMPUTED_VALUE"""),"VerifySubOrderCustomTab")</f>
        <v>VerifySubOrderCustomTab</v>
      </c>
      <c r="C555" t="str">
        <f>IFERROR(__xludf.DUMMYFUNCTION("""COMPUTED_VALUE"""),"1ytbg-lonAtPMe12Y6drQXMuXtdZVd3el_SNLn_tZlM4")</f>
        <v>1ytbg-lonAtPMe12Y6drQXMuXtdZVd3el_SNLn_tZlM4</v>
      </c>
    </row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IFERROR(__xludf.DUMMYFUNCTION("""COMPUTED_VALUE"""),"ShortLocate")</f>
        <v>ShortLocate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16</v>
      </c>
      <c r="C6" s="11" t="s">
        <v>17</v>
      </c>
      <c r="D6" s="11">
        <v>1000.0</v>
      </c>
      <c r="E6" s="8"/>
      <c r="F6" s="11" t="s">
        <v>18</v>
      </c>
      <c r="G6" s="11" t="s">
        <v>19</v>
      </c>
      <c r="H6" s="8"/>
      <c r="I6" s="8"/>
      <c r="J6" s="11">
        <v>15.0</v>
      </c>
      <c r="K6" s="8"/>
      <c r="L6" s="8"/>
      <c r="M6" s="8"/>
      <c r="N6" s="30">
        <f>Today()</f>
        <v>45876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17</v>
      </c>
      <c r="C6" s="11" t="s">
        <v>16</v>
      </c>
      <c r="D6" s="8"/>
      <c r="E6" s="8"/>
      <c r="F6" s="8"/>
      <c r="G6" s="11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17</v>
      </c>
      <c r="C6" s="11" t="s">
        <v>16</v>
      </c>
      <c r="D6" s="8"/>
      <c r="E6" s="8"/>
      <c r="F6" s="8"/>
      <c r="G6" s="11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24</v>
      </c>
      <c r="C5" s="27" t="s">
        <v>25</v>
      </c>
      <c r="D5" s="28" t="s">
        <v>26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>
        <v>15.0</v>
      </c>
      <c r="C6" s="11">
        <v>2000.0</v>
      </c>
      <c r="D6" s="11" t="s">
        <v>27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17</v>
      </c>
      <c r="C6" s="11" t="s">
        <v>16</v>
      </c>
      <c r="D6" s="8"/>
      <c r="E6" s="8"/>
      <c r="F6" s="8"/>
      <c r="G6" s="11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>
        <v>15.0</v>
      </c>
      <c r="C6" s="11">
        <v>200.0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30</v>
      </c>
      <c r="AL6" s="9">
        <v>1000.0</v>
      </c>
      <c r="AM6" s="9">
        <v>200.0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