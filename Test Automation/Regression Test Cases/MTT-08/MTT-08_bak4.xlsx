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6" activeTab="6"/>
  </bookViews>
  <sheets>
    <sheet name="_Modules" sheetId="1" r:id="rId1"/>
    <sheet name="_Settings" sheetId="2" r:id="rId2"/>
    <sheet name="_MasterData" sheetId="3" r:id="rId3"/>
    <sheet name="MultiTradingTicketFromBlotter" sheetId="4" r:id="rId4"/>
    <sheet name="SelectTradeUsingMTT" sheetId="5" r:id="rId5"/>
    <sheet name="EditTradeUsingMTT" sheetId="6" r:id="rId6"/>
    <sheet name="DoneAwayUsingMTT" sheetId="7" r:id="rId7"/>
    <sheet name="VerifyWorkingSubs" sheetId="8" r:id="rId8"/>
    <sheet name="GetDataAllocation" sheetId="9" r:id="rId9"/>
    <sheet name="CheckAllocatedGroups" sheetId="10" r:id="rId10"/>
    <sheet name="CheckPortfolioManagement" sheetId="11" r:id="rId11"/>
    <sheet name="CreateStageOrder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J2" i="9"/>
  <c r="J2" i="8"/>
  <c r="J2" i="7"/>
  <c r="J2" i="6"/>
  <c r="J2" i="5"/>
  <c r="J2" i="4"/>
  <c r="DB5" i="12"/>
  <c r="AP5" i="12"/>
  <c r="EB4" i="12"/>
  <c r="BP4" i="12"/>
  <c r="D4" i="12"/>
  <c r="DC5" i="11"/>
  <c r="AQ5" i="11"/>
  <c r="EP4" i="11"/>
  <c r="CD4" i="11"/>
  <c r="R4" i="11"/>
  <c r="DD5" i="10"/>
  <c r="AR5" i="10"/>
  <c r="ED4" i="10"/>
  <c r="BR4" i="10"/>
  <c r="EW5" i="12"/>
  <c r="CK5" i="12"/>
  <c r="Y5" i="12"/>
  <c r="DK4" i="12"/>
  <c r="AY4" i="12"/>
  <c r="EX5" i="11"/>
  <c r="CL5" i="11"/>
  <c r="Z5" i="11"/>
  <c r="DY4" i="11"/>
  <c r="BM4" i="11"/>
  <c r="EV5" i="12"/>
  <c r="CJ5" i="12"/>
  <c r="X5" i="12"/>
  <c r="DJ4" i="12"/>
  <c r="AX4" i="12"/>
  <c r="EW5" i="11"/>
  <c r="CK5" i="11"/>
  <c r="Y5" i="11"/>
  <c r="DX4" i="11"/>
  <c r="BL4" i="11"/>
  <c r="EX5" i="10"/>
  <c r="CL5" i="10"/>
  <c r="Z5" i="10"/>
  <c r="DL4" i="10"/>
  <c r="AZ4" i="10"/>
  <c r="EL5" i="9"/>
  <c r="EM5" i="12"/>
  <c r="CA5" i="12"/>
  <c r="O5" i="12"/>
  <c r="DA4" i="12"/>
  <c r="AO4" i="12"/>
  <c r="DV5" i="12"/>
  <c r="BJ5" i="12"/>
  <c r="EV4" i="12"/>
  <c r="CJ4" i="12"/>
  <c r="X4" i="12"/>
  <c r="DW5" i="11"/>
  <c r="BC5" i="11"/>
  <c r="FB4" i="11"/>
  <c r="CP4" i="11"/>
  <c r="AD4" i="11"/>
  <c r="DP5" i="10"/>
  <c r="EC5" i="12"/>
  <c r="BQ5" i="12"/>
  <c r="E5" i="12"/>
  <c r="CQ4" i="12"/>
  <c r="AE4" i="12"/>
  <c r="ED5" i="11"/>
  <c r="BR5" i="11"/>
  <c r="F5" i="11"/>
  <c r="EJ5" i="12"/>
  <c r="BX5" i="12"/>
  <c r="L5" i="12"/>
  <c r="CX4" i="12"/>
  <c r="AL4" i="12"/>
  <c r="EK5" i="11"/>
  <c r="BY5" i="11"/>
  <c r="M5" i="11"/>
  <c r="DL4" i="11"/>
  <c r="CM5" i="12"/>
  <c r="AA5" i="12"/>
  <c r="DM4" i="12"/>
  <c r="BA4" i="12"/>
  <c r="EZ5" i="11"/>
  <c r="CN5" i="11"/>
  <c r="AB5" i="11"/>
  <c r="BX4" i="11"/>
  <c r="DI5" i="10"/>
  <c r="V5" i="10"/>
  <c r="CL4" i="10"/>
  <c r="F4" i="10"/>
  <c r="CI5" i="9"/>
  <c r="W5" i="9"/>
  <c r="DI4" i="9"/>
  <c r="AW4" i="9"/>
  <c r="EA5" i="8"/>
  <c r="BO5" i="8"/>
  <c r="C5" i="8"/>
  <c r="CO4" i="8"/>
  <c r="AC4" i="8"/>
  <c r="DO5" i="7"/>
  <c r="CJ5" i="11"/>
  <c r="AQ4" i="11"/>
  <c r="CH5" i="10"/>
  <c r="EW4" i="10"/>
  <c r="BO4" i="10"/>
  <c r="EJ5" i="9"/>
  <c r="BR5" i="9"/>
  <c r="F5" i="9"/>
  <c r="CR4" i="9"/>
  <c r="AF4" i="9"/>
  <c r="DR5" i="8"/>
  <c r="BF5" i="8"/>
  <c r="ER4" i="8"/>
  <c r="CF4" i="8"/>
  <c r="T4" i="8"/>
  <c r="DF5" i="7"/>
  <c r="T5" i="11"/>
  <c r="BK5" i="11"/>
  <c r="CT5" i="12"/>
  <c r="AH5" i="12"/>
  <c r="DT4" i="12"/>
  <c r="BH4" i="12"/>
  <c r="FG5" i="11"/>
  <c r="CU5" i="11"/>
  <c r="AI5" i="11"/>
  <c r="EH4" i="11"/>
  <c r="BV4" i="11"/>
  <c r="J4" i="11"/>
  <c r="CV5" i="10"/>
  <c r="AJ5" i="10"/>
  <c r="DV4" i="10"/>
  <c r="BJ4" i="10"/>
  <c r="EO5" i="12"/>
  <c r="CC5" i="12"/>
  <c r="Q5" i="12"/>
  <c r="DC4" i="12"/>
  <c r="AQ4" i="12"/>
  <c r="EP5" i="11"/>
  <c r="CD5" i="11"/>
  <c r="R5" i="11"/>
  <c r="DQ4" i="11"/>
  <c r="BE4" i="11"/>
  <c r="EN5" i="12"/>
  <c r="CB5" i="12"/>
  <c r="P5" i="12"/>
  <c r="DB4" i="12"/>
  <c r="AP4" i="12"/>
  <c r="EO5" i="11"/>
  <c r="CC5" i="11"/>
  <c r="Q5" i="11"/>
  <c r="DP4" i="11"/>
  <c r="BD4" i="11"/>
  <c r="EP5" i="10"/>
  <c r="CD5" i="10"/>
  <c r="R5" i="10"/>
  <c r="DD4" i="10"/>
  <c r="AR4" i="10"/>
  <c r="ED5" i="9"/>
  <c r="EE5" i="12"/>
  <c r="BS5" i="12"/>
  <c r="G5" i="12"/>
  <c r="CS4" i="12"/>
  <c r="AG4" i="12"/>
  <c r="DN5" i="12"/>
  <c r="BB5" i="12"/>
  <c r="EN4" i="12"/>
  <c r="CB4" i="12"/>
  <c r="P4" i="12"/>
  <c r="DO5" i="11"/>
  <c r="AU5" i="11"/>
  <c r="ET4" i="11"/>
  <c r="CH4" i="11"/>
  <c r="V4" i="11"/>
  <c r="DH5" i="10"/>
  <c r="DU5" i="12"/>
  <c r="BI5" i="12"/>
  <c r="EU4" i="12"/>
  <c r="CI4" i="12"/>
  <c r="W4" i="12"/>
  <c r="DV5" i="11"/>
  <c r="BJ5" i="11"/>
  <c r="FI4" i="11"/>
  <c r="EB5" i="12"/>
  <c r="BP5" i="12"/>
  <c r="D5" i="12"/>
  <c r="CP4" i="12"/>
  <c r="AD4" i="12"/>
  <c r="EC5" i="11"/>
  <c r="BQ5" i="11"/>
  <c r="E5" i="11"/>
  <c r="EQ5" i="12"/>
  <c r="CE5" i="12"/>
  <c r="S5" i="12"/>
  <c r="DE4" i="12"/>
  <c r="AS4" i="12"/>
  <c r="ER5" i="11"/>
  <c r="CF5" i="11"/>
  <c r="FD5" i="11"/>
  <c r="BH4" i="11"/>
  <c r="CW5" i="10"/>
  <c r="K5" i="10"/>
  <c r="CB4" i="10"/>
  <c r="EU5" i="9"/>
  <c r="CA5" i="9"/>
  <c r="O5" i="9"/>
  <c r="DA4" i="9"/>
  <c r="AO4" i="9"/>
  <c r="DS5" i="8"/>
  <c r="BG5" i="8"/>
  <c r="ES4" i="8"/>
  <c r="CG4" i="8"/>
  <c r="U4" i="8"/>
  <c r="DG5" i="7"/>
  <c r="X5" i="11"/>
  <c r="AA4" i="11"/>
  <c r="BU5" i="10"/>
  <c r="EM4" i="10"/>
  <c r="BE4" i="10"/>
  <c r="EA5" i="9"/>
  <c r="BJ5" i="9"/>
  <c r="EV4" i="9"/>
  <c r="CJ4" i="9"/>
  <c r="X4" i="9"/>
  <c r="DJ5" i="8"/>
  <c r="AX5" i="8"/>
  <c r="EJ4" i="8"/>
  <c r="BX4" i="8"/>
  <c r="L4" i="8"/>
  <c r="CX5" i="7"/>
  <c r="EY4" i="11"/>
  <c r="G4" i="11"/>
  <c r="BJ5" i="10"/>
  <c r="DZ4" i="10"/>
  <c r="AS4" i="10"/>
  <c r="DQ5" i="9"/>
  <c r="BA5" i="9"/>
  <c r="EM4" i="9"/>
  <c r="CA4" i="9"/>
  <c r="O4" i="9"/>
  <c r="DA5" i="8"/>
  <c r="AO5" i="8"/>
  <c r="EA4" i="8"/>
  <c r="BO4" i="8"/>
  <c r="C4" i="8"/>
  <c r="EX5" i="12"/>
  <c r="CL5" i="12"/>
  <c r="Z5" i="12"/>
  <c r="DL4" i="12"/>
  <c r="AZ4" i="12"/>
  <c r="EY5" i="11"/>
  <c r="CM5" i="11"/>
  <c r="AA5" i="11"/>
  <c r="DZ4" i="11"/>
  <c r="BN4" i="11"/>
  <c r="B4" i="11"/>
  <c r="CN5" i="10"/>
  <c r="AB5" i="10"/>
  <c r="DN4" i="10"/>
  <c r="BB4" i="10"/>
  <c r="EG5" i="12"/>
  <c r="BU5" i="12"/>
  <c r="I5" i="12"/>
  <c r="CU4" i="12"/>
  <c r="AI4" i="12"/>
  <c r="EH5" i="11"/>
  <c r="BV5" i="11"/>
  <c r="J5" i="11"/>
  <c r="DI4" i="11"/>
  <c r="AW4" i="11"/>
  <c r="EF5" i="12"/>
  <c r="BT5" i="12"/>
  <c r="H5" i="12"/>
  <c r="CT4" i="12"/>
  <c r="AH4" i="12"/>
  <c r="EG5" i="11"/>
  <c r="BU5" i="11"/>
  <c r="I5" i="11"/>
  <c r="DH4" i="11"/>
  <c r="AV4" i="11"/>
  <c r="EH5" i="10"/>
  <c r="BV5" i="10"/>
  <c r="J5" i="10"/>
  <c r="CV4" i="10"/>
  <c r="AJ4" i="10"/>
  <c r="DV5" i="9"/>
  <c r="DW5" i="12"/>
  <c r="BK5" i="12"/>
  <c r="EW4" i="12"/>
  <c r="CK4" i="12"/>
  <c r="Y4" i="12"/>
  <c r="DF5" i="12"/>
  <c r="AT5" i="12"/>
  <c r="EF4" i="12"/>
  <c r="BT4" i="12"/>
  <c r="H4" i="12"/>
  <c r="DG5" i="11"/>
  <c r="AM5" i="11"/>
  <c r="EL4" i="11"/>
  <c r="BZ4" i="11"/>
  <c r="N4" i="11"/>
  <c r="CZ5" i="10"/>
  <c r="DM5" i="12"/>
  <c r="BA5" i="12"/>
  <c r="EM4" i="12"/>
  <c r="CA4" i="12"/>
  <c r="O4" i="12"/>
  <c r="DN5" i="11"/>
  <c r="BB5" i="11"/>
  <c r="FA4" i="11"/>
  <c r="DT5" i="12"/>
  <c r="BH5" i="12"/>
  <c r="ET4" i="12"/>
  <c r="CH4" i="12"/>
  <c r="V4" i="12"/>
  <c r="DU5" i="11"/>
  <c r="BI5" i="11"/>
  <c r="FH4" i="11"/>
  <c r="EI5" i="12"/>
  <c r="BW5" i="12"/>
  <c r="K5" i="12"/>
  <c r="CW4" i="12"/>
  <c r="AK4" i="12"/>
  <c r="EJ5" i="11"/>
  <c r="BX5" i="11"/>
  <c r="CR5" i="11"/>
  <c r="AR4" i="11"/>
  <c r="CI5" i="10"/>
  <c r="EX4" i="10"/>
  <c r="BQ4" i="10"/>
  <c r="EK5" i="9"/>
  <c r="BS5" i="9"/>
  <c r="G5" i="9"/>
  <c r="CS4" i="9"/>
  <c r="AG4" i="9"/>
  <c r="DK5" i="8"/>
  <c r="AY5" i="8"/>
  <c r="EK4" i="8"/>
  <c r="BY4" i="8"/>
  <c r="M4" i="8"/>
  <c r="CY5" i="7"/>
  <c r="FC4" i="11"/>
  <c r="K4" i="11"/>
  <c r="BK5" i="10"/>
  <c r="EA4" i="10"/>
  <c r="AU4" i="10"/>
  <c r="DR5" i="9"/>
  <c r="BB5" i="9"/>
  <c r="EN4" i="9"/>
  <c r="CB4" i="9"/>
  <c r="P4" i="9"/>
  <c r="DB5" i="8"/>
  <c r="AP5" i="8"/>
  <c r="EB4" i="8"/>
  <c r="BP4" i="8"/>
  <c r="D4" i="8"/>
  <c r="EP5" i="12"/>
  <c r="CD5" i="12"/>
  <c r="R5" i="12"/>
  <c r="DD4" i="12"/>
  <c r="AR4" i="12"/>
  <c r="EQ5" i="11"/>
  <c r="CE5" i="11"/>
  <c r="S5" i="11"/>
  <c r="DR4" i="11"/>
  <c r="BF4" i="11"/>
  <c r="ER5" i="10"/>
  <c r="CF5" i="10"/>
  <c r="T5" i="10"/>
  <c r="DF4" i="10"/>
  <c r="AT4" i="10"/>
  <c r="DY5" i="12"/>
  <c r="BM5" i="12"/>
  <c r="A5" i="12"/>
  <c r="CM4" i="12"/>
  <c r="AA4" i="12"/>
  <c r="DZ5" i="11"/>
  <c r="BN5" i="11"/>
  <c r="B5" i="11"/>
  <c r="DA4" i="11"/>
  <c r="AO4" i="11"/>
  <c r="DX5" i="12"/>
  <c r="BL5" i="12"/>
  <c r="EX4" i="12"/>
  <c r="CL4" i="12"/>
  <c r="Z4" i="12"/>
  <c r="DY5" i="11"/>
  <c r="BM5" i="11"/>
  <c r="A5" i="11"/>
  <c r="CZ4" i="11"/>
  <c r="AN4" i="11"/>
  <c r="DZ5" i="10"/>
  <c r="BN5" i="10"/>
  <c r="B5" i="10"/>
  <c r="CN4" i="10"/>
  <c r="AB4" i="10"/>
  <c r="DN5" i="9"/>
  <c r="DO5" i="12"/>
  <c r="BC5" i="12"/>
  <c r="EO4" i="12"/>
  <c r="CC4" i="12"/>
  <c r="Q4" i="12"/>
  <c r="CX5" i="12"/>
  <c r="AL5" i="12"/>
  <c r="DX4" i="12"/>
  <c r="BL4" i="12"/>
  <c r="FK5" i="11"/>
  <c r="CY5" i="11"/>
  <c r="AE5" i="11"/>
  <c r="ED4" i="11"/>
  <c r="BR4" i="11"/>
  <c r="F4" i="11"/>
  <c r="CR5" i="10"/>
  <c r="DE5" i="12"/>
  <c r="AS5" i="12"/>
  <c r="EE4" i="12"/>
  <c r="BS4" i="12"/>
  <c r="G4" i="12"/>
  <c r="DF5" i="11"/>
  <c r="AT5" i="11"/>
  <c r="ES4" i="11"/>
  <c r="DL5" i="12"/>
  <c r="AZ5" i="12"/>
  <c r="EL4" i="12"/>
  <c r="BZ4" i="12"/>
  <c r="N4" i="12"/>
  <c r="DM5" i="11"/>
  <c r="BA5" i="11"/>
  <c r="EZ4" i="11"/>
  <c r="EA5" i="12"/>
  <c r="BO5" i="12"/>
  <c r="C5" i="12"/>
  <c r="CO4" i="12"/>
  <c r="AC4" i="12"/>
  <c r="EB5" i="11"/>
  <c r="BP5" i="11"/>
  <c r="AF5" i="11"/>
  <c r="AB4" i="11"/>
  <c r="BW5" i="10"/>
  <c r="EN4" i="10"/>
  <c r="BF4" i="10"/>
  <c r="EB5" i="9"/>
  <c r="BK5" i="9"/>
  <c r="EW4" i="9"/>
  <c r="CK4" i="9"/>
  <c r="Y4" i="9"/>
  <c r="DC5" i="8"/>
  <c r="AQ5" i="8"/>
  <c r="EC4" i="8"/>
  <c r="BQ4" i="8"/>
  <c r="E4" i="8"/>
  <c r="CQ5" i="7"/>
  <c r="DW4" i="11"/>
  <c r="ET5" i="10"/>
  <c r="BA5" i="10"/>
  <c r="DQ4" i="10"/>
  <c r="AI4" i="10"/>
  <c r="DI5" i="9"/>
  <c r="AT5" i="9"/>
  <c r="EF4" i="9"/>
  <c r="BT4" i="9"/>
  <c r="H4" i="9"/>
  <c r="CT5" i="8"/>
  <c r="AH5" i="8"/>
  <c r="DT4" i="8"/>
  <c r="BH4" i="8"/>
  <c r="ET5" i="7"/>
  <c r="CH5" i="7"/>
  <c r="CY4" i="11"/>
  <c r="EE5" i="10"/>
  <c r="AN5" i="10"/>
  <c r="DE4" i="10"/>
  <c r="X4" i="10"/>
  <c r="CY5" i="9"/>
  <c r="AK5" i="9"/>
  <c r="DW4" i="9"/>
  <c r="EH5" i="12"/>
  <c r="BV5" i="12"/>
  <c r="J5" i="12"/>
  <c r="CV4" i="12"/>
  <c r="AJ4" i="12"/>
  <c r="EI5" i="11"/>
  <c r="BW5" i="11"/>
  <c r="K5" i="11"/>
  <c r="DJ4" i="11"/>
  <c r="AX4" i="11"/>
  <c r="EJ5" i="10"/>
  <c r="BX5" i="10"/>
  <c r="L5" i="10"/>
  <c r="CX4" i="10"/>
  <c r="AL4" i="10"/>
  <c r="DQ5" i="12"/>
  <c r="BE5" i="12"/>
  <c r="EQ4" i="12"/>
  <c r="CE4" i="12"/>
  <c r="S4" i="12"/>
  <c r="DR5" i="11"/>
  <c r="BF5" i="11"/>
  <c r="FE4" i="11"/>
  <c r="CS4" i="11"/>
  <c r="AG4" i="11"/>
  <c r="DP5" i="12"/>
  <c r="BD5" i="12"/>
  <c r="EP4" i="12"/>
  <c r="CD4" i="12"/>
  <c r="R4" i="12"/>
  <c r="DQ5" i="11"/>
  <c r="BE5" i="11"/>
  <c r="FD4" i="11"/>
  <c r="CR4" i="11"/>
  <c r="AF4" i="11"/>
  <c r="DR5" i="10"/>
  <c r="BF5" i="10"/>
  <c r="ER4" i="10"/>
  <c r="CF4" i="10"/>
  <c r="T4" i="10"/>
  <c r="DF5" i="9"/>
  <c r="DG5" i="12"/>
  <c r="AU5" i="12"/>
  <c r="EG4" i="12"/>
  <c r="BU4" i="12"/>
  <c r="I4" i="12"/>
  <c r="CP5" i="12"/>
  <c r="AD5" i="12"/>
  <c r="DP4" i="12"/>
  <c r="BD4" i="12"/>
  <c r="FC5" i="11"/>
  <c r="CQ5" i="11"/>
  <c r="W5" i="11"/>
  <c r="DV4" i="11"/>
  <c r="BJ4" i="11"/>
  <c r="EV5" i="10"/>
  <c r="CJ5" i="10"/>
  <c r="CW5" i="12"/>
  <c r="AK5" i="12"/>
  <c r="DW4" i="12"/>
  <c r="BK4" i="12"/>
  <c r="FJ5" i="11"/>
  <c r="CX5" i="11"/>
  <c r="AL5" i="11"/>
  <c r="EK4" i="11"/>
  <c r="DD5" i="12"/>
  <c r="AR5" i="12"/>
  <c r="ED4" i="12"/>
  <c r="BR4" i="12"/>
  <c r="F4" i="12"/>
  <c r="DE5" i="11"/>
  <c r="AS5" i="11"/>
  <c r="ER4" i="11"/>
  <c r="DS5" i="12"/>
  <c r="BG5" i="12"/>
  <c r="ES4" i="12"/>
  <c r="CG4" i="12"/>
  <c r="U4" i="12"/>
  <c r="DT5" i="11"/>
  <c r="BH5" i="11"/>
  <c r="FG4" i="11"/>
  <c r="L4" i="11"/>
  <c r="BL5" i="10"/>
  <c r="EC4" i="10"/>
  <c r="AV4" i="10"/>
  <c r="DS5" i="9"/>
  <c r="BC5" i="9"/>
  <c r="EO4" i="9"/>
  <c r="CC4" i="9"/>
  <c r="Q4" i="9"/>
  <c r="CU5" i="8"/>
  <c r="AI5" i="8"/>
  <c r="DU4" i="8"/>
  <c r="BI4" i="8"/>
  <c r="EU5" i="7"/>
  <c r="CI5" i="7"/>
  <c r="DC4" i="11"/>
  <c r="EG5" i="10"/>
  <c r="AO5" i="10"/>
  <c r="DG4" i="10"/>
  <c r="Y4" i="10"/>
  <c r="CZ5" i="9"/>
  <c r="AL5" i="9"/>
  <c r="DX4" i="9"/>
  <c r="BL4" i="9"/>
  <c r="EX5" i="8"/>
  <c r="CL5" i="8"/>
  <c r="Z5" i="8"/>
  <c r="DL4" i="8"/>
  <c r="AZ4" i="8"/>
  <c r="EL5" i="7"/>
  <c r="BZ5" i="7"/>
  <c r="CI4" i="11"/>
  <c r="DZ5" i="12"/>
  <c r="BN5" i="12"/>
  <c r="B5" i="12"/>
  <c r="CN4" i="12"/>
  <c r="AB4" i="12"/>
  <c r="EA5" i="11"/>
  <c r="BO5" i="11"/>
  <c r="C5" i="11"/>
  <c r="DB4" i="11"/>
  <c r="AP4" i="11"/>
  <c r="EB5" i="10"/>
  <c r="BP5" i="10"/>
  <c r="D5" i="10"/>
  <c r="CP4" i="10"/>
  <c r="AD4" i="10"/>
  <c r="DI5" i="12"/>
  <c r="AW5" i="12"/>
  <c r="EI4" i="12"/>
  <c r="BW4" i="12"/>
  <c r="K4" i="12"/>
  <c r="DJ5" i="11"/>
  <c r="AX5" i="11"/>
  <c r="EW4" i="11"/>
  <c r="CK4" i="11"/>
  <c r="Y4" i="11"/>
  <c r="DH5" i="12"/>
  <c r="AV5" i="12"/>
  <c r="EH4" i="12"/>
  <c r="BV4" i="12"/>
  <c r="J4" i="12"/>
  <c r="DI5" i="11"/>
  <c r="AW5" i="11"/>
  <c r="EV4" i="11"/>
  <c r="CJ4" i="11"/>
  <c r="X4" i="11"/>
  <c r="DJ5" i="10"/>
  <c r="AX5" i="10"/>
  <c r="EJ4" i="10"/>
  <c r="BX4" i="10"/>
  <c r="L4" i="10"/>
  <c r="CX5" i="9"/>
  <c r="CY5" i="12"/>
  <c r="AM5" i="12"/>
  <c r="DY4" i="12"/>
  <c r="BM4" i="12"/>
  <c r="ET5" i="12"/>
  <c r="CH5" i="12"/>
  <c r="V5" i="12"/>
  <c r="DH4" i="12"/>
  <c r="AV4" i="12"/>
  <c r="EU5" i="11"/>
  <c r="CI5" i="11"/>
  <c r="O5" i="11"/>
  <c r="DN4" i="11"/>
  <c r="BB4" i="11"/>
  <c r="EN5" i="10"/>
  <c r="CB5" i="10"/>
  <c r="CO5" i="12"/>
  <c r="AC5" i="12"/>
  <c r="DO4" i="12"/>
  <c r="BC4" i="12"/>
  <c r="FB5" i="11"/>
  <c r="CP5" i="11"/>
  <c r="AD5" i="11"/>
  <c r="EC4" i="11"/>
  <c r="CV5" i="12"/>
  <c r="AJ5" i="12"/>
  <c r="DV4" i="12"/>
  <c r="BJ4" i="12"/>
  <c r="FI5" i="11"/>
  <c r="CW5" i="11"/>
  <c r="AK5" i="11"/>
  <c r="EJ4" i="11"/>
  <c r="DK5" i="12"/>
  <c r="AY5" i="12"/>
  <c r="EK4" i="12"/>
  <c r="BY4" i="12"/>
  <c r="M4" i="12"/>
  <c r="DL5" i="11"/>
  <c r="AZ5" i="11"/>
  <c r="EA4" i="11"/>
  <c r="EU5" i="10"/>
  <c r="BB5" i="10"/>
  <c r="DR4" i="10"/>
  <c r="AK4" i="10"/>
  <c r="DJ5" i="9"/>
  <c r="AU5" i="9"/>
  <c r="EG4" i="9"/>
  <c r="BU4" i="9"/>
  <c r="I4" i="9"/>
  <c r="CM5" i="8"/>
  <c r="AA5" i="8"/>
  <c r="DM4" i="8"/>
  <c r="BA4" i="8"/>
  <c r="EM5" i="7"/>
  <c r="CA5" i="7"/>
  <c r="CM4" i="11"/>
  <c r="DU5" i="10"/>
  <c r="AE5" i="10"/>
  <c r="CU4" i="10"/>
  <c r="O4" i="10"/>
  <c r="CQ5" i="9"/>
  <c r="AD5" i="9"/>
  <c r="DP4" i="9"/>
  <c r="BD4" i="9"/>
  <c r="EP5" i="8"/>
  <c r="CD5" i="8"/>
  <c r="R5" i="8"/>
  <c r="DD4" i="8"/>
  <c r="AR4" i="8"/>
  <c r="ED5" i="7"/>
  <c r="BR5" i="7"/>
  <c r="BS4" i="11"/>
  <c r="DF5" i="10"/>
  <c r="S5" i="10"/>
  <c r="CJ4" i="10"/>
  <c r="C4" i="10"/>
  <c r="CG5" i="9"/>
  <c r="U5" i="9"/>
  <c r="DG4" i="9"/>
  <c r="AU4" i="9"/>
  <c r="EG5" i="8"/>
  <c r="BU5" i="8"/>
  <c r="I5" i="8"/>
  <c r="CU4" i="8"/>
  <c r="AI4" i="8"/>
  <c r="DU5" i="7"/>
  <c r="DR5" i="12"/>
  <c r="BF5" i="12"/>
  <c r="ER4" i="12"/>
  <c r="CF4" i="12"/>
  <c r="T4" i="12"/>
  <c r="DS5" i="11"/>
  <c r="BG5" i="11"/>
  <c r="FF4" i="11"/>
  <c r="CT4" i="11"/>
  <c r="AH4" i="11"/>
  <c r="DT5" i="10"/>
  <c r="BH5" i="10"/>
  <c r="ET4" i="10"/>
  <c r="CH4" i="10"/>
  <c r="V4" i="10"/>
  <c r="DA5" i="12"/>
  <c r="AO5" i="12"/>
  <c r="EA4" i="12"/>
  <c r="BO4" i="12"/>
  <c r="C4" i="12"/>
  <c r="DB5" i="11"/>
  <c r="AP5" i="11"/>
  <c r="EO4" i="11"/>
  <c r="CC4" i="11"/>
  <c r="Q4" i="11"/>
  <c r="CZ5" i="12"/>
  <c r="AN5" i="12"/>
  <c r="DZ4" i="12"/>
  <c r="BN4" i="12"/>
  <c r="B4" i="12"/>
  <c r="DA5" i="11"/>
  <c r="AO5" i="11"/>
  <c r="EN4" i="11"/>
  <c r="CB4" i="11"/>
  <c r="P4" i="11"/>
  <c r="DB5" i="10"/>
  <c r="AP5" i="10"/>
  <c r="EB4" i="10"/>
  <c r="BP4" i="10"/>
  <c r="D4" i="10"/>
  <c r="CP5" i="9"/>
  <c r="CQ5" i="12"/>
  <c r="AE5" i="12"/>
  <c r="DQ4" i="12"/>
  <c r="BE4" i="12"/>
  <c r="EL5" i="12"/>
  <c r="BZ5" i="12"/>
  <c r="N5" i="12"/>
  <c r="CZ4" i="12"/>
  <c r="AN4" i="12"/>
  <c r="EM5" i="11"/>
  <c r="CA5" i="11"/>
  <c r="G5" i="11"/>
  <c r="DF4" i="11"/>
  <c r="AT4" i="11"/>
  <c r="EF5" i="10"/>
  <c r="ES5" i="12"/>
  <c r="CG5" i="12"/>
  <c r="U5" i="12"/>
  <c r="DG4" i="12"/>
  <c r="AU4" i="12"/>
  <c r="ET5" i="11"/>
  <c r="CH5" i="11"/>
  <c r="V5" i="11"/>
  <c r="DU4" i="11"/>
  <c r="CN5" i="12"/>
  <c r="AB5" i="12"/>
  <c r="DN4" i="12"/>
  <c r="BB4" i="12"/>
  <c r="FA5" i="11"/>
  <c r="CO5" i="11"/>
  <c r="AC5" i="11"/>
  <c r="EB4" i="11"/>
  <c r="DC5" i="12"/>
  <c r="AQ5" i="12"/>
  <c r="EC4" i="12"/>
  <c r="BQ4" i="12"/>
  <c r="E4" i="12"/>
  <c r="DD5" i="11"/>
  <c r="AR5" i="11"/>
  <c r="DD4" i="11"/>
  <c r="EI5" i="10"/>
  <c r="AQ5" i="10"/>
  <c r="DH4" i="10"/>
  <c r="Z4" i="10"/>
  <c r="DA5" i="9"/>
  <c r="AM5" i="9"/>
  <c r="DY4" i="9"/>
  <c r="BM4" i="9"/>
  <c r="EQ5" i="8"/>
  <c r="CE5" i="8"/>
  <c r="S5" i="8"/>
  <c r="DE4" i="8"/>
  <c r="AS4" i="8"/>
  <c r="EE5" i="7"/>
  <c r="BS5" i="7"/>
  <c r="BW4" i="11"/>
  <c r="DG5" i="10"/>
  <c r="U5" i="10"/>
  <c r="CK4" i="10"/>
  <c r="E4" i="10"/>
  <c r="CH5" i="9"/>
  <c r="V5" i="9"/>
  <c r="DH4" i="9"/>
  <c r="AV4" i="9"/>
  <c r="EH5" i="8"/>
  <c r="BV5" i="8"/>
  <c r="J5" i="8"/>
  <c r="CV4" i="8"/>
  <c r="AJ4" i="8"/>
  <c r="DV5" i="7"/>
  <c r="EN5" i="11"/>
  <c r="BC4" i="11"/>
  <c r="CS5" i="10"/>
  <c r="H5" i="10"/>
  <c r="BY4" i="10"/>
  <c r="ER5" i="9"/>
  <c r="DJ5" i="12"/>
  <c r="AX5" i="12"/>
  <c r="EJ4" i="12"/>
  <c r="BX4" i="12"/>
  <c r="L4" i="12"/>
  <c r="DK5" i="11"/>
  <c r="AY5" i="11"/>
  <c r="EX4" i="11"/>
  <c r="CL4" i="11"/>
  <c r="Z4" i="11"/>
  <c r="DL5" i="10"/>
  <c r="AZ5" i="10"/>
  <c r="EL4" i="10"/>
  <c r="BZ4" i="10"/>
  <c r="N4" i="10"/>
  <c r="CS5" i="12"/>
  <c r="AG5" i="12"/>
  <c r="DS4" i="12"/>
  <c r="BG4" i="12"/>
  <c r="FF5" i="11"/>
  <c r="CT5" i="11"/>
  <c r="AH5" i="11"/>
  <c r="EG4" i="11"/>
  <c r="BU4" i="11"/>
  <c r="I4" i="11"/>
  <c r="CR5" i="12"/>
  <c r="AF5" i="12"/>
  <c r="DR4" i="12"/>
  <c r="BF4" i="12"/>
  <c r="FE5" i="11"/>
  <c r="CS5" i="11"/>
  <c r="AG5" i="11"/>
  <c r="EF4" i="11"/>
  <c r="BT4" i="11"/>
  <c r="H4" i="11"/>
  <c r="CT5" i="10"/>
  <c r="AH5" i="10"/>
  <c r="DT4" i="10"/>
  <c r="BH4" i="10"/>
  <c r="ET5" i="9"/>
  <c r="EU5" i="12"/>
  <c r="CI5" i="12"/>
  <c r="W5" i="12"/>
  <c r="DI4" i="12"/>
  <c r="AW4" i="12"/>
  <c r="ED5" i="12"/>
  <c r="BR5" i="12"/>
  <c r="F5" i="12"/>
  <c r="CR4" i="12"/>
  <c r="AF4" i="12"/>
  <c r="EE5" i="11"/>
  <c r="BS5" i="11"/>
  <c r="FJ4" i="11"/>
  <c r="CX4" i="11"/>
  <c r="AL4" i="11"/>
  <c r="DX5" i="10"/>
  <c r="EK5" i="12"/>
  <c r="BY5" i="12"/>
  <c r="M5" i="12"/>
  <c r="CY4" i="12"/>
  <c r="AM4" i="12"/>
  <c r="EL5" i="11"/>
  <c r="BZ5" i="11"/>
  <c r="N5" i="11"/>
  <c r="ER5" i="12"/>
  <c r="CF5" i="12"/>
  <c r="T5" i="12"/>
  <c r="DF4" i="12"/>
  <c r="AT4" i="12"/>
  <c r="ES5" i="11"/>
  <c r="CG5" i="11"/>
  <c r="U5" i="11"/>
  <c r="DT4" i="11"/>
  <c r="CU5" i="12"/>
  <c r="AI5" i="12"/>
  <c r="DU4" i="12"/>
  <c r="BI4" i="12"/>
  <c r="FH5" i="11"/>
  <c r="CV5" i="11"/>
  <c r="AJ5" i="11"/>
  <c r="CN4" i="11"/>
  <c r="DV5" i="10"/>
  <c r="AF5" i="10"/>
  <c r="CW4" i="10"/>
  <c r="P4" i="10"/>
  <c r="CR5" i="9"/>
  <c r="AE5" i="9"/>
  <c r="DQ4" i="9"/>
  <c r="BE4" i="9"/>
  <c r="EI5" i="8"/>
  <c r="BW5" i="8"/>
  <c r="K5" i="8"/>
  <c r="CW4" i="8"/>
  <c r="AK4" i="8"/>
  <c r="DW5" i="7"/>
  <c r="EV5" i="11"/>
  <c r="BG4" i="11"/>
  <c r="CU5" i="10"/>
  <c r="I5" i="10"/>
  <c r="CA4" i="10"/>
  <c r="ES5" i="9"/>
  <c r="BZ5" i="9"/>
  <c r="N5" i="9"/>
  <c r="CZ4" i="9"/>
  <c r="AN4" i="9"/>
  <c r="DZ5" i="8"/>
  <c r="BN5" i="8"/>
  <c r="B5" i="8"/>
  <c r="CN4" i="8"/>
  <c r="AB4" i="8"/>
  <c r="DN5" i="7"/>
  <c r="CB5" i="11"/>
  <c r="AM4" i="11"/>
  <c r="CG5" i="10"/>
  <c r="EV4" i="10"/>
  <c r="BN4" i="10"/>
  <c r="EI5" i="9"/>
  <c r="BQ5" i="9"/>
  <c r="E5" i="9"/>
  <c r="CQ4" i="9"/>
  <c r="AE4" i="9"/>
  <c r="CP5" i="7"/>
  <c r="EK4" i="10"/>
  <c r="CO5" i="9"/>
  <c r="DO4" i="9"/>
  <c r="G4" i="9"/>
  <c r="CC5" i="8"/>
  <c r="EQ4" i="8"/>
  <c r="BG4" i="8"/>
  <c r="EC5" i="7"/>
  <c r="EF5" i="11"/>
  <c r="BA4" i="11"/>
  <c r="CQ5" i="10"/>
  <c r="G5" i="10"/>
  <c r="BW4" i="10"/>
  <c r="EQ5" i="9"/>
  <c r="BX5" i="9"/>
  <c r="L5" i="9"/>
  <c r="CX4" i="9"/>
  <c r="AL4" i="9"/>
  <c r="DX5" i="8"/>
  <c r="BL5" i="8"/>
  <c r="EX4" i="8"/>
  <c r="CL4" i="8"/>
  <c r="Z4" i="8"/>
  <c r="DL5" i="7"/>
  <c r="BL5" i="11"/>
  <c r="AJ4" i="11"/>
  <c r="CC5" i="10"/>
  <c r="ES4" i="10"/>
  <c r="BL4" i="10"/>
  <c r="DX5" i="9"/>
  <c r="BG5" i="9"/>
  <c r="ES4" i="9"/>
  <c r="CG4" i="9"/>
  <c r="U4" i="9"/>
  <c r="DG5" i="8"/>
  <c r="AU5" i="8"/>
  <c r="EG4" i="8"/>
  <c r="BU4" i="8"/>
  <c r="I4" i="8"/>
  <c r="CM5" i="7"/>
  <c r="CU4" i="11"/>
  <c r="EA5" i="10"/>
  <c r="AK5" i="10"/>
  <c r="DA4" i="10"/>
  <c r="S4" i="10"/>
  <c r="CU5" i="9"/>
  <c r="AH5" i="9"/>
  <c r="DT4" i="9"/>
  <c r="BH4" i="9"/>
  <c r="ET5" i="8"/>
  <c r="CH5" i="8"/>
  <c r="V5" i="8"/>
  <c r="DH4" i="8"/>
  <c r="AV4" i="8"/>
  <c r="EH5" i="7"/>
  <c r="BV5" i="7"/>
  <c r="CA4" i="11"/>
  <c r="CY5" i="10"/>
  <c r="N5" i="10"/>
  <c r="CD4" i="10"/>
  <c r="EW5" i="9"/>
  <c r="CC5" i="9"/>
  <c r="Q5" i="9"/>
  <c r="DC4" i="9"/>
  <c r="AQ4" i="9"/>
  <c r="EC5" i="8"/>
  <c r="BQ5" i="8"/>
  <c r="E5" i="8"/>
  <c r="CQ4" i="8"/>
  <c r="AE4" i="8"/>
  <c r="DQ5" i="7"/>
  <c r="CZ5" i="11"/>
  <c r="AS4" i="11"/>
  <c r="CK5" i="10"/>
  <c r="A5" i="10"/>
  <c r="BS4" i="10"/>
  <c r="EM5" i="9"/>
  <c r="BT5" i="9"/>
  <c r="H5" i="9"/>
  <c r="CT4" i="9"/>
  <c r="AH4" i="9"/>
  <c r="DT5" i="8"/>
  <c r="BH5" i="8"/>
  <c r="ET4" i="8"/>
  <c r="CH4" i="8"/>
  <c r="V4" i="8"/>
  <c r="DH5" i="7"/>
  <c r="BD5" i="7"/>
  <c r="EP4" i="7"/>
  <c r="CD4" i="7"/>
  <c r="R4" i="7"/>
  <c r="DD5" i="6"/>
  <c r="AR5" i="6"/>
  <c r="ED4" i="6"/>
  <c r="BR4" i="6"/>
  <c r="F4" i="6"/>
  <c r="CR5" i="5"/>
  <c r="AF5" i="5"/>
  <c r="DR4" i="5"/>
  <c r="BF4" i="5"/>
  <c r="ER5" i="4"/>
  <c r="CF5" i="4"/>
  <c r="T5" i="4"/>
  <c r="AU5" i="7"/>
  <c r="EG4" i="7"/>
  <c r="BU4" i="7"/>
  <c r="I4" i="7"/>
  <c r="CM5" i="6"/>
  <c r="AA5" i="6"/>
  <c r="DM4" i="6"/>
  <c r="BA4" i="6"/>
  <c r="EM5" i="5"/>
  <c r="CA5" i="5"/>
  <c r="O5" i="5"/>
  <c r="DA4" i="5"/>
  <c r="AO4" i="5"/>
  <c r="DS5" i="4"/>
  <c r="BG5" i="4"/>
  <c r="AD5" i="7"/>
  <c r="DP4" i="7"/>
  <c r="BD4" i="7"/>
  <c r="EP5" i="6"/>
  <c r="CD5" i="6"/>
  <c r="R5" i="6"/>
  <c r="DD4" i="6"/>
  <c r="AR4" i="6"/>
  <c r="DS4" i="11"/>
  <c r="DP4" i="10"/>
  <c r="BY5" i="9"/>
  <c r="CY4" i="9"/>
  <c r="EW5" i="8"/>
  <c r="BM5" i="8"/>
  <c r="EI4" i="8"/>
  <c r="AY4" i="8"/>
  <c r="DM5" i="7"/>
  <c r="BT5" i="11"/>
  <c r="AK4" i="11"/>
  <c r="CE5" i="10"/>
  <c r="EU4" i="10"/>
  <c r="BM4" i="10"/>
  <c r="EH5" i="9"/>
  <c r="BP5" i="9"/>
  <c r="D5" i="9"/>
  <c r="CP4" i="9"/>
  <c r="AD4" i="9"/>
  <c r="DP5" i="8"/>
  <c r="BD5" i="8"/>
  <c r="EP4" i="8"/>
  <c r="CD4" i="8"/>
  <c r="R4" i="8"/>
  <c r="DD5" i="7"/>
  <c r="L5" i="11"/>
  <c r="T4" i="11"/>
  <c r="BR5" i="10"/>
  <c r="EH4" i="10"/>
  <c r="BA4" i="10"/>
  <c r="DO5" i="9"/>
  <c r="AY5" i="9"/>
  <c r="EK4" i="9"/>
  <c r="BY4" i="9"/>
  <c r="M4" i="9"/>
  <c r="CY5" i="8"/>
  <c r="AM5" i="8"/>
  <c r="DY4" i="8"/>
  <c r="BM4" i="8"/>
  <c r="EQ5" i="7"/>
  <c r="CE5" i="7"/>
  <c r="CE4" i="11"/>
  <c r="DN5" i="10"/>
  <c r="Y5" i="10"/>
  <c r="CQ4" i="10"/>
  <c r="I4" i="10"/>
  <c r="CL5" i="9"/>
  <c r="Z5" i="9"/>
  <c r="DL4" i="9"/>
  <c r="AZ4" i="9"/>
  <c r="EL5" i="8"/>
  <c r="BZ5" i="8"/>
  <c r="N5" i="8"/>
  <c r="CZ4" i="8"/>
  <c r="AN4" i="8"/>
  <c r="DZ5" i="7"/>
  <c r="BN5" i="7"/>
  <c r="BK4" i="11"/>
  <c r="CM5" i="10"/>
  <c r="C5" i="10"/>
  <c r="BT4" i="10"/>
  <c r="EN5" i="9"/>
  <c r="BU5" i="9"/>
  <c r="I5" i="9"/>
  <c r="CU4" i="9"/>
  <c r="AI4" i="9"/>
  <c r="DU5" i="8"/>
  <c r="BI5" i="8"/>
  <c r="EU4" i="8"/>
  <c r="CI4" i="8"/>
  <c r="W4" i="8"/>
  <c r="DI5" i="7"/>
  <c r="AN5" i="11"/>
  <c r="AC4" i="11"/>
  <c r="BY5" i="10"/>
  <c r="EO4" i="10"/>
  <c r="BG4" i="10"/>
  <c r="EC5" i="9"/>
  <c r="BL5" i="9"/>
  <c r="EX4" i="9"/>
  <c r="CL4" i="9"/>
  <c r="Z4" i="9"/>
  <c r="DL5" i="8"/>
  <c r="AZ5" i="8"/>
  <c r="EL4" i="8"/>
  <c r="BZ4" i="8"/>
  <c r="N4" i="8"/>
  <c r="CZ5" i="7"/>
  <c r="AV5" i="7"/>
  <c r="EH4" i="7"/>
  <c r="BV4" i="7"/>
  <c r="J4" i="7"/>
  <c r="CV5" i="6"/>
  <c r="AJ5" i="6"/>
  <c r="DV4" i="6"/>
  <c r="BJ4" i="6"/>
  <c r="EV5" i="5"/>
  <c r="CJ5" i="5"/>
  <c r="X5" i="5"/>
  <c r="DJ4" i="5"/>
  <c r="AX4" i="5"/>
  <c r="EJ5" i="4"/>
  <c r="BX5" i="4"/>
  <c r="L5" i="4"/>
  <c r="AM5" i="7"/>
  <c r="DY4" i="7"/>
  <c r="BM4" i="7"/>
  <c r="EQ5" i="6"/>
  <c r="CE5" i="6"/>
  <c r="S5" i="6"/>
  <c r="DE4" i="6"/>
  <c r="W4" i="11"/>
  <c r="CT4" i="10"/>
  <c r="BI5" i="9"/>
  <c r="CI4" i="9"/>
  <c r="EO5" i="8"/>
  <c r="BE5" i="8"/>
  <c r="DS4" i="8"/>
  <c r="AQ4" i="8"/>
  <c r="DE5" i="7"/>
  <c r="P5" i="11"/>
  <c r="U4" i="11"/>
  <c r="BS5" i="10"/>
  <c r="EI4" i="10"/>
  <c r="BC4" i="10"/>
  <c r="DY5" i="9"/>
  <c r="BH5" i="9"/>
  <c r="ET4" i="9"/>
  <c r="CH4" i="9"/>
  <c r="V4" i="9"/>
  <c r="DH5" i="8"/>
  <c r="AV5" i="8"/>
  <c r="EH4" i="8"/>
  <c r="BV4" i="8"/>
  <c r="J4" i="8"/>
  <c r="CV5" i="7"/>
  <c r="EQ4" i="11"/>
  <c r="D4" i="11"/>
  <c r="BG5" i="10"/>
  <c r="DX4" i="10"/>
  <c r="AP4" i="10"/>
  <c r="DE5" i="9"/>
  <c r="AQ5" i="9"/>
  <c r="EC4" i="9"/>
  <c r="BQ4" i="9"/>
  <c r="E4" i="9"/>
  <c r="CQ5" i="8"/>
  <c r="AE5" i="8"/>
  <c r="DQ4" i="8"/>
  <c r="BE4" i="8"/>
  <c r="EI5" i="7"/>
  <c r="BW5" i="7"/>
  <c r="BO4" i="11"/>
  <c r="DA5" i="10"/>
  <c r="O5" i="10"/>
  <c r="CE4" i="10"/>
  <c r="EX5" i="9"/>
  <c r="CD5" i="9"/>
  <c r="R5" i="9"/>
  <c r="DD4" i="9"/>
  <c r="AR4" i="9"/>
  <c r="ED5" i="8"/>
  <c r="BR5" i="8"/>
  <c r="F5" i="8"/>
  <c r="CR4" i="8"/>
  <c r="AF4" i="8"/>
  <c r="DR5" i="7"/>
  <c r="DH5" i="11"/>
  <c r="AU4" i="11"/>
  <c r="BZ5" i="10"/>
  <c r="EP4" i="10"/>
  <c r="BI4" i="10"/>
  <c r="EE5" i="9"/>
  <c r="BM5" i="9"/>
  <c r="A5" i="9"/>
  <c r="CM4" i="9"/>
  <c r="AA4" i="9"/>
  <c r="DM5" i="8"/>
  <c r="BA5" i="8"/>
  <c r="EM4" i="8"/>
  <c r="CA4" i="8"/>
  <c r="O4" i="8"/>
  <c r="DA5" i="7"/>
  <c r="FK4" i="11"/>
  <c r="M4" i="11"/>
  <c r="BM5" i="10"/>
  <c r="EE4" i="10"/>
  <c r="AW4" i="10"/>
  <c r="DT5" i="9"/>
  <c r="BD5" i="9"/>
  <c r="EP4" i="9"/>
  <c r="CD4" i="9"/>
  <c r="R4" i="9"/>
  <c r="DD5" i="8"/>
  <c r="AR5" i="8"/>
  <c r="ED4" i="8"/>
  <c r="BR4" i="8"/>
  <c r="F4" i="8"/>
  <c r="CR5" i="7"/>
  <c r="AN5" i="7"/>
  <c r="DZ4" i="7"/>
  <c r="BN4" i="7"/>
  <c r="B4" i="7"/>
  <c r="CN5" i="6"/>
  <c r="AB5" i="6"/>
  <c r="DN4" i="6"/>
  <c r="BB4" i="6"/>
  <c r="EN5" i="5"/>
  <c r="CB5" i="5"/>
  <c r="P5" i="5"/>
  <c r="DB4" i="5"/>
  <c r="AP4" i="5"/>
  <c r="EB5" i="4"/>
  <c r="BP5" i="4"/>
  <c r="D5" i="4"/>
  <c r="AE5" i="7"/>
  <c r="DQ4" i="7"/>
  <c r="BE4" i="7"/>
  <c r="EI5" i="6"/>
  <c r="BW5" i="6"/>
  <c r="K5" i="6"/>
  <c r="CW4" i="6"/>
  <c r="AK4" i="6"/>
  <c r="DW5" i="5"/>
  <c r="BK5" i="5"/>
  <c r="EW4" i="5"/>
  <c r="CK4" i="5"/>
  <c r="Y4" i="5"/>
  <c r="DC5" i="4"/>
  <c r="AQ5" i="4"/>
  <c r="N5" i="7"/>
  <c r="CZ4" i="7"/>
  <c r="AN4" i="7"/>
  <c r="DZ5" i="6"/>
  <c r="ES5" i="10"/>
  <c r="BD4" i="10"/>
  <c r="AS5" i="9"/>
  <c r="BS4" i="9"/>
  <c r="DY5" i="8"/>
  <c r="AW5" i="8"/>
  <c r="DK4" i="8"/>
  <c r="AA4" i="8"/>
  <c r="CW5" i="7"/>
  <c r="EU4" i="11"/>
  <c r="E4" i="11"/>
  <c r="BI5" i="10"/>
  <c r="DY4" i="10"/>
  <c r="AQ4" i="10"/>
  <c r="DP5" i="9"/>
  <c r="AZ5" i="9"/>
  <c r="EL4" i="9"/>
  <c r="BZ4" i="9"/>
  <c r="N4" i="9"/>
  <c r="CZ5" i="8"/>
  <c r="AN5" i="8"/>
  <c r="DZ4" i="8"/>
  <c r="BN4" i="8"/>
  <c r="B4" i="8"/>
  <c r="CN5" i="7"/>
  <c r="DM4" i="11"/>
  <c r="EO5" i="10"/>
  <c r="AV5" i="10"/>
  <c r="DM4" i="10"/>
  <c r="AF4" i="10"/>
  <c r="CV5" i="9"/>
  <c r="AI5" i="9"/>
  <c r="DU4" i="9"/>
  <c r="BI4" i="9"/>
  <c r="EU5" i="8"/>
  <c r="CI5" i="8"/>
  <c r="W5" i="8"/>
  <c r="DI4" i="8"/>
  <c r="AW4" i="8"/>
  <c r="EA5" i="7"/>
  <c r="DP5" i="11"/>
  <c r="AY4" i="11"/>
  <c r="CO5" i="10"/>
  <c r="E5" i="10"/>
  <c r="BU4" i="10"/>
  <c r="EO5" i="9"/>
  <c r="BV5" i="9"/>
  <c r="J5" i="9"/>
  <c r="CV4" i="9"/>
  <c r="AJ4" i="9"/>
  <c r="DV5" i="8"/>
  <c r="BJ5" i="8"/>
  <c r="EV4" i="8"/>
  <c r="CJ4" i="8"/>
  <c r="X4" i="8"/>
  <c r="DJ5" i="7"/>
  <c r="AV5" i="11"/>
  <c r="AE4" i="11"/>
  <c r="BO5" i="10"/>
  <c r="EF4" i="10"/>
  <c r="AX4" i="10"/>
  <c r="DU5" i="9"/>
  <c r="BE5" i="9"/>
  <c r="EQ4" i="9"/>
  <c r="CE4" i="9"/>
  <c r="S4" i="9"/>
  <c r="DE5" i="8"/>
  <c r="AS5" i="8"/>
  <c r="EE4" i="8"/>
  <c r="BS4" i="8"/>
  <c r="G4" i="8"/>
  <c r="CS5" i="7"/>
  <c r="EE4" i="11"/>
  <c r="EW5" i="10"/>
  <c r="BC5" i="10"/>
  <c r="DS4" i="10"/>
  <c r="AM4" i="10"/>
  <c r="DK5" i="9"/>
  <c r="AV5" i="9"/>
  <c r="EH4" i="9"/>
  <c r="BV4" i="9"/>
  <c r="J4" i="9"/>
  <c r="CV5" i="8"/>
  <c r="AJ5" i="8"/>
  <c r="DV4" i="8"/>
  <c r="BJ4" i="8"/>
  <c r="EV5" i="7"/>
  <c r="CJ5" i="7"/>
  <c r="AF5" i="7"/>
  <c r="DR4" i="7"/>
  <c r="BF4" i="7"/>
  <c r="ER5" i="6"/>
  <c r="CF5" i="6"/>
  <c r="T5" i="6"/>
  <c r="DF4" i="6"/>
  <c r="AT4" i="6"/>
  <c r="EF5" i="5"/>
  <c r="BT5" i="5"/>
  <c r="H5" i="5"/>
  <c r="CT4" i="5"/>
  <c r="AH4" i="5"/>
  <c r="DT5" i="4"/>
  <c r="BH5" i="4"/>
  <c r="ET4" i="4"/>
  <c r="W5" i="7"/>
  <c r="DI4" i="7"/>
  <c r="AW4" i="7"/>
  <c r="EA5" i="6"/>
  <c r="BO5" i="6"/>
  <c r="C5" i="6"/>
  <c r="CO4" i="6"/>
  <c r="AC4" i="6"/>
  <c r="DS5" i="10"/>
  <c r="AH4" i="10"/>
  <c r="AC5" i="9"/>
  <c r="BK4" i="9"/>
  <c r="DQ5" i="8"/>
  <c r="AG5" i="8"/>
  <c r="DC4" i="8"/>
  <c r="S4" i="8"/>
  <c r="CO5" i="7"/>
  <c r="DO4" i="11"/>
  <c r="EQ5" i="10"/>
  <c r="AW5" i="10"/>
  <c r="DO4" i="10"/>
  <c r="AG4" i="10"/>
  <c r="DG5" i="9"/>
  <c r="AR5" i="9"/>
  <c r="ED4" i="9"/>
  <c r="BR4" i="9"/>
  <c r="F4" i="9"/>
  <c r="CR5" i="8"/>
  <c r="AF5" i="8"/>
  <c r="DR4" i="8"/>
  <c r="BF4" i="8"/>
  <c r="ER5" i="7"/>
  <c r="CF5" i="7"/>
  <c r="CV4" i="11"/>
  <c r="EC5" i="10"/>
  <c r="AL5" i="10"/>
  <c r="DB4" i="10"/>
  <c r="U4" i="10"/>
  <c r="CM5" i="9"/>
  <c r="AA5" i="9"/>
  <c r="DM4" i="9"/>
  <c r="BA4" i="9"/>
  <c r="EM5" i="8"/>
  <c r="CA5" i="8"/>
  <c r="O5" i="8"/>
  <c r="DA4" i="8"/>
  <c r="AO4" i="8"/>
  <c r="DS5" i="7"/>
  <c r="BD5" i="11"/>
  <c r="AI4" i="11"/>
  <c r="CA5" i="10"/>
  <c r="EQ4" i="10"/>
  <c r="BK4" i="10"/>
  <c r="EF5" i="9"/>
  <c r="BN5" i="9"/>
  <c r="B5" i="9"/>
  <c r="CN4" i="9"/>
  <c r="AB4" i="9"/>
  <c r="DN5" i="8"/>
  <c r="BB5" i="8"/>
  <c r="EN4" i="8"/>
  <c r="CB4" i="8"/>
  <c r="P4" i="8"/>
  <c r="DB5" i="7"/>
  <c r="D5" i="11"/>
  <c r="O4" i="11"/>
  <c r="BD5" i="10"/>
  <c r="DU4" i="10"/>
  <c r="AN4" i="10"/>
  <c r="DL5" i="9"/>
  <c r="AW5" i="9"/>
  <c r="EI4" i="9"/>
  <c r="BW4" i="9"/>
  <c r="K4" i="9"/>
  <c r="CW5" i="8"/>
  <c r="AK5" i="8"/>
  <c r="DW4" i="8"/>
  <c r="BK4" i="8"/>
  <c r="EW5" i="7"/>
  <c r="CK5" i="7"/>
  <c r="DE4" i="11"/>
  <c r="EK5" i="10"/>
  <c r="AS5" i="10"/>
  <c r="DI4" i="10"/>
  <c r="AA4" i="10"/>
  <c r="DB5" i="9"/>
  <c r="AN5" i="9"/>
  <c r="DZ4" i="9"/>
  <c r="BN4" i="9"/>
  <c r="B4" i="9"/>
  <c r="CN5" i="8"/>
  <c r="AB5" i="8"/>
  <c r="DN4" i="8"/>
  <c r="BB4" i="8"/>
  <c r="EN5" i="7"/>
  <c r="CB5" i="7"/>
  <c r="X5" i="7"/>
  <c r="DJ4" i="7"/>
  <c r="AX4" i="7"/>
  <c r="EJ5" i="6"/>
  <c r="BX5" i="6"/>
  <c r="L5" i="6"/>
  <c r="CX4" i="6"/>
  <c r="AL4" i="6"/>
  <c r="DX5" i="5"/>
  <c r="BL5" i="5"/>
  <c r="EX4" i="5"/>
  <c r="CL4" i="5"/>
  <c r="Z4" i="5"/>
  <c r="DL5" i="4"/>
  <c r="AZ5" i="4"/>
  <c r="EL4" i="4"/>
  <c r="O5" i="7"/>
  <c r="DA4" i="7"/>
  <c r="AO4" i="7"/>
  <c r="DS5" i="6"/>
  <c r="BG5" i="6"/>
  <c r="ES4" i="6"/>
  <c r="CG4" i="6"/>
  <c r="U4" i="6"/>
  <c r="DG5" i="5"/>
  <c r="AU5" i="5"/>
  <c r="EG4" i="5"/>
  <c r="BU4" i="5"/>
  <c r="I4" i="5"/>
  <c r="CM5" i="4"/>
  <c r="BJ5" i="7"/>
  <c r="EV4" i="7"/>
  <c r="CJ4" i="7"/>
  <c r="X4" i="7"/>
  <c r="DJ5" i="6"/>
  <c r="AX5" i="6"/>
  <c r="EJ4" i="6"/>
  <c r="BX4" i="6"/>
  <c r="L4" i="6"/>
  <c r="BT5" i="10"/>
  <c r="M4" i="10"/>
  <c r="M5" i="9"/>
  <c r="BC4" i="9"/>
  <c r="DI5" i="8"/>
  <c r="Y5" i="8"/>
  <c r="CM4" i="8"/>
  <c r="K4" i="8"/>
  <c r="CG5" i="7"/>
  <c r="CW4" i="11"/>
  <c r="ED5" i="10"/>
  <c r="AM5" i="10"/>
  <c r="DC4" i="10"/>
  <c r="W4" i="10"/>
  <c r="CW5" i="9"/>
  <c r="AJ5" i="9"/>
  <c r="DV4" i="9"/>
  <c r="BJ4" i="9"/>
  <c r="EV5" i="8"/>
  <c r="CJ5" i="8"/>
  <c r="X5" i="8"/>
  <c r="DJ4" i="8"/>
  <c r="AX4" i="8"/>
  <c r="EJ5" i="7"/>
  <c r="BX5" i="7"/>
  <c r="CF4" i="11"/>
  <c r="DO5" i="10"/>
  <c r="AA5" i="10"/>
  <c r="CR4" i="10"/>
  <c r="J4" i="10"/>
  <c r="CE5" i="9"/>
  <c r="S5" i="9"/>
  <c r="DE4" i="9"/>
  <c r="AS4" i="9"/>
  <c r="EE5" i="8"/>
  <c r="BS5" i="8"/>
  <c r="G5" i="8"/>
  <c r="CS4" i="8"/>
  <c r="AG4" i="8"/>
  <c r="DK5" i="7"/>
  <c r="H5" i="11"/>
  <c r="S4" i="11"/>
  <c r="BQ5" i="10"/>
  <c r="EG4" i="10"/>
  <c r="AY4" i="10"/>
  <c r="DW5" i="9"/>
  <c r="BF5" i="9"/>
  <c r="ER4" i="9"/>
  <c r="CF4" i="9"/>
  <c r="T4" i="9"/>
  <c r="DF5" i="8"/>
  <c r="AT5" i="8"/>
  <c r="EF4" i="8"/>
  <c r="BT4" i="8"/>
  <c r="H4" i="8"/>
  <c r="CT5" i="7"/>
  <c r="EI4" i="11"/>
  <c r="EL5" i="10"/>
  <c r="AT5" i="10"/>
  <c r="DJ4" i="10"/>
  <c r="AC4" i="10"/>
  <c r="DC5" i="9"/>
  <c r="AO5" i="9"/>
  <c r="EA4" i="9"/>
  <c r="BO4" i="9"/>
  <c r="C4" i="9"/>
  <c r="CO5" i="8"/>
  <c r="AC5" i="8"/>
  <c r="DO4" i="8"/>
  <c r="BC4" i="8"/>
  <c r="EO5" i="7"/>
  <c r="CC5" i="7"/>
  <c r="CO4" i="11"/>
  <c r="DW5" i="10"/>
  <c r="AG5" i="10"/>
  <c r="CY4" i="10"/>
  <c r="Q4" i="10"/>
  <c r="CS5" i="9"/>
  <c r="AF5" i="9"/>
  <c r="DR4" i="9"/>
  <c r="BF4" i="9"/>
  <c r="ER5" i="8"/>
  <c r="CF5" i="8"/>
  <c r="T5" i="8"/>
  <c r="DF4" i="8"/>
  <c r="AT4" i="8"/>
  <c r="EF5" i="7"/>
  <c r="BT5" i="7"/>
  <c r="P5" i="7"/>
  <c r="DB4" i="7"/>
  <c r="AP4" i="7"/>
  <c r="EB5" i="6"/>
  <c r="BP5" i="6"/>
  <c r="D5" i="6"/>
  <c r="CP4" i="6"/>
  <c r="AD4" i="6"/>
  <c r="DP5" i="5"/>
  <c r="BD5" i="5"/>
  <c r="EP4" i="5"/>
  <c r="CD4" i="5"/>
  <c r="R4" i="5"/>
  <c r="DD5" i="4"/>
  <c r="AR5" i="4"/>
  <c r="ED4" i="4"/>
  <c r="G5" i="7"/>
  <c r="CS4" i="7"/>
  <c r="AG4" i="7"/>
  <c r="DK5" i="6"/>
  <c r="AY5" i="10"/>
  <c r="DZ5" i="9"/>
  <c r="EU4" i="9"/>
  <c r="AM4" i="9"/>
  <c r="CS5" i="8"/>
  <c r="Q5" i="8"/>
  <c r="CE4" i="8"/>
  <c r="ES5" i="7"/>
  <c r="BY5" i="7"/>
  <c r="CG4" i="11"/>
  <c r="DQ5" i="10"/>
  <c r="AC5" i="10"/>
  <c r="CS4" i="10"/>
  <c r="K4" i="10"/>
  <c r="CN5" i="9"/>
  <c r="AB5" i="9"/>
  <c r="DN4" i="9"/>
  <c r="BB4" i="9"/>
  <c r="EN5" i="8"/>
  <c r="CB5" i="8"/>
  <c r="P5" i="8"/>
  <c r="DB4" i="8"/>
  <c r="AP4" i="8"/>
  <c r="EB5" i="7"/>
  <c r="BP5" i="7"/>
  <c r="BP4" i="11"/>
  <c r="DC5" i="10"/>
  <c r="P5" i="10"/>
  <c r="CG4" i="10"/>
  <c r="EP5" i="9"/>
  <c r="BW5" i="9"/>
  <c r="K5" i="9"/>
  <c r="CW4" i="9"/>
  <c r="AK4" i="9"/>
  <c r="DW5" i="8"/>
  <c r="BK5" i="8"/>
  <c r="EW4" i="8"/>
  <c r="CK4" i="8"/>
  <c r="Y4" i="8"/>
  <c r="DC5" i="7"/>
  <c r="EM4" i="11"/>
  <c r="C4" i="11"/>
  <c r="BE5" i="10"/>
  <c r="DW4" i="10"/>
  <c r="AO4" i="10"/>
  <c r="DM5" i="9"/>
  <c r="AX5" i="9"/>
  <c r="EJ4" i="9"/>
  <c r="BX4" i="9"/>
  <c r="L4" i="9"/>
  <c r="CX5" i="8"/>
  <c r="AL5" i="8"/>
  <c r="DX4" i="8"/>
  <c r="BL4" i="8"/>
  <c r="EX5" i="7"/>
  <c r="CL5" i="7"/>
  <c r="DG4" i="11"/>
  <c r="DY5" i="10"/>
  <c r="AI5" i="10"/>
  <c r="CZ4" i="10"/>
  <c r="R4" i="10"/>
  <c r="CT5" i="9"/>
  <c r="AG5" i="9"/>
  <c r="DS4" i="9"/>
  <c r="BG4" i="9"/>
  <c r="ES5" i="8"/>
  <c r="CG5" i="8"/>
  <c r="U5" i="8"/>
  <c r="DG4" i="8"/>
  <c r="AU4" i="8"/>
  <c r="EG5" i="7"/>
  <c r="BU5" i="7"/>
  <c r="BY4" i="11"/>
  <c r="DK5" i="10"/>
  <c r="W5" i="10"/>
  <c r="CM4" i="10"/>
  <c r="G4" i="10"/>
  <c r="CJ5" i="9"/>
  <c r="X5" i="9"/>
  <c r="DJ4" i="9"/>
  <c r="AX4" i="9"/>
  <c r="EJ5" i="8"/>
  <c r="BX5" i="8"/>
  <c r="L5" i="8"/>
  <c r="CX4" i="8"/>
  <c r="AL4" i="8"/>
  <c r="DX5" i="7"/>
  <c r="BL5" i="7"/>
  <c r="H5" i="7"/>
  <c r="CT4" i="7"/>
  <c r="AH4" i="7"/>
  <c r="DT5" i="6"/>
  <c r="BH5" i="6"/>
  <c r="ET4" i="6"/>
  <c r="CH4" i="6"/>
  <c r="V4" i="6"/>
  <c r="DH5" i="5"/>
  <c r="AV5" i="5"/>
  <c r="EH4" i="5"/>
  <c r="BV4" i="5"/>
  <c r="J4" i="5"/>
  <c r="CV5" i="4"/>
  <c r="AJ5" i="4"/>
  <c r="BK5" i="7"/>
  <c r="EW4" i="7"/>
  <c r="CK4" i="7"/>
  <c r="Y4" i="7"/>
  <c r="DC5" i="6"/>
  <c r="AQ5" i="6"/>
  <c r="EC4" i="6"/>
  <c r="BQ4" i="6"/>
  <c r="E4" i="6"/>
  <c r="CQ5" i="5"/>
  <c r="AE5" i="5"/>
  <c r="DQ4" i="5"/>
  <c r="BE4" i="5"/>
  <c r="EI5" i="4"/>
  <c r="BW5" i="4"/>
  <c r="AT5" i="7"/>
  <c r="EF4" i="7"/>
  <c r="BT4" i="7"/>
  <c r="H4" i="7"/>
  <c r="AD5" i="10"/>
  <c r="DH5" i="9"/>
  <c r="EE4" i="9"/>
  <c r="W4" i="9"/>
  <c r="CK5" i="8"/>
  <c r="A5" i="8"/>
  <c r="BW4" i="8"/>
  <c r="EK5" i="7"/>
  <c r="BQ5" i="7"/>
  <c r="BQ4" i="11"/>
  <c r="DE5" i="10"/>
  <c r="Q5" i="10"/>
  <c r="CI4" i="10"/>
  <c r="B4" i="10"/>
  <c r="CF5" i="9"/>
  <c r="T5" i="9"/>
  <c r="DF4" i="9"/>
  <c r="AT4" i="9"/>
  <c r="EF5" i="8"/>
  <c r="BT5" i="8"/>
  <c r="H5" i="8"/>
  <c r="CT4" i="8"/>
  <c r="AH4" i="8"/>
  <c r="DT5" i="7"/>
  <c r="DX5" i="11"/>
  <c r="AZ4" i="11"/>
  <c r="CP5" i="10"/>
  <c r="F5" i="10"/>
  <c r="BV4" i="10"/>
  <c r="EG5" i="9"/>
  <c r="BO5" i="9"/>
  <c r="C5" i="9"/>
  <c r="CO4" i="9"/>
  <c r="AC4" i="9"/>
  <c r="DO5" i="8"/>
  <c r="BC5" i="8"/>
  <c r="EO4" i="8"/>
  <c r="CC4" i="8"/>
  <c r="Q4" i="8"/>
  <c r="CU5" i="7"/>
  <c r="DK4" i="11"/>
  <c r="EM5" i="10"/>
  <c r="AU5" i="10"/>
  <c r="DK4" i="10"/>
  <c r="AE4" i="10"/>
  <c r="DD5" i="9"/>
  <c r="AP5" i="9"/>
  <c r="EB4" i="9"/>
  <c r="BP4" i="9"/>
  <c r="D4" i="9"/>
  <c r="CP5" i="8"/>
  <c r="AD5" i="8"/>
  <c r="DP4" i="8"/>
  <c r="BD4" i="8"/>
  <c r="EP5" i="7"/>
  <c r="CD5" i="7"/>
  <c r="CQ4" i="11"/>
  <c r="DM5" i="10"/>
  <c r="X5" i="10"/>
  <c r="CO4" i="10"/>
  <c r="H4" i="10"/>
  <c r="CK5" i="9"/>
  <c r="Y5" i="9"/>
  <c r="DK4" i="9"/>
  <c r="AY4" i="9"/>
  <c r="EK5" i="8"/>
  <c r="BY5" i="8"/>
  <c r="M5" i="8"/>
  <c r="CY4" i="8"/>
  <c r="AM4" i="8"/>
  <c r="DY5" i="7"/>
  <c r="BM5" i="7"/>
  <c r="BI4" i="11"/>
  <c r="CX5" i="10"/>
  <c r="M5" i="10"/>
  <c r="CC4" i="10"/>
  <c r="EV5" i="9"/>
  <c r="CB5" i="9"/>
  <c r="P5" i="9"/>
  <c r="DB4" i="9"/>
  <c r="AP4" i="9"/>
  <c r="EB5" i="8"/>
  <c r="BP5" i="8"/>
  <c r="D5" i="8"/>
  <c r="CP4" i="8"/>
  <c r="AD4" i="8"/>
  <c r="DP5" i="7"/>
  <c r="BO5" i="7"/>
  <c r="EX4" i="7"/>
  <c r="CL4" i="7"/>
  <c r="Z4" i="7"/>
  <c r="DL5" i="6"/>
  <c r="AZ5" i="6"/>
  <c r="EL4" i="6"/>
  <c r="BZ4" i="6"/>
  <c r="N4" i="6"/>
  <c r="CZ5" i="5"/>
  <c r="AN5" i="5"/>
  <c r="DZ4" i="5"/>
  <c r="BN4" i="5"/>
  <c r="B4" i="5"/>
  <c r="CN5" i="4"/>
  <c r="AB5" i="4"/>
  <c r="BC5" i="7"/>
  <c r="EO4" i="7"/>
  <c r="BY4" i="6"/>
  <c r="CI5" i="5"/>
  <c r="DI4" i="5"/>
  <c r="EA5" i="4"/>
  <c r="AL5" i="7"/>
  <c r="BL4" i="7"/>
  <c r="CT5" i="6"/>
  <c r="J5" i="6"/>
  <c r="CF4" i="6"/>
  <c r="ET5" i="5"/>
  <c r="CH5" i="5"/>
  <c r="V5" i="5"/>
  <c r="DH4" i="5"/>
  <c r="AV4" i="5"/>
  <c r="EH5" i="4"/>
  <c r="BV5" i="4"/>
  <c r="J5" i="4"/>
  <c r="AC5" i="7"/>
  <c r="DO4" i="7"/>
  <c r="BC4" i="7"/>
  <c r="EO5" i="6"/>
  <c r="CC5" i="6"/>
  <c r="Q5" i="6"/>
  <c r="DC4" i="6"/>
  <c r="AQ4" i="6"/>
  <c r="EC5" i="5"/>
  <c r="BQ5" i="5"/>
  <c r="E5" i="5"/>
  <c r="CQ4" i="5"/>
  <c r="AE4" i="5"/>
  <c r="DQ5" i="4"/>
  <c r="BE5" i="4"/>
  <c r="AJ5" i="7"/>
  <c r="DV4" i="7"/>
  <c r="BJ4" i="7"/>
  <c r="EV5" i="6"/>
  <c r="CJ5" i="6"/>
  <c r="X5" i="6"/>
  <c r="DJ4" i="6"/>
  <c r="AX4" i="6"/>
  <c r="EJ5" i="5"/>
  <c r="BX5" i="5"/>
  <c r="L5" i="5"/>
  <c r="CX4" i="5"/>
  <c r="AL4" i="5"/>
  <c r="DX5" i="4"/>
  <c r="BL5" i="4"/>
  <c r="AQ5" i="7"/>
  <c r="EC4" i="7"/>
  <c r="BQ4" i="7"/>
  <c r="E4" i="7"/>
  <c r="CQ5" i="6"/>
  <c r="AE5" i="6"/>
  <c r="DQ4" i="6"/>
  <c r="BE4" i="6"/>
  <c r="EI5" i="5"/>
  <c r="BW5" i="5"/>
  <c r="K5" i="5"/>
  <c r="CW4" i="5"/>
  <c r="AK4" i="5"/>
  <c r="DW5" i="4"/>
  <c r="BK5" i="4"/>
  <c r="AP5" i="7"/>
  <c r="EB4" i="7"/>
  <c r="BP4" i="7"/>
  <c r="D4" i="7"/>
  <c r="CP5" i="6"/>
  <c r="AD5" i="6"/>
  <c r="DP4" i="6"/>
  <c r="BD4" i="6"/>
  <c r="EP5" i="5"/>
  <c r="CD5" i="5"/>
  <c r="R5" i="5"/>
  <c r="DD4" i="5"/>
  <c r="AR4" i="5"/>
  <c r="ED5" i="4"/>
  <c r="BR5" i="4"/>
  <c r="BE5" i="7"/>
  <c r="EQ4" i="7"/>
  <c r="CE4" i="7"/>
  <c r="S4" i="7"/>
  <c r="DE5" i="6"/>
  <c r="AS5" i="6"/>
  <c r="EE4" i="6"/>
  <c r="BS4" i="6"/>
  <c r="G4" i="6"/>
  <c r="CS5" i="5"/>
  <c r="AG5" i="5"/>
  <c r="DS4" i="5"/>
  <c r="BG4" i="5"/>
  <c r="ES5" i="4"/>
  <c r="CG5" i="4"/>
  <c r="U5" i="4"/>
  <c r="DJ4" i="4"/>
  <c r="AX4" i="4"/>
  <c r="K920" i="1"/>
  <c r="G915" i="1"/>
  <c r="C910" i="1"/>
  <c r="K904" i="1"/>
  <c r="G899" i="1"/>
  <c r="C894" i="1"/>
  <c r="K888" i="1"/>
  <c r="G883" i="1"/>
  <c r="C878" i="1"/>
  <c r="K872" i="1"/>
  <c r="G867" i="1"/>
  <c r="C862" i="1"/>
  <c r="K856" i="1"/>
  <c r="G851" i="1"/>
  <c r="DQ4" i="4"/>
  <c r="BE4" i="4"/>
  <c r="J920" i="1"/>
  <c r="F915" i="1"/>
  <c r="B910" i="1"/>
  <c r="J904" i="1"/>
  <c r="F899" i="1"/>
  <c r="B894" i="1"/>
  <c r="J888" i="1"/>
  <c r="F883" i="1"/>
  <c r="B878" i="1"/>
  <c r="J872" i="1"/>
  <c r="F867" i="1"/>
  <c r="B862" i="1"/>
  <c r="J856" i="1"/>
  <c r="E5" i="4"/>
  <c r="CJ4" i="4"/>
  <c r="X4" i="4"/>
  <c r="CC4" i="7"/>
  <c r="BI4" i="6"/>
  <c r="BS5" i="5"/>
  <c r="CS4" i="5"/>
  <c r="DK5" i="4"/>
  <c r="V5" i="7"/>
  <c r="AV4" i="7"/>
  <c r="CL5" i="6"/>
  <c r="B5" i="6"/>
  <c r="BP4" i="6"/>
  <c r="EL5" i="5"/>
  <c r="BZ5" i="5"/>
  <c r="N5" i="5"/>
  <c r="CZ4" i="5"/>
  <c r="AN4" i="5"/>
  <c r="DZ5" i="4"/>
  <c r="BN5" i="4"/>
  <c r="B5" i="4"/>
  <c r="U5" i="7"/>
  <c r="DG4" i="7"/>
  <c r="AU4" i="7"/>
  <c r="EG5" i="6"/>
  <c r="BU5" i="6"/>
  <c r="I5" i="6"/>
  <c r="CU4" i="6"/>
  <c r="AI4" i="6"/>
  <c r="DU5" i="5"/>
  <c r="BI5" i="5"/>
  <c r="EU4" i="5"/>
  <c r="CI4" i="5"/>
  <c r="W4" i="5"/>
  <c r="DI5" i="4"/>
  <c r="AW5" i="4"/>
  <c r="AB5" i="7"/>
  <c r="DN4" i="7"/>
  <c r="BB4" i="7"/>
  <c r="EN5" i="6"/>
  <c r="CB5" i="6"/>
  <c r="P5" i="6"/>
  <c r="DB4" i="6"/>
  <c r="AP4" i="6"/>
  <c r="EB5" i="5"/>
  <c r="BP5" i="5"/>
  <c r="D5" i="5"/>
  <c r="CP4" i="5"/>
  <c r="AD4" i="5"/>
  <c r="DP5" i="4"/>
  <c r="BD5" i="4"/>
  <c r="AI5" i="7"/>
  <c r="DU4" i="7"/>
  <c r="BI4" i="7"/>
  <c r="EU5" i="6"/>
  <c r="CI5" i="6"/>
  <c r="W5" i="6"/>
  <c r="DI4" i="6"/>
  <c r="AW4" i="6"/>
  <c r="EA5" i="5"/>
  <c r="BO5" i="5"/>
  <c r="C5" i="5"/>
  <c r="CO4" i="5"/>
  <c r="AC4" i="5"/>
  <c r="DO5" i="4"/>
  <c r="BC5" i="4"/>
  <c r="AH5" i="7"/>
  <c r="DT4" i="7"/>
  <c r="BH4" i="7"/>
  <c r="ET5" i="6"/>
  <c r="CH5" i="6"/>
  <c r="V5" i="6"/>
  <c r="DH4" i="6"/>
  <c r="AV4" i="6"/>
  <c r="EH5" i="5"/>
  <c r="BV5" i="5"/>
  <c r="J5" i="5"/>
  <c r="CV4" i="5"/>
  <c r="AJ4" i="5"/>
  <c r="DV5" i="4"/>
  <c r="BJ5" i="4"/>
  <c r="AW5" i="7"/>
  <c r="EI4" i="7"/>
  <c r="BW4" i="7"/>
  <c r="K4" i="7"/>
  <c r="CW5" i="6"/>
  <c r="AK5" i="6"/>
  <c r="DW4" i="6"/>
  <c r="BK4" i="6"/>
  <c r="EW5" i="5"/>
  <c r="CK5" i="5"/>
  <c r="Y5" i="5"/>
  <c r="DK4" i="5"/>
  <c r="AY4" i="5"/>
  <c r="EK5" i="4"/>
  <c r="BY5" i="4"/>
  <c r="M5" i="4"/>
  <c r="DB4" i="4"/>
  <c r="AP4" i="4"/>
  <c r="C920" i="1"/>
  <c r="K914" i="1"/>
  <c r="G909" i="1"/>
  <c r="C904" i="1"/>
  <c r="K898" i="1"/>
  <c r="G893" i="1"/>
  <c r="C888" i="1"/>
  <c r="K882" i="1"/>
  <c r="G877" i="1"/>
  <c r="C872" i="1"/>
  <c r="K866" i="1"/>
  <c r="G861" i="1"/>
  <c r="C856" i="1"/>
  <c r="K850" i="1"/>
  <c r="DI4" i="4"/>
  <c r="AW4" i="4"/>
  <c r="B920" i="1"/>
  <c r="J914" i="1"/>
  <c r="F909" i="1"/>
  <c r="B904" i="1"/>
  <c r="J898" i="1"/>
  <c r="F893" i="1"/>
  <c r="B888" i="1"/>
  <c r="J882" i="1"/>
  <c r="F877" i="1"/>
  <c r="B872" i="1"/>
  <c r="J866" i="1"/>
  <c r="F861" i="1"/>
  <c r="B856" i="1"/>
  <c r="EQ4" i="4"/>
  <c r="CB4" i="4"/>
  <c r="P4" i="4"/>
  <c r="Q4" i="7"/>
  <c r="AS4" i="6"/>
  <c r="BC5" i="5"/>
  <c r="CC4" i="5"/>
  <c r="CU5" i="4"/>
  <c r="F5" i="7"/>
  <c r="AF4" i="7"/>
  <c r="BV5" i="6"/>
  <c r="ER4" i="6"/>
  <c r="BH4" i="6"/>
  <c r="ED5" i="5"/>
  <c r="BR5" i="5"/>
  <c r="F5" i="5"/>
  <c r="CR4" i="5"/>
  <c r="AF4" i="5"/>
  <c r="DR5" i="4"/>
  <c r="BF5" i="4"/>
  <c r="ER4" i="4"/>
  <c r="M5" i="7"/>
  <c r="CY4" i="7"/>
  <c r="AM4" i="7"/>
  <c r="DY5" i="6"/>
  <c r="BM5" i="6"/>
  <c r="A5" i="6"/>
  <c r="CM4" i="6"/>
  <c r="AA4" i="6"/>
  <c r="DM5" i="5"/>
  <c r="BA5" i="5"/>
  <c r="EM4" i="5"/>
  <c r="CA4" i="5"/>
  <c r="O4" i="5"/>
  <c r="DA5" i="4"/>
  <c r="AO5" i="4"/>
  <c r="T5" i="7"/>
  <c r="DF4" i="7"/>
  <c r="AT4" i="7"/>
  <c r="EF5" i="6"/>
  <c r="BT5" i="6"/>
  <c r="H5" i="6"/>
  <c r="CT4" i="6"/>
  <c r="AH4" i="6"/>
  <c r="DT5" i="5"/>
  <c r="BH5" i="5"/>
  <c r="ET4" i="5"/>
  <c r="CH4" i="5"/>
  <c r="V4" i="5"/>
  <c r="DH5" i="4"/>
  <c r="AV5" i="4"/>
  <c r="AA5" i="7"/>
  <c r="DM4" i="7"/>
  <c r="BA4" i="7"/>
  <c r="EM5" i="6"/>
  <c r="CA5" i="6"/>
  <c r="O5" i="6"/>
  <c r="DA4" i="6"/>
  <c r="AO4" i="6"/>
  <c r="DS5" i="5"/>
  <c r="BG5" i="5"/>
  <c r="ES4" i="5"/>
  <c r="CG4" i="5"/>
  <c r="U4" i="5"/>
  <c r="DG5" i="4"/>
  <c r="AU5" i="4"/>
  <c r="Z5" i="7"/>
  <c r="DL4" i="7"/>
  <c r="AZ4" i="7"/>
  <c r="EL5" i="6"/>
  <c r="BZ5" i="6"/>
  <c r="N5" i="6"/>
  <c r="CZ4" i="6"/>
  <c r="AN4" i="6"/>
  <c r="DZ5" i="5"/>
  <c r="BN5" i="5"/>
  <c r="B5" i="5"/>
  <c r="CN4" i="5"/>
  <c r="AB4" i="5"/>
  <c r="DN5" i="4"/>
  <c r="BB5" i="4"/>
  <c r="AO5" i="7"/>
  <c r="EA4" i="7"/>
  <c r="BO4" i="7"/>
  <c r="C4" i="7"/>
  <c r="CO5" i="6"/>
  <c r="AC5" i="6"/>
  <c r="DO4" i="6"/>
  <c r="BC4" i="6"/>
  <c r="EO5" i="5"/>
  <c r="CC5" i="5"/>
  <c r="Q5" i="5"/>
  <c r="DC4" i="5"/>
  <c r="AQ4" i="5"/>
  <c r="EC5" i="4"/>
  <c r="BQ5" i="4"/>
  <c r="AA5" i="4"/>
  <c r="CT4" i="4"/>
  <c r="AH4" i="4"/>
  <c r="G919" i="1"/>
  <c r="C914" i="1"/>
  <c r="K908" i="1"/>
  <c r="G903" i="1"/>
  <c r="C898" i="1"/>
  <c r="K892" i="1"/>
  <c r="G887" i="1"/>
  <c r="C882" i="1"/>
  <c r="K876" i="1"/>
  <c r="G871" i="1"/>
  <c r="C866" i="1"/>
  <c r="K860" i="1"/>
  <c r="G855" i="1"/>
  <c r="C850" i="1"/>
  <c r="DA4" i="4"/>
  <c r="AO4" i="4"/>
  <c r="F919" i="1"/>
  <c r="B914" i="1"/>
  <c r="J908" i="1"/>
  <c r="F903" i="1"/>
  <c r="B898" i="1"/>
  <c r="J892" i="1"/>
  <c r="F887" i="1"/>
  <c r="B882" i="1"/>
  <c r="J876" i="1"/>
  <c r="F871" i="1"/>
  <c r="B866" i="1"/>
  <c r="J860" i="1"/>
  <c r="F855" i="1"/>
  <c r="EG4" i="4"/>
  <c r="BT4" i="4"/>
  <c r="CU5" i="6"/>
  <c r="M4" i="6"/>
  <c r="AM5" i="5"/>
  <c r="BM4" i="5"/>
  <c r="CE5" i="4"/>
  <c r="EN4" i="7"/>
  <c r="P4" i="7"/>
  <c r="BN5" i="6"/>
  <c r="EB4" i="6"/>
  <c r="AZ4" i="6"/>
  <c r="DV5" i="5"/>
  <c r="BJ5" i="5"/>
  <c r="EV4" i="5"/>
  <c r="CJ4" i="5"/>
  <c r="X4" i="5"/>
  <c r="DJ5" i="4"/>
  <c r="AX5" i="4"/>
  <c r="EJ4" i="4"/>
  <c r="E5" i="7"/>
  <c r="CQ4" i="7"/>
  <c r="AE4" i="7"/>
  <c r="DQ5" i="6"/>
  <c r="BE5" i="6"/>
  <c r="EQ4" i="6"/>
  <c r="CE4" i="6"/>
  <c r="S4" i="6"/>
  <c r="DE5" i="5"/>
  <c r="AS5" i="5"/>
  <c r="EE4" i="5"/>
  <c r="BS4" i="5"/>
  <c r="G4" i="5"/>
  <c r="CS5" i="4"/>
  <c r="AG5" i="4"/>
  <c r="L5" i="7"/>
  <c r="CX4" i="7"/>
  <c r="AL4" i="7"/>
  <c r="DX5" i="6"/>
  <c r="BL5" i="6"/>
  <c r="EX4" i="6"/>
  <c r="CL4" i="6"/>
  <c r="Z4" i="6"/>
  <c r="DL5" i="5"/>
  <c r="AZ5" i="5"/>
  <c r="EL4" i="5"/>
  <c r="BZ4" i="5"/>
  <c r="N4" i="5"/>
  <c r="CZ5" i="4"/>
  <c r="AN5" i="4"/>
  <c r="S5" i="7"/>
  <c r="DE4" i="7"/>
  <c r="AS4" i="7"/>
  <c r="EE5" i="6"/>
  <c r="BS5" i="6"/>
  <c r="G5" i="6"/>
  <c r="CS4" i="6"/>
  <c r="AG4" i="6"/>
  <c r="DK5" i="5"/>
  <c r="AY5" i="5"/>
  <c r="EK4" i="5"/>
  <c r="BY4" i="5"/>
  <c r="M4" i="5"/>
  <c r="CY5" i="4"/>
  <c r="AM5" i="4"/>
  <c r="R5" i="7"/>
  <c r="DD4" i="7"/>
  <c r="AR4" i="7"/>
  <c r="ED5" i="6"/>
  <c r="BR5" i="6"/>
  <c r="F5" i="6"/>
  <c r="CR4" i="6"/>
  <c r="AF4" i="6"/>
  <c r="DR5" i="5"/>
  <c r="BF5" i="5"/>
  <c r="ER4" i="5"/>
  <c r="CF4" i="5"/>
  <c r="T4" i="5"/>
  <c r="DF5" i="4"/>
  <c r="AT5" i="4"/>
  <c r="AG5" i="7"/>
  <c r="DS4" i="7"/>
  <c r="BG4" i="7"/>
  <c r="ES5" i="6"/>
  <c r="CG5" i="6"/>
  <c r="U5" i="6"/>
  <c r="DG4" i="6"/>
  <c r="AU4" i="6"/>
  <c r="EG5" i="5"/>
  <c r="BU5" i="5"/>
  <c r="I5" i="5"/>
  <c r="CU4" i="5"/>
  <c r="AI4" i="5"/>
  <c r="DU5" i="4"/>
  <c r="BI5" i="4"/>
  <c r="G5" i="4"/>
  <c r="CL4" i="4"/>
  <c r="Z4" i="4"/>
  <c r="K918" i="1"/>
  <c r="G913" i="1"/>
  <c r="C908" i="1"/>
  <c r="K902" i="1"/>
  <c r="G897" i="1"/>
  <c r="C892" i="1"/>
  <c r="K886" i="1"/>
  <c r="G881" i="1"/>
  <c r="C876" i="1"/>
  <c r="K870" i="1"/>
  <c r="G865" i="1"/>
  <c r="C860" i="1"/>
  <c r="K854" i="1"/>
  <c r="S5" i="4"/>
  <c r="CS4" i="4"/>
  <c r="AG4" i="4"/>
  <c r="J918" i="1"/>
  <c r="F913" i="1"/>
  <c r="B908" i="1"/>
  <c r="J902" i="1"/>
  <c r="F897" i="1"/>
  <c r="B892" i="1"/>
  <c r="J886" i="1"/>
  <c r="F881" i="1"/>
  <c r="B876" i="1"/>
  <c r="J870" i="1"/>
  <c r="F865" i="1"/>
  <c r="B860" i="1"/>
  <c r="J854" i="1"/>
  <c r="DX4" i="4"/>
  <c r="BL4" i="4"/>
  <c r="AY5" i="6"/>
  <c r="EU5" i="5"/>
  <c r="W5" i="5"/>
  <c r="AW4" i="5"/>
  <c r="BO5" i="4"/>
  <c r="DX4" i="7"/>
  <c r="EX5" i="6"/>
  <c r="BF5" i="6"/>
  <c r="DT4" i="6"/>
  <c r="AJ4" i="6"/>
  <c r="DN5" i="5"/>
  <c r="BB5" i="5"/>
  <c r="EN4" i="5"/>
  <c r="CB4" i="5"/>
  <c r="P4" i="5"/>
  <c r="DB5" i="4"/>
  <c r="AP5" i="4"/>
  <c r="BI5" i="7"/>
  <c r="EU4" i="7"/>
  <c r="CI4" i="7"/>
  <c r="W4" i="7"/>
  <c r="DI5" i="6"/>
  <c r="AW5" i="6"/>
  <c r="EI4" i="6"/>
  <c r="BW4" i="6"/>
  <c r="K4" i="6"/>
  <c r="CW5" i="5"/>
  <c r="AK5" i="5"/>
  <c r="DW4" i="5"/>
  <c r="BK4" i="5"/>
  <c r="EW5" i="4"/>
  <c r="CK5" i="4"/>
  <c r="Y5" i="4"/>
  <c r="D5" i="7"/>
  <c r="CP4" i="7"/>
  <c r="AD4" i="7"/>
  <c r="DP5" i="6"/>
  <c r="BD5" i="6"/>
  <c r="EP4" i="6"/>
  <c r="CD4" i="6"/>
  <c r="R4" i="6"/>
  <c r="DD5" i="5"/>
  <c r="AR5" i="5"/>
  <c r="ED4" i="5"/>
  <c r="BR4" i="5"/>
  <c r="F4" i="5"/>
  <c r="CR5" i="4"/>
  <c r="AF5" i="4"/>
  <c r="K5" i="7"/>
  <c r="CW4" i="7"/>
  <c r="AK4" i="7"/>
  <c r="DW5" i="6"/>
  <c r="BK5" i="6"/>
  <c r="EW4" i="6"/>
  <c r="CK4" i="6"/>
  <c r="Y4" i="6"/>
  <c r="DC5" i="5"/>
  <c r="AQ5" i="5"/>
  <c r="EC4" i="5"/>
  <c r="BQ4" i="5"/>
  <c r="E4" i="5"/>
  <c r="CQ5" i="4"/>
  <c r="AE5" i="4"/>
  <c r="J5" i="7"/>
  <c r="CV4" i="7"/>
  <c r="AJ4" i="7"/>
  <c r="DV5" i="6"/>
  <c r="BJ5" i="6"/>
  <c r="EV4" i="6"/>
  <c r="CJ4" i="6"/>
  <c r="X4" i="6"/>
  <c r="DJ5" i="5"/>
  <c r="AX5" i="5"/>
  <c r="EJ4" i="5"/>
  <c r="BX4" i="5"/>
  <c r="L4" i="5"/>
  <c r="CX5" i="4"/>
  <c r="AL5" i="4"/>
  <c r="Y5" i="7"/>
  <c r="DK4" i="7"/>
  <c r="AY4" i="7"/>
  <c r="EK5" i="6"/>
  <c r="BY5" i="6"/>
  <c r="M5" i="6"/>
  <c r="CY4" i="6"/>
  <c r="AM4" i="6"/>
  <c r="DY5" i="5"/>
  <c r="BM5" i="5"/>
  <c r="A5" i="5"/>
  <c r="CM4" i="5"/>
  <c r="AA4" i="5"/>
  <c r="DM5" i="4"/>
  <c r="BA5" i="4"/>
  <c r="EU4" i="4"/>
  <c r="CD4" i="4"/>
  <c r="R4" i="4"/>
  <c r="C918" i="1"/>
  <c r="K912" i="1"/>
  <c r="G907" i="1"/>
  <c r="C902" i="1"/>
  <c r="K896" i="1"/>
  <c r="G891" i="1"/>
  <c r="C886" i="1"/>
  <c r="K880" i="1"/>
  <c r="G875" i="1"/>
  <c r="C870" i="1"/>
  <c r="K864" i="1"/>
  <c r="G859" i="1"/>
  <c r="C854" i="1"/>
  <c r="F5" i="4"/>
  <c r="CK4" i="4"/>
  <c r="Y4" i="4"/>
  <c r="B918" i="1"/>
  <c r="J912" i="1"/>
  <c r="F907" i="1"/>
  <c r="B902" i="1"/>
  <c r="J896" i="1"/>
  <c r="F891" i="1"/>
  <c r="B886" i="1"/>
  <c r="J880" i="1"/>
  <c r="F875" i="1"/>
  <c r="B870" i="1"/>
  <c r="J864" i="1"/>
  <c r="F859" i="1"/>
  <c r="B854" i="1"/>
  <c r="DP4" i="4"/>
  <c r="BD4" i="4"/>
  <c r="AI5" i="6"/>
  <c r="EE5" i="5"/>
  <c r="G5" i="5"/>
  <c r="AG4" i="5"/>
  <c r="AY5" i="4"/>
  <c r="DH4" i="7"/>
  <c r="EH5" i="6"/>
  <c r="AP5" i="6"/>
  <c r="DL4" i="6"/>
  <c r="AB4" i="6"/>
  <c r="DF5" i="5"/>
  <c r="AT5" i="5"/>
  <c r="EF4" i="5"/>
  <c r="BT4" i="5"/>
  <c r="H4" i="5"/>
  <c r="CT5" i="4"/>
  <c r="AH5" i="4"/>
  <c r="BA5" i="7"/>
  <c r="EM4" i="7"/>
  <c r="CA4" i="7"/>
  <c r="O4" i="7"/>
  <c r="DA5" i="6"/>
  <c r="AO5" i="6"/>
  <c r="EA4" i="6"/>
  <c r="BO4" i="6"/>
  <c r="C4" i="6"/>
  <c r="CO5" i="5"/>
  <c r="AC5" i="5"/>
  <c r="DO4" i="5"/>
  <c r="BC4" i="5"/>
  <c r="EO5" i="4"/>
  <c r="CC5" i="4"/>
  <c r="BH5" i="7"/>
  <c r="ET4" i="7"/>
  <c r="CH4" i="7"/>
  <c r="V4" i="7"/>
  <c r="DH5" i="6"/>
  <c r="AV5" i="6"/>
  <c r="EH4" i="6"/>
  <c r="BV4" i="6"/>
  <c r="J4" i="6"/>
  <c r="CV5" i="5"/>
  <c r="AJ5" i="5"/>
  <c r="DV4" i="5"/>
  <c r="BJ4" i="5"/>
  <c r="EV5" i="4"/>
  <c r="CJ5" i="4"/>
  <c r="X5" i="4"/>
  <c r="C5" i="7"/>
  <c r="CO4" i="7"/>
  <c r="AC4" i="7"/>
  <c r="DO5" i="6"/>
  <c r="BC5" i="6"/>
  <c r="EO4" i="6"/>
  <c r="CC4" i="6"/>
  <c r="Q4" i="6"/>
  <c r="CU5" i="5"/>
  <c r="AI5" i="5"/>
  <c r="DU4" i="5"/>
  <c r="BI4" i="5"/>
  <c r="EU5" i="4"/>
  <c r="CI5" i="4"/>
  <c r="W5" i="4"/>
  <c r="B5" i="7"/>
  <c r="CN4" i="7"/>
  <c r="AB4" i="7"/>
  <c r="DN5" i="6"/>
  <c r="BB5" i="6"/>
  <c r="EN4" i="6"/>
  <c r="CB4" i="6"/>
  <c r="P4" i="6"/>
  <c r="DB5" i="5"/>
  <c r="AP5" i="5"/>
  <c r="EB4" i="5"/>
  <c r="BP4" i="5"/>
  <c r="D4" i="5"/>
  <c r="CP5" i="4"/>
  <c r="AD5" i="4"/>
  <c r="Q5" i="7"/>
  <c r="DC4" i="7"/>
  <c r="AQ4" i="7"/>
  <c r="EC5" i="6"/>
  <c r="BQ5" i="6"/>
  <c r="E5" i="6"/>
  <c r="CQ4" i="6"/>
  <c r="AE4" i="6"/>
  <c r="DQ5" i="5"/>
  <c r="BE5" i="5"/>
  <c r="EQ4" i="5"/>
  <c r="CE4" i="5"/>
  <c r="S4" i="5"/>
  <c r="DE5" i="4"/>
  <c r="AS5" i="4"/>
  <c r="EI4" i="4"/>
  <c r="BV4" i="4"/>
  <c r="J4" i="4"/>
  <c r="G917" i="1"/>
  <c r="C912" i="1"/>
  <c r="K906" i="1"/>
  <c r="G901" i="1"/>
  <c r="C896" i="1"/>
  <c r="K890" i="1"/>
  <c r="G885" i="1"/>
  <c r="C880" i="1"/>
  <c r="K874" i="1"/>
  <c r="G869" i="1"/>
  <c r="C864" i="1"/>
  <c r="K858" i="1"/>
  <c r="G853" i="1"/>
  <c r="ES4" i="4"/>
  <c r="CC4" i="4"/>
  <c r="Q4" i="4"/>
  <c r="F917" i="1"/>
  <c r="B912" i="1"/>
  <c r="J906" i="1"/>
  <c r="F901" i="1"/>
  <c r="B896" i="1"/>
  <c r="J890" i="1"/>
  <c r="F885" i="1"/>
  <c r="B880" i="1"/>
  <c r="J874" i="1"/>
  <c r="F869" i="1"/>
  <c r="B864" i="1"/>
  <c r="J858" i="1"/>
  <c r="F853" i="1"/>
  <c r="DH4" i="4"/>
  <c r="AV4" i="4"/>
  <c r="EK4" i="6"/>
  <c r="DO5" i="5"/>
  <c r="EO4" i="5"/>
  <c r="Q4" i="5"/>
  <c r="AI5" i="4"/>
  <c r="CR4" i="7"/>
  <c r="DR5" i="6"/>
  <c r="AH5" i="6"/>
  <c r="CV4" i="6"/>
  <c r="T4" i="6"/>
  <c r="CX5" i="5"/>
  <c r="AL5" i="5"/>
  <c r="DX4" i="5"/>
  <c r="BL4" i="5"/>
  <c r="EX5" i="4"/>
  <c r="CL5" i="4"/>
  <c r="Z5" i="4"/>
  <c r="AS5" i="7"/>
  <c r="EE4" i="7"/>
  <c r="BS4" i="7"/>
  <c r="G4" i="7"/>
  <c r="CS5" i="6"/>
  <c r="AG5" i="6"/>
  <c r="DS4" i="6"/>
  <c r="BG4" i="6"/>
  <c r="ES5" i="5"/>
  <c r="CG5" i="5"/>
  <c r="U5" i="5"/>
  <c r="DG4" i="5"/>
  <c r="AU4" i="5"/>
  <c r="EG5" i="4"/>
  <c r="BU5" i="4"/>
  <c r="AZ5" i="7"/>
  <c r="EL4" i="7"/>
  <c r="BZ4" i="7"/>
  <c r="N4" i="7"/>
  <c r="CZ5" i="6"/>
  <c r="AN5" i="6"/>
  <c r="DZ4" i="6"/>
  <c r="BN4" i="6"/>
  <c r="B4" i="6"/>
  <c r="CN5" i="5"/>
  <c r="AB5" i="5"/>
  <c r="DN4" i="5"/>
  <c r="BB4" i="5"/>
  <c r="EN5" i="4"/>
  <c r="CB5" i="4"/>
  <c r="BG5" i="7"/>
  <c r="ES4" i="7"/>
  <c r="CG4" i="7"/>
  <c r="U4" i="7"/>
  <c r="DG5" i="6"/>
  <c r="AU5" i="6"/>
  <c r="EG4" i="6"/>
  <c r="BU4" i="6"/>
  <c r="I4" i="6"/>
  <c r="CM5" i="5"/>
  <c r="AA5" i="5"/>
  <c r="DM4" i="5"/>
  <c r="BA4" i="5"/>
  <c r="EM5" i="4"/>
  <c r="CA5" i="4"/>
  <c r="BF5" i="7"/>
  <c r="ER4" i="7"/>
  <c r="CF4" i="7"/>
  <c r="T4" i="7"/>
  <c r="DF5" i="6"/>
  <c r="AT5" i="6"/>
  <c r="EF4" i="6"/>
  <c r="BT4" i="6"/>
  <c r="H4" i="6"/>
  <c r="CT5" i="5"/>
  <c r="AH5" i="5"/>
  <c r="DT4" i="5"/>
  <c r="BH4" i="5"/>
  <c r="ET5" i="4"/>
  <c r="CH5" i="4"/>
  <c r="V5" i="4"/>
  <c r="I5" i="7"/>
  <c r="CU4" i="7"/>
  <c r="AI4" i="7"/>
  <c r="DU5" i="6"/>
  <c r="BI5" i="6"/>
  <c r="EU4" i="6"/>
  <c r="CI4" i="6"/>
  <c r="W4" i="6"/>
  <c r="DI5" i="5"/>
  <c r="AW5" i="5"/>
  <c r="EI4" i="5"/>
  <c r="BW4" i="5"/>
  <c r="K4" i="5"/>
  <c r="CW5" i="4"/>
  <c r="AK5" i="4"/>
  <c r="DZ4" i="4"/>
  <c r="BN4" i="4"/>
  <c r="B4" i="4"/>
  <c r="K916" i="1"/>
  <c r="G911" i="1"/>
  <c r="C906" i="1"/>
  <c r="K900" i="1"/>
  <c r="G895" i="1"/>
  <c r="C890" i="1"/>
  <c r="K884" i="1"/>
  <c r="G879" i="1"/>
  <c r="C874" i="1"/>
  <c r="K868" i="1"/>
  <c r="G863" i="1"/>
  <c r="C858" i="1"/>
  <c r="K852" i="1"/>
  <c r="EH4" i="4"/>
  <c r="BU4" i="4"/>
  <c r="I4" i="4"/>
  <c r="J916" i="1"/>
  <c r="F911" i="1"/>
  <c r="B906" i="1"/>
  <c r="J900" i="1"/>
  <c r="F895" i="1"/>
  <c r="B890" i="1"/>
  <c r="J884" i="1"/>
  <c r="F879" i="1"/>
  <c r="B874" i="1"/>
  <c r="J868" i="1"/>
  <c r="F863" i="1"/>
  <c r="B858" i="1"/>
  <c r="J852" i="1"/>
  <c r="CZ4" i="4"/>
  <c r="DU4" i="6"/>
  <c r="CY5" i="5"/>
  <c r="DY4" i="5"/>
  <c r="EQ5" i="4"/>
  <c r="BB5" i="7"/>
  <c r="CB4" i="7"/>
  <c r="DB5" i="6"/>
  <c r="Z5" i="6"/>
  <c r="CN4" i="6"/>
  <c r="D4" i="6"/>
  <c r="CP5" i="5"/>
  <c r="AD5" i="5"/>
  <c r="DP4" i="5"/>
  <c r="BD4" i="5"/>
  <c r="EP5" i="4"/>
  <c r="CD5" i="4"/>
  <c r="R5" i="4"/>
  <c r="DW4" i="7"/>
  <c r="BK4" i="7"/>
  <c r="EW5" i="6"/>
  <c r="CK5" i="6"/>
  <c r="Y5" i="6"/>
  <c r="DK4" i="6"/>
  <c r="AY4" i="6"/>
  <c r="EK5" i="5"/>
  <c r="BY5" i="5"/>
  <c r="M5" i="5"/>
  <c r="CY4" i="5"/>
  <c r="AM4" i="5"/>
  <c r="DY5" i="4"/>
  <c r="BM5" i="4"/>
  <c r="AR5" i="7"/>
  <c r="ED4" i="7"/>
  <c r="BR4" i="7"/>
  <c r="F4" i="7"/>
  <c r="CR5" i="6"/>
  <c r="AF5" i="6"/>
  <c r="DR4" i="6"/>
  <c r="BF4" i="6"/>
  <c r="ER5" i="5"/>
  <c r="CF5" i="5"/>
  <c r="T5" i="5"/>
  <c r="DF4" i="5"/>
  <c r="AT4" i="5"/>
  <c r="EF5" i="4"/>
  <c r="BT5" i="4"/>
  <c r="AY5" i="7"/>
  <c r="EK4" i="7"/>
  <c r="BY4" i="7"/>
  <c r="M4" i="7"/>
  <c r="CY5" i="6"/>
  <c r="AM5" i="6"/>
  <c r="DY4" i="6"/>
  <c r="BM4" i="6"/>
  <c r="EQ5" i="5"/>
  <c r="CE5" i="5"/>
  <c r="S5" i="5"/>
  <c r="DE4" i="5"/>
  <c r="AS4" i="5"/>
  <c r="EE5" i="4"/>
  <c r="BS5" i="4"/>
  <c r="AX5" i="7"/>
  <c r="EJ4" i="7"/>
  <c r="BX4" i="7"/>
  <c r="L4" i="7"/>
  <c r="CX5" i="6"/>
  <c r="AL5" i="6"/>
  <c r="DX4" i="6"/>
  <c r="BL4" i="6"/>
  <c r="EX5" i="5"/>
  <c r="CL5" i="5"/>
  <c r="Z5" i="5"/>
  <c r="DL4" i="5"/>
  <c r="AZ4" i="5"/>
  <c r="EL5" i="4"/>
  <c r="BZ5" i="4"/>
  <c r="N5" i="4"/>
  <c r="A5" i="7"/>
  <c r="CM4" i="7"/>
  <c r="AA4" i="7"/>
  <c r="DM5" i="6"/>
  <c r="BA5" i="6"/>
  <c r="EM4" i="6"/>
  <c r="CA4" i="6"/>
  <c r="O4" i="6"/>
  <c r="DA5" i="5"/>
  <c r="AO5" i="5"/>
  <c r="EA4" i="5"/>
  <c r="BO4" i="5"/>
  <c r="C4" i="5"/>
  <c r="CO5" i="4"/>
  <c r="AC5" i="4"/>
  <c r="DR4" i="4"/>
  <c r="BF4" i="4"/>
  <c r="G921" i="1"/>
  <c r="C916" i="1"/>
  <c r="K910" i="1"/>
  <c r="G905" i="1"/>
  <c r="C900" i="1"/>
  <c r="K894" i="1"/>
  <c r="G889" i="1"/>
  <c r="C884" i="1"/>
  <c r="K878" i="1"/>
  <c r="G873" i="1"/>
  <c r="C868" i="1"/>
  <c r="K862" i="1"/>
  <c r="G857" i="1"/>
  <c r="C852" i="1"/>
  <c r="DY4" i="4"/>
  <c r="BM4" i="4"/>
  <c r="F921" i="1"/>
  <c r="B916" i="1"/>
  <c r="J910" i="1"/>
  <c r="F905" i="1"/>
  <c r="B900" i="1"/>
  <c r="J894" i="1"/>
  <c r="F889" i="1"/>
  <c r="B884" i="1"/>
  <c r="J878" i="1"/>
  <c r="F873" i="1"/>
  <c r="B868" i="1"/>
  <c r="J862" i="1"/>
  <c r="F857" i="1"/>
  <c r="Q5" i="4"/>
  <c r="CR4" i="4"/>
  <c r="AF4" i="4"/>
  <c r="AN4" i="4"/>
  <c r="A918" i="1"/>
  <c r="I912" i="1"/>
  <c r="E907" i="1"/>
  <c r="A902" i="1"/>
  <c r="I896" i="1"/>
  <c r="E891" i="1"/>
  <c r="A886" i="1"/>
  <c r="I880" i="1"/>
  <c r="E875" i="1"/>
  <c r="A870" i="1"/>
  <c r="I864" i="1"/>
  <c r="E859" i="1"/>
  <c r="A854" i="1"/>
  <c r="C5" i="4"/>
  <c r="CI4" i="4"/>
  <c r="W4" i="4"/>
  <c r="H918" i="1"/>
  <c r="D913" i="1"/>
  <c r="L907" i="1"/>
  <c r="H902" i="1"/>
  <c r="D897" i="1"/>
  <c r="L891" i="1"/>
  <c r="H886" i="1"/>
  <c r="D881" i="1"/>
  <c r="L875" i="1"/>
  <c r="H870" i="1"/>
  <c r="D865" i="1"/>
  <c r="L859" i="1"/>
  <c r="H854" i="1"/>
  <c r="CX4" i="4"/>
  <c r="AL4" i="4"/>
  <c r="K919" i="1"/>
  <c r="G914" i="1"/>
  <c r="C909" i="1"/>
  <c r="K903" i="1"/>
  <c r="G898" i="1"/>
  <c r="C893" i="1"/>
  <c r="K887" i="1"/>
  <c r="G882" i="1"/>
  <c r="C877" i="1"/>
  <c r="K871" i="1"/>
  <c r="G866" i="1"/>
  <c r="C861" i="1"/>
  <c r="K855" i="1"/>
  <c r="DE4" i="4"/>
  <c r="AS4" i="4"/>
  <c r="F920" i="1"/>
  <c r="B915" i="1"/>
  <c r="J909" i="1"/>
  <c r="F904" i="1"/>
  <c r="B899" i="1"/>
  <c r="J893" i="1"/>
  <c r="F888" i="1"/>
  <c r="B883" i="1"/>
  <c r="J877" i="1"/>
  <c r="F872" i="1"/>
  <c r="B867" i="1"/>
  <c r="J861" i="1"/>
  <c r="F856" i="1"/>
  <c r="DL4" i="4"/>
  <c r="AZ4" i="4"/>
  <c r="A921" i="1"/>
  <c r="I915" i="1"/>
  <c r="E910" i="1"/>
  <c r="A905" i="1"/>
  <c r="I899" i="1"/>
  <c r="E894" i="1"/>
  <c r="A889" i="1"/>
  <c r="I883" i="1"/>
  <c r="E878" i="1"/>
  <c r="A873" i="1"/>
  <c r="I867" i="1"/>
  <c r="E862" i="1"/>
  <c r="A857" i="1"/>
  <c r="DS4" i="4"/>
  <c r="BG4" i="4"/>
  <c r="H921" i="1"/>
  <c r="D916" i="1"/>
  <c r="L910" i="1"/>
  <c r="H905" i="1"/>
  <c r="D900" i="1"/>
  <c r="L894" i="1"/>
  <c r="H889" i="1"/>
  <c r="D884" i="1"/>
  <c r="L878" i="1"/>
  <c r="H873" i="1"/>
  <c r="D868" i="1"/>
  <c r="L862" i="1"/>
  <c r="H857" i="1"/>
  <c r="D852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D769" i="1"/>
  <c r="B853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G766" i="1"/>
  <c r="B849" i="1"/>
  <c r="J843" i="1"/>
  <c r="F838" i="1"/>
  <c r="B833" i="1"/>
  <c r="H4" i="4"/>
  <c r="E917" i="1"/>
  <c r="A912" i="1"/>
  <c r="I906" i="1"/>
  <c r="E901" i="1"/>
  <c r="A896" i="1"/>
  <c r="I890" i="1"/>
  <c r="E885" i="1"/>
  <c r="A880" i="1"/>
  <c r="I874" i="1"/>
  <c r="E869" i="1"/>
  <c r="A864" i="1"/>
  <c r="I858" i="1"/>
  <c r="E853" i="1"/>
  <c r="EP4" i="4"/>
  <c r="CA4" i="4"/>
  <c r="O4" i="4"/>
  <c r="L917" i="1"/>
  <c r="H912" i="1"/>
  <c r="D907" i="1"/>
  <c r="L901" i="1"/>
  <c r="H896" i="1"/>
  <c r="D891" i="1"/>
  <c r="L885" i="1"/>
  <c r="H880" i="1"/>
  <c r="D875" i="1"/>
  <c r="L869" i="1"/>
  <c r="H864" i="1"/>
  <c r="D859" i="1"/>
  <c r="O5" i="4"/>
  <c r="CP4" i="4"/>
  <c r="AD4" i="4"/>
  <c r="C919" i="1"/>
  <c r="K913" i="1"/>
  <c r="G908" i="1"/>
  <c r="C903" i="1"/>
  <c r="K897" i="1"/>
  <c r="G892" i="1"/>
  <c r="C887" i="1"/>
  <c r="K881" i="1"/>
  <c r="G876" i="1"/>
  <c r="C871" i="1"/>
  <c r="K865" i="1"/>
  <c r="G860" i="1"/>
  <c r="C855" i="1"/>
  <c r="CW4" i="4"/>
  <c r="AK4" i="4"/>
  <c r="J919" i="1"/>
  <c r="F914" i="1"/>
  <c r="B909" i="1"/>
  <c r="J903" i="1"/>
  <c r="F898" i="1"/>
  <c r="B893" i="1"/>
  <c r="J887" i="1"/>
  <c r="F882" i="1"/>
  <c r="B877" i="1"/>
  <c r="J871" i="1"/>
  <c r="F866" i="1"/>
  <c r="B861" i="1"/>
  <c r="J855" i="1"/>
  <c r="DD4" i="4"/>
  <c r="AR4" i="4"/>
  <c r="E920" i="1"/>
  <c r="A915" i="1"/>
  <c r="I909" i="1"/>
  <c r="E904" i="1"/>
  <c r="A899" i="1"/>
  <c r="I893" i="1"/>
  <c r="E888" i="1"/>
  <c r="A883" i="1"/>
  <c r="I877" i="1"/>
  <c r="E872" i="1"/>
  <c r="A867" i="1"/>
  <c r="I861" i="1"/>
  <c r="E856" i="1"/>
  <c r="DK4" i="4"/>
  <c r="AY4" i="4"/>
  <c r="L920" i="1"/>
  <c r="H915" i="1"/>
  <c r="D910" i="1"/>
  <c r="L904" i="1"/>
  <c r="H899" i="1"/>
  <c r="D894" i="1"/>
  <c r="L888" i="1"/>
  <c r="H883" i="1"/>
  <c r="D878" i="1"/>
  <c r="L872" i="1"/>
  <c r="H867" i="1"/>
  <c r="D862" i="1"/>
  <c r="L856" i="1"/>
  <c r="H851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H768" i="1"/>
  <c r="K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K765" i="1"/>
  <c r="F848" i="1"/>
  <c r="B843" i="1"/>
  <c r="J837" i="1"/>
  <c r="F832" i="1"/>
  <c r="A4" i="3"/>
  <c r="I916" i="1"/>
  <c r="E911" i="1"/>
  <c r="A906" i="1"/>
  <c r="I900" i="1"/>
  <c r="E895" i="1"/>
  <c r="A890" i="1"/>
  <c r="I884" i="1"/>
  <c r="E879" i="1"/>
  <c r="A874" i="1"/>
  <c r="I868" i="1"/>
  <c r="E863" i="1"/>
  <c r="A858" i="1"/>
  <c r="I852" i="1"/>
  <c r="EF4" i="4"/>
  <c r="BS4" i="4"/>
  <c r="G4" i="4"/>
  <c r="D917" i="1"/>
  <c r="L911" i="1"/>
  <c r="H906" i="1"/>
  <c r="D901" i="1"/>
  <c r="L895" i="1"/>
  <c r="H890" i="1"/>
  <c r="D885" i="1"/>
  <c r="L879" i="1"/>
  <c r="H874" i="1"/>
  <c r="D869" i="1"/>
  <c r="L863" i="1"/>
  <c r="H858" i="1"/>
  <c r="A5" i="4"/>
  <c r="CH4" i="4"/>
  <c r="V4" i="4"/>
  <c r="G918" i="1"/>
  <c r="C913" i="1"/>
  <c r="K907" i="1"/>
  <c r="G902" i="1"/>
  <c r="C897" i="1"/>
  <c r="K891" i="1"/>
  <c r="G886" i="1"/>
  <c r="C881" i="1"/>
  <c r="K875" i="1"/>
  <c r="G870" i="1"/>
  <c r="C865" i="1"/>
  <c r="K859" i="1"/>
  <c r="K5" i="4"/>
  <c r="CO4" i="4"/>
  <c r="AC4" i="4"/>
  <c r="B919" i="1"/>
  <c r="J913" i="1"/>
  <c r="F908" i="1"/>
  <c r="B903" i="1"/>
  <c r="J897" i="1"/>
  <c r="F892" i="1"/>
  <c r="B887" i="1"/>
  <c r="J881" i="1"/>
  <c r="F876" i="1"/>
  <c r="B871" i="1"/>
  <c r="J865" i="1"/>
  <c r="F860" i="1"/>
  <c r="B855" i="1"/>
  <c r="CV4" i="4"/>
  <c r="AJ4" i="4"/>
  <c r="I919" i="1"/>
  <c r="E914" i="1"/>
  <c r="A909" i="1"/>
  <c r="I903" i="1"/>
  <c r="E898" i="1"/>
  <c r="A893" i="1"/>
  <c r="I887" i="1"/>
  <c r="E882" i="1"/>
  <c r="A877" i="1"/>
  <c r="I871" i="1"/>
  <c r="E866" i="1"/>
  <c r="A861" i="1"/>
  <c r="I855" i="1"/>
  <c r="DC4" i="4"/>
  <c r="AQ4" i="4"/>
  <c r="D920" i="1"/>
  <c r="L914" i="1"/>
  <c r="H909" i="1"/>
  <c r="D904" i="1"/>
  <c r="L898" i="1"/>
  <c r="H893" i="1"/>
  <c r="D888" i="1"/>
  <c r="L882" i="1"/>
  <c r="H877" i="1"/>
  <c r="D872" i="1"/>
  <c r="L866" i="1"/>
  <c r="H861" i="1"/>
  <c r="D856" i="1"/>
  <c r="L850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L767" i="1"/>
  <c r="J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C765" i="1"/>
  <c r="J847" i="1"/>
  <c r="F842" i="1"/>
  <c r="B837" i="1"/>
  <c r="E921" i="1"/>
  <c r="A916" i="1"/>
  <c r="I910" i="1"/>
  <c r="E905" i="1"/>
  <c r="A900" i="1"/>
  <c r="I894" i="1"/>
  <c r="E889" i="1"/>
  <c r="A884" i="1"/>
  <c r="I878" i="1"/>
  <c r="E873" i="1"/>
  <c r="A868" i="1"/>
  <c r="I862" i="1"/>
  <c r="E857" i="1"/>
  <c r="A852" i="1"/>
  <c r="DW4" i="4"/>
  <c r="BK4" i="4"/>
  <c r="L921" i="1"/>
  <c r="H916" i="1"/>
  <c r="D911" i="1"/>
  <c r="L905" i="1"/>
  <c r="H900" i="1"/>
  <c r="D895" i="1"/>
  <c r="L889" i="1"/>
  <c r="H884" i="1"/>
  <c r="D879" i="1"/>
  <c r="L873" i="1"/>
  <c r="H868" i="1"/>
  <c r="D863" i="1"/>
  <c r="L857" i="1"/>
  <c r="EO4" i="4"/>
  <c r="BZ4" i="4"/>
  <c r="N4" i="4"/>
  <c r="K917" i="1"/>
  <c r="G912" i="1"/>
  <c r="C907" i="1"/>
  <c r="K901" i="1"/>
  <c r="G896" i="1"/>
  <c r="C891" i="1"/>
  <c r="K885" i="1"/>
  <c r="G880" i="1"/>
  <c r="C875" i="1"/>
  <c r="K869" i="1"/>
  <c r="G864" i="1"/>
  <c r="C859" i="1"/>
  <c r="EX4" i="4"/>
  <c r="CG4" i="4"/>
  <c r="U4" i="4"/>
  <c r="F918" i="1"/>
  <c r="B913" i="1"/>
  <c r="J907" i="1"/>
  <c r="F902" i="1"/>
  <c r="B897" i="1"/>
  <c r="J891" i="1"/>
  <c r="F886" i="1"/>
  <c r="B881" i="1"/>
  <c r="J875" i="1"/>
  <c r="F870" i="1"/>
  <c r="B865" i="1"/>
  <c r="J859" i="1"/>
  <c r="I5" i="4"/>
  <c r="CN4" i="4"/>
  <c r="AB4" i="4"/>
  <c r="A919" i="1"/>
  <c r="I913" i="1"/>
  <c r="E908" i="1"/>
  <c r="A903" i="1"/>
  <c r="I897" i="1"/>
  <c r="E892" i="1"/>
  <c r="A887" i="1"/>
  <c r="I881" i="1"/>
  <c r="E876" i="1"/>
  <c r="A871" i="1"/>
  <c r="I865" i="1"/>
  <c r="E860" i="1"/>
  <c r="A855" i="1"/>
  <c r="CU4" i="4"/>
  <c r="AI4" i="4"/>
  <c r="H919" i="1"/>
  <c r="D914" i="1"/>
  <c r="L908" i="1"/>
  <c r="H903" i="1"/>
  <c r="D898" i="1"/>
  <c r="L892" i="1"/>
  <c r="H887" i="1"/>
  <c r="D882" i="1"/>
  <c r="L876" i="1"/>
  <c r="H871" i="1"/>
  <c r="D866" i="1"/>
  <c r="L860" i="1"/>
  <c r="H855" i="1"/>
  <c r="G854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D767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E854" i="1"/>
  <c r="B847" i="1"/>
  <c r="J841" i="1"/>
  <c r="F836" i="1"/>
  <c r="B831" i="1"/>
  <c r="I920" i="1"/>
  <c r="E915" i="1"/>
  <c r="A910" i="1"/>
  <c r="I904" i="1"/>
  <c r="E899" i="1"/>
  <c r="A894" i="1"/>
  <c r="I888" i="1"/>
  <c r="E883" i="1"/>
  <c r="A878" i="1"/>
  <c r="I872" i="1"/>
  <c r="E867" i="1"/>
  <c r="A862" i="1"/>
  <c r="I856" i="1"/>
  <c r="E851" i="1"/>
  <c r="DO4" i="4"/>
  <c r="BC4" i="4"/>
  <c r="D921" i="1"/>
  <c r="L915" i="1"/>
  <c r="H910" i="1"/>
  <c r="D905" i="1"/>
  <c r="L899" i="1"/>
  <c r="H894" i="1"/>
  <c r="D889" i="1"/>
  <c r="L883" i="1"/>
  <c r="H878" i="1"/>
  <c r="D873" i="1"/>
  <c r="L867" i="1"/>
  <c r="H862" i="1"/>
  <c r="D857" i="1"/>
  <c r="EE4" i="4"/>
  <c r="BR4" i="4"/>
  <c r="F4" i="4"/>
  <c r="C917" i="1"/>
  <c r="K911" i="1"/>
  <c r="G906" i="1"/>
  <c r="C901" i="1"/>
  <c r="K895" i="1"/>
  <c r="G890" i="1"/>
  <c r="C885" i="1"/>
  <c r="K879" i="1"/>
  <c r="G874" i="1"/>
  <c r="C869" i="1"/>
  <c r="K863" i="1"/>
  <c r="G858" i="1"/>
  <c r="EN4" i="4"/>
  <c r="BY4" i="4"/>
  <c r="M4" i="4"/>
  <c r="J917" i="1"/>
  <c r="F912" i="1"/>
  <c r="B907" i="1"/>
  <c r="J901" i="1"/>
  <c r="F896" i="1"/>
  <c r="B891" i="1"/>
  <c r="J885" i="1"/>
  <c r="F880" i="1"/>
  <c r="B875" i="1"/>
  <c r="J869" i="1"/>
  <c r="F864" i="1"/>
  <c r="B859" i="1"/>
  <c r="EW4" i="4"/>
  <c r="CF4" i="4"/>
  <c r="T4" i="4"/>
  <c r="E918" i="1"/>
  <c r="A913" i="1"/>
  <c r="I907" i="1"/>
  <c r="E902" i="1"/>
  <c r="A897" i="1"/>
  <c r="I891" i="1"/>
  <c r="E886" i="1"/>
  <c r="A881" i="1"/>
  <c r="I875" i="1"/>
  <c r="E870" i="1"/>
  <c r="A865" i="1"/>
  <c r="I859" i="1"/>
  <c r="H5" i="4"/>
  <c r="CM4" i="4"/>
  <c r="AA4" i="4"/>
  <c r="L918" i="1"/>
  <c r="H913" i="1"/>
  <c r="D908" i="1"/>
  <c r="L902" i="1"/>
  <c r="H897" i="1"/>
  <c r="D892" i="1"/>
  <c r="L886" i="1"/>
  <c r="H881" i="1"/>
  <c r="D876" i="1"/>
  <c r="L870" i="1"/>
  <c r="H865" i="1"/>
  <c r="D860" i="1"/>
  <c r="L854" i="1"/>
  <c r="C853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H766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A853" i="1"/>
  <c r="F846" i="1"/>
  <c r="B841" i="1"/>
  <c r="J835" i="1"/>
  <c r="A920" i="1"/>
  <c r="I914" i="1"/>
  <c r="E909" i="1"/>
  <c r="A904" i="1"/>
  <c r="I898" i="1"/>
  <c r="E893" i="1"/>
  <c r="A888" i="1"/>
  <c r="I882" i="1"/>
  <c r="E877" i="1"/>
  <c r="A872" i="1"/>
  <c r="I866" i="1"/>
  <c r="E861" i="1"/>
  <c r="A856" i="1"/>
  <c r="I850" i="1"/>
  <c r="DG4" i="4"/>
  <c r="AU4" i="4"/>
  <c r="H920" i="1"/>
  <c r="D915" i="1"/>
  <c r="L909" i="1"/>
  <c r="H904" i="1"/>
  <c r="D899" i="1"/>
  <c r="L893" i="1"/>
  <c r="H888" i="1"/>
  <c r="D883" i="1"/>
  <c r="L877" i="1"/>
  <c r="H872" i="1"/>
  <c r="D867" i="1"/>
  <c r="L861" i="1"/>
  <c r="H856" i="1"/>
  <c r="DV4" i="4"/>
  <c r="BJ4" i="4"/>
  <c r="K921" i="1"/>
  <c r="G916" i="1"/>
  <c r="C911" i="1"/>
  <c r="K905" i="1"/>
  <c r="G900" i="1"/>
  <c r="C895" i="1"/>
  <c r="K889" i="1"/>
  <c r="G884" i="1"/>
  <c r="C879" i="1"/>
  <c r="K873" i="1"/>
  <c r="G868" i="1"/>
  <c r="C863" i="1"/>
  <c r="K857" i="1"/>
  <c r="EC4" i="4"/>
  <c r="BQ4" i="4"/>
  <c r="E4" i="4"/>
  <c r="B917" i="1"/>
  <c r="J911" i="1"/>
  <c r="F906" i="1"/>
  <c r="B901" i="1"/>
  <c r="J895" i="1"/>
  <c r="F890" i="1"/>
  <c r="B885" i="1"/>
  <c r="J879" i="1"/>
  <c r="F874" i="1"/>
  <c r="B869" i="1"/>
  <c r="J863" i="1"/>
  <c r="F858" i="1"/>
  <c r="EM4" i="4"/>
  <c r="BX4" i="4"/>
  <c r="L4" i="4"/>
  <c r="I917" i="1"/>
  <c r="E912" i="1"/>
  <c r="A907" i="1"/>
  <c r="I901" i="1"/>
  <c r="E896" i="1"/>
  <c r="A891" i="1"/>
  <c r="I885" i="1"/>
  <c r="E880" i="1"/>
  <c r="A875" i="1"/>
  <c r="I869" i="1"/>
  <c r="E864" i="1"/>
  <c r="A859" i="1"/>
  <c r="EV4" i="4"/>
  <c r="CE4" i="4"/>
  <c r="S4" i="4"/>
  <c r="D918" i="1"/>
  <c r="L912" i="1"/>
  <c r="H907" i="1"/>
  <c r="D902" i="1"/>
  <c r="L896" i="1"/>
  <c r="H891" i="1"/>
  <c r="D886" i="1"/>
  <c r="L880" i="1"/>
  <c r="H875" i="1"/>
  <c r="D870" i="1"/>
  <c r="L864" i="1"/>
  <c r="H859" i="1"/>
  <c r="D854" i="1"/>
  <c r="L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L765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J851" i="1"/>
  <c r="J845" i="1"/>
  <c r="F840" i="1"/>
  <c r="B835" i="1"/>
  <c r="E919" i="1"/>
  <c r="A914" i="1"/>
  <c r="I908" i="1"/>
  <c r="E903" i="1"/>
  <c r="A898" i="1"/>
  <c r="I892" i="1"/>
  <c r="E887" i="1"/>
  <c r="A882" i="1"/>
  <c r="I876" i="1"/>
  <c r="E871" i="1"/>
  <c r="A866" i="1"/>
  <c r="I860" i="1"/>
  <c r="E855" i="1"/>
  <c r="A850" i="1"/>
  <c r="CY4" i="4"/>
  <c r="AM4" i="4"/>
  <c r="L919" i="1"/>
  <c r="H914" i="1"/>
  <c r="D909" i="1"/>
  <c r="L903" i="1"/>
  <c r="H898" i="1"/>
  <c r="D893" i="1"/>
  <c r="L887" i="1"/>
  <c r="H882" i="1"/>
  <c r="D877" i="1"/>
  <c r="L871" i="1"/>
  <c r="H866" i="1"/>
  <c r="D861" i="1"/>
  <c r="L855" i="1"/>
  <c r="DN4" i="4"/>
  <c r="BB4" i="4"/>
  <c r="C921" i="1"/>
  <c r="K915" i="1"/>
  <c r="G910" i="1"/>
  <c r="C905" i="1"/>
  <c r="K899" i="1"/>
  <c r="G894" i="1"/>
  <c r="C889" i="1"/>
  <c r="K883" i="1"/>
  <c r="G878" i="1"/>
  <c r="C873" i="1"/>
  <c r="K867" i="1"/>
  <c r="G862" i="1"/>
  <c r="C857" i="1"/>
  <c r="DU4" i="4"/>
  <c r="BI4" i="4"/>
  <c r="J921" i="1"/>
  <c r="F916" i="1"/>
  <c r="B911" i="1"/>
  <c r="J905" i="1"/>
  <c r="F900" i="1"/>
  <c r="B895" i="1"/>
  <c r="J889" i="1"/>
  <c r="F884" i="1"/>
  <c r="B879" i="1"/>
  <c r="J873" i="1"/>
  <c r="F868" i="1"/>
  <c r="B863" i="1"/>
  <c r="J857" i="1"/>
  <c r="EB4" i="4"/>
  <c r="BP4" i="4"/>
  <c r="D4" i="4"/>
  <c r="A917" i="1"/>
  <c r="I911" i="1"/>
  <c r="E906" i="1"/>
  <c r="A901" i="1"/>
  <c r="I895" i="1"/>
  <c r="E890" i="1"/>
  <c r="A885" i="1"/>
  <c r="I879" i="1"/>
  <c r="E874" i="1"/>
  <c r="A869" i="1"/>
  <c r="I863" i="1"/>
  <c r="E858" i="1"/>
  <c r="EK4" i="4"/>
  <c r="BW4" i="4"/>
  <c r="K4" i="4"/>
  <c r="H917" i="1"/>
  <c r="D912" i="1"/>
  <c r="L906" i="1"/>
  <c r="H901" i="1"/>
  <c r="D896" i="1"/>
  <c r="L890" i="1"/>
  <c r="H885" i="1"/>
  <c r="D880" i="1"/>
  <c r="L874" i="1"/>
  <c r="H869" i="1"/>
  <c r="D864" i="1"/>
  <c r="L858" i="1"/>
  <c r="H853" i="1"/>
  <c r="A851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D765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K767" i="1"/>
  <c r="H850" i="1"/>
  <c r="B845" i="1"/>
  <c r="J839" i="1"/>
  <c r="F834" i="1"/>
  <c r="I918" i="1"/>
  <c r="E913" i="1"/>
  <c r="A908" i="1"/>
  <c r="I902" i="1"/>
  <c r="E897" i="1"/>
  <c r="A892" i="1"/>
  <c r="I886" i="1"/>
  <c r="E881" i="1"/>
  <c r="A876" i="1"/>
  <c r="I870" i="1"/>
  <c r="E865" i="1"/>
  <c r="A860" i="1"/>
  <c r="I854" i="1"/>
  <c r="P5" i="4"/>
  <c r="CQ4" i="4"/>
  <c r="AE4" i="4"/>
  <c r="D919" i="1"/>
  <c r="L913" i="1"/>
  <c r="H908" i="1"/>
  <c r="D903" i="1"/>
  <c r="L897" i="1"/>
  <c r="H892" i="1"/>
  <c r="D887" i="1"/>
  <c r="L881" i="1"/>
  <c r="H876" i="1"/>
  <c r="D871" i="1"/>
  <c r="L865" i="1"/>
  <c r="H860" i="1"/>
  <c r="D855" i="1"/>
  <c r="DF4" i="4"/>
  <c r="AT4" i="4"/>
  <c r="G920" i="1"/>
  <c r="C915" i="1"/>
  <c r="K909" i="1"/>
  <c r="G904" i="1"/>
  <c r="C899" i="1"/>
  <c r="K893" i="1"/>
  <c r="G888" i="1"/>
  <c r="C883" i="1"/>
  <c r="K877" i="1"/>
  <c r="G872" i="1"/>
  <c r="C867" i="1"/>
  <c r="K861" i="1"/>
  <c r="G856" i="1"/>
  <c r="DM4" i="4"/>
  <c r="BA4" i="4"/>
  <c r="B921" i="1"/>
  <c r="J915" i="1"/>
  <c r="F910" i="1"/>
  <c r="B905" i="1"/>
  <c r="J899" i="1"/>
  <c r="F894" i="1"/>
  <c r="B889" i="1"/>
  <c r="J883" i="1"/>
  <c r="F878" i="1"/>
  <c r="B873" i="1"/>
  <c r="J867" i="1"/>
  <c r="F862" i="1"/>
  <c r="B857" i="1"/>
  <c r="DT4" i="4"/>
  <c r="BH4" i="4"/>
  <c r="I921" i="1"/>
  <c r="E916" i="1"/>
  <c r="A911" i="1"/>
  <c r="I905" i="1"/>
  <c r="E900" i="1"/>
  <c r="A895" i="1"/>
  <c r="I889" i="1"/>
  <c r="E884" i="1"/>
  <c r="A879" i="1"/>
  <c r="I873" i="1"/>
  <c r="E868" i="1"/>
  <c r="A863" i="1"/>
  <c r="I857" i="1"/>
  <c r="EA4" i="4"/>
  <c r="BO4" i="4"/>
  <c r="C4" i="4"/>
  <c r="L916" i="1"/>
  <c r="H911" i="1"/>
  <c r="D906" i="1"/>
  <c r="L900" i="1"/>
  <c r="H895" i="1"/>
  <c r="D890" i="1"/>
  <c r="L884" i="1"/>
  <c r="H879" i="1"/>
  <c r="D874" i="1"/>
  <c r="L868" i="1"/>
  <c r="H863" i="1"/>
  <c r="D858" i="1"/>
  <c r="L852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F854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C767" i="1"/>
  <c r="J849" i="1"/>
  <c r="F844" i="1"/>
  <c r="B839" i="1"/>
  <c r="J833" i="1"/>
  <c r="J831" i="1"/>
  <c r="J825" i="1"/>
  <c r="F820" i="1"/>
  <c r="B815" i="1"/>
  <c r="J809" i="1"/>
  <c r="F804" i="1"/>
  <c r="B799" i="1"/>
  <c r="J793" i="1"/>
  <c r="F788" i="1"/>
  <c r="B783" i="1"/>
  <c r="J777" i="1"/>
  <c r="F772" i="1"/>
  <c r="B767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C768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D853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I766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K762" i="1"/>
  <c r="G757" i="1"/>
  <c r="C752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F766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D768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I853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B852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A766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C762" i="1"/>
  <c r="K756" i="1"/>
  <c r="G751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J765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J853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E852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B851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E765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G761" i="1"/>
  <c r="C756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B765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K853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F852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C851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B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I767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H767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G767" i="1"/>
  <c r="K760" i="1"/>
  <c r="G755" i="1"/>
  <c r="C750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L853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G852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D851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D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E769" i="1"/>
  <c r="E766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D766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C766" i="1"/>
  <c r="C760" i="1"/>
  <c r="K754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H852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F851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E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I768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K764" i="1"/>
  <c r="G759" i="1"/>
  <c r="C754" i="1"/>
  <c r="K748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I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F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J768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A768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C764" i="1"/>
  <c r="K758" i="1"/>
  <c r="G753" i="1"/>
  <c r="F826" i="1"/>
  <c r="B821" i="1"/>
  <c r="J815" i="1"/>
  <c r="F810" i="1"/>
  <c r="B805" i="1"/>
  <c r="J799" i="1"/>
  <c r="F794" i="1"/>
  <c r="B789" i="1"/>
  <c r="J783" i="1"/>
  <c r="F778" i="1"/>
  <c r="B773" i="1"/>
  <c r="J767" i="1"/>
  <c r="G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B768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E767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G763" i="1"/>
  <c r="C758" i="1"/>
  <c r="K752" i="1"/>
  <c r="K750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B766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I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C681" i="1"/>
  <c r="J675" i="1"/>
  <c r="F670" i="1"/>
  <c r="G749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L597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597" i="1"/>
  <c r="F680" i="1"/>
  <c r="B675" i="1"/>
  <c r="J669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D597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G596" i="1"/>
  <c r="J679" i="1"/>
  <c r="F674" i="1"/>
  <c r="B669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D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K595" i="1"/>
  <c r="B679" i="1"/>
  <c r="J673" i="1"/>
  <c r="F668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J766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E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C595" i="1"/>
  <c r="F678" i="1"/>
  <c r="B673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K766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F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G594" i="1"/>
  <c r="J677" i="1"/>
  <c r="F672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L766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G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K593" i="1"/>
  <c r="B677" i="1"/>
  <c r="J671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F767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A767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H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C593" i="1"/>
  <c r="F676" i="1"/>
  <c r="B671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I597" i="1"/>
  <c r="L676" i="1"/>
  <c r="H671" i="1"/>
  <c r="D666" i="1"/>
  <c r="L660" i="1"/>
  <c r="H655" i="1"/>
  <c r="D650" i="1"/>
  <c r="L644" i="1"/>
  <c r="H639" i="1"/>
  <c r="D634" i="1"/>
  <c r="L628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L612" i="1"/>
  <c r="G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D612" i="1"/>
  <c r="F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H611" i="1"/>
  <c r="E593" i="1"/>
  <c r="L587" i="1"/>
  <c r="H582" i="1"/>
  <c r="D577" i="1"/>
  <c r="L571" i="1"/>
  <c r="H566" i="1"/>
  <c r="D561" i="1"/>
  <c r="L555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J597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A597" i="1"/>
  <c r="D676" i="1"/>
  <c r="L670" i="1"/>
  <c r="H665" i="1"/>
  <c r="D660" i="1"/>
  <c r="L654" i="1"/>
  <c r="H649" i="1"/>
  <c r="D644" i="1"/>
  <c r="L638" i="1"/>
  <c r="H633" i="1"/>
  <c r="D628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H607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L606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D606" i="1"/>
  <c r="H592" i="1"/>
  <c r="D587" i="1"/>
  <c r="L581" i="1"/>
  <c r="H576" i="1"/>
  <c r="D571" i="1"/>
  <c r="L565" i="1"/>
  <c r="H560" i="1"/>
  <c r="D555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B597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L680" i="1"/>
  <c r="H675" i="1"/>
  <c r="D670" i="1"/>
  <c r="L664" i="1"/>
  <c r="H659" i="1"/>
  <c r="D654" i="1"/>
  <c r="L648" i="1"/>
  <c r="H643" i="1"/>
  <c r="D638" i="1"/>
  <c r="L632" i="1"/>
  <c r="H627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D602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H601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L600" i="1"/>
  <c r="L591" i="1"/>
  <c r="H586" i="1"/>
  <c r="D581" i="1"/>
  <c r="L575" i="1"/>
  <c r="H570" i="1"/>
  <c r="D565" i="1"/>
  <c r="L559" i="1"/>
  <c r="H554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D680" i="1"/>
  <c r="L674" i="1"/>
  <c r="H669" i="1"/>
  <c r="D664" i="1"/>
  <c r="L658" i="1"/>
  <c r="H653" i="1"/>
  <c r="D648" i="1"/>
  <c r="L642" i="1"/>
  <c r="H637" i="1"/>
  <c r="D632" i="1"/>
  <c r="L626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B598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A598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H597" i="1"/>
  <c r="D591" i="1"/>
  <c r="L585" i="1"/>
  <c r="H580" i="1"/>
  <c r="D575" i="1"/>
  <c r="L569" i="1"/>
  <c r="H564" i="1"/>
  <c r="D559" i="1"/>
  <c r="L553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H679" i="1"/>
  <c r="D674" i="1"/>
  <c r="L668" i="1"/>
  <c r="H663" i="1"/>
  <c r="D658" i="1"/>
  <c r="L652" i="1"/>
  <c r="H647" i="1"/>
  <c r="D642" i="1"/>
  <c r="L636" i="1"/>
  <c r="H631" i="1"/>
  <c r="D626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H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F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E596" i="1"/>
  <c r="H590" i="1"/>
  <c r="D585" i="1"/>
  <c r="L579" i="1"/>
  <c r="H574" i="1"/>
  <c r="D569" i="1"/>
  <c r="L563" i="1"/>
  <c r="H558" i="1"/>
  <c r="D553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L678" i="1"/>
  <c r="H673" i="1"/>
  <c r="D668" i="1"/>
  <c r="L662" i="1"/>
  <c r="H657" i="1"/>
  <c r="D652" i="1"/>
  <c r="L646" i="1"/>
  <c r="H641" i="1"/>
  <c r="D636" i="1"/>
  <c r="L630" i="1"/>
  <c r="H625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G597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J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I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H595" i="1"/>
  <c r="L589" i="1"/>
  <c r="H584" i="1"/>
  <c r="D579" i="1"/>
  <c r="L573" i="1"/>
  <c r="H568" i="1"/>
  <c r="D563" i="1"/>
  <c r="L557" i="1"/>
  <c r="H552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D678" i="1"/>
  <c r="L672" i="1"/>
  <c r="H667" i="1"/>
  <c r="D662" i="1"/>
  <c r="L656" i="1"/>
  <c r="H651" i="1"/>
  <c r="D646" i="1"/>
  <c r="L640" i="1"/>
  <c r="H635" i="1"/>
  <c r="D630" i="1"/>
  <c r="L624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596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H623" i="1"/>
  <c r="A595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L622" i="1"/>
  <c r="L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D622" i="1"/>
  <c r="K594" i="1"/>
  <c r="D589" i="1"/>
  <c r="L583" i="1"/>
  <c r="H578" i="1"/>
  <c r="D573" i="1"/>
  <c r="L567" i="1"/>
  <c r="H562" i="1"/>
  <c r="D557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H677" i="1"/>
  <c r="D672" i="1"/>
  <c r="L666" i="1"/>
  <c r="H661" i="1"/>
  <c r="D656" i="1"/>
  <c r="L650" i="1"/>
  <c r="H645" i="1"/>
  <c r="D640" i="1"/>
  <c r="L634" i="1"/>
  <c r="H629" i="1"/>
  <c r="D624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D618" i="1"/>
  <c r="D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H617" i="1"/>
  <c r="C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L616" i="1"/>
  <c r="B594" i="1"/>
  <c r="H588" i="1"/>
  <c r="D583" i="1"/>
  <c r="L577" i="1"/>
  <c r="H572" i="1"/>
  <c r="D567" i="1"/>
  <c r="L561" i="1"/>
  <c r="H556" i="1"/>
  <c r="L551" i="1"/>
  <c r="H546" i="1"/>
  <c r="D541" i="1"/>
  <c r="L535" i="1"/>
  <c r="H530" i="1"/>
  <c r="D525" i="1"/>
  <c r="L519" i="1"/>
  <c r="H621" i="1"/>
  <c r="J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L620" i="1"/>
  <c r="I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L614" i="1"/>
  <c r="J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L60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602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E513" i="1"/>
  <c r="A508" i="1"/>
  <c r="I502" i="1"/>
  <c r="E497" i="1"/>
  <c r="A492" i="1"/>
  <c r="I486" i="1"/>
  <c r="E481" i="1"/>
  <c r="A476" i="1"/>
  <c r="I470" i="1"/>
  <c r="D551" i="1"/>
  <c r="L545" i="1"/>
  <c r="H540" i="1"/>
  <c r="D535" i="1"/>
  <c r="L529" i="1"/>
  <c r="H524" i="1"/>
  <c r="D519" i="1"/>
  <c r="D616" i="1"/>
  <c r="A594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H615" i="1"/>
  <c r="L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H609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H603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98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I512" i="1"/>
  <c r="E507" i="1"/>
  <c r="A502" i="1"/>
  <c r="I496" i="1"/>
  <c r="E491" i="1"/>
  <c r="A486" i="1"/>
  <c r="I480" i="1"/>
  <c r="E475" i="1"/>
  <c r="A470" i="1"/>
  <c r="H550" i="1"/>
  <c r="D545" i="1"/>
  <c r="L539" i="1"/>
  <c r="H534" i="1"/>
  <c r="D529" i="1"/>
  <c r="L523" i="1"/>
  <c r="H518" i="1"/>
  <c r="L610" i="1"/>
  <c r="D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D610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D604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I598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I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A512" i="1"/>
  <c r="I506" i="1"/>
  <c r="E501" i="1"/>
  <c r="A496" i="1"/>
  <c r="I490" i="1"/>
  <c r="E485" i="1"/>
  <c r="A480" i="1"/>
  <c r="I474" i="1"/>
  <c r="L549" i="1"/>
  <c r="H544" i="1"/>
  <c r="D539" i="1"/>
  <c r="L533" i="1"/>
  <c r="H528" i="1"/>
  <c r="D523" i="1"/>
  <c r="L517" i="1"/>
  <c r="H605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L604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L598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J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E511" i="1"/>
  <c r="A506" i="1"/>
  <c r="I500" i="1"/>
  <c r="E495" i="1"/>
  <c r="A490" i="1"/>
  <c r="I484" i="1"/>
  <c r="E479" i="1"/>
  <c r="A474" i="1"/>
  <c r="D549" i="1"/>
  <c r="L543" i="1"/>
  <c r="H538" i="1"/>
  <c r="D533" i="1"/>
  <c r="L527" i="1"/>
  <c r="H522" i="1"/>
  <c r="D517" i="1"/>
  <c r="D600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H599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L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96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B595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I510" i="1"/>
  <c r="E505" i="1"/>
  <c r="A500" i="1"/>
  <c r="I494" i="1"/>
  <c r="E489" i="1"/>
  <c r="A484" i="1"/>
  <c r="I478" i="1"/>
  <c r="E473" i="1"/>
  <c r="A468" i="1"/>
  <c r="H548" i="1"/>
  <c r="D543" i="1"/>
  <c r="L537" i="1"/>
  <c r="H532" i="1"/>
  <c r="D527" i="1"/>
  <c r="L521" i="1"/>
  <c r="H516" i="1"/>
  <c r="F597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E597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96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D595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618" i="1"/>
  <c r="E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A510" i="1"/>
  <c r="I504" i="1"/>
  <c r="E499" i="1"/>
  <c r="A494" i="1"/>
  <c r="I488" i="1"/>
  <c r="E483" i="1"/>
  <c r="A478" i="1"/>
  <c r="I472" i="1"/>
  <c r="E467" i="1"/>
  <c r="L547" i="1"/>
  <c r="H542" i="1"/>
  <c r="D537" i="1"/>
  <c r="L531" i="1"/>
  <c r="H526" i="1"/>
  <c r="D521" i="1"/>
  <c r="L515" i="1"/>
  <c r="D596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C596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E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H619" i="1"/>
  <c r="F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H613" i="1"/>
  <c r="H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I514" i="1"/>
  <c r="E509" i="1"/>
  <c r="A504" i="1"/>
  <c r="I498" i="1"/>
  <c r="E493" i="1"/>
  <c r="A488" i="1"/>
  <c r="I482" i="1"/>
  <c r="E477" i="1"/>
  <c r="A472" i="1"/>
  <c r="I466" i="1"/>
  <c r="D547" i="1"/>
  <c r="L541" i="1"/>
  <c r="H536" i="1"/>
  <c r="D531" i="1"/>
  <c r="L525" i="1"/>
  <c r="H520" i="1"/>
  <c r="D515" i="1"/>
  <c r="G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F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D620" i="1"/>
  <c r="H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D614" i="1"/>
  <c r="I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D60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A514" i="1"/>
  <c r="I508" i="1"/>
  <c r="E503" i="1"/>
  <c r="A498" i="1"/>
  <c r="I492" i="1"/>
  <c r="E487" i="1"/>
  <c r="A482" i="1"/>
  <c r="I476" i="1"/>
  <c r="E471" i="1"/>
  <c r="E469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G343" i="1"/>
  <c r="C338" i="1"/>
  <c r="K332" i="1"/>
  <c r="G327" i="1"/>
  <c r="C322" i="1"/>
  <c r="K316" i="1"/>
  <c r="G311" i="1"/>
  <c r="C306" i="1"/>
  <c r="K300" i="1"/>
  <c r="I468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K342" i="1"/>
  <c r="G337" i="1"/>
  <c r="C332" i="1"/>
  <c r="K326" i="1"/>
  <c r="G321" i="1"/>
  <c r="C316" i="1"/>
  <c r="K310" i="1"/>
  <c r="G305" i="1"/>
  <c r="C300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C342" i="1"/>
  <c r="K336" i="1"/>
  <c r="G331" i="1"/>
  <c r="C326" i="1"/>
  <c r="K320" i="1"/>
  <c r="G315" i="1"/>
  <c r="C310" i="1"/>
  <c r="K304" i="1"/>
  <c r="G299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G341" i="1"/>
  <c r="C336" i="1"/>
  <c r="K330" i="1"/>
  <c r="G325" i="1"/>
  <c r="C320" i="1"/>
  <c r="K314" i="1"/>
  <c r="G309" i="1"/>
  <c r="C304" i="1"/>
  <c r="K298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K340" i="1"/>
  <c r="G335" i="1"/>
  <c r="C330" i="1"/>
  <c r="K324" i="1"/>
  <c r="G319" i="1"/>
  <c r="C314" i="1"/>
  <c r="K308" i="1"/>
  <c r="G303" i="1"/>
  <c r="C298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C340" i="1"/>
  <c r="K334" i="1"/>
  <c r="G329" i="1"/>
  <c r="C324" i="1"/>
  <c r="K318" i="1"/>
  <c r="G313" i="1"/>
  <c r="C308" i="1"/>
  <c r="K302" i="1"/>
  <c r="G297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K344" i="1"/>
  <c r="G339" i="1"/>
  <c r="C334" i="1"/>
  <c r="K328" i="1"/>
  <c r="G323" i="1"/>
  <c r="C318" i="1"/>
  <c r="K312" i="1"/>
  <c r="G307" i="1"/>
  <c r="C302" i="1"/>
  <c r="K296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C344" i="1"/>
  <c r="K338" i="1"/>
  <c r="G333" i="1"/>
  <c r="C328" i="1"/>
  <c r="K322" i="1"/>
  <c r="G317" i="1"/>
  <c r="C312" i="1"/>
  <c r="K306" i="1"/>
  <c r="G301" i="1"/>
  <c r="C296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L173" i="1"/>
  <c r="H168" i="1"/>
  <c r="D163" i="1"/>
  <c r="L157" i="1"/>
  <c r="H152" i="1"/>
  <c r="D147" i="1"/>
  <c r="L141" i="1"/>
  <c r="H136" i="1"/>
  <c r="D131" i="1"/>
  <c r="L125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D173" i="1"/>
  <c r="L167" i="1"/>
  <c r="H162" i="1"/>
  <c r="D157" i="1"/>
  <c r="L151" i="1"/>
  <c r="H146" i="1"/>
  <c r="D141" i="1"/>
  <c r="L135" i="1"/>
  <c r="H130" i="1"/>
  <c r="D125" i="1"/>
  <c r="L11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H172" i="1"/>
  <c r="D167" i="1"/>
  <c r="L161" i="1"/>
  <c r="H156" i="1"/>
  <c r="D151" i="1"/>
  <c r="L145" i="1"/>
  <c r="H140" i="1"/>
  <c r="D135" i="1"/>
  <c r="L129" i="1"/>
  <c r="H124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L171" i="1"/>
  <c r="H166" i="1"/>
  <c r="D161" i="1"/>
  <c r="L155" i="1"/>
  <c r="H150" i="1"/>
  <c r="D145" i="1"/>
  <c r="L139" i="1"/>
  <c r="H134" i="1"/>
  <c r="D129" i="1"/>
  <c r="L123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D171" i="1"/>
  <c r="L165" i="1"/>
  <c r="H160" i="1"/>
  <c r="D155" i="1"/>
  <c r="L149" i="1"/>
  <c r="H144" i="1"/>
  <c r="D139" i="1"/>
  <c r="L133" i="1"/>
  <c r="H128" i="1"/>
  <c r="D123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H170" i="1"/>
  <c r="D165" i="1"/>
  <c r="L159" i="1"/>
  <c r="H154" i="1"/>
  <c r="D149" i="1"/>
  <c r="L143" i="1"/>
  <c r="H138" i="1"/>
  <c r="D133" i="1"/>
  <c r="L127" i="1"/>
  <c r="H122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J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D175" i="1"/>
  <c r="L169" i="1"/>
  <c r="H164" i="1"/>
  <c r="D159" i="1"/>
  <c r="L153" i="1"/>
  <c r="H148" i="1"/>
  <c r="D143" i="1"/>
  <c r="L137" i="1"/>
  <c r="H132" i="1"/>
  <c r="D127" i="1"/>
  <c r="L121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K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H174" i="1"/>
  <c r="D169" i="1"/>
  <c r="L163" i="1"/>
  <c r="H158" i="1"/>
  <c r="D153" i="1"/>
  <c r="L147" i="1"/>
  <c r="H142" i="1"/>
  <c r="D137" i="1"/>
  <c r="L131" i="1"/>
  <c r="H126" i="1"/>
  <c r="D121" i="1"/>
  <c r="H120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I6" i="1"/>
  <c r="D5" i="1"/>
  <c r="G4" i="1"/>
  <c r="B6" i="1"/>
  <c r="B7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A4" i="1"/>
  <c r="F6" i="1"/>
  <c r="J17" i="1"/>
  <c r="C6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I5" i="1"/>
  <c r="G6" i="1"/>
  <c r="K4" i="1"/>
  <c r="A6" i="1"/>
  <c r="J4" i="1"/>
  <c r="J33" i="1"/>
  <c r="C4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A5" i="1"/>
  <c r="H5" i="1"/>
  <c r="K5" i="1"/>
  <c r="F28" i="1"/>
  <c r="F5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E4" i="1"/>
  <c r="L4" i="1"/>
  <c r="H4" i="1"/>
  <c r="B39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23" i="1"/>
  <c r="D4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J6" i="1"/>
  <c r="E5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C5" i="1"/>
  <c r="B4" i="1"/>
  <c r="I4" i="1"/>
  <c r="F12" i="1"/>
  <c r="G5" i="1"/>
</calcChain>
</file>

<file path=xl/sharedStrings.xml><?xml version="1.0" encoding="utf-8"?>
<sst xmlns="http://schemas.openxmlformats.org/spreadsheetml/2006/main" count="120" uniqueCount="39">
  <si>
    <t>Master Data Info</t>
  </si>
  <si>
    <t>Modules Info</t>
  </si>
  <si>
    <t>Settings</t>
  </si>
  <si>
    <t>Module Step Setting File</t>
  </si>
  <si>
    <t>Modules</t>
  </si>
  <si>
    <t>1eFq-0rBBBruaRgYp8Plf3EAV1IQUFSYg9ee_wKGGGko</t>
  </si>
  <si>
    <t>Master Data Settings File</t>
  </si>
  <si>
    <t>Module</t>
  </si>
  <si>
    <t>1Nt_rf5DtgjbN9Ag4AMMlUkZYROxKZLH5m54YOl7tRT0</t>
  </si>
  <si>
    <t>Step</t>
  </si>
  <si>
    <t>Master Data Sheet</t>
  </si>
  <si>
    <t>Data</t>
  </si>
  <si>
    <t>Blotter</t>
  </si>
  <si>
    <t>MultiTradingTicket</t>
  </si>
  <si>
    <t>MultiTradingTicketFromBlotter</t>
  </si>
  <si>
    <t>Data Format</t>
  </si>
  <si>
    <t>Input Format</t>
  </si>
  <si>
    <t>SelectTradeUsingMTT</t>
  </si>
  <si>
    <t>CSCO</t>
  </si>
  <si>
    <t>Buy</t>
  </si>
  <si>
    <t>Sell</t>
  </si>
  <si>
    <t>EditTradeUsingMTT</t>
  </si>
  <si>
    <t>DoneAwayUsingMTT</t>
  </si>
  <si>
    <t>Stop</t>
  </si>
  <si>
    <t>Limit</t>
  </si>
  <si>
    <t>VerifyWorkingSubs</t>
  </si>
  <si>
    <t>Allocation</t>
  </si>
  <si>
    <t>GetDataAllocation</t>
  </si>
  <si>
    <t>Current</t>
  </si>
  <si>
    <t>PortfolioManagement</t>
  </si>
  <si>
    <t>CheckPortfolioManagement</t>
  </si>
  <si>
    <t>CheckAllocatedGroups</t>
  </si>
  <si>
    <t>Allocation1</t>
  </si>
  <si>
    <t>Allocation2</t>
  </si>
  <si>
    <t>TradingTicket</t>
  </si>
  <si>
    <t>CreateStageOrder</t>
  </si>
  <si>
    <t>MS</t>
  </si>
  <si>
    <t>HKG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</si>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</sst>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3" t="s">
        <v>1</v>
      </c>
      <c r="B1" s="34"/>
      <c r="C1" s="34"/>
      <c r="D1" s="34"/>
      <c r="E1" s="34"/>
      <c r="F1" s="35"/>
    </row>
    <row r="2" spans="1:12" ht="15.75" customHeight="1" x14ac:dyDescent="0.2">
      <c r="A2" s="2"/>
      <c r="B2" s="2"/>
      <c r="C2" s="2"/>
      <c r="D2" s="2"/>
      <c r="E2" s="2"/>
      <c r="F2" s="2"/>
    </row>
    <row r="3" spans="1:12" ht="15.75" customHeight="1" x14ac:dyDescent="0.2">
      <c r="A3" s="3" t="s">
        <v>4</v>
      </c>
      <c r="B3" s="5"/>
      <c r="C3" s="6"/>
      <c r="D3" s="6"/>
      <c r="E3" s="6"/>
      <c r="F3" s="6"/>
    </row>
    <row r="4" spans="1:12" ht="15.75" customHeight="1" x14ac:dyDescent="0.2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IFERROR(__xludf.DUMMYFUNCTION("""COMPUTED_VALUE"""),"1g8wLprruaWRC_5pQcovqkv8ZCiMt5fspCOACibdkz7g")</f>
        <v>1g8wLprruaWRC_5pQcovqkv8ZCiMt5fspCOACibdkz7g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IFERROR(__xludf.DUMMYFUNCTION("""COMPUTED_VALUE"""),"1aecq-HMDoDkIInONjPC11z5TBFHyJhv4ro66e2ZOphg")</f>
        <v>1aecq-HMDoDkIInONjPC11z5TBFHyJhv4ro66e2ZOphg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IFERROR(__xludf.DUMMYFUNCTION("""COMPUTED_VALUE"""),"1eDZq-_vllq4jwvwpk9qGnwQUhlb-sFvyFKPBriT2dA0")</f>
        <v>1eDZq-_vllq4jwvwpk9qGnwQUhlb-sFvyFKPBriT2dA0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IFERROR(__xludf.DUMMYFUNCTION("""COMPUTED_VALUE"""),"1FBTO3wCB7odq-jpQMbYHgSrAL5-rFO2_kp9Kr2iXqXE")</f>
        <v>1FBTO3wCB7odq-jpQMbYHgSrAL5-rFO2_kp9Kr2iXqXE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IFERROR(__xludf.DUMMYFUNCTION("""COMPUTED_VALUE"""),"1G0ZkXDrIDX_loGmAyLs_Shy8hExtTELtFXERbX-HdPo")</f>
        <v>1G0ZkXDrIDX_loGmAyLs_Shy8hExtTELtFXERbX-HdPo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IFERROR(__xludf.DUMMYFUNCTION("""COMPUTED_VALUE"""),"1YgVZ1jEVgjUF1Dp8FAj_W_zLEZCyqvNMlWJIg0Tmkq4")</f>
        <v>1YgVZ1jEVgjUF1Dp8FAj_W_zLEZCyqvNMlWJIg0Tmkq4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IFERROR(__xludf.DUMMYFUNCTION("""COMPUTED_VALUE"""),"1MyB61T39MDAUyQqCUJLATzUT2f5UlE8nFq4ltWy_DJ4")</f>
        <v>1MyB61T39MDAUyQqCUJLATzUT2f5UlE8nFq4ltWy_DJ4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IFERROR(__xludf.DUMMYFUNCTION("""COMPUTED_VALUE"""),"16qheLbvgC92hKxalWDlpWfHBMyDDVqHERUCc7bQiO2A")</f>
        <v>16qheLbvgC92hKxalWDlpWfHBMyDDVqHERUCc7bQiO2A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IFERROR(__xludf.DUMMYFUNCTION("""COMPUTED_VALUE"""),"1zLd3ju-mV8f6PZiQUYLU-cAgAUwLwyoIAKuu0WgG2zI")</f>
        <v>1zLd3ju-mV8f6PZiQUYLU-cAgAUwLwyoIAKuu0WgG2zI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IFERROR(__xludf.DUMMYFUNCTION("""COMPUTED_VALUE"""),"1sjDsI5FIL_l_G6osMJQ7e8auBgYd3R3JDaKWKV_8Og0")</f>
        <v>1sjDsI5FIL_l_G6osMJQ7e8auBgYd3R3JDaKWKV_8Og0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IFERROR(__xludf.DUMMYFUNCTION("""COMPUTED_VALUE"""),"1xn1P_Z-3N4d2BC1SUPly2HiVZazly5ZQcS18BfaTyho")</f>
        <v>1xn1P_Z-3N4d2BC1SUPly2HiVZazly5ZQcS18BfaTyho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IFERROR(__xludf.DUMMYFUNCTION("""COMPUTED_VALUE"""),"1vlvYPsiFAWjsnFrbkGn_fAvkwF00V3e7htalalU6QN4")</f>
        <v>1vlvYPsiFAWjsnFrbkGn_fAvkwF00V3e7htalalU6QN4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IFERROR(__xludf.DUMMYFUNCTION("""COMPUTED_VALUE"""),"1o2rCg2FuoAOT5Pl8i4iFP_TwpPm0UB1dd49GbpkytfM")</f>
        <v>1o2rCg2FuoAOT5Pl8i4iFP_TwpPm0UB1dd49GbpkytfM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IFERROR(__xludf.DUMMYFUNCTION("""COMPUTED_VALUE"""),"1_v2niCJ9VGNvgEBpvz030BFqEISSUhYRHyWcAJAn_Eg")</f>
        <v>1_v2niCJ9VGNvgEBpvz030BFqEISSUhYRHyWcAJAn_Eg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IFERROR(__xludf.DUMMYFUNCTION("""COMPUTED_VALUE"""),"1hsRs1-LY0akTrMe91ArnbLtk6GUy_bKxVwMYCaiMs-8")</f>
        <v>1hsRs1-LY0akTrMe91ArnbLtk6GUy_bKxVwMYCaiMs-8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IFERROR(__xludf.DUMMYFUNCTION("""COMPUTED_VALUE"""),"14rwUHTx4auE_hf60WN-tNOx3atNg7QGvErWNwVQIRqE")</f>
        <v>14rwUHTx4auE_hf60WN-tNOx3atNg7QGvErWNwVQIRqE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IFERROR(__xludf.DUMMYFUNCTION("""COMPUTED_VALUE"""),"1amshi8Ns36lsDpccBK0y_9bL_pQ2rHdGNYypcgzceUg")</f>
        <v>1amshi8Ns36lsDpccBK0y_9bL_pQ2rHdGNYypcgzceUg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IFERROR(__xludf.DUMMYFUNCTION("""COMPUTED_VALUE"""),"1YKttwHsdIskNDoo0Sl7HF2DWikROW-KA05qfT3GLIyI")</f>
        <v>1YKttwHsdIskNDoo0Sl7HF2DWikROW-KA05qfT3GLIyI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IFERROR(__xludf.DUMMYFUNCTION("""COMPUTED_VALUE"""),"1YJ2rTp-OqQTGjubvs_cBC6fl0l94pyHI2eaLJzbddS4")</f>
        <v>1YJ2rTp-OqQTGjubvs_cBC6fl0l94pyHI2eaLJzbddS4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IFERROR(__xludf.DUMMYFUNCTION("""COMPUTED_VALUE"""),"1mLyEfNTVFd65cnE6GfgCRD6TdpKg1BgqNIDjHCFzyO4")</f>
        <v>1mLyEfNTVFd65cnE6GfgCRD6TdpKg1BgqNIDjHCFzyO4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IFERROR(__xludf.DUMMYFUNCTION("""COMPUTED_VALUE"""),"1M8d9TyOhMnA65NSIYvS6dR68SH5RL6oKahd6uz7yp6c")</f>
        <v>1M8d9TyOhMnA65NSIYvS6dR68SH5RL6oKahd6uz7yp6c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IFERROR(__xludf.DUMMYFUNCTION("""COMPUTED_VALUE"""),"1Q5uOVYo1NMRks6hQRJuV8XWMPb6VFEAbSzpgP1dot1I")</f>
        <v>1Q5uOVYo1NMRks6hQRJuV8XWMPb6VFEAbSzpgP1dot1I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IFERROR(__xludf.DUMMYFUNCTION("""COMPUTED_VALUE"""),"1iqfUyYqyebXIeNBGljH7-T8whBcywTlkBBU3dBZV06s")</f>
        <v>1iqfUyYqyebXIeNBGljH7-T8whBcywTlkBBU3dBZV06s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IFERROR(__xludf.DUMMYFUNCTION("""COMPUTED_VALUE"""),"1u0XMlZJy_Slp7uXMwirinW7StOOdTcWD-D8V07sO0VA")</f>
        <v>1u0XMlZJy_Slp7uXMwirinW7StOOdTcWD-D8V07sO0VA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IFERROR(__xludf.DUMMYFUNCTION("""COMPUTED_VALUE"""),"1mh3Z5PifhJ3yzX8TPeoc3H3nteNiA0V2tWFse0rVChE")</f>
        <v>1mh3Z5PifhJ3yzX8TPeoc3H3nteNiA0V2tWFse0rVChE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IFERROR(__xludf.DUMMYFUNCTION("""COMPUTED_VALUE"""),"1vmZ6v1OyZ8SSi8bqqjK3ap3KtM_yPA_SEcIQgYiRInY")</f>
        <v>1vmZ6v1OyZ8SSi8bqqjK3ap3KtM_yPA_SEcIQgYiRInY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IFERROR(__xludf.DUMMYFUNCTION("""COMPUTED_VALUE"""),"1OiI1Pi_JAFOFi8ByMaD3_qqEXSv6yQMo_u6aGTozbl8")</f>
        <v>1OiI1Pi_JAFOFi8ByMaD3_qqEXSv6yQMo_u6aGTozbl8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IFERROR(__xludf.DUMMYFUNCTION("""COMPUTED_VALUE"""),"1ubfvE9sHq5KpJ9NazeH96CrVMJqAuol5Ya9GPjxWrgI")</f>
        <v>1ubfvE9sHq5KpJ9NazeH96CrVMJqAuol5Ya9GPjxWrgI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27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6" t="s">
        <v>2</v>
      </c>
      <c r="B1" s="34"/>
      <c r="C1" s="35"/>
    </row>
    <row r="2" spans="1:3" ht="15.75" customHeight="1" x14ac:dyDescent="0.2">
      <c r="A2" s="1"/>
      <c r="B2" s="1"/>
      <c r="C2" s="1"/>
    </row>
    <row r="3" spans="1:3" ht="15.75" customHeight="1" x14ac:dyDescent="0.2">
      <c r="A3" s="3" t="s">
        <v>3</v>
      </c>
      <c r="B3" s="4" t="s">
        <v>5</v>
      </c>
      <c r="C3" s="1"/>
    </row>
    <row r="4" spans="1:3" ht="15.75" customHeight="1" x14ac:dyDescent="0.2">
      <c r="A4" s="7" t="s">
        <v>6</v>
      </c>
      <c r="B4" s="4" t="s">
        <v>8</v>
      </c>
      <c r="C4" s="1"/>
    </row>
    <row r="5" spans="1:3" ht="15.75" customHeight="1" x14ac:dyDescent="0.2">
      <c r="A5" s="9"/>
      <c r="B5" s="1"/>
      <c r="C5" s="1"/>
    </row>
    <row r="6" spans="1:3" ht="15.75" customHeight="1" x14ac:dyDescent="0.2">
      <c r="A6" s="9"/>
      <c r="B6" s="1"/>
      <c r="C6" s="1"/>
    </row>
    <row r="7" spans="1:3" ht="15.75" customHeight="1" x14ac:dyDescent="0.2">
      <c r="A7" s="9"/>
      <c r="B7" s="1"/>
      <c r="C7" s="1"/>
    </row>
    <row r="8" spans="1:3" ht="15.75" customHeight="1" x14ac:dyDescent="0.2">
      <c r="A8" s="9"/>
      <c r="B8" s="1"/>
      <c r="C8" s="1"/>
    </row>
    <row r="9" spans="1:3" ht="15.75" customHeight="1" x14ac:dyDescent="0.2">
      <c r="A9" s="9"/>
      <c r="B9" s="1"/>
      <c r="C9" s="1"/>
    </row>
    <row r="10" spans="1:3" ht="15.75" customHeight="1" x14ac:dyDescent="0.2">
      <c r="A10" s="9"/>
      <c r="B10" s="1"/>
      <c r="C10" s="1"/>
    </row>
    <row r="11" spans="1:3" ht="15.75" customHeight="1" x14ac:dyDescent="0.2">
      <c r="A11" s="9"/>
      <c r="B11" s="1"/>
      <c r="C11" s="1"/>
    </row>
    <row r="12" spans="1:3" ht="15.75" customHeight="1" x14ac:dyDescent="0.2">
      <c r="A12" s="9"/>
      <c r="B12" s="1"/>
      <c r="C12" s="1"/>
    </row>
    <row r="13" spans="1:3" ht="15.75" customHeight="1" x14ac:dyDescent="0.2">
      <c r="A13" s="9"/>
      <c r="B13" s="1"/>
      <c r="C13" s="1"/>
    </row>
    <row r="14" spans="1:3" ht="15.75" customHeight="1" x14ac:dyDescent="0.2">
      <c r="A14" s="9"/>
      <c r="B14" s="1"/>
      <c r="C14" s="1"/>
    </row>
    <row r="15" spans="1:3" ht="15.75" customHeight="1" x14ac:dyDescent="0.2">
      <c r="A15" s="9"/>
      <c r="B15" s="1"/>
      <c r="C15" s="1"/>
    </row>
    <row r="16" spans="1:3" ht="15.75" customHeight="1" x14ac:dyDescent="0.2">
      <c r="A16" s="9"/>
      <c r="B16" s="1"/>
      <c r="C16" s="1"/>
    </row>
    <row r="17" spans="1:3" ht="15.75" customHeight="1" x14ac:dyDescent="0.2">
      <c r="A17" s="9"/>
      <c r="B17" s="1"/>
      <c r="C17" s="1"/>
    </row>
    <row r="18" spans="1:3" ht="15.75" customHeight="1" x14ac:dyDescent="0.2">
      <c r="A18" s="9"/>
      <c r="B18" s="1"/>
      <c r="C18" s="1"/>
    </row>
    <row r="19" spans="1:3" ht="15.75" customHeight="1" x14ac:dyDescent="0.2">
      <c r="A19" s="9"/>
      <c r="B19" s="1"/>
      <c r="C19" s="1"/>
    </row>
    <row r="20" spans="1:3" ht="15.75" customHeight="1" x14ac:dyDescent="0.2">
      <c r="A20" s="9"/>
      <c r="B20" s="1"/>
      <c r="C20" s="1"/>
    </row>
    <row r="21" spans="1:3" ht="15.75" customHeight="1" x14ac:dyDescent="0.2">
      <c r="A21" s="9"/>
      <c r="B21" s="1"/>
      <c r="C21" s="1"/>
    </row>
    <row r="22" spans="1:3" ht="15.75" customHeight="1" x14ac:dyDescent="0.2">
      <c r="A22" s="9"/>
      <c r="B22" s="1"/>
      <c r="C22" s="1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3" t="s">
        <v>0</v>
      </c>
      <c r="B1" s="34"/>
      <c r="C1" s="34"/>
      <c r="D1" s="34"/>
      <c r="E1" s="34"/>
      <c r="F1" s="35"/>
    </row>
    <row r="2" spans="1:26" ht="15" customHeight="1" x14ac:dyDescent="0.2">
      <c r="A2" s="2"/>
      <c r="B2" s="2"/>
      <c r="C2" s="2"/>
      <c r="D2" s="2"/>
      <c r="E2" s="2"/>
      <c r="F2" s="2"/>
    </row>
    <row r="3" spans="1:26" ht="15" customHeight="1" x14ac:dyDescent="0.2">
      <c r="A3" s="7" t="s">
        <v>7</v>
      </c>
      <c r="B3" s="8" t="s">
        <v>9</v>
      </c>
      <c r="C3" s="8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14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4"/>
      <c r="C6" s="1"/>
      <c r="D6" s="4"/>
      <c r="E6" s="25"/>
      <c r="F6" s="1"/>
      <c r="G6" s="1"/>
      <c r="H6" s="1"/>
      <c r="I6" s="1"/>
      <c r="J6" s="1"/>
      <c r="K6" s="1"/>
      <c r="L6" s="1"/>
      <c r="M6" s="1"/>
      <c r="N6" s="1"/>
      <c r="O6" s="1"/>
      <c r="AI6" s="24" t="s">
        <v>18</v>
      </c>
      <c r="AJ6" s="24" t="s">
        <v>19</v>
      </c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AI7" s="24" t="s">
        <v>18</v>
      </c>
      <c r="AJ7" s="24" t="s">
        <v>20</v>
      </c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13</v>
      </c>
      <c r="D3" s="3" t="s">
        <v>9</v>
      </c>
      <c r="E3" s="16" t="s">
        <v>17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IFERROR(__xludf.DUMMYFUNCTION("IF(C3="""","""",Transpose(IMPORTRANGE('_Settings'!$B$3,C3&amp;""!A4:A1000"")))"),"EditTradeUsingMTT")</f>
        <v>EditTradeUsingMTT</v>
      </c>
      <c r="C4" s="18" t="str">
        <f ca="1">IFERROR(__xludf.DUMMYFUNCTION("""COMPUTED_VALUE"""),"SelectTradeUsingMTT")</f>
        <v>SelectTradeUsingMTT</v>
      </c>
      <c r="D4" s="18" t="str">
        <f ca="1">IFERROR(__xludf.DUMMYFUNCTION("""COMPUTED_VALUE"""),"GetPriceUsingMTT")</f>
        <v>GetPriceUsingMTT</v>
      </c>
      <c r="E4" s="18" t="str">
        <f ca="1">IFERROR(__xludf.DUMMYFUNCTION("""COMPUTED_VALUE"""),"DoneAwayUsingMTT")</f>
        <v>DoneAwayUsingMTT</v>
      </c>
      <c r="F4" s="18" t="str">
        <f ca="1">IFERROR(__xludf.DUMMYFUNCTION("""COMPUTED_VALUE"""),"SendOrderUsingMTT")</f>
        <v>SendOrderUsingMTT</v>
      </c>
      <c r="G4" s="18" t="str">
        <f ca="1">IFERROR(__xludf.DUMMYFUNCTION("""COMPUTED_VALUE"""),"BulkChangeTradeDoneAway")</f>
        <v>BulkChangeTradeDoneAway</v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2" t="str">
        <f ca="1">IFERROR(__xludf.DUMMYFUNCTION("""COMPUTED_VALUE"""),"Account")</f>
        <v>Account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18</v>
      </c>
      <c r="C6" s="24" t="s">
        <v>19</v>
      </c>
      <c r="D6" s="4"/>
      <c r="E6" s="25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26" t="s">
        <v>18</v>
      </c>
      <c r="C7" s="26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13</v>
      </c>
      <c r="D3" s="3" t="s">
        <v>9</v>
      </c>
      <c r="E3" s="16" t="s">
        <v>21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IFERROR(__xludf.DUMMYFUNCTION("IF(C3="""","""",Transpose(IMPORTRANGE('_Settings'!$B$3,C3&amp;""!A4:A1000"")))"),"EditTradeUsingMTT")</f>
        <v>EditTradeUsingMTT</v>
      </c>
      <c r="C4" s="18" t="str">
        <f ca="1">IFERROR(__xludf.DUMMYFUNCTION("""COMPUTED_VALUE"""),"SelectTradeUsingMTT")</f>
        <v>SelectTradeUsingMTT</v>
      </c>
      <c r="D4" s="18" t="str">
        <f ca="1">IFERROR(__xludf.DUMMYFUNCTION("""COMPUTED_VALUE"""),"GetPriceUsingMTT")</f>
        <v>GetPriceUsingMTT</v>
      </c>
      <c r="E4" s="18" t="str">
        <f ca="1">IFERROR(__xludf.DUMMYFUNCTION("""COMPUTED_VALUE"""),"DoneAwayUsingMTT")</f>
        <v>DoneAwayUsingMTT</v>
      </c>
      <c r="F4" s="18" t="str">
        <f ca="1">IFERROR(__xludf.DUMMYFUNCTION("""COMPUTED_VALUE"""),"SendOrderUsingMTT")</f>
        <v>SendOrderUsingMTT</v>
      </c>
      <c r="G4" s="18" t="str">
        <f ca="1">IFERROR(__xludf.DUMMYFUNCTION("""COMPUTED_VALUE"""),"BulkChangeTradeDoneAway")</f>
        <v>BulkChangeTradeDoneAway</v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2" t="str">
        <f ca="1">IFERROR(__xludf.DUMMYFUNCTION("""COMPUTED_VALUE"""),"Account")</f>
        <v>Account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18</v>
      </c>
      <c r="C6" s="24" t="s">
        <v>19</v>
      </c>
      <c r="D6" s="28">
        <v>1000</v>
      </c>
      <c r="E6" s="28">
        <v>1000</v>
      </c>
      <c r="F6" s="29"/>
      <c r="G6" s="29"/>
      <c r="H6" s="29"/>
      <c r="I6" s="24" t="s">
        <v>23</v>
      </c>
      <c r="J6" s="28">
        <v>140</v>
      </c>
      <c r="K6" s="28">
        <v>100</v>
      </c>
      <c r="L6" s="29"/>
      <c r="M6" s="1"/>
      <c r="N6" s="1"/>
      <c r="O6" s="1"/>
    </row>
    <row r="7" spans="1:154" ht="15.75" customHeight="1" x14ac:dyDescent="0.2">
      <c r="A7" s="1"/>
      <c r="B7" s="26" t="s">
        <v>18</v>
      </c>
      <c r="C7" s="26" t="s">
        <v>20</v>
      </c>
      <c r="D7" s="30">
        <v>1000</v>
      </c>
      <c r="E7" s="30">
        <v>1000</v>
      </c>
      <c r="F7" s="29"/>
      <c r="G7" s="29"/>
      <c r="H7" s="29"/>
      <c r="I7" s="26" t="s">
        <v>24</v>
      </c>
      <c r="J7" s="30">
        <v>140</v>
      </c>
      <c r="K7" s="29"/>
      <c r="L7" s="30">
        <v>100</v>
      </c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Z1" workbookViewId="0">
      <selection activeCell="AJ13" sqref="AJ13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13</v>
      </c>
      <c r="D3" s="3" t="s">
        <v>9</v>
      </c>
      <c r="E3" s="16" t="s">
        <v>22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IFERROR(__xludf.DUMMYFUNCTION("IF(C3="""","""",Transpose(IMPORTRANGE('_Settings'!$B$3,C3&amp;""!A4:A1000"")))"),"EditTradeUsingMTT")</f>
        <v>EditTradeUsingMTT</v>
      </c>
      <c r="C4" s="18" t="str">
        <f ca="1">IFERROR(__xludf.DUMMYFUNCTION("""COMPUTED_VALUE"""),"SelectTradeUsingMTT")</f>
        <v>SelectTradeUsingMTT</v>
      </c>
      <c r="D4" s="18" t="str">
        <f ca="1">IFERROR(__xludf.DUMMYFUNCTION("""COMPUTED_VALUE"""),"GetPriceUsingMTT")</f>
        <v>GetPriceUsingMTT</v>
      </c>
      <c r="E4" s="18" t="str">
        <f ca="1">IFERROR(__xludf.DUMMYFUNCTION("""COMPUTED_VALUE"""),"DoneAwayUsingMTT")</f>
        <v>DoneAwayUsingMTT</v>
      </c>
      <c r="F4" s="18" t="str">
        <f ca="1">IFERROR(__xludf.DUMMYFUNCTION("""COMPUTED_VALUE"""),"SendOrderUsingMTT")</f>
        <v>SendOrderUsingMTT</v>
      </c>
      <c r="G4" s="18" t="str">
        <f ca="1">IFERROR(__xludf.DUMMYFUNCTION("""COMPUTED_VALUE"""),"BulkChangeTradeDoneAway")</f>
        <v>BulkChangeTradeDoneAway</v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 Quantity")</f>
        <v>Target Quantity</v>
      </c>
      <c r="F5" s="22" t="str">
        <f ca="1">IFERROR(__xludf.DUMMYFUNCTION("""COMPUTED_VALUE"""),"Allocation")</f>
        <v>Allocation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 Rate")</f>
        <v>FX 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 Basis")</f>
        <v>Commission Basis</v>
      </c>
      <c r="S5" s="21" t="str">
        <f ca="1">IFERROR(__xludf.DUMMYFUNCTION("""COMPUTED_VALUE"""),"Commission Rate")</f>
        <v>Commission Rate</v>
      </c>
      <c r="T5" s="23" t="str">
        <f ca="1">IFERROR(__xludf.DUMMYFUNCTION("""COMPUTED_VALUE"""),"Soft Basis")</f>
        <v>Soft Basis</v>
      </c>
      <c r="U5" s="23" t="str">
        <f ca="1">IFERROR(__xludf.DUMMYFUNCTION("""COMPUTED_VALUE"""),"Soft Rate")</f>
        <v>Soft Rate</v>
      </c>
      <c r="V5" s="23" t="str">
        <f ca="1">IFERROR(__xludf.DUMMYFUNCTION("""COMPUTED_VALUE"""),"Trade Attribute 1")</f>
        <v>Trade Attribute 1</v>
      </c>
      <c r="W5" s="23" t="str">
        <f ca="1">IFERROR(__xludf.DUMMYFUNCTION("""COMPUTED_VALUE"""),"Trade Attribute 2")</f>
        <v>Trade Attribute 2</v>
      </c>
      <c r="X5" s="23" t="str">
        <f ca="1">IFERROR(__xludf.DUMMYFUNCTION("""COMPUTED_VALUE"""),"Trade Attribute 3")</f>
        <v>Trade Attribute 3</v>
      </c>
      <c r="Y5" s="23" t="str">
        <f ca="1">IFERROR(__xludf.DUMMYFUNCTION("""COMPUTED_VALUE"""),"Trade Attribute 4")</f>
        <v>Trade Attribute 4</v>
      </c>
      <c r="Z5" s="23" t="str">
        <f ca="1">IFERROR(__xludf.DUMMYFUNCTION("""COMPUTED_VALUE"""),"Trade Attribute 5")</f>
        <v>Trade Attribute 5</v>
      </c>
      <c r="AA5" s="23" t="str">
        <f ca="1">IFERROR(__xludf.DUMMYFUNCTION("""COMPUTED_VALUE"""),"Trade Attribute 6")</f>
        <v>Trade Attribute 6</v>
      </c>
      <c r="AB5" s="23" t="str">
        <f ca="1">IFERROR(__xludf.DUMMYFUNCTION("""COMPUTED_VALUE"""),"Venue")</f>
        <v>Venue</v>
      </c>
      <c r="AC5" s="23" t="str">
        <f ca="1">IFERROR(__xludf.DUMMYFUNCTION("""COMPUTED_VALUE"""),"Execution Instructions")</f>
        <v>Execution Instructions</v>
      </c>
      <c r="AD5" s="23" t="str">
        <f ca="1">IFERROR(__xludf.DUMMYFUNCTION("""COMPUTED_VALUE"""),"Handling Instructions")</f>
        <v>Handling 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 Currency")</f>
        <v>Settlement Currency</v>
      </c>
      <c r="AG5" s="23" t="str">
        <f ca="1">IFERROR(__xludf.DUMMYFUNCTION("""COMPUTED_VALUE"""),"Settlement Fx Rate")</f>
        <v>Settlement Fx Rate</v>
      </c>
      <c r="AH5" s="23" t="str">
        <f ca="1">IFERROR(__xludf.DUMMYFUNCTION("""COMPUTED_VALUE"""),"Settlement Amount")</f>
        <v>Settlement Amount</v>
      </c>
      <c r="AI5" s="23" t="str">
        <f ca="1">IFERROR(__xludf.DUMMYFUNCTION("""COMPUTED_VALUE"""),"Settlement Fx Operator")</f>
        <v>Settlement Fx Operator</v>
      </c>
      <c r="AJ5" s="23" t="str">
        <f ca="1">IFERROR(__xludf.DUMMYFUNCTION("""COMPUTED_VALUE"""),"ImportFileName")</f>
        <v>ImportFileName</v>
      </c>
      <c r="AK5" s="23" t="s">
        <v>38</v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18</v>
      </c>
      <c r="C6" s="24" t="s">
        <v>19</v>
      </c>
      <c r="D6" s="4"/>
      <c r="E6" s="25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26" t="s">
        <v>18</v>
      </c>
      <c r="C7" s="26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12</v>
      </c>
      <c r="D3" s="3" t="s">
        <v>9</v>
      </c>
      <c r="E3" s="16" t="s">
        <v>25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1" t="str">
        <f ca="1">IFERROR(__xludf.DUMMYFUNCTION("""COMPUTED_VALUE"""),"Status")</f>
        <v>Status</v>
      </c>
      <c r="H5" s="21" t="str">
        <f ca="1">IFERROR(__xludf.DUMMYFUNCTION("""COMPUTED_VALUE"""),"Last Shares")</f>
        <v>Last Shares</v>
      </c>
      <c r="I5" s="21" t="str">
        <f ca="1">IFERROR(__xludf.DUMMYFUNCTION("""COMPUTED_VALUE"""),"Last Fill Price (Local)")</f>
        <v>Last Fill Price (Local)</v>
      </c>
      <c r="J5" s="21" t="str">
        <f ca="1">IFERROR(__xludf.DUMMYFUNCTION("""COMPUTED_VALUE"""),"Avg Fill Price (Local)")</f>
        <v>Avg Fill Price (Local)</v>
      </c>
      <c r="K5" s="21" t="str">
        <f ca="1">IFERROR(__xludf.DUMMYFUNCTION("""COMPUTED_VALUE"""),"Broker")</f>
        <v>Broker</v>
      </c>
      <c r="L5" s="21" t="str">
        <f ca="1">IFERROR(__xludf.DUMMYFUNCTION("""COMPUTED_VALUE"""),"Account")</f>
        <v>Account</v>
      </c>
      <c r="M5" s="21" t="str">
        <f ca="1">IFERROR(__xludf.DUMMYFUNCTION("""COMPUTED_VALUE"""),"Order Type")</f>
        <v>Order Type</v>
      </c>
      <c r="N5" s="21" t="str">
        <f ca="1">IFERROR(__xludf.DUMMYFUNCTION("""COMPUTED_VALUE"""),"OrderStatus")</f>
        <v>OrderStatus</v>
      </c>
      <c r="O5" s="21" t="str">
        <f ca="1">IFERROR(__xludf.DUMMYFUNCTION("""COMPUTED_VALUE"""),"Avg Fill Price (Base)")</f>
        <v>Avg Fill Price (Base)</v>
      </c>
      <c r="P5" s="21" t="str">
        <f ca="1">IFERROR(__xludf.DUMMYFUNCTION("""COMPUTED_VALUE"""),"Limit Price")</f>
        <v>Limit Price</v>
      </c>
      <c r="Q5" s="21" t="str">
        <f ca="1">IFERROR(__xludf.DUMMYFUNCTION("""COMPUTED_VALUE"""),"Stop Price")</f>
        <v>Stop Price</v>
      </c>
      <c r="R5" s="21" t="str">
        <f ca="1">IFERROR(__xludf.DUMMYFUNCTION("""COMPUTED_VALUE"""),"User")</f>
        <v>User</v>
      </c>
      <c r="S5" s="21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18</v>
      </c>
      <c r="C6" s="24" t="s">
        <v>19</v>
      </c>
      <c r="D6" s="4"/>
      <c r="E6" s="25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26" t="s">
        <v>18</v>
      </c>
      <c r="C7" s="26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26</v>
      </c>
      <c r="D3" s="3" t="s">
        <v>9</v>
      </c>
      <c r="E3" s="16" t="s">
        <v>27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28</v>
      </c>
      <c r="C6" s="1"/>
      <c r="D6" s="4"/>
      <c r="E6" s="25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26</v>
      </c>
      <c r="D3" s="3" t="s">
        <v>9</v>
      </c>
      <c r="E3" s="16" t="s">
        <v>31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IFERROR(__xludf.DUMMYFUNCTION("""COMPUTED_VALUE"""),"Client")</f>
        <v>Client</v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32</v>
      </c>
      <c r="C6" s="29"/>
      <c r="D6" s="31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4" t="s">
        <v>19</v>
      </c>
      <c r="BP6" s="29"/>
      <c r="BQ6" s="29"/>
      <c r="BR6" s="29"/>
      <c r="BS6" s="29"/>
      <c r="BT6" s="24" t="s">
        <v>18</v>
      </c>
    </row>
    <row r="7" spans="1:154" ht="15.75" customHeight="1" x14ac:dyDescent="0.2">
      <c r="A7" s="1"/>
      <c r="B7" s="24" t="s">
        <v>33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6" t="s">
        <v>20</v>
      </c>
      <c r="BP7" s="29"/>
      <c r="BQ7" s="29"/>
      <c r="BR7" s="29"/>
      <c r="BS7" s="29"/>
      <c r="BT7" s="24" t="s">
        <v>18</v>
      </c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F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</row>
    <row r="2" spans="1:167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67" ht="15.75" customHeight="1" x14ac:dyDescent="0.2">
      <c r="A3" s="15"/>
      <c r="B3" s="3" t="s">
        <v>7</v>
      </c>
      <c r="C3" s="16" t="s">
        <v>29</v>
      </c>
      <c r="D3" s="3" t="s">
        <v>9</v>
      </c>
      <c r="E3" s="16" t="s">
        <v>30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</row>
    <row r="4" spans="1:167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</row>
    <row r="5" spans="1:167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</row>
    <row r="6" spans="1:167" ht="15.75" customHeight="1" x14ac:dyDescent="0.2">
      <c r="A6" s="4"/>
      <c r="B6" s="24"/>
      <c r="C6" s="24" t="s">
        <v>18</v>
      </c>
      <c r="D6" s="31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4" t="s">
        <v>19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4"/>
      <c r="BV6" s="29"/>
      <c r="BW6" s="29"/>
      <c r="BX6" s="29"/>
      <c r="BY6" s="29"/>
      <c r="BZ6" s="24"/>
    </row>
    <row r="7" spans="1:167" ht="15.75" customHeight="1" x14ac:dyDescent="0.2">
      <c r="A7" s="1"/>
      <c r="B7" s="24"/>
      <c r="C7" s="24" t="s">
        <v>18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6" t="s">
        <v>20</v>
      </c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6"/>
      <c r="BV7" s="29"/>
      <c r="BW7" s="29"/>
      <c r="BX7" s="29"/>
      <c r="BY7" s="29"/>
      <c r="BZ7" s="24"/>
    </row>
    <row r="8" spans="1:167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7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7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67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7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7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67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67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7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3" t="s">
        <v>11</v>
      </c>
      <c r="C1" s="34"/>
      <c r="D1" s="34"/>
      <c r="E1" s="34"/>
      <c r="F1" s="34"/>
      <c r="G1" s="34"/>
      <c r="H1" s="35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 x14ac:dyDescent="0.2">
      <c r="A3" s="15"/>
      <c r="B3" s="3" t="s">
        <v>7</v>
      </c>
      <c r="C3" s="16" t="s">
        <v>34</v>
      </c>
      <c r="D3" s="3" t="s">
        <v>9</v>
      </c>
      <c r="E3" s="16" t="s">
        <v>35</v>
      </c>
      <c r="F3" s="3" t="s">
        <v>15</v>
      </c>
      <c r="G3" s="9" t="s">
        <v>16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4"/>
      <c r="B6" s="24" t="s">
        <v>18</v>
      </c>
      <c r="C6" s="24" t="s">
        <v>19</v>
      </c>
      <c r="D6" s="28">
        <v>12000</v>
      </c>
      <c r="E6" s="28">
        <v>12000</v>
      </c>
      <c r="F6" s="24" t="s">
        <v>32</v>
      </c>
      <c r="G6" s="24" t="s">
        <v>36</v>
      </c>
      <c r="H6" s="29"/>
      <c r="I6" s="24" t="s">
        <v>24</v>
      </c>
      <c r="J6" s="28">
        <v>120</v>
      </c>
      <c r="K6" s="29"/>
      <c r="L6" s="28">
        <v>100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2" t="s">
        <v>37</v>
      </c>
    </row>
    <row r="7" spans="1:154" ht="15.75" customHeight="1" x14ac:dyDescent="0.2">
      <c r="A7" s="1"/>
      <c r="B7" s="24" t="s">
        <v>18</v>
      </c>
      <c r="C7" s="26" t="s">
        <v>20</v>
      </c>
      <c r="D7" s="30">
        <v>12000</v>
      </c>
      <c r="E7" s="30">
        <v>12000</v>
      </c>
      <c r="F7" s="24" t="s">
        <v>33</v>
      </c>
      <c r="G7" s="26" t="s">
        <v>36</v>
      </c>
      <c r="H7" s="29"/>
      <c r="I7" s="26" t="s">
        <v>23</v>
      </c>
      <c r="J7" s="30">
        <v>120</v>
      </c>
      <c r="K7" s="30">
        <v>100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4" t="s">
        <v>37</v>
      </c>
    </row>
    <row r="8" spans="1:154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MultiTradingTicketFromBlotter</vt:lpstr>
      <vt:lpstr>SelectTradeUsingMTT</vt:lpstr>
      <vt:lpstr>EditTradeUsingMTT</vt:lpstr>
      <vt:lpstr>DoneAwayUsingMTT</vt:lpstr>
      <vt:lpstr>VerifyWorkingSubs</vt:lpstr>
      <vt:lpstr>GetDataAllocation</vt:lpstr>
      <vt:lpstr>CheckAllocatedGroups</vt:lpstr>
      <vt:lpstr>CheckPortfolioManagement</vt:lpstr>
      <vt:lpstr>CreateStageOrder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2021-09-20T12:56:29Z</dcterms:modified>
</cp:coreProperties>
</file>