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CheckUnallocatedGroups" sheetId="6" r:id="rId8"/>
    <sheet state="visible" name="CheckPortfolioManagement" sheetId="7" r:id="rId9"/>
    <sheet state="visible" name="SelectUnallocatedGroup" sheetId="8" r:id="rId10"/>
    <sheet state="visible" name="EditUnallocatedGroupSidePanel" sheetId="9" r:id="rId11"/>
    <sheet state="visible" name="SelectUnallocatedGroup1" sheetId="10" r:id="rId12"/>
    <sheet state="visible" name="EditUnallocatedGroupSidePanel1" sheetId="11" r:id="rId13"/>
    <sheet state="visible" name="TransferToUserOrder" sheetId="12" r:id="rId14"/>
    <sheet state="visible" name="CheckUnallocatedGroups1" sheetId="13" r:id="rId15"/>
    <sheet state="visible" name="CheckPortfolioManagement1" sheetId="14" r:id="rId16"/>
    <sheet state="visible" name="VerifyOrder1" sheetId="15" r:id="rId17"/>
  </sheets>
  <definedNames/>
  <calcPr/>
</workbook>
</file>

<file path=xl/sharedStrings.xml><?xml version="1.0" encoding="utf-8"?>
<sst xmlns="http://schemas.openxmlformats.org/spreadsheetml/2006/main" count="178" uniqueCount="42">
  <si>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</si>
  <si>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</si>
  <si>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</si>
  <si>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</si>
  <si>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</si>
  <si>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</si>
  <si>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</si>
  <si>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</si>
  <si>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</si>
  <si>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</si>
  <si>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</si>
  <si>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</si>
  <si>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</si>
  <si>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</si>
  <si>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</si>
  <si>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</si>
  <si>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</si>
  <si>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</si>
  <si>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</si>
  <si>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SAP</t>
  </si>
  <si>
    <t>Blotter</t>
  </si>
  <si>
    <t>VerifyOrder</t>
  </si>
  <si>
    <t>AAPL US EQUITY</t>
  </si>
  <si>
    <t>PartiallyFilled</t>
  </si>
  <si>
    <t>Market</t>
  </si>
  <si>
    <t>Allocation</t>
  </si>
  <si>
    <t>CheckUnallocatedGroups</t>
  </si>
  <si>
    <t>APPLE</t>
  </si>
  <si>
    <t>M</t>
  </si>
  <si>
    <t>SAP AG SP.ADR</t>
  </si>
  <si>
    <t>PortfolioManagement</t>
  </si>
  <si>
    <t>CheckPortfolioManagement</t>
  </si>
  <si>
    <t>Long</t>
  </si>
  <si>
    <t>Equity</t>
  </si>
  <si>
    <t>SelectUnallocatedGroup</t>
  </si>
  <si>
    <t>USD</t>
  </si>
  <si>
    <t>EditUnallocatedGroupSidePanel</t>
  </si>
  <si>
    <t>TransferToUserOrder</t>
  </si>
  <si>
    <t>abhi</t>
  </si>
  <si>
    <t>NASDAQ</t>
  </si>
  <si>
    <t>NYSE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</si>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</sst>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6" fontId="13" numFmtId="0" xfId="0" applyAlignment="1" applyBorder="1" applyFill="1" applyFont="1">
      <alignment horizontal="right" vertical="top"/>
    </xf>
    <xf borderId="6" fillId="6" fontId="13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6" fontId="13" numFmtId="0" xfId="0" applyAlignment="1" applyBorder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444.0</v>
      </c>
      <c r="E6" s="33">
        <v>222.0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19</v>
      </c>
      <c r="C7" s="31" t="s">
        <v>17</v>
      </c>
      <c r="D7" s="33">
        <v>444.0</v>
      </c>
      <c r="E7" s="33">
        <v>222.0</v>
      </c>
      <c r="F7" s="31" t="s">
        <v>18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10.0</v>
      </c>
      <c r="E6" s="37" t="s">
        <v>22</v>
      </c>
      <c r="F6" s="35"/>
      <c r="G6" s="37">
        <v>222.0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8">
        <v>1.0</v>
      </c>
      <c r="AE6" s="31"/>
      <c r="AF6" s="31"/>
      <c r="AG6" s="31"/>
      <c r="AH6" s="35"/>
      <c r="AI6" s="37" t="s">
        <v>16</v>
      </c>
      <c r="AJ6" s="37" t="s">
        <v>17</v>
      </c>
      <c r="AK6" s="37" t="s">
        <v>23</v>
      </c>
      <c r="AL6" s="37">
        <v>444.0</v>
      </c>
      <c r="AM6" s="37">
        <v>222.0</v>
      </c>
      <c r="AN6" s="37">
        <v>50.0</v>
      </c>
      <c r="AO6" s="31"/>
      <c r="AP6" s="31"/>
      <c r="AQ6" s="31"/>
      <c r="AR6" s="31"/>
      <c r="AS6" s="31"/>
      <c r="AT6" s="35"/>
      <c r="AU6" s="37" t="s">
        <v>24</v>
      </c>
      <c r="AV6" s="37">
        <v>2220.0</v>
      </c>
      <c r="AW6" s="37">
        <v>2220.0</v>
      </c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39">
        <v>10.0</v>
      </c>
      <c r="E7" s="8"/>
      <c r="F7" s="8"/>
      <c r="G7" s="39">
        <v>222.0</v>
      </c>
      <c r="H7" s="8"/>
      <c r="I7" s="8"/>
      <c r="J7" s="8"/>
      <c r="K7" s="8"/>
      <c r="L7" s="8"/>
      <c r="M7" s="8"/>
      <c r="N7" s="8"/>
      <c r="O7" s="8"/>
      <c r="AD7" s="39">
        <v>1.0</v>
      </c>
      <c r="AI7" s="39" t="s">
        <v>19</v>
      </c>
      <c r="AJ7" s="39" t="s">
        <v>17</v>
      </c>
      <c r="AK7" s="39" t="s">
        <v>23</v>
      </c>
      <c r="AL7" s="39">
        <v>444.0</v>
      </c>
      <c r="AM7" s="39">
        <v>222.0</v>
      </c>
      <c r="AN7" s="39">
        <v>50.0</v>
      </c>
      <c r="AU7" s="39" t="s">
        <v>24</v>
      </c>
      <c r="AV7" s="39">
        <v>2220.0</v>
      </c>
      <c r="AW7" s="39">
        <v>2220.0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1">
        <v>0.0</v>
      </c>
      <c r="E6" s="31"/>
      <c r="F6" s="31"/>
      <c r="G6" s="42">
        <v>4.0</v>
      </c>
      <c r="H6" s="33">
        <v>5.0</v>
      </c>
      <c r="I6" s="31"/>
      <c r="J6" s="42">
        <v>10.0</v>
      </c>
      <c r="K6" s="42">
        <v>10.0</v>
      </c>
      <c r="L6" s="31"/>
      <c r="M6" s="31"/>
      <c r="N6" s="31"/>
      <c r="O6" s="31"/>
      <c r="P6" s="31"/>
      <c r="Q6" s="42">
        <v>0.0</v>
      </c>
      <c r="R6" s="31"/>
      <c r="S6" s="31"/>
      <c r="T6" s="42">
        <v>0.0</v>
      </c>
      <c r="U6" s="31"/>
      <c r="V6" s="43" t="s">
        <v>27</v>
      </c>
      <c r="W6" s="31"/>
      <c r="X6" s="31"/>
      <c r="Y6" s="31"/>
      <c r="Z6" s="31"/>
      <c r="AA6" s="31"/>
      <c r="AB6" s="31"/>
      <c r="AC6" s="31"/>
      <c r="AD6" s="31"/>
      <c r="AE6" s="42">
        <v>222.0</v>
      </c>
      <c r="AF6" s="31"/>
      <c r="AG6" s="31" t="s">
        <v>28</v>
      </c>
      <c r="AH6" s="38">
        <v>1.0</v>
      </c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4">
        <v>2234.0012</v>
      </c>
      <c r="AU6" s="44">
        <v>2234.0012</v>
      </c>
      <c r="AV6" s="31"/>
      <c r="AW6" s="31"/>
      <c r="AX6" s="31"/>
      <c r="AY6" s="31"/>
      <c r="AZ6" s="31"/>
      <c r="BA6" s="31"/>
      <c r="BB6" s="31"/>
      <c r="BC6" s="42">
        <v>0.0</v>
      </c>
      <c r="BD6" s="31"/>
      <c r="BE6" s="44">
        <v>2220.0</v>
      </c>
      <c r="BF6" s="44">
        <v>2220.0</v>
      </c>
      <c r="BG6" s="31"/>
      <c r="BH6" s="31"/>
      <c r="BI6" s="31"/>
      <c r="BJ6" s="42">
        <v>444.0</v>
      </c>
      <c r="BK6" s="38">
        <v>0.0</v>
      </c>
      <c r="BL6" s="31"/>
      <c r="BM6" s="31"/>
      <c r="BN6" s="31"/>
      <c r="BO6" s="45" t="s">
        <v>17</v>
      </c>
      <c r="BP6" s="42">
        <v>0.0</v>
      </c>
      <c r="BQ6" s="31"/>
      <c r="BR6" s="42">
        <v>0.0012</v>
      </c>
      <c r="BS6" s="45" t="s">
        <v>16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46">
        <v>0.0</v>
      </c>
      <c r="E7" s="8"/>
      <c r="F7" s="8"/>
      <c r="G7" s="47">
        <v>20.0</v>
      </c>
      <c r="H7" s="47">
        <v>0.0</v>
      </c>
      <c r="I7" s="8"/>
      <c r="J7" s="47">
        <v>10.0</v>
      </c>
      <c r="K7" s="47">
        <v>10.0</v>
      </c>
      <c r="L7" s="8"/>
      <c r="M7" s="8"/>
      <c r="N7" s="8"/>
      <c r="O7" s="8"/>
      <c r="Q7" s="47">
        <v>0.0</v>
      </c>
      <c r="T7" s="42">
        <v>0.0</v>
      </c>
      <c r="V7" s="43" t="s">
        <v>29</v>
      </c>
      <c r="AE7" s="47">
        <v>222.0</v>
      </c>
      <c r="AG7" s="43" t="s">
        <v>28</v>
      </c>
      <c r="AH7" s="47">
        <v>1.0</v>
      </c>
      <c r="AT7" s="48">
        <v>2241.3885</v>
      </c>
      <c r="AU7" s="48">
        <v>2241.3885</v>
      </c>
      <c r="BC7" s="47">
        <v>0.0</v>
      </c>
      <c r="BE7" s="48">
        <v>2220.0</v>
      </c>
      <c r="BF7" s="48">
        <v>2220.0</v>
      </c>
      <c r="BJ7" s="47">
        <v>444.0</v>
      </c>
      <c r="BK7" s="47">
        <v>0.0</v>
      </c>
      <c r="BO7" s="45" t="s">
        <v>17</v>
      </c>
      <c r="BP7" s="47">
        <v>0.0</v>
      </c>
      <c r="BR7" s="47">
        <v>0.3885</v>
      </c>
      <c r="BS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5" t="s">
        <v>16</v>
      </c>
      <c r="D6" s="41">
        <v>222.0</v>
      </c>
      <c r="E6" s="31"/>
      <c r="F6" s="31"/>
      <c r="G6" s="31"/>
      <c r="H6" s="45" t="s">
        <v>32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45" t="s">
        <v>33</v>
      </c>
      <c r="U6" s="31"/>
      <c r="V6" s="31"/>
      <c r="W6" s="31"/>
      <c r="X6" s="31"/>
      <c r="Y6" s="38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45" t="s">
        <v>17</v>
      </c>
      <c r="AO6" s="31"/>
      <c r="AP6" s="31"/>
      <c r="AQ6" s="45" t="s">
        <v>16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45" t="s">
        <v>22</v>
      </c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43" t="s">
        <v>19</v>
      </c>
      <c r="D7" s="47">
        <v>222.0</v>
      </c>
      <c r="E7" s="8"/>
      <c r="F7" s="8"/>
      <c r="G7" s="8"/>
      <c r="H7" s="45" t="s">
        <v>32</v>
      </c>
      <c r="I7" s="8"/>
      <c r="J7" s="8"/>
      <c r="K7" s="8"/>
      <c r="L7" s="8"/>
      <c r="M7" s="8"/>
      <c r="N7" s="8"/>
      <c r="O7" s="8"/>
      <c r="T7" s="43" t="s">
        <v>33</v>
      </c>
      <c r="Y7" s="9">
        <v>1.0</v>
      </c>
      <c r="AN7" s="45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444.0</v>
      </c>
      <c r="E6" s="33">
        <v>222.0</v>
      </c>
      <c r="F6" s="31"/>
      <c r="G6" s="44">
        <v>2234.0012</v>
      </c>
      <c r="H6" s="44">
        <v>2234.0012</v>
      </c>
      <c r="I6" s="44">
        <v>2220.0</v>
      </c>
      <c r="J6" s="31"/>
      <c r="K6" s="44">
        <v>2220.0</v>
      </c>
      <c r="L6" s="31"/>
      <c r="M6" s="31"/>
      <c r="N6" s="42">
        <v>10.0</v>
      </c>
      <c r="O6" s="42">
        <v>10.0</v>
      </c>
      <c r="P6" s="31"/>
      <c r="Q6" s="38">
        <v>1.0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8">
        <v>222.0</v>
      </c>
      <c r="AO6" s="38">
        <v>0.0</v>
      </c>
      <c r="AP6" s="38">
        <v>0.0</v>
      </c>
      <c r="AQ6" s="38">
        <v>0.0</v>
      </c>
      <c r="AR6" s="38">
        <v>0.0</v>
      </c>
      <c r="AS6" s="38">
        <v>0.0</v>
      </c>
      <c r="AT6" s="31"/>
      <c r="AU6" s="31"/>
      <c r="AV6" s="42">
        <v>0.0012</v>
      </c>
      <c r="AW6" s="38">
        <v>4.0</v>
      </c>
      <c r="AX6" s="31"/>
      <c r="AY6" s="38">
        <v>5.0</v>
      </c>
      <c r="AZ6" s="38">
        <v>0.0</v>
      </c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 t="s">
        <v>35</v>
      </c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>
        <v>200.0</v>
      </c>
      <c r="C6" s="33">
        <v>10.0</v>
      </c>
      <c r="D6" s="30" t="s">
        <v>17</v>
      </c>
      <c r="E6" s="31"/>
      <c r="F6" s="31"/>
      <c r="G6" s="31"/>
      <c r="H6" s="31"/>
      <c r="I6" s="33">
        <v>1.0</v>
      </c>
      <c r="J6" s="33">
        <v>1.0</v>
      </c>
      <c r="K6" s="33">
        <v>1.0</v>
      </c>
      <c r="L6" s="33">
        <v>1.0</v>
      </c>
      <c r="M6" s="33">
        <v>0.0014</v>
      </c>
      <c r="N6" s="31"/>
      <c r="O6" s="49">
        <v>5.0</v>
      </c>
      <c r="P6" s="31"/>
      <c r="Q6" s="50">
        <v>6.0</v>
      </c>
      <c r="R6" s="38">
        <v>1.0</v>
      </c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46" t="s">
        <v>19</v>
      </c>
      <c r="C6" s="46" t="s">
        <v>17</v>
      </c>
      <c r="D6" s="46">
        <v>444.0</v>
      </c>
      <c r="E6" s="46">
        <v>222.0</v>
      </c>
      <c r="F6" s="8"/>
      <c r="G6" s="48">
        <v>2241.3885</v>
      </c>
      <c r="H6" s="48">
        <v>2241.3885</v>
      </c>
      <c r="I6" s="44">
        <v>2220.0</v>
      </c>
      <c r="J6" s="8"/>
      <c r="K6" s="44">
        <v>2220.0</v>
      </c>
      <c r="L6" s="8"/>
      <c r="M6" s="8"/>
      <c r="N6" s="42">
        <v>10.0</v>
      </c>
      <c r="O6" s="42">
        <v>10.0</v>
      </c>
      <c r="Q6" s="38">
        <v>1.0</v>
      </c>
      <c r="AN6" s="9">
        <v>222.0</v>
      </c>
      <c r="AO6" s="9">
        <v>0.0</v>
      </c>
      <c r="AP6" s="9">
        <v>0.0</v>
      </c>
      <c r="AQ6" s="9">
        <v>0.0</v>
      </c>
      <c r="AR6" s="9">
        <v>0.0</v>
      </c>
      <c r="AS6" s="9">
        <v>0.0</v>
      </c>
      <c r="AV6" s="47">
        <v>0.3885</v>
      </c>
      <c r="AW6" s="9">
        <v>20.0</v>
      </c>
      <c r="AY6" s="9">
        <v>0.0</v>
      </c>
      <c r="AZ6" s="47">
        <v>0.0</v>
      </c>
      <c r="BN6" s="31"/>
      <c r="BR6" s="43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IFERROR(__xludf.DUMMYFUNCTION("""COMPUTED_VALUE"""),"ExecutedQty")</f>
        <v>ExecutedQty</v>
      </c>
      <c r="C5" s="27" t="str">
        <f>IFERROR(__xludf.DUMMYFUNCTION("""COMPUTED_VALUE"""),"AvgPrice")</f>
        <v>AvgPrice</v>
      </c>
      <c r="D5" s="27" t="str">
        <f>IFERROR(__xludf.DUMMYFUNCTION("""COMPUTED_VALUE"""),"Side")</f>
        <v>Side</v>
      </c>
      <c r="E5" s="27" t="str">
        <f>IFERROR(__xludf.DUMMYFUNCTION("""COMPUTED_VALUE"""),"TradeDate")</f>
        <v>TradeDate</v>
      </c>
      <c r="F5" s="28" t="str">
        <f>IFERROR(__xludf.DUMMYFUNCTION("""COMPUTED_VALUE"""),"ProcessDate")</f>
        <v>ProcessDate</v>
      </c>
      <c r="G5" s="27" t="str">
        <f>IFERROR(__xludf.DUMMYFUNCTION("""COMPUTED_VALUE"""),"OriginalPurchaseDate")</f>
        <v>OriginalPurchaseDate</v>
      </c>
      <c r="H5" s="27" t="str">
        <f>IFERROR(__xludf.DUMMYFUNCTION("""COMPUTED_VALUE"""),"SettlementDate")</f>
        <v>SettlementDate</v>
      </c>
      <c r="I5" s="27" t="str">
        <f>IFERROR(__xludf.DUMMYFUNCTION("""COMPUTED_VALUE"""),"Commission")</f>
        <v>Commission</v>
      </c>
      <c r="J5" s="27" t="str">
        <f>IFERROR(__xludf.DUMMYFUNCTION("""COMPUTED_VALUE"""),"SoftCommission")</f>
        <v>SoftCommission</v>
      </c>
      <c r="K5" s="27" t="str">
        <f>IFERROR(__xludf.DUMMYFUNCTION("""COMPUTED_VALUE"""),"OtherBrokerFees")</f>
        <v>OtherBrokerFees</v>
      </c>
      <c r="L5" s="27" t="str">
        <f>IFERROR(__xludf.DUMMYFUNCTION("""COMPUTED_VALUE"""),"ClearingBrokerFees")</f>
        <v>ClearingBrokerFees</v>
      </c>
      <c r="M5" s="27" t="str">
        <f>IFERROR(__xludf.DUMMYFUNCTION("""COMPUTED_VALUE"""),"StampDuty")</f>
        <v>StampDuty</v>
      </c>
      <c r="N5" s="27" t="str">
        <f>IFERROR(__xludf.DUMMYFUNCTION("""COMPUTED_VALUE"""),"TransactionLevy")</f>
        <v>TransactionLevy</v>
      </c>
      <c r="O5" s="27" t="str">
        <f>IFERROR(__xludf.DUMMYFUNCTION("""COMPUTED_VALUE"""),"AUECFee1")</f>
        <v>AUECFee1</v>
      </c>
      <c r="P5" s="27" t="str">
        <f>IFERROR(__xludf.DUMMYFUNCTION("""COMPUTED_VALUE"""),"TaxOnCommissions")</f>
        <v>TaxOnCommissions</v>
      </c>
      <c r="Q5" s="27" t="str">
        <f>IFERROR(__xludf.DUMMYFUNCTION("""COMPUTED_VALUE"""),"AUECFee2")</f>
        <v>AUECFee2</v>
      </c>
      <c r="R5" s="27" t="str">
        <f>IFERROR(__xludf.DUMMYFUNCTION("""COMPUTED_VALUE"""),"SecFee")</f>
        <v>SecFee</v>
      </c>
      <c r="S5" s="27" t="str">
        <f>IFERROR(__xludf.DUMMYFUNCTION("""COMPUTED_VALUE"""),"OccFee")</f>
        <v>OccFee</v>
      </c>
      <c r="T5" s="29" t="str">
        <f>IFERROR(__xludf.DUMMYFUNCTION("""COMPUTED_VALUE"""),"OrfFee")</f>
        <v>OrfFee</v>
      </c>
      <c r="U5" s="29" t="str">
        <f>IFERROR(__xludf.DUMMYFUNCTION("""COMPUTED_VALUE"""),"Broker")</f>
        <v>Broker</v>
      </c>
      <c r="V5" s="29" t="str">
        <f>IFERROR(__xludf.DUMMYFUNCTION("""COMPUTED_VALUE"""),"Venue")</f>
        <v>Venue</v>
      </c>
      <c r="W5" s="29" t="str">
        <f>IFERROR(__xludf.DUMMYFUNCTION("""COMPUTED_VALUE"""),"Description")</f>
        <v>Description</v>
      </c>
      <c r="X5" s="29" t="str">
        <f>IFERROR(__xludf.DUMMYFUNCTION("""COMPUTED_VALUE"""),"InternalComments")</f>
        <v>InternalComments</v>
      </c>
      <c r="Y5" s="29" t="str">
        <f>IFERROR(__xludf.DUMMYFUNCTION("""COMPUTED_VALUE"""),"FXRate")</f>
        <v>FXRate</v>
      </c>
      <c r="Z5" s="29" t="str">
        <f>IFERROR(__xludf.DUMMYFUNCTION("""COMPUTED_VALUE"""),"FxConvOperator")</f>
        <v>FxConvOperator</v>
      </c>
      <c r="AA5" s="29" t="str">
        <f>IFERROR(__xludf.DUMMYFUNCTION("""COMPUTED_VALUE"""),"AccruedInterest")</f>
        <v>AccruedInterest</v>
      </c>
      <c r="AB5" s="29" t="str">
        <f>IFERROR(__xludf.DUMMYFUNCTION("""COMPUTED_VALUE"""),"TradeAttribute1")</f>
        <v>TradeAttribute1</v>
      </c>
      <c r="AC5" s="29" t="str">
        <f>IFERROR(__xludf.DUMMYFUNCTION("""COMPUTED_VALUE"""),"TradeAttribute2")</f>
        <v>TradeAttribute2</v>
      </c>
      <c r="AD5" s="29" t="str">
        <f>IFERROR(__xludf.DUMMYFUNCTION("""COMPUTED_VALUE"""),"TradeAttribute3")</f>
        <v>TradeAttribute3</v>
      </c>
      <c r="AE5" s="29" t="str">
        <f>IFERROR(__xludf.DUMMYFUNCTION("""COMPUTED_VALUE"""),"TradeAttribute4")</f>
        <v>TradeAttribute4</v>
      </c>
      <c r="AF5" s="29" t="str">
        <f>IFERROR(__xludf.DUMMYFUNCTION("""COMPUTED_VALUE"""),"TradeAttribute5")</f>
        <v>TradeAttribute5</v>
      </c>
      <c r="AG5" s="29" t="str">
        <f>IFERROR(__xludf.DUMMYFUNCTION("""COMPUTED_VALUE"""),"TradeAttribute6")</f>
        <v>TradeAttribute6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2">
        <v>200.0</v>
      </c>
      <c r="C6" s="33">
        <v>10.0</v>
      </c>
      <c r="D6" s="30" t="s">
        <v>17</v>
      </c>
      <c r="E6" s="8"/>
      <c r="F6" s="8"/>
      <c r="G6" s="8"/>
      <c r="H6" s="8"/>
      <c r="I6" s="33">
        <v>1.0</v>
      </c>
      <c r="J6" s="33">
        <v>1.0</v>
      </c>
      <c r="K6" s="33">
        <v>1.0</v>
      </c>
      <c r="L6" s="33">
        <v>1.0</v>
      </c>
      <c r="M6" s="47">
        <v>0.39</v>
      </c>
      <c r="N6" s="8"/>
      <c r="O6" s="46">
        <v>21.0</v>
      </c>
      <c r="Q6" s="9">
        <v>1.0</v>
      </c>
      <c r="R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23</v>
      </c>
      <c r="AL6" s="38">
        <v>444.0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38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31" t="s">
        <v>17</v>
      </c>
      <c r="AK7" s="31" t="s">
        <v>23</v>
      </c>
      <c r="AL7" s="38">
        <v>444.0</v>
      </c>
      <c r="AM7" s="31"/>
      <c r="AX7" s="31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1c7aP-E18Fb8lEVGiXac03BLoNVdUNRzodD2Xjn-9pzU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40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1">
        <v>0.0</v>
      </c>
      <c r="E6" s="31"/>
      <c r="F6" s="31"/>
      <c r="G6" s="42">
        <v>5.0</v>
      </c>
      <c r="H6" s="42">
        <v>6.0</v>
      </c>
      <c r="I6" s="31"/>
      <c r="J6" s="42">
        <v>10.0</v>
      </c>
      <c r="K6" s="42">
        <v>10.0</v>
      </c>
      <c r="L6" s="45" t="s">
        <v>22</v>
      </c>
      <c r="M6" s="31"/>
      <c r="N6" s="31"/>
      <c r="O6" s="31"/>
      <c r="P6" s="31"/>
      <c r="Q6" s="42">
        <v>1.0</v>
      </c>
      <c r="R6" s="31"/>
      <c r="S6" s="31"/>
      <c r="T6" s="38">
        <v>1.0</v>
      </c>
      <c r="U6" s="31"/>
      <c r="V6" s="34" t="s">
        <v>27</v>
      </c>
      <c r="W6" s="31"/>
      <c r="X6" s="31"/>
      <c r="Y6" s="31"/>
      <c r="Z6" s="31"/>
      <c r="AA6" s="31"/>
      <c r="AB6" s="31"/>
      <c r="AC6" s="31"/>
      <c r="AD6" s="31"/>
      <c r="AE6" s="42">
        <v>200.0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4">
        <v>2021.0014</v>
      </c>
      <c r="AU6" s="44">
        <v>2021.0014</v>
      </c>
      <c r="AV6" s="31"/>
      <c r="AW6" s="31"/>
      <c r="AX6" s="31"/>
      <c r="AY6" s="31"/>
      <c r="AZ6" s="31"/>
      <c r="BA6" s="31"/>
      <c r="BB6" s="31"/>
      <c r="BC6" s="38">
        <v>1.0</v>
      </c>
      <c r="BD6" s="31"/>
      <c r="BE6" s="44">
        <v>2000.0</v>
      </c>
      <c r="BF6" s="44">
        <v>2000.0</v>
      </c>
      <c r="BG6" s="31"/>
      <c r="BH6" s="31"/>
      <c r="BI6" s="31"/>
      <c r="BJ6" s="42">
        <v>444.0</v>
      </c>
      <c r="BK6" s="42">
        <v>1.0</v>
      </c>
      <c r="BL6" s="31"/>
      <c r="BM6" s="31"/>
      <c r="BN6" s="31"/>
      <c r="BO6" s="31" t="s">
        <v>17</v>
      </c>
      <c r="BP6" s="42">
        <v>1.0</v>
      </c>
      <c r="BQ6" s="31"/>
      <c r="BR6" s="42">
        <v>0.0014</v>
      </c>
      <c r="BS6" s="31" t="s">
        <v>16</v>
      </c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42">
        <v>200.0</v>
      </c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46">
        <v>0.0</v>
      </c>
      <c r="E7" s="8"/>
      <c r="F7" s="8"/>
      <c r="G7" s="46">
        <v>21.0</v>
      </c>
      <c r="H7" s="46">
        <v>1.0</v>
      </c>
      <c r="I7" s="8"/>
      <c r="J7" s="46">
        <v>10.0</v>
      </c>
      <c r="K7" s="46">
        <v>10.0</v>
      </c>
      <c r="L7" s="8"/>
      <c r="M7" s="8"/>
      <c r="N7" s="8"/>
      <c r="O7" s="8"/>
      <c r="Q7" s="9">
        <v>1.0</v>
      </c>
      <c r="T7" s="9">
        <v>1.0</v>
      </c>
      <c r="V7" s="43" t="s">
        <v>29</v>
      </c>
      <c r="AE7" s="42">
        <v>200.0</v>
      </c>
      <c r="AT7" s="48">
        <v>2028.39</v>
      </c>
      <c r="AU7" s="48">
        <v>2028.39</v>
      </c>
      <c r="BC7" s="9">
        <v>1.0</v>
      </c>
      <c r="BE7" s="48">
        <v>2000.0</v>
      </c>
      <c r="BF7" s="48">
        <v>2000.0</v>
      </c>
      <c r="BJ7" s="42">
        <v>444.0</v>
      </c>
      <c r="BK7" s="9">
        <v>1.0</v>
      </c>
      <c r="BO7" s="31" t="s">
        <v>17</v>
      </c>
      <c r="BP7" s="42">
        <v>1.0</v>
      </c>
      <c r="BR7" s="9">
        <v>0.39</v>
      </c>
      <c r="BS7" s="9" t="s">
        <v>19</v>
      </c>
      <c r="CI7" s="9">
        <v>200.0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 t="str">
        <f>IFERROR(__xludf.DUMMYFUNCTION("""COMPUTED_VALUE"""),"CheckPMLiveFeed")</f>
        <v>CheckPMLiveFeed</v>
      </c>
      <c r="AC4" s="25" t="str">
        <f>IFERROR(__xludf.DUMMYFUNCTION("""COMPUTED_VALUE"""),"IncreasePositionFromPM")</f>
        <v>IncreasePositionFromPM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/>
      <c r="FL5" s="29"/>
      <c r="FM5" s="29"/>
      <c r="FN5" s="29"/>
      <c r="FO5" s="29"/>
      <c r="FP5" s="29"/>
      <c r="FQ5" s="29"/>
      <c r="FR5" s="29"/>
      <c r="FS5" s="29"/>
      <c r="FT5" s="29"/>
    </row>
    <row r="6" ht="15.75" customHeight="1">
      <c r="A6" s="30"/>
      <c r="B6" s="30"/>
      <c r="C6" s="45" t="s">
        <v>16</v>
      </c>
      <c r="D6" s="41">
        <v>200.0</v>
      </c>
      <c r="E6" s="31"/>
      <c r="F6" s="31"/>
      <c r="G6" s="31"/>
      <c r="H6" s="45" t="s">
        <v>32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 t="s">
        <v>33</v>
      </c>
      <c r="U6" s="31"/>
      <c r="V6" s="31" t="s">
        <v>39</v>
      </c>
      <c r="W6" s="31" t="s">
        <v>35</v>
      </c>
      <c r="X6" s="31"/>
      <c r="Y6" s="38">
        <v>1.0</v>
      </c>
      <c r="Z6" s="31"/>
      <c r="AA6" s="31"/>
      <c r="AB6" s="31"/>
      <c r="AC6" s="31"/>
      <c r="AD6" s="38">
        <v>0.0</v>
      </c>
      <c r="AE6" s="31"/>
      <c r="AF6" s="42">
        <v>200.0</v>
      </c>
      <c r="AG6" s="31"/>
      <c r="AH6" s="31"/>
      <c r="AI6" s="31"/>
      <c r="AJ6" s="31"/>
      <c r="AK6" s="31"/>
      <c r="AL6" s="31"/>
      <c r="AM6" s="31"/>
      <c r="AN6" s="31" t="s">
        <v>17</v>
      </c>
      <c r="AO6" s="31"/>
      <c r="AP6" s="45" t="s">
        <v>32</v>
      </c>
      <c r="AQ6" s="45" t="s">
        <v>16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</row>
    <row r="7" ht="15.75" customHeight="1">
      <c r="A7" s="8"/>
      <c r="B7" s="8"/>
      <c r="C7" s="46" t="s">
        <v>19</v>
      </c>
      <c r="D7" s="46">
        <v>200.0</v>
      </c>
      <c r="E7" s="8"/>
      <c r="F7" s="8"/>
      <c r="G7" s="8"/>
      <c r="H7" s="45" t="s">
        <v>32</v>
      </c>
      <c r="I7" s="8"/>
      <c r="J7" s="8"/>
      <c r="K7" s="8"/>
      <c r="L7" s="8"/>
      <c r="M7" s="8"/>
      <c r="N7" s="8"/>
      <c r="O7" s="8"/>
      <c r="T7" s="31" t="s">
        <v>33</v>
      </c>
      <c r="V7" s="34" t="s">
        <v>40</v>
      </c>
      <c r="W7" s="31" t="s">
        <v>35</v>
      </c>
      <c r="Y7" s="38">
        <v>1.0</v>
      </c>
      <c r="AD7" s="9">
        <v>0.0</v>
      </c>
      <c r="AF7" s="47">
        <v>200.0</v>
      </c>
      <c r="AN7" s="31" t="s">
        <v>17</v>
      </c>
      <c r="AP7" s="45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6">
        <v>10.0</v>
      </c>
      <c r="E6" s="37" t="s">
        <v>22</v>
      </c>
      <c r="F6" s="35"/>
      <c r="G6" s="37">
        <v>222.0</v>
      </c>
      <c r="H6" s="31"/>
      <c r="I6" s="31" t="s">
        <v>38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8">
        <v>1.0</v>
      </c>
      <c r="AE6" s="31"/>
      <c r="AF6" s="31"/>
      <c r="AG6" s="31"/>
      <c r="AH6" s="35"/>
      <c r="AI6" s="37" t="s">
        <v>16</v>
      </c>
      <c r="AJ6" s="37" t="s">
        <v>17</v>
      </c>
      <c r="AK6" s="37" t="s">
        <v>23</v>
      </c>
      <c r="AL6" s="37">
        <v>444.0</v>
      </c>
      <c r="AM6" s="37">
        <v>222.0</v>
      </c>
      <c r="AN6" s="37">
        <v>50.0</v>
      </c>
      <c r="AO6" s="31"/>
      <c r="AP6" s="31"/>
      <c r="AQ6" s="31"/>
      <c r="AR6" s="31"/>
      <c r="AS6" s="31"/>
      <c r="AT6" s="35"/>
      <c r="AU6" s="37" t="s">
        <v>24</v>
      </c>
      <c r="AV6" s="37">
        <v>2220.0</v>
      </c>
      <c r="AW6" s="37">
        <v>2220.0</v>
      </c>
      <c r="AX6" s="31"/>
      <c r="AY6" s="31"/>
      <c r="AZ6" s="31"/>
      <c r="BA6" s="31" t="s">
        <v>41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39">
        <v>10.0</v>
      </c>
      <c r="E7" s="8"/>
      <c r="F7" s="8"/>
      <c r="G7" s="39">
        <v>222.0</v>
      </c>
      <c r="H7" s="8"/>
      <c r="I7" s="31" t="s">
        <v>38</v>
      </c>
      <c r="J7" s="8"/>
      <c r="K7" s="8"/>
      <c r="L7" s="8"/>
      <c r="M7" s="8"/>
      <c r="N7" s="8"/>
      <c r="O7" s="8"/>
      <c r="AD7" s="39">
        <v>1.0</v>
      </c>
      <c r="AI7" s="39" t="s">
        <v>19</v>
      </c>
      <c r="AJ7" s="39" t="s">
        <v>17</v>
      </c>
      <c r="AK7" s="39" t="s">
        <v>23</v>
      </c>
      <c r="AL7" s="39">
        <v>444.0</v>
      </c>
      <c r="AM7" s="39">
        <v>222.0</v>
      </c>
      <c r="AN7" s="39">
        <v>50.0</v>
      </c>
      <c r="AU7" s="39" t="s">
        <v>24</v>
      </c>
      <c r="AV7" s="39">
        <v>2220.0</v>
      </c>
      <c r="AW7" s="39">
        <v>2220.0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