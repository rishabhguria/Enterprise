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SetClosingPreference" sheetId="5" r:id="rId7"/>
    <sheet state="visible" name="CreateDoneAwayOrder" sheetId="6" r:id="rId8"/>
    <sheet state="visible" name="GetMarkPriceData" sheetId="7" r:id="rId9"/>
    <sheet state="visible" name="UpdateMarkPrice" sheetId="8" r:id="rId10"/>
    <sheet state="visible" name="GetDataClosing" sheetId="9" r:id="rId11"/>
    <sheet state="visible" name="SelectTradeUnexpiredUnsettled" sheetId="10" r:id="rId12"/>
    <sheet state="visible" name="ExerciseAssignment" sheetId="11" r:id="rId13"/>
    <sheet state="visible" name="GetDataAllocation" sheetId="12" r:id="rId14"/>
    <sheet state="visible" name="CheckAllocatedGroups" sheetId="13" r:id="rId15"/>
    <sheet state="visible" name="CheckAllocatedTaxlots" sheetId="14" r:id="rId16"/>
    <sheet state="visible" name="CheckPortfolioManagement" sheetId="15" r:id="rId17"/>
  </sheets>
  <definedNames/>
  <calcPr/>
</workbook>
</file>

<file path=xl/sharedStrings.xml><?xml version="1.0" encoding="utf-8"?>
<sst xmlns="http://schemas.openxmlformats.org/spreadsheetml/2006/main" count="434" uniqueCount="72">
  <si>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</si>
  <si>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</si>
  <si>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</si>
  <si>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</si>
  <si>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</si>
  <si>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</si>
  <si>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</si>
  <si>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</si>
  <si>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</si>
  <si>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</si>
  <si>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</si>
  <si>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</si>
  <si>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</si>
  <si>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</si>
  <si>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</si>
  <si>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</si>
  <si>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 xml:space="preserve"> O:AAPL 23D100.15D27</t>
  </si>
  <si>
    <t xml:space="preserve"> O:AAPL 23D102.25D27</t>
  </si>
  <si>
    <t xml:space="preserve"> O:AAPL 23D103.25D27</t>
  </si>
  <si>
    <t>Closing</t>
  </si>
  <si>
    <t>SetClosingPreference</t>
  </si>
  <si>
    <t>FIFO</t>
  </si>
  <si>
    <t>TradingTicket</t>
  </si>
  <si>
    <t>CreateDoneAwayOrder</t>
  </si>
  <si>
    <t>AAPL</t>
  </si>
  <si>
    <t>Buy</t>
  </si>
  <si>
    <t>Sell to Open</t>
  </si>
  <si>
    <t>DailyValuation</t>
  </si>
  <si>
    <t>GetMarkPriceData</t>
  </si>
  <si>
    <t>UpdateMarkPrice</t>
  </si>
  <si>
    <t>GetDataClosing</t>
  </si>
  <si>
    <t>Historical</t>
  </si>
  <si>
    <t>1/1/1800</t>
  </si>
  <si>
    <t>SelectTradeUnexpiredUnsettled</t>
  </si>
  <si>
    <t>Allocation1</t>
  </si>
  <si>
    <t>EquityOption</t>
  </si>
  <si>
    <t>ExerciseAssignment</t>
  </si>
  <si>
    <t>Allocation</t>
  </si>
  <si>
    <t>GetDataAllocation</t>
  </si>
  <si>
    <t>CheckAllocatedGroups</t>
  </si>
  <si>
    <t>MS</t>
  </si>
  <si>
    <t>Open</t>
  </si>
  <si>
    <t>NASDAQ</t>
  </si>
  <si>
    <t>None</t>
  </si>
  <si>
    <t>USD</t>
  </si>
  <si>
    <t>US</t>
  </si>
  <si>
    <t>Closed</t>
  </si>
  <si>
    <t>OPTS</t>
  </si>
  <si>
    <t>IsExercised</t>
  </si>
  <si>
    <t>O:AAPL 23D100.15D27</t>
  </si>
  <si>
    <t>SelltoOpen</t>
  </si>
  <si>
    <t>O:AAPL 23D102.25D27</t>
  </si>
  <si>
    <t>Buy to Close</t>
  </si>
  <si>
    <t>Assignment</t>
  </si>
  <si>
    <t>O:AAPL 23D103.25D27</t>
  </si>
  <si>
    <t>Exercise/Assign</t>
  </si>
  <si>
    <t>1,12,250.00</t>
  </si>
  <si>
    <t>1,02,250.00</t>
  </si>
  <si>
    <t>Sell short</t>
  </si>
  <si>
    <t>Sell</t>
  </si>
  <si>
    <t>1,13,250.00</t>
  </si>
  <si>
    <t>1,03,250.00</t>
  </si>
  <si>
    <t>CheckAllocatedTaxlots</t>
  </si>
  <si>
    <t>M</t>
  </si>
  <si>
    <t>Strategy Unallocated</t>
  </si>
  <si>
    <t>D</t>
  </si>
  <si>
    <t>PortfolioManagement</t>
  </si>
  <si>
    <t>CheckPortfolioManagement</t>
  </si>
  <si>
    <t>Short</t>
  </si>
  <si>
    <t>FIMAT</t>
  </si>
  <si>
    <t>Equity</t>
  </si>
  <si>
    <t>Long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</si>
</sst>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name val="Arial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14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14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14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164" xfId="0" applyAlignment="1" applyFont="1" applyNumberFormat="1">
      <alignment horizontal="right" vertical="bottom"/>
    </xf>
    <xf borderId="5" fillId="0" fontId="5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0" fillId="0" fontId="15" numFmtId="0" xfId="0" applyAlignment="1" applyFont="1">
      <alignment readingOrder="0" shrinkToFit="0" vertical="bottom" wrapText="0"/>
    </xf>
    <xf borderId="0" fillId="0" fontId="15" numFmtId="0" xfId="0" applyAlignment="1" applyFont="1">
      <alignment horizontal="right" readingOrder="0" shrinkToFit="0" vertical="bottom" wrapText="0"/>
    </xf>
    <xf borderId="0" fillId="0" fontId="15" numFmtId="4" xfId="0" applyAlignment="1" applyFont="1" applyNumberFormat="1">
      <alignment horizontal="right" readingOrder="0" shrinkToFit="0" vertical="bottom" wrapText="0"/>
    </xf>
    <xf borderId="0" fillId="0" fontId="15" numFmtId="0" xfId="0" applyAlignment="1" applyFont="1">
      <alignment shrinkToFit="0" vertical="bottom" wrapText="0"/>
    </xf>
    <xf borderId="0" fillId="0" fontId="15" numFmtId="0" xfId="0" applyAlignment="1" applyFont="1">
      <alignment shrinkToFit="0" vertical="bottom" wrapText="0"/>
    </xf>
    <xf borderId="0" fillId="0" fontId="15" numFmtId="3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>
        <f t="shared" ref="C6:C8" si="1">today()</f>
        <v>45043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17</v>
      </c>
      <c r="C7" s="32">
        <f t="shared" si="1"/>
        <v>45043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 t="s">
        <v>18</v>
      </c>
      <c r="C8" s="32">
        <f t="shared" si="1"/>
        <v>45043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/>
      <c r="C6" s="36" t="s">
        <v>21</v>
      </c>
      <c r="D6" s="35"/>
      <c r="E6" s="37" t="b">
        <v>1</v>
      </c>
      <c r="F6" s="38"/>
      <c r="G6" s="38"/>
      <c r="H6" s="38"/>
      <c r="I6" s="38"/>
      <c r="J6" s="37" t="b">
        <v>1</v>
      </c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SetClosingPreference!$4:$4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9" t="s">
        <v>24</v>
      </c>
      <c r="C6" s="13" t="s">
        <v>25</v>
      </c>
      <c r="D6" s="13">
        <v>100.0</v>
      </c>
      <c r="E6" s="33"/>
      <c r="F6" s="8"/>
      <c r="G6" s="8"/>
      <c r="H6" s="8"/>
      <c r="I6" s="8"/>
      <c r="J6" s="13">
        <v>1.0</v>
      </c>
      <c r="K6" s="8"/>
      <c r="L6" s="8"/>
      <c r="M6" s="8"/>
      <c r="N6" s="32">
        <f t="shared" ref="N6:N7" si="1">TODAY()-25</f>
        <v>45018</v>
      </c>
      <c r="O6" s="8"/>
    </row>
    <row r="7" ht="15.75" customHeight="1">
      <c r="A7" s="13"/>
      <c r="B7" s="31" t="s">
        <v>16</v>
      </c>
      <c r="C7" s="40" t="s">
        <v>26</v>
      </c>
      <c r="D7" s="13">
        <v>10.0</v>
      </c>
      <c r="E7" s="33"/>
      <c r="F7" s="8"/>
      <c r="G7" s="8"/>
      <c r="H7" s="8"/>
      <c r="I7" s="8"/>
      <c r="J7" s="13">
        <v>10.0</v>
      </c>
      <c r="K7" s="8"/>
      <c r="L7" s="8"/>
      <c r="M7" s="8"/>
      <c r="N7" s="32">
        <f t="shared" si="1"/>
        <v>45018</v>
      </c>
      <c r="O7" s="8"/>
    </row>
    <row r="8" ht="15.75" customHeight="1">
      <c r="A8" s="8"/>
      <c r="B8" s="34" t="s">
        <v>17</v>
      </c>
      <c r="C8" s="40" t="s">
        <v>26</v>
      </c>
      <c r="D8" s="13">
        <v>10.0</v>
      </c>
      <c r="E8" s="8"/>
      <c r="F8" s="8"/>
      <c r="G8" s="8"/>
      <c r="H8" s="8"/>
      <c r="I8" s="8"/>
      <c r="J8" s="13">
        <v>10.0</v>
      </c>
      <c r="K8" s="8"/>
      <c r="L8" s="8"/>
      <c r="M8" s="8"/>
      <c r="N8" s="32">
        <f>TODAY()-24</f>
        <v>45019</v>
      </c>
      <c r="O8" s="8"/>
    </row>
    <row r="9" ht="15.75" customHeight="1">
      <c r="A9" s="8"/>
      <c r="B9" s="34" t="s">
        <v>18</v>
      </c>
      <c r="C9" s="40" t="s">
        <v>26</v>
      </c>
      <c r="D9" s="13">
        <v>10.0</v>
      </c>
      <c r="E9" s="8"/>
      <c r="F9" s="8"/>
      <c r="G9" s="8"/>
      <c r="H9" s="8"/>
      <c r="I9" s="8"/>
      <c r="J9" s="13">
        <v>10.0</v>
      </c>
      <c r="K9" s="8"/>
      <c r="L9" s="8"/>
      <c r="M9" s="8"/>
      <c r="N9" s="32">
        <f>TODAY()-23</f>
        <v>45020</v>
      </c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2">
        <f>today()-1</f>
        <v>45042</v>
      </c>
      <c r="C6" s="32">
        <f>today()</f>
        <v>45043</v>
      </c>
      <c r="D6" s="35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 t="s">
        <v>24</v>
      </c>
      <c r="C6" s="41">
        <v>120.0</v>
      </c>
      <c r="D6" s="35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40" t="s">
        <v>31</v>
      </c>
      <c r="C6" s="42" t="s">
        <v>32</v>
      </c>
      <c r="D6" s="42">
        <f>TODAY()</f>
        <v>45043</v>
      </c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5"/>
      <c r="B6" s="35" t="s">
        <v>34</v>
      </c>
      <c r="C6" s="38"/>
      <c r="D6" s="35"/>
      <c r="E6" s="43" t="s">
        <v>35</v>
      </c>
      <c r="F6" s="38"/>
      <c r="G6" s="38"/>
      <c r="H6" s="38"/>
      <c r="I6" s="36">
        <v>10.0</v>
      </c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4" t="s">
        <v>16</v>
      </c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38"/>
      <c r="B7" s="38" t="s">
        <v>34</v>
      </c>
      <c r="C7" s="38"/>
      <c r="D7" s="38"/>
      <c r="E7" s="44" t="s">
        <v>35</v>
      </c>
      <c r="F7" s="38"/>
      <c r="G7" s="38"/>
      <c r="H7" s="38"/>
      <c r="I7" s="36">
        <v>10.0</v>
      </c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4" t="s">
        <v>17</v>
      </c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</row>
    <row r="8" ht="15.75" customHeight="1">
      <c r="A8" s="38"/>
      <c r="B8" s="38" t="s">
        <v>34</v>
      </c>
      <c r="C8" s="38"/>
      <c r="D8" s="38"/>
      <c r="E8" s="44" t="s">
        <v>35</v>
      </c>
      <c r="F8" s="38"/>
      <c r="G8" s="38"/>
      <c r="H8" s="38"/>
      <c r="I8" s="36">
        <v>10.0</v>
      </c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38"/>
      <c r="BP8" s="38"/>
      <c r="BQ8" s="38"/>
      <c r="BR8" s="38"/>
      <c r="BS8" s="38"/>
      <c r="BT8" s="38"/>
      <c r="BU8" s="38"/>
      <c r="BV8" s="38"/>
      <c r="BW8" s="38"/>
      <c r="BX8" s="38"/>
      <c r="BY8" s="38"/>
      <c r="BZ8" s="38"/>
      <c r="CA8" s="38"/>
      <c r="CB8" s="38"/>
      <c r="CC8" s="38"/>
      <c r="CD8" s="38"/>
      <c r="CE8" s="38"/>
      <c r="CF8" s="38"/>
      <c r="CG8" s="38"/>
      <c r="CH8" s="38"/>
      <c r="CI8" s="38"/>
      <c r="CJ8" s="38"/>
      <c r="CK8" s="38"/>
      <c r="CL8" s="38"/>
      <c r="CM8" s="38"/>
      <c r="CN8" s="38"/>
      <c r="CO8" s="38"/>
      <c r="CP8" s="38"/>
      <c r="CQ8" s="38"/>
      <c r="CR8" s="38"/>
      <c r="CS8" s="38"/>
      <c r="CT8" s="38"/>
      <c r="CU8" s="38"/>
      <c r="CV8" s="38"/>
      <c r="CW8" s="38"/>
      <c r="CX8" s="38"/>
      <c r="CY8" s="38"/>
      <c r="CZ8" s="38"/>
      <c r="DA8" s="38"/>
      <c r="DB8" s="38"/>
      <c r="DC8" s="38"/>
      <c r="DD8" s="38"/>
      <c r="DE8" s="38"/>
      <c r="DF8" s="38"/>
      <c r="DG8" s="38"/>
      <c r="DH8" s="34" t="s">
        <v>18</v>
      </c>
      <c r="DI8" s="38"/>
      <c r="DJ8" s="38"/>
      <c r="DK8" s="38"/>
      <c r="DL8" s="38"/>
      <c r="DM8" s="38"/>
      <c r="DN8" s="38"/>
      <c r="DO8" s="38"/>
      <c r="DP8" s="38"/>
      <c r="DQ8" s="38"/>
      <c r="DR8" s="38"/>
      <c r="DS8" s="38"/>
      <c r="DT8" s="38"/>
      <c r="DU8" s="38"/>
      <c r="DV8" s="38"/>
      <c r="DW8" s="38"/>
      <c r="DX8" s="38"/>
      <c r="DY8" s="38"/>
      <c r="DZ8" s="38"/>
      <c r="EA8" s="38"/>
      <c r="EB8" s="38"/>
      <c r="EC8" s="38"/>
      <c r="ED8" s="38"/>
      <c r="EE8" s="38"/>
      <c r="EF8" s="38"/>
      <c r="EG8" s="38"/>
      <c r="EH8" s="38"/>
      <c r="EI8" s="38"/>
      <c r="EJ8" s="38"/>
      <c r="EK8" s="38"/>
      <c r="EL8" s="38"/>
      <c r="EM8" s="38"/>
      <c r="EN8" s="38"/>
      <c r="EO8" s="38"/>
      <c r="EP8" s="38"/>
      <c r="EQ8" s="38"/>
      <c r="ER8" s="38"/>
      <c r="ES8" s="38"/>
      <c r="ET8" s="38"/>
      <c r="EU8" s="38"/>
      <c r="EV8" s="38"/>
      <c r="EW8" s="38"/>
      <c r="EX8" s="3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ExerciseAssignment!$4:$4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40" t="s">
        <v>31</v>
      </c>
      <c r="C6" s="42" t="s">
        <v>32</v>
      </c>
      <c r="D6" s="42">
        <f>TODAY()</f>
        <v>45043</v>
      </c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5"/>
      <c r="C6" s="8"/>
      <c r="D6" s="13"/>
      <c r="E6" s="46">
        <v>100.0</v>
      </c>
      <c r="F6" s="8"/>
      <c r="G6" s="45"/>
      <c r="H6" s="8"/>
      <c r="I6" s="8"/>
      <c r="J6" s="46">
        <v>1.0</v>
      </c>
      <c r="K6" s="46">
        <v>1.0</v>
      </c>
      <c r="L6" s="46">
        <v>1.0</v>
      </c>
      <c r="M6" s="8"/>
      <c r="N6" s="8"/>
      <c r="O6" s="45" t="s">
        <v>40</v>
      </c>
      <c r="S6" s="45" t="s">
        <v>41</v>
      </c>
      <c r="T6" s="45"/>
      <c r="V6" s="45"/>
      <c r="AD6" s="45" t="s">
        <v>42</v>
      </c>
      <c r="AE6" s="46">
        <v>100.0</v>
      </c>
      <c r="AH6" s="45"/>
      <c r="AI6" s="46">
        <v>1.0</v>
      </c>
      <c r="AJ6" s="45" t="s">
        <v>43</v>
      </c>
      <c r="AT6" s="46">
        <v>114.0001</v>
      </c>
      <c r="AU6" s="46">
        <v>114.0001</v>
      </c>
      <c r="AV6" s="46"/>
      <c r="BE6" s="46">
        <v>100.0</v>
      </c>
      <c r="BF6" s="46">
        <v>100.0</v>
      </c>
      <c r="BJ6" s="46">
        <v>100.0</v>
      </c>
      <c r="BM6" s="45" t="s">
        <v>44</v>
      </c>
      <c r="BO6" s="45" t="s">
        <v>25</v>
      </c>
      <c r="BS6" s="45"/>
      <c r="BT6" s="45" t="s">
        <v>24</v>
      </c>
      <c r="BW6" s="46">
        <v>14.0001</v>
      </c>
      <c r="CI6" s="45" t="s">
        <v>25</v>
      </c>
      <c r="CK6" s="45" t="s">
        <v>45</v>
      </c>
      <c r="CM6" s="45" t="s">
        <v>24</v>
      </c>
      <c r="CN6" s="45"/>
      <c r="CP6" s="45"/>
    </row>
    <row r="7" ht="15.75" customHeight="1">
      <c r="A7" s="8"/>
      <c r="B7" s="45"/>
      <c r="C7" s="8"/>
      <c r="D7" s="8"/>
      <c r="E7" s="46">
        <v>10.0</v>
      </c>
      <c r="F7" s="8"/>
      <c r="G7" s="45"/>
      <c r="H7" s="8"/>
      <c r="I7" s="8"/>
      <c r="J7" s="46">
        <v>12.0</v>
      </c>
      <c r="K7" s="46">
        <v>10.0</v>
      </c>
      <c r="L7" s="46">
        <v>10.0</v>
      </c>
      <c r="M7" s="8"/>
      <c r="N7" s="8"/>
      <c r="O7" s="45" t="s">
        <v>40</v>
      </c>
      <c r="S7" s="45" t="s">
        <v>46</v>
      </c>
      <c r="T7" s="45"/>
      <c r="V7" s="45"/>
      <c r="AD7" s="45" t="s">
        <v>47</v>
      </c>
      <c r="AE7" s="46">
        <v>10.0</v>
      </c>
      <c r="AH7" s="45"/>
      <c r="AI7" s="46">
        <v>1.0</v>
      </c>
      <c r="AJ7" s="45" t="s">
        <v>48</v>
      </c>
      <c r="AT7" s="47">
        <v>10000.0</v>
      </c>
      <c r="AU7" s="47">
        <v>10000.0</v>
      </c>
      <c r="AV7" s="47"/>
      <c r="BE7" s="47">
        <v>10000.0</v>
      </c>
      <c r="BF7" s="47">
        <v>10000.0</v>
      </c>
      <c r="BJ7" s="46">
        <v>10.0</v>
      </c>
      <c r="BM7" s="45" t="s">
        <v>44</v>
      </c>
      <c r="BO7" s="45" t="s">
        <v>26</v>
      </c>
      <c r="BS7" s="45"/>
      <c r="BT7" s="45" t="s">
        <v>49</v>
      </c>
      <c r="BW7" s="46">
        <v>0.0</v>
      </c>
      <c r="CI7" s="45" t="s">
        <v>50</v>
      </c>
      <c r="CK7" s="45" t="s">
        <v>45</v>
      </c>
      <c r="CM7" s="45" t="s">
        <v>24</v>
      </c>
      <c r="CN7" s="45"/>
      <c r="CP7" s="45"/>
    </row>
    <row r="8" ht="15.75" customHeight="1">
      <c r="A8" s="8"/>
      <c r="B8" s="45"/>
      <c r="C8" s="8"/>
      <c r="D8" s="8"/>
      <c r="E8" s="46">
        <v>10.0</v>
      </c>
      <c r="F8" s="8"/>
      <c r="G8" s="45"/>
      <c r="H8" s="8"/>
      <c r="I8" s="8"/>
      <c r="J8" s="46">
        <v>12.0</v>
      </c>
      <c r="K8" s="46">
        <v>10.0</v>
      </c>
      <c r="L8" s="46">
        <v>10.0</v>
      </c>
      <c r="M8" s="8"/>
      <c r="N8" s="8"/>
      <c r="O8" s="45" t="s">
        <v>40</v>
      </c>
      <c r="S8" s="45" t="s">
        <v>46</v>
      </c>
      <c r="T8" s="45"/>
      <c r="V8" s="45"/>
      <c r="AD8" s="45" t="s">
        <v>47</v>
      </c>
      <c r="AE8" s="46">
        <v>10.0</v>
      </c>
      <c r="AH8" s="45"/>
      <c r="AI8" s="46">
        <v>1.0</v>
      </c>
      <c r="AJ8" s="45" t="s">
        <v>48</v>
      </c>
      <c r="AT8" s="47">
        <v>10000.0</v>
      </c>
      <c r="AU8" s="47">
        <v>10000.0</v>
      </c>
      <c r="AV8" s="47"/>
      <c r="BE8" s="47">
        <v>10000.0</v>
      </c>
      <c r="BF8" s="47">
        <v>10000.0</v>
      </c>
      <c r="BJ8" s="46">
        <v>10.0</v>
      </c>
      <c r="BM8" s="45" t="s">
        <v>44</v>
      </c>
      <c r="BO8" s="45" t="s">
        <v>26</v>
      </c>
      <c r="BS8" s="45"/>
      <c r="BT8" s="45" t="s">
        <v>51</v>
      </c>
      <c r="BW8" s="46">
        <v>0.0</v>
      </c>
      <c r="CI8" s="45" t="s">
        <v>50</v>
      </c>
      <c r="CK8" s="45" t="s">
        <v>45</v>
      </c>
      <c r="CM8" s="45" t="s">
        <v>24</v>
      </c>
      <c r="CN8" s="45"/>
      <c r="CP8" s="45"/>
    </row>
    <row r="9" ht="15.75" customHeight="1">
      <c r="A9" s="8"/>
      <c r="B9" s="45"/>
      <c r="C9" s="8"/>
      <c r="D9" s="8"/>
      <c r="E9" s="46">
        <v>10.0</v>
      </c>
      <c r="F9" s="8"/>
      <c r="G9" s="45"/>
      <c r="H9" s="8"/>
      <c r="I9" s="8"/>
      <c r="J9" s="46">
        <v>12.0</v>
      </c>
      <c r="K9" s="46">
        <v>0.0</v>
      </c>
      <c r="L9" s="46">
        <v>0.0</v>
      </c>
      <c r="M9" s="8"/>
      <c r="N9" s="8"/>
      <c r="O9" s="45" t="s">
        <v>40</v>
      </c>
      <c r="S9" s="45" t="s">
        <v>46</v>
      </c>
      <c r="T9" s="45"/>
      <c r="V9" s="45"/>
      <c r="AD9" s="45" t="s">
        <v>47</v>
      </c>
      <c r="AE9" s="46">
        <v>10.0</v>
      </c>
      <c r="AH9" s="45"/>
      <c r="AI9" s="46">
        <v>1.0</v>
      </c>
      <c r="AJ9" s="45" t="s">
        <v>48</v>
      </c>
      <c r="AT9" s="47">
        <v>10000.0</v>
      </c>
      <c r="AU9" s="47">
        <v>10000.0</v>
      </c>
      <c r="AV9" s="47"/>
      <c r="BE9" s="47">
        <v>0.0</v>
      </c>
      <c r="BF9" s="47">
        <v>0.0</v>
      </c>
      <c r="BJ9" s="46">
        <v>10.0</v>
      </c>
      <c r="BM9" s="45" t="s">
        <v>44</v>
      </c>
      <c r="BO9" s="45" t="s">
        <v>52</v>
      </c>
      <c r="BS9" s="45"/>
      <c r="BT9" s="45" t="s">
        <v>51</v>
      </c>
      <c r="BW9" s="47">
        <v>10000.0</v>
      </c>
      <c r="CI9" s="45" t="s">
        <v>53</v>
      </c>
      <c r="CK9" s="45" t="s">
        <v>45</v>
      </c>
      <c r="CM9" s="45" t="s">
        <v>24</v>
      </c>
      <c r="CN9" s="48"/>
      <c r="CP9" s="45"/>
    </row>
    <row r="10" ht="15.75" customHeight="1">
      <c r="A10" s="8"/>
      <c r="B10" s="45"/>
      <c r="C10" s="8"/>
      <c r="D10" s="8"/>
      <c r="E10" s="46">
        <v>10.0</v>
      </c>
      <c r="F10" s="8"/>
      <c r="G10" s="45"/>
      <c r="H10" s="8"/>
      <c r="I10" s="8"/>
      <c r="J10" s="46">
        <v>12.0</v>
      </c>
      <c r="K10" s="46">
        <v>10.0</v>
      </c>
      <c r="L10" s="46">
        <v>10.0</v>
      </c>
      <c r="M10" s="8"/>
      <c r="N10" s="8"/>
      <c r="O10" s="45" t="s">
        <v>40</v>
      </c>
      <c r="S10" s="45" t="s">
        <v>46</v>
      </c>
      <c r="T10" s="45"/>
      <c r="V10" s="45"/>
      <c r="AD10" s="45" t="s">
        <v>47</v>
      </c>
      <c r="AE10" s="46">
        <v>10.0</v>
      </c>
      <c r="AH10" s="45"/>
      <c r="AI10" s="46">
        <v>1.0</v>
      </c>
      <c r="AJ10" s="45" t="s">
        <v>48</v>
      </c>
      <c r="AT10" s="47">
        <v>10000.0</v>
      </c>
      <c r="AU10" s="47">
        <v>10000.0</v>
      </c>
      <c r="AV10" s="47"/>
      <c r="BE10" s="47">
        <v>10000.0</v>
      </c>
      <c r="BF10" s="47">
        <v>10000.0</v>
      </c>
      <c r="BJ10" s="46">
        <v>10.0</v>
      </c>
      <c r="BM10" s="45" t="s">
        <v>44</v>
      </c>
      <c r="BO10" s="45" t="s">
        <v>26</v>
      </c>
      <c r="BS10" s="45"/>
      <c r="BT10" s="45" t="s">
        <v>54</v>
      </c>
      <c r="BW10" s="47">
        <v>0.0</v>
      </c>
      <c r="CI10" s="45" t="s">
        <v>50</v>
      </c>
      <c r="CK10" s="45" t="s">
        <v>45</v>
      </c>
      <c r="CM10" s="45" t="s">
        <v>24</v>
      </c>
      <c r="CN10" s="45"/>
      <c r="CP10" s="45"/>
    </row>
    <row r="11" ht="15.75" customHeight="1">
      <c r="A11" s="8"/>
      <c r="B11" s="45"/>
      <c r="C11" s="8"/>
      <c r="D11" s="8"/>
      <c r="E11" s="46">
        <v>10.0</v>
      </c>
      <c r="F11" s="8"/>
      <c r="G11" s="45"/>
      <c r="H11" s="8"/>
      <c r="I11" s="8"/>
      <c r="J11" s="46">
        <v>12.0</v>
      </c>
      <c r="K11" s="46">
        <v>0.0</v>
      </c>
      <c r="L11" s="46">
        <v>0.0</v>
      </c>
      <c r="M11" s="8"/>
      <c r="N11" s="8"/>
      <c r="O11" s="45" t="s">
        <v>40</v>
      </c>
      <c r="S11" s="45" t="s">
        <v>46</v>
      </c>
      <c r="T11" s="45"/>
      <c r="V11" s="45"/>
      <c r="AD11" s="45" t="s">
        <v>47</v>
      </c>
      <c r="AE11" s="46">
        <v>10.0</v>
      </c>
      <c r="AH11" s="45"/>
      <c r="AI11" s="46">
        <v>1.0</v>
      </c>
      <c r="AJ11" s="45" t="s">
        <v>48</v>
      </c>
      <c r="AT11" s="47">
        <v>10000.0</v>
      </c>
      <c r="AU11" s="47">
        <v>10000.0</v>
      </c>
      <c r="AV11" s="47"/>
      <c r="BE11" s="46">
        <v>0.0</v>
      </c>
      <c r="BF11" s="46">
        <v>0.0</v>
      </c>
      <c r="BJ11" s="46">
        <v>10.0</v>
      </c>
      <c r="BM11" s="45" t="s">
        <v>44</v>
      </c>
      <c r="BO11" s="45" t="s">
        <v>52</v>
      </c>
      <c r="BS11" s="45"/>
      <c r="BT11" s="45" t="s">
        <v>49</v>
      </c>
      <c r="BW11" s="47">
        <v>10000.0</v>
      </c>
      <c r="CI11" s="45" t="s">
        <v>53</v>
      </c>
      <c r="CK11" s="45" t="s">
        <v>45</v>
      </c>
      <c r="CM11" s="45" t="s">
        <v>24</v>
      </c>
      <c r="CN11" s="48"/>
      <c r="CP11" s="45"/>
    </row>
    <row r="12" ht="15.75" customHeight="1">
      <c r="A12" s="8"/>
      <c r="B12" s="45"/>
      <c r="C12" s="8"/>
      <c r="D12" s="8"/>
      <c r="E12" s="46">
        <v>10.0</v>
      </c>
      <c r="F12" s="8"/>
      <c r="G12" s="45"/>
      <c r="H12" s="8"/>
      <c r="I12" s="8"/>
      <c r="J12" s="46">
        <v>12.0</v>
      </c>
      <c r="K12" s="46">
        <v>0.0</v>
      </c>
      <c r="L12" s="46">
        <v>0.0</v>
      </c>
      <c r="M12" s="8"/>
      <c r="N12" s="8"/>
      <c r="O12" s="45" t="s">
        <v>40</v>
      </c>
      <c r="S12" s="45" t="s">
        <v>46</v>
      </c>
      <c r="T12" s="45"/>
      <c r="V12" s="45"/>
      <c r="AD12" s="45" t="s">
        <v>47</v>
      </c>
      <c r="AE12" s="46">
        <v>10.0</v>
      </c>
      <c r="AH12" s="45"/>
      <c r="AI12" s="46">
        <v>1.0</v>
      </c>
      <c r="AJ12" s="45" t="s">
        <v>48</v>
      </c>
      <c r="AT12" s="47">
        <v>10000.0</v>
      </c>
      <c r="AU12" s="47">
        <v>10000.0</v>
      </c>
      <c r="AV12" s="47"/>
      <c r="BE12" s="46">
        <v>0.0</v>
      </c>
      <c r="BF12" s="46">
        <v>0.0</v>
      </c>
      <c r="BJ12" s="46">
        <v>10.0</v>
      </c>
      <c r="BM12" s="45" t="s">
        <v>44</v>
      </c>
      <c r="BO12" s="45" t="s">
        <v>52</v>
      </c>
      <c r="BS12" s="45"/>
      <c r="BT12" s="45" t="s">
        <v>54</v>
      </c>
      <c r="BW12" s="47">
        <v>10000.0</v>
      </c>
      <c r="CI12" s="45" t="s">
        <v>53</v>
      </c>
      <c r="CK12" s="45" t="s">
        <v>45</v>
      </c>
      <c r="CM12" s="45" t="s">
        <v>24</v>
      </c>
      <c r="CN12" s="48"/>
      <c r="CP12" s="45"/>
    </row>
    <row r="13" ht="15.75" customHeight="1">
      <c r="A13" s="8"/>
      <c r="B13" s="45"/>
      <c r="C13" s="8"/>
      <c r="D13" s="8"/>
      <c r="E13" s="47">
        <v>1000.0</v>
      </c>
      <c r="F13" s="8"/>
      <c r="G13" s="45"/>
      <c r="H13" s="8"/>
      <c r="I13" s="8"/>
      <c r="J13" s="46">
        <v>1.0</v>
      </c>
      <c r="K13" s="46">
        <v>102.25</v>
      </c>
      <c r="L13" s="46">
        <v>102.25</v>
      </c>
      <c r="M13" s="8"/>
      <c r="N13" s="8"/>
      <c r="O13" s="45" t="s">
        <v>40</v>
      </c>
      <c r="S13" s="45" t="s">
        <v>41</v>
      </c>
      <c r="T13" s="45"/>
      <c r="V13" s="45"/>
      <c r="AD13" s="45" t="s">
        <v>42</v>
      </c>
      <c r="AE13" s="47">
        <v>1000.0</v>
      </c>
      <c r="AH13" s="45"/>
      <c r="AI13" s="46">
        <v>1.0</v>
      </c>
      <c r="AJ13" s="45" t="s">
        <v>55</v>
      </c>
      <c r="AT13" s="46" t="s">
        <v>56</v>
      </c>
      <c r="AU13" s="46" t="s">
        <v>56</v>
      </c>
      <c r="AV13" s="46"/>
      <c r="BE13" s="46" t="s">
        <v>57</v>
      </c>
      <c r="BF13" s="46" t="s">
        <v>57</v>
      </c>
      <c r="BJ13" s="47">
        <v>1000.0</v>
      </c>
      <c r="BM13" s="45" t="s">
        <v>44</v>
      </c>
      <c r="BO13" s="45" t="s">
        <v>58</v>
      </c>
      <c r="BS13" s="45"/>
      <c r="BT13" s="45" t="s">
        <v>24</v>
      </c>
      <c r="BW13" s="47">
        <v>-10000.0</v>
      </c>
      <c r="CI13" s="45" t="s">
        <v>53</v>
      </c>
      <c r="CK13" s="45" t="s">
        <v>45</v>
      </c>
      <c r="CM13" s="45" t="s">
        <v>24</v>
      </c>
      <c r="CN13" s="45"/>
      <c r="CP13" s="45"/>
    </row>
    <row r="14" ht="15.75" customHeight="1">
      <c r="A14" s="8"/>
      <c r="B14" s="45"/>
      <c r="C14" s="8"/>
      <c r="D14" s="8"/>
      <c r="E14" s="47">
        <v>100.0</v>
      </c>
      <c r="F14" s="8"/>
      <c r="G14" s="45"/>
      <c r="H14" s="8"/>
      <c r="I14" s="8"/>
      <c r="J14" s="46">
        <v>1.0</v>
      </c>
      <c r="K14" s="46">
        <v>100.15</v>
      </c>
      <c r="L14" s="46">
        <v>100.15</v>
      </c>
      <c r="M14" s="8"/>
      <c r="N14" s="8"/>
      <c r="O14" s="45" t="s">
        <v>40</v>
      </c>
      <c r="S14" s="45" t="s">
        <v>41</v>
      </c>
      <c r="T14" s="45"/>
      <c r="V14" s="45"/>
      <c r="AD14" s="45" t="s">
        <v>42</v>
      </c>
      <c r="AE14" s="47">
        <v>100.0</v>
      </c>
      <c r="AH14" s="45"/>
      <c r="AI14" s="46">
        <v>1.0</v>
      </c>
      <c r="AJ14" s="45" t="s">
        <v>55</v>
      </c>
      <c r="AT14" s="47">
        <v>11015.0</v>
      </c>
      <c r="AU14" s="47">
        <v>11015.0</v>
      </c>
      <c r="AV14" s="47"/>
      <c r="BE14" s="47">
        <v>10015.0</v>
      </c>
      <c r="BF14" s="47">
        <v>10015.0</v>
      </c>
      <c r="BJ14" s="47">
        <v>100.0</v>
      </c>
      <c r="BM14" s="45" t="s">
        <v>44</v>
      </c>
      <c r="BO14" s="45" t="s">
        <v>59</v>
      </c>
      <c r="BS14" s="45"/>
      <c r="BT14" s="45" t="s">
        <v>24</v>
      </c>
      <c r="BW14" s="47">
        <v>-1000.0</v>
      </c>
      <c r="CI14" s="45" t="s">
        <v>53</v>
      </c>
      <c r="CK14" s="45" t="s">
        <v>45</v>
      </c>
      <c r="CM14" s="45" t="s">
        <v>24</v>
      </c>
      <c r="CN14" s="45"/>
      <c r="CP14" s="45"/>
    </row>
    <row r="15" ht="15.75" customHeight="1">
      <c r="A15" s="8"/>
      <c r="B15" s="45"/>
      <c r="C15" s="8"/>
      <c r="D15" s="8"/>
      <c r="E15" s="47">
        <v>1000.0</v>
      </c>
      <c r="F15" s="8"/>
      <c r="G15" s="45"/>
      <c r="H15" s="8"/>
      <c r="I15" s="8"/>
      <c r="J15" s="46">
        <v>1.0</v>
      </c>
      <c r="K15" s="46">
        <v>103.25</v>
      </c>
      <c r="L15" s="46">
        <v>103.25</v>
      </c>
      <c r="M15" s="8"/>
      <c r="N15" s="8"/>
      <c r="O15" s="45" t="s">
        <v>40</v>
      </c>
      <c r="S15" s="45" t="s">
        <v>41</v>
      </c>
      <c r="T15" s="45"/>
      <c r="V15" s="45"/>
      <c r="AD15" s="45" t="s">
        <v>42</v>
      </c>
      <c r="AE15" s="47">
        <v>1000.0</v>
      </c>
      <c r="AH15" s="45"/>
      <c r="AI15" s="46">
        <v>1.0</v>
      </c>
      <c r="AJ15" s="45" t="s">
        <v>55</v>
      </c>
      <c r="AT15" s="47" t="s">
        <v>60</v>
      </c>
      <c r="AU15" s="47" t="s">
        <v>60</v>
      </c>
      <c r="AV15" s="46"/>
      <c r="BE15" s="47" t="s">
        <v>61</v>
      </c>
      <c r="BF15" s="47" t="s">
        <v>61</v>
      </c>
      <c r="BJ15" s="47">
        <v>1000.0</v>
      </c>
      <c r="BM15" s="45" t="s">
        <v>44</v>
      </c>
      <c r="BO15" s="45" t="s">
        <v>58</v>
      </c>
      <c r="BS15" s="45"/>
      <c r="BT15" s="45" t="s">
        <v>24</v>
      </c>
      <c r="BW15" s="47">
        <v>-10000.0</v>
      </c>
      <c r="CI15" s="45" t="s">
        <v>53</v>
      </c>
      <c r="CK15" s="45" t="s">
        <v>45</v>
      </c>
      <c r="CM15" s="45" t="s">
        <v>24</v>
      </c>
      <c r="CN15" s="45"/>
      <c r="CP15" s="45"/>
    </row>
    <row r="16" ht="15.75" customHeight="1">
      <c r="A16" s="8"/>
      <c r="B16" s="45"/>
      <c r="C16" s="8"/>
      <c r="D16" s="8"/>
      <c r="E16" s="46">
        <v>900.0</v>
      </c>
      <c r="F16" s="8"/>
      <c r="G16" s="45"/>
      <c r="H16" s="8"/>
      <c r="I16" s="8"/>
      <c r="J16" s="46">
        <v>1.0</v>
      </c>
      <c r="K16" s="46">
        <v>100.15</v>
      </c>
      <c r="L16" s="46">
        <v>100.15</v>
      </c>
      <c r="M16" s="8"/>
      <c r="N16" s="8"/>
      <c r="O16" s="45" t="s">
        <v>40</v>
      </c>
      <c r="S16" s="45" t="s">
        <v>41</v>
      </c>
      <c r="T16" s="45"/>
      <c r="V16" s="45"/>
      <c r="AD16" s="45" t="s">
        <v>42</v>
      </c>
      <c r="AE16" s="46">
        <v>900.0</v>
      </c>
      <c r="AH16" s="45"/>
      <c r="AI16" s="46">
        <v>1.0</v>
      </c>
      <c r="AJ16" s="45" t="s">
        <v>55</v>
      </c>
      <c r="AT16" s="47">
        <v>99135.0</v>
      </c>
      <c r="AU16" s="47">
        <v>99135.0</v>
      </c>
      <c r="AV16" s="47"/>
      <c r="BE16" s="47">
        <v>90135.0</v>
      </c>
      <c r="BF16" s="47">
        <v>90135.0</v>
      </c>
      <c r="BJ16" s="46">
        <v>900.0</v>
      </c>
      <c r="BM16" s="45" t="s">
        <v>44</v>
      </c>
      <c r="BO16" s="45" t="s">
        <v>58</v>
      </c>
      <c r="BS16" s="45"/>
      <c r="BT16" s="45" t="s">
        <v>24</v>
      </c>
      <c r="BW16" s="47">
        <v>-9000.0</v>
      </c>
      <c r="CI16" s="45" t="s">
        <v>53</v>
      </c>
      <c r="CK16" s="45" t="s">
        <v>45</v>
      </c>
      <c r="CM16" s="45" t="s">
        <v>24</v>
      </c>
      <c r="CN16" s="45"/>
      <c r="CP16" s="45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49"/>
      <c r="S17" s="49"/>
      <c r="T17" s="49"/>
      <c r="AJ17" s="49"/>
      <c r="BE17" s="49"/>
      <c r="BF17" s="49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62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6">
        <v>114.0001</v>
      </c>
      <c r="C6" s="46">
        <v>114.0001</v>
      </c>
      <c r="D6" s="46">
        <v>100.0</v>
      </c>
      <c r="E6" s="46">
        <v>100.0</v>
      </c>
      <c r="F6" s="45" t="s">
        <v>63</v>
      </c>
      <c r="G6" s="8"/>
      <c r="H6" s="45" t="s">
        <v>44</v>
      </c>
      <c r="I6" s="8"/>
      <c r="J6" s="8"/>
      <c r="K6" s="8"/>
      <c r="L6" s="8"/>
      <c r="M6" s="8"/>
      <c r="N6" s="8"/>
      <c r="O6" s="45" t="s">
        <v>34</v>
      </c>
      <c r="P6" s="45" t="s">
        <v>64</v>
      </c>
      <c r="Q6" s="46">
        <v>100.0</v>
      </c>
      <c r="R6" s="46">
        <v>100.0</v>
      </c>
      <c r="AF6" s="45" t="s">
        <v>41</v>
      </c>
      <c r="AI6" s="46"/>
      <c r="AK6" s="46"/>
      <c r="AL6" s="46"/>
    </row>
    <row r="7" ht="15.75" customHeight="1">
      <c r="A7" s="8"/>
      <c r="B7" s="47">
        <v>10000.0</v>
      </c>
      <c r="C7" s="47">
        <v>10000.0</v>
      </c>
      <c r="D7" s="47">
        <v>10000.0</v>
      </c>
      <c r="E7" s="47">
        <v>10000.0</v>
      </c>
      <c r="F7" s="45" t="s">
        <v>63</v>
      </c>
      <c r="G7" s="8"/>
      <c r="H7" s="45" t="s">
        <v>44</v>
      </c>
      <c r="I7" s="8"/>
      <c r="J7" s="8"/>
      <c r="K7" s="8"/>
      <c r="L7" s="8"/>
      <c r="M7" s="8"/>
      <c r="N7" s="8"/>
      <c r="O7" s="45" t="s">
        <v>34</v>
      </c>
      <c r="P7" s="45" t="s">
        <v>64</v>
      </c>
      <c r="Q7" s="46">
        <v>100.0</v>
      </c>
      <c r="R7" s="46">
        <v>10.0</v>
      </c>
      <c r="AF7" s="45" t="s">
        <v>46</v>
      </c>
      <c r="AI7" s="46"/>
      <c r="AK7" s="46"/>
      <c r="AL7" s="46"/>
    </row>
    <row r="8" ht="15.75" customHeight="1">
      <c r="A8" s="8"/>
      <c r="B8" s="47">
        <v>10000.0</v>
      </c>
      <c r="C8" s="47">
        <v>10000.0</v>
      </c>
      <c r="D8" s="47">
        <v>10000.0</v>
      </c>
      <c r="E8" s="47">
        <v>10000.0</v>
      </c>
      <c r="F8" s="45" t="s">
        <v>63</v>
      </c>
      <c r="G8" s="8"/>
      <c r="H8" s="45" t="s">
        <v>44</v>
      </c>
      <c r="I8" s="8"/>
      <c r="J8" s="8"/>
      <c r="K8" s="8"/>
      <c r="L8" s="8"/>
      <c r="M8" s="8"/>
      <c r="N8" s="8"/>
      <c r="O8" s="45" t="s">
        <v>34</v>
      </c>
      <c r="P8" s="45" t="s">
        <v>64</v>
      </c>
      <c r="Q8" s="46">
        <v>100.0</v>
      </c>
      <c r="R8" s="46">
        <v>10.0</v>
      </c>
      <c r="AF8" s="45" t="s">
        <v>46</v>
      </c>
      <c r="AI8" s="46"/>
      <c r="AK8" s="46"/>
      <c r="AL8" s="46"/>
    </row>
    <row r="9" ht="15.75" customHeight="1">
      <c r="A9" s="8"/>
      <c r="B9" s="47">
        <v>0.0</v>
      </c>
      <c r="C9" s="47">
        <v>0.0</v>
      </c>
      <c r="D9" s="47">
        <v>0.0</v>
      </c>
      <c r="E9" s="47">
        <v>0.0</v>
      </c>
      <c r="F9" s="45" t="s">
        <v>63</v>
      </c>
      <c r="G9" s="8"/>
      <c r="H9" s="45" t="s">
        <v>44</v>
      </c>
      <c r="I9" s="8"/>
      <c r="J9" s="8"/>
      <c r="K9" s="8"/>
      <c r="L9" s="8"/>
      <c r="M9" s="8"/>
      <c r="N9" s="8"/>
      <c r="O9" s="45" t="s">
        <v>34</v>
      </c>
      <c r="P9" s="45" t="s">
        <v>64</v>
      </c>
      <c r="Q9" s="46">
        <v>100.0</v>
      </c>
      <c r="R9" s="46">
        <v>10.0</v>
      </c>
      <c r="AF9" s="45" t="s">
        <v>46</v>
      </c>
      <c r="AI9" s="46"/>
      <c r="AK9" s="46"/>
      <c r="AL9" s="46"/>
    </row>
    <row r="10" ht="15.75" customHeight="1">
      <c r="A10" s="8"/>
      <c r="B10" s="47">
        <v>10000.0</v>
      </c>
      <c r="C10" s="47">
        <v>10000.0</v>
      </c>
      <c r="D10" s="47">
        <v>10000.0</v>
      </c>
      <c r="E10" s="47">
        <v>10000.0</v>
      </c>
      <c r="F10" s="45" t="s">
        <v>63</v>
      </c>
      <c r="G10" s="8"/>
      <c r="H10" s="45" t="s">
        <v>44</v>
      </c>
      <c r="I10" s="8"/>
      <c r="J10" s="8"/>
      <c r="K10" s="8"/>
      <c r="L10" s="8"/>
      <c r="M10" s="8"/>
      <c r="N10" s="8"/>
      <c r="O10" s="45" t="s">
        <v>34</v>
      </c>
      <c r="P10" s="45" t="s">
        <v>64</v>
      </c>
      <c r="Q10" s="46">
        <v>100.0</v>
      </c>
      <c r="R10" s="46">
        <v>10.0</v>
      </c>
      <c r="AF10" s="45" t="s">
        <v>46</v>
      </c>
      <c r="AI10" s="46"/>
      <c r="AK10" s="46"/>
      <c r="AL10" s="46"/>
    </row>
    <row r="11" ht="15.75" customHeight="1">
      <c r="A11" s="8"/>
      <c r="B11" s="46">
        <v>0.0</v>
      </c>
      <c r="C11" s="46">
        <v>0.0</v>
      </c>
      <c r="D11" s="46">
        <v>0.0</v>
      </c>
      <c r="E11" s="46">
        <v>0.0</v>
      </c>
      <c r="F11" s="45" t="s">
        <v>63</v>
      </c>
      <c r="G11" s="8"/>
      <c r="H11" s="45" t="s">
        <v>44</v>
      </c>
      <c r="I11" s="8"/>
      <c r="J11" s="8"/>
      <c r="K11" s="8"/>
      <c r="L11" s="8"/>
      <c r="M11" s="8"/>
      <c r="N11" s="8"/>
      <c r="O11" s="45" t="s">
        <v>34</v>
      </c>
      <c r="P11" s="45" t="s">
        <v>64</v>
      </c>
      <c r="Q11" s="46">
        <v>100.0</v>
      </c>
      <c r="R11" s="46">
        <v>10.0</v>
      </c>
      <c r="AF11" s="45" t="s">
        <v>46</v>
      </c>
      <c r="AI11" s="46"/>
      <c r="AK11" s="46"/>
      <c r="AL11" s="46"/>
    </row>
    <row r="12" ht="15.75" customHeight="1">
      <c r="A12" s="8"/>
      <c r="B12" s="46">
        <v>0.0</v>
      </c>
      <c r="C12" s="46">
        <v>0.0</v>
      </c>
      <c r="D12" s="46">
        <v>0.0</v>
      </c>
      <c r="E12" s="46">
        <v>0.0</v>
      </c>
      <c r="F12" s="45" t="s">
        <v>63</v>
      </c>
      <c r="G12" s="8"/>
      <c r="H12" s="45" t="s">
        <v>44</v>
      </c>
      <c r="I12" s="8"/>
      <c r="J12" s="8"/>
      <c r="K12" s="8"/>
      <c r="L12" s="8"/>
      <c r="M12" s="8"/>
      <c r="N12" s="8"/>
      <c r="O12" s="45" t="s">
        <v>34</v>
      </c>
      <c r="P12" s="45" t="s">
        <v>64</v>
      </c>
      <c r="Q12" s="46">
        <v>100.0</v>
      </c>
      <c r="R12" s="46">
        <v>10.0</v>
      </c>
      <c r="AF12" s="45" t="s">
        <v>46</v>
      </c>
      <c r="AI12" s="46"/>
      <c r="AK12" s="46"/>
      <c r="AL12" s="46"/>
    </row>
    <row r="13" ht="15.75" customHeight="1">
      <c r="A13" s="8"/>
      <c r="B13" s="46" t="s">
        <v>57</v>
      </c>
      <c r="C13" s="46" t="s">
        <v>57</v>
      </c>
      <c r="D13" s="46" t="s">
        <v>57</v>
      </c>
      <c r="E13" s="46" t="s">
        <v>57</v>
      </c>
      <c r="F13" s="45" t="s">
        <v>65</v>
      </c>
      <c r="G13" s="8"/>
      <c r="H13" s="45" t="s">
        <v>44</v>
      </c>
      <c r="I13" s="8"/>
      <c r="J13" s="8"/>
      <c r="K13" s="8"/>
      <c r="L13" s="8"/>
      <c r="M13" s="8"/>
      <c r="N13" s="8"/>
      <c r="O13" s="45" t="s">
        <v>34</v>
      </c>
      <c r="P13" s="45" t="s">
        <v>64</v>
      </c>
      <c r="Q13" s="46">
        <v>100.0</v>
      </c>
      <c r="R13" s="47">
        <v>1000.0</v>
      </c>
      <c r="AF13" s="45" t="s">
        <v>41</v>
      </c>
      <c r="AI13" s="46"/>
      <c r="AK13" s="46"/>
      <c r="AL13" s="46"/>
    </row>
    <row r="14" ht="15.75" customHeight="1">
      <c r="A14" s="8"/>
      <c r="B14" s="47">
        <v>10015.0</v>
      </c>
      <c r="C14" s="47">
        <v>10015.0</v>
      </c>
      <c r="D14" s="47">
        <v>10015.0</v>
      </c>
      <c r="E14" s="47">
        <v>10015.0</v>
      </c>
      <c r="F14" s="45" t="s">
        <v>65</v>
      </c>
      <c r="G14" s="8"/>
      <c r="H14" s="45" t="s">
        <v>44</v>
      </c>
      <c r="I14" s="8"/>
      <c r="J14" s="8"/>
      <c r="K14" s="8"/>
      <c r="L14" s="8"/>
      <c r="M14" s="8"/>
      <c r="N14" s="8"/>
      <c r="O14" s="45" t="s">
        <v>34</v>
      </c>
      <c r="P14" s="45" t="s">
        <v>64</v>
      </c>
      <c r="Q14" s="46">
        <v>100.0</v>
      </c>
      <c r="R14" s="47">
        <v>100.0</v>
      </c>
      <c r="AF14" s="45" t="s">
        <v>41</v>
      </c>
      <c r="AI14" s="46"/>
      <c r="AK14" s="46"/>
      <c r="AL14" s="46"/>
    </row>
    <row r="15" ht="15.75" customHeight="1">
      <c r="A15" s="8"/>
      <c r="B15" s="47" t="s">
        <v>61</v>
      </c>
      <c r="C15" s="47" t="s">
        <v>61</v>
      </c>
      <c r="D15" s="47" t="s">
        <v>61</v>
      </c>
      <c r="E15" s="47" t="s">
        <v>61</v>
      </c>
      <c r="F15" s="45" t="s">
        <v>65</v>
      </c>
      <c r="G15" s="8"/>
      <c r="H15" s="45" t="s">
        <v>44</v>
      </c>
      <c r="I15" s="8"/>
      <c r="J15" s="8"/>
      <c r="K15" s="8"/>
      <c r="L15" s="8"/>
      <c r="M15" s="8"/>
      <c r="N15" s="8"/>
      <c r="O15" s="45" t="s">
        <v>34</v>
      </c>
      <c r="P15" s="45" t="s">
        <v>64</v>
      </c>
      <c r="Q15" s="46">
        <v>100.0</v>
      </c>
      <c r="R15" s="47">
        <v>1000.0</v>
      </c>
      <c r="AF15" s="45" t="s">
        <v>41</v>
      </c>
      <c r="AI15" s="46"/>
      <c r="AK15" s="46"/>
      <c r="AL15" s="46"/>
    </row>
    <row r="16" ht="15.75" customHeight="1">
      <c r="A16" s="8"/>
      <c r="B16" s="47">
        <v>90135.0</v>
      </c>
      <c r="C16" s="47">
        <v>90135.0</v>
      </c>
      <c r="D16" s="47">
        <v>90135.0</v>
      </c>
      <c r="E16" s="47">
        <v>90135.0</v>
      </c>
      <c r="F16" s="45" t="s">
        <v>63</v>
      </c>
      <c r="G16" s="8"/>
      <c r="H16" s="45" t="s">
        <v>44</v>
      </c>
      <c r="I16" s="8"/>
      <c r="J16" s="8"/>
      <c r="K16" s="8"/>
      <c r="L16" s="8"/>
      <c r="M16" s="8"/>
      <c r="N16" s="8"/>
      <c r="O16" s="45" t="s">
        <v>34</v>
      </c>
      <c r="P16" s="45" t="s">
        <v>64</v>
      </c>
      <c r="Q16" s="46">
        <v>100.0</v>
      </c>
      <c r="R16" s="46">
        <v>900.0</v>
      </c>
      <c r="AF16" s="45" t="s">
        <v>41</v>
      </c>
      <c r="AI16" s="46"/>
      <c r="AK16" s="46"/>
      <c r="AL16" s="46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49"/>
      <c r="AF17" s="49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CheckAllocatedTaxlots!$4:$4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66</v>
      </c>
      <c r="D3" s="5" t="s">
        <v>9</v>
      </c>
      <c r="E3" s="23" t="s">
        <v>67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13"/>
      <c r="C6" s="45" t="s">
        <v>24</v>
      </c>
      <c r="D6" s="46">
        <v>100.0</v>
      </c>
      <c r="E6" s="45" t="s">
        <v>34</v>
      </c>
      <c r="F6" s="45"/>
      <c r="G6" s="47">
        <v>1.0</v>
      </c>
      <c r="H6" s="45" t="s">
        <v>68</v>
      </c>
      <c r="I6" s="45"/>
      <c r="J6" s="45"/>
      <c r="K6" s="8"/>
      <c r="L6" s="8"/>
      <c r="M6" s="8"/>
      <c r="N6" s="50"/>
      <c r="O6" s="45"/>
      <c r="Q6" s="46"/>
      <c r="R6" s="45" t="s">
        <v>69</v>
      </c>
      <c r="S6" s="45" t="s">
        <v>64</v>
      </c>
      <c r="T6" s="45" t="s">
        <v>70</v>
      </c>
      <c r="U6" s="45" t="s">
        <v>45</v>
      </c>
      <c r="V6" s="45" t="s">
        <v>42</v>
      </c>
      <c r="W6" s="45" t="s">
        <v>44</v>
      </c>
      <c r="X6" s="46"/>
      <c r="Y6" s="46">
        <v>1.0</v>
      </c>
      <c r="AN6" s="45" t="s">
        <v>25</v>
      </c>
      <c r="AP6" s="45" t="s">
        <v>71</v>
      </c>
      <c r="AQ6" s="45" t="s">
        <v>24</v>
      </c>
      <c r="AW6" s="46"/>
      <c r="BQ6" s="45"/>
      <c r="BU6" s="45"/>
      <c r="BW6" s="46"/>
      <c r="CD6" s="50"/>
      <c r="CE6" s="50"/>
      <c r="EP6" s="50">
        <v>12000.0</v>
      </c>
      <c r="EV6" s="45"/>
      <c r="EW6" s="46"/>
    </row>
    <row r="7" ht="15.75" customHeight="1">
      <c r="A7" s="8"/>
      <c r="B7" s="8"/>
      <c r="C7" s="45" t="s">
        <v>49</v>
      </c>
      <c r="D7" s="46">
        <v>-10.0</v>
      </c>
      <c r="E7" s="45" t="s">
        <v>34</v>
      </c>
      <c r="F7" s="45"/>
      <c r="G7" s="47">
        <v>10.0</v>
      </c>
      <c r="H7" s="45" t="s">
        <v>68</v>
      </c>
      <c r="I7" s="45"/>
      <c r="J7" s="45"/>
      <c r="K7" s="8"/>
      <c r="L7" s="8"/>
      <c r="M7" s="8"/>
      <c r="N7" s="46"/>
      <c r="O7" s="45"/>
      <c r="Q7" s="50"/>
      <c r="R7" s="45" t="s">
        <v>69</v>
      </c>
      <c r="S7" s="45" t="s">
        <v>64</v>
      </c>
      <c r="T7" s="45" t="s">
        <v>35</v>
      </c>
      <c r="U7" s="45" t="s">
        <v>45</v>
      </c>
      <c r="V7" s="45" t="s">
        <v>47</v>
      </c>
      <c r="W7" s="45" t="s">
        <v>44</v>
      </c>
      <c r="X7" s="46"/>
      <c r="Y7" s="46">
        <v>1.0</v>
      </c>
      <c r="AN7" s="45" t="s">
        <v>26</v>
      </c>
      <c r="AP7" s="45" t="s">
        <v>71</v>
      </c>
      <c r="AQ7" s="45" t="s">
        <v>24</v>
      </c>
      <c r="AW7" s="50"/>
      <c r="BQ7" s="45"/>
      <c r="BU7" s="45"/>
      <c r="BW7" s="46"/>
      <c r="CD7" s="46"/>
      <c r="CE7" s="46"/>
      <c r="EP7" s="50">
        <v>12000.0</v>
      </c>
      <c r="EV7" s="45"/>
      <c r="EW7" s="46"/>
    </row>
    <row r="8" ht="15.75" customHeight="1">
      <c r="A8" s="8"/>
      <c r="B8" s="8"/>
      <c r="C8" s="45" t="s">
        <v>51</v>
      </c>
      <c r="D8" s="46">
        <v>-10.0</v>
      </c>
      <c r="E8" s="45" t="s">
        <v>34</v>
      </c>
      <c r="F8" s="45"/>
      <c r="G8" s="47">
        <v>10.0</v>
      </c>
      <c r="H8" s="45" t="s">
        <v>68</v>
      </c>
      <c r="I8" s="45"/>
      <c r="J8" s="45"/>
      <c r="K8" s="8"/>
      <c r="L8" s="8"/>
      <c r="M8" s="8"/>
      <c r="N8" s="46"/>
      <c r="O8" s="45"/>
      <c r="Q8" s="50"/>
      <c r="R8" s="45" t="s">
        <v>69</v>
      </c>
      <c r="S8" s="45" t="s">
        <v>64</v>
      </c>
      <c r="T8" s="45" t="s">
        <v>35</v>
      </c>
      <c r="U8" s="45" t="s">
        <v>45</v>
      </c>
      <c r="V8" s="45" t="s">
        <v>47</v>
      </c>
      <c r="W8" s="45" t="s">
        <v>44</v>
      </c>
      <c r="X8" s="46"/>
      <c r="Y8" s="46">
        <v>1.0</v>
      </c>
      <c r="AN8" s="45" t="s">
        <v>26</v>
      </c>
      <c r="AP8" s="45" t="s">
        <v>71</v>
      </c>
      <c r="AQ8" s="45" t="s">
        <v>24</v>
      </c>
      <c r="AW8" s="50"/>
      <c r="BQ8" s="45"/>
      <c r="BU8" s="45"/>
      <c r="BW8" s="46"/>
      <c r="CD8" s="46"/>
      <c r="CE8" s="46"/>
      <c r="EP8" s="50">
        <v>12000.0</v>
      </c>
      <c r="EV8" s="45"/>
      <c r="EW8" s="46"/>
    </row>
    <row r="9" ht="15.75" customHeight="1">
      <c r="A9" s="8"/>
      <c r="B9" s="8"/>
      <c r="C9" s="45" t="s">
        <v>54</v>
      </c>
      <c r="D9" s="46">
        <v>-10.0</v>
      </c>
      <c r="E9" s="45" t="s">
        <v>34</v>
      </c>
      <c r="F9" s="45"/>
      <c r="G9" s="47">
        <v>10.0</v>
      </c>
      <c r="H9" s="45" t="s">
        <v>68</v>
      </c>
      <c r="I9" s="45"/>
      <c r="J9" s="45"/>
      <c r="K9" s="8"/>
      <c r="L9" s="8"/>
      <c r="M9" s="8"/>
      <c r="N9" s="46"/>
      <c r="O9" s="45"/>
      <c r="Q9" s="50"/>
      <c r="R9" s="45" t="s">
        <v>69</v>
      </c>
      <c r="S9" s="45" t="s">
        <v>64</v>
      </c>
      <c r="T9" s="45" t="s">
        <v>35</v>
      </c>
      <c r="U9" s="45" t="s">
        <v>45</v>
      </c>
      <c r="V9" s="45" t="s">
        <v>47</v>
      </c>
      <c r="W9" s="45" t="s">
        <v>44</v>
      </c>
      <c r="X9" s="46"/>
      <c r="Y9" s="46">
        <v>1.0</v>
      </c>
      <c r="AN9" s="45" t="s">
        <v>26</v>
      </c>
      <c r="AP9" s="45" t="s">
        <v>71</v>
      </c>
      <c r="AQ9" s="45" t="s">
        <v>24</v>
      </c>
      <c r="AW9" s="50"/>
      <c r="BQ9" s="45"/>
      <c r="BU9" s="45"/>
      <c r="BW9" s="46"/>
      <c r="CD9" s="46"/>
      <c r="CE9" s="46"/>
      <c r="EP9" s="50">
        <v>12000.0</v>
      </c>
      <c r="EV9" s="45"/>
      <c r="EW9" s="46"/>
    </row>
    <row r="10" ht="15.75" customHeight="1">
      <c r="A10" s="8"/>
      <c r="B10" s="8"/>
      <c r="C10" s="45" t="s">
        <v>49</v>
      </c>
      <c r="D10" s="50">
        <v>10.0</v>
      </c>
      <c r="E10" s="45" t="s">
        <v>34</v>
      </c>
      <c r="F10" s="45"/>
      <c r="G10" s="47">
        <v>0.0</v>
      </c>
      <c r="H10" s="45" t="s">
        <v>68</v>
      </c>
      <c r="I10" s="45"/>
      <c r="J10" s="45"/>
      <c r="K10" s="8"/>
      <c r="L10" s="8"/>
      <c r="M10" s="8"/>
      <c r="N10" s="46"/>
      <c r="O10" s="45"/>
      <c r="Q10" s="46"/>
      <c r="R10" s="45" t="s">
        <v>69</v>
      </c>
      <c r="S10" s="45" t="s">
        <v>64</v>
      </c>
      <c r="T10" s="45" t="s">
        <v>35</v>
      </c>
      <c r="U10" s="45" t="s">
        <v>45</v>
      </c>
      <c r="V10" s="45" t="s">
        <v>47</v>
      </c>
      <c r="W10" s="45" t="s">
        <v>44</v>
      </c>
      <c r="X10" s="46"/>
      <c r="Y10" s="46">
        <v>1.0</v>
      </c>
      <c r="AN10" s="45" t="s">
        <v>52</v>
      </c>
      <c r="AP10" s="45" t="s">
        <v>71</v>
      </c>
      <c r="AQ10" s="45" t="s">
        <v>24</v>
      </c>
      <c r="AW10" s="46"/>
      <c r="BQ10" s="45"/>
      <c r="BU10" s="45"/>
      <c r="BW10" s="46"/>
      <c r="CD10" s="46"/>
      <c r="CE10" s="46"/>
      <c r="EP10" s="50">
        <v>12000.0</v>
      </c>
      <c r="EV10" s="45"/>
      <c r="EW10" s="46"/>
    </row>
    <row r="11" ht="15.75" customHeight="1">
      <c r="A11" s="8"/>
      <c r="B11" s="8"/>
      <c r="C11" s="45" t="s">
        <v>51</v>
      </c>
      <c r="D11" s="50">
        <v>10.0</v>
      </c>
      <c r="E11" s="45" t="s">
        <v>34</v>
      </c>
      <c r="F11" s="45"/>
      <c r="G11" s="47">
        <v>0.0</v>
      </c>
      <c r="H11" s="45" t="s">
        <v>68</v>
      </c>
      <c r="I11" s="45"/>
      <c r="J11" s="45"/>
      <c r="K11" s="8"/>
      <c r="L11" s="8"/>
      <c r="M11" s="8"/>
      <c r="N11" s="46"/>
      <c r="O11" s="45"/>
      <c r="Q11" s="46"/>
      <c r="R11" s="45" t="s">
        <v>69</v>
      </c>
      <c r="S11" s="45" t="s">
        <v>64</v>
      </c>
      <c r="T11" s="45" t="s">
        <v>35</v>
      </c>
      <c r="U11" s="45" t="s">
        <v>45</v>
      </c>
      <c r="V11" s="45" t="s">
        <v>47</v>
      </c>
      <c r="W11" s="45" t="s">
        <v>44</v>
      </c>
      <c r="X11" s="46"/>
      <c r="Y11" s="46">
        <v>1.0</v>
      </c>
      <c r="AN11" s="45" t="s">
        <v>52</v>
      </c>
      <c r="AP11" s="45" t="s">
        <v>71</v>
      </c>
      <c r="AQ11" s="45" t="s">
        <v>24</v>
      </c>
      <c r="AW11" s="46"/>
      <c r="BQ11" s="45"/>
      <c r="BU11" s="45"/>
      <c r="BW11" s="46"/>
      <c r="CD11" s="46"/>
      <c r="CE11" s="46"/>
      <c r="EP11" s="50">
        <v>12000.0</v>
      </c>
      <c r="EV11" s="45"/>
      <c r="EW11" s="46"/>
    </row>
    <row r="12" ht="15.75" customHeight="1">
      <c r="A12" s="8"/>
      <c r="B12" s="8"/>
      <c r="C12" s="45" t="s">
        <v>54</v>
      </c>
      <c r="D12" s="46">
        <v>10.0</v>
      </c>
      <c r="E12" s="45" t="s">
        <v>34</v>
      </c>
      <c r="F12" s="45"/>
      <c r="G12" s="47">
        <v>0.0</v>
      </c>
      <c r="H12" s="45" t="s">
        <v>68</v>
      </c>
      <c r="I12" s="45"/>
      <c r="J12" s="45"/>
      <c r="K12" s="8"/>
      <c r="L12" s="8"/>
      <c r="M12" s="8"/>
      <c r="N12" s="46"/>
      <c r="O12" s="45"/>
      <c r="Q12" s="46"/>
      <c r="R12" s="45" t="s">
        <v>69</v>
      </c>
      <c r="S12" s="45" t="s">
        <v>64</v>
      </c>
      <c r="T12" s="45" t="s">
        <v>35</v>
      </c>
      <c r="U12" s="45" t="s">
        <v>45</v>
      </c>
      <c r="V12" s="45" t="s">
        <v>47</v>
      </c>
      <c r="W12" s="45" t="s">
        <v>44</v>
      </c>
      <c r="X12" s="46"/>
      <c r="Y12" s="46">
        <v>1.0</v>
      </c>
      <c r="AN12" s="45" t="s">
        <v>52</v>
      </c>
      <c r="AP12" s="45" t="s">
        <v>71</v>
      </c>
      <c r="AQ12" s="45" t="s">
        <v>24</v>
      </c>
      <c r="AW12" s="46"/>
      <c r="BQ12" s="45"/>
      <c r="BU12" s="45"/>
      <c r="BW12" s="46"/>
      <c r="CD12" s="50"/>
      <c r="CE12" s="50"/>
      <c r="EP12" s="50">
        <v>12000.0</v>
      </c>
      <c r="EV12" s="45"/>
      <c r="EW12" s="46"/>
    </row>
    <row r="13" ht="15.75" customHeight="1">
      <c r="A13" s="8"/>
      <c r="B13" s="8"/>
      <c r="C13" s="45" t="s">
        <v>24</v>
      </c>
      <c r="D13" s="50">
        <v>-1000.0</v>
      </c>
      <c r="E13" s="45" t="s">
        <v>34</v>
      </c>
      <c r="F13" s="45"/>
      <c r="G13" s="47">
        <v>103.25</v>
      </c>
      <c r="H13" s="45" t="s">
        <v>68</v>
      </c>
      <c r="I13" s="45"/>
      <c r="J13" s="45"/>
      <c r="K13" s="8"/>
      <c r="L13" s="8"/>
      <c r="M13" s="8"/>
      <c r="N13" s="46"/>
      <c r="O13" s="45"/>
      <c r="Q13" s="46"/>
      <c r="R13" s="45" t="s">
        <v>69</v>
      </c>
      <c r="S13" s="45" t="s">
        <v>64</v>
      </c>
      <c r="T13" s="45" t="s">
        <v>70</v>
      </c>
      <c r="U13" s="45" t="s">
        <v>45</v>
      </c>
      <c r="V13" s="45" t="s">
        <v>42</v>
      </c>
      <c r="W13" s="45" t="s">
        <v>44</v>
      </c>
      <c r="X13" s="46"/>
      <c r="Y13" s="46">
        <v>1.0</v>
      </c>
      <c r="AN13" s="45" t="s">
        <v>58</v>
      </c>
      <c r="AP13" s="45" t="s">
        <v>68</v>
      </c>
      <c r="AQ13" s="45" t="s">
        <v>24</v>
      </c>
      <c r="AW13" s="46"/>
      <c r="BQ13" s="45"/>
      <c r="BU13" s="45"/>
      <c r="BW13" s="46"/>
      <c r="CD13" s="50"/>
      <c r="CE13" s="50"/>
      <c r="EP13" s="50">
        <v>12000.0</v>
      </c>
      <c r="EV13" s="45"/>
      <c r="EW13" s="46"/>
    </row>
    <row r="14" ht="15.75" customHeight="1">
      <c r="A14" s="8"/>
      <c r="B14" s="8"/>
      <c r="C14" s="45" t="s">
        <v>24</v>
      </c>
      <c r="D14" s="50">
        <v>-1000.0</v>
      </c>
      <c r="E14" s="45" t="s">
        <v>34</v>
      </c>
      <c r="F14" s="45"/>
      <c r="G14" s="46">
        <v>102.25</v>
      </c>
      <c r="H14" s="45" t="s">
        <v>68</v>
      </c>
      <c r="I14" s="8"/>
      <c r="J14" s="8"/>
      <c r="K14" s="8"/>
      <c r="L14" s="8"/>
      <c r="M14" s="8"/>
      <c r="N14" s="46"/>
      <c r="O14" s="45"/>
      <c r="Q14" s="46"/>
      <c r="R14" s="45" t="s">
        <v>69</v>
      </c>
      <c r="S14" s="45" t="s">
        <v>64</v>
      </c>
      <c r="T14" s="45" t="s">
        <v>70</v>
      </c>
      <c r="U14" s="45" t="s">
        <v>45</v>
      </c>
      <c r="V14" s="45" t="s">
        <v>42</v>
      </c>
      <c r="W14" s="45" t="s">
        <v>44</v>
      </c>
      <c r="X14" s="46"/>
      <c r="Y14" s="46">
        <v>1.0</v>
      </c>
      <c r="AN14" s="45" t="s">
        <v>58</v>
      </c>
      <c r="AP14" s="45" t="s">
        <v>68</v>
      </c>
      <c r="AQ14" s="45" t="s">
        <v>24</v>
      </c>
      <c r="AW14" s="46"/>
      <c r="BQ14" s="45"/>
      <c r="BU14" s="45"/>
      <c r="BW14" s="46"/>
      <c r="EP14" s="50">
        <v>12000.0</v>
      </c>
      <c r="EV14" s="45"/>
      <c r="EW14" s="46"/>
    </row>
    <row r="15" ht="15.75" customHeight="1">
      <c r="A15" s="8"/>
      <c r="B15" s="8"/>
      <c r="C15" s="45" t="s">
        <v>24</v>
      </c>
      <c r="D15" s="46">
        <v>-100.0</v>
      </c>
      <c r="E15" s="45" t="s">
        <v>34</v>
      </c>
      <c r="F15" s="45"/>
      <c r="G15" s="46">
        <v>100.15</v>
      </c>
      <c r="H15" s="45" t="s">
        <v>68</v>
      </c>
      <c r="I15" s="8"/>
      <c r="J15" s="8"/>
      <c r="K15" s="8"/>
      <c r="L15" s="8"/>
      <c r="M15" s="8"/>
      <c r="N15" s="50"/>
      <c r="O15" s="45"/>
      <c r="Q15" s="50"/>
      <c r="R15" s="45" t="s">
        <v>69</v>
      </c>
      <c r="S15" s="45" t="s">
        <v>64</v>
      </c>
      <c r="T15" s="45" t="s">
        <v>70</v>
      </c>
      <c r="U15" s="45" t="s">
        <v>45</v>
      </c>
      <c r="V15" s="45" t="s">
        <v>42</v>
      </c>
      <c r="W15" s="45" t="s">
        <v>44</v>
      </c>
      <c r="X15" s="46"/>
      <c r="Y15" s="46">
        <v>1.0</v>
      </c>
      <c r="AN15" s="45" t="s">
        <v>59</v>
      </c>
      <c r="AP15" s="45" t="s">
        <v>71</v>
      </c>
      <c r="AQ15" s="45" t="s">
        <v>24</v>
      </c>
      <c r="AW15" s="50"/>
      <c r="BQ15" s="45"/>
      <c r="BU15" s="45"/>
      <c r="BW15" s="46"/>
      <c r="EP15" s="50">
        <v>12000.0</v>
      </c>
      <c r="EV15" s="45"/>
      <c r="EW15" s="46"/>
    </row>
    <row r="16" ht="15.75" customHeight="1">
      <c r="A16" s="8"/>
      <c r="B16" s="8"/>
      <c r="C16" s="45" t="s">
        <v>24</v>
      </c>
      <c r="D16" s="46">
        <v>-900.0</v>
      </c>
      <c r="E16" s="45" t="s">
        <v>34</v>
      </c>
      <c r="F16" s="45"/>
      <c r="G16" s="46">
        <v>100.15</v>
      </c>
      <c r="H16" s="45" t="s">
        <v>68</v>
      </c>
      <c r="I16" s="8"/>
      <c r="J16" s="8"/>
      <c r="K16" s="8"/>
      <c r="L16" s="8"/>
      <c r="M16" s="8"/>
      <c r="N16" s="50"/>
      <c r="O16" s="45"/>
      <c r="Q16" s="50"/>
      <c r="R16" s="45" t="s">
        <v>69</v>
      </c>
      <c r="S16" s="45" t="s">
        <v>64</v>
      </c>
      <c r="T16" s="45" t="s">
        <v>70</v>
      </c>
      <c r="U16" s="45" t="s">
        <v>45</v>
      </c>
      <c r="V16" s="45" t="s">
        <v>42</v>
      </c>
      <c r="W16" s="45" t="s">
        <v>44</v>
      </c>
      <c r="X16" s="46"/>
      <c r="Y16" s="46">
        <v>1.0</v>
      </c>
      <c r="AN16" s="45" t="s">
        <v>58</v>
      </c>
      <c r="AP16" s="45" t="s">
        <v>68</v>
      </c>
      <c r="AQ16" s="45" t="s">
        <v>24</v>
      </c>
      <c r="AW16" s="50"/>
      <c r="BQ16" s="45"/>
      <c r="BU16" s="45"/>
      <c r="BW16" s="46"/>
      <c r="EP16" s="50">
        <v>12000.0</v>
      </c>
      <c r="EV16" s="45"/>
      <c r="EW16" s="46"/>
    </row>
    <row r="17" ht="15.75" customHeight="1">
      <c r="A17" s="8"/>
      <c r="B17" s="8"/>
      <c r="C17" s="8"/>
      <c r="D17" s="49"/>
      <c r="E17" s="49"/>
      <c r="F17" s="8"/>
      <c r="G17" s="8"/>
      <c r="H17" s="49"/>
      <c r="I17" s="8"/>
      <c r="J17" s="8"/>
      <c r="K17" s="8"/>
      <c r="L17" s="8"/>
      <c r="M17" s="8"/>
      <c r="N17" s="49"/>
      <c r="O17" s="8"/>
      <c r="V17" s="49"/>
      <c r="W17" s="49"/>
      <c r="Y17" s="49"/>
      <c r="AQ17" s="49"/>
      <c r="BU17" s="49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