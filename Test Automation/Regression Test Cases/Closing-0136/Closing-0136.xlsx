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GetMarkPriceData" sheetId="6" r:id="rId8"/>
    <sheet state="visible" name="UpdateMarkPrice" sheetId="7" r:id="rId9"/>
    <sheet state="visible" name="GetDataClosing" sheetId="8" r:id="rId10"/>
    <sheet state="visible" name="VerifyUnExpiredUnSettledGrid" sheetId="9" r:id="rId11"/>
  </sheets>
  <definedNames/>
  <calcPr/>
</workbook>
</file>

<file path=xl/sharedStrings.xml><?xml version="1.0" encoding="utf-8"?>
<sst xmlns="http://schemas.openxmlformats.org/spreadsheetml/2006/main" count="165" uniqueCount="52">
  <si>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</si>
  <si>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</si>
  <si>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</si>
  <si>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</si>
  <si>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</si>
  <si>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</si>
  <si>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</si>
  <si>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</si>
  <si>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</si>
  <si>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</si>
  <si>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</si>
  <si>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</si>
  <si>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</si>
  <si>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</si>
  <si>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</si>
  <si>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</si>
  <si>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10H75.00</t>
  </si>
  <si>
    <t>O:XLE 10R52.00</t>
  </si>
  <si>
    <t>O:ABM 21G100.00D23</t>
  </si>
  <si>
    <t>O:SAP 21G123.00D29</t>
  </si>
  <si>
    <t>TradingTicket</t>
  </si>
  <si>
    <t>CreateDoneAwayOrder</t>
  </si>
  <si>
    <t>RIG</t>
  </si>
  <si>
    <t>Buy</t>
  </si>
  <si>
    <t>Allocation3</t>
  </si>
  <si>
    <t>XLE</t>
  </si>
  <si>
    <t>Buy to Open</t>
  </si>
  <si>
    <t>Allocation1</t>
  </si>
  <si>
    <t>ABM</t>
  </si>
  <si>
    <t>SAP</t>
  </si>
  <si>
    <t>Sell to Open</t>
  </si>
  <si>
    <t>DailyValuation</t>
  </si>
  <si>
    <t>GetMarkPriceData</t>
  </si>
  <si>
    <t>UpdateMarkPrice</t>
  </si>
  <si>
    <t>Closing</t>
  </si>
  <si>
    <t>GetDataClosing</t>
  </si>
  <si>
    <t>Current</t>
  </si>
  <si>
    <t>VerifyUnExpiredUnSettledGrid</t>
  </si>
  <si>
    <t>EquityOption</t>
  </si>
  <si>
    <t>RIG US 08/21/10 C75 Equity</t>
  </si>
  <si>
    <t>Auto</t>
  </si>
  <si>
    <t>Open</t>
  </si>
  <si>
    <t>USD</t>
  </si>
  <si>
    <t>Undefined</t>
  </si>
  <si>
    <t>OPTS</t>
  </si>
  <si>
    <t>M</t>
  </si>
  <si>
    <t>CALL</t>
  </si>
  <si>
    <t>ITM</t>
  </si>
  <si>
    <t>XLE US 06/19/10 P52 Equity</t>
  </si>
  <si>
    <t>PUT</t>
  </si>
  <si>
    <t>OTM</t>
  </si>
  <si>
    <t>ABM US 07/23/21 C100.00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</si>
</sst>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5" fillId="0" fontId="1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14" numFmtId="0" xfId="0" applyAlignment="1" applyBorder="1" applyFont="1">
      <alignment vertical="bottom"/>
    </xf>
    <xf borderId="5" fillId="0" fontId="14" numFmtId="0" xfId="0" applyAlignment="1" applyBorder="1" applyFont="1">
      <alignment vertical="bottom"/>
    </xf>
    <xf borderId="5" fillId="0" fontId="14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right" vertical="bottom"/>
    </xf>
    <xf borderId="0" fillId="0" fontId="14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5" fillId="0" fontId="3" numFmtId="0" xfId="0" applyAlignment="1" applyBorder="1" applyFont="1">
      <alignment horizontal="right" readingOrder="0" vertical="bottom"/>
    </xf>
    <xf borderId="5" fillId="0" fontId="14" numFmtId="3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>
      <c r="A606" t="str">
        <f>IFERROR(__xludf.DUMMYFUNCTION("""COMPUTED_VALUE"""),"Rebalancer")</f>
        <v>Rebalancer</v>
      </c>
      <c r="B606" t="str">
        <f>IFERROR(__xludf.DUMMYFUNCTION("""COMPUTED_VALUE"""),"CloseRebalancer")</f>
        <v>CloseRebalancer</v>
      </c>
      <c r="C606" t="str">
        <f>IFERROR(__xludf.DUMMYFUNCTION("""COMPUTED_VALUE"""),"Undefined")</f>
        <v>Undefined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IFERROR(__xludf.DUMMYFUNCTION("""COMPUTED_VALUE"""),"AddCustomCashUsingImport")</f>
        <v>AddCustomCashUsingImport</v>
      </c>
      <c r="C607" t="str">
        <f>IFERROR(__xludf.DUMMYFUNCTION("""COMPUTED_VALUE"""),"1AlyH1p5l22rwlHL--PsF-nI7tUEh6x4P1Rtm4CIoMM8")</f>
        <v>1AlyH1p5l22rwlHL--PsF-nI7tUEh6x4P1Rtm4CIoMM8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IFERROR(__xludf.DUMMYFUNCTION("""COMPUTED_VALUE"""),"EditRebalanceGrid")</f>
        <v>EditRebalanceGrid</v>
      </c>
      <c r="C608" t="str">
        <f>IFERROR(__xludf.DUMMYFUNCTION("""COMPUTED_VALUE"""),"1bS7JG2B52mCXGDZJejq5Pp8qTEn73efGmX5qKmaHFAI")</f>
        <v>1bS7JG2B52mCXGDZJejq5Pp8qTEn73efGmX5qKmaHFAI</v>
      </c>
    </row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 t="shared" ref="C6:C7" si="1">today()</f>
        <v>44838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5">
        <f t="shared" si="1"/>
        <v>44838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5">
        <f t="shared" ref="C8:C9" si="2">today()+3</f>
        <v>44841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5">
        <f t="shared" si="2"/>
        <v>44841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22</v>
      </c>
      <c r="C6" s="37" t="s">
        <v>23</v>
      </c>
      <c r="D6" s="38">
        <v>100.0</v>
      </c>
      <c r="E6" s="39">
        <v>100.0</v>
      </c>
      <c r="F6" s="37" t="s">
        <v>24</v>
      </c>
      <c r="G6" s="37"/>
      <c r="H6" s="37"/>
      <c r="I6" s="37"/>
      <c r="J6" s="39">
        <v>10.0</v>
      </c>
      <c r="K6" s="37"/>
      <c r="L6" s="37"/>
      <c r="M6" s="37"/>
      <c r="N6" s="32">
        <f t="shared" ref="N6:N7" si="1">today()-1</f>
        <v>44837</v>
      </c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 t="s">
        <v>25</v>
      </c>
      <c r="C7" s="40" t="s">
        <v>23</v>
      </c>
      <c r="D7" s="41">
        <v>100.0</v>
      </c>
      <c r="E7" s="41">
        <v>100.0</v>
      </c>
      <c r="F7" s="40" t="s">
        <v>24</v>
      </c>
      <c r="G7" s="40"/>
      <c r="H7" s="40"/>
      <c r="I7" s="40"/>
      <c r="J7" s="41">
        <v>10.0</v>
      </c>
      <c r="K7" s="40"/>
      <c r="L7" s="40"/>
      <c r="M7" s="40"/>
      <c r="N7" s="35">
        <f t="shared" si="1"/>
        <v>44837</v>
      </c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40" t="s">
        <v>16</v>
      </c>
      <c r="C8" s="42" t="s">
        <v>26</v>
      </c>
      <c r="D8" s="41">
        <v>100.0</v>
      </c>
      <c r="E8" s="41">
        <v>100.0</v>
      </c>
      <c r="F8" s="40" t="s">
        <v>27</v>
      </c>
      <c r="G8" s="40"/>
      <c r="H8" s="40"/>
      <c r="I8" s="40"/>
      <c r="J8" s="41">
        <v>10.0</v>
      </c>
      <c r="K8" s="40"/>
      <c r="L8" s="40"/>
      <c r="M8" s="40"/>
      <c r="N8" s="35">
        <f t="shared" ref="N8:N9" si="2">today()</f>
        <v>44838</v>
      </c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37" t="s">
        <v>17</v>
      </c>
      <c r="C9" s="43" t="s">
        <v>26</v>
      </c>
      <c r="D9" s="39">
        <v>100.0</v>
      </c>
      <c r="E9" s="39">
        <v>100.0</v>
      </c>
      <c r="F9" s="37" t="s">
        <v>27</v>
      </c>
      <c r="G9" s="37"/>
      <c r="H9" s="37"/>
      <c r="I9" s="37"/>
      <c r="J9" s="39">
        <v>10.0</v>
      </c>
      <c r="K9" s="37"/>
      <c r="L9" s="37"/>
      <c r="M9" s="37"/>
      <c r="N9" s="32">
        <f t="shared" si="2"/>
        <v>44838</v>
      </c>
      <c r="O9" s="37"/>
      <c r="P9" s="37"/>
      <c r="Q9" s="37"/>
      <c r="R9" s="37"/>
      <c r="S9" s="37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37"/>
      <c r="B10" s="37" t="s">
        <v>28</v>
      </c>
      <c r="C10" s="37" t="s">
        <v>23</v>
      </c>
      <c r="D10" s="39">
        <v>100.0</v>
      </c>
      <c r="E10" s="39">
        <v>100.0</v>
      </c>
      <c r="F10" s="37" t="s">
        <v>24</v>
      </c>
      <c r="G10" s="37"/>
      <c r="H10" s="37"/>
      <c r="I10" s="37"/>
      <c r="J10" s="39">
        <v>10.0</v>
      </c>
      <c r="K10" s="37"/>
      <c r="L10" s="37"/>
      <c r="M10" s="37"/>
      <c r="N10" s="32">
        <f t="shared" ref="N10:N11" si="3">today()-1</f>
        <v>44837</v>
      </c>
      <c r="O10" s="37"/>
      <c r="P10" s="37"/>
      <c r="Q10" s="37"/>
      <c r="R10" s="37"/>
      <c r="S10" s="37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</row>
    <row r="11" ht="15.75" customHeight="1">
      <c r="A11" s="40"/>
      <c r="B11" s="40" t="s">
        <v>29</v>
      </c>
      <c r="C11" s="40" t="s">
        <v>23</v>
      </c>
      <c r="D11" s="41">
        <v>100.0</v>
      </c>
      <c r="E11" s="41">
        <v>100.0</v>
      </c>
      <c r="F11" s="40" t="s">
        <v>24</v>
      </c>
      <c r="G11" s="40"/>
      <c r="H11" s="40"/>
      <c r="I11" s="40"/>
      <c r="J11" s="41">
        <v>10.0</v>
      </c>
      <c r="K11" s="40"/>
      <c r="L11" s="40"/>
      <c r="M11" s="40"/>
      <c r="N11" s="35">
        <f t="shared" si="3"/>
        <v>44837</v>
      </c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</row>
    <row r="12" ht="15.75" customHeight="1">
      <c r="A12" s="37"/>
      <c r="B12" s="44" t="s">
        <v>18</v>
      </c>
      <c r="C12" s="43" t="s">
        <v>30</v>
      </c>
      <c r="D12" s="39">
        <v>100.0</v>
      </c>
      <c r="E12" s="39">
        <v>100.0</v>
      </c>
      <c r="F12" s="44" t="s">
        <v>27</v>
      </c>
      <c r="G12" s="37"/>
      <c r="H12" s="37"/>
      <c r="I12" s="37"/>
      <c r="J12" s="39">
        <v>10.0</v>
      </c>
      <c r="K12" s="37"/>
      <c r="L12" s="37"/>
      <c r="M12" s="37"/>
      <c r="N12" s="32">
        <f t="shared" ref="N12:N13" si="4">today()</f>
        <v>44838</v>
      </c>
      <c r="O12" s="37"/>
      <c r="P12" s="37"/>
      <c r="Q12" s="37"/>
      <c r="R12" s="37"/>
      <c r="S12" s="37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 s="40"/>
      <c r="DT12" s="40"/>
      <c r="DU12" s="40"/>
      <c r="DV12" s="40"/>
      <c r="DW12" s="40"/>
      <c r="DX12" s="40"/>
      <c r="DY12" s="40"/>
      <c r="DZ12" s="40"/>
      <c r="EA12" s="40"/>
      <c r="EB12" s="40"/>
      <c r="EC12" s="40"/>
      <c r="ED12" s="40"/>
      <c r="EE12" s="40"/>
      <c r="EF12" s="40"/>
      <c r="EG12" s="40"/>
      <c r="EH12" s="40"/>
      <c r="EI12" s="40"/>
      <c r="EJ12" s="40"/>
      <c r="EK12" s="40"/>
      <c r="EL12" s="40"/>
      <c r="EM12" s="40"/>
      <c r="EN12" s="40"/>
      <c r="EO12" s="40"/>
      <c r="EP12" s="40"/>
      <c r="EQ12" s="40"/>
      <c r="ER12" s="40"/>
      <c r="ES12" s="40"/>
      <c r="ET12" s="40"/>
      <c r="EU12" s="40"/>
      <c r="EV12" s="40"/>
      <c r="EW12" s="40"/>
      <c r="EX12" s="40"/>
    </row>
    <row r="13" ht="15.75" customHeight="1">
      <c r="A13" s="37"/>
      <c r="B13" s="44" t="s">
        <v>19</v>
      </c>
      <c r="C13" s="37" t="s">
        <v>30</v>
      </c>
      <c r="D13" s="39">
        <v>100.0</v>
      </c>
      <c r="E13" s="39">
        <v>100.0</v>
      </c>
      <c r="F13" s="44" t="s">
        <v>27</v>
      </c>
      <c r="G13" s="37"/>
      <c r="H13" s="37"/>
      <c r="I13" s="37"/>
      <c r="J13" s="39">
        <v>10.0</v>
      </c>
      <c r="K13" s="37"/>
      <c r="L13" s="37"/>
      <c r="M13" s="37"/>
      <c r="N13" s="32">
        <f t="shared" si="4"/>
        <v>44838</v>
      </c>
      <c r="O13" s="37"/>
      <c r="P13" s="37"/>
      <c r="Q13" s="37"/>
      <c r="R13" s="37"/>
      <c r="S13" s="37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2">
        <f>today()-1</f>
        <v>44837</v>
      </c>
      <c r="C6" s="32">
        <f>today()</f>
        <v>44838</v>
      </c>
      <c r="D6" s="36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 t="s">
        <v>22</v>
      </c>
      <c r="C6" s="46">
        <v>105.0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25</v>
      </c>
      <c r="C7" s="46">
        <v>105.0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7" t="s">
        <v>28</v>
      </c>
      <c r="C8" s="46">
        <v>105.0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7" t="s">
        <v>29</v>
      </c>
      <c r="C9" s="46">
        <v>105.0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5"/>
      <c r="B6" s="36" t="s">
        <v>36</v>
      </c>
      <c r="C6" s="37"/>
      <c r="D6" s="36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IFERROR(__xludf.DUMMYFUNCTION("""COMPUTED_VALUE"""),"AssetName")</f>
        <v>AssetName</v>
      </c>
      <c r="G5" s="28" t="str">
        <f>IFERROR(__xludf.DUMMYFUNCTION("""COMPUTED_VALUE"""),"AUCID")</f>
        <v>AUCID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IFERROR(__xludf.DUMMYFUNCTION("""COMPUTED_VALUE"""),"SettlCurrFxRate")</f>
        <v>SettlCurrFxRate</v>
      </c>
      <c r="CQ5" s="30" t="str">
        <f>IFERROR(__xludf.DUMMYFUNCTION("""COMPUTED_VALUE"""),"SettlCurrFxRateCalc")</f>
        <v>SettlCurrFxRateCalc</v>
      </c>
      <c r="CR5" s="30" t="str">
        <f>IFERROR(__xludf.DUMMYFUNCTION("""COMPUTED_VALUE"""),"SettlCurrUnitCost")</f>
        <v>SettlCurrUnitCost</v>
      </c>
      <c r="CS5" s="30" t="str">
        <f>IFERROR(__xludf.DUMMYFUNCTION("""COMPUTED_VALUE"""),"Settlement Mode")</f>
        <v>Settlement Mode</v>
      </c>
      <c r="CT5" s="30" t="str">
        <f>IFERROR(__xludf.DUMMYFUNCTION("""COMPUTED_VALUE"""),"Settlement Qty")</f>
        <v>Settlement Qty</v>
      </c>
      <c r="CU5" s="30" t="str">
        <f>IFERROR(__xludf.DUMMYFUNCTION("""COMPUTED_VALUE"""),"SettlementCurrencyID")</f>
        <v>SettlementCurrencyID</v>
      </c>
      <c r="CV5" s="30" t="str">
        <f>IFERROR(__xludf.DUMMYFUNCTION("""COMPUTED_VALUE"""),"SettlementDate")</f>
        <v>SettlementDate</v>
      </c>
      <c r="CW5" s="30" t="str">
        <f>IFERROR(__xludf.DUMMYFUNCTION("""COMPUTED_VALUE"""),"SideMultiplier")</f>
        <v>SideMultiplier</v>
      </c>
      <c r="CX5" s="30" t="str">
        <f>IFERROR(__xludf.DUMMYFUNCTION("""COMPUTED_VALUE"""),"SoftCommission")</f>
        <v>SoftCommission</v>
      </c>
      <c r="CY5" s="30" t="str">
        <f>IFERROR(__xludf.DUMMYFUNCTION("""COMPUTED_VALUE"""),"SoftCommissionAmt")</f>
        <v>SoftCommissionAmt</v>
      </c>
      <c r="CZ5" s="30" t="str">
        <f>IFERROR(__xludf.DUMMYFUNCTION("""COMPUTED_VALUE"""),"SoftCommissionCalcBasis")</f>
        <v>SoftCommissionCalcBasis</v>
      </c>
      <c r="DA5" s="30" t="str">
        <f>IFERROR(__xludf.DUMMYFUNCTION("""COMPUTED_VALUE"""),"SoftCommissionRate")</f>
        <v>SoftCommissionRate</v>
      </c>
      <c r="DB5" s="30" t="str">
        <f>IFERROR(__xludf.DUMMYFUNCTION("""COMPUTED_VALUE"""),"StampDuty")</f>
        <v>StampDuty</v>
      </c>
      <c r="DC5" s="30" t="str">
        <f>IFERROR(__xludf.DUMMYFUNCTION("""COMPUTED_VALUE"""),"Strategy")</f>
        <v>Strategy</v>
      </c>
      <c r="DD5" s="30" t="str">
        <f>IFERROR(__xludf.DUMMYFUNCTION("""COMPUTED_VALUE"""),"StrikePrice")</f>
        <v>StrikePrice</v>
      </c>
      <c r="DE5" s="30" t="str">
        <f>IFERROR(__xludf.DUMMYFUNCTION("""COMPUTED_VALUE"""),"SubSectorName")</f>
        <v>SubSectorName</v>
      </c>
      <c r="DF5" s="30" t="str">
        <f>IFERROR(__xludf.DUMMYFUNCTION("""COMPUTED_VALUE"""),"SwapParameters")</f>
        <v>SwapParameters</v>
      </c>
      <c r="DG5" s="30" t="str">
        <f>IFERROR(__xludf.DUMMYFUNCTION("""COMPUTED_VALUE"""),"Symbol")</f>
        <v>Symbol</v>
      </c>
      <c r="DH5" s="30" t="str">
        <f>IFERROR(__xludf.DUMMYFUNCTION("""COMPUTED_VALUE"""),"TaxlotClosingId")</f>
        <v>TaxlotClosingId</v>
      </c>
      <c r="DI5" s="30" t="str">
        <f>IFERROR(__xludf.DUMMYFUNCTION("""COMPUTED_VALUE"""),"TaxLotID")</f>
        <v>TaxLotID</v>
      </c>
      <c r="DJ5" s="30" t="str">
        <f>IFERROR(__xludf.DUMMYFUNCTION("""COMPUTED_VALUE"""),"TaxlotPk")</f>
        <v>TaxlotPk</v>
      </c>
      <c r="DK5" s="30" t="str">
        <f>IFERROR(__xludf.DUMMYFUNCTION("""COMPUTED_VALUE"""),"TaxLotQtyToClose")</f>
        <v>TaxLotQtyToClose</v>
      </c>
      <c r="DL5" s="30" t="str">
        <f>IFERROR(__xludf.DUMMYFUNCTION("""COMPUTED_VALUE"""),"TaxonCommissions")</f>
        <v>TaxonCommissions</v>
      </c>
      <c r="DM5" s="30" t="str">
        <f>IFERROR(__xludf.DUMMYFUNCTION("""COMPUTED_VALUE"""),"TimeOfSaveUTC")</f>
        <v>TimeOfSaveUTC</v>
      </c>
      <c r="DN5" s="30" t="str">
        <f>IFERROR(__xludf.DUMMYFUNCTION("""COMPUTED_VALUE"""),"TotalCommission&amp;Fees")</f>
        <v>TotalCommission&amp;Fees</v>
      </c>
      <c r="DO5" s="30" t="str">
        <f>IFERROR(__xludf.DUMMYFUNCTION("""COMPUTED_VALUE"""),"TotalCommissionandFees")</f>
        <v>TotalCommissionandFees</v>
      </c>
      <c r="DP5" s="30" t="str">
        <f>IFERROR(__xludf.DUMMYFUNCTION("""COMPUTED_VALUE"""),"Tradedate")</f>
        <v>Tradedate</v>
      </c>
      <c r="DQ5" s="30" t="str">
        <f>IFERROR(__xludf.DUMMYFUNCTION("""COMPUTED_VALUE"""),"Trade Attribute 1")</f>
        <v>Trade Attribute 1</v>
      </c>
      <c r="DR5" s="30" t="str">
        <f>IFERROR(__xludf.DUMMYFUNCTION("""COMPUTED_VALUE"""),"TradeAttribute2")</f>
        <v>TradeAttribute2</v>
      </c>
      <c r="DS5" s="30" t="str">
        <f>IFERROR(__xludf.DUMMYFUNCTION("""COMPUTED_VALUE"""),"TradeAttribute3")</f>
        <v>TradeAttribute3</v>
      </c>
      <c r="DT5" s="30" t="str">
        <f>IFERROR(__xludf.DUMMYFUNCTION("""COMPUTED_VALUE"""),"TradeAttribute4")</f>
        <v>TradeAttribute4</v>
      </c>
      <c r="DU5" s="30" t="str">
        <f>IFERROR(__xludf.DUMMYFUNCTION("""COMPUTED_VALUE"""),"TradeAttribute5")</f>
        <v>TradeAttribute5</v>
      </c>
      <c r="DV5" s="30" t="str">
        <f>IFERROR(__xludf.DUMMYFUNCTION("""COMPUTED_VALUE"""),"TradeAttribute6")</f>
        <v>TradeAttribute6</v>
      </c>
      <c r="DW5" s="30" t="str">
        <f>IFERROR(__xludf.DUMMYFUNCTION("""COMPUTED_VALUE"""),"TradingAccountName")</f>
        <v>TradingAccountName</v>
      </c>
      <c r="DX5" s="30" t="str">
        <f>IFERROR(__xludf.DUMMYFUNCTION("""COMPUTED_VALUE"""),"TransactionLevy")</f>
        <v>TransactionLevy</v>
      </c>
      <c r="DY5" s="30" t="str">
        <f>IFERROR(__xludf.DUMMYFUNCTION("""COMPUTED_VALUE"""),"TransactionType")</f>
        <v>TransactionType</v>
      </c>
      <c r="DZ5" s="30" t="str">
        <f>IFERROR(__xludf.DUMMYFUNCTION("""COMPUTED_VALUE"""),"UcitsEligibleTag")</f>
        <v>UcitsEligibleTag</v>
      </c>
      <c r="EA5" s="30" t="str">
        <f>IFERROR(__xludf.DUMMYFUNCTION("""COMPUTED_VALUE"""),"UDAAsset")</f>
        <v>UDAAsset</v>
      </c>
      <c r="EB5" s="30" t="str">
        <f>IFERROR(__xludf.DUMMYFUNCTION("""COMPUTED_VALUE"""),"UnderlyingDelta")</f>
        <v>UnderlyingDelta</v>
      </c>
      <c r="EC5" s="30" t="str">
        <f>IFERROR(__xludf.DUMMYFUNCTION("""COMPUTED_VALUE"""),"UnderlyingName")</f>
        <v>UnderlyingName</v>
      </c>
      <c r="ED5" s="30" t="str">
        <f>IFERROR(__xludf.DUMMYFUNCTION("""COMPUTED_VALUE"""),"UnderlyingSymbol")</f>
        <v>UnderlyingSymbol</v>
      </c>
      <c r="EE5" s="30" t="str">
        <f>IFERROR(__xludf.DUMMYFUNCTION("""COMPUTED_VALUE"""),"UnitCost")</f>
        <v>UnitCost</v>
      </c>
      <c r="EF5" s="30" t="str">
        <f>IFERROR(__xludf.DUMMYFUNCTION("""COMPUTED_VALUE"""),"UnRealizedPNL")</f>
        <v>UnRealizedPNL</v>
      </c>
      <c r="EG5" s="30" t="str">
        <f>IFERROR(__xludf.DUMMYFUNCTION("""COMPUTED_VALUE"""),"Venue")</f>
        <v>Venue</v>
      </c>
      <c r="EH5" s="30" t="str">
        <f>IFERROR(__xludf.DUMMYFUNCTION("""COMPUTED_VALUE"""),"VsCurrencyID")</f>
        <v>VsCurrencyID</v>
      </c>
      <c r="EI5" s="30" t="str">
        <f>IFERROR(__xludf.DUMMYFUNCTION("""COMPUTED_VALUE"""),"WorkflowState")</f>
        <v>WorkflowState</v>
      </c>
      <c r="EJ5" s="30" t="str">
        <f>IFERROR(__xludf.DUMMYFUNCTION("""COMPUTED_VALUE"""),"AvgPriceBase")</f>
        <v>AvgPriceBase</v>
      </c>
      <c r="EK5" s="30" t="str">
        <f>IFERROR(__xludf.DUMMYFUNCTION("""COMPUTED_VALUE"""),"MarketCap")</f>
        <v>MarketCap</v>
      </c>
      <c r="EL5" s="30" t="str">
        <f>IFERROR(__xludf.DUMMYFUNCTION("""COMPUTED_VALUE"""),"UnitCostBase")</f>
        <v>UnitCostBase</v>
      </c>
      <c r="EM5" s="30" t="str">
        <f>IFERROR(__xludf.DUMMYFUNCTION("""COMPUTED_VALUE"""),"ITM/OTM")</f>
        <v>ITM/OTM</v>
      </c>
      <c r="EN5" s="30" t="str">
        <f>IFERROR(__xludf.DUMMYFUNCTION("""COMPUTED_VALUE"""),"Days to Expiry")</f>
        <v>Days to Expiry</v>
      </c>
      <c r="EO5" s="30" t="str">
        <f>IFERROR(__xludf.DUMMYFUNCTION("""COMPUTED_VALUE"""),"% of ITM/OTM")</f>
        <v>% of ITM/OTM</v>
      </c>
      <c r="EP5" s="30" t="str">
        <f>IFERROR(__xludf.DUMMYFUNCTION("""COMPUTED_VALUE"""),"Intrinsic value")</f>
        <v>Intrinsic value</v>
      </c>
      <c r="EQ5" s="30" t="str">
        <f>IFERROR(__xludf.DUMMYFUNCTION("""COMPUTED_VALUE"""),"Gain/Loss if Ex./Assign")</f>
        <v>Gain/Loss if Ex./Assign</v>
      </c>
      <c r="ER5" s="30" t="str">
        <f>IFERROR(__xludf.DUMMYFUNCTION("""COMPUTED_VALUE"""),"isRowCountCheck")</f>
        <v>isRowCountCheck</v>
      </c>
      <c r="ES5" s="30"/>
      <c r="ET5" s="30"/>
      <c r="EU5" s="30"/>
      <c r="EV5" s="30"/>
      <c r="EW5" s="30"/>
      <c r="EX5" s="30"/>
    </row>
    <row r="6" ht="15.75" customHeight="1">
      <c r="A6" s="13"/>
      <c r="B6" s="47" t="s">
        <v>27</v>
      </c>
      <c r="C6" s="37"/>
      <c r="D6" s="36"/>
      <c r="E6" s="48" t="s">
        <v>38</v>
      </c>
      <c r="F6" s="37"/>
      <c r="G6" s="37"/>
      <c r="H6" s="37"/>
      <c r="I6" s="39">
        <v>10.0</v>
      </c>
      <c r="J6" s="49" t="s">
        <v>39</v>
      </c>
      <c r="K6" s="37"/>
      <c r="L6" s="37" t="s">
        <v>40</v>
      </c>
      <c r="M6" s="39">
        <v>0.0</v>
      </c>
      <c r="N6" s="37"/>
      <c r="O6" s="37"/>
      <c r="P6" s="50">
        <v>0.0</v>
      </c>
      <c r="Q6" s="37"/>
      <c r="R6" s="50">
        <v>0.0</v>
      </c>
      <c r="S6" s="50">
        <v>0.0</v>
      </c>
      <c r="T6" s="40"/>
      <c r="U6" s="40" t="s">
        <v>41</v>
      </c>
      <c r="V6" s="40"/>
      <c r="W6" s="40"/>
      <c r="X6" s="40"/>
      <c r="Y6" s="40"/>
      <c r="Z6" s="40"/>
      <c r="AA6" s="40"/>
      <c r="AB6" s="40"/>
      <c r="AC6" s="40"/>
      <c r="AD6" s="40"/>
      <c r="AE6" s="40" t="s">
        <v>42</v>
      </c>
      <c r="AF6" s="40"/>
      <c r="AG6" s="51" t="s">
        <v>43</v>
      </c>
      <c r="AH6" s="51" t="s">
        <v>43</v>
      </c>
      <c r="AI6" s="51" t="s">
        <v>43</v>
      </c>
      <c r="AJ6" s="51" t="s">
        <v>43</v>
      </c>
      <c r="AK6" s="51" t="s">
        <v>43</v>
      </c>
      <c r="AL6" s="51" t="s">
        <v>43</v>
      </c>
      <c r="AM6" s="51" t="s">
        <v>43</v>
      </c>
      <c r="AN6" s="40"/>
      <c r="AO6" s="40"/>
      <c r="AP6" s="40" t="s">
        <v>44</v>
      </c>
      <c r="AQ6" s="52">
        <v>100.0</v>
      </c>
      <c r="AR6" s="40"/>
      <c r="AS6" s="40"/>
      <c r="AT6" s="40" t="s">
        <v>45</v>
      </c>
      <c r="AU6" s="52">
        <v>1.0</v>
      </c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52">
        <v>0.0</v>
      </c>
      <c r="BL6" s="40"/>
      <c r="BM6" s="40"/>
      <c r="BN6" s="40"/>
      <c r="BO6" s="52">
        <v>100000.0</v>
      </c>
      <c r="BP6" s="40"/>
      <c r="BQ6" s="40"/>
      <c r="BR6" s="40"/>
      <c r="BS6" s="40"/>
      <c r="BT6" s="40"/>
      <c r="BU6" s="40"/>
      <c r="BV6" s="51" t="s">
        <v>26</v>
      </c>
      <c r="BW6" s="40"/>
      <c r="BX6" s="40"/>
      <c r="BY6" s="40"/>
      <c r="BZ6" s="40"/>
      <c r="CA6" s="40"/>
      <c r="CB6" s="40"/>
      <c r="CC6" s="40"/>
      <c r="CD6" s="40"/>
      <c r="CE6" s="40"/>
      <c r="CF6" s="40" t="s">
        <v>46</v>
      </c>
      <c r="CG6" s="53">
        <v>100.0</v>
      </c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8" t="s">
        <v>16</v>
      </c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51" t="s">
        <v>22</v>
      </c>
      <c r="EE6" s="40"/>
      <c r="EF6" s="40"/>
      <c r="EG6" s="40"/>
      <c r="EH6" s="40"/>
      <c r="EI6" s="40"/>
      <c r="EJ6" s="52">
        <v>10.0</v>
      </c>
      <c r="EK6" s="40"/>
      <c r="EL6" s="40"/>
      <c r="EM6" s="40" t="s">
        <v>47</v>
      </c>
      <c r="EN6" s="53">
        <v>0.0</v>
      </c>
      <c r="EO6" s="54">
        <v>5.0</v>
      </c>
      <c r="EP6" s="54">
        <v>5.0</v>
      </c>
      <c r="EQ6" s="54">
        <v>-50000.0</v>
      </c>
    </row>
    <row r="7" ht="15.75" customHeight="1">
      <c r="A7" s="8"/>
      <c r="B7" s="51" t="s">
        <v>27</v>
      </c>
      <c r="C7" s="40"/>
      <c r="D7" s="40"/>
      <c r="E7" s="51" t="s">
        <v>38</v>
      </c>
      <c r="F7" s="40"/>
      <c r="G7" s="40"/>
      <c r="H7" s="40"/>
      <c r="I7" s="41">
        <v>10.0</v>
      </c>
      <c r="J7" s="49" t="s">
        <v>48</v>
      </c>
      <c r="K7" s="40"/>
      <c r="L7" s="40" t="s">
        <v>40</v>
      </c>
      <c r="M7" s="41">
        <v>0.0</v>
      </c>
      <c r="N7" s="40"/>
      <c r="O7" s="40"/>
      <c r="P7" s="52">
        <v>0.0</v>
      </c>
      <c r="Q7" s="40"/>
      <c r="R7" s="52">
        <v>0.0</v>
      </c>
      <c r="S7" s="52">
        <v>0.0</v>
      </c>
      <c r="T7" s="40"/>
      <c r="U7" s="40" t="s">
        <v>41</v>
      </c>
      <c r="V7" s="40"/>
      <c r="W7" s="40"/>
      <c r="X7" s="40"/>
      <c r="Y7" s="40"/>
      <c r="Z7" s="40"/>
      <c r="AA7" s="40"/>
      <c r="AB7" s="40"/>
      <c r="AC7" s="40"/>
      <c r="AD7" s="40"/>
      <c r="AE7" s="40" t="s">
        <v>42</v>
      </c>
      <c r="AF7" s="40"/>
      <c r="AG7" s="51" t="s">
        <v>43</v>
      </c>
      <c r="AH7" s="51" t="s">
        <v>43</v>
      </c>
      <c r="AI7" s="51" t="s">
        <v>43</v>
      </c>
      <c r="AJ7" s="51" t="s">
        <v>43</v>
      </c>
      <c r="AK7" s="51" t="s">
        <v>43</v>
      </c>
      <c r="AL7" s="51" t="s">
        <v>43</v>
      </c>
      <c r="AM7" s="51" t="s">
        <v>43</v>
      </c>
      <c r="AN7" s="40"/>
      <c r="AO7" s="40"/>
      <c r="AP7" s="40" t="s">
        <v>44</v>
      </c>
      <c r="AQ7" s="52">
        <v>100.0</v>
      </c>
      <c r="AR7" s="40"/>
      <c r="AS7" s="40"/>
      <c r="AT7" s="40" t="s">
        <v>45</v>
      </c>
      <c r="AU7" s="52">
        <v>1.0</v>
      </c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52">
        <v>0.0</v>
      </c>
      <c r="BL7" s="40"/>
      <c r="BM7" s="40"/>
      <c r="BN7" s="40"/>
      <c r="BO7" s="52">
        <v>100000.0</v>
      </c>
      <c r="BP7" s="40"/>
      <c r="BQ7" s="40"/>
      <c r="BR7" s="40"/>
      <c r="BS7" s="40"/>
      <c r="BT7" s="40"/>
      <c r="BU7" s="40"/>
      <c r="BV7" s="51" t="s">
        <v>26</v>
      </c>
      <c r="BW7" s="40"/>
      <c r="BX7" s="40"/>
      <c r="BY7" s="40"/>
      <c r="BZ7" s="40"/>
      <c r="CA7" s="40"/>
      <c r="CB7" s="40"/>
      <c r="CC7" s="40"/>
      <c r="CD7" s="40"/>
      <c r="CE7" s="40"/>
      <c r="CF7" s="40" t="s">
        <v>49</v>
      </c>
      <c r="CG7" s="53">
        <v>100.0</v>
      </c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37"/>
      <c r="DG7" s="48" t="s">
        <v>17</v>
      </c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51" t="s">
        <v>25</v>
      </c>
      <c r="EE7" s="40"/>
      <c r="EF7" s="40"/>
      <c r="EG7" s="40"/>
      <c r="EH7" s="40"/>
      <c r="EI7" s="40"/>
      <c r="EJ7" s="52">
        <v>10.0</v>
      </c>
      <c r="EK7" s="40"/>
      <c r="EL7" s="40"/>
      <c r="EM7" s="40" t="s">
        <v>50</v>
      </c>
      <c r="EN7" s="53">
        <v>0.0</v>
      </c>
      <c r="EO7" s="54">
        <v>-5.0</v>
      </c>
      <c r="EP7" s="52">
        <v>0.0</v>
      </c>
      <c r="EQ7" s="52">
        <v>-100000.0</v>
      </c>
    </row>
    <row r="8" ht="15.75" customHeight="1">
      <c r="A8" s="8"/>
      <c r="B8" s="51" t="s">
        <v>27</v>
      </c>
      <c r="C8" s="40"/>
      <c r="D8" s="40"/>
      <c r="E8" s="51" t="s">
        <v>38</v>
      </c>
      <c r="F8" s="40"/>
      <c r="G8" s="40"/>
      <c r="H8" s="40"/>
      <c r="I8" s="41">
        <v>10.0</v>
      </c>
      <c r="J8" s="49" t="s">
        <v>51</v>
      </c>
      <c r="K8" s="40"/>
      <c r="L8" s="40" t="s">
        <v>40</v>
      </c>
      <c r="M8" s="41">
        <v>0.0</v>
      </c>
      <c r="N8" s="40"/>
      <c r="O8" s="40"/>
      <c r="P8" s="52">
        <v>0.0</v>
      </c>
      <c r="Q8" s="40"/>
      <c r="R8" s="52">
        <v>0.0</v>
      </c>
      <c r="S8" s="52">
        <v>0.0</v>
      </c>
      <c r="T8" s="40"/>
      <c r="U8" s="40" t="s">
        <v>41</v>
      </c>
      <c r="V8" s="40"/>
      <c r="W8" s="40"/>
      <c r="X8" s="40"/>
      <c r="Y8" s="40"/>
      <c r="Z8" s="40"/>
      <c r="AA8" s="40"/>
      <c r="AB8" s="40"/>
      <c r="AC8" s="40"/>
      <c r="AD8" s="40"/>
      <c r="AE8" s="40" t="s">
        <v>42</v>
      </c>
      <c r="AF8" s="40"/>
      <c r="AG8" s="51" t="s">
        <v>43</v>
      </c>
      <c r="AH8" s="51" t="s">
        <v>43</v>
      </c>
      <c r="AI8" s="51" t="s">
        <v>43</v>
      </c>
      <c r="AJ8" s="51" t="s">
        <v>43</v>
      </c>
      <c r="AK8" s="51" t="s">
        <v>43</v>
      </c>
      <c r="AL8" s="51" t="s">
        <v>43</v>
      </c>
      <c r="AM8" s="51" t="s">
        <v>43</v>
      </c>
      <c r="AN8" s="40"/>
      <c r="AO8" s="40"/>
      <c r="AP8" s="40" t="s">
        <v>44</v>
      </c>
      <c r="AQ8" s="52">
        <v>100.0</v>
      </c>
      <c r="AR8" s="40"/>
      <c r="AS8" s="40"/>
      <c r="AT8" s="40" t="s">
        <v>45</v>
      </c>
      <c r="AU8" s="52">
        <v>1.0</v>
      </c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52">
        <v>0.0</v>
      </c>
      <c r="BL8" s="40"/>
      <c r="BM8" s="40"/>
      <c r="BN8" s="40"/>
      <c r="BO8" s="52">
        <v>100000.0</v>
      </c>
      <c r="BP8" s="40"/>
      <c r="BQ8" s="40"/>
      <c r="BR8" s="40"/>
      <c r="BS8" s="40"/>
      <c r="BT8" s="40"/>
      <c r="BU8" s="40"/>
      <c r="BV8" s="51" t="s">
        <v>30</v>
      </c>
      <c r="BW8" s="40"/>
      <c r="BX8" s="40"/>
      <c r="BY8" s="40"/>
      <c r="BZ8" s="40"/>
      <c r="CA8" s="40"/>
      <c r="CB8" s="40"/>
      <c r="CC8" s="40"/>
      <c r="CD8" s="40"/>
      <c r="CE8" s="40"/>
      <c r="CF8" s="40" t="s">
        <v>46</v>
      </c>
      <c r="CG8" s="53">
        <v>100.0</v>
      </c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37"/>
      <c r="DG8" s="49" t="s">
        <v>18</v>
      </c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51" t="s">
        <v>28</v>
      </c>
      <c r="EE8" s="40"/>
      <c r="EF8" s="40"/>
      <c r="EG8" s="40"/>
      <c r="EH8" s="40"/>
      <c r="EI8" s="40"/>
      <c r="EJ8" s="52">
        <v>10.0</v>
      </c>
      <c r="EK8" s="40"/>
      <c r="EL8" s="40"/>
      <c r="EM8" s="40" t="s">
        <v>47</v>
      </c>
      <c r="EN8" s="53">
        <v>3.0</v>
      </c>
      <c r="EO8" s="54">
        <v>5.0</v>
      </c>
      <c r="EP8" s="54">
        <v>5.0</v>
      </c>
      <c r="EQ8" s="55">
        <v>50000.0</v>
      </c>
    </row>
    <row r="9" ht="15.75" customHeight="1">
      <c r="A9" s="8"/>
      <c r="B9" s="51" t="s">
        <v>27</v>
      </c>
      <c r="C9" s="40"/>
      <c r="D9" s="40"/>
      <c r="E9" s="51" t="s">
        <v>38</v>
      </c>
      <c r="F9" s="40"/>
      <c r="G9" s="40"/>
      <c r="H9" s="40"/>
      <c r="I9" s="41">
        <v>10.0</v>
      </c>
      <c r="J9" s="40"/>
      <c r="K9" s="40"/>
      <c r="L9" s="40" t="s">
        <v>40</v>
      </c>
      <c r="M9" s="41">
        <v>0.0</v>
      </c>
      <c r="N9" s="40"/>
      <c r="O9" s="40"/>
      <c r="P9" s="52">
        <v>0.0</v>
      </c>
      <c r="Q9" s="40"/>
      <c r="R9" s="52">
        <v>0.0</v>
      </c>
      <c r="S9" s="52">
        <v>0.0</v>
      </c>
      <c r="T9" s="40"/>
      <c r="U9" s="40" t="s">
        <v>41</v>
      </c>
      <c r="V9" s="40"/>
      <c r="W9" s="40"/>
      <c r="X9" s="40"/>
      <c r="Y9" s="40"/>
      <c r="Z9" s="40"/>
      <c r="AA9" s="40"/>
      <c r="AB9" s="40"/>
      <c r="AC9" s="40"/>
      <c r="AD9" s="40"/>
      <c r="AE9" s="40" t="s">
        <v>42</v>
      </c>
      <c r="AF9" s="40"/>
      <c r="AG9" s="51" t="s">
        <v>43</v>
      </c>
      <c r="AH9" s="51" t="s">
        <v>43</v>
      </c>
      <c r="AI9" s="51" t="s">
        <v>43</v>
      </c>
      <c r="AJ9" s="51" t="s">
        <v>43</v>
      </c>
      <c r="AK9" s="51" t="s">
        <v>43</v>
      </c>
      <c r="AL9" s="51" t="s">
        <v>43</v>
      </c>
      <c r="AM9" s="51" t="s">
        <v>43</v>
      </c>
      <c r="AN9" s="40"/>
      <c r="AO9" s="40"/>
      <c r="AP9" s="40" t="s">
        <v>44</v>
      </c>
      <c r="AQ9" s="52">
        <v>100.0</v>
      </c>
      <c r="AR9" s="40"/>
      <c r="AS9" s="40"/>
      <c r="AT9" s="40" t="s">
        <v>45</v>
      </c>
      <c r="AU9" s="52">
        <v>1.0</v>
      </c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52">
        <v>0.0</v>
      </c>
      <c r="BL9" s="40"/>
      <c r="BM9" s="40"/>
      <c r="BN9" s="40"/>
      <c r="BO9" s="52">
        <v>100000.0</v>
      </c>
      <c r="BP9" s="40"/>
      <c r="BQ9" s="40"/>
      <c r="BR9" s="40"/>
      <c r="BS9" s="40"/>
      <c r="BT9" s="40"/>
      <c r="BU9" s="40"/>
      <c r="BV9" s="51" t="s">
        <v>30</v>
      </c>
      <c r="BW9" s="40"/>
      <c r="BX9" s="40"/>
      <c r="BY9" s="40"/>
      <c r="BZ9" s="40"/>
      <c r="CA9" s="40"/>
      <c r="CB9" s="40"/>
      <c r="CC9" s="40"/>
      <c r="CD9" s="40"/>
      <c r="CE9" s="40"/>
      <c r="CF9" s="40" t="s">
        <v>49</v>
      </c>
      <c r="CG9" s="53">
        <v>100.0</v>
      </c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37"/>
      <c r="DG9" s="49" t="s">
        <v>19</v>
      </c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51" t="s">
        <v>29</v>
      </c>
      <c r="EE9" s="40"/>
      <c r="EF9" s="40"/>
      <c r="EG9" s="40"/>
      <c r="EH9" s="40"/>
      <c r="EI9" s="40"/>
      <c r="EJ9" s="52">
        <v>10.0</v>
      </c>
      <c r="EK9" s="40"/>
      <c r="EL9" s="40"/>
      <c r="EM9" s="40" t="s">
        <v>50</v>
      </c>
      <c r="EN9" s="53">
        <v>3.0</v>
      </c>
      <c r="EO9" s="54">
        <v>-5.0</v>
      </c>
      <c r="EP9" s="50">
        <v>0.0</v>
      </c>
      <c r="EQ9" s="56">
        <v>100000.0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VerifyUnExpiredUnSettledGrid!$4:$4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