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GetDataAllocation" sheetId="10" r:id="rId12"/>
    <sheet state="visible" name="CheckAllocatedGroups" sheetId="11" r:id="rId13"/>
    <sheet state="visible" name="VerifyExpiredSettledGrid" sheetId="12" r:id="rId14"/>
    <sheet state="visible" name="CheckPortfolioManagement" sheetId="13" r:id="rId15"/>
    <sheet state="visible" name="CreateDoneAwayOrder" sheetId="14" r:id="rId16"/>
    <sheet state="visible" name="SetClosingPreference" sheetId="15" r:id="rId17"/>
  </sheets>
  <definedNames/>
  <calcPr/>
</workbook>
</file>

<file path=xl/sharedStrings.xml><?xml version="1.0" encoding="utf-8"?>
<sst xmlns="http://schemas.openxmlformats.org/spreadsheetml/2006/main" count="278" uniqueCount="64">
  <si>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</si>
  <si>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</si>
  <si>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</si>
  <si>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</si>
  <si>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</si>
  <si>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</si>
  <si>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</si>
  <si>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</si>
  <si>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</si>
  <si>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</si>
  <si>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</si>
  <si>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</si>
  <si>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</si>
  <si>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</si>
  <si>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</si>
  <si>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</si>
  <si>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</si>
  <si>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DailyValuation</t>
  </si>
  <si>
    <t>GetMarkPriceData</t>
  </si>
  <si>
    <t>UpdateMarkPrice</t>
  </si>
  <si>
    <t>O:AAPL 13N715.00</t>
  </si>
  <si>
    <t>Closing</t>
  </si>
  <si>
    <t>GetDataClosing</t>
  </si>
  <si>
    <t>SelectTradeUnexpiredUnsettled</t>
  </si>
  <si>
    <t>Allocation1</t>
  </si>
  <si>
    <t>MS</t>
  </si>
  <si>
    <t>Open</t>
  </si>
  <si>
    <t>Sell to Open</t>
  </si>
  <si>
    <t>ExerciseAssignment</t>
  </si>
  <si>
    <t>Allocation</t>
  </si>
  <si>
    <t>GetDataAllocation</t>
  </si>
  <si>
    <t>Historical</t>
  </si>
  <si>
    <t>1/1/1800</t>
  </si>
  <si>
    <t>CheckAllocatedGroups</t>
  </si>
  <si>
    <t>Manual</t>
  </si>
  <si>
    <t>Equity</t>
  </si>
  <si>
    <t>AAPL US EQUITY</t>
  </si>
  <si>
    <t>APPLE</t>
  </si>
  <si>
    <t>USD</t>
  </si>
  <si>
    <t>NASDAQ</t>
  </si>
  <si>
    <t>Buy to Close</t>
  </si>
  <si>
    <t>AAPL</t>
  </si>
  <si>
    <t>jpearce</t>
  </si>
  <si>
    <t>EquityOption</t>
  </si>
  <si>
    <t>Closed</t>
  </si>
  <si>
    <t>AAPL  FEB 2013 715 PUT</t>
  </si>
  <si>
    <t>OPTS</t>
  </si>
  <si>
    <t>Buy</t>
  </si>
  <si>
    <t>Sell short</t>
  </si>
  <si>
    <t>VerifyExpiredSettledGrid</t>
  </si>
  <si>
    <t>Exercise</t>
  </si>
  <si>
    <t>Long</t>
  </si>
  <si>
    <t>Short</t>
  </si>
  <si>
    <t>Strategy Unallocated</t>
  </si>
  <si>
    <t>US</t>
  </si>
  <si>
    <t>PortfolioManagement</t>
  </si>
  <si>
    <t>CheckPortfolioManagement</t>
  </si>
  <si>
    <t>NewMF</t>
  </si>
  <si>
    <t>FIMAT</t>
  </si>
  <si>
    <t>New Hedge</t>
  </si>
  <si>
    <t>Small Cap</t>
  </si>
  <si>
    <t>TradingTicket</t>
  </si>
  <si>
    <t>CreateDoneAwayOrder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</si>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</sst>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44682.0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>TODAY()-1</f>
        <v>44984</v>
      </c>
      <c r="C6" s="33">
        <f>TODAY()</f>
        <v>44985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20</v>
      </c>
      <c r="C6" s="34">
        <v>120.0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2">
        <v>44562.0</v>
      </c>
      <c r="D6" s="32">
        <v>44896.0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1"/>
      <c r="D6" s="31"/>
      <c r="E6" s="31"/>
      <c r="F6" s="31"/>
      <c r="G6" s="31"/>
      <c r="H6" s="31"/>
      <c r="I6" s="31"/>
      <c r="J6" s="31"/>
      <c r="K6" s="31" t="s">
        <v>25</v>
      </c>
      <c r="L6" s="31"/>
      <c r="M6" s="31"/>
      <c r="N6" s="31"/>
      <c r="O6" s="31"/>
      <c r="P6" s="31"/>
      <c r="Q6" s="31"/>
      <c r="R6" s="31"/>
      <c r="S6" s="31"/>
      <c r="T6" s="31"/>
      <c r="U6" s="31" t="s">
        <v>26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5" t="s">
        <v>27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6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7" t="s">
        <v>20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4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4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31</v>
      </c>
      <c r="C6" s="39" t="s">
        <v>32</v>
      </c>
      <c r="D6" s="40">
        <f>today()</f>
        <v>44985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8"/>
      <c r="D6" s="13"/>
      <c r="E6" s="13">
        <v>50.0</v>
      </c>
      <c r="F6" s="13" t="s">
        <v>34</v>
      </c>
      <c r="G6" s="13" t="s">
        <v>35</v>
      </c>
      <c r="H6" s="13"/>
      <c r="I6" s="13"/>
      <c r="J6" s="13"/>
      <c r="K6" s="13">
        <v>100.0</v>
      </c>
      <c r="L6" s="13">
        <v>100.0</v>
      </c>
      <c r="M6" s="13" t="s">
        <v>36</v>
      </c>
      <c r="N6" s="8"/>
      <c r="O6" s="13" t="s">
        <v>25</v>
      </c>
      <c r="S6" s="9" t="s">
        <v>26</v>
      </c>
      <c r="V6" s="9" t="s">
        <v>37</v>
      </c>
      <c r="Z6" s="9" t="s">
        <v>38</v>
      </c>
      <c r="AD6" s="9" t="s">
        <v>39</v>
      </c>
      <c r="AE6" s="9">
        <v>50.0</v>
      </c>
      <c r="AT6" s="9">
        <v>4500.0</v>
      </c>
      <c r="AU6" s="9">
        <v>4500.0</v>
      </c>
      <c r="BE6" s="9">
        <v>5000.0</v>
      </c>
      <c r="BF6" s="9">
        <v>5000.0</v>
      </c>
      <c r="BO6" s="9" t="s">
        <v>40</v>
      </c>
      <c r="BT6" s="9" t="s">
        <v>41</v>
      </c>
      <c r="CM6" s="9" t="s">
        <v>41</v>
      </c>
      <c r="CN6" s="9" t="s">
        <v>42</v>
      </c>
    </row>
    <row r="7" ht="15.75" customHeight="1">
      <c r="A7" s="8"/>
      <c r="B7" s="13" t="s">
        <v>24</v>
      </c>
      <c r="C7" s="8"/>
      <c r="D7" s="13"/>
      <c r="E7" s="13">
        <v>10.0</v>
      </c>
      <c r="F7" s="13" t="s">
        <v>34</v>
      </c>
      <c r="G7" s="13" t="s">
        <v>43</v>
      </c>
      <c r="H7" s="13"/>
      <c r="I7" s="13"/>
      <c r="J7" s="13"/>
      <c r="K7" s="13"/>
      <c r="L7" s="13"/>
      <c r="M7" s="8"/>
      <c r="N7" s="8"/>
      <c r="O7" s="13" t="s">
        <v>25</v>
      </c>
      <c r="S7" s="9" t="s">
        <v>44</v>
      </c>
      <c r="V7" s="9" t="s">
        <v>45</v>
      </c>
      <c r="Z7" s="9" t="s">
        <v>38</v>
      </c>
      <c r="AD7" s="9" t="s">
        <v>46</v>
      </c>
      <c r="AE7" s="9">
        <v>10.0</v>
      </c>
      <c r="AT7" s="9">
        <v>10000.0</v>
      </c>
      <c r="AU7" s="9">
        <v>10000.0</v>
      </c>
      <c r="BE7" s="9">
        <v>0.0</v>
      </c>
      <c r="BF7" s="9">
        <v>0.0</v>
      </c>
      <c r="BO7" s="9" t="s">
        <v>40</v>
      </c>
      <c r="BT7" s="9" t="s">
        <v>20</v>
      </c>
      <c r="CM7" s="9" t="s">
        <v>41</v>
      </c>
    </row>
    <row r="8" ht="15.75" customHeight="1">
      <c r="A8" s="8"/>
      <c r="B8" s="13" t="s">
        <v>24</v>
      </c>
      <c r="C8" s="8"/>
      <c r="D8" s="13"/>
      <c r="E8" s="13">
        <v>10.0</v>
      </c>
      <c r="F8" s="13" t="s">
        <v>34</v>
      </c>
      <c r="G8" s="13" t="s">
        <v>43</v>
      </c>
      <c r="H8" s="13"/>
      <c r="I8" s="13"/>
      <c r="J8" s="13"/>
      <c r="K8" s="13">
        <v>10.0</v>
      </c>
      <c r="L8" s="13">
        <v>10.0</v>
      </c>
      <c r="M8" s="8"/>
      <c r="N8" s="8"/>
      <c r="O8" s="13" t="s">
        <v>25</v>
      </c>
      <c r="S8" s="9" t="s">
        <v>44</v>
      </c>
      <c r="V8" s="9" t="s">
        <v>45</v>
      </c>
      <c r="Z8" s="9" t="s">
        <v>38</v>
      </c>
      <c r="AD8" s="9" t="s">
        <v>46</v>
      </c>
      <c r="AE8" s="9">
        <v>10.0</v>
      </c>
      <c r="AT8" s="9">
        <v>10000.0</v>
      </c>
      <c r="AU8" s="9">
        <v>10000.0</v>
      </c>
      <c r="BE8" s="9">
        <v>10000.0</v>
      </c>
      <c r="BF8" s="9">
        <v>10000.0</v>
      </c>
      <c r="BO8" s="9" t="s">
        <v>27</v>
      </c>
      <c r="BT8" s="9" t="s">
        <v>20</v>
      </c>
      <c r="CM8" s="9" t="s">
        <v>41</v>
      </c>
      <c r="CN8" s="9" t="s">
        <v>42</v>
      </c>
    </row>
    <row r="9" ht="15.75" customHeight="1">
      <c r="A9" s="8"/>
      <c r="B9" s="13" t="s">
        <v>24</v>
      </c>
      <c r="C9" s="8"/>
      <c r="D9" s="13"/>
      <c r="E9" s="13">
        <v>100.0</v>
      </c>
      <c r="F9" s="13" t="s">
        <v>34</v>
      </c>
      <c r="G9" s="13" t="s">
        <v>35</v>
      </c>
      <c r="H9" s="13"/>
      <c r="I9" s="13"/>
      <c r="J9" s="13"/>
      <c r="K9" s="13">
        <v>10.0</v>
      </c>
      <c r="L9" s="13">
        <v>10.0</v>
      </c>
      <c r="M9" s="13" t="s">
        <v>36</v>
      </c>
      <c r="N9" s="8"/>
      <c r="O9" s="13" t="s">
        <v>25</v>
      </c>
      <c r="S9" s="9" t="s">
        <v>26</v>
      </c>
      <c r="V9" s="9" t="s">
        <v>37</v>
      </c>
      <c r="Z9" s="9" t="s">
        <v>38</v>
      </c>
      <c r="AD9" s="9" t="s">
        <v>39</v>
      </c>
      <c r="AE9" s="9">
        <v>100.0</v>
      </c>
      <c r="AT9" s="9">
        <v>1014.0006</v>
      </c>
      <c r="AU9" s="9">
        <v>1014.0006</v>
      </c>
      <c r="BE9" s="9">
        <v>1000.0</v>
      </c>
      <c r="BF9" s="9">
        <v>1000.0</v>
      </c>
      <c r="BO9" s="9" t="s">
        <v>47</v>
      </c>
      <c r="BT9" s="9" t="s">
        <v>41</v>
      </c>
      <c r="CM9" s="9" t="s">
        <v>41</v>
      </c>
      <c r="CN9" s="9" t="s">
        <v>42</v>
      </c>
    </row>
    <row r="10" ht="15.75" customHeight="1">
      <c r="A10" s="8"/>
      <c r="B10" s="13" t="s">
        <v>24</v>
      </c>
      <c r="C10" s="8"/>
      <c r="D10" s="13"/>
      <c r="E10" s="13">
        <v>50.0</v>
      </c>
      <c r="F10" s="13" t="s">
        <v>34</v>
      </c>
      <c r="G10" s="13" t="s">
        <v>35</v>
      </c>
      <c r="H10" s="13"/>
      <c r="I10" s="13"/>
      <c r="J10" s="13"/>
      <c r="K10" s="13">
        <v>10.0</v>
      </c>
      <c r="L10" s="13">
        <v>10.0</v>
      </c>
      <c r="M10" s="13" t="s">
        <v>36</v>
      </c>
      <c r="N10" s="8"/>
      <c r="O10" s="13" t="s">
        <v>25</v>
      </c>
      <c r="S10" s="9" t="s">
        <v>26</v>
      </c>
      <c r="V10" s="9" t="s">
        <v>37</v>
      </c>
      <c r="Z10" s="9" t="s">
        <v>38</v>
      </c>
      <c r="AD10" s="9" t="s">
        <v>39</v>
      </c>
      <c r="AE10" s="9">
        <v>50.0</v>
      </c>
      <c r="AT10" s="9">
        <v>485.9997</v>
      </c>
      <c r="AU10" s="9">
        <v>485.9997</v>
      </c>
      <c r="BE10" s="9">
        <v>500.0</v>
      </c>
      <c r="BF10" s="9">
        <v>500.0</v>
      </c>
      <c r="BO10" s="9" t="s">
        <v>48</v>
      </c>
      <c r="BT10" s="9" t="s">
        <v>41</v>
      </c>
      <c r="CM10" s="9" t="s">
        <v>41</v>
      </c>
      <c r="CN10" s="9" t="s">
        <v>42</v>
      </c>
    </row>
    <row r="11" ht="15.75" customHeight="1">
      <c r="A11" s="8"/>
      <c r="B11" s="13" t="s">
        <v>24</v>
      </c>
      <c r="C11" s="8"/>
      <c r="D11" s="13"/>
      <c r="E11" s="13">
        <v>950.0</v>
      </c>
      <c r="F11" s="13" t="s">
        <v>34</v>
      </c>
      <c r="G11" s="13" t="s">
        <v>35</v>
      </c>
      <c r="H11" s="13"/>
      <c r="I11" s="13"/>
      <c r="J11" s="13"/>
      <c r="K11" s="13">
        <v>100.0</v>
      </c>
      <c r="L11" s="13">
        <v>100.0</v>
      </c>
      <c r="M11" s="13" t="s">
        <v>36</v>
      </c>
      <c r="N11" s="8"/>
      <c r="O11" s="13" t="s">
        <v>25</v>
      </c>
      <c r="S11" s="9" t="s">
        <v>26</v>
      </c>
      <c r="V11" s="9" t="s">
        <v>37</v>
      </c>
      <c r="Z11" s="9" t="s">
        <v>38</v>
      </c>
      <c r="AD11" s="9" t="s">
        <v>39</v>
      </c>
      <c r="AE11" s="9">
        <v>950.0</v>
      </c>
      <c r="AT11" s="9">
        <v>85500.0</v>
      </c>
      <c r="AU11" s="9">
        <v>85500.0</v>
      </c>
      <c r="BE11" s="9">
        <v>95000.0</v>
      </c>
      <c r="BF11" s="9">
        <v>95000.0</v>
      </c>
      <c r="BO11" s="9" t="s">
        <v>47</v>
      </c>
      <c r="BT11" s="9" t="s">
        <v>41</v>
      </c>
      <c r="CM11" s="9" t="s">
        <v>41</v>
      </c>
      <c r="CN11" s="9" t="s">
        <v>42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24</v>
      </c>
      <c r="C6" s="41" t="s">
        <v>43</v>
      </c>
      <c r="D6" s="31"/>
      <c r="E6" s="31"/>
      <c r="F6" s="31"/>
      <c r="G6" s="34">
        <v>10.0</v>
      </c>
      <c r="H6" s="31"/>
      <c r="I6" s="31"/>
      <c r="J6" s="41" t="s">
        <v>50</v>
      </c>
      <c r="K6" s="42" t="s">
        <v>51</v>
      </c>
      <c r="L6" s="31"/>
      <c r="M6" s="31"/>
      <c r="N6" s="31"/>
      <c r="O6" s="31"/>
      <c r="P6" s="31" t="s">
        <v>38</v>
      </c>
      <c r="Q6" s="31"/>
      <c r="R6" s="31" t="s">
        <v>46</v>
      </c>
      <c r="S6" s="31"/>
      <c r="T6" s="36">
        <v>10.0</v>
      </c>
      <c r="U6" s="31"/>
      <c r="V6" s="35" t="s">
        <v>52</v>
      </c>
      <c r="W6" s="35" t="s">
        <v>52</v>
      </c>
      <c r="X6" s="31"/>
      <c r="Y6" s="31"/>
      <c r="Z6" s="35" t="s">
        <v>27</v>
      </c>
      <c r="AA6" s="31" t="s">
        <v>53</v>
      </c>
      <c r="AB6" s="43" t="s">
        <v>20</v>
      </c>
      <c r="AC6" s="31"/>
      <c r="AD6" s="31" t="s">
        <v>54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41</v>
      </c>
      <c r="D6" s="8">
        <v>100.0</v>
      </c>
      <c r="E6" s="8" t="s">
        <v>24</v>
      </c>
      <c r="F6" s="8" t="s">
        <v>57</v>
      </c>
      <c r="G6" s="8">
        <v>10.0</v>
      </c>
      <c r="H6" s="8" t="s">
        <v>51</v>
      </c>
      <c r="I6" s="8"/>
      <c r="J6" s="8"/>
      <c r="K6" s="8"/>
      <c r="L6" s="8"/>
      <c r="M6" s="8"/>
      <c r="N6" s="8"/>
      <c r="O6" s="8" t="s">
        <v>37</v>
      </c>
      <c r="R6" t="s">
        <v>58</v>
      </c>
      <c r="T6" t="s">
        <v>35</v>
      </c>
      <c r="U6" t="s">
        <v>54</v>
      </c>
      <c r="V6" t="s">
        <v>39</v>
      </c>
      <c r="W6" t="s">
        <v>38</v>
      </c>
      <c r="Y6">
        <v>1.0</v>
      </c>
      <c r="AL6">
        <v>1.0</v>
      </c>
      <c r="AM6">
        <v>1.0</v>
      </c>
      <c r="AN6" t="s">
        <v>47</v>
      </c>
      <c r="AP6" t="s">
        <v>51</v>
      </c>
      <c r="AQ6" t="s">
        <v>41</v>
      </c>
      <c r="BC6">
        <v>1.0</v>
      </c>
      <c r="BE6" t="s">
        <v>35</v>
      </c>
      <c r="BF6" t="s">
        <v>59</v>
      </c>
      <c r="BG6" t="s">
        <v>60</v>
      </c>
      <c r="BI6">
        <v>5.0</v>
      </c>
      <c r="BQ6" t="s">
        <v>42</v>
      </c>
      <c r="BR6" t="s">
        <v>25</v>
      </c>
      <c r="BU6" t="s">
        <v>35</v>
      </c>
    </row>
    <row r="7" ht="15.75" customHeight="1">
      <c r="A7" s="8"/>
      <c r="B7" s="8"/>
      <c r="C7" s="8" t="s">
        <v>41</v>
      </c>
      <c r="D7" s="8">
        <v>-50.0</v>
      </c>
      <c r="E7" s="8" t="s">
        <v>24</v>
      </c>
      <c r="F7" s="8" t="s">
        <v>57</v>
      </c>
      <c r="G7" s="8">
        <v>10.0</v>
      </c>
      <c r="H7" s="8" t="s">
        <v>51</v>
      </c>
      <c r="I7" s="8"/>
      <c r="J7" s="8"/>
      <c r="K7" s="8"/>
      <c r="L7" s="8"/>
      <c r="M7" s="8"/>
      <c r="N7" s="8"/>
      <c r="O7" s="8" t="s">
        <v>37</v>
      </c>
      <c r="R7" t="s">
        <v>58</v>
      </c>
      <c r="T7" t="s">
        <v>35</v>
      </c>
      <c r="U7" t="s">
        <v>54</v>
      </c>
      <c r="V7" t="s">
        <v>39</v>
      </c>
      <c r="W7" t="s">
        <v>38</v>
      </c>
      <c r="Y7">
        <v>1.0</v>
      </c>
      <c r="AL7">
        <v>1.0</v>
      </c>
      <c r="AM7">
        <v>1.0</v>
      </c>
      <c r="AN7" t="s">
        <v>48</v>
      </c>
      <c r="AP7" t="s">
        <v>52</v>
      </c>
      <c r="AQ7" t="s">
        <v>41</v>
      </c>
      <c r="BC7">
        <v>1.0</v>
      </c>
      <c r="BE7" t="s">
        <v>35</v>
      </c>
      <c r="BF7" t="s">
        <v>59</v>
      </c>
      <c r="BG7" t="s">
        <v>60</v>
      </c>
      <c r="BI7">
        <v>5.0</v>
      </c>
      <c r="BQ7" t="s">
        <v>42</v>
      </c>
      <c r="BR7" t="s">
        <v>25</v>
      </c>
      <c r="BU7" t="s">
        <v>35</v>
      </c>
    </row>
    <row r="8" ht="15.75" customHeight="1">
      <c r="A8" s="8"/>
      <c r="B8" s="8"/>
      <c r="C8" s="8" t="s">
        <v>41</v>
      </c>
      <c r="D8" s="8">
        <v>50.0</v>
      </c>
      <c r="E8" s="8" t="s">
        <v>24</v>
      </c>
      <c r="F8" s="8" t="s">
        <v>57</v>
      </c>
      <c r="G8" s="8">
        <v>100.0</v>
      </c>
      <c r="H8" s="8" t="s">
        <v>51</v>
      </c>
      <c r="I8" s="8"/>
      <c r="J8" s="8"/>
      <c r="K8" s="8"/>
      <c r="L8" s="8"/>
      <c r="M8" s="8"/>
      <c r="N8" s="8"/>
      <c r="O8" s="8" t="s">
        <v>37</v>
      </c>
      <c r="R8" t="s">
        <v>58</v>
      </c>
      <c r="T8" t="s">
        <v>35</v>
      </c>
      <c r="U8" t="s">
        <v>54</v>
      </c>
      <c r="V8" t="s">
        <v>39</v>
      </c>
      <c r="W8" t="s">
        <v>38</v>
      </c>
      <c r="Y8">
        <v>1.0</v>
      </c>
      <c r="AL8">
        <v>1.0</v>
      </c>
      <c r="AM8">
        <v>1.0</v>
      </c>
      <c r="AN8" t="s">
        <v>40</v>
      </c>
      <c r="AP8" t="s">
        <v>52</v>
      </c>
      <c r="AQ8" t="s">
        <v>41</v>
      </c>
      <c r="BC8">
        <v>1.0</v>
      </c>
      <c r="BE8" t="s">
        <v>35</v>
      </c>
      <c r="BF8" t="s">
        <v>59</v>
      </c>
      <c r="BG8" t="s">
        <v>60</v>
      </c>
      <c r="BI8">
        <v>5.0</v>
      </c>
      <c r="BQ8" t="s">
        <v>42</v>
      </c>
      <c r="BR8" t="s">
        <v>25</v>
      </c>
      <c r="BU8" t="s">
        <v>35</v>
      </c>
    </row>
    <row r="9" ht="15.75" customHeight="1">
      <c r="A9" s="8"/>
      <c r="B9" s="8"/>
      <c r="C9" s="8" t="s">
        <v>41</v>
      </c>
      <c r="D9" s="8">
        <v>950.0</v>
      </c>
      <c r="E9" s="8" t="s">
        <v>24</v>
      </c>
      <c r="F9" s="8" t="s">
        <v>57</v>
      </c>
      <c r="G9" s="8">
        <v>100.0</v>
      </c>
      <c r="H9" s="8" t="s">
        <v>51</v>
      </c>
      <c r="I9" s="8"/>
      <c r="J9" s="8"/>
      <c r="K9" s="8"/>
      <c r="L9" s="8"/>
      <c r="M9" s="8"/>
      <c r="N9" s="8"/>
      <c r="O9" s="8" t="s">
        <v>37</v>
      </c>
      <c r="R9" t="s">
        <v>58</v>
      </c>
      <c r="T9" t="s">
        <v>35</v>
      </c>
      <c r="U9" t="s">
        <v>54</v>
      </c>
      <c r="V9" t="s">
        <v>39</v>
      </c>
      <c r="W9" t="s">
        <v>38</v>
      </c>
      <c r="Y9">
        <v>1.0</v>
      </c>
      <c r="AL9">
        <v>1.0</v>
      </c>
      <c r="AM9">
        <v>1.0</v>
      </c>
      <c r="AN9" t="s">
        <v>47</v>
      </c>
      <c r="AP9" t="s">
        <v>51</v>
      </c>
      <c r="AQ9" t="s">
        <v>41</v>
      </c>
      <c r="BC9">
        <v>1.0</v>
      </c>
      <c r="BE9" t="s">
        <v>35</v>
      </c>
      <c r="BF9" t="s">
        <v>59</v>
      </c>
      <c r="BG9" t="s">
        <v>60</v>
      </c>
      <c r="BI9">
        <v>5.0</v>
      </c>
      <c r="BQ9" t="s">
        <v>42</v>
      </c>
      <c r="BR9" t="s">
        <v>25</v>
      </c>
      <c r="BU9" t="s">
        <v>35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5" t="s">
        <v>47</v>
      </c>
      <c r="D6" s="34">
        <v>100.0</v>
      </c>
      <c r="E6" s="34">
        <v>100.0</v>
      </c>
      <c r="F6" s="31" t="s">
        <v>24</v>
      </c>
      <c r="G6" s="31" t="s">
        <v>25</v>
      </c>
      <c r="H6" s="31"/>
      <c r="I6" s="31"/>
      <c r="J6" s="34">
        <v>10.0</v>
      </c>
      <c r="K6" s="31"/>
      <c r="L6" s="31"/>
      <c r="M6" s="31"/>
      <c r="N6" s="32">
        <v>44682.0</v>
      </c>
      <c r="O6" s="34">
        <v>1.0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41</v>
      </c>
      <c r="C7" s="9" t="s">
        <v>48</v>
      </c>
      <c r="D7" s="34">
        <v>50.0</v>
      </c>
      <c r="E7" s="34">
        <v>50.0</v>
      </c>
      <c r="F7" s="31" t="s">
        <v>24</v>
      </c>
      <c r="G7" s="31" t="s">
        <v>25</v>
      </c>
      <c r="H7" s="31"/>
      <c r="I7" s="31"/>
      <c r="J7" s="34">
        <v>10.0</v>
      </c>
      <c r="K7" s="31"/>
      <c r="L7" s="31"/>
      <c r="M7" s="31"/>
      <c r="N7" s="32">
        <v>44682.0</v>
      </c>
      <c r="O7" s="34">
        <v>1.0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20</v>
      </c>
      <c r="C8" s="35" t="s">
        <v>27</v>
      </c>
      <c r="D8" s="34">
        <v>10.0</v>
      </c>
      <c r="E8" s="31"/>
      <c r="F8" s="31" t="s">
        <v>24</v>
      </c>
      <c r="G8" s="31"/>
      <c r="H8" s="31"/>
      <c r="I8" s="31"/>
      <c r="J8" s="34">
        <v>10.0</v>
      </c>
      <c r="K8" s="31"/>
      <c r="L8" s="31"/>
      <c r="M8" s="31"/>
      <c r="N8" s="32">
        <v>44682.0</v>
      </c>
      <c r="O8" s="34">
        <v>1.0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/>
      <c r="C6" s="46"/>
      <c r="D6" s="45"/>
      <c r="E6" s="47" t="b">
        <v>1</v>
      </c>
      <c r="F6" s="46"/>
      <c r="G6" s="46"/>
      <c r="H6" s="46"/>
      <c r="I6" s="46"/>
      <c r="J6" s="47" t="b">
        <v>1</v>
      </c>
      <c r="K6" s="46"/>
      <c r="L6" s="46"/>
      <c r="M6" s="46"/>
      <c r="N6" s="46"/>
      <c r="O6" s="46"/>
      <c r="P6" s="46"/>
      <c r="Q6" s="46"/>
      <c r="R6" s="46"/>
      <c r="S6" s="4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