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ortAndVerifyPM" sheetId="5" r:id="rId7"/>
    <sheet state="visible" name="SortAndVerifyPM1" sheetId="6" r:id="rId8"/>
    <sheet state="visible" name="SortAndVerifyPM2" sheetId="7" r:id="rId9"/>
    <sheet state="visible" name="SortAndVerifyPM3" sheetId="8" r:id="rId10"/>
    <sheet state="visible" name="PricingInput" sheetId="9" r:id="rId11"/>
    <sheet state="visible" name="PricingInput1" sheetId="10" r:id="rId12"/>
    <sheet state="visible" name="OpenPIFromPM1" sheetId="11" r:id="rId13"/>
  </sheets>
  <definedNames/>
  <calcPr/>
</workbook>
</file>

<file path=xl/sharedStrings.xml><?xml version="1.0" encoding="utf-8"?>
<sst xmlns="http://schemas.openxmlformats.org/spreadsheetml/2006/main" count="188" uniqueCount="37">
  <si>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</si>
  <si>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</si>
  <si>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</si>
  <si>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</si>
  <si>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</si>
  <si>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</si>
  <si>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</si>
  <si>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</si>
  <si>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</si>
  <si>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</si>
  <si>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</si>
  <si>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</si>
  <si>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</si>
  <si>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</si>
  <si>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</si>
  <si>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</si>
  <si>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</si>
  <si>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</si>
  <si>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</si>
  <si>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GOOG</t>
  </si>
  <si>
    <t>MSFT</t>
  </si>
  <si>
    <t>ZVZZT</t>
  </si>
  <si>
    <t>PortfolioManagement</t>
  </si>
  <si>
    <t>SortAndVerifyPM</t>
  </si>
  <si>
    <t>Symbol</t>
  </si>
  <si>
    <t>ASC</t>
  </si>
  <si>
    <t>NewMF</t>
  </si>
  <si>
    <t>Px Selected Feed (Local)</t>
  </si>
  <si>
    <t>DSC</t>
  </si>
  <si>
    <t>Long</t>
  </si>
  <si>
    <t>Cost Basis</t>
  </si>
  <si>
    <t>Exposure (Local)</t>
  </si>
  <si>
    <t>Equity</t>
  </si>
  <si>
    <t>US</t>
  </si>
  <si>
    <t>NASDAQ</t>
  </si>
  <si>
    <t>PricingInput</t>
  </si>
  <si>
    <t>OpenPIFromPM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</si>
</sst>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6" fontId="14" numFmtId="0" xfId="0" applyAlignment="1" applyFill="1" applyFont="1">
      <alignment horizontal="right" readingOrder="0"/>
    </xf>
    <xf borderId="0" fillId="6" fontId="15" numFmtId="0" xfId="0" applyAlignment="1" applyFont="1">
      <alignment readingOrder="0"/>
    </xf>
    <xf borderId="6" fillId="0" fontId="5" numFmtId="0" xfId="0" applyAlignment="1" applyBorder="1" applyFont="1">
      <alignment readingOrder="0" vertical="bottom"/>
    </xf>
    <xf borderId="0" fillId="0" fontId="2" numFmtId="3" xfId="0" applyAlignment="1" applyFont="1" applyNumberFormat="1">
      <alignment readingOrder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13" t="s">
        <v>16</v>
      </c>
      <c r="C6" s="32" t="s">
        <v>17</v>
      </c>
      <c r="D6" s="33">
        <v>200.0</v>
      </c>
      <c r="E6" s="33">
        <v>200.0</v>
      </c>
      <c r="F6" s="32" t="s">
        <v>18</v>
      </c>
      <c r="G6" s="34"/>
      <c r="H6" s="34"/>
      <c r="I6" s="34"/>
      <c r="J6" s="35">
        <v>30.0</v>
      </c>
      <c r="K6" s="34"/>
      <c r="L6" s="34"/>
      <c r="M6" s="34"/>
      <c r="N6" s="36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1"/>
      <c r="B7" s="13" t="s">
        <v>19</v>
      </c>
      <c r="C7" s="32" t="s">
        <v>17</v>
      </c>
      <c r="D7" s="35">
        <v>100.0</v>
      </c>
      <c r="E7" s="35">
        <v>100.0</v>
      </c>
      <c r="F7" s="32" t="s">
        <v>18</v>
      </c>
      <c r="G7" s="34"/>
      <c r="H7" s="34"/>
      <c r="I7" s="34"/>
      <c r="J7" s="35">
        <v>30.0</v>
      </c>
      <c r="K7" s="34"/>
      <c r="L7" s="34"/>
      <c r="M7" s="34"/>
      <c r="N7" s="36"/>
      <c r="O7" s="34"/>
      <c r="P7" s="34"/>
      <c r="Q7" s="34"/>
      <c r="R7" s="34"/>
      <c r="S7" s="34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1"/>
      <c r="B8" s="13" t="s">
        <v>20</v>
      </c>
      <c r="C8" s="32" t="s">
        <v>17</v>
      </c>
      <c r="D8" s="33">
        <v>300.0</v>
      </c>
      <c r="E8" s="38">
        <v>300.0</v>
      </c>
      <c r="F8" s="32" t="s">
        <v>18</v>
      </c>
      <c r="G8" s="34"/>
      <c r="H8" s="34"/>
      <c r="I8" s="34"/>
      <c r="J8" s="35">
        <v>30.0</v>
      </c>
      <c r="K8" s="34"/>
      <c r="L8" s="34"/>
      <c r="M8" s="34"/>
      <c r="N8" s="36"/>
      <c r="O8" s="34"/>
      <c r="P8" s="34"/>
      <c r="Q8" s="34"/>
      <c r="R8" s="34"/>
      <c r="S8" s="34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1"/>
      <c r="B9" s="13" t="s">
        <v>20</v>
      </c>
      <c r="C9" s="32" t="s">
        <v>17</v>
      </c>
      <c r="D9" s="33">
        <v>400.0</v>
      </c>
      <c r="E9" s="38">
        <v>400.0</v>
      </c>
      <c r="F9" s="32" t="s">
        <v>18</v>
      </c>
      <c r="G9" s="34"/>
      <c r="H9" s="34"/>
      <c r="I9" s="34"/>
      <c r="J9" s="35">
        <v>30.0</v>
      </c>
      <c r="K9" s="34"/>
      <c r="L9" s="34"/>
      <c r="M9" s="34"/>
      <c r="N9" s="36"/>
      <c r="O9" s="34"/>
      <c r="P9" s="34"/>
      <c r="Q9" s="34"/>
      <c r="R9" s="34"/>
      <c r="S9" s="34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8"/>
      <c r="B10" s="13" t="s">
        <v>21</v>
      </c>
      <c r="C10" s="32" t="s">
        <v>17</v>
      </c>
      <c r="D10" s="33">
        <v>500.0</v>
      </c>
      <c r="E10" s="38">
        <v>500.0</v>
      </c>
      <c r="F10" s="32" t="s">
        <v>18</v>
      </c>
      <c r="G10" s="34"/>
      <c r="H10" s="34"/>
      <c r="I10" s="34"/>
      <c r="J10" s="35">
        <v>30.0</v>
      </c>
      <c r="K10" s="34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IFERROR(__xludf.DUMMYFUNCTION("""COMPUTED_VALUE"""),"SortingColumnName")</f>
        <v>SortingColumnName</v>
      </c>
      <c r="C5" s="28" t="str">
        <f>IFERROR(__xludf.DUMMYFUNCTION("""COMPUTED_VALUE"""),"Sort ASC OR DSC")</f>
        <v>Sort ASC OR DSC</v>
      </c>
      <c r="D5" s="28" t="str">
        <f>IFERROR(__xludf.DUMMYFUNCTION("""COMPUTED_VALUE"""),"Trade Date")</f>
        <v>Trade Date</v>
      </c>
      <c r="E5" s="28" t="str">
        <f>IFERROR(__xludf.DUMMYFUNCTION("""COMPUTED_VALUE"""),"Symbol")</f>
        <v>Symbol</v>
      </c>
      <c r="F5" s="29" t="str">
        <f>IFERROR(__xludf.DUMMYFUNCTION("""COMPUTED_VALUE"""),"Position")</f>
        <v>Position</v>
      </c>
      <c r="G5" s="28" t="str">
        <f>IFERROR(__xludf.DUMMYFUNCTION("""COMPUTED_VALUE"""),"Account")</f>
        <v>Account</v>
      </c>
      <c r="H5" s="28" t="str">
        <f>IFERROR(__xludf.DUMMYFUNCTION("""COMPUTED_VALUE"""),"MasterFund")</f>
        <v>MasterFund</v>
      </c>
      <c r="I5" s="28" t="str">
        <f>IFERROR(__xludf.DUMMYFUNCTION("""COMPUTED_VALUE"""),"Cost Basis")</f>
        <v>Cost Basis</v>
      </c>
      <c r="J5" s="28" t="str">
        <f>IFERROR(__xludf.DUMMYFUNCTION("""COMPUTED_VALUE"""),"Position Side")</f>
        <v>Position Side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Day P&amp;L (Gross MV)")</f>
        <v>% Day P&amp;L (Gross MV)</v>
      </c>
      <c r="M5" s="28" t="str">
        <f>IFERROR(__xludf.DUMMYFUNCTION("""COMPUTED_VALUE"""),"Net Exposure (Base)")</f>
        <v>Net Exposure (Base)</v>
      </c>
      <c r="N5" s="28" t="str">
        <f>IFERROR(__xludf.DUMMYFUNCTION("""COMPUTED_VALUE"""),"Beta Adj. Gross Exposure (Base)")</f>
        <v>Beta Adj. Gross Exposure (Base)</v>
      </c>
      <c r="O5" s="28" t="str">
        <f>IFERROR(__xludf.DUMMYFUNCTION("""COMPUTED_VALUE"""),"Beta Adj. Gross Exposure (Underlying) (Base)")</f>
        <v>Beta Adj. Gross Exposure (Underlying) (Base)</v>
      </c>
      <c r="P5" s="28" t="str">
        <f>IFERROR(__xludf.DUMMYFUNCTION("""COMPUTED_VALUE"""),"Day P&amp;L (Base)")</f>
        <v>Day P&amp;L (Base)</v>
      </c>
      <c r="Q5" s="28" t="str">
        <f>IFERROR(__xludf.DUMMYFUNCTION("""COMPUTED_VALUE"""),"Security Name")</f>
        <v>Security Name</v>
      </c>
      <c r="R5" s="28" t="str">
        <f>IFERROR(__xludf.DUMMYFUNCTION("""COMPUTED_VALUE"""),"Closing Mark")</f>
        <v>Closing Mark</v>
      </c>
      <c r="S5" s="28" t="str">
        <f>IFERROR(__xludf.DUMMYFUNCTION("""COMPUTED_VALUE"""),"Cost Basis P&amp;L (Base)")</f>
        <v>Cost Basis P&amp;L (Base)</v>
      </c>
      <c r="T5" s="30" t="str">
        <f>IFERROR(__xludf.DUMMYFUNCTION("""COMPUTED_VALUE"""),"Prime Broker")</f>
        <v>Prime Broker</v>
      </c>
      <c r="U5" s="30" t="str">
        <f>IFERROR(__xludf.DUMMYFUNCTION("""COMPUTED_VALUE"""),"Strategy")</f>
        <v>Strategy</v>
      </c>
      <c r="V5" s="30" t="str">
        <f>IFERROR(__xludf.DUMMYFUNCTION("""COMPUTED_VALUE"""),"Asset Class")</f>
        <v>Asset Class</v>
      </c>
      <c r="W5" s="30" t="str">
        <f>IFERROR(__xludf.DUMMYFUNCTION("""COMPUTED_VALUE"""),"Underlying")</f>
        <v>Underlying</v>
      </c>
      <c r="X5" s="30" t="str">
        <f>IFERROR(__xludf.DUMMYFUNCTION("""COMPUTED_VALUE"""),"Exchange")</f>
        <v>Exchange</v>
      </c>
      <c r="Y5" s="30" t="str">
        <f>IFERROR(__xludf.DUMMYFUNCTION("""COMPUTED_VALUE"""),"Trade Currency")</f>
        <v>Trade Currency</v>
      </c>
      <c r="Z5" s="30" t="str">
        <f>IFERROR(__xludf.DUMMYFUNCTION("""COMPUTED_VALUE"""),"Multiplier")</f>
        <v>Multiplier</v>
      </c>
      <c r="AA5" s="30" t="str">
        <f>IFERROR(__xludf.DUMMYFUNCTION("""COMPUTED_VALUE"""),"FX Rate")</f>
        <v>FX Rate</v>
      </c>
      <c r="AB5" s="30" t="str">
        <f>IFERROR(__xludf.DUMMYFUNCTION("""COMPUTED_VALUE"""),"Vs Currency")</f>
        <v>Vs Currency</v>
      </c>
      <c r="AC5" s="30" t="str">
        <f>IFERROR(__xludf.DUMMYFUNCTION("""COMPUTED_VALUE"""),"Lead Currency")</f>
        <v>Lead Currency</v>
      </c>
      <c r="AD5" s="30" t="str">
        <f>IFERROR(__xludf.DUMMYFUNCTION("""COMPUTED_VALUE"""),"Dividend Yield (%)")</f>
        <v>Dividend Yield (%)</v>
      </c>
      <c r="AE5" s="30" t="str">
        <f>IFERROR(__xludf.DUMMYFUNCTION("""COMPUTED_VALUE"""),"% Change")</f>
        <v>% Change</v>
      </c>
      <c r="AF5" s="30" t="str">
        <f>IFERROR(__xludf.DUMMYFUNCTION("""COMPUTED_VALUE"""),"Net Exposure (Local)")</f>
        <v>Net Exposure (Local)</v>
      </c>
      <c r="AG5" s="30" t="str">
        <f>IFERROR(__xludf.DUMMYFUNCTION("""COMPUTED_VALUE"""),"Exposure (Local)")</f>
        <v>Exposure (Local)</v>
      </c>
      <c r="AH5" s="30" t="str">
        <f>IFERROR(__xludf.DUMMYFUNCTION("""COMPUTED_VALUE"""),"Delta Adj. Position")</f>
        <v>Delta Adj. Position</v>
      </c>
      <c r="AI5" s="30" t="str">
        <f>IFERROR(__xludf.DUMMYFUNCTION("""COMPUTED_VALUE"""),"Exposure (Base)")</f>
        <v>Exposure (Base)</v>
      </c>
      <c r="AJ5" s="30" t="str">
        <f>IFERROR(__xludf.DUMMYFUNCTION("""COMPUTED_VALUE"""),"Beta Adj. Exposure (Local)")</f>
        <v>Beta Adj. Exposure (Local)</v>
      </c>
      <c r="AK5" s="30" t="str">
        <f>IFERROR(__xludf.DUMMYFUNCTION("""COMPUTED_VALUE"""),"Beta Adj. Exposure (Base)")</f>
        <v>Beta Adj. Exposure (Base)</v>
      </c>
      <c r="AL5" s="30" t="str">
        <f>IFERROR(__xludf.DUMMYFUNCTION("""COMPUTED_VALUE"""),"Exposure (BP)(Base)")</f>
        <v>Exposure (BP)(Base)</v>
      </c>
      <c r="AM5" s="30" t="str">
        <f>IFERROR(__xludf.DUMMYFUNCTION("""COMPUTED_VALUE"""),"Day P&amp;L (Local)")</f>
        <v>Day P&amp;L (Local)</v>
      </c>
      <c r="AN5" s="30" t="str">
        <f>IFERROR(__xludf.DUMMYFUNCTION("""COMPUTED_VALUE"""),"Delta")</f>
        <v>Delta</v>
      </c>
      <c r="AO5" s="30" t="str">
        <f>IFERROR(__xludf.DUMMYFUNCTION("""COMPUTED_VALUE"""),"Leveraged Factor")</f>
        <v>Leveraged Factor</v>
      </c>
      <c r="AP5" s="30" t="str">
        <f>IFERROR(__xludf.DUMMYFUNCTION("""COMPUTED_VALUE"""),"Order Side")</f>
        <v>Order Side</v>
      </c>
      <c r="AQ5" s="30" t="str">
        <f>IFERROR(__xludf.DUMMYFUNCTION("""COMPUTED_VALUE"""),"Master Strategy")</f>
        <v>Master Strategy</v>
      </c>
      <c r="AR5" s="30" t="str">
        <f>IFERROR(__xludf.DUMMYFUNCTION("""COMPUTED_VALUE"""),"Transaction Side")</f>
        <v>Transaction Side</v>
      </c>
      <c r="AS5" s="30" t="str">
        <f>IFERROR(__xludf.DUMMYFUNCTION("""COMPUTED_VALUE"""),"Underlying Symbol")</f>
        <v>Underlying Symbol</v>
      </c>
      <c r="AT5" s="30" t="str">
        <f>IFERROR(__xludf.DUMMYFUNCTION("""COMPUTED_VALUE"""),"Underlying Price")</f>
        <v>Underlying Price</v>
      </c>
      <c r="AU5" s="30" t="str">
        <f>IFERROR(__xludf.DUMMYFUNCTION("""COMPUTED_VALUE"""),"Side Multiplier")</f>
        <v>Side Multiplier</v>
      </c>
      <c r="AV5" s="30" t="str">
        <f>IFERROR(__xludf.DUMMYFUNCTION("""COMPUTED_VALUE"""),"Description")</f>
        <v>Description</v>
      </c>
      <c r="AW5" s="30" t="str">
        <f>IFERROR(__xludf.DUMMYFUNCTION("""COMPUTED_VALUE"""),"Internal Comments")</f>
        <v>Internal Comments</v>
      </c>
      <c r="AX5" s="30" t="str">
        <f>IFERROR(__xludf.DUMMYFUNCTION("""COMPUTED_VALUE"""),"FX Rate On Trade Date")</f>
        <v>FX Rate On Trade Date</v>
      </c>
      <c r="AY5" s="30" t="str">
        <f>IFERROR(__xludf.DUMMYFUNCTION("""COMPUTED_VALUE"""),"Cost Basis P&amp;L (Local)")</f>
        <v>Cost Basis P&amp;L (Local)</v>
      </c>
      <c r="AZ5" s="30" t="str">
        <f>IFERROR(__xludf.DUMMYFUNCTION("""COMPUTED_VALUE"""),"Day Interest")</f>
        <v>Day Interest</v>
      </c>
      <c r="BA5" s="30" t="str">
        <f>IFERROR(__xludf.DUMMYFUNCTION("""COMPUTED_VALUE"""),"Total Interest")</f>
        <v>Total Interest</v>
      </c>
      <c r="BB5" s="30" t="str">
        <f>IFERROR(__xludf.DUMMYFUNCTION("""COMPUTED_VALUE"""),"Market Value (Local)")</f>
        <v>Market Value (Local)</v>
      </c>
      <c r="BC5" s="30" t="str">
        <f>IFERROR(__xludf.DUMMYFUNCTION("""COMPUTED_VALUE"""),"% Gain/Loss Day")</f>
        <v>% Gain/Loss Day</v>
      </c>
      <c r="BD5" s="30" t="str">
        <f>IFERROR(__xludf.DUMMYFUNCTION("""COMPUTED_VALUE"""),"Update Time (Last Price)")</f>
        <v>Update Time (Last Price)</v>
      </c>
      <c r="BE5" s="30" t="str">
        <f>IFERROR(__xludf.DUMMYFUNCTION("""COMPUTED_VALUE"""),"Beta")</f>
        <v>Beta</v>
      </c>
      <c r="BF5" s="30" t="str">
        <f>IFERROR(__xludf.DUMMYFUNCTION("""COMPUTED_VALUE"""),"Cash Impact (Local)")</f>
        <v>Cash Impact (Local)</v>
      </c>
      <c r="BG5" s="30" t="str">
        <f>IFERROR(__xludf.DUMMYFUNCTION("""COMPUTED_VALUE"""),"User Asset")</f>
        <v>User Asset</v>
      </c>
      <c r="BH5" s="30" t="str">
        <f>IFERROR(__xludf.DUMMYFUNCTION("""COMPUTED_VALUE"""),"Security Type")</f>
        <v>Security Type</v>
      </c>
      <c r="BI5" s="30" t="str">
        <f>IFERROR(__xludf.DUMMYFUNCTION("""COMPUTED_VALUE"""),"Sector")</f>
        <v>Sector</v>
      </c>
      <c r="BJ5" s="30" t="str">
        <f>IFERROR(__xludf.DUMMYFUNCTION("""COMPUTED_VALUE"""),"Sub Sector")</f>
        <v>Sub Sector</v>
      </c>
      <c r="BK5" s="30" t="str">
        <f>IFERROR(__xludf.DUMMYFUNCTION("""COMPUTED_VALUE"""),"Country")</f>
        <v>Country</v>
      </c>
      <c r="BL5" s="30" t="str">
        <f>IFERROR(__xludf.DUMMYFUNCTION("""COMPUTED_VALUE"""),"Market Cap")</f>
        <v>Market Cap</v>
      </c>
      <c r="BM5" s="30" t="str">
        <f>IFERROR(__xludf.DUMMYFUNCTION("""COMPUTED_VALUE"""),"Shares Outstanding (MM)")</f>
        <v>Shares Outstanding (MM)</v>
      </c>
      <c r="BN5" s="30" t="str">
        <f>IFERROR(__xludf.DUMMYFUNCTION("""COMPUTED_VALUE"""),"Avg Volume 20 Day")</f>
        <v>Avg Volume 20 Day</v>
      </c>
      <c r="BO5" s="30" t="str">
        <f>IFERROR(__xludf.DUMMYFUNCTION("""COMPUTED_VALUE"""),"% Avg Volume (Delta Adj.)")</f>
        <v>% Avg Volume (Delta Adj.)</v>
      </c>
      <c r="BP5" s="30" t="str">
        <f>IFERROR(__xludf.DUMMYFUNCTION("""COMPUTED_VALUE"""),"Ex Dividend Date")</f>
        <v>Ex Dividend Date</v>
      </c>
      <c r="BQ5" s="30" t="str">
        <f>IFERROR(__xludf.DUMMYFUNCTION("""COMPUTED_VALUE"""),"Cash Impact (Base)")</f>
        <v>Cash Impact (Base)</v>
      </c>
      <c r="BR5" s="30" t="str">
        <f>IFERROR(__xludf.DUMMYFUNCTION("""COMPUTED_VALUE"""),"Volatility (%)")</f>
        <v>Volatility (%)</v>
      </c>
      <c r="BS5" s="30" t="str">
        <f>IFERROR(__xludf.DUMMYFUNCTION("""COMPUTED_VALUE"""),"User")</f>
        <v>User</v>
      </c>
      <c r="BT5" s="30" t="str">
        <f>IFERROR(__xludf.DUMMYFUNCTION("""COMPUTED_VALUE"""),"Broker")</f>
        <v>Broker</v>
      </c>
      <c r="BU5" s="30" t="str">
        <f>IFERROR(__xludf.DUMMYFUNCTION("""COMPUTED_VALUE"""),"Earned Dividend (Local)")</f>
        <v>Earned Dividend (Local)</v>
      </c>
      <c r="BV5" s="30" t="str">
        <f>IFERROR(__xludf.DUMMYFUNCTION("""COMPUTED_VALUE"""),"Earned Dividend (Base)")</f>
        <v>Earned Dividend (Base)</v>
      </c>
      <c r="BW5" s="30" t="str">
        <f>IFERROR(__xludf.DUMMYFUNCTION("""COMPUTED_VALUE"""),"Put/Call")</f>
        <v>Put/Call</v>
      </c>
      <c r="BX5" s="30" t="str">
        <f>IFERROR(__xludf.DUMMYFUNCTION("""COMPUTED_VALUE"""),"Expiration Date")</f>
        <v>Expiration Date</v>
      </c>
      <c r="BY5" s="30" t="str">
        <f>IFERROR(__xludf.DUMMYFUNCTION("""COMPUTED_VALUE"""),"Strike Price")</f>
        <v>Strike Price</v>
      </c>
      <c r="BZ5" s="30" t="str">
        <f>IFERROR(__xludf.DUMMYFUNCTION("""COMPUTED_VALUE"""),"Gross Exposure (Base)")</f>
        <v>Gross Exposure (Base)</v>
      </c>
      <c r="CA5" s="30" t="str">
        <f>IFERROR(__xludf.DUMMYFUNCTION("""COMPUTED_VALUE"""),"Gross Market Value (Base)")</f>
        <v>Gross Market Value (Base)</v>
      </c>
      <c r="CB5" s="30" t="str">
        <f>IFERROR(__xludf.DUMMYFUNCTION("""COMPUTED_VALUE"""),"Px Selected Feed (Local)")</f>
        <v>Px Selected Feed (Local)</v>
      </c>
      <c r="CC5" s="30" t="str">
        <f>IFERROR(__xludf.DUMMYFUNCTION("""COMPUTED_VALUE"""),"Px Selected Feed (Base)")</f>
        <v>Px Selected Feed (Base)</v>
      </c>
      <c r="CD5" s="30" t="str">
        <f>IFERROR(__xludf.DUMMYFUNCTION("""COMPUTED_VALUE"""),"Settlement Date")</f>
        <v>Settlement Date</v>
      </c>
      <c r="CE5" s="30" t="str">
        <f>IFERROR(__xludf.DUMMYFUNCTION("""COMPUTED_VALUE"""),"% Avg Volume")</f>
        <v>% Avg Volume</v>
      </c>
      <c r="CF5" s="30" t="str">
        <f>IFERROR(__xludf.DUMMYFUNCTION("""COMPUTED_VALUE"""),"Day P&amp;L (Base)(Price Gain)")</f>
        <v>Day P&amp;L (Base)(Price Gain)</v>
      </c>
      <c r="CG5" s="30" t="str">
        <f>IFERROR(__xludf.DUMMYFUNCTION("""COMPUTED_VALUE"""),"Day P&amp;L (Base)(FX Gain)")</f>
        <v>Day P&amp;L (Base)(FX Gain)</v>
      </c>
      <c r="CH5" s="30" t="str">
        <f>IFERROR(__xludf.DUMMYFUNCTION("""COMPUTED_VALUE"""),"Cost Basis P&amp;L (Base)(FX Gain)")</f>
        <v>Cost Basis P&amp;L (Base)(FX Gain)</v>
      </c>
      <c r="CI5" s="30" t="str">
        <f>IFERROR(__xludf.DUMMYFUNCTION("""COMPUTED_VALUE"""),"Cost Basis P&amp;L (Base)(Price Gain)")</f>
        <v>Cost Basis P&amp;L (Base)(Price Gain)</v>
      </c>
      <c r="CJ5" s="30" t="str">
        <f>IFERROR(__xludf.DUMMYFUNCTION("""COMPUTED_VALUE"""),"% Gain/Loss Cost")</f>
        <v>% Gain/Loss Cost</v>
      </c>
      <c r="CK5" s="30" t="str">
        <f>IFERROR(__xludf.DUMMYFUNCTION("""COMPUTED_VALUE"""),"Underlying Value (Options)")</f>
        <v>Underlying Value (Options)</v>
      </c>
      <c r="CL5" s="30" t="str">
        <f>IFERROR(__xludf.DUMMYFUNCTION("""COMPUTED_VALUE"""),"Avg Volume 20 Day (Underlying Symbol)")</f>
        <v>Avg Volume 20 Day (Underlying Symbol)</v>
      </c>
      <c r="CM5" s="30" t="str">
        <f>IFERROR(__xludf.DUMMYFUNCTION("""COMPUTED_VALUE"""),"IsStaleData")</f>
        <v>IsStaleData</v>
      </c>
      <c r="CN5" s="30" t="str">
        <f>IFERROR(__xludf.DUMMYFUNCTION("""COMPUTED_VALUE"""),"IDCO")</f>
        <v>IDCO</v>
      </c>
      <c r="CO5" s="30" t="str">
        <f>IFERROR(__xludf.DUMMYFUNCTION("""COMPUTED_VALUE"""),"OSI")</f>
        <v>OSI</v>
      </c>
      <c r="CP5" s="30" t="str">
        <f>IFERROR(__xludf.DUMMYFUNCTION("""COMPUTED_VALUE"""),"SEDOL")</f>
        <v>SEDOL</v>
      </c>
      <c r="CQ5" s="30" t="str">
        <f>IFERROR(__xludf.DUMMYFUNCTION("""COMPUTED_VALUE"""),"CUSIP")</f>
        <v>CUSIP</v>
      </c>
      <c r="CR5" s="30" t="str">
        <f>IFERROR(__xludf.DUMMYFUNCTION("""COMPUTED_VALUE"""),"Bloomberg")</f>
        <v>Bloomberg</v>
      </c>
      <c r="CS5" s="30" t="str">
        <f>IFERROR(__xludf.DUMMYFUNCTION("""COMPUTED_VALUE"""),"ISIN")</f>
        <v>ISIN</v>
      </c>
      <c r="CT5" s="30" t="str">
        <f>IFERROR(__xludf.DUMMYFUNCTION("""COMPUTED_VALUE"""),"Start Trade Date")</f>
        <v>Start Trade Date</v>
      </c>
      <c r="CU5" s="30" t="str">
        <f>IFERROR(__xludf.DUMMYFUNCTION("""COMPUTED_VALUE"""),"Cost Basis (Break Even)")</f>
        <v>Cost Basis (Break Even)</v>
      </c>
      <c r="CV5" s="30" t="str">
        <f>IFERROR(__xludf.DUMMYFUNCTION("""COMPUTED_VALUE"""),"Trade Attribute 3")</f>
        <v>Trade Attribute 3</v>
      </c>
      <c r="CW5" s="30" t="str">
        <f>IFERROR(__xludf.DUMMYFUNCTION("""COMPUTED_VALUE"""),"Trade Attribute 4")</f>
        <v>Trade Attribute 4</v>
      </c>
      <c r="CX5" s="30" t="str">
        <f>IFERROR(__xludf.DUMMYFUNCTION("""COMPUTED_VALUE"""),"Trade Attribute 5")</f>
        <v>Trade Attribute 5</v>
      </c>
      <c r="CY5" s="30" t="str">
        <f>IFERROR(__xludf.DUMMYFUNCTION("""COMPUTED_VALUE"""),"Trade Attribute 6")</f>
        <v>Trade Attribute 6</v>
      </c>
      <c r="CZ5" s="30" t="str">
        <f>IFERROR(__xludf.DUMMYFUNCTION("""COMPUTED_VALUE"""),"Proxy Symbol")</f>
        <v>Proxy Symbol</v>
      </c>
      <c r="DA5" s="30" t="str">
        <f>IFERROR(__xludf.DUMMYFUNCTION("""COMPUTED_VALUE"""),"Pricing Source")</f>
        <v>Pricing Source</v>
      </c>
      <c r="DB5" s="30" t="str">
        <f>IFERROR(__xludf.DUMMYFUNCTION("""COMPUTED_VALUE"""),"Delta Source")</f>
        <v>Delta Source</v>
      </c>
      <c r="DC5" s="30" t="str">
        <f>IFERROR(__xludf.DUMMYFUNCTION("""COMPUTED_VALUE"""),"Gross Exposure (Local)")</f>
        <v>Gross Exposure (Local)</v>
      </c>
      <c r="DD5" s="30" t="str">
        <f>IFERROR(__xludf.DUMMYFUNCTION("""COMPUTED_VALUE"""),"% Day P&amp;L (Net MV)")</f>
        <v>% Day P&amp;L (Net MV)</v>
      </c>
      <c r="DE5" s="30" t="str">
        <f>IFERROR(__xludf.DUMMYFUNCTION("""COMPUTED_VALUE"""),"Expiration Month")</f>
        <v>Expiration Month</v>
      </c>
      <c r="DF5" s="30" t="str">
        <f>IFERROR(__xludf.DUMMYFUNCTION("""COMPUTED_VALUE"""),"Delta Adj. Position (LME)")</f>
        <v>Delta Adj. Position (LME)</v>
      </c>
      <c r="DG5" s="30" t="str">
        <f>IFERROR(__xludf.DUMMYFUNCTION("""COMPUTED_VALUE"""),"Premium")</f>
        <v>Premium</v>
      </c>
      <c r="DH5" s="30" t="str">
        <f>IFERROR(__xludf.DUMMYFUNCTION("""COMPUTED_VALUE"""),"Premium $")</f>
        <v>Premium $</v>
      </c>
      <c r="DI5" s="30" t="str">
        <f>IFERROR(__xludf.DUMMYFUNCTION("""COMPUTED_VALUE"""),"Forward Points")</f>
        <v>Forward Points</v>
      </c>
      <c r="DJ5" s="30" t="str">
        <f>IFERROR(__xludf.DUMMYFUNCTION("""COMPUTED_VALUE"""),"Closing Mark (Underlying)")</f>
        <v>Closing Mark (Underlying)</v>
      </c>
      <c r="DK5" s="30" t="str">
        <f>IFERROR(__xludf.DUMMYFUNCTION("""COMPUTED_VALUE"""),"% Change (Underlying Price)")</f>
        <v>% Change (Underlying Price)</v>
      </c>
      <c r="DL5" s="30" t="str">
        <f>IFERROR(__xludf.DUMMYFUNCTION("""COMPUTED_VALUE"""),"Transaction Type")</f>
        <v>Transaction Type</v>
      </c>
      <c r="DM5" s="30" t="str">
        <f>IFERROR(__xludf.DUMMYFUNCTION("""COMPUTED_VALUE"""),"Closing Market Value (Local)")</f>
        <v>Closing Market Value (Local)</v>
      </c>
      <c r="DN5" s="30" t="str">
        <f>IFERROR(__xludf.DUMMYFUNCTION("""COMPUTED_VALUE"""),"Closing Market Value (Base)")</f>
        <v>Closing Market Value (Base)</v>
      </c>
      <c r="DO5" s="30" t="str">
        <f>IFERROR(__xludf.DUMMYFUNCTION("""COMPUTED_VALUE"""),"Closing FX Rate")</f>
        <v>Closing FX Rate</v>
      </c>
      <c r="DP5" s="30" t="str">
        <f>IFERROR(__xludf.DUMMYFUNCTION("""COMPUTED_VALUE"""),"Change In Underlying Price")</f>
        <v>Change In Underlying Price</v>
      </c>
      <c r="DQ5" s="30" t="str">
        <f>IFERROR(__xludf.DUMMYFUNCTION("""COMPUTED_VALUE"""),"RIC")</f>
        <v>RIC</v>
      </c>
      <c r="DR5" s="30" t="str">
        <f>IFERROR(__xludf.DUMMYFUNCTION("""COMPUTED_VALUE"""),"Position Side Exposure (Boxed)")</f>
        <v>Position Side Exposure (Boxed)</v>
      </c>
      <c r="DS5" s="30" t="str">
        <f>IFERROR(__xludf.DUMMYFUNCTION("""COMPUTED_VALUE"""),"Analyst")</f>
        <v>Analyst</v>
      </c>
      <c r="DT5" s="30" t="str">
        <f>IFERROR(__xludf.DUMMYFUNCTION("""COMPUTED_VALUE"""),"Country Of Risk")</f>
        <v>Country Of Risk</v>
      </c>
      <c r="DU5" s="30" t="str">
        <f>IFERROR(__xludf.DUMMYFUNCTION("""COMPUTED_VALUE"""),"Custom UDA1")</f>
        <v>Custom UDA1</v>
      </c>
      <c r="DV5" s="30" t="str">
        <f>IFERROR(__xludf.DUMMYFUNCTION("""COMPUTED_VALUE"""),"Custom UDA2")</f>
        <v>Custom UDA2</v>
      </c>
      <c r="DW5" s="30" t="str">
        <f>IFERROR(__xludf.DUMMYFUNCTION("""COMPUTED_VALUE"""),"Custom UDA3")</f>
        <v>Custom UDA3</v>
      </c>
      <c r="DX5" s="30" t="str">
        <f>IFERROR(__xludf.DUMMYFUNCTION("""COMPUTED_VALUE"""),"Custom UDA4")</f>
        <v>Custom UDA4</v>
      </c>
      <c r="DY5" s="30" t="str">
        <f>IFERROR(__xludf.DUMMYFUNCTION("""COMPUTED_VALUE"""),"Custom UDA5")</f>
        <v>Custom UDA5</v>
      </c>
      <c r="DZ5" s="30" t="str">
        <f>IFERROR(__xludf.DUMMYFUNCTION("""COMPUTED_VALUE"""),"Custom UDA6")</f>
        <v>Custom UDA6</v>
      </c>
      <c r="EA5" s="30" t="str">
        <f>IFERROR(__xludf.DUMMYFUNCTION("""COMPUTED_VALUE"""),"Custom UDA7")</f>
        <v>Custom UDA7</v>
      </c>
      <c r="EB5" s="30" t="str">
        <f>IFERROR(__xludf.DUMMYFUNCTION("""COMPUTED_VALUE"""),"Issuer")</f>
        <v>Issuer</v>
      </c>
      <c r="EC5" s="30" t="str">
        <f>IFERROR(__xludf.DUMMYFUNCTION("""COMPUTED_VALUE"""),"Liquid Tag")</f>
        <v>Liquid Tag</v>
      </c>
      <c r="ED5" s="30" t="str">
        <f>IFERROR(__xludf.DUMMYFUNCTION("""COMPUTED_VALUE"""),"Market Cap UDA")</f>
        <v>Market Cap UDA</v>
      </c>
      <c r="EE5" s="30" t="str">
        <f>IFERROR(__xludf.DUMMYFUNCTION("""COMPUTED_VALUE"""),"Region")</f>
        <v>Region</v>
      </c>
      <c r="EF5" s="30" t="str">
        <f>IFERROR(__xludf.DUMMYFUNCTION("""COMPUTED_VALUE"""),"Risk Currency")</f>
        <v>Risk Currency</v>
      </c>
      <c r="EG5" s="30" t="str">
        <f>IFERROR(__xludf.DUMMYFUNCTION("""COMPUTED_VALUE"""),"UCITS Eligible Tag")</f>
        <v>UCITS Eligible Tag</v>
      </c>
      <c r="EH5" s="30" t="str">
        <f>IFERROR(__xludf.DUMMYFUNCTION("""COMPUTED_VALUE"""),"FX Rate (Display)")</f>
        <v>FX Rate (Display)</v>
      </c>
      <c r="EI5" s="30" t="str">
        <f>IFERROR(__xludf.DUMMYFUNCTION("""COMPUTED_VALUE"""),"% Net Exposure (Base)")</f>
        <v>% Net Exposure (Base)</v>
      </c>
      <c r="EJ5" s="30" t="str">
        <f>IFERROR(__xludf.DUMMYFUNCTION("""COMPUTED_VALUE"""),"% Gross Exposure (Base)")</f>
        <v>% Gross Exposure (Base)</v>
      </c>
      <c r="EK5" s="30" t="str">
        <f>IFERROR(__xludf.DUMMYFUNCTION("""COMPUTED_VALUE"""),"% Exposure (Base)")</f>
        <v>% Exposure (Base)</v>
      </c>
      <c r="EL5" s="30" t="str">
        <f>IFERROR(__xludf.DUMMYFUNCTION("""COMPUTED_VALUE"""),"% Gross Exposure (Underlying) (Base)")</f>
        <v>% Gross Exposure (Underlying) (Base)</v>
      </c>
      <c r="EM5" s="30" t="str">
        <f>IFERROR(__xludf.DUMMYFUNCTION("""COMPUTED_VALUE"""),"% Beta Adj. Gross Exposure (Base)")</f>
        <v>% Beta Adj. Gross Exposure (Base)</v>
      </c>
      <c r="EN5" s="30" t="str">
        <f>IFERROR(__xludf.DUMMYFUNCTION("""COMPUTED_VALUE"""),"Position Side Exposure (Underlying)")</f>
        <v>Position Side Exposure (Underlying)</v>
      </c>
      <c r="EO5" s="30" t="str">
        <f>IFERROR(__xludf.DUMMYFUNCTION("""COMPUTED_VALUE"""),"Gross Exposure (Underlying) (Base)")</f>
        <v>Gross Exposure (Underlying) (Base)</v>
      </c>
      <c r="EP5" s="30" t="str">
        <f>IFERROR(__xludf.DUMMYFUNCTION("""COMPUTED_VALUE"""),"Gross Exposure (Underlying)")</f>
        <v>Gross Exposure (Underlying)</v>
      </c>
      <c r="EQ5" s="30" t="str">
        <f>IFERROR(__xludf.DUMMYFUNCTION("""COMPUTED_VALUE"""),"Day Return")</f>
        <v>Day Return</v>
      </c>
      <c r="ER5" s="30" t="str">
        <f>IFERROR(__xludf.DUMMYFUNCTION("""COMPUTED_VALUE"""),"Start of Day NAV")</f>
        <v>Start of Day NAV</v>
      </c>
      <c r="ES5" s="30" t="str">
        <f>IFERROR(__xludf.DUMMYFUNCTION("""COMPUTED_VALUE"""),"% Gross Market Value (Base)")</f>
        <v>% Gross Market Value (Base)</v>
      </c>
      <c r="ET5" s="30" t="str">
        <f>IFERROR(__xludf.DUMMYFUNCTION("""COMPUTED_VALUE"""),"Beta Adj. Gross Exposure (Underlying) (Local)")</f>
        <v>Beta Adj. Gross Exposure (Underlying) (Local)</v>
      </c>
      <c r="EU5" s="30" t="str">
        <f>IFERROR(__xludf.DUMMYFUNCTION("""COMPUTED_VALUE"""),"NAV")</f>
        <v>NAV</v>
      </c>
      <c r="EV5" s="30" t="str">
        <f>IFERROR(__xludf.DUMMYFUNCTION("""COMPUTED_VALUE"""),"% P&amp;L Contribution")</f>
        <v>% P&amp;L Contribution</v>
      </c>
      <c r="EW5" s="30" t="str">
        <f>IFERROR(__xludf.DUMMYFUNCTION("""COMPUTED_VALUE"""),"% Net Market Value (Base)")</f>
        <v>% Net Market Value (Base)</v>
      </c>
      <c r="EX5" s="30" t="str">
        <f>IFERROR(__xludf.DUMMYFUNCTION("""COMPUTED_VALUE"""),"Position Side Exposure")</f>
        <v>Position Side Exposure</v>
      </c>
      <c r="EY5" s="30" t="str">
        <f>IFERROR(__xludf.DUMMYFUNCTION("""COMPUTED_VALUE"""),"NAV (Touch)")</f>
        <v>NAV (Touch)</v>
      </c>
      <c r="EZ5" s="30" t="str">
        <f>IFERROR(__xludf.DUMMYFUNCTION("""COMPUTED_VALUE"""),"IgnorePropertyChangeEvents")</f>
        <v>IgnorePropertyChangeEvents</v>
      </c>
      <c r="FA5" s="30" t="str">
        <f>IFERROR(__xludf.DUMMYFUNCTION("""COMPUTED_VALUE"""),"Trade Attribute 1")</f>
        <v>Trade Attribute 1</v>
      </c>
      <c r="FB5" s="30" t="str">
        <f>IFERROR(__xludf.DUMMYFUNCTION("""COMPUTED_VALUE"""),"Trade Attribute 2")</f>
        <v>Trade Attribute 2</v>
      </c>
      <c r="FC5" s="30" t="str">
        <f>IFERROR(__xludf.DUMMYFUNCTION("""COMPUTED_VALUE"""),"Client")</f>
        <v>Client</v>
      </c>
      <c r="FD5" s="30" t="str">
        <f>IFERROR(__xludf.DUMMYFUNCTION("""COMPUTED_VALUE"""),"IsCustomViewTab")</f>
        <v>IsCustomViewTab</v>
      </c>
      <c r="FE5" s="30" t="str">
        <f>IFERROR(__xludf.DUMMYFUNCTION("""COMPUTED_VALUE"""),"ITM/OTM")</f>
        <v>ITM/OTM</v>
      </c>
      <c r="FF5" s="30" t="str">
        <f>IFERROR(__xludf.DUMMYFUNCTION("""COMPUTED_VALUE"""),"Days to Expiry")</f>
        <v>Days to Expiry</v>
      </c>
      <c r="FG5" s="30" t="str">
        <f>IFERROR(__xludf.DUMMYFUNCTION("""COMPUTED_VALUE"""),"% of Underlying Price")</f>
        <v>% of Underlying Price</v>
      </c>
      <c r="FH5" s="30" t="str">
        <f>IFERROR(__xludf.DUMMYFUNCTION("""COMPUTED_VALUE"""),"Intrinsic value")</f>
        <v>Intrinsic value</v>
      </c>
      <c r="FI5" s="30" t="str">
        <f>IFERROR(__xludf.DUMMYFUNCTION("""COMPUTED_VALUE"""),"Gain/Loss if Ex./Assign")</f>
        <v>Gain/Loss if Ex./Assign</v>
      </c>
      <c r="FJ5" s="30" t="str">
        <f>IFERROR(__xludf.DUMMYFUNCTION("""COMPUTED_VALUE"""),"Day Traded Position")</f>
        <v>Day Traded Position</v>
      </c>
      <c r="FK5" s="30" t="str">
        <f>IFERROR(__xludf.DUMMYFUNCTION("""COMPUTED_VALUE"""),"isRowCountCheck")</f>
        <v>isRowCountCheck</v>
      </c>
      <c r="FL5" s="30" t="str">
        <f>IFERROR(__xludf.DUMMYFUNCTION("""COMPUTED_VALUE"""),"ACTIV Symbol")</f>
        <v>ACTIV Symbol</v>
      </c>
      <c r="FM5" s="30"/>
      <c r="FN5" s="30"/>
      <c r="FO5" s="30"/>
      <c r="FP5" s="30"/>
      <c r="FQ5" s="30"/>
      <c r="FR5" s="30"/>
      <c r="FS5" s="30"/>
      <c r="FT5" s="30"/>
      <c r="FU5" s="30"/>
      <c r="FV5" s="30"/>
    </row>
    <row r="6" ht="15.75" customHeight="1">
      <c r="A6" s="8"/>
      <c r="B6" s="13" t="s">
        <v>24</v>
      </c>
      <c r="C6" s="13" t="s">
        <v>25</v>
      </c>
      <c r="D6" s="8"/>
      <c r="E6" s="13" t="s">
        <v>16</v>
      </c>
      <c r="F6" s="33">
        <v>200.0</v>
      </c>
      <c r="G6" s="32" t="s">
        <v>18</v>
      </c>
      <c r="H6" s="13" t="s">
        <v>26</v>
      </c>
      <c r="I6" s="13">
        <v>30.0</v>
      </c>
      <c r="J6" s="8"/>
      <c r="K6" s="8"/>
      <c r="L6" s="8"/>
      <c r="M6" s="8"/>
      <c r="N6" s="8"/>
      <c r="O6" s="8"/>
      <c r="AP6" s="9" t="s">
        <v>17</v>
      </c>
      <c r="AS6" s="9" t="s">
        <v>16</v>
      </c>
    </row>
    <row r="7" ht="15.75" customHeight="1">
      <c r="A7" s="8"/>
      <c r="B7" s="8"/>
      <c r="C7" s="8"/>
      <c r="D7" s="8"/>
      <c r="E7" s="13" t="s">
        <v>19</v>
      </c>
      <c r="F7" s="35">
        <v>100.0</v>
      </c>
      <c r="G7" s="32" t="s">
        <v>18</v>
      </c>
      <c r="H7" s="13" t="s">
        <v>26</v>
      </c>
      <c r="I7" s="13">
        <v>30.0</v>
      </c>
      <c r="J7" s="8"/>
      <c r="K7" s="8"/>
      <c r="L7" s="8"/>
      <c r="M7" s="8"/>
      <c r="N7" s="8"/>
      <c r="O7" s="8"/>
      <c r="AP7" s="9" t="s">
        <v>17</v>
      </c>
      <c r="AS7" s="9" t="s">
        <v>19</v>
      </c>
    </row>
    <row r="8" ht="15.75" customHeight="1">
      <c r="A8" s="8"/>
      <c r="B8" s="8"/>
      <c r="C8" s="8"/>
      <c r="D8" s="8"/>
      <c r="E8" s="13" t="s">
        <v>20</v>
      </c>
      <c r="F8" s="33">
        <v>300.0</v>
      </c>
      <c r="G8" s="32" t="s">
        <v>18</v>
      </c>
      <c r="H8" s="13" t="s">
        <v>26</v>
      </c>
      <c r="I8" s="13">
        <v>30.0</v>
      </c>
      <c r="J8" s="8"/>
      <c r="K8" s="8"/>
      <c r="L8" s="8"/>
      <c r="M8" s="8"/>
      <c r="N8" s="8"/>
      <c r="O8" s="8"/>
      <c r="AP8" s="9" t="s">
        <v>17</v>
      </c>
      <c r="AS8" s="9" t="s">
        <v>20</v>
      </c>
    </row>
    <row r="9" ht="15.75" customHeight="1">
      <c r="A9" s="8"/>
      <c r="B9" s="8"/>
      <c r="C9" s="8"/>
      <c r="D9" s="8"/>
      <c r="E9" s="13" t="s">
        <v>20</v>
      </c>
      <c r="F9" s="33">
        <v>400.0</v>
      </c>
      <c r="G9" s="32" t="s">
        <v>18</v>
      </c>
      <c r="H9" s="13" t="s">
        <v>26</v>
      </c>
      <c r="I9" s="13">
        <v>30.0</v>
      </c>
      <c r="J9" s="8"/>
      <c r="K9" s="8"/>
      <c r="L9" s="8"/>
      <c r="M9" s="8"/>
      <c r="N9" s="8"/>
      <c r="O9" s="8"/>
      <c r="AP9" s="9" t="s">
        <v>17</v>
      </c>
      <c r="AS9" s="9" t="s">
        <v>20</v>
      </c>
    </row>
    <row r="10" ht="15.75" customHeight="1">
      <c r="A10" s="8"/>
      <c r="B10" s="8"/>
      <c r="C10" s="8"/>
      <c r="D10" s="8"/>
      <c r="E10" s="13" t="s">
        <v>21</v>
      </c>
      <c r="F10" s="33">
        <v>500.0</v>
      </c>
      <c r="G10" s="32" t="s">
        <v>18</v>
      </c>
      <c r="H10" s="13" t="s">
        <v>26</v>
      </c>
      <c r="I10" s="13">
        <v>30.0</v>
      </c>
      <c r="J10" s="8"/>
      <c r="K10" s="8"/>
      <c r="L10" s="8"/>
      <c r="M10" s="8"/>
      <c r="N10" s="8"/>
      <c r="O10" s="8"/>
      <c r="AP10" s="9" t="s">
        <v>17</v>
      </c>
      <c r="AS10" s="9" t="s">
        <v>21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SortAndVerifyPM!$4:$4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IFERROR(__xludf.DUMMYFUNCTION("""COMPUTED_VALUE"""),"SortingColumnName")</f>
        <v>SortingColumnName</v>
      </c>
      <c r="C5" s="28" t="str">
        <f>IFERROR(__xludf.DUMMYFUNCTION("""COMPUTED_VALUE"""),"Sort ASC OR DSC")</f>
        <v>Sort ASC OR DSC</v>
      </c>
      <c r="D5" s="28" t="str">
        <f>IFERROR(__xludf.DUMMYFUNCTION("""COMPUTED_VALUE"""),"Trade Date")</f>
        <v>Trade Date</v>
      </c>
      <c r="E5" s="28" t="str">
        <f>IFERROR(__xludf.DUMMYFUNCTION("""COMPUTED_VALUE"""),"Symbol")</f>
        <v>Symbol</v>
      </c>
      <c r="F5" s="29" t="str">
        <f>IFERROR(__xludf.DUMMYFUNCTION("""COMPUTED_VALUE"""),"Position")</f>
        <v>Position</v>
      </c>
      <c r="G5" s="28" t="str">
        <f>IFERROR(__xludf.DUMMYFUNCTION("""COMPUTED_VALUE"""),"Account")</f>
        <v>Account</v>
      </c>
      <c r="H5" s="28" t="str">
        <f>IFERROR(__xludf.DUMMYFUNCTION("""COMPUTED_VALUE"""),"MasterFund")</f>
        <v>MasterFund</v>
      </c>
      <c r="I5" s="28" t="str">
        <f>IFERROR(__xludf.DUMMYFUNCTION("""COMPUTED_VALUE"""),"Cost Basis")</f>
        <v>Cost Basis</v>
      </c>
      <c r="J5" s="28" t="str">
        <f>IFERROR(__xludf.DUMMYFUNCTION("""COMPUTED_VALUE"""),"Position Side")</f>
        <v>Position Side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Day P&amp;L (Gross MV)")</f>
        <v>% Day P&amp;L (Gross MV)</v>
      </c>
      <c r="M5" s="28" t="str">
        <f>IFERROR(__xludf.DUMMYFUNCTION("""COMPUTED_VALUE"""),"Net Exposure (Base)")</f>
        <v>Net Exposure (Base)</v>
      </c>
      <c r="N5" s="28" t="str">
        <f>IFERROR(__xludf.DUMMYFUNCTION("""COMPUTED_VALUE"""),"Beta Adj. Gross Exposure (Base)")</f>
        <v>Beta Adj. Gross Exposure (Base)</v>
      </c>
      <c r="O5" s="28" t="str">
        <f>IFERROR(__xludf.DUMMYFUNCTION("""COMPUTED_VALUE"""),"Beta Adj. Gross Exposure (Underlying) (Base)")</f>
        <v>Beta Adj. Gross Exposure (Underlying) (Base)</v>
      </c>
      <c r="P5" s="28" t="str">
        <f>IFERROR(__xludf.DUMMYFUNCTION("""COMPUTED_VALUE"""),"Day P&amp;L (Base)")</f>
        <v>Day P&amp;L (Base)</v>
      </c>
      <c r="Q5" s="28" t="str">
        <f>IFERROR(__xludf.DUMMYFUNCTION("""COMPUTED_VALUE"""),"Security Name")</f>
        <v>Security Name</v>
      </c>
      <c r="R5" s="28" t="str">
        <f>IFERROR(__xludf.DUMMYFUNCTION("""COMPUTED_VALUE"""),"Closing Mark")</f>
        <v>Closing Mark</v>
      </c>
      <c r="S5" s="28" t="str">
        <f>IFERROR(__xludf.DUMMYFUNCTION("""COMPUTED_VALUE"""),"Cost Basis P&amp;L (Base)")</f>
        <v>Cost Basis P&amp;L (Base)</v>
      </c>
      <c r="T5" s="30" t="str">
        <f>IFERROR(__xludf.DUMMYFUNCTION("""COMPUTED_VALUE"""),"Prime Broker")</f>
        <v>Prime Broker</v>
      </c>
      <c r="U5" s="30" t="str">
        <f>IFERROR(__xludf.DUMMYFUNCTION("""COMPUTED_VALUE"""),"Strategy")</f>
        <v>Strategy</v>
      </c>
      <c r="V5" s="30" t="str">
        <f>IFERROR(__xludf.DUMMYFUNCTION("""COMPUTED_VALUE"""),"Asset Class")</f>
        <v>Asset Class</v>
      </c>
      <c r="W5" s="30" t="str">
        <f>IFERROR(__xludf.DUMMYFUNCTION("""COMPUTED_VALUE"""),"Underlying")</f>
        <v>Underlying</v>
      </c>
      <c r="X5" s="30" t="str">
        <f>IFERROR(__xludf.DUMMYFUNCTION("""COMPUTED_VALUE"""),"Exchange")</f>
        <v>Exchange</v>
      </c>
      <c r="Y5" s="30" t="str">
        <f>IFERROR(__xludf.DUMMYFUNCTION("""COMPUTED_VALUE"""),"Trade Currency")</f>
        <v>Trade Currency</v>
      </c>
      <c r="Z5" s="30" t="str">
        <f>IFERROR(__xludf.DUMMYFUNCTION("""COMPUTED_VALUE"""),"Multiplier")</f>
        <v>Multiplier</v>
      </c>
      <c r="AA5" s="30" t="str">
        <f>IFERROR(__xludf.DUMMYFUNCTION("""COMPUTED_VALUE"""),"FX Rate")</f>
        <v>FX Rate</v>
      </c>
      <c r="AB5" s="30" t="str">
        <f>IFERROR(__xludf.DUMMYFUNCTION("""COMPUTED_VALUE"""),"Vs Currency")</f>
        <v>Vs Currency</v>
      </c>
      <c r="AC5" s="30" t="str">
        <f>IFERROR(__xludf.DUMMYFUNCTION("""COMPUTED_VALUE"""),"Lead Currency")</f>
        <v>Lead Currency</v>
      </c>
      <c r="AD5" s="30" t="str">
        <f>IFERROR(__xludf.DUMMYFUNCTION("""COMPUTED_VALUE"""),"Dividend Yield (%)")</f>
        <v>Dividend Yield (%)</v>
      </c>
      <c r="AE5" s="30" t="str">
        <f>IFERROR(__xludf.DUMMYFUNCTION("""COMPUTED_VALUE"""),"% Change")</f>
        <v>% Change</v>
      </c>
      <c r="AF5" s="30" t="str">
        <f>IFERROR(__xludf.DUMMYFUNCTION("""COMPUTED_VALUE"""),"Net Exposure (Local)")</f>
        <v>Net Exposure (Local)</v>
      </c>
      <c r="AG5" s="30" t="str">
        <f>IFERROR(__xludf.DUMMYFUNCTION("""COMPUTED_VALUE"""),"Exposure (Local)")</f>
        <v>Exposure (Local)</v>
      </c>
      <c r="AH5" s="30" t="str">
        <f>IFERROR(__xludf.DUMMYFUNCTION("""COMPUTED_VALUE"""),"Delta Adj. Position")</f>
        <v>Delta Adj. Position</v>
      </c>
      <c r="AI5" s="30" t="str">
        <f>IFERROR(__xludf.DUMMYFUNCTION("""COMPUTED_VALUE"""),"Exposure (Base)")</f>
        <v>Exposure (Base)</v>
      </c>
      <c r="AJ5" s="30" t="str">
        <f>IFERROR(__xludf.DUMMYFUNCTION("""COMPUTED_VALUE"""),"Beta Adj. Exposure (Local)")</f>
        <v>Beta Adj. Exposure (Local)</v>
      </c>
      <c r="AK5" s="30" t="str">
        <f>IFERROR(__xludf.DUMMYFUNCTION("""COMPUTED_VALUE"""),"Beta Adj. Exposure (Base)")</f>
        <v>Beta Adj. Exposure (Base)</v>
      </c>
      <c r="AL5" s="30" t="str">
        <f>IFERROR(__xludf.DUMMYFUNCTION("""COMPUTED_VALUE"""),"Exposure (BP)(Base)")</f>
        <v>Exposure (BP)(Base)</v>
      </c>
      <c r="AM5" s="30" t="str">
        <f>IFERROR(__xludf.DUMMYFUNCTION("""COMPUTED_VALUE"""),"Day P&amp;L (Local)")</f>
        <v>Day P&amp;L (Local)</v>
      </c>
      <c r="AN5" s="30" t="str">
        <f>IFERROR(__xludf.DUMMYFUNCTION("""COMPUTED_VALUE"""),"Delta")</f>
        <v>Delta</v>
      </c>
      <c r="AO5" s="30" t="str">
        <f>IFERROR(__xludf.DUMMYFUNCTION("""COMPUTED_VALUE"""),"Leveraged Factor")</f>
        <v>Leveraged Factor</v>
      </c>
      <c r="AP5" s="30" t="str">
        <f>IFERROR(__xludf.DUMMYFUNCTION("""COMPUTED_VALUE"""),"Order Side")</f>
        <v>Order Side</v>
      </c>
      <c r="AQ5" s="30" t="str">
        <f>IFERROR(__xludf.DUMMYFUNCTION("""COMPUTED_VALUE"""),"Master Strategy")</f>
        <v>Master Strategy</v>
      </c>
      <c r="AR5" s="30" t="str">
        <f>IFERROR(__xludf.DUMMYFUNCTION("""COMPUTED_VALUE"""),"Transaction Side")</f>
        <v>Transaction Side</v>
      </c>
      <c r="AS5" s="30" t="str">
        <f>IFERROR(__xludf.DUMMYFUNCTION("""COMPUTED_VALUE"""),"Underlying Symbol")</f>
        <v>Underlying Symbol</v>
      </c>
      <c r="AT5" s="30" t="str">
        <f>IFERROR(__xludf.DUMMYFUNCTION("""COMPUTED_VALUE"""),"Underlying Price")</f>
        <v>Underlying Price</v>
      </c>
      <c r="AU5" s="30" t="str">
        <f>IFERROR(__xludf.DUMMYFUNCTION("""COMPUTED_VALUE"""),"Side Multiplier")</f>
        <v>Side Multiplier</v>
      </c>
      <c r="AV5" s="30" t="str">
        <f>IFERROR(__xludf.DUMMYFUNCTION("""COMPUTED_VALUE"""),"Description")</f>
        <v>Description</v>
      </c>
      <c r="AW5" s="30" t="str">
        <f>IFERROR(__xludf.DUMMYFUNCTION("""COMPUTED_VALUE"""),"Internal Comments")</f>
        <v>Internal Comments</v>
      </c>
      <c r="AX5" s="30" t="str">
        <f>IFERROR(__xludf.DUMMYFUNCTION("""COMPUTED_VALUE"""),"FX Rate On Trade Date")</f>
        <v>FX Rate On Trade Date</v>
      </c>
      <c r="AY5" s="30" t="str">
        <f>IFERROR(__xludf.DUMMYFUNCTION("""COMPUTED_VALUE"""),"Cost Basis P&amp;L (Local)")</f>
        <v>Cost Basis P&amp;L (Local)</v>
      </c>
      <c r="AZ5" s="30" t="str">
        <f>IFERROR(__xludf.DUMMYFUNCTION("""COMPUTED_VALUE"""),"Day Interest")</f>
        <v>Day Interest</v>
      </c>
      <c r="BA5" s="30" t="str">
        <f>IFERROR(__xludf.DUMMYFUNCTION("""COMPUTED_VALUE"""),"Total Interest")</f>
        <v>Total Interest</v>
      </c>
      <c r="BB5" s="30" t="str">
        <f>IFERROR(__xludf.DUMMYFUNCTION("""COMPUTED_VALUE"""),"Market Value (Local)")</f>
        <v>Market Value (Local)</v>
      </c>
      <c r="BC5" s="30" t="str">
        <f>IFERROR(__xludf.DUMMYFUNCTION("""COMPUTED_VALUE"""),"% Gain/Loss Day")</f>
        <v>% Gain/Loss Day</v>
      </c>
      <c r="BD5" s="30" t="str">
        <f>IFERROR(__xludf.DUMMYFUNCTION("""COMPUTED_VALUE"""),"Update Time (Last Price)")</f>
        <v>Update Time (Last Price)</v>
      </c>
      <c r="BE5" s="30" t="str">
        <f>IFERROR(__xludf.DUMMYFUNCTION("""COMPUTED_VALUE"""),"Beta")</f>
        <v>Beta</v>
      </c>
      <c r="BF5" s="30" t="str">
        <f>IFERROR(__xludf.DUMMYFUNCTION("""COMPUTED_VALUE"""),"Cash Impact (Local)")</f>
        <v>Cash Impact (Local)</v>
      </c>
      <c r="BG5" s="30" t="str">
        <f>IFERROR(__xludf.DUMMYFUNCTION("""COMPUTED_VALUE"""),"User Asset")</f>
        <v>User Asset</v>
      </c>
      <c r="BH5" s="30" t="str">
        <f>IFERROR(__xludf.DUMMYFUNCTION("""COMPUTED_VALUE"""),"Security Type")</f>
        <v>Security Type</v>
      </c>
      <c r="BI5" s="30" t="str">
        <f>IFERROR(__xludf.DUMMYFUNCTION("""COMPUTED_VALUE"""),"Sector")</f>
        <v>Sector</v>
      </c>
      <c r="BJ5" s="30" t="str">
        <f>IFERROR(__xludf.DUMMYFUNCTION("""COMPUTED_VALUE"""),"Sub Sector")</f>
        <v>Sub Sector</v>
      </c>
      <c r="BK5" s="30" t="str">
        <f>IFERROR(__xludf.DUMMYFUNCTION("""COMPUTED_VALUE"""),"Country")</f>
        <v>Country</v>
      </c>
      <c r="BL5" s="30" t="str">
        <f>IFERROR(__xludf.DUMMYFUNCTION("""COMPUTED_VALUE"""),"Market Cap")</f>
        <v>Market Cap</v>
      </c>
      <c r="BM5" s="30" t="str">
        <f>IFERROR(__xludf.DUMMYFUNCTION("""COMPUTED_VALUE"""),"Shares Outstanding (MM)")</f>
        <v>Shares Outstanding (MM)</v>
      </c>
      <c r="BN5" s="30" t="str">
        <f>IFERROR(__xludf.DUMMYFUNCTION("""COMPUTED_VALUE"""),"Avg Volume 20 Day")</f>
        <v>Avg Volume 20 Day</v>
      </c>
      <c r="BO5" s="30" t="str">
        <f>IFERROR(__xludf.DUMMYFUNCTION("""COMPUTED_VALUE"""),"% Avg Volume (Delta Adj.)")</f>
        <v>% Avg Volume (Delta Adj.)</v>
      </c>
      <c r="BP5" s="30" t="str">
        <f>IFERROR(__xludf.DUMMYFUNCTION("""COMPUTED_VALUE"""),"Ex Dividend Date")</f>
        <v>Ex Dividend Date</v>
      </c>
      <c r="BQ5" s="30" t="str">
        <f>IFERROR(__xludf.DUMMYFUNCTION("""COMPUTED_VALUE"""),"Cash Impact (Base)")</f>
        <v>Cash Impact (Base)</v>
      </c>
      <c r="BR5" s="30" t="str">
        <f>IFERROR(__xludf.DUMMYFUNCTION("""COMPUTED_VALUE"""),"Volatility (%)")</f>
        <v>Volatility (%)</v>
      </c>
      <c r="BS5" s="30" t="str">
        <f>IFERROR(__xludf.DUMMYFUNCTION("""COMPUTED_VALUE"""),"User")</f>
        <v>User</v>
      </c>
      <c r="BT5" s="30" t="str">
        <f>IFERROR(__xludf.DUMMYFUNCTION("""COMPUTED_VALUE"""),"Broker")</f>
        <v>Broker</v>
      </c>
      <c r="BU5" s="30" t="str">
        <f>IFERROR(__xludf.DUMMYFUNCTION("""COMPUTED_VALUE"""),"Earned Dividend (Local)")</f>
        <v>Earned Dividend (Local)</v>
      </c>
      <c r="BV5" s="30" t="str">
        <f>IFERROR(__xludf.DUMMYFUNCTION("""COMPUTED_VALUE"""),"Earned Dividend (Base)")</f>
        <v>Earned Dividend (Base)</v>
      </c>
      <c r="BW5" s="30" t="str">
        <f>IFERROR(__xludf.DUMMYFUNCTION("""COMPUTED_VALUE"""),"Put/Call")</f>
        <v>Put/Call</v>
      </c>
      <c r="BX5" s="30" t="str">
        <f>IFERROR(__xludf.DUMMYFUNCTION("""COMPUTED_VALUE"""),"Expiration Date")</f>
        <v>Expiration Date</v>
      </c>
      <c r="BY5" s="30" t="str">
        <f>IFERROR(__xludf.DUMMYFUNCTION("""COMPUTED_VALUE"""),"Strike Price")</f>
        <v>Strike Price</v>
      </c>
      <c r="BZ5" s="30" t="str">
        <f>IFERROR(__xludf.DUMMYFUNCTION("""COMPUTED_VALUE"""),"Gross Exposure (Base)")</f>
        <v>Gross Exposure (Base)</v>
      </c>
      <c r="CA5" s="30" t="str">
        <f>IFERROR(__xludf.DUMMYFUNCTION("""COMPUTED_VALUE"""),"Gross Market Value (Base)")</f>
        <v>Gross Market Value (Base)</v>
      </c>
      <c r="CB5" s="30" t="str">
        <f>IFERROR(__xludf.DUMMYFUNCTION("""COMPUTED_VALUE"""),"Px Selected Feed (Local)")</f>
        <v>Px Selected Feed (Local)</v>
      </c>
      <c r="CC5" s="30" t="str">
        <f>IFERROR(__xludf.DUMMYFUNCTION("""COMPUTED_VALUE"""),"Px Selected Feed (Base)")</f>
        <v>Px Selected Feed (Base)</v>
      </c>
      <c r="CD5" s="30" t="str">
        <f>IFERROR(__xludf.DUMMYFUNCTION("""COMPUTED_VALUE"""),"Settlement Date")</f>
        <v>Settlement Date</v>
      </c>
      <c r="CE5" s="30" t="str">
        <f>IFERROR(__xludf.DUMMYFUNCTION("""COMPUTED_VALUE"""),"% Avg Volume")</f>
        <v>% Avg Volume</v>
      </c>
      <c r="CF5" s="30" t="str">
        <f>IFERROR(__xludf.DUMMYFUNCTION("""COMPUTED_VALUE"""),"Day P&amp;L (Base)(Price Gain)")</f>
        <v>Day P&amp;L (Base)(Price Gain)</v>
      </c>
      <c r="CG5" s="30" t="str">
        <f>IFERROR(__xludf.DUMMYFUNCTION("""COMPUTED_VALUE"""),"Day P&amp;L (Base)(FX Gain)")</f>
        <v>Day P&amp;L (Base)(FX Gain)</v>
      </c>
      <c r="CH5" s="30" t="str">
        <f>IFERROR(__xludf.DUMMYFUNCTION("""COMPUTED_VALUE"""),"Cost Basis P&amp;L (Base)(FX Gain)")</f>
        <v>Cost Basis P&amp;L (Base)(FX Gain)</v>
      </c>
      <c r="CI5" s="30" t="str">
        <f>IFERROR(__xludf.DUMMYFUNCTION("""COMPUTED_VALUE"""),"Cost Basis P&amp;L (Base)(Price Gain)")</f>
        <v>Cost Basis P&amp;L (Base)(Price Gain)</v>
      </c>
      <c r="CJ5" s="30" t="str">
        <f>IFERROR(__xludf.DUMMYFUNCTION("""COMPUTED_VALUE"""),"% Gain/Loss Cost")</f>
        <v>% Gain/Loss Cost</v>
      </c>
      <c r="CK5" s="30" t="str">
        <f>IFERROR(__xludf.DUMMYFUNCTION("""COMPUTED_VALUE"""),"Underlying Value (Options)")</f>
        <v>Underlying Value (Options)</v>
      </c>
      <c r="CL5" s="30" t="str">
        <f>IFERROR(__xludf.DUMMYFUNCTION("""COMPUTED_VALUE"""),"Avg Volume 20 Day (Underlying Symbol)")</f>
        <v>Avg Volume 20 Day (Underlying Symbol)</v>
      </c>
      <c r="CM5" s="30" t="str">
        <f>IFERROR(__xludf.DUMMYFUNCTION("""COMPUTED_VALUE"""),"IsStaleData")</f>
        <v>IsStaleData</v>
      </c>
      <c r="CN5" s="30" t="str">
        <f>IFERROR(__xludf.DUMMYFUNCTION("""COMPUTED_VALUE"""),"IDCO")</f>
        <v>IDCO</v>
      </c>
      <c r="CO5" s="30" t="str">
        <f>IFERROR(__xludf.DUMMYFUNCTION("""COMPUTED_VALUE"""),"OSI")</f>
        <v>OSI</v>
      </c>
      <c r="CP5" s="30" t="str">
        <f>IFERROR(__xludf.DUMMYFUNCTION("""COMPUTED_VALUE"""),"SEDOL")</f>
        <v>SEDOL</v>
      </c>
      <c r="CQ5" s="30" t="str">
        <f>IFERROR(__xludf.DUMMYFUNCTION("""COMPUTED_VALUE"""),"CUSIP")</f>
        <v>CUSIP</v>
      </c>
      <c r="CR5" s="30" t="str">
        <f>IFERROR(__xludf.DUMMYFUNCTION("""COMPUTED_VALUE"""),"Bloomberg")</f>
        <v>Bloomberg</v>
      </c>
      <c r="CS5" s="30" t="str">
        <f>IFERROR(__xludf.DUMMYFUNCTION("""COMPUTED_VALUE"""),"ISIN")</f>
        <v>ISIN</v>
      </c>
      <c r="CT5" s="30" t="str">
        <f>IFERROR(__xludf.DUMMYFUNCTION("""COMPUTED_VALUE"""),"Start Trade Date")</f>
        <v>Start Trade Date</v>
      </c>
      <c r="CU5" s="30" t="str">
        <f>IFERROR(__xludf.DUMMYFUNCTION("""COMPUTED_VALUE"""),"Cost Basis (Break Even)")</f>
        <v>Cost Basis (Break Even)</v>
      </c>
      <c r="CV5" s="30" t="str">
        <f>IFERROR(__xludf.DUMMYFUNCTION("""COMPUTED_VALUE"""),"Trade Attribute 3")</f>
        <v>Trade Attribute 3</v>
      </c>
      <c r="CW5" s="30" t="str">
        <f>IFERROR(__xludf.DUMMYFUNCTION("""COMPUTED_VALUE"""),"Trade Attribute 4")</f>
        <v>Trade Attribute 4</v>
      </c>
      <c r="CX5" s="30" t="str">
        <f>IFERROR(__xludf.DUMMYFUNCTION("""COMPUTED_VALUE"""),"Trade Attribute 5")</f>
        <v>Trade Attribute 5</v>
      </c>
      <c r="CY5" s="30" t="str">
        <f>IFERROR(__xludf.DUMMYFUNCTION("""COMPUTED_VALUE"""),"Trade Attribute 6")</f>
        <v>Trade Attribute 6</v>
      </c>
      <c r="CZ5" s="30" t="str">
        <f>IFERROR(__xludf.DUMMYFUNCTION("""COMPUTED_VALUE"""),"Proxy Symbol")</f>
        <v>Proxy Symbol</v>
      </c>
      <c r="DA5" s="30" t="str">
        <f>IFERROR(__xludf.DUMMYFUNCTION("""COMPUTED_VALUE"""),"Pricing Source")</f>
        <v>Pricing Source</v>
      </c>
      <c r="DB5" s="30" t="str">
        <f>IFERROR(__xludf.DUMMYFUNCTION("""COMPUTED_VALUE"""),"Delta Source")</f>
        <v>Delta Source</v>
      </c>
      <c r="DC5" s="30" t="str">
        <f>IFERROR(__xludf.DUMMYFUNCTION("""COMPUTED_VALUE"""),"Gross Exposure (Local)")</f>
        <v>Gross Exposure (Local)</v>
      </c>
      <c r="DD5" s="30" t="str">
        <f>IFERROR(__xludf.DUMMYFUNCTION("""COMPUTED_VALUE"""),"% Day P&amp;L (Net MV)")</f>
        <v>% Day P&amp;L (Net MV)</v>
      </c>
      <c r="DE5" s="30" t="str">
        <f>IFERROR(__xludf.DUMMYFUNCTION("""COMPUTED_VALUE"""),"Expiration Month")</f>
        <v>Expiration Month</v>
      </c>
      <c r="DF5" s="30" t="str">
        <f>IFERROR(__xludf.DUMMYFUNCTION("""COMPUTED_VALUE"""),"Delta Adj. Position (LME)")</f>
        <v>Delta Adj. Position (LME)</v>
      </c>
      <c r="DG5" s="30" t="str">
        <f>IFERROR(__xludf.DUMMYFUNCTION("""COMPUTED_VALUE"""),"Premium")</f>
        <v>Premium</v>
      </c>
      <c r="DH5" s="30" t="str">
        <f>IFERROR(__xludf.DUMMYFUNCTION("""COMPUTED_VALUE"""),"Premium $")</f>
        <v>Premium $</v>
      </c>
      <c r="DI5" s="30" t="str">
        <f>IFERROR(__xludf.DUMMYFUNCTION("""COMPUTED_VALUE"""),"Forward Points")</f>
        <v>Forward Points</v>
      </c>
      <c r="DJ5" s="30" t="str">
        <f>IFERROR(__xludf.DUMMYFUNCTION("""COMPUTED_VALUE"""),"Closing Mark (Underlying)")</f>
        <v>Closing Mark (Underlying)</v>
      </c>
      <c r="DK5" s="30" t="str">
        <f>IFERROR(__xludf.DUMMYFUNCTION("""COMPUTED_VALUE"""),"% Change (Underlying Price)")</f>
        <v>% Change (Underlying Price)</v>
      </c>
      <c r="DL5" s="30" t="str">
        <f>IFERROR(__xludf.DUMMYFUNCTION("""COMPUTED_VALUE"""),"Transaction Type")</f>
        <v>Transaction Type</v>
      </c>
      <c r="DM5" s="30" t="str">
        <f>IFERROR(__xludf.DUMMYFUNCTION("""COMPUTED_VALUE"""),"Closing Market Value (Local)")</f>
        <v>Closing Market Value (Local)</v>
      </c>
      <c r="DN5" s="30" t="str">
        <f>IFERROR(__xludf.DUMMYFUNCTION("""COMPUTED_VALUE"""),"Closing Market Value (Base)")</f>
        <v>Closing Market Value (Base)</v>
      </c>
      <c r="DO5" s="30" t="str">
        <f>IFERROR(__xludf.DUMMYFUNCTION("""COMPUTED_VALUE"""),"Closing FX Rate")</f>
        <v>Closing FX Rate</v>
      </c>
      <c r="DP5" s="30" t="str">
        <f>IFERROR(__xludf.DUMMYFUNCTION("""COMPUTED_VALUE"""),"Change In Underlying Price")</f>
        <v>Change In Underlying Price</v>
      </c>
      <c r="DQ5" s="30" t="str">
        <f>IFERROR(__xludf.DUMMYFUNCTION("""COMPUTED_VALUE"""),"RIC")</f>
        <v>RIC</v>
      </c>
      <c r="DR5" s="30" t="str">
        <f>IFERROR(__xludf.DUMMYFUNCTION("""COMPUTED_VALUE"""),"Position Side Exposure (Boxed)")</f>
        <v>Position Side Exposure (Boxed)</v>
      </c>
      <c r="DS5" s="30" t="str">
        <f>IFERROR(__xludf.DUMMYFUNCTION("""COMPUTED_VALUE"""),"Analyst")</f>
        <v>Analyst</v>
      </c>
      <c r="DT5" s="30" t="str">
        <f>IFERROR(__xludf.DUMMYFUNCTION("""COMPUTED_VALUE"""),"Country Of Risk")</f>
        <v>Country Of Risk</v>
      </c>
      <c r="DU5" s="30" t="str">
        <f>IFERROR(__xludf.DUMMYFUNCTION("""COMPUTED_VALUE"""),"Custom UDA1")</f>
        <v>Custom UDA1</v>
      </c>
      <c r="DV5" s="30" t="str">
        <f>IFERROR(__xludf.DUMMYFUNCTION("""COMPUTED_VALUE"""),"Custom UDA2")</f>
        <v>Custom UDA2</v>
      </c>
      <c r="DW5" s="30" t="str">
        <f>IFERROR(__xludf.DUMMYFUNCTION("""COMPUTED_VALUE"""),"Custom UDA3")</f>
        <v>Custom UDA3</v>
      </c>
      <c r="DX5" s="30" t="str">
        <f>IFERROR(__xludf.DUMMYFUNCTION("""COMPUTED_VALUE"""),"Custom UDA4")</f>
        <v>Custom UDA4</v>
      </c>
      <c r="DY5" s="30" t="str">
        <f>IFERROR(__xludf.DUMMYFUNCTION("""COMPUTED_VALUE"""),"Custom UDA5")</f>
        <v>Custom UDA5</v>
      </c>
      <c r="DZ5" s="30" t="str">
        <f>IFERROR(__xludf.DUMMYFUNCTION("""COMPUTED_VALUE"""),"Custom UDA6")</f>
        <v>Custom UDA6</v>
      </c>
      <c r="EA5" s="30" t="str">
        <f>IFERROR(__xludf.DUMMYFUNCTION("""COMPUTED_VALUE"""),"Custom UDA7")</f>
        <v>Custom UDA7</v>
      </c>
      <c r="EB5" s="30" t="str">
        <f>IFERROR(__xludf.DUMMYFUNCTION("""COMPUTED_VALUE"""),"Issuer")</f>
        <v>Issuer</v>
      </c>
      <c r="EC5" s="30" t="str">
        <f>IFERROR(__xludf.DUMMYFUNCTION("""COMPUTED_VALUE"""),"Liquid Tag")</f>
        <v>Liquid Tag</v>
      </c>
      <c r="ED5" s="30" t="str">
        <f>IFERROR(__xludf.DUMMYFUNCTION("""COMPUTED_VALUE"""),"Market Cap UDA")</f>
        <v>Market Cap UDA</v>
      </c>
      <c r="EE5" s="30" t="str">
        <f>IFERROR(__xludf.DUMMYFUNCTION("""COMPUTED_VALUE"""),"Region")</f>
        <v>Region</v>
      </c>
      <c r="EF5" s="30" t="str">
        <f>IFERROR(__xludf.DUMMYFUNCTION("""COMPUTED_VALUE"""),"Risk Currency")</f>
        <v>Risk Currency</v>
      </c>
      <c r="EG5" s="30" t="str">
        <f>IFERROR(__xludf.DUMMYFUNCTION("""COMPUTED_VALUE"""),"UCITS Eligible Tag")</f>
        <v>UCITS Eligible Tag</v>
      </c>
      <c r="EH5" s="30" t="str">
        <f>IFERROR(__xludf.DUMMYFUNCTION("""COMPUTED_VALUE"""),"FX Rate (Display)")</f>
        <v>FX Rate (Display)</v>
      </c>
      <c r="EI5" s="30" t="str">
        <f>IFERROR(__xludf.DUMMYFUNCTION("""COMPUTED_VALUE"""),"% Net Exposure (Base)")</f>
        <v>% Net Exposure (Base)</v>
      </c>
      <c r="EJ5" s="30" t="str">
        <f>IFERROR(__xludf.DUMMYFUNCTION("""COMPUTED_VALUE"""),"% Gross Exposure (Base)")</f>
        <v>% Gross Exposure (Base)</v>
      </c>
      <c r="EK5" s="30" t="str">
        <f>IFERROR(__xludf.DUMMYFUNCTION("""COMPUTED_VALUE"""),"% Exposure (Base)")</f>
        <v>% Exposure (Base)</v>
      </c>
      <c r="EL5" s="30" t="str">
        <f>IFERROR(__xludf.DUMMYFUNCTION("""COMPUTED_VALUE"""),"% Gross Exposure (Underlying) (Base)")</f>
        <v>% Gross Exposure (Underlying) (Base)</v>
      </c>
      <c r="EM5" s="30" t="str">
        <f>IFERROR(__xludf.DUMMYFUNCTION("""COMPUTED_VALUE"""),"% Beta Adj. Gross Exposure (Base)")</f>
        <v>% Beta Adj. Gross Exposure (Base)</v>
      </c>
      <c r="EN5" s="30" t="str">
        <f>IFERROR(__xludf.DUMMYFUNCTION("""COMPUTED_VALUE"""),"Position Side Exposure (Underlying)")</f>
        <v>Position Side Exposure (Underlying)</v>
      </c>
      <c r="EO5" s="30" t="str">
        <f>IFERROR(__xludf.DUMMYFUNCTION("""COMPUTED_VALUE"""),"Gross Exposure (Underlying) (Base)")</f>
        <v>Gross Exposure (Underlying) (Base)</v>
      </c>
      <c r="EP5" s="30" t="str">
        <f>IFERROR(__xludf.DUMMYFUNCTION("""COMPUTED_VALUE"""),"Gross Exposure (Underlying)")</f>
        <v>Gross Exposure (Underlying)</v>
      </c>
      <c r="EQ5" s="30" t="str">
        <f>IFERROR(__xludf.DUMMYFUNCTION("""COMPUTED_VALUE"""),"Day Return")</f>
        <v>Day Return</v>
      </c>
      <c r="ER5" s="30" t="str">
        <f>IFERROR(__xludf.DUMMYFUNCTION("""COMPUTED_VALUE"""),"Start of Day NAV")</f>
        <v>Start of Day NAV</v>
      </c>
      <c r="ES5" s="30" t="str">
        <f>IFERROR(__xludf.DUMMYFUNCTION("""COMPUTED_VALUE"""),"% Gross Market Value (Base)")</f>
        <v>% Gross Market Value (Base)</v>
      </c>
      <c r="ET5" s="30" t="str">
        <f>IFERROR(__xludf.DUMMYFUNCTION("""COMPUTED_VALUE"""),"Beta Adj. Gross Exposure (Underlying) (Local)")</f>
        <v>Beta Adj. Gross Exposure (Underlying) (Local)</v>
      </c>
      <c r="EU5" s="30" t="str">
        <f>IFERROR(__xludf.DUMMYFUNCTION("""COMPUTED_VALUE"""),"NAV")</f>
        <v>NAV</v>
      </c>
      <c r="EV5" s="30" t="str">
        <f>IFERROR(__xludf.DUMMYFUNCTION("""COMPUTED_VALUE"""),"% P&amp;L Contribution")</f>
        <v>% P&amp;L Contribution</v>
      </c>
      <c r="EW5" s="30" t="str">
        <f>IFERROR(__xludf.DUMMYFUNCTION("""COMPUTED_VALUE"""),"% Net Market Value (Base)")</f>
        <v>% Net Market Value (Base)</v>
      </c>
      <c r="EX5" s="30" t="str">
        <f>IFERROR(__xludf.DUMMYFUNCTION("""COMPUTED_VALUE"""),"Position Side Exposure")</f>
        <v>Position Side Exposure</v>
      </c>
      <c r="EY5" s="30" t="str">
        <f>IFERROR(__xludf.DUMMYFUNCTION("""COMPUTED_VALUE"""),"NAV (Touch)")</f>
        <v>NAV (Touch)</v>
      </c>
      <c r="EZ5" s="30" t="str">
        <f>IFERROR(__xludf.DUMMYFUNCTION("""COMPUTED_VALUE"""),"IgnorePropertyChangeEvents")</f>
        <v>IgnorePropertyChangeEvents</v>
      </c>
      <c r="FA5" s="30" t="str">
        <f>IFERROR(__xludf.DUMMYFUNCTION("""COMPUTED_VALUE"""),"Trade Attribute 1")</f>
        <v>Trade Attribute 1</v>
      </c>
      <c r="FB5" s="30" t="str">
        <f>IFERROR(__xludf.DUMMYFUNCTION("""COMPUTED_VALUE"""),"Trade Attribute 2")</f>
        <v>Trade Attribute 2</v>
      </c>
      <c r="FC5" s="30" t="str">
        <f>IFERROR(__xludf.DUMMYFUNCTION("""COMPUTED_VALUE"""),"Client")</f>
        <v>Client</v>
      </c>
      <c r="FD5" s="30" t="str">
        <f>IFERROR(__xludf.DUMMYFUNCTION("""COMPUTED_VALUE"""),"IsCustomViewTab")</f>
        <v>IsCustomViewTab</v>
      </c>
      <c r="FE5" s="30" t="str">
        <f>IFERROR(__xludf.DUMMYFUNCTION("""COMPUTED_VALUE"""),"ITM/OTM")</f>
        <v>ITM/OTM</v>
      </c>
      <c r="FF5" s="30" t="str">
        <f>IFERROR(__xludf.DUMMYFUNCTION("""COMPUTED_VALUE"""),"Days to Expiry")</f>
        <v>Days to Expiry</v>
      </c>
      <c r="FG5" s="30" t="str">
        <f>IFERROR(__xludf.DUMMYFUNCTION("""COMPUTED_VALUE"""),"% of Underlying Price")</f>
        <v>% of Underlying Price</v>
      </c>
      <c r="FH5" s="30" t="str">
        <f>IFERROR(__xludf.DUMMYFUNCTION("""COMPUTED_VALUE"""),"Intrinsic value")</f>
        <v>Intrinsic value</v>
      </c>
      <c r="FI5" s="30" t="str">
        <f>IFERROR(__xludf.DUMMYFUNCTION("""COMPUTED_VALUE"""),"Gain/Loss if Ex./Assign")</f>
        <v>Gain/Loss if Ex./Assign</v>
      </c>
      <c r="FJ5" s="30" t="str">
        <f>IFERROR(__xludf.DUMMYFUNCTION("""COMPUTED_VALUE"""),"Day Traded Position")</f>
        <v>Day Traded Position</v>
      </c>
      <c r="FK5" s="30" t="str">
        <f>IFERROR(__xludf.DUMMYFUNCTION("""COMPUTED_VALUE"""),"isRowCountCheck")</f>
        <v>isRowCountCheck</v>
      </c>
      <c r="FL5" s="30" t="str">
        <f>IFERROR(__xludf.DUMMYFUNCTION("""COMPUTED_VALUE"""),"ACTIV Symbol")</f>
        <v>ACTIV Symbol</v>
      </c>
      <c r="FM5" s="30"/>
      <c r="FN5" s="30"/>
      <c r="FO5" s="30"/>
      <c r="FP5" s="30"/>
      <c r="FQ5" s="30"/>
      <c r="FR5" s="30"/>
      <c r="FS5" s="30"/>
      <c r="FT5" s="30"/>
      <c r="FU5" s="30"/>
      <c r="FV5" s="30"/>
    </row>
    <row r="6" ht="15.75" customHeight="1">
      <c r="A6" s="8"/>
      <c r="B6" s="39" t="s">
        <v>27</v>
      </c>
      <c r="C6" s="13" t="s">
        <v>28</v>
      </c>
      <c r="D6" s="8"/>
      <c r="E6" s="13" t="s">
        <v>16</v>
      </c>
      <c r="F6" s="33">
        <v>200.0</v>
      </c>
      <c r="G6" s="40" t="s">
        <v>18</v>
      </c>
      <c r="H6" s="13" t="s">
        <v>26</v>
      </c>
      <c r="I6" s="13">
        <v>30.0</v>
      </c>
      <c r="J6" s="13" t="s">
        <v>29</v>
      </c>
      <c r="K6" s="8"/>
      <c r="L6" s="8"/>
      <c r="M6" s="8"/>
      <c r="N6" s="8"/>
      <c r="O6" s="8"/>
      <c r="CB6" s="41">
        <v>1000.0</v>
      </c>
    </row>
    <row r="7" ht="15.75" customHeight="1">
      <c r="A7" s="8"/>
      <c r="B7" s="8"/>
      <c r="C7" s="8"/>
      <c r="D7" s="8"/>
      <c r="E7" s="13" t="s">
        <v>21</v>
      </c>
      <c r="F7" s="33">
        <v>500.0</v>
      </c>
      <c r="G7" s="40" t="s">
        <v>18</v>
      </c>
      <c r="H7" s="13" t="s">
        <v>26</v>
      </c>
      <c r="I7" s="13">
        <v>30.0</v>
      </c>
      <c r="J7" s="13" t="s">
        <v>29</v>
      </c>
      <c r="K7" s="8"/>
      <c r="L7" s="8"/>
      <c r="M7" s="8"/>
      <c r="N7" s="8"/>
      <c r="O7" s="8"/>
      <c r="CB7" s="9">
        <v>150.0</v>
      </c>
    </row>
    <row r="8" ht="15.75" customHeight="1">
      <c r="A8" s="8"/>
      <c r="B8" s="8"/>
      <c r="C8" s="8"/>
      <c r="D8" s="8"/>
      <c r="E8" s="13" t="s">
        <v>20</v>
      </c>
      <c r="F8" s="33">
        <v>300.0</v>
      </c>
      <c r="G8" s="40" t="s">
        <v>18</v>
      </c>
      <c r="H8" s="13" t="s">
        <v>26</v>
      </c>
      <c r="I8" s="13">
        <v>30.0</v>
      </c>
      <c r="J8" s="13" t="s">
        <v>29</v>
      </c>
      <c r="K8" s="8"/>
      <c r="L8" s="8"/>
      <c r="M8" s="8"/>
      <c r="N8" s="8"/>
      <c r="O8" s="8"/>
      <c r="CB8" s="9">
        <v>140.0</v>
      </c>
    </row>
    <row r="9" ht="15.75" customHeight="1">
      <c r="A9" s="8"/>
      <c r="B9" s="8"/>
      <c r="C9" s="8"/>
      <c r="D9" s="8"/>
      <c r="E9" s="13" t="s">
        <v>20</v>
      </c>
      <c r="F9" s="33">
        <v>400.0</v>
      </c>
      <c r="G9" s="40" t="s">
        <v>18</v>
      </c>
      <c r="H9" s="13" t="s">
        <v>26</v>
      </c>
      <c r="I9" s="13">
        <v>30.0</v>
      </c>
      <c r="J9" s="13" t="s">
        <v>29</v>
      </c>
      <c r="K9" s="8"/>
      <c r="L9" s="8"/>
      <c r="M9" s="8"/>
      <c r="N9" s="8"/>
      <c r="O9" s="8"/>
      <c r="CB9" s="9">
        <v>140.0</v>
      </c>
    </row>
    <row r="10" ht="15.75" customHeight="1">
      <c r="A10" s="8"/>
      <c r="B10" s="8"/>
      <c r="C10" s="8"/>
      <c r="D10" s="8"/>
      <c r="E10" s="13" t="s">
        <v>19</v>
      </c>
      <c r="F10" s="33">
        <v>100.0</v>
      </c>
      <c r="G10" s="40" t="s">
        <v>18</v>
      </c>
      <c r="H10" s="13" t="s">
        <v>26</v>
      </c>
      <c r="I10" s="13">
        <v>30.0</v>
      </c>
      <c r="J10" s="13" t="s">
        <v>29</v>
      </c>
      <c r="K10" s="8"/>
      <c r="L10" s="8"/>
      <c r="M10" s="8"/>
      <c r="N10" s="8"/>
      <c r="O10" s="8"/>
      <c r="CB10" s="9">
        <v>120.0</v>
      </c>
    </row>
    <row r="11" ht="15.75" customHeight="1">
      <c r="A11" s="8"/>
      <c r="B11" s="8"/>
      <c r="C11" s="8"/>
      <c r="D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SortAndVerifyPM1!$4:$4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IFERROR(__xludf.DUMMYFUNCTION("""COMPUTED_VALUE"""),"SortingColumnName")</f>
        <v>SortingColumnName</v>
      </c>
      <c r="C5" s="28" t="str">
        <f>IFERROR(__xludf.DUMMYFUNCTION("""COMPUTED_VALUE"""),"Sort ASC OR DSC")</f>
        <v>Sort ASC OR DSC</v>
      </c>
      <c r="D5" s="28" t="str">
        <f>IFERROR(__xludf.DUMMYFUNCTION("""COMPUTED_VALUE"""),"Trade Date")</f>
        <v>Trade Date</v>
      </c>
      <c r="E5" s="28" t="str">
        <f>IFERROR(__xludf.DUMMYFUNCTION("""COMPUTED_VALUE"""),"Symbol")</f>
        <v>Symbol</v>
      </c>
      <c r="F5" s="29" t="str">
        <f>IFERROR(__xludf.DUMMYFUNCTION("""COMPUTED_VALUE"""),"Position")</f>
        <v>Position</v>
      </c>
      <c r="G5" s="28" t="str">
        <f>IFERROR(__xludf.DUMMYFUNCTION("""COMPUTED_VALUE"""),"Account")</f>
        <v>Account</v>
      </c>
      <c r="H5" s="28" t="str">
        <f>IFERROR(__xludf.DUMMYFUNCTION("""COMPUTED_VALUE"""),"MasterFund")</f>
        <v>MasterFund</v>
      </c>
      <c r="I5" s="28" t="str">
        <f>IFERROR(__xludf.DUMMYFUNCTION("""COMPUTED_VALUE"""),"Cost Basis")</f>
        <v>Cost Basis</v>
      </c>
      <c r="J5" s="28" t="str">
        <f>IFERROR(__xludf.DUMMYFUNCTION("""COMPUTED_VALUE"""),"Position Side")</f>
        <v>Position Side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Day P&amp;L (Gross MV)")</f>
        <v>% Day P&amp;L (Gross MV)</v>
      </c>
      <c r="M5" s="28" t="str">
        <f>IFERROR(__xludf.DUMMYFUNCTION("""COMPUTED_VALUE"""),"Net Exposure (Base)")</f>
        <v>Net Exposure (Base)</v>
      </c>
      <c r="N5" s="28" t="str">
        <f>IFERROR(__xludf.DUMMYFUNCTION("""COMPUTED_VALUE"""),"Beta Adj. Gross Exposure (Base)")</f>
        <v>Beta Adj. Gross Exposure (Base)</v>
      </c>
      <c r="O5" s="28" t="str">
        <f>IFERROR(__xludf.DUMMYFUNCTION("""COMPUTED_VALUE"""),"Beta Adj. Gross Exposure (Underlying) (Base)")</f>
        <v>Beta Adj. Gross Exposure (Underlying) (Base)</v>
      </c>
      <c r="P5" s="28" t="str">
        <f>IFERROR(__xludf.DUMMYFUNCTION("""COMPUTED_VALUE"""),"Day P&amp;L (Base)")</f>
        <v>Day P&amp;L (Base)</v>
      </c>
      <c r="Q5" s="28" t="str">
        <f>IFERROR(__xludf.DUMMYFUNCTION("""COMPUTED_VALUE"""),"Security Name")</f>
        <v>Security Name</v>
      </c>
      <c r="R5" s="28" t="str">
        <f>IFERROR(__xludf.DUMMYFUNCTION("""COMPUTED_VALUE"""),"Closing Mark")</f>
        <v>Closing Mark</v>
      </c>
      <c r="S5" s="28" t="str">
        <f>IFERROR(__xludf.DUMMYFUNCTION("""COMPUTED_VALUE"""),"Cost Basis P&amp;L (Base)")</f>
        <v>Cost Basis P&amp;L (Base)</v>
      </c>
      <c r="T5" s="30" t="str">
        <f>IFERROR(__xludf.DUMMYFUNCTION("""COMPUTED_VALUE"""),"Prime Broker")</f>
        <v>Prime Broker</v>
      </c>
      <c r="U5" s="30" t="str">
        <f>IFERROR(__xludf.DUMMYFUNCTION("""COMPUTED_VALUE"""),"Strategy")</f>
        <v>Strategy</v>
      </c>
      <c r="V5" s="30" t="str">
        <f>IFERROR(__xludf.DUMMYFUNCTION("""COMPUTED_VALUE"""),"Asset Class")</f>
        <v>Asset Class</v>
      </c>
      <c r="W5" s="30" t="str">
        <f>IFERROR(__xludf.DUMMYFUNCTION("""COMPUTED_VALUE"""),"Underlying")</f>
        <v>Underlying</v>
      </c>
      <c r="X5" s="30" t="str">
        <f>IFERROR(__xludf.DUMMYFUNCTION("""COMPUTED_VALUE"""),"Exchange")</f>
        <v>Exchange</v>
      </c>
      <c r="Y5" s="30" t="str">
        <f>IFERROR(__xludf.DUMMYFUNCTION("""COMPUTED_VALUE"""),"Trade Currency")</f>
        <v>Trade Currency</v>
      </c>
      <c r="Z5" s="30" t="str">
        <f>IFERROR(__xludf.DUMMYFUNCTION("""COMPUTED_VALUE"""),"Multiplier")</f>
        <v>Multiplier</v>
      </c>
      <c r="AA5" s="30" t="str">
        <f>IFERROR(__xludf.DUMMYFUNCTION("""COMPUTED_VALUE"""),"FX Rate")</f>
        <v>FX Rate</v>
      </c>
      <c r="AB5" s="30" t="str">
        <f>IFERROR(__xludf.DUMMYFUNCTION("""COMPUTED_VALUE"""),"Vs Currency")</f>
        <v>Vs Currency</v>
      </c>
      <c r="AC5" s="30" t="str">
        <f>IFERROR(__xludf.DUMMYFUNCTION("""COMPUTED_VALUE"""),"Lead Currency")</f>
        <v>Lead Currency</v>
      </c>
      <c r="AD5" s="30" t="str">
        <f>IFERROR(__xludf.DUMMYFUNCTION("""COMPUTED_VALUE"""),"Dividend Yield (%)")</f>
        <v>Dividend Yield (%)</v>
      </c>
      <c r="AE5" s="30" t="str">
        <f>IFERROR(__xludf.DUMMYFUNCTION("""COMPUTED_VALUE"""),"% Change")</f>
        <v>% Change</v>
      </c>
      <c r="AF5" s="30" t="str">
        <f>IFERROR(__xludf.DUMMYFUNCTION("""COMPUTED_VALUE"""),"Net Exposure (Local)")</f>
        <v>Net Exposure (Local)</v>
      </c>
      <c r="AG5" s="30" t="str">
        <f>IFERROR(__xludf.DUMMYFUNCTION("""COMPUTED_VALUE"""),"Exposure (Local)")</f>
        <v>Exposure (Local)</v>
      </c>
      <c r="AH5" s="30" t="str">
        <f>IFERROR(__xludf.DUMMYFUNCTION("""COMPUTED_VALUE"""),"Delta Adj. Position")</f>
        <v>Delta Adj. Position</v>
      </c>
      <c r="AI5" s="30" t="str">
        <f>IFERROR(__xludf.DUMMYFUNCTION("""COMPUTED_VALUE"""),"Exposure (Base)")</f>
        <v>Exposure (Base)</v>
      </c>
      <c r="AJ5" s="30" t="str">
        <f>IFERROR(__xludf.DUMMYFUNCTION("""COMPUTED_VALUE"""),"Beta Adj. Exposure (Local)")</f>
        <v>Beta Adj. Exposure (Local)</v>
      </c>
      <c r="AK5" s="30" t="str">
        <f>IFERROR(__xludf.DUMMYFUNCTION("""COMPUTED_VALUE"""),"Beta Adj. Exposure (Base)")</f>
        <v>Beta Adj. Exposure (Base)</v>
      </c>
      <c r="AL5" s="30" t="str">
        <f>IFERROR(__xludf.DUMMYFUNCTION("""COMPUTED_VALUE"""),"Exposure (BP)(Base)")</f>
        <v>Exposure (BP)(Base)</v>
      </c>
      <c r="AM5" s="30" t="str">
        <f>IFERROR(__xludf.DUMMYFUNCTION("""COMPUTED_VALUE"""),"Day P&amp;L (Local)")</f>
        <v>Day P&amp;L (Local)</v>
      </c>
      <c r="AN5" s="30" t="str">
        <f>IFERROR(__xludf.DUMMYFUNCTION("""COMPUTED_VALUE"""),"Delta")</f>
        <v>Delta</v>
      </c>
      <c r="AO5" s="30" t="str">
        <f>IFERROR(__xludf.DUMMYFUNCTION("""COMPUTED_VALUE"""),"Leveraged Factor")</f>
        <v>Leveraged Factor</v>
      </c>
      <c r="AP5" s="30" t="str">
        <f>IFERROR(__xludf.DUMMYFUNCTION("""COMPUTED_VALUE"""),"Order Side")</f>
        <v>Order Side</v>
      </c>
      <c r="AQ5" s="30" t="str">
        <f>IFERROR(__xludf.DUMMYFUNCTION("""COMPUTED_VALUE"""),"Master Strategy")</f>
        <v>Master Strategy</v>
      </c>
      <c r="AR5" s="30" t="str">
        <f>IFERROR(__xludf.DUMMYFUNCTION("""COMPUTED_VALUE"""),"Transaction Side")</f>
        <v>Transaction Side</v>
      </c>
      <c r="AS5" s="30" t="str">
        <f>IFERROR(__xludf.DUMMYFUNCTION("""COMPUTED_VALUE"""),"Underlying Symbol")</f>
        <v>Underlying Symbol</v>
      </c>
      <c r="AT5" s="30" t="str">
        <f>IFERROR(__xludf.DUMMYFUNCTION("""COMPUTED_VALUE"""),"Underlying Price")</f>
        <v>Underlying Price</v>
      </c>
      <c r="AU5" s="30" t="str">
        <f>IFERROR(__xludf.DUMMYFUNCTION("""COMPUTED_VALUE"""),"Side Multiplier")</f>
        <v>Side Multiplier</v>
      </c>
      <c r="AV5" s="30" t="str">
        <f>IFERROR(__xludf.DUMMYFUNCTION("""COMPUTED_VALUE"""),"Description")</f>
        <v>Description</v>
      </c>
      <c r="AW5" s="30" t="str">
        <f>IFERROR(__xludf.DUMMYFUNCTION("""COMPUTED_VALUE"""),"Internal Comments")</f>
        <v>Internal Comments</v>
      </c>
      <c r="AX5" s="30" t="str">
        <f>IFERROR(__xludf.DUMMYFUNCTION("""COMPUTED_VALUE"""),"FX Rate On Trade Date")</f>
        <v>FX Rate On Trade Date</v>
      </c>
      <c r="AY5" s="30" t="str">
        <f>IFERROR(__xludf.DUMMYFUNCTION("""COMPUTED_VALUE"""),"Cost Basis P&amp;L (Local)")</f>
        <v>Cost Basis P&amp;L (Local)</v>
      </c>
      <c r="AZ5" s="30" t="str">
        <f>IFERROR(__xludf.DUMMYFUNCTION("""COMPUTED_VALUE"""),"Day Interest")</f>
        <v>Day Interest</v>
      </c>
      <c r="BA5" s="30" t="str">
        <f>IFERROR(__xludf.DUMMYFUNCTION("""COMPUTED_VALUE"""),"Total Interest")</f>
        <v>Total Interest</v>
      </c>
      <c r="BB5" s="30" t="str">
        <f>IFERROR(__xludf.DUMMYFUNCTION("""COMPUTED_VALUE"""),"Market Value (Local)")</f>
        <v>Market Value (Local)</v>
      </c>
      <c r="BC5" s="30" t="str">
        <f>IFERROR(__xludf.DUMMYFUNCTION("""COMPUTED_VALUE"""),"% Gain/Loss Day")</f>
        <v>% Gain/Loss Day</v>
      </c>
      <c r="BD5" s="30" t="str">
        <f>IFERROR(__xludf.DUMMYFUNCTION("""COMPUTED_VALUE"""),"Update Time (Last Price)")</f>
        <v>Update Time (Last Price)</v>
      </c>
      <c r="BE5" s="30" t="str">
        <f>IFERROR(__xludf.DUMMYFUNCTION("""COMPUTED_VALUE"""),"Beta")</f>
        <v>Beta</v>
      </c>
      <c r="BF5" s="30" t="str">
        <f>IFERROR(__xludf.DUMMYFUNCTION("""COMPUTED_VALUE"""),"Cash Impact (Local)")</f>
        <v>Cash Impact (Local)</v>
      </c>
      <c r="BG5" s="30" t="str">
        <f>IFERROR(__xludf.DUMMYFUNCTION("""COMPUTED_VALUE"""),"User Asset")</f>
        <v>User Asset</v>
      </c>
      <c r="BH5" s="30" t="str">
        <f>IFERROR(__xludf.DUMMYFUNCTION("""COMPUTED_VALUE"""),"Security Type")</f>
        <v>Security Type</v>
      </c>
      <c r="BI5" s="30" t="str">
        <f>IFERROR(__xludf.DUMMYFUNCTION("""COMPUTED_VALUE"""),"Sector")</f>
        <v>Sector</v>
      </c>
      <c r="BJ5" s="30" t="str">
        <f>IFERROR(__xludf.DUMMYFUNCTION("""COMPUTED_VALUE"""),"Sub Sector")</f>
        <v>Sub Sector</v>
      </c>
      <c r="BK5" s="30" t="str">
        <f>IFERROR(__xludf.DUMMYFUNCTION("""COMPUTED_VALUE"""),"Country")</f>
        <v>Country</v>
      </c>
      <c r="BL5" s="30" t="str">
        <f>IFERROR(__xludf.DUMMYFUNCTION("""COMPUTED_VALUE"""),"Market Cap")</f>
        <v>Market Cap</v>
      </c>
      <c r="BM5" s="30" t="str">
        <f>IFERROR(__xludf.DUMMYFUNCTION("""COMPUTED_VALUE"""),"Shares Outstanding (MM)")</f>
        <v>Shares Outstanding (MM)</v>
      </c>
      <c r="BN5" s="30" t="str">
        <f>IFERROR(__xludf.DUMMYFUNCTION("""COMPUTED_VALUE"""),"Avg Volume 20 Day")</f>
        <v>Avg Volume 20 Day</v>
      </c>
      <c r="BO5" s="30" t="str">
        <f>IFERROR(__xludf.DUMMYFUNCTION("""COMPUTED_VALUE"""),"% Avg Volume (Delta Adj.)")</f>
        <v>% Avg Volume (Delta Adj.)</v>
      </c>
      <c r="BP5" s="30" t="str">
        <f>IFERROR(__xludf.DUMMYFUNCTION("""COMPUTED_VALUE"""),"Ex Dividend Date")</f>
        <v>Ex Dividend Date</v>
      </c>
      <c r="BQ5" s="30" t="str">
        <f>IFERROR(__xludf.DUMMYFUNCTION("""COMPUTED_VALUE"""),"Cash Impact (Base)")</f>
        <v>Cash Impact (Base)</v>
      </c>
      <c r="BR5" s="30" t="str">
        <f>IFERROR(__xludf.DUMMYFUNCTION("""COMPUTED_VALUE"""),"Volatility (%)")</f>
        <v>Volatility (%)</v>
      </c>
      <c r="BS5" s="30" t="str">
        <f>IFERROR(__xludf.DUMMYFUNCTION("""COMPUTED_VALUE"""),"User")</f>
        <v>User</v>
      </c>
      <c r="BT5" s="30" t="str">
        <f>IFERROR(__xludf.DUMMYFUNCTION("""COMPUTED_VALUE"""),"Broker")</f>
        <v>Broker</v>
      </c>
      <c r="BU5" s="30" t="str">
        <f>IFERROR(__xludf.DUMMYFUNCTION("""COMPUTED_VALUE"""),"Earned Dividend (Local)")</f>
        <v>Earned Dividend (Local)</v>
      </c>
      <c r="BV5" s="30" t="str">
        <f>IFERROR(__xludf.DUMMYFUNCTION("""COMPUTED_VALUE"""),"Earned Dividend (Base)")</f>
        <v>Earned Dividend (Base)</v>
      </c>
      <c r="BW5" s="30" t="str">
        <f>IFERROR(__xludf.DUMMYFUNCTION("""COMPUTED_VALUE"""),"Put/Call")</f>
        <v>Put/Call</v>
      </c>
      <c r="BX5" s="30" t="str">
        <f>IFERROR(__xludf.DUMMYFUNCTION("""COMPUTED_VALUE"""),"Expiration Date")</f>
        <v>Expiration Date</v>
      </c>
      <c r="BY5" s="30" t="str">
        <f>IFERROR(__xludf.DUMMYFUNCTION("""COMPUTED_VALUE"""),"Strike Price")</f>
        <v>Strike Price</v>
      </c>
      <c r="BZ5" s="30" t="str">
        <f>IFERROR(__xludf.DUMMYFUNCTION("""COMPUTED_VALUE"""),"Gross Exposure (Base)")</f>
        <v>Gross Exposure (Base)</v>
      </c>
      <c r="CA5" s="30" t="str">
        <f>IFERROR(__xludf.DUMMYFUNCTION("""COMPUTED_VALUE"""),"Gross Market Value (Base)")</f>
        <v>Gross Market Value (Base)</v>
      </c>
      <c r="CB5" s="30" t="str">
        <f>IFERROR(__xludf.DUMMYFUNCTION("""COMPUTED_VALUE"""),"Px Selected Feed (Local)")</f>
        <v>Px Selected Feed (Local)</v>
      </c>
      <c r="CC5" s="30" t="str">
        <f>IFERROR(__xludf.DUMMYFUNCTION("""COMPUTED_VALUE"""),"Px Selected Feed (Base)")</f>
        <v>Px Selected Feed (Base)</v>
      </c>
      <c r="CD5" s="30" t="str">
        <f>IFERROR(__xludf.DUMMYFUNCTION("""COMPUTED_VALUE"""),"Settlement Date")</f>
        <v>Settlement Date</v>
      </c>
      <c r="CE5" s="30" t="str">
        <f>IFERROR(__xludf.DUMMYFUNCTION("""COMPUTED_VALUE"""),"% Avg Volume")</f>
        <v>% Avg Volume</v>
      </c>
      <c r="CF5" s="30" t="str">
        <f>IFERROR(__xludf.DUMMYFUNCTION("""COMPUTED_VALUE"""),"Day P&amp;L (Base)(Price Gain)")</f>
        <v>Day P&amp;L (Base)(Price Gain)</v>
      </c>
      <c r="CG5" s="30" t="str">
        <f>IFERROR(__xludf.DUMMYFUNCTION("""COMPUTED_VALUE"""),"Day P&amp;L (Base)(FX Gain)")</f>
        <v>Day P&amp;L (Base)(FX Gain)</v>
      </c>
      <c r="CH5" s="30" t="str">
        <f>IFERROR(__xludf.DUMMYFUNCTION("""COMPUTED_VALUE"""),"Cost Basis P&amp;L (Base)(FX Gain)")</f>
        <v>Cost Basis P&amp;L (Base)(FX Gain)</v>
      </c>
      <c r="CI5" s="30" t="str">
        <f>IFERROR(__xludf.DUMMYFUNCTION("""COMPUTED_VALUE"""),"Cost Basis P&amp;L (Base)(Price Gain)")</f>
        <v>Cost Basis P&amp;L (Base)(Price Gain)</v>
      </c>
      <c r="CJ5" s="30" t="str">
        <f>IFERROR(__xludf.DUMMYFUNCTION("""COMPUTED_VALUE"""),"% Gain/Loss Cost")</f>
        <v>% Gain/Loss Cost</v>
      </c>
      <c r="CK5" s="30" t="str">
        <f>IFERROR(__xludf.DUMMYFUNCTION("""COMPUTED_VALUE"""),"Underlying Value (Options)")</f>
        <v>Underlying Value (Options)</v>
      </c>
      <c r="CL5" s="30" t="str">
        <f>IFERROR(__xludf.DUMMYFUNCTION("""COMPUTED_VALUE"""),"Avg Volume 20 Day (Underlying Symbol)")</f>
        <v>Avg Volume 20 Day (Underlying Symbol)</v>
      </c>
      <c r="CM5" s="30" t="str">
        <f>IFERROR(__xludf.DUMMYFUNCTION("""COMPUTED_VALUE"""),"IsStaleData")</f>
        <v>IsStaleData</v>
      </c>
      <c r="CN5" s="30" t="str">
        <f>IFERROR(__xludf.DUMMYFUNCTION("""COMPUTED_VALUE"""),"IDCO")</f>
        <v>IDCO</v>
      </c>
      <c r="CO5" s="30" t="str">
        <f>IFERROR(__xludf.DUMMYFUNCTION("""COMPUTED_VALUE"""),"OSI")</f>
        <v>OSI</v>
      </c>
      <c r="CP5" s="30" t="str">
        <f>IFERROR(__xludf.DUMMYFUNCTION("""COMPUTED_VALUE"""),"SEDOL")</f>
        <v>SEDOL</v>
      </c>
      <c r="CQ5" s="30" t="str">
        <f>IFERROR(__xludf.DUMMYFUNCTION("""COMPUTED_VALUE"""),"CUSIP")</f>
        <v>CUSIP</v>
      </c>
      <c r="CR5" s="30" t="str">
        <f>IFERROR(__xludf.DUMMYFUNCTION("""COMPUTED_VALUE"""),"Bloomberg")</f>
        <v>Bloomberg</v>
      </c>
      <c r="CS5" s="30" t="str">
        <f>IFERROR(__xludf.DUMMYFUNCTION("""COMPUTED_VALUE"""),"ISIN")</f>
        <v>ISIN</v>
      </c>
      <c r="CT5" s="30" t="str">
        <f>IFERROR(__xludf.DUMMYFUNCTION("""COMPUTED_VALUE"""),"Start Trade Date")</f>
        <v>Start Trade Date</v>
      </c>
      <c r="CU5" s="30" t="str">
        <f>IFERROR(__xludf.DUMMYFUNCTION("""COMPUTED_VALUE"""),"Cost Basis (Break Even)")</f>
        <v>Cost Basis (Break Even)</v>
      </c>
      <c r="CV5" s="30" t="str">
        <f>IFERROR(__xludf.DUMMYFUNCTION("""COMPUTED_VALUE"""),"Trade Attribute 3")</f>
        <v>Trade Attribute 3</v>
      </c>
      <c r="CW5" s="30" t="str">
        <f>IFERROR(__xludf.DUMMYFUNCTION("""COMPUTED_VALUE"""),"Trade Attribute 4")</f>
        <v>Trade Attribute 4</v>
      </c>
      <c r="CX5" s="30" t="str">
        <f>IFERROR(__xludf.DUMMYFUNCTION("""COMPUTED_VALUE"""),"Trade Attribute 5")</f>
        <v>Trade Attribute 5</v>
      </c>
      <c r="CY5" s="30" t="str">
        <f>IFERROR(__xludf.DUMMYFUNCTION("""COMPUTED_VALUE"""),"Trade Attribute 6")</f>
        <v>Trade Attribute 6</v>
      </c>
      <c r="CZ5" s="30" t="str">
        <f>IFERROR(__xludf.DUMMYFUNCTION("""COMPUTED_VALUE"""),"Proxy Symbol")</f>
        <v>Proxy Symbol</v>
      </c>
      <c r="DA5" s="30" t="str">
        <f>IFERROR(__xludf.DUMMYFUNCTION("""COMPUTED_VALUE"""),"Pricing Source")</f>
        <v>Pricing Source</v>
      </c>
      <c r="DB5" s="30" t="str">
        <f>IFERROR(__xludf.DUMMYFUNCTION("""COMPUTED_VALUE"""),"Delta Source")</f>
        <v>Delta Source</v>
      </c>
      <c r="DC5" s="30" t="str">
        <f>IFERROR(__xludf.DUMMYFUNCTION("""COMPUTED_VALUE"""),"Gross Exposure (Local)")</f>
        <v>Gross Exposure (Local)</v>
      </c>
      <c r="DD5" s="30" t="str">
        <f>IFERROR(__xludf.DUMMYFUNCTION("""COMPUTED_VALUE"""),"% Day P&amp;L (Net MV)")</f>
        <v>% Day P&amp;L (Net MV)</v>
      </c>
      <c r="DE5" s="30" t="str">
        <f>IFERROR(__xludf.DUMMYFUNCTION("""COMPUTED_VALUE"""),"Expiration Month")</f>
        <v>Expiration Month</v>
      </c>
      <c r="DF5" s="30" t="str">
        <f>IFERROR(__xludf.DUMMYFUNCTION("""COMPUTED_VALUE"""),"Delta Adj. Position (LME)")</f>
        <v>Delta Adj. Position (LME)</v>
      </c>
      <c r="DG5" s="30" t="str">
        <f>IFERROR(__xludf.DUMMYFUNCTION("""COMPUTED_VALUE"""),"Premium")</f>
        <v>Premium</v>
      </c>
      <c r="DH5" s="30" t="str">
        <f>IFERROR(__xludf.DUMMYFUNCTION("""COMPUTED_VALUE"""),"Premium $")</f>
        <v>Premium $</v>
      </c>
      <c r="DI5" s="30" t="str">
        <f>IFERROR(__xludf.DUMMYFUNCTION("""COMPUTED_VALUE"""),"Forward Points")</f>
        <v>Forward Points</v>
      </c>
      <c r="DJ5" s="30" t="str">
        <f>IFERROR(__xludf.DUMMYFUNCTION("""COMPUTED_VALUE"""),"Closing Mark (Underlying)")</f>
        <v>Closing Mark (Underlying)</v>
      </c>
      <c r="DK5" s="30" t="str">
        <f>IFERROR(__xludf.DUMMYFUNCTION("""COMPUTED_VALUE"""),"% Change (Underlying Price)")</f>
        <v>% Change (Underlying Price)</v>
      </c>
      <c r="DL5" s="30" t="str">
        <f>IFERROR(__xludf.DUMMYFUNCTION("""COMPUTED_VALUE"""),"Transaction Type")</f>
        <v>Transaction Type</v>
      </c>
      <c r="DM5" s="30" t="str">
        <f>IFERROR(__xludf.DUMMYFUNCTION("""COMPUTED_VALUE"""),"Closing Market Value (Local)")</f>
        <v>Closing Market Value (Local)</v>
      </c>
      <c r="DN5" s="30" t="str">
        <f>IFERROR(__xludf.DUMMYFUNCTION("""COMPUTED_VALUE"""),"Closing Market Value (Base)")</f>
        <v>Closing Market Value (Base)</v>
      </c>
      <c r="DO5" s="30" t="str">
        <f>IFERROR(__xludf.DUMMYFUNCTION("""COMPUTED_VALUE"""),"Closing FX Rate")</f>
        <v>Closing FX Rate</v>
      </c>
      <c r="DP5" s="30" t="str">
        <f>IFERROR(__xludf.DUMMYFUNCTION("""COMPUTED_VALUE"""),"Change In Underlying Price")</f>
        <v>Change In Underlying Price</v>
      </c>
      <c r="DQ5" s="30" t="str">
        <f>IFERROR(__xludf.DUMMYFUNCTION("""COMPUTED_VALUE"""),"RIC")</f>
        <v>RIC</v>
      </c>
      <c r="DR5" s="30" t="str">
        <f>IFERROR(__xludf.DUMMYFUNCTION("""COMPUTED_VALUE"""),"Position Side Exposure (Boxed)")</f>
        <v>Position Side Exposure (Boxed)</v>
      </c>
      <c r="DS5" s="30" t="str">
        <f>IFERROR(__xludf.DUMMYFUNCTION("""COMPUTED_VALUE"""),"Analyst")</f>
        <v>Analyst</v>
      </c>
      <c r="DT5" s="30" t="str">
        <f>IFERROR(__xludf.DUMMYFUNCTION("""COMPUTED_VALUE"""),"Country Of Risk")</f>
        <v>Country Of Risk</v>
      </c>
      <c r="DU5" s="30" t="str">
        <f>IFERROR(__xludf.DUMMYFUNCTION("""COMPUTED_VALUE"""),"Custom UDA1")</f>
        <v>Custom UDA1</v>
      </c>
      <c r="DV5" s="30" t="str">
        <f>IFERROR(__xludf.DUMMYFUNCTION("""COMPUTED_VALUE"""),"Custom UDA2")</f>
        <v>Custom UDA2</v>
      </c>
      <c r="DW5" s="30" t="str">
        <f>IFERROR(__xludf.DUMMYFUNCTION("""COMPUTED_VALUE"""),"Custom UDA3")</f>
        <v>Custom UDA3</v>
      </c>
      <c r="DX5" s="30" t="str">
        <f>IFERROR(__xludf.DUMMYFUNCTION("""COMPUTED_VALUE"""),"Custom UDA4")</f>
        <v>Custom UDA4</v>
      </c>
      <c r="DY5" s="30" t="str">
        <f>IFERROR(__xludf.DUMMYFUNCTION("""COMPUTED_VALUE"""),"Custom UDA5")</f>
        <v>Custom UDA5</v>
      </c>
      <c r="DZ5" s="30" t="str">
        <f>IFERROR(__xludf.DUMMYFUNCTION("""COMPUTED_VALUE"""),"Custom UDA6")</f>
        <v>Custom UDA6</v>
      </c>
      <c r="EA5" s="30" t="str">
        <f>IFERROR(__xludf.DUMMYFUNCTION("""COMPUTED_VALUE"""),"Custom UDA7")</f>
        <v>Custom UDA7</v>
      </c>
      <c r="EB5" s="30" t="str">
        <f>IFERROR(__xludf.DUMMYFUNCTION("""COMPUTED_VALUE"""),"Issuer")</f>
        <v>Issuer</v>
      </c>
      <c r="EC5" s="30" t="str">
        <f>IFERROR(__xludf.DUMMYFUNCTION("""COMPUTED_VALUE"""),"Liquid Tag")</f>
        <v>Liquid Tag</v>
      </c>
      <c r="ED5" s="30" t="str">
        <f>IFERROR(__xludf.DUMMYFUNCTION("""COMPUTED_VALUE"""),"Market Cap UDA")</f>
        <v>Market Cap UDA</v>
      </c>
      <c r="EE5" s="30" t="str">
        <f>IFERROR(__xludf.DUMMYFUNCTION("""COMPUTED_VALUE"""),"Region")</f>
        <v>Region</v>
      </c>
      <c r="EF5" s="30" t="str">
        <f>IFERROR(__xludf.DUMMYFUNCTION("""COMPUTED_VALUE"""),"Risk Currency")</f>
        <v>Risk Currency</v>
      </c>
      <c r="EG5" s="30" t="str">
        <f>IFERROR(__xludf.DUMMYFUNCTION("""COMPUTED_VALUE"""),"UCITS Eligible Tag")</f>
        <v>UCITS Eligible Tag</v>
      </c>
      <c r="EH5" s="30" t="str">
        <f>IFERROR(__xludf.DUMMYFUNCTION("""COMPUTED_VALUE"""),"FX Rate (Display)")</f>
        <v>FX Rate (Display)</v>
      </c>
      <c r="EI5" s="30" t="str">
        <f>IFERROR(__xludf.DUMMYFUNCTION("""COMPUTED_VALUE"""),"% Net Exposure (Base)")</f>
        <v>% Net Exposure (Base)</v>
      </c>
      <c r="EJ5" s="30" t="str">
        <f>IFERROR(__xludf.DUMMYFUNCTION("""COMPUTED_VALUE"""),"% Gross Exposure (Base)")</f>
        <v>% Gross Exposure (Base)</v>
      </c>
      <c r="EK5" s="30" t="str">
        <f>IFERROR(__xludf.DUMMYFUNCTION("""COMPUTED_VALUE"""),"% Exposure (Base)")</f>
        <v>% Exposure (Base)</v>
      </c>
      <c r="EL5" s="30" t="str">
        <f>IFERROR(__xludf.DUMMYFUNCTION("""COMPUTED_VALUE"""),"% Gross Exposure (Underlying) (Base)")</f>
        <v>% Gross Exposure (Underlying) (Base)</v>
      </c>
      <c r="EM5" s="30" t="str">
        <f>IFERROR(__xludf.DUMMYFUNCTION("""COMPUTED_VALUE"""),"% Beta Adj. Gross Exposure (Base)")</f>
        <v>% Beta Adj. Gross Exposure (Base)</v>
      </c>
      <c r="EN5" s="30" t="str">
        <f>IFERROR(__xludf.DUMMYFUNCTION("""COMPUTED_VALUE"""),"Position Side Exposure (Underlying)")</f>
        <v>Position Side Exposure (Underlying)</v>
      </c>
      <c r="EO5" s="30" t="str">
        <f>IFERROR(__xludf.DUMMYFUNCTION("""COMPUTED_VALUE"""),"Gross Exposure (Underlying) (Base)")</f>
        <v>Gross Exposure (Underlying) (Base)</v>
      </c>
      <c r="EP5" s="30" t="str">
        <f>IFERROR(__xludf.DUMMYFUNCTION("""COMPUTED_VALUE"""),"Gross Exposure (Underlying)")</f>
        <v>Gross Exposure (Underlying)</v>
      </c>
      <c r="EQ5" s="30" t="str">
        <f>IFERROR(__xludf.DUMMYFUNCTION("""COMPUTED_VALUE"""),"Day Return")</f>
        <v>Day Return</v>
      </c>
      <c r="ER5" s="30" t="str">
        <f>IFERROR(__xludf.DUMMYFUNCTION("""COMPUTED_VALUE"""),"Start of Day NAV")</f>
        <v>Start of Day NAV</v>
      </c>
      <c r="ES5" s="30" t="str">
        <f>IFERROR(__xludf.DUMMYFUNCTION("""COMPUTED_VALUE"""),"% Gross Market Value (Base)")</f>
        <v>% Gross Market Value (Base)</v>
      </c>
      <c r="ET5" s="30" t="str">
        <f>IFERROR(__xludf.DUMMYFUNCTION("""COMPUTED_VALUE"""),"Beta Adj. Gross Exposure (Underlying) (Local)")</f>
        <v>Beta Adj. Gross Exposure (Underlying) (Local)</v>
      </c>
      <c r="EU5" s="30" t="str">
        <f>IFERROR(__xludf.DUMMYFUNCTION("""COMPUTED_VALUE"""),"NAV")</f>
        <v>NAV</v>
      </c>
      <c r="EV5" s="30" t="str">
        <f>IFERROR(__xludf.DUMMYFUNCTION("""COMPUTED_VALUE"""),"% P&amp;L Contribution")</f>
        <v>% P&amp;L Contribution</v>
      </c>
      <c r="EW5" s="30" t="str">
        <f>IFERROR(__xludf.DUMMYFUNCTION("""COMPUTED_VALUE"""),"% Net Market Value (Base)")</f>
        <v>% Net Market Value (Base)</v>
      </c>
      <c r="EX5" s="30" t="str">
        <f>IFERROR(__xludf.DUMMYFUNCTION("""COMPUTED_VALUE"""),"Position Side Exposure")</f>
        <v>Position Side Exposure</v>
      </c>
      <c r="EY5" s="30" t="str">
        <f>IFERROR(__xludf.DUMMYFUNCTION("""COMPUTED_VALUE"""),"NAV (Touch)")</f>
        <v>NAV (Touch)</v>
      </c>
      <c r="EZ5" s="30" t="str">
        <f>IFERROR(__xludf.DUMMYFUNCTION("""COMPUTED_VALUE"""),"IgnorePropertyChangeEvents")</f>
        <v>IgnorePropertyChangeEvents</v>
      </c>
      <c r="FA5" s="30" t="str">
        <f>IFERROR(__xludf.DUMMYFUNCTION("""COMPUTED_VALUE"""),"Trade Attribute 1")</f>
        <v>Trade Attribute 1</v>
      </c>
      <c r="FB5" s="30" t="str">
        <f>IFERROR(__xludf.DUMMYFUNCTION("""COMPUTED_VALUE"""),"Trade Attribute 2")</f>
        <v>Trade Attribute 2</v>
      </c>
      <c r="FC5" s="30" t="str">
        <f>IFERROR(__xludf.DUMMYFUNCTION("""COMPUTED_VALUE"""),"Client")</f>
        <v>Client</v>
      </c>
      <c r="FD5" s="30" t="str">
        <f>IFERROR(__xludf.DUMMYFUNCTION("""COMPUTED_VALUE"""),"IsCustomViewTab")</f>
        <v>IsCustomViewTab</v>
      </c>
      <c r="FE5" s="30" t="str">
        <f>IFERROR(__xludf.DUMMYFUNCTION("""COMPUTED_VALUE"""),"ITM/OTM")</f>
        <v>ITM/OTM</v>
      </c>
      <c r="FF5" s="30" t="str">
        <f>IFERROR(__xludf.DUMMYFUNCTION("""COMPUTED_VALUE"""),"Days to Expiry")</f>
        <v>Days to Expiry</v>
      </c>
      <c r="FG5" s="30" t="str">
        <f>IFERROR(__xludf.DUMMYFUNCTION("""COMPUTED_VALUE"""),"% of Underlying Price")</f>
        <v>% of Underlying Price</v>
      </c>
      <c r="FH5" s="30" t="str">
        <f>IFERROR(__xludf.DUMMYFUNCTION("""COMPUTED_VALUE"""),"Intrinsic value")</f>
        <v>Intrinsic value</v>
      </c>
      <c r="FI5" s="30" t="str">
        <f>IFERROR(__xludf.DUMMYFUNCTION("""COMPUTED_VALUE"""),"Gain/Loss if Ex./Assign")</f>
        <v>Gain/Loss if Ex./Assign</v>
      </c>
      <c r="FJ5" s="30" t="str">
        <f>IFERROR(__xludf.DUMMYFUNCTION("""COMPUTED_VALUE"""),"Day Traded Position")</f>
        <v>Day Traded Position</v>
      </c>
      <c r="FK5" s="30" t="str">
        <f>IFERROR(__xludf.DUMMYFUNCTION("""COMPUTED_VALUE"""),"isRowCountCheck")</f>
        <v>isRowCountCheck</v>
      </c>
      <c r="FL5" s="30" t="str">
        <f>IFERROR(__xludf.DUMMYFUNCTION("""COMPUTED_VALUE"""),"ACTIV Symbol")</f>
        <v>ACTIV Symbol</v>
      </c>
      <c r="FM5" s="30"/>
      <c r="FN5" s="30"/>
      <c r="FO5" s="30"/>
      <c r="FP5" s="30"/>
      <c r="FQ5" s="30"/>
      <c r="FR5" s="30"/>
      <c r="FS5" s="30"/>
      <c r="FT5" s="30"/>
      <c r="FU5" s="30"/>
      <c r="FV5" s="30"/>
    </row>
    <row r="6" ht="15.75" customHeight="1">
      <c r="A6" s="8"/>
      <c r="B6" s="13" t="s">
        <v>30</v>
      </c>
      <c r="C6" s="13" t="s">
        <v>25</v>
      </c>
      <c r="D6" s="8"/>
      <c r="E6" s="13" t="s">
        <v>16</v>
      </c>
      <c r="F6" s="13">
        <v>200.0</v>
      </c>
      <c r="G6" s="13" t="s">
        <v>18</v>
      </c>
      <c r="H6" s="9" t="s">
        <v>26</v>
      </c>
      <c r="I6" s="13">
        <v>30.0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13" t="s">
        <v>19</v>
      </c>
      <c r="F7" s="13">
        <v>100.0</v>
      </c>
      <c r="G7" s="13" t="s">
        <v>18</v>
      </c>
      <c r="H7" s="9" t="s">
        <v>26</v>
      </c>
      <c r="I7" s="13">
        <v>30.0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13" t="s">
        <v>20</v>
      </c>
      <c r="F8" s="13">
        <v>300.0</v>
      </c>
      <c r="G8" s="13" t="s">
        <v>18</v>
      </c>
      <c r="H8" s="9" t="s">
        <v>26</v>
      </c>
      <c r="I8" s="13">
        <v>30.0</v>
      </c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13" t="s">
        <v>20</v>
      </c>
      <c r="F9" s="13">
        <v>400.0</v>
      </c>
      <c r="G9" s="13" t="s">
        <v>18</v>
      </c>
      <c r="H9" s="9" t="s">
        <v>26</v>
      </c>
      <c r="I9" s="13">
        <v>30.0</v>
      </c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13" t="s">
        <v>21</v>
      </c>
      <c r="F10" s="13">
        <v>500.0</v>
      </c>
      <c r="G10" s="13" t="s">
        <v>18</v>
      </c>
      <c r="H10" s="9" t="s">
        <v>26</v>
      </c>
      <c r="I10" s="13">
        <v>30.0</v>
      </c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SortAndVerifyPM2!$4:$4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IFERROR(__xludf.DUMMYFUNCTION("""COMPUTED_VALUE"""),"SortingColumnName")</f>
        <v>SortingColumnName</v>
      </c>
      <c r="C5" s="28" t="str">
        <f>IFERROR(__xludf.DUMMYFUNCTION("""COMPUTED_VALUE"""),"Sort ASC OR DSC")</f>
        <v>Sort ASC OR DSC</v>
      </c>
      <c r="D5" s="28" t="str">
        <f>IFERROR(__xludf.DUMMYFUNCTION("""COMPUTED_VALUE"""),"Trade Date")</f>
        <v>Trade Date</v>
      </c>
      <c r="E5" s="28" t="str">
        <f>IFERROR(__xludf.DUMMYFUNCTION("""COMPUTED_VALUE"""),"Symbol")</f>
        <v>Symbol</v>
      </c>
      <c r="F5" s="29" t="str">
        <f>IFERROR(__xludf.DUMMYFUNCTION("""COMPUTED_VALUE"""),"Position")</f>
        <v>Position</v>
      </c>
      <c r="G5" s="28" t="str">
        <f>IFERROR(__xludf.DUMMYFUNCTION("""COMPUTED_VALUE"""),"Account")</f>
        <v>Account</v>
      </c>
      <c r="H5" s="28" t="str">
        <f>IFERROR(__xludf.DUMMYFUNCTION("""COMPUTED_VALUE"""),"MasterFund")</f>
        <v>MasterFund</v>
      </c>
      <c r="I5" s="28" t="str">
        <f>IFERROR(__xludf.DUMMYFUNCTION("""COMPUTED_VALUE"""),"Cost Basis")</f>
        <v>Cost Basis</v>
      </c>
      <c r="J5" s="28" t="str">
        <f>IFERROR(__xludf.DUMMYFUNCTION("""COMPUTED_VALUE"""),"Position Side")</f>
        <v>Position Side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Day P&amp;L (Gross MV)")</f>
        <v>% Day P&amp;L (Gross MV)</v>
      </c>
      <c r="M5" s="28" t="str">
        <f>IFERROR(__xludf.DUMMYFUNCTION("""COMPUTED_VALUE"""),"Net Exposure (Base)")</f>
        <v>Net Exposure (Base)</v>
      </c>
      <c r="N5" s="28" t="str">
        <f>IFERROR(__xludf.DUMMYFUNCTION("""COMPUTED_VALUE"""),"Beta Adj. Gross Exposure (Base)")</f>
        <v>Beta Adj. Gross Exposure (Base)</v>
      </c>
      <c r="O5" s="28" t="str">
        <f>IFERROR(__xludf.DUMMYFUNCTION("""COMPUTED_VALUE"""),"Beta Adj. Gross Exposure (Underlying) (Base)")</f>
        <v>Beta Adj. Gross Exposure (Underlying) (Base)</v>
      </c>
      <c r="P5" s="28" t="str">
        <f>IFERROR(__xludf.DUMMYFUNCTION("""COMPUTED_VALUE"""),"Day P&amp;L (Base)")</f>
        <v>Day P&amp;L (Base)</v>
      </c>
      <c r="Q5" s="28" t="str">
        <f>IFERROR(__xludf.DUMMYFUNCTION("""COMPUTED_VALUE"""),"Security Name")</f>
        <v>Security Name</v>
      </c>
      <c r="R5" s="28" t="str">
        <f>IFERROR(__xludf.DUMMYFUNCTION("""COMPUTED_VALUE"""),"Closing Mark")</f>
        <v>Closing Mark</v>
      </c>
      <c r="S5" s="28" t="str">
        <f>IFERROR(__xludf.DUMMYFUNCTION("""COMPUTED_VALUE"""),"Cost Basis P&amp;L (Base)")</f>
        <v>Cost Basis P&amp;L (Base)</v>
      </c>
      <c r="T5" s="30" t="str">
        <f>IFERROR(__xludf.DUMMYFUNCTION("""COMPUTED_VALUE"""),"Prime Broker")</f>
        <v>Prime Broker</v>
      </c>
      <c r="U5" s="30" t="str">
        <f>IFERROR(__xludf.DUMMYFUNCTION("""COMPUTED_VALUE"""),"Strategy")</f>
        <v>Strategy</v>
      </c>
      <c r="V5" s="30" t="str">
        <f>IFERROR(__xludf.DUMMYFUNCTION("""COMPUTED_VALUE"""),"Asset Class")</f>
        <v>Asset Class</v>
      </c>
      <c r="W5" s="30" t="str">
        <f>IFERROR(__xludf.DUMMYFUNCTION("""COMPUTED_VALUE"""),"Underlying")</f>
        <v>Underlying</v>
      </c>
      <c r="X5" s="30" t="str">
        <f>IFERROR(__xludf.DUMMYFUNCTION("""COMPUTED_VALUE"""),"Exchange")</f>
        <v>Exchange</v>
      </c>
      <c r="Y5" s="30" t="str">
        <f>IFERROR(__xludf.DUMMYFUNCTION("""COMPUTED_VALUE"""),"Trade Currency")</f>
        <v>Trade Currency</v>
      </c>
      <c r="Z5" s="30" t="str">
        <f>IFERROR(__xludf.DUMMYFUNCTION("""COMPUTED_VALUE"""),"Multiplier")</f>
        <v>Multiplier</v>
      </c>
      <c r="AA5" s="30" t="str">
        <f>IFERROR(__xludf.DUMMYFUNCTION("""COMPUTED_VALUE"""),"FX Rate")</f>
        <v>FX Rate</v>
      </c>
      <c r="AB5" s="30" t="str">
        <f>IFERROR(__xludf.DUMMYFUNCTION("""COMPUTED_VALUE"""),"Vs Currency")</f>
        <v>Vs Currency</v>
      </c>
      <c r="AC5" s="30" t="str">
        <f>IFERROR(__xludf.DUMMYFUNCTION("""COMPUTED_VALUE"""),"Lead Currency")</f>
        <v>Lead Currency</v>
      </c>
      <c r="AD5" s="30" t="str">
        <f>IFERROR(__xludf.DUMMYFUNCTION("""COMPUTED_VALUE"""),"Dividend Yield (%)")</f>
        <v>Dividend Yield (%)</v>
      </c>
      <c r="AE5" s="30" t="str">
        <f>IFERROR(__xludf.DUMMYFUNCTION("""COMPUTED_VALUE"""),"% Change")</f>
        <v>% Change</v>
      </c>
      <c r="AF5" s="30" t="str">
        <f>IFERROR(__xludf.DUMMYFUNCTION("""COMPUTED_VALUE"""),"Net Exposure (Local)")</f>
        <v>Net Exposure (Local)</v>
      </c>
      <c r="AG5" s="30" t="str">
        <f>IFERROR(__xludf.DUMMYFUNCTION("""COMPUTED_VALUE"""),"Exposure (Local)")</f>
        <v>Exposure (Local)</v>
      </c>
      <c r="AH5" s="30" t="str">
        <f>IFERROR(__xludf.DUMMYFUNCTION("""COMPUTED_VALUE"""),"Delta Adj. Position")</f>
        <v>Delta Adj. Position</v>
      </c>
      <c r="AI5" s="30" t="str">
        <f>IFERROR(__xludf.DUMMYFUNCTION("""COMPUTED_VALUE"""),"Exposure (Base)")</f>
        <v>Exposure (Base)</v>
      </c>
      <c r="AJ5" s="30" t="str">
        <f>IFERROR(__xludf.DUMMYFUNCTION("""COMPUTED_VALUE"""),"Beta Adj. Exposure (Local)")</f>
        <v>Beta Adj. Exposure (Local)</v>
      </c>
      <c r="AK5" s="30" t="str">
        <f>IFERROR(__xludf.DUMMYFUNCTION("""COMPUTED_VALUE"""),"Beta Adj. Exposure (Base)")</f>
        <v>Beta Adj. Exposure (Base)</v>
      </c>
      <c r="AL5" s="30" t="str">
        <f>IFERROR(__xludf.DUMMYFUNCTION("""COMPUTED_VALUE"""),"Exposure (BP)(Base)")</f>
        <v>Exposure (BP)(Base)</v>
      </c>
      <c r="AM5" s="30" t="str">
        <f>IFERROR(__xludf.DUMMYFUNCTION("""COMPUTED_VALUE"""),"Day P&amp;L (Local)")</f>
        <v>Day P&amp;L (Local)</v>
      </c>
      <c r="AN5" s="30" t="str">
        <f>IFERROR(__xludf.DUMMYFUNCTION("""COMPUTED_VALUE"""),"Delta")</f>
        <v>Delta</v>
      </c>
      <c r="AO5" s="30" t="str">
        <f>IFERROR(__xludf.DUMMYFUNCTION("""COMPUTED_VALUE"""),"Leveraged Factor")</f>
        <v>Leveraged Factor</v>
      </c>
      <c r="AP5" s="30" t="str">
        <f>IFERROR(__xludf.DUMMYFUNCTION("""COMPUTED_VALUE"""),"Order Side")</f>
        <v>Order Side</v>
      </c>
      <c r="AQ5" s="30" t="str">
        <f>IFERROR(__xludf.DUMMYFUNCTION("""COMPUTED_VALUE"""),"Master Strategy")</f>
        <v>Master Strategy</v>
      </c>
      <c r="AR5" s="30" t="str">
        <f>IFERROR(__xludf.DUMMYFUNCTION("""COMPUTED_VALUE"""),"Transaction Side")</f>
        <v>Transaction Side</v>
      </c>
      <c r="AS5" s="30" t="str">
        <f>IFERROR(__xludf.DUMMYFUNCTION("""COMPUTED_VALUE"""),"Underlying Symbol")</f>
        <v>Underlying Symbol</v>
      </c>
      <c r="AT5" s="30" t="str">
        <f>IFERROR(__xludf.DUMMYFUNCTION("""COMPUTED_VALUE"""),"Underlying Price")</f>
        <v>Underlying Price</v>
      </c>
      <c r="AU5" s="30" t="str">
        <f>IFERROR(__xludf.DUMMYFUNCTION("""COMPUTED_VALUE"""),"Side Multiplier")</f>
        <v>Side Multiplier</v>
      </c>
      <c r="AV5" s="30" t="str">
        <f>IFERROR(__xludf.DUMMYFUNCTION("""COMPUTED_VALUE"""),"Description")</f>
        <v>Description</v>
      </c>
      <c r="AW5" s="30" t="str">
        <f>IFERROR(__xludf.DUMMYFUNCTION("""COMPUTED_VALUE"""),"Internal Comments")</f>
        <v>Internal Comments</v>
      </c>
      <c r="AX5" s="30" t="str">
        <f>IFERROR(__xludf.DUMMYFUNCTION("""COMPUTED_VALUE"""),"FX Rate On Trade Date")</f>
        <v>FX Rate On Trade Date</v>
      </c>
      <c r="AY5" s="30" t="str">
        <f>IFERROR(__xludf.DUMMYFUNCTION("""COMPUTED_VALUE"""),"Cost Basis P&amp;L (Local)")</f>
        <v>Cost Basis P&amp;L (Local)</v>
      </c>
      <c r="AZ5" s="30" t="str">
        <f>IFERROR(__xludf.DUMMYFUNCTION("""COMPUTED_VALUE"""),"Day Interest")</f>
        <v>Day Interest</v>
      </c>
      <c r="BA5" s="30" t="str">
        <f>IFERROR(__xludf.DUMMYFUNCTION("""COMPUTED_VALUE"""),"Total Interest")</f>
        <v>Total Interest</v>
      </c>
      <c r="BB5" s="30" t="str">
        <f>IFERROR(__xludf.DUMMYFUNCTION("""COMPUTED_VALUE"""),"Market Value (Local)")</f>
        <v>Market Value (Local)</v>
      </c>
      <c r="BC5" s="30" t="str">
        <f>IFERROR(__xludf.DUMMYFUNCTION("""COMPUTED_VALUE"""),"% Gain/Loss Day")</f>
        <v>% Gain/Loss Day</v>
      </c>
      <c r="BD5" s="30" t="str">
        <f>IFERROR(__xludf.DUMMYFUNCTION("""COMPUTED_VALUE"""),"Update Time (Last Price)")</f>
        <v>Update Time (Last Price)</v>
      </c>
      <c r="BE5" s="30" t="str">
        <f>IFERROR(__xludf.DUMMYFUNCTION("""COMPUTED_VALUE"""),"Beta")</f>
        <v>Beta</v>
      </c>
      <c r="BF5" s="30" t="str">
        <f>IFERROR(__xludf.DUMMYFUNCTION("""COMPUTED_VALUE"""),"Cash Impact (Local)")</f>
        <v>Cash Impact (Local)</v>
      </c>
      <c r="BG5" s="30" t="str">
        <f>IFERROR(__xludf.DUMMYFUNCTION("""COMPUTED_VALUE"""),"User Asset")</f>
        <v>User Asset</v>
      </c>
      <c r="BH5" s="30" t="str">
        <f>IFERROR(__xludf.DUMMYFUNCTION("""COMPUTED_VALUE"""),"Security Type")</f>
        <v>Security Type</v>
      </c>
      <c r="BI5" s="30" t="str">
        <f>IFERROR(__xludf.DUMMYFUNCTION("""COMPUTED_VALUE"""),"Sector")</f>
        <v>Sector</v>
      </c>
      <c r="BJ5" s="30" t="str">
        <f>IFERROR(__xludf.DUMMYFUNCTION("""COMPUTED_VALUE"""),"Sub Sector")</f>
        <v>Sub Sector</v>
      </c>
      <c r="BK5" s="30" t="str">
        <f>IFERROR(__xludf.DUMMYFUNCTION("""COMPUTED_VALUE"""),"Country")</f>
        <v>Country</v>
      </c>
      <c r="BL5" s="30" t="str">
        <f>IFERROR(__xludf.DUMMYFUNCTION("""COMPUTED_VALUE"""),"Market Cap")</f>
        <v>Market Cap</v>
      </c>
      <c r="BM5" s="30" t="str">
        <f>IFERROR(__xludf.DUMMYFUNCTION("""COMPUTED_VALUE"""),"Shares Outstanding (MM)")</f>
        <v>Shares Outstanding (MM)</v>
      </c>
      <c r="BN5" s="30" t="str">
        <f>IFERROR(__xludf.DUMMYFUNCTION("""COMPUTED_VALUE"""),"Avg Volume 20 Day")</f>
        <v>Avg Volume 20 Day</v>
      </c>
      <c r="BO5" s="30" t="str">
        <f>IFERROR(__xludf.DUMMYFUNCTION("""COMPUTED_VALUE"""),"% Avg Volume (Delta Adj.)")</f>
        <v>% Avg Volume (Delta Adj.)</v>
      </c>
      <c r="BP5" s="30" t="str">
        <f>IFERROR(__xludf.DUMMYFUNCTION("""COMPUTED_VALUE"""),"Ex Dividend Date")</f>
        <v>Ex Dividend Date</v>
      </c>
      <c r="BQ5" s="30" t="str">
        <f>IFERROR(__xludf.DUMMYFUNCTION("""COMPUTED_VALUE"""),"Cash Impact (Base)")</f>
        <v>Cash Impact (Base)</v>
      </c>
      <c r="BR5" s="30" t="str">
        <f>IFERROR(__xludf.DUMMYFUNCTION("""COMPUTED_VALUE"""),"Volatility (%)")</f>
        <v>Volatility (%)</v>
      </c>
      <c r="BS5" s="30" t="str">
        <f>IFERROR(__xludf.DUMMYFUNCTION("""COMPUTED_VALUE"""),"User")</f>
        <v>User</v>
      </c>
      <c r="BT5" s="30" t="str">
        <f>IFERROR(__xludf.DUMMYFUNCTION("""COMPUTED_VALUE"""),"Broker")</f>
        <v>Broker</v>
      </c>
      <c r="BU5" s="30" t="str">
        <f>IFERROR(__xludf.DUMMYFUNCTION("""COMPUTED_VALUE"""),"Earned Dividend (Local)")</f>
        <v>Earned Dividend (Local)</v>
      </c>
      <c r="BV5" s="30" t="str">
        <f>IFERROR(__xludf.DUMMYFUNCTION("""COMPUTED_VALUE"""),"Earned Dividend (Base)")</f>
        <v>Earned Dividend (Base)</v>
      </c>
      <c r="BW5" s="30" t="str">
        <f>IFERROR(__xludf.DUMMYFUNCTION("""COMPUTED_VALUE"""),"Put/Call")</f>
        <v>Put/Call</v>
      </c>
      <c r="BX5" s="30" t="str">
        <f>IFERROR(__xludf.DUMMYFUNCTION("""COMPUTED_VALUE"""),"Expiration Date")</f>
        <v>Expiration Date</v>
      </c>
      <c r="BY5" s="30" t="str">
        <f>IFERROR(__xludf.DUMMYFUNCTION("""COMPUTED_VALUE"""),"Strike Price")</f>
        <v>Strike Price</v>
      </c>
      <c r="BZ5" s="30" t="str">
        <f>IFERROR(__xludf.DUMMYFUNCTION("""COMPUTED_VALUE"""),"Gross Exposure (Base)")</f>
        <v>Gross Exposure (Base)</v>
      </c>
      <c r="CA5" s="30" t="str">
        <f>IFERROR(__xludf.DUMMYFUNCTION("""COMPUTED_VALUE"""),"Gross Market Value (Base)")</f>
        <v>Gross Market Value (Base)</v>
      </c>
      <c r="CB5" s="30" t="str">
        <f>IFERROR(__xludf.DUMMYFUNCTION("""COMPUTED_VALUE"""),"Px Selected Feed (Local)")</f>
        <v>Px Selected Feed (Local)</v>
      </c>
      <c r="CC5" s="30" t="str">
        <f>IFERROR(__xludf.DUMMYFUNCTION("""COMPUTED_VALUE"""),"Px Selected Feed (Base)")</f>
        <v>Px Selected Feed (Base)</v>
      </c>
      <c r="CD5" s="30" t="str">
        <f>IFERROR(__xludf.DUMMYFUNCTION("""COMPUTED_VALUE"""),"Settlement Date")</f>
        <v>Settlement Date</v>
      </c>
      <c r="CE5" s="30" t="str">
        <f>IFERROR(__xludf.DUMMYFUNCTION("""COMPUTED_VALUE"""),"% Avg Volume")</f>
        <v>% Avg Volume</v>
      </c>
      <c r="CF5" s="30" t="str">
        <f>IFERROR(__xludf.DUMMYFUNCTION("""COMPUTED_VALUE"""),"Day P&amp;L (Base)(Price Gain)")</f>
        <v>Day P&amp;L (Base)(Price Gain)</v>
      </c>
      <c r="CG5" s="30" t="str">
        <f>IFERROR(__xludf.DUMMYFUNCTION("""COMPUTED_VALUE"""),"Day P&amp;L (Base)(FX Gain)")</f>
        <v>Day P&amp;L (Base)(FX Gain)</v>
      </c>
      <c r="CH5" s="30" t="str">
        <f>IFERROR(__xludf.DUMMYFUNCTION("""COMPUTED_VALUE"""),"Cost Basis P&amp;L (Base)(FX Gain)")</f>
        <v>Cost Basis P&amp;L (Base)(FX Gain)</v>
      </c>
      <c r="CI5" s="30" t="str">
        <f>IFERROR(__xludf.DUMMYFUNCTION("""COMPUTED_VALUE"""),"Cost Basis P&amp;L (Base)(Price Gain)")</f>
        <v>Cost Basis P&amp;L (Base)(Price Gain)</v>
      </c>
      <c r="CJ5" s="30" t="str">
        <f>IFERROR(__xludf.DUMMYFUNCTION("""COMPUTED_VALUE"""),"% Gain/Loss Cost")</f>
        <v>% Gain/Loss Cost</v>
      </c>
      <c r="CK5" s="30" t="str">
        <f>IFERROR(__xludf.DUMMYFUNCTION("""COMPUTED_VALUE"""),"Underlying Value (Options)")</f>
        <v>Underlying Value (Options)</v>
      </c>
      <c r="CL5" s="30" t="str">
        <f>IFERROR(__xludf.DUMMYFUNCTION("""COMPUTED_VALUE"""),"Avg Volume 20 Day (Underlying Symbol)")</f>
        <v>Avg Volume 20 Day (Underlying Symbol)</v>
      </c>
      <c r="CM5" s="30" t="str">
        <f>IFERROR(__xludf.DUMMYFUNCTION("""COMPUTED_VALUE"""),"IsStaleData")</f>
        <v>IsStaleData</v>
      </c>
      <c r="CN5" s="30" t="str">
        <f>IFERROR(__xludf.DUMMYFUNCTION("""COMPUTED_VALUE"""),"IDCO")</f>
        <v>IDCO</v>
      </c>
      <c r="CO5" s="30" t="str">
        <f>IFERROR(__xludf.DUMMYFUNCTION("""COMPUTED_VALUE"""),"OSI")</f>
        <v>OSI</v>
      </c>
      <c r="CP5" s="30" t="str">
        <f>IFERROR(__xludf.DUMMYFUNCTION("""COMPUTED_VALUE"""),"SEDOL")</f>
        <v>SEDOL</v>
      </c>
      <c r="CQ5" s="30" t="str">
        <f>IFERROR(__xludf.DUMMYFUNCTION("""COMPUTED_VALUE"""),"CUSIP")</f>
        <v>CUSIP</v>
      </c>
      <c r="CR5" s="30" t="str">
        <f>IFERROR(__xludf.DUMMYFUNCTION("""COMPUTED_VALUE"""),"Bloomberg")</f>
        <v>Bloomberg</v>
      </c>
      <c r="CS5" s="30" t="str">
        <f>IFERROR(__xludf.DUMMYFUNCTION("""COMPUTED_VALUE"""),"ISIN")</f>
        <v>ISIN</v>
      </c>
      <c r="CT5" s="30" t="str">
        <f>IFERROR(__xludf.DUMMYFUNCTION("""COMPUTED_VALUE"""),"Start Trade Date")</f>
        <v>Start Trade Date</v>
      </c>
      <c r="CU5" s="30" t="str">
        <f>IFERROR(__xludf.DUMMYFUNCTION("""COMPUTED_VALUE"""),"Cost Basis (Break Even)")</f>
        <v>Cost Basis (Break Even)</v>
      </c>
      <c r="CV5" s="30" t="str">
        <f>IFERROR(__xludf.DUMMYFUNCTION("""COMPUTED_VALUE"""),"Trade Attribute 3")</f>
        <v>Trade Attribute 3</v>
      </c>
      <c r="CW5" s="30" t="str">
        <f>IFERROR(__xludf.DUMMYFUNCTION("""COMPUTED_VALUE"""),"Trade Attribute 4")</f>
        <v>Trade Attribute 4</v>
      </c>
      <c r="CX5" s="30" t="str">
        <f>IFERROR(__xludf.DUMMYFUNCTION("""COMPUTED_VALUE"""),"Trade Attribute 5")</f>
        <v>Trade Attribute 5</v>
      </c>
      <c r="CY5" s="30" t="str">
        <f>IFERROR(__xludf.DUMMYFUNCTION("""COMPUTED_VALUE"""),"Trade Attribute 6")</f>
        <v>Trade Attribute 6</v>
      </c>
      <c r="CZ5" s="30" t="str">
        <f>IFERROR(__xludf.DUMMYFUNCTION("""COMPUTED_VALUE"""),"Proxy Symbol")</f>
        <v>Proxy Symbol</v>
      </c>
      <c r="DA5" s="30" t="str">
        <f>IFERROR(__xludf.DUMMYFUNCTION("""COMPUTED_VALUE"""),"Pricing Source")</f>
        <v>Pricing Source</v>
      </c>
      <c r="DB5" s="30" t="str">
        <f>IFERROR(__xludf.DUMMYFUNCTION("""COMPUTED_VALUE"""),"Delta Source")</f>
        <v>Delta Source</v>
      </c>
      <c r="DC5" s="30" t="str">
        <f>IFERROR(__xludf.DUMMYFUNCTION("""COMPUTED_VALUE"""),"Gross Exposure (Local)")</f>
        <v>Gross Exposure (Local)</v>
      </c>
      <c r="DD5" s="30" t="str">
        <f>IFERROR(__xludf.DUMMYFUNCTION("""COMPUTED_VALUE"""),"% Day P&amp;L (Net MV)")</f>
        <v>% Day P&amp;L (Net MV)</v>
      </c>
      <c r="DE5" s="30" t="str">
        <f>IFERROR(__xludf.DUMMYFUNCTION("""COMPUTED_VALUE"""),"Expiration Month")</f>
        <v>Expiration Month</v>
      </c>
      <c r="DF5" s="30" t="str">
        <f>IFERROR(__xludf.DUMMYFUNCTION("""COMPUTED_VALUE"""),"Delta Adj. Position (LME)")</f>
        <v>Delta Adj. Position (LME)</v>
      </c>
      <c r="DG5" s="30" t="str">
        <f>IFERROR(__xludf.DUMMYFUNCTION("""COMPUTED_VALUE"""),"Premium")</f>
        <v>Premium</v>
      </c>
      <c r="DH5" s="30" t="str">
        <f>IFERROR(__xludf.DUMMYFUNCTION("""COMPUTED_VALUE"""),"Premium $")</f>
        <v>Premium $</v>
      </c>
      <c r="DI5" s="30" t="str">
        <f>IFERROR(__xludf.DUMMYFUNCTION("""COMPUTED_VALUE"""),"Forward Points")</f>
        <v>Forward Points</v>
      </c>
      <c r="DJ5" s="30" t="str">
        <f>IFERROR(__xludf.DUMMYFUNCTION("""COMPUTED_VALUE"""),"Closing Mark (Underlying)")</f>
        <v>Closing Mark (Underlying)</v>
      </c>
      <c r="DK5" s="30" t="str">
        <f>IFERROR(__xludf.DUMMYFUNCTION("""COMPUTED_VALUE"""),"% Change (Underlying Price)")</f>
        <v>% Change (Underlying Price)</v>
      </c>
      <c r="DL5" s="30" t="str">
        <f>IFERROR(__xludf.DUMMYFUNCTION("""COMPUTED_VALUE"""),"Transaction Type")</f>
        <v>Transaction Type</v>
      </c>
      <c r="DM5" s="30" t="str">
        <f>IFERROR(__xludf.DUMMYFUNCTION("""COMPUTED_VALUE"""),"Closing Market Value (Local)")</f>
        <v>Closing Market Value (Local)</v>
      </c>
      <c r="DN5" s="30" t="str">
        <f>IFERROR(__xludf.DUMMYFUNCTION("""COMPUTED_VALUE"""),"Closing Market Value (Base)")</f>
        <v>Closing Market Value (Base)</v>
      </c>
      <c r="DO5" s="30" t="str">
        <f>IFERROR(__xludf.DUMMYFUNCTION("""COMPUTED_VALUE"""),"Closing FX Rate")</f>
        <v>Closing FX Rate</v>
      </c>
      <c r="DP5" s="30" t="str">
        <f>IFERROR(__xludf.DUMMYFUNCTION("""COMPUTED_VALUE"""),"Change In Underlying Price")</f>
        <v>Change In Underlying Price</v>
      </c>
      <c r="DQ5" s="30" t="str">
        <f>IFERROR(__xludf.DUMMYFUNCTION("""COMPUTED_VALUE"""),"RIC")</f>
        <v>RIC</v>
      </c>
      <c r="DR5" s="30" t="str">
        <f>IFERROR(__xludf.DUMMYFUNCTION("""COMPUTED_VALUE"""),"Position Side Exposure (Boxed)")</f>
        <v>Position Side Exposure (Boxed)</v>
      </c>
      <c r="DS5" s="30" t="str">
        <f>IFERROR(__xludf.DUMMYFUNCTION("""COMPUTED_VALUE"""),"Analyst")</f>
        <v>Analyst</v>
      </c>
      <c r="DT5" s="30" t="str">
        <f>IFERROR(__xludf.DUMMYFUNCTION("""COMPUTED_VALUE"""),"Country Of Risk")</f>
        <v>Country Of Risk</v>
      </c>
      <c r="DU5" s="30" t="str">
        <f>IFERROR(__xludf.DUMMYFUNCTION("""COMPUTED_VALUE"""),"Custom UDA1")</f>
        <v>Custom UDA1</v>
      </c>
      <c r="DV5" s="30" t="str">
        <f>IFERROR(__xludf.DUMMYFUNCTION("""COMPUTED_VALUE"""),"Custom UDA2")</f>
        <v>Custom UDA2</v>
      </c>
      <c r="DW5" s="30" t="str">
        <f>IFERROR(__xludf.DUMMYFUNCTION("""COMPUTED_VALUE"""),"Custom UDA3")</f>
        <v>Custom UDA3</v>
      </c>
      <c r="DX5" s="30" t="str">
        <f>IFERROR(__xludf.DUMMYFUNCTION("""COMPUTED_VALUE"""),"Custom UDA4")</f>
        <v>Custom UDA4</v>
      </c>
      <c r="DY5" s="30" t="str">
        <f>IFERROR(__xludf.DUMMYFUNCTION("""COMPUTED_VALUE"""),"Custom UDA5")</f>
        <v>Custom UDA5</v>
      </c>
      <c r="DZ5" s="30" t="str">
        <f>IFERROR(__xludf.DUMMYFUNCTION("""COMPUTED_VALUE"""),"Custom UDA6")</f>
        <v>Custom UDA6</v>
      </c>
      <c r="EA5" s="30" t="str">
        <f>IFERROR(__xludf.DUMMYFUNCTION("""COMPUTED_VALUE"""),"Custom UDA7")</f>
        <v>Custom UDA7</v>
      </c>
      <c r="EB5" s="30" t="str">
        <f>IFERROR(__xludf.DUMMYFUNCTION("""COMPUTED_VALUE"""),"Issuer")</f>
        <v>Issuer</v>
      </c>
      <c r="EC5" s="30" t="str">
        <f>IFERROR(__xludf.DUMMYFUNCTION("""COMPUTED_VALUE"""),"Liquid Tag")</f>
        <v>Liquid Tag</v>
      </c>
      <c r="ED5" s="30" t="str">
        <f>IFERROR(__xludf.DUMMYFUNCTION("""COMPUTED_VALUE"""),"Market Cap UDA")</f>
        <v>Market Cap UDA</v>
      </c>
      <c r="EE5" s="30" t="str">
        <f>IFERROR(__xludf.DUMMYFUNCTION("""COMPUTED_VALUE"""),"Region")</f>
        <v>Region</v>
      </c>
      <c r="EF5" s="30" t="str">
        <f>IFERROR(__xludf.DUMMYFUNCTION("""COMPUTED_VALUE"""),"Risk Currency")</f>
        <v>Risk Currency</v>
      </c>
      <c r="EG5" s="30" t="str">
        <f>IFERROR(__xludf.DUMMYFUNCTION("""COMPUTED_VALUE"""),"UCITS Eligible Tag")</f>
        <v>UCITS Eligible Tag</v>
      </c>
      <c r="EH5" s="30" t="str">
        <f>IFERROR(__xludf.DUMMYFUNCTION("""COMPUTED_VALUE"""),"FX Rate (Display)")</f>
        <v>FX Rate (Display)</v>
      </c>
      <c r="EI5" s="30" t="str">
        <f>IFERROR(__xludf.DUMMYFUNCTION("""COMPUTED_VALUE"""),"% Net Exposure (Base)")</f>
        <v>% Net Exposure (Base)</v>
      </c>
      <c r="EJ5" s="30" t="str">
        <f>IFERROR(__xludf.DUMMYFUNCTION("""COMPUTED_VALUE"""),"% Gross Exposure (Base)")</f>
        <v>% Gross Exposure (Base)</v>
      </c>
      <c r="EK5" s="30" t="str">
        <f>IFERROR(__xludf.DUMMYFUNCTION("""COMPUTED_VALUE"""),"% Exposure (Base)")</f>
        <v>% Exposure (Base)</v>
      </c>
      <c r="EL5" s="30" t="str">
        <f>IFERROR(__xludf.DUMMYFUNCTION("""COMPUTED_VALUE"""),"% Gross Exposure (Underlying) (Base)")</f>
        <v>% Gross Exposure (Underlying) (Base)</v>
      </c>
      <c r="EM5" s="30" t="str">
        <f>IFERROR(__xludf.DUMMYFUNCTION("""COMPUTED_VALUE"""),"% Beta Adj. Gross Exposure (Base)")</f>
        <v>% Beta Adj. Gross Exposure (Base)</v>
      </c>
      <c r="EN5" s="30" t="str">
        <f>IFERROR(__xludf.DUMMYFUNCTION("""COMPUTED_VALUE"""),"Position Side Exposure (Underlying)")</f>
        <v>Position Side Exposure (Underlying)</v>
      </c>
      <c r="EO5" s="30" t="str">
        <f>IFERROR(__xludf.DUMMYFUNCTION("""COMPUTED_VALUE"""),"Gross Exposure (Underlying) (Base)")</f>
        <v>Gross Exposure (Underlying) (Base)</v>
      </c>
      <c r="EP5" s="30" t="str">
        <f>IFERROR(__xludf.DUMMYFUNCTION("""COMPUTED_VALUE"""),"Gross Exposure (Underlying)")</f>
        <v>Gross Exposure (Underlying)</v>
      </c>
      <c r="EQ5" s="30" t="str">
        <f>IFERROR(__xludf.DUMMYFUNCTION("""COMPUTED_VALUE"""),"Day Return")</f>
        <v>Day Return</v>
      </c>
      <c r="ER5" s="30" t="str">
        <f>IFERROR(__xludf.DUMMYFUNCTION("""COMPUTED_VALUE"""),"Start of Day NAV")</f>
        <v>Start of Day NAV</v>
      </c>
      <c r="ES5" s="30" t="str">
        <f>IFERROR(__xludf.DUMMYFUNCTION("""COMPUTED_VALUE"""),"% Gross Market Value (Base)")</f>
        <v>% Gross Market Value (Base)</v>
      </c>
      <c r="ET5" s="30" t="str">
        <f>IFERROR(__xludf.DUMMYFUNCTION("""COMPUTED_VALUE"""),"Beta Adj. Gross Exposure (Underlying) (Local)")</f>
        <v>Beta Adj. Gross Exposure (Underlying) (Local)</v>
      </c>
      <c r="EU5" s="30" t="str">
        <f>IFERROR(__xludf.DUMMYFUNCTION("""COMPUTED_VALUE"""),"NAV")</f>
        <v>NAV</v>
      </c>
      <c r="EV5" s="30" t="str">
        <f>IFERROR(__xludf.DUMMYFUNCTION("""COMPUTED_VALUE"""),"% P&amp;L Contribution")</f>
        <v>% P&amp;L Contribution</v>
      </c>
      <c r="EW5" s="30" t="str">
        <f>IFERROR(__xludf.DUMMYFUNCTION("""COMPUTED_VALUE"""),"% Net Market Value (Base)")</f>
        <v>% Net Market Value (Base)</v>
      </c>
      <c r="EX5" s="30" t="str">
        <f>IFERROR(__xludf.DUMMYFUNCTION("""COMPUTED_VALUE"""),"Position Side Exposure")</f>
        <v>Position Side Exposure</v>
      </c>
      <c r="EY5" s="30" t="str">
        <f>IFERROR(__xludf.DUMMYFUNCTION("""COMPUTED_VALUE"""),"NAV (Touch)")</f>
        <v>NAV (Touch)</v>
      </c>
      <c r="EZ5" s="30" t="str">
        <f>IFERROR(__xludf.DUMMYFUNCTION("""COMPUTED_VALUE"""),"IgnorePropertyChangeEvents")</f>
        <v>IgnorePropertyChangeEvents</v>
      </c>
      <c r="FA5" s="30" t="str">
        <f>IFERROR(__xludf.DUMMYFUNCTION("""COMPUTED_VALUE"""),"Trade Attribute 1")</f>
        <v>Trade Attribute 1</v>
      </c>
      <c r="FB5" s="30" t="str">
        <f>IFERROR(__xludf.DUMMYFUNCTION("""COMPUTED_VALUE"""),"Trade Attribute 2")</f>
        <v>Trade Attribute 2</v>
      </c>
      <c r="FC5" s="30" t="str">
        <f>IFERROR(__xludf.DUMMYFUNCTION("""COMPUTED_VALUE"""),"Client")</f>
        <v>Client</v>
      </c>
      <c r="FD5" s="30" t="str">
        <f>IFERROR(__xludf.DUMMYFUNCTION("""COMPUTED_VALUE"""),"IsCustomViewTab")</f>
        <v>IsCustomViewTab</v>
      </c>
      <c r="FE5" s="30" t="str">
        <f>IFERROR(__xludf.DUMMYFUNCTION("""COMPUTED_VALUE"""),"ITM/OTM")</f>
        <v>ITM/OTM</v>
      </c>
      <c r="FF5" s="30" t="str">
        <f>IFERROR(__xludf.DUMMYFUNCTION("""COMPUTED_VALUE"""),"Days to Expiry")</f>
        <v>Days to Expiry</v>
      </c>
      <c r="FG5" s="30" t="str">
        <f>IFERROR(__xludf.DUMMYFUNCTION("""COMPUTED_VALUE"""),"% of Underlying Price")</f>
        <v>% of Underlying Price</v>
      </c>
      <c r="FH5" s="30" t="str">
        <f>IFERROR(__xludf.DUMMYFUNCTION("""COMPUTED_VALUE"""),"Intrinsic value")</f>
        <v>Intrinsic value</v>
      </c>
      <c r="FI5" s="30" t="str">
        <f>IFERROR(__xludf.DUMMYFUNCTION("""COMPUTED_VALUE"""),"Gain/Loss if Ex./Assign")</f>
        <v>Gain/Loss if Ex./Assign</v>
      </c>
      <c r="FJ5" s="30" t="str">
        <f>IFERROR(__xludf.DUMMYFUNCTION("""COMPUTED_VALUE"""),"Day Traded Position")</f>
        <v>Day Traded Position</v>
      </c>
      <c r="FK5" s="30" t="str">
        <f>IFERROR(__xludf.DUMMYFUNCTION("""COMPUTED_VALUE"""),"isRowCountCheck")</f>
        <v>isRowCountCheck</v>
      </c>
      <c r="FL5" s="30" t="str">
        <f>IFERROR(__xludf.DUMMYFUNCTION("""COMPUTED_VALUE"""),"ACTIV Symbol")</f>
        <v>ACTIV Symbol</v>
      </c>
      <c r="FM5" s="30"/>
      <c r="FN5" s="30"/>
      <c r="FO5" s="30"/>
      <c r="FP5" s="30"/>
      <c r="FQ5" s="30"/>
      <c r="FR5" s="30"/>
      <c r="FS5" s="30"/>
      <c r="FT5" s="30"/>
      <c r="FU5" s="30"/>
      <c r="FV5" s="30"/>
    </row>
    <row r="6" ht="15.75" customHeight="1">
      <c r="A6" s="8"/>
      <c r="B6" s="13" t="s">
        <v>31</v>
      </c>
      <c r="C6" s="13" t="s">
        <v>25</v>
      </c>
      <c r="D6" s="8"/>
      <c r="E6" s="13" t="s">
        <v>19</v>
      </c>
      <c r="F6" s="13">
        <v>100.0</v>
      </c>
      <c r="G6" s="13" t="s">
        <v>18</v>
      </c>
      <c r="H6" s="13" t="s">
        <v>26</v>
      </c>
      <c r="I6" s="8"/>
      <c r="J6" s="8"/>
      <c r="K6" s="8"/>
      <c r="L6" s="8"/>
      <c r="M6" s="8"/>
      <c r="N6" s="8"/>
      <c r="O6" s="8"/>
      <c r="V6" s="9" t="s">
        <v>32</v>
      </c>
      <c r="W6" s="9" t="s">
        <v>33</v>
      </c>
      <c r="X6" s="9" t="s">
        <v>34</v>
      </c>
      <c r="AF6" s="41">
        <v>12000.0</v>
      </c>
      <c r="AG6" s="41">
        <v>12000.0</v>
      </c>
    </row>
    <row r="7" ht="15.75" customHeight="1">
      <c r="A7" s="8"/>
      <c r="B7" s="8"/>
      <c r="C7" s="8"/>
      <c r="D7" s="8"/>
      <c r="E7" s="13" t="s">
        <v>20</v>
      </c>
      <c r="F7" s="13">
        <v>300.0</v>
      </c>
      <c r="G7" s="13" t="s">
        <v>18</v>
      </c>
      <c r="H7" s="13" t="s">
        <v>26</v>
      </c>
      <c r="I7" s="8"/>
      <c r="J7" s="8"/>
      <c r="K7" s="8"/>
      <c r="L7" s="8"/>
      <c r="M7" s="8"/>
      <c r="N7" s="8"/>
      <c r="O7" s="8"/>
      <c r="V7" s="9" t="s">
        <v>32</v>
      </c>
      <c r="W7" s="9" t="s">
        <v>33</v>
      </c>
      <c r="X7" s="9" t="s">
        <v>34</v>
      </c>
      <c r="AF7" s="41">
        <v>42000.0</v>
      </c>
      <c r="AG7" s="41">
        <v>42000.0</v>
      </c>
    </row>
    <row r="8" ht="15.75" customHeight="1">
      <c r="A8" s="8"/>
      <c r="B8" s="8"/>
      <c r="C8" s="8"/>
      <c r="D8" s="8"/>
      <c r="E8" s="13" t="s">
        <v>20</v>
      </c>
      <c r="F8" s="13">
        <v>400.0</v>
      </c>
      <c r="G8" s="13" t="s">
        <v>18</v>
      </c>
      <c r="H8" s="13" t="s">
        <v>26</v>
      </c>
      <c r="I8" s="8"/>
      <c r="J8" s="8"/>
      <c r="K8" s="8"/>
      <c r="L8" s="8"/>
      <c r="M8" s="8"/>
      <c r="N8" s="8"/>
      <c r="O8" s="8"/>
      <c r="V8" s="9" t="s">
        <v>32</v>
      </c>
      <c r="W8" s="9" t="s">
        <v>33</v>
      </c>
      <c r="X8" s="9" t="s">
        <v>34</v>
      </c>
      <c r="AF8" s="41">
        <v>56000.0</v>
      </c>
      <c r="AG8" s="41">
        <v>56000.0</v>
      </c>
    </row>
    <row r="9" ht="15.75" customHeight="1">
      <c r="A9" s="8"/>
      <c r="B9" s="8"/>
      <c r="C9" s="8"/>
      <c r="D9" s="8"/>
      <c r="E9" s="13" t="s">
        <v>21</v>
      </c>
      <c r="F9" s="13">
        <v>500.0</v>
      </c>
      <c r="G9" s="13" t="s">
        <v>18</v>
      </c>
      <c r="H9" s="13" t="s">
        <v>26</v>
      </c>
      <c r="I9" s="8"/>
      <c r="J9" s="8"/>
      <c r="K9" s="8"/>
      <c r="L9" s="8"/>
      <c r="M9" s="8"/>
      <c r="N9" s="8"/>
      <c r="O9" s="8"/>
      <c r="V9" s="9" t="s">
        <v>32</v>
      </c>
      <c r="W9" s="9" t="s">
        <v>33</v>
      </c>
      <c r="X9" s="9" t="s">
        <v>34</v>
      </c>
      <c r="AF9" s="41">
        <v>75000.0</v>
      </c>
      <c r="AG9" s="41">
        <v>75000.0</v>
      </c>
    </row>
    <row r="10" ht="15.75" customHeight="1">
      <c r="A10" s="8"/>
      <c r="D10" s="8"/>
      <c r="E10" s="13" t="s">
        <v>16</v>
      </c>
      <c r="F10" s="13">
        <v>200.0</v>
      </c>
      <c r="G10" s="13" t="s">
        <v>18</v>
      </c>
      <c r="H10" s="13" t="s">
        <v>26</v>
      </c>
      <c r="I10" s="8"/>
      <c r="J10" s="8"/>
      <c r="K10" s="8"/>
      <c r="L10" s="8"/>
      <c r="M10" s="8"/>
      <c r="N10" s="8"/>
      <c r="O10" s="8"/>
      <c r="V10" s="9" t="s">
        <v>32</v>
      </c>
      <c r="W10" s="9" t="s">
        <v>33</v>
      </c>
      <c r="X10" s="9" t="s">
        <v>34</v>
      </c>
      <c r="AF10" s="41">
        <v>200000.0</v>
      </c>
      <c r="AG10" s="41">
        <v>200000.0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SortAndVerifyPM3!$4:$4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42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>
        <v>140.0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>
        <v>150.0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42">
        <v>1000.0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42">
        <v>1000.0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IFERROR(__xludf.DUMMYFUNCTION("""COMPUTED_VALUE"""),"Position")</f>
        <v>Position</v>
      </c>
      <c r="D5" s="28" t="str">
        <f>IFERROR(__xludf.DUMMYFUNCTION("""COMPUTED_VALUE"""),"Account")</f>
        <v>Account</v>
      </c>
      <c r="E5" s="28" t="str">
        <f>IFERROR(__xludf.DUMMYFUNCTION("""COMPUTED_VALUE"""),"MasterFund")</f>
        <v>MasterFund</v>
      </c>
      <c r="F5" s="29" t="str">
        <f>IFERROR(__xludf.DUMMYFUNCTION("""COMPUTED_VALUE"""),"Cost Basis")</f>
        <v>Cost Basis</v>
      </c>
      <c r="G5" s="28" t="str">
        <f>IFERROR(__xludf.DUMMYFUNCTION("""COMPUTED_VALUE"""),"Position Side")</f>
        <v>Position Side</v>
      </c>
      <c r="H5" s="28" t="str">
        <f>IFERROR(__xludf.DUMMYFUNCTION("""COMPUTED_VALUE"""),"Market Value (Base)")</f>
        <v>Market Value (Base)</v>
      </c>
      <c r="I5" s="28" t="str">
        <f>IFERROR(__xludf.DUMMYFUNCTION("""COMPUTED_VALUE"""),"% Day P&amp;L (Gross MV)")</f>
        <v>% Day P&amp;L (Gross MV)</v>
      </c>
      <c r="J5" s="28" t="str">
        <f>IFERROR(__xludf.DUMMYFUNCTION("""COMPUTED_VALUE"""),"Net Exposure (Base)")</f>
        <v>Net Exposure (Base)</v>
      </c>
      <c r="K5" s="28" t="str">
        <f>IFERROR(__xludf.DUMMYFUNCTION("""COMPUTED_VALUE"""),"Beta Adj. Gross Exposure (Base)")</f>
        <v>Beta Adj. Gross Exposure (Base)</v>
      </c>
      <c r="L5" s="28" t="str">
        <f>IFERROR(__xludf.DUMMYFUNCTION("""COMPUTED_VALUE"""),"Beta Adj. Gross Exposure (Underlying) (Base)")</f>
        <v>Beta Adj. Gross Exposure (Underlying) (Base)</v>
      </c>
      <c r="M5" s="28" t="str">
        <f>IFERROR(__xludf.DUMMYFUNCTION("""COMPUTED_VALUE"""),"Day P&amp;L (Base)")</f>
        <v>Day P&amp;L (Base)</v>
      </c>
      <c r="N5" s="28" t="str">
        <f>IFERROR(__xludf.DUMMYFUNCTION("""COMPUTED_VALUE"""),"Security Name")</f>
        <v>Security Name</v>
      </c>
      <c r="O5" s="28" t="str">
        <f>IFERROR(__xludf.DUMMYFUNCTION("""COMPUTED_VALUE"""),"Closing Mark")</f>
        <v>Closing Mark</v>
      </c>
      <c r="P5" s="28" t="str">
        <f>IFERROR(__xludf.DUMMYFUNCTION("""COMPUTED_VALUE"""),"Cost Basis P&amp;L (Base)")</f>
        <v>Cost Basis P&amp;L (Base)</v>
      </c>
      <c r="Q5" s="28" t="str">
        <f>IFERROR(__xludf.DUMMYFUNCTION("""COMPUTED_VALUE"""),"Prime Broker")</f>
        <v>Prime Broker</v>
      </c>
      <c r="R5" s="28" t="str">
        <f>IFERROR(__xludf.DUMMYFUNCTION("""COMPUTED_VALUE"""),"Strategy")</f>
        <v>Strategy</v>
      </c>
      <c r="S5" s="28" t="str">
        <f>IFERROR(__xludf.DUMMYFUNCTION("""COMPUTED_VALUE"""),"Asset Class")</f>
        <v>Asset Class</v>
      </c>
      <c r="T5" s="30" t="str">
        <f>IFERROR(__xludf.DUMMYFUNCTION("""COMPUTED_VALUE"""),"Underlying")</f>
        <v>Underlying</v>
      </c>
      <c r="U5" s="30" t="str">
        <f>IFERROR(__xludf.DUMMYFUNCTION("""COMPUTED_VALUE"""),"Exchange")</f>
        <v>Exchange</v>
      </c>
      <c r="V5" s="30" t="str">
        <f>IFERROR(__xludf.DUMMYFUNCTION("""COMPUTED_VALUE"""),"Trade Currency")</f>
        <v>Trade Currency</v>
      </c>
      <c r="W5" s="30" t="str">
        <f>IFERROR(__xludf.DUMMYFUNCTION("""COMPUTED_VALUE"""),"Multiplier")</f>
        <v>Multiplier</v>
      </c>
      <c r="X5" s="30" t="str">
        <f>IFERROR(__xludf.DUMMYFUNCTION("""COMPUTED_VALUE"""),"FX Rate")</f>
        <v>FX Rate</v>
      </c>
      <c r="Y5" s="30" t="str">
        <f>IFERROR(__xludf.DUMMYFUNCTION("""COMPUTED_VALUE"""),"Vs Currency")</f>
        <v>Vs Currency</v>
      </c>
      <c r="Z5" s="30" t="str">
        <f>IFERROR(__xludf.DUMMYFUNCTION("""COMPUTED_VALUE"""),"Lead Currency")</f>
        <v>Lead Currency</v>
      </c>
      <c r="AA5" s="30" t="str">
        <f>IFERROR(__xludf.DUMMYFUNCTION("""COMPUTED_VALUE"""),"Dividend Yield (%)")</f>
        <v>Dividend Yield (%)</v>
      </c>
      <c r="AB5" s="30" t="str">
        <f>IFERROR(__xludf.DUMMYFUNCTION("""COMPUTED_VALUE"""),"% Change")</f>
        <v>% Change</v>
      </c>
      <c r="AC5" s="30" t="str">
        <f>IFERROR(__xludf.DUMMYFUNCTION("""COMPUTED_VALUE"""),"Net Exposure (Local)")</f>
        <v>Net Exposure (Local)</v>
      </c>
      <c r="AD5" s="30" t="str">
        <f>IFERROR(__xludf.DUMMYFUNCTION("""COMPUTED_VALUE"""),"Exposure (Local)")</f>
        <v>Exposure (Local)</v>
      </c>
      <c r="AE5" s="30" t="str">
        <f>IFERROR(__xludf.DUMMYFUNCTION("""COMPUTED_VALUE"""),"Delta Adj. Position")</f>
        <v>Delta Adj. Position</v>
      </c>
      <c r="AF5" s="30" t="str">
        <f>IFERROR(__xludf.DUMMYFUNCTION("""COMPUTED_VALUE"""),"Exposure (Base)")</f>
        <v>Exposure (Base)</v>
      </c>
      <c r="AG5" s="30" t="str">
        <f>IFERROR(__xludf.DUMMYFUNCTION("""COMPUTED_VALUE"""),"Beta Adj. Exposure (Local)")</f>
        <v>Beta Adj. Exposure (Local)</v>
      </c>
      <c r="AH5" s="30" t="str">
        <f>IFERROR(__xludf.DUMMYFUNCTION("""COMPUTED_VALUE"""),"Beta Adj. Exposure (Base)")</f>
        <v>Beta Adj. Exposure (Base)</v>
      </c>
      <c r="AI5" s="30" t="str">
        <f>IFERROR(__xludf.DUMMYFUNCTION("""COMPUTED_VALUE"""),"Exposure (BP)(Base)")</f>
        <v>Exposure (BP)(Base)</v>
      </c>
      <c r="AJ5" s="30" t="str">
        <f>IFERROR(__xludf.DUMMYFUNCTION("""COMPUTED_VALUE"""),"Day P&amp;L (Local)")</f>
        <v>Day P&amp;L (Local)</v>
      </c>
      <c r="AK5" s="30" t="str">
        <f>IFERROR(__xludf.DUMMYFUNCTION("""COMPUTED_VALUE"""),"Delta")</f>
        <v>Delta</v>
      </c>
      <c r="AL5" s="30" t="str">
        <f>IFERROR(__xludf.DUMMYFUNCTION("""COMPUTED_VALUE"""),"Leveraged Factor")</f>
        <v>Leveraged Factor</v>
      </c>
      <c r="AM5" s="30" t="str">
        <f>IFERROR(__xludf.DUMMYFUNCTION("""COMPUTED_VALUE"""),"Order Side")</f>
        <v>Order Side</v>
      </c>
      <c r="AN5" s="30" t="str">
        <f>IFERROR(__xludf.DUMMYFUNCTION("""COMPUTED_VALUE"""),"Master Strategy")</f>
        <v>Master Strategy</v>
      </c>
      <c r="AO5" s="30" t="str">
        <f>IFERROR(__xludf.DUMMYFUNCTION("""COMPUTED_VALUE"""),"Transaction Side")</f>
        <v>Transaction Side</v>
      </c>
      <c r="AP5" s="30" t="str">
        <f>IFERROR(__xludf.DUMMYFUNCTION("""COMPUTED_VALUE"""),"Underlying Symbol")</f>
        <v>Underlying Symbol</v>
      </c>
      <c r="AQ5" s="30" t="str">
        <f>IFERROR(__xludf.DUMMYFUNCTION("""COMPUTED_VALUE"""),"Underlying Price")</f>
        <v>Underlying Price</v>
      </c>
      <c r="AR5" s="30" t="str">
        <f>IFERROR(__xludf.DUMMYFUNCTION("""COMPUTED_VALUE"""),"Side Multiplier")</f>
        <v>Side Multiplier</v>
      </c>
      <c r="AS5" s="30" t="str">
        <f>IFERROR(__xludf.DUMMYFUNCTION("""COMPUTED_VALUE"""),"Description")</f>
        <v>Description</v>
      </c>
      <c r="AT5" s="30" t="str">
        <f>IFERROR(__xludf.DUMMYFUNCTION("""COMPUTED_VALUE"""),"Internal Comments")</f>
        <v>Internal Comments</v>
      </c>
      <c r="AU5" s="30" t="str">
        <f>IFERROR(__xludf.DUMMYFUNCTION("""COMPUTED_VALUE"""),"FX Rate On Trade Date")</f>
        <v>FX Rate On Trade Date</v>
      </c>
      <c r="AV5" s="30" t="str">
        <f>IFERROR(__xludf.DUMMYFUNCTION("""COMPUTED_VALUE"""),"Cost Basis P&amp;L (Local)")</f>
        <v>Cost Basis P&amp;L (Local)</v>
      </c>
      <c r="AW5" s="30" t="str">
        <f>IFERROR(__xludf.DUMMYFUNCTION("""COMPUTED_VALUE"""),"Day Interest")</f>
        <v>Day Interest</v>
      </c>
      <c r="AX5" s="30" t="str">
        <f>IFERROR(__xludf.DUMMYFUNCTION("""COMPUTED_VALUE"""),"Total Interest")</f>
        <v>Total Interest</v>
      </c>
      <c r="AY5" s="30" t="str">
        <f>IFERROR(__xludf.DUMMYFUNCTION("""COMPUTED_VALUE"""),"Market Value (Local)")</f>
        <v>Market Value (Local)</v>
      </c>
      <c r="AZ5" s="30" t="str">
        <f>IFERROR(__xludf.DUMMYFUNCTION("""COMPUTED_VALUE"""),"% Gain/Loss Day")</f>
        <v>% Gain/Loss Day</v>
      </c>
      <c r="BA5" s="30" t="str">
        <f>IFERROR(__xludf.DUMMYFUNCTION("""COMPUTED_VALUE"""),"Update Time (Last Price)")</f>
        <v>Update Time (Last Price)</v>
      </c>
      <c r="BB5" s="30" t="str">
        <f>IFERROR(__xludf.DUMMYFUNCTION("""COMPUTED_VALUE"""),"Beta")</f>
        <v>Beta</v>
      </c>
      <c r="BC5" s="30" t="str">
        <f>IFERROR(__xludf.DUMMYFUNCTION("""COMPUTED_VALUE"""),"Cash Impact (Local)")</f>
        <v>Cash Impact (Local)</v>
      </c>
      <c r="BD5" s="30" t="str">
        <f>IFERROR(__xludf.DUMMYFUNCTION("""COMPUTED_VALUE"""),"User Asset")</f>
        <v>User Asset</v>
      </c>
      <c r="BE5" s="30" t="str">
        <f>IFERROR(__xludf.DUMMYFUNCTION("""COMPUTED_VALUE"""),"Security Type")</f>
        <v>Security Type</v>
      </c>
      <c r="BF5" s="30" t="str">
        <f>IFERROR(__xludf.DUMMYFUNCTION("""COMPUTED_VALUE"""),"Sector")</f>
        <v>Sector</v>
      </c>
      <c r="BG5" s="30" t="str">
        <f>IFERROR(__xludf.DUMMYFUNCTION("""COMPUTED_VALUE"""),"Sub Sector")</f>
        <v>Sub Sector</v>
      </c>
      <c r="BH5" s="30" t="str">
        <f>IFERROR(__xludf.DUMMYFUNCTION("""COMPUTED_VALUE"""),"Country")</f>
        <v>Country</v>
      </c>
      <c r="BI5" s="30" t="str">
        <f>IFERROR(__xludf.DUMMYFUNCTION("""COMPUTED_VALUE"""),"Market Cap")</f>
        <v>Market Cap</v>
      </c>
      <c r="BJ5" s="30" t="str">
        <f>IFERROR(__xludf.DUMMYFUNCTION("""COMPUTED_VALUE"""),"Shares Outstanding (MM)")</f>
        <v>Shares Outstanding (MM)</v>
      </c>
      <c r="BK5" s="30" t="str">
        <f>IFERROR(__xludf.DUMMYFUNCTION("""COMPUTED_VALUE"""),"Avg Volume 20 Day")</f>
        <v>Avg Volume 20 Day</v>
      </c>
      <c r="BL5" s="30" t="str">
        <f>IFERROR(__xludf.DUMMYFUNCTION("""COMPUTED_VALUE"""),"% Avg Volume (Delta Adj.)")</f>
        <v>% Avg Volume (Delta Adj.)</v>
      </c>
      <c r="BM5" s="30" t="str">
        <f>IFERROR(__xludf.DUMMYFUNCTION("""COMPUTED_VALUE"""),"Ex Dividend Date")</f>
        <v>Ex Dividend Date</v>
      </c>
      <c r="BN5" s="30" t="str">
        <f>IFERROR(__xludf.DUMMYFUNCTION("""COMPUTED_VALUE"""),"Cash Impact (Base)")</f>
        <v>Cash Impact (Base)</v>
      </c>
      <c r="BO5" s="30" t="str">
        <f>IFERROR(__xludf.DUMMYFUNCTION("""COMPUTED_VALUE"""),"Volatility (%)")</f>
        <v>Volatility (%)</v>
      </c>
      <c r="BP5" s="30" t="str">
        <f>IFERROR(__xludf.DUMMYFUNCTION("""COMPUTED_VALUE"""),"User")</f>
        <v>User</v>
      </c>
      <c r="BQ5" s="30" t="str">
        <f>IFERROR(__xludf.DUMMYFUNCTION("""COMPUTED_VALUE"""),"Broker")</f>
        <v>Broker</v>
      </c>
      <c r="BR5" s="30" t="str">
        <f>IFERROR(__xludf.DUMMYFUNCTION("""COMPUTED_VALUE"""),"Earned Dividend (Local)")</f>
        <v>Earned Dividend (Local)</v>
      </c>
      <c r="BS5" s="30" t="str">
        <f>IFERROR(__xludf.DUMMYFUNCTION("""COMPUTED_VALUE"""),"Earned Dividend (Base)")</f>
        <v>Earned Dividend (Base)</v>
      </c>
      <c r="BT5" s="30" t="str">
        <f>IFERROR(__xludf.DUMMYFUNCTION("""COMPUTED_VALUE"""),"Put/Call")</f>
        <v>Put/Call</v>
      </c>
      <c r="BU5" s="30" t="str">
        <f>IFERROR(__xludf.DUMMYFUNCTION("""COMPUTED_VALUE"""),"Expiration Date")</f>
        <v>Expiration Date</v>
      </c>
      <c r="BV5" s="30" t="str">
        <f>IFERROR(__xludf.DUMMYFUNCTION("""COMPUTED_VALUE"""),"Strike Price")</f>
        <v>Strike Price</v>
      </c>
      <c r="BW5" s="30" t="str">
        <f>IFERROR(__xludf.DUMMYFUNCTION("""COMPUTED_VALUE"""),"Gross Exposure (Base)")</f>
        <v>Gross Exposure (Base)</v>
      </c>
      <c r="BX5" s="30" t="str">
        <f>IFERROR(__xludf.DUMMYFUNCTION("""COMPUTED_VALUE"""),"Gross Market Value (Base)")</f>
        <v>Gross Market Value (Base)</v>
      </c>
      <c r="BY5" s="30" t="str">
        <f>IFERROR(__xludf.DUMMYFUNCTION("""COMPUTED_VALUE"""),"Px Selected Feed (Local)")</f>
        <v>Px Selected Feed (Local)</v>
      </c>
      <c r="BZ5" s="30" t="str">
        <f>IFERROR(__xludf.DUMMYFUNCTION("""COMPUTED_VALUE"""),"Px Selected Feed (Base)")</f>
        <v>Px Selected Feed (Base)</v>
      </c>
      <c r="CA5" s="30" t="str">
        <f>IFERROR(__xludf.DUMMYFUNCTION("""COMPUTED_VALUE"""),"Settlement Date")</f>
        <v>Settlement Date</v>
      </c>
      <c r="CB5" s="30" t="str">
        <f>IFERROR(__xludf.DUMMYFUNCTION("""COMPUTED_VALUE"""),"% Avg Volume")</f>
        <v>% Avg Volume</v>
      </c>
      <c r="CC5" s="30" t="str">
        <f>IFERROR(__xludf.DUMMYFUNCTION("""COMPUTED_VALUE"""),"Day P&amp;L (Base)(Price Gain)")</f>
        <v>Day P&amp;L (Base)(Price Gain)</v>
      </c>
      <c r="CD5" s="30" t="str">
        <f>IFERROR(__xludf.DUMMYFUNCTION("""COMPUTED_VALUE"""),"Day P&amp;L (Base)(FX Gain)")</f>
        <v>Day P&amp;L (Base)(FX Gain)</v>
      </c>
      <c r="CE5" s="30" t="str">
        <f>IFERROR(__xludf.DUMMYFUNCTION("""COMPUTED_VALUE"""),"Cost Basis P&amp;L (Base)(FX Gain)")</f>
        <v>Cost Basis P&amp;L (Base)(FX Gain)</v>
      </c>
      <c r="CF5" s="30" t="str">
        <f>IFERROR(__xludf.DUMMYFUNCTION("""COMPUTED_VALUE"""),"Cost Basis P&amp;L (Base)(Price Gain)")</f>
        <v>Cost Basis P&amp;L (Base)(Price Gain)</v>
      </c>
      <c r="CG5" s="30" t="str">
        <f>IFERROR(__xludf.DUMMYFUNCTION("""COMPUTED_VALUE"""),"% Gain/Loss Cost")</f>
        <v>% Gain/Loss Cost</v>
      </c>
      <c r="CH5" s="30" t="str">
        <f>IFERROR(__xludf.DUMMYFUNCTION("""COMPUTED_VALUE"""),"Underlying Value (Options)")</f>
        <v>Underlying Value (Options)</v>
      </c>
      <c r="CI5" s="30" t="str">
        <f>IFERROR(__xludf.DUMMYFUNCTION("""COMPUTED_VALUE"""),"Avg Volume 20 Day (Underlying Symbol)")</f>
        <v>Avg Volume 20 Day (Underlying Symbol)</v>
      </c>
      <c r="CJ5" s="30" t="str">
        <f>IFERROR(__xludf.DUMMYFUNCTION("""COMPUTED_VALUE"""),"IsStaleData")</f>
        <v>IsStaleData</v>
      </c>
      <c r="CK5" s="30" t="str">
        <f>IFERROR(__xludf.DUMMYFUNCTION("""COMPUTED_VALUE"""),"IDCO")</f>
        <v>IDCO</v>
      </c>
      <c r="CL5" s="30" t="str">
        <f>IFERROR(__xludf.DUMMYFUNCTION("""COMPUTED_VALUE"""),"OSI")</f>
        <v>OSI</v>
      </c>
      <c r="CM5" s="30" t="str">
        <f>IFERROR(__xludf.DUMMYFUNCTION("""COMPUTED_VALUE"""),"SEDOL")</f>
        <v>SEDOL</v>
      </c>
      <c r="CN5" s="30" t="str">
        <f>IFERROR(__xludf.DUMMYFUNCTION("""COMPUTED_VALUE"""),"CUSIP")</f>
        <v>CUSIP</v>
      </c>
      <c r="CO5" s="30" t="str">
        <f>IFERROR(__xludf.DUMMYFUNCTION("""COMPUTED_VALUE"""),"Bloomberg")</f>
        <v>Bloomberg</v>
      </c>
      <c r="CP5" s="30" t="str">
        <f>IFERROR(__xludf.DUMMYFUNCTION("""COMPUTED_VALUE"""),"ISIN")</f>
        <v>ISIN</v>
      </c>
      <c r="CQ5" s="30" t="str">
        <f>IFERROR(__xludf.DUMMYFUNCTION("""COMPUTED_VALUE"""),"Start Trade Date")</f>
        <v>Start Trade Date</v>
      </c>
      <c r="CR5" s="30" t="str">
        <f>IFERROR(__xludf.DUMMYFUNCTION("""COMPUTED_VALUE"""),"Cost Basis (Break Even)")</f>
        <v>Cost Basis (Break Even)</v>
      </c>
      <c r="CS5" s="30" t="str">
        <f>IFERROR(__xludf.DUMMYFUNCTION("""COMPUTED_VALUE"""),"Trade Attribute 3")</f>
        <v>Trade Attribute 3</v>
      </c>
      <c r="CT5" s="30" t="str">
        <f>IFERROR(__xludf.DUMMYFUNCTION("""COMPUTED_VALUE"""),"Trade Attribute 4")</f>
        <v>Trade Attribute 4</v>
      </c>
      <c r="CU5" s="30" t="str">
        <f>IFERROR(__xludf.DUMMYFUNCTION("""COMPUTED_VALUE"""),"Trade Attribute 5")</f>
        <v>Trade Attribute 5</v>
      </c>
      <c r="CV5" s="30" t="str">
        <f>IFERROR(__xludf.DUMMYFUNCTION("""COMPUTED_VALUE"""),"Trade Attribute 6")</f>
        <v>Trade Attribute 6</v>
      </c>
      <c r="CW5" s="30" t="str">
        <f>IFERROR(__xludf.DUMMYFUNCTION("""COMPUTED_VALUE"""),"Proxy Symbol")</f>
        <v>Proxy Symbol</v>
      </c>
      <c r="CX5" s="30" t="str">
        <f>IFERROR(__xludf.DUMMYFUNCTION("""COMPUTED_VALUE"""),"Pricing Source")</f>
        <v>Pricing Source</v>
      </c>
      <c r="CY5" s="30" t="str">
        <f>IFERROR(__xludf.DUMMYFUNCTION("""COMPUTED_VALUE"""),"Delta Source")</f>
        <v>Delta Source</v>
      </c>
      <c r="CZ5" s="30" t="str">
        <f>IFERROR(__xludf.DUMMYFUNCTION("""COMPUTED_VALUE"""),"Gross Exposure (Local)")</f>
        <v>Gross Exposure (Local)</v>
      </c>
      <c r="DA5" s="30" t="str">
        <f>IFERROR(__xludf.DUMMYFUNCTION("""COMPUTED_VALUE"""),"% Day P&amp;L (Net MV)")</f>
        <v>% Day P&amp;L (Net MV)</v>
      </c>
      <c r="DB5" s="30" t="str">
        <f>IFERROR(__xludf.DUMMYFUNCTION("""COMPUTED_VALUE"""),"Expiration Month")</f>
        <v>Expiration Month</v>
      </c>
      <c r="DC5" s="30" t="str">
        <f>IFERROR(__xludf.DUMMYFUNCTION("""COMPUTED_VALUE"""),"Delta Adj. Position (LME)")</f>
        <v>Delta Adj. Position (LME)</v>
      </c>
      <c r="DD5" s="30" t="str">
        <f>IFERROR(__xludf.DUMMYFUNCTION("""COMPUTED_VALUE"""),"Premium")</f>
        <v>Premium</v>
      </c>
      <c r="DE5" s="30" t="str">
        <f>IFERROR(__xludf.DUMMYFUNCTION("""COMPUTED_VALUE"""),"Premium $")</f>
        <v>Premium $</v>
      </c>
      <c r="DF5" s="30" t="str">
        <f>IFERROR(__xludf.DUMMYFUNCTION("""COMPUTED_VALUE"""),"Forward Points")</f>
        <v>Forward Points</v>
      </c>
      <c r="DG5" s="30" t="str">
        <f>IFERROR(__xludf.DUMMYFUNCTION("""COMPUTED_VALUE"""),"Closing Mark (Underlying)")</f>
        <v>Closing Mark (Underlying)</v>
      </c>
      <c r="DH5" s="30" t="str">
        <f>IFERROR(__xludf.DUMMYFUNCTION("""COMPUTED_VALUE"""),"% Change (Underlying Price)")</f>
        <v>% Change (Underlying Price)</v>
      </c>
      <c r="DI5" s="30" t="str">
        <f>IFERROR(__xludf.DUMMYFUNCTION("""COMPUTED_VALUE"""),"Transaction Type")</f>
        <v>Transaction Type</v>
      </c>
      <c r="DJ5" s="30" t="str">
        <f>IFERROR(__xludf.DUMMYFUNCTION("""COMPUTED_VALUE"""),"Closing Market Value (Local)")</f>
        <v>Closing Market Value (Local)</v>
      </c>
      <c r="DK5" s="30" t="str">
        <f>IFERROR(__xludf.DUMMYFUNCTION("""COMPUTED_VALUE"""),"Closing Market Value (Base)")</f>
        <v>Closing Market Value (Base)</v>
      </c>
      <c r="DL5" s="30" t="str">
        <f>IFERROR(__xludf.DUMMYFUNCTION("""COMPUTED_VALUE"""),"Closing FX Rate")</f>
        <v>Closing FX Rate</v>
      </c>
      <c r="DM5" s="30" t="str">
        <f>IFERROR(__xludf.DUMMYFUNCTION("""COMPUTED_VALUE"""),"Change In Underlying Price")</f>
        <v>Change In Underlying Price</v>
      </c>
      <c r="DN5" s="30" t="str">
        <f>IFERROR(__xludf.DUMMYFUNCTION("""COMPUTED_VALUE"""),"RIC")</f>
        <v>RIC</v>
      </c>
      <c r="DO5" s="30" t="str">
        <f>IFERROR(__xludf.DUMMYFUNCTION("""COMPUTED_VALUE"""),"Position Side Exposure (Boxed)")</f>
        <v>Position Side Exposure (Boxed)</v>
      </c>
      <c r="DP5" s="30" t="str">
        <f>IFERROR(__xludf.DUMMYFUNCTION("""COMPUTED_VALUE"""),"Analyst")</f>
        <v>Analyst</v>
      </c>
      <c r="DQ5" s="30" t="str">
        <f>IFERROR(__xludf.DUMMYFUNCTION("""COMPUTED_VALUE"""),"Country Of Risk")</f>
        <v>Country Of Risk</v>
      </c>
      <c r="DR5" s="30" t="str">
        <f>IFERROR(__xludf.DUMMYFUNCTION("""COMPUTED_VALUE"""),"Custom UDA1")</f>
        <v>Custom UDA1</v>
      </c>
      <c r="DS5" s="30" t="str">
        <f>IFERROR(__xludf.DUMMYFUNCTION("""COMPUTED_VALUE"""),"Custom UDA2")</f>
        <v>Custom UDA2</v>
      </c>
      <c r="DT5" s="30" t="str">
        <f>IFERROR(__xludf.DUMMYFUNCTION("""COMPUTED_VALUE"""),"Custom UDA3")</f>
        <v>Custom UDA3</v>
      </c>
      <c r="DU5" s="30" t="str">
        <f>IFERROR(__xludf.DUMMYFUNCTION("""COMPUTED_VALUE"""),"Custom UDA4")</f>
        <v>Custom UDA4</v>
      </c>
      <c r="DV5" s="30" t="str">
        <f>IFERROR(__xludf.DUMMYFUNCTION("""COMPUTED_VALUE"""),"Custom UDA5")</f>
        <v>Custom UDA5</v>
      </c>
      <c r="DW5" s="30" t="str">
        <f>IFERROR(__xludf.DUMMYFUNCTION("""COMPUTED_VALUE"""),"Custom UDA6")</f>
        <v>Custom UDA6</v>
      </c>
      <c r="DX5" s="30" t="str">
        <f>IFERROR(__xludf.DUMMYFUNCTION("""COMPUTED_VALUE"""),"Custom UDA7")</f>
        <v>Custom UDA7</v>
      </c>
      <c r="DY5" s="30" t="str">
        <f>IFERROR(__xludf.DUMMYFUNCTION("""COMPUTED_VALUE"""),"Issuer")</f>
        <v>Issuer</v>
      </c>
      <c r="DZ5" s="30" t="str">
        <f>IFERROR(__xludf.DUMMYFUNCTION("""COMPUTED_VALUE"""),"Liquid Tag")</f>
        <v>Liquid Tag</v>
      </c>
      <c r="EA5" s="30" t="str">
        <f>IFERROR(__xludf.DUMMYFUNCTION("""COMPUTED_VALUE"""),"Market Cap UDA")</f>
        <v>Market Cap UDA</v>
      </c>
      <c r="EB5" s="30" t="str">
        <f>IFERROR(__xludf.DUMMYFUNCTION("""COMPUTED_VALUE"""),"Region")</f>
        <v>Region</v>
      </c>
      <c r="EC5" s="30" t="str">
        <f>IFERROR(__xludf.DUMMYFUNCTION("""COMPUTED_VALUE"""),"Risk Currency")</f>
        <v>Risk Currency</v>
      </c>
      <c r="ED5" s="30" t="str">
        <f>IFERROR(__xludf.DUMMYFUNCTION("""COMPUTED_VALUE"""),"UCITS Eligible Tag")</f>
        <v>UCITS Eligible Tag</v>
      </c>
      <c r="EE5" s="30" t="str">
        <f>IFERROR(__xludf.DUMMYFUNCTION("""COMPUTED_VALUE"""),"FX Rate (Display)")</f>
        <v>FX Rate (Display)</v>
      </c>
      <c r="EF5" s="30" t="str">
        <f>IFERROR(__xludf.DUMMYFUNCTION("""COMPUTED_VALUE"""),"% Net Exposure (Base)")</f>
        <v>% Net Exposure (Base)</v>
      </c>
      <c r="EG5" s="30" t="str">
        <f>IFERROR(__xludf.DUMMYFUNCTION("""COMPUTED_VALUE"""),"% Gross Exposure (Base)")</f>
        <v>% Gross Exposure (Base)</v>
      </c>
      <c r="EH5" s="30" t="str">
        <f>IFERROR(__xludf.DUMMYFUNCTION("""COMPUTED_VALUE"""),"% Exposure (Base)")</f>
        <v>% Exposure (Base)</v>
      </c>
      <c r="EI5" s="30" t="str">
        <f>IFERROR(__xludf.DUMMYFUNCTION("""COMPUTED_VALUE"""),"% Gross Exposure (Underlying) (Base)")</f>
        <v>% Gross Exposure (Underlying) (Base)</v>
      </c>
      <c r="EJ5" s="30" t="str">
        <f>IFERROR(__xludf.DUMMYFUNCTION("""COMPUTED_VALUE"""),"% Beta Adj. Gross Exposure (Base)")</f>
        <v>% Beta Adj. Gross Exposure (Base)</v>
      </c>
      <c r="EK5" s="30" t="str">
        <f>IFERROR(__xludf.DUMMYFUNCTION("""COMPUTED_VALUE"""),"Position Side Exposure (Underlying)")</f>
        <v>Position Side Exposure (Underlying)</v>
      </c>
      <c r="EL5" s="30" t="str">
        <f>IFERROR(__xludf.DUMMYFUNCTION("""COMPUTED_VALUE"""),"Gross Exposure (Underlying) (Base)")</f>
        <v>Gross Exposure (Underlying) (Base)</v>
      </c>
      <c r="EM5" s="30" t="str">
        <f>IFERROR(__xludf.DUMMYFUNCTION("""COMPUTED_VALUE"""),"Gross Exposure (Underlying)")</f>
        <v>Gross Exposure (Underlying)</v>
      </c>
      <c r="EN5" s="30" t="str">
        <f>IFERROR(__xludf.DUMMYFUNCTION("""COMPUTED_VALUE"""),"Day Return")</f>
        <v>Day Return</v>
      </c>
      <c r="EO5" s="30" t="str">
        <f>IFERROR(__xludf.DUMMYFUNCTION("""COMPUTED_VALUE"""),"Start of Day NAV")</f>
        <v>Start of Day NAV</v>
      </c>
      <c r="EP5" s="30" t="str">
        <f>IFERROR(__xludf.DUMMYFUNCTION("""COMPUTED_VALUE"""),"% Gross Market Value (Base)")</f>
        <v>% Gross Market Value (Base)</v>
      </c>
      <c r="EQ5" s="30" t="str">
        <f>IFERROR(__xludf.DUMMYFUNCTION("""COMPUTED_VALUE"""),"Beta Adj. Gross Exposure (Underlying) (Local)")</f>
        <v>Beta Adj. Gross Exposure (Underlying) (Local)</v>
      </c>
      <c r="ER5" s="30" t="str">
        <f>IFERROR(__xludf.DUMMYFUNCTION("""COMPUTED_VALUE"""),"NAV")</f>
        <v>NAV</v>
      </c>
      <c r="ES5" s="30" t="str">
        <f>IFERROR(__xludf.DUMMYFUNCTION("""COMPUTED_VALUE"""),"% P&amp;L Contribution")</f>
        <v>% P&amp;L Contribution</v>
      </c>
      <c r="ET5" s="30" t="str">
        <f>IFERROR(__xludf.DUMMYFUNCTION("""COMPUTED_VALUE"""),"% Net Market Value (Base)")</f>
        <v>% Net Market Value (Base)</v>
      </c>
      <c r="EU5" s="30" t="str">
        <f>IFERROR(__xludf.DUMMYFUNCTION("""COMPUTED_VALUE"""),"Position Side Exposure")</f>
        <v>Position Side Exposure</v>
      </c>
      <c r="EV5" s="30" t="str">
        <f>IFERROR(__xludf.DUMMYFUNCTION("""COMPUTED_VALUE"""),"NAV (Touch)")</f>
        <v>NAV (Touch)</v>
      </c>
      <c r="EW5" s="30" t="str">
        <f>IFERROR(__xludf.DUMMYFUNCTION("""COMPUTED_VALUE"""),"IgnorePropertyChangeEvents")</f>
        <v>IgnorePropertyChangeEvents</v>
      </c>
      <c r="EX5" s="30" t="str">
        <f>IFERROR(__xludf.DUMMYFUNCTION("""COMPUTED_VALUE"""),"Trade Attribute 1")</f>
        <v>Trade Attribute 1</v>
      </c>
      <c r="EY5" s="30" t="str">
        <f>IFERROR(__xludf.DUMMYFUNCTION("""COMPUTED_VALUE"""),"Trade Attribute 2")</f>
        <v>Trade Attribute 2</v>
      </c>
      <c r="EZ5" s="30" t="str">
        <f>IFERROR(__xludf.DUMMYFUNCTION("""COMPUTED_VALUE"""),"Client")</f>
        <v>Client</v>
      </c>
      <c r="FA5" s="30" t="str">
        <f>IFERROR(__xludf.DUMMYFUNCTION("""COMPUTED_VALUE"""),"IsCustomViewTab")</f>
        <v>IsCustomViewTab</v>
      </c>
      <c r="FB5" s="30" t="str">
        <f>IFERROR(__xludf.DUMMYFUNCTION("""COMPUTED_VALUE"""),"ITM/OTM")</f>
        <v>ITM/OTM</v>
      </c>
      <c r="FC5" s="30" t="str">
        <f>IFERROR(__xludf.DUMMYFUNCTION("""COMPUTED_VALUE"""),"Days to Expiry")</f>
        <v>Days to Expiry</v>
      </c>
      <c r="FD5" s="30" t="str">
        <f>IFERROR(__xludf.DUMMYFUNCTION("""COMPUTED_VALUE"""),"% of Underlying Price")</f>
        <v>% of Underlying Price</v>
      </c>
      <c r="FE5" s="30" t="str">
        <f>IFERROR(__xludf.DUMMYFUNCTION("""COMPUTED_VALUE"""),"Intrinsic value")</f>
        <v>Intrinsic value</v>
      </c>
      <c r="FF5" s="30" t="str">
        <f>IFERROR(__xludf.DUMMYFUNCTION("""COMPUTED_VALUE"""),"Gain/Loss if Ex./Assign")</f>
        <v>Gain/Loss if Ex./Assign</v>
      </c>
      <c r="FG5" s="30" t="str">
        <f>IFERROR(__xludf.DUMMYFUNCTION("""COMPUTED_VALUE"""),"Day Traded Position")</f>
        <v>Day Traded Position</v>
      </c>
      <c r="FH5" s="30" t="str">
        <f>IFERROR(__xludf.DUMMYFUNCTION("""COMPUTED_VALUE"""),"isRowCountCheck")</f>
        <v>isRowCountCheck</v>
      </c>
      <c r="FI5" s="30" t="str">
        <f>IFERROR(__xludf.DUMMYFUNCTION("""COMPUTED_VALUE"""),"ACTIV Symbol")</f>
        <v>ACTIV Symbol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13" t="s">
        <v>16</v>
      </c>
      <c r="C6" s="33">
        <v>200.0</v>
      </c>
      <c r="D6" s="32" t="s">
        <v>18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OpenPIFromPM1!$4:$4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