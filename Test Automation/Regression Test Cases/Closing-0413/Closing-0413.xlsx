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<sst xmlns="http://schemas.openxmlformats.org/spreadsheetml/2006/main" count="2320" uniqueCount="56">
  <si>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</si>
  <si>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</si>
  <si>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</si>
  <si>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</si>
  <si>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</si>
  <si>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</si>
  <si>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</si>
  <si>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</si>
  <si>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</si>
  <si>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</si>
  <si>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</si>
  <si>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</si>
  <si>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</si>
  <si>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</si>
  <si>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</si>
  <si>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</si>
  <si>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</si>
  <si>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</si>
  <si>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</si>
  <si>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</si>
  <si>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</si>
  <si>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</si>
  <si>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</si>
  <si>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</si>
  <si>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</si>
  <si>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</si>
  <si>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</si>
  <si>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</si>
  <si>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</si>
  <si>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</si>
  <si>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</si>
  <si>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</si>
  <si>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</si>
  <si>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</si>
  <si>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</si>
  <si>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</si>
  <si>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</si>
  <si>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</si>
  <si>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</si>
  <si>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</si>
  <si>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</si>
  <si>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</si>
  <si>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</si>
  <si>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</si>
  <si>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</si>
  <si>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</si>
  <si>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US</t>
  </si>
  <si>
    <t>EquityOption</t>
  </si>
  <si>
    <t>OPTS</t>
  </si>
  <si>
    <t>Buy to Close</t>
  </si>
  <si>
    <t>CheckAllocatedTaxlots</t>
  </si>
  <si>
    <t>PortfolioManagement</t>
  </si>
  <si>
    <t>CheckPortfolioManagement</t>
  </si>
  <si>
    <t>NewMF</t>
  </si>
  <si>
    <t>Long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</si>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</sst>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t="shared" ref="C6:C7" si="1">TODAY()+20</f>
        <v>45075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45075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45076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19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 t="s">
        <v>23</v>
      </c>
      <c r="D6" s="38">
        <v>1100.0</v>
      </c>
      <c r="E6" s="33"/>
      <c r="F6" s="33"/>
      <c r="G6" s="33"/>
      <c r="H6" s="33"/>
      <c r="I6" s="33"/>
      <c r="J6" s="39">
        <v>1.0</v>
      </c>
      <c r="K6" s="33"/>
      <c r="L6" s="33"/>
      <c r="M6" s="33"/>
      <c r="N6" s="32">
        <f t="shared" ref="N6:N7" si="1">TODAY()-8</f>
        <v>45047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9">
        <v>10.0</v>
      </c>
      <c r="E7" s="33"/>
      <c r="F7" s="33"/>
      <c r="G7" s="33"/>
      <c r="H7" s="33"/>
      <c r="I7" s="33"/>
      <c r="J7" s="39">
        <v>10.0</v>
      </c>
      <c r="K7" s="33"/>
      <c r="L7" s="33"/>
      <c r="M7" s="33"/>
      <c r="N7" s="32">
        <f t="shared" si="1"/>
        <v>45047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9">
        <v>10.0</v>
      </c>
      <c r="E8" s="33"/>
      <c r="F8" s="33"/>
      <c r="G8" s="33" t="s">
        <v>25</v>
      </c>
      <c r="H8" s="33"/>
      <c r="I8" s="33"/>
      <c r="J8" s="39">
        <v>10.0</v>
      </c>
      <c r="K8" s="33"/>
      <c r="L8" s="33"/>
      <c r="M8" s="33"/>
      <c r="N8" s="32">
        <f>TODAY()-7</f>
        <v>45048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9">
        <v>10.0</v>
      </c>
      <c r="E9" s="33"/>
      <c r="F9" s="33"/>
      <c r="G9" s="33"/>
      <c r="H9" s="33"/>
      <c r="I9" s="33"/>
      <c r="J9" s="39">
        <v>10.0</v>
      </c>
      <c r="K9" s="33"/>
      <c r="L9" s="33"/>
      <c r="M9" s="33" t="s">
        <v>26</v>
      </c>
      <c r="N9" s="32">
        <f>TODAY()-6</f>
        <v>45049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>
        <f>TODAY()-1</f>
        <v>45054</v>
      </c>
      <c r="C6" s="40">
        <f>TODAY()</f>
        <v>45055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42">
        <v>120.0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3" t="s">
        <v>32</v>
      </c>
      <c r="D6" s="43">
        <f>TODAY()</f>
        <v>45055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3" t="s">
        <v>32</v>
      </c>
      <c r="D6" s="43">
        <f>TODAY()</f>
        <v>45055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t="s">
        <v>43</v>
      </c>
      <c r="Y6" t="s">
        <v>39</v>
      </c>
      <c r="Z6" t="s">
        <v>44</v>
      </c>
      <c r="AD6" t="s">
        <v>45</v>
      </c>
      <c r="BM6" t="s">
        <v>44</v>
      </c>
      <c r="BO6" t="s">
        <v>23</v>
      </c>
      <c r="BT6" t="s">
        <v>22</v>
      </c>
      <c r="CK6" t="s">
        <v>46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47</v>
      </c>
      <c r="H7" s="8"/>
      <c r="I7" s="8"/>
      <c r="J7" s="8"/>
      <c r="K7" s="8"/>
      <c r="L7" s="8"/>
      <c r="M7" s="8"/>
      <c r="N7" s="8"/>
      <c r="O7" s="8" t="s">
        <v>25</v>
      </c>
      <c r="V7" t="s">
        <v>16</v>
      </c>
      <c r="Y7" t="s">
        <v>39</v>
      </c>
      <c r="Z7" t="s">
        <v>44</v>
      </c>
      <c r="AD7" t="s">
        <v>48</v>
      </c>
      <c r="BM7" t="s">
        <v>44</v>
      </c>
      <c r="BO7" t="s">
        <v>24</v>
      </c>
      <c r="BT7" t="s">
        <v>16</v>
      </c>
      <c r="CK7" t="s">
        <v>46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47</v>
      </c>
      <c r="H8" s="8"/>
      <c r="I8" s="8"/>
      <c r="J8" s="8"/>
      <c r="K8" s="8"/>
      <c r="L8" s="8"/>
      <c r="M8" s="8"/>
      <c r="N8" s="8"/>
      <c r="O8" s="8" t="s">
        <v>42</v>
      </c>
      <c r="V8" t="s">
        <v>16</v>
      </c>
      <c r="Y8" t="s">
        <v>39</v>
      </c>
      <c r="Z8" t="s">
        <v>44</v>
      </c>
      <c r="AD8" t="s">
        <v>48</v>
      </c>
      <c r="BM8" t="s">
        <v>44</v>
      </c>
      <c r="BO8" t="s">
        <v>24</v>
      </c>
      <c r="BT8" t="s">
        <v>16</v>
      </c>
      <c r="CK8" t="s">
        <v>46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47</v>
      </c>
      <c r="H9" s="8"/>
      <c r="I9" s="8"/>
      <c r="J9" s="8"/>
      <c r="K9" s="8"/>
      <c r="L9" s="8"/>
      <c r="M9" s="8"/>
      <c r="N9" s="8"/>
      <c r="O9" s="8" t="s">
        <v>42</v>
      </c>
      <c r="V9" t="s">
        <v>16</v>
      </c>
      <c r="Y9" t="s">
        <v>39</v>
      </c>
      <c r="Z9" t="s">
        <v>44</v>
      </c>
      <c r="AD9" t="s">
        <v>48</v>
      </c>
      <c r="BM9" t="s">
        <v>44</v>
      </c>
      <c r="BO9" t="s">
        <v>24</v>
      </c>
      <c r="BT9" t="s">
        <v>16</v>
      </c>
      <c r="CK9" t="s">
        <v>46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47</v>
      </c>
      <c r="H10" s="8"/>
      <c r="I10" s="8"/>
      <c r="J10" s="8"/>
      <c r="K10" s="8"/>
      <c r="L10" s="8"/>
      <c r="M10" s="8"/>
      <c r="N10" s="8"/>
      <c r="O10" s="8" t="s">
        <v>42</v>
      </c>
      <c r="V10" t="s">
        <v>16</v>
      </c>
      <c r="Y10" t="s">
        <v>39</v>
      </c>
      <c r="Z10" t="s">
        <v>44</v>
      </c>
      <c r="AD10" t="s">
        <v>48</v>
      </c>
      <c r="BM10" t="s">
        <v>44</v>
      </c>
      <c r="BO10" t="s">
        <v>49</v>
      </c>
      <c r="BT10" t="s">
        <v>16</v>
      </c>
      <c r="CK10" t="s">
        <v>46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47</v>
      </c>
      <c r="H11" s="8"/>
      <c r="I11" s="8"/>
      <c r="J11" s="8"/>
      <c r="K11" s="8"/>
      <c r="L11" s="8"/>
      <c r="M11" s="8"/>
      <c r="N11" s="8"/>
      <c r="O11" s="8" t="s">
        <v>25</v>
      </c>
      <c r="V11" t="s">
        <v>16</v>
      </c>
      <c r="Y11" t="s">
        <v>39</v>
      </c>
      <c r="Z11" t="s">
        <v>44</v>
      </c>
      <c r="AD11" t="s">
        <v>48</v>
      </c>
      <c r="BM11" t="s">
        <v>44</v>
      </c>
      <c r="BO11" t="s">
        <v>49</v>
      </c>
      <c r="BT11" t="s">
        <v>16</v>
      </c>
      <c r="CK11" t="s">
        <v>46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47</v>
      </c>
      <c r="H12" s="8"/>
      <c r="I12" s="8"/>
      <c r="J12" s="8"/>
      <c r="K12" s="8"/>
      <c r="L12" s="8"/>
      <c r="M12" s="8"/>
      <c r="N12" s="8"/>
      <c r="O12" s="8" t="s">
        <v>42</v>
      </c>
      <c r="V12" t="s">
        <v>16</v>
      </c>
      <c r="Y12" t="s">
        <v>39</v>
      </c>
      <c r="Z12" t="s">
        <v>44</v>
      </c>
      <c r="AD12" t="s">
        <v>48</v>
      </c>
      <c r="BM12" t="s">
        <v>44</v>
      </c>
      <c r="BO12" t="s">
        <v>49</v>
      </c>
      <c r="BT12" t="s">
        <v>16</v>
      </c>
      <c r="CK12" t="s">
        <v>46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42</v>
      </c>
      <c r="V13" t="s">
        <v>43</v>
      </c>
      <c r="Y13" t="s">
        <v>39</v>
      </c>
      <c r="Z13" t="s">
        <v>44</v>
      </c>
      <c r="AD13" t="s">
        <v>45</v>
      </c>
      <c r="BM13" t="s">
        <v>44</v>
      </c>
      <c r="BO13" t="s">
        <v>23</v>
      </c>
      <c r="BT13" t="s">
        <v>22</v>
      </c>
      <c r="CK13" t="s">
        <v>46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 t="s">
        <v>42</v>
      </c>
      <c r="V14" t="s">
        <v>43</v>
      </c>
      <c r="Y14" t="s">
        <v>39</v>
      </c>
      <c r="Z14" t="s">
        <v>44</v>
      </c>
      <c r="AD14" t="s">
        <v>45</v>
      </c>
      <c r="BM14" t="s">
        <v>44</v>
      </c>
      <c r="BO14" t="s">
        <v>23</v>
      </c>
      <c r="BT14" t="s">
        <v>22</v>
      </c>
      <c r="CK14" t="s">
        <v>46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25</v>
      </c>
      <c r="V15" t="s">
        <v>43</v>
      </c>
      <c r="Y15" t="s">
        <v>39</v>
      </c>
      <c r="Z15" t="s">
        <v>44</v>
      </c>
      <c r="AD15" t="s">
        <v>45</v>
      </c>
      <c r="BM15" t="s">
        <v>44</v>
      </c>
      <c r="BO15" t="s">
        <v>23</v>
      </c>
      <c r="BT15" t="s">
        <v>22</v>
      </c>
      <c r="CK15" t="s">
        <v>46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1114.0006</v>
      </c>
      <c r="C6" s="8">
        <v>1114.0006</v>
      </c>
      <c r="D6" s="46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O6" t="s">
        <v>39</v>
      </c>
      <c r="AP6" t="s">
        <v>39</v>
      </c>
      <c r="AQ6" t="s">
        <v>39</v>
      </c>
      <c r="AR6" t="s">
        <v>39</v>
      </c>
      <c r="AS6" t="s">
        <v>39</v>
      </c>
      <c r="AT6" t="s">
        <v>39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O7" t="s">
        <v>39</v>
      </c>
      <c r="AP7" t="s">
        <v>39</v>
      </c>
      <c r="AQ7" t="s">
        <v>39</v>
      </c>
      <c r="AR7" t="s">
        <v>39</v>
      </c>
      <c r="AS7" t="s">
        <v>39</v>
      </c>
      <c r="AT7" t="s">
        <v>39</v>
      </c>
      <c r="AU7" t="s">
        <v>39</v>
      </c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O8" t="s">
        <v>39</v>
      </c>
      <c r="AP8" t="s">
        <v>39</v>
      </c>
      <c r="AQ8" t="s">
        <v>39</v>
      </c>
      <c r="AR8" t="s">
        <v>39</v>
      </c>
      <c r="AS8" t="s">
        <v>39</v>
      </c>
      <c r="AT8" t="s">
        <v>39</v>
      </c>
      <c r="AU8" t="s">
        <v>39</v>
      </c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O9" t="s">
        <v>39</v>
      </c>
      <c r="AP9" t="s">
        <v>39</v>
      </c>
      <c r="AQ9" t="s">
        <v>39</v>
      </c>
      <c r="AR9" t="s">
        <v>39</v>
      </c>
      <c r="AS9" t="s">
        <v>39</v>
      </c>
      <c r="AT9" t="s">
        <v>39</v>
      </c>
      <c r="AU9" t="s">
        <v>39</v>
      </c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O10" t="s">
        <v>39</v>
      </c>
      <c r="AP10" t="s">
        <v>39</v>
      </c>
      <c r="AQ10" t="s">
        <v>39</v>
      </c>
      <c r="AR10" t="s">
        <v>39</v>
      </c>
      <c r="AS10" t="s">
        <v>39</v>
      </c>
      <c r="AT10" t="s">
        <v>39</v>
      </c>
      <c r="AU10" t="s">
        <v>39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O11" t="s">
        <v>39</v>
      </c>
      <c r="AP11" t="s">
        <v>39</v>
      </c>
      <c r="AQ11" t="s">
        <v>39</v>
      </c>
      <c r="AR11" t="s">
        <v>39</v>
      </c>
      <c r="AS11" t="s">
        <v>39</v>
      </c>
      <c r="AT11" t="s">
        <v>39</v>
      </c>
      <c r="AU11" t="s">
        <v>39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O12" t="s">
        <v>39</v>
      </c>
      <c r="AP12" t="s">
        <v>39</v>
      </c>
      <c r="AQ12" t="s">
        <v>39</v>
      </c>
      <c r="AR12" t="s">
        <v>39</v>
      </c>
      <c r="AS12" t="s">
        <v>39</v>
      </c>
      <c r="AT12" t="s">
        <v>39</v>
      </c>
      <c r="AU12" t="s">
        <v>39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60000.0</v>
      </c>
      <c r="C13" s="8">
        <v>60000.0</v>
      </c>
      <c r="D13" s="8">
        <v>60000.0</v>
      </c>
      <c r="E13" s="8">
        <v>60000.0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O13" t="s">
        <v>39</v>
      </c>
      <c r="AP13" t="s">
        <v>39</v>
      </c>
      <c r="AQ13" t="s">
        <v>39</v>
      </c>
      <c r="AR13" t="s">
        <v>39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O14" t="s">
        <v>39</v>
      </c>
      <c r="AP14" t="s">
        <v>39</v>
      </c>
      <c r="AQ14" t="s">
        <v>39</v>
      </c>
      <c r="AR14" t="s">
        <v>39</v>
      </c>
      <c r="AS14" t="s">
        <v>39</v>
      </c>
      <c r="AT14" t="s">
        <v>39</v>
      </c>
      <c r="AU14" t="s">
        <v>39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60000.0</v>
      </c>
      <c r="C15" s="8">
        <v>60000.0</v>
      </c>
      <c r="D15" s="8">
        <v>60000.0</v>
      </c>
      <c r="E15" s="8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O15" t="s">
        <v>39</v>
      </c>
      <c r="AP15" t="s">
        <v>39</v>
      </c>
      <c r="AQ15" t="s">
        <v>39</v>
      </c>
      <c r="AR15" t="s">
        <v>39</v>
      </c>
      <c r="AS15" t="s">
        <v>39</v>
      </c>
      <c r="AT15" t="s">
        <v>39</v>
      </c>
      <c r="AU15" t="s">
        <v>39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/>
      <c r="B6" s="46"/>
      <c r="C6" s="8" t="s">
        <v>22</v>
      </c>
      <c r="D6" s="46"/>
      <c r="E6" s="8" t="s">
        <v>34</v>
      </c>
      <c r="F6" s="8" t="s">
        <v>53</v>
      </c>
      <c r="G6" s="8"/>
      <c r="H6" s="8" t="s">
        <v>54</v>
      </c>
      <c r="I6" s="8"/>
      <c r="J6" s="8"/>
      <c r="K6" s="8"/>
      <c r="L6" s="8"/>
      <c r="M6" s="8"/>
      <c r="N6" s="8"/>
      <c r="O6" s="8"/>
      <c r="U6" t="s">
        <v>46</v>
      </c>
      <c r="V6" t="s">
        <v>45</v>
      </c>
      <c r="AN6" t="s">
        <v>23</v>
      </c>
      <c r="AQ6" t="s">
        <v>22</v>
      </c>
      <c r="BQ6" t="s">
        <v>55</v>
      </c>
      <c r="BR6" t="s">
        <v>42</v>
      </c>
      <c r="EL6" t="s">
        <v>54</v>
      </c>
      <c r="FQ6" t="s">
        <v>39</v>
      </c>
    </row>
    <row r="7" ht="15.75" customHeight="1">
      <c r="A7" s="8"/>
      <c r="B7" s="8"/>
      <c r="C7" s="8" t="s">
        <v>16</v>
      </c>
      <c r="D7" s="8"/>
      <c r="E7" s="8" t="s">
        <v>34</v>
      </c>
      <c r="F7" s="8" t="s">
        <v>53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t="s">
        <v>46</v>
      </c>
      <c r="V7" t="s">
        <v>48</v>
      </c>
      <c r="AN7" t="s">
        <v>24</v>
      </c>
      <c r="AQ7" t="s">
        <v>22</v>
      </c>
      <c r="BQ7" t="s">
        <v>55</v>
      </c>
      <c r="BR7" t="s">
        <v>42</v>
      </c>
      <c r="EL7" t="s">
        <v>54</v>
      </c>
      <c r="FQ7" t="s">
        <v>39</v>
      </c>
    </row>
    <row r="8" ht="15.75" customHeight="1">
      <c r="A8" s="8"/>
      <c r="B8" s="8"/>
      <c r="C8" s="8" t="s">
        <v>16</v>
      </c>
      <c r="D8" s="8"/>
      <c r="E8" s="8" t="s">
        <v>34</v>
      </c>
      <c r="F8" s="8" t="s">
        <v>53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t="s">
        <v>46</v>
      </c>
      <c r="V8" t="s">
        <v>48</v>
      </c>
      <c r="AN8" t="s">
        <v>24</v>
      </c>
      <c r="AQ8" t="s">
        <v>22</v>
      </c>
      <c r="BQ8" t="s">
        <v>55</v>
      </c>
      <c r="BR8" t="s">
        <v>25</v>
      </c>
      <c r="EL8" t="s">
        <v>54</v>
      </c>
      <c r="FQ8" t="s">
        <v>39</v>
      </c>
    </row>
    <row r="9" ht="15.75" customHeight="1">
      <c r="A9" s="8"/>
      <c r="B9" s="8"/>
      <c r="C9" s="8" t="s">
        <v>16</v>
      </c>
      <c r="D9" s="8"/>
      <c r="E9" s="8" t="s">
        <v>34</v>
      </c>
      <c r="F9" s="8" t="s">
        <v>53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t="s">
        <v>46</v>
      </c>
      <c r="V9" t="s">
        <v>48</v>
      </c>
      <c r="AN9" t="s">
        <v>24</v>
      </c>
      <c r="AQ9" t="s">
        <v>22</v>
      </c>
      <c r="BQ9" t="s">
        <v>55</v>
      </c>
      <c r="BR9" t="s">
        <v>42</v>
      </c>
      <c r="EL9" t="s">
        <v>54</v>
      </c>
      <c r="FQ9" t="s">
        <v>39</v>
      </c>
    </row>
    <row r="10" ht="15.75" customHeight="1">
      <c r="A10" s="8"/>
      <c r="B10" s="8"/>
      <c r="C10" s="8" t="s">
        <v>16</v>
      </c>
      <c r="D10" s="8"/>
      <c r="E10" s="8" t="s">
        <v>34</v>
      </c>
      <c r="F10" s="8" t="s">
        <v>53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t="s">
        <v>46</v>
      </c>
      <c r="V10" t="s">
        <v>48</v>
      </c>
      <c r="AN10" t="s">
        <v>49</v>
      </c>
      <c r="AQ10" t="s">
        <v>22</v>
      </c>
      <c r="BQ10" t="s">
        <v>55</v>
      </c>
      <c r="BR10" t="s">
        <v>42</v>
      </c>
      <c r="EL10" t="s">
        <v>54</v>
      </c>
      <c r="FQ10" t="s">
        <v>39</v>
      </c>
    </row>
    <row r="11" ht="15.75" customHeight="1">
      <c r="A11" s="8"/>
      <c r="B11" s="8"/>
      <c r="C11" s="8" t="s">
        <v>16</v>
      </c>
      <c r="D11" s="8"/>
      <c r="E11" s="8" t="s">
        <v>34</v>
      </c>
      <c r="F11" s="8" t="s">
        <v>53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t="s">
        <v>46</v>
      </c>
      <c r="V11" t="s">
        <v>48</v>
      </c>
      <c r="AN11" t="s">
        <v>49</v>
      </c>
      <c r="AQ11" t="s">
        <v>22</v>
      </c>
      <c r="BQ11" t="s">
        <v>55</v>
      </c>
      <c r="BR11" t="s">
        <v>25</v>
      </c>
      <c r="EL11" t="s">
        <v>54</v>
      </c>
      <c r="FQ11" t="s">
        <v>39</v>
      </c>
    </row>
    <row r="12" ht="15.75" customHeight="1">
      <c r="A12" s="8"/>
      <c r="B12" s="8"/>
      <c r="C12" s="8" t="s">
        <v>16</v>
      </c>
      <c r="D12" s="8"/>
      <c r="E12" s="8" t="s">
        <v>34</v>
      </c>
      <c r="F12" s="8" t="s">
        <v>53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t="s">
        <v>46</v>
      </c>
      <c r="V12" t="s">
        <v>48</v>
      </c>
      <c r="AN12" t="s">
        <v>49</v>
      </c>
      <c r="AQ12" t="s">
        <v>22</v>
      </c>
      <c r="BQ12" t="s">
        <v>55</v>
      </c>
      <c r="BR12" t="s">
        <v>42</v>
      </c>
      <c r="EL12" t="s">
        <v>54</v>
      </c>
      <c r="FQ12" t="s">
        <v>39</v>
      </c>
    </row>
    <row r="13" ht="15.75" customHeight="1">
      <c r="A13" s="8"/>
      <c r="B13" s="8"/>
      <c r="C13" s="8" t="s">
        <v>22</v>
      </c>
      <c r="D13" s="8"/>
      <c r="E13" s="8" t="s">
        <v>34</v>
      </c>
      <c r="F13" s="8" t="s">
        <v>53</v>
      </c>
      <c r="G13" s="8"/>
      <c r="H13" s="8" t="s">
        <v>54</v>
      </c>
      <c r="I13" s="8"/>
      <c r="J13" s="8"/>
      <c r="K13" s="8"/>
      <c r="L13" s="8"/>
      <c r="M13" s="8"/>
      <c r="N13" s="8"/>
      <c r="O13" s="8"/>
      <c r="U13" t="s">
        <v>46</v>
      </c>
      <c r="V13" t="s">
        <v>45</v>
      </c>
      <c r="AN13" t="s">
        <v>23</v>
      </c>
      <c r="AQ13" t="s">
        <v>22</v>
      </c>
      <c r="BQ13" t="s">
        <v>55</v>
      </c>
      <c r="BR13" t="s">
        <v>42</v>
      </c>
      <c r="EL13" t="s">
        <v>54</v>
      </c>
      <c r="FQ13" t="s">
        <v>39</v>
      </c>
    </row>
    <row r="14" ht="15.75" customHeight="1">
      <c r="A14" s="8"/>
      <c r="B14" s="8"/>
      <c r="C14" s="8" t="s">
        <v>22</v>
      </c>
      <c r="D14" s="8"/>
      <c r="E14" s="8" t="s">
        <v>34</v>
      </c>
      <c r="F14" s="8" t="s">
        <v>53</v>
      </c>
      <c r="G14" s="8"/>
      <c r="H14" s="8" t="s">
        <v>54</v>
      </c>
      <c r="I14" s="8"/>
      <c r="J14" s="8"/>
      <c r="K14" s="8"/>
      <c r="L14" s="8"/>
      <c r="M14" s="8"/>
      <c r="N14" s="8"/>
      <c r="O14" s="8"/>
      <c r="U14" t="s">
        <v>46</v>
      </c>
      <c r="V14" t="s">
        <v>45</v>
      </c>
      <c r="AN14" t="s">
        <v>23</v>
      </c>
      <c r="AQ14" t="s">
        <v>22</v>
      </c>
      <c r="BQ14" t="s">
        <v>55</v>
      </c>
      <c r="BR14" t="s">
        <v>25</v>
      </c>
      <c r="EL14" t="s">
        <v>54</v>
      </c>
      <c r="FQ14" t="s">
        <v>39</v>
      </c>
    </row>
    <row r="15" ht="15.75" customHeight="1">
      <c r="A15" s="8"/>
      <c r="B15" s="8"/>
      <c r="C15" s="8" t="s">
        <v>22</v>
      </c>
      <c r="D15" s="8"/>
      <c r="E15" s="8" t="s">
        <v>34</v>
      </c>
      <c r="F15" s="8" t="s">
        <v>53</v>
      </c>
      <c r="G15" s="8"/>
      <c r="H15" s="8" t="s">
        <v>54</v>
      </c>
      <c r="I15" s="8"/>
      <c r="J15" s="8"/>
      <c r="K15" s="8"/>
      <c r="L15" s="8"/>
      <c r="M15" s="8"/>
      <c r="N15" s="8"/>
      <c r="O15" s="8"/>
      <c r="U15" t="s">
        <v>46</v>
      </c>
      <c r="V15" t="s">
        <v>45</v>
      </c>
      <c r="AN15" t="s">
        <v>23</v>
      </c>
      <c r="AQ15" t="s">
        <v>22</v>
      </c>
      <c r="BQ15" t="s">
        <v>55</v>
      </c>
      <c r="BR15" t="s">
        <v>42</v>
      </c>
      <c r="EL15" t="s">
        <v>54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