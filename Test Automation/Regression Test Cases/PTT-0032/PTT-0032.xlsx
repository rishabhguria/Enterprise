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MultipleDailyCash" sheetId="5" r:id="rId7"/>
    <sheet state="visible" name="CreateDoneAwayOrder" sheetId="6" r:id="rId8"/>
    <sheet state="visible" name="PricingInput" sheetId="7" r:id="rId9"/>
    <sheet state="visible" name="CalculatePTT" sheetId="8" r:id="rId10"/>
    <sheet state="visible" name="VerifyPTT" sheetId="9" r:id="rId11"/>
    <sheet state="visible" name="TradePTT" sheetId="10" r:id="rId12"/>
    <sheet state="visible" name="SelectTradeUsingMTT" sheetId="11" r:id="rId13"/>
    <sheet state="visible" name="EditTradeUsingMTT" sheetId="12" r:id="rId14"/>
    <sheet state="visible" name="SelectTradeUsingMTT1" sheetId="13" r:id="rId15"/>
    <sheet state="visible" name="EditTradeUsingMTT1" sheetId="14" r:id="rId16"/>
    <sheet state="visible" name="DoneAwayUsingMTT" sheetId="15" r:id="rId17"/>
    <sheet state="visible" name="GetDataAllocation" sheetId="16" r:id="rId18"/>
    <sheet state="visible" name="CheckAllocatedGroups" sheetId="17" r:id="rId19"/>
    <sheet state="visible" name="GetDataClosing" sheetId="18" r:id="rId20"/>
    <sheet state="visible" name="VerifyLongPositionsGrid" sheetId="19" r:id="rId21"/>
    <sheet state="visible" name="VerifyShortPositionsGrid" sheetId="20" r:id="rId22"/>
    <sheet state="visible" name="CheckPortfolioManagement" sheetId="21" r:id="rId23"/>
  </sheets>
  <definedNames/>
  <calcPr/>
</workbook>
</file>

<file path=xl/sharedStrings.xml><?xml version="1.0" encoding="utf-8"?>
<sst xmlns="http://schemas.openxmlformats.org/spreadsheetml/2006/main" count="226" uniqueCount="54">
  <si>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</si>
  <si>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</si>
  <si>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</si>
  <si>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</si>
  <si>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</si>
  <si>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</si>
  <si>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</si>
  <si>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</si>
  <si>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</si>
  <si>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</si>
  <si>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</si>
  <si>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</si>
  <si>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</si>
  <si>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</si>
  <si>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</si>
  <si>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</si>
  <si>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UpdateMultipleDailyCash</t>
  </si>
  <si>
    <t>Allocation1</t>
  </si>
  <si>
    <t>USD</t>
  </si>
  <si>
    <t>Allocation2</t>
  </si>
  <si>
    <t>TradingTicket</t>
  </si>
  <si>
    <t>CreateDoneAwayOrder</t>
  </si>
  <si>
    <t>AAPL</t>
  </si>
  <si>
    <t>Buy</t>
  </si>
  <si>
    <t>PricingInput</t>
  </si>
  <si>
    <t>PTT</t>
  </si>
  <si>
    <t>CalculatePTT</t>
  </si>
  <si>
    <t>Set</t>
  </si>
  <si>
    <t>Basis Point</t>
  </si>
  <si>
    <t>No</t>
  </si>
  <si>
    <t>Account</t>
  </si>
  <si>
    <t>Allocation1,Allocation2</t>
  </si>
  <si>
    <t>VerifyPTT</t>
  </si>
  <si>
    <t>TradePTT</t>
  </si>
  <si>
    <t>MultiTradingTicket</t>
  </si>
  <si>
    <t>SelectTradeUsingMTT</t>
  </si>
  <si>
    <t>EditTradeUsingMTT</t>
  </si>
  <si>
    <t>$#$</t>
  </si>
  <si>
    <t>MS</t>
  </si>
  <si>
    <t>Limit</t>
  </si>
  <si>
    <t>Flat Amount</t>
  </si>
  <si>
    <t>Sell</t>
  </si>
  <si>
    <t>DoneAwayUsingMTT</t>
  </si>
  <si>
    <t>Allocation</t>
  </si>
  <si>
    <t>GetDataAllocation</t>
  </si>
  <si>
    <t>Current</t>
  </si>
  <si>
    <t>CheckAllocatedGroups</t>
  </si>
  <si>
    <t>Closing</t>
  </si>
  <si>
    <t>GetDataClosing</t>
  </si>
  <si>
    <t>VerifyLongPositionsGrid</t>
  </si>
  <si>
    <t>VerifyShortPositionsGrid</t>
  </si>
  <si>
    <t>PortfolioManagement</t>
  </si>
  <si>
    <t>CheckPortfolioManagement</t>
  </si>
  <si>
    <t>Long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</si>
</sst>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0" fillId="0" fontId="5" numFmtId="164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0" fillId="4" fontId="1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IFERROR(__xludf.DUMMYFUNCTION("""COMPUTED_VALUE"""),"13jpmtsLw0cMFY2gvbyTT4whUEC9UUplz1kQtQNYoTwg")</f>
        <v>13jpmtsLw0cMFY2gvbyTT4whUEC9UUplz1kQtQNYoTwg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IFERROR(__xludf.DUMMYFUNCTION("""COMPUTED_VALUE"""),"1TM2P3aTBWuPWC_RWFvmyhxAM8lsSnZE1G3FbtUG4wOE")</f>
        <v>1TM2P3aTBWuPWC_RWFvmyhxAM8lsSnZE1G3FbtUG4wOE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IFERROR(__xludf.DUMMYFUNCTION("""COMPUTED_VALUE"""),"1pdFEqsc_4THrGDE1qavQaCj0KaQ20GUEFd2XjfDOmPk")</f>
        <v>1pdFEqsc_4THrGDE1qavQaCj0KaQ20GUEFd2XjfDOmPk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IFERROR(__xludf.DUMMYFUNCTION("""COMPUTED_VALUE"""),"udefined")</f>
        <v>udefined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IFERROR(__xludf.DUMMYFUNCTION("""COMPUTED_VALUE"""),"1iChhEfb8DCsZyg5m84PN4CsxA2tDENmwCdmbzmoQoHE")</f>
        <v>1iChhEfb8DCsZyg5m84PN4CsxA2tDENmwCdmbzmoQoHE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IFERROR(__xludf.DUMMYFUNCTION("""COMPUTED_VALUE"""),"1AO8flsb1np8-QE3cpOuOXSPOifF5OPmbQZGGoztH7YU")</f>
        <v>1AO8flsb1np8-QE3cpOuOXSPOifF5OPmbQZGGoztH7YU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IFERROR(__xludf.DUMMYFUNCTION("""COMPUTED_VALUE"""),"1DL2O-ZHRQNYr5pr-1WcOs6dpLtXxNgOCD68FaIcscss")</f>
        <v>1DL2O-ZHRQNYr5pr-1WcOs6dpLtXxNgOCD68FaIcscss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IFERROR(__xludf.DUMMYFUNCTION("""COMPUTED_VALUE"""),"1vCJKU3C2pdulBoRr6HSP2n7y7_-tBtcnPLCUAOkGh9Y")</f>
        <v>1vCJKU3C2pdulBoRr6HSP2n7y7_-tBtcnPLCUAOkGh9Y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IFERROR(__xludf.DUMMYFUNCTION("""COMPUTED_VALUE"""),"1Rt9YEiWOkpM_6xJWq_IOac461RMIte3raiLVzVKmMsQ")</f>
        <v>1Rt9YEiWOkpM_6xJWq_IOac461RMIte3raiLVzVKmMsQ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IFERROR(__xludf.DUMMYFUNCTION("""COMPUTED_VALUE"""),"1zS4ALOAI4Qv9-imwrJ3P0juiFH5-Vvf_4yLE3c_77ww")</f>
        <v>1zS4ALOAI4Qv9-imwrJ3P0juiFH5-Vvf_4yLE3c_77ww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IFERROR(__xludf.DUMMYFUNCTION("""COMPUTED_VALUE"""),"1nPQWfCZwGTRb7-oSZlMb9zzhc4hqFNSiurRokpyYrUE")</f>
        <v>1nPQWfCZwGTRb7-oSZlMb9zzhc4hqFNSiurRokpyYrUE</v>
      </c>
    </row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>
        <f t="shared" ref="B6:C6" si="1">today()-1</f>
        <v>45204</v>
      </c>
      <c r="C6" s="31">
        <f t="shared" si="1"/>
        <v>45204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2" t="s">
        <v>17</v>
      </c>
      <c r="C6" s="32" t="s">
        <v>18</v>
      </c>
      <c r="D6" s="33">
        <v>10000.0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19</v>
      </c>
      <c r="C7" s="32" t="s">
        <v>18</v>
      </c>
      <c r="D7" s="34">
        <v>20000.0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23</v>
      </c>
      <c r="D6" s="13">
        <v>100.0</v>
      </c>
      <c r="E6" s="13">
        <v>100.0</v>
      </c>
      <c r="F6" s="13" t="s">
        <v>17</v>
      </c>
      <c r="G6" s="8"/>
      <c r="H6" s="8"/>
      <c r="I6" s="8"/>
      <c r="J6" s="13">
        <v>20.0</v>
      </c>
      <c r="K6" s="8"/>
      <c r="L6" s="8"/>
      <c r="M6" s="8"/>
      <c r="N6" s="35">
        <f t="shared" ref="N6:N7" si="1">TODAY()</f>
        <v>45205</v>
      </c>
      <c r="O6" s="8"/>
    </row>
    <row r="7" ht="15.75" customHeight="1">
      <c r="A7" s="8"/>
      <c r="B7" s="13" t="s">
        <v>22</v>
      </c>
      <c r="C7" s="13" t="s">
        <v>23</v>
      </c>
      <c r="D7" s="13">
        <v>50.0</v>
      </c>
      <c r="E7" s="13">
        <v>50.0</v>
      </c>
      <c r="F7" s="13" t="s">
        <v>19</v>
      </c>
      <c r="G7" s="8"/>
      <c r="H7" s="8"/>
      <c r="I7" s="8"/>
      <c r="J7" s="13">
        <v>20.0</v>
      </c>
      <c r="K7" s="8"/>
      <c r="L7" s="8"/>
      <c r="M7" s="8"/>
      <c r="N7" s="35">
        <f t="shared" si="1"/>
        <v>45205</v>
      </c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>
        <v>20.0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 t="str">
        <f>IFERROR(__xludf.DUMMYFUNCTION("""COMPUTED_VALUE"""),"VerifyPTTCompliance")</f>
        <v>VerifyPTTCompliance</v>
      </c>
      <c r="S4" s="26" t="str">
        <f>IFERROR(__xludf.DUMMYFUNCTION("""COMPUTED_VALUE"""),"CreateOrderAfterEditPTT")</f>
        <v>CreateOrderAfterEditPTT</v>
      </c>
      <c r="T4" s="26" t="str">
        <f>IFERROR(__xludf.DUMMYFUNCTION("""COMPUTED_VALUE"""),"EditPTTWPFGrid")</f>
        <v>EditPTTWPFGrid</v>
      </c>
      <c r="U4" s="26" t="str">
        <f>IFERROR(__xludf.DUMMYFUNCTION("""COMPUTED_VALUE"""),"AutoStageImportFromPTTExport")</f>
        <v>AutoStageImportFromPTTExport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27</v>
      </c>
      <c r="D6" s="13" t="s">
        <v>28</v>
      </c>
      <c r="E6" s="13">
        <v>1000.0</v>
      </c>
      <c r="F6" s="13">
        <v>20.0</v>
      </c>
      <c r="G6" s="13" t="s">
        <v>29</v>
      </c>
      <c r="H6" s="13" t="s">
        <v>30</v>
      </c>
      <c r="I6" s="13" t="s">
        <v>31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 t="str">
        <f>IFERROR(__xludf.DUMMYFUNCTION("""COMPUTED_VALUE"""),"VerifyPTTCompliance")</f>
        <v>VerifyPTTCompliance</v>
      </c>
      <c r="S4" s="26" t="str">
        <f>IFERROR(__xludf.DUMMYFUNCTION("""COMPUTED_VALUE"""),"CreateOrderAfterEditPTT")</f>
        <v>CreateOrderAfterEditPTT</v>
      </c>
      <c r="T4" s="26" t="str">
        <f>IFERROR(__xludf.DUMMYFUNCTION("""COMPUTED_VALUE"""),"EditPTTWPFGrid")</f>
        <v>EditPTTWPFGrid</v>
      </c>
      <c r="U4" s="26" t="str">
        <f>IFERROR(__xludf.DUMMYFUNCTION("""COMPUTED_VALUE"""),"AutoStageImportFromPTTExport")</f>
        <v>AutoStageImportFromPTTExport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>
        <v>10000.0</v>
      </c>
      <c r="D6" s="13">
        <v>100.0</v>
      </c>
      <c r="E6" s="13">
        <v>2000.0</v>
      </c>
      <c r="F6" s="8"/>
      <c r="G6" s="8"/>
      <c r="H6" s="8"/>
      <c r="I6" s="13">
        <v>50.0</v>
      </c>
      <c r="J6" s="13">
        <v>50.0</v>
      </c>
      <c r="K6" s="13">
        <v>1000.0</v>
      </c>
      <c r="L6" s="8"/>
      <c r="M6" s="13">
        <v>1.0</v>
      </c>
      <c r="N6" s="13">
        <v>2000.0</v>
      </c>
      <c r="O6" s="13">
        <v>-1000.0</v>
      </c>
      <c r="P6" s="9">
        <v>1000.0</v>
      </c>
    </row>
    <row r="7" ht="15.75" customHeight="1">
      <c r="A7" s="8"/>
      <c r="B7" s="13" t="s">
        <v>19</v>
      </c>
      <c r="C7" s="13">
        <v>20000.0</v>
      </c>
      <c r="D7" s="13">
        <v>50.0</v>
      </c>
      <c r="E7" s="13">
        <v>1000.0</v>
      </c>
      <c r="F7" s="8"/>
      <c r="G7" s="8"/>
      <c r="H7" s="8"/>
      <c r="I7" s="13">
        <v>50.0</v>
      </c>
      <c r="J7" s="13">
        <v>100.0</v>
      </c>
      <c r="K7" s="13">
        <v>2000.0</v>
      </c>
      <c r="L7" s="8"/>
      <c r="M7" s="13">
        <v>1.0</v>
      </c>
      <c r="N7" s="13">
        <v>500.0</v>
      </c>
      <c r="O7" s="13">
        <v>500.0</v>
      </c>
      <c r="P7" s="9">
        <v>1000.0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 t="str">
        <f>IFERROR(__xludf.DUMMYFUNCTION("""COMPUTED_VALUE"""),"VerifyPTTCompliance")</f>
        <v>VerifyPTTCompliance</v>
      </c>
      <c r="S4" s="26" t="str">
        <f>IFERROR(__xludf.DUMMYFUNCTION("""COMPUTED_VALUE"""),"CreateOrderAfterEditPTT")</f>
        <v>CreateOrderAfterEditPTT</v>
      </c>
      <c r="T4" s="26" t="str">
        <f>IFERROR(__xludf.DUMMYFUNCTION("""COMPUTED_VALUE"""),"EditPTTWPFGrid")</f>
        <v>EditPTTWPFGrid</v>
      </c>
      <c r="U4" s="26" t="str">
        <f>IFERROR(__xludf.DUMMYFUNCTION("""COMPUTED_VALUE"""),"AutoStageImportFromPTTExport")</f>
        <v>AutoStageImportFromPTTExport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27</v>
      </c>
      <c r="D6" s="13" t="s">
        <v>28</v>
      </c>
      <c r="E6" s="13">
        <v>1000.0</v>
      </c>
      <c r="F6" s="13">
        <v>20.0</v>
      </c>
      <c r="G6" s="13" t="s">
        <v>29</v>
      </c>
      <c r="H6" s="13" t="s">
        <v>30</v>
      </c>
      <c r="I6" s="13" t="s">
        <v>31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23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 t="s">
        <v>37</v>
      </c>
      <c r="C6" s="38" t="s">
        <v>37</v>
      </c>
      <c r="D6" s="13"/>
      <c r="E6" s="36"/>
      <c r="F6" s="13" t="s">
        <v>19</v>
      </c>
      <c r="G6" s="13" t="s">
        <v>38</v>
      </c>
      <c r="H6" s="8"/>
      <c r="I6" s="13" t="s">
        <v>39</v>
      </c>
      <c r="J6" s="13">
        <v>25.0</v>
      </c>
      <c r="K6" s="8"/>
      <c r="L6" s="13">
        <v>25.0</v>
      </c>
      <c r="M6" s="8"/>
      <c r="N6" s="8"/>
      <c r="O6" s="8"/>
      <c r="R6" s="9" t="s">
        <v>40</v>
      </c>
      <c r="S6" s="9">
        <v>10.0</v>
      </c>
      <c r="T6" s="9" t="s">
        <v>40</v>
      </c>
      <c r="U6" s="9">
        <v>10.0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41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 t="s">
        <v>37</v>
      </c>
      <c r="C6" s="38" t="s">
        <v>37</v>
      </c>
      <c r="D6" s="13"/>
      <c r="E6" s="36"/>
      <c r="F6" s="13" t="s">
        <v>19</v>
      </c>
      <c r="G6" s="13" t="s">
        <v>38</v>
      </c>
      <c r="H6" s="8"/>
      <c r="I6" s="13" t="s">
        <v>39</v>
      </c>
      <c r="J6" s="13">
        <v>25.0</v>
      </c>
      <c r="K6" s="8"/>
      <c r="L6" s="13">
        <v>25.0</v>
      </c>
      <c r="M6" s="8"/>
      <c r="N6" s="8"/>
      <c r="O6" s="8"/>
      <c r="R6" s="9" t="s">
        <v>40</v>
      </c>
      <c r="S6" s="9">
        <v>10.0</v>
      </c>
      <c r="T6" s="9" t="s">
        <v>40</v>
      </c>
      <c r="U6" s="9">
        <v>10.0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IFERROR(__xludf.DUMMYFUNCTION("""COMPUTED_VALUE"""),"PassWrongTradePopUp")</f>
        <v>PassWrongTradePopUp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22</v>
      </c>
      <c r="C6" s="13" t="s">
        <v>23</v>
      </c>
      <c r="D6" s="8"/>
      <c r="E6" s="8"/>
      <c r="F6" s="8"/>
      <c r="G6" s="8"/>
      <c r="H6" s="8"/>
      <c r="I6" s="8"/>
      <c r="J6" s="13">
        <v>25.0</v>
      </c>
      <c r="K6" s="8"/>
      <c r="L6" s="13">
        <v>25.0</v>
      </c>
      <c r="M6" s="8"/>
      <c r="N6" s="8"/>
      <c r="O6" s="8"/>
    </row>
    <row r="7" ht="15.75" customHeight="1">
      <c r="A7" s="8"/>
      <c r="B7" s="13" t="s">
        <v>22</v>
      </c>
      <c r="C7" s="13" t="s">
        <v>41</v>
      </c>
      <c r="D7" s="8"/>
      <c r="E7" s="8"/>
      <c r="F7" s="8"/>
      <c r="G7" s="8"/>
      <c r="H7" s="8"/>
      <c r="I7" s="8"/>
      <c r="J7" s="13">
        <v>25.0</v>
      </c>
      <c r="K7" s="8"/>
      <c r="L7" s="13">
        <v>25.0</v>
      </c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DoneAwayUsingMTT!$4:$4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9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45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9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8"/>
      <c r="D6" s="13"/>
      <c r="E6" s="36"/>
      <c r="F6" s="8"/>
      <c r="G6" s="8"/>
      <c r="H6" s="8"/>
      <c r="I6" s="8"/>
      <c r="J6" s="8"/>
      <c r="K6" s="13"/>
      <c r="L6" s="13"/>
      <c r="M6" s="8"/>
      <c r="N6" s="8"/>
      <c r="O6" s="8"/>
      <c r="BJ6" s="9">
        <v>100.0</v>
      </c>
      <c r="BO6" s="9" t="s">
        <v>23</v>
      </c>
      <c r="BT6" s="9" t="s">
        <v>22</v>
      </c>
    </row>
    <row r="7" ht="15.75" customHeight="1">
      <c r="A7" s="8"/>
      <c r="B7" s="13" t="s">
        <v>19</v>
      </c>
      <c r="C7" s="8"/>
      <c r="D7" s="8"/>
      <c r="E7" s="8"/>
      <c r="F7" s="8"/>
      <c r="G7" s="8"/>
      <c r="H7" s="8"/>
      <c r="I7" s="8"/>
      <c r="J7" s="8"/>
      <c r="K7" s="13"/>
      <c r="L7" s="13"/>
      <c r="M7" s="8"/>
      <c r="N7" s="8"/>
      <c r="O7" s="8"/>
      <c r="BJ7" s="9">
        <v>50.0</v>
      </c>
      <c r="BO7" s="9" t="s">
        <v>23</v>
      </c>
      <c r="BT7" s="9" t="s">
        <v>22</v>
      </c>
    </row>
    <row r="8" ht="15.75" customHeight="1">
      <c r="A8" s="8"/>
      <c r="B8" s="13" t="s">
        <v>17</v>
      </c>
      <c r="C8" s="8"/>
      <c r="D8" s="8"/>
      <c r="E8" s="8"/>
      <c r="F8" s="8"/>
      <c r="G8" s="8"/>
      <c r="H8" s="8"/>
      <c r="I8" s="8"/>
      <c r="J8" s="8"/>
      <c r="K8" s="13"/>
      <c r="L8" s="13"/>
      <c r="M8" s="8"/>
      <c r="N8" s="8"/>
      <c r="O8" s="8"/>
      <c r="BJ8" s="9">
        <v>50.0</v>
      </c>
      <c r="BO8" s="9" t="s">
        <v>41</v>
      </c>
      <c r="BT8" s="9" t="s">
        <v>22</v>
      </c>
    </row>
    <row r="9" ht="15.75" customHeight="1">
      <c r="A9" s="8"/>
      <c r="B9" s="13" t="s">
        <v>19</v>
      </c>
      <c r="C9" s="8"/>
      <c r="D9" s="8"/>
      <c r="E9" s="8"/>
      <c r="F9" s="8"/>
      <c r="G9" s="8"/>
      <c r="H9" s="8"/>
      <c r="I9" s="8"/>
      <c r="J9" s="8"/>
      <c r="K9" s="13"/>
      <c r="L9" s="13"/>
      <c r="M9" s="8"/>
      <c r="N9" s="8"/>
      <c r="O9" s="8"/>
      <c r="BJ9" s="9">
        <v>50.0</v>
      </c>
      <c r="BO9" s="9" t="s">
        <v>23</v>
      </c>
      <c r="BT9" s="9" t="s">
        <v>22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 t="str">
        <f>IFERROR(__xludf.DUMMYFUNCTION("""COMPUTED_VALUE"""),"FilterLongPositionGrid")</f>
        <v>FilterLongPositionGrid</v>
      </c>
      <c r="AR4" s="26" t="str">
        <f>IFERROR(__xludf.DUMMYFUNCTION("""COMPUTED_VALUE"""),"FilterShortPositionGrid")</f>
        <v>FilterShortPositionGrid</v>
      </c>
      <c r="AS4" s="26" t="str">
        <f>IFERROR(__xludf.DUMMYFUNCTION("""COMPUTED_VALUE"""),"FilterClosingGrid")</f>
        <v>FilterClosingGrid</v>
      </c>
      <c r="AT4" s="26" t="str">
        <f>IFERROR(__xludf.DUMMYFUNCTION("""COMPUTED_VALUE"""),"FilterUnexpiredGrid")</f>
        <v>FilterUnexpiredGrid</v>
      </c>
      <c r="AU4" s="26" t="str">
        <f>IFERROR(__xludf.DUMMYFUNCTION("""COMPUTED_VALUE"""),"FilterExpiredGrid")</f>
        <v>FilterExpiredGrid</v>
      </c>
      <c r="AV4" s="26" t="str">
        <f>IFERROR(__xludf.DUMMYFUNCTION("""COMPUTED_VALUE"""),"UnwindAllClosingData")</f>
        <v>UnwindAllClosingData</v>
      </c>
      <c r="AW4" s="26" t="str">
        <f>IFERROR(__xludf.DUMMYFUNCTION("""COMPUTED_VALUE"""),"FilterClosing")</f>
        <v>FilterClosing</v>
      </c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45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 t="str">
        <f>IFERROR(__xludf.DUMMYFUNCTION("""COMPUTED_VALUE"""),"FilterLongPositionGrid")</f>
        <v>FilterLongPositionGrid</v>
      </c>
      <c r="AR4" s="26" t="str">
        <f>IFERROR(__xludf.DUMMYFUNCTION("""COMPUTED_VALUE"""),"FilterShortPositionGrid")</f>
        <v>FilterShortPositionGrid</v>
      </c>
      <c r="AS4" s="26" t="str">
        <f>IFERROR(__xludf.DUMMYFUNCTION("""COMPUTED_VALUE"""),"FilterClosingGrid")</f>
        <v>FilterClosingGrid</v>
      </c>
      <c r="AT4" s="26" t="str">
        <f>IFERROR(__xludf.DUMMYFUNCTION("""COMPUTED_VALUE"""),"FilterUnexpiredGrid")</f>
        <v>FilterUnexpiredGrid</v>
      </c>
      <c r="AU4" s="26" t="str">
        <f>IFERROR(__xludf.DUMMYFUNCTION("""COMPUTED_VALUE"""),"FilterExpiredGrid")</f>
        <v>FilterExpiredGrid</v>
      </c>
      <c r="AV4" s="26" t="str">
        <f>IFERROR(__xludf.DUMMYFUNCTION("""COMPUTED_VALUE"""),"UnwindAllClosingData")</f>
        <v>UnwindAllClosingData</v>
      </c>
      <c r="AW4" s="26" t="str">
        <f>IFERROR(__xludf.DUMMYFUNCTION("""COMPUTED_VALUE"""),"FilterClosing")</f>
        <v>FilterClosing</v>
      </c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IFERROR(__xludf.DUMMYFUNCTION("""COMPUTED_VALUE"""),"AUECID")</f>
        <v>AUECID</v>
      </c>
      <c r="E5" s="28" t="str">
        <f>IFERROR(__xludf.DUMMYFUNCTION("""COMPUTED_VALUE"""),"ExternalTransId")</f>
        <v>ExternalTransId</v>
      </c>
      <c r="F5" s="29" t="str">
        <f>IFERROR(__xludf.DUMMYFUNCTION("""COMPUTED_VALUE"""),"IsSwapped")</f>
        <v>IsSwapped</v>
      </c>
      <c r="G5" s="28" t="str">
        <f>IFERROR(__xludf.DUMMYFUNCTION("""COMPUTED_VALUE"""),"LotId")</f>
        <v>LotId</v>
      </c>
      <c r="H5" s="28" t="str">
        <f>IFERROR(__xludf.DUMMYFUNCTION("""COMPUTED_VALUE"""),"Net Notional")</f>
        <v>Net Notional</v>
      </c>
      <c r="I5" s="28" t="str">
        <f>IFERROR(__xludf.DUMMYFUNCTION("""COMPUTED_VALUE"""),"Opening Price")</f>
        <v>Opening Price</v>
      </c>
      <c r="J5" s="28" t="str">
        <f>IFERROR(__xludf.DUMMYFUNCTION("""COMPUTED_VALUE"""),"Original Purchase Date")</f>
        <v>Original Purchase Date</v>
      </c>
      <c r="K5" s="28" t="str">
        <f>IFERROR(__xludf.DUMMYFUNCTION("""COMPUTED_VALUE"""),"PositionTag")</f>
        <v>PositionTag</v>
      </c>
      <c r="L5" s="28" t="str">
        <f>IFERROR(__xludf.DUMMYFUNCTION("""COMPUTED_VALUE"""),"Process Date")</f>
        <v>Process Date</v>
      </c>
      <c r="M5" s="28" t="str">
        <f>IFERROR(__xludf.DUMMYFUNCTION("""COMPUTED_VALUE"""),"Quantity")</f>
        <v>Quantity</v>
      </c>
      <c r="N5" s="28" t="str">
        <f>IFERROR(__xludf.DUMMYFUNCTION("""COMPUTED_VALUE"""),"Security Name")</f>
        <v>Security Name</v>
      </c>
      <c r="O5" s="28" t="str">
        <f>IFERROR(__xludf.DUMMYFUNCTION("""COMPUTED_VALUE"""),"Settlement Currency")</f>
        <v>Settlement Currency</v>
      </c>
      <c r="P5" s="28" t="str">
        <f>IFERROR(__xludf.DUMMYFUNCTION("""COMPUTED_VALUE"""),"Side")</f>
        <v>Side</v>
      </c>
      <c r="Q5" s="28" t="str">
        <f>IFERROR(__xludf.DUMMYFUNCTION("""COMPUTED_VALUE"""),"Strategy")</f>
        <v>Strategy</v>
      </c>
      <c r="R5" s="28" t="str">
        <f>IFERROR(__xludf.DUMMYFUNCTION("""COMPUTED_VALUE"""),"Symbol")</f>
        <v>Symbol</v>
      </c>
      <c r="S5" s="28" t="str">
        <f>IFERROR(__xludf.DUMMYFUNCTION("""COMPUTED_VALUE"""),"Taxlot ID")</f>
        <v>Taxlot ID</v>
      </c>
      <c r="T5" s="30" t="str">
        <f>IFERROR(__xludf.DUMMYFUNCTION("""COMPUTED_VALUE"""),"Total Fees and Commission")</f>
        <v>Total Fees and Commission</v>
      </c>
      <c r="U5" s="30" t="str">
        <f>IFERROR(__xludf.DUMMYFUNCTION("""COMPUTED_VALUE"""),"Trade Date")</f>
        <v>Trade Date</v>
      </c>
      <c r="V5" s="30" t="str">
        <f>IFERROR(__xludf.DUMMYFUNCTION("""COMPUTED_VALUE"""),"Transaction Type")</f>
        <v>Transaction Type</v>
      </c>
      <c r="W5" s="30" t="str">
        <f>IFERROR(__xludf.DUMMYFUNCTION("""COMPUTED_VALUE"""),"UnderlyingName")</f>
        <v>UnderlyingName</v>
      </c>
      <c r="X5" s="30" t="str">
        <f>IFERROR(__xludf.DUMMYFUNCTION("""COMPUTED_VALUE"""),"UnitCost")</f>
        <v>UnitCost</v>
      </c>
      <c r="Y5" s="30" t="str">
        <f>IFERROR(__xludf.DUMMYFUNCTION("""COMPUTED_VALUE"""),"Unit Cost(Base)")</f>
        <v>Unit Cost(Base)</v>
      </c>
      <c r="Z5" s="30" t="str">
        <f>IFERROR(__xludf.DUMMYFUNCTION("""COMPUTED_VALUE"""),"AvgPriceBase")</f>
        <v>AvgPriceBase</v>
      </c>
      <c r="AA5" s="30" t="str">
        <f>IFERROR(__xludf.DUMMYFUNCTION("""COMPUTED_VALUE"""),"isRowCountCheck")</f>
        <v>isRowCountCheck</v>
      </c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8"/>
      <c r="D6" s="13"/>
      <c r="E6" s="36"/>
      <c r="F6" s="8"/>
      <c r="G6" s="8"/>
      <c r="H6" s="8"/>
      <c r="I6" s="8"/>
      <c r="J6" s="8"/>
      <c r="K6" s="8"/>
      <c r="L6" s="8"/>
      <c r="M6" s="13">
        <v>100.0</v>
      </c>
      <c r="N6" s="8"/>
      <c r="O6" s="8"/>
      <c r="P6" s="9" t="s">
        <v>23</v>
      </c>
      <c r="R6" s="9" t="s">
        <v>22</v>
      </c>
    </row>
    <row r="7" ht="15.75" customHeight="1">
      <c r="A7" s="8"/>
      <c r="B7" s="13" t="s">
        <v>19</v>
      </c>
      <c r="C7" s="8"/>
      <c r="D7" s="8"/>
      <c r="E7" s="8"/>
      <c r="F7" s="8"/>
      <c r="G7" s="8"/>
      <c r="H7" s="8"/>
      <c r="I7" s="8"/>
      <c r="J7" s="8"/>
      <c r="K7" s="8"/>
      <c r="L7" s="8"/>
      <c r="M7" s="13">
        <v>50.0</v>
      </c>
      <c r="N7" s="8"/>
      <c r="O7" s="8"/>
      <c r="P7" s="9" t="s">
        <v>23</v>
      </c>
      <c r="R7" s="9" t="s">
        <v>22</v>
      </c>
    </row>
    <row r="8" ht="15.75" customHeight="1">
      <c r="A8" s="8"/>
      <c r="B8" s="13" t="s">
        <v>19</v>
      </c>
      <c r="C8" s="8"/>
      <c r="D8" s="8"/>
      <c r="E8" s="8"/>
      <c r="F8" s="8"/>
      <c r="G8" s="8"/>
      <c r="H8" s="8"/>
      <c r="I8" s="8"/>
      <c r="J8" s="8"/>
      <c r="K8" s="8"/>
      <c r="L8" s="8"/>
      <c r="M8" s="13">
        <v>50.0</v>
      </c>
      <c r="N8" s="8"/>
      <c r="O8" s="8"/>
      <c r="P8" s="9" t="s">
        <v>23</v>
      </c>
      <c r="R8" s="9" t="s">
        <v>22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 t="str">
        <f>IFERROR(__xludf.DUMMYFUNCTION("""COMPUTED_VALUE"""),"FilterLongPositionGrid")</f>
        <v>FilterLongPositionGrid</v>
      </c>
      <c r="AR4" s="26" t="str">
        <f>IFERROR(__xludf.DUMMYFUNCTION("""COMPUTED_VALUE"""),"FilterShortPositionGrid")</f>
        <v>FilterShortPositionGrid</v>
      </c>
      <c r="AS4" s="26" t="str">
        <f>IFERROR(__xludf.DUMMYFUNCTION("""COMPUTED_VALUE"""),"FilterClosingGrid")</f>
        <v>FilterClosingGrid</v>
      </c>
      <c r="AT4" s="26" t="str">
        <f>IFERROR(__xludf.DUMMYFUNCTION("""COMPUTED_VALUE"""),"FilterUnexpiredGrid")</f>
        <v>FilterUnexpiredGrid</v>
      </c>
      <c r="AU4" s="26" t="str">
        <f>IFERROR(__xludf.DUMMYFUNCTION("""COMPUTED_VALUE"""),"FilterExpiredGrid")</f>
        <v>FilterExpiredGrid</v>
      </c>
      <c r="AV4" s="26" t="str">
        <f>IFERROR(__xludf.DUMMYFUNCTION("""COMPUTED_VALUE"""),"UnwindAllClosingData")</f>
        <v>UnwindAllClosingData</v>
      </c>
      <c r="AW4" s="26" t="str">
        <f>IFERROR(__xludf.DUMMYFUNCTION("""COMPUTED_VALUE"""),"FilterClosing")</f>
        <v>FilterClosing</v>
      </c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IFERROR(__xludf.DUMMYFUNCTION("""COMPUTED_VALUE"""),"AUECID")</f>
        <v>AUECID</v>
      </c>
      <c r="E5" s="28" t="str">
        <f>IFERROR(__xludf.DUMMYFUNCTION("""COMPUTED_VALUE"""),"ExternalTransId")</f>
        <v>ExternalTransId</v>
      </c>
      <c r="F5" s="29" t="str">
        <f>IFERROR(__xludf.DUMMYFUNCTION("""COMPUTED_VALUE"""),"IsSwapped")</f>
        <v>IsSwapped</v>
      </c>
      <c r="G5" s="28" t="str">
        <f>IFERROR(__xludf.DUMMYFUNCTION("""COMPUTED_VALUE"""),"LotId")</f>
        <v>LotId</v>
      </c>
      <c r="H5" s="28" t="str">
        <f>IFERROR(__xludf.DUMMYFUNCTION("""COMPUTED_VALUE"""),"Net Notional")</f>
        <v>Net Notional</v>
      </c>
      <c r="I5" s="28" t="str">
        <f>IFERROR(__xludf.DUMMYFUNCTION("""COMPUTED_VALUE"""),"Opening Price")</f>
        <v>Opening Price</v>
      </c>
      <c r="J5" s="28" t="str">
        <f>IFERROR(__xludf.DUMMYFUNCTION("""COMPUTED_VALUE"""),"Original Purchase Date")</f>
        <v>Original Purchase Date</v>
      </c>
      <c r="K5" s="28" t="str">
        <f>IFERROR(__xludf.DUMMYFUNCTION("""COMPUTED_VALUE"""),"PositionTag")</f>
        <v>PositionTag</v>
      </c>
      <c r="L5" s="28" t="str">
        <f>IFERROR(__xludf.DUMMYFUNCTION("""COMPUTED_VALUE"""),"Process Date")</f>
        <v>Process Date</v>
      </c>
      <c r="M5" s="28" t="str">
        <f>IFERROR(__xludf.DUMMYFUNCTION("""COMPUTED_VALUE"""),"Quantity")</f>
        <v>Quantity</v>
      </c>
      <c r="N5" s="28" t="str">
        <f>IFERROR(__xludf.DUMMYFUNCTION("""COMPUTED_VALUE"""),"Security Name")</f>
        <v>Security Name</v>
      </c>
      <c r="O5" s="28" t="str">
        <f>IFERROR(__xludf.DUMMYFUNCTION("""COMPUTED_VALUE"""),"Settlement Currency")</f>
        <v>Settlement Currency</v>
      </c>
      <c r="P5" s="28" t="str">
        <f>IFERROR(__xludf.DUMMYFUNCTION("""COMPUTED_VALUE"""),"Side")</f>
        <v>Side</v>
      </c>
      <c r="Q5" s="28" t="str">
        <f>IFERROR(__xludf.DUMMYFUNCTION("""COMPUTED_VALUE"""),"Strategy")</f>
        <v>Strategy</v>
      </c>
      <c r="R5" s="28" t="str">
        <f>IFERROR(__xludf.DUMMYFUNCTION("""COMPUTED_VALUE"""),"Symbol")</f>
        <v>Symbol</v>
      </c>
      <c r="S5" s="28" t="str">
        <f>IFERROR(__xludf.DUMMYFUNCTION("""COMPUTED_VALUE"""),"Taxlot ID")</f>
        <v>Taxlot ID</v>
      </c>
      <c r="T5" s="30" t="str">
        <f>IFERROR(__xludf.DUMMYFUNCTION("""COMPUTED_VALUE"""),"Total Fees and Commission")</f>
        <v>Total Fees and Commission</v>
      </c>
      <c r="U5" s="30" t="str">
        <f>IFERROR(__xludf.DUMMYFUNCTION("""COMPUTED_VALUE"""),"Trade Date")</f>
        <v>Trade Date</v>
      </c>
      <c r="V5" s="30" t="str">
        <f>IFERROR(__xludf.DUMMYFUNCTION("""COMPUTED_VALUE"""),"Transaction Type")</f>
        <v>Transaction Type</v>
      </c>
      <c r="W5" s="30" t="str">
        <f>IFERROR(__xludf.DUMMYFUNCTION("""COMPUTED_VALUE"""),"UnderlyingName")</f>
        <v>UnderlyingName</v>
      </c>
      <c r="X5" s="30" t="str">
        <f>IFERROR(__xludf.DUMMYFUNCTION("""COMPUTED_VALUE"""),"UnitCost")</f>
        <v>UnitCost</v>
      </c>
      <c r="Y5" s="30" t="str">
        <f>IFERROR(__xludf.DUMMYFUNCTION("""COMPUTED_VALUE"""),"Unit Cost(Base)")</f>
        <v>Unit Cost(Base)</v>
      </c>
      <c r="Z5" s="30" t="str">
        <f>IFERROR(__xludf.DUMMYFUNCTION("""COMPUTED_VALUE"""),"AvgPriceBase")</f>
        <v>AvgPriceBase</v>
      </c>
      <c r="AA5" s="30" t="str">
        <f>IFERROR(__xludf.DUMMYFUNCTION("""COMPUTED_VALUE"""),"isRowCountCheck")</f>
        <v>isRowCountCheck</v>
      </c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8"/>
      <c r="D6" s="13"/>
      <c r="E6" s="36"/>
      <c r="F6" s="8"/>
      <c r="G6" s="8"/>
      <c r="H6" s="8"/>
      <c r="I6" s="8"/>
      <c r="J6" s="8"/>
      <c r="K6" s="8"/>
      <c r="L6" s="8"/>
      <c r="M6" s="13">
        <v>50.0</v>
      </c>
      <c r="N6" s="8"/>
      <c r="O6" s="8"/>
      <c r="P6" s="9" t="s">
        <v>41</v>
      </c>
      <c r="R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51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 t="str">
        <f>IFERROR(__xludf.DUMMYFUNCTION("""COMPUTED_VALUE"""),"CheckPMLiveFeed")</f>
        <v>CheckPMLiveFeed</v>
      </c>
      <c r="AC4" s="26" t="str">
        <f>IFERROR(__xludf.DUMMYFUNCTION("""COMPUTED_VALUE"""),"IncreasePositionFromPM")</f>
        <v>IncreasePositionFromPM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13" t="s">
        <v>22</v>
      </c>
      <c r="D6" s="13">
        <v>100.0</v>
      </c>
      <c r="E6" s="13" t="s">
        <v>17</v>
      </c>
      <c r="F6" s="8"/>
      <c r="G6" s="8"/>
      <c r="H6" s="13" t="s">
        <v>53</v>
      </c>
      <c r="I6" s="8"/>
      <c r="J6" s="8"/>
      <c r="K6" s="8"/>
      <c r="L6" s="8"/>
      <c r="M6" s="8"/>
      <c r="N6" s="8"/>
      <c r="O6" s="8"/>
      <c r="Y6" s="9">
        <v>1.0</v>
      </c>
      <c r="AN6" s="9" t="s">
        <v>23</v>
      </c>
    </row>
    <row r="7" ht="15.75" customHeight="1">
      <c r="A7" s="8"/>
      <c r="B7" s="8"/>
      <c r="C7" s="13" t="s">
        <v>22</v>
      </c>
      <c r="D7" s="13">
        <v>50.0</v>
      </c>
      <c r="E7" s="13" t="s">
        <v>19</v>
      </c>
      <c r="F7" s="8"/>
      <c r="G7" s="8"/>
      <c r="H7" s="13" t="s">
        <v>53</v>
      </c>
      <c r="I7" s="8"/>
      <c r="J7" s="8"/>
      <c r="K7" s="8"/>
      <c r="L7" s="8"/>
      <c r="M7" s="8"/>
      <c r="N7" s="8"/>
      <c r="O7" s="8"/>
      <c r="Y7" s="9">
        <v>1.0</v>
      </c>
      <c r="AN7" s="9" t="s">
        <v>23</v>
      </c>
    </row>
    <row r="8" ht="15.75" customHeight="1">
      <c r="A8" s="8"/>
      <c r="B8" s="8"/>
      <c r="C8" s="13" t="s">
        <v>22</v>
      </c>
      <c r="D8" s="13">
        <v>50.0</v>
      </c>
      <c r="E8" s="13" t="s">
        <v>19</v>
      </c>
      <c r="F8" s="8"/>
      <c r="G8" s="8"/>
      <c r="H8" s="13" t="s">
        <v>53</v>
      </c>
      <c r="I8" s="8"/>
      <c r="J8" s="8"/>
      <c r="K8" s="8"/>
      <c r="L8" s="8"/>
      <c r="M8" s="8"/>
      <c r="N8" s="8"/>
      <c r="O8" s="8"/>
      <c r="Y8" s="9">
        <v>1.0</v>
      </c>
      <c r="AN8" s="9" t="s">
        <v>23</v>
      </c>
    </row>
    <row r="9" ht="15.75" customHeight="1">
      <c r="A9" s="8"/>
      <c r="B9" s="8"/>
      <c r="C9" s="13" t="s">
        <v>22</v>
      </c>
      <c r="D9" s="13">
        <v>-50.0</v>
      </c>
      <c r="E9" s="13" t="s">
        <v>17</v>
      </c>
      <c r="F9" s="8"/>
      <c r="G9" s="8"/>
      <c r="H9" s="13" t="s">
        <v>53</v>
      </c>
      <c r="I9" s="8"/>
      <c r="J9" s="8"/>
      <c r="K9" s="8"/>
      <c r="L9" s="8"/>
      <c r="M9" s="8"/>
      <c r="N9" s="8"/>
      <c r="O9" s="8"/>
      <c r="Y9" s="9">
        <v>1.0</v>
      </c>
      <c r="AN9" s="9" t="s">
        <v>41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