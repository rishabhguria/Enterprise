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FundDefaultRule" sheetId="8" r:id="rId10"/>
    <sheet state="visible" name="SetMFPrefAccountValues" sheetId="9" r:id="rId11"/>
    <sheet state="visible" name="SetMFPrefAccountValues1" sheetId="10" r:id="rId12"/>
    <sheet state="visible" name="SetMFPrefFundDefaultRule1" sheetId="11" r:id="rId13"/>
    <sheet state="visible" name="CreateTransaction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<sst xmlns="http://schemas.openxmlformats.org/spreadsheetml/2006/main" count="265" uniqueCount="54">
  <si>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</si>
  <si>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</si>
  <si>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</si>
  <si>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</si>
  <si>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</si>
  <si>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</si>
  <si>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</si>
  <si>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</si>
  <si>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</si>
  <si>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</si>
  <si>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</si>
  <si>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</si>
  <si>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</si>
  <si>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</si>
  <si>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</si>
  <si>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</si>
  <si>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</si>
  <si>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</si>
  <si>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</si>
  <si>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Current Preference</t>
  </si>
  <si>
    <t>SetMFPrefFundDistribution</t>
  </si>
  <si>
    <t>NewMF</t>
  </si>
  <si>
    <t>NewMF1</t>
  </si>
  <si>
    <t>SetMFPrefFundDefaultRule</t>
  </si>
  <si>
    <t>Fair Pricing</t>
  </si>
  <si>
    <t>SetMFPrefAccountValues</t>
  </si>
  <si>
    <t>Allocation1</t>
  </si>
  <si>
    <t>Allocation3</t>
  </si>
  <si>
    <t>Allocation2</t>
  </si>
  <si>
    <t>Allocation4</t>
  </si>
  <si>
    <t>CreateTransaction</t>
  </si>
  <si>
    <t>AAPL</t>
  </si>
  <si>
    <t>Buy</t>
  </si>
  <si>
    <t>GetDataAllocation</t>
  </si>
  <si>
    <t>Current</t>
  </si>
  <si>
    <t>CheckAllocatedGroups</t>
  </si>
  <si>
    <t/>
  </si>
  <si>
    <t>Multiple</t>
  </si>
  <si>
    <t>Equity</t>
  </si>
  <si>
    <t>AAPL US EQUITY</t>
  </si>
  <si>
    <t>Open</t>
  </si>
  <si>
    <t>USD</t>
  </si>
  <si>
    <t>NASDAQ</t>
  </si>
  <si>
    <t>M</t>
  </si>
  <si>
    <t>InternalOrder</t>
  </si>
  <si>
    <t>Strategy Unallocated</t>
  </si>
  <si>
    <t>GCCAP1</t>
  </si>
  <si>
    <t>CreateTransactionUI</t>
  </si>
  <si>
    <t>US</t>
  </si>
  <si>
    <t>jpearce</t>
  </si>
  <si>
    <t>NONE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</si>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</sst>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8"/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V6" t="b">
        <v>1</v>
      </c>
      <c r="W6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17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IFERROR(__xludf.DUMMYFUNCTION("""COMPUTED_VALUE"""),"RemainderAllocationTo")</f>
        <v>RemainderAllocationTo</v>
      </c>
      <c r="C5" s="29" t="str">
        <f>IFERROR(__xludf.DUMMYFUNCTION("""COMPUTED_VALUE"""),"Target%AsOf")</f>
        <v>Target%AsOf</v>
      </c>
      <c r="D5" s="29" t="str">
        <f>IFERROR(__xludf.DUMMYFUNCTION("""COMPUTED_VALUE"""),"ProrataAccounts")</f>
        <v>ProrataAccounts</v>
      </c>
      <c r="E5" s="29" t="str">
        <f>IFERROR(__xludf.DUMMYFUNCTION("""COMPUTED_VALUE"""),"DateUptoDays")</f>
        <v>DateUptoDays</v>
      </c>
      <c r="F5" s="30" t="str">
        <f>IFERROR(__xludf.DUMMYFUNCTION("""COMPUTED_VALUE"""),"PreferenceName")</f>
        <v>PreferenceName</v>
      </c>
      <c r="G5" s="29" t="str">
        <f>IFERROR(__xludf.DUMMYFUNCTION("""COMPUTED_VALUE"""),"MatchClosingTransaction")</f>
        <v>MatchClosingTransaction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4"/>
      <c r="B6" s="34"/>
      <c r="C6" s="37" t="s">
        <v>19</v>
      </c>
      <c r="D6" s="34"/>
      <c r="E6" s="35"/>
      <c r="F6" s="38" t="s">
        <v>17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9" t="s">
        <v>17</v>
      </c>
      <c r="C6" s="35" t="s">
        <v>21</v>
      </c>
      <c r="D6" s="40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1" t="s">
        <v>17</v>
      </c>
      <c r="C7" s="36" t="s">
        <v>22</v>
      </c>
      <c r="D7" s="42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17</v>
      </c>
      <c r="C6" s="38" t="s">
        <v>21</v>
      </c>
      <c r="D6" s="13" t="s">
        <v>24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9" t="s">
        <v>17</v>
      </c>
      <c r="C6" s="38" t="s">
        <v>21</v>
      </c>
      <c r="D6" s="39" t="s">
        <v>26</v>
      </c>
      <c r="E6" s="44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17</v>
      </c>
      <c r="C7" s="38" t="s">
        <v>21</v>
      </c>
      <c r="D7" s="38" t="s">
        <v>27</v>
      </c>
      <c r="E7" s="44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17</v>
      </c>
      <c r="C6" s="8" t="s">
        <v>22</v>
      </c>
      <c r="D6" s="32" t="s">
        <v>28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17</v>
      </c>
      <c r="C7" s="8" t="s">
        <v>22</v>
      </c>
      <c r="D7" s="13" t="s">
        <v>29</v>
      </c>
      <c r="E7" s="4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17</v>
      </c>
      <c r="C6" s="13" t="s">
        <v>22</v>
      </c>
      <c r="D6" s="13" t="s">
        <v>24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IFERROR(__xludf.DUMMYFUNCTION("""COMPUTED_VALUE"""),"Account")</f>
        <v>Account</v>
      </c>
      <c r="D5" s="29" t="str">
        <f>IFERROR(__xludf.DUMMYFUNCTION("""COMPUTED_VALUE"""),"Side")</f>
        <v>Side</v>
      </c>
      <c r="E5" s="29" t="str">
        <f>IFERROR(__xludf.DUMMYFUNCTION("""COMPUTED_VALUE"""),"Quantity")</f>
        <v>Quantity</v>
      </c>
      <c r="F5" s="30" t="str">
        <f>IFERROR(__xludf.DUMMYFUNCTION("""COMPUTED_VALUE"""),"Executed Quantity")</f>
        <v>Executed Quantity</v>
      </c>
      <c r="G5" s="29" t="str">
        <f>IFERROR(__xludf.DUMMYFUNCTION("""COMPUTED_VALUE"""),"Average Price")</f>
        <v>Average Price</v>
      </c>
      <c r="H5" s="29" t="str">
        <f>IFERROR(__xludf.DUMMYFUNCTION("""COMPUTED_VALUE"""),"Commission")</f>
        <v>Commission</v>
      </c>
      <c r="I5" s="29" t="str">
        <f>IFERROR(__xludf.DUMMYFUNCTION("""COMPUTED_VALUE"""),"Trade Date")</f>
        <v>Trade Date</v>
      </c>
      <c r="J5" s="29" t="str">
        <f>IFERROR(__xludf.DUMMYFUNCTION("""COMPUTED_VALUE"""),"Broker")</f>
        <v>Broker</v>
      </c>
      <c r="K5" s="29" t="str">
        <f>IFERROR(__xludf.DUMMYFUNCTION("""COMPUTED_VALUE"""),"OriginalPurchaseDate")</f>
        <v>OriginalPurchaseDate</v>
      </c>
      <c r="L5" s="29" t="str">
        <f>IFERROR(__xludf.DUMMYFUNCTION("""COMPUTED_VALUE"""),"Pay/Receive")</f>
        <v>Pay/Receive</v>
      </c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31</v>
      </c>
      <c r="C6" s="13" t="s">
        <v>17</v>
      </c>
      <c r="D6" s="13" t="s">
        <v>32</v>
      </c>
      <c r="E6" s="13">
        <v>100.0</v>
      </c>
      <c r="F6" s="8"/>
      <c r="G6" s="13">
        <v>30.67</v>
      </c>
      <c r="H6" s="8"/>
      <c r="I6" s="45">
        <f>TODAY()</f>
        <v>44693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34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32" t="s">
        <v>36</v>
      </c>
      <c r="B6" s="32" t="s">
        <v>37</v>
      </c>
      <c r="C6" s="8" t="s">
        <v>36</v>
      </c>
      <c r="D6" s="32"/>
      <c r="E6" s="8">
        <v>100.0</v>
      </c>
      <c r="F6" s="8" t="s">
        <v>17</v>
      </c>
      <c r="G6" s="8" t="s">
        <v>38</v>
      </c>
      <c r="H6" s="8">
        <v>0.0</v>
      </c>
      <c r="I6" s="8">
        <v>0.0</v>
      </c>
      <c r="J6" s="8">
        <v>1.0</v>
      </c>
      <c r="K6" s="8">
        <v>30.67</v>
      </c>
      <c r="L6" s="8">
        <v>30.67</v>
      </c>
      <c r="M6" s="8" t="s">
        <v>39</v>
      </c>
      <c r="N6" s="8" t="s">
        <v>36</v>
      </c>
      <c r="O6" s="8"/>
      <c r="Q6">
        <v>3.0</v>
      </c>
      <c r="R6">
        <v>0.0</v>
      </c>
      <c r="S6" t="s">
        <v>40</v>
      </c>
      <c r="T6">
        <v>0.0</v>
      </c>
      <c r="U6">
        <v>0.0</v>
      </c>
      <c r="W6">
        <v>1.0</v>
      </c>
      <c r="X6" t="s">
        <v>36</v>
      </c>
      <c r="Y6" t="s">
        <v>36</v>
      </c>
      <c r="Z6" t="s">
        <v>41</v>
      </c>
      <c r="AB6">
        <v>1.0</v>
      </c>
      <c r="AD6" t="s">
        <v>42</v>
      </c>
      <c r="AE6">
        <v>100.0</v>
      </c>
      <c r="AF6" t="s">
        <v>36</v>
      </c>
      <c r="AH6" t="s">
        <v>43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T6">
        <v>3067.0</v>
      </c>
      <c r="AU6">
        <v>3067.0</v>
      </c>
      <c r="AW6">
        <v>0.0</v>
      </c>
      <c r="AX6">
        <v>0.0</v>
      </c>
      <c r="AZ6">
        <v>0.0</v>
      </c>
      <c r="BC6">
        <v>0.0</v>
      </c>
      <c r="BD6" t="s">
        <v>44</v>
      </c>
      <c r="BE6">
        <v>3067.0</v>
      </c>
      <c r="BF6">
        <v>3067.0</v>
      </c>
      <c r="BJ6">
        <v>100.0</v>
      </c>
      <c r="BK6">
        <v>0.0</v>
      </c>
      <c r="BL6" t="s">
        <v>36</v>
      </c>
      <c r="BM6" t="s">
        <v>41</v>
      </c>
      <c r="BO6" t="s">
        <v>32</v>
      </c>
      <c r="BP6">
        <v>0.0</v>
      </c>
      <c r="BQ6">
        <v>0.0</v>
      </c>
      <c r="BR6">
        <v>0.0</v>
      </c>
      <c r="BS6" t="s">
        <v>45</v>
      </c>
      <c r="BT6" t="s">
        <v>31</v>
      </c>
      <c r="BU6">
        <v>0.0</v>
      </c>
      <c r="BV6">
        <v>0.0</v>
      </c>
      <c r="BW6">
        <v>0.0</v>
      </c>
      <c r="BX6">
        <v>0.0</v>
      </c>
      <c r="CF6" t="s">
        <v>46</v>
      </c>
      <c r="CG6">
        <v>0.0</v>
      </c>
      <c r="CH6" t="s">
        <v>47</v>
      </c>
      <c r="CI6" t="s">
        <v>32</v>
      </c>
      <c r="CJ6">
        <v>0.0</v>
      </c>
      <c r="CK6" t="s">
        <v>48</v>
      </c>
      <c r="CL6">
        <v>1.0</v>
      </c>
      <c r="CM6" t="s">
        <v>31</v>
      </c>
      <c r="CN6" t="s">
        <v>49</v>
      </c>
      <c r="CP6" t="s">
        <v>50</v>
      </c>
      <c r="CS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</row>
    <row r="7" ht="15.75" customHeight="1">
      <c r="A7" s="36"/>
      <c r="B7" s="35"/>
      <c r="C7" s="35"/>
      <c r="D7" s="35"/>
      <c r="E7" s="44"/>
      <c r="F7" s="35"/>
      <c r="G7" s="35"/>
      <c r="H7" s="44"/>
      <c r="I7" s="44"/>
      <c r="J7" s="44"/>
      <c r="K7" s="44"/>
      <c r="L7" s="44"/>
      <c r="M7" s="35"/>
      <c r="N7" s="35"/>
      <c r="O7" s="35"/>
      <c r="P7" s="35"/>
      <c r="Q7" s="46"/>
      <c r="R7" s="46"/>
      <c r="S7" s="35"/>
      <c r="T7" s="47"/>
      <c r="U7" s="47"/>
      <c r="V7" s="36"/>
      <c r="W7" s="47"/>
      <c r="X7" s="36"/>
      <c r="Y7" s="36"/>
      <c r="Z7" s="36"/>
      <c r="AA7" s="36"/>
      <c r="AB7" s="47"/>
      <c r="AC7" s="36"/>
      <c r="AD7" s="36"/>
      <c r="AE7" s="47"/>
      <c r="AF7" s="36"/>
      <c r="AG7" s="36"/>
      <c r="AH7" s="36"/>
      <c r="AI7" s="47"/>
      <c r="AJ7" s="36"/>
      <c r="AK7" s="36"/>
      <c r="AL7" s="36"/>
      <c r="AM7" s="36"/>
      <c r="AN7" s="48"/>
      <c r="AO7" s="36"/>
      <c r="AP7" s="48"/>
      <c r="AQ7" s="48"/>
      <c r="AR7" s="48"/>
      <c r="AS7" s="36"/>
      <c r="AT7" s="47"/>
      <c r="AU7" s="47"/>
      <c r="AV7" s="36"/>
      <c r="AW7" s="47"/>
      <c r="AX7" s="47"/>
      <c r="AY7" s="36"/>
      <c r="AZ7" s="47"/>
      <c r="BA7" s="36"/>
      <c r="BB7" s="36"/>
      <c r="BC7" s="47"/>
      <c r="BD7" s="36"/>
      <c r="BE7" s="47"/>
      <c r="BF7" s="47"/>
      <c r="BG7" s="36"/>
      <c r="BH7" s="36"/>
      <c r="BI7" s="36"/>
      <c r="BJ7" s="47"/>
      <c r="BK7" s="47"/>
      <c r="BL7" s="36"/>
      <c r="BM7" s="36"/>
      <c r="BN7" s="36"/>
      <c r="BO7" s="36"/>
      <c r="BP7" s="47"/>
      <c r="BQ7" s="47"/>
      <c r="BR7" s="47"/>
      <c r="BS7" s="36"/>
      <c r="BT7" s="36"/>
      <c r="BU7" s="47"/>
      <c r="BV7" s="47"/>
      <c r="BW7" s="47"/>
      <c r="BX7" s="47"/>
      <c r="BY7" s="36"/>
      <c r="BZ7" s="36"/>
      <c r="CA7" s="36"/>
      <c r="CB7" s="36"/>
      <c r="CC7" s="36"/>
      <c r="CD7" s="36"/>
      <c r="CE7" s="36"/>
      <c r="CF7" s="36"/>
      <c r="CG7" s="47"/>
      <c r="CH7" s="36"/>
      <c r="CI7" s="36"/>
      <c r="CJ7" s="47"/>
      <c r="CK7" s="36"/>
      <c r="CL7" s="47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32" t="s">
        <v>36</v>
      </c>
      <c r="B6" s="32"/>
      <c r="C6" s="8" t="s">
        <v>31</v>
      </c>
      <c r="D6" s="32">
        <v>25.0</v>
      </c>
      <c r="E6" s="8" t="s">
        <v>28</v>
      </c>
      <c r="F6" s="8" t="s">
        <v>22</v>
      </c>
      <c r="G6" s="13">
        <v>30.67</v>
      </c>
      <c r="H6" s="8"/>
      <c r="I6" s="8"/>
      <c r="J6" s="8"/>
      <c r="K6" s="8">
        <v>0.0</v>
      </c>
      <c r="L6" s="8"/>
      <c r="M6" s="8"/>
      <c r="N6" s="13">
        <v>-766.75</v>
      </c>
      <c r="O6" s="8"/>
      <c r="Q6" s="9">
        <v>-766.75</v>
      </c>
      <c r="T6" t="s">
        <v>38</v>
      </c>
      <c r="U6" t="s">
        <v>48</v>
      </c>
      <c r="AB6">
        <v>0.0</v>
      </c>
      <c r="AD6">
        <v>0.0</v>
      </c>
      <c r="AE6">
        <v>0.0</v>
      </c>
      <c r="AF6">
        <v>25.0</v>
      </c>
      <c r="AG6">
        <v>0.0</v>
      </c>
      <c r="AH6">
        <v>0.0</v>
      </c>
      <c r="AI6">
        <v>0.0</v>
      </c>
      <c r="AJ6">
        <v>0.0</v>
      </c>
      <c r="AK6" s="9">
        <v>-766.75</v>
      </c>
      <c r="AL6">
        <v>1.0</v>
      </c>
      <c r="AM6">
        <v>1.0</v>
      </c>
      <c r="AN6" t="s">
        <v>32</v>
      </c>
      <c r="AP6" t="s">
        <v>53</v>
      </c>
      <c r="AQ6" t="s">
        <v>31</v>
      </c>
      <c r="AX6">
        <v>0.0</v>
      </c>
      <c r="AY6">
        <v>0.0</v>
      </c>
      <c r="AZ6">
        <v>0.0</v>
      </c>
      <c r="BD6" s="9">
        <v>-766.75</v>
      </c>
      <c r="BJ6">
        <v>0.0</v>
      </c>
      <c r="BK6">
        <v>0.0</v>
      </c>
      <c r="BL6">
        <v>0.0</v>
      </c>
      <c r="BM6">
        <v>0.0</v>
      </c>
      <c r="BO6" s="9">
        <v>-766.75</v>
      </c>
      <c r="BP6">
        <v>0.0</v>
      </c>
      <c r="BS6">
        <v>0.0</v>
      </c>
      <c r="BT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 s="9">
        <v>-766.75</v>
      </c>
      <c r="CE6">
        <v>0.0</v>
      </c>
      <c r="CF6">
        <v>0.0</v>
      </c>
      <c r="CG6" s="9">
        <v>-766.75</v>
      </c>
      <c r="CH6">
        <v>-100.0</v>
      </c>
      <c r="CS6" s="9">
        <v>30.67</v>
      </c>
      <c r="DE6">
        <v>0.0</v>
      </c>
      <c r="DF6">
        <v>0.0</v>
      </c>
      <c r="DG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M6" s="9">
        <v>0.0</v>
      </c>
      <c r="EN6">
        <v>0.0</v>
      </c>
      <c r="EO6">
        <v>0.0</v>
      </c>
      <c r="EQ6">
        <v>0.0</v>
      </c>
      <c r="ER6">
        <v>0.0</v>
      </c>
      <c r="ES6">
        <v>-3067.0</v>
      </c>
      <c r="ET6">
        <v>0.0</v>
      </c>
      <c r="EU6">
        <v>0.0</v>
      </c>
      <c r="EV6" t="s">
        <v>53</v>
      </c>
      <c r="EW6" s="9">
        <v>-766.75</v>
      </c>
      <c r="EX6" t="b">
        <v>0</v>
      </c>
      <c r="FA6" t="s">
        <v>36</v>
      </c>
      <c r="FB6" t="s">
        <v>36</v>
      </c>
    </row>
    <row r="7" ht="15.75" customHeight="1">
      <c r="A7" s="8" t="s">
        <v>36</v>
      </c>
      <c r="B7" s="8"/>
      <c r="C7" s="8" t="s">
        <v>31</v>
      </c>
      <c r="D7" s="8">
        <v>25.0</v>
      </c>
      <c r="E7" s="8" t="s">
        <v>27</v>
      </c>
      <c r="F7" s="8" t="s">
        <v>21</v>
      </c>
      <c r="G7" s="13">
        <v>30.67</v>
      </c>
      <c r="H7" s="8"/>
      <c r="I7" s="8"/>
      <c r="J7" s="8"/>
      <c r="K7" s="8">
        <v>0.0</v>
      </c>
      <c r="L7" s="8"/>
      <c r="M7" s="8"/>
      <c r="N7" s="13">
        <v>-766.75</v>
      </c>
      <c r="O7" s="8"/>
      <c r="Q7" s="9">
        <v>-766.75</v>
      </c>
      <c r="T7" t="s">
        <v>38</v>
      </c>
      <c r="U7" t="s">
        <v>48</v>
      </c>
      <c r="AB7">
        <v>0.0</v>
      </c>
      <c r="AD7">
        <v>0.0</v>
      </c>
      <c r="AE7">
        <v>0.0</v>
      </c>
      <c r="AF7">
        <v>25.0</v>
      </c>
      <c r="AG7">
        <v>0.0</v>
      </c>
      <c r="AH7">
        <v>0.0</v>
      </c>
      <c r="AI7">
        <v>0.0</v>
      </c>
      <c r="AJ7">
        <v>0.0</v>
      </c>
      <c r="AK7" s="9">
        <v>-766.75</v>
      </c>
      <c r="AL7">
        <v>1.0</v>
      </c>
      <c r="AM7">
        <v>1.0</v>
      </c>
      <c r="AN7" t="s">
        <v>32</v>
      </c>
      <c r="AP7" t="s">
        <v>53</v>
      </c>
      <c r="AQ7" t="s">
        <v>31</v>
      </c>
      <c r="AX7">
        <v>0.0</v>
      </c>
      <c r="AY7">
        <v>0.0</v>
      </c>
      <c r="AZ7">
        <v>0.0</v>
      </c>
      <c r="BD7" s="9">
        <v>-766.75</v>
      </c>
      <c r="BJ7">
        <v>0.0</v>
      </c>
      <c r="BK7">
        <v>0.0</v>
      </c>
      <c r="BL7">
        <v>0.0</v>
      </c>
      <c r="BM7">
        <v>0.0</v>
      </c>
      <c r="BO7" s="9">
        <v>-766.75</v>
      </c>
      <c r="BP7">
        <v>0.0</v>
      </c>
      <c r="BS7">
        <v>0.0</v>
      </c>
      <c r="BT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 s="9">
        <v>-766.75</v>
      </c>
      <c r="CE7">
        <v>0.0</v>
      </c>
      <c r="CF7">
        <v>0.0</v>
      </c>
      <c r="CG7" s="9">
        <v>-766.75</v>
      </c>
      <c r="CH7">
        <v>-100.0</v>
      </c>
      <c r="CS7" s="9">
        <v>30.67</v>
      </c>
      <c r="DE7">
        <v>0.0</v>
      </c>
      <c r="DF7">
        <v>0.0</v>
      </c>
      <c r="DG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M7">
        <v>0.0</v>
      </c>
      <c r="EN7">
        <v>0.0</v>
      </c>
      <c r="EO7">
        <v>0.0</v>
      </c>
      <c r="EQ7">
        <v>0.0</v>
      </c>
      <c r="ER7">
        <v>0.0</v>
      </c>
      <c r="ES7">
        <v>-3067.0</v>
      </c>
      <c r="ET7">
        <v>0.0</v>
      </c>
      <c r="EU7">
        <v>0.0</v>
      </c>
      <c r="EV7" t="s">
        <v>53</v>
      </c>
      <c r="EW7" s="9">
        <v>-766.75</v>
      </c>
      <c r="EX7" t="b">
        <v>0</v>
      </c>
      <c r="FA7" t="s">
        <v>36</v>
      </c>
      <c r="FB7" t="s">
        <v>36</v>
      </c>
    </row>
    <row r="8" ht="15.75" customHeight="1">
      <c r="A8" s="8" t="s">
        <v>36</v>
      </c>
      <c r="B8" s="8"/>
      <c r="C8" s="8" t="s">
        <v>31</v>
      </c>
      <c r="D8" s="8">
        <v>25.0</v>
      </c>
      <c r="E8" s="8" t="s">
        <v>26</v>
      </c>
      <c r="F8" s="8" t="s">
        <v>21</v>
      </c>
      <c r="G8" s="13">
        <v>30.67</v>
      </c>
      <c r="H8" s="8"/>
      <c r="I8" s="8"/>
      <c r="J8" s="8"/>
      <c r="K8" s="8">
        <v>0.0</v>
      </c>
      <c r="L8" s="8"/>
      <c r="M8" s="8"/>
      <c r="N8" s="13">
        <v>-766.75</v>
      </c>
      <c r="O8" s="8"/>
      <c r="Q8" s="9">
        <v>-766.75</v>
      </c>
      <c r="T8" t="s">
        <v>38</v>
      </c>
      <c r="U8" t="s">
        <v>48</v>
      </c>
      <c r="AB8">
        <v>0.0</v>
      </c>
      <c r="AD8">
        <v>0.0</v>
      </c>
      <c r="AE8">
        <v>0.0</v>
      </c>
      <c r="AF8">
        <v>25.0</v>
      </c>
      <c r="AG8">
        <v>0.0</v>
      </c>
      <c r="AH8">
        <v>0.0</v>
      </c>
      <c r="AI8">
        <v>0.0</v>
      </c>
      <c r="AJ8">
        <v>0.0</v>
      </c>
      <c r="AK8" s="9">
        <v>-766.75</v>
      </c>
      <c r="AL8">
        <v>1.0</v>
      </c>
      <c r="AM8">
        <v>1.0</v>
      </c>
      <c r="AN8" t="s">
        <v>32</v>
      </c>
      <c r="AP8" t="s">
        <v>53</v>
      </c>
      <c r="AQ8" t="s">
        <v>31</v>
      </c>
      <c r="AX8">
        <v>0.0</v>
      </c>
      <c r="AY8">
        <v>0.0</v>
      </c>
      <c r="AZ8">
        <v>0.0</v>
      </c>
      <c r="BD8" s="9">
        <v>-766.75</v>
      </c>
      <c r="BJ8">
        <v>0.0</v>
      </c>
      <c r="BK8">
        <v>0.0</v>
      </c>
      <c r="BL8">
        <v>0.0</v>
      </c>
      <c r="BM8">
        <v>0.0</v>
      </c>
      <c r="BO8" s="9">
        <v>-766.75</v>
      </c>
      <c r="BP8">
        <v>0.0</v>
      </c>
      <c r="BS8">
        <v>0.0</v>
      </c>
      <c r="BT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 s="9">
        <v>-766.75</v>
      </c>
      <c r="CE8">
        <v>0.0</v>
      </c>
      <c r="CF8">
        <v>0.0</v>
      </c>
      <c r="CG8" s="9">
        <v>-766.75</v>
      </c>
      <c r="CH8">
        <v>-100.0</v>
      </c>
      <c r="CS8" s="9">
        <v>30.67</v>
      </c>
      <c r="DE8">
        <v>0.0</v>
      </c>
      <c r="DF8">
        <v>0.0</v>
      </c>
      <c r="DG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M8">
        <v>0.0</v>
      </c>
      <c r="EN8">
        <v>0.0</v>
      </c>
      <c r="EO8">
        <v>0.0</v>
      </c>
      <c r="EQ8">
        <v>0.0</v>
      </c>
      <c r="ER8">
        <v>0.0</v>
      </c>
      <c r="ES8">
        <v>-3067.0</v>
      </c>
      <c r="ET8">
        <v>0.0</v>
      </c>
      <c r="EU8">
        <v>0.0</v>
      </c>
      <c r="EV8" t="s">
        <v>53</v>
      </c>
      <c r="EW8" s="9">
        <v>-766.75</v>
      </c>
      <c r="EX8" t="b">
        <v>0</v>
      </c>
      <c r="FA8" t="s">
        <v>36</v>
      </c>
      <c r="FB8" t="s">
        <v>36</v>
      </c>
    </row>
    <row r="9" ht="15.75" customHeight="1">
      <c r="A9" s="8" t="s">
        <v>36</v>
      </c>
      <c r="B9" s="8"/>
      <c r="C9" s="8" t="s">
        <v>31</v>
      </c>
      <c r="D9" s="8">
        <v>25.0</v>
      </c>
      <c r="E9" s="8" t="s">
        <v>29</v>
      </c>
      <c r="F9" s="8" t="s">
        <v>22</v>
      </c>
      <c r="G9" s="13">
        <v>30.67</v>
      </c>
      <c r="H9" s="8"/>
      <c r="I9" s="8"/>
      <c r="J9" s="8"/>
      <c r="K9" s="8">
        <v>0.0</v>
      </c>
      <c r="L9" s="8"/>
      <c r="M9" s="8"/>
      <c r="N9" s="13">
        <v>-766.75</v>
      </c>
      <c r="O9" s="8"/>
      <c r="Q9" s="9">
        <v>-766.75</v>
      </c>
      <c r="T9" t="s">
        <v>38</v>
      </c>
      <c r="U9" t="s">
        <v>48</v>
      </c>
      <c r="AB9">
        <v>0.0</v>
      </c>
      <c r="AD9">
        <v>0.0</v>
      </c>
      <c r="AE9">
        <v>0.0</v>
      </c>
      <c r="AF9">
        <v>25.0</v>
      </c>
      <c r="AG9">
        <v>0.0</v>
      </c>
      <c r="AH9">
        <v>0.0</v>
      </c>
      <c r="AI9">
        <v>0.0</v>
      </c>
      <c r="AJ9">
        <v>0.0</v>
      </c>
      <c r="AK9" s="9">
        <v>-766.75</v>
      </c>
      <c r="AL9">
        <v>1.0</v>
      </c>
      <c r="AM9">
        <v>1.0</v>
      </c>
      <c r="AN9" t="s">
        <v>32</v>
      </c>
      <c r="AP9" t="s">
        <v>53</v>
      </c>
      <c r="AQ9" t="s">
        <v>31</v>
      </c>
      <c r="AX9">
        <v>0.0</v>
      </c>
      <c r="AY9">
        <v>0.0</v>
      </c>
      <c r="AZ9">
        <v>0.0</v>
      </c>
      <c r="BD9" s="9">
        <v>-766.75</v>
      </c>
      <c r="BJ9">
        <v>0.0</v>
      </c>
      <c r="BK9">
        <v>0.0</v>
      </c>
      <c r="BL9">
        <v>0.0</v>
      </c>
      <c r="BM9">
        <v>0.0</v>
      </c>
      <c r="BO9" s="9">
        <v>-766.75</v>
      </c>
      <c r="BP9">
        <v>0.0</v>
      </c>
      <c r="BS9">
        <v>0.0</v>
      </c>
      <c r="BT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 s="9">
        <v>-766.75</v>
      </c>
      <c r="CE9">
        <v>0.0</v>
      </c>
      <c r="CF9">
        <v>0.0</v>
      </c>
      <c r="CG9" s="9">
        <v>-766.75</v>
      </c>
      <c r="CH9">
        <v>-100.0</v>
      </c>
      <c r="CS9" s="9">
        <v>30.67</v>
      </c>
      <c r="DE9">
        <v>0.0</v>
      </c>
      <c r="DF9">
        <v>0.0</v>
      </c>
      <c r="DG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M9">
        <v>0.0</v>
      </c>
      <c r="EN9">
        <v>0.0</v>
      </c>
      <c r="EO9">
        <v>0.0</v>
      </c>
      <c r="EQ9">
        <v>0.0</v>
      </c>
      <c r="ER9">
        <v>0.0</v>
      </c>
      <c r="ES9">
        <v>-3067.0</v>
      </c>
      <c r="ET9">
        <v>0.0</v>
      </c>
      <c r="EU9">
        <v>0.0</v>
      </c>
      <c r="EV9" t="s">
        <v>53</v>
      </c>
      <c r="EW9" s="9">
        <v>-766.75</v>
      </c>
      <c r="EX9" t="b">
        <v>0</v>
      </c>
      <c r="FA9" t="s">
        <v>36</v>
      </c>
      <c r="FB9" t="s">
        <v>36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6"/>
      <c r="B11" s="36"/>
      <c r="C11" s="36"/>
      <c r="D11" s="49"/>
      <c r="E11" s="36"/>
      <c r="F11" s="36"/>
      <c r="G11" s="49"/>
      <c r="H11" s="36"/>
      <c r="I11" s="36"/>
      <c r="J11" s="36"/>
      <c r="K11" s="49"/>
      <c r="L11" s="36"/>
      <c r="M11" s="36"/>
      <c r="N11" s="49"/>
      <c r="O11" s="36"/>
      <c r="P11" s="36"/>
      <c r="Q11" s="47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47"/>
      <c r="AC11" s="36"/>
      <c r="AD11" s="47"/>
      <c r="AE11" s="47"/>
      <c r="AF11" s="47"/>
      <c r="AG11" s="47"/>
      <c r="AH11" s="47"/>
      <c r="AI11" s="47"/>
      <c r="AJ11" s="47"/>
      <c r="AK11" s="47"/>
      <c r="AL11" s="47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47"/>
      <c r="AY11" s="47"/>
      <c r="AZ11" s="47"/>
      <c r="BA11" s="36"/>
      <c r="BB11" s="36"/>
      <c r="BC11" s="36"/>
      <c r="BD11" s="47"/>
      <c r="BE11" s="36"/>
      <c r="BF11" s="36"/>
      <c r="BG11" s="36"/>
      <c r="BH11" s="36"/>
      <c r="BI11" s="36"/>
      <c r="BJ11" s="47"/>
      <c r="BK11" s="47"/>
      <c r="BL11" s="47"/>
      <c r="BM11" s="47"/>
      <c r="BN11" s="36"/>
      <c r="BO11" s="47"/>
      <c r="BP11" s="47"/>
      <c r="BQ11" s="36"/>
      <c r="BR11" s="36"/>
      <c r="BS11" s="47"/>
      <c r="BT11" s="47"/>
      <c r="BU11" s="36"/>
      <c r="BV11" s="36"/>
      <c r="BW11" s="47"/>
      <c r="BX11" s="47"/>
      <c r="BY11" s="47"/>
      <c r="BZ11" s="47"/>
      <c r="CA11" s="47"/>
      <c r="CB11" s="36"/>
      <c r="CC11" s="47"/>
      <c r="CD11" s="47"/>
      <c r="CE11" s="47"/>
      <c r="CF11" s="47"/>
      <c r="CG11" s="47"/>
      <c r="CH11" s="47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47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47"/>
      <c r="DF11" s="47"/>
      <c r="DG11" s="47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47"/>
      <c r="EH11" s="47"/>
      <c r="EI11" s="47"/>
      <c r="EJ11" s="47"/>
      <c r="EK11" s="47"/>
      <c r="EL11" s="36"/>
      <c r="EM11" s="47"/>
      <c r="EN11" s="47"/>
      <c r="EO11" s="47"/>
      <c r="EP11" s="36"/>
      <c r="EQ11" s="47"/>
      <c r="ER11" s="47"/>
      <c r="ES11" s="47"/>
      <c r="ET11" s="47"/>
      <c r="EU11" s="47"/>
      <c r="EV11" s="36"/>
      <c r="EW11" s="47"/>
      <c r="EX11" s="48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