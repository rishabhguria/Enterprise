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DataClosing" sheetId="6" r:id="rId8"/>
    <sheet state="visible" name="SelectTradeUnexpiredUnsettled" sheetId="7" r:id="rId9"/>
    <sheet state="visible" name="ExerciseAssignment" sheetId="8" r:id="rId10"/>
  </sheets>
  <calcPr fullCalcOnLoad="1" fullPrecision="1"/>
</workbook>
</file>

<file path=xl/sharedStrings.xml><?xml version="1.0" encoding="utf-8"?>
<sst xmlns="http://schemas.openxmlformats.org/spreadsheetml/2006/main" count="302" uniqueCount="302">
  <si>
    <t>Modules Info</t>
  </si>
  <si>
    <t>Modules</t>
  </si>
  <si>
    <t>Settings</t>
  </si>
  <si>
    <t>Module Step Setting File</t>
  </si>
  <si>
    <t>1-Qk7OEJpMDsc19f8R6wtvKuuZ7FTZ2_ZWtcmlvbMGg4</t>
  </si>
  <si>
    <t>Master Data Settings File</t>
  </si>
  <si>
    <t>1zHADfvRvWn7kKcbC_7pyccCBhH6ROCs-rYVxP4iDIuU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</si>
  <si>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</si>
  <si>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</si>
  <si>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</si>
  <si>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</si>
  <si>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</si>
  <si>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</si>
  <si>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</si>
  <si>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</si>
  <si>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</si>
  <si>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Method</t>
  </si>
  <si>
    <t>Global Algorithm</t>
  </si>
  <si>
    <t>Secondary Sort Criteria</t>
  </si>
  <si>
    <t>Override Global Algorithm</t>
  </si>
  <si>
    <t>Can close Sell Short with Buy and Buy to Open</t>
  </si>
  <si>
    <t>Can close Sell with Buy to Close</t>
  </si>
  <si>
    <t>Fetch Data Automatically</t>
  </si>
  <si>
    <t>Auto Close Stategy</t>
  </si>
  <si>
    <t>Exercise/Assign CheckSide Validation</t>
  </si>
  <si>
    <t>Long Term Tax Rate (%)</t>
  </si>
  <si>
    <t>Short Term Tax Rate (%)</t>
  </si>
  <si>
    <t>Quantity round off digits</t>
  </si>
  <si>
    <t>Price round off digits</t>
  </si>
  <si>
    <t>Closing Field</t>
  </si>
  <si>
    <t>Auto Option Excercise Value</t>
  </si>
  <si>
    <t>FIFO</t>
  </si>
  <si>
    <t>TradingTicket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</si>
  <si>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</si>
  <si>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</si>
  <si>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</si>
  <si>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</si>
  <si>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</si>
  <si>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</si>
  <si>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</si>
  <si>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</si>
  <si>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</si>
  <si>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</si>
  <si>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</si>
  <si>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</si>
  <si>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</si>
  <si>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</si>
  <si>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</si>
  <si>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</si>
  <si>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</si>
  <si>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</si>
  <si>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</si>
  <si>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</si>
  <si>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</si>
  <si>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</si>
  <si>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</si>
  <si>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</si>
  <si>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</si>
  <si>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</si>
  <si>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</si>
  <si>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</si>
  <si>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</si>
  <si>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</si>
  <si>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</si>
  <si>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</si>
  <si>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</si>
  <si>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</si>
  <si>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</si>
  <si>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</si>
  <si>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</si>
  <si>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</si>
  <si>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</si>
  <si>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</si>
  <si>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</si>
  <si>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</si>
  <si>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</si>
  <si>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</si>
  <si>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</si>
  <si>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</si>
  <si>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</si>
  <si>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</si>
  <si>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</si>
  <si>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</si>
  <si>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</si>
  <si>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</si>
  <si>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</si>
  <si>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</si>
  <si>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</si>
  <si>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</si>
  <si>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</si>
  <si>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</si>
  <si>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</si>
  <si>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</si>
  <si>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</si>
  <si>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</si>
  <si>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</si>
  <si>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</si>
  <si>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</si>
  <si>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</si>
  <si>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O:AAPL 23D100.00D21</t>
  </si>
  <si>
    <t>Sell to Open</t>
  </si>
  <si>
    <t>GetDataClosing</t>
  </si>
  <si>
    <t>RangeType</t>
  </si>
  <si>
    <t>From</t>
  </si>
  <si>
    <t>To</t>
  </si>
  <si>
    <t>Account Filter</t>
  </si>
  <si>
    <t>Historical</t>
  </si>
  <si>
    <t>1/1/1800</t>
  </si>
  <si>
    <t>SelectTradeUnexpiredUnsettled</t>
  </si>
  <si>
    <t>AccruedInterest</t>
  </si>
  <si>
    <t>Analyst</t>
  </si>
  <si>
    <t>Asset Class</t>
  </si>
  <si>
    <t>Asset Derivative</t>
  </si>
  <si>
    <t>AUECID</t>
  </si>
  <si>
    <t>AUECModifiedDate</t>
  </si>
  <si>
    <t>Average Price</t>
  </si>
  <si>
    <t>BloombergSymbol</t>
  </si>
  <si>
    <t>CalcBasis</t>
  </si>
  <si>
    <t>CashSettledPrice</t>
  </si>
  <si>
    <t>ChangeComment</t>
  </si>
  <si>
    <t>ChangeType</t>
  </si>
  <si>
    <t>ClearingBrokerFee</t>
  </si>
  <si>
    <t>ClearingFee</t>
  </si>
  <si>
    <t>ClosedTotalCommissionandFees</t>
  </si>
  <si>
    <t>ClosingAlgo</t>
  </si>
  <si>
    <t>ClosingDate</t>
  </si>
  <si>
    <t>ClosingStatus</t>
  </si>
  <si>
    <t>Commission</t>
  </si>
  <si>
    <t>CommissionAmt</t>
  </si>
  <si>
    <t>CompanyUserName</t>
  </si>
  <si>
    <t>ContractMultiplier</t>
  </si>
  <si>
    <t>CountryName</t>
  </si>
  <si>
    <t>CountryOfRisk</t>
  </si>
  <si>
    <t>CumQty</t>
  </si>
  <si>
    <t>CurrencyID</t>
  </si>
  <si>
    <t>CurrencyName</t>
  </si>
  <si>
    <t>CusipSymbol</t>
  </si>
  <si>
    <t>CustomUDA1</t>
  </si>
  <si>
    <t>CustomUDA2</t>
  </si>
  <si>
    <t>CustomUDA3</t>
  </si>
  <si>
    <t>CustomUDA4</t>
  </si>
  <si>
    <t>CustomUDA5</t>
  </si>
  <si>
    <t>CustomUDA6</t>
  </si>
  <si>
    <t>CustomUDA7</t>
  </si>
  <si>
    <t>Delta</t>
  </si>
  <si>
    <t>Description</t>
  </si>
  <si>
    <t>ExchangeName</t>
  </si>
  <si>
    <t>ExecutedQty</t>
  </si>
  <si>
    <t>ExpirationDate</t>
  </si>
  <si>
    <t>ExternalTransID</t>
  </si>
  <si>
    <t>FXConversionMethodOperator</t>
  </si>
  <si>
    <t>FXRate</t>
  </si>
  <si>
    <t>GroupID</t>
  </si>
  <si>
    <t>IDCOSymbol</t>
  </si>
  <si>
    <t>InternalComments</t>
  </si>
  <si>
    <t>IsExerciseAtZero</t>
  </si>
  <si>
    <t>ISINSymbol</t>
  </si>
  <si>
    <t>IsNDF</t>
  </si>
  <si>
    <t>IsPosition</t>
  </si>
  <si>
    <t>IsPreAllocated</t>
  </si>
  <si>
    <t>Issuer</t>
  </si>
  <si>
    <t>IsSwapped</t>
  </si>
  <si>
    <t>LeadCurrencyID</t>
  </si>
  <si>
    <t>LiquidTag</t>
  </si>
  <si>
    <t>LongOrShort</t>
  </si>
  <si>
    <t>LotId</t>
  </si>
  <si>
    <t>M2MProfitLoss</t>
  </si>
  <si>
    <t>MarkPrice</t>
  </si>
  <si>
    <t>MasterFund</t>
  </si>
  <si>
    <t>MiscFees</t>
  </si>
  <si>
    <t>NavLockStatus</t>
  </si>
  <si>
    <t>Net Notional</t>
  </si>
  <si>
    <t>NirvanaProcessDate</t>
  </si>
  <si>
    <t>OccFee</t>
  </si>
  <si>
    <t>OptionPremiumAdjustment</t>
  </si>
  <si>
    <t>OrderSideTagValue</t>
  </si>
  <si>
    <t>OrderType</t>
  </si>
  <si>
    <t>OrfFee</t>
  </si>
  <si>
    <t>Original Side</t>
  </si>
  <si>
    <t>OriginalPurchase Date</t>
  </si>
  <si>
    <t>OSISymbol</t>
  </si>
  <si>
    <t>OtherBrokerFees</t>
  </si>
  <si>
    <t>ParentRowPK</t>
  </si>
  <si>
    <t>Percentage</t>
  </si>
  <si>
    <t>PositionTag</t>
  </si>
  <si>
    <t>PositionType</t>
  </si>
  <si>
    <t>Process Date</t>
  </si>
  <si>
    <t>ProxySymbol</t>
  </si>
  <si>
    <t>PutOrCall</t>
  </si>
  <si>
    <t>Region</t>
  </si>
  <si>
    <t>ReutersSymbol</t>
  </si>
  <si>
    <t>RiskCurrency</t>
  </si>
  <si>
    <t>SecFee</t>
  </si>
  <si>
    <t>SectorName</t>
  </si>
  <si>
    <t>Security Name</t>
  </si>
  <si>
    <t>SecurityTypeName</t>
  </si>
  <si>
    <t>SedolSymbol</t>
  </si>
  <si>
    <t>SettlCurrAmt</t>
  </si>
  <si>
    <t>SettlCurrFxRate</t>
  </si>
  <si>
    <t>SettlCurrFxRateCalc</t>
  </si>
  <si>
    <t>SettlCurrUnitCost</t>
  </si>
  <si>
    <t>Settlement Mode</t>
  </si>
  <si>
    <t>Settlement Qty</t>
  </si>
  <si>
    <t>SettlementCurrencyID</t>
  </si>
  <si>
    <t>SettlementDate</t>
  </si>
  <si>
    <t>SideMultiplier</t>
  </si>
  <si>
    <t>SoftCommission</t>
  </si>
  <si>
    <t>SoftCommissionAmt</t>
  </si>
  <si>
    <t>SoftCommissionCalcBasis</t>
  </si>
  <si>
    <t>SoftCommissionRate</t>
  </si>
  <si>
    <t>StampDuty</t>
  </si>
  <si>
    <t>Strike Price</t>
  </si>
  <si>
    <t>SubSectorName</t>
  </si>
  <si>
    <t>SwapParameters</t>
  </si>
  <si>
    <t>TaxlotClosingId</t>
  </si>
  <si>
    <t>TaxLotID</t>
  </si>
  <si>
    <t>TaxlotPk</t>
  </si>
  <si>
    <t>TaxLotQtyToClose</t>
  </si>
  <si>
    <t>TaxonCommissions</t>
  </si>
  <si>
    <t>TimeOfSaveUTC</t>
  </si>
  <si>
    <t>TotalCommission&amp;Fees</t>
  </si>
  <si>
    <t>TotalCommissionandFees</t>
  </si>
  <si>
    <t>Tradedate</t>
  </si>
  <si>
    <t>TradingAccountName</t>
  </si>
  <si>
    <t>TransactionLevy</t>
  </si>
  <si>
    <t>TransactionType</t>
  </si>
  <si>
    <t>UcitsEligibleTag</t>
  </si>
  <si>
    <t>UDAAsset</t>
  </si>
  <si>
    <t>UnderlyingDelta</t>
  </si>
  <si>
    <t>UnderlyingName</t>
  </si>
  <si>
    <t>UnderlyingSymbol</t>
  </si>
  <si>
    <t>UnitCost</t>
  </si>
  <si>
    <t>UnRealizedPNL</t>
  </si>
  <si>
    <t>VsCurrencyID</t>
  </si>
  <si>
    <t>WorkflowState</t>
  </si>
  <si>
    <t>AvgPriceBase</t>
  </si>
  <si>
    <t>MarketCap</t>
  </si>
  <si>
    <t>UnitCostBase</t>
  </si>
  <si>
    <t>ITM/OTM</t>
  </si>
  <si>
    <t>Days to Expiry</t>
  </si>
  <si>
    <t>% of Underlying Price</t>
  </si>
  <si>
    <t>Intrinsic value</t>
  </si>
  <si>
    <t>Gain/Loss if Ex./Assign</t>
  </si>
  <si>
    <t>Allocation1</t>
  </si>
  <si>
    <t>ExerciseAssignment</t>
  </si>
  <si>
    <t>AccountValue</t>
  </si>
  <si>
    <t>Asset</t>
  </si>
  <si>
    <t>AUEC Fee1</t>
  </si>
  <si>
    <t>AUCE Fee2</t>
  </si>
  <si>
    <t>AUECLocalDateToday</t>
  </si>
  <si>
    <t>AvgPriceRealizedPL</t>
  </si>
  <si>
    <t>Clearing Broker Fee</t>
  </si>
  <si>
    <t>ClosedQty</t>
  </si>
  <si>
    <t>CostBasisRealizePNL</t>
  </si>
  <si>
    <t>Currency</t>
  </si>
  <si>
    <t>EndDate</t>
  </si>
  <si>
    <t>ExchangeID</t>
  </si>
  <si>
    <t>Expiration Date</t>
  </si>
  <si>
    <t>ExpiredQty</t>
  </si>
  <si>
    <t>ExpiredTaxlotID</t>
  </si>
  <si>
    <t>FXRateoperator</t>
  </si>
  <si>
    <t>ID</t>
  </si>
  <si>
    <t>If Pay/Recevie Changes</t>
  </si>
  <si>
    <t>IntPositionType</t>
  </si>
  <si>
    <t>Leveraged Factor</t>
  </si>
  <si>
    <t>MarkPriceForMonth</t>
  </si>
  <si>
    <t>MonthToDateRealizedProfit</t>
  </si>
  <si>
    <t>Multiplier</t>
  </si>
  <si>
    <t>NotionalValue</t>
  </si>
  <si>
    <t>OCC Fee</t>
  </si>
  <si>
    <t>OpenQty</t>
  </si>
  <si>
    <t>Option Activated</t>
  </si>
  <si>
    <t>Option Type</t>
  </si>
  <si>
    <t>ORF Fee</t>
  </si>
  <si>
    <t>OriginalPurchaseDate</t>
  </si>
  <si>
    <t>Other Broker Fees</t>
  </si>
  <si>
    <t>ParentTradeDate</t>
  </si>
  <si>
    <t>Pay/Recive</t>
  </si>
  <si>
    <t>ProcessDate</t>
  </si>
  <si>
    <t>QtyCurrency</t>
  </si>
  <si>
    <t>RecordType</t>
  </si>
  <si>
    <t>SEC Fee</t>
  </si>
  <si>
    <t>Settlement Currency</t>
  </si>
  <si>
    <t>Settlement Date</t>
  </si>
  <si>
    <t>Settlement FxRate</t>
  </si>
  <si>
    <t>Settlement FxRate Operator</t>
  </si>
  <si>
    <t>Settlement Price</t>
  </si>
  <si>
    <t>Side</t>
  </si>
  <si>
    <t>Soft Commission</t>
  </si>
  <si>
    <t>Stamp Duty</t>
  </si>
  <si>
    <t>StartTaxlotID</t>
  </si>
  <si>
    <t>Status</t>
  </si>
  <si>
    <t>SymbolAveragePrice</t>
  </si>
  <si>
    <t>Tax On Commissions</t>
  </si>
  <si>
    <t>TaxLotClosingId</t>
  </si>
  <si>
    <t>Transaction Levy</t>
  </si>
  <si>
    <t>Transaction Type</t>
  </si>
  <si>
    <t>TransactionSource</t>
  </si>
  <si>
    <t>Underlying Symbol</t>
  </si>
  <si>
    <t>UnderlyingID</t>
  </si>
  <si>
    <t>Sell short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</si>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</sst>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5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8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center"/>
    </xf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14" applyNumberFormat="1" fontId="5" applyFont="1" fillId="0" borderId="0" xfId="0" applyAlignment="1">
      <alignment horizontal="right"/>
    </xf>
    <xf numFmtId="0" fontId="5" applyFont="1" fillId="0" borderId="0" xfId="0" applyAlignment="1"/>
    <xf numFmtId="164" applyNumberFormat="1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</row>
    <row r="6" ht="15.75" customHeight="1">
      <c r="A6" s="27"/>
      <c r="B6" s="27"/>
      <c r="C6" s="28" t="s">
        <v>31</v>
      </c>
      <c r="D6" s="27"/>
      <c r="E6" s="29" t="b">
        <v>1</v>
      </c>
      <c r="F6" s="30"/>
      <c r="G6" s="30"/>
      <c r="H6" s="30"/>
      <c r="I6" s="30"/>
      <c r="J6" s="29" t="b">
        <v>1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C082664-600E-480A-8C13-0DEE7A67A52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3347C5A-32A8-47EB-90F2-279558E5624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FD13585-CC49-4B5C-BF97-3677635C1468}">
          <x14:formula1>
            <xm:f>SetClosingPreference!$4:$4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34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39</v>
      </c>
      <c r="H5" s="0" t="s">
        <v>40</v>
      </c>
      <c r="I5" s="0" t="s">
        <v>41</v>
      </c>
      <c r="J5" s="0" t="s">
        <v>42</v>
      </c>
      <c r="K5" s="0" t="s">
        <v>43</v>
      </c>
      <c r="L5" s="0" t="s">
        <v>44</v>
      </c>
      <c r="M5" s="0" t="s">
        <v>45</v>
      </c>
      <c r="N5" s="0" t="s">
        <v>46</v>
      </c>
      <c r="O5" s="0" t="s">
        <v>47</v>
      </c>
      <c r="P5" s="0" t="s">
        <v>48</v>
      </c>
      <c r="Q5" s="0" t="s">
        <v>49</v>
      </c>
      <c r="R5" s="0" t="s">
        <v>50</v>
      </c>
      <c r="S5" s="0" t="s">
        <v>51</v>
      </c>
      <c r="T5" s="0" t="s">
        <v>52</v>
      </c>
      <c r="U5" s="0" t="s">
        <v>53</v>
      </c>
      <c r="V5" s="0" t="s">
        <v>54</v>
      </c>
      <c r="W5" s="0" t="s">
        <v>55</v>
      </c>
      <c r="X5" s="0" t="s">
        <v>56</v>
      </c>
      <c r="Y5" s="0" t="s">
        <v>57</v>
      </c>
      <c r="Z5" s="0" t="s">
        <v>58</v>
      </c>
      <c r="AA5" s="0" t="s">
        <v>59</v>
      </c>
      <c r="AB5" s="0" t="s">
        <v>60</v>
      </c>
      <c r="AC5" s="0" t="s">
        <v>61</v>
      </c>
      <c r="AD5" s="0" t="s">
        <v>62</v>
      </c>
      <c r="AE5" s="0" t="s">
        <v>63</v>
      </c>
      <c r="AF5" s="0" t="s">
        <v>64</v>
      </c>
      <c r="AG5" s="0" t="s">
        <v>65</v>
      </c>
      <c r="AH5" s="0" t="s">
        <v>66</v>
      </c>
      <c r="AI5" s="0" t="s">
        <v>67</v>
      </c>
      <c r="AJ5" s="0" t="s">
        <v>68</v>
      </c>
      <c r="AK5" s="0" t="s">
        <v>69</v>
      </c>
      <c r="AL5" s="0" t="s">
        <v>70</v>
      </c>
      <c r="AM5" s="0" t="s">
        <v>71</v>
      </c>
      <c r="AN5" s="0" t="s">
        <v>72</v>
      </c>
      <c r="AO5" s="0" t="s">
        <v>73</v>
      </c>
      <c r="AP5" s="0" t="s">
        <v>74</v>
      </c>
      <c r="AQ5" s="0" t="s">
        <v>75</v>
      </c>
      <c r="AR5" s="0" t="s">
        <v>76</v>
      </c>
      <c r="AS5" s="0" t="s">
        <v>77</v>
      </c>
      <c r="AT5" s="0" t="s">
        <v>78</v>
      </c>
      <c r="AU5" s="0" t="s">
        <v>79</v>
      </c>
      <c r="AV5" s="0" t="s">
        <v>80</v>
      </c>
      <c r="AW5" s="0" t="s">
        <v>81</v>
      </c>
      <c r="AX5" s="0" t="s">
        <v>82</v>
      </c>
      <c r="AY5" s="0" t="s">
        <v>83</v>
      </c>
      <c r="AZ5" s="0" t="s">
        <v>84</v>
      </c>
      <c r="BA5" s="0" t="s">
        <v>85</v>
      </c>
      <c r="BB5" s="0" t="s">
        <v>86</v>
      </c>
      <c r="BC5" s="0" t="s">
        <v>87</v>
      </c>
      <c r="BD5" s="0" t="s">
        <v>88</v>
      </c>
      <c r="BE5" s="0" t="s">
        <v>89</v>
      </c>
      <c r="BF5" s="0" t="s">
        <v>90</v>
      </c>
      <c r="BG5" s="0" t="s">
        <v>91</v>
      </c>
      <c r="BH5" s="0" t="s">
        <v>92</v>
      </c>
      <c r="BI5" s="0" t="s">
        <v>93</v>
      </c>
      <c r="BJ5" s="0" t="s">
        <v>94</v>
      </c>
      <c r="BK5" s="0" t="s">
        <v>95</v>
      </c>
      <c r="BL5" s="0" t="s">
        <v>96</v>
      </c>
    </row>
    <row r="6" ht="15.75" customHeight="1">
      <c r="A6" s="27"/>
      <c r="B6" s="27" t="s">
        <v>97</v>
      </c>
      <c r="C6" s="30" t="s">
        <v>98</v>
      </c>
      <c r="D6" s="31">
        <v>100</v>
      </c>
      <c r="E6" s="30"/>
      <c r="F6" s="30"/>
      <c r="G6" s="30"/>
      <c r="H6" s="30"/>
      <c r="I6" s="30"/>
      <c r="J6" s="32">
        <v>10</v>
      </c>
      <c r="K6" s="30"/>
      <c r="L6" s="30"/>
      <c r="M6" s="30"/>
      <c r="N6" s="33">
        <f>TODAY()-1</f>
        <v>45854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30" t="s">
        <v>99</v>
      </c>
      <c r="C7" s="30" t="s">
        <v>100</v>
      </c>
      <c r="D7" s="32">
        <v>10</v>
      </c>
      <c r="E7" s="30"/>
      <c r="F7" s="30"/>
      <c r="G7" s="30"/>
      <c r="H7" s="30"/>
      <c r="I7" s="30"/>
      <c r="J7" s="32">
        <v>10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5A07184-CDDE-47E6-A2E9-3EC0D672102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6C2362C-890D-409E-9FC4-F4E0748939A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1081809-A26F-4F82-B080-4B560A7FE149}">
          <x14:formula1>
            <xm:f>CreateDoneAwayOrder!$4:$4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102</v>
      </c>
      <c r="C5" s="0" t="s">
        <v>103</v>
      </c>
      <c r="D5" s="0" t="s">
        <v>104</v>
      </c>
      <c r="E5" s="0" t="s">
        <v>105</v>
      </c>
    </row>
    <row r="6" ht="15.75" customHeight="1">
      <c r="A6" s="27"/>
      <c r="B6" s="34" t="s">
        <v>106</v>
      </c>
      <c r="C6" s="35" t="s">
        <v>107</v>
      </c>
      <c r="D6" s="35">
        <f>TODAY()</f>
        <v>45855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6F08BE8-8EB2-46DC-8039-3B272D6D232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9A528C8-9009-4358-9086-78CCF5CD504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415434F-E360-4FD6-8476-34ACC361C62B}">
          <x14:formula1>
            <xm:f>GetDataClosing!$4:$4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69</v>
      </c>
      <c r="C5" s="0" t="s">
        <v>109</v>
      </c>
      <c r="D5" s="0" t="s">
        <v>110</v>
      </c>
      <c r="E5" s="0" t="s">
        <v>111</v>
      </c>
      <c r="F5" s="0" t="s">
        <v>112</v>
      </c>
      <c r="G5" s="0" t="s">
        <v>113</v>
      </c>
      <c r="H5" s="0" t="s">
        <v>114</v>
      </c>
      <c r="I5" s="0" t="s">
        <v>115</v>
      </c>
      <c r="J5" s="0" t="s">
        <v>116</v>
      </c>
      <c r="K5" s="0" t="s">
        <v>39</v>
      </c>
      <c r="L5" s="0" t="s">
        <v>117</v>
      </c>
      <c r="M5" s="0" t="s">
        <v>118</v>
      </c>
      <c r="N5" s="0" t="s">
        <v>119</v>
      </c>
      <c r="O5" s="0" t="s">
        <v>120</v>
      </c>
      <c r="P5" s="0" t="s">
        <v>121</v>
      </c>
      <c r="Q5" s="0" t="s">
        <v>122</v>
      </c>
      <c r="R5" s="0" t="s">
        <v>123</v>
      </c>
      <c r="S5" s="0" t="s">
        <v>124</v>
      </c>
      <c r="T5" s="0" t="s">
        <v>125</v>
      </c>
      <c r="U5" s="0" t="s">
        <v>126</v>
      </c>
      <c r="V5" s="0" t="s">
        <v>127</v>
      </c>
      <c r="W5" s="0" t="s">
        <v>128</v>
      </c>
      <c r="X5" s="0" t="s">
        <v>51</v>
      </c>
      <c r="Y5" s="0" t="s">
        <v>129</v>
      </c>
      <c r="Z5" s="0" t="s">
        <v>130</v>
      </c>
      <c r="AA5" s="0" t="s">
        <v>131</v>
      </c>
      <c r="AB5" s="0" t="s">
        <v>132</v>
      </c>
      <c r="AC5" s="0" t="s">
        <v>133</v>
      </c>
      <c r="AD5" s="0" t="s">
        <v>134</v>
      </c>
      <c r="AE5" s="0" t="s">
        <v>135</v>
      </c>
      <c r="AF5" s="0" t="s">
        <v>136</v>
      </c>
      <c r="AG5" s="0" t="s">
        <v>137</v>
      </c>
      <c r="AH5" s="0" t="s">
        <v>138</v>
      </c>
      <c r="AI5" s="0" t="s">
        <v>139</v>
      </c>
      <c r="AJ5" s="0" t="s">
        <v>140</v>
      </c>
      <c r="AK5" s="0" t="s">
        <v>141</v>
      </c>
      <c r="AL5" s="0" t="s">
        <v>142</v>
      </c>
      <c r="AM5" s="0" t="s">
        <v>143</v>
      </c>
      <c r="AN5" s="0" t="s">
        <v>144</v>
      </c>
      <c r="AO5" s="0" t="s">
        <v>145</v>
      </c>
      <c r="AP5" s="0" t="s">
        <v>146</v>
      </c>
      <c r="AQ5" s="0" t="s">
        <v>147</v>
      </c>
      <c r="AR5" s="0" t="s">
        <v>148</v>
      </c>
      <c r="AS5" s="0" t="s">
        <v>149</v>
      </c>
      <c r="AT5" s="0" t="s">
        <v>150</v>
      </c>
      <c r="AU5" s="0" t="s">
        <v>151</v>
      </c>
      <c r="AV5" s="0" t="s">
        <v>152</v>
      </c>
      <c r="AW5" s="0" t="s">
        <v>153</v>
      </c>
      <c r="AX5" s="0" t="s">
        <v>154</v>
      </c>
      <c r="AY5" s="0" t="s">
        <v>155</v>
      </c>
      <c r="AZ5" s="0" t="s">
        <v>156</v>
      </c>
      <c r="BA5" s="0" t="s">
        <v>157</v>
      </c>
      <c r="BB5" s="0" t="s">
        <v>158</v>
      </c>
      <c r="BC5" s="0" t="s">
        <v>159</v>
      </c>
      <c r="BD5" s="0" t="s">
        <v>160</v>
      </c>
      <c r="BE5" s="0" t="s">
        <v>161</v>
      </c>
      <c r="BF5" s="0" t="s">
        <v>162</v>
      </c>
      <c r="BG5" s="0" t="s">
        <v>163</v>
      </c>
      <c r="BH5" s="0" t="s">
        <v>164</v>
      </c>
      <c r="BI5" s="0" t="s">
        <v>165</v>
      </c>
      <c r="BJ5" s="0" t="s">
        <v>166</v>
      </c>
      <c r="BK5" s="0" t="s">
        <v>167</v>
      </c>
      <c r="BL5" s="0" t="s">
        <v>168</v>
      </c>
      <c r="BM5" s="0" t="s">
        <v>169</v>
      </c>
      <c r="BN5" s="0" t="s">
        <v>170</v>
      </c>
      <c r="BO5" s="0" t="s">
        <v>171</v>
      </c>
      <c r="BP5" s="0" t="s">
        <v>172</v>
      </c>
      <c r="BQ5" s="0" t="s">
        <v>173</v>
      </c>
      <c r="BR5" s="0" t="s">
        <v>174</v>
      </c>
      <c r="BS5" s="0" t="s">
        <v>175</v>
      </c>
      <c r="BT5" s="0" t="s">
        <v>176</v>
      </c>
      <c r="BU5" s="0" t="s">
        <v>177</v>
      </c>
      <c r="BV5" s="0" t="s">
        <v>178</v>
      </c>
      <c r="BW5" s="0" t="s">
        <v>179</v>
      </c>
      <c r="BX5" s="0" t="s">
        <v>180</v>
      </c>
      <c r="BY5" s="0" t="s">
        <v>181</v>
      </c>
      <c r="BZ5" s="0" t="s">
        <v>182</v>
      </c>
      <c r="CA5" s="0" t="s">
        <v>183</v>
      </c>
      <c r="CB5" s="0" t="s">
        <v>184</v>
      </c>
      <c r="CC5" s="0" t="s">
        <v>185</v>
      </c>
      <c r="CD5" s="0" t="s">
        <v>186</v>
      </c>
      <c r="CE5" s="0" t="s">
        <v>187</v>
      </c>
      <c r="CF5" s="0" t="s">
        <v>188</v>
      </c>
      <c r="CG5" s="0" t="s">
        <v>36</v>
      </c>
      <c r="CH5" s="0" t="s">
        <v>189</v>
      </c>
      <c r="CI5" s="0" t="s">
        <v>190</v>
      </c>
      <c r="CJ5" s="0" t="s">
        <v>191</v>
      </c>
      <c r="CK5" s="0" t="s">
        <v>192</v>
      </c>
      <c r="CL5" s="0" t="s">
        <v>193</v>
      </c>
      <c r="CM5" s="0" t="s">
        <v>194</v>
      </c>
      <c r="CN5" s="0" t="s">
        <v>195</v>
      </c>
      <c r="CO5" s="0" t="s">
        <v>196</v>
      </c>
      <c r="CP5" s="0" t="s">
        <v>197</v>
      </c>
      <c r="CQ5" s="0" t="s">
        <v>198</v>
      </c>
      <c r="CR5" s="0" t="s">
        <v>199</v>
      </c>
      <c r="CS5" s="0" t="s">
        <v>200</v>
      </c>
      <c r="CT5" s="0" t="s">
        <v>201</v>
      </c>
      <c r="CU5" s="0" t="s">
        <v>202</v>
      </c>
      <c r="CV5" s="0" t="s">
        <v>203</v>
      </c>
      <c r="CW5" s="0" t="s">
        <v>204</v>
      </c>
      <c r="CX5" s="0" t="s">
        <v>205</v>
      </c>
      <c r="CY5" s="0" t="s">
        <v>206</v>
      </c>
      <c r="CZ5" s="0" t="s">
        <v>207</v>
      </c>
      <c r="DA5" s="0" t="s">
        <v>208</v>
      </c>
      <c r="DB5" s="0" t="s">
        <v>209</v>
      </c>
      <c r="DC5" s="0" t="s">
        <v>210</v>
      </c>
      <c r="DD5" s="0" t="s">
        <v>45</v>
      </c>
      <c r="DE5" s="0" t="s">
        <v>211</v>
      </c>
      <c r="DF5" s="0" t="s">
        <v>212</v>
      </c>
      <c r="DG5" s="0" t="s">
        <v>213</v>
      </c>
      <c r="DH5" s="0" t="s">
        <v>34</v>
      </c>
      <c r="DI5" s="0" t="s">
        <v>214</v>
      </c>
      <c r="DJ5" s="0" t="s">
        <v>215</v>
      </c>
      <c r="DK5" s="0" t="s">
        <v>216</v>
      </c>
      <c r="DL5" s="0" t="s">
        <v>217</v>
      </c>
      <c r="DM5" s="0" t="s">
        <v>218</v>
      </c>
      <c r="DN5" s="0" t="s">
        <v>219</v>
      </c>
      <c r="DO5" s="0" t="s">
        <v>220</v>
      </c>
      <c r="DP5" s="0" t="s">
        <v>221</v>
      </c>
      <c r="DQ5" s="0" t="s">
        <v>222</v>
      </c>
      <c r="DR5" s="0" t="s">
        <v>54</v>
      </c>
      <c r="DS5" s="0" t="s">
        <v>55</v>
      </c>
      <c r="DT5" s="0" t="s">
        <v>56</v>
      </c>
      <c r="DU5" s="0" t="s">
        <v>57</v>
      </c>
      <c r="DV5" s="0" t="s">
        <v>58</v>
      </c>
      <c r="DW5" s="0" t="s">
        <v>59</v>
      </c>
      <c r="DX5" s="0" t="s">
        <v>223</v>
      </c>
      <c r="DY5" s="0" t="s">
        <v>224</v>
      </c>
      <c r="DZ5" s="0" t="s">
        <v>225</v>
      </c>
      <c r="EA5" s="0" t="s">
        <v>226</v>
      </c>
      <c r="EB5" s="0" t="s">
        <v>227</v>
      </c>
      <c r="EC5" s="0" t="s">
        <v>228</v>
      </c>
      <c r="ED5" s="0" t="s">
        <v>229</v>
      </c>
      <c r="EE5" s="0" t="s">
        <v>230</v>
      </c>
      <c r="EF5" s="0" t="s">
        <v>231</v>
      </c>
      <c r="EG5" s="0" t="s">
        <v>232</v>
      </c>
      <c r="EH5" s="0" t="s">
        <v>60</v>
      </c>
      <c r="EI5" s="0" t="s">
        <v>233</v>
      </c>
      <c r="EJ5" s="0" t="s">
        <v>234</v>
      </c>
      <c r="EK5" s="0" t="s">
        <v>235</v>
      </c>
      <c r="EL5" s="0" t="s">
        <v>236</v>
      </c>
      <c r="EM5" s="0" t="s">
        <v>237</v>
      </c>
      <c r="EN5" s="0" t="s">
        <v>238</v>
      </c>
      <c r="EO5" s="0" t="s">
        <v>239</v>
      </c>
      <c r="EP5" s="0" t="s">
        <v>240</v>
      </c>
      <c r="EQ5" s="0" t="s">
        <v>241</v>
      </c>
      <c r="ER5" s="0" t="s">
        <v>242</v>
      </c>
    </row>
    <row r="6" ht="15.75" customHeight="1">
      <c r="A6" s="27"/>
      <c r="B6" s="34" t="s">
        <v>243</v>
      </c>
      <c r="C6" s="30"/>
      <c r="D6" s="27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6" t="s">
        <v>99</v>
      </c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73E7437-2611-4715-A44C-2A67B1D9D1F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9E39C22-1F77-4526-A8AD-F38226E29A24}">
          <x14:formula1>
            <xm:f>SelectTradeUnexpiredUnsettled!$4:$4</xm:f>
          </x14:formula1>
          <xm:sqref>E3</xm:sqref>
        </x14:dataValidation>
        <x14:dataValidation type="list" allowBlank="1" showInputMessage="1" showErrorMessage="1" prompt="Choose an available module" xr:uid="{42272139-9D9D-4D99-84F0-729F2D9BD537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69</v>
      </c>
      <c r="C5" s="0" t="s">
        <v>245</v>
      </c>
      <c r="D5" s="0" t="s">
        <v>109</v>
      </c>
      <c r="E5" s="0" t="s">
        <v>246</v>
      </c>
      <c r="F5" s="0" t="s">
        <v>247</v>
      </c>
      <c r="G5" s="0" t="s">
        <v>248</v>
      </c>
      <c r="H5" s="0" t="s">
        <v>113</v>
      </c>
      <c r="I5" s="0" t="s">
        <v>249</v>
      </c>
      <c r="J5" s="0" t="s">
        <v>115</v>
      </c>
      <c r="K5" s="0" t="s">
        <v>250</v>
      </c>
      <c r="L5" s="0" t="s">
        <v>39</v>
      </c>
      <c r="M5" s="0" t="s">
        <v>251</v>
      </c>
      <c r="N5" s="0" t="s">
        <v>252</v>
      </c>
      <c r="O5" s="0" t="s">
        <v>127</v>
      </c>
      <c r="P5" s="0" t="s">
        <v>253</v>
      </c>
      <c r="Q5" s="0" t="s">
        <v>254</v>
      </c>
      <c r="R5" s="0" t="s">
        <v>145</v>
      </c>
      <c r="S5" s="0" t="s">
        <v>255</v>
      </c>
      <c r="T5" s="0" t="s">
        <v>256</v>
      </c>
      <c r="U5" s="0" t="s">
        <v>257</v>
      </c>
      <c r="V5" s="0" t="s">
        <v>258</v>
      </c>
      <c r="W5" s="0" t="s">
        <v>259</v>
      </c>
      <c r="X5" s="0" t="s">
        <v>151</v>
      </c>
      <c r="Y5" s="0" t="s">
        <v>260</v>
      </c>
      <c r="Z5" s="0" t="s">
        <v>261</v>
      </c>
      <c r="AA5" s="0" t="s">
        <v>262</v>
      </c>
      <c r="AB5" s="0" t="s">
        <v>263</v>
      </c>
      <c r="AC5" s="0" t="s">
        <v>162</v>
      </c>
      <c r="AD5" s="0" t="s">
        <v>264</v>
      </c>
      <c r="AE5" s="0" t="s">
        <v>265</v>
      </c>
      <c r="AF5" s="0" t="s">
        <v>266</v>
      </c>
      <c r="AG5" s="0" t="s">
        <v>267</v>
      </c>
      <c r="AH5" s="0" t="s">
        <v>268</v>
      </c>
      <c r="AI5" s="0" t="s">
        <v>269</v>
      </c>
      <c r="AJ5" s="0" t="s">
        <v>270</v>
      </c>
      <c r="AK5" s="0" t="s">
        <v>271</v>
      </c>
      <c r="AL5" s="0" t="s">
        <v>272</v>
      </c>
      <c r="AM5" s="0" t="s">
        <v>174</v>
      </c>
      <c r="AN5" s="0" t="s">
        <v>273</v>
      </c>
      <c r="AO5" s="0" t="s">
        <v>178</v>
      </c>
      <c r="AP5" s="0" t="s">
        <v>274</v>
      </c>
      <c r="AQ5" s="0" t="s">
        <v>275</v>
      </c>
      <c r="AR5" s="0" t="s">
        <v>276</v>
      </c>
      <c r="AS5" s="0" t="s">
        <v>277</v>
      </c>
      <c r="AT5" s="0" t="s">
        <v>185</v>
      </c>
      <c r="AU5" s="0" t="s">
        <v>278</v>
      </c>
      <c r="AV5" s="0" t="s">
        <v>279</v>
      </c>
      <c r="AW5" s="0" t="s">
        <v>36</v>
      </c>
      <c r="AX5" s="0" t="s">
        <v>280</v>
      </c>
      <c r="AY5" s="0" t="s">
        <v>281</v>
      </c>
      <c r="AZ5" s="0" t="s">
        <v>282</v>
      </c>
      <c r="BA5" s="0" t="s">
        <v>283</v>
      </c>
      <c r="BB5" s="0" t="s">
        <v>284</v>
      </c>
      <c r="BC5" s="0" t="s">
        <v>285</v>
      </c>
      <c r="BD5" s="0" t="s">
        <v>286</v>
      </c>
      <c r="BE5" s="0" t="s">
        <v>287</v>
      </c>
      <c r="BF5" s="0" t="s">
        <v>288</v>
      </c>
      <c r="BG5" s="0" t="s">
        <v>289</v>
      </c>
      <c r="BH5" s="0" t="s">
        <v>290</v>
      </c>
      <c r="BI5" s="0" t="s">
        <v>291</v>
      </c>
      <c r="BJ5" s="0" t="s">
        <v>45</v>
      </c>
      <c r="BK5" s="0" t="s">
        <v>211</v>
      </c>
      <c r="BL5" s="0" t="s">
        <v>34</v>
      </c>
      <c r="BM5" s="0" t="s">
        <v>292</v>
      </c>
      <c r="BN5" s="0" t="s">
        <v>293</v>
      </c>
      <c r="BO5" s="0" t="s">
        <v>294</v>
      </c>
      <c r="BP5" s="0" t="s">
        <v>46</v>
      </c>
      <c r="BQ5" s="0" t="s">
        <v>295</v>
      </c>
      <c r="BR5" s="0" t="s">
        <v>296</v>
      </c>
      <c r="BS5" s="0" t="s">
        <v>297</v>
      </c>
      <c r="BT5" s="0" t="s">
        <v>298</v>
      </c>
      <c r="BU5" s="0" t="s">
        <v>299</v>
      </c>
      <c r="BV5" s="0" t="s">
        <v>60</v>
      </c>
      <c r="BW5" s="0" t="s">
        <v>202</v>
      </c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O6" s="30"/>
      <c r="BE6" s="30" t="s">
        <v>300</v>
      </c>
      <c r="BF6" s="30"/>
      <c r="BG6" s="30"/>
      <c r="BH6" s="30"/>
      <c r="BI6" s="30"/>
      <c r="BJ6" s="30"/>
      <c r="BK6" s="30"/>
      <c r="BL6" s="36" t="s">
        <v>99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O7" s="30"/>
      <c r="BE7" s="30" t="s">
        <v>301</v>
      </c>
      <c r="BF7" s="30"/>
      <c r="BG7" s="30"/>
      <c r="BH7" s="30"/>
      <c r="BI7" s="30"/>
      <c r="BJ7" s="30"/>
      <c r="BK7" s="30"/>
      <c r="BL7" s="36" t="s">
        <v>99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9283286-D7D1-4698-A21E-314BAD7BEFE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EC38B26-6FEE-48F0-A7D6-A1722BB2E52E}">
          <x14:formula1>
            <xm:f>ExerciseAssignment!$4:$4</xm:f>
          </x14:formula1>
          <xm:sqref>E3</xm:sqref>
        </x14:dataValidation>
        <x14:dataValidation type="list" allowBlank="1" showInputMessage="1" showErrorMessage="1" prompt="Choose an available module" xr:uid="{95BF58FD-AE2D-48F1-BD8C-B9A2F40475C5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