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RunProrata" sheetId="6" r:id="rId8"/>
    <sheet state="visible" name="CreateDoneAwayOrder1" sheetId="7" r:id="rId9"/>
    <sheet state="visible" name="SelectUnallocatedGroup" sheetId="8" r:id="rId10"/>
    <sheet state="visible" name="EnterAllocatePreference" sheetId="9" r:id="rId11"/>
    <sheet state="visible" name="CheckAllocatedGroups" sheetId="10" r:id="rId12"/>
  </sheets>
  <definedNames/>
  <calcPr/>
</workbook>
</file>

<file path=xl/sharedStrings.xml><?xml version="1.0" encoding="utf-8"?>
<sst xmlns="http://schemas.openxmlformats.org/spreadsheetml/2006/main" count="118" uniqueCount="37">
  <si>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</si>
  <si>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</si>
  <si>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</si>
  <si>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</si>
  <si>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</si>
  <si>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</si>
  <si>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</si>
  <si>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</si>
  <si>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</si>
  <si>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</si>
  <si>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</si>
  <si>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</si>
  <si>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</si>
  <si>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</si>
  <si>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</si>
  <si>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</si>
  <si>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IBM</t>
  </si>
  <si>
    <t>Buy</t>
  </si>
  <si>
    <t>Allocation1,Allocation2</t>
  </si>
  <si>
    <t>40,60</t>
  </si>
  <si>
    <t>Allocation</t>
  </si>
  <si>
    <t>SetGeneralPreferences</t>
  </si>
  <si>
    <t>Nirvana</t>
  </si>
  <si>
    <t>RunProrata</t>
  </si>
  <si>
    <t>Symbol</t>
  </si>
  <si>
    <t>Unallocated</t>
  </si>
  <si>
    <t>SelectUnallocatedGroup</t>
  </si>
  <si>
    <t>EnterAllocatePreference</t>
  </si>
  <si>
    <t>Fixed</t>
  </si>
  <si>
    <t>CheckAllocatedGroups</t>
  </si>
  <si>
    <t>Multiple</t>
  </si>
  <si>
    <t>Equity</t>
  </si>
  <si>
    <t>IBM US EQUITY</t>
  </si>
  <si>
    <t>MS</t>
  </si>
  <si>
    <t>USD</t>
  </si>
  <si>
    <t>NYSE</t>
  </si>
  <si>
    <t>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</si>
</sst>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5"/>
      <c r="F6" s="35"/>
      <c r="G6" s="35"/>
      <c r="H6" s="35"/>
      <c r="I6" s="35"/>
      <c r="J6" s="36">
        <v>12.0</v>
      </c>
      <c r="K6" s="35"/>
      <c r="L6" s="35"/>
      <c r="M6" s="35"/>
      <c r="N6" s="37">
        <f>Today()-1</f>
        <v>45816</v>
      </c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 t="s">
        <v>18</v>
      </c>
      <c r="AL6" s="35" t="s">
        <v>19</v>
      </c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 t="s">
        <v>22</v>
      </c>
      <c r="Y6" s="35"/>
      <c r="Z6" s="38" t="b">
        <v>1</v>
      </c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IFERROR(__xludf.DUMMYFUNCTION("""COMPUTED_VALUE"""),"Date")</f>
        <v>Date</v>
      </c>
      <c r="C5" s="28" t="str">
        <f>IFERROR(__xludf.DUMMYFUNCTION("""COMPUTED_VALUE"""),"SchemeName")</f>
        <v>SchemeName</v>
      </c>
      <c r="D5" s="28" t="str">
        <f>IFERROR(__xludf.DUMMYFUNCTION("""COMPUTED_VALUE"""),"SchemeBasis")</f>
        <v>SchemeBasis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f>today()-1</f>
        <v>45816</v>
      </c>
      <c r="C6" s="35" t="s">
        <v>22</v>
      </c>
      <c r="D6" s="32" t="s">
        <v>24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RunProrata!$4:$4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200.0</v>
      </c>
      <c r="E6" s="35"/>
      <c r="F6" s="33" t="s">
        <v>25</v>
      </c>
      <c r="G6" s="35"/>
      <c r="H6" s="35"/>
      <c r="I6" s="35"/>
      <c r="J6" s="36">
        <v>12.0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200.0</v>
      </c>
      <c r="E6" s="36">
        <v>200.0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28</v>
      </c>
      <c r="C6" s="33" t="s">
        <v>22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30</v>
      </c>
      <c r="C6" s="35"/>
      <c r="D6" s="31"/>
      <c r="E6" s="36">
        <v>200.0</v>
      </c>
      <c r="F6" s="33" t="s">
        <v>22</v>
      </c>
      <c r="G6" s="33" t="s">
        <v>31</v>
      </c>
      <c r="H6" s="35"/>
      <c r="I6" s="35"/>
      <c r="J6" s="36">
        <v>15.0</v>
      </c>
      <c r="K6" s="36">
        <v>12.0</v>
      </c>
      <c r="L6" s="36">
        <v>12.0</v>
      </c>
      <c r="M6" s="33" t="s">
        <v>32</v>
      </c>
      <c r="N6" s="35"/>
      <c r="O6" s="33" t="s">
        <v>33</v>
      </c>
      <c r="P6" s="35"/>
      <c r="Q6" s="35"/>
      <c r="R6" s="35"/>
      <c r="S6" s="35"/>
      <c r="T6" s="35"/>
      <c r="U6" s="35"/>
      <c r="V6" s="35" t="s">
        <v>16</v>
      </c>
      <c r="W6" s="35"/>
      <c r="X6" s="35"/>
      <c r="Y6" s="35"/>
      <c r="Z6" s="35" t="s">
        <v>34</v>
      </c>
      <c r="AA6" s="35"/>
      <c r="AB6" s="35"/>
      <c r="AC6" s="35"/>
      <c r="AD6" s="35" t="s">
        <v>35</v>
      </c>
      <c r="AE6" s="40">
        <v>200.0</v>
      </c>
      <c r="AF6" s="35"/>
      <c r="AG6" s="35"/>
      <c r="AH6" s="35" t="s">
        <v>36</v>
      </c>
      <c r="AI6" s="40">
        <v>1.0</v>
      </c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40">
        <v>200.0</v>
      </c>
      <c r="BK6" s="35"/>
      <c r="BL6" s="35"/>
      <c r="BM6" s="35"/>
      <c r="BN6" s="35"/>
      <c r="BO6" s="35" t="s">
        <v>17</v>
      </c>
      <c r="BP6" s="35"/>
      <c r="BQ6" s="35"/>
      <c r="BR6" s="35"/>
      <c r="BS6" s="35"/>
      <c r="BT6" s="35" t="s">
        <v>16</v>
      </c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30</v>
      </c>
      <c r="C7" s="35"/>
      <c r="D7" s="35"/>
      <c r="E7" s="36">
        <v>200.0</v>
      </c>
      <c r="F7" s="33" t="s">
        <v>22</v>
      </c>
      <c r="G7" s="33" t="s">
        <v>31</v>
      </c>
      <c r="H7" s="35"/>
      <c r="I7" s="35"/>
      <c r="J7" s="36">
        <v>15.0</v>
      </c>
      <c r="K7" s="36">
        <v>12.0</v>
      </c>
      <c r="L7" s="36">
        <v>12.0</v>
      </c>
      <c r="M7" s="33" t="s">
        <v>32</v>
      </c>
      <c r="N7" s="35"/>
      <c r="O7" s="33" t="s">
        <v>33</v>
      </c>
      <c r="P7" s="35"/>
      <c r="Q7" s="35"/>
      <c r="R7" s="35"/>
      <c r="S7" s="35"/>
      <c r="T7" s="35"/>
      <c r="U7" s="35"/>
      <c r="V7" s="35" t="s">
        <v>16</v>
      </c>
      <c r="W7" s="35"/>
      <c r="X7" s="35"/>
      <c r="Y7" s="35"/>
      <c r="Z7" s="35" t="s">
        <v>34</v>
      </c>
      <c r="AA7" s="35"/>
      <c r="AB7" s="35"/>
      <c r="AC7" s="35"/>
      <c r="AD7" s="35" t="s">
        <v>35</v>
      </c>
      <c r="AE7" s="40">
        <v>200.0</v>
      </c>
      <c r="AF7" s="35"/>
      <c r="AG7" s="35"/>
      <c r="AH7" s="35" t="s">
        <v>36</v>
      </c>
      <c r="AI7" s="40">
        <v>1.0</v>
      </c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40">
        <v>200.0</v>
      </c>
      <c r="BK7" s="35"/>
      <c r="BL7" s="35"/>
      <c r="BM7" s="35"/>
      <c r="BN7" s="35"/>
      <c r="BO7" s="35" t="s">
        <v>17</v>
      </c>
      <c r="BP7" s="35"/>
      <c r="BQ7" s="35"/>
      <c r="BR7" s="35"/>
      <c r="BS7" s="35"/>
      <c r="BT7" s="35" t="s">
        <v>16</v>
      </c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3" t="s">
        <v>30</v>
      </c>
      <c r="C8" s="35"/>
      <c r="D8" s="35"/>
      <c r="E8" s="36">
        <v>200.0</v>
      </c>
      <c r="F8" s="33" t="s">
        <v>22</v>
      </c>
      <c r="G8" s="33" t="s">
        <v>31</v>
      </c>
      <c r="H8" s="35"/>
      <c r="I8" s="35"/>
      <c r="J8" s="36">
        <v>15.0</v>
      </c>
      <c r="K8" s="36">
        <v>12.0</v>
      </c>
      <c r="L8" s="36">
        <v>12.0</v>
      </c>
      <c r="M8" s="33" t="s">
        <v>32</v>
      </c>
      <c r="N8" s="35"/>
      <c r="O8" s="33" t="s">
        <v>33</v>
      </c>
      <c r="P8" s="35"/>
      <c r="Q8" s="35"/>
      <c r="R8" s="35"/>
      <c r="S8" s="35"/>
      <c r="T8" s="35"/>
      <c r="U8" s="35"/>
      <c r="V8" s="35" t="s">
        <v>16</v>
      </c>
      <c r="W8" s="35"/>
      <c r="X8" s="35"/>
      <c r="Y8" s="35"/>
      <c r="Z8" s="35" t="s">
        <v>34</v>
      </c>
      <c r="AA8" s="35"/>
      <c r="AB8" s="35"/>
      <c r="AC8" s="35"/>
      <c r="AD8" s="35" t="s">
        <v>35</v>
      </c>
      <c r="AE8" s="40">
        <v>200.0</v>
      </c>
      <c r="AF8" s="35"/>
      <c r="AG8" s="35"/>
      <c r="AH8" s="35" t="s">
        <v>36</v>
      </c>
      <c r="AI8" s="40">
        <v>1.0</v>
      </c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40">
        <v>200.0</v>
      </c>
      <c r="BK8" s="35"/>
      <c r="BL8" s="35"/>
      <c r="BM8" s="35"/>
      <c r="BN8" s="35"/>
      <c r="BO8" s="35" t="s">
        <v>17</v>
      </c>
      <c r="BP8" s="35"/>
      <c r="BQ8" s="35"/>
      <c r="BR8" s="35"/>
      <c r="BS8" s="35"/>
      <c r="BT8" s="35" t="s">
        <v>16</v>
      </c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3" t="s">
        <v>30</v>
      </c>
      <c r="C9" s="35"/>
      <c r="D9" s="35"/>
      <c r="E9" s="36">
        <v>200.0</v>
      </c>
      <c r="F9" s="33" t="s">
        <v>22</v>
      </c>
      <c r="G9" s="33" t="s">
        <v>31</v>
      </c>
      <c r="H9" s="35"/>
      <c r="I9" s="35"/>
      <c r="J9" s="36">
        <v>15.0</v>
      </c>
      <c r="K9" s="36">
        <v>12.0</v>
      </c>
      <c r="L9" s="36">
        <v>12.0</v>
      </c>
      <c r="M9" s="33" t="s">
        <v>32</v>
      </c>
      <c r="N9" s="35"/>
      <c r="O9" s="33" t="s">
        <v>33</v>
      </c>
      <c r="P9" s="35"/>
      <c r="Q9" s="35"/>
      <c r="R9" s="35"/>
      <c r="S9" s="35"/>
      <c r="T9" s="35"/>
      <c r="U9" s="35"/>
      <c r="V9" s="35" t="s">
        <v>16</v>
      </c>
      <c r="W9" s="35"/>
      <c r="X9" s="35"/>
      <c r="Y9" s="35"/>
      <c r="Z9" s="35" t="s">
        <v>34</v>
      </c>
      <c r="AA9" s="35"/>
      <c r="AB9" s="35"/>
      <c r="AC9" s="35"/>
      <c r="AD9" s="35" t="s">
        <v>35</v>
      </c>
      <c r="AE9" s="40">
        <v>200.0</v>
      </c>
      <c r="AF9" s="35"/>
      <c r="AG9" s="35"/>
      <c r="AH9" s="35" t="s">
        <v>36</v>
      </c>
      <c r="AI9" s="40">
        <v>1.0</v>
      </c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40">
        <v>200.0</v>
      </c>
      <c r="BK9" s="35"/>
      <c r="BL9" s="35"/>
      <c r="BM9" s="35"/>
      <c r="BN9" s="35"/>
      <c r="BO9" s="35" t="s">
        <v>17</v>
      </c>
      <c r="BP9" s="35"/>
      <c r="BQ9" s="35"/>
      <c r="BR9" s="35"/>
      <c r="BS9" s="35"/>
      <c r="BT9" s="35" t="s">
        <v>16</v>
      </c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