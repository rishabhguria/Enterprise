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5" activeTab="8"/>
  </bookViews>
  <sheets>
    <sheet name="_Modules" sheetId="1" r:id="rId1"/>
    <sheet name="_Settings" sheetId="2" r:id="rId2"/>
    <sheet name="_MasterData" sheetId="3" r:id="rId3"/>
    <sheet name="CreateDoneAwayOrder" sheetId="4" r:id="rId4"/>
    <sheet name="CheckUnallocatedGroups" sheetId="5" r:id="rId5"/>
    <sheet name="VerifyWorkingSubs" sheetId="6" r:id="rId6"/>
    <sheet name="VerifyOrder" sheetId="7" r:id="rId7"/>
    <sheet name="VerifySubOrder" sheetId="8" r:id="rId8"/>
    <sheet name="CheckPortfolioManagement" sheetId="9" r:id="rId9"/>
    <sheet name="GetDataAllocation" sheetId="10" r:id="rId10"/>
  </sheets>
  <calcPr calcId="145621"/>
</workbook>
</file>

<file path=xl/calcChain.xml><?xml version="1.0" encoding="utf-8"?>
<calcChain xmlns="http://schemas.openxmlformats.org/spreadsheetml/2006/main">
  <c r="BK5" i="9" l="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FI5" i="9"/>
  <c r="FA5" i="9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FJ4" i="9"/>
  <c r="FB4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FH5" i="9"/>
  <c r="EZ5" i="9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FI4" i="9"/>
  <c r="FA4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FG5" i="9"/>
  <c r="EY5" i="9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FH4" i="9"/>
  <c r="EZ4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FM5" i="9"/>
  <c r="FE5" i="9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FF4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FL5" i="9"/>
  <c r="FD5" i="9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FM4" i="9"/>
  <c r="FE4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FK5" i="9"/>
  <c r="FC5" i="9"/>
  <c r="EU5" i="9"/>
  <c r="EM5" i="9"/>
  <c r="EE5" i="9"/>
  <c r="DW5" i="9"/>
  <c r="DO5" i="9"/>
  <c r="DG5" i="9"/>
  <c r="CY5" i="9"/>
  <c r="CQ5" i="9"/>
  <c r="CI5" i="9"/>
  <c r="CA5" i="9"/>
  <c r="BS5" i="9"/>
  <c r="BC5" i="9"/>
  <c r="AU5" i="9"/>
  <c r="AM5" i="9"/>
  <c r="AE5" i="9"/>
  <c r="W5" i="9"/>
  <c r="O5" i="9"/>
  <c r="G5" i="9"/>
  <c r="FL4" i="9"/>
  <c r="FD4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FB5" i="9"/>
  <c r="DV5" i="9"/>
  <c r="CP5" i="9"/>
  <c r="BJ5" i="9"/>
  <c r="AD5" i="9"/>
  <c r="FK4" i="9"/>
  <c r="EE4" i="9"/>
  <c r="CY4" i="9"/>
  <c r="BS4" i="9"/>
  <c r="AM4" i="9"/>
  <c r="G4" i="9"/>
  <c r="EG5" i="8"/>
  <c r="DK5" i="8"/>
  <c r="CU5" i="8"/>
  <c r="CG5" i="8"/>
  <c r="BV5" i="8"/>
  <c r="BH5" i="8"/>
  <c r="AW5" i="8"/>
  <c r="AI5" i="8"/>
  <c r="U5" i="8"/>
  <c r="J5" i="8"/>
  <c r="ET4" i="8"/>
  <c r="EI4" i="8"/>
  <c r="DU4" i="8"/>
  <c r="DG4" i="8"/>
  <c r="CV4" i="8"/>
  <c r="CH4" i="8"/>
  <c r="BW4" i="8"/>
  <c r="BI4" i="8"/>
  <c r="AU4" i="8"/>
  <c r="AJ4" i="8"/>
  <c r="V4" i="8"/>
  <c r="K4" i="8"/>
  <c r="EU5" i="7"/>
  <c r="EK5" i="7"/>
  <c r="DY5" i="7"/>
  <c r="DO5" i="7"/>
  <c r="DE5" i="7"/>
  <c r="CU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AK4" i="10"/>
  <c r="EX5" i="9"/>
  <c r="DR5" i="9"/>
  <c r="CL5" i="9"/>
  <c r="BF5" i="9"/>
  <c r="Z5" i="9"/>
  <c r="FG4" i="9"/>
  <c r="EA4" i="9"/>
  <c r="CU4" i="9"/>
  <c r="BO4" i="9"/>
  <c r="AI4" i="9"/>
  <c r="C4" i="9"/>
  <c r="EC5" i="8"/>
  <c r="DJ5" i="8"/>
  <c r="CT5" i="8"/>
  <c r="CF5" i="8"/>
  <c r="BU5" i="8"/>
  <c r="BG5" i="8"/>
  <c r="AS5" i="8"/>
  <c r="AH5" i="8"/>
  <c r="T5" i="8"/>
  <c r="I5" i="8"/>
  <c r="ES4" i="8"/>
  <c r="EE4" i="8"/>
  <c r="DT4" i="8"/>
  <c r="DF4" i="8"/>
  <c r="CU4" i="8"/>
  <c r="CG4" i="8"/>
  <c r="BS4" i="8"/>
  <c r="BH4" i="8"/>
  <c r="AT4" i="8"/>
  <c r="AI4" i="8"/>
  <c r="U4" i="8"/>
  <c r="G4" i="8"/>
  <c r="ET5" i="7"/>
  <c r="EI5" i="7"/>
  <c r="DX5" i="7"/>
  <c r="DN5" i="7"/>
  <c r="DC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AC4" i="10"/>
  <c r="ET5" i="9"/>
  <c r="DN5" i="9"/>
  <c r="CH5" i="9"/>
  <c r="BB5" i="9"/>
  <c r="V5" i="9"/>
  <c r="FC4" i="9"/>
  <c r="DW4" i="9"/>
  <c r="CQ4" i="9"/>
  <c r="BK4" i="9"/>
  <c r="AE4" i="9"/>
  <c r="EW5" i="8"/>
  <c r="EA5" i="8"/>
  <c r="DI5" i="8"/>
  <c r="CS5" i="8"/>
  <c r="CE5" i="8"/>
  <c r="BQ5" i="8"/>
  <c r="BF5" i="8"/>
  <c r="AR5" i="8"/>
  <c r="AG5" i="8"/>
  <c r="S5" i="8"/>
  <c r="E5" i="8"/>
  <c r="ER4" i="8"/>
  <c r="ED4" i="8"/>
  <c r="DS4" i="8"/>
  <c r="DE4" i="8"/>
  <c r="CQ4" i="8"/>
  <c r="CF4" i="8"/>
  <c r="BR4" i="8"/>
  <c r="BG4" i="8"/>
  <c r="AS4" i="8"/>
  <c r="AE4" i="8"/>
  <c r="T4" i="8"/>
  <c r="F4" i="8"/>
  <c r="ES5" i="7"/>
  <c r="EG5" i="7"/>
  <c r="DW5" i="7"/>
  <c r="DM5" i="7"/>
  <c r="DA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U4" i="10"/>
  <c r="EP5" i="9"/>
  <c r="DJ5" i="9"/>
  <c r="CD5" i="9"/>
  <c r="AX5" i="9"/>
  <c r="R5" i="9"/>
  <c r="EY4" i="9"/>
  <c r="DS4" i="9"/>
  <c r="CM4" i="9"/>
  <c r="BG4" i="9"/>
  <c r="AA4" i="9"/>
  <c r="ES5" i="8"/>
  <c r="DY5" i="8"/>
  <c r="DE5" i="8"/>
  <c r="CO5" i="8"/>
  <c r="CD5" i="8"/>
  <c r="BP5" i="8"/>
  <c r="BE5" i="8"/>
  <c r="AQ5" i="8"/>
  <c r="AC5" i="8"/>
  <c r="R5" i="8"/>
  <c r="D5" i="8"/>
  <c r="EQ4" i="8"/>
  <c r="EC4" i="8"/>
  <c r="DO4" i="8"/>
  <c r="DD4" i="8"/>
  <c r="CP4" i="8"/>
  <c r="CE4" i="8"/>
  <c r="BQ4" i="8"/>
  <c r="BC4" i="8"/>
  <c r="AR4" i="8"/>
  <c r="AD4" i="8"/>
  <c r="S4" i="8"/>
  <c r="E4" i="8"/>
  <c r="EQ5" i="7"/>
  <c r="EF5" i="7"/>
  <c r="DV5" i="7"/>
  <c r="DK5" i="7"/>
  <c r="CZ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M4" i="10"/>
  <c r="EL5" i="9"/>
  <c r="DF5" i="9"/>
  <c r="BZ5" i="9"/>
  <c r="AT5" i="9"/>
  <c r="N5" i="9"/>
  <c r="EU4" i="9"/>
  <c r="DO4" i="9"/>
  <c r="CI4" i="9"/>
  <c r="BC4" i="9"/>
  <c r="W4" i="9"/>
  <c r="EQ5" i="8"/>
  <c r="DU5" i="8"/>
  <c r="DC5" i="8"/>
  <c r="CN5" i="8"/>
  <c r="CC5" i="8"/>
  <c r="BO5" i="8"/>
  <c r="BA5" i="8"/>
  <c r="AP5" i="8"/>
  <c r="AB5" i="8"/>
  <c r="Q5" i="8"/>
  <c r="C5" i="8"/>
  <c r="EM4" i="8"/>
  <c r="EB4" i="8"/>
  <c r="DN4" i="8"/>
  <c r="DC4" i="8"/>
  <c r="CO4" i="8"/>
  <c r="CA4" i="8"/>
  <c r="BP4" i="8"/>
  <c r="BB4" i="8"/>
  <c r="AQ4" i="8"/>
  <c r="AC4" i="8"/>
  <c r="O4" i="8"/>
  <c r="D4" i="8"/>
  <c r="EO5" i="7"/>
  <c r="EE5" i="7"/>
  <c r="DU5" i="7"/>
  <c r="DI5" i="7"/>
  <c r="CY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E4" i="10"/>
  <c r="EH5" i="9"/>
  <c r="DB5" i="9"/>
  <c r="BV5" i="9"/>
  <c r="AP5" i="9"/>
  <c r="J5" i="9"/>
  <c r="EQ4" i="9"/>
  <c r="DK4" i="9"/>
  <c r="CE4" i="9"/>
  <c r="AY4" i="9"/>
  <c r="S4" i="9"/>
  <c r="EO5" i="8"/>
  <c r="DS5" i="8"/>
  <c r="DB5" i="8"/>
  <c r="CM5" i="8"/>
  <c r="BY5" i="8"/>
  <c r="BN5" i="8"/>
  <c r="AZ5" i="8"/>
  <c r="AO5" i="8"/>
  <c r="AA5" i="8"/>
  <c r="M5" i="8"/>
  <c r="B5" i="8"/>
  <c r="EL4" i="8"/>
  <c r="EA4" i="8"/>
  <c r="DM4" i="8"/>
  <c r="CY4" i="8"/>
  <c r="CN4" i="8"/>
  <c r="BZ4" i="8"/>
  <c r="BO4" i="8"/>
  <c r="BA4" i="8"/>
  <c r="AM4" i="8"/>
  <c r="AB4" i="8"/>
  <c r="N4" i="8"/>
  <c r="C4" i="8"/>
  <c r="EN5" i="7"/>
  <c r="ED5" i="7"/>
  <c r="DS5" i="7"/>
  <c r="DH5" i="7"/>
  <c r="CX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FJ5" i="9"/>
  <c r="ED5" i="9"/>
  <c r="CX5" i="9"/>
  <c r="BR5" i="9"/>
  <c r="AL5" i="9"/>
  <c r="F5" i="9"/>
  <c r="EM4" i="9"/>
  <c r="DG4" i="9"/>
  <c r="CA4" i="9"/>
  <c r="AU4" i="9"/>
  <c r="O4" i="9"/>
  <c r="EK5" i="8"/>
  <c r="DQ5" i="8"/>
  <c r="DA5" i="8"/>
  <c r="CL5" i="8"/>
  <c r="BX5" i="8"/>
  <c r="BM5" i="8"/>
  <c r="AY5" i="8"/>
  <c r="AK5" i="8"/>
  <c r="Z5" i="8"/>
  <c r="L5" i="8"/>
  <c r="A5" i="8"/>
  <c r="EK4" i="8"/>
  <c r="DW4" i="8"/>
  <c r="DL4" i="8"/>
  <c r="CX4" i="8"/>
  <c r="CM4" i="8"/>
  <c r="BY4" i="8"/>
  <c r="BK4" i="8"/>
  <c r="AZ4" i="8"/>
  <c r="AL4" i="8"/>
  <c r="AA4" i="8"/>
  <c r="M4" i="8"/>
  <c r="EW5" i="7"/>
  <c r="EM5" i="7"/>
  <c r="EC5" i="7"/>
  <c r="DQ5" i="7"/>
  <c r="DG5" i="7"/>
  <c r="CW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FF5" i="9"/>
  <c r="BW4" i="9"/>
  <c r="BI5" i="8"/>
  <c r="DK4" i="8"/>
  <c r="L4" i="8"/>
  <c r="CE5" i="7"/>
  <c r="S5" i="7"/>
  <c r="DE4" i="7"/>
  <c r="AS4" i="7"/>
  <c r="EE5" i="6"/>
  <c r="BS5" i="6"/>
  <c r="G5" i="6"/>
  <c r="CS4" i="6"/>
  <c r="AG4" i="6"/>
  <c r="DS5" i="5"/>
  <c r="BG5" i="5"/>
  <c r="M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DZ5" i="9"/>
  <c r="AQ4" i="9"/>
  <c r="AX5" i="8"/>
  <c r="CW4" i="8"/>
  <c r="EV5" i="7"/>
  <c r="BW5" i="7"/>
  <c r="K5" i="7"/>
  <c r="CW4" i="7"/>
  <c r="AK4" i="7"/>
  <c r="DW5" i="6"/>
  <c r="BK5" i="6"/>
  <c r="EW4" i="6"/>
  <c r="CK4" i="6"/>
  <c r="Y4" i="6"/>
  <c r="DK5" i="5"/>
  <c r="AY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CT5" i="9"/>
  <c r="K4" i="9"/>
  <c r="AJ5" i="8"/>
  <c r="CI4" i="8"/>
  <c r="EL5" i="7"/>
  <c r="BO5" i="7"/>
  <c r="C5" i="7"/>
  <c r="CO4" i="7"/>
  <c r="AC4" i="7"/>
  <c r="DO5" i="6"/>
  <c r="BC5" i="6"/>
  <c r="EO4" i="6"/>
  <c r="CC4" i="6"/>
  <c r="Q4" i="6"/>
  <c r="DC5" i="5"/>
  <c r="AQ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BN5" i="9"/>
  <c r="EI5" i="8"/>
  <c r="Y5" i="8"/>
  <c r="BX4" i="8"/>
  <c r="EA5" i="7"/>
  <c r="BG5" i="7"/>
  <c r="ES4" i="7"/>
  <c r="CG4" i="7"/>
  <c r="U4" i="7"/>
  <c r="DG5" i="6"/>
  <c r="AU5" i="6"/>
  <c r="EG4" i="6"/>
  <c r="BU4" i="6"/>
  <c r="I4" i="6"/>
  <c r="CU5" i="5"/>
  <c r="AI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AH5" i="9"/>
  <c r="DM5" i="8"/>
  <c r="K5" i="8"/>
  <c r="BJ4" i="8"/>
  <c r="DP5" i="7"/>
  <c r="AY5" i="7"/>
  <c r="EK4" i="7"/>
  <c r="BY4" i="7"/>
  <c r="M4" i="7"/>
  <c r="CY5" i="6"/>
  <c r="AM5" i="6"/>
  <c r="DY4" i="6"/>
  <c r="BM4" i="6"/>
  <c r="CM5" i="5"/>
  <c r="AA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B5" i="9"/>
  <c r="CW5" i="8"/>
  <c r="EU4" i="8"/>
  <c r="AY4" i="8"/>
  <c r="DF5" i="7"/>
  <c r="AQ5" i="7"/>
  <c r="EC4" i="7"/>
  <c r="BQ4" i="7"/>
  <c r="E4" i="7"/>
  <c r="CQ5" i="6"/>
  <c r="AE5" i="6"/>
  <c r="DQ4" i="6"/>
  <c r="BE4" i="6"/>
  <c r="EQ5" i="5"/>
  <c r="CE5" i="5"/>
  <c r="S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EI4" i="9"/>
  <c r="CK5" i="8"/>
  <c r="EJ4" i="8"/>
  <c r="AK4" i="8"/>
  <c r="CV5" i="7"/>
  <c r="AI5" i="7"/>
  <c r="DU4" i="7"/>
  <c r="BI4" i="7"/>
  <c r="EU5" i="6"/>
  <c r="CI5" i="6"/>
  <c r="W5" i="6"/>
  <c r="DI4" i="6"/>
  <c r="AW4" i="6"/>
  <c r="EI5" i="5"/>
  <c r="BW5" i="5"/>
  <c r="P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DC4" i="9"/>
  <c r="EM5" i="6"/>
  <c r="E5" i="5"/>
  <c r="CQ4" i="5"/>
  <c r="AE4" i="5"/>
  <c r="DQ5" i="4"/>
  <c r="BE5" i="4"/>
  <c r="EQ4" i="4"/>
  <c r="CE4" i="4"/>
  <c r="S4" i="4"/>
  <c r="C997" i="3"/>
  <c r="K991" i="3"/>
  <c r="G986" i="3"/>
  <c r="C981" i="3"/>
  <c r="K975" i="3"/>
  <c r="G970" i="3"/>
  <c r="J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BW5" i="8"/>
  <c r="CA5" i="6"/>
  <c r="EU4" i="5"/>
  <c r="CI4" i="5"/>
  <c r="W4" i="5"/>
  <c r="DI5" i="4"/>
  <c r="AW5" i="4"/>
  <c r="EI4" i="4"/>
  <c r="BW4" i="4"/>
  <c r="K4" i="4"/>
  <c r="G996" i="3"/>
  <c r="C991" i="3"/>
  <c r="K985" i="3"/>
  <c r="G980" i="3"/>
  <c r="C975" i="3"/>
  <c r="K969" i="3"/>
  <c r="I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DV4" i="8"/>
  <c r="O5" i="6"/>
  <c r="EM4" i="5"/>
  <c r="CA4" i="5"/>
  <c r="O4" i="5"/>
  <c r="DA5" i="4"/>
  <c r="AO5" i="4"/>
  <c r="EA4" i="4"/>
  <c r="BO4" i="4"/>
  <c r="C4" i="4"/>
  <c r="K995" i="3"/>
  <c r="G990" i="3"/>
  <c r="C985" i="3"/>
  <c r="K979" i="3"/>
  <c r="G974" i="3"/>
  <c r="C969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W4" i="8"/>
  <c r="DA4" i="6"/>
  <c r="EE4" i="5"/>
  <c r="BS4" i="5"/>
  <c r="G4" i="5"/>
  <c r="CS5" i="4"/>
  <c r="AG5" i="4"/>
  <c r="DS4" i="4"/>
  <c r="BG4" i="4"/>
  <c r="G1000" i="3"/>
  <c r="C995" i="3"/>
  <c r="K989" i="3"/>
  <c r="G984" i="3"/>
  <c r="C979" i="3"/>
  <c r="K973" i="3"/>
  <c r="G968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CM5" i="7"/>
  <c r="AO4" i="6"/>
  <c r="DW4" i="5"/>
  <c r="BK4" i="5"/>
  <c r="EW5" i="4"/>
  <c r="CK5" i="4"/>
  <c r="Y5" i="4"/>
  <c r="DK4" i="4"/>
  <c r="AY4" i="4"/>
  <c r="K999" i="3"/>
  <c r="G994" i="3"/>
  <c r="C989" i="3"/>
  <c r="K983" i="3"/>
  <c r="G978" i="3"/>
  <c r="C973" i="3"/>
  <c r="K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AA5" i="7"/>
  <c r="EA5" i="5"/>
  <c r="DO4" i="5"/>
  <c r="BC4" i="5"/>
  <c r="EO5" i="4"/>
  <c r="CC5" i="4"/>
  <c r="Q5" i="4"/>
  <c r="DC4" i="4"/>
  <c r="AQ4" i="4"/>
  <c r="C999" i="3"/>
  <c r="K993" i="3"/>
  <c r="G988" i="3"/>
  <c r="C983" i="3"/>
  <c r="K977" i="3"/>
  <c r="G972" i="3"/>
  <c r="F967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M4" i="7"/>
  <c r="BO5" i="5"/>
  <c r="DG4" i="5"/>
  <c r="AU4" i="5"/>
  <c r="EG5" i="4"/>
  <c r="BU5" i="4"/>
  <c r="I5" i="4"/>
  <c r="CU4" i="4"/>
  <c r="AI4" i="4"/>
  <c r="G998" i="3"/>
  <c r="C993" i="3"/>
  <c r="K987" i="3"/>
  <c r="G982" i="3"/>
  <c r="C977" i="3"/>
  <c r="K971" i="3"/>
  <c r="C967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BA4" i="7"/>
  <c r="AA4" i="4"/>
  <c r="B966" i="3"/>
  <c r="J960" i="3"/>
  <c r="F955" i="3"/>
  <c r="B950" i="3"/>
  <c r="J944" i="3"/>
  <c r="F939" i="3"/>
  <c r="B934" i="3"/>
  <c r="J928" i="3"/>
  <c r="F923" i="3"/>
  <c r="B918" i="3"/>
  <c r="J912" i="3"/>
  <c r="F907" i="3"/>
  <c r="B902" i="3"/>
  <c r="J896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O5" i="5"/>
  <c r="K997" i="3"/>
  <c r="F965" i="3"/>
  <c r="B960" i="3"/>
  <c r="J954" i="3"/>
  <c r="F949" i="3"/>
  <c r="B944" i="3"/>
  <c r="J938" i="3"/>
  <c r="F933" i="3"/>
  <c r="B928" i="3"/>
  <c r="J922" i="3"/>
  <c r="F917" i="3"/>
  <c r="B912" i="3"/>
  <c r="J906" i="3"/>
  <c r="F901" i="3"/>
  <c r="B896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CY4" i="5"/>
  <c r="G992" i="3"/>
  <c r="J964" i="3"/>
  <c r="F959" i="3"/>
  <c r="B954" i="3"/>
  <c r="J948" i="3"/>
  <c r="F943" i="3"/>
  <c r="B938" i="3"/>
  <c r="J932" i="3"/>
  <c r="F927" i="3"/>
  <c r="B922" i="3"/>
  <c r="J916" i="3"/>
  <c r="F911" i="3"/>
  <c r="B906" i="3"/>
  <c r="J900" i="3"/>
  <c r="F895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M4" i="5"/>
  <c r="C987" i="3"/>
  <c r="B964" i="3"/>
  <c r="J958" i="3"/>
  <c r="F953" i="3"/>
  <c r="B948" i="3"/>
  <c r="J942" i="3"/>
  <c r="F937" i="3"/>
  <c r="B932" i="3"/>
  <c r="J926" i="3"/>
  <c r="F921" i="3"/>
  <c r="B916" i="3"/>
  <c r="J910" i="3"/>
  <c r="F905" i="3"/>
  <c r="B900" i="3"/>
  <c r="J894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DY5" i="4"/>
  <c r="K981" i="3"/>
  <c r="F963" i="3"/>
  <c r="B958" i="3"/>
  <c r="J952" i="3"/>
  <c r="F947" i="3"/>
  <c r="B942" i="3"/>
  <c r="J936" i="3"/>
  <c r="F931" i="3"/>
  <c r="B926" i="3"/>
  <c r="J920" i="3"/>
  <c r="F915" i="3"/>
  <c r="B910" i="3"/>
  <c r="J904" i="3"/>
  <c r="F899" i="3"/>
  <c r="B894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BM5" i="4"/>
  <c r="G976" i="3"/>
  <c r="J962" i="3"/>
  <c r="F957" i="3"/>
  <c r="B952" i="3"/>
  <c r="J946" i="3"/>
  <c r="F941" i="3"/>
  <c r="B936" i="3"/>
  <c r="J930" i="3"/>
  <c r="F925" i="3"/>
  <c r="B920" i="3"/>
  <c r="J914" i="3"/>
  <c r="F909" i="3"/>
  <c r="B904" i="3"/>
  <c r="J898" i="3"/>
  <c r="F893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A5" i="4"/>
  <c r="C971" i="3"/>
  <c r="B962" i="3"/>
  <c r="J956" i="3"/>
  <c r="F951" i="3"/>
  <c r="B946" i="3"/>
  <c r="J940" i="3"/>
  <c r="F935" i="3"/>
  <c r="B930" i="3"/>
  <c r="J924" i="3"/>
  <c r="F919" i="3"/>
  <c r="B914" i="3"/>
  <c r="J908" i="3"/>
  <c r="F903" i="3"/>
  <c r="B898" i="3"/>
  <c r="J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CM4" i="4"/>
  <c r="F929" i="3"/>
  <c r="L891" i="3"/>
  <c r="H886" i="3"/>
  <c r="D881" i="3"/>
  <c r="L875" i="3"/>
  <c r="H870" i="3"/>
  <c r="D865" i="3"/>
  <c r="L859" i="3"/>
  <c r="H854" i="3"/>
  <c r="D849" i="3"/>
  <c r="L843" i="3"/>
  <c r="H838" i="3"/>
  <c r="D833" i="3"/>
  <c r="L827" i="3"/>
  <c r="H822" i="3"/>
  <c r="B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A967" i="3"/>
  <c r="B924" i="3"/>
  <c r="D891" i="3"/>
  <c r="L885" i="3"/>
  <c r="H880" i="3"/>
  <c r="D875" i="3"/>
  <c r="L869" i="3"/>
  <c r="H864" i="3"/>
  <c r="D859" i="3"/>
  <c r="L853" i="3"/>
  <c r="H848" i="3"/>
  <c r="D843" i="3"/>
  <c r="L837" i="3"/>
  <c r="H832" i="3"/>
  <c r="D827" i="3"/>
  <c r="L821" i="3"/>
  <c r="A818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F961" i="3"/>
  <c r="J918" i="3"/>
  <c r="H890" i="3"/>
  <c r="D885" i="3"/>
  <c r="L879" i="3"/>
  <c r="H874" i="3"/>
  <c r="D869" i="3"/>
  <c r="L863" i="3"/>
  <c r="H858" i="3"/>
  <c r="D853" i="3"/>
  <c r="L847" i="3"/>
  <c r="H842" i="3"/>
  <c r="D837" i="3"/>
  <c r="L831" i="3"/>
  <c r="H826" i="3"/>
  <c r="D821" i="3"/>
  <c r="L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B956" i="3"/>
  <c r="F913" i="3"/>
  <c r="L889" i="3"/>
  <c r="H884" i="3"/>
  <c r="D879" i="3"/>
  <c r="L873" i="3"/>
  <c r="H868" i="3"/>
  <c r="D863" i="3"/>
  <c r="L857" i="3"/>
  <c r="H852" i="3"/>
  <c r="D847" i="3"/>
  <c r="L841" i="3"/>
  <c r="H836" i="3"/>
  <c r="D831" i="3"/>
  <c r="L825" i="3"/>
  <c r="H820" i="3"/>
  <c r="K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J950" i="3"/>
  <c r="B908" i="3"/>
  <c r="D889" i="3"/>
  <c r="L883" i="3"/>
  <c r="H878" i="3"/>
  <c r="D873" i="3"/>
  <c r="L867" i="3"/>
  <c r="H862" i="3"/>
  <c r="D857" i="3"/>
  <c r="L851" i="3"/>
  <c r="H846" i="3"/>
  <c r="D841" i="3"/>
  <c r="L835" i="3"/>
  <c r="H830" i="3"/>
  <c r="D825" i="3"/>
  <c r="L819" i="3"/>
  <c r="J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F945" i="3"/>
  <c r="J902" i="3"/>
  <c r="H888" i="3"/>
  <c r="D883" i="3"/>
  <c r="L877" i="3"/>
  <c r="H872" i="3"/>
  <c r="D867" i="3"/>
  <c r="L861" i="3"/>
  <c r="H856" i="3"/>
  <c r="D851" i="3"/>
  <c r="L845" i="3"/>
  <c r="H840" i="3"/>
  <c r="D835" i="3"/>
  <c r="L829" i="3"/>
  <c r="H824" i="3"/>
  <c r="D819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B940" i="3"/>
  <c r="F897" i="3"/>
  <c r="L887" i="3"/>
  <c r="H882" i="3"/>
  <c r="D877" i="3"/>
  <c r="L871" i="3"/>
  <c r="H866" i="3"/>
  <c r="D861" i="3"/>
  <c r="L855" i="3"/>
  <c r="H850" i="3"/>
  <c r="D845" i="3"/>
  <c r="L839" i="3"/>
  <c r="H834" i="3"/>
  <c r="D829" i="3"/>
  <c r="L823" i="3"/>
  <c r="H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J934" i="3"/>
  <c r="D855" i="3"/>
  <c r="F817" i="3"/>
  <c r="B812" i="3"/>
  <c r="J806" i="3"/>
  <c r="F801" i="3"/>
  <c r="B796" i="3"/>
  <c r="J790" i="3"/>
  <c r="F785" i="3"/>
  <c r="B780" i="3"/>
  <c r="J774" i="3"/>
  <c r="F769" i="3"/>
  <c r="B764" i="3"/>
  <c r="J758" i="3"/>
  <c r="F753" i="3"/>
  <c r="B748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I892" i="3"/>
  <c r="L849" i="3"/>
  <c r="J816" i="3"/>
  <c r="F811" i="3"/>
  <c r="B806" i="3"/>
  <c r="J800" i="3"/>
  <c r="F795" i="3"/>
  <c r="B790" i="3"/>
  <c r="J784" i="3"/>
  <c r="F779" i="3"/>
  <c r="B774" i="3"/>
  <c r="J768" i="3"/>
  <c r="F763" i="3"/>
  <c r="B758" i="3"/>
  <c r="J752" i="3"/>
  <c r="F747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D887" i="3"/>
  <c r="H844" i="3"/>
  <c r="B816" i="3"/>
  <c r="J810" i="3"/>
  <c r="F805" i="3"/>
  <c r="B800" i="3"/>
  <c r="J794" i="3"/>
  <c r="F789" i="3"/>
  <c r="B784" i="3"/>
  <c r="J778" i="3"/>
  <c r="F773" i="3"/>
  <c r="B768" i="3"/>
  <c r="J762" i="3"/>
  <c r="F757" i="3"/>
  <c r="B752" i="3"/>
  <c r="J746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L881" i="3"/>
  <c r="D839" i="3"/>
  <c r="F815" i="3"/>
  <c r="B810" i="3"/>
  <c r="J804" i="3"/>
  <c r="F799" i="3"/>
  <c r="B794" i="3"/>
  <c r="J788" i="3"/>
  <c r="F783" i="3"/>
  <c r="B778" i="3"/>
  <c r="J772" i="3"/>
  <c r="F767" i="3"/>
  <c r="B762" i="3"/>
  <c r="J756" i="3"/>
  <c r="F751" i="3"/>
  <c r="B746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H876" i="3"/>
  <c r="L833" i="3"/>
  <c r="J814" i="3"/>
  <c r="F809" i="3"/>
  <c r="B804" i="3"/>
  <c r="J798" i="3"/>
  <c r="F793" i="3"/>
  <c r="B788" i="3"/>
  <c r="J782" i="3"/>
  <c r="F777" i="3"/>
  <c r="B772" i="3"/>
  <c r="J766" i="3"/>
  <c r="F761" i="3"/>
  <c r="B756" i="3"/>
  <c r="J750" i="3"/>
  <c r="F745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D871" i="3"/>
  <c r="H828" i="3"/>
  <c r="B814" i="3"/>
  <c r="J808" i="3"/>
  <c r="F803" i="3"/>
  <c r="B798" i="3"/>
  <c r="J792" i="3"/>
  <c r="F787" i="3"/>
  <c r="B782" i="3"/>
  <c r="J776" i="3"/>
  <c r="F771" i="3"/>
  <c r="B766" i="3"/>
  <c r="J760" i="3"/>
  <c r="F755" i="3"/>
  <c r="B750" i="3"/>
  <c r="J744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L865" i="3"/>
  <c r="D823" i="3"/>
  <c r="F813" i="3"/>
  <c r="B808" i="3"/>
  <c r="J802" i="3"/>
  <c r="F797" i="3"/>
  <c r="B792" i="3"/>
  <c r="J786" i="3"/>
  <c r="F781" i="3"/>
  <c r="B776" i="3"/>
  <c r="J770" i="3"/>
  <c r="F765" i="3"/>
  <c r="B760" i="3"/>
  <c r="J754" i="3"/>
  <c r="F749" i="3"/>
  <c r="B744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H860" i="3"/>
  <c r="J780" i="3"/>
  <c r="A743" i="3"/>
  <c r="I737" i="3"/>
  <c r="E732" i="3"/>
  <c r="A727" i="3"/>
  <c r="I721" i="3"/>
  <c r="E716" i="3"/>
  <c r="A711" i="3"/>
  <c r="I705" i="3"/>
  <c r="E700" i="3"/>
  <c r="A695" i="3"/>
  <c r="I689" i="3"/>
  <c r="E684" i="3"/>
  <c r="A679" i="3"/>
  <c r="I673" i="3"/>
  <c r="A669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C818" i="3"/>
  <c r="F775" i="3"/>
  <c r="E742" i="3"/>
  <c r="A737" i="3"/>
  <c r="I731" i="3"/>
  <c r="E726" i="3"/>
  <c r="A721" i="3"/>
  <c r="I715" i="3"/>
  <c r="E710" i="3"/>
  <c r="A705" i="3"/>
  <c r="I699" i="3"/>
  <c r="E694" i="3"/>
  <c r="A689" i="3"/>
  <c r="I683" i="3"/>
  <c r="E678" i="3"/>
  <c r="A673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J812" i="3"/>
  <c r="B770" i="3"/>
  <c r="I741" i="3"/>
  <c r="E736" i="3"/>
  <c r="A731" i="3"/>
  <c r="I725" i="3"/>
  <c r="E720" i="3"/>
  <c r="A715" i="3"/>
  <c r="I709" i="3"/>
  <c r="E704" i="3"/>
  <c r="A699" i="3"/>
  <c r="I693" i="3"/>
  <c r="E688" i="3"/>
  <c r="A683" i="3"/>
  <c r="I677" i="3"/>
  <c r="E672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F807" i="3"/>
  <c r="J764" i="3"/>
  <c r="A741" i="3"/>
  <c r="I735" i="3"/>
  <c r="E730" i="3"/>
  <c r="A725" i="3"/>
  <c r="I719" i="3"/>
  <c r="E714" i="3"/>
  <c r="A709" i="3"/>
  <c r="I703" i="3"/>
  <c r="E698" i="3"/>
  <c r="A693" i="3"/>
  <c r="I687" i="3"/>
  <c r="E682" i="3"/>
  <c r="A677" i="3"/>
  <c r="I671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B802" i="3"/>
  <c r="F759" i="3"/>
  <c r="E740" i="3"/>
  <c r="A735" i="3"/>
  <c r="I729" i="3"/>
  <c r="E724" i="3"/>
  <c r="A719" i="3"/>
  <c r="I713" i="3"/>
  <c r="E708" i="3"/>
  <c r="A703" i="3"/>
  <c r="I697" i="3"/>
  <c r="E692" i="3"/>
  <c r="A687" i="3"/>
  <c r="I681" i="3"/>
  <c r="E676" i="3"/>
  <c r="A671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J796" i="3"/>
  <c r="B754" i="3"/>
  <c r="I739" i="3"/>
  <c r="E734" i="3"/>
  <c r="A729" i="3"/>
  <c r="I723" i="3"/>
  <c r="E718" i="3"/>
  <c r="A713" i="3"/>
  <c r="I707" i="3"/>
  <c r="E702" i="3"/>
  <c r="A697" i="3"/>
  <c r="I691" i="3"/>
  <c r="E686" i="3"/>
  <c r="A681" i="3"/>
  <c r="I675" i="3"/>
  <c r="E670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F791" i="3"/>
  <c r="J748" i="3"/>
  <c r="A739" i="3"/>
  <c r="I733" i="3"/>
  <c r="E728" i="3"/>
  <c r="A723" i="3"/>
  <c r="I717" i="3"/>
  <c r="E712" i="3"/>
  <c r="A707" i="3"/>
  <c r="I701" i="3"/>
  <c r="E696" i="3"/>
  <c r="A691" i="3"/>
  <c r="I685" i="3"/>
  <c r="E680" i="3"/>
  <c r="A675" i="3"/>
  <c r="I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B786" i="3"/>
  <c r="E706" i="3"/>
  <c r="D668" i="3"/>
  <c r="L662" i="3"/>
  <c r="H657" i="3"/>
  <c r="D652" i="3"/>
  <c r="L646" i="3"/>
  <c r="H641" i="3"/>
  <c r="D636" i="3"/>
  <c r="L630" i="3"/>
  <c r="H625" i="3"/>
  <c r="D620" i="3"/>
  <c r="L614" i="3"/>
  <c r="H609" i="3"/>
  <c r="D604" i="3"/>
  <c r="L598" i="3"/>
  <c r="H593" i="3"/>
  <c r="D588" i="3"/>
  <c r="L582" i="3"/>
  <c r="H577" i="3"/>
  <c r="D572" i="3"/>
  <c r="L566" i="3"/>
  <c r="H561" i="3"/>
  <c r="D556" i="3"/>
  <c r="L550" i="3"/>
  <c r="H545" i="3"/>
  <c r="D540" i="3"/>
  <c r="L534" i="3"/>
  <c r="H529" i="3"/>
  <c r="D524" i="3"/>
  <c r="L518" i="3"/>
  <c r="H513" i="3"/>
  <c r="K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I743" i="3"/>
  <c r="A701" i="3"/>
  <c r="H667" i="3"/>
  <c r="D662" i="3"/>
  <c r="L656" i="3"/>
  <c r="H651" i="3"/>
  <c r="D646" i="3"/>
  <c r="L640" i="3"/>
  <c r="H635" i="3"/>
  <c r="D630" i="3"/>
  <c r="L624" i="3"/>
  <c r="H619" i="3"/>
  <c r="D614" i="3"/>
  <c r="L608" i="3"/>
  <c r="H603" i="3"/>
  <c r="D598" i="3"/>
  <c r="L592" i="3"/>
  <c r="H587" i="3"/>
  <c r="D582" i="3"/>
  <c r="L576" i="3"/>
  <c r="H571" i="3"/>
  <c r="D566" i="3"/>
  <c r="L560" i="3"/>
  <c r="H555" i="3"/>
  <c r="D550" i="3"/>
  <c r="L544" i="3"/>
  <c r="H539" i="3"/>
  <c r="D534" i="3"/>
  <c r="L528" i="3"/>
  <c r="H523" i="3"/>
  <c r="D518" i="3"/>
  <c r="L512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E738" i="3"/>
  <c r="I695" i="3"/>
  <c r="L666" i="3"/>
  <c r="H661" i="3"/>
  <c r="D656" i="3"/>
  <c r="L650" i="3"/>
  <c r="H645" i="3"/>
  <c r="D640" i="3"/>
  <c r="L634" i="3"/>
  <c r="H629" i="3"/>
  <c r="D624" i="3"/>
  <c r="L618" i="3"/>
  <c r="H613" i="3"/>
  <c r="D608" i="3"/>
  <c r="L602" i="3"/>
  <c r="H597" i="3"/>
  <c r="D592" i="3"/>
  <c r="L586" i="3"/>
  <c r="H581" i="3"/>
  <c r="D576" i="3"/>
  <c r="L570" i="3"/>
  <c r="H565" i="3"/>
  <c r="D560" i="3"/>
  <c r="L554" i="3"/>
  <c r="H549" i="3"/>
  <c r="D544" i="3"/>
  <c r="L538" i="3"/>
  <c r="H533" i="3"/>
  <c r="D528" i="3"/>
  <c r="L522" i="3"/>
  <c r="H517" i="3"/>
  <c r="D512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A733" i="3"/>
  <c r="E690" i="3"/>
  <c r="D666" i="3"/>
  <c r="L660" i="3"/>
  <c r="H655" i="3"/>
  <c r="D650" i="3"/>
  <c r="L644" i="3"/>
  <c r="H639" i="3"/>
  <c r="D634" i="3"/>
  <c r="L628" i="3"/>
  <c r="H623" i="3"/>
  <c r="D618" i="3"/>
  <c r="L612" i="3"/>
  <c r="H607" i="3"/>
  <c r="D602" i="3"/>
  <c r="L596" i="3"/>
  <c r="H591" i="3"/>
  <c r="D586" i="3"/>
  <c r="L580" i="3"/>
  <c r="H575" i="3"/>
  <c r="D570" i="3"/>
  <c r="L564" i="3"/>
  <c r="H559" i="3"/>
  <c r="D554" i="3"/>
  <c r="L548" i="3"/>
  <c r="H543" i="3"/>
  <c r="D538" i="3"/>
  <c r="L532" i="3"/>
  <c r="H527" i="3"/>
  <c r="D522" i="3"/>
  <c r="L516" i="3"/>
  <c r="H511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I727" i="3"/>
  <c r="A685" i="3"/>
  <c r="H665" i="3"/>
  <c r="D660" i="3"/>
  <c r="L654" i="3"/>
  <c r="H649" i="3"/>
  <c r="D644" i="3"/>
  <c r="L638" i="3"/>
  <c r="H633" i="3"/>
  <c r="D628" i="3"/>
  <c r="L622" i="3"/>
  <c r="H617" i="3"/>
  <c r="D612" i="3"/>
  <c r="L606" i="3"/>
  <c r="H601" i="3"/>
  <c r="D596" i="3"/>
  <c r="L590" i="3"/>
  <c r="H585" i="3"/>
  <c r="D580" i="3"/>
  <c r="L574" i="3"/>
  <c r="H569" i="3"/>
  <c r="D564" i="3"/>
  <c r="L558" i="3"/>
  <c r="H553" i="3"/>
  <c r="D548" i="3"/>
  <c r="L542" i="3"/>
  <c r="H537" i="3"/>
  <c r="D532" i="3"/>
  <c r="L526" i="3"/>
  <c r="H521" i="3"/>
  <c r="D516" i="3"/>
  <c r="L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E722" i="3"/>
  <c r="I679" i="3"/>
  <c r="L664" i="3"/>
  <c r="H659" i="3"/>
  <c r="D654" i="3"/>
  <c r="L648" i="3"/>
  <c r="H643" i="3"/>
  <c r="D638" i="3"/>
  <c r="L632" i="3"/>
  <c r="H627" i="3"/>
  <c r="D622" i="3"/>
  <c r="L616" i="3"/>
  <c r="H611" i="3"/>
  <c r="D606" i="3"/>
  <c r="L600" i="3"/>
  <c r="H595" i="3"/>
  <c r="D590" i="3"/>
  <c r="L584" i="3"/>
  <c r="H579" i="3"/>
  <c r="D574" i="3"/>
  <c r="L568" i="3"/>
  <c r="H563" i="3"/>
  <c r="D558" i="3"/>
  <c r="L552" i="3"/>
  <c r="H547" i="3"/>
  <c r="D542" i="3"/>
  <c r="L536" i="3"/>
  <c r="H531" i="3"/>
  <c r="D526" i="3"/>
  <c r="L520" i="3"/>
  <c r="H515" i="3"/>
  <c r="D510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A717" i="3"/>
  <c r="E674" i="3"/>
  <c r="D664" i="3"/>
  <c r="L658" i="3"/>
  <c r="H653" i="3"/>
  <c r="D648" i="3"/>
  <c r="L642" i="3"/>
  <c r="H637" i="3"/>
  <c r="D632" i="3"/>
  <c r="L626" i="3"/>
  <c r="H621" i="3"/>
  <c r="D616" i="3"/>
  <c r="L610" i="3"/>
  <c r="H605" i="3"/>
  <c r="D600" i="3"/>
  <c r="L594" i="3"/>
  <c r="H589" i="3"/>
  <c r="D584" i="3"/>
  <c r="L578" i="3"/>
  <c r="H573" i="3"/>
  <c r="D568" i="3"/>
  <c r="L562" i="3"/>
  <c r="H557" i="3"/>
  <c r="D552" i="3"/>
  <c r="L546" i="3"/>
  <c r="H541" i="3"/>
  <c r="D536" i="3"/>
  <c r="L530" i="3"/>
  <c r="H525" i="3"/>
  <c r="D520" i="3"/>
  <c r="L514" i="3"/>
  <c r="A510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I711" i="3"/>
  <c r="H631" i="3"/>
  <c r="L588" i="3"/>
  <c r="D546" i="3"/>
  <c r="B509" i="3"/>
  <c r="J503" i="3"/>
  <c r="F498" i="3"/>
  <c r="B493" i="3"/>
  <c r="J487" i="3"/>
  <c r="F482" i="3"/>
  <c r="B477" i="3"/>
  <c r="J471" i="3"/>
  <c r="F466" i="3"/>
  <c r="B461" i="3"/>
  <c r="J455" i="3"/>
  <c r="F450" i="3"/>
  <c r="B445" i="3"/>
  <c r="J439" i="3"/>
  <c r="F434" i="3"/>
  <c r="B429" i="3"/>
  <c r="J423" i="3"/>
  <c r="F418" i="3"/>
  <c r="B413" i="3"/>
  <c r="J407" i="3"/>
  <c r="F402" i="3"/>
  <c r="B397" i="3"/>
  <c r="J391" i="3"/>
  <c r="F386" i="3"/>
  <c r="B381" i="3"/>
  <c r="J375" i="3"/>
  <c r="F370" i="3"/>
  <c r="B365" i="3"/>
  <c r="H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C669" i="3"/>
  <c r="D626" i="3"/>
  <c r="H583" i="3"/>
  <c r="L540" i="3"/>
  <c r="F508" i="3"/>
  <c r="B503" i="3"/>
  <c r="J497" i="3"/>
  <c r="F492" i="3"/>
  <c r="B487" i="3"/>
  <c r="J481" i="3"/>
  <c r="F476" i="3"/>
  <c r="B471" i="3"/>
  <c r="J465" i="3"/>
  <c r="F460" i="3"/>
  <c r="B455" i="3"/>
  <c r="J449" i="3"/>
  <c r="F444" i="3"/>
  <c r="B439" i="3"/>
  <c r="J433" i="3"/>
  <c r="F428" i="3"/>
  <c r="B423" i="3"/>
  <c r="J417" i="3"/>
  <c r="F412" i="3"/>
  <c r="B407" i="3"/>
  <c r="J401" i="3"/>
  <c r="F396" i="3"/>
  <c r="B391" i="3"/>
  <c r="J385" i="3"/>
  <c r="F380" i="3"/>
  <c r="B375" i="3"/>
  <c r="J369" i="3"/>
  <c r="F364" i="3"/>
  <c r="G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H663" i="3"/>
  <c r="L620" i="3"/>
  <c r="D578" i="3"/>
  <c r="H535" i="3"/>
  <c r="J507" i="3"/>
  <c r="F502" i="3"/>
  <c r="B497" i="3"/>
  <c r="J491" i="3"/>
  <c r="F486" i="3"/>
  <c r="B481" i="3"/>
  <c r="J475" i="3"/>
  <c r="F470" i="3"/>
  <c r="B465" i="3"/>
  <c r="J459" i="3"/>
  <c r="F454" i="3"/>
  <c r="B449" i="3"/>
  <c r="J443" i="3"/>
  <c r="F438" i="3"/>
  <c r="B433" i="3"/>
  <c r="J427" i="3"/>
  <c r="F422" i="3"/>
  <c r="B417" i="3"/>
  <c r="J411" i="3"/>
  <c r="F406" i="3"/>
  <c r="B401" i="3"/>
  <c r="J395" i="3"/>
  <c r="F390" i="3"/>
  <c r="B385" i="3"/>
  <c r="J379" i="3"/>
  <c r="F374" i="3"/>
  <c r="B369" i="3"/>
  <c r="J363" i="3"/>
  <c r="F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D658" i="3"/>
  <c r="H615" i="3"/>
  <c r="L572" i="3"/>
  <c r="D530" i="3"/>
  <c r="B507" i="3"/>
  <c r="J501" i="3"/>
  <c r="F496" i="3"/>
  <c r="B491" i="3"/>
  <c r="J485" i="3"/>
  <c r="F480" i="3"/>
  <c r="B475" i="3"/>
  <c r="J469" i="3"/>
  <c r="F464" i="3"/>
  <c r="B459" i="3"/>
  <c r="J453" i="3"/>
  <c r="F448" i="3"/>
  <c r="B443" i="3"/>
  <c r="J437" i="3"/>
  <c r="F432" i="3"/>
  <c r="B427" i="3"/>
  <c r="J421" i="3"/>
  <c r="F416" i="3"/>
  <c r="B411" i="3"/>
  <c r="J405" i="3"/>
  <c r="F400" i="3"/>
  <c r="B395" i="3"/>
  <c r="J389" i="3"/>
  <c r="F384" i="3"/>
  <c r="B379" i="3"/>
  <c r="J373" i="3"/>
  <c r="F368" i="3"/>
  <c r="B363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L652" i="3"/>
  <c r="D610" i="3"/>
  <c r="H567" i="3"/>
  <c r="L524" i="3"/>
  <c r="F506" i="3"/>
  <c r="B501" i="3"/>
  <c r="J495" i="3"/>
  <c r="F490" i="3"/>
  <c r="B485" i="3"/>
  <c r="J479" i="3"/>
  <c r="F474" i="3"/>
  <c r="B469" i="3"/>
  <c r="J463" i="3"/>
  <c r="F458" i="3"/>
  <c r="B453" i="3"/>
  <c r="J447" i="3"/>
  <c r="F442" i="3"/>
  <c r="B437" i="3"/>
  <c r="J431" i="3"/>
  <c r="F426" i="3"/>
  <c r="B421" i="3"/>
  <c r="J415" i="3"/>
  <c r="F410" i="3"/>
  <c r="B405" i="3"/>
  <c r="J399" i="3"/>
  <c r="F394" i="3"/>
  <c r="B389" i="3"/>
  <c r="J383" i="3"/>
  <c r="F378" i="3"/>
  <c r="B373" i="3"/>
  <c r="J367" i="3"/>
  <c r="F362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H647" i="3"/>
  <c r="L604" i="3"/>
  <c r="D562" i="3"/>
  <c r="H519" i="3"/>
  <c r="J505" i="3"/>
  <c r="F500" i="3"/>
  <c r="B495" i="3"/>
  <c r="J489" i="3"/>
  <c r="F484" i="3"/>
  <c r="B479" i="3"/>
  <c r="J473" i="3"/>
  <c r="F468" i="3"/>
  <c r="B463" i="3"/>
  <c r="J457" i="3"/>
  <c r="F452" i="3"/>
  <c r="B447" i="3"/>
  <c r="J441" i="3"/>
  <c r="F436" i="3"/>
  <c r="B431" i="3"/>
  <c r="J425" i="3"/>
  <c r="F420" i="3"/>
  <c r="B415" i="3"/>
  <c r="J409" i="3"/>
  <c r="F404" i="3"/>
  <c r="B399" i="3"/>
  <c r="J393" i="3"/>
  <c r="F388" i="3"/>
  <c r="B383" i="3"/>
  <c r="J377" i="3"/>
  <c r="F372" i="3"/>
  <c r="B367" i="3"/>
  <c r="B362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D642" i="3"/>
  <c r="H599" i="3"/>
  <c r="L556" i="3"/>
  <c r="D514" i="3"/>
  <c r="B505" i="3"/>
  <c r="J499" i="3"/>
  <c r="F494" i="3"/>
  <c r="B489" i="3"/>
  <c r="J483" i="3"/>
  <c r="F478" i="3"/>
  <c r="B473" i="3"/>
  <c r="J467" i="3"/>
  <c r="F462" i="3"/>
  <c r="B457" i="3"/>
  <c r="J451" i="3"/>
  <c r="F446" i="3"/>
  <c r="B441" i="3"/>
  <c r="J435" i="3"/>
  <c r="F430" i="3"/>
  <c r="B425" i="3"/>
  <c r="J419" i="3"/>
  <c r="F414" i="3"/>
  <c r="B409" i="3"/>
  <c r="J403" i="3"/>
  <c r="F398" i="3"/>
  <c r="B393" i="3"/>
  <c r="J387" i="3"/>
  <c r="F382" i="3"/>
  <c r="B377" i="3"/>
  <c r="J371" i="3"/>
  <c r="F366" i="3"/>
  <c r="K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L636" i="3"/>
  <c r="B483" i="3"/>
  <c r="F440" i="3"/>
  <c r="J397" i="3"/>
  <c r="L360" i="3"/>
  <c r="H355" i="3"/>
  <c r="D350" i="3"/>
  <c r="L344" i="3"/>
  <c r="H339" i="3"/>
  <c r="D334" i="3"/>
  <c r="L328" i="3"/>
  <c r="H323" i="3"/>
  <c r="D318" i="3"/>
  <c r="L312" i="3"/>
  <c r="H307" i="3"/>
  <c r="D302" i="3"/>
  <c r="L296" i="3"/>
  <c r="H291" i="3"/>
  <c r="D286" i="3"/>
  <c r="L280" i="3"/>
  <c r="H275" i="3"/>
  <c r="D270" i="3"/>
  <c r="L264" i="3"/>
  <c r="H259" i="3"/>
  <c r="D254" i="3"/>
  <c r="L248" i="3"/>
  <c r="H243" i="3"/>
  <c r="D238" i="3"/>
  <c r="L232" i="3"/>
  <c r="H227" i="3"/>
  <c r="D222" i="3"/>
  <c r="F218" i="3"/>
  <c r="G217" i="3"/>
  <c r="J216" i="3"/>
  <c r="A216" i="3"/>
  <c r="C215" i="3"/>
  <c r="F214" i="3"/>
  <c r="I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594" i="3"/>
  <c r="J477" i="3"/>
  <c r="B435" i="3"/>
  <c r="F392" i="3"/>
  <c r="D360" i="3"/>
  <c r="L354" i="3"/>
  <c r="H349" i="3"/>
  <c r="D344" i="3"/>
  <c r="L338" i="3"/>
  <c r="H333" i="3"/>
  <c r="D328" i="3"/>
  <c r="L322" i="3"/>
  <c r="H317" i="3"/>
  <c r="D312" i="3"/>
  <c r="L306" i="3"/>
  <c r="H301" i="3"/>
  <c r="D296" i="3"/>
  <c r="L290" i="3"/>
  <c r="H285" i="3"/>
  <c r="D280" i="3"/>
  <c r="L274" i="3"/>
  <c r="H269" i="3"/>
  <c r="D264" i="3"/>
  <c r="L258" i="3"/>
  <c r="H253" i="3"/>
  <c r="D248" i="3"/>
  <c r="L242" i="3"/>
  <c r="H237" i="3"/>
  <c r="D232" i="3"/>
  <c r="L226" i="3"/>
  <c r="H221" i="3"/>
  <c r="E218" i="3"/>
  <c r="F217" i="3"/>
  <c r="I216" i="3"/>
  <c r="K215" i="3"/>
  <c r="B215" i="3"/>
  <c r="E214" i="3"/>
  <c r="H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H551" i="3"/>
  <c r="F472" i="3"/>
  <c r="J429" i="3"/>
  <c r="B387" i="3"/>
  <c r="H359" i="3"/>
  <c r="D354" i="3"/>
  <c r="L348" i="3"/>
  <c r="H343" i="3"/>
  <c r="D338" i="3"/>
  <c r="L332" i="3"/>
  <c r="H327" i="3"/>
  <c r="D322" i="3"/>
  <c r="L316" i="3"/>
  <c r="H311" i="3"/>
  <c r="D306" i="3"/>
  <c r="L300" i="3"/>
  <c r="H295" i="3"/>
  <c r="D290" i="3"/>
  <c r="L284" i="3"/>
  <c r="H279" i="3"/>
  <c r="D274" i="3"/>
  <c r="L268" i="3"/>
  <c r="H263" i="3"/>
  <c r="D258" i="3"/>
  <c r="L252" i="3"/>
  <c r="H247" i="3"/>
  <c r="D242" i="3"/>
  <c r="L236" i="3"/>
  <c r="H231" i="3"/>
  <c r="D226" i="3"/>
  <c r="L220" i="3"/>
  <c r="D218" i="3"/>
  <c r="E217" i="3"/>
  <c r="G216" i="3"/>
  <c r="J215" i="3"/>
  <c r="A215" i="3"/>
  <c r="D214" i="3"/>
  <c r="G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L509" i="3"/>
  <c r="B467" i="3"/>
  <c r="F424" i="3"/>
  <c r="J381" i="3"/>
  <c r="L358" i="3"/>
  <c r="H353" i="3"/>
  <c r="D348" i="3"/>
  <c r="L342" i="3"/>
  <c r="H337" i="3"/>
  <c r="D332" i="3"/>
  <c r="L326" i="3"/>
  <c r="H321" i="3"/>
  <c r="D316" i="3"/>
  <c r="L310" i="3"/>
  <c r="H305" i="3"/>
  <c r="D300" i="3"/>
  <c r="L294" i="3"/>
  <c r="H289" i="3"/>
  <c r="D284" i="3"/>
  <c r="L278" i="3"/>
  <c r="H273" i="3"/>
  <c r="D268" i="3"/>
  <c r="L262" i="3"/>
  <c r="H257" i="3"/>
  <c r="D252" i="3"/>
  <c r="L246" i="3"/>
  <c r="H241" i="3"/>
  <c r="D236" i="3"/>
  <c r="L230" i="3"/>
  <c r="H225" i="3"/>
  <c r="D220" i="3"/>
  <c r="A218" i="3"/>
  <c r="C217" i="3"/>
  <c r="F216" i="3"/>
  <c r="I215" i="3"/>
  <c r="L214" i="3"/>
  <c r="C214" i="3"/>
  <c r="F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F504" i="3"/>
  <c r="J461" i="3"/>
  <c r="B419" i="3"/>
  <c r="F376" i="3"/>
  <c r="D358" i="3"/>
  <c r="L352" i="3"/>
  <c r="H347" i="3"/>
  <c r="D342" i="3"/>
  <c r="L336" i="3"/>
  <c r="H331" i="3"/>
  <c r="D326" i="3"/>
  <c r="L320" i="3"/>
  <c r="H315" i="3"/>
  <c r="D310" i="3"/>
  <c r="L304" i="3"/>
  <c r="H299" i="3"/>
  <c r="D294" i="3"/>
  <c r="L288" i="3"/>
  <c r="H283" i="3"/>
  <c r="D278" i="3"/>
  <c r="L272" i="3"/>
  <c r="H267" i="3"/>
  <c r="D262" i="3"/>
  <c r="L256" i="3"/>
  <c r="H251" i="3"/>
  <c r="D246" i="3"/>
  <c r="L240" i="3"/>
  <c r="H235" i="3"/>
  <c r="D230" i="3"/>
  <c r="L224" i="3"/>
  <c r="H219" i="3"/>
  <c r="K217" i="3"/>
  <c r="B217" i="3"/>
  <c r="E216" i="3"/>
  <c r="H215" i="3"/>
  <c r="K214" i="3"/>
  <c r="B214" i="3"/>
  <c r="E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B499" i="3"/>
  <c r="F456" i="3"/>
  <c r="J413" i="3"/>
  <c r="B371" i="3"/>
  <c r="H357" i="3"/>
  <c r="D352" i="3"/>
  <c r="L346" i="3"/>
  <c r="H341" i="3"/>
  <c r="D336" i="3"/>
  <c r="L330" i="3"/>
  <c r="H325" i="3"/>
  <c r="D320" i="3"/>
  <c r="L314" i="3"/>
  <c r="H309" i="3"/>
  <c r="D304" i="3"/>
  <c r="L298" i="3"/>
  <c r="H293" i="3"/>
  <c r="D288" i="3"/>
  <c r="L282" i="3"/>
  <c r="H277" i="3"/>
  <c r="D272" i="3"/>
  <c r="L266" i="3"/>
  <c r="H261" i="3"/>
  <c r="D256" i="3"/>
  <c r="L250" i="3"/>
  <c r="H245" i="3"/>
  <c r="D240" i="3"/>
  <c r="L234" i="3"/>
  <c r="H229" i="3"/>
  <c r="D224" i="3"/>
  <c r="A219" i="3"/>
  <c r="J217" i="3"/>
  <c r="A217" i="3"/>
  <c r="D216" i="3"/>
  <c r="G215" i="3"/>
  <c r="J214" i="3"/>
  <c r="A214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J493" i="3"/>
  <c r="B451" i="3"/>
  <c r="F408" i="3"/>
  <c r="J365" i="3"/>
  <c r="L356" i="3"/>
  <c r="H351" i="3"/>
  <c r="D346" i="3"/>
  <c r="L340" i="3"/>
  <c r="H335" i="3"/>
  <c r="D330" i="3"/>
  <c r="L324" i="3"/>
  <c r="H319" i="3"/>
  <c r="D314" i="3"/>
  <c r="L308" i="3"/>
  <c r="H303" i="3"/>
  <c r="D298" i="3"/>
  <c r="L292" i="3"/>
  <c r="H287" i="3"/>
  <c r="D282" i="3"/>
  <c r="L276" i="3"/>
  <c r="H271" i="3"/>
  <c r="D266" i="3"/>
  <c r="L260" i="3"/>
  <c r="H255" i="3"/>
  <c r="D250" i="3"/>
  <c r="L244" i="3"/>
  <c r="H239" i="3"/>
  <c r="D234" i="3"/>
  <c r="L228" i="3"/>
  <c r="H223" i="3"/>
  <c r="L218" i="3"/>
  <c r="I217" i="3"/>
  <c r="L216" i="3"/>
  <c r="C216" i="3"/>
  <c r="F215" i="3"/>
  <c r="I214" i="3"/>
  <c r="K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488" i="3"/>
  <c r="L334" i="3"/>
  <c r="D292" i="3"/>
  <c r="H249" i="3"/>
  <c r="K216" i="3"/>
  <c r="A211" i="3"/>
  <c r="I205" i="3"/>
  <c r="E200" i="3"/>
  <c r="A195" i="3"/>
  <c r="I189" i="3"/>
  <c r="E184" i="3"/>
  <c r="A179" i="3"/>
  <c r="I173" i="3"/>
  <c r="E168" i="3"/>
  <c r="A163" i="3"/>
  <c r="I157" i="3"/>
  <c r="E152" i="3"/>
  <c r="A147" i="3"/>
  <c r="I141" i="3"/>
  <c r="E136" i="3"/>
  <c r="A131" i="3"/>
  <c r="I125" i="3"/>
  <c r="E120" i="3"/>
  <c r="A115" i="3"/>
  <c r="I109" i="3"/>
  <c r="E104" i="3"/>
  <c r="A99" i="3"/>
  <c r="I93" i="3"/>
  <c r="F88" i="3"/>
  <c r="E86" i="3"/>
  <c r="F84" i="3"/>
  <c r="K82" i="3"/>
  <c r="D81" i="3"/>
  <c r="L79" i="3"/>
  <c r="H78" i="3"/>
  <c r="D77" i="3"/>
  <c r="L75" i="3"/>
  <c r="H74" i="3"/>
  <c r="D73" i="3"/>
  <c r="L71" i="3"/>
  <c r="H70" i="3"/>
  <c r="D69" i="3"/>
  <c r="C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921" i="1"/>
  <c r="J920" i="1"/>
  <c r="B920" i="1"/>
  <c r="F919" i="1"/>
  <c r="J918" i="1"/>
  <c r="B918" i="1"/>
  <c r="F917" i="1"/>
  <c r="J916" i="1"/>
  <c r="B916" i="1"/>
  <c r="F915" i="1"/>
  <c r="J914" i="1"/>
  <c r="B914" i="1"/>
  <c r="F913" i="1"/>
  <c r="J912" i="1"/>
  <c r="B912" i="1"/>
  <c r="F911" i="1"/>
  <c r="J910" i="1"/>
  <c r="B910" i="1"/>
  <c r="F909" i="1"/>
  <c r="J908" i="1"/>
  <c r="B908" i="1"/>
  <c r="F907" i="1"/>
  <c r="J906" i="1"/>
  <c r="B906" i="1"/>
  <c r="F905" i="1"/>
  <c r="J904" i="1"/>
  <c r="B904" i="1"/>
  <c r="F903" i="1"/>
  <c r="J902" i="1"/>
  <c r="B902" i="1"/>
  <c r="F901" i="1"/>
  <c r="J900" i="1"/>
  <c r="B900" i="1"/>
  <c r="F899" i="1"/>
  <c r="J898" i="1"/>
  <c r="B898" i="1"/>
  <c r="F897" i="1"/>
  <c r="J896" i="1"/>
  <c r="B896" i="1"/>
  <c r="F895" i="1"/>
  <c r="J894" i="1"/>
  <c r="B894" i="1"/>
  <c r="F893" i="1"/>
  <c r="J892" i="1"/>
  <c r="B892" i="1"/>
  <c r="F891" i="1"/>
  <c r="J890" i="1"/>
  <c r="B890" i="1"/>
  <c r="F889" i="1"/>
  <c r="J888" i="1"/>
  <c r="B888" i="1"/>
  <c r="F887" i="1"/>
  <c r="J886" i="1"/>
  <c r="B886" i="1"/>
  <c r="F885" i="1"/>
  <c r="J884" i="1"/>
  <c r="B884" i="1"/>
  <c r="F883" i="1"/>
  <c r="J882" i="1"/>
  <c r="B882" i="1"/>
  <c r="F881" i="1"/>
  <c r="J880" i="1"/>
  <c r="B880" i="1"/>
  <c r="F879" i="1"/>
  <c r="J878" i="1"/>
  <c r="B878" i="1"/>
  <c r="F877" i="1"/>
  <c r="J876" i="1"/>
  <c r="B876" i="1"/>
  <c r="F875" i="1"/>
  <c r="J874" i="1"/>
  <c r="B874" i="1"/>
  <c r="F873" i="1"/>
  <c r="J872" i="1"/>
  <c r="B872" i="1"/>
  <c r="F871" i="1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J445" i="3"/>
  <c r="H329" i="3"/>
  <c r="L286" i="3"/>
  <c r="D244" i="3"/>
  <c r="B216" i="3"/>
  <c r="E210" i="3"/>
  <c r="A205" i="3"/>
  <c r="I199" i="3"/>
  <c r="E194" i="3"/>
  <c r="A189" i="3"/>
  <c r="I183" i="3"/>
  <c r="E178" i="3"/>
  <c r="A173" i="3"/>
  <c r="I167" i="3"/>
  <c r="E162" i="3"/>
  <c r="A157" i="3"/>
  <c r="I151" i="3"/>
  <c r="E146" i="3"/>
  <c r="A141" i="3"/>
  <c r="I135" i="3"/>
  <c r="E130" i="3"/>
  <c r="A125" i="3"/>
  <c r="I119" i="3"/>
  <c r="E114" i="3"/>
  <c r="A109" i="3"/>
  <c r="I103" i="3"/>
  <c r="E98" i="3"/>
  <c r="A93" i="3"/>
  <c r="E88" i="3"/>
  <c r="C86" i="3"/>
  <c r="E84" i="3"/>
  <c r="F82" i="3"/>
  <c r="B81" i="3"/>
  <c r="J79" i="3"/>
  <c r="F78" i="3"/>
  <c r="B77" i="3"/>
  <c r="J75" i="3"/>
  <c r="F74" i="3"/>
  <c r="B73" i="3"/>
  <c r="J71" i="3"/>
  <c r="F70" i="3"/>
  <c r="B69" i="3"/>
  <c r="B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921" i="1"/>
  <c r="I920" i="1"/>
  <c r="A920" i="1"/>
  <c r="E919" i="1"/>
  <c r="I918" i="1"/>
  <c r="A918" i="1"/>
  <c r="E917" i="1"/>
  <c r="I916" i="1"/>
  <c r="A916" i="1"/>
  <c r="E915" i="1"/>
  <c r="I914" i="1"/>
  <c r="A914" i="1"/>
  <c r="E913" i="1"/>
  <c r="I912" i="1"/>
  <c r="A912" i="1"/>
  <c r="E911" i="1"/>
  <c r="I910" i="1"/>
  <c r="A910" i="1"/>
  <c r="E909" i="1"/>
  <c r="I908" i="1"/>
  <c r="A908" i="1"/>
  <c r="E907" i="1"/>
  <c r="I906" i="1"/>
  <c r="A906" i="1"/>
  <c r="E905" i="1"/>
  <c r="I904" i="1"/>
  <c r="A904" i="1"/>
  <c r="E903" i="1"/>
  <c r="I902" i="1"/>
  <c r="A902" i="1"/>
  <c r="E901" i="1"/>
  <c r="I900" i="1"/>
  <c r="A900" i="1"/>
  <c r="E899" i="1"/>
  <c r="I898" i="1"/>
  <c r="A898" i="1"/>
  <c r="E897" i="1"/>
  <c r="I896" i="1"/>
  <c r="A896" i="1"/>
  <c r="E895" i="1"/>
  <c r="I894" i="1"/>
  <c r="A894" i="1"/>
  <c r="E893" i="1"/>
  <c r="I892" i="1"/>
  <c r="A892" i="1"/>
  <c r="E891" i="1"/>
  <c r="I890" i="1"/>
  <c r="A890" i="1"/>
  <c r="E889" i="1"/>
  <c r="I888" i="1"/>
  <c r="A888" i="1"/>
  <c r="E887" i="1"/>
  <c r="I886" i="1"/>
  <c r="A886" i="1"/>
  <c r="E885" i="1"/>
  <c r="I884" i="1"/>
  <c r="A884" i="1"/>
  <c r="E883" i="1"/>
  <c r="I882" i="1"/>
  <c r="A882" i="1"/>
  <c r="E881" i="1"/>
  <c r="I880" i="1"/>
  <c r="A880" i="1"/>
  <c r="E879" i="1"/>
  <c r="I878" i="1"/>
  <c r="A878" i="1"/>
  <c r="E877" i="1"/>
  <c r="I876" i="1"/>
  <c r="A876" i="1"/>
  <c r="E875" i="1"/>
  <c r="I874" i="1"/>
  <c r="A874" i="1"/>
  <c r="E873" i="1"/>
  <c r="I872" i="1"/>
  <c r="A872" i="1"/>
  <c r="E871" i="1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B403" i="3"/>
  <c r="D324" i="3"/>
  <c r="H281" i="3"/>
  <c r="L238" i="3"/>
  <c r="E215" i="3"/>
  <c r="I209" i="3"/>
  <c r="E204" i="3"/>
  <c r="A199" i="3"/>
  <c r="I193" i="3"/>
  <c r="E188" i="3"/>
  <c r="A183" i="3"/>
  <c r="I177" i="3"/>
  <c r="E172" i="3"/>
  <c r="A167" i="3"/>
  <c r="I161" i="3"/>
  <c r="E156" i="3"/>
  <c r="A151" i="3"/>
  <c r="I145" i="3"/>
  <c r="E140" i="3"/>
  <c r="A135" i="3"/>
  <c r="I129" i="3"/>
  <c r="E124" i="3"/>
  <c r="A119" i="3"/>
  <c r="I113" i="3"/>
  <c r="E108" i="3"/>
  <c r="A103" i="3"/>
  <c r="I97" i="3"/>
  <c r="E92" i="3"/>
  <c r="J87" i="3"/>
  <c r="J85" i="3"/>
  <c r="C84" i="3"/>
  <c r="E82" i="3"/>
  <c r="A81" i="3"/>
  <c r="I79" i="3"/>
  <c r="E78" i="3"/>
  <c r="A77" i="3"/>
  <c r="I75" i="3"/>
  <c r="E74" i="3"/>
  <c r="A73" i="3"/>
  <c r="I71" i="3"/>
  <c r="E70" i="3"/>
  <c r="A69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921" i="1"/>
  <c r="D921" i="1"/>
  <c r="H920" i="1"/>
  <c r="L919" i="1"/>
  <c r="D919" i="1"/>
  <c r="H918" i="1"/>
  <c r="L917" i="1"/>
  <c r="D917" i="1"/>
  <c r="H916" i="1"/>
  <c r="L915" i="1"/>
  <c r="D915" i="1"/>
  <c r="H914" i="1"/>
  <c r="L913" i="1"/>
  <c r="D913" i="1"/>
  <c r="H912" i="1"/>
  <c r="L911" i="1"/>
  <c r="D911" i="1"/>
  <c r="H910" i="1"/>
  <c r="L909" i="1"/>
  <c r="D909" i="1"/>
  <c r="H908" i="1"/>
  <c r="L907" i="1"/>
  <c r="D907" i="1"/>
  <c r="H906" i="1"/>
  <c r="L905" i="1"/>
  <c r="D905" i="1"/>
  <c r="H904" i="1"/>
  <c r="L903" i="1"/>
  <c r="D903" i="1"/>
  <c r="H902" i="1"/>
  <c r="L901" i="1"/>
  <c r="D901" i="1"/>
  <c r="H900" i="1"/>
  <c r="L899" i="1"/>
  <c r="D899" i="1"/>
  <c r="H898" i="1"/>
  <c r="L897" i="1"/>
  <c r="D897" i="1"/>
  <c r="H896" i="1"/>
  <c r="L895" i="1"/>
  <c r="D895" i="1"/>
  <c r="H894" i="1"/>
  <c r="L893" i="1"/>
  <c r="D893" i="1"/>
  <c r="H892" i="1"/>
  <c r="L891" i="1"/>
  <c r="D891" i="1"/>
  <c r="H890" i="1"/>
  <c r="L889" i="1"/>
  <c r="D889" i="1"/>
  <c r="H888" i="1"/>
  <c r="L887" i="1"/>
  <c r="D887" i="1"/>
  <c r="H886" i="1"/>
  <c r="L885" i="1"/>
  <c r="D885" i="1"/>
  <c r="H884" i="1"/>
  <c r="L883" i="1"/>
  <c r="D883" i="1"/>
  <c r="H882" i="1"/>
  <c r="L881" i="1"/>
  <c r="D881" i="1"/>
  <c r="H880" i="1"/>
  <c r="L879" i="1"/>
  <c r="D879" i="1"/>
  <c r="H878" i="1"/>
  <c r="L877" i="1"/>
  <c r="D877" i="1"/>
  <c r="H876" i="1"/>
  <c r="L875" i="1"/>
  <c r="D875" i="1"/>
  <c r="H874" i="1"/>
  <c r="L873" i="1"/>
  <c r="D873" i="1"/>
  <c r="H872" i="1"/>
  <c r="L871" i="1"/>
  <c r="D871" i="1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J361" i="3"/>
  <c r="L318" i="3"/>
  <c r="D276" i="3"/>
  <c r="H233" i="3"/>
  <c r="G214" i="3"/>
  <c r="A209" i="3"/>
  <c r="I203" i="3"/>
  <c r="E198" i="3"/>
  <c r="A193" i="3"/>
  <c r="I187" i="3"/>
  <c r="E182" i="3"/>
  <c r="A177" i="3"/>
  <c r="I171" i="3"/>
  <c r="E166" i="3"/>
  <c r="A161" i="3"/>
  <c r="I155" i="3"/>
  <c r="E150" i="3"/>
  <c r="A145" i="3"/>
  <c r="I139" i="3"/>
  <c r="E134" i="3"/>
  <c r="A129" i="3"/>
  <c r="I123" i="3"/>
  <c r="E118" i="3"/>
  <c r="A113" i="3"/>
  <c r="I107" i="3"/>
  <c r="E102" i="3"/>
  <c r="A97" i="3"/>
  <c r="I91" i="3"/>
  <c r="I87" i="3"/>
  <c r="I85" i="3"/>
  <c r="J83" i="3"/>
  <c r="C82" i="3"/>
  <c r="K80" i="3"/>
  <c r="G79" i="3"/>
  <c r="C78" i="3"/>
  <c r="K76" i="3"/>
  <c r="G75" i="3"/>
  <c r="C74" i="3"/>
  <c r="K72" i="3"/>
  <c r="G71" i="3"/>
  <c r="C70" i="3"/>
  <c r="K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921" i="1"/>
  <c r="C921" i="1"/>
  <c r="G920" i="1"/>
  <c r="K919" i="1"/>
  <c r="C919" i="1"/>
  <c r="G918" i="1"/>
  <c r="K917" i="1"/>
  <c r="C917" i="1"/>
  <c r="G916" i="1"/>
  <c r="K915" i="1"/>
  <c r="C915" i="1"/>
  <c r="G914" i="1"/>
  <c r="K913" i="1"/>
  <c r="C913" i="1"/>
  <c r="G912" i="1"/>
  <c r="K911" i="1"/>
  <c r="C911" i="1"/>
  <c r="G910" i="1"/>
  <c r="K909" i="1"/>
  <c r="C909" i="1"/>
  <c r="G908" i="1"/>
  <c r="K907" i="1"/>
  <c r="C907" i="1"/>
  <c r="G906" i="1"/>
  <c r="K905" i="1"/>
  <c r="C905" i="1"/>
  <c r="G904" i="1"/>
  <c r="K903" i="1"/>
  <c r="C903" i="1"/>
  <c r="G902" i="1"/>
  <c r="K901" i="1"/>
  <c r="C901" i="1"/>
  <c r="G900" i="1"/>
  <c r="K899" i="1"/>
  <c r="C899" i="1"/>
  <c r="G898" i="1"/>
  <c r="K897" i="1"/>
  <c r="C897" i="1"/>
  <c r="G896" i="1"/>
  <c r="K895" i="1"/>
  <c r="C895" i="1"/>
  <c r="G894" i="1"/>
  <c r="K893" i="1"/>
  <c r="C893" i="1"/>
  <c r="G892" i="1"/>
  <c r="K891" i="1"/>
  <c r="C891" i="1"/>
  <c r="G890" i="1"/>
  <c r="K889" i="1"/>
  <c r="C889" i="1"/>
  <c r="G888" i="1"/>
  <c r="K887" i="1"/>
  <c r="C887" i="1"/>
  <c r="G886" i="1"/>
  <c r="K885" i="1"/>
  <c r="C885" i="1"/>
  <c r="G884" i="1"/>
  <c r="K883" i="1"/>
  <c r="C883" i="1"/>
  <c r="G882" i="1"/>
  <c r="K881" i="1"/>
  <c r="C881" i="1"/>
  <c r="G880" i="1"/>
  <c r="K879" i="1"/>
  <c r="C879" i="1"/>
  <c r="G878" i="1"/>
  <c r="K877" i="1"/>
  <c r="C877" i="1"/>
  <c r="G876" i="1"/>
  <c r="K875" i="1"/>
  <c r="C875" i="1"/>
  <c r="G874" i="1"/>
  <c r="K873" i="1"/>
  <c r="C873" i="1"/>
  <c r="G872" i="1"/>
  <c r="K871" i="1"/>
  <c r="C871" i="1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D356" i="3"/>
  <c r="H313" i="3"/>
  <c r="L270" i="3"/>
  <c r="D228" i="3"/>
  <c r="J213" i="3"/>
  <c r="E208" i="3"/>
  <c r="A203" i="3"/>
  <c r="I197" i="3"/>
  <c r="E192" i="3"/>
  <c r="A187" i="3"/>
  <c r="I181" i="3"/>
  <c r="E176" i="3"/>
  <c r="A171" i="3"/>
  <c r="I165" i="3"/>
  <c r="E160" i="3"/>
  <c r="A155" i="3"/>
  <c r="I149" i="3"/>
  <c r="E144" i="3"/>
  <c r="A139" i="3"/>
  <c r="I133" i="3"/>
  <c r="E128" i="3"/>
  <c r="A123" i="3"/>
  <c r="I117" i="3"/>
  <c r="E112" i="3"/>
  <c r="A107" i="3"/>
  <c r="I101" i="3"/>
  <c r="E96" i="3"/>
  <c r="A91" i="3"/>
  <c r="B87" i="3"/>
  <c r="G85" i="3"/>
  <c r="I83" i="3"/>
  <c r="L81" i="3"/>
  <c r="H80" i="3"/>
  <c r="D79" i="3"/>
  <c r="L77" i="3"/>
  <c r="H76" i="3"/>
  <c r="D75" i="3"/>
  <c r="L73" i="3"/>
  <c r="H72" i="3"/>
  <c r="D71" i="3"/>
  <c r="L69" i="3"/>
  <c r="H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921" i="1"/>
  <c r="B921" i="1"/>
  <c r="F920" i="1"/>
  <c r="J919" i="1"/>
  <c r="B919" i="1"/>
  <c r="F918" i="1"/>
  <c r="J917" i="1"/>
  <c r="B917" i="1"/>
  <c r="F916" i="1"/>
  <c r="J915" i="1"/>
  <c r="B915" i="1"/>
  <c r="F914" i="1"/>
  <c r="J913" i="1"/>
  <c r="B913" i="1"/>
  <c r="F912" i="1"/>
  <c r="J911" i="1"/>
  <c r="B911" i="1"/>
  <c r="F910" i="1"/>
  <c r="J909" i="1"/>
  <c r="B909" i="1"/>
  <c r="F908" i="1"/>
  <c r="J907" i="1"/>
  <c r="B907" i="1"/>
  <c r="F906" i="1"/>
  <c r="J905" i="1"/>
  <c r="B905" i="1"/>
  <c r="F904" i="1"/>
  <c r="J903" i="1"/>
  <c r="B903" i="1"/>
  <c r="F902" i="1"/>
  <c r="J901" i="1"/>
  <c r="B901" i="1"/>
  <c r="F900" i="1"/>
  <c r="J899" i="1"/>
  <c r="B899" i="1"/>
  <c r="F898" i="1"/>
  <c r="J897" i="1"/>
  <c r="B897" i="1"/>
  <c r="F896" i="1"/>
  <c r="J895" i="1"/>
  <c r="B895" i="1"/>
  <c r="F894" i="1"/>
  <c r="J893" i="1"/>
  <c r="B893" i="1"/>
  <c r="F892" i="1"/>
  <c r="J891" i="1"/>
  <c r="B891" i="1"/>
  <c r="F890" i="1"/>
  <c r="J889" i="1"/>
  <c r="B889" i="1"/>
  <c r="F888" i="1"/>
  <c r="J887" i="1"/>
  <c r="B887" i="1"/>
  <c r="F886" i="1"/>
  <c r="J885" i="1"/>
  <c r="B885" i="1"/>
  <c r="F884" i="1"/>
  <c r="J883" i="1"/>
  <c r="B883" i="1"/>
  <c r="F882" i="1"/>
  <c r="J881" i="1"/>
  <c r="B881" i="1"/>
  <c r="F880" i="1"/>
  <c r="J879" i="1"/>
  <c r="B879" i="1"/>
  <c r="F878" i="1"/>
  <c r="J877" i="1"/>
  <c r="B877" i="1"/>
  <c r="F876" i="1"/>
  <c r="J875" i="1"/>
  <c r="B875" i="1"/>
  <c r="F874" i="1"/>
  <c r="J873" i="1"/>
  <c r="B873" i="1"/>
  <c r="F872" i="1"/>
  <c r="J871" i="1"/>
  <c r="B871" i="1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L350" i="3"/>
  <c r="D308" i="3"/>
  <c r="H265" i="3"/>
  <c r="L222" i="3"/>
  <c r="A213" i="3"/>
  <c r="I207" i="3"/>
  <c r="E202" i="3"/>
  <c r="A197" i="3"/>
  <c r="I191" i="3"/>
  <c r="E186" i="3"/>
  <c r="A181" i="3"/>
  <c r="I175" i="3"/>
  <c r="E170" i="3"/>
  <c r="A165" i="3"/>
  <c r="I159" i="3"/>
  <c r="E154" i="3"/>
  <c r="A149" i="3"/>
  <c r="I143" i="3"/>
  <c r="E138" i="3"/>
  <c r="A133" i="3"/>
  <c r="I127" i="3"/>
  <c r="E122" i="3"/>
  <c r="A117" i="3"/>
  <c r="I111" i="3"/>
  <c r="E106" i="3"/>
  <c r="A101" i="3"/>
  <c r="I95" i="3"/>
  <c r="E90" i="3"/>
  <c r="A87" i="3"/>
  <c r="B85" i="3"/>
  <c r="G83" i="3"/>
  <c r="J81" i="3"/>
  <c r="F80" i="3"/>
  <c r="B79" i="3"/>
  <c r="J77" i="3"/>
  <c r="F76" i="3"/>
  <c r="B75" i="3"/>
  <c r="J73" i="3"/>
  <c r="F72" i="3"/>
  <c r="B71" i="3"/>
  <c r="J69" i="3"/>
  <c r="F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921" i="1"/>
  <c r="A921" i="1"/>
  <c r="E920" i="1"/>
  <c r="I919" i="1"/>
  <c r="A919" i="1"/>
  <c r="E918" i="1"/>
  <c r="I917" i="1"/>
  <c r="A917" i="1"/>
  <c r="E916" i="1"/>
  <c r="I915" i="1"/>
  <c r="A915" i="1"/>
  <c r="E914" i="1"/>
  <c r="I913" i="1"/>
  <c r="A913" i="1"/>
  <c r="E912" i="1"/>
  <c r="I911" i="1"/>
  <c r="A911" i="1"/>
  <c r="E910" i="1"/>
  <c r="I909" i="1"/>
  <c r="A909" i="1"/>
  <c r="E908" i="1"/>
  <c r="I907" i="1"/>
  <c r="A907" i="1"/>
  <c r="E906" i="1"/>
  <c r="I905" i="1"/>
  <c r="A905" i="1"/>
  <c r="E904" i="1"/>
  <c r="I903" i="1"/>
  <c r="A903" i="1"/>
  <c r="E902" i="1"/>
  <c r="I901" i="1"/>
  <c r="A901" i="1"/>
  <c r="E900" i="1"/>
  <c r="I899" i="1"/>
  <c r="A899" i="1"/>
  <c r="E898" i="1"/>
  <c r="I897" i="1"/>
  <c r="A897" i="1"/>
  <c r="E896" i="1"/>
  <c r="I895" i="1"/>
  <c r="A895" i="1"/>
  <c r="E894" i="1"/>
  <c r="I893" i="1"/>
  <c r="A893" i="1"/>
  <c r="E892" i="1"/>
  <c r="I891" i="1"/>
  <c r="A891" i="1"/>
  <c r="E890" i="1"/>
  <c r="I889" i="1"/>
  <c r="A889" i="1"/>
  <c r="E888" i="1"/>
  <c r="I887" i="1"/>
  <c r="A887" i="1"/>
  <c r="E886" i="1"/>
  <c r="I885" i="1"/>
  <c r="A885" i="1"/>
  <c r="E884" i="1"/>
  <c r="I883" i="1"/>
  <c r="A883" i="1"/>
  <c r="E882" i="1"/>
  <c r="I881" i="1"/>
  <c r="A881" i="1"/>
  <c r="E880" i="1"/>
  <c r="I879" i="1"/>
  <c r="A879" i="1"/>
  <c r="E878" i="1"/>
  <c r="I877" i="1"/>
  <c r="A877" i="1"/>
  <c r="E876" i="1"/>
  <c r="I875" i="1"/>
  <c r="A875" i="1"/>
  <c r="E874" i="1"/>
  <c r="I873" i="1"/>
  <c r="A873" i="1"/>
  <c r="E872" i="1"/>
  <c r="I871" i="1"/>
  <c r="A871" i="1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H345" i="3"/>
  <c r="L302" i="3"/>
  <c r="D260" i="3"/>
  <c r="I218" i="3"/>
  <c r="E212" i="3"/>
  <c r="A207" i="3"/>
  <c r="I201" i="3"/>
  <c r="E196" i="3"/>
  <c r="A191" i="3"/>
  <c r="I185" i="3"/>
  <c r="E180" i="3"/>
  <c r="A175" i="3"/>
  <c r="I169" i="3"/>
  <c r="E164" i="3"/>
  <c r="A159" i="3"/>
  <c r="I153" i="3"/>
  <c r="E148" i="3"/>
  <c r="A143" i="3"/>
  <c r="I137" i="3"/>
  <c r="E132" i="3"/>
  <c r="A127" i="3"/>
  <c r="I121" i="3"/>
  <c r="E116" i="3"/>
  <c r="A111" i="3"/>
  <c r="I105" i="3"/>
  <c r="E100" i="3"/>
  <c r="A95" i="3"/>
  <c r="I89" i="3"/>
  <c r="K86" i="3"/>
  <c r="A85" i="3"/>
  <c r="B83" i="3"/>
  <c r="I81" i="3"/>
  <c r="E80" i="3"/>
  <c r="A79" i="3"/>
  <c r="I77" i="3"/>
  <c r="E76" i="3"/>
  <c r="A75" i="3"/>
  <c r="I73" i="3"/>
  <c r="E72" i="3"/>
  <c r="A71" i="3"/>
  <c r="I69" i="3"/>
  <c r="E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921" i="1"/>
  <c r="L920" i="1"/>
  <c r="D920" i="1"/>
  <c r="H919" i="1"/>
  <c r="L918" i="1"/>
  <c r="D918" i="1"/>
  <c r="H917" i="1"/>
  <c r="L916" i="1"/>
  <c r="D916" i="1"/>
  <c r="H915" i="1"/>
  <c r="L914" i="1"/>
  <c r="D914" i="1"/>
  <c r="H913" i="1"/>
  <c r="L912" i="1"/>
  <c r="D912" i="1"/>
  <c r="H911" i="1"/>
  <c r="L910" i="1"/>
  <c r="D910" i="1"/>
  <c r="H909" i="1"/>
  <c r="L908" i="1"/>
  <c r="D908" i="1"/>
  <c r="H907" i="1"/>
  <c r="L906" i="1"/>
  <c r="D906" i="1"/>
  <c r="H905" i="1"/>
  <c r="L904" i="1"/>
  <c r="D904" i="1"/>
  <c r="H903" i="1"/>
  <c r="L902" i="1"/>
  <c r="D902" i="1"/>
  <c r="H901" i="1"/>
  <c r="L900" i="1"/>
  <c r="D900" i="1"/>
  <c r="H899" i="1"/>
  <c r="L898" i="1"/>
  <c r="D898" i="1"/>
  <c r="H897" i="1"/>
  <c r="L896" i="1"/>
  <c r="D896" i="1"/>
  <c r="H895" i="1"/>
  <c r="L894" i="1"/>
  <c r="D894" i="1"/>
  <c r="H893" i="1"/>
  <c r="L892" i="1"/>
  <c r="D892" i="1"/>
  <c r="H891" i="1"/>
  <c r="L890" i="1"/>
  <c r="D890" i="1"/>
  <c r="H889" i="1"/>
  <c r="L888" i="1"/>
  <c r="D888" i="1"/>
  <c r="H887" i="1"/>
  <c r="L886" i="1"/>
  <c r="D886" i="1"/>
  <c r="H885" i="1"/>
  <c r="L884" i="1"/>
  <c r="D884" i="1"/>
  <c r="H883" i="1"/>
  <c r="L882" i="1"/>
  <c r="D882" i="1"/>
  <c r="H881" i="1"/>
  <c r="L880" i="1"/>
  <c r="D880" i="1"/>
  <c r="H879" i="1"/>
  <c r="L878" i="1"/>
  <c r="D878" i="1"/>
  <c r="H877" i="1"/>
  <c r="L876" i="1"/>
  <c r="D876" i="1"/>
  <c r="H875" i="1"/>
  <c r="L874" i="1"/>
  <c r="D874" i="1"/>
  <c r="H873" i="1"/>
  <c r="L872" i="1"/>
  <c r="D872" i="1"/>
  <c r="H871" i="1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D340" i="3"/>
  <c r="E190" i="3"/>
  <c r="I147" i="3"/>
  <c r="A105" i="3"/>
  <c r="C80" i="3"/>
  <c r="G69" i="3"/>
  <c r="G63" i="3"/>
  <c r="C58" i="3"/>
  <c r="K52" i="3"/>
  <c r="G47" i="3"/>
  <c r="C42" i="3"/>
  <c r="K36" i="3"/>
  <c r="G31" i="3"/>
  <c r="C26" i="3"/>
  <c r="K20" i="3"/>
  <c r="G15" i="3"/>
  <c r="C10" i="3"/>
  <c r="K4" i="3"/>
  <c r="G917" i="1"/>
  <c r="C912" i="1"/>
  <c r="K906" i="1"/>
  <c r="G901" i="1"/>
  <c r="C896" i="1"/>
  <c r="K890" i="1"/>
  <c r="G885" i="1"/>
  <c r="C880" i="1"/>
  <c r="K874" i="1"/>
  <c r="G869" i="1"/>
  <c r="C864" i="1"/>
  <c r="K858" i="1"/>
  <c r="G853" i="1"/>
  <c r="C848" i="1"/>
  <c r="G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H297" i="3"/>
  <c r="A185" i="3"/>
  <c r="E142" i="3"/>
  <c r="I99" i="3"/>
  <c r="K78" i="3"/>
  <c r="D68" i="3"/>
  <c r="K62" i="3"/>
  <c r="G57" i="3"/>
  <c r="C52" i="3"/>
  <c r="K46" i="3"/>
  <c r="G41" i="3"/>
  <c r="C36" i="3"/>
  <c r="K30" i="3"/>
  <c r="G25" i="3"/>
  <c r="C20" i="3"/>
  <c r="K14" i="3"/>
  <c r="G9" i="3"/>
  <c r="C4" i="3"/>
  <c r="K916" i="1"/>
  <c r="G911" i="1"/>
  <c r="C906" i="1"/>
  <c r="K900" i="1"/>
  <c r="G895" i="1"/>
  <c r="C890" i="1"/>
  <c r="K884" i="1"/>
  <c r="G879" i="1"/>
  <c r="C874" i="1"/>
  <c r="K868" i="1"/>
  <c r="G863" i="1"/>
  <c r="C858" i="1"/>
  <c r="K852" i="1"/>
  <c r="G847" i="1"/>
  <c r="C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L254" i="3"/>
  <c r="I179" i="3"/>
  <c r="A137" i="3"/>
  <c r="E94" i="3"/>
  <c r="G77" i="3"/>
  <c r="G67" i="3"/>
  <c r="C62" i="3"/>
  <c r="K56" i="3"/>
  <c r="G51" i="3"/>
  <c r="C46" i="3"/>
  <c r="K40" i="3"/>
  <c r="G35" i="3"/>
  <c r="C30" i="3"/>
  <c r="K24" i="3"/>
  <c r="G19" i="3"/>
  <c r="C14" i="3"/>
  <c r="K8" i="3"/>
  <c r="G921" i="1"/>
  <c r="C916" i="1"/>
  <c r="K910" i="1"/>
  <c r="G905" i="1"/>
  <c r="C900" i="1"/>
  <c r="K894" i="1"/>
  <c r="G889" i="1"/>
  <c r="C884" i="1"/>
  <c r="K878" i="1"/>
  <c r="G873" i="1"/>
  <c r="C868" i="1"/>
  <c r="K862" i="1"/>
  <c r="G857" i="1"/>
  <c r="C852" i="1"/>
  <c r="K846" i="1"/>
  <c r="A844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H217" i="3"/>
  <c r="E174" i="3"/>
  <c r="I131" i="3"/>
  <c r="A89" i="3"/>
  <c r="C76" i="3"/>
  <c r="K66" i="3"/>
  <c r="G61" i="3"/>
  <c r="C56" i="3"/>
  <c r="K50" i="3"/>
  <c r="G45" i="3"/>
  <c r="C40" i="3"/>
  <c r="K34" i="3"/>
  <c r="G29" i="3"/>
  <c r="C24" i="3"/>
  <c r="K18" i="3"/>
  <c r="G13" i="3"/>
  <c r="C8" i="3"/>
  <c r="K920" i="1"/>
  <c r="G915" i="1"/>
  <c r="C910" i="1"/>
  <c r="K904" i="1"/>
  <c r="G899" i="1"/>
  <c r="C894" i="1"/>
  <c r="K888" i="1"/>
  <c r="G883" i="1"/>
  <c r="C878" i="1"/>
  <c r="K872" i="1"/>
  <c r="G867" i="1"/>
  <c r="C862" i="1"/>
  <c r="K856" i="1"/>
  <c r="G851" i="1"/>
  <c r="C846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I211" i="3"/>
  <c r="A169" i="3"/>
  <c r="E126" i="3"/>
  <c r="F86" i="3"/>
  <c r="K74" i="3"/>
  <c r="C66" i="3"/>
  <c r="K60" i="3"/>
  <c r="G55" i="3"/>
  <c r="C50" i="3"/>
  <c r="K44" i="3"/>
  <c r="G39" i="3"/>
  <c r="C34" i="3"/>
  <c r="K28" i="3"/>
  <c r="G23" i="3"/>
  <c r="C18" i="3"/>
  <c r="K12" i="3"/>
  <c r="G7" i="3"/>
  <c r="C920" i="1"/>
  <c r="K914" i="1"/>
  <c r="G909" i="1"/>
  <c r="C904" i="1"/>
  <c r="K898" i="1"/>
  <c r="G893" i="1"/>
  <c r="C888" i="1"/>
  <c r="K882" i="1"/>
  <c r="G877" i="1"/>
  <c r="C872" i="1"/>
  <c r="K866" i="1"/>
  <c r="G861" i="1"/>
  <c r="C856" i="1"/>
  <c r="K850" i="1"/>
  <c r="K845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E206" i="3"/>
  <c r="I163" i="3"/>
  <c r="A121" i="3"/>
  <c r="K84" i="3"/>
  <c r="G73" i="3"/>
  <c r="G65" i="3"/>
  <c r="C60" i="3"/>
  <c r="K54" i="3"/>
  <c r="G49" i="3"/>
  <c r="C44" i="3"/>
  <c r="K38" i="3"/>
  <c r="G33" i="3"/>
  <c r="C28" i="3"/>
  <c r="K22" i="3"/>
  <c r="G17" i="3"/>
  <c r="C12" i="3"/>
  <c r="K6" i="3"/>
  <c r="G919" i="1"/>
  <c r="C914" i="1"/>
  <c r="K908" i="1"/>
  <c r="G903" i="1"/>
  <c r="C898" i="1"/>
  <c r="K892" i="1"/>
  <c r="G887" i="1"/>
  <c r="C882" i="1"/>
  <c r="K876" i="1"/>
  <c r="G871" i="1"/>
  <c r="C866" i="1"/>
  <c r="K860" i="1"/>
  <c r="G855" i="1"/>
  <c r="C850" i="1"/>
  <c r="G845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A201" i="3"/>
  <c r="E158" i="3"/>
  <c r="I115" i="3"/>
  <c r="A83" i="3"/>
  <c r="C72" i="3"/>
  <c r="K64" i="3"/>
  <c r="G59" i="3"/>
  <c r="C54" i="3"/>
  <c r="K48" i="3"/>
  <c r="G43" i="3"/>
  <c r="C38" i="3"/>
  <c r="K32" i="3"/>
  <c r="G27" i="3"/>
  <c r="C22" i="3"/>
  <c r="K16" i="3"/>
  <c r="G11" i="3"/>
  <c r="C6" i="3"/>
  <c r="K918" i="1"/>
  <c r="G913" i="1"/>
  <c r="C908" i="1"/>
  <c r="K902" i="1"/>
  <c r="G897" i="1"/>
  <c r="C892" i="1"/>
  <c r="K886" i="1"/>
  <c r="G881" i="1"/>
  <c r="C876" i="1"/>
  <c r="K870" i="1"/>
  <c r="G865" i="1"/>
  <c r="C860" i="1"/>
  <c r="K854" i="1"/>
  <c r="G849" i="1"/>
  <c r="C845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I195" i="3"/>
  <c r="C48" i="3"/>
  <c r="G5" i="3"/>
  <c r="K880" i="1"/>
  <c r="G843" i="1"/>
  <c r="C838" i="1"/>
  <c r="K832" i="1"/>
  <c r="G827" i="1"/>
  <c r="C822" i="1"/>
  <c r="K816" i="1"/>
  <c r="G811" i="1"/>
  <c r="C806" i="1"/>
  <c r="K800" i="1"/>
  <c r="G795" i="1"/>
  <c r="C790" i="1"/>
  <c r="K784" i="1"/>
  <c r="G779" i="1"/>
  <c r="C774" i="1"/>
  <c r="K768" i="1"/>
  <c r="G763" i="1"/>
  <c r="C758" i="1"/>
  <c r="K752" i="1"/>
  <c r="G747" i="1"/>
  <c r="C742" i="1"/>
  <c r="K736" i="1"/>
  <c r="G731" i="1"/>
  <c r="C726" i="1"/>
  <c r="K720" i="1"/>
  <c r="G715" i="1"/>
  <c r="C710" i="1"/>
  <c r="K704" i="1"/>
  <c r="G699" i="1"/>
  <c r="I695" i="1"/>
  <c r="L694" i="1"/>
  <c r="C694" i="1"/>
  <c r="F693" i="1"/>
  <c r="I692" i="1"/>
  <c r="L691" i="1"/>
  <c r="B691" i="1"/>
  <c r="E690" i="1"/>
  <c r="H689" i="1"/>
  <c r="K688" i="1"/>
  <c r="B688" i="1"/>
  <c r="E687" i="1"/>
  <c r="H686" i="1"/>
  <c r="J685" i="1"/>
  <c r="A685" i="1"/>
  <c r="D684" i="1"/>
  <c r="G683" i="1"/>
  <c r="J682" i="1"/>
  <c r="A682" i="1"/>
  <c r="D681" i="1"/>
  <c r="F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A153" i="3"/>
  <c r="K42" i="3"/>
  <c r="C918" i="1"/>
  <c r="G875" i="1"/>
  <c r="K842" i="1"/>
  <c r="G837" i="1"/>
  <c r="C832" i="1"/>
  <c r="K826" i="1"/>
  <c r="G821" i="1"/>
  <c r="C816" i="1"/>
  <c r="K810" i="1"/>
  <c r="G805" i="1"/>
  <c r="C800" i="1"/>
  <c r="K794" i="1"/>
  <c r="G789" i="1"/>
  <c r="C784" i="1"/>
  <c r="K778" i="1"/>
  <c r="G773" i="1"/>
  <c r="C768" i="1"/>
  <c r="K762" i="1"/>
  <c r="G757" i="1"/>
  <c r="C752" i="1"/>
  <c r="K746" i="1"/>
  <c r="G741" i="1"/>
  <c r="C736" i="1"/>
  <c r="K730" i="1"/>
  <c r="G725" i="1"/>
  <c r="C720" i="1"/>
  <c r="K714" i="1"/>
  <c r="G709" i="1"/>
  <c r="C704" i="1"/>
  <c r="K698" i="1"/>
  <c r="H695" i="1"/>
  <c r="K694" i="1"/>
  <c r="B694" i="1"/>
  <c r="E693" i="1"/>
  <c r="H692" i="1"/>
  <c r="J691" i="1"/>
  <c r="A691" i="1"/>
  <c r="D690" i="1"/>
  <c r="G689" i="1"/>
  <c r="J688" i="1"/>
  <c r="A688" i="1"/>
  <c r="D687" i="1"/>
  <c r="F686" i="1"/>
  <c r="I685" i="1"/>
  <c r="L684" i="1"/>
  <c r="C684" i="1"/>
  <c r="F683" i="1"/>
  <c r="I682" i="1"/>
  <c r="L681" i="1"/>
  <c r="B681" i="1"/>
  <c r="E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E110" i="3"/>
  <c r="G37" i="3"/>
  <c r="K912" i="1"/>
  <c r="C870" i="1"/>
  <c r="C842" i="1"/>
  <c r="K836" i="1"/>
  <c r="G831" i="1"/>
  <c r="C826" i="1"/>
  <c r="K820" i="1"/>
  <c r="G815" i="1"/>
  <c r="C810" i="1"/>
  <c r="K804" i="1"/>
  <c r="G799" i="1"/>
  <c r="C794" i="1"/>
  <c r="K788" i="1"/>
  <c r="G783" i="1"/>
  <c r="C778" i="1"/>
  <c r="K772" i="1"/>
  <c r="G767" i="1"/>
  <c r="C762" i="1"/>
  <c r="K756" i="1"/>
  <c r="G751" i="1"/>
  <c r="C746" i="1"/>
  <c r="K740" i="1"/>
  <c r="G735" i="1"/>
  <c r="C730" i="1"/>
  <c r="K724" i="1"/>
  <c r="G719" i="1"/>
  <c r="C714" i="1"/>
  <c r="K708" i="1"/>
  <c r="G703" i="1"/>
  <c r="C698" i="1"/>
  <c r="G695" i="1"/>
  <c r="J694" i="1"/>
  <c r="A694" i="1"/>
  <c r="D693" i="1"/>
  <c r="F692" i="1"/>
  <c r="I691" i="1"/>
  <c r="L690" i="1"/>
  <c r="C690" i="1"/>
  <c r="F689" i="1"/>
  <c r="I688" i="1"/>
  <c r="L687" i="1"/>
  <c r="B687" i="1"/>
  <c r="E686" i="1"/>
  <c r="H685" i="1"/>
  <c r="K684" i="1"/>
  <c r="B684" i="1"/>
  <c r="E683" i="1"/>
  <c r="H682" i="1"/>
  <c r="J681" i="1"/>
  <c r="A681" i="1"/>
  <c r="D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81" i="3"/>
  <c r="C32" i="3"/>
  <c r="G907" i="1"/>
  <c r="K864" i="1"/>
  <c r="G841" i="1"/>
  <c r="C836" i="1"/>
  <c r="K830" i="1"/>
  <c r="G825" i="1"/>
  <c r="C820" i="1"/>
  <c r="K814" i="1"/>
  <c r="G809" i="1"/>
  <c r="C804" i="1"/>
  <c r="K798" i="1"/>
  <c r="G793" i="1"/>
  <c r="C788" i="1"/>
  <c r="K782" i="1"/>
  <c r="G777" i="1"/>
  <c r="C772" i="1"/>
  <c r="K766" i="1"/>
  <c r="G761" i="1"/>
  <c r="C756" i="1"/>
  <c r="K750" i="1"/>
  <c r="G745" i="1"/>
  <c r="C740" i="1"/>
  <c r="K734" i="1"/>
  <c r="G729" i="1"/>
  <c r="C724" i="1"/>
  <c r="K718" i="1"/>
  <c r="G713" i="1"/>
  <c r="C708" i="1"/>
  <c r="K702" i="1"/>
  <c r="G697" i="1"/>
  <c r="F695" i="1"/>
  <c r="I694" i="1"/>
  <c r="L693" i="1"/>
  <c r="B693" i="1"/>
  <c r="E692" i="1"/>
  <c r="H691" i="1"/>
  <c r="K690" i="1"/>
  <c r="B690" i="1"/>
  <c r="E689" i="1"/>
  <c r="H688" i="1"/>
  <c r="J687" i="1"/>
  <c r="A687" i="1"/>
  <c r="D686" i="1"/>
  <c r="G685" i="1"/>
  <c r="J684" i="1"/>
  <c r="A684" i="1"/>
  <c r="D683" i="1"/>
  <c r="F682" i="1"/>
  <c r="I681" i="1"/>
  <c r="L680" i="1"/>
  <c r="C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K70" i="3"/>
  <c r="K26" i="3"/>
  <c r="C902" i="1"/>
  <c r="G859" i="1"/>
  <c r="K840" i="1"/>
  <c r="G835" i="1"/>
  <c r="C830" i="1"/>
  <c r="K824" i="1"/>
  <c r="G819" i="1"/>
  <c r="C814" i="1"/>
  <c r="K808" i="1"/>
  <c r="G803" i="1"/>
  <c r="C798" i="1"/>
  <c r="K792" i="1"/>
  <c r="G787" i="1"/>
  <c r="C782" i="1"/>
  <c r="K776" i="1"/>
  <c r="G771" i="1"/>
  <c r="C766" i="1"/>
  <c r="K760" i="1"/>
  <c r="G755" i="1"/>
  <c r="C750" i="1"/>
  <c r="K744" i="1"/>
  <c r="G739" i="1"/>
  <c r="C734" i="1"/>
  <c r="K728" i="1"/>
  <c r="G723" i="1"/>
  <c r="C718" i="1"/>
  <c r="K712" i="1"/>
  <c r="G707" i="1"/>
  <c r="C702" i="1"/>
  <c r="K696" i="1"/>
  <c r="E695" i="1"/>
  <c r="H694" i="1"/>
  <c r="J693" i="1"/>
  <c r="A693" i="1"/>
  <c r="D692" i="1"/>
  <c r="G691" i="1"/>
  <c r="J690" i="1"/>
  <c r="A690" i="1"/>
  <c r="D689" i="1"/>
  <c r="F688" i="1"/>
  <c r="I687" i="1"/>
  <c r="L686" i="1"/>
  <c r="C686" i="1"/>
  <c r="F685" i="1"/>
  <c r="I684" i="1"/>
  <c r="L683" i="1"/>
  <c r="B683" i="1"/>
  <c r="E682" i="1"/>
  <c r="H681" i="1"/>
  <c r="K680" i="1"/>
  <c r="B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C64" i="3"/>
  <c r="G21" i="3"/>
  <c r="K896" i="1"/>
  <c r="C854" i="1"/>
  <c r="C840" i="1"/>
  <c r="K834" i="1"/>
  <c r="G829" i="1"/>
  <c r="C824" i="1"/>
  <c r="K818" i="1"/>
  <c r="G813" i="1"/>
  <c r="C808" i="1"/>
  <c r="K802" i="1"/>
  <c r="G797" i="1"/>
  <c r="C792" i="1"/>
  <c r="K786" i="1"/>
  <c r="G781" i="1"/>
  <c r="C776" i="1"/>
  <c r="K770" i="1"/>
  <c r="G765" i="1"/>
  <c r="C760" i="1"/>
  <c r="K754" i="1"/>
  <c r="G749" i="1"/>
  <c r="C744" i="1"/>
  <c r="K738" i="1"/>
  <c r="G733" i="1"/>
  <c r="C728" i="1"/>
  <c r="K722" i="1"/>
  <c r="G717" i="1"/>
  <c r="C712" i="1"/>
  <c r="K706" i="1"/>
  <c r="G701" i="1"/>
  <c r="C696" i="1"/>
  <c r="D695" i="1"/>
  <c r="F694" i="1"/>
  <c r="I693" i="1"/>
  <c r="L692" i="1"/>
  <c r="C692" i="1"/>
  <c r="F691" i="1"/>
  <c r="I690" i="1"/>
  <c r="L689" i="1"/>
  <c r="B689" i="1"/>
  <c r="E688" i="1"/>
  <c r="H687" i="1"/>
  <c r="K686" i="1"/>
  <c r="B686" i="1"/>
  <c r="E685" i="1"/>
  <c r="H684" i="1"/>
  <c r="J683" i="1"/>
  <c r="A683" i="1"/>
  <c r="D682" i="1"/>
  <c r="G681" i="1"/>
  <c r="J680" i="1"/>
  <c r="A680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K58" i="3"/>
  <c r="C16" i="3"/>
  <c r="G891" i="1"/>
  <c r="K848" i="1"/>
  <c r="G839" i="1"/>
  <c r="C834" i="1"/>
  <c r="K828" i="1"/>
  <c r="G823" i="1"/>
  <c r="C818" i="1"/>
  <c r="K812" i="1"/>
  <c r="G807" i="1"/>
  <c r="C802" i="1"/>
  <c r="K796" i="1"/>
  <c r="G791" i="1"/>
  <c r="C786" i="1"/>
  <c r="K780" i="1"/>
  <c r="G775" i="1"/>
  <c r="C770" i="1"/>
  <c r="K764" i="1"/>
  <c r="G759" i="1"/>
  <c r="C754" i="1"/>
  <c r="K748" i="1"/>
  <c r="G743" i="1"/>
  <c r="C738" i="1"/>
  <c r="K732" i="1"/>
  <c r="G727" i="1"/>
  <c r="C722" i="1"/>
  <c r="K716" i="1"/>
  <c r="G711" i="1"/>
  <c r="C706" i="1"/>
  <c r="K700" i="1"/>
  <c r="L695" i="1"/>
  <c r="B695" i="1"/>
  <c r="E694" i="1"/>
  <c r="H693" i="1"/>
  <c r="K692" i="1"/>
  <c r="B692" i="1"/>
  <c r="E691" i="1"/>
  <c r="H690" i="1"/>
  <c r="J689" i="1"/>
  <c r="A689" i="1"/>
  <c r="D688" i="1"/>
  <c r="G687" i="1"/>
  <c r="J686" i="1"/>
  <c r="A686" i="1"/>
  <c r="D685" i="1"/>
  <c r="F684" i="1"/>
  <c r="I683" i="1"/>
  <c r="L682" i="1"/>
  <c r="C682" i="1"/>
  <c r="F681" i="1"/>
  <c r="I680" i="1"/>
  <c r="L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G53" i="3"/>
  <c r="K10" i="3"/>
  <c r="C886" i="1"/>
  <c r="K844" i="1"/>
  <c r="K838" i="1"/>
  <c r="G833" i="1"/>
  <c r="C828" i="1"/>
  <c r="K822" i="1"/>
  <c r="G817" i="1"/>
  <c r="C812" i="1"/>
  <c r="K806" i="1"/>
  <c r="G801" i="1"/>
  <c r="C796" i="1"/>
  <c r="K790" i="1"/>
  <c r="G785" i="1"/>
  <c r="C780" i="1"/>
  <c r="K774" i="1"/>
  <c r="G769" i="1"/>
  <c r="C764" i="1"/>
  <c r="K758" i="1"/>
  <c r="G753" i="1"/>
  <c r="C748" i="1"/>
  <c r="K742" i="1"/>
  <c r="G737" i="1"/>
  <c r="C732" i="1"/>
  <c r="K726" i="1"/>
  <c r="G721" i="1"/>
  <c r="C716" i="1"/>
  <c r="K710" i="1"/>
  <c r="G705" i="1"/>
  <c r="C700" i="1"/>
  <c r="J695" i="1"/>
  <c r="A695" i="1"/>
  <c r="D694" i="1"/>
  <c r="G693" i="1"/>
  <c r="J692" i="1"/>
  <c r="A692" i="1"/>
  <c r="D691" i="1"/>
  <c r="F690" i="1"/>
  <c r="I689" i="1"/>
  <c r="L688" i="1"/>
  <c r="C688" i="1"/>
  <c r="F687" i="1"/>
  <c r="I686" i="1"/>
  <c r="L685" i="1"/>
  <c r="B685" i="1"/>
  <c r="E684" i="1"/>
  <c r="H683" i="1"/>
  <c r="K682" i="1"/>
  <c r="B682" i="1"/>
  <c r="E681" i="1"/>
  <c r="H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I647" i="1"/>
  <c r="E642" i="1"/>
  <c r="A637" i="1"/>
  <c r="I631" i="1"/>
  <c r="D629" i="1"/>
  <c r="G628" i="1"/>
  <c r="J627" i="1"/>
  <c r="A627" i="1"/>
  <c r="D626" i="1"/>
  <c r="G625" i="1"/>
  <c r="J624" i="1"/>
  <c r="L623" i="1"/>
  <c r="C623" i="1"/>
  <c r="F622" i="1"/>
  <c r="I621" i="1"/>
  <c r="L620" i="1"/>
  <c r="C620" i="1"/>
  <c r="F619" i="1"/>
  <c r="H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A647" i="1"/>
  <c r="I641" i="1"/>
  <c r="E636" i="1"/>
  <c r="A631" i="1"/>
  <c r="C629" i="1"/>
  <c r="F628" i="1"/>
  <c r="I627" i="1"/>
  <c r="L626" i="1"/>
  <c r="C626" i="1"/>
  <c r="F625" i="1"/>
  <c r="H624" i="1"/>
  <c r="K623" i="1"/>
  <c r="B623" i="1"/>
  <c r="E622" i="1"/>
  <c r="H621" i="1"/>
  <c r="K620" i="1"/>
  <c r="B620" i="1"/>
  <c r="D619" i="1"/>
  <c r="G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E646" i="1"/>
  <c r="A641" i="1"/>
  <c r="I635" i="1"/>
  <c r="E630" i="1"/>
  <c r="B629" i="1"/>
  <c r="E628" i="1"/>
  <c r="H627" i="1"/>
  <c r="K626" i="1"/>
  <c r="B626" i="1"/>
  <c r="D625" i="1"/>
  <c r="G624" i="1"/>
  <c r="J623" i="1"/>
  <c r="A623" i="1"/>
  <c r="D622" i="1"/>
  <c r="G621" i="1"/>
  <c r="J620" i="1"/>
  <c r="L619" i="1"/>
  <c r="C619" i="1"/>
  <c r="F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I645" i="1"/>
  <c r="E640" i="1"/>
  <c r="A635" i="1"/>
  <c r="J629" i="1"/>
  <c r="A629" i="1"/>
  <c r="D628" i="1"/>
  <c r="G627" i="1"/>
  <c r="J626" i="1"/>
  <c r="L625" i="1"/>
  <c r="C625" i="1"/>
  <c r="F624" i="1"/>
  <c r="I623" i="1"/>
  <c r="L622" i="1"/>
  <c r="C622" i="1"/>
  <c r="F621" i="1"/>
  <c r="H620" i="1"/>
  <c r="K619" i="1"/>
  <c r="B619" i="1"/>
  <c r="E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A645" i="1"/>
  <c r="I639" i="1"/>
  <c r="E634" i="1"/>
  <c r="I629" i="1"/>
  <c r="L628" i="1"/>
  <c r="C628" i="1"/>
  <c r="F627" i="1"/>
  <c r="H626" i="1"/>
  <c r="K625" i="1"/>
  <c r="B625" i="1"/>
  <c r="E624" i="1"/>
  <c r="H623" i="1"/>
  <c r="K622" i="1"/>
  <c r="B622" i="1"/>
  <c r="D621" i="1"/>
  <c r="G620" i="1"/>
  <c r="J619" i="1"/>
  <c r="A619" i="1"/>
  <c r="D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E644" i="1"/>
  <c r="A639" i="1"/>
  <c r="I633" i="1"/>
  <c r="H629" i="1"/>
  <c r="K628" i="1"/>
  <c r="B628" i="1"/>
  <c r="D627" i="1"/>
  <c r="G626" i="1"/>
  <c r="J625" i="1"/>
  <c r="A625" i="1"/>
  <c r="D624" i="1"/>
  <c r="G623" i="1"/>
  <c r="J622" i="1"/>
  <c r="L621" i="1"/>
  <c r="C621" i="1"/>
  <c r="F620" i="1"/>
  <c r="I619" i="1"/>
  <c r="L618" i="1"/>
  <c r="C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I643" i="1"/>
  <c r="E638" i="1"/>
  <c r="A633" i="1"/>
  <c r="G629" i="1"/>
  <c r="J628" i="1"/>
  <c r="L627" i="1"/>
  <c r="C627" i="1"/>
  <c r="F626" i="1"/>
  <c r="I625" i="1"/>
  <c r="L624" i="1"/>
  <c r="C624" i="1"/>
  <c r="F623" i="1"/>
  <c r="H622" i="1"/>
  <c r="K621" i="1"/>
  <c r="B621" i="1"/>
  <c r="E620" i="1"/>
  <c r="H619" i="1"/>
  <c r="K618" i="1"/>
  <c r="B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643" i="1"/>
  <c r="I637" i="1"/>
  <c r="E632" i="1"/>
  <c r="F629" i="1"/>
  <c r="H628" i="1"/>
  <c r="K627" i="1"/>
  <c r="B627" i="1"/>
  <c r="E626" i="1"/>
  <c r="H625" i="1"/>
  <c r="K624" i="1"/>
  <c r="B624" i="1"/>
  <c r="D623" i="1"/>
  <c r="G622" i="1"/>
  <c r="J621" i="1"/>
  <c r="A621" i="1"/>
  <c r="D620" i="1"/>
  <c r="G619" i="1"/>
  <c r="J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B460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A460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L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H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F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E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D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G4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B4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J4" i="1"/>
  <c r="A4" i="1"/>
  <c r="J2" i="8" l="1"/>
  <c r="J2" i="10"/>
  <c r="J2" i="9"/>
  <c r="J2" i="7"/>
  <c r="J2" i="4"/>
  <c r="J2" i="6"/>
  <c r="J2" i="5"/>
</calcChain>
</file>

<file path=xl/sharedStrings.xml><?xml version="1.0" encoding="utf-8"?>
<sst xmlns="http://schemas.openxmlformats.org/spreadsheetml/2006/main" count="149" uniqueCount="36">
  <si>
    <t>Modules Info</t>
  </si>
  <si>
    <t>Settings</t>
  </si>
  <si>
    <t>Master Data Info</t>
  </si>
  <si>
    <t>Module</t>
  </si>
  <si>
    <t>Modules</t>
  </si>
  <si>
    <t>Module Step Setting File</t>
  </si>
  <si>
    <t>Step</t>
  </si>
  <si>
    <t>1bjzFzn7sq_aNk1B-5bCREqf7Fqdi4GeZC91op3sddBc</t>
  </si>
  <si>
    <t>Master Data Sheet</t>
  </si>
  <si>
    <t>Master Data Settings File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</si>
  <si>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</si>
  <si>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</si>
  <si>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</si>
  <si>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</si>
  <si>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</si>
  <si>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</si>
  <si>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GPTAU</t>
  </si>
  <si>
    <t>Buy</t>
  </si>
  <si>
    <t>Unallocated</t>
  </si>
  <si>
    <t>Market</t>
  </si>
  <si>
    <t>Sell</t>
  </si>
  <si>
    <t>Buy to Close</t>
  </si>
  <si>
    <t>Sell short</t>
  </si>
  <si>
    <t>Allocation</t>
  </si>
  <si>
    <t>CheckUnallocatedGroups</t>
  </si>
  <si>
    <t>Blotter</t>
  </si>
  <si>
    <t>VerifyWorkingSubs</t>
  </si>
  <si>
    <t>PartiallyFilled</t>
  </si>
  <si>
    <t>VerifyOrder</t>
  </si>
  <si>
    <t>VerifySubOrder</t>
  </si>
  <si>
    <t>PortfolioManagement</t>
  </si>
  <si>
    <t>CheckPortfolioManagement</t>
  </si>
  <si>
    <t>Long</t>
  </si>
  <si>
    <t>Short</t>
  </si>
  <si>
    <t>GetDataAllocation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</si>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</sst>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4"/>
      <color rgb="FFFFFFFF"/>
      <name val="Calibri"/>
    </font>
    <font>
      <sz val="10"/>
      <name val="Arial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5" fillId="0" borderId="0" xfId="0" applyFont="1" applyAlignment="1"/>
    <xf numFmtId="0" fontId="7" fillId="3" borderId="4" xfId="0" applyFont="1" applyFill="1" applyBorder="1" applyAlignment="1"/>
    <xf numFmtId="0" fontId="8" fillId="0" borderId="0" xfId="0" applyFont="1"/>
    <xf numFmtId="0" fontId="9" fillId="3" borderId="4" xfId="0" applyFont="1" applyFill="1" applyBorder="1" applyAlignment="1"/>
    <xf numFmtId="0" fontId="4" fillId="3" borderId="4" xfId="0" applyFont="1" applyFill="1" applyBorder="1" applyAlignment="1"/>
    <xf numFmtId="0" fontId="4" fillId="3" borderId="4" xfId="0" applyFont="1" applyFill="1" applyBorder="1" applyAlignment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9" fillId="0" borderId="0" xfId="0" applyFont="1" applyAlignment="1"/>
    <xf numFmtId="0" fontId="6" fillId="3" borderId="0" xfId="0" applyFont="1" applyFill="1" applyAlignment="1"/>
    <xf numFmtId="0" fontId="9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34" t="s">
        <v>0</v>
      </c>
      <c r="B1" s="35"/>
      <c r="C1" s="35"/>
      <c r="D1" s="35"/>
      <c r="E1" s="35"/>
      <c r="F1" s="36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4" t="s">
        <v>4</v>
      </c>
      <c r="B3" s="10"/>
      <c r="C3" s="11"/>
      <c r="D3" s="11"/>
      <c r="E3" s="11"/>
      <c r="F3" s="11"/>
    </row>
    <row r="4" spans="1:12" ht="15.75" customHeight="1" x14ac:dyDescent="0.2">
      <c r="A4" s="2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2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31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 x14ac:dyDescent="0.2"/>
    <row r="923" spans="1:12" ht="15.75" customHeight="1" x14ac:dyDescent="0.2"/>
    <row r="924" spans="1:12" ht="15.75" customHeight="1" x14ac:dyDescent="0.2"/>
    <row r="925" spans="1:12" ht="15.75" customHeight="1" x14ac:dyDescent="0.2"/>
    <row r="926" spans="1:12" ht="15.75" customHeight="1" x14ac:dyDescent="0.2"/>
    <row r="927" spans="1:12" ht="15.75" customHeight="1" x14ac:dyDescent="0.2"/>
    <row r="928" spans="1:12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7" t="s">
        <v>1</v>
      </c>
      <c r="B1" s="35"/>
      <c r="C1" s="36"/>
    </row>
    <row r="2" spans="1:3" ht="15.75" customHeight="1" x14ac:dyDescent="0.2">
      <c r="A2" s="2"/>
      <c r="B2" s="2"/>
      <c r="C2" s="2"/>
    </row>
    <row r="3" spans="1:3" ht="15.75" customHeight="1" x14ac:dyDescent="0.2">
      <c r="A3" s="4" t="s">
        <v>5</v>
      </c>
      <c r="B3" s="6" t="s">
        <v>7</v>
      </c>
      <c r="C3" s="2"/>
    </row>
    <row r="4" spans="1:3" ht="15.75" customHeight="1" x14ac:dyDescent="0.2">
      <c r="A4" s="3" t="s">
        <v>9</v>
      </c>
      <c r="B4" s="6" t="s">
        <v>10</v>
      </c>
      <c r="C4" s="2"/>
    </row>
    <row r="5" spans="1:3" ht="15.75" customHeight="1" x14ac:dyDescent="0.2">
      <c r="A5" s="9"/>
      <c r="B5" s="2"/>
      <c r="C5" s="2"/>
    </row>
    <row r="6" spans="1:3" ht="15.75" customHeight="1" x14ac:dyDescent="0.2">
      <c r="A6" s="9"/>
      <c r="B6" s="2"/>
      <c r="C6" s="2"/>
    </row>
    <row r="7" spans="1:3" ht="15.75" customHeight="1" x14ac:dyDescent="0.2">
      <c r="A7" s="9"/>
      <c r="B7" s="2"/>
      <c r="C7" s="2"/>
    </row>
    <row r="8" spans="1:3" ht="15.75" customHeight="1" x14ac:dyDescent="0.2">
      <c r="A8" s="9"/>
      <c r="B8" s="2"/>
      <c r="C8" s="2"/>
    </row>
    <row r="9" spans="1:3" ht="15.75" customHeight="1" x14ac:dyDescent="0.2">
      <c r="A9" s="9"/>
      <c r="B9" s="2"/>
      <c r="C9" s="2"/>
    </row>
    <row r="10" spans="1:3" ht="15.75" customHeight="1" x14ac:dyDescent="0.2">
      <c r="A10" s="9"/>
      <c r="B10" s="2"/>
      <c r="C10" s="2"/>
    </row>
    <row r="11" spans="1:3" ht="15.75" customHeight="1" x14ac:dyDescent="0.2">
      <c r="A11" s="9"/>
      <c r="B11" s="2"/>
      <c r="C11" s="2"/>
    </row>
    <row r="12" spans="1:3" ht="15.75" customHeight="1" x14ac:dyDescent="0.2">
      <c r="A12" s="9"/>
      <c r="B12" s="2"/>
      <c r="C12" s="2"/>
    </row>
    <row r="13" spans="1:3" ht="15.75" customHeight="1" x14ac:dyDescent="0.2">
      <c r="A13" s="9"/>
      <c r="B13" s="2"/>
      <c r="C13" s="2"/>
    </row>
    <row r="14" spans="1:3" ht="15.75" customHeight="1" x14ac:dyDescent="0.2">
      <c r="A14" s="9"/>
      <c r="B14" s="2"/>
      <c r="C14" s="2"/>
    </row>
    <row r="15" spans="1:3" ht="15.75" customHeight="1" x14ac:dyDescent="0.2">
      <c r="A15" s="9"/>
      <c r="B15" s="2"/>
      <c r="C15" s="2"/>
    </row>
    <row r="16" spans="1:3" ht="15.75" customHeight="1" x14ac:dyDescent="0.2">
      <c r="A16" s="9"/>
      <c r="B16" s="2"/>
      <c r="C16" s="2"/>
    </row>
    <row r="17" spans="1:3" ht="15.75" customHeight="1" x14ac:dyDescent="0.2">
      <c r="A17" s="9"/>
      <c r="B17" s="2"/>
      <c r="C17" s="2"/>
    </row>
    <row r="18" spans="1:3" ht="15.75" customHeight="1" x14ac:dyDescent="0.2">
      <c r="A18" s="9"/>
      <c r="B18" s="2"/>
      <c r="C18" s="2"/>
    </row>
    <row r="19" spans="1:3" ht="15.75" customHeight="1" x14ac:dyDescent="0.2">
      <c r="A19" s="9"/>
      <c r="B19" s="2"/>
      <c r="C19" s="2"/>
    </row>
    <row r="20" spans="1:3" ht="15.75" customHeight="1" x14ac:dyDescent="0.2">
      <c r="A20" s="9"/>
      <c r="B20" s="2"/>
      <c r="C20" s="2"/>
    </row>
    <row r="21" spans="1:3" ht="15.75" customHeight="1" x14ac:dyDescent="0.2">
      <c r="A21" s="9"/>
      <c r="B21" s="2"/>
      <c r="C21" s="2"/>
    </row>
    <row r="22" spans="1:3" ht="15.75" customHeight="1" x14ac:dyDescent="0.2">
      <c r="A22" s="9"/>
      <c r="B22" s="2"/>
      <c r="C22" s="2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4" t="s">
        <v>2</v>
      </c>
      <c r="B1" s="35"/>
      <c r="C1" s="35"/>
      <c r="D1" s="35"/>
      <c r="E1" s="35"/>
      <c r="F1" s="36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3" t="s">
        <v>3</v>
      </c>
      <c r="B3" s="5" t="s">
        <v>6</v>
      </c>
      <c r="C3" s="5" t="s">
        <v>8</v>
      </c>
      <c r="D3" s="7"/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4" t="s">
        <v>11</v>
      </c>
      <c r="C1" s="35"/>
      <c r="D1" s="35"/>
      <c r="E1" s="35"/>
      <c r="F1" s="35"/>
      <c r="G1" s="35"/>
      <c r="H1" s="36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1b5S4Xpp4fgZ1ez6cK92QFnVBylqz8jhwxdAyEvwDqUI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3</v>
      </c>
      <c r="C3" s="16" t="s">
        <v>12</v>
      </c>
      <c r="D3" s="4" t="s">
        <v>6</v>
      </c>
      <c r="E3" s="16" t="s">
        <v>13</v>
      </c>
      <c r="F3" s="4" t="s">
        <v>14</v>
      </c>
      <c r="G3" s="9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IFERROR(__xludf.DUMMYFUNCTION("""COMPUTED_VALUE"""),"ShowMasterFundOnTT")</f>
        <v>ShowMasterFundOnTT</v>
      </c>
      <c r="S4" s="19" t="str">
        <f ca="1">IFERROR(__xludf.DUMMYFUNCTION("""COMPUTED_VALUE"""),"UpdateMasterFundOnTT")</f>
        <v>UpdateMasterFundOnTT</v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5" t="s">
        <v>16</v>
      </c>
      <c r="C6" s="26" t="s">
        <v>17</v>
      </c>
      <c r="D6" s="27">
        <v>500</v>
      </c>
      <c r="E6" s="28">
        <v>50</v>
      </c>
      <c r="F6" s="26" t="s">
        <v>18</v>
      </c>
      <c r="G6" s="29"/>
      <c r="H6" s="29"/>
      <c r="I6" s="26" t="s">
        <v>19</v>
      </c>
      <c r="J6" s="28">
        <v>50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</row>
    <row r="7" spans="1:154" ht="15.75" customHeight="1" x14ac:dyDescent="0.2">
      <c r="A7" s="29"/>
      <c r="B7" s="26" t="s">
        <v>16</v>
      </c>
      <c r="C7" s="26" t="s">
        <v>20</v>
      </c>
      <c r="D7" s="28">
        <v>500</v>
      </c>
      <c r="E7" s="28">
        <v>50</v>
      </c>
      <c r="F7" s="26" t="s">
        <v>18</v>
      </c>
      <c r="G7" s="29"/>
      <c r="H7" s="29"/>
      <c r="I7" s="26" t="s">
        <v>19</v>
      </c>
      <c r="J7" s="28">
        <v>50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</row>
    <row r="8" spans="1:154" ht="15.75" customHeight="1" x14ac:dyDescent="0.2">
      <c r="A8" s="29"/>
      <c r="B8" s="26" t="s">
        <v>16</v>
      </c>
      <c r="C8" s="26" t="s">
        <v>21</v>
      </c>
      <c r="D8" s="28">
        <v>500</v>
      </c>
      <c r="E8" s="28">
        <v>50</v>
      </c>
      <c r="F8" s="26" t="s">
        <v>18</v>
      </c>
      <c r="G8" s="29"/>
      <c r="H8" s="29"/>
      <c r="I8" s="26" t="s">
        <v>19</v>
      </c>
      <c r="J8" s="28">
        <v>50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</row>
    <row r="9" spans="1:154" ht="15.75" customHeight="1" x14ac:dyDescent="0.2">
      <c r="A9" s="29"/>
      <c r="B9" s="26" t="s">
        <v>16</v>
      </c>
      <c r="C9" s="30" t="s">
        <v>22</v>
      </c>
      <c r="D9" s="28">
        <v>500</v>
      </c>
      <c r="E9" s="28">
        <v>50</v>
      </c>
      <c r="F9" s="26" t="s">
        <v>18</v>
      </c>
      <c r="G9" s="29"/>
      <c r="H9" s="29"/>
      <c r="I9" s="26" t="s">
        <v>19</v>
      </c>
      <c r="J9" s="28">
        <v>50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4" t="s">
        <v>11</v>
      </c>
      <c r="C1" s="35"/>
      <c r="D1" s="35"/>
      <c r="E1" s="35"/>
      <c r="F1" s="35"/>
      <c r="G1" s="35"/>
      <c r="H1" s="36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1c7aP-E18Fb8lEVGiXac03BLoNVdUNRzodD2Xjn-9pzU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3</v>
      </c>
      <c r="C3" s="16" t="s">
        <v>23</v>
      </c>
      <c r="D3" s="4" t="s">
        <v>6</v>
      </c>
      <c r="E3" s="16" t="s">
        <v>24</v>
      </c>
      <c r="F3" s="4" t="s">
        <v>14</v>
      </c>
      <c r="G3" s="9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IFERROR(__xludf.DUMMYFUNCTION("""COMPUTED_VALUE"""),"Accrual Basis")</f>
        <v>Accrual Basis</v>
      </c>
      <c r="C5" s="21" t="str">
        <f ca="1">IFERROR(__xludf.DUMMYFUNCTION("""COMPUTED_VALUE"""),"Accrued Interest")</f>
        <v>Accrued Interest</v>
      </c>
      <c r="D5" s="21" t="str">
        <f ca="1">IFERROR(__xludf.DUMMYFUNCTION("""COMPUTED_VALUE"""),"Allocated Qty")</f>
        <v>Allocated Qty</v>
      </c>
      <c r="E5" s="21" t="str">
        <f ca="1">IFERROR(__xludf.DUMMYFUNCTION("""COMPUTED_VALUE"""),"Allocation Scheme Name")</f>
        <v>Allocation Scheme Name</v>
      </c>
      <c r="F5" s="22" t="str">
        <f ca="1">IFERROR(__xludf.DUMMYFUNCTION("""COMPUTED_VALUE"""),"Asset Category")</f>
        <v>Asset Category</v>
      </c>
      <c r="G5" s="21" t="str">
        <f ca="1">IFERROR(__xludf.DUMMYFUNCTION("""COMPUTED_VALUE"""),"AUEC Fee1")</f>
        <v>AUEC Fee1</v>
      </c>
      <c r="H5" s="21" t="str">
        <f ca="1">IFERROR(__xludf.DUMMYFUNCTION("""COMPUTED_VALUE"""),"AUEC Fee2")</f>
        <v>AUEC Fee2</v>
      </c>
      <c r="I5" s="21" t="str">
        <f ca="1">IFERROR(__xludf.DUMMYFUNCTION("""COMPUTED_VALUE"""),"AUECID")</f>
        <v>AUECID</v>
      </c>
      <c r="J5" s="21" t="str">
        <f ca="1">IFERROR(__xludf.DUMMYFUNCTION("""COMPUTED_VALUE"""),"Avg Price(Base)")</f>
        <v>Avg Price(Base)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IFERROR(__xludf.DUMMYFUNCTION("""COMPUTED_VALUE"""),"Bloomberg")</f>
        <v>Bloomberg</v>
      </c>
      <c r="M5" s="21" t="str">
        <f ca="1">IFERROR(__xludf.DUMMYFUNCTION("""COMPUTED_VALUE"""),"Bond Type")</f>
        <v>Bond Type</v>
      </c>
      <c r="N5" s="21" t="str">
        <f ca="1">IFERROR(__xludf.DUMMYFUNCTION("""COMPUTED_VALUE"""),"Broker")</f>
        <v>Broker</v>
      </c>
      <c r="O5" s="21" t="str">
        <f ca="1">IFERROR(__xludf.DUMMYFUNCTION("""COMPUTED_VALUE"""),"Change Comment")</f>
        <v>Change Comment</v>
      </c>
      <c r="P5" s="21" t="str">
        <f ca="1">IFERROR(__xludf.DUMMYFUNCTION("""COMPUTED_VALUE"""),"Change Type")</f>
        <v>Change Type</v>
      </c>
      <c r="Q5" s="21" t="str">
        <f ca="1">IFERROR(__xludf.DUMMYFUNCTION("""COMPUTED_VALUE"""),"Clearing Broker Fee")</f>
        <v>Clearing Broker Fee</v>
      </c>
      <c r="R5" s="21" t="str">
        <f ca="1">IFERROR(__xludf.DUMMYFUNCTION("""COMPUTED_VALUE"""),"Closing Method")</f>
        <v>Closing Method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IFERROR(__xludf.DUMMYFUNCTION("""COMPUTED_VALUE"""),"Execution Time")</f>
        <v>Execution Time</v>
      </c>
      <c r="AG5" s="23" t="str">
        <f ca="1">IFERROR(__xludf.DUMMYFUNCTION("""COMPUTED_VALUE"""),"FX Conversion Operator")</f>
        <v>FX Conversion Operator</v>
      </c>
      <c r="AH5" s="23" t="str">
        <f ca="1">IFERROR(__xludf.DUMMYFUNCTION("""COMPUTED_VALUE"""),"FX Rate")</f>
        <v>FX Rate</v>
      </c>
      <c r="AI5" s="23" t="str">
        <f ca="1">IFERROR(__xludf.DUMMYFUNCTION("""COMPUTED_VALUE"""),"Group Status")</f>
        <v>Group Status</v>
      </c>
      <c r="AJ5" s="23" t="str">
        <f ca="1">IFERROR(__xludf.DUMMYFUNCTION("""COMPUTED_VALUE"""),"GroupID")</f>
        <v>GroupID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 Group")</f>
        <v>IsManual 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IFERROR(__xludf.DUMMYFUNCTION("""COMPUTED_VALUE"""),"Symbol")</f>
        <v>Symbol</v>
      </c>
      <c r="BT5" s="23" t="str">
        <f ca="1">IFERROR(__xludf.DUMMYFUNCTION("""COMPUTED_VALUE"""),"Tax On Commissions")</f>
        <v>Tax On Commissions</v>
      </c>
      <c r="BU5" s="23" t="str">
        <f ca="1">IFERROR(__xludf.DUMMYFUNCTION("""COMPUTED_VALUE"""),"Total Commission")</f>
        <v>Total Commission</v>
      </c>
      <c r="BV5" s="23" t="str">
        <f ca="1">IFERROR(__xludf.DUMMYFUNCTION("""COMPUTED_VALUE"""),"Total Commission And Fee")</f>
        <v>Total Commission And Fee</v>
      </c>
      <c r="BW5" s="23" t="str">
        <f ca="1">IFERROR(__xludf.DUMMYFUNCTION("""COMPUTED_VALUE"""),"Total Commission Per Share")</f>
        <v>Total Commission Per Share</v>
      </c>
      <c r="BX5" s="23" t="str">
        <f ca="1">IFERROR(__xludf.DUMMYFUNCTION("""COMPUTED_VALUE"""),"Trade Attribute 1")</f>
        <v>Trade Attribute 1</v>
      </c>
      <c r="BY5" s="23" t="str">
        <f ca="1">IFERROR(__xludf.DUMMYFUNCTION("""COMPUTED_VALUE"""),"Trade Attribute 2")</f>
        <v>Trade Attribute 2</v>
      </c>
      <c r="BZ5" s="23" t="str">
        <f ca="1">IFERROR(__xludf.DUMMYFUNCTION("""COMPUTED_VALUE"""),"Trade Attribute 3")</f>
        <v>Trade Attribute 3</v>
      </c>
      <c r="CA5" s="23" t="str">
        <f ca="1">IFERROR(__xludf.DUMMYFUNCTION("""COMPUTED_VALUE"""),"Trade Attribute 4")</f>
        <v>Trade Attribute 4</v>
      </c>
      <c r="CB5" s="23" t="str">
        <f ca="1">IFERROR(__xludf.DUMMYFUNCTION("""COMPUTED_VALUE"""),"Trade Attribute 5")</f>
        <v>Trade Attribute 5</v>
      </c>
      <c r="CC5" s="23" t="str">
        <f ca="1">IFERROR(__xludf.DUMMYFUNCTION("""COMPUTED_VALUE"""),"Trade Attribute 6")</f>
        <v>Trade Attribute 6</v>
      </c>
      <c r="CD5" s="23" t="str">
        <f ca="1">IFERROR(__xludf.DUMMYFUNCTION("""COMPUTED_VALUE"""),"Trade Date")</f>
        <v>Trade Date</v>
      </c>
      <c r="CE5" s="23" t="str">
        <f ca="1">IFERROR(__xludf.DUMMYFUNCTION("""COMPUTED_VALUE"""),"Trading Account")</f>
        <v>Trading Account</v>
      </c>
      <c r="CF5" s="23" t="str">
        <f ca="1">IFERROR(__xludf.DUMMYFUNCTION("""COMPUTED_VALUE"""),"Transaction Levy")</f>
        <v>Transaction Levy</v>
      </c>
      <c r="CG5" s="23" t="str">
        <f ca="1">IFERROR(__xludf.DUMMYFUNCTION("""COMPUTED_VALUE"""),"Transaction Source")</f>
        <v>Transaction Source</v>
      </c>
      <c r="CH5" s="23" t="str">
        <f ca="1">IFERROR(__xludf.DUMMYFUNCTION("""COMPUTED_VALUE"""),"Transaction Type")</f>
        <v>Transaction Type</v>
      </c>
      <c r="CI5" s="23" t="str">
        <f ca="1">IFERROR(__xludf.DUMMYFUNCTION("""COMPUTED_VALUE"""),"UnAllocatedQty")</f>
        <v>UnAllocatedQty</v>
      </c>
      <c r="CJ5" s="23" t="str">
        <f ca="1">IFERROR(__xludf.DUMMYFUNCTION("""COMPUTED_VALUE"""),"Underlying")</f>
        <v>Underlying</v>
      </c>
      <c r="CK5" s="23" t="str">
        <f ca="1">IFERROR(__xludf.DUMMYFUNCTION("""COMPUTED_VALUE"""),"Underlying Delta")</f>
        <v>Underlying Delta</v>
      </c>
      <c r="CL5" s="23" t="str">
        <f ca="1">IFERROR(__xludf.DUMMYFUNCTION("""COMPUTED_VALUE"""),"Underlying Symbol")</f>
        <v>Underlying Symbol</v>
      </c>
      <c r="CM5" s="23" t="str">
        <f ca="1">IFERROR(__xludf.DUMMYFUNCTION("""COMPUTED_VALUE"""),"User")</f>
        <v>User</v>
      </c>
      <c r="CN5" s="23" t="str">
        <f ca="1">IFERROR(__xludf.DUMMYFUNCTION("""COMPUTED_VALUE"""),"Venue")</f>
        <v>Venue</v>
      </c>
      <c r="CO5" s="23" t="str">
        <f ca="1">IFERROR(__xludf.DUMMYFUNCTION("""COMPUTED_VALUE"""),"Closing Date")</f>
        <v>Closing Date</v>
      </c>
      <c r="CP5" s="23" t="str">
        <f ca="1">IFERROR(__xludf.DUMMYFUNCTION("""COMPUTED_VALUE"""),"Expiration Date")</f>
        <v>Expiration Date</v>
      </c>
      <c r="CQ5" s="23" t="str">
        <f ca="1">IFERROR(__xludf.DUMMYFUNCTION("""COMPUTED_VALUE"""),"Master Fund")</f>
        <v>Master Fund</v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4"/>
      <c r="C6" s="29"/>
      <c r="D6" s="24"/>
      <c r="E6" s="29"/>
      <c r="F6" s="29"/>
      <c r="G6" s="29"/>
      <c r="H6" s="29"/>
      <c r="I6" s="29"/>
      <c r="J6" s="29"/>
      <c r="K6" s="28">
        <v>50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8">
        <v>50</v>
      </c>
      <c r="AF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32" t="s">
        <v>19</v>
      </c>
      <c r="AZ6" s="29"/>
      <c r="BA6" s="29"/>
      <c r="BB6" s="26"/>
      <c r="BC6" s="29"/>
      <c r="BD6" s="29"/>
      <c r="BE6" s="29"/>
      <c r="BF6" s="29"/>
      <c r="BG6" s="29"/>
      <c r="BH6" s="29"/>
      <c r="BI6" s="29"/>
      <c r="BJ6" s="32">
        <v>500</v>
      </c>
      <c r="BK6" s="29"/>
      <c r="BL6" s="29"/>
      <c r="BM6" s="28"/>
      <c r="BN6" s="29"/>
      <c r="BO6" s="26" t="s">
        <v>17</v>
      </c>
      <c r="BP6" s="29"/>
      <c r="BQ6" s="29"/>
      <c r="BR6" s="29"/>
      <c r="BS6" s="26" t="s">
        <v>16</v>
      </c>
      <c r="BT6" s="29"/>
      <c r="BU6" s="26"/>
      <c r="BV6" s="29"/>
      <c r="BW6" s="29"/>
      <c r="BX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</row>
    <row r="7" spans="1:154" ht="15.75" customHeight="1" x14ac:dyDescent="0.2">
      <c r="A7" s="29"/>
      <c r="B7" s="29"/>
      <c r="C7" s="29"/>
      <c r="D7" s="29"/>
      <c r="E7" s="29"/>
      <c r="F7" s="29"/>
      <c r="G7" s="29"/>
      <c r="H7" s="29"/>
      <c r="I7" s="29"/>
      <c r="J7" s="29"/>
      <c r="K7" s="28">
        <v>50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8">
        <v>50</v>
      </c>
      <c r="AF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32" t="s">
        <v>19</v>
      </c>
      <c r="AZ7" s="29"/>
      <c r="BA7" s="29"/>
      <c r="BB7" s="26"/>
      <c r="BC7" s="29"/>
      <c r="BD7" s="29"/>
      <c r="BE7" s="29"/>
      <c r="BF7" s="29"/>
      <c r="BG7" s="29"/>
      <c r="BH7" s="29"/>
      <c r="BI7" s="29"/>
      <c r="BJ7" s="32">
        <v>500</v>
      </c>
      <c r="BK7" s="29"/>
      <c r="BL7" s="29"/>
      <c r="BM7" s="28"/>
      <c r="BN7" s="29"/>
      <c r="BO7" s="26" t="s">
        <v>20</v>
      </c>
      <c r="BP7" s="29"/>
      <c r="BQ7" s="29"/>
      <c r="BR7" s="29"/>
      <c r="BS7" s="26" t="s">
        <v>16</v>
      </c>
      <c r="BT7" s="29"/>
      <c r="BU7" s="26"/>
      <c r="BV7" s="29"/>
      <c r="BW7" s="29"/>
      <c r="BX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</row>
    <row r="8" spans="1:154" ht="15.75" customHeight="1" x14ac:dyDescent="0.2">
      <c r="A8" s="29"/>
      <c r="B8" s="29"/>
      <c r="C8" s="29"/>
      <c r="D8" s="29"/>
      <c r="E8" s="29"/>
      <c r="F8" s="29"/>
      <c r="G8" s="29"/>
      <c r="H8" s="29"/>
      <c r="I8" s="29"/>
      <c r="J8" s="29"/>
      <c r="K8" s="28">
        <v>50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8">
        <v>50</v>
      </c>
      <c r="AF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32" t="s">
        <v>19</v>
      </c>
      <c r="AZ8" s="29"/>
      <c r="BA8" s="29"/>
      <c r="BB8" s="26"/>
      <c r="BC8" s="29"/>
      <c r="BD8" s="29"/>
      <c r="BE8" s="29"/>
      <c r="BF8" s="29"/>
      <c r="BG8" s="29"/>
      <c r="BH8" s="29"/>
      <c r="BI8" s="29"/>
      <c r="BJ8" s="32">
        <v>500</v>
      </c>
      <c r="BK8" s="29"/>
      <c r="BL8" s="29"/>
      <c r="BM8" s="28"/>
      <c r="BN8" s="29"/>
      <c r="BO8" s="26" t="s">
        <v>21</v>
      </c>
      <c r="BP8" s="29"/>
      <c r="BQ8" s="29"/>
      <c r="BR8" s="29"/>
      <c r="BS8" s="26" t="s">
        <v>16</v>
      </c>
      <c r="BT8" s="29"/>
      <c r="BU8" s="26"/>
      <c r="BV8" s="29"/>
      <c r="BW8" s="29"/>
      <c r="BX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</row>
    <row r="9" spans="1:154" ht="15.75" customHeight="1" x14ac:dyDescent="0.2">
      <c r="A9" s="29"/>
      <c r="B9" s="29"/>
      <c r="C9" s="29"/>
      <c r="D9" s="29"/>
      <c r="E9" s="29"/>
      <c r="F9" s="29"/>
      <c r="G9" s="29"/>
      <c r="H9" s="29"/>
      <c r="I9" s="29"/>
      <c r="J9" s="29"/>
      <c r="K9" s="28">
        <v>50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8">
        <v>50</v>
      </c>
      <c r="AF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32" t="s">
        <v>19</v>
      </c>
      <c r="AZ9" s="29"/>
      <c r="BA9" s="29"/>
      <c r="BB9" s="26"/>
      <c r="BC9" s="29"/>
      <c r="BD9" s="29"/>
      <c r="BE9" s="29"/>
      <c r="BF9" s="29"/>
      <c r="BG9" s="29"/>
      <c r="BH9" s="29"/>
      <c r="BI9" s="29"/>
      <c r="BJ9" s="32">
        <v>500</v>
      </c>
      <c r="BK9" s="29"/>
      <c r="BL9" s="29"/>
      <c r="BM9" s="28"/>
      <c r="BN9" s="29"/>
      <c r="BO9" s="30" t="s">
        <v>22</v>
      </c>
      <c r="BP9" s="29"/>
      <c r="BQ9" s="29"/>
      <c r="BR9" s="29"/>
      <c r="BS9" s="26" t="s">
        <v>16</v>
      </c>
      <c r="BT9" s="29"/>
      <c r="BU9" s="26"/>
      <c r="BV9" s="29"/>
      <c r="BW9" s="29"/>
      <c r="BX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4" t="s">
        <v>11</v>
      </c>
      <c r="C1" s="35"/>
      <c r="D1" s="35"/>
      <c r="E1" s="35"/>
      <c r="F1" s="35"/>
      <c r="G1" s="35"/>
      <c r="H1" s="36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3</v>
      </c>
      <c r="C3" s="16" t="s">
        <v>25</v>
      </c>
      <c r="D3" s="4" t="s">
        <v>6</v>
      </c>
      <c r="E3" s="16" t="s">
        <v>26</v>
      </c>
      <c r="F3" s="4" t="s">
        <v>14</v>
      </c>
      <c r="G3" s="9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IFERROR(__xludf.DUMMYFUNCTION("IF(C3="""","""",Transpose(IMPORTRANGE('_Settings'!$B$3,C3&amp;""!A4:A1000"")))"),"ReplaceFillsOnBlotter")</f>
        <v>ReplaceFillsOnBlotter</v>
      </c>
      <c r="C4" s="18" t="str">
        <f ca="1">IFERROR(__xludf.DUMMYFUNCTION("""COMPUTED_VALUE"""),"CheckBlotter")</f>
        <v>CheckBlotter</v>
      </c>
      <c r="D4" s="18" t="str">
        <f ca="1">IFERROR(__xludf.DUMMYFUNCTION("""COMPUTED_VALUE"""),"BlotterFunctionalities")</f>
        <v>BlotterFunctionalities</v>
      </c>
      <c r="E4" s="18" t="str">
        <f ca="1">IFERROR(__xludf.DUMMYFUNCTION("""COMPUTED_VALUE"""),"TransferToUserWorkingSubs")</f>
        <v>TransferToUserWorkingSubs</v>
      </c>
      <c r="F4" s="18" t="str">
        <f ca="1">IFERROR(__xludf.DUMMYFUNCTION("""COMPUTED_VALUE"""),"CancelWorkingSubs")</f>
        <v>CancelWorkingSubs</v>
      </c>
      <c r="G4" s="18" t="str">
        <f ca="1">IFERROR(__xludf.DUMMYFUNCTION("""COMPUTED_VALUE"""),"ReplaceWorkingSubs")</f>
        <v>ReplaceWorkingSubs</v>
      </c>
      <c r="H4" s="18" t="str">
        <f ca="1">IFERROR(__xludf.DUMMYFUNCTION("""COMPUTED_VALUE"""),"ViewAllocationDetailsWorkingSub")</f>
        <v>ViewAllocationDetailsWorkingSub</v>
      </c>
      <c r="I4" s="18" t="str">
        <f ca="1">IFERROR(__xludf.DUMMYFUNCTION("""COMPUTED_VALUE"""),"SelectTradeOnOrderGrid")</f>
        <v>SelectTradeOnOrderGrid</v>
      </c>
      <c r="J4" s="18" t="str">
        <f ca="1">IFERROR(__xludf.DUMMYFUNCTION("""COMPUTED_VALUE"""),"ShowDetailsForAlgoTradeSubOrder")</f>
        <v>ShowDetailsForAlgoTradeSubOrder</v>
      </c>
      <c r="K4" s="18" t="str">
        <f ca="1">IFERROR(__xludf.DUMMYFUNCTION("""COMPUTED_VALUE"""),"SelectTradeOrderBlotter")</f>
        <v>SelectTradeOrderBlotter</v>
      </c>
      <c r="L4" s="18" t="str">
        <f ca="1">IFERROR(__xludf.DUMMYFUNCTION("""COMPUTED_VALUE"""),"AddFillsWorkingSubs")</f>
        <v>AddFillsWorkingSubs</v>
      </c>
      <c r="M4" s="18" t="str">
        <f ca="1">IFERROR(__xludf.DUMMYFUNCTION("""COMPUTED_VALUE"""),"EditAddFillsDetails")</f>
        <v>EditAddFillsDetails</v>
      </c>
      <c r="N4" s="18" t="str">
        <f ca="1">IFERROR(__xludf.DUMMYFUNCTION("""COMPUTED_VALUE"""),"ShowDetailsForAlgoTradeWorkingSubs")</f>
        <v>ShowDetailsForAlgoTradeWorkingSubs</v>
      </c>
      <c r="O4" s="18" t="str">
        <f ca="1">IFERROR(__xludf.DUMMYFUNCTION("""COMPUTED_VALUE"""),"VerifyWorkingSubs")</f>
        <v>VerifyWorkingSubs</v>
      </c>
      <c r="P4" s="19" t="str">
        <f ca="1">IFERROR(__xludf.DUMMYFUNCTION("""COMPUTED_VALUE"""),"TransferToUserOrder")</f>
        <v>TransferToUserOrder</v>
      </c>
      <c r="Q4" s="19" t="str">
        <f ca="1">IFERROR(__xludf.DUMMYFUNCTION("""COMPUTED_VALUE"""),"EditOrder")</f>
        <v>EditOrder</v>
      </c>
      <c r="R4" s="19" t="str">
        <f ca="1">IFERROR(__xludf.DUMMYFUNCTION("""COMPUTED_VALUE"""),"SelectTradeSubOrderBlotter")</f>
        <v>SelectTradeSubOrderBlotter</v>
      </c>
      <c r="S4" s="19" t="str">
        <f ca="1">IFERROR(__xludf.DUMMYFUNCTION("""COMPUTED_VALUE"""),"VerifyOrder")</f>
        <v>VerifyOrder</v>
      </c>
      <c r="T4" s="19" t="str">
        <f ca="1">IFERROR(__xludf.DUMMYFUNCTION("""COMPUTED_VALUE"""),"VerifySubOrder")</f>
        <v>VerifySubOrder</v>
      </c>
      <c r="U4" s="19" t="str">
        <f ca="1">IFERROR(__xludf.DUMMYFUNCTION("""COMPUTED_VALUE"""),"RemoveSelectedOrders")</f>
        <v>RemoveSelectedOrders</v>
      </c>
      <c r="V4" s="19" t="str">
        <f ca="1">IFERROR(__xludf.DUMMYFUNCTION("""COMPUTED_VALUE"""),"CancelAllSelectedSubs")</f>
        <v>CancelAllSelectedSubs</v>
      </c>
      <c r="W4" s="19" t="str">
        <f ca="1">IFERROR(__xludf.DUMMYFUNCTION("""COMPUTED_VALUE"""),"MultiTradingTicket")</f>
        <v>MultiTradingTicket</v>
      </c>
      <c r="X4" s="19" t="str">
        <f ca="1">IFERROR(__xludf.DUMMYFUNCTION("""COMPUTED_VALUE"""),"AuditTrailOrderBlotter")</f>
        <v>AuditTrailOrderBlotter</v>
      </c>
      <c r="Y4" s="19" t="str">
        <f ca="1">IFERROR(__xludf.DUMMYFUNCTION("""COMPUTED_VALUE"""),"TradeNewSubOrder")</f>
        <v>TradeNewSubOrder</v>
      </c>
      <c r="Z4" s="19" t="str">
        <f ca="1">IFERROR(__xludf.DUMMYFUNCTION("""COMPUTED_VALUE"""),"RemoveStageOrder")</f>
        <v>RemoveStageOrder</v>
      </c>
      <c r="AA4" s="19" t="str">
        <f ca="1">IFERROR(__xludf.DUMMYFUNCTION("""COMPUTED_VALUE"""),"TransferToUserSubOrder")</f>
        <v>TransferToUserSubOrder</v>
      </c>
      <c r="AB4" s="19" t="str">
        <f ca="1">IFERROR(__xludf.DUMMYFUNCTION("""COMPUTED_VALUE"""),"DetailsForAlgoTradeOrder")</f>
        <v>DetailsForAlgoTradeOrder</v>
      </c>
      <c r="AC4" s="19" t="str">
        <f ca="1">IFERROR(__xludf.DUMMYFUNCTION("""COMPUTED_VALUE"""),"AddFillsSubOrder")</f>
        <v>AddFillsSubOrder</v>
      </c>
      <c r="AD4" s="19" t="str">
        <f ca="1">IFERROR(__xludf.DUMMYFUNCTION("""COMPUTED_VALUE"""),"ViewAllocationDetailsSubOrder")</f>
        <v>ViewAllocationDetailsSubOrder</v>
      </c>
      <c r="AE4" s="19" t="str">
        <f ca="1">IFERROR(__xludf.DUMMYFUNCTION("""COMPUTED_VALUE"""),"CancelAllSubs")</f>
        <v>CancelAllSubs</v>
      </c>
      <c r="AF4" s="19" t="str">
        <f ca="1">IFERROR(__xludf.DUMMYFUNCTION("""COMPUTED_VALUE"""),"CancelSubOrder")</f>
        <v>CancelSubOrder</v>
      </c>
      <c r="AG4" s="19" t="str">
        <f ca="1">IFERROR(__xludf.DUMMYFUNCTION("""COMPUTED_VALUE"""),"EditStageOrder")</f>
        <v>EditStageOrder</v>
      </c>
      <c r="AH4" s="19" t="str">
        <f ca="1">IFERROR(__xludf.DUMMYFUNCTION("""COMPUTED_VALUE"""),"ReplaceSubOrder")</f>
        <v>ReplaceSubOrder</v>
      </c>
      <c r="AI4" s="19" t="str">
        <f ca="1">IFERROR(__xludf.DUMMYFUNCTION("""COMPUTED_VALUE"""),"SelectTradeWorkingSubsBlotter")</f>
        <v>SelectTradeWorkingSubsBlotter</v>
      </c>
      <c r="AJ4" s="19" t="str">
        <f ca="1">IFERROR(__xludf.DUMMYFUNCTION("""COMPUTED_VALUE"""),"VerifyAlgoDetails")</f>
        <v>VerifyAlgoDetails</v>
      </c>
      <c r="AK4" s="19" t="str">
        <f ca="1">IFERROR(__xludf.DUMMYFUNCTION("""COMPUTED_VALUE"""),"VerifyTransferToUserOrder")</f>
        <v>VerifyTransferToUserOrder</v>
      </c>
      <c r="AL4" s="19" t="str">
        <f ca="1">IFERROR(__xludf.DUMMYFUNCTION("""COMPUTED_VALUE"""),"VerifyTransferToUserSubOdr")</f>
        <v>VerifyTransferToUserSubOdr</v>
      </c>
      <c r="AM4" s="19" t="str">
        <f ca="1">IFERROR(__xludf.DUMMYFUNCTION("""COMPUTED_VALUE"""),"VerifyTransferToUserWorkSub")</f>
        <v>VerifyTransferToUserWorkSub</v>
      </c>
      <c r="AN4" s="19" t="str">
        <f ca="1">IFERROR(__xludf.DUMMYFUNCTION("""COMPUTED_VALUE"""),"SaveLayoutOrderGrid")</f>
        <v>SaveLayoutOrderGrid</v>
      </c>
      <c r="AO4" s="19" t="str">
        <f ca="1">IFERROR(__xludf.DUMMYFUNCTION("""COMPUTED_VALUE"""),"ReplaceStageOrder")</f>
        <v>ReplaceStageOrder</v>
      </c>
      <c r="AP4" s="19" t="str">
        <f ca="1">IFERROR(__xludf.DUMMYFUNCTION("""COMPUTED_VALUE"""),"MultiTradingTicketFromBlotter")</f>
        <v>MultiTradingTicketFromBlotter</v>
      </c>
      <c r="AQ4" s="19" t="str">
        <f ca="1">IFERROR(__xludf.DUMMYFUNCTION("""COMPUTED_VALUE"""),"VerifyViewAllocationDetails")</f>
        <v>VerifyViewAllocationDetails</v>
      </c>
      <c r="AR4" s="19" t="str">
        <f ca="1">IFERROR(__xludf.DUMMYFUNCTION("""COMPUTED_VALUE"""),"GoToAllocation")</f>
        <v>GoToAllocation</v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IFERROR(__xludf.DUMMYFUNCTION("""COMPUTED_VALUE"""),"Side")</f>
        <v>Side</v>
      </c>
      <c r="D5" s="21" t="str">
        <f ca="1">IFERROR(__xludf.DUMMYFUNCTION("""COMPUTED_VALUE"""),"Quantity")</f>
        <v>Quantity</v>
      </c>
      <c r="E5" s="21" t="str">
        <f ca="1">IFERROR(__xludf.DUMMYFUNCTION("""COMPUTED_VALUE"""),"Executed Qty")</f>
        <v>Executed Qty</v>
      </c>
      <c r="F5" s="22" t="str">
        <f ca="1">IFERROR(__xludf.DUMMYFUNCTION("""COMPUTED_VALUE"""),"Unexecuted Qty")</f>
        <v>Unexecuted Qty</v>
      </c>
      <c r="G5" s="21" t="str">
        <f ca="1">IFERROR(__xludf.DUMMYFUNCTION("""COMPUTED_VALUE"""),"Status")</f>
        <v>Status</v>
      </c>
      <c r="H5" s="21" t="str">
        <f ca="1">IFERROR(__xludf.DUMMYFUNCTION("""COMPUTED_VALUE"""),"Last Shares")</f>
        <v>Last Shares</v>
      </c>
      <c r="I5" s="21" t="str">
        <f ca="1">IFERROR(__xludf.DUMMYFUNCTION("""COMPUTED_VALUE"""),"Last Fill Price (Local)")</f>
        <v>Last Fill Price (Local)</v>
      </c>
      <c r="J5" s="21" t="str">
        <f ca="1">IFERROR(__xludf.DUMMYFUNCTION("""COMPUTED_VALUE"""),"Avg Fill Price (Local)")</f>
        <v>Avg Fill Price (Local)</v>
      </c>
      <c r="K5" s="21" t="str">
        <f ca="1">IFERROR(__xludf.DUMMYFUNCTION("""COMPUTED_VALUE"""),"Broker")</f>
        <v>Broker</v>
      </c>
      <c r="L5" s="21" t="str">
        <f ca="1">IFERROR(__xludf.DUMMYFUNCTION("""COMPUTED_VALUE"""),"Account")</f>
        <v>Account</v>
      </c>
      <c r="M5" s="21" t="str">
        <f ca="1">IFERROR(__xludf.DUMMYFUNCTION("""COMPUTED_VALUE"""),"Order Type")</f>
        <v>Order Type</v>
      </c>
      <c r="N5" s="21" t="str">
        <f ca="1">IFERROR(__xludf.DUMMYFUNCTION("""COMPUTED_VALUE"""),"OrderStatus")</f>
        <v>OrderStatus</v>
      </c>
      <c r="O5" s="21" t="str">
        <f ca="1">IFERROR(__xludf.DUMMYFUNCTION("""COMPUTED_VALUE"""),"Avg Fill Price (Base)")</f>
        <v>Avg Fill Price (Base)</v>
      </c>
      <c r="P5" s="21" t="str">
        <f ca="1">IFERROR(__xludf.DUMMYFUNCTION("""COMPUTED_VALUE"""),"Limit Price")</f>
        <v>Limit Price</v>
      </c>
      <c r="Q5" s="21" t="str">
        <f ca="1">IFERROR(__xludf.DUMMYFUNCTION("""COMPUTED_VALUE"""),"Stop Price")</f>
        <v>Stop Price</v>
      </c>
      <c r="R5" s="21" t="str">
        <f ca="1">IFERROR(__xludf.DUMMYFUNCTION("""COMPUTED_VALUE"""),"User")</f>
        <v>User</v>
      </c>
      <c r="S5" s="21" t="str">
        <f ca="1">IFERROR(__xludf.DUMMYFUNCTION("""COMPUTED_VALUE"""),"Bloomberg Symbol")</f>
        <v>Bloomberg Symbol</v>
      </c>
      <c r="T5" s="23" t="str">
        <f ca="1">IFERROR(__xludf.DUMMYFUNCTION("""COMPUTED_VALUE"""),"Algo")</f>
        <v>Algo</v>
      </c>
      <c r="U5" s="23" t="str">
        <f ca="1">IFERROR(__xludf.DUMMYFUNCTION("""COMPUTED_VALUE"""),"Allocation Scheme Name")</f>
        <v>Allocation Scheme Name</v>
      </c>
      <c r="V5" s="23" t="str">
        <f ca="1">IFERROR(__xludf.DUMMYFUNCTION("""COMPUTED_VALUE"""),"Allocation Status")</f>
        <v>Allocation Status</v>
      </c>
      <c r="W5" s="23" t="str">
        <f ca="1">IFERROR(__xludf.DUMMYFUNCTION("""COMPUTED_VALUE"""),"Asset Class")</f>
        <v>Asset Class</v>
      </c>
      <c r="X5" s="23" t="str">
        <f ca="1">IFERROR(__xludf.DUMMYFUNCTION("""COMPUTED_VALUE"""),"FX Conversion Operator")</f>
        <v>FX Conversion Operator</v>
      </c>
      <c r="Y5" s="23" t="str">
        <f ca="1">IFERROR(__xludf.DUMMYFUNCTION("""COMPUTED_VALUE"""),"FX Rate")</f>
        <v>FX Rate</v>
      </c>
      <c r="Z5" s="23" t="str">
        <f ca="1">IFERROR(__xludf.DUMMYFUNCTION("""COMPUTED_VALUE"""),"Imported File Name")</f>
        <v>Imported File Name</v>
      </c>
      <c r="AA5" s="23" t="str">
        <f ca="1">IFERROR(__xludf.DUMMYFUNCTION("""COMPUTED_VALUE"""),"Internal Comments")</f>
        <v>Internal Comments</v>
      </c>
      <c r="AB5" s="23" t="str">
        <f ca="1">IFERROR(__xludf.DUMMYFUNCTION("""COMPUTED_VALUE"""),"Peg")</f>
        <v>Peg</v>
      </c>
      <c r="AC5" s="23" t="str">
        <f ca="1">IFERROR(__xludf.DUMMYFUNCTION("""COMPUTED_VALUE"""),"Principal Amount (Base)")</f>
        <v>Principal Amount (Base)</v>
      </c>
      <c r="AD5" s="23" t="str">
        <f ca="1">IFERROR(__xludf.DUMMYFUNCTION("""COMPUTED_VALUE"""),"Principal Amount (Local)")</f>
        <v>Principal Amount (Local)</v>
      </c>
      <c r="AE5" s="23" t="str">
        <f ca="1">IFERROR(__xludf.DUMMYFUNCTION("""COMPUTED_VALUE"""),"Process Date")</f>
        <v>Process Date</v>
      </c>
      <c r="AF5" s="23" t="str">
        <f ca="1">IFERROR(__xludf.DUMMYFUNCTION("""COMPUTED_VALUE"""),"Put/Call")</f>
        <v>Put/Call</v>
      </c>
      <c r="AG5" s="23" t="str">
        <f ca="1">IFERROR(__xludf.DUMMYFUNCTION("""COMPUTED_VALUE"""),"Settlement Currency")</f>
        <v>Settlement Currency</v>
      </c>
      <c r="AH5" s="23" t="str">
        <f ca="1">IFERROR(__xludf.DUMMYFUNCTION("""COMPUTED_VALUE"""),"Source")</f>
        <v>Source</v>
      </c>
      <c r="AI5" s="23" t="str">
        <f ca="1">IFERROR(__xludf.DUMMYFUNCTION("""COMPUTED_VALUE"""),"Status (With Rollover)")</f>
        <v>Status (With Rollover)</v>
      </c>
      <c r="AJ5" s="23" t="str">
        <f ca="1">IFERROR(__xludf.DUMMYFUNCTION("""COMPUTED_VALUE"""),"Strategy")</f>
        <v>Strategy</v>
      </c>
      <c r="AK5" s="23" t="str">
        <f ca="1">IFERROR(__xludf.DUMMYFUNCTION("""COMPUTED_VALUE"""),"Strike Price")</f>
        <v>Strike Price</v>
      </c>
      <c r="AL5" s="23" t="str">
        <f ca="1">IFERROR(__xludf.DUMMYFUNCTION("""COMPUTED_VALUE"""),"Trade Attribute 1")</f>
        <v>Trade Attribute 1</v>
      </c>
      <c r="AM5" s="23" t="str">
        <f ca="1">IFERROR(__xludf.DUMMYFUNCTION("""COMPUTED_VALUE"""),"Trade Attribute 2")</f>
        <v>Trade Attribute 2</v>
      </c>
      <c r="AN5" s="23" t="str">
        <f ca="1">IFERROR(__xludf.DUMMYFUNCTION("""COMPUTED_VALUE"""),"Trade Attribute 3")</f>
        <v>Trade Attribute 3</v>
      </c>
      <c r="AO5" s="23" t="str">
        <f ca="1">IFERROR(__xludf.DUMMYFUNCTION("""COMPUTED_VALUE"""),"Trade Attribute 4")</f>
        <v>Trade Attribute 4</v>
      </c>
      <c r="AP5" s="23" t="str">
        <f ca="1">IFERROR(__xludf.DUMMYFUNCTION("""COMPUTED_VALUE"""),"Trade Attribute 5")</f>
        <v>Trade Attribute 5</v>
      </c>
      <c r="AQ5" s="23" t="str">
        <f ca="1">IFERROR(__xludf.DUMMYFUNCTION("""COMPUTED_VALUE"""),"Trade Attribute 6")</f>
        <v>Trade Attribute 6</v>
      </c>
      <c r="AR5" s="23" t="str">
        <f ca="1">IFERROR(__xludf.DUMMYFUNCTION("""COMPUTED_VALUE"""),"Trader")</f>
        <v>Trader</v>
      </c>
      <c r="AS5" s="23" t="str">
        <f ca="1">IFERROR(__xludf.DUMMYFUNCTION("""COMPUTED_VALUE"""),"Transaction Time")</f>
        <v>Transaction Time</v>
      </c>
      <c r="AT5" s="23" t="str">
        <f ca="1">IFERROR(__xludf.DUMMYFUNCTION("""COMPUTED_VALUE"""),"Underlying Country")</f>
        <v>Underlying Country</v>
      </c>
      <c r="AU5" s="23" t="str">
        <f ca="1">IFERROR(__xludf.DUMMYFUNCTION("""COMPUTED_VALUE"""),"Underlying Symbol")</f>
        <v>Underlying Symbol</v>
      </c>
      <c r="AV5" s="23" t="str">
        <f ca="1">IFERROR(__xludf.DUMMYFUNCTION("""COMPUTED_VALUE"""),"Venue")</f>
        <v>Venue</v>
      </c>
      <c r="AW5" s="23" t="str">
        <f ca="1">IFERROR(__xludf.DUMMYFUNCTION("""COMPUTED_VALUE"""),"Working Qty")</f>
        <v>Working Qty</v>
      </c>
      <c r="AX5" s="23" t="str">
        <f ca="1">IFERROR(__xludf.DUMMYFUNCTION("""COMPUTED_VALUE"""),"Client")</f>
        <v>Client</v>
      </c>
      <c r="AY5" s="23" t="str">
        <f ca="1">IFERROR(__xludf.DUMMYFUNCTION("""COMPUTED_VALUE"""),"OrderID")</f>
        <v>OrderID</v>
      </c>
      <c r="AZ5" s="23" t="str">
        <f ca="1">IFERROR(__xludf.DUMMYFUNCTION("""COMPUTED_VALUE"""),"ParentClOrderID")</f>
        <v>ParentClOrderID</v>
      </c>
      <c r="BA5" s="23" t="str">
        <f ca="1">IFERROR(__xludf.DUMMYFUNCTION("""COMPUTED_VALUE"""),"Master Fund")</f>
        <v>Master Fund</v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6" t="s">
        <v>16</v>
      </c>
      <c r="C6" s="25" t="s">
        <v>17</v>
      </c>
      <c r="D6" s="27">
        <v>500</v>
      </c>
      <c r="E6" s="28">
        <v>50</v>
      </c>
      <c r="F6" s="29"/>
      <c r="G6" s="32" t="s">
        <v>27</v>
      </c>
      <c r="H6" s="29"/>
      <c r="I6" s="32">
        <v>50</v>
      </c>
      <c r="J6" s="32">
        <v>50</v>
      </c>
      <c r="K6" s="29"/>
      <c r="L6" s="29"/>
      <c r="M6" s="26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</row>
    <row r="7" spans="1:154" ht="15.75" customHeight="1" x14ac:dyDescent="0.2">
      <c r="A7" s="29"/>
      <c r="B7" s="26" t="s">
        <v>16</v>
      </c>
      <c r="C7" s="26" t="s">
        <v>20</v>
      </c>
      <c r="D7" s="28">
        <v>500</v>
      </c>
      <c r="E7" s="28">
        <v>50</v>
      </c>
      <c r="F7" s="29"/>
      <c r="G7" s="32" t="s">
        <v>27</v>
      </c>
      <c r="H7" s="29"/>
      <c r="I7" s="32">
        <v>50</v>
      </c>
      <c r="J7" s="32">
        <v>50</v>
      </c>
      <c r="K7" s="29"/>
      <c r="L7" s="29"/>
      <c r="M7" s="26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</row>
    <row r="8" spans="1:154" ht="15.75" customHeight="1" x14ac:dyDescent="0.2">
      <c r="A8" s="29"/>
      <c r="B8" s="26" t="s">
        <v>16</v>
      </c>
      <c r="C8" s="26" t="s">
        <v>21</v>
      </c>
      <c r="D8" s="28">
        <v>500</v>
      </c>
      <c r="E8" s="28">
        <v>50</v>
      </c>
      <c r="F8" s="29"/>
      <c r="G8" s="32" t="s">
        <v>27</v>
      </c>
      <c r="H8" s="29"/>
      <c r="I8" s="32">
        <v>50</v>
      </c>
      <c r="J8" s="32">
        <v>50</v>
      </c>
      <c r="K8" s="29"/>
      <c r="L8" s="29"/>
      <c r="M8" s="26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</row>
    <row r="9" spans="1:154" ht="15.75" customHeight="1" x14ac:dyDescent="0.2">
      <c r="A9" s="29"/>
      <c r="B9" s="26" t="s">
        <v>16</v>
      </c>
      <c r="C9" s="26" t="s">
        <v>22</v>
      </c>
      <c r="D9" s="28">
        <v>500</v>
      </c>
      <c r="E9" s="28">
        <v>50</v>
      </c>
      <c r="F9" s="29"/>
      <c r="G9" s="32" t="s">
        <v>27</v>
      </c>
      <c r="H9" s="29"/>
      <c r="I9" s="32">
        <v>50</v>
      </c>
      <c r="J9" s="32">
        <v>50</v>
      </c>
      <c r="K9" s="29"/>
      <c r="L9" s="29"/>
      <c r="M9" s="26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4" t="s">
        <v>11</v>
      </c>
      <c r="C1" s="35"/>
      <c r="D1" s="35"/>
      <c r="E1" s="35"/>
      <c r="F1" s="35"/>
      <c r="G1" s="35"/>
      <c r="H1" s="36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3</v>
      </c>
      <c r="C3" s="16" t="s">
        <v>25</v>
      </c>
      <c r="D3" s="4" t="s">
        <v>6</v>
      </c>
      <c r="E3" s="16" t="s">
        <v>28</v>
      </c>
      <c r="F3" s="4" t="s">
        <v>14</v>
      </c>
      <c r="G3" s="9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IFERROR(__xludf.DUMMYFUNCTION("IF(C3="""","""",Transpose(IMPORTRANGE('_Settings'!$B$3,C3&amp;""!A4:A1000"")))"),"ReplaceFillsOnBlotter")</f>
        <v>ReplaceFillsOnBlotter</v>
      </c>
      <c r="C4" s="18" t="str">
        <f ca="1">IFERROR(__xludf.DUMMYFUNCTION("""COMPUTED_VALUE"""),"CheckBlotter")</f>
        <v>CheckBlotter</v>
      </c>
      <c r="D4" s="18" t="str">
        <f ca="1">IFERROR(__xludf.DUMMYFUNCTION("""COMPUTED_VALUE"""),"BlotterFunctionalities")</f>
        <v>BlotterFunctionalities</v>
      </c>
      <c r="E4" s="18" t="str">
        <f ca="1">IFERROR(__xludf.DUMMYFUNCTION("""COMPUTED_VALUE"""),"TransferToUserWorkingSubs")</f>
        <v>TransferToUserWorkingSubs</v>
      </c>
      <c r="F4" s="18" t="str">
        <f ca="1">IFERROR(__xludf.DUMMYFUNCTION("""COMPUTED_VALUE"""),"CancelWorkingSubs")</f>
        <v>CancelWorkingSubs</v>
      </c>
      <c r="G4" s="18" t="str">
        <f ca="1">IFERROR(__xludf.DUMMYFUNCTION("""COMPUTED_VALUE"""),"ReplaceWorkingSubs")</f>
        <v>ReplaceWorkingSubs</v>
      </c>
      <c r="H4" s="18" t="str">
        <f ca="1">IFERROR(__xludf.DUMMYFUNCTION("""COMPUTED_VALUE"""),"ViewAllocationDetailsWorkingSub")</f>
        <v>ViewAllocationDetailsWorkingSub</v>
      </c>
      <c r="I4" s="18" t="str">
        <f ca="1">IFERROR(__xludf.DUMMYFUNCTION("""COMPUTED_VALUE"""),"SelectTradeOnOrderGrid")</f>
        <v>SelectTradeOnOrderGrid</v>
      </c>
      <c r="J4" s="18" t="str">
        <f ca="1">IFERROR(__xludf.DUMMYFUNCTION("""COMPUTED_VALUE"""),"ShowDetailsForAlgoTradeSubOrder")</f>
        <v>ShowDetailsForAlgoTradeSubOrder</v>
      </c>
      <c r="K4" s="18" t="str">
        <f ca="1">IFERROR(__xludf.DUMMYFUNCTION("""COMPUTED_VALUE"""),"SelectTradeOrderBlotter")</f>
        <v>SelectTradeOrderBlotter</v>
      </c>
      <c r="L4" s="18" t="str">
        <f ca="1">IFERROR(__xludf.DUMMYFUNCTION("""COMPUTED_VALUE"""),"AddFillsWorkingSubs")</f>
        <v>AddFillsWorkingSubs</v>
      </c>
      <c r="M4" s="18" t="str">
        <f ca="1">IFERROR(__xludf.DUMMYFUNCTION("""COMPUTED_VALUE"""),"EditAddFillsDetails")</f>
        <v>EditAddFillsDetails</v>
      </c>
      <c r="N4" s="18" t="str">
        <f ca="1">IFERROR(__xludf.DUMMYFUNCTION("""COMPUTED_VALUE"""),"ShowDetailsForAlgoTradeWorkingSubs")</f>
        <v>ShowDetailsForAlgoTradeWorkingSubs</v>
      </c>
      <c r="O4" s="18" t="str">
        <f ca="1">IFERROR(__xludf.DUMMYFUNCTION("""COMPUTED_VALUE"""),"VerifyWorkingSubs")</f>
        <v>VerifyWorkingSubs</v>
      </c>
      <c r="P4" s="19" t="str">
        <f ca="1">IFERROR(__xludf.DUMMYFUNCTION("""COMPUTED_VALUE"""),"TransferToUserOrder")</f>
        <v>TransferToUserOrder</v>
      </c>
      <c r="Q4" s="19" t="str">
        <f ca="1">IFERROR(__xludf.DUMMYFUNCTION("""COMPUTED_VALUE"""),"EditOrder")</f>
        <v>EditOrder</v>
      </c>
      <c r="R4" s="19" t="str">
        <f ca="1">IFERROR(__xludf.DUMMYFUNCTION("""COMPUTED_VALUE"""),"SelectTradeSubOrderBlotter")</f>
        <v>SelectTradeSubOrderBlotter</v>
      </c>
      <c r="S4" s="19" t="str">
        <f ca="1">IFERROR(__xludf.DUMMYFUNCTION("""COMPUTED_VALUE"""),"VerifyOrder")</f>
        <v>VerifyOrder</v>
      </c>
      <c r="T4" s="19" t="str">
        <f ca="1">IFERROR(__xludf.DUMMYFUNCTION("""COMPUTED_VALUE"""),"VerifySubOrder")</f>
        <v>VerifySubOrder</v>
      </c>
      <c r="U4" s="19" t="str">
        <f ca="1">IFERROR(__xludf.DUMMYFUNCTION("""COMPUTED_VALUE"""),"RemoveSelectedOrders")</f>
        <v>RemoveSelectedOrders</v>
      </c>
      <c r="V4" s="19" t="str">
        <f ca="1">IFERROR(__xludf.DUMMYFUNCTION("""COMPUTED_VALUE"""),"CancelAllSelectedSubs")</f>
        <v>CancelAllSelectedSubs</v>
      </c>
      <c r="W4" s="19" t="str">
        <f ca="1">IFERROR(__xludf.DUMMYFUNCTION("""COMPUTED_VALUE"""),"MultiTradingTicket")</f>
        <v>MultiTradingTicket</v>
      </c>
      <c r="X4" s="19" t="str">
        <f ca="1">IFERROR(__xludf.DUMMYFUNCTION("""COMPUTED_VALUE"""),"AuditTrailOrderBlotter")</f>
        <v>AuditTrailOrderBlotter</v>
      </c>
      <c r="Y4" s="19" t="str">
        <f ca="1">IFERROR(__xludf.DUMMYFUNCTION("""COMPUTED_VALUE"""),"TradeNewSubOrder")</f>
        <v>TradeNewSubOrder</v>
      </c>
      <c r="Z4" s="19" t="str">
        <f ca="1">IFERROR(__xludf.DUMMYFUNCTION("""COMPUTED_VALUE"""),"RemoveStageOrder")</f>
        <v>RemoveStageOrder</v>
      </c>
      <c r="AA4" s="19" t="str">
        <f ca="1">IFERROR(__xludf.DUMMYFUNCTION("""COMPUTED_VALUE"""),"TransferToUserSubOrder")</f>
        <v>TransferToUserSubOrder</v>
      </c>
      <c r="AB4" s="19" t="str">
        <f ca="1">IFERROR(__xludf.DUMMYFUNCTION("""COMPUTED_VALUE"""),"DetailsForAlgoTradeOrder")</f>
        <v>DetailsForAlgoTradeOrder</v>
      </c>
      <c r="AC4" s="19" t="str">
        <f ca="1">IFERROR(__xludf.DUMMYFUNCTION("""COMPUTED_VALUE"""),"AddFillsSubOrder")</f>
        <v>AddFillsSubOrder</v>
      </c>
      <c r="AD4" s="19" t="str">
        <f ca="1">IFERROR(__xludf.DUMMYFUNCTION("""COMPUTED_VALUE"""),"ViewAllocationDetailsSubOrder")</f>
        <v>ViewAllocationDetailsSubOrder</v>
      </c>
      <c r="AE4" s="19" t="str">
        <f ca="1">IFERROR(__xludf.DUMMYFUNCTION("""COMPUTED_VALUE"""),"CancelAllSubs")</f>
        <v>CancelAllSubs</v>
      </c>
      <c r="AF4" s="19" t="str">
        <f ca="1">IFERROR(__xludf.DUMMYFUNCTION("""COMPUTED_VALUE"""),"CancelSubOrder")</f>
        <v>CancelSubOrder</v>
      </c>
      <c r="AG4" s="19" t="str">
        <f ca="1">IFERROR(__xludf.DUMMYFUNCTION("""COMPUTED_VALUE"""),"EditStageOrder")</f>
        <v>EditStageOrder</v>
      </c>
      <c r="AH4" s="19" t="str">
        <f ca="1">IFERROR(__xludf.DUMMYFUNCTION("""COMPUTED_VALUE"""),"ReplaceSubOrder")</f>
        <v>ReplaceSubOrder</v>
      </c>
      <c r="AI4" s="19" t="str">
        <f ca="1">IFERROR(__xludf.DUMMYFUNCTION("""COMPUTED_VALUE"""),"SelectTradeWorkingSubsBlotter")</f>
        <v>SelectTradeWorkingSubsBlotter</v>
      </c>
      <c r="AJ4" s="19" t="str">
        <f ca="1">IFERROR(__xludf.DUMMYFUNCTION("""COMPUTED_VALUE"""),"VerifyAlgoDetails")</f>
        <v>VerifyAlgoDetails</v>
      </c>
      <c r="AK4" s="19" t="str">
        <f ca="1">IFERROR(__xludf.DUMMYFUNCTION("""COMPUTED_VALUE"""),"VerifyTransferToUserOrder")</f>
        <v>VerifyTransferToUserOrder</v>
      </c>
      <c r="AL4" s="19" t="str">
        <f ca="1">IFERROR(__xludf.DUMMYFUNCTION("""COMPUTED_VALUE"""),"VerifyTransferToUserSubOdr")</f>
        <v>VerifyTransferToUserSubOdr</v>
      </c>
      <c r="AM4" s="19" t="str">
        <f ca="1">IFERROR(__xludf.DUMMYFUNCTION("""COMPUTED_VALUE"""),"VerifyTransferToUserWorkSub")</f>
        <v>VerifyTransferToUserWorkSub</v>
      </c>
      <c r="AN4" s="19" t="str">
        <f ca="1">IFERROR(__xludf.DUMMYFUNCTION("""COMPUTED_VALUE"""),"SaveLayoutOrderGrid")</f>
        <v>SaveLayoutOrderGrid</v>
      </c>
      <c r="AO4" s="19" t="str">
        <f ca="1">IFERROR(__xludf.DUMMYFUNCTION("""COMPUTED_VALUE"""),"ReplaceStageOrder")</f>
        <v>ReplaceStageOrder</v>
      </c>
      <c r="AP4" s="19" t="str">
        <f ca="1">IFERROR(__xludf.DUMMYFUNCTION("""COMPUTED_VALUE"""),"MultiTradingTicketFromBlotter")</f>
        <v>MultiTradingTicketFromBlotter</v>
      </c>
      <c r="AQ4" s="19" t="str">
        <f ca="1">IFERROR(__xludf.DUMMYFUNCTION("""COMPUTED_VALUE"""),"VerifyViewAllocationDetails")</f>
        <v>VerifyViewAllocationDetails</v>
      </c>
      <c r="AR4" s="19" t="str">
        <f ca="1">IFERROR(__xludf.DUMMYFUNCTION("""COMPUTED_VALUE"""),"GoToAllocation")</f>
        <v>GoToAllocation</v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IFERROR(__xludf.DUMMYFUNCTION("""COMPUTED_VALUE"""),"Transaction Time")</f>
        <v>Transaction Time</v>
      </c>
      <c r="C5" s="21" t="str">
        <f ca="1">IFERROR(__xludf.DUMMYFUNCTION("""COMPUTED_VALUE"""),"Algo")</f>
        <v>Algo</v>
      </c>
      <c r="D5" s="21" t="str">
        <f ca="1">IFERROR(__xludf.DUMMYFUNCTION("""COMPUTED_VALUE"""),"Avg Fill Price (Base)")</f>
        <v>Avg Fill Price (Base)</v>
      </c>
      <c r="E5" s="21" t="str">
        <f ca="1">IFERROR(__xludf.DUMMYFUNCTION("""COMPUTED_VALUE"""),"Bloomberg Symbol")</f>
        <v>Bloomberg Symbol</v>
      </c>
      <c r="F5" s="22" t="str">
        <f ca="1">IFERROR(__xludf.DUMMYFUNCTION("""COMPUTED_VALUE"""),"Limit Price")</f>
        <v>Limit Price</v>
      </c>
      <c r="G5" s="21" t="str">
        <f ca="1">IFERROR(__xludf.DUMMYFUNCTION("""COMPUTED_VALUE"""),"Working Qty")</f>
        <v>Working Qty</v>
      </c>
      <c r="H5" s="21" t="str">
        <f ca="1">IFERROR(__xludf.DUMMYFUNCTION("""COMPUTED_VALUE"""),"Venue")</f>
        <v>Venue</v>
      </c>
      <c r="I5" s="21" t="str">
        <f ca="1">IFERROR(__xludf.DUMMYFUNCTION("""COMPUTED_VALUE"""),"User")</f>
        <v>User</v>
      </c>
      <c r="J5" s="21" t="str">
        <f ca="1">IFERROR(__xludf.DUMMYFUNCTION("""COMPUTED_VALUE"""),"Underlying Symbol")</f>
        <v>Underlying Symbol</v>
      </c>
      <c r="K5" s="21" t="str">
        <f ca="1">IFERROR(__xludf.DUMMYFUNCTION("""COMPUTED_VALUE"""),"Underlying Country")</f>
        <v>Underlying Country</v>
      </c>
      <c r="L5" s="21" t="str">
        <f ca="1">IFERROR(__xludf.DUMMYFUNCTION("""COMPUTED_VALUE"""),"Trader")</f>
        <v>Trader</v>
      </c>
      <c r="M5" s="21" t="str">
        <f ca="1">IFERROR(__xludf.DUMMYFUNCTION("""COMPUTED_VALUE"""),"Trade Attribute 6")</f>
        <v>Trade Attribute 6</v>
      </c>
      <c r="N5" s="21" t="str">
        <f ca="1">IFERROR(__xludf.DUMMYFUNCTION("""COMPUTED_VALUE"""),"Trade Attribute 5")</f>
        <v>Trade Attribute 5</v>
      </c>
      <c r="O5" s="21" t="str">
        <f ca="1">IFERROR(__xludf.DUMMYFUNCTION("""COMPUTED_VALUE"""),"Trade Attribute 4")</f>
        <v>Trade Attribute 4</v>
      </c>
      <c r="P5" s="21" t="str">
        <f ca="1">IFERROR(__xludf.DUMMYFUNCTION("""COMPUTED_VALUE"""),"Trade Attribute 3")</f>
        <v>Trade Attribute 3</v>
      </c>
      <c r="Q5" s="21" t="str">
        <f ca="1">IFERROR(__xludf.DUMMYFUNCTION("""COMPUTED_VALUE"""),"Trade Attribute 1")</f>
        <v>Trade Attribute 1</v>
      </c>
      <c r="R5" s="21" t="str">
        <f ca="1">IFERROR(__xludf.DUMMYFUNCTION("""COMPUTED_VALUE"""),"Trade Attribute 2")</f>
        <v>Trade Attribute 2</v>
      </c>
      <c r="S5" s="21" t="str">
        <f ca="1">IFERROR(__xludf.DUMMYFUNCTION("""COMPUTED_VALUE"""),"Strike Price")</f>
        <v>Strike Price</v>
      </c>
      <c r="T5" s="23" t="str">
        <f ca="1">IFERROR(__xludf.DUMMYFUNCTION("""COMPUTED_VALUE"""),"Stop Price")</f>
        <v>Stop Price</v>
      </c>
      <c r="U5" s="23" t="str">
        <f ca="1">IFERROR(__xludf.DUMMYFUNCTION("""COMPUTED_VALUE"""),"Settlement Currency")</f>
        <v>Settlement Currency</v>
      </c>
      <c r="V5" s="23" t="str">
        <f ca="1">IFERROR(__xludf.DUMMYFUNCTION("""COMPUTED_VALUE"""),"Put/Call")</f>
        <v>Put/Call</v>
      </c>
      <c r="W5" s="23" t="str">
        <f ca="1">IFERROR(__xludf.DUMMYFUNCTION("""COMPUTED_VALUE"""),"Process Date")</f>
        <v>Process Date</v>
      </c>
      <c r="X5" s="23" t="str">
        <f ca="1">IFERROR(__xludf.DUMMYFUNCTION("""COMPUTED_VALUE"""),"Peg")</f>
        <v>Peg</v>
      </c>
      <c r="Y5" s="23" t="str">
        <f ca="1">IFERROR(__xludf.DUMMYFUNCTION("""COMPUTED_VALUE"""),"ParentClOrderID")</f>
        <v>ParentClOrderID</v>
      </c>
      <c r="Z5" s="23" t="str">
        <f ca="1">IFERROR(__xludf.DUMMYFUNCTION("""COMPUTED_VALUE"""),"OrderID")</f>
        <v>OrderID</v>
      </c>
      <c r="AA5" s="23" t="str">
        <f ca="1">IFERROR(__xludf.DUMMYFUNCTION("""COMPUTED_VALUE"""),"Master Fund")</f>
        <v>Master Fund</v>
      </c>
      <c r="AB5" s="23" t="str">
        <f ca="1">IFERROR(__xludf.DUMMYFUNCTION("""COMPUTED_VALUE"""),"Last Shares")</f>
        <v>Last Shares</v>
      </c>
      <c r="AC5" s="23" t="str">
        <f ca="1">IFERROR(__xludf.DUMMYFUNCTION("""COMPUTED_VALUE"""),"Internal Comments")</f>
        <v>Internal Comments</v>
      </c>
      <c r="AD5" s="23" t="str">
        <f ca="1">IFERROR(__xludf.DUMMYFUNCTION("""COMPUTED_VALUE"""),"FX Rate")</f>
        <v>FX Rate</v>
      </c>
      <c r="AE5" s="23" t="str">
        <f ca="1">IFERROR(__xludf.DUMMYFUNCTION("""COMPUTED_VALUE"""),"Imported File Name")</f>
        <v>Imported File Name</v>
      </c>
      <c r="AF5" s="23" t="str">
        <f ca="1">IFERROR(__xludf.DUMMYFUNCTION("""COMPUTED_VALUE"""),"FX Conversion Operator")</f>
        <v>FX Conversion Operator</v>
      </c>
      <c r="AG5" s="23" t="str">
        <f ca="1">IFERROR(__xludf.DUMMYFUNCTION("""COMPUTED_VALUE"""),"Day Average Price")</f>
        <v>Day Average Price</v>
      </c>
      <c r="AH5" s="23" t="str">
        <f ca="1">IFERROR(__xludf.DUMMYFUNCTION("""COMPUTED_VALUE"""),"Asset Class")</f>
        <v>Asset Class</v>
      </c>
      <c r="AI5" s="23" t="str">
        <f ca="1">IFERROR(__xludf.DUMMYFUNCTION("""COMPUTED_VALUE"""),"Symbol")</f>
        <v>Symbol</v>
      </c>
      <c r="AJ5" s="23" t="str">
        <f ca="1">IFERROR(__xludf.DUMMYFUNCTION("""COMPUTED_VALUE"""),"Side")</f>
        <v>Side</v>
      </c>
      <c r="AK5" s="23" t="str">
        <f ca="1">IFERROR(__xludf.DUMMYFUNCTION("""COMPUTED_VALUE"""),"Status")</f>
        <v>Status</v>
      </c>
      <c r="AL5" s="23" t="str">
        <f ca="1">IFERROR(__xludf.DUMMYFUNCTION("""COMPUTED_VALUE"""),"Target Qty")</f>
        <v>Target Qty</v>
      </c>
      <c r="AM5" s="23" t="str">
        <f ca="1">IFERROR(__xludf.DUMMYFUNCTION("""COMPUTED_VALUE"""),"Total Executed Qty")</f>
        <v>Total Executed Qty</v>
      </c>
      <c r="AN5" s="23" t="str">
        <f ca="1">IFERROR(__xludf.DUMMYFUNCTION("""COMPUTED_VALUE"""),"% Executed")</f>
        <v>% Executed</v>
      </c>
      <c r="AO5" s="23" t="str">
        <f ca="1">IFERROR(__xludf.DUMMYFUNCTION("""COMPUTED_VALUE"""),"Day Executed Qty")</f>
        <v>Day Executed Qty</v>
      </c>
      <c r="AP5" s="23" t="str">
        <f ca="1">IFERROR(__xludf.DUMMYFUNCTION("""COMPUTED_VALUE"""),"Uncommitted Qty")</f>
        <v>Uncommitted Qty</v>
      </c>
      <c r="AQ5" s="23" t="str">
        <f ca="1">IFERROR(__xludf.DUMMYFUNCTION("""COMPUTED_VALUE"""),"Last Fill Price (Local)")</f>
        <v>Last Fill Price (Local)</v>
      </c>
      <c r="AR5" s="23" t="str">
        <f ca="1">IFERROR(__xludf.DUMMYFUNCTION("""COMPUTED_VALUE"""),"Avg Fill Price (Local)")</f>
        <v>Avg Fill Price (Local)</v>
      </c>
      <c r="AS5" s="23" t="str">
        <f ca="1">IFERROR(__xludf.DUMMYFUNCTION("""COMPUTED_VALUE"""),"Broker")</f>
        <v>Broker</v>
      </c>
      <c r="AT5" s="23" t="str">
        <f ca="1">IFERROR(__xludf.DUMMYFUNCTION("""COMPUTED_VALUE"""),"Account")</f>
        <v>Account</v>
      </c>
      <c r="AU5" s="23" t="str">
        <f ca="1">IFERROR(__xludf.DUMMYFUNCTION("""COMPUTED_VALUE"""),"Order Type")</f>
        <v>Order Type</v>
      </c>
      <c r="AV5" s="23" t="str">
        <f ca="1">IFERROR(__xludf.DUMMYFUNCTION("""COMPUTED_VALUE"""),"Principal Amount (Local)")</f>
        <v>Principal Amount (Local)</v>
      </c>
      <c r="AW5" s="23" t="str">
        <f ca="1">IFERROR(__xludf.DUMMYFUNCTION("""COMPUTED_VALUE"""),"Principal Amount (Base)")</f>
        <v>Principal Amount (Base)</v>
      </c>
      <c r="AX5" s="23" t="str">
        <f ca="1">IFERROR(__xludf.DUMMYFUNCTION("""COMPUTED_VALUE"""),"Allocation Scheme Name")</f>
        <v>Allocation Scheme Name</v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"/>
      <c r="B6" s="2"/>
      <c r="C6" s="2"/>
      <c r="D6" s="2"/>
      <c r="E6" s="2"/>
      <c r="F6" s="2"/>
      <c r="G6" s="6">
        <v>450</v>
      </c>
      <c r="H6" s="2"/>
      <c r="I6" s="2"/>
      <c r="J6" s="2"/>
      <c r="K6" s="2"/>
      <c r="L6" s="2"/>
      <c r="M6" s="2"/>
      <c r="N6" s="2"/>
      <c r="O6" s="2"/>
      <c r="AI6" s="26" t="s">
        <v>16</v>
      </c>
      <c r="AJ6" s="26" t="s">
        <v>17</v>
      </c>
      <c r="AK6" s="31" t="s">
        <v>27</v>
      </c>
      <c r="AL6" s="31">
        <v>500</v>
      </c>
      <c r="AM6" s="31">
        <v>50</v>
      </c>
      <c r="AN6" s="31">
        <v>10</v>
      </c>
      <c r="AQ6" s="31">
        <v>50</v>
      </c>
      <c r="AR6" s="31">
        <v>50</v>
      </c>
      <c r="AU6" s="31" t="s">
        <v>19</v>
      </c>
    </row>
    <row r="7" spans="1:154" ht="15.75" customHeight="1" x14ac:dyDescent="0.2">
      <c r="A7" s="2"/>
      <c r="B7" s="2"/>
      <c r="C7" s="2"/>
      <c r="D7" s="2"/>
      <c r="E7" s="2"/>
      <c r="F7" s="2"/>
      <c r="G7" s="6">
        <v>450</v>
      </c>
      <c r="H7" s="2"/>
      <c r="I7" s="2"/>
      <c r="J7" s="2"/>
      <c r="K7" s="2"/>
      <c r="L7" s="2"/>
      <c r="M7" s="2"/>
      <c r="N7" s="2"/>
      <c r="O7" s="2"/>
      <c r="AI7" s="26" t="s">
        <v>16</v>
      </c>
      <c r="AJ7" s="26" t="s">
        <v>20</v>
      </c>
      <c r="AK7" s="31" t="s">
        <v>27</v>
      </c>
      <c r="AL7" s="31">
        <v>500</v>
      </c>
      <c r="AM7" s="31">
        <v>50</v>
      </c>
      <c r="AN7" s="31">
        <v>10</v>
      </c>
      <c r="AQ7" s="31">
        <v>50</v>
      </c>
      <c r="AR7" s="31">
        <v>50</v>
      </c>
      <c r="AU7" s="31" t="s">
        <v>19</v>
      </c>
    </row>
    <row r="8" spans="1:154" ht="15.75" customHeight="1" x14ac:dyDescent="0.2">
      <c r="A8" s="2"/>
      <c r="B8" s="2"/>
      <c r="C8" s="2"/>
      <c r="D8" s="2"/>
      <c r="E8" s="2"/>
      <c r="F8" s="2"/>
      <c r="G8" s="6">
        <v>450</v>
      </c>
      <c r="H8" s="2"/>
      <c r="I8" s="2"/>
      <c r="J8" s="2"/>
      <c r="K8" s="2"/>
      <c r="L8" s="2"/>
      <c r="M8" s="2"/>
      <c r="N8" s="2"/>
      <c r="O8" s="2"/>
      <c r="AI8" s="26" t="s">
        <v>16</v>
      </c>
      <c r="AJ8" s="26" t="s">
        <v>21</v>
      </c>
      <c r="AK8" s="31" t="s">
        <v>27</v>
      </c>
      <c r="AL8" s="31">
        <v>500</v>
      </c>
      <c r="AM8" s="31">
        <v>50</v>
      </c>
      <c r="AN8" s="31">
        <v>10</v>
      </c>
      <c r="AQ8" s="31">
        <v>50</v>
      </c>
      <c r="AR8" s="31">
        <v>50</v>
      </c>
      <c r="AU8" s="31" t="s">
        <v>19</v>
      </c>
    </row>
    <row r="9" spans="1:154" ht="15.75" customHeight="1" x14ac:dyDescent="0.2">
      <c r="A9" s="2"/>
      <c r="B9" s="2"/>
      <c r="C9" s="2"/>
      <c r="D9" s="2"/>
      <c r="E9" s="2"/>
      <c r="F9" s="2"/>
      <c r="G9" s="6">
        <v>450</v>
      </c>
      <c r="H9" s="2"/>
      <c r="I9" s="2"/>
      <c r="J9" s="2"/>
      <c r="K9" s="2"/>
      <c r="L9" s="2"/>
      <c r="M9" s="2"/>
      <c r="N9" s="2"/>
      <c r="O9" s="2"/>
      <c r="AI9" s="26" t="s">
        <v>16</v>
      </c>
      <c r="AJ9" s="30" t="s">
        <v>22</v>
      </c>
      <c r="AK9" s="31" t="s">
        <v>27</v>
      </c>
      <c r="AL9" s="31">
        <v>500</v>
      </c>
      <c r="AM9" s="31">
        <v>50</v>
      </c>
      <c r="AN9" s="31">
        <v>10</v>
      </c>
      <c r="AQ9" s="31">
        <v>50</v>
      </c>
      <c r="AR9" s="31">
        <v>50</v>
      </c>
      <c r="AU9" s="31" t="s">
        <v>19</v>
      </c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AM10" s="31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4" t="s">
        <v>11</v>
      </c>
      <c r="C1" s="35"/>
      <c r="D1" s="35"/>
      <c r="E1" s="35"/>
      <c r="F1" s="35"/>
      <c r="G1" s="35"/>
      <c r="H1" s="36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3</v>
      </c>
      <c r="C3" s="16" t="s">
        <v>25</v>
      </c>
      <c r="D3" s="4" t="s">
        <v>6</v>
      </c>
      <c r="E3" s="16" t="s">
        <v>29</v>
      </c>
      <c r="F3" s="4" t="s">
        <v>14</v>
      </c>
      <c r="G3" s="9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IFERROR(__xludf.DUMMYFUNCTION("IF(C3="""","""",Transpose(IMPORTRANGE('_Settings'!$B$3,C3&amp;""!A4:A1000"")))"),"ReplaceFillsOnBlotter")</f>
        <v>ReplaceFillsOnBlotter</v>
      </c>
      <c r="C4" s="18" t="str">
        <f ca="1">IFERROR(__xludf.DUMMYFUNCTION("""COMPUTED_VALUE"""),"CheckBlotter")</f>
        <v>CheckBlotter</v>
      </c>
      <c r="D4" s="18" t="str">
        <f ca="1">IFERROR(__xludf.DUMMYFUNCTION("""COMPUTED_VALUE"""),"BlotterFunctionalities")</f>
        <v>BlotterFunctionalities</v>
      </c>
      <c r="E4" s="18" t="str">
        <f ca="1">IFERROR(__xludf.DUMMYFUNCTION("""COMPUTED_VALUE"""),"TransferToUserWorkingSubs")</f>
        <v>TransferToUserWorkingSubs</v>
      </c>
      <c r="F4" s="18" t="str">
        <f ca="1">IFERROR(__xludf.DUMMYFUNCTION("""COMPUTED_VALUE"""),"CancelWorkingSubs")</f>
        <v>CancelWorkingSubs</v>
      </c>
      <c r="G4" s="18" t="str">
        <f ca="1">IFERROR(__xludf.DUMMYFUNCTION("""COMPUTED_VALUE"""),"ReplaceWorkingSubs")</f>
        <v>ReplaceWorkingSubs</v>
      </c>
      <c r="H4" s="18" t="str">
        <f ca="1">IFERROR(__xludf.DUMMYFUNCTION("""COMPUTED_VALUE"""),"ViewAllocationDetailsWorkingSub")</f>
        <v>ViewAllocationDetailsWorkingSub</v>
      </c>
      <c r="I4" s="18" t="str">
        <f ca="1">IFERROR(__xludf.DUMMYFUNCTION("""COMPUTED_VALUE"""),"SelectTradeOnOrderGrid")</f>
        <v>SelectTradeOnOrderGrid</v>
      </c>
      <c r="J4" s="18" t="str">
        <f ca="1">IFERROR(__xludf.DUMMYFUNCTION("""COMPUTED_VALUE"""),"ShowDetailsForAlgoTradeSubOrder")</f>
        <v>ShowDetailsForAlgoTradeSubOrder</v>
      </c>
      <c r="K4" s="18" t="str">
        <f ca="1">IFERROR(__xludf.DUMMYFUNCTION("""COMPUTED_VALUE"""),"SelectTradeOrderBlotter")</f>
        <v>SelectTradeOrderBlotter</v>
      </c>
      <c r="L4" s="18" t="str">
        <f ca="1">IFERROR(__xludf.DUMMYFUNCTION("""COMPUTED_VALUE"""),"AddFillsWorkingSubs")</f>
        <v>AddFillsWorkingSubs</v>
      </c>
      <c r="M4" s="18" t="str">
        <f ca="1">IFERROR(__xludf.DUMMYFUNCTION("""COMPUTED_VALUE"""),"EditAddFillsDetails")</f>
        <v>EditAddFillsDetails</v>
      </c>
      <c r="N4" s="18" t="str">
        <f ca="1">IFERROR(__xludf.DUMMYFUNCTION("""COMPUTED_VALUE"""),"ShowDetailsForAlgoTradeWorkingSubs")</f>
        <v>ShowDetailsForAlgoTradeWorkingSubs</v>
      </c>
      <c r="O4" s="18" t="str">
        <f ca="1">IFERROR(__xludf.DUMMYFUNCTION("""COMPUTED_VALUE"""),"VerifyWorkingSubs")</f>
        <v>VerifyWorkingSubs</v>
      </c>
      <c r="P4" s="19" t="str">
        <f ca="1">IFERROR(__xludf.DUMMYFUNCTION("""COMPUTED_VALUE"""),"TransferToUserOrder")</f>
        <v>TransferToUserOrder</v>
      </c>
      <c r="Q4" s="19" t="str">
        <f ca="1">IFERROR(__xludf.DUMMYFUNCTION("""COMPUTED_VALUE"""),"EditOrder")</f>
        <v>EditOrder</v>
      </c>
      <c r="R4" s="19" t="str">
        <f ca="1">IFERROR(__xludf.DUMMYFUNCTION("""COMPUTED_VALUE"""),"SelectTradeSubOrderBlotter")</f>
        <v>SelectTradeSubOrderBlotter</v>
      </c>
      <c r="S4" s="19" t="str">
        <f ca="1">IFERROR(__xludf.DUMMYFUNCTION("""COMPUTED_VALUE"""),"VerifyOrder")</f>
        <v>VerifyOrder</v>
      </c>
      <c r="T4" s="19" t="str">
        <f ca="1">IFERROR(__xludf.DUMMYFUNCTION("""COMPUTED_VALUE"""),"VerifySubOrder")</f>
        <v>VerifySubOrder</v>
      </c>
      <c r="U4" s="19" t="str">
        <f ca="1">IFERROR(__xludf.DUMMYFUNCTION("""COMPUTED_VALUE"""),"RemoveSelectedOrders")</f>
        <v>RemoveSelectedOrders</v>
      </c>
      <c r="V4" s="19" t="str">
        <f ca="1">IFERROR(__xludf.DUMMYFUNCTION("""COMPUTED_VALUE"""),"CancelAllSelectedSubs")</f>
        <v>CancelAllSelectedSubs</v>
      </c>
      <c r="W4" s="19" t="str">
        <f ca="1">IFERROR(__xludf.DUMMYFUNCTION("""COMPUTED_VALUE"""),"MultiTradingTicket")</f>
        <v>MultiTradingTicket</v>
      </c>
      <c r="X4" s="19" t="str">
        <f ca="1">IFERROR(__xludf.DUMMYFUNCTION("""COMPUTED_VALUE"""),"AuditTrailOrderBlotter")</f>
        <v>AuditTrailOrderBlotter</v>
      </c>
      <c r="Y4" s="19" t="str">
        <f ca="1">IFERROR(__xludf.DUMMYFUNCTION("""COMPUTED_VALUE"""),"TradeNewSubOrder")</f>
        <v>TradeNewSubOrder</v>
      </c>
      <c r="Z4" s="19" t="str">
        <f ca="1">IFERROR(__xludf.DUMMYFUNCTION("""COMPUTED_VALUE"""),"RemoveStageOrder")</f>
        <v>RemoveStageOrder</v>
      </c>
      <c r="AA4" s="19" t="str">
        <f ca="1">IFERROR(__xludf.DUMMYFUNCTION("""COMPUTED_VALUE"""),"TransferToUserSubOrder")</f>
        <v>TransferToUserSubOrder</v>
      </c>
      <c r="AB4" s="19" t="str">
        <f ca="1">IFERROR(__xludf.DUMMYFUNCTION("""COMPUTED_VALUE"""),"DetailsForAlgoTradeOrder")</f>
        <v>DetailsForAlgoTradeOrder</v>
      </c>
      <c r="AC4" s="19" t="str">
        <f ca="1">IFERROR(__xludf.DUMMYFUNCTION("""COMPUTED_VALUE"""),"AddFillsSubOrder")</f>
        <v>AddFillsSubOrder</v>
      </c>
      <c r="AD4" s="19" t="str">
        <f ca="1">IFERROR(__xludf.DUMMYFUNCTION("""COMPUTED_VALUE"""),"ViewAllocationDetailsSubOrder")</f>
        <v>ViewAllocationDetailsSubOrder</v>
      </c>
      <c r="AE4" s="19" t="str">
        <f ca="1">IFERROR(__xludf.DUMMYFUNCTION("""COMPUTED_VALUE"""),"CancelAllSubs")</f>
        <v>CancelAllSubs</v>
      </c>
      <c r="AF4" s="19" t="str">
        <f ca="1">IFERROR(__xludf.DUMMYFUNCTION("""COMPUTED_VALUE"""),"CancelSubOrder")</f>
        <v>CancelSubOrder</v>
      </c>
      <c r="AG4" s="19" t="str">
        <f ca="1">IFERROR(__xludf.DUMMYFUNCTION("""COMPUTED_VALUE"""),"EditStageOrder")</f>
        <v>EditStageOrder</v>
      </c>
      <c r="AH4" s="19" t="str">
        <f ca="1">IFERROR(__xludf.DUMMYFUNCTION("""COMPUTED_VALUE"""),"ReplaceSubOrder")</f>
        <v>ReplaceSubOrder</v>
      </c>
      <c r="AI4" s="19" t="str">
        <f ca="1">IFERROR(__xludf.DUMMYFUNCTION("""COMPUTED_VALUE"""),"SelectTradeWorkingSubsBlotter")</f>
        <v>SelectTradeWorkingSubsBlotter</v>
      </c>
      <c r="AJ4" s="19" t="str">
        <f ca="1">IFERROR(__xludf.DUMMYFUNCTION("""COMPUTED_VALUE"""),"VerifyAlgoDetails")</f>
        <v>VerifyAlgoDetails</v>
      </c>
      <c r="AK4" s="19" t="str">
        <f ca="1">IFERROR(__xludf.DUMMYFUNCTION("""COMPUTED_VALUE"""),"VerifyTransferToUserOrder")</f>
        <v>VerifyTransferToUserOrder</v>
      </c>
      <c r="AL4" s="19" t="str">
        <f ca="1">IFERROR(__xludf.DUMMYFUNCTION("""COMPUTED_VALUE"""),"VerifyTransferToUserSubOdr")</f>
        <v>VerifyTransferToUserSubOdr</v>
      </c>
      <c r="AM4" s="19" t="str">
        <f ca="1">IFERROR(__xludf.DUMMYFUNCTION("""COMPUTED_VALUE"""),"VerifyTransferToUserWorkSub")</f>
        <v>VerifyTransferToUserWorkSub</v>
      </c>
      <c r="AN4" s="19" t="str">
        <f ca="1">IFERROR(__xludf.DUMMYFUNCTION("""COMPUTED_VALUE"""),"SaveLayoutOrderGrid")</f>
        <v>SaveLayoutOrderGrid</v>
      </c>
      <c r="AO4" s="19" t="str">
        <f ca="1">IFERROR(__xludf.DUMMYFUNCTION("""COMPUTED_VALUE"""),"ReplaceStageOrder")</f>
        <v>ReplaceStageOrder</v>
      </c>
      <c r="AP4" s="19" t="str">
        <f ca="1">IFERROR(__xludf.DUMMYFUNCTION("""COMPUTED_VALUE"""),"MultiTradingTicketFromBlotter")</f>
        <v>MultiTradingTicketFromBlotter</v>
      </c>
      <c r="AQ4" s="19" t="str">
        <f ca="1">IFERROR(__xludf.DUMMYFUNCTION("""COMPUTED_VALUE"""),"VerifyViewAllocationDetails")</f>
        <v>VerifyViewAllocationDetails</v>
      </c>
      <c r="AR4" s="19" t="str">
        <f ca="1">IFERROR(__xludf.DUMMYFUNCTION("""COMPUTED_VALUE"""),"GoToAllocation")</f>
        <v>GoToAllocation</v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IFERROR(__xludf.DUMMYFUNCTION("""COMPUTED_VALUE"""),"Transaction Time")</f>
        <v>Transaction Time</v>
      </c>
      <c r="C5" s="21" t="str">
        <f ca="1">IFERROR(__xludf.DUMMYFUNCTION("""COMPUTED_VALUE"""),"Algo")</f>
        <v>Algo</v>
      </c>
      <c r="D5" s="21" t="str">
        <f ca="1">IFERROR(__xludf.DUMMYFUNCTION("""COMPUTED_VALUE"""),"Avg Fill Price (Base)")</f>
        <v>Avg Fill Price (Base)</v>
      </c>
      <c r="E5" s="21" t="str">
        <f ca="1">IFERROR(__xludf.DUMMYFUNCTION("""COMPUTED_VALUE"""),"Bloomberg Symbol")</f>
        <v>Bloomberg Symbol</v>
      </c>
      <c r="F5" s="22" t="str">
        <f ca="1">IFERROR(__xludf.DUMMYFUNCTION("""COMPUTED_VALUE"""),"Limit Price")</f>
        <v>Limit Price</v>
      </c>
      <c r="G5" s="21" t="str">
        <f ca="1">IFERROR(__xludf.DUMMYFUNCTION("""COMPUTED_VALUE"""),"Working Qty")</f>
        <v>Working Qty</v>
      </c>
      <c r="H5" s="21" t="str">
        <f ca="1">IFERROR(__xludf.DUMMYFUNCTION("""COMPUTED_VALUE"""),"Venue")</f>
        <v>Venue</v>
      </c>
      <c r="I5" s="21" t="str">
        <f ca="1">IFERROR(__xludf.DUMMYFUNCTION("""COMPUTED_VALUE"""),"User")</f>
        <v>User</v>
      </c>
      <c r="J5" s="21" t="str">
        <f ca="1">IFERROR(__xludf.DUMMYFUNCTION("""COMPUTED_VALUE"""),"Underlying Symbol")</f>
        <v>Underlying Symbol</v>
      </c>
      <c r="K5" s="21" t="str">
        <f ca="1">IFERROR(__xludf.DUMMYFUNCTION("""COMPUTED_VALUE"""),"Underlying Country")</f>
        <v>Underlying Country</v>
      </c>
      <c r="L5" s="21" t="str">
        <f ca="1">IFERROR(__xludf.DUMMYFUNCTION("""COMPUTED_VALUE"""),"Trader")</f>
        <v>Trader</v>
      </c>
      <c r="M5" s="21" t="str">
        <f ca="1">IFERROR(__xludf.DUMMYFUNCTION("""COMPUTED_VALUE"""),"Trade Attribute 6")</f>
        <v>Trade Attribute 6</v>
      </c>
      <c r="N5" s="21" t="str">
        <f ca="1">IFERROR(__xludf.DUMMYFUNCTION("""COMPUTED_VALUE"""),"Trade Attribute 5")</f>
        <v>Trade Attribute 5</v>
      </c>
      <c r="O5" s="21" t="str">
        <f ca="1">IFERROR(__xludf.DUMMYFUNCTION("""COMPUTED_VALUE"""),"Trade Attribute 4")</f>
        <v>Trade Attribute 4</v>
      </c>
      <c r="P5" s="21" t="str">
        <f ca="1">IFERROR(__xludf.DUMMYFUNCTION("""COMPUTED_VALUE"""),"Trade Attribute 3")</f>
        <v>Trade Attribute 3</v>
      </c>
      <c r="Q5" s="21" t="str">
        <f ca="1">IFERROR(__xludf.DUMMYFUNCTION("""COMPUTED_VALUE"""),"Trade Attribute 2")</f>
        <v>Trade Attribute 2</v>
      </c>
      <c r="R5" s="21" t="str">
        <f ca="1">IFERROR(__xludf.DUMMYFUNCTION("""COMPUTED_VALUE"""),"Trade Attribute 1")</f>
        <v>Trade Attribute 1</v>
      </c>
      <c r="S5" s="21" t="str">
        <f ca="1">IFERROR(__xludf.DUMMYFUNCTION("""COMPUTED_VALUE"""),"Strike Price")</f>
        <v>Strike Price</v>
      </c>
      <c r="T5" s="23" t="str">
        <f ca="1">IFERROR(__xludf.DUMMYFUNCTION("""COMPUTED_VALUE"""),"Stop Price")</f>
        <v>Stop Price</v>
      </c>
      <c r="U5" s="23" t="str">
        <f ca="1">IFERROR(__xludf.DUMMYFUNCTION("""COMPUTED_VALUE"""),"Settlement Currency")</f>
        <v>Settlement Currency</v>
      </c>
      <c r="V5" s="23" t="str">
        <f ca="1">IFERROR(__xludf.DUMMYFUNCTION("""COMPUTED_VALUE"""),"Put/Call")</f>
        <v>Put/Call</v>
      </c>
      <c r="W5" s="23" t="str">
        <f ca="1">IFERROR(__xludf.DUMMYFUNCTION("""COMPUTED_VALUE"""),"Process Date")</f>
        <v>Process Date</v>
      </c>
      <c r="X5" s="23" t="str">
        <f ca="1">IFERROR(__xludf.DUMMYFUNCTION("""COMPUTED_VALUE"""),"Peg")</f>
        <v>Peg</v>
      </c>
      <c r="Y5" s="23" t="str">
        <f ca="1">IFERROR(__xludf.DUMMYFUNCTION("""COMPUTED_VALUE"""),"ParentClOrderID")</f>
        <v>ParentClOrderID</v>
      </c>
      <c r="Z5" s="23" t="str">
        <f ca="1">IFERROR(__xludf.DUMMYFUNCTION("""COMPUTED_VALUE"""),"OrderID")</f>
        <v>OrderID</v>
      </c>
      <c r="AA5" s="23" t="str">
        <f ca="1">IFERROR(__xludf.DUMMYFUNCTION("""COMPUTED_VALUE"""),"Master Fund")</f>
        <v>Master Fund</v>
      </c>
      <c r="AB5" s="23" t="str">
        <f ca="1">IFERROR(__xludf.DUMMYFUNCTION("""COMPUTED_VALUE"""),"Last Shares")</f>
        <v>Last Shares</v>
      </c>
      <c r="AC5" s="23" t="str">
        <f ca="1">IFERROR(__xludf.DUMMYFUNCTION("""COMPUTED_VALUE"""),"Internal Comments")</f>
        <v>Internal Comments</v>
      </c>
      <c r="AD5" s="23" t="str">
        <f ca="1">IFERROR(__xludf.DUMMYFUNCTION("""COMPUTED_VALUE"""),"FX Rate")</f>
        <v>FX Rate</v>
      </c>
      <c r="AE5" s="23" t="str">
        <f ca="1">IFERROR(__xludf.DUMMYFUNCTION("""COMPUTED_VALUE"""),"Imported File Name")</f>
        <v>Imported File Name</v>
      </c>
      <c r="AF5" s="23" t="str">
        <f ca="1">IFERROR(__xludf.DUMMYFUNCTION("""COMPUTED_VALUE"""),"FX Conversion Operator")</f>
        <v>FX Conversion Operator</v>
      </c>
      <c r="AG5" s="23" t="str">
        <f ca="1">IFERROR(__xludf.DUMMYFUNCTION("""COMPUTED_VALUE"""),"Day Average Price")</f>
        <v>Day Average Price</v>
      </c>
      <c r="AH5" s="23" t="str">
        <f ca="1">IFERROR(__xludf.DUMMYFUNCTION("""COMPUTED_VALUE"""),"Asset Class")</f>
        <v>Asset Class</v>
      </c>
      <c r="AI5" s="23" t="str">
        <f ca="1">IFERROR(__xludf.DUMMYFUNCTION("""COMPUTED_VALUE"""),"Symbol")</f>
        <v>Symbol</v>
      </c>
      <c r="AJ5" s="23" t="str">
        <f ca="1">IFERROR(__xludf.DUMMYFUNCTION("""COMPUTED_VALUE"""),"Side")</f>
        <v>Side</v>
      </c>
      <c r="AK5" s="23" t="str">
        <f ca="1">IFERROR(__xludf.DUMMYFUNCTION("""COMPUTED_VALUE"""),"Status")</f>
        <v>Status</v>
      </c>
      <c r="AL5" s="23" t="str">
        <f ca="1">IFERROR(__xludf.DUMMYFUNCTION("""COMPUTED_VALUE"""),"Quantity")</f>
        <v>Quantity</v>
      </c>
      <c r="AM5" s="23" t="str">
        <f ca="1">IFERROR(__xludf.DUMMYFUNCTION("""COMPUTED_VALUE"""),"Executed Qty")</f>
        <v>Executed Qty</v>
      </c>
      <c r="AN5" s="23" t="str">
        <f ca="1">IFERROR(__xludf.DUMMYFUNCTION("""COMPUTED_VALUE"""),"Day Executed Qty")</f>
        <v>Day Executed Qty</v>
      </c>
      <c r="AO5" s="23" t="str">
        <f ca="1">IFERROR(__xludf.DUMMYFUNCTION("""COMPUTED_VALUE"""),"Last Fill Price (Local)")</f>
        <v>Last Fill Price (Local)</v>
      </c>
      <c r="AP5" s="23" t="str">
        <f ca="1">IFERROR(__xludf.DUMMYFUNCTION("""COMPUTED_VALUE"""),"Avg Fill Price (Local)")</f>
        <v>Avg Fill Price (Local)</v>
      </c>
      <c r="AQ5" s="23" t="str">
        <f ca="1">IFERROR(__xludf.DUMMYFUNCTION("""COMPUTED_VALUE"""),"Broker")</f>
        <v>Broker</v>
      </c>
      <c r="AR5" s="23" t="str">
        <f ca="1">IFERROR(__xludf.DUMMYFUNCTION("""COMPUTED_VALUE"""),"Account")</f>
        <v>Account</v>
      </c>
      <c r="AS5" s="23" t="str">
        <f ca="1">IFERROR(__xludf.DUMMYFUNCTION("""COMPUTED_VALUE"""),"Order Type")</f>
        <v>Order Type</v>
      </c>
      <c r="AT5" s="23" t="str">
        <f ca="1">IFERROR(__xludf.DUMMYFUNCTION("""COMPUTED_VALUE"""),"Principal Amount (Local)")</f>
        <v>Principal Amount (Local)</v>
      </c>
      <c r="AU5" s="23" t="str">
        <f ca="1">IFERROR(__xludf.DUMMYFUNCTION("""COMPUTED_VALUE"""),"Principal Amount (Base)")</f>
        <v>Principal Amount (Base)</v>
      </c>
      <c r="AV5" s="23" t="str">
        <f ca="1">IFERROR(__xludf.DUMMYFUNCTION("""COMPUTED_VALUE"""),"Allocation Scheme Name")</f>
        <v>Allocation Scheme Name</v>
      </c>
      <c r="AW5" s="23" t="str">
        <f ca="1">IFERROR(__xludf.DUMMYFUNCTION("""COMPUTED_VALUE"""),"Status (With Rollover)")</f>
        <v>Status (With Rollover)</v>
      </c>
      <c r="AX5" s="23" t="str">
        <f ca="1">IFERROR(__xludf.DUMMYFUNCTION("""COMPUTED_VALUE"""),"Unexecuted Qty")</f>
        <v>Unexecuted Qty</v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"/>
      <c r="B6" s="2"/>
      <c r="C6" s="2"/>
      <c r="D6" s="2"/>
      <c r="E6" s="2"/>
      <c r="F6" s="2"/>
      <c r="G6" s="6">
        <v>450</v>
      </c>
      <c r="H6" s="2"/>
      <c r="I6" s="2"/>
      <c r="J6" s="2"/>
      <c r="K6" s="2"/>
      <c r="L6" s="2"/>
      <c r="M6" s="2"/>
      <c r="N6" s="2"/>
      <c r="O6" s="2"/>
      <c r="AI6" s="26" t="s">
        <v>16</v>
      </c>
      <c r="AJ6" s="26" t="s">
        <v>17</v>
      </c>
      <c r="AK6" s="31" t="s">
        <v>27</v>
      </c>
      <c r="AL6" s="31">
        <v>500</v>
      </c>
      <c r="AM6" s="31">
        <v>50</v>
      </c>
      <c r="AN6" s="31">
        <v>10</v>
      </c>
      <c r="AP6" s="31">
        <v>50</v>
      </c>
      <c r="AQ6" s="31">
        <v>50</v>
      </c>
      <c r="AT6" s="31" t="s">
        <v>19</v>
      </c>
    </row>
    <row r="7" spans="1:154" ht="15.75" customHeight="1" x14ac:dyDescent="0.2">
      <c r="A7" s="2"/>
      <c r="B7" s="2"/>
      <c r="C7" s="2"/>
      <c r="D7" s="2"/>
      <c r="E7" s="2"/>
      <c r="F7" s="2"/>
      <c r="G7" s="6">
        <v>450</v>
      </c>
      <c r="H7" s="2"/>
      <c r="I7" s="2"/>
      <c r="J7" s="2"/>
      <c r="K7" s="2"/>
      <c r="L7" s="2"/>
      <c r="M7" s="2"/>
      <c r="N7" s="2"/>
      <c r="O7" s="2"/>
      <c r="AI7" s="26" t="s">
        <v>16</v>
      </c>
      <c r="AJ7" s="26" t="s">
        <v>20</v>
      </c>
      <c r="AK7" s="31" t="s">
        <v>27</v>
      </c>
      <c r="AL7" s="31">
        <v>500</v>
      </c>
      <c r="AM7" s="31">
        <v>50</v>
      </c>
      <c r="AN7" s="31">
        <v>10</v>
      </c>
      <c r="AP7" s="31">
        <v>50</v>
      </c>
      <c r="AQ7" s="31">
        <v>50</v>
      </c>
      <c r="AT7" s="31" t="s">
        <v>19</v>
      </c>
    </row>
    <row r="8" spans="1:154" ht="15.75" customHeight="1" x14ac:dyDescent="0.2">
      <c r="A8" s="2"/>
      <c r="B8" s="2"/>
      <c r="C8" s="2"/>
      <c r="D8" s="2"/>
      <c r="E8" s="2"/>
      <c r="F8" s="2"/>
      <c r="G8" s="6">
        <v>450</v>
      </c>
      <c r="H8" s="2"/>
      <c r="I8" s="2"/>
      <c r="J8" s="2"/>
      <c r="K8" s="2"/>
      <c r="L8" s="2"/>
      <c r="M8" s="2"/>
      <c r="N8" s="2"/>
      <c r="O8" s="2"/>
      <c r="AI8" s="26" t="s">
        <v>16</v>
      </c>
      <c r="AJ8" s="26" t="s">
        <v>21</v>
      </c>
      <c r="AK8" s="31" t="s">
        <v>27</v>
      </c>
      <c r="AL8" s="31">
        <v>500</v>
      </c>
      <c r="AM8" s="31">
        <v>50</v>
      </c>
      <c r="AN8" s="31">
        <v>10</v>
      </c>
      <c r="AP8" s="31">
        <v>50</v>
      </c>
      <c r="AQ8" s="31">
        <v>50</v>
      </c>
      <c r="AT8" s="31" t="s">
        <v>19</v>
      </c>
    </row>
    <row r="9" spans="1:154" ht="15.75" customHeight="1" x14ac:dyDescent="0.2">
      <c r="A9" s="2"/>
      <c r="B9" s="2"/>
      <c r="C9" s="2"/>
      <c r="D9" s="2"/>
      <c r="E9" s="2"/>
      <c r="F9" s="2"/>
      <c r="G9" s="6">
        <v>450</v>
      </c>
      <c r="H9" s="2"/>
      <c r="I9" s="2"/>
      <c r="J9" s="2"/>
      <c r="K9" s="2"/>
      <c r="L9" s="2"/>
      <c r="M9" s="2"/>
      <c r="N9" s="2"/>
      <c r="O9" s="2"/>
      <c r="AI9" s="26" t="s">
        <v>16</v>
      </c>
      <c r="AJ9" s="30" t="s">
        <v>22</v>
      </c>
      <c r="AK9" s="31" t="s">
        <v>27</v>
      </c>
      <c r="AL9" s="31">
        <v>500</v>
      </c>
      <c r="AM9" s="31">
        <v>50</v>
      </c>
      <c r="AN9" s="31">
        <v>10</v>
      </c>
      <c r="AP9" s="31">
        <v>50</v>
      </c>
      <c r="AQ9" s="31">
        <v>50</v>
      </c>
      <c r="AT9" s="31" t="s">
        <v>19</v>
      </c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M100"/>
  <sheetViews>
    <sheetView tabSelected="1" topLeftCell="BC1" workbookViewId="0">
      <selection activeCell="BI10" sqref="BI10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 x14ac:dyDescent="0.3">
      <c r="A1" s="12"/>
      <c r="B1" s="34" t="s">
        <v>11</v>
      </c>
      <c r="C1" s="35"/>
      <c r="D1" s="35"/>
      <c r="E1" s="35"/>
      <c r="F1" s="35"/>
      <c r="G1" s="35"/>
      <c r="H1" s="36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</row>
    <row r="2" spans="1:169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69" ht="15.75" customHeight="1" x14ac:dyDescent="0.2">
      <c r="A3" s="15"/>
      <c r="B3" s="4" t="s">
        <v>3</v>
      </c>
      <c r="C3" s="16" t="s">
        <v>30</v>
      </c>
      <c r="D3" s="4" t="s">
        <v>6</v>
      </c>
      <c r="E3" s="16" t="s">
        <v>31</v>
      </c>
      <c r="F3" s="4" t="s">
        <v>14</v>
      </c>
      <c r="G3" s="9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</row>
    <row r="4" spans="1:169" ht="15.75" customHeight="1" x14ac:dyDescent="0.2">
      <c r="A4" s="18"/>
      <c r="B4" s="18" t="str">
        <f ca="1">IFERROR(__xludf.DUMMYFUNCTION("IF(C3="""","""",Transpose(IMPORTRANGE('_Settings'!$B$3,C3&amp;""!A4:A1000"")))"),"CheckDashboardPM")</f>
        <v>CheckDashboardPM</v>
      </c>
      <c r="C4" s="18" t="str">
        <f ca="1">IFERROR(__xludf.DUMMYFUNCTION("""COMPUTED_VALUE"""),"CheckPortfolioManagement")</f>
        <v>CheckPortfolioManagement</v>
      </c>
      <c r="D4" s="18" t="str">
        <f ca="1">IFERROR(__xludf.DUMMYFUNCTION("""COMPUTED_VALUE"""),"OpenPSTFromPM")</f>
        <v>OpenPSTFromPM</v>
      </c>
      <c r="E4" s="18" t="str">
        <f ca="1">IFERROR(__xludf.DUMMYFUNCTION("""COMPUTED_VALUE"""),"ClosePM")</f>
        <v>ClosePM</v>
      </c>
      <c r="F4" s="18" t="str">
        <f ca="1">IFERROR(__xludf.DUMMYFUNCTION("""COMPUTED_VALUE"""),"FilterPM")</f>
        <v>FilterPM</v>
      </c>
      <c r="G4" s="18" t="str">
        <f ca="1">IFERROR(__xludf.DUMMYFUNCTION("""COMPUTED_VALUE"""),"GroupRowPM")</f>
        <v>GroupRowPM</v>
      </c>
      <c r="H4" s="18" t="str">
        <f ca="1">IFERROR(__xludf.DUMMYFUNCTION("""COMPUTED_VALUE"""),"CheckDashboardWithPM")</f>
        <v>CheckDashboardWithPM</v>
      </c>
      <c r="I4" s="18" t="str">
        <f ca="1">IFERROR(__xludf.DUMMYFUNCTION("""COMPUTED_VALUE"""),"RemoveFilterPM")</f>
        <v>RemoveFilterPM</v>
      </c>
      <c r="J4" s="18" t="str">
        <f ca="1">IFERROR(__xludf.DUMMYFUNCTION("""COMPUTED_VALUE"""),"CheckSummaryRowsPM")</f>
        <v>CheckSummaryRowsPM</v>
      </c>
      <c r="K4" s="18" t="str">
        <f ca="1">IFERROR(__xludf.DUMMYFUNCTION("""COMPUTED_VALUE"""),"OpenPTTFromPM")</f>
        <v>OpenPTTFromPM</v>
      </c>
      <c r="L4" s="18" t="str">
        <f ca="1">IFERROR(__xludf.DUMMYFUNCTION("""COMPUTED_VALUE"""),"OpenCreateTransactionFromPM")</f>
        <v>OpenCreateTransactionFromPM</v>
      </c>
      <c r="M4" s="18" t="str">
        <f ca="1">IFERROR(__xludf.DUMMYFUNCTION("""COMPUTED_VALUE"""),"OpenClosingFromPM")</f>
        <v>OpenClosingFromPM</v>
      </c>
      <c r="N4" s="18" t="str">
        <f ca="1">IFERROR(__xludf.DUMMYFUNCTION("""COMPUTED_VALUE"""),"OpenCorporateActionFromPM")</f>
        <v>OpenCorporateActionFromPM</v>
      </c>
      <c r="O4" s="18" t="str">
        <f ca="1">IFERROR(__xludf.DUMMYFUNCTION("""COMPUTED_VALUE"""),"OpenDailyValuationFromPM")</f>
        <v>OpenDailyValuationFromPM</v>
      </c>
      <c r="P4" s="19" t="str">
        <f ca="1">IFERROR(__xludf.DUMMYFUNCTION("""COMPUTED_VALUE"""),"ClosePositionFromPM")</f>
        <v>ClosePositionFromPM</v>
      </c>
      <c r="Q4" s="19" t="str">
        <f ca="1">IFERROR(__xludf.DUMMYFUNCTION("""COMPUTED_VALUE"""),"ShowSummaryToolFromPM")</f>
        <v>ShowSummaryToolFromPM</v>
      </c>
      <c r="R4" s="19" t="str">
        <f ca="1">IFERROR(__xludf.DUMMYFUNCTION("""COMPUTED_VALUE"""),"HideSummaryToolFromPM")</f>
        <v>HideSummaryToolFromPM</v>
      </c>
      <c r="S4" s="19" t="str">
        <f ca="1">IFERROR(__xludf.DUMMYFUNCTION("""COMPUTED_VALUE"""),"CloseAccountPositionFromPM")</f>
        <v>CloseAccountPositionFromPM</v>
      </c>
      <c r="T4" s="19" t="str">
        <f ca="1">IFERROR(__xludf.DUMMYFUNCTION("""COMPUTED_VALUE"""),"CloseSelectedTaxlotsFromPM")</f>
        <v>CloseSelectedTaxlotsFromPM</v>
      </c>
      <c r="U4" s="19" t="str">
        <f ca="1">IFERROR(__xludf.DUMMYFUNCTION("""COMPUTED_VALUE"""),"ExpandCollapsePM")</f>
        <v>ExpandCollapsePM</v>
      </c>
      <c r="V4" s="19" t="str">
        <f ca="1">IFERROR(__xludf.DUMMYFUNCTION("""COMPUTED_VALUE"""),"AddCustomViewPM")</f>
        <v>AddCustomViewPM</v>
      </c>
      <c r="W4" s="19" t="str">
        <f ca="1">IFERROR(__xludf.DUMMYFUNCTION("""COMPUTED_VALUE"""),"AddCustomViewRightClickPM")</f>
        <v>AddCustomViewRightClickPM</v>
      </c>
      <c r="X4" s="19" t="str">
        <f ca="1">IFERROR(__xludf.DUMMYFUNCTION("""COMPUTED_VALUE"""),"RenameCustomViewPM")</f>
        <v>RenameCustomViewPM</v>
      </c>
      <c r="Y4" s="19" t="str">
        <f ca="1">IFERROR(__xludf.DUMMYFUNCTION("""COMPUTED_VALUE"""),"DeleteCustomViewPM")</f>
        <v>DeleteCustomViewPM</v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  <c r="EY4" s="19" t="str">
        <f ca="1">IFERROR(__xludf.DUMMYFUNCTION("""COMPUTED_VALUE"""),"")</f>
        <v/>
      </c>
      <c r="EZ4" s="19" t="str">
        <f ca="1">IFERROR(__xludf.DUMMYFUNCTION("""COMPUTED_VALUE"""),"")</f>
        <v/>
      </c>
      <c r="FA4" s="19" t="str">
        <f ca="1">IFERROR(__xludf.DUMMYFUNCTION("""COMPUTED_VALUE"""),"")</f>
        <v/>
      </c>
      <c r="FB4" s="19" t="str">
        <f ca="1">IFERROR(__xludf.DUMMYFUNCTION("""COMPUTED_VALUE"""),"")</f>
        <v/>
      </c>
      <c r="FC4" s="19" t="str">
        <f ca="1">IFERROR(__xludf.DUMMYFUNCTION("""COMPUTED_VALUE"""),"")</f>
        <v/>
      </c>
      <c r="FD4" s="19" t="str">
        <f ca="1">IFERROR(__xludf.DUMMYFUNCTION("""COMPUTED_VALUE"""),"")</f>
        <v/>
      </c>
      <c r="FE4" s="19" t="str">
        <f ca="1">IFERROR(__xludf.DUMMYFUNCTION("""COMPUTED_VALUE"""),"")</f>
        <v/>
      </c>
      <c r="FF4" s="19" t="str">
        <f ca="1">IFERROR(__xludf.DUMMYFUNCTION("""COMPUTED_VALUE"""),"")</f>
        <v/>
      </c>
      <c r="FG4" s="19" t="str">
        <f ca="1">IFERROR(__xludf.DUMMYFUNCTION("""COMPUTED_VALUE"""),"")</f>
        <v/>
      </c>
      <c r="FH4" s="19" t="str">
        <f ca="1">IFERROR(__xludf.DUMMYFUNCTION("""COMPUTED_VALUE"""),"")</f>
        <v/>
      </c>
      <c r="FI4" s="19" t="str">
        <f ca="1">IFERROR(__xludf.DUMMYFUNCTION("""COMPUTED_VALUE"""),"")</f>
        <v/>
      </c>
      <c r="FJ4" s="19" t="str">
        <f ca="1">IFERROR(__xludf.DUMMYFUNCTION("""COMPUTED_VALUE"""),"")</f>
        <v/>
      </c>
      <c r="FK4" s="19" t="str">
        <f ca="1">IFERROR(__xludf.DUMMYFUNCTION("""COMPUTED_VALUE"""),"")</f>
        <v/>
      </c>
      <c r="FL4" s="19" t="str">
        <f ca="1">IFERROR(__xludf.DUMMYFUNCTION("""COMPUTED_VALUE"""),"")</f>
        <v/>
      </c>
      <c r="FM4" s="19" t="str">
        <f ca="1">IFERROR(__xludf.DUMMYFUNCTION("""COMPUTED_VALUE"""),"")</f>
        <v/>
      </c>
    </row>
    <row r="5" spans="1:169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IFERROR(__xludf.DUMMYFUNCTION("""COMPUTED_VALUE"""),"Trade Date")</f>
        <v>Trade Date</v>
      </c>
      <c r="C5" s="21" t="str">
        <f ca="1">IFERROR(__xludf.DUMMYFUNCTION("""COMPUTED_VALUE"""),"Symbol")</f>
        <v>Symbol</v>
      </c>
      <c r="D5" s="21" t="str">
        <f ca="1">IFERROR(__xludf.DUMMYFUNCTION("""COMPUTED_VALUE"""),"Position")</f>
        <v>Position</v>
      </c>
      <c r="E5" s="21" t="str">
        <f ca="1">IFERROR(__xludf.DUMMYFUNCTION("""COMPUTED_VALUE"""),"Account")</f>
        <v>Account</v>
      </c>
      <c r="F5" s="22" t="str">
        <f ca="1">IFERROR(__xludf.DUMMYFUNCTION("""COMPUTED_VALUE"""),"MasterFund")</f>
        <v>MasterFund</v>
      </c>
      <c r="G5" s="21" t="str">
        <f ca="1">IFERROR(__xludf.DUMMYFUNCTION("""COMPUTED_VALUE"""),"Cost Basis")</f>
        <v>Cost Basis</v>
      </c>
      <c r="H5" s="21" t="str">
        <f ca="1">IFERROR(__xludf.DUMMYFUNCTION("""COMPUTED_VALUE"""),"Position Side")</f>
        <v>Position Side</v>
      </c>
      <c r="I5" s="21" t="str">
        <f ca="1">IFERROR(__xludf.DUMMYFUNCTION("""COMPUTED_VALUE"""),"Market Value (Base)")</f>
        <v>Market Value (Base)</v>
      </c>
      <c r="J5" s="21" t="str">
        <f ca="1">IFERROR(__xludf.DUMMYFUNCTION("""COMPUTED_VALUE"""),"% Day P&amp;L (Gross MV)")</f>
        <v>% Day P&amp;L (Gross MV)</v>
      </c>
      <c r="K5" s="21" t="str">
        <f ca="1">IFERROR(__xludf.DUMMYFUNCTION("""COMPUTED_VALUE"""),"Net Exposure (Base)")</f>
        <v>Net Exposure (Base)</v>
      </c>
      <c r="L5" s="21" t="str">
        <f ca="1">IFERROR(__xludf.DUMMYFUNCTION("""COMPUTED_VALUE"""),"Beta Adj. Gross Exposure (Base)")</f>
        <v>Beta Adj. Gross Exposure (Base)</v>
      </c>
      <c r="M5" s="21" t="str">
        <f ca="1">IFERROR(__xludf.DUMMYFUNCTION("""COMPUTED_VALUE"""),"Beta Adj. Gross Exposure (Underlying) (Base)")</f>
        <v>Beta Adj. Gross Exposure (Underlying) (Base)</v>
      </c>
      <c r="N5" s="21" t="str">
        <f ca="1">IFERROR(__xludf.DUMMYFUNCTION("""COMPUTED_VALUE"""),"Day P&amp;L (Base)")</f>
        <v>Day P&amp;L (Base)</v>
      </c>
      <c r="O5" s="21" t="str">
        <f ca="1">IFERROR(__xludf.DUMMYFUNCTION("""COMPUTED_VALUE"""),"Security Name")</f>
        <v>Security Name</v>
      </c>
      <c r="P5" s="21" t="str">
        <f ca="1">IFERROR(__xludf.DUMMYFUNCTION("""COMPUTED_VALUE"""),"Closing Mark")</f>
        <v>Closing Mark</v>
      </c>
      <c r="Q5" s="21" t="str">
        <f ca="1">IFERROR(__xludf.DUMMYFUNCTION("""COMPUTED_VALUE"""),"Cost Basis P&amp;L (Base)")</f>
        <v>Cost Basis P&amp;L (Base)</v>
      </c>
      <c r="R5" s="21" t="str">
        <f ca="1">IFERROR(__xludf.DUMMYFUNCTION("""COMPUTED_VALUE"""),"Prime Broker")</f>
        <v>Prime Broker</v>
      </c>
      <c r="S5" s="21" t="str">
        <f ca="1">IFERROR(__xludf.DUMMYFUNCTION("""COMPUTED_VALUE"""),"Strategy")</f>
        <v>Strategy</v>
      </c>
      <c r="T5" s="23" t="str">
        <f ca="1">IFERROR(__xludf.DUMMYFUNCTION("""COMPUTED_VALUE"""),"Asset Class")</f>
        <v>Asset Class</v>
      </c>
      <c r="U5" s="23" t="str">
        <f ca="1">IFERROR(__xludf.DUMMYFUNCTION("""COMPUTED_VALUE"""),"Underlying")</f>
        <v>Underlying</v>
      </c>
      <c r="V5" s="23" t="str">
        <f ca="1">IFERROR(__xludf.DUMMYFUNCTION("""COMPUTED_VALUE"""),"Exchange")</f>
        <v>Exchange</v>
      </c>
      <c r="W5" s="23" t="str">
        <f ca="1">IFERROR(__xludf.DUMMYFUNCTION("""COMPUTED_VALUE"""),"Trade Currency")</f>
        <v>Trade Currency</v>
      </c>
      <c r="X5" s="23" t="str">
        <f ca="1">IFERROR(__xludf.DUMMYFUNCTION("""COMPUTED_VALUE"""),"Multiplier")</f>
        <v>Multiplier</v>
      </c>
      <c r="Y5" s="23" t="str">
        <f ca="1">IFERROR(__xludf.DUMMYFUNCTION("""COMPUTED_VALUE"""),"FX Rate")</f>
        <v>FX Rate</v>
      </c>
      <c r="Z5" s="23" t="str">
        <f ca="1">IFERROR(__xludf.DUMMYFUNCTION("""COMPUTED_VALUE"""),"Vs Currency")</f>
        <v>Vs Currency</v>
      </c>
      <c r="AA5" s="23" t="str">
        <f ca="1">IFERROR(__xludf.DUMMYFUNCTION("""COMPUTED_VALUE"""),"Lead Currency")</f>
        <v>Lead Currency</v>
      </c>
      <c r="AB5" s="23" t="str">
        <f ca="1">IFERROR(__xludf.DUMMYFUNCTION("""COMPUTED_VALUE"""),"Dividend Yield (%)")</f>
        <v>Dividend Yield (%)</v>
      </c>
      <c r="AC5" s="23" t="str">
        <f ca="1">IFERROR(__xludf.DUMMYFUNCTION("""COMPUTED_VALUE"""),"% Change")</f>
        <v>% Change</v>
      </c>
      <c r="AD5" s="23" t="str">
        <f ca="1">IFERROR(__xludf.DUMMYFUNCTION("""COMPUTED_VALUE"""),"Net Exposure (Local)")</f>
        <v>Net Exposure (Local)</v>
      </c>
      <c r="AE5" s="23" t="str">
        <f ca="1">IFERROR(__xludf.DUMMYFUNCTION("""COMPUTED_VALUE"""),"Exposure (Local)")</f>
        <v>Exposure (Local)</v>
      </c>
      <c r="AF5" s="23" t="str">
        <f ca="1">IFERROR(__xludf.DUMMYFUNCTION("""COMPUTED_VALUE"""),"Delta Adj. Position")</f>
        <v>Delta Adj. Position</v>
      </c>
      <c r="AG5" s="23" t="str">
        <f ca="1">IFERROR(__xludf.DUMMYFUNCTION("""COMPUTED_VALUE"""),"Exposure (Base)")</f>
        <v>Exposure (Base)</v>
      </c>
      <c r="AH5" s="23" t="str">
        <f ca="1">IFERROR(__xludf.DUMMYFUNCTION("""COMPUTED_VALUE"""),"Beta Adj. Exposure (Local)")</f>
        <v>Beta Adj. Exposure (Local)</v>
      </c>
      <c r="AI5" s="23" t="str">
        <f ca="1">IFERROR(__xludf.DUMMYFUNCTION("""COMPUTED_VALUE"""),"Beta Adj. Exposure (Base)")</f>
        <v>Beta Adj. Exposure (Base)</v>
      </c>
      <c r="AJ5" s="23" t="str">
        <f ca="1">IFERROR(__xludf.DUMMYFUNCTION("""COMPUTED_VALUE"""),"Exposure (BP)(Base)")</f>
        <v>Exposure (BP)(Base)</v>
      </c>
      <c r="AK5" s="23" t="str">
        <f ca="1">IFERROR(__xludf.DUMMYFUNCTION("""COMPUTED_VALUE"""),"Day P&amp;L (Local)")</f>
        <v>Day P&amp;L (Local)</v>
      </c>
      <c r="AL5" s="23" t="str">
        <f ca="1">IFERROR(__xludf.DUMMYFUNCTION("""COMPUTED_VALUE"""),"Delta")</f>
        <v>Delta</v>
      </c>
      <c r="AM5" s="23" t="str">
        <f ca="1">IFERROR(__xludf.DUMMYFUNCTION("""COMPUTED_VALUE"""),"Leveraged Factor")</f>
        <v>Leveraged Factor</v>
      </c>
      <c r="AN5" s="23" t="str">
        <f ca="1">IFERROR(__xludf.DUMMYFUNCTION("""COMPUTED_VALUE"""),"Order Side")</f>
        <v>Order Side</v>
      </c>
      <c r="AO5" s="23" t="str">
        <f ca="1">IFERROR(__xludf.DUMMYFUNCTION("""COMPUTED_VALUE"""),"Master Strategy")</f>
        <v>Master Strategy</v>
      </c>
      <c r="AP5" s="23" t="str">
        <f ca="1">IFERROR(__xludf.DUMMYFUNCTION("""COMPUTED_VALUE"""),"Transaction Side")</f>
        <v>Transaction Side</v>
      </c>
      <c r="AQ5" s="23" t="str">
        <f ca="1">IFERROR(__xludf.DUMMYFUNCTION("""COMPUTED_VALUE"""),"Underlying Symbol")</f>
        <v>Underlying Symbol</v>
      </c>
      <c r="AR5" s="23" t="str">
        <f ca="1">IFERROR(__xludf.DUMMYFUNCTION("""COMPUTED_VALUE"""),"Underlying Price")</f>
        <v>Underlying Price</v>
      </c>
      <c r="AS5" s="23" t="str">
        <f ca="1">IFERROR(__xludf.DUMMYFUNCTION("""COMPUTED_VALUE"""),"Side Multiplier")</f>
        <v>Side Multiplier</v>
      </c>
      <c r="AT5" s="23" t="str">
        <f ca="1">IFERROR(__xludf.DUMMYFUNCTION("""COMPUTED_VALUE"""),"Description")</f>
        <v>Description</v>
      </c>
      <c r="AU5" s="23" t="str">
        <f ca="1">IFERROR(__xludf.DUMMYFUNCTION("""COMPUTED_VALUE"""),"Internal Comments")</f>
        <v>Internal Comments</v>
      </c>
      <c r="AV5" s="23" t="str">
        <f ca="1">IFERROR(__xludf.DUMMYFUNCTION("""COMPUTED_VALUE"""),"FX Rate On Trade Date")</f>
        <v>FX Rate On Trade Date</v>
      </c>
      <c r="AW5" s="23" t="str">
        <f ca="1">IFERROR(__xludf.DUMMYFUNCTION("""COMPUTED_VALUE"""),"Cost Basis P&amp;L (Local)")</f>
        <v>Cost Basis P&amp;L (Local)</v>
      </c>
      <c r="AX5" s="23" t="str">
        <f ca="1">IFERROR(__xludf.DUMMYFUNCTION("""COMPUTED_VALUE"""),"Day Interest")</f>
        <v>Day Interest</v>
      </c>
      <c r="AY5" s="23" t="str">
        <f ca="1">IFERROR(__xludf.DUMMYFUNCTION("""COMPUTED_VALUE"""),"Total Interest")</f>
        <v>Total Interest</v>
      </c>
      <c r="AZ5" s="23" t="str">
        <f ca="1">IFERROR(__xludf.DUMMYFUNCTION("""COMPUTED_VALUE"""),"Market Value (Local)")</f>
        <v>Market Value (Local)</v>
      </c>
      <c r="BA5" s="23" t="str">
        <f ca="1">IFERROR(__xludf.DUMMYFUNCTION("""COMPUTED_VALUE"""),"% Gain/Loss Day")</f>
        <v>% Gain/Loss Day</v>
      </c>
      <c r="BB5" s="23" t="str">
        <f ca="1">IFERROR(__xludf.DUMMYFUNCTION("""COMPUTED_VALUE"""),"Update Time (Last Price)")</f>
        <v>Update Time (Last Price)</v>
      </c>
      <c r="BC5" s="23" t="str">
        <f ca="1">IFERROR(__xludf.DUMMYFUNCTION("""COMPUTED_VALUE"""),"Beta")</f>
        <v>Beta</v>
      </c>
      <c r="BD5" s="23" t="str">
        <f ca="1">IFERROR(__xludf.DUMMYFUNCTION("""COMPUTED_VALUE"""),"Cash Impact (Local)")</f>
        <v>Cash Impact (Local)</v>
      </c>
      <c r="BE5" s="23" t="str">
        <f ca="1">IFERROR(__xludf.DUMMYFUNCTION("""COMPUTED_VALUE"""),"User Asset")</f>
        <v>User Asset</v>
      </c>
      <c r="BF5" s="23" t="str">
        <f ca="1">IFERROR(__xludf.DUMMYFUNCTION("""COMPUTED_VALUE"""),"Security Type")</f>
        <v>Security Type</v>
      </c>
      <c r="BG5" s="23" t="str">
        <f ca="1">IFERROR(__xludf.DUMMYFUNCTION("""COMPUTED_VALUE"""),"Sector")</f>
        <v>Sector</v>
      </c>
      <c r="BH5" s="23" t="str">
        <f ca="1">IFERROR(__xludf.DUMMYFUNCTION("""COMPUTED_VALUE"""),"Sub Sector")</f>
        <v>Sub Sector</v>
      </c>
      <c r="BI5" s="23" t="str">
        <f ca="1">IFERROR(__xludf.DUMMYFUNCTION("""COMPUTED_VALUE"""),"Country")</f>
        <v>Country</v>
      </c>
      <c r="BJ5" s="23" t="str">
        <f ca="1">IFERROR(__xludf.DUMMYFUNCTION("""COMPUTED_VALUE"""),"Market Cap")</f>
        <v>Market Cap</v>
      </c>
      <c r="BK5" s="23" t="str">
        <f ca="1">IFERROR(__xludf.DUMMYFUNCTION("""COMPUTED_VALUE"""),"Shares Outstanding (MM)")</f>
        <v>Shares Outstanding (MM)</v>
      </c>
      <c r="BL5" s="23" t="str">
        <f ca="1">IFERROR(__xludf.DUMMYFUNCTION("""COMPUTED_VALUE"""),"Avg Volume 20 Day")</f>
        <v>Avg Volume 20 Day</v>
      </c>
      <c r="BM5" s="23" t="str">
        <f ca="1">IFERROR(__xludf.DUMMYFUNCTION("""COMPUTED_VALUE"""),"% Avg Volume (Delta Adj.)")</f>
        <v>% Avg Volume (Delta Adj.)</v>
      </c>
      <c r="BN5" s="23" t="str">
        <f ca="1">IFERROR(__xludf.DUMMYFUNCTION("""COMPUTED_VALUE"""),"Ex Dividend Date")</f>
        <v>Ex Dividend Date</v>
      </c>
      <c r="BO5" s="23" t="str">
        <f ca="1">IFERROR(__xludf.DUMMYFUNCTION("""COMPUTED_VALUE"""),"Cash Impact (Base)")</f>
        <v>Cash Impact (Base)</v>
      </c>
      <c r="BP5" s="23" t="str">
        <f ca="1">IFERROR(__xludf.DUMMYFUNCTION("""COMPUTED_VALUE"""),"Volatility (%)")</f>
        <v>Volatility (%)</v>
      </c>
      <c r="BQ5" s="23" t="str">
        <f ca="1">IFERROR(__xludf.DUMMYFUNCTION("""COMPUTED_VALUE"""),"User")</f>
        <v>User</v>
      </c>
      <c r="BR5" s="23" t="str">
        <f ca="1">IFERROR(__xludf.DUMMYFUNCTION("""COMPUTED_VALUE"""),"Broker")</f>
        <v>Broker</v>
      </c>
      <c r="BS5" s="23" t="str">
        <f ca="1">IFERROR(__xludf.DUMMYFUNCTION("""COMPUTED_VALUE"""),"Earned Dividend (Local)")</f>
        <v>Earned Dividend (Local)</v>
      </c>
      <c r="BT5" s="23" t="str">
        <f ca="1">IFERROR(__xludf.DUMMYFUNCTION("""COMPUTED_VALUE"""),"Earned Dividend (Base)")</f>
        <v>Earned Dividend (Base)</v>
      </c>
      <c r="BU5" s="23" t="str">
        <f ca="1">IFERROR(__xludf.DUMMYFUNCTION("""COMPUTED_VALUE"""),"Put/Call")</f>
        <v>Put/Call</v>
      </c>
      <c r="BV5" s="23" t="str">
        <f ca="1">IFERROR(__xludf.DUMMYFUNCTION("""COMPUTED_VALUE"""),"Expiration Date")</f>
        <v>Expiration Date</v>
      </c>
      <c r="BW5" s="23" t="str">
        <f ca="1">IFERROR(__xludf.DUMMYFUNCTION("""COMPUTED_VALUE"""),"Strike Price")</f>
        <v>Strike Price</v>
      </c>
      <c r="BX5" s="23" t="str">
        <f ca="1">IFERROR(__xludf.DUMMYFUNCTION("""COMPUTED_VALUE"""),"Gross Exposure (Base)")</f>
        <v>Gross Exposure (Base)</v>
      </c>
      <c r="BY5" s="23" t="str">
        <f ca="1">IFERROR(__xludf.DUMMYFUNCTION("""COMPUTED_VALUE"""),"Gross Market Value (Base)")</f>
        <v>Gross Market Value (Base)</v>
      </c>
      <c r="BZ5" s="23" t="str">
        <f ca="1">IFERROR(__xludf.DUMMYFUNCTION("""COMPUTED_VALUE"""),"Px Selected Feed (Local)")</f>
        <v>Px Selected Feed (Local)</v>
      </c>
      <c r="CA5" s="23" t="str">
        <f ca="1">IFERROR(__xludf.DUMMYFUNCTION("""COMPUTED_VALUE"""),"Px Selected Feed (Base)")</f>
        <v>Px Selected Feed (Base)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IFERROR(__xludf.DUMMYFUNCTION("""COMPUTED_VALUE"""),"% Avg Volume")</f>
        <v>% Avg Volume</v>
      </c>
      <c r="CD5" s="23" t="str">
        <f ca="1">IFERROR(__xludf.DUMMYFUNCTION("""COMPUTED_VALUE"""),"Day P&amp;L (Base)(Price Gain)")</f>
        <v>Day P&amp;L (Base)(Price Gain)</v>
      </c>
      <c r="CE5" s="23" t="str">
        <f ca="1">IFERROR(__xludf.DUMMYFUNCTION("""COMPUTED_VALUE"""),"Day P&amp;L (Base)(FX Gain)")</f>
        <v>Day P&amp;L (Base)(FX Gain)</v>
      </c>
      <c r="CF5" s="23" t="str">
        <f ca="1">IFERROR(__xludf.DUMMYFUNCTION("""COMPUTED_VALUE"""),"Cost Basis P&amp;L (Base)(FX Gain)")</f>
        <v>Cost Basis P&amp;L (Base)(FX Gain)</v>
      </c>
      <c r="CG5" s="23" t="str">
        <f ca="1">IFERROR(__xludf.DUMMYFUNCTION("""COMPUTED_VALUE"""),"Cost Basis P&amp;L (Base)(Price Gain)")</f>
        <v>Cost Basis P&amp;L (Base)(Price Gain)</v>
      </c>
      <c r="CH5" s="23" t="str">
        <f ca="1">IFERROR(__xludf.DUMMYFUNCTION("""COMPUTED_VALUE"""),"% Gain/Loss Cost")</f>
        <v>% Gain/Loss Cost</v>
      </c>
      <c r="CI5" s="23" t="str">
        <f ca="1">IFERROR(__xludf.DUMMYFUNCTION("""COMPUTED_VALUE"""),"Underlying Value (Options)")</f>
        <v>Underlying Value (Options)</v>
      </c>
      <c r="CJ5" s="23" t="str">
        <f ca="1">IFERROR(__xludf.DUMMYFUNCTION("""COMPUTED_VALUE"""),"Avg Volume 20 Day (Underlying Symbol)")</f>
        <v>Avg Volume 20 Day (Underlying Symbol)</v>
      </c>
      <c r="CK5" s="23" t="str">
        <f ca="1">IFERROR(__xludf.DUMMYFUNCTION("""COMPUTED_VALUE"""),"IsStaleData")</f>
        <v>IsStaleData</v>
      </c>
      <c r="CL5" s="23" t="str">
        <f ca="1">IFERROR(__xludf.DUMMYFUNCTION("""COMPUTED_VALUE"""),"IDCO")</f>
        <v>IDCO</v>
      </c>
      <c r="CM5" s="23" t="str">
        <f ca="1">IFERROR(__xludf.DUMMYFUNCTION("""COMPUTED_VALUE"""),"OSI")</f>
        <v>OSI</v>
      </c>
      <c r="CN5" s="23" t="str">
        <f ca="1">IFERROR(__xludf.DUMMYFUNCTION("""COMPUTED_VALUE"""),"SEDOL")</f>
        <v>SEDOL</v>
      </c>
      <c r="CO5" s="23" t="str">
        <f ca="1">IFERROR(__xludf.DUMMYFUNCTION("""COMPUTED_VALUE"""),"CUSIP")</f>
        <v>CUSIP</v>
      </c>
      <c r="CP5" s="23" t="str">
        <f ca="1">IFERROR(__xludf.DUMMYFUNCTION("""COMPUTED_VALUE"""),"Bloomberg")</f>
        <v>Bloomberg</v>
      </c>
      <c r="CQ5" s="23" t="str">
        <f ca="1">IFERROR(__xludf.DUMMYFUNCTION("""COMPUTED_VALUE"""),"ISIN")</f>
        <v>ISIN</v>
      </c>
      <c r="CR5" s="23" t="str">
        <f ca="1">IFERROR(__xludf.DUMMYFUNCTION("""COMPUTED_VALUE"""),"Start Trade Date")</f>
        <v>Start Trade Date</v>
      </c>
      <c r="CS5" s="23" t="str">
        <f ca="1">IFERROR(__xludf.DUMMYFUNCTION("""COMPUTED_VALUE"""),"Cost Basis (Break Even)")</f>
        <v>Cost Basis (Break Even)</v>
      </c>
      <c r="CT5" s="23" t="str">
        <f ca="1">IFERROR(__xludf.DUMMYFUNCTION("""COMPUTED_VALUE"""),"Trade Attribute 3")</f>
        <v>Trade Attribute 3</v>
      </c>
      <c r="CU5" s="23" t="str">
        <f ca="1">IFERROR(__xludf.DUMMYFUNCTION("""COMPUTED_VALUE"""),"Trade Attribute 4")</f>
        <v>Trade Attribute 4</v>
      </c>
      <c r="CV5" s="23" t="str">
        <f ca="1">IFERROR(__xludf.DUMMYFUNCTION("""COMPUTED_VALUE"""),"Trade Attribute 5")</f>
        <v>Trade Attribute 5</v>
      </c>
      <c r="CW5" s="23" t="str">
        <f ca="1">IFERROR(__xludf.DUMMYFUNCTION("""COMPUTED_VALUE"""),"Trade Attribute 6")</f>
        <v>Trade Attribute 6</v>
      </c>
      <c r="CX5" s="23" t="str">
        <f ca="1">IFERROR(__xludf.DUMMYFUNCTION("""COMPUTED_VALUE"""),"Proxy Symbol")</f>
        <v>Proxy Symbol</v>
      </c>
      <c r="CY5" s="23" t="str">
        <f ca="1">IFERROR(__xludf.DUMMYFUNCTION("""COMPUTED_VALUE"""),"Pricing Source")</f>
        <v>Pricing Source</v>
      </c>
      <c r="CZ5" s="23" t="str">
        <f ca="1">IFERROR(__xludf.DUMMYFUNCTION("""COMPUTED_VALUE"""),"Delta Source")</f>
        <v>Delta Source</v>
      </c>
      <c r="DA5" s="23" t="str">
        <f ca="1">IFERROR(__xludf.DUMMYFUNCTION("""COMPUTED_VALUE"""),"Gross Exposure (Local)")</f>
        <v>Gross Exposure (Local)</v>
      </c>
      <c r="DB5" s="23" t="str">
        <f ca="1">IFERROR(__xludf.DUMMYFUNCTION("""COMPUTED_VALUE"""),"% Day P&amp;L (Net MV)")</f>
        <v>% Day P&amp;L (Net MV)</v>
      </c>
      <c r="DC5" s="23" t="str">
        <f ca="1">IFERROR(__xludf.DUMMYFUNCTION("""COMPUTED_VALUE"""),"Expiration Month")</f>
        <v>Expiration Month</v>
      </c>
      <c r="DD5" s="23" t="str">
        <f ca="1">IFERROR(__xludf.DUMMYFUNCTION("""COMPUTED_VALUE"""),"Delta Adj. Position (LME)")</f>
        <v>Delta Adj. Position (LME)</v>
      </c>
      <c r="DE5" s="23" t="str">
        <f ca="1">IFERROR(__xludf.DUMMYFUNCTION("""COMPUTED_VALUE"""),"Premium")</f>
        <v>Premium</v>
      </c>
      <c r="DF5" s="23" t="str">
        <f ca="1">IFERROR(__xludf.DUMMYFUNCTION("""COMPUTED_VALUE"""),"Premium $")</f>
        <v>Premium $</v>
      </c>
      <c r="DG5" s="23" t="str">
        <f ca="1">IFERROR(__xludf.DUMMYFUNCTION("""COMPUTED_VALUE"""),"Forward Points")</f>
        <v>Forward Points</v>
      </c>
      <c r="DH5" s="23" t="str">
        <f ca="1">IFERROR(__xludf.DUMMYFUNCTION("""COMPUTED_VALUE"""),"Closing Mark (Underlying)")</f>
        <v>Closing Mark (Underlying)</v>
      </c>
      <c r="DI5" s="23" t="str">
        <f ca="1">IFERROR(__xludf.DUMMYFUNCTION("""COMPUTED_VALUE"""),"% Change (Underlying Price)")</f>
        <v>% Change (Underlying Price)</v>
      </c>
      <c r="DJ5" s="23" t="str">
        <f ca="1">IFERROR(__xludf.DUMMYFUNCTION("""COMPUTED_VALUE"""),"Transaction Type")</f>
        <v>Transaction Type</v>
      </c>
      <c r="DK5" s="23" t="str">
        <f ca="1">IFERROR(__xludf.DUMMYFUNCTION("""COMPUTED_VALUE"""),"Closing Market Value (Local)")</f>
        <v>Closing Market Value (Local)</v>
      </c>
      <c r="DL5" s="23" t="str">
        <f ca="1">IFERROR(__xludf.DUMMYFUNCTION("""COMPUTED_VALUE"""),"Closing Market Value (Base)")</f>
        <v>Closing Market Value (Base)</v>
      </c>
      <c r="DM5" s="23" t="str">
        <f ca="1">IFERROR(__xludf.DUMMYFUNCTION("""COMPUTED_VALUE"""),"Closing FX Rate")</f>
        <v>Closing FX Rate</v>
      </c>
      <c r="DN5" s="23" t="str">
        <f ca="1">IFERROR(__xludf.DUMMYFUNCTION("""COMPUTED_VALUE"""),"Change In Underlying Price")</f>
        <v>Change In Underlying Price</v>
      </c>
      <c r="DO5" s="23" t="str">
        <f ca="1">IFERROR(__xludf.DUMMYFUNCTION("""COMPUTED_VALUE"""),"RIC")</f>
        <v>RIC</v>
      </c>
      <c r="DP5" s="23" t="str">
        <f ca="1">IFERROR(__xludf.DUMMYFUNCTION("""COMPUTED_VALUE"""),"Position Side Exposure (Boxed)")</f>
        <v>Position Side Exposure (Boxed)</v>
      </c>
      <c r="DQ5" s="23" t="str">
        <f ca="1">IFERROR(__xludf.DUMMYFUNCTION("""COMPUTED_VALUE"""),"Analyst")</f>
        <v>Analyst</v>
      </c>
      <c r="DR5" s="23" t="str">
        <f ca="1">IFERROR(__xludf.DUMMYFUNCTION("""COMPUTED_VALUE"""),"Country Of Risk")</f>
        <v>Country Of Risk</v>
      </c>
      <c r="DS5" s="23" t="str">
        <f ca="1">IFERROR(__xludf.DUMMYFUNCTION("""COMPUTED_VALUE"""),"Custom UDA1")</f>
        <v>Custom UDA1</v>
      </c>
      <c r="DT5" s="23" t="str">
        <f ca="1">IFERROR(__xludf.DUMMYFUNCTION("""COMPUTED_VALUE"""),"Custom UDA2")</f>
        <v>Custom UDA2</v>
      </c>
      <c r="DU5" s="23" t="str">
        <f ca="1">IFERROR(__xludf.DUMMYFUNCTION("""COMPUTED_VALUE"""),"Custom UDA3")</f>
        <v>Custom UDA3</v>
      </c>
      <c r="DV5" s="23" t="str">
        <f ca="1">IFERROR(__xludf.DUMMYFUNCTION("""COMPUTED_VALUE"""),"Custom UDA4")</f>
        <v>Custom UDA4</v>
      </c>
      <c r="DW5" s="23" t="str">
        <f ca="1">IFERROR(__xludf.DUMMYFUNCTION("""COMPUTED_VALUE"""),"Custom UDA5")</f>
        <v>Custom UDA5</v>
      </c>
      <c r="DX5" s="23" t="str">
        <f ca="1">IFERROR(__xludf.DUMMYFUNCTION("""COMPUTED_VALUE"""),"Custom UDA6")</f>
        <v>Custom UDA6</v>
      </c>
      <c r="DY5" s="23" t="str">
        <f ca="1">IFERROR(__xludf.DUMMYFUNCTION("""COMPUTED_VALUE"""),"Custom UDA7")</f>
        <v>Custom UDA7</v>
      </c>
      <c r="DZ5" s="23" t="str">
        <f ca="1">IFERROR(__xludf.DUMMYFUNCTION("""COMPUTED_VALUE"""),"Issuer")</f>
        <v>Issuer</v>
      </c>
      <c r="EA5" s="23" t="str">
        <f ca="1">IFERROR(__xludf.DUMMYFUNCTION("""COMPUTED_VALUE"""),"Liquid Tag")</f>
        <v>Liquid Tag</v>
      </c>
      <c r="EB5" s="23" t="str">
        <f ca="1">IFERROR(__xludf.DUMMYFUNCTION("""COMPUTED_VALUE"""),"Market Cap UDA")</f>
        <v>Market Cap UDA</v>
      </c>
      <c r="EC5" s="23" t="str">
        <f ca="1">IFERROR(__xludf.DUMMYFUNCTION("""COMPUTED_VALUE"""),"Region")</f>
        <v>Region</v>
      </c>
      <c r="ED5" s="23" t="str">
        <f ca="1">IFERROR(__xludf.DUMMYFUNCTION("""COMPUTED_VALUE"""),"Risk Currency")</f>
        <v>Risk Currency</v>
      </c>
      <c r="EE5" s="23" t="str">
        <f ca="1">IFERROR(__xludf.DUMMYFUNCTION("""COMPUTED_VALUE"""),"UCITS Eligible Tag")</f>
        <v>UCITS Eligible Tag</v>
      </c>
      <c r="EF5" s="23" t="str">
        <f ca="1">IFERROR(__xludf.DUMMYFUNCTION("""COMPUTED_VALUE"""),"FX Rate (Display)")</f>
        <v>FX Rate (Display)</v>
      </c>
      <c r="EG5" s="23" t="str">
        <f ca="1">IFERROR(__xludf.DUMMYFUNCTION("""COMPUTED_VALUE"""),"% Net Exposure (Base)")</f>
        <v>% Net Exposure (Base)</v>
      </c>
      <c r="EH5" s="23" t="str">
        <f ca="1">IFERROR(__xludf.DUMMYFUNCTION("""COMPUTED_VALUE"""),"% Gross Exposure (Base)")</f>
        <v>% Gross Exposure (Base)</v>
      </c>
      <c r="EI5" s="23" t="str">
        <f ca="1">IFERROR(__xludf.DUMMYFUNCTION("""COMPUTED_VALUE"""),"% Exposure (Base)")</f>
        <v>% Exposure (Base)</v>
      </c>
      <c r="EJ5" s="23" t="str">
        <f ca="1">IFERROR(__xludf.DUMMYFUNCTION("""COMPUTED_VALUE"""),"% Gross Exposure (Underlying) (Base)")</f>
        <v>% Gross Exposure (Underlying) (Base)</v>
      </c>
      <c r="EK5" s="23" t="str">
        <f ca="1">IFERROR(__xludf.DUMMYFUNCTION("""COMPUTED_VALUE"""),"% Beta Adj. Gross Exposure (Base)")</f>
        <v>% Beta Adj. Gross Exposure (Base)</v>
      </c>
      <c r="EL5" s="23" t="str">
        <f ca="1">IFERROR(__xludf.DUMMYFUNCTION("""COMPUTED_VALUE"""),"Position Side Exposure (Underlying)")</f>
        <v>Position Side Exposure (Underlying)</v>
      </c>
      <c r="EM5" s="23" t="str">
        <f ca="1">IFERROR(__xludf.DUMMYFUNCTION("""COMPUTED_VALUE"""),"Gross Exposure (Underlying) (Base)")</f>
        <v>Gross Exposure (Underlying) (Base)</v>
      </c>
      <c r="EN5" s="23" t="str">
        <f ca="1">IFERROR(__xludf.DUMMYFUNCTION("""COMPUTED_VALUE"""),"Gross Exposure (Underlying)")</f>
        <v>Gross Exposure (Underlying)</v>
      </c>
      <c r="EO5" s="23" t="str">
        <f ca="1">IFERROR(__xludf.DUMMYFUNCTION("""COMPUTED_VALUE"""),"Day Return")</f>
        <v>Day Return</v>
      </c>
      <c r="EP5" s="23" t="str">
        <f ca="1">IFERROR(__xludf.DUMMYFUNCTION("""COMPUTED_VALUE"""),"Start of Day NAV")</f>
        <v>Start of Day NAV</v>
      </c>
      <c r="EQ5" s="23" t="str">
        <f ca="1">IFERROR(__xludf.DUMMYFUNCTION("""COMPUTED_VALUE"""),"% Gross Market Value (Base)")</f>
        <v>% Gross Market Value (Base)</v>
      </c>
      <c r="ER5" s="23" t="str">
        <f ca="1">IFERROR(__xludf.DUMMYFUNCTION("""COMPUTED_VALUE"""),"Beta Adj. Gross Exposure (Underlying) (Local)")</f>
        <v>Beta Adj. Gross Exposure (Underlying) (Local)</v>
      </c>
      <c r="ES5" s="23" t="str">
        <f ca="1">IFERROR(__xludf.DUMMYFUNCTION("""COMPUTED_VALUE"""),"NAV")</f>
        <v>NAV</v>
      </c>
      <c r="ET5" s="23" t="str">
        <f ca="1">IFERROR(__xludf.DUMMYFUNCTION("""COMPUTED_VALUE"""),"% P&amp;L Contribution")</f>
        <v>% P&amp;L Contribution</v>
      </c>
      <c r="EU5" s="23" t="str">
        <f ca="1">IFERROR(__xludf.DUMMYFUNCTION("""COMPUTED_VALUE"""),"% Net Market Value (Base)")</f>
        <v>% Net Market Value (Base)</v>
      </c>
      <c r="EV5" s="23" t="str">
        <f ca="1">IFERROR(__xludf.DUMMYFUNCTION("""COMPUTED_VALUE"""),"Position Side Exposure")</f>
        <v>Position Side Exposure</v>
      </c>
      <c r="EW5" s="23" t="str">
        <f ca="1">IFERROR(__xludf.DUMMYFUNCTION("""COMPUTED_VALUE"""),"NAV (Touch)")</f>
        <v>NAV (Touch)</v>
      </c>
      <c r="EX5" s="23" t="str">
        <f ca="1">IFERROR(__xludf.DUMMYFUNCTION("""COMPUTED_VALUE"""),"IgnorePropertyChangeEvents")</f>
        <v>IgnorePropertyChangeEvents</v>
      </c>
      <c r="EY5" s="23" t="str">
        <f ca="1">IFERROR(__xludf.DUMMYFUNCTION("""COMPUTED_VALUE"""),"Trade Attribute 1")</f>
        <v>Trade Attribute 1</v>
      </c>
      <c r="EZ5" s="23" t="str">
        <f ca="1">IFERROR(__xludf.DUMMYFUNCTION("""COMPUTED_VALUE"""),"Trade Attribute 2")</f>
        <v>Trade Attribute 2</v>
      </c>
      <c r="FA5" s="23" t="str">
        <f ca="1">IFERROR(__xludf.DUMMYFUNCTION("""COMPUTED_VALUE"""),"Client")</f>
        <v>Client</v>
      </c>
      <c r="FB5" s="23" t="str">
        <f ca="1">IFERROR(__xludf.DUMMYFUNCTION("""COMPUTED_VALUE"""),"")</f>
        <v/>
      </c>
      <c r="FC5" s="23" t="str">
        <f ca="1">IFERROR(__xludf.DUMMYFUNCTION("""COMPUTED_VALUE"""),"")</f>
        <v/>
      </c>
      <c r="FD5" s="23" t="str">
        <f ca="1">IFERROR(__xludf.DUMMYFUNCTION("""COMPUTED_VALUE"""),"")</f>
        <v/>
      </c>
      <c r="FE5" s="23" t="str">
        <f ca="1">IFERROR(__xludf.DUMMYFUNCTION("""COMPUTED_VALUE"""),"")</f>
        <v/>
      </c>
      <c r="FF5" s="23" t="str">
        <f ca="1">IFERROR(__xludf.DUMMYFUNCTION("""COMPUTED_VALUE"""),"")</f>
        <v/>
      </c>
      <c r="FG5" s="23" t="str">
        <f ca="1">IFERROR(__xludf.DUMMYFUNCTION("""COMPUTED_VALUE"""),"")</f>
        <v/>
      </c>
      <c r="FH5" s="23" t="str">
        <f ca="1">IFERROR(__xludf.DUMMYFUNCTION("""COMPUTED_VALUE"""),"")</f>
        <v/>
      </c>
      <c r="FI5" s="23" t="str">
        <f ca="1">IFERROR(__xludf.DUMMYFUNCTION("""COMPUTED_VALUE"""),"")</f>
        <v/>
      </c>
      <c r="FJ5" s="23" t="str">
        <f ca="1">IFERROR(__xludf.DUMMYFUNCTION("""COMPUTED_VALUE"""),"")</f>
        <v/>
      </c>
      <c r="FK5" s="23" t="str">
        <f ca="1">IFERROR(__xludf.DUMMYFUNCTION("""COMPUTED_VALUE"""),"")</f>
        <v/>
      </c>
      <c r="FL5" s="23" t="str">
        <f ca="1">IFERROR(__xludf.DUMMYFUNCTION("""COMPUTED_VALUE"""),"")</f>
        <v/>
      </c>
      <c r="FM5" s="23" t="str">
        <f ca="1">IFERROR(__xludf.DUMMYFUNCTION("""COMPUTED_VALUE"""),"")</f>
        <v/>
      </c>
    </row>
    <row r="6" spans="1:169" ht="15.75" customHeight="1" x14ac:dyDescent="0.2">
      <c r="A6" s="24"/>
      <c r="B6" s="24"/>
      <c r="C6" s="26" t="s">
        <v>16</v>
      </c>
      <c r="D6" s="32">
        <v>50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6" t="s">
        <v>17</v>
      </c>
      <c r="AO6" s="29"/>
      <c r="AP6" s="32" t="s">
        <v>32</v>
      </c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</row>
    <row r="7" spans="1:169" ht="15.75" customHeight="1" x14ac:dyDescent="0.2">
      <c r="A7" s="29"/>
      <c r="B7" s="29"/>
      <c r="C7" s="26" t="s">
        <v>16</v>
      </c>
      <c r="D7" s="32">
        <v>-50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6" t="s">
        <v>20</v>
      </c>
      <c r="AO7" s="29"/>
      <c r="AP7" s="32" t="s">
        <v>32</v>
      </c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</row>
    <row r="8" spans="1:169" ht="15.75" customHeight="1" x14ac:dyDescent="0.2">
      <c r="A8" s="29"/>
      <c r="B8" s="29"/>
      <c r="C8" s="26" t="s">
        <v>16</v>
      </c>
      <c r="D8" s="32">
        <v>50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6" t="s">
        <v>21</v>
      </c>
      <c r="AO8" s="29"/>
      <c r="AP8" s="32" t="s">
        <v>33</v>
      </c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</row>
    <row r="9" spans="1:169" ht="15.75" customHeight="1" x14ac:dyDescent="0.2">
      <c r="A9" s="29"/>
      <c r="B9" s="29"/>
      <c r="C9" s="26" t="s">
        <v>16</v>
      </c>
      <c r="D9" s="32">
        <v>-50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6" t="s">
        <v>22</v>
      </c>
      <c r="AO9" s="29"/>
      <c r="AP9" s="32" t="s">
        <v>33</v>
      </c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29"/>
      <c r="EZ9" s="29"/>
      <c r="FA9" s="29"/>
      <c r="FB9" s="29"/>
      <c r="FC9" s="29"/>
      <c r="FD9" s="29"/>
      <c r="FE9" s="29"/>
      <c r="FF9" s="29"/>
      <c r="FG9" s="29"/>
      <c r="FH9" s="29"/>
      <c r="FI9" s="29"/>
      <c r="FJ9" s="29"/>
      <c r="FK9" s="29"/>
      <c r="FL9" s="29"/>
      <c r="FM9" s="29"/>
    </row>
    <row r="10" spans="1:169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69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69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69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69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69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69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4" t="s">
        <v>11</v>
      </c>
      <c r="C1" s="35"/>
      <c r="D1" s="35"/>
      <c r="E1" s="35"/>
      <c r="F1" s="35"/>
      <c r="G1" s="35"/>
      <c r="H1" s="36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3</v>
      </c>
      <c r="C3" s="16" t="s">
        <v>23</v>
      </c>
      <c r="D3" s="4" t="s">
        <v>6</v>
      </c>
      <c r="E3" s="16" t="s">
        <v>34</v>
      </c>
      <c r="F3" s="4" t="s">
        <v>14</v>
      </c>
      <c r="G3" s="9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IFERROR(__xludf.DUMMYFUNCTION("""COMPUTED_VALUE"""),"FilterTabName")</f>
        <v>FilterTabName</v>
      </c>
      <c r="F5" s="22" t="str">
        <f ca="1">IFERROR(__xludf.DUMMYFUNCTION("""COMPUTED_VALUE"""),"Symbol")</f>
        <v>Symbol</v>
      </c>
      <c r="G5" s="21" t="str">
        <f ca="1">IFERROR(__xludf.DUMMYFUNCTION("""COMPUTED_VALUE"""),"Asset")</f>
        <v>Asset</v>
      </c>
      <c r="H5" s="21" t="str">
        <f ca="1">IFERROR(__xludf.DUMMYFUNCTION("""COMPUTED_VALUE"""),"Side")</f>
        <v>Side</v>
      </c>
      <c r="I5" s="21" t="str">
        <f ca="1">IFERROR(__xludf.DUMMYFUNCTION("""COMPUTED_VALUE"""),"Account")</f>
        <v>Account</v>
      </c>
      <c r="J5" s="21" t="str">
        <f ca="1">IFERROR(__xludf.DUMMYFUNCTION("""COMPUTED_VALUE"""),"Broker")</f>
        <v>Broker</v>
      </c>
      <c r="K5" s="21" t="str">
        <f ca="1">IFERROR(__xludf.DUMMYFUNCTION("""COMPUTED_VALUE"""),"Currency")</f>
        <v>Currency</v>
      </c>
      <c r="L5" s="21" t="str">
        <f ca="1">IFERROR(__xludf.DUMMYFUNCTION("""COMPUTED_VALUE"""),"Exchange")</f>
        <v>Exchange</v>
      </c>
      <c r="M5" s="21" t="str">
        <f ca="1">IFERROR(__xludf.DUMMYFUNCTION("""COMPUTED_VALUE"""),"StrategyName")</f>
        <v>StrategyName</v>
      </c>
      <c r="N5" s="21" t="str">
        <f ca="1">IFERROR(__xludf.DUMMYFUNCTION("""COMPUTED_VALUE"""),"Underlying")</f>
        <v>Underlying</v>
      </c>
      <c r="O5" s="21" t="str">
        <f ca="1">IFERROR(__xludf.DUMMYFUNCTION("""COMPUTED_VALUE"""),"Venue")</f>
        <v>Venue</v>
      </c>
      <c r="P5" s="21" t="str">
        <f ca="1">IFERROR(__xludf.DUMMYFUNCTION("""COMPUTED_VALUE"""),"TradingAccount")</f>
        <v>TradingAccount</v>
      </c>
      <c r="Q5" s="21" t="str">
        <f ca="1">IFERROR(__xludf.DUMMYFUNCTION("""COMPUTED_VALUE"""),"PreAllocated")</f>
        <v>PreAllocated</v>
      </c>
      <c r="R5" s="21" t="str">
        <f ca="1">IFERROR(__xludf.DUMMYFUNCTION("""COMPUTED_VALUE"""),"ManualGroup")</f>
        <v>ManualGroup</v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6" t="s">
        <v>35</v>
      </c>
      <c r="C6" s="2"/>
      <c r="D6" s="6"/>
      <c r="E6" s="33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_Modules</vt:lpstr>
      <vt:lpstr>_Settings</vt:lpstr>
      <vt:lpstr>_MasterData</vt:lpstr>
      <vt:lpstr>CreateDoneAwayOrder</vt:lpstr>
      <vt:lpstr>CheckUnallocatedGroups</vt:lpstr>
      <vt:lpstr>VerifyWorkingSubs</vt:lpstr>
      <vt:lpstr>VerifyOrder</vt:lpstr>
      <vt:lpstr>VerifySubOrder</vt:lpstr>
      <vt:lpstr>CheckPortfolioManagement</vt:lpstr>
      <vt:lpstr>GetDataAllocation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2021-08-04T10:00:53Z</dcterms:modified>
</cp:coreProperties>
</file>