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ExpirationDate" sheetId="4" r:id="rId6"/>
    <sheet name="SetClosingPreference" sheetId="5" r:id="rId7"/>
    <sheet name="CreateDoneAwayOrder" sheetId="6" r:id="rId8"/>
    <sheet name="GetMarkPriceData" sheetId="7" r:id="rId9"/>
    <sheet name="UpdateMarkPrice" sheetId="8" r:id="rId10"/>
    <sheet name="GetDataClosing" sheetId="9" r:id="rId11"/>
    <sheet name="SelectTradeUnexpiredUnsettled" sheetId="10" r:id="rId12"/>
    <sheet name="ExerciseAssignment" sheetId="11" r:id="rId13"/>
    <sheet name="GetDataAllocation" sheetId="12" r:id="rId14"/>
    <sheet name="CheckAllocatedTaxlots" sheetId="13" r:id="rId15"/>
    <sheet name="CheckPortfolioManagement" sheetId="14" r:id="rId16"/>
  </sheets>
  <calcPr fullCalcOnLoad="1"/>
</workbook>
</file>

<file path=xl/sharedStrings.xml><?xml version="1.0" encoding="utf-8"?>
<sst xmlns="http://schemas.openxmlformats.org/spreadsheetml/2006/main" count="60" uniqueCount="60">
  <si>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</si>
  <si>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</si>
  <si>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</si>
  <si>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</si>
  <si>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</si>
  <si>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</si>
  <si>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</si>
  <si>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</si>
  <si>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</si>
  <si>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</si>
  <si>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</si>
  <si>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</si>
  <si>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</si>
  <si>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</si>
  <si>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</si>
  <si>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</si>
  <si>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23P100.15D28</t>
  </si>
  <si>
    <t>O:AAPL 23P102.25D28</t>
  </si>
  <si>
    <t>O:AAPL 23P103.25D28</t>
  </si>
  <si>
    <t>Closing</t>
  </si>
  <si>
    <t>SetClosingPreference</t>
  </si>
  <si>
    <t>FIFO</t>
  </si>
  <si>
    <t>TradingTicket</t>
  </si>
  <si>
    <t>CreateDoneAwayOrder</t>
  </si>
  <si>
    <t>AAPL</t>
  </si>
  <si>
    <t>Buy</t>
  </si>
  <si>
    <t>Allocation1</t>
  </si>
  <si>
    <t>Buy to Close</t>
  </si>
  <si>
    <t>Buy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</si>
  <si>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</si>
  <si>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</si>
  <si>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</si>
  <si>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</si>
  <si>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</si>
  <si>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</si>
  <si>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</si>
  <si>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</si>
  <si>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ExerciseAssignment</t>
  </si>
  <si>
    <t>Allocation</t>
  </si>
  <si>
    <t>GetDataAllocation</t>
  </si>
  <si>
    <t>CheckAllocatedTaxlots</t>
  </si>
  <si>
    <t>M</t>
  </si>
  <si>
    <t>USD</t>
  </si>
  <si>
    <t>Strategy Unallocated</t>
  </si>
  <si>
    <t>D</t>
  </si>
  <si>
    <t>PortfolioManagement</t>
  </si>
  <si>
    <t>CheckPortfolioManagement</t>
  </si>
  <si>
    <t>NewMF</t>
  </si>
  <si>
    <t>FIMAT</t>
  </si>
  <si>
    <t>Equity</t>
  </si>
  <si>
    <t>US</t>
  </si>
  <si>
    <t>NASDAQ</t>
  </si>
  <si>
    <t>New Hedge</t>
  </si>
  <si>
    <t>Small Cap</t>
  </si>
  <si>
    <t>Undefined</t>
  </si>
  <si>
    <t>OPTS</t>
  </si>
  <si>
    <t>Sell to Close</t>
  </si>
  <si>
    <t>Equity Put</t>
  </si>
  <si>
    <t>Sell short</t>
  </si>
  <si>
    <t>Sell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</si>
</sst>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1"/>
      <color rgb="FF202124"/>
      <name val="Roboto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name val="Arial"/>
    </font>
    <font>
      <sz val="11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51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4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5" applyFill="1" borderId="0" applyBorder="1" xfId="0"/>
    <xf fontId="13" applyFont="1" fillId="5" applyFill="1" borderId="0" applyBorder="1" xfId="0"/>
    <xf fontId="4" applyFont="1" fillId="6" applyFill="1" borderId="0" applyBorder="1" xfId="0"/>
    <xf fontId="4" applyFont="1" fillId="6" applyFill="1" borderId="4" applyBorder="1" xfId="0"/>
    <xf fontId="4" applyFont="1" fillId="6" applyFill="1" borderId="4" applyBorder="1" xfId="0"/>
    <xf fontId="11" applyFont="1" fillId="6" applyFill="1" borderId="0" applyBorder="1" xfId="0"/>
    <xf fontId="3" applyFont="1" fillId="0" applyFill="1" borderId="0" applyBorder="1" xfId="0"/>
    <xf fontId="14" applyFont="1" fillId="0" applyFill="1" borderId="0" applyBorder="1" xfId="0"/>
    <xf numFmtId="14" applyNumberFormat="1" fontId="5" applyFont="1" fillId="0" applyFill="1" borderId="0" applyBorder="1" xfId="0">
      <alignment horizontal="right"/>
    </xf>
    <xf fontId="3" applyFont="1" fillId="0" applyFill="1" borderId="0" applyBorder="1" xfId="0"/>
    <xf fontId="14" applyFont="1" fillId="0" applyFill="1" borderId="0" applyBorder="1" xfId="0"/>
    <xf fontId="5" applyFont="1" fillId="0" applyFill="1" borderId="0" applyBorder="1" xfId="0">
      <alignment horizontal="center"/>
    </xf>
    <xf fontId="3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numFmtId="164" applyNumberFormat="1"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5" applyFont="1" fillId="0" applyFill="1" borderId="0" applyBorder="1" xfId="0"/>
    <xf fontId="5" applyFont="1" fillId="0" applyFill="1" borderId="0" applyBorder="1" xfId="0"/>
    <xf fontId="3" applyFont="1" fillId="0" applyFill="1" borderId="0" applyBorder="1" xfId="0">
      <alignment horizontal="right"/>
    </xf>
    <xf fontId="5" applyFont="1" fillId="0" applyFill="1" borderId="0" applyBorder="1" xfId="0"/>
    <xf fontId="5" applyFont="1" fillId="0" applyFill="1" borderId="0" applyBorder="1" xfId="0"/>
    <xf fontId="15" applyFont="1" fillId="0" applyFill="1" borderId="0" applyBorder="1" xfId="0">
      <alignment horizontal="right"/>
    </xf>
    <xf fontId="15" applyFont="1" fillId="0" applyFill="1" borderId="0" applyBorder="1" xfId="0"/>
    <xf numFmtId="4" applyNumberFormat="1" fontId="15" applyFont="1" fillId="0" applyFill="1" borderId="0" applyBorder="1" xfId="0">
      <alignment horizontal="right"/>
    </xf>
    <xf numFmtId="3" applyNumberFormat="1" fontId="15" applyFont="1" fillId="0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7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1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2" width="21.88" customWidth="1"/>
    <col min="3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f ref="C6:C8" t="shared" si="1">TODAY()</f>
        <v>45070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17</v>
      </c>
      <c r="C7" s="33">
        <f t="shared" si="1"/>
        <v>45070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s">
        <v>18</v>
      </c>
      <c r="C8" s="33">
        <f t="shared" si="1"/>
        <v>45070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 t="s">
        <v>21</v>
      </c>
      <c r="D6" s="31"/>
      <c r="E6" s="36" t="b">
        <v>1</v>
      </c>
      <c r="F6" s="34"/>
      <c r="G6" s="34"/>
      <c r="H6" s="34"/>
      <c r="I6" s="34"/>
      <c r="J6" s="36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2" width="20.63" customWidth="1"/>
    <col min="3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7" t="s">
        <v>25</v>
      </c>
      <c r="D6" s="38">
        <v>100</v>
      </c>
      <c r="E6" s="39">
        <v>100</v>
      </c>
      <c r="F6" s="34" t="s">
        <v>26</v>
      </c>
      <c r="G6" s="34"/>
      <c r="H6" s="34"/>
      <c r="I6" s="34"/>
      <c r="J6" s="39">
        <v>1</v>
      </c>
      <c r="K6" s="34"/>
      <c r="L6" s="34"/>
      <c r="M6" s="34"/>
      <c r="N6" s="40">
        <f ref="N6:N7" t="shared" si="1">TODAY()-10</f>
        <v>45060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24</v>
      </c>
      <c r="C7" s="37" t="s">
        <v>27</v>
      </c>
      <c r="D7" s="41">
        <v>50</v>
      </c>
      <c r="E7" s="41">
        <v>50</v>
      </c>
      <c r="F7" s="34" t="s">
        <v>26</v>
      </c>
      <c r="G7" s="34"/>
      <c r="H7" s="34"/>
      <c r="I7" s="34"/>
      <c r="J7" s="39">
        <v>1</v>
      </c>
      <c r="K7" s="34"/>
      <c r="L7" s="34"/>
      <c r="M7" s="34"/>
      <c r="N7" s="40">
        <f t="shared" si="1"/>
        <v>45060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s">
        <v>16</v>
      </c>
      <c r="C8" s="34" t="s">
        <v>28</v>
      </c>
      <c r="D8" s="39">
        <v>10</v>
      </c>
      <c r="E8" s="34"/>
      <c r="F8" s="42" t="s">
        <v>26</v>
      </c>
      <c r="G8" s="34"/>
      <c r="H8" s="34"/>
      <c r="I8" s="34"/>
      <c r="J8" s="39">
        <v>1</v>
      </c>
      <c r="K8" s="34"/>
      <c r="L8" s="34"/>
      <c r="M8" s="34"/>
      <c r="N8" s="40">
        <f ref="N8:N10" t="shared" si="2">TODAY()-8</f>
        <v>45062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5" t="s">
        <v>17</v>
      </c>
      <c r="C9" s="34" t="s">
        <v>28</v>
      </c>
      <c r="D9" s="39">
        <v>10</v>
      </c>
      <c r="E9" s="34"/>
      <c r="F9" s="42" t="s">
        <v>26</v>
      </c>
      <c r="G9" s="34"/>
      <c r="H9" s="34"/>
      <c r="I9" s="34"/>
      <c r="J9" s="39">
        <v>1</v>
      </c>
      <c r="K9" s="34"/>
      <c r="L9" s="34"/>
      <c r="M9" s="34"/>
      <c r="N9" s="40">
        <f t="shared" si="2"/>
        <v>45062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5" t="s">
        <v>18</v>
      </c>
      <c r="C10" s="34" t="s">
        <v>28</v>
      </c>
      <c r="D10" s="39">
        <v>10</v>
      </c>
      <c r="E10" s="34"/>
      <c r="F10" s="42" t="s">
        <v>26</v>
      </c>
      <c r="G10" s="34"/>
      <c r="H10" s="34"/>
      <c r="I10" s="34"/>
      <c r="J10" s="39">
        <v>1</v>
      </c>
      <c r="K10" s="34"/>
      <c r="L10" s="34"/>
      <c r="M10" s="34"/>
      <c r="N10" s="40">
        <f t="shared" si="2"/>
        <v>45062</v>
      </c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f>today()-1</f>
        <v>45069</v>
      </c>
      <c r="C6" s="33">
        <f>today()</f>
        <v>45070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9">
        <v>120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3" t="s">
        <v>33</v>
      </c>
      <c r="C6" s="40" t="s">
        <v>34</v>
      </c>
      <c r="D6" s="40">
        <f>TODAY()</f>
        <v>45070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43" t="s">
        <v>26</v>
      </c>
      <c r="C6" s="34"/>
      <c r="D6" s="31"/>
      <c r="E6" s="42" t="s">
        <v>36</v>
      </c>
      <c r="F6" s="34"/>
      <c r="G6" s="34"/>
      <c r="H6" s="34"/>
      <c r="I6" s="39">
        <v>1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44">
        <v>10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45" t="s">
        <v>28</v>
      </c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44">
        <v>10</v>
      </c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5" t="s">
        <v>16</v>
      </c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2" t="s">
        <v>26</v>
      </c>
      <c r="C7" s="34"/>
      <c r="D7" s="34"/>
      <c r="E7" s="42" t="s">
        <v>36</v>
      </c>
      <c r="F7" s="34"/>
      <c r="G7" s="34"/>
      <c r="H7" s="34"/>
      <c r="I7" s="39">
        <v>1</v>
      </c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44">
        <v>10</v>
      </c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45" t="s">
        <v>28</v>
      </c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44">
        <v>10</v>
      </c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5" t="s">
        <v>17</v>
      </c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42" t="s">
        <v>26</v>
      </c>
      <c r="C8" s="34"/>
      <c r="D8" s="34"/>
      <c r="E8" s="42" t="s">
        <v>36</v>
      </c>
      <c r="F8" s="34"/>
      <c r="G8" s="34"/>
      <c r="H8" s="34"/>
      <c r="I8" s="39">
        <v>1</v>
      </c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44">
        <v>10</v>
      </c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45" t="s">
        <v>28</v>
      </c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44">
        <v>10</v>
      </c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5" t="s">
        <v>18</v>
      </c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3" t="s">
        <v>33</v>
      </c>
      <c r="C6" s="40" t="s">
        <v>34</v>
      </c>
      <c r="D6" s="40">
        <f>TODAY()</f>
        <v>45070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7">
        <v>114.0001</v>
      </c>
      <c r="C6" s="47">
        <v>114.0001</v>
      </c>
      <c r="D6" s="47">
        <v>100</v>
      </c>
      <c r="E6" s="47">
        <v>100</v>
      </c>
      <c r="F6" s="48" t="s">
        <v>41</v>
      </c>
      <c r="G6" s="8"/>
      <c r="H6" s="48" t="s">
        <v>42</v>
      </c>
      <c r="I6" s="8"/>
      <c r="J6" s="8"/>
      <c r="K6" s="8"/>
      <c r="L6" s="8"/>
      <c r="M6" s="8"/>
      <c r="N6" s="8"/>
      <c r="O6" s="48" t="s">
        <v>26</v>
      </c>
      <c r="P6" s="48" t="s">
        <v>43</v>
      </c>
      <c r="Q6" s="47">
        <v>100</v>
      </c>
      <c r="R6" s="47">
        <v>100</v>
      </c>
    </row>
    <row r="7" ht="15.75" customHeight="1">
      <c r="A7" s="8"/>
      <c r="B7" s="47">
        <v>64</v>
      </c>
      <c r="C7" s="47">
        <v>64</v>
      </c>
      <c r="D7" s="47">
        <v>50</v>
      </c>
      <c r="E7" s="47">
        <v>50</v>
      </c>
      <c r="F7" s="48" t="s">
        <v>41</v>
      </c>
      <c r="G7" s="8"/>
      <c r="H7" s="48" t="s">
        <v>42</v>
      </c>
      <c r="I7" s="8"/>
      <c r="J7" s="8"/>
      <c r="K7" s="8"/>
      <c r="L7" s="8"/>
      <c r="M7" s="8"/>
      <c r="N7" s="8"/>
      <c r="O7" s="48" t="s">
        <v>26</v>
      </c>
      <c r="P7" s="48" t="s">
        <v>43</v>
      </c>
      <c r="Q7" s="47">
        <v>100</v>
      </c>
      <c r="R7" s="47">
        <v>50</v>
      </c>
    </row>
    <row r="8" ht="15.75" customHeight="1">
      <c r="A8" s="8"/>
      <c r="B8" s="49">
        <v>1000</v>
      </c>
      <c r="C8" s="49">
        <v>1000</v>
      </c>
      <c r="D8" s="49">
        <v>1000</v>
      </c>
      <c r="E8" s="49">
        <v>1000</v>
      </c>
      <c r="F8" s="48" t="s">
        <v>41</v>
      </c>
      <c r="G8" s="8"/>
      <c r="H8" s="48" t="s">
        <v>42</v>
      </c>
      <c r="I8" s="8"/>
      <c r="J8" s="8"/>
      <c r="K8" s="8"/>
      <c r="L8" s="8"/>
      <c r="M8" s="8"/>
      <c r="N8" s="8"/>
      <c r="O8" s="48" t="s">
        <v>26</v>
      </c>
      <c r="P8" s="48" t="s">
        <v>43</v>
      </c>
      <c r="Q8" s="47">
        <v>100</v>
      </c>
      <c r="R8" s="47">
        <v>10</v>
      </c>
    </row>
    <row r="9" ht="15.75" customHeight="1">
      <c r="A9" s="8"/>
      <c r="B9" s="49">
        <v>1000</v>
      </c>
      <c r="C9" s="49">
        <v>1000</v>
      </c>
      <c r="D9" s="49">
        <v>1000</v>
      </c>
      <c r="E9" s="49">
        <v>1000</v>
      </c>
      <c r="F9" s="48" t="s">
        <v>41</v>
      </c>
      <c r="G9" s="8"/>
      <c r="H9" s="48" t="s">
        <v>42</v>
      </c>
      <c r="I9" s="8"/>
      <c r="J9" s="8"/>
      <c r="K9" s="8"/>
      <c r="L9" s="8"/>
      <c r="M9" s="8"/>
      <c r="N9" s="8"/>
      <c r="O9" s="48" t="s">
        <v>26</v>
      </c>
      <c r="P9" s="48" t="s">
        <v>43</v>
      </c>
      <c r="Q9" s="47">
        <v>100</v>
      </c>
      <c r="R9" s="47">
        <v>10</v>
      </c>
    </row>
    <row r="10" ht="15.75" customHeight="1">
      <c r="A10" s="8"/>
      <c r="B10" s="49">
        <v>1000</v>
      </c>
      <c r="C10" s="49">
        <v>1000</v>
      </c>
      <c r="D10" s="49">
        <v>1000</v>
      </c>
      <c r="E10" s="49">
        <v>1000</v>
      </c>
      <c r="F10" s="48" t="s">
        <v>41</v>
      </c>
      <c r="G10" s="8"/>
      <c r="H10" s="48" t="s">
        <v>42</v>
      </c>
      <c r="I10" s="8"/>
      <c r="J10" s="8"/>
      <c r="K10" s="8"/>
      <c r="L10" s="8"/>
      <c r="M10" s="8"/>
      <c r="N10" s="8"/>
      <c r="O10" s="48" t="s">
        <v>26</v>
      </c>
      <c r="P10" s="48" t="s">
        <v>43</v>
      </c>
      <c r="Q10" s="47">
        <v>100</v>
      </c>
      <c r="R10" s="47">
        <v>10</v>
      </c>
    </row>
    <row r="11" ht="15.75" customHeight="1">
      <c r="A11" s="8"/>
      <c r="B11" s="47">
        <v>0</v>
      </c>
      <c r="C11" s="47">
        <v>0</v>
      </c>
      <c r="D11" s="47">
        <v>0</v>
      </c>
      <c r="E11" s="47">
        <v>0</v>
      </c>
      <c r="F11" s="48" t="s">
        <v>41</v>
      </c>
      <c r="G11" s="8"/>
      <c r="H11" s="48" t="s">
        <v>42</v>
      </c>
      <c r="I11" s="8"/>
      <c r="J11" s="8"/>
      <c r="K11" s="8"/>
      <c r="L11" s="8"/>
      <c r="M11" s="8"/>
      <c r="N11" s="8"/>
      <c r="O11" s="48" t="s">
        <v>26</v>
      </c>
      <c r="P11" s="48" t="s">
        <v>43</v>
      </c>
      <c r="Q11" s="47">
        <v>100</v>
      </c>
      <c r="R11" s="47">
        <v>10</v>
      </c>
    </row>
    <row r="12" ht="15.75" customHeight="1">
      <c r="A12" s="8"/>
      <c r="B12" s="47">
        <v>0</v>
      </c>
      <c r="C12" s="47">
        <v>0</v>
      </c>
      <c r="D12" s="47">
        <v>0</v>
      </c>
      <c r="E12" s="47">
        <v>0</v>
      </c>
      <c r="F12" s="48" t="s">
        <v>41</v>
      </c>
      <c r="G12" s="8"/>
      <c r="H12" s="48" t="s">
        <v>42</v>
      </c>
      <c r="I12" s="8"/>
      <c r="J12" s="8"/>
      <c r="K12" s="8"/>
      <c r="L12" s="8"/>
      <c r="M12" s="8"/>
      <c r="N12" s="8"/>
      <c r="O12" s="48" t="s">
        <v>26</v>
      </c>
      <c r="P12" s="48" t="s">
        <v>43</v>
      </c>
      <c r="Q12" s="47">
        <v>100</v>
      </c>
      <c r="R12" s="47">
        <v>10</v>
      </c>
    </row>
    <row r="13" ht="15.75" customHeight="1">
      <c r="A13" s="8"/>
      <c r="B13" s="47">
        <v>0</v>
      </c>
      <c r="C13" s="47">
        <v>0</v>
      </c>
      <c r="D13" s="47">
        <v>0</v>
      </c>
      <c r="E13" s="47">
        <v>0</v>
      </c>
      <c r="F13" s="48" t="s">
        <v>41</v>
      </c>
      <c r="G13" s="8"/>
      <c r="H13" s="48" t="s">
        <v>42</v>
      </c>
      <c r="I13" s="8"/>
      <c r="J13" s="8"/>
      <c r="K13" s="8"/>
      <c r="L13" s="8"/>
      <c r="M13" s="8"/>
      <c r="N13" s="8"/>
      <c r="O13" s="48" t="s">
        <v>26</v>
      </c>
      <c r="P13" s="48" t="s">
        <v>43</v>
      </c>
      <c r="Q13" s="47">
        <v>100</v>
      </c>
      <c r="R13" s="47">
        <v>10</v>
      </c>
    </row>
    <row r="14" ht="15.75" customHeight="1">
      <c r="A14" s="8"/>
      <c r="B14" s="49">
        <v>103250</v>
      </c>
      <c r="C14" s="49">
        <v>103250</v>
      </c>
      <c r="D14" s="49">
        <v>103250</v>
      </c>
      <c r="E14" s="49">
        <v>103250</v>
      </c>
      <c r="F14" s="48" t="s">
        <v>44</v>
      </c>
      <c r="G14" s="8"/>
      <c r="H14" s="48" t="s">
        <v>42</v>
      </c>
      <c r="I14" s="8"/>
      <c r="J14" s="8"/>
      <c r="K14" s="8"/>
      <c r="L14" s="8"/>
      <c r="M14" s="8"/>
      <c r="N14" s="8"/>
      <c r="O14" s="48" t="s">
        <v>26</v>
      </c>
      <c r="P14" s="48" t="s">
        <v>43</v>
      </c>
      <c r="Q14" s="47">
        <v>100</v>
      </c>
      <c r="R14" s="49">
        <v>1000</v>
      </c>
    </row>
    <row r="15" ht="15.75" customHeight="1">
      <c r="A15" s="8"/>
      <c r="B15" s="49">
        <v>102250</v>
      </c>
      <c r="C15" s="49">
        <v>102250</v>
      </c>
      <c r="D15" s="49">
        <v>102250</v>
      </c>
      <c r="E15" s="49">
        <v>102250</v>
      </c>
      <c r="F15" s="48" t="s">
        <v>44</v>
      </c>
      <c r="G15" s="8"/>
      <c r="H15" s="48" t="s">
        <v>42</v>
      </c>
      <c r="I15" s="8"/>
      <c r="J15" s="8"/>
      <c r="K15" s="8"/>
      <c r="L15" s="8"/>
      <c r="M15" s="8"/>
      <c r="N15" s="8"/>
      <c r="O15" s="48" t="s">
        <v>26</v>
      </c>
      <c r="P15" s="48" t="s">
        <v>43</v>
      </c>
      <c r="Q15" s="47">
        <v>100</v>
      </c>
      <c r="R15" s="49">
        <v>1000</v>
      </c>
    </row>
    <row r="16" ht="15.75" customHeight="1">
      <c r="A16" s="8"/>
      <c r="B16" s="49">
        <v>10015</v>
      </c>
      <c r="C16" s="49">
        <v>10015</v>
      </c>
      <c r="D16" s="49">
        <v>10015</v>
      </c>
      <c r="E16" s="49">
        <v>10015</v>
      </c>
      <c r="F16" s="48" t="s">
        <v>44</v>
      </c>
      <c r="G16" s="8"/>
      <c r="H16" s="48" t="s">
        <v>42</v>
      </c>
      <c r="I16" s="8"/>
      <c r="J16" s="8"/>
      <c r="K16" s="8"/>
      <c r="L16" s="8"/>
      <c r="M16" s="8"/>
      <c r="N16" s="8"/>
      <c r="O16" s="48" t="s">
        <v>26</v>
      </c>
      <c r="P16" s="48" t="s">
        <v>43</v>
      </c>
      <c r="Q16" s="47">
        <v>100</v>
      </c>
      <c r="R16" s="47">
        <v>100</v>
      </c>
    </row>
    <row r="17" ht="15.75" customHeight="1">
      <c r="A17" s="8"/>
      <c r="B17" s="49">
        <v>90135</v>
      </c>
      <c r="C17" s="49">
        <v>90135</v>
      </c>
      <c r="D17" s="49">
        <v>90135</v>
      </c>
      <c r="E17" s="49">
        <v>90135</v>
      </c>
      <c r="F17" s="48" t="s">
        <v>41</v>
      </c>
      <c r="G17" s="8"/>
      <c r="H17" s="48" t="s">
        <v>42</v>
      </c>
      <c r="I17" s="8"/>
      <c r="J17" s="8"/>
      <c r="K17" s="8"/>
      <c r="L17" s="8"/>
      <c r="M17" s="8"/>
      <c r="N17" s="8"/>
      <c r="O17" s="48" t="s">
        <v>26</v>
      </c>
      <c r="P17" s="48" t="s">
        <v>43</v>
      </c>
      <c r="Q17" s="47">
        <v>100</v>
      </c>
      <c r="R17" s="47">
        <v>900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T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8" t="s">
        <v>24</v>
      </c>
      <c r="D6" s="47">
        <v>100</v>
      </c>
      <c r="E6" s="48" t="s">
        <v>26</v>
      </c>
      <c r="F6" s="48" t="s">
        <v>47</v>
      </c>
      <c r="G6" s="47">
        <v>1</v>
      </c>
      <c r="H6" s="8"/>
      <c r="I6" s="8"/>
      <c r="J6" s="8"/>
      <c r="K6" s="8"/>
      <c r="L6" s="8"/>
      <c r="M6" s="8"/>
      <c r="N6" s="8"/>
      <c r="O6" s="8"/>
      <c r="R6" s="48" t="s">
        <v>48</v>
      </c>
      <c r="S6" s="48" t="s">
        <v>43</v>
      </c>
      <c r="T6" s="48" t="s">
        <v>49</v>
      </c>
      <c r="U6" s="48" t="s">
        <v>50</v>
      </c>
      <c r="V6" s="48" t="s">
        <v>51</v>
      </c>
      <c r="W6" s="48" t="s">
        <v>42</v>
      </c>
      <c r="AN6" s="48" t="s">
        <v>25</v>
      </c>
      <c r="BE6" s="48" t="s">
        <v>49</v>
      </c>
      <c r="BF6" s="48" t="s">
        <v>52</v>
      </c>
      <c r="BG6" s="48" t="s">
        <v>53</v>
      </c>
      <c r="BH6" s="48" t="s">
        <v>54</v>
      </c>
    </row>
    <row r="7" ht="15.75" customHeight="1">
      <c r="A7" s="8"/>
      <c r="B7" s="8"/>
      <c r="C7" s="48" t="s">
        <v>24</v>
      </c>
      <c r="D7" s="47">
        <v>50</v>
      </c>
      <c r="E7" s="48" t="s">
        <v>26</v>
      </c>
      <c r="F7" s="48" t="s">
        <v>47</v>
      </c>
      <c r="G7" s="47">
        <v>1</v>
      </c>
      <c r="H7" s="8"/>
      <c r="I7" s="8"/>
      <c r="J7" s="8"/>
      <c r="K7" s="8"/>
      <c r="L7" s="8"/>
      <c r="M7" s="8"/>
      <c r="N7" s="8"/>
      <c r="O7" s="8"/>
      <c r="R7" s="48" t="s">
        <v>48</v>
      </c>
      <c r="S7" s="48" t="s">
        <v>43</v>
      </c>
      <c r="T7" s="48" t="s">
        <v>49</v>
      </c>
      <c r="U7" s="48" t="s">
        <v>50</v>
      </c>
      <c r="V7" s="48" t="s">
        <v>51</v>
      </c>
      <c r="W7" s="48" t="s">
        <v>42</v>
      </c>
      <c r="AN7" s="48" t="s">
        <v>27</v>
      </c>
      <c r="BE7" s="48" t="s">
        <v>49</v>
      </c>
      <c r="BF7" s="48" t="s">
        <v>52</v>
      </c>
      <c r="BG7" s="48" t="s">
        <v>53</v>
      </c>
      <c r="BH7" s="48" t="s">
        <v>54</v>
      </c>
    </row>
    <row r="8" ht="15.75" customHeight="1">
      <c r="A8" s="8"/>
      <c r="B8" s="8"/>
      <c r="C8" s="48" t="s">
        <v>16</v>
      </c>
      <c r="D8" s="47">
        <v>-10</v>
      </c>
      <c r="E8" s="48" t="s">
        <v>26</v>
      </c>
      <c r="F8" s="48" t="s">
        <v>47</v>
      </c>
      <c r="G8" s="47">
        <v>0</v>
      </c>
      <c r="H8" s="8"/>
      <c r="I8" s="8"/>
      <c r="J8" s="8"/>
      <c r="K8" s="8"/>
      <c r="L8" s="8"/>
      <c r="M8" s="8"/>
      <c r="N8" s="8"/>
      <c r="O8" s="8"/>
      <c r="R8" s="48" t="s">
        <v>48</v>
      </c>
      <c r="S8" s="48" t="s">
        <v>43</v>
      </c>
      <c r="T8" s="48" t="s">
        <v>36</v>
      </c>
      <c r="U8" s="48" t="s">
        <v>50</v>
      </c>
      <c r="V8" s="48" t="s">
        <v>55</v>
      </c>
      <c r="W8" s="48" t="s">
        <v>42</v>
      </c>
      <c r="AN8" s="48" t="s">
        <v>56</v>
      </c>
      <c r="BE8" s="48" t="s">
        <v>57</v>
      </c>
      <c r="BF8" s="48" t="s">
        <v>54</v>
      </c>
      <c r="BG8" s="48" t="s">
        <v>54</v>
      </c>
      <c r="BH8" s="48" t="s">
        <v>54</v>
      </c>
    </row>
    <row r="9" ht="15.75" customHeight="1">
      <c r="A9" s="8"/>
      <c r="B9" s="8"/>
      <c r="C9" s="48" t="s">
        <v>17</v>
      </c>
      <c r="D9" s="47">
        <v>-10</v>
      </c>
      <c r="E9" s="48" t="s">
        <v>26</v>
      </c>
      <c r="F9" s="48" t="s">
        <v>47</v>
      </c>
      <c r="G9" s="47">
        <v>0</v>
      </c>
      <c r="H9" s="8"/>
      <c r="I9" s="8"/>
      <c r="J9" s="8"/>
      <c r="K9" s="8"/>
      <c r="L9" s="8"/>
      <c r="M9" s="8"/>
      <c r="N9" s="8"/>
      <c r="O9" s="8"/>
      <c r="R9" s="48" t="s">
        <v>48</v>
      </c>
      <c r="S9" s="48" t="s">
        <v>43</v>
      </c>
      <c r="T9" s="48" t="s">
        <v>36</v>
      </c>
      <c r="U9" s="48" t="s">
        <v>50</v>
      </c>
      <c r="V9" s="48" t="s">
        <v>55</v>
      </c>
      <c r="W9" s="48" t="s">
        <v>42</v>
      </c>
      <c r="AN9" s="48" t="s">
        <v>56</v>
      </c>
      <c r="BE9" s="48" t="s">
        <v>57</v>
      </c>
      <c r="BF9" s="48" t="s">
        <v>54</v>
      </c>
      <c r="BG9" s="48" t="s">
        <v>54</v>
      </c>
      <c r="BH9" s="48" t="s">
        <v>54</v>
      </c>
    </row>
    <row r="10" ht="15.75" customHeight="1">
      <c r="A10" s="8"/>
      <c r="B10" s="8"/>
      <c r="C10" s="48" t="s">
        <v>18</v>
      </c>
      <c r="D10" s="47">
        <v>-10</v>
      </c>
      <c r="E10" s="48" t="s">
        <v>26</v>
      </c>
      <c r="F10" s="48" t="s">
        <v>47</v>
      </c>
      <c r="G10" s="47">
        <v>0</v>
      </c>
      <c r="H10" s="8"/>
      <c r="I10" s="8"/>
      <c r="J10" s="8"/>
      <c r="K10" s="8"/>
      <c r="L10" s="8"/>
      <c r="M10" s="8"/>
      <c r="N10" s="8"/>
      <c r="O10" s="8"/>
      <c r="R10" s="48" t="s">
        <v>48</v>
      </c>
      <c r="S10" s="48" t="s">
        <v>43</v>
      </c>
      <c r="T10" s="48" t="s">
        <v>36</v>
      </c>
      <c r="U10" s="48" t="s">
        <v>50</v>
      </c>
      <c r="V10" s="48" t="s">
        <v>55</v>
      </c>
      <c r="W10" s="48" t="s">
        <v>42</v>
      </c>
      <c r="AN10" s="48" t="s">
        <v>56</v>
      </c>
      <c r="BE10" s="48" t="s">
        <v>57</v>
      </c>
      <c r="BF10" s="48" t="s">
        <v>54</v>
      </c>
      <c r="BG10" s="48" t="s">
        <v>54</v>
      </c>
      <c r="BH10" s="48" t="s">
        <v>54</v>
      </c>
    </row>
    <row r="11" ht="15.75" customHeight="1">
      <c r="A11" s="8"/>
      <c r="B11" s="8"/>
      <c r="C11" s="48" t="s">
        <v>24</v>
      </c>
      <c r="D11" s="50">
        <v>-1000</v>
      </c>
      <c r="E11" s="48" t="s">
        <v>26</v>
      </c>
      <c r="F11" s="48" t="s">
        <v>47</v>
      </c>
      <c r="G11" s="47">
        <v>103.25</v>
      </c>
      <c r="H11" s="8"/>
      <c r="I11" s="8"/>
      <c r="J11" s="8"/>
      <c r="K11" s="8"/>
      <c r="L11" s="8"/>
      <c r="M11" s="8"/>
      <c r="N11" s="8"/>
      <c r="O11" s="8"/>
      <c r="R11" s="48" t="s">
        <v>48</v>
      </c>
      <c r="S11" s="48" t="s">
        <v>43</v>
      </c>
      <c r="T11" s="48" t="s">
        <v>49</v>
      </c>
      <c r="U11" s="48" t="s">
        <v>50</v>
      </c>
      <c r="V11" s="48" t="s">
        <v>51</v>
      </c>
      <c r="W11" s="48" t="s">
        <v>42</v>
      </c>
      <c r="AN11" s="48" t="s">
        <v>58</v>
      </c>
      <c r="BE11" s="48" t="s">
        <v>49</v>
      </c>
      <c r="BF11" s="48" t="s">
        <v>52</v>
      </c>
      <c r="BG11" s="48" t="s">
        <v>53</v>
      </c>
      <c r="BH11" s="48" t="s">
        <v>54</v>
      </c>
    </row>
    <row r="12" ht="15.75" customHeight="1">
      <c r="A12" s="8"/>
      <c r="B12" s="8"/>
      <c r="C12" s="48" t="s">
        <v>24</v>
      </c>
      <c r="D12" s="50">
        <v>-1000</v>
      </c>
      <c r="E12" s="48" t="s">
        <v>26</v>
      </c>
      <c r="F12" s="48" t="s">
        <v>47</v>
      </c>
      <c r="G12" s="47">
        <v>102.25</v>
      </c>
      <c r="H12" s="8"/>
      <c r="I12" s="8"/>
      <c r="J12" s="8"/>
      <c r="K12" s="8"/>
      <c r="L12" s="8"/>
      <c r="M12" s="8"/>
      <c r="N12" s="8"/>
      <c r="O12" s="8"/>
      <c r="R12" s="48" t="s">
        <v>48</v>
      </c>
      <c r="S12" s="48" t="s">
        <v>43</v>
      </c>
      <c r="T12" s="48" t="s">
        <v>49</v>
      </c>
      <c r="U12" s="48" t="s">
        <v>50</v>
      </c>
      <c r="V12" s="48" t="s">
        <v>51</v>
      </c>
      <c r="W12" s="48" t="s">
        <v>42</v>
      </c>
      <c r="AN12" s="48" t="s">
        <v>58</v>
      </c>
      <c r="BE12" s="48" t="s">
        <v>49</v>
      </c>
      <c r="BF12" s="48" t="s">
        <v>52</v>
      </c>
      <c r="BG12" s="48" t="s">
        <v>53</v>
      </c>
      <c r="BH12" s="48" t="s">
        <v>54</v>
      </c>
    </row>
    <row r="13" ht="15.75" customHeight="1">
      <c r="A13" s="8"/>
      <c r="B13" s="8"/>
      <c r="C13" s="48" t="s">
        <v>24</v>
      </c>
      <c r="D13" s="47">
        <v>-100</v>
      </c>
      <c r="E13" s="48" t="s">
        <v>26</v>
      </c>
      <c r="F13" s="48" t="s">
        <v>47</v>
      </c>
      <c r="G13" s="47">
        <v>100.15</v>
      </c>
      <c r="H13" s="8"/>
      <c r="I13" s="8"/>
      <c r="J13" s="8"/>
      <c r="K13" s="8"/>
      <c r="L13" s="8"/>
      <c r="M13" s="8"/>
      <c r="N13" s="8"/>
      <c r="O13" s="8"/>
      <c r="R13" s="48" t="s">
        <v>48</v>
      </c>
      <c r="S13" s="48" t="s">
        <v>43</v>
      </c>
      <c r="T13" s="48" t="s">
        <v>49</v>
      </c>
      <c r="U13" s="48" t="s">
        <v>50</v>
      </c>
      <c r="V13" s="48" t="s">
        <v>51</v>
      </c>
      <c r="W13" s="48" t="s">
        <v>42</v>
      </c>
      <c r="AN13" s="48" t="s">
        <v>59</v>
      </c>
      <c r="BE13" s="48" t="s">
        <v>49</v>
      </c>
      <c r="BF13" s="48" t="s">
        <v>52</v>
      </c>
      <c r="BG13" s="48" t="s">
        <v>53</v>
      </c>
      <c r="BH13" s="48" t="s">
        <v>54</v>
      </c>
    </row>
    <row r="14" ht="15.75" customHeight="1">
      <c r="A14" s="8"/>
      <c r="B14" s="8"/>
      <c r="C14" s="48" t="s">
        <v>24</v>
      </c>
      <c r="D14" s="47">
        <v>-900</v>
      </c>
      <c r="E14" s="48" t="s">
        <v>26</v>
      </c>
      <c r="F14" s="48" t="s">
        <v>47</v>
      </c>
      <c r="G14" s="47">
        <v>100.15</v>
      </c>
      <c r="H14" s="8"/>
      <c r="I14" s="8"/>
      <c r="J14" s="8"/>
      <c r="K14" s="8"/>
      <c r="L14" s="8"/>
      <c r="M14" s="8"/>
      <c r="N14" s="8"/>
      <c r="O14" s="8"/>
      <c r="R14" s="48" t="s">
        <v>48</v>
      </c>
      <c r="S14" s="48" t="s">
        <v>43</v>
      </c>
      <c r="T14" s="48" t="s">
        <v>49</v>
      </c>
      <c r="U14" s="48" t="s">
        <v>50</v>
      </c>
      <c r="V14" s="48" t="s">
        <v>51</v>
      </c>
      <c r="W14" s="48" t="s">
        <v>42</v>
      </c>
      <c r="AN14" s="48" t="s">
        <v>58</v>
      </c>
      <c r="BE14" s="48" t="s">
        <v>49</v>
      </c>
      <c r="BF14" s="48" t="s">
        <v>52</v>
      </c>
      <c r="BG14" s="48" t="s">
        <v>53</v>
      </c>
      <c r="BH14" s="48" t="s">
        <v>54</v>
      </c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