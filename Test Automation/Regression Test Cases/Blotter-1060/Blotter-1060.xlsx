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uecVenueExchange" sheetId="4" r:id="rId6"/>
    <sheet state="visible" name="SetAuecExecutingBroker" sheetId="5" r:id="rId7"/>
    <sheet state="visible" name="SetGeneralPreference" sheetId="6" r:id="rId8"/>
    <sheet state="visible" name="EnableOrVerifyHotButton" sheetId="7" r:id="rId9"/>
    <sheet state="visible" name="CreateHotButtonOnBlotter" sheetId="8" r:id="rId10"/>
    <sheet state="visible" name="FillHBdetailsOnBlotter" sheetId="9" r:id="rId11"/>
    <sheet state="visible" name="CreateHotButtonOnBlotter1" sheetId="10" r:id="rId12"/>
    <sheet state="visible" name="FillHBdetailsOnBlotter1" sheetId="11" r:id="rId13"/>
    <sheet state="visible" name="EnableOrVerifyHotButton1" sheetId="12" r:id="rId14"/>
    <sheet state="visible" name="SelectTradeOnOrderGrid" sheetId="13" r:id="rId15"/>
    <sheet state="visible" name="EditOrder" sheetId="14" r:id="rId16"/>
    <sheet state="visible" name="CustomOrderTT" sheetId="15" r:id="rId17"/>
    <sheet state="visible" name="EnableOrVerifyHotButton2" sheetId="16" r:id="rId18"/>
    <sheet state="visible" name="SelectTradeOnOrderGrid1" sheetId="17" r:id="rId19"/>
    <sheet state="visible" name="EditOrder1" sheetId="18" r:id="rId20"/>
    <sheet state="visible" name="CustomOrderTT1" sheetId="19" r:id="rId21"/>
    <sheet state="visible" name="VerifyOrder" sheetId="20" r:id="rId22"/>
  </sheets>
  <definedNames/>
  <calcPr/>
</workbook>
</file>

<file path=xl/sharedStrings.xml><?xml version="1.0" encoding="utf-8"?>
<sst xmlns="http://schemas.openxmlformats.org/spreadsheetml/2006/main" count="203" uniqueCount="53">
  <si>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</si>
  <si>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</si>
  <si>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</si>
  <si>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</si>
  <si>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</si>
  <si>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</si>
  <si>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</si>
  <si>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</si>
  <si>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</si>
  <si>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</si>
  <si>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</si>
  <si>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</si>
  <si>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</si>
  <si>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AuecVenueExchange</t>
  </si>
  <si>
    <t>Data Format</t>
  </si>
  <si>
    <t>Input Format</t>
  </si>
  <si>
    <t>SetAuecExecutingBroker</t>
  </si>
  <si>
    <t>Allocation1</t>
  </si>
  <si>
    <t>MS</t>
  </si>
  <si>
    <t>Allocation2</t>
  </si>
  <si>
    <t>GS</t>
  </si>
  <si>
    <t>TradingTicket</t>
  </si>
  <si>
    <t>SetGeneralPreference</t>
  </si>
  <si>
    <t>Blotter</t>
  </si>
  <si>
    <t>EnableOrVerifyHotButton</t>
  </si>
  <si>
    <t>CreateHotButtonOnBlotter</t>
  </si>
  <si>
    <t>New</t>
  </si>
  <si>
    <t>Create New Order</t>
  </si>
  <si>
    <t>No Confirmation</t>
  </si>
  <si>
    <t>FillHBdetailsOnBlotter</t>
  </si>
  <si>
    <t>AAPL</t>
  </si>
  <si>
    <t>Day</t>
  </si>
  <si>
    <t>Market</t>
  </si>
  <si>
    <t>Buy</t>
  </si>
  <si>
    <t>Stage</t>
  </si>
  <si>
    <t>Next</t>
  </si>
  <si>
    <t>New1</t>
  </si>
  <si>
    <t>IBM</t>
  </si>
  <si>
    <t>Allocation3</t>
  </si>
  <si>
    <t>Favorite</t>
  </si>
  <si>
    <t>SelectTradeOnOrderGrid</t>
  </si>
  <si>
    <t>EditOrder</t>
  </si>
  <si>
    <t>CustomOrderTT</t>
  </si>
  <si>
    <t>Replace</t>
  </si>
  <si>
    <t>Replaced</t>
  </si>
  <si>
    <t>VerifyOrder</t>
  </si>
  <si>
    <t>AAPL US EQUITY</t>
  </si>
  <si>
    <t>jpearce</t>
  </si>
  <si>
    <t>Equity</t>
  </si>
  <si>
    <t>CSFB</t>
  </si>
  <si>
    <t>Manual</t>
  </si>
  <si>
    <t>HotButton</t>
  </si>
  <si>
    <t>IBM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</si>
</sst>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FFD9B8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5" fillId="6" fontId="13" numFmtId="0" xfId="0" applyAlignment="1" applyBorder="1" applyFill="1" applyFont="1">
      <alignment readingOrder="0" shrinkToFit="0" vertical="bottom" wrapText="0"/>
    </xf>
    <xf borderId="5" fillId="6" fontId="14" numFmtId="0" xfId="0" applyAlignment="1" applyBorder="1" applyFont="1">
      <alignment readingOrder="0" shrinkToFit="0" vertical="bottom" wrapText="0"/>
    </xf>
    <xf borderId="5" fillId="6" fontId="15" numFmtId="0" xfId="0" applyAlignment="1" applyBorder="1" applyFont="1">
      <alignment readingOrder="0" shrinkToFit="0" vertical="bottom" wrapText="0"/>
    </xf>
    <xf borderId="5" fillId="6" fontId="13" numFmtId="0" xfId="0" applyAlignment="1" applyBorder="1" applyFont="1">
      <alignment horizontal="right" readingOrder="0" shrinkToFit="0" vertical="bottom" wrapText="0"/>
    </xf>
    <xf borderId="5" fillId="7" fontId="13" numFmtId="0" xfId="0" applyAlignment="1" applyBorder="1" applyFill="1" applyFont="1">
      <alignment readingOrder="0" shrinkToFit="0" vertical="bottom" wrapText="0"/>
    </xf>
    <xf borderId="5" fillId="7" fontId="14" numFmtId="0" xfId="0" applyAlignment="1" applyBorder="1" applyFont="1">
      <alignment readingOrder="0" shrinkToFit="0" vertical="bottom" wrapText="0"/>
    </xf>
    <xf borderId="5" fillId="7" fontId="15" numFmtId="0" xfId="0" applyAlignment="1" applyBorder="1" applyFont="1">
      <alignment readingOrder="0" shrinkToFit="0" vertical="bottom" wrapText="0"/>
    </xf>
    <xf borderId="5" fillId="7" fontId="13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IFERROR(__xludf.DUMMYFUNCTION("""COMPUTED_VALUE"""),"FromTableVenueID")</f>
        <v>FromTableVenueID</v>
      </c>
      <c r="C5" s="27" t="str">
        <f>IFERROR(__xludf.DUMMYFUNCTION("""COMPUTED_VALUE"""),"ToTableVenueID")</f>
        <v>ToTableVenueID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103.0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AuecVenueExchange!$4:$4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31" t="s">
        <v>27</v>
      </c>
      <c r="D6" s="12" t="s">
        <v>28</v>
      </c>
      <c r="E6" s="30"/>
      <c r="F6" s="12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 t="str">
        <f>IFERROR(__xludf.DUMMYFUNCTION("""COMPUTED_VALUE"""),"Cent/BPS")</f>
        <v>Cent/BPS</v>
      </c>
      <c r="Q5" s="27" t="str">
        <f>IFERROR(__xludf.DUMMYFUNCTION("""COMPUTED_VALUE"""),"Ask/Bid/Last/Mid")</f>
        <v>Ask/Bid/Last/Mid</v>
      </c>
      <c r="R5" s="27" t="str">
        <f>IFERROR(__xludf.DUMMYFUNCTION("""COMPUTED_VALUE"""),"Limit Price")</f>
        <v>Limit Price</v>
      </c>
      <c r="S5" s="27" t="str">
        <f>IFERROR(__xludf.DUMMYFUNCTION("""COMPUTED_VALUE"""),"Expiration Date")</f>
        <v>Expiration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>
        <v>123.0</v>
      </c>
      <c r="D6" s="12" t="s">
        <v>17</v>
      </c>
      <c r="E6" s="12"/>
      <c r="F6" s="8"/>
      <c r="G6" s="12" t="s">
        <v>31</v>
      </c>
      <c r="H6" s="12" t="s">
        <v>32</v>
      </c>
      <c r="I6" s="12" t="s">
        <v>33</v>
      </c>
      <c r="J6" s="12" t="s">
        <v>34</v>
      </c>
      <c r="K6" s="12" t="b">
        <v>1</v>
      </c>
      <c r="L6" s="12" t="s">
        <v>35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31" t="s">
        <v>27</v>
      </c>
      <c r="D6" s="12" t="s">
        <v>28</v>
      </c>
      <c r="E6" s="30"/>
      <c r="F6" s="12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 t="str">
        <f>IFERROR(__xludf.DUMMYFUNCTION("""COMPUTED_VALUE"""),"Cent/BPS")</f>
        <v>Cent/BPS</v>
      </c>
      <c r="Q5" s="27" t="str">
        <f>IFERROR(__xludf.DUMMYFUNCTION("""COMPUTED_VALUE"""),"Ask/Bid/Last/Mid")</f>
        <v>Ask/Bid/Last/Mid</v>
      </c>
      <c r="R5" s="27" t="str">
        <f>IFERROR(__xludf.DUMMYFUNCTION("""COMPUTED_VALUE"""),"Limit Price")</f>
        <v>Limit Price</v>
      </c>
      <c r="S5" s="27" t="str">
        <f>IFERROR(__xludf.DUMMYFUNCTION("""COMPUTED_VALUE"""),"Expiration Date")</f>
        <v>Expiration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>
        <v>123.0</v>
      </c>
      <c r="D6" s="12" t="s">
        <v>38</v>
      </c>
      <c r="E6" s="12"/>
      <c r="F6" s="8"/>
      <c r="G6" s="12" t="s">
        <v>31</v>
      </c>
      <c r="H6" s="12" t="s">
        <v>32</v>
      </c>
      <c r="I6" s="12" t="s">
        <v>33</v>
      </c>
      <c r="J6" s="12" t="s">
        <v>34</v>
      </c>
      <c r="K6" s="12" t="b">
        <v>1</v>
      </c>
      <c r="L6" s="12" t="s">
        <v>35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12" t="b">
        <v>1</v>
      </c>
      <c r="F6" s="12" t="s">
        <v>39</v>
      </c>
      <c r="G6" s="8"/>
      <c r="H6" s="12" t="s">
        <v>26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30</v>
      </c>
      <c r="E6" s="30"/>
      <c r="F6" s="12" t="s">
        <v>33</v>
      </c>
      <c r="G6" s="12" t="s">
        <v>26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30</v>
      </c>
      <c r="AJ6" s="9" t="s">
        <v>33</v>
      </c>
      <c r="AK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2.0</v>
      </c>
      <c r="E6" s="12" t="s">
        <v>43</v>
      </c>
      <c r="F6" s="8"/>
      <c r="G6" s="8"/>
      <c r="H6" s="8"/>
      <c r="I6" s="12" t="s">
        <v>38</v>
      </c>
      <c r="J6" s="12" t="s">
        <v>33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36</v>
      </c>
      <c r="E6" s="12" t="b">
        <v>1</v>
      </c>
      <c r="F6" s="12" t="s">
        <v>39</v>
      </c>
      <c r="G6" s="8"/>
      <c r="H6" s="12" t="s">
        <v>36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37</v>
      </c>
      <c r="E6" s="30"/>
      <c r="F6" s="12" t="s">
        <v>33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37</v>
      </c>
      <c r="AJ6" s="9" t="s">
        <v>33</v>
      </c>
      <c r="AK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2.0</v>
      </c>
      <c r="E6" s="12" t="s">
        <v>44</v>
      </c>
      <c r="F6" s="8"/>
      <c r="G6" s="8"/>
      <c r="H6" s="8"/>
      <c r="I6" s="12" t="s">
        <v>17</v>
      </c>
      <c r="J6" s="12" t="s">
        <v>33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 t="s">
        <v>46</v>
      </c>
      <c r="F6" s="8"/>
      <c r="G6" s="8"/>
      <c r="H6" s="8"/>
      <c r="I6" s="32" t="s">
        <v>47</v>
      </c>
      <c r="J6" s="8"/>
      <c r="K6" s="8"/>
      <c r="L6" s="8"/>
      <c r="M6" s="8"/>
      <c r="N6" s="8"/>
      <c r="O6" s="8"/>
      <c r="AH6" s="9" t="s">
        <v>48</v>
      </c>
      <c r="AI6" s="32" t="s">
        <v>30</v>
      </c>
      <c r="AJ6" s="33" t="s">
        <v>33</v>
      </c>
      <c r="AK6" s="34" t="s">
        <v>44</v>
      </c>
      <c r="AL6" s="35">
        <v>123.0</v>
      </c>
      <c r="AS6" s="32" t="s">
        <v>49</v>
      </c>
      <c r="AT6" s="32" t="s">
        <v>38</v>
      </c>
      <c r="AU6" s="9" t="s">
        <v>32</v>
      </c>
      <c r="AX6" s="32" t="s">
        <v>50</v>
      </c>
      <c r="BA6" s="32" t="s">
        <v>47</v>
      </c>
      <c r="BG6" s="32" t="s">
        <v>51</v>
      </c>
      <c r="BH6" s="32" t="s">
        <v>31</v>
      </c>
    </row>
    <row r="7" ht="15.75" customHeight="1">
      <c r="A7" s="12"/>
      <c r="B7" s="12"/>
      <c r="C7" s="8"/>
      <c r="D7" s="12"/>
      <c r="E7" s="36" t="s">
        <v>52</v>
      </c>
      <c r="F7" s="8"/>
      <c r="G7" s="8"/>
      <c r="H7" s="8"/>
      <c r="I7" s="36" t="s">
        <v>47</v>
      </c>
      <c r="J7" s="8"/>
      <c r="K7" s="8"/>
      <c r="L7" s="8"/>
      <c r="M7" s="8"/>
      <c r="N7" s="8"/>
      <c r="O7" s="8"/>
      <c r="AH7" s="9" t="s">
        <v>48</v>
      </c>
      <c r="AI7" s="36" t="s">
        <v>37</v>
      </c>
      <c r="AJ7" s="37" t="s">
        <v>33</v>
      </c>
      <c r="AK7" s="38" t="s">
        <v>44</v>
      </c>
      <c r="AL7" s="39">
        <v>123.0</v>
      </c>
      <c r="AS7" s="36" t="s">
        <v>18</v>
      </c>
      <c r="AT7" s="36" t="s">
        <v>17</v>
      </c>
      <c r="AU7" s="9" t="s">
        <v>32</v>
      </c>
      <c r="AX7" s="36" t="s">
        <v>50</v>
      </c>
      <c r="BA7" s="36" t="s">
        <v>47</v>
      </c>
      <c r="BG7" s="36" t="s">
        <v>51</v>
      </c>
      <c r="BH7" s="36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