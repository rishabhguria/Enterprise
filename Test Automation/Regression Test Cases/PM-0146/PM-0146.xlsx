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SubOrder" sheetId="6" r:id="rId8"/>
    <sheet state="visible" name="VerifyWorkingSubs" sheetId="7" r:id="rId9"/>
    <sheet state="visible" name="CheckAllocatedGroups" sheetId="8" r:id="rId10"/>
    <sheet state="visible" name="GetDataAllocation" sheetId="9" r:id="rId11"/>
    <sheet state="visible" name="CheckAllocatedGroups1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<sst xmlns="http://schemas.openxmlformats.org/spreadsheetml/2006/main" count="169" uniqueCount="45">
  <si>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</si>
  <si>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</si>
  <si>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</si>
  <si>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</si>
  <si>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</si>
  <si>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</si>
  <si>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</si>
  <si>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</si>
  <si>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</si>
  <si>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</si>
  <si>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</si>
  <si>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</si>
  <si>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</si>
  <si>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</si>
  <si>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</si>
  <si>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</si>
  <si>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</si>
  <si>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</si>
  <si>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</si>
  <si>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</si>
  <si>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VerifyOrder</t>
  </si>
  <si>
    <t>jpearce</t>
  </si>
  <si>
    <t>US</t>
  </si>
  <si>
    <t>NewMF</t>
  </si>
  <si>
    <t>Equity</t>
  </si>
  <si>
    <t>Filled</t>
  </si>
  <si>
    <t>MS</t>
  </si>
  <si>
    <t>Market</t>
  </si>
  <si>
    <t>VerifySubOrder</t>
  </si>
  <si>
    <t>VerifyWorkingSubs</t>
  </si>
  <si>
    <t>Allocation</t>
  </si>
  <si>
    <t>CheckAllocatedGroups</t>
  </si>
  <si>
    <t>MSFT US EQUITY</t>
  </si>
  <si>
    <t>USD</t>
  </si>
  <si>
    <t>NASDAQ</t>
  </si>
  <si>
    <t>M</t>
  </si>
  <si>
    <t>GetDataAllocation</t>
  </si>
  <si>
    <t>Historical</t>
  </si>
  <si>
    <t>PortfolioManagement</t>
  </si>
  <si>
    <t>CheckPortfolioManagement</t>
  </si>
  <si>
    <t>Long</t>
  </si>
  <si>
    <t>MICROSOFT INC</t>
  </si>
  <si>
    <t>BrokerNotes</t>
  </si>
  <si>
    <t>DefaultNotes</t>
  </si>
  <si>
    <t>Equity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</si>
</sst>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32">
        <f>TODAY()</f>
        <v>45029</v>
      </c>
      <c r="O6" s="8"/>
    </row>
    <row r="7" ht="15.75" customHeight="1">
      <c r="A7" s="8"/>
      <c r="B7" s="13" t="s">
        <v>16</v>
      </c>
      <c r="C7" s="13" t="s">
        <v>17</v>
      </c>
      <c r="D7" s="13">
        <v>50.0</v>
      </c>
      <c r="E7" s="8"/>
      <c r="F7" s="13" t="s">
        <v>18</v>
      </c>
      <c r="G7" s="8"/>
      <c r="H7" s="8"/>
      <c r="I7" s="8"/>
      <c r="J7" s="13">
        <v>5.0</v>
      </c>
      <c r="K7" s="8"/>
      <c r="L7" s="8"/>
      <c r="M7" s="8"/>
      <c r="N7" s="32">
        <f>TODAY()-1</f>
        <v>45028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9" t="s">
        <v>21</v>
      </c>
      <c r="J6" s="13" t="s">
        <v>16</v>
      </c>
      <c r="K6" s="13" t="s">
        <v>22</v>
      </c>
      <c r="L6" s="8"/>
      <c r="M6" s="8"/>
      <c r="N6" s="8"/>
      <c r="O6" s="8"/>
      <c r="AA6" s="9" t="s">
        <v>23</v>
      </c>
      <c r="AD6" s="9">
        <v>1.0</v>
      </c>
      <c r="AH6" s="9" t="s">
        <v>24</v>
      </c>
      <c r="AI6" s="13" t="s">
        <v>16</v>
      </c>
      <c r="AJ6" s="9" t="s">
        <v>17</v>
      </c>
      <c r="AK6" s="9" t="s">
        <v>25</v>
      </c>
      <c r="AL6" s="9">
        <v>100.0</v>
      </c>
      <c r="AM6" s="9">
        <v>100.0</v>
      </c>
      <c r="AN6" s="9">
        <v>100.0</v>
      </c>
      <c r="AQ6" s="9">
        <v>5.0</v>
      </c>
      <c r="AR6" s="9">
        <v>5.0</v>
      </c>
      <c r="AS6" s="9" t="s">
        <v>26</v>
      </c>
      <c r="AT6" s="9" t="s">
        <v>18</v>
      </c>
      <c r="AU6" s="9" t="s">
        <v>27</v>
      </c>
      <c r="AV6" s="9">
        <v>500.0</v>
      </c>
      <c r="AW6" s="9">
        <v>500.0</v>
      </c>
      <c r="B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J7" s="13"/>
      <c r="K7" s="8"/>
      <c r="L7" s="8"/>
      <c r="M7" s="8"/>
      <c r="N7" s="8"/>
      <c r="O7" s="8"/>
      <c r="AI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33" t="s">
        <v>21</v>
      </c>
      <c r="J6" s="13" t="s">
        <v>16</v>
      </c>
      <c r="K6" s="13" t="s">
        <v>22</v>
      </c>
      <c r="L6" s="8"/>
      <c r="M6" s="8"/>
      <c r="N6" s="8"/>
      <c r="O6" s="8"/>
      <c r="AA6" s="9" t="s">
        <v>23</v>
      </c>
      <c r="AD6" s="9">
        <v>1.0</v>
      </c>
      <c r="AH6" s="9" t="s">
        <v>24</v>
      </c>
      <c r="AI6" s="13" t="s">
        <v>16</v>
      </c>
      <c r="AJ6" s="9" t="s">
        <v>17</v>
      </c>
      <c r="AK6" s="9" t="s">
        <v>25</v>
      </c>
      <c r="AL6" s="9">
        <v>100.0</v>
      </c>
      <c r="AM6" s="9">
        <v>100.0</v>
      </c>
      <c r="AO6" s="9">
        <v>5.0</v>
      </c>
      <c r="AP6" s="9">
        <v>5.0</v>
      </c>
      <c r="AR6" s="9" t="s">
        <v>18</v>
      </c>
      <c r="AS6" s="9" t="s">
        <v>27</v>
      </c>
      <c r="AT6" s="9">
        <v>500.0</v>
      </c>
      <c r="AU6" s="9">
        <v>500.0</v>
      </c>
      <c r="AZ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3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25</v>
      </c>
      <c r="H6" s="8"/>
      <c r="I6" s="13"/>
      <c r="J6" s="13">
        <v>5.0</v>
      </c>
      <c r="K6" s="13" t="s">
        <v>26</v>
      </c>
      <c r="L6" s="13" t="s">
        <v>18</v>
      </c>
      <c r="M6" s="13" t="s">
        <v>27</v>
      </c>
      <c r="N6" s="13"/>
      <c r="O6" s="13">
        <v>5.0</v>
      </c>
      <c r="R6" s="9" t="s">
        <v>21</v>
      </c>
      <c r="W6" s="9" t="s">
        <v>24</v>
      </c>
      <c r="Y6" s="9">
        <v>1.0</v>
      </c>
      <c r="AC6" s="9">
        <v>500.0</v>
      </c>
      <c r="AD6" s="9">
        <v>500.0</v>
      </c>
      <c r="AU6" s="9" t="s">
        <v>16</v>
      </c>
      <c r="BA6" s="9" t="s">
        <v>23</v>
      </c>
      <c r="BB6" s="3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13" t="s">
        <v>24</v>
      </c>
      <c r="H6" s="34">
        <v>4.0</v>
      </c>
      <c r="I6" s="34">
        <v>5.0</v>
      </c>
      <c r="J6" s="8"/>
      <c r="K6" s="13">
        <v>5.0</v>
      </c>
      <c r="L6" s="13">
        <v>5.0</v>
      </c>
      <c r="M6" s="35" t="s">
        <v>32</v>
      </c>
      <c r="N6" s="8"/>
      <c r="O6" s="13" t="s">
        <v>26</v>
      </c>
      <c r="Z6" s="9" t="s">
        <v>33</v>
      </c>
      <c r="AD6" s="9" t="s">
        <v>34</v>
      </c>
      <c r="AE6" s="9">
        <v>100.0</v>
      </c>
      <c r="AH6" s="36" t="s">
        <v>35</v>
      </c>
      <c r="AI6" s="9">
        <v>1.0</v>
      </c>
      <c r="AR6" s="35" t="b">
        <v>1</v>
      </c>
      <c r="AT6" s="9">
        <v>514.0</v>
      </c>
      <c r="AU6" s="9">
        <v>514.0</v>
      </c>
      <c r="AY6" s="9" t="s">
        <v>27</v>
      </c>
      <c r="BE6" s="9">
        <v>500.0</v>
      </c>
      <c r="BF6" s="9">
        <v>500.0</v>
      </c>
      <c r="BJ6" s="9">
        <v>100.0</v>
      </c>
      <c r="BO6" s="9" t="s">
        <v>17</v>
      </c>
      <c r="BT6" s="13" t="s">
        <v>16</v>
      </c>
      <c r="CI6" s="36" t="s">
        <v>17</v>
      </c>
      <c r="CK6" s="9" t="s">
        <v>22</v>
      </c>
      <c r="CM6" s="9" t="s">
        <v>16</v>
      </c>
      <c r="CN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32">
        <f t="shared" ref="C6:D6" si="1">TODAY()-1</f>
        <v>45028</v>
      </c>
      <c r="D6" s="37">
        <f t="shared" si="1"/>
        <v>45028</v>
      </c>
      <c r="E6" s="31"/>
      <c r="F6" s="13"/>
      <c r="G6" s="8"/>
      <c r="H6" s="13"/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13" t="s">
        <v>18</v>
      </c>
      <c r="C6" s="8"/>
      <c r="D6" s="13"/>
      <c r="E6" s="13">
        <v>50.0</v>
      </c>
      <c r="F6" s="8"/>
      <c r="G6" s="13" t="s">
        <v>24</v>
      </c>
      <c r="H6" s="8"/>
      <c r="I6" s="8"/>
      <c r="J6" s="8"/>
      <c r="K6" s="13">
        <v>5.0</v>
      </c>
      <c r="L6" s="13">
        <v>5.0</v>
      </c>
      <c r="M6" s="8"/>
      <c r="N6" s="8"/>
      <c r="O6" s="13" t="s">
        <v>26</v>
      </c>
      <c r="Z6" s="9" t="s">
        <v>33</v>
      </c>
      <c r="AD6" s="9" t="s">
        <v>34</v>
      </c>
      <c r="AE6" s="9">
        <v>50.0</v>
      </c>
      <c r="AI6" s="9">
        <v>1.0</v>
      </c>
      <c r="AT6" s="9">
        <v>264.0</v>
      </c>
      <c r="AU6" s="9">
        <v>264.0</v>
      </c>
      <c r="AY6" s="9" t="s">
        <v>27</v>
      </c>
      <c r="BE6" s="9">
        <v>250.0</v>
      </c>
      <c r="BF6" s="9">
        <v>250.0</v>
      </c>
      <c r="BJ6" s="9">
        <v>50.0</v>
      </c>
      <c r="BO6" s="9" t="s">
        <v>17</v>
      </c>
      <c r="BT6" s="9" t="s">
        <v>16</v>
      </c>
      <c r="CK6" s="9" t="s">
        <v>22</v>
      </c>
      <c r="CM6" s="9" t="s">
        <v>16</v>
      </c>
      <c r="CN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8"/>
      <c r="C6" s="13" t="s">
        <v>16</v>
      </c>
      <c r="D6" s="38">
        <v>100.0</v>
      </c>
      <c r="E6" s="13" t="s">
        <v>18</v>
      </c>
      <c r="F6" s="13" t="s">
        <v>23</v>
      </c>
      <c r="G6" s="8"/>
      <c r="H6" s="13" t="s">
        <v>40</v>
      </c>
      <c r="I6" s="8"/>
      <c r="J6" s="8"/>
      <c r="K6" s="8"/>
      <c r="L6" s="8"/>
      <c r="M6" s="8"/>
      <c r="N6" s="8"/>
      <c r="O6" s="35" t="s">
        <v>41</v>
      </c>
      <c r="T6" s="9" t="s">
        <v>24</v>
      </c>
      <c r="U6" s="9" t="s">
        <v>22</v>
      </c>
      <c r="V6" s="9" t="s">
        <v>34</v>
      </c>
      <c r="W6" s="9" t="s">
        <v>33</v>
      </c>
      <c r="X6" s="9">
        <v>1.0</v>
      </c>
      <c r="Y6" s="9">
        <v>1.0</v>
      </c>
      <c r="AB6" s="34"/>
      <c r="AC6" s="34"/>
      <c r="AD6" s="34"/>
      <c r="AE6" s="34"/>
      <c r="AF6" s="34"/>
      <c r="AG6" s="34"/>
      <c r="AH6" s="34"/>
      <c r="AN6" s="9" t="s">
        <v>17</v>
      </c>
      <c r="AQ6" s="9" t="s">
        <v>16</v>
      </c>
      <c r="AT6" s="35" t="s">
        <v>42</v>
      </c>
      <c r="AU6" s="35" t="s">
        <v>43</v>
      </c>
      <c r="AV6" s="34">
        <v>1.0</v>
      </c>
      <c r="AW6" s="34"/>
      <c r="AX6" s="34">
        <v>0.0</v>
      </c>
      <c r="BF6" s="35" t="s">
        <v>44</v>
      </c>
      <c r="BQ6" s="9" t="s">
        <v>21</v>
      </c>
      <c r="BR6" s="9" t="s">
        <v>26</v>
      </c>
      <c r="BS6" s="39"/>
      <c r="BT6" s="39"/>
      <c r="BU6" s="35" t="s">
        <v>24</v>
      </c>
      <c r="BY6" s="34"/>
      <c r="BZ6" s="34"/>
      <c r="CP6" s="35" t="s">
        <v>32</v>
      </c>
    </row>
    <row r="7" ht="15.75" customHeight="1">
      <c r="A7" s="8"/>
      <c r="B7" s="8"/>
      <c r="C7" s="13" t="s">
        <v>16</v>
      </c>
      <c r="D7" s="13">
        <v>50.0</v>
      </c>
      <c r="E7" s="13" t="s">
        <v>18</v>
      </c>
      <c r="F7" s="13" t="s">
        <v>23</v>
      </c>
      <c r="G7" s="8"/>
      <c r="H7" s="13" t="s">
        <v>40</v>
      </c>
      <c r="I7" s="8"/>
      <c r="J7" s="8"/>
      <c r="K7" s="8"/>
      <c r="L7" s="8"/>
      <c r="M7" s="8"/>
      <c r="N7" s="8"/>
      <c r="O7" s="35" t="s">
        <v>41</v>
      </c>
      <c r="T7" s="9" t="s">
        <v>24</v>
      </c>
      <c r="U7" s="9" t="s">
        <v>22</v>
      </c>
      <c r="V7" s="9" t="s">
        <v>34</v>
      </c>
      <c r="W7" s="9" t="s">
        <v>33</v>
      </c>
      <c r="X7" s="9">
        <v>1.0</v>
      </c>
      <c r="Y7" s="9">
        <v>1.0</v>
      </c>
      <c r="AB7" s="34"/>
      <c r="AC7" s="34"/>
      <c r="AD7" s="34"/>
      <c r="AE7" s="34"/>
      <c r="AF7" s="34"/>
      <c r="AG7" s="34"/>
      <c r="AH7" s="34"/>
      <c r="AN7" s="9" t="s">
        <v>17</v>
      </c>
      <c r="AQ7" s="9" t="s">
        <v>16</v>
      </c>
      <c r="AT7" s="35" t="s">
        <v>42</v>
      </c>
      <c r="AU7" s="35" t="s">
        <v>43</v>
      </c>
      <c r="AV7" s="34">
        <v>1.0</v>
      </c>
      <c r="AW7" s="34"/>
      <c r="AX7" s="34">
        <v>0.0</v>
      </c>
      <c r="BF7" s="35" t="s">
        <v>44</v>
      </c>
      <c r="BQ7" s="9" t="s">
        <v>21</v>
      </c>
      <c r="BR7" s="9" t="s">
        <v>26</v>
      </c>
      <c r="BS7" s="39"/>
      <c r="BT7" s="39"/>
      <c r="BU7" s="35" t="s">
        <v>24</v>
      </c>
      <c r="BY7" s="34"/>
      <c r="BZ7" s="34"/>
      <c r="CP7" s="35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