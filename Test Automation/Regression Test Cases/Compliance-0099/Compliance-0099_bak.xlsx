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StrategyValueCalculatedPref" sheetId="6" r:id="rId8"/>
    <sheet state="visible" name="SetDefaultRuleCalculatedPref" sheetId="7" r:id="rId9"/>
    <sheet state="visible" name="CreateDoneAwayOrder" sheetId="8" r:id="rId10"/>
    <sheet state="visible" name="GetDataClosing" sheetId="9" r:id="rId11"/>
    <sheet state="visible" name="AutomaticClosing" sheetId="10" r:id="rId12"/>
    <sheet state="visible" name="CreateDoneAwayOrder1" sheetId="11" r:id="rId13"/>
    <sheet state="visible" name="VerifyRowCalculationBaseWindow" sheetId="12" r:id="rId14"/>
    <sheet state="visible" name="CreateStageOrder" sheetId="13" r:id="rId15"/>
    <sheet state="visible" name="UnwindClosing" sheetId="14" r:id="rId16"/>
    <sheet state="visible" name="DeleteGroup" sheetId="15" r:id="rId17"/>
    <sheet state="visible" name="Unallocate" sheetId="16" r:id="rId18"/>
    <sheet state="visible" name="CreateDoneAwayOrder2" sheetId="17" r:id="rId19"/>
    <sheet state="visible" name="VerifyRowCalculationBaseWindow1" sheetId="18" r:id="rId20"/>
  </sheets>
  <definedNames/>
  <calcPr/>
</workbook>
</file>

<file path=xl/sharedStrings.xml><?xml version="1.0" encoding="utf-8"?>
<sst xmlns="http://schemas.openxmlformats.org/spreadsheetml/2006/main" count="360" uniqueCount="50">
  <si>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</si>
  <si>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</si>
  <si>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</si>
  <si>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</si>
  <si>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</si>
  <si>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</si>
  <si>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</si>
  <si>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</si>
  <si>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</si>
  <si>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</si>
  <si>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</si>
  <si>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</si>
  <si>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</si>
  <si>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</si>
  <si>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</si>
  <si>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</si>
  <si>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PrefSt</t>
  </si>
  <si>
    <t>SetAccountValueCalculatedPref</t>
  </si>
  <si>
    <t>Allocation2</t>
  </si>
  <si>
    <t>Allocation3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</si>
  <si>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</si>
  <si>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</si>
  <si>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</si>
  <si>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</si>
  <si>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</si>
  <si>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</si>
  <si>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</si>
  <si>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</si>
  <si>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</si>
  <si>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</si>
  <si>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Yes</t>
  </si>
  <si>
    <t>Sell</t>
  </si>
  <si>
    <t>Closing</t>
  </si>
  <si>
    <t>GetDataClosing</t>
  </si>
  <si>
    <t>Current</t>
  </si>
  <si>
    <t>AutomaticClosing</t>
  </si>
  <si>
    <t>FIFO</t>
  </si>
  <si>
    <t>None</t>
  </si>
  <si>
    <t>Default</t>
  </si>
  <si>
    <t>Compliance</t>
  </si>
  <si>
    <t>VerifyRowCalculationBaseWindow</t>
  </si>
  <si>
    <t>InTradeMarket</t>
  </si>
  <si>
    <t>Equity</t>
  </si>
  <si>
    <t>Post</t>
  </si>
  <si>
    <t>CreateStageOrder</t>
  </si>
  <si>
    <t>UnwindClosing</t>
  </si>
  <si>
    <t>Long</t>
  </si>
  <si>
    <t>DeleteGroup</t>
  </si>
  <si>
    <t>Unallocate</t>
  </si>
  <si>
    <t>InTradeStage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</si>
</sst>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6" fontId="13" numFmtId="0" xfId="0" applyAlignment="1" applyBorder="1" applyFill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vertical="bottom"/>
    </xf>
    <xf borderId="0" fillId="7" fontId="14" numFmtId="0" xfId="0" applyAlignment="1" applyFill="1" applyFont="1">
      <alignment horizontal="left" readingOrder="0" shrinkToFit="0" vertical="top" wrapText="0"/>
    </xf>
    <xf borderId="0" fillId="8" fontId="14" numFmtId="0" xfId="0" applyAlignment="1" applyFill="1" applyFont="1">
      <alignment horizontal="left" readingOrder="0" shrinkToFit="0" vertical="top" wrapText="0"/>
    </xf>
    <xf borderId="0" fillId="7" fontId="14" numFmtId="0" xfId="0" applyAlignment="1" applyFont="1">
      <alignment horizontal="left" shrinkToFit="0" vertical="top" wrapText="0"/>
    </xf>
    <xf borderId="0" fillId="8" fontId="14" numFmtId="0" xfId="0" applyAlignment="1" applyFont="1">
      <alignment horizontal="left" shrinkToFit="0" vertical="top" wrapText="0"/>
    </xf>
    <xf borderId="5" fillId="8" fontId="14" numFmtId="0" xfId="0" applyAlignment="1" applyBorder="1" applyFont="1">
      <alignment horizontal="left" readingOrder="0" shrinkToFit="0" vertical="top" wrapText="0"/>
    </xf>
    <xf borderId="5" fillId="7" fontId="14" numFmtId="0" xfId="0" applyAlignment="1" applyBorder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16</v>
      </c>
      <c r="C6" s="33" t="s">
        <v>18</v>
      </c>
      <c r="D6" s="34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16</v>
      </c>
      <c r="C7" s="35" t="s">
        <v>19</v>
      </c>
      <c r="D7" s="37">
        <v>50.0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1rt8inh4u7qHUhCAFSaa2kmPKLkqeh3uljucYajdto60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IFERROR(__xludf.DUMMYFUNCTION("""COMPUTED_VALUE"""),"StrategyName")</f>
        <v>StrategyName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16</v>
      </c>
      <c r="C6" s="33" t="s">
        <v>18</v>
      </c>
      <c r="D6" s="31" t="s">
        <v>21</v>
      </c>
      <c r="E6" s="38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3"/>
      <c r="B7" s="33" t="s">
        <v>16</v>
      </c>
      <c r="C7" s="33" t="s">
        <v>18</v>
      </c>
      <c r="D7" s="35" t="s">
        <v>22</v>
      </c>
      <c r="E7" s="39">
        <v>50.0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16</v>
      </c>
      <c r="C8" s="35" t="s">
        <v>19</v>
      </c>
      <c r="D8" s="35" t="s">
        <v>21</v>
      </c>
      <c r="E8" s="39">
        <v>75.0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16</v>
      </c>
      <c r="C9" s="35" t="s">
        <v>19</v>
      </c>
      <c r="D9" s="35" t="s">
        <v>22</v>
      </c>
      <c r="E9" s="39">
        <v>25.0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1" t="s">
        <v>24</v>
      </c>
      <c r="C6" s="33"/>
      <c r="D6" s="41" t="s">
        <v>25</v>
      </c>
      <c r="E6" s="33"/>
      <c r="F6" s="33"/>
      <c r="G6" s="42" t="b">
        <v>0</v>
      </c>
      <c r="H6" s="43" t="s">
        <v>16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1" t="s">
        <v>28</v>
      </c>
      <c r="C6" s="33" t="s">
        <v>29</v>
      </c>
      <c r="D6" s="44">
        <v>100.0</v>
      </c>
      <c r="E6" s="38">
        <v>100.0</v>
      </c>
      <c r="F6" s="43" t="s">
        <v>16</v>
      </c>
      <c r="G6" s="33"/>
      <c r="H6" s="33"/>
      <c r="I6" s="33"/>
      <c r="J6" s="38">
        <v>1.0</v>
      </c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30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28</v>
      </c>
      <c r="C7" s="45" t="s">
        <v>31</v>
      </c>
      <c r="D7" s="38">
        <v>100.0</v>
      </c>
      <c r="E7" s="38">
        <v>100.0</v>
      </c>
      <c r="F7" s="43" t="s">
        <v>16</v>
      </c>
      <c r="G7" s="33"/>
      <c r="H7" s="33"/>
      <c r="I7" s="33"/>
      <c r="J7" s="38">
        <v>1.0</v>
      </c>
      <c r="K7" s="33"/>
      <c r="L7" s="33"/>
      <c r="M7" s="33"/>
      <c r="N7" s="33"/>
      <c r="O7" s="33"/>
      <c r="P7" s="33"/>
      <c r="Q7" s="33"/>
      <c r="R7" s="33"/>
      <c r="S7" s="33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 t="s">
        <v>30</v>
      </c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IFERROR(__xludf.DUMMYFUNCTION("""COMPUTED_VALUE"""),"FilterLongPositionGrid")</f>
        <v>FilterLongPositionGrid</v>
      </c>
      <c r="AF4" s="25" t="str">
        <f>IFERROR(__xludf.DUMMYFUNCTION("""COMPUTED_VALUE"""),"FilterShortPositionGrid")</f>
        <v>FilterShortPositionGrid</v>
      </c>
      <c r="AG4" s="25" t="str">
        <f>IFERROR(__xludf.DUMMYFUNCTION("""COMPUTED_VALUE"""),"FilterClosingGrid")</f>
        <v>FilterClosingGrid</v>
      </c>
      <c r="AH4" s="25" t="str">
        <f>IFERROR(__xludf.DUMMYFUNCTION("""COMPUTED_VALUE"""),"FilterUnexpiredGrid")</f>
        <v>FilterUnexpiredGrid</v>
      </c>
      <c r="AI4" s="25" t="str">
        <f>IFERROR(__xludf.DUMMYFUNCTION("""COMPUTED_VALUE"""),"FilterExpiredGrid")</f>
        <v>FilterExpiredGrid</v>
      </c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34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IFERROR(__xludf.DUMMYFUNCTION("""COMPUTED_VALUE"""),"FilterLongPositionGrid")</f>
        <v>FilterLongPositionGrid</v>
      </c>
      <c r="AF4" s="25" t="str">
        <f>IFERROR(__xludf.DUMMYFUNCTION("""COMPUTED_VALUE"""),"FilterShortPositionGrid")</f>
        <v>FilterShortPositionGrid</v>
      </c>
      <c r="AG4" s="25" t="str">
        <f>IFERROR(__xludf.DUMMYFUNCTION("""COMPUTED_VALUE"""),"FilterClosingGrid")</f>
        <v>FilterClosingGrid</v>
      </c>
      <c r="AH4" s="25" t="str">
        <f>IFERROR(__xludf.DUMMYFUNCTION("""COMPUTED_VALUE"""),"FilterUnexpiredGrid")</f>
        <v>FilterUnexpiredGrid</v>
      </c>
      <c r="AI4" s="25" t="str">
        <f>IFERROR(__xludf.DUMMYFUNCTION("""COMPUTED_VALUE"""),"FilterExpiredGrid")</f>
        <v>FilterExpiredGrid</v>
      </c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6" t="b">
        <v>1</v>
      </c>
      <c r="C6" s="47" t="b">
        <v>1</v>
      </c>
      <c r="D6" s="45" t="s">
        <v>36</v>
      </c>
      <c r="E6" s="33" t="s">
        <v>37</v>
      </c>
      <c r="F6" s="33" t="s">
        <v>38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1" t="s">
        <v>28</v>
      </c>
      <c r="C6" s="33" t="s">
        <v>29</v>
      </c>
      <c r="D6" s="44">
        <v>100.0</v>
      </c>
      <c r="E6" s="34">
        <v>0.0</v>
      </c>
      <c r="F6" s="43" t="s">
        <v>16</v>
      </c>
      <c r="G6" s="33"/>
      <c r="H6" s="33"/>
      <c r="I6" s="33"/>
      <c r="J6" s="38">
        <v>1.0</v>
      </c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30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48"/>
      <c r="G6" s="48"/>
      <c r="H6" s="48" t="s">
        <v>28</v>
      </c>
      <c r="I6" s="48">
        <v>0.0</v>
      </c>
      <c r="J6" s="48">
        <v>25.0</v>
      </c>
      <c r="K6" s="48">
        <v>25.0</v>
      </c>
      <c r="L6" s="48">
        <v>25.0</v>
      </c>
      <c r="M6" s="48" t="s">
        <v>41</v>
      </c>
      <c r="N6" s="48"/>
      <c r="O6" s="48" t="s">
        <v>29</v>
      </c>
      <c r="P6" s="48"/>
      <c r="Q6" s="48" t="s">
        <v>28</v>
      </c>
      <c r="R6" s="48"/>
      <c r="S6" s="48"/>
      <c r="T6" s="48" t="s">
        <v>18</v>
      </c>
      <c r="U6" s="48" t="s">
        <v>18</v>
      </c>
      <c r="V6" s="48"/>
      <c r="W6" s="48"/>
      <c r="AD6" s="48">
        <v>25.0</v>
      </c>
      <c r="AE6" s="48">
        <v>0.0</v>
      </c>
      <c r="AF6" s="48"/>
      <c r="AG6" s="48">
        <v>25.0</v>
      </c>
      <c r="AH6" s="48">
        <v>25.0</v>
      </c>
      <c r="AJ6" s="48" t="s">
        <v>42</v>
      </c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>
        <v>1.0</v>
      </c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</row>
    <row r="7" ht="15.75" customHeight="1">
      <c r="A7" s="8"/>
      <c r="B7" s="8"/>
      <c r="C7" s="8"/>
      <c r="D7" s="8"/>
      <c r="E7" s="8"/>
      <c r="F7" s="49"/>
      <c r="G7" s="49"/>
      <c r="H7" s="49" t="s">
        <v>28</v>
      </c>
      <c r="I7" s="49">
        <v>0.0</v>
      </c>
      <c r="J7" s="49">
        <v>25.0</v>
      </c>
      <c r="K7" s="49">
        <v>25.0</v>
      </c>
      <c r="L7" s="49">
        <v>25.0</v>
      </c>
      <c r="M7" s="49" t="s">
        <v>41</v>
      </c>
      <c r="N7" s="49"/>
      <c r="O7" s="49" t="s">
        <v>29</v>
      </c>
      <c r="P7" s="49"/>
      <c r="Q7" s="49" t="s">
        <v>28</v>
      </c>
      <c r="R7" s="49"/>
      <c r="S7" s="49"/>
      <c r="T7" s="49" t="s">
        <v>18</v>
      </c>
      <c r="U7" s="49" t="s">
        <v>18</v>
      </c>
      <c r="V7" s="49"/>
      <c r="W7" s="49"/>
      <c r="AD7" s="49">
        <v>25.0</v>
      </c>
      <c r="AE7" s="49">
        <v>0.0</v>
      </c>
      <c r="AF7" s="49"/>
      <c r="AG7" s="49">
        <v>25.0</v>
      </c>
      <c r="AH7" s="49">
        <v>25.0</v>
      </c>
      <c r="AJ7" s="49" t="s">
        <v>42</v>
      </c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8">
        <v>1.0</v>
      </c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</row>
    <row r="8" ht="15.75" customHeight="1">
      <c r="A8" s="8"/>
      <c r="B8" s="8"/>
      <c r="C8" s="8"/>
      <c r="D8" s="8"/>
      <c r="E8" s="8"/>
      <c r="F8" s="48"/>
      <c r="G8" s="48"/>
      <c r="H8" s="48" t="s">
        <v>28</v>
      </c>
      <c r="I8" s="48">
        <v>0.0</v>
      </c>
      <c r="J8" s="48">
        <v>38.0</v>
      </c>
      <c r="K8" s="48">
        <v>38.0</v>
      </c>
      <c r="L8" s="48">
        <v>38.0</v>
      </c>
      <c r="M8" s="48" t="s">
        <v>41</v>
      </c>
      <c r="N8" s="48"/>
      <c r="O8" s="48" t="s">
        <v>29</v>
      </c>
      <c r="P8" s="48"/>
      <c r="Q8" s="48" t="s">
        <v>28</v>
      </c>
      <c r="R8" s="48"/>
      <c r="S8" s="48"/>
      <c r="T8" s="48" t="s">
        <v>19</v>
      </c>
      <c r="U8" s="48" t="s">
        <v>19</v>
      </c>
      <c r="V8" s="48"/>
      <c r="W8" s="48"/>
      <c r="AD8" s="48">
        <v>38.0</v>
      </c>
      <c r="AE8" s="48">
        <v>0.0</v>
      </c>
      <c r="AF8" s="48"/>
      <c r="AG8" s="48">
        <v>38.0</v>
      </c>
      <c r="AH8" s="48">
        <v>38.0</v>
      </c>
      <c r="AJ8" s="48" t="s">
        <v>42</v>
      </c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>
        <v>1.0</v>
      </c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</row>
    <row r="9" ht="15.75" customHeight="1">
      <c r="A9" s="8"/>
      <c r="B9" s="8"/>
      <c r="C9" s="8"/>
      <c r="D9" s="8"/>
      <c r="E9" s="8"/>
      <c r="F9" s="49"/>
      <c r="G9" s="49"/>
      <c r="H9" s="49" t="s">
        <v>28</v>
      </c>
      <c r="I9" s="49">
        <v>0.0</v>
      </c>
      <c r="J9" s="49">
        <v>12.0</v>
      </c>
      <c r="K9" s="49">
        <v>12.0</v>
      </c>
      <c r="L9" s="49">
        <v>12.0</v>
      </c>
      <c r="M9" s="49" t="s">
        <v>41</v>
      </c>
      <c r="N9" s="49"/>
      <c r="O9" s="49" t="s">
        <v>29</v>
      </c>
      <c r="P9" s="49"/>
      <c r="Q9" s="49" t="s">
        <v>28</v>
      </c>
      <c r="R9" s="49"/>
      <c r="S9" s="49"/>
      <c r="T9" s="49" t="s">
        <v>19</v>
      </c>
      <c r="U9" s="49" t="s">
        <v>19</v>
      </c>
      <c r="V9" s="49"/>
      <c r="W9" s="49"/>
      <c r="AD9" s="49">
        <v>12.0</v>
      </c>
      <c r="AE9" s="49">
        <v>0.0</v>
      </c>
      <c r="AF9" s="49"/>
      <c r="AG9" s="49">
        <v>12.0</v>
      </c>
      <c r="AH9" s="49">
        <v>12.0</v>
      </c>
      <c r="AJ9" s="49" t="s">
        <v>42</v>
      </c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8">
        <v>1.0</v>
      </c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</row>
    <row r="10" ht="15.75" customHeight="1">
      <c r="A10" s="8"/>
      <c r="B10" s="8"/>
      <c r="C10" s="8"/>
      <c r="D10" s="8"/>
      <c r="E10" s="8"/>
      <c r="F10" s="48"/>
      <c r="G10" s="48"/>
      <c r="H10" s="48" t="s">
        <v>28</v>
      </c>
      <c r="I10" s="48">
        <v>0.0</v>
      </c>
      <c r="J10" s="48">
        <v>12.0</v>
      </c>
      <c r="K10" s="48">
        <v>12.0</v>
      </c>
      <c r="L10" s="48">
        <v>12.0</v>
      </c>
      <c r="M10" s="48" t="s">
        <v>43</v>
      </c>
      <c r="N10" s="48"/>
      <c r="O10" s="48" t="s">
        <v>29</v>
      </c>
      <c r="P10" s="48"/>
      <c r="Q10" s="48" t="s">
        <v>28</v>
      </c>
      <c r="R10" s="48"/>
      <c r="S10" s="48"/>
      <c r="T10" s="48" t="s">
        <v>19</v>
      </c>
      <c r="U10" s="48" t="s">
        <v>19</v>
      </c>
      <c r="V10" s="48"/>
      <c r="W10" s="48"/>
      <c r="AD10" s="48">
        <v>12.0</v>
      </c>
      <c r="AE10" s="48">
        <v>0.0</v>
      </c>
      <c r="AF10" s="48"/>
      <c r="AG10" s="48">
        <v>12.0</v>
      </c>
      <c r="AH10" s="48">
        <v>12.0</v>
      </c>
      <c r="AJ10" s="48" t="s">
        <v>42</v>
      </c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>
        <v>1.0</v>
      </c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50"/>
      <c r="EO10" s="48"/>
      <c r="EP10" s="48"/>
    </row>
    <row r="11" ht="15.75" customHeight="1">
      <c r="A11" s="8"/>
      <c r="B11" s="8"/>
      <c r="C11" s="8"/>
      <c r="D11" s="8"/>
      <c r="E11" s="8"/>
      <c r="F11" s="49"/>
      <c r="G11" s="49"/>
      <c r="H11" s="49" t="s">
        <v>28</v>
      </c>
      <c r="I11" s="49">
        <v>-12.0</v>
      </c>
      <c r="J11" s="49">
        <v>0.0</v>
      </c>
      <c r="K11" s="49">
        <v>12.0</v>
      </c>
      <c r="L11" s="49">
        <v>-12.0</v>
      </c>
      <c r="M11" s="49" t="s">
        <v>43</v>
      </c>
      <c r="N11" s="49"/>
      <c r="O11" s="49" t="s">
        <v>31</v>
      </c>
      <c r="P11" s="49"/>
      <c r="Q11" s="49" t="s">
        <v>28</v>
      </c>
      <c r="R11" s="49"/>
      <c r="S11" s="49"/>
      <c r="T11" s="49" t="s">
        <v>19</v>
      </c>
      <c r="U11" s="49" t="s">
        <v>19</v>
      </c>
      <c r="V11" s="49"/>
      <c r="W11" s="49"/>
      <c r="AD11" s="49">
        <v>0.0</v>
      </c>
      <c r="AE11" s="49">
        <v>-12.0</v>
      </c>
      <c r="AF11" s="49"/>
      <c r="AG11" s="49">
        <v>12.0</v>
      </c>
      <c r="AH11" s="49">
        <v>-12.0</v>
      </c>
      <c r="AJ11" s="49" t="s">
        <v>42</v>
      </c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8">
        <v>1.0</v>
      </c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51"/>
      <c r="EO11" s="49"/>
      <c r="EP11" s="49"/>
    </row>
    <row r="12" ht="15.75" customHeight="1">
      <c r="A12" s="8"/>
      <c r="B12" s="8"/>
      <c r="C12" s="8"/>
      <c r="D12" s="8"/>
      <c r="E12" s="8"/>
      <c r="F12" s="48"/>
      <c r="G12" s="48"/>
      <c r="H12" s="48" t="s">
        <v>28</v>
      </c>
      <c r="I12" s="48">
        <v>-25.0</v>
      </c>
      <c r="J12" s="48">
        <v>0.0</v>
      </c>
      <c r="K12" s="48">
        <v>25.0</v>
      </c>
      <c r="L12" s="48">
        <v>-25.0</v>
      </c>
      <c r="M12" s="48" t="s">
        <v>43</v>
      </c>
      <c r="N12" s="48"/>
      <c r="O12" s="48" t="s">
        <v>31</v>
      </c>
      <c r="P12" s="48"/>
      <c r="Q12" s="48" t="s">
        <v>28</v>
      </c>
      <c r="R12" s="48"/>
      <c r="S12" s="48"/>
      <c r="T12" s="48" t="s">
        <v>18</v>
      </c>
      <c r="U12" s="48" t="s">
        <v>18</v>
      </c>
      <c r="V12" s="48"/>
      <c r="W12" s="48"/>
      <c r="AD12" s="48">
        <v>0.0</v>
      </c>
      <c r="AE12" s="48">
        <v>-25.0</v>
      </c>
      <c r="AF12" s="48"/>
      <c r="AG12" s="48">
        <v>25.0</v>
      </c>
      <c r="AH12" s="48">
        <v>-25.0</v>
      </c>
      <c r="AJ12" s="48" t="s">
        <v>42</v>
      </c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>
        <v>1.0</v>
      </c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50"/>
      <c r="EO12" s="48"/>
      <c r="EP12" s="48"/>
    </row>
    <row r="13" ht="15.75" customHeight="1">
      <c r="A13" s="8"/>
      <c r="B13" s="8"/>
      <c r="C13" s="8"/>
      <c r="D13" s="8"/>
      <c r="E13" s="8"/>
      <c r="F13" s="49"/>
      <c r="G13" s="49"/>
      <c r="H13" s="49" t="s">
        <v>28</v>
      </c>
      <c r="I13" s="49">
        <v>-38.0</v>
      </c>
      <c r="J13" s="49">
        <v>0.0</v>
      </c>
      <c r="K13" s="49">
        <v>38.0</v>
      </c>
      <c r="L13" s="49">
        <v>-38.0</v>
      </c>
      <c r="M13" s="49" t="s">
        <v>43</v>
      </c>
      <c r="N13" s="49"/>
      <c r="O13" s="49" t="s">
        <v>31</v>
      </c>
      <c r="P13" s="49"/>
      <c r="Q13" s="49" t="s">
        <v>28</v>
      </c>
      <c r="R13" s="49"/>
      <c r="S13" s="49"/>
      <c r="T13" s="49" t="s">
        <v>19</v>
      </c>
      <c r="U13" s="49" t="s">
        <v>19</v>
      </c>
      <c r="V13" s="49"/>
      <c r="W13" s="49"/>
      <c r="AD13" s="49">
        <v>0.0</v>
      </c>
      <c r="AE13" s="49">
        <v>-38.0</v>
      </c>
      <c r="AF13" s="49"/>
      <c r="AG13" s="49">
        <v>38.0</v>
      </c>
      <c r="AH13" s="49">
        <v>-38.0</v>
      </c>
      <c r="AJ13" s="49" t="s">
        <v>42</v>
      </c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8">
        <v>1.0</v>
      </c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P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F13" s="49"/>
      <c r="EG13" s="49"/>
      <c r="EH13" s="49"/>
      <c r="EI13" s="49"/>
      <c r="EJ13" s="49"/>
      <c r="EK13" s="49"/>
      <c r="EL13" s="49"/>
      <c r="EM13" s="49"/>
      <c r="EN13" s="51"/>
      <c r="EO13" s="49"/>
      <c r="EP13" s="49"/>
    </row>
    <row r="14" ht="15.75" customHeight="1">
      <c r="A14" s="8"/>
      <c r="B14" s="8"/>
      <c r="C14" s="8"/>
      <c r="D14" s="8"/>
      <c r="E14" s="8"/>
      <c r="F14" s="48"/>
      <c r="G14" s="48"/>
      <c r="H14" s="48" t="s">
        <v>28</v>
      </c>
      <c r="I14" s="48">
        <v>-25.0</v>
      </c>
      <c r="J14" s="48">
        <v>0.0</v>
      </c>
      <c r="K14" s="48">
        <v>25.0</v>
      </c>
      <c r="L14" s="48">
        <v>-25.0</v>
      </c>
      <c r="M14" s="48" t="s">
        <v>43</v>
      </c>
      <c r="N14" s="48"/>
      <c r="O14" s="48" t="s">
        <v>31</v>
      </c>
      <c r="P14" s="48"/>
      <c r="Q14" s="48" t="s">
        <v>28</v>
      </c>
      <c r="R14" s="48"/>
      <c r="S14" s="48"/>
      <c r="T14" s="48" t="s">
        <v>18</v>
      </c>
      <c r="U14" s="48" t="s">
        <v>18</v>
      </c>
      <c r="V14" s="48"/>
      <c r="W14" s="48"/>
      <c r="AD14" s="48">
        <v>0.0</v>
      </c>
      <c r="AE14" s="48">
        <v>-25.0</v>
      </c>
      <c r="AF14" s="48"/>
      <c r="AG14" s="48">
        <v>25.0</v>
      </c>
      <c r="AH14" s="48">
        <v>-25.0</v>
      </c>
      <c r="AJ14" s="48" t="s">
        <v>42</v>
      </c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>
        <v>1.0</v>
      </c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50"/>
      <c r="EO14" s="48"/>
      <c r="EP14" s="48"/>
    </row>
    <row r="15" ht="15.75" customHeight="1">
      <c r="A15" s="8"/>
      <c r="B15" s="8"/>
      <c r="C15" s="8"/>
      <c r="D15" s="8"/>
      <c r="E15" s="8"/>
      <c r="F15" s="49"/>
      <c r="G15" s="49"/>
      <c r="H15" s="49" t="s">
        <v>28</v>
      </c>
      <c r="I15" s="49">
        <v>0.0</v>
      </c>
      <c r="J15" s="49">
        <v>25.0</v>
      </c>
      <c r="K15" s="49">
        <v>25.0</v>
      </c>
      <c r="L15" s="49">
        <v>25.0</v>
      </c>
      <c r="M15" s="49" t="s">
        <v>43</v>
      </c>
      <c r="N15" s="49"/>
      <c r="O15" s="49" t="s">
        <v>29</v>
      </c>
      <c r="P15" s="49"/>
      <c r="Q15" s="49" t="s">
        <v>28</v>
      </c>
      <c r="R15" s="49"/>
      <c r="S15" s="49"/>
      <c r="T15" s="49" t="s">
        <v>18</v>
      </c>
      <c r="U15" s="49" t="s">
        <v>18</v>
      </c>
      <c r="V15" s="49"/>
      <c r="W15" s="49"/>
      <c r="AD15" s="49">
        <v>25.0</v>
      </c>
      <c r="AE15" s="49">
        <v>0.0</v>
      </c>
      <c r="AF15" s="49"/>
      <c r="AG15" s="49">
        <v>25.0</v>
      </c>
      <c r="AH15" s="49">
        <v>25.0</v>
      </c>
      <c r="AJ15" s="49" t="s">
        <v>42</v>
      </c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8">
        <v>1.0</v>
      </c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51"/>
      <c r="EO15" s="49"/>
      <c r="EP15" s="49"/>
    </row>
    <row r="16" ht="15.75" customHeight="1">
      <c r="A16" s="8"/>
      <c r="B16" s="8"/>
      <c r="C16" s="8"/>
      <c r="D16" s="8"/>
      <c r="E16" s="8"/>
      <c r="F16" s="48"/>
      <c r="G16" s="48"/>
      <c r="H16" s="48" t="s">
        <v>28</v>
      </c>
      <c r="I16" s="48">
        <v>0.0</v>
      </c>
      <c r="J16" s="48">
        <v>38.0</v>
      </c>
      <c r="K16" s="48">
        <v>38.0</v>
      </c>
      <c r="L16" s="48">
        <v>38.0</v>
      </c>
      <c r="M16" s="48" t="s">
        <v>43</v>
      </c>
      <c r="N16" s="48"/>
      <c r="O16" s="48" t="s">
        <v>29</v>
      </c>
      <c r="P16" s="48"/>
      <c r="Q16" s="48" t="s">
        <v>28</v>
      </c>
      <c r="R16" s="48"/>
      <c r="S16" s="48"/>
      <c r="T16" s="48" t="s">
        <v>19</v>
      </c>
      <c r="U16" s="48" t="s">
        <v>19</v>
      </c>
      <c r="V16" s="48"/>
      <c r="W16" s="48"/>
      <c r="AD16" s="48">
        <v>38.0</v>
      </c>
      <c r="AE16" s="48">
        <v>0.0</v>
      </c>
      <c r="AF16" s="48"/>
      <c r="AG16" s="48">
        <v>38.0</v>
      </c>
      <c r="AH16" s="48">
        <v>38.0</v>
      </c>
      <c r="AJ16" s="48" t="s">
        <v>42</v>
      </c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>
        <v>1.0</v>
      </c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50"/>
      <c r="EO16" s="48"/>
      <c r="EP16" s="48"/>
    </row>
    <row r="17" ht="15.75" customHeight="1">
      <c r="A17" s="8"/>
      <c r="B17" s="8"/>
      <c r="C17" s="8"/>
      <c r="D17" s="8"/>
      <c r="E17" s="8"/>
      <c r="F17" s="49"/>
      <c r="G17" s="49"/>
      <c r="H17" s="49" t="s">
        <v>28</v>
      </c>
      <c r="I17" s="49">
        <v>0.0</v>
      </c>
      <c r="J17" s="49">
        <v>25.0</v>
      </c>
      <c r="K17" s="49">
        <v>25.0</v>
      </c>
      <c r="L17" s="49">
        <v>25.0</v>
      </c>
      <c r="M17" s="49" t="s">
        <v>43</v>
      </c>
      <c r="N17" s="49"/>
      <c r="O17" s="49" t="s">
        <v>29</v>
      </c>
      <c r="P17" s="49"/>
      <c r="Q17" s="49" t="s">
        <v>28</v>
      </c>
      <c r="R17" s="49"/>
      <c r="S17" s="49"/>
      <c r="T17" s="49" t="s">
        <v>18</v>
      </c>
      <c r="U17" s="49" t="s">
        <v>18</v>
      </c>
      <c r="V17" s="49"/>
      <c r="W17" s="49"/>
      <c r="AD17" s="49">
        <v>25.0</v>
      </c>
      <c r="AE17" s="49">
        <v>0.0</v>
      </c>
      <c r="AF17" s="49"/>
      <c r="AG17" s="49">
        <v>25.0</v>
      </c>
      <c r="AH17" s="49">
        <v>25.0</v>
      </c>
      <c r="AJ17" s="49" t="s">
        <v>42</v>
      </c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8">
        <v>1.0</v>
      </c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F17" s="49"/>
      <c r="EG17" s="49"/>
      <c r="EH17" s="49"/>
      <c r="EI17" s="49"/>
      <c r="EJ17" s="49"/>
      <c r="EK17" s="49"/>
      <c r="EL17" s="49"/>
      <c r="EM17" s="49"/>
      <c r="EN17" s="51"/>
      <c r="EO17" s="49"/>
      <c r="EP17" s="49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1" t="s">
        <v>28</v>
      </c>
      <c r="C6" s="33" t="s">
        <v>29</v>
      </c>
      <c r="D6" s="44">
        <v>100.0</v>
      </c>
      <c r="E6" s="34">
        <v>100.0</v>
      </c>
      <c r="F6" s="43" t="s">
        <v>16</v>
      </c>
      <c r="G6" s="33"/>
      <c r="H6" s="33"/>
      <c r="I6" s="33"/>
      <c r="J6" s="38">
        <v>1.0</v>
      </c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IFERROR(__xludf.DUMMYFUNCTION("""COMPUTED_VALUE"""),"FilterLongPositionGrid")</f>
        <v>FilterLongPositionGrid</v>
      </c>
      <c r="AF4" s="25" t="str">
        <f>IFERROR(__xludf.DUMMYFUNCTION("""COMPUTED_VALUE"""),"FilterShortPositionGrid")</f>
        <v>FilterShortPositionGrid</v>
      </c>
      <c r="AG4" s="25" t="str">
        <f>IFERROR(__xludf.DUMMYFUNCTION("""COMPUTED_VALUE"""),"FilterClosingGrid")</f>
        <v>FilterClosingGrid</v>
      </c>
      <c r="AH4" s="25" t="str">
        <f>IFERROR(__xludf.DUMMYFUNCTION("""COMPUTED_VALUE"""),"FilterUnexpiredGrid")</f>
        <v>FilterUnexpiredGrid</v>
      </c>
      <c r="AI4" s="25" t="str">
        <f>IFERROR(__xludf.DUMMYFUNCTION("""COMPUTED_VALUE"""),"FilterExpiredGrid")</f>
        <v>FilterExpiredGrid</v>
      </c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18</v>
      </c>
      <c r="E6" s="31"/>
      <c r="F6" s="8"/>
      <c r="G6" s="11"/>
      <c r="H6" s="11" t="s">
        <v>28</v>
      </c>
      <c r="I6" s="11">
        <v>25.0</v>
      </c>
      <c r="J6" s="11">
        <v>1.0</v>
      </c>
      <c r="K6" s="11">
        <v>1.0</v>
      </c>
      <c r="L6" s="8"/>
      <c r="M6" s="8"/>
      <c r="N6" s="8"/>
      <c r="O6" s="36" t="s">
        <v>46</v>
      </c>
      <c r="Q6" s="35" t="s">
        <v>31</v>
      </c>
    </row>
    <row r="7" ht="15.75" customHeight="1">
      <c r="A7" s="8"/>
      <c r="B7" s="8"/>
      <c r="C7" s="8"/>
      <c r="D7" s="11" t="s">
        <v>18</v>
      </c>
      <c r="E7" s="35"/>
      <c r="F7" s="8"/>
      <c r="G7" s="11"/>
      <c r="H7" s="11" t="s">
        <v>28</v>
      </c>
      <c r="I7" s="11">
        <v>25.0</v>
      </c>
      <c r="J7" s="11">
        <v>1.0</v>
      </c>
      <c r="K7" s="11">
        <v>1.0</v>
      </c>
      <c r="L7" s="8"/>
      <c r="M7" s="8"/>
      <c r="N7" s="8"/>
      <c r="O7" s="36" t="s">
        <v>46</v>
      </c>
      <c r="Q7" s="35" t="s">
        <v>31</v>
      </c>
    </row>
    <row r="8" ht="15.75" customHeight="1">
      <c r="A8" s="8"/>
      <c r="B8" s="8"/>
      <c r="C8" s="8"/>
      <c r="D8" s="11" t="s">
        <v>19</v>
      </c>
      <c r="E8" s="35"/>
      <c r="F8" s="8"/>
      <c r="G8" s="11"/>
      <c r="H8" s="11" t="s">
        <v>28</v>
      </c>
      <c r="I8" s="11">
        <v>37.0</v>
      </c>
      <c r="J8" s="11">
        <v>1.0</v>
      </c>
      <c r="K8" s="11">
        <v>1.0</v>
      </c>
      <c r="L8" s="8"/>
      <c r="M8" s="8"/>
      <c r="N8" s="8"/>
      <c r="O8" s="36" t="s">
        <v>46</v>
      </c>
      <c r="Q8" s="35" t="s">
        <v>31</v>
      </c>
    </row>
    <row r="9" ht="15.75" customHeight="1">
      <c r="A9" s="8"/>
      <c r="B9" s="8"/>
      <c r="C9" s="8"/>
      <c r="D9" s="11" t="s">
        <v>19</v>
      </c>
      <c r="E9" s="35"/>
      <c r="F9" s="8"/>
      <c r="G9" s="11"/>
      <c r="H9" s="11" t="s">
        <v>28</v>
      </c>
      <c r="I9" s="11">
        <v>13.0</v>
      </c>
      <c r="J9" s="11">
        <v>1.0</v>
      </c>
      <c r="K9" s="11">
        <v>1.0</v>
      </c>
      <c r="L9" s="8"/>
      <c r="M9" s="8"/>
      <c r="N9" s="8"/>
      <c r="O9" s="36" t="s">
        <v>46</v>
      </c>
      <c r="Q9" s="35" t="s">
        <v>31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 t="s">
        <v>31</v>
      </c>
      <c r="D6" s="11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 Base)")</f>
        <v>Avg Price( 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>
        <v>100.0</v>
      </c>
      <c r="D6" s="11"/>
      <c r="E6" s="30"/>
      <c r="F6" s="11" t="s">
        <v>31</v>
      </c>
      <c r="G6" s="8"/>
      <c r="H6" s="11">
        <v>1.0</v>
      </c>
      <c r="I6" s="8"/>
      <c r="J6" s="8"/>
      <c r="K6" s="11">
        <v>1.0</v>
      </c>
      <c r="L6" s="8"/>
      <c r="M6" s="8"/>
      <c r="N6" s="8"/>
      <c r="O6" s="8"/>
      <c r="AQ6" s="9">
        <v>100.0</v>
      </c>
      <c r="AT6" s="9">
        <v>86.0</v>
      </c>
      <c r="AU6" s="9">
        <v>86.0</v>
      </c>
      <c r="BB6" s="9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1" t="s">
        <v>28</v>
      </c>
      <c r="C6" s="33" t="s">
        <v>29</v>
      </c>
      <c r="D6" s="44">
        <v>100.0</v>
      </c>
      <c r="E6" s="38">
        <v>100.0</v>
      </c>
      <c r="F6" s="43" t="s">
        <v>16</v>
      </c>
      <c r="G6" s="33"/>
      <c r="H6" s="33"/>
      <c r="I6" s="33"/>
      <c r="J6" s="38">
        <v>1.0</v>
      </c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30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52" t="s">
        <v>28</v>
      </c>
      <c r="I6" s="53">
        <v>0.0</v>
      </c>
      <c r="J6" s="53">
        <v>25.0</v>
      </c>
      <c r="K6" s="53">
        <v>25.0</v>
      </c>
      <c r="L6" s="53">
        <v>25.0</v>
      </c>
      <c r="M6" s="53" t="s">
        <v>43</v>
      </c>
      <c r="N6" s="8"/>
      <c r="O6" s="53" t="s">
        <v>29</v>
      </c>
      <c r="Q6" s="52" t="s">
        <v>28</v>
      </c>
      <c r="T6" s="53" t="s">
        <v>19</v>
      </c>
      <c r="U6" s="53" t="s">
        <v>19</v>
      </c>
      <c r="AD6" s="53">
        <v>25.0</v>
      </c>
      <c r="AE6" s="53">
        <v>0.0</v>
      </c>
      <c r="AG6" s="53">
        <v>25.0</v>
      </c>
      <c r="AH6" s="53">
        <v>25.0</v>
      </c>
      <c r="BV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52" t="s">
        <v>28</v>
      </c>
      <c r="I7" s="52">
        <v>0.0</v>
      </c>
      <c r="J7" s="52">
        <v>25.0</v>
      </c>
      <c r="K7" s="52">
        <v>25.0</v>
      </c>
      <c r="L7" s="52">
        <v>25.0</v>
      </c>
      <c r="M7" s="52" t="s">
        <v>43</v>
      </c>
      <c r="N7" s="8"/>
      <c r="O7" s="52" t="s">
        <v>29</v>
      </c>
      <c r="Q7" s="52" t="s">
        <v>28</v>
      </c>
      <c r="T7" s="52" t="s">
        <v>19</v>
      </c>
      <c r="U7" s="52" t="s">
        <v>19</v>
      </c>
      <c r="AD7" s="52">
        <v>25.0</v>
      </c>
      <c r="AE7" s="52">
        <v>0.0</v>
      </c>
      <c r="AG7" s="52">
        <v>25.0</v>
      </c>
      <c r="AH7" s="52">
        <v>25.0</v>
      </c>
      <c r="BV7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52" t="s">
        <v>28</v>
      </c>
      <c r="I8" s="53">
        <v>0.0</v>
      </c>
      <c r="J8" s="53">
        <v>38.0</v>
      </c>
      <c r="K8" s="53">
        <v>38.0</v>
      </c>
      <c r="L8" s="53">
        <v>38.0</v>
      </c>
      <c r="M8" s="53" t="s">
        <v>49</v>
      </c>
      <c r="N8" s="8"/>
      <c r="O8" s="53" t="s">
        <v>29</v>
      </c>
      <c r="Q8" s="52" t="s">
        <v>28</v>
      </c>
      <c r="T8" s="53" t="s">
        <v>18</v>
      </c>
      <c r="U8" s="53" t="s">
        <v>18</v>
      </c>
      <c r="AD8" s="53">
        <v>38.0</v>
      </c>
      <c r="AE8" s="53">
        <v>0.0</v>
      </c>
      <c r="AG8" s="53">
        <v>38.0</v>
      </c>
      <c r="AH8" s="53">
        <v>38.0</v>
      </c>
      <c r="BV8" s="9">
        <v>1.0</v>
      </c>
    </row>
    <row r="9" ht="15.75" customHeight="1">
      <c r="A9" s="8"/>
      <c r="B9" s="8"/>
      <c r="C9" s="8"/>
      <c r="D9" s="8"/>
      <c r="E9" s="8"/>
      <c r="F9" s="8"/>
      <c r="G9" s="8"/>
      <c r="H9" s="52" t="s">
        <v>28</v>
      </c>
      <c r="I9" s="52">
        <v>0.0</v>
      </c>
      <c r="J9" s="52">
        <v>12.0</v>
      </c>
      <c r="K9" s="52">
        <v>12.0</v>
      </c>
      <c r="L9" s="52">
        <v>12.0</v>
      </c>
      <c r="M9" s="52" t="s">
        <v>43</v>
      </c>
      <c r="N9" s="8"/>
      <c r="O9" s="52" t="s">
        <v>29</v>
      </c>
      <c r="Q9" s="52" t="s">
        <v>28</v>
      </c>
      <c r="T9" s="52" t="s">
        <v>18</v>
      </c>
      <c r="U9" s="52" t="s">
        <v>18</v>
      </c>
      <c r="AD9" s="52">
        <v>12.0</v>
      </c>
      <c r="AE9" s="52">
        <v>0.0</v>
      </c>
      <c r="AG9" s="52">
        <v>12.0</v>
      </c>
      <c r="AH9" s="52">
        <v>12.0</v>
      </c>
      <c r="BV9" s="9">
        <v>1.0</v>
      </c>
    </row>
    <row r="10" ht="15.75" customHeight="1">
      <c r="A10" s="8"/>
      <c r="B10" s="8"/>
      <c r="C10" s="8"/>
      <c r="D10" s="8"/>
      <c r="E10" s="8"/>
      <c r="F10" s="8"/>
      <c r="G10" s="8"/>
      <c r="H10" s="52" t="s">
        <v>28</v>
      </c>
      <c r="I10" s="53">
        <v>0.0</v>
      </c>
      <c r="J10" s="53">
        <v>38.0</v>
      </c>
      <c r="K10" s="53">
        <v>38.0</v>
      </c>
      <c r="L10" s="53">
        <v>38.0</v>
      </c>
      <c r="M10" s="53" t="s">
        <v>43</v>
      </c>
      <c r="N10" s="8"/>
      <c r="O10" s="53" t="s">
        <v>29</v>
      </c>
      <c r="Q10" s="52" t="s">
        <v>28</v>
      </c>
      <c r="T10" s="53" t="s">
        <v>18</v>
      </c>
      <c r="U10" s="53" t="s">
        <v>18</v>
      </c>
      <c r="AD10" s="53">
        <v>38.0</v>
      </c>
      <c r="AE10" s="53">
        <v>0.0</v>
      </c>
      <c r="AG10" s="53">
        <v>38.0</v>
      </c>
      <c r="AH10" s="53">
        <v>38.0</v>
      </c>
      <c r="BV10" s="9">
        <v>1.0</v>
      </c>
    </row>
    <row r="11" ht="15.75" customHeight="1">
      <c r="A11" s="8"/>
      <c r="B11" s="8"/>
      <c r="C11" s="8"/>
      <c r="D11" s="8"/>
      <c r="E11" s="8"/>
      <c r="F11" s="8"/>
      <c r="G11" s="8"/>
      <c r="H11" s="52" t="s">
        <v>28</v>
      </c>
      <c r="I11" s="52">
        <v>0.0</v>
      </c>
      <c r="J11" s="52">
        <v>25.0</v>
      </c>
      <c r="K11" s="52">
        <v>25.0</v>
      </c>
      <c r="L11" s="52">
        <v>25.0</v>
      </c>
      <c r="M11" s="52" t="s">
        <v>43</v>
      </c>
      <c r="N11" s="8"/>
      <c r="O11" s="52" t="s">
        <v>29</v>
      </c>
      <c r="Q11" s="52" t="s">
        <v>28</v>
      </c>
      <c r="T11" s="52" t="s">
        <v>19</v>
      </c>
      <c r="U11" s="52" t="s">
        <v>19</v>
      </c>
      <c r="AD11" s="52">
        <v>25.0</v>
      </c>
      <c r="AE11" s="52">
        <v>0.0</v>
      </c>
      <c r="AG11" s="52">
        <v>25.0</v>
      </c>
      <c r="AH11" s="52">
        <v>25.0</v>
      </c>
      <c r="BV11" s="9">
        <v>1.0</v>
      </c>
    </row>
    <row r="12" ht="15.75" customHeight="1">
      <c r="A12" s="8"/>
      <c r="B12" s="8"/>
      <c r="C12" s="8"/>
      <c r="D12" s="8"/>
      <c r="E12" s="8"/>
      <c r="F12" s="8"/>
      <c r="G12" s="8"/>
      <c r="H12" s="53" t="s">
        <v>28</v>
      </c>
      <c r="I12" s="53">
        <v>0.0</v>
      </c>
      <c r="J12" s="53">
        <v>25.0</v>
      </c>
      <c r="K12" s="53">
        <v>25.0</v>
      </c>
      <c r="L12" s="53">
        <v>25.0</v>
      </c>
      <c r="M12" s="53" t="s">
        <v>43</v>
      </c>
      <c r="N12" s="8"/>
      <c r="O12" s="53" t="s">
        <v>29</v>
      </c>
      <c r="Q12" s="53" t="s">
        <v>28</v>
      </c>
      <c r="T12" s="53" t="s">
        <v>19</v>
      </c>
      <c r="U12" s="53" t="s">
        <v>19</v>
      </c>
      <c r="AD12" s="53">
        <v>25.0</v>
      </c>
      <c r="AE12" s="53">
        <v>0.0</v>
      </c>
      <c r="AG12" s="53">
        <v>25.0</v>
      </c>
      <c r="AH12" s="53">
        <v>25.0</v>
      </c>
      <c r="BV12" s="9">
        <v>1.0</v>
      </c>
    </row>
    <row r="13" ht="15.75" customHeight="1">
      <c r="A13" s="8"/>
      <c r="B13" s="8"/>
      <c r="C13" s="8"/>
      <c r="D13" s="8"/>
      <c r="E13" s="8"/>
      <c r="F13" s="8"/>
      <c r="G13" s="8"/>
      <c r="H13" s="52" t="s">
        <v>28</v>
      </c>
      <c r="I13" s="52">
        <v>0.0</v>
      </c>
      <c r="J13" s="52">
        <v>38.0</v>
      </c>
      <c r="K13" s="52">
        <v>38.0</v>
      </c>
      <c r="L13" s="52">
        <v>38.0</v>
      </c>
      <c r="M13" s="52" t="s">
        <v>43</v>
      </c>
      <c r="N13" s="8"/>
      <c r="O13" s="52" t="s">
        <v>29</v>
      </c>
      <c r="Q13" s="52" t="s">
        <v>28</v>
      </c>
      <c r="T13" s="52" t="s">
        <v>18</v>
      </c>
      <c r="U13" s="52" t="s">
        <v>18</v>
      </c>
      <c r="AD13" s="52">
        <v>38.0</v>
      </c>
      <c r="AE13" s="52">
        <v>0.0</v>
      </c>
      <c r="AG13" s="52">
        <v>38.0</v>
      </c>
      <c r="AH13" s="52">
        <v>38.0</v>
      </c>
      <c r="BV13" s="9">
        <v>1.0</v>
      </c>
    </row>
    <row r="14" ht="15.75" customHeight="1">
      <c r="A14" s="8"/>
      <c r="B14" s="8"/>
      <c r="C14" s="8"/>
      <c r="D14" s="8"/>
      <c r="E14" s="8"/>
      <c r="F14" s="8"/>
      <c r="G14" s="8"/>
      <c r="H14" s="52" t="s">
        <v>28</v>
      </c>
      <c r="I14" s="53">
        <v>0.0</v>
      </c>
      <c r="J14" s="53">
        <v>12.0</v>
      </c>
      <c r="K14" s="53">
        <v>12.0</v>
      </c>
      <c r="L14" s="53">
        <v>12.0</v>
      </c>
      <c r="M14" s="53" t="s">
        <v>43</v>
      </c>
      <c r="N14" s="8"/>
      <c r="O14" s="53" t="s">
        <v>29</v>
      </c>
      <c r="Q14" s="52" t="s">
        <v>28</v>
      </c>
      <c r="T14" s="53" t="s">
        <v>18</v>
      </c>
      <c r="U14" s="53" t="s">
        <v>18</v>
      </c>
      <c r="AD14" s="53">
        <v>12.0</v>
      </c>
      <c r="AE14" s="53">
        <v>0.0</v>
      </c>
      <c r="AG14" s="53">
        <v>12.0</v>
      </c>
      <c r="AH14" s="53">
        <v>12.0</v>
      </c>
      <c r="BV14" s="9">
        <v>1.0</v>
      </c>
    </row>
    <row r="15" ht="15.75" customHeight="1">
      <c r="A15" s="8"/>
      <c r="B15" s="8"/>
      <c r="C15" s="8"/>
      <c r="D15" s="8"/>
      <c r="E15" s="8"/>
      <c r="F15" s="8"/>
      <c r="G15" s="8"/>
      <c r="H15" s="52" t="s">
        <v>28</v>
      </c>
      <c r="I15" s="52">
        <v>0.0</v>
      </c>
      <c r="J15" s="52">
        <v>38.0</v>
      </c>
      <c r="K15" s="52">
        <v>38.0</v>
      </c>
      <c r="L15" s="52">
        <v>38.0</v>
      </c>
      <c r="M15" s="52" t="s">
        <v>41</v>
      </c>
      <c r="N15" s="8"/>
      <c r="O15" s="52" t="s">
        <v>29</v>
      </c>
      <c r="Q15" s="52" t="s">
        <v>28</v>
      </c>
      <c r="T15" s="52" t="s">
        <v>18</v>
      </c>
      <c r="U15" s="52" t="s">
        <v>18</v>
      </c>
      <c r="AD15" s="52">
        <v>38.0</v>
      </c>
      <c r="AE15" s="52">
        <v>0.0</v>
      </c>
      <c r="AG15" s="52">
        <v>38.0</v>
      </c>
      <c r="AH15" s="52">
        <v>38.0</v>
      </c>
      <c r="BV15" s="9">
        <v>1.0</v>
      </c>
    </row>
    <row r="16" ht="15.75" customHeight="1">
      <c r="A16" s="8"/>
      <c r="B16" s="8"/>
      <c r="C16" s="8"/>
      <c r="D16" s="8"/>
      <c r="E16" s="8"/>
      <c r="F16" s="8"/>
      <c r="G16" s="8"/>
      <c r="H16" s="52" t="s">
        <v>28</v>
      </c>
      <c r="I16" s="53">
        <v>0.0</v>
      </c>
      <c r="J16" s="53">
        <v>25.0</v>
      </c>
      <c r="K16" s="53">
        <v>25.0</v>
      </c>
      <c r="L16" s="53">
        <v>25.0</v>
      </c>
      <c r="M16" s="53" t="s">
        <v>49</v>
      </c>
      <c r="N16" s="8"/>
      <c r="O16" s="53" t="s">
        <v>29</v>
      </c>
      <c r="Q16" s="52" t="s">
        <v>28</v>
      </c>
      <c r="T16" s="53" t="s">
        <v>19</v>
      </c>
      <c r="U16" s="53" t="s">
        <v>19</v>
      </c>
      <c r="AD16" s="53">
        <v>25.0</v>
      </c>
      <c r="AE16" s="53">
        <v>0.0</v>
      </c>
      <c r="AG16" s="53">
        <v>25.0</v>
      </c>
      <c r="AH16" s="53">
        <v>25.0</v>
      </c>
      <c r="BV16" s="9">
        <v>1.0</v>
      </c>
    </row>
    <row r="17" ht="15.75" customHeight="1">
      <c r="A17" s="8"/>
      <c r="B17" s="8"/>
      <c r="C17" s="8"/>
      <c r="D17" s="8"/>
      <c r="E17" s="8"/>
      <c r="F17" s="8"/>
      <c r="G17" s="8"/>
      <c r="H17" s="52" t="s">
        <v>28</v>
      </c>
      <c r="I17" s="52">
        <v>0.0</v>
      </c>
      <c r="J17" s="52">
        <v>25.0</v>
      </c>
      <c r="K17" s="52">
        <v>25.0</v>
      </c>
      <c r="L17" s="52">
        <v>25.0</v>
      </c>
      <c r="M17" s="52" t="s">
        <v>41</v>
      </c>
      <c r="N17" s="8"/>
      <c r="O17" s="52" t="s">
        <v>29</v>
      </c>
      <c r="Q17" s="52" t="s">
        <v>28</v>
      </c>
      <c r="T17" s="52" t="s">
        <v>19</v>
      </c>
      <c r="U17" s="52" t="s">
        <v>19</v>
      </c>
      <c r="AD17" s="52">
        <v>25.0</v>
      </c>
      <c r="AE17" s="52">
        <v>0.0</v>
      </c>
      <c r="AG17" s="52">
        <v>25.0</v>
      </c>
      <c r="AH17" s="52">
        <v>25.0</v>
      </c>
      <c r="BV17" s="9">
        <v>1.0</v>
      </c>
    </row>
    <row r="18" ht="15.75" customHeight="1">
      <c r="A18" s="8"/>
      <c r="B18" s="8"/>
      <c r="C18" s="8"/>
      <c r="D18" s="8"/>
      <c r="E18" s="8"/>
      <c r="F18" s="8"/>
      <c r="G18" s="8"/>
      <c r="H18" s="52" t="s">
        <v>28</v>
      </c>
      <c r="I18" s="53">
        <v>0.0</v>
      </c>
      <c r="J18" s="53">
        <v>25.0</v>
      </c>
      <c r="K18" s="53">
        <v>25.0</v>
      </c>
      <c r="L18" s="53">
        <v>25.0</v>
      </c>
      <c r="M18" s="53" t="s">
        <v>49</v>
      </c>
      <c r="N18" s="8"/>
      <c r="O18" s="53" t="s">
        <v>29</v>
      </c>
      <c r="Q18" s="52" t="s">
        <v>28</v>
      </c>
      <c r="T18" s="53" t="s">
        <v>19</v>
      </c>
      <c r="U18" s="53" t="s">
        <v>19</v>
      </c>
      <c r="AD18" s="53">
        <v>25.0</v>
      </c>
      <c r="AE18" s="53">
        <v>0.0</v>
      </c>
      <c r="AG18" s="53">
        <v>25.0</v>
      </c>
      <c r="AH18" s="53">
        <v>25.0</v>
      </c>
      <c r="BV18" s="9">
        <v>1.0</v>
      </c>
    </row>
    <row r="19" ht="15.75" customHeight="1">
      <c r="A19" s="8"/>
      <c r="B19" s="8"/>
      <c r="C19" s="8"/>
      <c r="D19" s="8"/>
      <c r="E19" s="8"/>
      <c r="F19" s="8"/>
      <c r="G19" s="8"/>
      <c r="H19" s="52" t="s">
        <v>28</v>
      </c>
      <c r="I19" s="52">
        <v>0.0</v>
      </c>
      <c r="J19" s="52">
        <v>12.0</v>
      </c>
      <c r="K19" s="52">
        <v>12.0</v>
      </c>
      <c r="L19" s="52">
        <v>12.0</v>
      </c>
      <c r="M19" s="52" t="s">
        <v>49</v>
      </c>
      <c r="N19" s="8"/>
      <c r="O19" s="52" t="s">
        <v>29</v>
      </c>
      <c r="Q19" s="52" t="s">
        <v>28</v>
      </c>
      <c r="T19" s="52" t="s">
        <v>18</v>
      </c>
      <c r="U19" s="52" t="s">
        <v>18</v>
      </c>
      <c r="AD19" s="52">
        <v>12.0</v>
      </c>
      <c r="AE19" s="52">
        <v>0.0</v>
      </c>
      <c r="AG19" s="52">
        <v>12.0</v>
      </c>
      <c r="AH19" s="52">
        <v>12.0</v>
      </c>
      <c r="BV19" s="9">
        <v>1.0</v>
      </c>
    </row>
    <row r="20" ht="15.75" customHeight="1">
      <c r="A20" s="8"/>
      <c r="B20" s="8"/>
      <c r="C20" s="8"/>
      <c r="D20" s="8"/>
      <c r="E20" s="8"/>
      <c r="F20" s="48"/>
      <c r="G20" s="48"/>
      <c r="H20" s="52" t="s">
        <v>28</v>
      </c>
      <c r="I20" s="53">
        <v>0.0</v>
      </c>
      <c r="J20" s="53">
        <v>25.0</v>
      </c>
      <c r="K20" s="53">
        <v>25.0</v>
      </c>
      <c r="L20" s="53">
        <v>25.0</v>
      </c>
      <c r="M20" s="53" t="s">
        <v>41</v>
      </c>
      <c r="N20" s="48"/>
      <c r="O20" s="53" t="s">
        <v>29</v>
      </c>
      <c r="P20" s="48"/>
      <c r="Q20" s="52" t="s">
        <v>28</v>
      </c>
      <c r="R20" s="48"/>
      <c r="S20" s="48"/>
      <c r="T20" s="53" t="s">
        <v>19</v>
      </c>
      <c r="U20" s="53" t="s">
        <v>19</v>
      </c>
      <c r="V20" s="48"/>
      <c r="W20" s="48"/>
      <c r="AD20" s="53">
        <v>25.0</v>
      </c>
      <c r="AE20" s="53">
        <v>0.0</v>
      </c>
      <c r="AF20" s="48"/>
      <c r="AG20" s="53">
        <v>25.0</v>
      </c>
      <c r="AH20" s="53">
        <v>25.0</v>
      </c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>
        <v>1.0</v>
      </c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</row>
    <row r="21" ht="15.75" customHeight="1">
      <c r="A21" s="8"/>
      <c r="B21" s="8"/>
      <c r="C21" s="8"/>
      <c r="D21" s="8"/>
      <c r="E21" s="8"/>
      <c r="F21" s="8"/>
      <c r="G21" s="8"/>
      <c r="H21" s="52" t="s">
        <v>28</v>
      </c>
      <c r="I21" s="52">
        <v>0.0</v>
      </c>
      <c r="J21" s="52">
        <v>12.0</v>
      </c>
      <c r="K21" s="52">
        <v>12.0</v>
      </c>
      <c r="L21" s="52">
        <v>12.0</v>
      </c>
      <c r="M21" s="52" t="s">
        <v>41</v>
      </c>
      <c r="N21" s="8"/>
      <c r="O21" s="52" t="s">
        <v>29</v>
      </c>
      <c r="Q21" s="52" t="s">
        <v>28</v>
      </c>
      <c r="T21" s="52" t="s">
        <v>18</v>
      </c>
      <c r="U21" s="52" t="s">
        <v>18</v>
      </c>
      <c r="AD21" s="52">
        <v>12.0</v>
      </c>
      <c r="AE21" s="52">
        <v>0.0</v>
      </c>
      <c r="AG21" s="52">
        <v>12.0</v>
      </c>
      <c r="AH21" s="52">
        <v>12.0</v>
      </c>
      <c r="BV21" s="9">
        <v>1.0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