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llocatePreference" sheetId="26" r:id="rId28"/>
  </sheets>
  <definedNames/>
  <calcPr/>
</workbook>
</file>

<file path=xl/sharedStrings.xml><?xml version="1.0" encoding="utf-8"?>
<sst xmlns="http://schemas.openxmlformats.org/spreadsheetml/2006/main" count="408" uniqueCount="193">
  <si>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</si>
  <si>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</si>
  <si>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</si>
  <si>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</si>
  <si>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</si>
  <si>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</si>
  <si>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</si>
  <si>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</si>
  <si>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</si>
  <si>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</si>
  <si>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</si>
  <si>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</si>
  <si>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</si>
  <si>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</si>
  <si>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</si>
  <si>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</si>
  <si>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</si>
  <si>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</si>
  <si>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</si>
  <si>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MSFT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</si>
  <si>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</si>
  <si>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</si>
  <si>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</si>
  <si>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</si>
  <si>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</si>
  <si>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</si>
  <si>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</si>
  <si>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</si>
  <si>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</si>
  <si>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</si>
  <si>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</si>
  <si>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</si>
  <si>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</si>
  <si>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</si>
  <si>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</si>
  <si>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</si>
  <si>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</si>
  <si>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</si>
  <si>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Good Till Date</t>
  </si>
  <si>
    <t>AllocateFromBlotter</t>
  </si>
  <si>
    <t>Allocation1</t>
  </si>
  <si>
    <t>Allocation2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</si>
  <si>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</si>
  <si>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</si>
  <si>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</si>
  <si>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</si>
  <si>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</si>
  <si>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</si>
  <si>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</si>
  <si>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</si>
  <si>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</si>
  <si>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</si>
  <si>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</si>
  <si>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</si>
  <si>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</si>
  <si>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Positions_Symbol</t>
  </si>
  <si>
    <t>Strategy Unallocated</t>
  </si>
  <si>
    <t>Allocation</t>
  </si>
  <si>
    <t>GetDataAllocation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</si>
  <si>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</si>
  <si>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</si>
  <si>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</si>
  <si>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</si>
  <si>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</si>
  <si>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</si>
  <si>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</si>
  <si>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</si>
  <si>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</si>
  <si>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</si>
  <si>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</si>
  <si>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</si>
  <si>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</si>
  <si>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</si>
  <si>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</si>
  <si>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</si>
  <si>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</si>
  <si>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</si>
  <si>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</si>
  <si>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</si>
  <si>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</si>
  <si>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</si>
  <si>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</si>
  <si>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</si>
  <si>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</si>
  <si>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</si>
  <si>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</si>
  <si>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</si>
  <si>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</si>
  <si>
    <t>PreferenceName</t>
  </si>
  <si>
    <t>Test</t>
  </si>
  <si>
    <t>AccountName</t>
  </si>
  <si>
    <t>Percentage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</si>
  <si>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</si>
  <si>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</si>
  <si>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</si>
  <si>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</si>
  <si>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</si>
  <si>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</si>
  <si>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</si>
  <si>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</si>
  <si>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</si>
  <si>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</si>
  <si>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</si>
  <si>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</si>
  <si>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</si>
  <si>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</si>
  <si>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</si>
  <si>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</si>
  <si>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</si>
  <si>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</si>
  <si>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</si>
  <si>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</si>
  <si>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</si>
  <si>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</si>
  <si>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</si>
  <si>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</si>
  <si>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</si>
  <si>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</si>
  <si>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</si>
  <si>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</si>
  <si>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</si>
  <si>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</si>
  <si>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</si>
  <si>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</si>
  <si>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</si>
  <si>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</si>
  <si>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</si>
  <si>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</si>
  <si>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</si>
  <si>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</si>
  <si>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</si>
  <si>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</si>
  <si>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</si>
  <si>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</si>
  <si>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</si>
  <si>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</si>
  <si>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</si>
  <si>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</si>
  <si>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</si>
  <si>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</si>
  <si>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</si>
  <si>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</si>
  <si>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</si>
  <si>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</si>
  <si>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</si>
  <si>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</si>
  <si>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</si>
  <si>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</si>
  <si>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</si>
  <si>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</si>
  <si>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</si>
  <si>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</si>
  <si>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</si>
  <si>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</si>
  <si>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</si>
  <si>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</si>
  <si>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</si>
  <si>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</si>
  <si>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</si>
  <si>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</si>
  <si>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</si>
  <si>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</si>
  <si>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</si>
  <si>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</si>
  <si>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</si>
  <si>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</si>
  <si>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</si>
  <si>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</si>
  <si>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</si>
  <si>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</si>
  <si>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</si>
  <si>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</si>
  <si>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</si>
  <si>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</si>
  <si>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</si>
  <si>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</si>
  <si>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</si>
  <si>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</si>
  <si>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</si>
  <si>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</si>
  <si>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</si>
  <si>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</si>
  <si>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</si>
  <si>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</si>
  <si>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</si>
  <si>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</si>
  <si>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</si>
  <si>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</si>
  <si>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PreferenceType</t>
  </si>
  <si>
    <t>PTTPrefNeeded</t>
  </si>
  <si>
    <t>IsForceAllocation</t>
  </si>
  <si>
    <t>AccountsForProrata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</si>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</sst>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>
        <v>10000.0</v>
      </c>
      <c r="D6" s="30"/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23</v>
      </c>
      <c r="V6" s="33" t="s">
        <v>24</v>
      </c>
      <c r="W6" s="33"/>
      <c r="X6" s="35">
        <v>10.0</v>
      </c>
      <c r="Y6" s="38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0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9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0"/>
      <c r="D6" s="30"/>
      <c r="E6" s="34" t="s">
        <v>37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7" t="s">
        <v>38</v>
      </c>
      <c r="V6" s="33" t="s">
        <v>24</v>
      </c>
      <c r="W6" s="33"/>
      <c r="X6" s="35">
        <v>10.0</v>
      </c>
      <c r="Y6" s="41">
        <f>TODAY()+5</f>
        <v>45822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40</v>
      </c>
      <c r="D6" s="12">
        <v>62.0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41</v>
      </c>
      <c r="D7" s="12">
        <v>38.0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8"/>
      <c r="C6" s="33"/>
      <c r="D6" s="42">
        <v>10.0</v>
      </c>
      <c r="E6" s="33" t="s">
        <v>43</v>
      </c>
      <c r="F6" s="43">
        <v>10.0</v>
      </c>
      <c r="G6" s="43">
        <v>2500.0</v>
      </c>
      <c r="H6" s="33" t="s">
        <v>44</v>
      </c>
      <c r="I6" s="33" t="s">
        <v>45</v>
      </c>
      <c r="J6" s="33" t="s">
        <v>19</v>
      </c>
      <c r="K6" s="33"/>
      <c r="L6" s="33" t="s">
        <v>46</v>
      </c>
      <c r="M6" s="33"/>
      <c r="N6" s="33"/>
      <c r="O6" s="33"/>
      <c r="P6" s="33"/>
      <c r="Q6" s="33"/>
      <c r="R6" s="33"/>
      <c r="S6" s="43"/>
      <c r="T6" s="43"/>
      <c r="U6" s="33" t="s">
        <v>47</v>
      </c>
      <c r="V6" s="33" t="s">
        <v>48</v>
      </c>
      <c r="W6" s="41"/>
      <c r="X6" s="33"/>
      <c r="Y6" s="33"/>
      <c r="Z6" s="33"/>
      <c r="AA6" s="33"/>
      <c r="AB6" s="43"/>
      <c r="AC6" s="33" t="s">
        <v>49</v>
      </c>
      <c r="AD6" s="43">
        <v>1.0</v>
      </c>
      <c r="AE6" s="33"/>
      <c r="AF6" s="33" t="s">
        <v>50</v>
      </c>
      <c r="AG6" s="38"/>
      <c r="AH6" s="33" t="s">
        <v>51</v>
      </c>
      <c r="AI6" s="33" t="s">
        <v>19</v>
      </c>
      <c r="AJ6" s="33" t="s">
        <v>22</v>
      </c>
      <c r="AK6" s="33" t="s">
        <v>52</v>
      </c>
      <c r="AL6" s="43">
        <v>10000.0</v>
      </c>
      <c r="AM6" s="43">
        <v>7500.0</v>
      </c>
      <c r="AN6" s="43"/>
      <c r="AO6" s="43"/>
      <c r="AP6" s="43">
        <v>10.0</v>
      </c>
      <c r="AQ6" s="33" t="s">
        <v>53</v>
      </c>
      <c r="AR6" s="33" t="s">
        <v>54</v>
      </c>
      <c r="AS6" s="33" t="s">
        <v>24</v>
      </c>
      <c r="AT6" s="43">
        <v>75000.0</v>
      </c>
      <c r="AU6" s="43">
        <v>75000.0</v>
      </c>
      <c r="AV6" s="33" t="s">
        <v>55</v>
      </c>
      <c r="AW6" s="33" t="s">
        <v>52</v>
      </c>
      <c r="AX6" s="43">
        <v>2500.0</v>
      </c>
      <c r="AY6" s="33" t="s">
        <v>56</v>
      </c>
      <c r="AZ6" s="33" t="s">
        <v>45</v>
      </c>
      <c r="BA6" s="38"/>
      <c r="BB6" s="33"/>
      <c r="BC6" s="38"/>
      <c r="BD6" s="33"/>
      <c r="BE6" s="33"/>
      <c r="BF6" s="33"/>
      <c r="BG6" s="41"/>
      <c r="BH6" s="33"/>
      <c r="BI6" s="33"/>
      <c r="BJ6" s="33"/>
      <c r="BK6" s="33"/>
      <c r="BL6" s="33"/>
      <c r="BM6" s="33"/>
      <c r="BN6" s="41"/>
      <c r="BO6" s="33"/>
      <c r="BP6" s="33"/>
      <c r="BQ6" s="33"/>
      <c r="BR6" s="33"/>
      <c r="BS6" s="33"/>
      <c r="BT6" s="33"/>
      <c r="BU6" s="33"/>
      <c r="BV6" s="41"/>
      <c r="BW6" s="33"/>
      <c r="BX6" s="33"/>
      <c r="BY6" s="33"/>
      <c r="BZ6" s="33"/>
      <c r="CA6" s="33"/>
      <c r="CB6" s="41"/>
      <c r="CC6" s="33"/>
      <c r="CD6" s="33"/>
      <c r="CE6" s="41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1"/>
      <c r="CR6" s="41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59</v>
      </c>
      <c r="C5" s="28" t="s">
        <v>60</v>
      </c>
      <c r="D5" s="28" t="s">
        <v>61</v>
      </c>
      <c r="E5" s="28" t="s">
        <v>62</v>
      </c>
      <c r="F5" s="28" t="s">
        <v>63</v>
      </c>
      <c r="G5" s="28" t="s">
        <v>64</v>
      </c>
      <c r="H5" s="28" t="s">
        <v>65</v>
      </c>
      <c r="I5" s="28" t="s">
        <v>66</v>
      </c>
      <c r="J5" s="28" t="s">
        <v>67</v>
      </c>
      <c r="K5" s="28" t="s">
        <v>68</v>
      </c>
      <c r="L5" s="28" t="s">
        <v>69</v>
      </c>
      <c r="M5" s="28" t="s">
        <v>70</v>
      </c>
      <c r="N5" s="28" t="s">
        <v>71</v>
      </c>
      <c r="O5" s="28" t="s">
        <v>72</v>
      </c>
      <c r="P5" s="28" t="s">
        <v>73</v>
      </c>
      <c r="Q5" s="28" t="s">
        <v>74</v>
      </c>
      <c r="R5" s="28" t="s">
        <v>75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76</v>
      </c>
      <c r="C6" s="44">
        <f>TODAY()-10</f>
        <v>45807</v>
      </c>
      <c r="D6" s="44">
        <f>TODAY()+2</f>
        <v>45819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54</v>
      </c>
      <c r="C6" s="33" t="s">
        <v>78</v>
      </c>
      <c r="D6" s="42"/>
      <c r="E6" s="43">
        <v>2500.0</v>
      </c>
      <c r="F6" s="33" t="s">
        <v>55</v>
      </c>
      <c r="G6" s="33" t="s">
        <v>51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43</v>
      </c>
      <c r="N6" s="33" t="s">
        <v>79</v>
      </c>
      <c r="O6" s="33" t="s">
        <v>53</v>
      </c>
      <c r="P6" s="33"/>
      <c r="Q6" s="43">
        <v>3.0</v>
      </c>
      <c r="R6" s="43"/>
      <c r="S6" s="33" t="s">
        <v>80</v>
      </c>
      <c r="T6" s="43"/>
      <c r="U6" s="43"/>
      <c r="V6" s="33" t="s">
        <v>81</v>
      </c>
      <c r="W6" s="38"/>
      <c r="X6" s="43"/>
      <c r="Y6" s="33"/>
      <c r="Z6" s="33" t="s">
        <v>47</v>
      </c>
      <c r="AA6" s="43"/>
      <c r="AB6" s="43">
        <v>1.0</v>
      </c>
      <c r="AC6" s="33"/>
      <c r="AD6" s="33" t="s">
        <v>44</v>
      </c>
      <c r="AE6" s="43">
        <v>2500.0</v>
      </c>
      <c r="AF6" s="33"/>
      <c r="AG6" s="38"/>
      <c r="AH6" s="33" t="s">
        <v>50</v>
      </c>
      <c r="AI6" s="43">
        <v>1.0</v>
      </c>
      <c r="AJ6" s="33" t="s">
        <v>82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3"/>
      <c r="AT6" s="43"/>
      <c r="AU6" s="43"/>
      <c r="AV6" s="38"/>
      <c r="AW6" s="43"/>
      <c r="AX6" s="43"/>
      <c r="AY6" s="33" t="s">
        <v>24</v>
      </c>
      <c r="AZ6" s="43"/>
      <c r="BA6" s="38"/>
      <c r="BB6" s="33"/>
      <c r="BC6" s="38"/>
      <c r="BD6" s="33" t="s">
        <v>83</v>
      </c>
      <c r="BE6" s="43">
        <v>25000.0</v>
      </c>
      <c r="BF6" s="43">
        <v>25000.0</v>
      </c>
      <c r="BG6" s="38"/>
      <c r="BH6" s="33"/>
      <c r="BI6" s="33"/>
      <c r="BJ6" s="43">
        <v>10000.0</v>
      </c>
      <c r="BK6" s="43"/>
      <c r="BL6" s="43"/>
      <c r="BM6" s="33" t="s">
        <v>47</v>
      </c>
      <c r="BN6" s="38"/>
      <c r="BO6" s="33" t="s">
        <v>22</v>
      </c>
      <c r="BP6" s="43"/>
      <c r="BQ6" s="43"/>
      <c r="BR6" s="43"/>
      <c r="BS6" s="33" t="s">
        <v>56</v>
      </c>
      <c r="BT6" s="33" t="s">
        <v>19</v>
      </c>
      <c r="BU6" s="43"/>
      <c r="BV6" s="38"/>
      <c r="BW6" s="43"/>
      <c r="BX6" s="43"/>
      <c r="BY6" s="33"/>
      <c r="BZ6" s="33"/>
      <c r="CA6" s="33"/>
      <c r="CB6" s="41"/>
      <c r="CC6" s="33"/>
      <c r="CD6" s="33"/>
      <c r="CE6" s="38"/>
      <c r="CF6" s="33" t="s">
        <v>46</v>
      </c>
      <c r="CG6" s="43"/>
      <c r="CH6" s="33" t="s">
        <v>84</v>
      </c>
      <c r="CI6" s="33" t="s">
        <v>22</v>
      </c>
      <c r="CJ6" s="43"/>
      <c r="CK6" s="33"/>
      <c r="CL6" s="43"/>
      <c r="CM6" s="33" t="s">
        <v>19</v>
      </c>
      <c r="CN6" s="33" t="s">
        <v>45</v>
      </c>
      <c r="CO6" s="33" t="s">
        <v>44</v>
      </c>
      <c r="CP6" s="33" t="s">
        <v>48</v>
      </c>
      <c r="CQ6" s="38"/>
      <c r="CR6" s="38"/>
      <c r="CS6" s="33"/>
      <c r="CT6" s="33"/>
      <c r="CU6" s="33"/>
      <c r="CV6" s="33"/>
      <c r="CW6" s="43"/>
      <c r="CX6" s="33" t="s">
        <v>54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54</v>
      </c>
      <c r="C6" s="33" t="s">
        <v>78</v>
      </c>
      <c r="D6" s="42"/>
      <c r="E6" s="43">
        <v>2500.0</v>
      </c>
      <c r="F6" s="33" t="s">
        <v>55</v>
      </c>
      <c r="G6" s="33" t="s">
        <v>51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43</v>
      </c>
      <c r="N6" s="33" t="s">
        <v>79</v>
      </c>
      <c r="O6" s="33" t="s">
        <v>53</v>
      </c>
      <c r="P6" s="33"/>
      <c r="Q6" s="43">
        <v>3.0</v>
      </c>
      <c r="R6" s="43"/>
      <c r="S6" s="33" t="s">
        <v>80</v>
      </c>
      <c r="T6" s="43"/>
      <c r="U6" s="43"/>
      <c r="V6" s="33" t="s">
        <v>81</v>
      </c>
      <c r="W6" s="38"/>
      <c r="X6" s="43"/>
      <c r="Y6" s="33"/>
      <c r="Z6" s="33" t="s">
        <v>47</v>
      </c>
      <c r="AA6" s="43"/>
      <c r="AB6" s="43">
        <v>1.0</v>
      </c>
      <c r="AC6" s="33"/>
      <c r="AD6" s="33" t="s">
        <v>44</v>
      </c>
      <c r="AE6" s="43">
        <v>2500.0</v>
      </c>
      <c r="AF6" s="33"/>
      <c r="AG6" s="38"/>
      <c r="AH6" s="33" t="s">
        <v>50</v>
      </c>
      <c r="AI6" s="43">
        <v>1.0</v>
      </c>
      <c r="AJ6" s="33" t="s">
        <v>82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3"/>
      <c r="AT6" s="43"/>
      <c r="AU6" s="43"/>
      <c r="AV6" s="38"/>
      <c r="AW6" s="43"/>
      <c r="AX6" s="43"/>
      <c r="AY6" s="33" t="s">
        <v>24</v>
      </c>
      <c r="AZ6" s="43"/>
      <c r="BA6" s="38"/>
      <c r="BB6" s="33"/>
      <c r="BC6" s="38"/>
      <c r="BD6" s="33" t="s">
        <v>83</v>
      </c>
      <c r="BE6" s="43">
        <v>25000.0</v>
      </c>
      <c r="BF6" s="43">
        <v>25000.0</v>
      </c>
      <c r="BG6" s="38"/>
      <c r="BH6" s="33"/>
      <c r="BI6" s="33"/>
      <c r="BJ6" s="43">
        <v>10000.0</v>
      </c>
      <c r="BK6" s="43"/>
      <c r="BL6" s="43"/>
      <c r="BM6" s="33" t="s">
        <v>47</v>
      </c>
      <c r="BN6" s="38"/>
      <c r="BO6" s="33" t="s">
        <v>22</v>
      </c>
      <c r="BP6" s="43"/>
      <c r="BQ6" s="43"/>
      <c r="BR6" s="43"/>
      <c r="BS6" s="33" t="s">
        <v>56</v>
      </c>
      <c r="BT6" s="33" t="s">
        <v>19</v>
      </c>
      <c r="BU6" s="43"/>
      <c r="BV6" s="38"/>
      <c r="BW6" s="43"/>
      <c r="BX6" s="43"/>
      <c r="BY6" s="33"/>
      <c r="BZ6" s="33"/>
      <c r="CA6" s="33"/>
      <c r="CB6" s="41"/>
      <c r="CC6" s="33"/>
      <c r="CD6" s="33"/>
      <c r="CE6" s="38"/>
      <c r="CF6" s="33" t="s">
        <v>46</v>
      </c>
      <c r="CG6" s="43">
        <v>2.0</v>
      </c>
      <c r="CH6" s="33" t="s">
        <v>84</v>
      </c>
      <c r="CI6" s="33" t="s">
        <v>22</v>
      </c>
      <c r="CJ6" s="43"/>
      <c r="CK6" s="33" t="s">
        <v>85</v>
      </c>
      <c r="CL6" s="43">
        <v>1.0</v>
      </c>
      <c r="CM6" s="33" t="s">
        <v>19</v>
      </c>
      <c r="CN6" s="33" t="s">
        <v>45</v>
      </c>
      <c r="CO6" s="33" t="s">
        <v>44</v>
      </c>
      <c r="CP6" s="33" t="s">
        <v>48</v>
      </c>
      <c r="CQ6" s="38"/>
      <c r="CR6" s="38"/>
      <c r="CS6" s="33"/>
      <c r="CT6" s="33"/>
      <c r="CU6" s="33"/>
      <c r="CV6" s="33"/>
      <c r="CW6" s="43"/>
      <c r="CX6" s="33" t="s">
        <v>54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54</v>
      </c>
      <c r="C7" s="33" t="s">
        <v>78</v>
      </c>
      <c r="D7" s="43"/>
      <c r="E7" s="43">
        <v>100.0</v>
      </c>
      <c r="F7" s="33" t="s">
        <v>86</v>
      </c>
      <c r="G7" s="33" t="s">
        <v>51</v>
      </c>
      <c r="H7" s="43">
        <v>4.0</v>
      </c>
      <c r="I7" s="43">
        <v>5.0</v>
      </c>
      <c r="J7" s="43">
        <v>1.0</v>
      </c>
      <c r="K7" s="43">
        <v>10.0</v>
      </c>
      <c r="L7" s="43">
        <v>10.0</v>
      </c>
      <c r="M7" s="33" t="s">
        <v>43</v>
      </c>
      <c r="N7" s="33" t="s">
        <v>79</v>
      </c>
      <c r="O7" s="33" t="s">
        <v>53</v>
      </c>
      <c r="P7" s="33"/>
      <c r="Q7" s="43">
        <v>3.0</v>
      </c>
      <c r="R7" s="43"/>
      <c r="S7" s="33" t="s">
        <v>80</v>
      </c>
      <c r="T7" s="43"/>
      <c r="U7" s="43"/>
      <c r="V7" s="33" t="s">
        <v>81</v>
      </c>
      <c r="W7" s="38"/>
      <c r="X7" s="43"/>
      <c r="Y7" s="33"/>
      <c r="Z7" s="33" t="s">
        <v>47</v>
      </c>
      <c r="AA7" s="43"/>
      <c r="AB7" s="43">
        <v>1.0</v>
      </c>
      <c r="AC7" s="33"/>
      <c r="AD7" s="33" t="s">
        <v>44</v>
      </c>
      <c r="AE7" s="43">
        <v>100.0</v>
      </c>
      <c r="AF7" s="33"/>
      <c r="AG7" s="38"/>
      <c r="AH7" s="33" t="s">
        <v>50</v>
      </c>
      <c r="AI7" s="43">
        <v>1.0</v>
      </c>
      <c r="AJ7" s="33" t="s">
        <v>82</v>
      </c>
      <c r="AK7" s="33"/>
      <c r="AL7" s="33"/>
      <c r="AM7" s="33" t="s">
        <v>49</v>
      </c>
      <c r="AN7" s="40" t="b">
        <v>0</v>
      </c>
      <c r="AO7" s="33"/>
      <c r="AP7" s="40" t="b">
        <v>0</v>
      </c>
      <c r="AQ7" s="40" t="b">
        <v>0</v>
      </c>
      <c r="AR7" s="40" t="b">
        <v>1</v>
      </c>
      <c r="AS7" s="43"/>
      <c r="AT7" s="43"/>
      <c r="AU7" s="43"/>
      <c r="AV7" s="38"/>
      <c r="AW7" s="43"/>
      <c r="AX7" s="43"/>
      <c r="AY7" s="33" t="s">
        <v>24</v>
      </c>
      <c r="AZ7" s="43"/>
      <c r="BA7" s="38"/>
      <c r="BB7" s="33"/>
      <c r="BC7" s="43"/>
      <c r="BD7" s="33" t="s">
        <v>83</v>
      </c>
      <c r="BE7" s="43">
        <v>1000.0</v>
      </c>
      <c r="BF7" s="43">
        <v>1000.0</v>
      </c>
      <c r="BG7" s="38"/>
      <c r="BH7" s="33"/>
      <c r="BI7" s="33"/>
      <c r="BJ7" s="43">
        <v>10000.0</v>
      </c>
      <c r="BK7" s="43"/>
      <c r="BL7" s="43"/>
      <c r="BM7" s="33" t="s">
        <v>47</v>
      </c>
      <c r="BN7" s="38"/>
      <c r="BO7" s="33" t="s">
        <v>22</v>
      </c>
      <c r="BP7" s="43"/>
      <c r="BQ7" s="43"/>
      <c r="BR7" s="43"/>
      <c r="BS7" s="33" t="s">
        <v>56</v>
      </c>
      <c r="BT7" s="33" t="s">
        <v>19</v>
      </c>
      <c r="BU7" s="43"/>
      <c r="BV7" s="43"/>
      <c r="BW7" s="43"/>
      <c r="BX7" s="43"/>
      <c r="BY7" s="33"/>
      <c r="BZ7" s="33"/>
      <c r="CA7" s="33"/>
      <c r="CB7" s="33"/>
      <c r="CC7" s="33"/>
      <c r="CD7" s="33"/>
      <c r="CE7" s="38"/>
      <c r="CF7" s="33" t="s">
        <v>46</v>
      </c>
      <c r="CG7" s="43">
        <v>2.0</v>
      </c>
      <c r="CH7" s="33" t="s">
        <v>17</v>
      </c>
      <c r="CI7" s="33" t="s">
        <v>22</v>
      </c>
      <c r="CJ7" s="43"/>
      <c r="CK7" s="33" t="s">
        <v>85</v>
      </c>
      <c r="CL7" s="43">
        <v>1.0</v>
      </c>
      <c r="CM7" s="33" t="s">
        <v>19</v>
      </c>
      <c r="CN7" s="33" t="s">
        <v>45</v>
      </c>
      <c r="CO7" s="33" t="s">
        <v>44</v>
      </c>
      <c r="CP7" s="33" t="s">
        <v>48</v>
      </c>
      <c r="CQ7" s="38"/>
      <c r="CR7" s="43"/>
      <c r="CS7" s="33"/>
      <c r="CT7" s="33"/>
      <c r="CU7" s="33"/>
      <c r="CV7" s="33"/>
      <c r="CW7" s="43"/>
      <c r="CX7" s="33" t="s">
        <v>54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87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88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48" t="s">
        <v>89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88</v>
      </c>
      <c r="C5" s="9" t="s">
        <v>90</v>
      </c>
      <c r="D5" s="9" t="s">
        <v>91</v>
      </c>
    </row>
    <row r="6">
      <c r="B6" s="9" t="s">
        <v>89</v>
      </c>
      <c r="C6" s="9" t="s">
        <v>40</v>
      </c>
      <c r="D6" s="9">
        <v>62.0</v>
      </c>
    </row>
    <row r="7">
      <c r="B7" s="9" t="s">
        <v>89</v>
      </c>
      <c r="C7" s="9" t="s">
        <v>41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92</v>
      </c>
      <c r="C5" s="9" t="s">
        <v>93</v>
      </c>
      <c r="D5" s="9" t="s">
        <v>94</v>
      </c>
      <c r="E5" s="9" t="s">
        <v>95</v>
      </c>
      <c r="F5" s="9" t="s">
        <v>96</v>
      </c>
      <c r="G5" s="9" t="s">
        <v>97</v>
      </c>
      <c r="H5" s="9" t="s">
        <v>88</v>
      </c>
    </row>
    <row r="6">
      <c r="B6" s="9" t="s">
        <v>98</v>
      </c>
      <c r="D6" s="9" t="s">
        <v>99</v>
      </c>
      <c r="H6" s="9" t="s">
        <v>89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63</v>
      </c>
      <c r="C5" s="9" t="s">
        <v>65</v>
      </c>
      <c r="D5" s="9" t="s">
        <v>100</v>
      </c>
      <c r="E5" s="9" t="s">
        <v>101</v>
      </c>
      <c r="F5" s="9" t="s">
        <v>102</v>
      </c>
      <c r="G5" s="9" t="s">
        <v>103</v>
      </c>
      <c r="H5" s="9" t="s">
        <v>104</v>
      </c>
      <c r="I5" s="9" t="s">
        <v>105</v>
      </c>
      <c r="J5" s="9" t="s">
        <v>106</v>
      </c>
      <c r="K5" s="9" t="s">
        <v>107</v>
      </c>
      <c r="L5" s="9" t="s">
        <v>108</v>
      </c>
      <c r="M5" s="9" t="s">
        <v>109</v>
      </c>
      <c r="N5" s="9" t="s">
        <v>110</v>
      </c>
      <c r="O5" s="9" t="s">
        <v>111</v>
      </c>
      <c r="P5" s="9" t="s">
        <v>67</v>
      </c>
      <c r="Q5" s="9" t="s">
        <v>112</v>
      </c>
      <c r="R5" s="9" t="s">
        <v>72</v>
      </c>
      <c r="S5" s="9" t="s">
        <v>113</v>
      </c>
      <c r="T5" s="9" t="s">
        <v>114</v>
      </c>
      <c r="U5" s="9" t="s">
        <v>115</v>
      </c>
      <c r="V5" s="9" t="s">
        <v>116</v>
      </c>
      <c r="W5" s="9" t="s">
        <v>117</v>
      </c>
      <c r="X5" s="9" t="s">
        <v>118</v>
      </c>
      <c r="Y5" s="9" t="s">
        <v>119</v>
      </c>
      <c r="Z5" s="9" t="s">
        <v>120</v>
      </c>
      <c r="AA5" s="9" t="s">
        <v>121</v>
      </c>
      <c r="AB5" s="9" t="s">
        <v>122</v>
      </c>
      <c r="AC5" s="9" t="s">
        <v>123</v>
      </c>
      <c r="AD5" s="9" t="s">
        <v>124</v>
      </c>
      <c r="AE5" s="9" t="s">
        <v>125</v>
      </c>
      <c r="AF5" s="9" t="s">
        <v>126</v>
      </c>
      <c r="AG5" s="9" t="s">
        <v>127</v>
      </c>
      <c r="AH5" s="9" t="s">
        <v>128</v>
      </c>
      <c r="AI5" s="9" t="s">
        <v>129</v>
      </c>
      <c r="AJ5" s="9" t="s">
        <v>130</v>
      </c>
      <c r="AK5" s="9" t="s">
        <v>131</v>
      </c>
      <c r="AL5" s="9" t="s">
        <v>132</v>
      </c>
      <c r="AM5" s="9" t="s">
        <v>133</v>
      </c>
      <c r="AN5" s="9" t="s">
        <v>134</v>
      </c>
      <c r="AO5" s="9" t="s">
        <v>135</v>
      </c>
      <c r="AP5" s="9" t="s">
        <v>136</v>
      </c>
      <c r="AQ5" s="9" t="s">
        <v>137</v>
      </c>
      <c r="AR5" s="9" t="s">
        <v>138</v>
      </c>
      <c r="AS5" s="9" t="s">
        <v>139</v>
      </c>
      <c r="AT5" s="9" t="s">
        <v>140</v>
      </c>
      <c r="AU5" s="9" t="s">
        <v>141</v>
      </c>
      <c r="AV5" s="9" t="s">
        <v>142</v>
      </c>
      <c r="AW5" s="9" t="s">
        <v>143</v>
      </c>
      <c r="AX5" s="9" t="s">
        <v>144</v>
      </c>
      <c r="AY5" s="9" t="s">
        <v>145</v>
      </c>
      <c r="AZ5" s="9" t="s">
        <v>146</v>
      </c>
      <c r="BA5" s="9" t="s">
        <v>147</v>
      </c>
      <c r="BB5" s="9" t="s">
        <v>148</v>
      </c>
      <c r="BC5" s="9" t="s">
        <v>149</v>
      </c>
      <c r="BD5" s="9" t="s">
        <v>150</v>
      </c>
      <c r="BE5" s="9" t="s">
        <v>151</v>
      </c>
      <c r="BF5" s="9" t="s">
        <v>152</v>
      </c>
      <c r="BG5" s="9" t="s">
        <v>153</v>
      </c>
      <c r="BH5" s="9" t="s">
        <v>154</v>
      </c>
      <c r="BI5" s="9" t="s">
        <v>155</v>
      </c>
      <c r="BJ5" s="9" t="s">
        <v>156</v>
      </c>
      <c r="BK5" s="9" t="s">
        <v>157</v>
      </c>
      <c r="BL5" s="9" t="s">
        <v>71</v>
      </c>
      <c r="BM5" s="9" t="s">
        <v>69</v>
      </c>
      <c r="BN5" s="9" t="s">
        <v>68</v>
      </c>
      <c r="BO5" s="9" t="s">
        <v>158</v>
      </c>
      <c r="BP5" s="9" t="s">
        <v>159</v>
      </c>
      <c r="BQ5" s="9" t="s">
        <v>160</v>
      </c>
      <c r="BR5" s="9" t="s">
        <v>161</v>
      </c>
      <c r="BS5" s="9" t="s">
        <v>162</v>
      </c>
      <c r="BT5" s="9" t="s">
        <v>163</v>
      </c>
      <c r="BU5" s="9" t="s">
        <v>164</v>
      </c>
      <c r="BV5" s="9" t="s">
        <v>165</v>
      </c>
      <c r="BW5" s="9" t="s">
        <v>166</v>
      </c>
      <c r="BX5" s="9" t="s">
        <v>167</v>
      </c>
      <c r="BY5" s="9" t="s">
        <v>168</v>
      </c>
      <c r="BZ5" s="9" t="s">
        <v>169</v>
      </c>
      <c r="CA5" s="9" t="s">
        <v>170</v>
      </c>
      <c r="CB5" s="9" t="s">
        <v>171</v>
      </c>
      <c r="CC5" s="9" t="s">
        <v>172</v>
      </c>
      <c r="CD5" s="9" t="s">
        <v>173</v>
      </c>
      <c r="CE5" s="9" t="s">
        <v>174</v>
      </c>
      <c r="CF5" s="9" t="s">
        <v>175</v>
      </c>
      <c r="CG5" s="9" t="s">
        <v>176</v>
      </c>
      <c r="CH5" s="9" t="s">
        <v>177</v>
      </c>
      <c r="CI5" s="9" t="s">
        <v>178</v>
      </c>
      <c r="CJ5" s="9" t="s">
        <v>179</v>
      </c>
      <c r="CK5" s="9" t="s">
        <v>180</v>
      </c>
      <c r="CL5" s="9" t="s">
        <v>181</v>
      </c>
      <c r="CM5" s="9" t="s">
        <v>182</v>
      </c>
      <c r="CN5" s="9" t="s">
        <v>183</v>
      </c>
      <c r="CO5" s="9" t="s">
        <v>184</v>
      </c>
      <c r="CP5" s="9" t="s">
        <v>185</v>
      </c>
      <c r="CQ5" s="9" t="s">
        <v>186</v>
      </c>
      <c r="CR5" s="9" t="s">
        <v>187</v>
      </c>
    </row>
    <row r="6">
      <c r="B6" s="9" t="s">
        <v>19</v>
      </c>
      <c r="C6" s="9" t="s">
        <v>22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188</v>
      </c>
      <c r="C5" s="46" t="s">
        <v>88</v>
      </c>
      <c r="D5" s="46" t="s">
        <v>189</v>
      </c>
      <c r="E5" s="46" t="s">
        <v>190</v>
      </c>
      <c r="F5" s="46" t="s">
        <v>92</v>
      </c>
      <c r="G5" s="46" t="s">
        <v>93</v>
      </c>
      <c r="H5" s="46" t="s">
        <v>94</v>
      </c>
      <c r="I5" s="46" t="s">
        <v>191</v>
      </c>
      <c r="J5" s="46" t="s">
        <v>96</v>
      </c>
      <c r="K5" s="46" t="s">
        <v>97</v>
      </c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37" t="s">
        <v>192</v>
      </c>
      <c r="C6" s="48" t="s">
        <v>55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